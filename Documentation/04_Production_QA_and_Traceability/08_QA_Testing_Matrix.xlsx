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0b28744d9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ebc54c2f43be44c6"/>
    <x:sheet xmlns:r="http://schemas.openxmlformats.org/officeDocument/2006/relationships" name="01_Resumen" sheetId="2" r:id="Ra4648e7539ec45c7"/>
    <x:sheet xmlns:r="http://schemas.openxmlformats.org/officeDocument/2006/relationships" name="02_Requisitos" sheetId="3" r:id="R09f6fda735c74388"/>
    <x:sheet xmlns:r="http://schemas.openxmlformats.org/officeDocument/2006/relationships" name="03_Casos_Prueba" sheetId="4" r:id="R6138613f6d4147f4"/>
    <x:sheet xmlns:r="http://schemas.openxmlformats.org/officeDocument/2006/relationships" name="04_Golden_Path" sheetId="5" r:id="R8b70302628b94840"/>
    <x:sheet xmlns:r="http://schemas.openxmlformats.org/officeDocument/2006/relationships" name="05_Persistencia" sheetId="6" r:id="Rd4bbbb6ad80e4abd"/>
    <x:sheet xmlns:r="http://schemas.openxmlformats.org/officeDocument/2006/relationships" name="06_Sistemas" sheetId="7" r:id="Rc0586ac0b1884559"/>
    <x:sheet xmlns:r="http://schemas.openxmlformats.org/officeDocument/2006/relationships" name="07_UX_Accesibilidad" sheetId="8" r:id="R145f7f16ffcd4244"/>
    <x:sheet xmlns:r="http://schemas.openxmlformats.org/officeDocument/2006/relationships" name="08_Escena_Contenido" sheetId="9" r:id="R1cdd8eed7ed64c1e"/>
    <x:sheet xmlns:r="http://schemas.openxmlformats.org/officeDocument/2006/relationships" name="09_Rendimiento" sheetId="10" r:id="Ra113c3800fe84da3"/>
    <x:sheet xmlns:r="http://schemas.openxmlformats.org/officeDocument/2006/relationships" name="10_Builds" sheetId="11" r:id="Rc15edd2b5a604434"/>
    <x:sheet xmlns:r="http://schemas.openxmlformats.org/officeDocument/2006/relationships" name="11_Ejecuciones" sheetId="12" r:id="R003268a7a98f4c59"/>
    <x:sheet xmlns:r="http://schemas.openxmlformats.org/officeDocument/2006/relationships" name="12_Defectos" sheetId="13" r:id="R35b147e1fe7e4495"/>
    <x:sheet xmlns:r="http://schemas.openxmlformats.org/officeDocument/2006/relationships" name="13_Cobertura" sheetId="14" r:id="Ra0824b09d7344284"/>
    <x:sheet xmlns:r="http://schemas.openxmlformats.org/officeDocument/2006/relationships" name="14_Gates" sheetId="15" r:id="Rfc2b813d8c064b32"/>
    <x:sheet xmlns:r="http://schemas.openxmlformats.org/officeDocument/2006/relationships" name="15_Catalogos" sheetId="16" r:id="R4bd45e62063d4d2b"/>
    <x:sheet xmlns:r="http://schemas.openxmlformats.org/officeDocument/2006/relationships" name="16_Trazabilidad" sheetId="17" r:id="Raf8086eadaa543ed"/>
    <x:sheet xmlns:r="http://schemas.openxmlformats.org/officeDocument/2006/relationships" name="17_W0_Characterization" sheetId="18" r:id="Refc71ed9a678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FFFFFF"/>
      <x:name val="Carlito"/>
    </x:font>
    <x:font>
      <x:b/>
      <x:sz val="11"/>
      <x:color rgb="FFFFFFFF"/>
      <x:name val="Carlito"/>
    </x:font>
    <x:font>
      <x:sz val="10"/>
      <x:color rgb="FF17201E"/>
      <x:name val="Carlito"/>
    </x:font>
    <x:font>
      <x:b/>
      <x:sz val="11"/>
      <x:color rgb="FF17322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816"/>
      </x:patternFill>
    </x:fill>
    <x:fill>
      <x:patternFill patternType="solid">
        <x:fgColor rgb="FF17322B"/>
      </x:patternFill>
    </x:fill>
    <x:fill>
      <x:patternFill patternType="solid">
        <x:fgColor rgb="FFDCF7EB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DC3545"/>
      </x:font>
      <x:fill>
        <x:patternFill>
          <x:bgColor rgb="FFFDE2E4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DC3545"/>
      </x:font>
      <x:fill>
        <x:patternFill>
          <x:bgColor rgb="FFFDE2E4"/>
        </x:patternFill>
      </x:fill>
    </x:dxf>
    <x:dxf>
      <x:font>
        <x:b/>
        <x:color rgb="FFFFFFFF"/>
      </x:font>
      <x:fill>
        <x:patternFill>
          <x:bgColor rgb="FF7F1D1D"/>
        </x:patternFill>
      </x:fill>
    </x:dxf>
    <x:dxf>
      <x:font>
        <x:b/>
        <x:color rgb="FFDC3545"/>
      </x:font>
      <x:fill>
        <x:patternFill>
          <x:bgColor rgb="FFFDE2E4"/>
        </x:patternFill>
      </x:fill>
    </x:dxf>
    <x:dxf>
      <x:font>
        <x:b/>
        <x:color rgb="FF166534"/>
      </x:font>
      <x:fill>
        <x:patternFill>
          <x:bgColor rgb="FFDCF7EB"/>
        </x:patternFill>
      </x:fill>
    </x:dxf>
    <x:dxf>
      <x:font>
        <x:b/>
        <x:color rgb="FFDC3545"/>
      </x:font>
      <x:fill>
        <x:patternFill>
          <x:bgColor rgb="FFFDE2E4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7EB"/>
        </x:patternFill>
      </x:fill>
    </x:dxf>
    <x:dxf>
      <x:font>
        <x:b/>
        <x:color rgb="FFDC3545"/>
      </x:font>
      <x:fill>
        <x:patternFill>
          <x:bgColor rgb="FFFDE2E4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FFFFFF"/>
      </x:font>
      <x:fill>
        <x:patternFill>
          <x:bgColor rgb="FF7F1D1D"/>
        </x:patternFill>
      </x:fill>
    </x:dxf>
    <x:dxf>
      <x:font>
        <x:b/>
        <x:color rgb="FFDC3545"/>
      </x:font>
      <x:fill>
        <x:patternFill>
          <x:bgColor rgb="FFFDE2E4"/>
        </x:patternFill>
      </x:fill>
    </x:dxf>
    <x:dxf>
      <x:font>
        <x:color rgb="FF166534"/>
      </x:font>
      <x:fill>
        <x:patternFill>
          <x:bgColor rgb="FFDCF7EB"/>
        </x:patternFill>
      </x:fill>
    </x:dxf>
    <x:dxf>
      <x:font>
        <x:b/>
        <x:color rgb="FFDC3545"/>
      </x:font>
      <x:fill>
        <x:patternFill>
          <x:bgColor rgb="FFFDE2E4"/>
        </x:patternFill>
      </x:fill>
    </x:dxf>
    <x:dxf>
      <x:font>
        <x:b/>
        <x:color rgb="FF166534"/>
      </x:font>
      <x:fill>
        <x:patternFill>
          <x:bgColor rgb="FFDCF7EB"/>
        </x:patternFill>
      </x:fill>
    </x:dxf>
    <x:dxf>
      <x:font>
        <x:b/>
        <x:color rgb="FFDC3545"/>
      </x:font>
      <x:fill>
        <x:patternFill>
          <x:bgColor rgb="FFFDE2E4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7EB"/>
        </x:patternFill>
      </x:fill>
    </x:dxf>
    <x:dxf>
      <x:font>
        <x:b/>
        <x:color rgb="FFDC3545"/>
      </x:font>
      <x:fill>
        <x:patternFill>
          <x:bgColor rgb="FFFDE2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a987799374241" /><Relationship Type="http://schemas.openxmlformats.org/officeDocument/2006/relationships/theme" Target="/xl/theme/theme1.xml" Id="Re49b07be4ed343af" /><Relationship Type="http://schemas.openxmlformats.org/officeDocument/2006/relationships/sharedStrings" Target="/xl/sharedStrings.xml" Id="Rbf20a5d776454729" /><Relationship Type="http://schemas.openxmlformats.org/officeDocument/2006/relationships/worksheet" Target="/xl/worksheets/sheet1.xml" Id="Rebc54c2f43be44c6" /><Relationship Type="http://schemas.openxmlformats.org/officeDocument/2006/relationships/worksheet" Target="/xl/worksheets/sheet2.xml" Id="Ra4648e7539ec45c7" /><Relationship Type="http://schemas.openxmlformats.org/officeDocument/2006/relationships/worksheet" Target="/xl/worksheets/sheet3.xml" Id="R09f6fda735c74388" /><Relationship Type="http://schemas.openxmlformats.org/officeDocument/2006/relationships/worksheet" Target="/xl/worksheets/sheet4.xml" Id="R6138613f6d4147f4" /><Relationship Type="http://schemas.openxmlformats.org/officeDocument/2006/relationships/worksheet" Target="/xl/worksheets/sheet5.xml" Id="R8b70302628b94840" /><Relationship Type="http://schemas.openxmlformats.org/officeDocument/2006/relationships/worksheet" Target="/xl/worksheets/sheet6.xml" Id="Rd4bbbb6ad80e4abd" /><Relationship Type="http://schemas.openxmlformats.org/officeDocument/2006/relationships/worksheet" Target="/xl/worksheets/sheet7.xml" Id="Rc0586ac0b1884559" /><Relationship Type="http://schemas.openxmlformats.org/officeDocument/2006/relationships/worksheet" Target="/xl/worksheets/sheet8.xml" Id="R145f7f16ffcd4244" /><Relationship Type="http://schemas.openxmlformats.org/officeDocument/2006/relationships/worksheet" Target="/xl/worksheets/sheet9.xml" Id="R1cdd8eed7ed64c1e" /><Relationship Type="http://schemas.openxmlformats.org/officeDocument/2006/relationships/worksheet" Target="/xl/worksheets/sheet10.xml" Id="Ra113c3800fe84da3" /><Relationship Type="http://schemas.openxmlformats.org/officeDocument/2006/relationships/worksheet" Target="/xl/worksheets/sheet11.xml" Id="Rc15edd2b5a604434" /><Relationship Type="http://schemas.openxmlformats.org/officeDocument/2006/relationships/worksheet" Target="/xl/worksheets/sheet12.xml" Id="R003268a7a98f4c59" /><Relationship Type="http://schemas.openxmlformats.org/officeDocument/2006/relationships/worksheet" Target="/xl/worksheets/sheet13.xml" Id="R35b147e1fe7e4495" /><Relationship Type="http://schemas.openxmlformats.org/officeDocument/2006/relationships/worksheet" Target="/xl/worksheets/sheet14.xml" Id="Ra0824b09d7344284" /><Relationship Type="http://schemas.openxmlformats.org/officeDocument/2006/relationships/worksheet" Target="/xl/worksheets/sheet15.xml" Id="Rfc2b813d8c064b32" /><Relationship Type="http://schemas.openxmlformats.org/officeDocument/2006/relationships/worksheet" Target="/xl/worksheets/sheet16.xml" Id="R4bd45e62063d4d2b" /><Relationship Type="http://schemas.openxmlformats.org/officeDocument/2006/relationships/worksheet" Target="/xl/worksheets/sheet17.xml" Id="Raf8086eadaa543ed" /><Relationship Type="http://schemas.openxmlformats.org/officeDocument/2006/relationships/worksheet" Target="/xl/worksheets/sheet18.xml" Id="Refc71ed9a6784f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950e85535d4e81" /><Relationship Type="http://schemas.openxmlformats.org/officeDocument/2006/relationships/chart" Target="/xl/drawings/charts/chart2.xml" Id="R9d6fbc1dbb2647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Casos por prioridad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Casos</c:v>
          </c:tx>
          <c:cat>
            <c:strRef>
              <c:f>'01_Resumen'!$D$13:$D$17</c:f>
              <c:strCache>
                <c:ptCount val="0"/>
              </c:strCache>
            </c:strRef>
          </c:cat>
          <c:val>
            <c:numRef>
              <c:f>'01_Resumen'!$E$13:$E$17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Defectos abiertos por severidad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Defectos abiertos</c:v>
          </c:tx>
          <c:cat>
            <c:strRef>
              <c:f>'01_Resumen'!$G$13:$G$17</c:f>
              <c:strCache>
                <c:ptCount val="0"/>
              </c:strCache>
            </c:strRef>
          </c:cat>
          <c:val>
            <c:numRef>
              <c:f>'01_Resumen'!$H$13:$H$17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950e85535d4e8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6fbc1dbb2647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quisitosTable" displayName="RequisitosTable" ref="A4:K177" headerRowCount="1">
  <x:tableColumns count="11">
    <x:tableColumn id="1" name="Requirement ID"/>
    <x:tableColumn id="2" name="Documento"/>
    <x:tableColumn id="3" name="Sección"/>
    <x:tableColumn id="4" name="Sistema"/>
    <x:tableColumn id="5" name="Requisito"/>
    <x:tableColumn id="6" name="Evidencia esperada"/>
    <x:tableColumn id="7" name="Prioridad"/>
    <x:tableColumn id="8" name="Gate"/>
    <x:tableColumn id="9" name="Estado"/>
    <x:tableColumn id="10" name="Owner"/>
    <x:tableColumn id="11" name="Tipo"/>
  </x:tableColumns>
  <x:tableStyleInfo name="TableStyleMedium2" showRowStripes="1"/>
</x:table>
</file>

<file path=xl/tables/table2.xml><?xml version="1.0" encoding="utf-8"?>
<x:table xmlns:x="http://schemas.openxmlformats.org/spreadsheetml/2006/main" id="3" name="CasosPruebaTable" displayName="CasosPruebaTable" ref="A4:U254" headerRowCount="1">
  <x:tableColumns count="21">
    <x:tableColumn id="1" name="Test ID"/>
    <x:tableColumn id="2" name="Sistema"/>
    <x:tableColumn id="3" name="Subsistema"/>
    <x:tableColumn id="4" name="Requirement ID"/>
    <x:tableColumn id="5" name="Título"/>
    <x:tableColumn id="6" name="Objetivo"/>
    <x:tableColumn id="7" name="Precondiciones"/>
    <x:tableColumn id="8" name="Datos"/>
    <x:tableColumn id="9" name="Pasos"/>
    <x:tableColumn id="10" name="Resultado esperado"/>
    <x:tableColumn id="11" name="Tipo"/>
    <x:tableColumn id="12" name="Nivel"/>
    <x:tableColumn id="13" name="Prioridad"/>
    <x:tableColumn id="14" name="Severidad potencial"/>
    <x:tableColumn id="15" name="Automatización"/>
    <x:tableColumn id="16" name="Escena"/>
    <x:tableColumn id="17" name="Sprint/Gate"/>
    <x:tableColumn id="18" name="Estado diseño"/>
    <x:tableColumn id="19" name="Owner"/>
    <x:tableColumn id="20" name="Fuente"/>
    <x:tableColumn id="21" name="Etiquetas"/>
  </x:tableColumns>
  <x:tableStyleInfo name="TableStyleMedium2" showRowStripes="1"/>
</x:table>
</file>

<file path=xl/tables/table3.xml><?xml version="1.0" encoding="utf-8"?>
<x:table xmlns:x="http://schemas.openxmlformats.org/spreadsheetml/2006/main" id="4" name="GoldenPathTable" displayName="GoldenPathTable" ref="A4:L49" headerRowCount="1">
  <x:tableColumns count="12">
    <x:tableColumn id="1" name="Step ID"/>
    <x:tableColumn id="2" name="Campaña"/>
    <x:tableColumn id="3" name="Día"/>
    <x:tableColumn id="4" name="Fase"/>
    <x:tableColumn id="5" name="Acción"/>
    <x:tableColumn id="6" name="Resultado esperado"/>
    <x:tableColumn id="7" name="Test IDs"/>
    <x:tableColumn id="8" name="Datos"/>
    <x:tableColumn id="9" name="Evidencia"/>
    <x:tableColumn id="10" name="Gate"/>
    <x:tableColumn id="11" name="Owner"/>
    <x:tableColumn id="12" name="Estado"/>
  </x:tableColumns>
  <x:tableStyleInfo name="TableStyleMedium2" showRowStripes="1"/>
</x:table>
</file>

<file path=xl/tables/table4.xml><?xml version="1.0" encoding="utf-8"?>
<x:table xmlns:x="http://schemas.openxmlformats.org/spreadsheetml/2006/main" id="5" name="PersistenciaTable" displayName="PersistenciaTable" ref="A4:O27" headerRowCount="1">
  <x:tableColumns count="15">
    <x:tableColumn id="1" name="Test ID"/>
    <x:tableColumn id="2" name="Requirement ID"/>
    <x:tableColumn id="3" name="Área de estado"/>
    <x:tableColumn id="4" name="Título"/>
    <x:tableColumn id="5" name="Precondiciones"/>
    <x:tableColumn id="6" name="Variante/Fallo"/>
    <x:tableColumn id="7" name="Resultado esperado"/>
    <x:tableColumn id="8" name="Nivel"/>
    <x:tableColumn id="9" name="Prioridad"/>
    <x:tableColumn id="10" name="Severidad"/>
    <x:tableColumn id="11" name="Automatización"/>
    <x:tableColumn id="12" name="Build"/>
    <x:tableColumn id="13" name="Resultado"/>
    <x:tableColumn id="14" name="Evidencia"/>
    <x:tableColumn id="15" name="Notas"/>
  </x:tableColumns>
  <x:tableStyleInfo name="TableStyleMedium2" showRowStripes="1"/>
</x:table>
</file>

<file path=xl/tables/table5.xml><?xml version="1.0" encoding="utf-8"?>
<x:table xmlns:x="http://schemas.openxmlformats.org/spreadsheetml/2006/main" id="6" name="SistemasTable" displayName="SistemasTable" ref="A4:J41" headerRowCount="1">
  <x:tableColumns count="10">
    <x:tableColumn id="1" name="Sistema"/>
    <x:tableColumn id="2" name="Requisitos"/>
    <x:tableColumn id="3" name="Casos"/>
    <x:tableColumn id="4" name="Casos P0"/>
    <x:tableColumn id="5" name="Casos automatizables"/>
    <x:tableColumn id="6" name="Defectos abiertos"/>
    <x:tableColumn id="7" name="Cobertura de diseño"/>
    <x:tableColumn id="8" name="Último resultado"/>
    <x:tableColumn id="9" name="Owner"/>
    <x:tableColumn id="10" name="Notas"/>
  </x:tableColumns>
  <x:tableStyleInfo name="TableStyleMedium2" showRowStripes="1"/>
</x:table>
</file>

<file path=xl/tables/table6.xml><?xml version="1.0" encoding="utf-8"?>
<x:table xmlns:x="http://schemas.openxmlformats.org/spreadsheetml/2006/main" id="7" name="UXAccessibilityTable" displayName="UXAccessibilityTable" ref="A4:O91" headerRowCount="1">
  <x:tableColumns count="15">
    <x:tableColumn id="1" name="Test ID"/>
    <x:tableColumn id="2" name="Requirement ID"/>
    <x:tableColumn id="3" name="Sistema"/>
    <x:tableColumn id="4" name="Título"/>
    <x:tableColumn id="5" name="Precondiciones"/>
    <x:tableColumn id="6" name="Pasos"/>
    <x:tableColumn id="7" name="Resultado esperado"/>
    <x:tableColumn id="8" name="Prioridad"/>
    <x:tableColumn id="9" name="Severidad"/>
    <x:tableColumn id="10" name="Nivel"/>
    <x:tableColumn id="11" name="Automatización"/>
    <x:tableColumn id="12" name="Resolución/Idioma"/>
    <x:tableColumn id="13" name="Build"/>
    <x:tableColumn id="14" name="Resultado"/>
    <x:tableColumn id="15" name="Evidencia"/>
  </x:tableColumns>
  <x:tableStyleInfo name="TableStyleMedium2" showRowStripes="1"/>
</x:table>
</file>

<file path=xl/tables/table7.xml><?xml version="1.0" encoding="utf-8"?>
<x:table xmlns:x="http://schemas.openxmlformats.org/spreadsheetml/2006/main" id="8" name="SceneContentTable" displayName="SceneContentTable" ref="A4:N49" headerRowCount="1">
  <x:tableColumns count="14">
    <x:tableColumn id="1" name="Item ID"/>
    <x:tableColumn id="2" name="Categoría"/>
    <x:tableColumn id="3" name="Elemento"/>
    <x:tableColumn id="4" name="Criterio"/>
    <x:tableColumn id="5" name="Referencia/Anchor"/>
    <x:tableColumn id="6" name="Test IDs"/>
    <x:tableColumn id="7" name="Prioridad"/>
    <x:tableColumn id="8" name="Severidad"/>
    <x:tableColumn id="9" name="Owner"/>
    <x:tableColumn id="10" name="Estado"/>
    <x:tableColumn id="11" name="Defecto"/>
    <x:tableColumn id="12" name="Evidencia"/>
    <x:tableColumn id="13" name="Build"/>
    <x:tableColumn id="14" name="Notas"/>
  </x:tableColumns>
  <x:tableStyleInfo name="TableStyleMedium2" showRowStripes="1"/>
</x:table>
</file>

<file path=xl/tables/table8.xml><?xml version="1.0" encoding="utf-8"?>
<x:table xmlns:x="http://schemas.openxmlformats.org/spreadsheetml/2006/main" id="9" name="PerformanceTable" displayName="PerformanceTable" ref="A4:R42" headerRowCount="1">
  <x:tableColumns count="18">
    <x:tableColumn id="1" name="Perf ID"/>
    <x:tableColumn id="2" name="Test ID"/>
    <x:tableColumn id="3" name="Escenario"/>
    <x:tableColumn id="4" name="Build"/>
    <x:tableColumn id="5" name="Hardware"/>
    <x:tableColumn id="6" name="Resolución"/>
    <x:tableColumn id="7" name="Calidad"/>
    <x:tableColumn id="8" name="Duración min"/>
    <x:tableColumn id="9" name="Objetivo FPS"/>
    <x:tableColumn id="10" name="FPS medio"/>
    <x:tableColumn id="11" name="1% low"/>
    <x:tableColumn id="12" name="CPU ms"/>
    <x:tableColumn id="13" name="GPU ms"/>
    <x:tableColumn id="14" name="Memoria MB"/>
    <x:tableColumn id="15" name="GC alloc/frame"/>
    <x:tableColumn id="16" name="Resultado"/>
    <x:tableColumn id="17" name="Evidencia"/>
    <x:tableColumn id="18" name="Notas"/>
  </x:tableColumns>
  <x:tableStyleInfo name="TableStyleMedium2" showRowStripes="1"/>
</x:table>
</file>

<file path=xl/tables/table9.xml><?xml version="1.0" encoding="utf-8"?>
<x:table xmlns:x="http://schemas.openxmlformats.org/spreadsheetml/2006/main" id="10" name="BuildsTable" displayName="BuildsTable" ref="A4:K15" headerRowCount="1">
  <x:tableColumns count="11">
    <x:tableColumn id="1" name="Build ID"/>
    <x:tableColumn id="2" name="Versión"/>
    <x:tableColumn id="3" name="SHA/Commit"/>
    <x:tableColumn id="4" name="Plataforma"/>
    <x:tableColumn id="5" name="Tipo"/>
    <x:tableColumn id="6" name="Sprint/Hito"/>
    <x:tableColumn id="7" name="Resultado"/>
    <x:tableColumn id="8" name="Alcance validado"/>
    <x:tableColumn id="9" name="Player.log"/>
    <x:tableColumn id="10" name="Evidencia"/>
    <x:tableColumn id="11" name="Estado"/>
  </x:tableColumns>
  <x:tableStyleInfo name="TableStyleMedium2" showRowStripes="1"/>
</x:table>
</file>

<file path=xl/tables/table10.xml><?xml version="1.0" encoding="utf-8"?>
<x:table xmlns:x="http://schemas.openxmlformats.org/spreadsheetml/2006/main" id="11" name="EjecucionesTable" displayName="EjecucionesTable" ref="A4:N521" headerRowCount="1">
  <x:tableColumns count="14">
    <x:tableColumn id="1" name="Execution ID"/>
    <x:tableColumn id="2" name="Fecha"/>
    <x:tableColumn id="3" name="Build ID"/>
    <x:tableColumn id="4" name="Sprint/Campaña"/>
    <x:tableColumn id="5" name="Test ID"/>
    <x:tableColumn id="6" name="Requirement ID"/>
    <x:tableColumn id="7" name="Nivel"/>
    <x:tableColumn id="8" name="Entorno"/>
    <x:tableColumn id="9" name="Resultado"/>
    <x:tableColumn id="10" name="Defecto ID"/>
    <x:tableColumn id="11" name="Evidencia"/>
    <x:tableColumn id="12" name="Responsable"/>
    <x:tableColumn id="13" name="Duración min"/>
    <x:tableColumn id="14" name="Notas"/>
  </x:tableColumns>
  <x:tableStyleInfo name="TableStyleMedium2" showRowStripes="1"/>
</x:table>
</file>

<file path=xl/tables/table11.xml><?xml version="1.0" encoding="utf-8"?>
<x:table xmlns:x="http://schemas.openxmlformats.org/spreadsheetml/2006/main" id="12" name="DefectosTable" displayName="DefectosTable" ref="A4:J13" headerRowCount="1">
  <x:tableColumns count="10">
    <x:tableColumn id="1" name="Defect ID"/>
    <x:tableColumn id="2" name="Severidad"/>
    <x:tableColumn id="3" name="Sistema"/>
    <x:tableColumn id="4" name="Descripción"/>
    <x:tableColumn id="5" name="Estado"/>
    <x:tableColumn id="6" name="Resolución/Acción"/>
    <x:tableColumn id="7" name="Sprint objetivo"/>
    <x:tableColumn id="8" name="Owner"/>
    <x:tableColumn id="9" name="SHA/Build"/>
    <x:tableColumn id="10" name="Notas"/>
  </x:tableColumns>
  <x:tableStyleInfo name="TableStyleMedium2" showRowStripes="1"/>
</x:table>
</file>

<file path=xl/tables/table12.xml><?xml version="1.0" encoding="utf-8"?>
<x:table xmlns:x="http://schemas.openxmlformats.org/spreadsheetml/2006/main" id="13" name="CoberturaTable" displayName="CoberturaTable" ref="A4:L177" headerRowCount="1">
  <x:tableColumns count="12">
    <x:tableColumn id="1" name="Requirement ID"/>
    <x:tableColumn id="2" name="Sistema"/>
    <x:tableColumn id="3" name="Prioridad"/>
    <x:tableColumn id="4" name="Gate"/>
    <x:tableColumn id="5" name="Requisito"/>
    <x:tableColumn id="6" name="Casos vinculados"/>
    <x:tableColumn id="7" name="Casos Ready"/>
    <x:tableColumn id="8" name="Ejecuciones"/>
    <x:tableColumn id="9" name="PASS"/>
    <x:tableColumn id="10" name="FAIL/BLOCKED"/>
    <x:tableColumn id="11" name="Cobertura"/>
    <x:tableColumn id="12" name="Observación"/>
  </x:tableColumns>
  <x:tableStyleInfo name="TableStyleMedium2" showRowStripes="1"/>
</x:table>
</file>

<file path=xl/tables/table13.xml><?xml version="1.0" encoding="utf-8"?>
<x:table xmlns:x="http://schemas.openxmlformats.org/spreadsheetml/2006/main" id="14" name="GatesTable" displayName="GatesTable" ref="A4:J27" headerRowCount="1">
  <x:tableColumns count="10">
    <x:tableColumn id="1" name="Gate"/>
    <x:tableColumn id="2" name="Criterion ID"/>
    <x:tableColumn id="3" name="Criterio"/>
    <x:tableColumn id="4" name="Requirement/Source"/>
    <x:tableColumn id="5" name="Resultado requerido"/>
    <x:tableColumn id="6" name="Estado actual"/>
    <x:tableColumn id="7" name="Defectos bloqueantes"/>
    <x:tableColumn id="8" name="Evidencia"/>
    <x:tableColumn id="9" name="Owner"/>
    <x:tableColumn id="10" name="Decisión/Notas"/>
  </x:tableColumns>
  <x:tableStyleInfo name="TableStyleMedium2" showRowStripes="1"/>
</x:table>
</file>

<file path=xl/tables/table14.xml><?xml version="1.0" encoding="utf-8"?>
<x:table xmlns:x="http://schemas.openxmlformats.org/spreadsheetml/2006/main" id="1" name="CatalogosTable" displayName="CatalogosTable" ref="A4:N14" headerRowCount="1">
  <x:tableColumns count="14">
    <x:tableColumn id="1" name="Resultado"/>
    <x:tableColumn id="2" name="Prioridad"/>
    <x:tableColumn id="3" name="Severidad"/>
    <x:tableColumn id="4" name="Estado requisito"/>
    <x:tableColumn id="5" name="Estado diseño"/>
    <x:tableColumn id="6" name="Automatización"/>
    <x:tableColumn id="7" name="Estado defecto"/>
    <x:tableColumn id="8" name="Estado gate"/>
    <x:tableColumn id="9" name="Plataforma"/>
    <x:tableColumn id="10" name="Build type"/>
    <x:tableColumn id="11" name="Owner"/>
    <x:tableColumn id="12" name="Evidencia"/>
    <x:tableColumn id="13" name="Nivel"/>
    <x:tableColumn id="14" name="Tipo"/>
  </x:tableColumns>
  <x:tableStyleInfo name="TableStyleMedium2" showRowStripes="1"/>
</x:table>
</file>

<file path=xl/tables/table15.xml><?xml version="1.0" encoding="utf-8"?>
<x:table xmlns:x="http://schemas.openxmlformats.org/spreadsheetml/2006/main" id="15" name="TrazabilidadTable" displayName="TrazabilidadTable" ref="A4:G136" headerRowCount="1">
  <x:tableColumns count="7">
    <x:tableColumn id="1" name="Fuente"/>
    <x:tableColumn id="2" name="Tipo"/>
    <x:tableColumn id="3" name="Versión/Fecha"/>
    <x:tableColumn id="4" name="SHA-256"/>
    <x:tableColumn id="5" name="Autoridad"/>
    <x:tableColumn id="6" name="Uso en la matriz"/>
    <x:tableColumn id="7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a0550d73b5f4b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862fb55f4f24a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6357cb5ef8740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d55a60577a243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eaaeb25de2646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fd5a7181e2342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a80b0c816294a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64cc5c74bb44f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d3a181e68664f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e62c1c20784ce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7973d1ef0c542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5909986313444d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5defa2bde1bf4a0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f48ae728d3148e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7007934824804ec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9c1e5af6cbb14bf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6" t="str">
        <x:v>08_QA_Testing_Matrix.xlsx</x:v>
      </x:c>
      <x:c r="B1" s="36"/>
      <x:c r="C1" s="36"/>
      <x:c r="D1" s="36"/>
      <x:c r="E1" s="36"/>
      <x:c r="F1" s="36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Matriz operativa consolidada — fuente vigente para planificación, ejecución y gates QA</x:v>
      </x:c>
      <x:c r="B2" s="10"/>
      <x:c r="C2" s="10"/>
      <x:c r="D2" s="10"/>
      <x:c r="E2" s="10"/>
      <x:c r="F2" s="10"/>
    </x:row>
    <x:row r="4" ht="34" customHeight="1">
      <x:c r="A4" s="17" t="str">
        <x:v>Campo</x:v>
      </x:c>
      <x:c r="B4" s="17" t="str">
        <x:v>Descripción</x:v>
      </x:c>
    </x:row>
    <x:row r="5">
      <x:c r="A5" s="24" t="str">
        <x:v>Propósito</x:v>
      </x:c>
      <x:c r="B5" s="24" t="str">
        <x:v>Centralizar requisitos, casos, ejecuciones, defectos, builds, cobertura y gates.</x:v>
      </x:c>
    </x:row>
    <x:row r="6">
      <x:c r="A6" s="24" t="str">
        <x:v>Baseline</x:v>
      </x:c>
      <x:c r="B6" s="24" t="str">
        <x:v>Documentos consolidados 00–07 y registros históricos de QA.</x:v>
      </x:c>
    </x:row>
    <x:row r="7">
      <x:c r="A7" s="24" t="str">
        <x:v>Fecha de consolidación</x:v>
      </x:c>
      <x:c r="B7" s="24" t="str">
        <x:v>2026-07-01</x:v>
      </x:c>
    </x:row>
    <x:row r="8">
      <x:c r="A8" s="24" t="str">
        <x:v>Editor objetivo</x:v>
      </x:c>
      <x:c r="B8" s="24" t="str">
        <x:v>Unity 6.3 LTS 6000.3.18f1 / URP 17.3.0</x:v>
      </x:c>
    </x:row>
    <x:row r="9">
      <x:c r="A9" s="24" t="str">
        <x:v>Estado actual</x:v>
      </x:c>
      <x:c r="B9" s="24" t="str">
        <x:v>Sprints 0–15 CLOSED/PASS; Sprint 16 IN PROGRESS; Sprint 17 PENDING.</x:v>
      </x:c>
    </x:row>
    <x:row r="10">
      <x:c r="A10" s="24" t="str">
        <x:v>Suite documentada</x:v>
      </x:c>
      <x:c r="B10" s="24" t="str">
        <x:v>1215 EditMode + 70 PlayMode = 1285 PASS en baseline v0.6.</x:v>
      </x:c>
    </x:row>
    <x:row r="11">
      <x:c r="A11" s="24" t="str">
        <x:v>Uso recomendado</x:v>
      </x:c>
      <x:c r="B11" s="24" t="str">
        <x:v>Filtrar por Prioridad, Gate, Sistema y Resultado. Registrar toda ejecución con build, entorno y evidencia.</x:v>
      </x:c>
    </x:row>
    <x:row r="12">
      <x:c r="A12" s="24" t="str">
        <x:v>Regla PASS</x:v>
      </x:c>
      <x:c r="B12" s="24" t="str">
        <x:v>No marcar PASS sin resultado esperado verificado y evidencia suficiente.</x:v>
      </x:c>
    </x:row>
    <x:row r="13">
      <x:c r="A13" s="24" t="str">
        <x:v>Regla BLOCKED</x:v>
      </x:c>
      <x:c r="B13" s="24" t="str">
        <x:v>Registrar causa, defecto, owner y condición de desbloqueo.</x:v>
      </x:c>
    </x:row>
    <x:row r="14">
      <x:c r="A14" t="str">
        <x:v>Regla gate</x:v>
      </x:c>
      <x:c r="B14" t="str">
        <x:v>No aprobar con S0/S1 abiertos. S2 requiere resolución o aceptación formal.</x:v>
      </x:c>
    </x:row>
    <x:row r="15">
      <x:c r="A15" s="29" t="str">
        <x:v>Flujo operativo</x:v>
      </x:c>
      <x:c r="B15" s="29"/>
      <x:c r="C15" s="29"/>
      <x:c r="D15" s="29"/>
      <x:c r="E15" s="29"/>
      <x:c r="F15" s="29"/>
    </x:row>
    <x:row r="16">
      <x:c r="A16" s="24" t="str">
        <x:v>1</x:v>
      </x:c>
      <x:c r="B16" s="24" t="str">
        <x:v>Revisar 01_Resumen y 14_Gates.</x:v>
      </x:c>
    </x:row>
    <x:row r="17">
      <x:c r="A17" s="24" t="str">
        <x:v>2</x:v>
      </x:c>
      <x:c r="B17" s="24" t="str">
        <x:v>Seleccionar casos de 03_Casos_Prueba o índices temáticos.</x:v>
      </x:c>
    </x:row>
    <x:row r="18">
      <x:c r="A18" s="24" t="str">
        <x:v>3</x:v>
      </x:c>
      <x:c r="B18" s="24" t="str">
        <x:v>Crear/actualizar filas en 11_Ejecuciones.</x:v>
      </x:c>
    </x:row>
    <x:row r="19">
      <x:c r="A19" s="24" t="str">
        <x:v>4</x:v>
      </x:c>
      <x:c r="B19" s="24" t="str">
        <x:v>Registrar defectos en 12_Defectos.</x:v>
      </x:c>
    </x:row>
    <x:row r="20">
      <x:c r="A20" s="24" t="str">
        <x:v>5</x:v>
      </x:c>
      <x:c r="B20" s="24" t="str">
        <x:v>Comprobar 13_Cobertura y gates.</x:v>
      </x:c>
    </x:row>
    <x:row r="21">
      <x:c r="A21" s="24" t="str">
        <x:v>6</x:v>
      </x:c>
      <x:c r="B21" s="24" t="str">
        <x:v>Archivar build, SHA, Player.log y evidencia.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2" hidden="0" customWidth="1"/>
    <x:col min="5" max="5" width="20" hidden="0" customWidth="1"/>
    <x:col min="6" max="6" width="22" hidden="0" customWidth="1"/>
    <x:col min="7" max="7" width="20" hidden="0" customWidth="1"/>
  </x:cols>
  <x:sheetData>
    <x:row r="1" ht="28" customHeight="1">
      <x:c r="A1" s="36" t="str">
        <x:v>Dashboard QA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Estado consolidado de requisitos, casos, ejecuciones, defectos, cobertura y gates.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4" customHeight="1">
      <x:c r="A4" s="17" t="str">
        <x:v>KPI</x:v>
      </x:c>
      <x:c r="B4" s="17" t="str">
        <x:v>Valor</x:v>
      </x:c>
      <x:c r="D4" s="17" t="str">
        <x:v>Estado ejecutivo</x:v>
      </x:c>
      <x:c r="E4" s="17"/>
      <x:c r="F4" s="17"/>
      <x:c r="G4" s="17"/>
    </x:row>
    <x:row r="5">
      <x:c r="A5" s="24" t="str">
        <x:v>Requisitos activos</x:v>
      </x:c>
      <x:c r="B5" s="24" t="n">
        <x:f>COUNTIF('02_Requisitos'!$I$5:$I$177,"Activo")</x:f>
        <x:v>173</x:v>
      </x:c>
      <x:c r="D5" s="24" t="str">
        <x:v>Baseline</x:v>
      </x:c>
      <x:c r="E5" s="24" t="str">
        <x:v>v0.6 / 2026-07-01</x:v>
      </x:c>
      <x:c r="F5" s="24" t="str">
        <x:v>Aplicación</x:v>
      </x:c>
      <x:c r="G5" s="24" t="str">
        <x:v>0.0.21</x:v>
      </x:c>
    </x:row>
    <x:row r="6">
      <x:c r="A6" s="24" t="str">
        <x:v>Casos de prueba</x:v>
      </x:c>
      <x:c r="B6" s="24" t="n">
        <x:v>316</x:v>
      </x:c>
      <x:c r="D6" s="24" t="str">
        <x:v>Sprint 0–15</x:v>
      </x:c>
      <x:c r="E6" s="24" t="str">
        <x:v>CLOSED / PASS</x:v>
      </x:c>
      <x:c r="F6" s="24" t="str">
        <x:v>Sprint 16</x:v>
      </x:c>
      <x:c r="G6" s="24" t="str">
        <x:v>COMPLETED / PASS</x:v>
      </x:c>
    </x:row>
    <x:row r="7">
      <x:c r="A7" s="24" t="str">
        <x:v>Casos P0</x:v>
      </x:c>
      <x:c r="B7" s="24" t="n">
        <x:f>COUNTIF('03_Casos_Prueba'!$M$5:$M$254,"P0")</x:f>
        <x:v>97</x:v>
      </x:c>
      <x:c r="D7" s="24" t="str">
        <x:v>Sprint17_Phase1</x:v>
      </x:c>
      <x:c r="E7" s="24" t="str">
        <x:v>BLOCKED / REMEDIATION REQUIRED</x:v>
      </x:c>
      <x:c r="F7" s="24" t="str">
        <x:v>Gate H6</x:v>
      </x:c>
      <x:c r="G7" s="24" t="str">
        <x:v>BLOCKED / NOT RUN</x:v>
      </x:c>
    </x:row>
    <x:row r="8">
      <x:c r="A8" s="24" t="str">
        <x:v>Ejecuciones PASS</x:v>
      </x:c>
      <x:c r="B8" s="24" t="n">
        <x:f>COUNTIF('11_Ejecuciones'!$I$5:$I$521,"PASS")+COUNTIF('11_Ejecuciones'!$I$5:$I$521,"Baseline PASS")</x:f>
        <x:v>247</x:v>
      </x:c>
      <x:c r="D8" s="24" t="str">
        <x:v>EditMode</x:v>
      </x:c>
      <x:c r="E8" s="24" t="str">
        <x:v>1215 PASS</x:v>
      </x:c>
      <x:c r="F8" s="24" t="str">
        <x:v>PlayMode</x:v>
      </x:c>
      <x:c r="G8" s="24" t="str">
        <x:v>70 PASS</x:v>
      </x:c>
    </x:row>
    <x:row r="9">
      <x:c r="A9" s="24" t="str">
        <x:v>Ejecuciones FAIL</x:v>
      </x:c>
      <x:c r="B9" s="24" t="n">
        <x:f>COUNTIF('11_Ejecuciones'!$I$5:$I$521,"FAIL")</x:f>
        <x:v>0</x:v>
      </x:c>
      <x:c r="D9" s="24" t="str">
        <x:v>Total automatizado</x:v>
      </x:c>
      <x:c r="E9" s="24" t="str">
        <x:v>1285 PASS</x:v>
      </x:c>
      <x:c r="F9" s="24" t="str">
        <x:v>StoreInitial visual</x:v>
      </x:c>
      <x:c r="G9" s="24" t="str">
        <x:v>OPEN</x:v>
      </x:c>
    </x:row>
    <x:row r="10">
      <x:c r="A10" s="24" t="str">
        <x:v>Ejecuciones BLOCKED</x:v>
      </x:c>
      <x:c r="B10" s="24" t="n">
        <x:f>COUNTIF('11_Ejecuciones'!$I$5:$I$521,"BLOCKED")</x:f>
        <x:v>0</x:v>
      </x:c>
    </x:row>
    <x:row r="11">
      <x:c r="A11" s="24" t="str">
        <x:v>Defectos abiertos</x:v>
      </x:c>
      <x:c r="B11" s="24" t="n">
        <x:f>COUNTIF('12_Defectos'!$E$5:$E$13,"Open")+COUNTIF('12_Defectos'!$E$5:$E$13,"In Progress")</x:f>
        <x:v>5</x:v>
      </x:c>
    </x:row>
    <x:row r="12">
      <x:c r="A12" s="24" t="str">
        <x:v>S0/S1 abiertos</x:v>
      </x:c>
      <x:c r="B12" s="24" t="n">
        <x:f>COUNTIFS('12_Defectos'!$B$5:$B$13,"S0",'12_Defectos'!$E$5:$E$13,"&lt;&gt;Closed")+COUNTIFS('12_Defectos'!$B$5:$B$13,"S1",'12_Defectos'!$E$5:$E$13,"&lt;&gt;Closed")</x:f>
        <x:v>3</x:v>
      </x:c>
      <x:c r="D12" s="17" t="str">
        <x:v>Prioridad</x:v>
      </x:c>
      <x:c r="E12" s="17" t="str">
        <x:v>Casos</x:v>
      </x:c>
      <x:c r="G12" s="17" t="str">
        <x:v>Severidad</x:v>
      </x:c>
      <x:c r="H12" s="17" t="str">
        <x:v>Defectos abiertos</x:v>
      </x:c>
    </x:row>
    <x:row r="13">
      <x:c r="A13" s="24" t="str">
        <x:v>Requisitos con casos</x:v>
      </x:c>
      <x:c r="B13" s="24" t="n">
        <x:f>COUNTIF('13_Cobertura'!$F$5:$F$177,"&gt;0")</x:f>
        <x:v>173</x:v>
      </x:c>
      <x:c r="D13" t="str">
        <x:v>P0</x:v>
      </x:c>
      <x:c r="E13" t="n">
        <x:f>COUNTIF('03_Casos_Prueba'!$M$5:$M$254,D13)</x:f>
        <x:v>97</x:v>
      </x:c>
      <x:c r="G13" t="str">
        <x:v>S0</x:v>
      </x:c>
      <x:c r="H13" t="n">
        <x:f>COUNTIFS('12_Defectos'!$B$5:$B$13,G13,'12_Defectos'!$E$5:$E$13,"&lt;&gt;Closed")</x:f>
        <x:v>0</x:v>
      </x:c>
    </x:row>
    <x:row r="14">
      <x:c r="A14" s="24" t="str">
        <x:v>Cobertura de diseño</x:v>
      </x:c>
      <x:c r="B14" s="32" t="n">
        <x:f>COUNTIF('13_Cobertura'!$F$5:$F$177,"&gt;0")/COUNTA('13_Cobertura'!$A$5:$A$177)</x:f>
        <x:v>1</x:v>
      </x:c>
      <x:c r="D14" t="str">
        <x:v>P1</x:v>
      </x:c>
      <x:c r="E14" t="n">
        <x:f>COUNTIF('03_Casos_Prueba'!$M$5:$M$254,D14)</x:f>
        <x:v>103</x:v>
      </x:c>
      <x:c r="G14" t="str">
        <x:v>S1</x:v>
      </x:c>
      <x:c r="H14" t="n">
        <x:f>COUNTIFS('12_Defectos'!$B$5:$B$13,G14,'12_Defectos'!$E$5:$E$13,"&lt;&gt;Closed")</x:f>
        <x:v>3</x:v>
      </x:c>
    </x:row>
    <x:row r="15">
      <x:c r="A15" s="24" t="str">
        <x:v>Gates PASS</x:v>
      </x:c>
      <x:c r="B15" s="24" t="n">
        <x:f>COUNTIF('14_Gates'!$F$5:$F$27,"PASS")</x:f>
        <x:v>2</x:v>
      </x:c>
      <x:c r="D15" t="str">
        <x:v>P2</x:v>
      </x:c>
      <x:c r="E15" t="n">
        <x:f>COUNTIF('03_Casos_Prueba'!$M$5:$M$254,D15)</x:f>
        <x:v>50</x:v>
      </x:c>
      <x:c r="G15" t="str">
        <x:v>S2</x:v>
      </x:c>
      <x:c r="H15" t="n">
        <x:f>COUNTIFS('12_Defectos'!$B$5:$B$13,G15,'12_Defectos'!$E$5:$E$13,"&lt;&gt;Closed")</x:f>
        <x:v>2</x:v>
      </x:c>
    </x:row>
    <x:row r="16">
      <x:c r="A16" s="24" t="str">
        <x:v>Gates OPEN/PENDING</x:v>
      </x:c>
      <x:c r="B16" s="24" t="n">
        <x:f>COUNTIF('14_Gates'!$F$5:$F$27,"OPEN")+COUNTIF('14_Gates'!$F$5:$F$27,"PENDING")</x:f>
        <x:v>16</x:v>
      </x:c>
      <x:c r="D16" t="str">
        <x:v>P3</x:v>
      </x:c>
      <x:c r="E16" t="n">
        <x:f>COUNTIF('03_Casos_Prueba'!$M$5:$M$254,D16)</x:f>
        <x:v>0</x:v>
      </x:c>
      <x:c r="G16" t="str">
        <x:v>S3</x:v>
      </x:c>
      <x:c r="H16" t="n">
        <x:f>COUNTIFS('12_Defectos'!$B$5:$B$13,G16,'12_Defectos'!$E$5:$E$13,"&lt;&gt;Closed")</x:f>
        <x:v>1</x:v>
      </x:c>
    </x:row>
    <x:row r="17">
      <x:c r="D17" t="str">
        <x:v>P4</x:v>
      </x:c>
      <x:c r="E17" t="n">
        <x:f>COUNTIF('03_Casos_Prueba'!$M$5:$M$254,D17)</x:f>
        <x:v>0</x:v>
      </x:c>
      <x:c r="G17" t="str">
        <x:v>S4</x:v>
      </x:c>
      <x:c r="H17" t="n">
        <x:f>COUNTIFS('12_Defectos'!$B$5:$B$13,G17,'12_Defectos'!$E$5:$E$13,"&lt;&gt;Closed")</x:f>
        <x:v>0</x:v>
      </x:c>
    </x:row>
    <x:row r="18">
      <x:c r="A18" s="44" t="str">
        <x:v>Actualización W0</x:v>
      </x:c>
      <x:c r="B18" s="44"/>
      <x:c r="C18" s="44"/>
      <x:c r="D18" s="44"/>
      <x:c r="E18" s="44"/>
      <x:c r="F18" s="44"/>
      <x:c r="G18" s="44"/>
      <x:c r="H18" s="44"/>
    </x:row>
    <x:row r="19">
      <x:c r="A19" s="41" t="str">
        <x:v>Caracterización definida</x:v>
      </x:c>
      <x:c r="B19" s="41" t="n">
        <x:v>66</x:v>
      </x:c>
      <x:c r="C19" s="41" t="str">
        <x:v>Ejecuciones</x:v>
      </x:c>
      <x:c r="D19" s="41" t="str">
        <x:v>NOT RUN</x:v>
      </x:c>
      <x:c r="E19" s="41" t="str">
        <x:v>Decisiones abiertas</x:v>
      </x:c>
      <x:c r="F19" s="41" t="n">
        <x:v>0</x:v>
      </x:c>
      <x:c r="G19" s="41" t="str">
        <x:v>Vertical Slice</x:v>
      </x:c>
      <x:c r="H19" s="41" t="str">
        <x:v>NOT ACCEPTED</x:v>
      </x:c>
    </x:row>
    <x:row r="20">
      <x:c r="A20" s="41" t="str">
        <x:v>Baseline</x:v>
      </x:c>
      <x:c r="B20" s="41" t="str">
        <x:v>efbc1a885a1d6819f764ec8cff8a465ad1986661</x:v>
      </x:c>
      <x:c r="C20" s="41" t="str">
        <x:v>W1-W7</x:v>
      </x:c>
      <x:c r="D20" s="41" t="str">
        <x:v>NOT STARTED</x:v>
      </x:c>
      <x:c r="E20" s="41" t="str">
        <x:v>W8</x:v>
      </x:c>
      <x:c r="F20" s="41" t="str">
        <x:v>NOT RUN</x:v>
      </x:c>
      <x:c r="G20" s="41" t="str">
        <x:v>Fecha</x:v>
      </x:c>
      <x:c r="H20" s="41" t="str">
        <x:v>2026-07-07</x:v>
      </x:c>
    </x:row>
    <x:row r="21">
      <x:c r="A21" s="41" t="str">
        <x:v>Regla</x:v>
      </x:c>
      <x:c r="B21" s="41" t="str">
        <x:v>La definición documental no equivale a PASS; ejecutar cada grupo antes de la ola.</x:v>
      </x:c>
      <x:c r="C21" s="41"/>
      <x:c r="D21" s="41"/>
      <x:c r="E21" s="41"/>
      <x:c r="F21" s="41"/>
      <x:c r="G21" s="41"/>
      <x:c r="H21" s="41"/>
    </x:row>
  </x:sheetData>
  <x:mergeCells>
    <x:mergeCell ref="A1:N1"/>
    <x:mergeCell ref="A2:N2"/>
    <x:mergeCell ref="D4:G4"/>
  </x:mergeCells>
  <x:pageMargins left="0.7" right="0.7" top="0.75" bottom="0.75" header="0.3" footer="0.3"/>
  <x:drawing xmlns:r="http://schemas.openxmlformats.org/officeDocument/2006/relationships" r:id="R4a0550d73b5f4bd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4" hidden="0" customWidth="1"/>
    <x:col min="4" max="4" width="24" hidden="0" customWidth="1"/>
    <x:col min="5" max="5" width="60" hidden="0" customWidth="1"/>
    <x:col min="6" max="6" width="42" hidden="0" customWidth="1"/>
    <x:col min="7" max="7" width="10" hidden="0" customWidth="1"/>
    <x:col min="8" max="8" width="20" hidden="0" customWidth="1"/>
    <x:col min="9" max="9" width="12" hidden="0" customWidth="1"/>
    <x:col min="10" max="10" width="18" hidden="0" customWidth="1"/>
    <x:col min="11" max="11" width="22" hidden="0" customWidth="1"/>
  </x:cols>
  <x:sheetData>
    <x:row r="1" ht="28" customHeight="1">
      <x:c r="A1" s="36" t="str">
        <x:v>Requisitos trazables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Criterios vigentes derivados de Vertical Slice, UX, datos, arquitectura, QA y producción.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4" customHeight="1">
      <x:c r="A4" s="17" t="str">
        <x:v>Requirement ID</x:v>
      </x:c>
      <x:c r="B4" s="17" t="str">
        <x:v>Documento</x:v>
      </x:c>
      <x:c r="C4" s="17" t="str">
        <x:v>Sección</x:v>
      </x:c>
      <x:c r="D4" s="17" t="str">
        <x:v>Sistema</x:v>
      </x:c>
      <x:c r="E4" s="17" t="str">
        <x:v>Requisito</x:v>
      </x:c>
      <x:c r="F4" s="17" t="str">
        <x:v>Evidencia esperada</x:v>
      </x:c>
      <x:c r="G4" s="17" t="str">
        <x:v>Prioridad</x:v>
      </x:c>
      <x:c r="H4" s="17" t="str">
        <x:v>Gate</x:v>
      </x:c>
      <x:c r="I4" s="17" t="str">
        <x:v>Estado</x:v>
      </x:c>
      <x:c r="J4" s="17" t="str">
        <x:v>Owner</x:v>
      </x:c>
      <x:c r="K4" s="17" t="str">
        <x:v>Tipo</x:v>
      </x:c>
    </x:row>
    <x:row r="5" ht="38" customHeight="1">
      <x:c r="A5" s="24" t="str">
        <x:v>VS-APP-001</x:v>
      </x:c>
      <x:c r="B5" s="24" t="str">
        <x:v>02_Vertical_Slice_Specification.md</x:v>
      </x:c>
      <x:c r="C5" s="24" t="str">
        <x:v>7. Registro de criterios de aceptación</x:v>
      </x:c>
      <x:c r="D5" s="24" t="str">
        <x:v>Aplicación y sesión</x:v>
      </x:c>
      <x:c r="E5" s="24" t="str">
        <x:v>Bootstrap inicia y alcanza menú sin excepción bloqueante.</x:v>
      </x:c>
      <x:c r="F5" s="24" t="str">
        <x:v>Build/Editor, log y captura.</x:v>
      </x:c>
      <x:c r="G5" s="24" t="str">
        <x:v>P0</x:v>
      </x:c>
      <x:c r="H5" s="24" t="str">
        <x:v>H6 / Vertical Slice</x:v>
      </x:c>
      <x:c r="I5" s="24" t="str">
        <x:v>Activo</x:v>
      </x:c>
      <x:c r="J5" s="24" t="str">
        <x:v>VRM Games</x:v>
      </x:c>
      <x:c r="K5" s="24" t="str">
        <x:v>Criterio de aceptación</x:v>
      </x:c>
    </x:row>
    <x:row r="6" ht="38" customHeight="1">
      <x:c r="A6" s="24" t="str">
        <x:v>VS-APP-002</x:v>
      </x:c>
      <x:c r="B6" s="24" t="str">
        <x:v>02_Vertical_Slice_Specification.md</x:v>
      </x:c>
      <x:c r="C6" s="24" t="str">
        <x:v>7. Registro de criterios de aceptación</x:v>
      </x:c>
      <x:c r="D6" s="24" t="str">
        <x:v>Aplicación y sesión</x:v>
      </x:c>
      <x:c r="E6" s="24" t="str">
        <x:v>Nueva partida crea un slot válido una sola vez.</x:v>
      </x:c>
      <x:c r="F6" s="24" t="str">
        <x:v>Prueba manual y comparación de archivos.</x:v>
      </x:c>
      <x:c r="G6" s="24" t="str">
        <x:v>P0</x:v>
      </x:c>
      <x:c r="H6" s="24" t="str">
        <x:v>H6 / Vertical Slice</x:v>
      </x:c>
      <x:c r="I6" s="24" t="str">
        <x:v>Activo</x:v>
      </x:c>
      <x:c r="J6" s="24" t="str">
        <x:v>VRM Games</x:v>
      </x:c>
      <x:c r="K6" s="24" t="str">
        <x:v>Criterio de aceptación</x:v>
      </x:c>
    </x:row>
    <x:row r="7" ht="38" customHeight="1">
      <x:c r="A7" s="24" t="str">
        <x:v>VS-APP-003</x:v>
      </x:c>
      <x:c r="B7" s="24" t="str">
        <x:v>02_Vertical_Slice_Specification.md</x:v>
      </x:c>
      <x:c r="C7" s="24" t="str">
        <x:v>7. Registro de criterios de aceptación</x:v>
      </x:c>
      <x:c r="D7" s="24" t="str">
        <x:v>Aplicación y sesión</x:v>
      </x:c>
      <x:c r="E7" s="24" t="str">
        <x:v>Carga de slot entra en la sesión correcta sin duplicar inicialización.</x:v>
      </x:c>
      <x:c r="F7" s="24" t="str">
        <x:v>Golden Path y logs.</x:v>
      </x:c>
      <x:c r="G7" s="24" t="str">
        <x:v>P0</x:v>
      </x:c>
      <x:c r="H7" s="24" t="str">
        <x:v>H6 / Vertical Slice</x:v>
      </x:c>
      <x:c r="I7" s="24" t="str">
        <x:v>Activo</x:v>
      </x:c>
      <x:c r="J7" s="24" t="str">
        <x:v>VRM Games</x:v>
      </x:c>
      <x:c r="K7" s="24" t="str">
        <x:v>Criterio de aceptación</x:v>
      </x:c>
    </x:row>
    <x:row r="8" ht="38" customHeight="1">
      <x:c r="A8" s="24" t="str">
        <x:v>VS-APP-004</x:v>
      </x:c>
      <x:c r="B8" s="24" t="str">
        <x:v>02_Vertical_Slice_Specification.md</x:v>
      </x:c>
      <x:c r="C8" s="24" t="str">
        <x:v>7. Registro de criterios de aceptación</x:v>
      </x:c>
      <x:c r="D8" s="24" t="str">
        <x:v>Aplicación y sesión</x:v>
      </x:c>
      <x:c r="E8" s="24" t="str">
        <x:v>Volver al menú o salir no pierde un guardado confirmado.</x:v>
      </x:c>
      <x:c r="F8" s="24" t="str">
        <x:v>Prueba manual.</x:v>
      </x:c>
      <x:c r="G8" s="24" t="str">
        <x:v>P0</x:v>
      </x:c>
      <x:c r="H8" s="24" t="str">
        <x:v>H6 / Vertical Slice</x:v>
      </x:c>
      <x:c r="I8" s="24" t="str">
        <x:v>Activo</x:v>
      </x:c>
      <x:c r="J8" s="24" t="str">
        <x:v>VRM Games</x:v>
      </x:c>
      <x:c r="K8" s="24" t="str">
        <x:v>Criterio de aceptación</x:v>
      </x:c>
    </x:row>
    <x:row r="9" ht="38" customHeight="1">
      <x:c r="A9" s="24" t="str">
        <x:v>VS-SCN-001</x:v>
      </x:c>
      <x:c r="B9" s="24" t="str">
        <x:v>02_Vertical_Slice_Specification.md</x:v>
      </x:c>
      <x:c r="C9" s="24" t="str">
        <x:v>7. Registro de criterios de aceptación</x:v>
      </x:c>
      <x:c r="D9" s="24" t="str">
        <x:v>Escena y composición</x:v>
      </x:c>
      <x:c r="E9" s="24" t="str">
        <x:v>`StoreInitial.unity` carga con referencias obligatorias válidas.</x:v>
      </x:c>
      <x:c r="F9" s="24" t="str">
        <x:v>Validación de escena y log.</x:v>
      </x:c>
      <x:c r="G9" s="24" t="str">
        <x:v>P0</x:v>
      </x:c>
      <x:c r="H9" s="24" t="str">
        <x:v>H6 / Vertical Slice</x:v>
      </x:c>
      <x:c r="I9" s="24" t="str">
        <x:v>Activo</x:v>
      </x:c>
      <x:c r="J9" s="24" t="str">
        <x:v>VRM Games</x:v>
      </x:c>
      <x:c r="K9" s="24" t="str">
        <x:v>Criterio de aceptación</x:v>
      </x:c>
    </x:row>
    <x:row r="10" ht="38" customHeight="1">
      <x:c r="A10" s="24" t="str">
        <x:v>VS-SCN-002</x:v>
      </x:c>
      <x:c r="B10" s="24" t="str">
        <x:v>02_Vertical_Slice_Specification.md</x:v>
      </x:c>
      <x:c r="C10" s="24" t="str">
        <x:v>7. Registro de criterios de aceptación</x:v>
      </x:c>
      <x:c r="D10" s="24" t="str">
        <x:v>Escena y composición</x:v>
      </x:c>
      <x:c r="E10" s="24" t="str">
        <x:v>Arquitectura, puerta, zonas y mobiliario están colocados conforme al layout aprobado.</x:v>
      </x:c>
      <x:c r="F10" s="24" t="str">
        <x:v>Revisión visual y checklist.</x:v>
      </x:c>
      <x:c r="G10" s="24" t="str">
        <x:v>P0</x:v>
      </x:c>
      <x:c r="H10" s="24" t="str">
        <x:v>H6 / Vertical Slice</x:v>
      </x:c>
      <x:c r="I10" s="24" t="str">
        <x:v>Activo</x:v>
      </x:c>
      <x:c r="J10" s="24" t="str">
        <x:v>VRM Games</x:v>
      </x:c>
      <x:c r="K10" s="24" t="str">
        <x:v>Criterio de aceptación</x:v>
      </x:c>
    </x:row>
    <x:row r="11" ht="38" customHeight="1">
      <x:c r="A11" s="24" t="str">
        <x:v>VS-SCN-003</x:v>
      </x:c>
      <x:c r="B11" s="24" t="str">
        <x:v>02_Vertical_Slice_Specification.md</x:v>
      </x:c>
      <x:c r="C11" s="24" t="str">
        <x:v>7. Registro de criterios de aceptación</x:v>
      </x:c>
      <x:c r="D11" s="24" t="str">
        <x:v>Escena y composición</x:v>
      </x:c>
      <x:c r="E11" s="24" t="str">
        <x:v>No existen placeholders visibles no exceptuados.</x:v>
      </x:c>
      <x:c r="F11" s="24" t="str">
        <x:v>Capturas y revisión.</x:v>
      </x:c>
      <x:c r="G11" s="24" t="str">
        <x:v>P0</x:v>
      </x:c>
      <x:c r="H11" s="24" t="str">
        <x:v>H6 / Vertical Slice</x:v>
      </x:c>
      <x:c r="I11" s="24" t="str">
        <x:v>Activo</x:v>
      </x:c>
      <x:c r="J11" s="24" t="str">
        <x:v>VRM Games</x:v>
      </x:c>
      <x:c r="K11" s="24" t="str">
        <x:v>Criterio de aceptación</x:v>
      </x:c>
    </x:row>
    <x:row r="12" ht="38" customHeight="1">
      <x:c r="A12" s="24" t="str">
        <x:v>VS-SCN-004</x:v>
      </x:c>
      <x:c r="B12" s="24" t="str">
        <x:v>02_Vertical_Slice_Specification.md</x:v>
      </x:c>
      <x:c r="C12" s="24" t="str">
        <x:v>7. Registro de criterios de aceptación</x:v>
      </x:c>
      <x:c r="D12" s="24" t="str">
        <x:v>Escena y composición</x:v>
      </x:c>
      <x:c r="E12" s="24" t="str">
        <x:v>Visuales, colliders, navegación y puntos funcionales no se contradicen.</x:v>
      </x:c>
      <x:c r="F12" s="24" t="str">
        <x:v>Recorrido manual.</x:v>
      </x:c>
      <x:c r="G12" s="24" t="str">
        <x:v>P0</x:v>
      </x:c>
      <x:c r="H12" s="24" t="str">
        <x:v>H6 / Vertical Slice</x:v>
      </x:c>
      <x:c r="I12" s="24" t="str">
        <x:v>Activo</x:v>
      </x:c>
      <x:c r="J12" s="24" t="str">
        <x:v>VRM Games</x:v>
      </x:c>
      <x:c r="K12" s="24" t="str">
        <x:v>Criterio de aceptación</x:v>
      </x:c>
    </x:row>
    <x:row r="13" ht="38" customHeight="1">
      <x:c r="A13" s="24" t="str">
        <x:v>VS-INP-001</x:v>
      </x:c>
      <x:c r="B13" s="24" t="str">
        <x:v>02_Vertical_Slice_Specification.md</x:v>
      </x:c>
      <x:c r="C13" s="24" t="str">
        <x:v>7. Registro de criterios de aceptación</x:v>
      </x:c>
      <x:c r="D13" s="24" t="str">
        <x:v>Input</x:v>
      </x:c>
      <x:c r="E13" s="24" t="str">
        <x:v>Un evento consumido por UI no dispara movimiento, colocación o interacción de mundo.</x:v>
      </x:c>
      <x:c r="F13" s="24" t="str">
        <x:v>Pruebas de propagación.</x:v>
      </x:c>
      <x:c r="G13" s="24" t="str">
        <x:v>P1</x:v>
      </x:c>
      <x:c r="H13" s="24" t="str">
        <x:v>H6 / Vertical Slice</x:v>
      </x:c>
      <x:c r="I13" s="24" t="str">
        <x:v>Activo</x:v>
      </x:c>
      <x:c r="J13" s="24" t="str">
        <x:v>VRM Games</x:v>
      </x:c>
      <x:c r="K13" s="24" t="str">
        <x:v>Criterio de aceptación</x:v>
      </x:c>
    </x:row>
    <x:row r="14" ht="38" customHeight="1">
      <x:c r="A14" s="24" t="str">
        <x:v>VS-INP-002</x:v>
      </x:c>
      <x:c r="B14" s="24" t="str">
        <x:v>02_Vertical_Slice_Specification.md</x:v>
      </x:c>
      <x:c r="C14" s="24" t="str">
        <x:v>7. Registro de criterios de aceptación</x:v>
      </x:c>
      <x:c r="D14" s="24" t="str">
        <x:v>Input</x:v>
      </x:c>
      <x:c r="E14" s="24" t="str">
        <x:v>Clic de mundo produce destino válido o feedback de rechazo.</x:v>
      </x:c>
      <x:c r="F14" s="24" t="str">
        <x:v>Recorrido manual.</x:v>
      </x:c>
      <x:c r="G14" s="24" t="str">
        <x:v>P1</x:v>
      </x:c>
      <x:c r="H14" s="24" t="str">
        <x:v>H6 / Vertical Slice</x:v>
      </x:c>
      <x:c r="I14" s="24" t="str">
        <x:v>Activo</x:v>
      </x:c>
      <x:c r="J14" s="24" t="str">
        <x:v>VRM Games</x:v>
      </x:c>
      <x:c r="K14" s="24" t="str">
        <x:v>Criterio de aceptación</x:v>
      </x:c>
    </x:row>
    <x:row r="15" ht="38" customHeight="1">
      <x:c r="A15" s="24" t="str">
        <x:v>VS-CAM-001</x:v>
      </x:c>
      <x:c r="B15" s="24" t="str">
        <x:v>02_Vertical_Slice_Specification.md</x:v>
      </x:c>
      <x:c r="C15" s="24" t="str">
        <x:v>7. Registro de criterios de aceptación</x:v>
      </x:c>
      <x:c r="D15" s="24" t="str">
        <x:v>Cámara</x:v>
      </x:c>
      <x:c r="E15" s="24" t="str">
        <x:v>Órbita y zoom permanecen dentro de límites y no bloquean el flujo.</x:v>
      </x:c>
      <x:c r="F15" s="24" t="str">
        <x:v>Prueba manual.</x:v>
      </x:c>
      <x:c r="G15" s="24" t="str">
        <x:v>P0</x:v>
      </x:c>
      <x:c r="H15" s="24" t="str">
        <x:v>H6 / Vertical Slice</x:v>
      </x:c>
      <x:c r="I15" s="24" t="str">
        <x:v>Activo</x:v>
      </x:c>
      <x:c r="J15" s="24" t="str">
        <x:v>VRM Games</x:v>
      </x:c>
      <x:c r="K15" s="24" t="str">
        <x:v>Criterio de aceptación</x:v>
      </x:c>
    </x:row>
    <x:row r="16" ht="38" customHeight="1">
      <x:c r="A16" s="24" t="str">
        <x:v>VS-CAM-002</x:v>
      </x:c>
      <x:c r="B16" s="24" t="str">
        <x:v>02_Vertical_Slice_Specification.md</x:v>
      </x:c>
      <x:c r="C16" s="24" t="str">
        <x:v>7. Registro de criterios de aceptación</x:v>
      </x:c>
      <x:c r="D16" s="24" t="str">
        <x:v>Cámara</x:v>
      </x:c>
      <x:c r="E16" s="24" t="str">
        <x:v>La cámara mantiene legibles entrada, displays, cola y checkout.</x:v>
      </x:c>
      <x:c r="F16" s="24" t="str">
        <x:v>Capturas de referencia.</x:v>
      </x:c>
      <x:c r="G16" s="24" t="str">
        <x:v>P2</x:v>
      </x:c>
      <x:c r="H16" s="24" t="str">
        <x:v>H6 / Vertical Slice</x:v>
      </x:c>
      <x:c r="I16" s="24" t="str">
        <x:v>Activo</x:v>
      </x:c>
      <x:c r="J16" s="24" t="str">
        <x:v>VRM Games</x:v>
      </x:c>
      <x:c r="K16" s="24" t="str">
        <x:v>Criterio de aceptación</x:v>
      </x:c>
    </x:row>
    <x:row r="17" ht="38" customHeight="1">
      <x:c r="A17" s="24" t="str">
        <x:v>VS-MOV-001</x:v>
      </x:c>
      <x:c r="B17" s="24" t="str">
        <x:v>02_Vertical_Slice_Specification.md</x:v>
      </x:c>
      <x:c r="C17" s="24" t="str">
        <x:v>7. Registro de criterios de aceptación</x:v>
      </x:c>
      <x:c r="D17" s="24" t="str">
        <x:v>Movimiento y navegación</x:v>
      </x:c>
      <x:c r="E17" s="24" t="str">
        <x:v>El jugador alcanza todos los puntos accesibles obligatorios.</x:v>
      </x:c>
      <x:c r="F17" s="24" t="str">
        <x:v>Ruta completa.</x:v>
      </x:c>
      <x:c r="G17" s="24" t="str">
        <x:v>P1</x:v>
      </x:c>
      <x:c r="H17" s="24" t="str">
        <x:v>H6 / Vertical Slice</x:v>
      </x:c>
      <x:c r="I17" s="24" t="str">
        <x:v>Activo</x:v>
      </x:c>
      <x:c r="J17" s="24" t="str">
        <x:v>VRM Games</x:v>
      </x:c>
      <x:c r="K17" s="24" t="str">
        <x:v>Criterio de aceptación</x:v>
      </x:c>
    </x:row>
    <x:row r="18" ht="38" customHeight="1">
      <x:c r="A18" s="24" t="str">
        <x:v>VS-MOV-002</x:v>
      </x:c>
      <x:c r="B18" s="24" t="str">
        <x:v>02_Vertical_Slice_Specification.md</x:v>
      </x:c>
      <x:c r="C18" s="24" t="str">
        <x:v>7. Registro de criterios de aceptación</x:v>
      </x:c>
      <x:c r="D18" s="24" t="str">
        <x:v>Movimiento y navegación</x:v>
      </x:c>
      <x:c r="E18" s="24" t="str">
        <x:v>El jugador no atraviesa arquitectura ni mobiliario.</x:v>
      </x:c>
      <x:c r="F18" s="24" t="str">
        <x:v>Pruebas de colisión/navegación.</x:v>
      </x:c>
      <x:c r="G18" s="24" t="str">
        <x:v>P1</x:v>
      </x:c>
      <x:c r="H18" s="24" t="str">
        <x:v>H6 / Vertical Slice</x:v>
      </x:c>
      <x:c r="I18" s="24" t="str">
        <x:v>Activo</x:v>
      </x:c>
      <x:c r="J18" s="24" t="str">
        <x:v>VRM Games</x:v>
      </x:c>
      <x:c r="K18" s="24" t="str">
        <x:v>Criterio de aceptación</x:v>
      </x:c>
    </x:row>
    <x:row r="19" ht="38" customHeight="1">
      <x:c r="A19" s="24" t="str">
        <x:v>VS-MOV-003</x:v>
      </x:c>
      <x:c r="B19" s="24" t="str">
        <x:v>02_Vertical_Slice_Specification.md</x:v>
      </x:c>
      <x:c r="C19" s="24" t="str">
        <x:v>7. Registro de criterios de aceptación</x:v>
      </x:c>
      <x:c r="D19" s="24" t="str">
        <x:v>Movimiento y navegación</x:v>
      </x:c>
      <x:c r="E19" s="24" t="str">
        <x:v>Un destino inaccesible no deja al jugador en estado indefinido.</x:v>
      </x:c>
      <x:c r="F19" s="24" t="str">
        <x:v>Prueba negativa.</x:v>
      </x:c>
      <x:c r="G19" s="24" t="str">
        <x:v>P1</x:v>
      </x:c>
      <x:c r="H19" s="24" t="str">
        <x:v>H6 / Vertical Slice</x:v>
      </x:c>
      <x:c r="I19" s="24" t="str">
        <x:v>Activo</x:v>
      </x:c>
      <x:c r="J19" s="24" t="str">
        <x:v>VRM Games</x:v>
      </x:c>
      <x:c r="K19" s="24" t="str">
        <x:v>Criterio de aceptación</x:v>
      </x:c>
    </x:row>
    <x:row r="20" ht="38" customHeight="1">
      <x:c r="A20" s="24" t="str">
        <x:v>VS-BLD-001</x:v>
      </x:c>
      <x:c r="B20" s="24" t="str">
        <x:v>02_Vertical_Slice_Specification.md</x:v>
      </x:c>
      <x:c r="C20" s="24" t="str">
        <x:v>7. Registro de criterios de aceptación</x:v>
      </x:c>
      <x:c r="D20" s="24" t="str">
        <x:v>Construcción</x:v>
      </x:c>
      <x:c r="E20" s="24" t="str">
        <x:v>Preview coincide con posición, rotación y huella final.</x:v>
      </x:c>
      <x:c r="F20" s="24" t="str">
        <x:v>Prueba de colocación.</x:v>
      </x:c>
      <x:c r="G20" s="24" t="str">
        <x:v>P1</x:v>
      </x:c>
      <x:c r="H20" s="24" t="str">
        <x:v>H6 / Vertical Slice</x:v>
      </x:c>
      <x:c r="I20" s="24" t="str">
        <x:v>Activo</x:v>
      </x:c>
      <x:c r="J20" s="24" t="str">
        <x:v>VRM Games</x:v>
      </x:c>
      <x:c r="K20" s="24" t="str">
        <x:v>Criterio de aceptación</x:v>
      </x:c>
    </x:row>
    <x:row r="21" ht="38" customHeight="1">
      <x:c r="A21" s="24" t="str">
        <x:v>VS-BLD-002</x:v>
      </x:c>
      <x:c r="B21" s="24" t="str">
        <x:v>02_Vertical_Slice_Specification.md</x:v>
      </x:c>
      <x:c r="C21" s="24" t="str">
        <x:v>7. Registro de criterios de aceptación</x:v>
      </x:c>
      <x:c r="D21" s="24" t="str">
        <x:v>Construcción</x:v>
      </x:c>
      <x:c r="E21" s="24" t="str">
        <x:v>No se confirma colocación fuera de límites o sobre celdas ocupadas.</x:v>
      </x:c>
      <x:c r="F21" s="24" t="str">
        <x:v>Pruebas negativas.</x:v>
      </x:c>
      <x:c r="G21" s="24" t="str">
        <x:v>P1</x:v>
      </x:c>
      <x:c r="H21" s="24" t="str">
        <x:v>H6 / Vertical Slice</x:v>
      </x:c>
      <x:c r="I21" s="24" t="str">
        <x:v>Activo</x:v>
      </x:c>
      <x:c r="J21" s="24" t="str">
        <x:v>VRM Games</x:v>
      </x:c>
      <x:c r="K21" s="24" t="str">
        <x:v>Criterio de aceptación</x:v>
      </x:c>
    </x:row>
    <x:row r="22" ht="38" customHeight="1">
      <x:c r="A22" s="24" t="str">
        <x:v>VS-BLD-003</x:v>
      </x:c>
      <x:c r="B22" s="24" t="str">
        <x:v>02_Vertical_Slice_Specification.md</x:v>
      </x:c>
      <x:c r="C22" s="24" t="str">
        <x:v>7. Registro de criterios de aceptación</x:v>
      </x:c>
      <x:c r="D22" s="24" t="str">
        <x:v>Construcción</x:v>
      </x:c>
      <x:c r="E22" s="24" t="str">
        <x:v>No se bloquean entrada, salida o puntos obligatorios.</x:v>
      </x:c>
      <x:c r="F22" s="24" t="str">
        <x:v>Prueba de acceso.</x:v>
      </x:c>
      <x:c r="G22" s="24" t="str">
        <x:v>P0</x:v>
      </x:c>
      <x:c r="H22" s="24" t="str">
        <x:v>H6 / Vertical Slice</x:v>
      </x:c>
      <x:c r="I22" s="24" t="str">
        <x:v>Activo</x:v>
      </x:c>
      <x:c r="J22" s="24" t="str">
        <x:v>VRM Games</x:v>
      </x:c>
      <x:c r="K22" s="24" t="str">
        <x:v>Criterio de aceptación</x:v>
      </x:c>
    </x:row>
    <x:row r="23" ht="38" customHeight="1">
      <x:c r="A23" s="24" t="str">
        <x:v>VS-BLD-004</x:v>
      </x:c>
      <x:c r="B23" s="24" t="str">
        <x:v>02_Vertical_Slice_Specification.md</x:v>
      </x:c>
      <x:c r="C23" s="24" t="str">
        <x:v>7. Registro de criterios de aceptación</x:v>
      </x:c>
      <x:c r="D23" s="24" t="str">
        <x:v>Construcción</x:v>
      </x:c>
      <x:c r="E23" s="24" t="str">
        <x:v>Fallo de validación no consume dinero ni altera ocupación.</x:v>
      </x:c>
      <x:c r="F23" s="24" t="str">
        <x:v>Comparación antes/después.</x:v>
      </x:c>
      <x:c r="G23" s="24" t="str">
        <x:v>P1</x:v>
      </x:c>
      <x:c r="H23" s="24" t="str">
        <x:v>H6 / Vertical Slice</x:v>
      </x:c>
      <x:c r="I23" s="24" t="str">
        <x:v>Activo</x:v>
      </x:c>
      <x:c r="J23" s="24" t="str">
        <x:v>VRM Games</x:v>
      </x:c>
      <x:c r="K23" s="24" t="str">
        <x:v>Criterio de aceptación</x:v>
      </x:c>
    </x:row>
    <x:row r="24" ht="38" customHeight="1">
      <x:c r="A24" s="24" t="str">
        <x:v>VS-BLD-005</x:v>
      </x:c>
      <x:c r="B24" s="24" t="str">
        <x:v>02_Vertical_Slice_Specification.md</x:v>
      </x:c>
      <x:c r="C24" s="24" t="str">
        <x:v>7. Registro de criterios de aceptación</x:v>
      </x:c>
      <x:c r="D24" s="24" t="str">
        <x:v>Construcción</x:v>
      </x:c>
      <x:c r="E24" s="24" t="str">
        <x:v>Mover o retirar libera exactamente las celdas ocupadas.</x:v>
      </x:c>
      <x:c r="F24" s="24" t="str">
        <x:v>Prueba automatizada/manual.</x:v>
      </x:c>
      <x:c r="G24" s="24" t="str">
        <x:v>P1</x:v>
      </x:c>
      <x:c r="H24" s="24" t="str">
        <x:v>H6 / Vertical Slice</x:v>
      </x:c>
      <x:c r="I24" s="24" t="str">
        <x:v>Activo</x:v>
      </x:c>
      <x:c r="J24" s="24" t="str">
        <x:v>VRM Games</x:v>
      </x:c>
      <x:c r="K24" s="24" t="str">
        <x:v>Criterio de aceptación</x:v>
      </x:c>
    </x:row>
    <x:row r="25" ht="38" customHeight="1">
      <x:c r="A25" s="24" t="str">
        <x:v>VS-BLD-006</x:v>
      </x:c>
      <x:c r="B25" s="24" t="str">
        <x:v>02_Vertical_Slice_Specification.md</x:v>
      </x:c>
      <x:c r="C25" s="24" t="str">
        <x:v>7. Registro de criterios de aceptación</x:v>
      </x:c>
      <x:c r="D25" s="24" t="str">
        <x:v>Construcción</x:v>
      </x:c>
      <x:c r="E25" s="24" t="str">
        <x:v>Posición, rotación, tipo e ID persisten tras recarga.</x:v>
      </x:c>
      <x:c r="F25" s="24" t="str">
        <x:v>Save/load.</x:v>
      </x:c>
      <x:c r="G25" s="24" t="str">
        <x:v>P1</x:v>
      </x:c>
      <x:c r="H25" s="24" t="str">
        <x:v>H6 / Vertical Slice</x:v>
      </x:c>
      <x:c r="I25" s="24" t="str">
        <x:v>Activo</x:v>
      </x:c>
      <x:c r="J25" s="24" t="str">
        <x:v>VRM Games</x:v>
      </x:c>
      <x:c r="K25" s="24" t="str">
        <x:v>Criterio de aceptación</x:v>
      </x:c>
    </x:row>
    <x:row r="26" ht="38" customHeight="1">
      <x:c r="A26" s="24" t="str">
        <x:v>VS-INV-001</x:v>
      </x:c>
      <x:c r="B26" s="24" t="str">
        <x:v>02_Vertical_Slice_Specification.md</x:v>
      </x:c>
      <x:c r="C26" s="24" t="str">
        <x:v>7. Registro de criterios de aceptación</x:v>
      </x:c>
      <x:c r="D26" s="24" t="str">
        <x:v>Inventario</x:v>
      </x:c>
      <x:c r="E26" s="24" t="str">
        <x:v>La suma de ubicaciones coincide con el stock registrado.</x:v>
      </x:c>
      <x:c r="F26" s="24" t="str">
        <x:v>Test de invariante.</x:v>
      </x:c>
      <x:c r="G26" s="24" t="str">
        <x:v>P0</x:v>
      </x:c>
      <x:c r="H26" s="24" t="str">
        <x:v>H6 / Vertical Slice</x:v>
      </x:c>
      <x:c r="I26" s="24" t="str">
        <x:v>Activo</x:v>
      </x:c>
      <x:c r="J26" s="24" t="str">
        <x:v>VRM Games</x:v>
      </x:c>
      <x:c r="K26" s="24" t="str">
        <x:v>Criterio de aceptación</x:v>
      </x:c>
    </x:row>
    <x:row r="27" ht="38" customHeight="1">
      <x:c r="A27" s="24" t="str">
        <x:v>VS-INV-002</x:v>
      </x:c>
      <x:c r="B27" s="24" t="str">
        <x:v>02_Vertical_Slice_Specification.md</x:v>
      </x:c>
      <x:c r="C27" s="24" t="str">
        <x:v>7. Registro de criterios de aceptación</x:v>
      </x:c>
      <x:c r="D27" s="24" t="str">
        <x:v>Inventario</x:v>
      </x:c>
      <x:c r="E27" s="24" t="str">
        <x:v>Una unidad solo ocupa una ubicación lógica.</x:v>
      </x:c>
      <x:c r="F27" s="24" t="str">
        <x:v>Test automatizado.</x:v>
      </x:c>
      <x:c r="G27" s="24" t="str">
        <x:v>P0</x:v>
      </x:c>
      <x:c r="H27" s="24" t="str">
        <x:v>H6 / Vertical Slice</x:v>
      </x:c>
      <x:c r="I27" s="24" t="str">
        <x:v>Activo</x:v>
      </x:c>
      <x:c r="J27" s="24" t="str">
        <x:v>VRM Games</x:v>
      </x:c>
      <x:c r="K27" s="24" t="str">
        <x:v>Criterio de aceptación</x:v>
      </x:c>
    </x:row>
    <x:row r="28" ht="38" customHeight="1">
      <x:c r="A28" s="24" t="str">
        <x:v>VS-INV-003</x:v>
      </x:c>
      <x:c r="B28" s="24" t="str">
        <x:v>02_Vertical_Slice_Specification.md</x:v>
      </x:c>
      <x:c r="C28" s="24" t="str">
        <x:v>7. Registro de criterios de aceptación</x:v>
      </x:c>
      <x:c r="D28" s="24" t="str">
        <x:v>Inventario</x:v>
      </x:c>
      <x:c r="E28" s="24" t="str">
        <x:v>Transferencia inválida no modifica origen ni destino.</x:v>
      </x:c>
      <x:c r="F28" s="24" t="str">
        <x:v>Prueba negativa.</x:v>
      </x:c>
      <x:c r="G28" s="24" t="str">
        <x:v>P0</x:v>
      </x:c>
      <x:c r="H28" s="24" t="str">
        <x:v>H6 / Vertical Slice</x:v>
      </x:c>
      <x:c r="I28" s="24" t="str">
        <x:v>Activo</x:v>
      </x:c>
      <x:c r="J28" s="24" t="str">
        <x:v>VRM Games</x:v>
      </x:c>
      <x:c r="K28" s="24" t="str">
        <x:v>Criterio de aceptación</x:v>
      </x:c>
    </x:row>
    <x:row r="29" ht="38" customHeight="1">
      <x:c r="A29" s="24" t="str">
        <x:v>VS-INV-004</x:v>
      </x:c>
      <x:c r="B29" s="24" t="str">
        <x:v>02_Vertical_Slice_Specification.md</x:v>
      </x:c>
      <x:c r="C29" s="24" t="str">
        <x:v>7. Registro de criterios de aceptación</x:v>
      </x:c>
      <x:c r="D29" s="24" t="str">
        <x:v>Inventario</x:v>
      </x:c>
      <x:c r="E29" s="24" t="str">
        <x:v>Transferencia válida conserva cantidad total.</x:v>
      </x:c>
      <x:c r="F29" s="24" t="str">
        <x:v>Prueba automatizada.</x:v>
      </x:c>
      <x:c r="G29" s="24" t="str">
        <x:v>P0</x:v>
      </x:c>
      <x:c r="H29" s="24" t="str">
        <x:v>H6 / Vertical Slice</x:v>
      </x:c>
      <x:c r="I29" s="24" t="str">
        <x:v>Activo</x:v>
      </x:c>
      <x:c r="J29" s="24" t="str">
        <x:v>VRM Games</x:v>
      </x:c>
      <x:c r="K29" s="24" t="str">
        <x:v>Criterio de aceptación</x:v>
      </x:c>
    </x:row>
    <x:row r="30" ht="38" customHeight="1">
      <x:c r="A30" s="24" t="str">
        <x:v>VS-INV-005</x:v>
      </x:c>
      <x:c r="B30" s="24" t="str">
        <x:v>02_Vertical_Slice_Specification.md</x:v>
      </x:c>
      <x:c r="C30" s="24" t="str">
        <x:v>7. Registro de criterios de aceptación</x:v>
      </x:c>
      <x:c r="D30" s="24" t="str">
        <x:v>Inventario</x:v>
      </x:c>
      <x:c r="E30" s="24" t="str">
        <x:v>No existen pérdidas o duplicaciones tras siete días.</x:v>
      </x:c>
      <x:c r="F30" s="24" t="str">
        <x:v>Auditoría de partida.</x:v>
      </x:c>
      <x:c r="G30" s="24" t="str">
        <x:v>P0</x:v>
      </x:c>
      <x:c r="H30" s="24" t="str">
        <x:v>H6 / Vertical Slice</x:v>
      </x:c>
      <x:c r="I30" s="24" t="str">
        <x:v>Activo</x:v>
      </x:c>
      <x:c r="J30" s="24" t="str">
        <x:v>VRM Games</x:v>
      </x:c>
      <x:c r="K30" s="24" t="str">
        <x:v>Criterio de aceptación</x:v>
      </x:c>
    </x:row>
    <x:row r="31" ht="38" customHeight="1">
      <x:c r="A31" s="24" t="str">
        <x:v>VS-ORD-001</x:v>
      </x:c>
      <x:c r="B31" s="24" t="str">
        <x:v>02_Vertical_Slice_Specification.md</x:v>
      </x:c>
      <x:c r="C31" s="24" t="str">
        <x:v>7. Registro de criterios de aceptación</x:v>
      </x:c>
      <x:c r="D31" s="24" t="str">
        <x:v>Pedidos y entregas</x:v>
      </x:c>
      <x:c r="E31" s="24" t="str">
        <x:v>Pedido inválido se rechaza sin coste.</x:v>
      </x:c>
      <x:c r="F31" s="24" t="str">
        <x:v>Prueba negativa.</x:v>
      </x:c>
      <x:c r="G31" s="24" t="str">
        <x:v>P2</x:v>
      </x:c>
      <x:c r="H31" s="24" t="str">
        <x:v>H6 / Vertical Slice</x:v>
      </x:c>
      <x:c r="I31" s="24" t="str">
        <x:v>Activo</x:v>
      </x:c>
      <x:c r="J31" s="24" t="str">
        <x:v>VRM Games</x:v>
      </x:c>
      <x:c r="K31" s="24" t="str">
        <x:v>Criterio de aceptación</x:v>
      </x:c>
    </x:row>
    <x:row r="32" ht="38" customHeight="1">
      <x:c r="A32" s="24" t="str">
        <x:v>VS-ORD-002</x:v>
      </x:c>
      <x:c r="B32" s="24" t="str">
        <x:v>02_Vertical_Slice_Specification.md</x:v>
      </x:c>
      <x:c r="C32" s="24" t="str">
        <x:v>7. Registro de criterios de aceptación</x:v>
      </x:c>
      <x:c r="D32" s="24" t="str">
        <x:v>Pedidos y entregas</x:v>
      </x:c>
      <x:c r="E32" s="24" t="str">
        <x:v>Pedido válido registra proveedor, producto, cantidad, coste e ID.</x:v>
      </x:c>
      <x:c r="F32" s="24" t="str">
        <x:v>Inspección funcional.</x:v>
      </x:c>
      <x:c r="G32" s="24" t="str">
        <x:v>P2</x:v>
      </x:c>
      <x:c r="H32" s="24" t="str">
        <x:v>H6 / Vertical Slice</x:v>
      </x:c>
      <x:c r="I32" s="24" t="str">
        <x:v>Activo</x:v>
      </x:c>
      <x:c r="J32" s="24" t="str">
        <x:v>VRM Games</x:v>
      </x:c>
      <x:c r="K32" s="24" t="str">
        <x:v>Criterio de aceptación</x:v>
      </x:c>
    </x:row>
    <x:row r="33" ht="38" customHeight="1">
      <x:c r="A33" s="24" t="str">
        <x:v>VS-ORD-003</x:v>
      </x:c>
      <x:c r="B33" s="24" t="str">
        <x:v>02_Vertical_Slice_Specification.md</x:v>
      </x:c>
      <x:c r="C33" s="24" t="str">
        <x:v>7. Registro de criterios de aceptación</x:v>
      </x:c>
      <x:c r="D33" s="24" t="str">
        <x:v>Pedidos y entregas</x:v>
      </x:c>
      <x:c r="E33" s="24" t="str">
        <x:v>Cada pedido se entrega una sola vez.</x:v>
      </x:c>
      <x:c r="F33" s="24" t="str">
        <x:v>Prueba de recarga/evento.</x:v>
      </x:c>
      <x:c r="G33" s="24" t="str">
        <x:v>P0</x:v>
      </x:c>
      <x:c r="H33" s="24" t="str">
        <x:v>H6 / Vertical Slice</x:v>
      </x:c>
      <x:c r="I33" s="24" t="str">
        <x:v>Activo</x:v>
      </x:c>
      <x:c r="J33" s="24" t="str">
        <x:v>VRM Games</x:v>
      </x:c>
      <x:c r="K33" s="24" t="str">
        <x:v>Criterio de aceptación</x:v>
      </x:c>
    </x:row>
    <x:row r="34" ht="38" customHeight="1">
      <x:c r="A34" s="24" t="str">
        <x:v>VS-ORD-004</x:v>
      </x:c>
      <x:c r="B34" s="24" t="str">
        <x:v>02_Vertical_Slice_Specification.md</x:v>
      </x:c>
      <x:c r="C34" s="24" t="str">
        <x:v>7. Registro de criterios de aceptación</x:v>
      </x:c>
      <x:c r="D34" s="24" t="str">
        <x:v>Pedidos y entregas</x:v>
      </x:c>
      <x:c r="E34" s="24" t="str">
        <x:v>La entrega contiene exactamente las cantidades confirmadas.</x:v>
      </x:c>
      <x:c r="F34" s="24" t="str">
        <x:v>Conteo y log.</x:v>
      </x:c>
      <x:c r="G34" s="24" t="str">
        <x:v>P2</x:v>
      </x:c>
      <x:c r="H34" s="24" t="str">
        <x:v>H6 / Vertical Slice</x:v>
      </x:c>
      <x:c r="I34" s="24" t="str">
        <x:v>Activo</x:v>
      </x:c>
      <x:c r="J34" s="24" t="str">
        <x:v>VRM Games</x:v>
      </x:c>
      <x:c r="K34" s="24" t="str">
        <x:v>Criterio de aceptación</x:v>
      </x:c>
    </x:row>
    <x:row r="35" ht="38" customHeight="1">
      <x:c r="A35" s="24" t="str">
        <x:v>VS-ORD-005</x:v>
      </x:c>
      <x:c r="B35" s="24" t="str">
        <x:v>02_Vertical_Slice_Specification.md</x:v>
      </x:c>
      <x:c r="C35" s="24" t="str">
        <x:v>7. Registro de criterios de aceptación</x:v>
      </x:c>
      <x:c r="D35" s="24" t="str">
        <x:v>Pedidos y entregas</x:v>
      </x:c>
      <x:c r="E35" s="24" t="str">
        <x:v>Pedido pendiente persiste y reanuda correctamente.</x:v>
      </x:c>
      <x:c r="F35" s="24" t="str">
        <x:v>Save/load.</x:v>
      </x:c>
      <x:c r="G35" s="24" t="str">
        <x:v>P2</x:v>
      </x:c>
      <x:c r="H35" s="24" t="str">
        <x:v>H6 / Vertical Slice</x:v>
      </x:c>
      <x:c r="I35" s="24" t="str">
        <x:v>Activo</x:v>
      </x:c>
      <x:c r="J35" s="24" t="str">
        <x:v>VRM Games</x:v>
      </x:c>
      <x:c r="K35" s="24" t="str">
        <x:v>Criterio de aceptación</x:v>
      </x:c>
    </x:row>
    <x:row r="36" ht="38" customHeight="1">
      <x:c r="A36" s="24" t="str">
        <x:v>VS-DSP-001</x:v>
      </x:c>
      <x:c r="B36" s="24" t="str">
        <x:v>02_Vertical_Slice_Specification.md</x:v>
      </x:c>
      <x:c r="C36" s="24" t="str">
        <x:v>7. Registro de criterios de aceptación</x:v>
      </x:c>
      <x:c r="D36" s="24" t="str">
        <x:v>Displays y reposición</x:v>
      </x:c>
      <x:c r="E36" s="24" t="str">
        <x:v>Asignación incompatible se rechaza con feedback.</x:v>
      </x:c>
      <x:c r="F36" s="24" t="str">
        <x:v>Prueba negativa.</x:v>
      </x:c>
      <x:c r="G36" s="24" t="str">
        <x:v>P2</x:v>
      </x:c>
      <x:c r="H36" s="24" t="str">
        <x:v>H6 / Vertical Slice</x:v>
      </x:c>
      <x:c r="I36" s="24" t="str">
        <x:v>Activo</x:v>
      </x:c>
      <x:c r="J36" s="24" t="str">
        <x:v>VRM Games</x:v>
      </x:c>
      <x:c r="K36" s="24" t="str">
        <x:v>Criterio de aceptación</x:v>
      </x:c>
    </x:row>
    <x:row r="37" ht="38" customHeight="1">
      <x:c r="A37" s="24" t="str">
        <x:v>VS-DSP-002</x:v>
      </x:c>
      <x:c r="B37" s="24" t="str">
        <x:v>02_Vertical_Slice_Specification.md</x:v>
      </x:c>
      <x:c r="C37" s="24" t="str">
        <x:v>7. Registro de criterios de aceptación</x:v>
      </x:c>
      <x:c r="D37" s="24" t="str">
        <x:v>Displays y reposición</x:v>
      </x:c>
      <x:c r="E37" s="24" t="str">
        <x:v>Capacidad impide sobrellenado.</x:v>
      </x:c>
      <x:c r="F37" s="24" t="str">
        <x:v>Prueba límite.</x:v>
      </x:c>
      <x:c r="G37" s="24" t="str">
        <x:v>P2</x:v>
      </x:c>
      <x:c r="H37" s="24" t="str">
        <x:v>H6 / Vertical Slice</x:v>
      </x:c>
      <x:c r="I37" s="24" t="str">
        <x:v>Activo</x:v>
      </x:c>
      <x:c r="J37" s="24" t="str">
        <x:v>VRM Games</x:v>
      </x:c>
      <x:c r="K37" s="24" t="str">
        <x:v>Criterio de aceptación</x:v>
      </x:c>
    </x:row>
    <x:row r="38" ht="38" customHeight="1">
      <x:c r="A38" s="24" t="str">
        <x:v>VS-DSP-003</x:v>
      </x:c>
      <x:c r="B38" s="24" t="str">
        <x:v>02_Vertical_Slice_Specification.md</x:v>
      </x:c>
      <x:c r="C38" s="24" t="str">
        <x:v>7. Registro de criterios de aceptación</x:v>
      </x:c>
      <x:c r="D38" s="24" t="str">
        <x:v>Displays y reposición</x:v>
      </x:c>
      <x:c r="E38" s="24" t="str">
        <x:v>Reposición consume origen y aumenta destino de forma atómica.</x:v>
      </x:c>
      <x:c r="F38" s="24" t="str">
        <x:v>Comparación de inventario.</x:v>
      </x:c>
      <x:c r="G38" s="24" t="str">
        <x:v>P0</x:v>
      </x:c>
      <x:c r="H38" s="24" t="str">
        <x:v>H6 / Vertical Slice</x:v>
      </x:c>
      <x:c r="I38" s="24" t="str">
        <x:v>Activo</x:v>
      </x:c>
      <x:c r="J38" s="24" t="str">
        <x:v>VRM Games</x:v>
      </x:c>
      <x:c r="K38" s="24" t="str">
        <x:v>Criterio de aceptación</x:v>
      </x:c>
    </x:row>
    <x:row r="39" ht="38" customHeight="1">
      <x:c r="A39" s="24" t="str">
        <x:v>VS-DSP-004</x:v>
      </x:c>
      <x:c r="B39" s="24" t="str">
        <x:v>02_Vertical_Slice_Specification.md</x:v>
      </x:c>
      <x:c r="C39" s="24" t="str">
        <x:v>7. Registro de criterios de aceptación</x:v>
      </x:c>
      <x:c r="D39" s="24" t="str">
        <x:v>Displays y reposición</x:v>
      </x:c>
      <x:c r="E39" s="24" t="str">
        <x:v>Visual de producto coincide con asignación y cantidad representada.</x:v>
      </x:c>
      <x:c r="F39" s="24" t="str">
        <x:v>Revisión visual.</x:v>
      </x:c>
      <x:c r="G39" s="24" t="str">
        <x:v>P2</x:v>
      </x:c>
      <x:c r="H39" s="24" t="str">
        <x:v>H6 / Vertical Slice</x:v>
      </x:c>
      <x:c r="I39" s="24" t="str">
        <x:v>Activo</x:v>
      </x:c>
      <x:c r="J39" s="24" t="str">
        <x:v>VRM Games</x:v>
      </x:c>
      <x:c r="K39" s="24" t="str">
        <x:v>Criterio de aceptación</x:v>
      </x:c>
    </x:row>
    <x:row r="40" ht="38" customHeight="1">
      <x:c r="A40" s="24" t="str">
        <x:v>VS-DSP-005</x:v>
      </x:c>
      <x:c r="B40" s="24" t="str">
        <x:v>02_Vertical_Slice_Specification.md</x:v>
      </x:c>
      <x:c r="C40" s="24" t="str">
        <x:v>7. Registro de criterios de aceptación</x:v>
      </x:c>
      <x:c r="D40" s="24" t="str">
        <x:v>Displays y reposición</x:v>
      </x:c>
      <x:c r="E40" s="24" t="str">
        <x:v>Asignación y stock visible persisten.</x:v>
      </x:c>
      <x:c r="F40" s="24" t="str">
        <x:v>Save/load.</x:v>
      </x:c>
      <x:c r="G40" s="24" t="str">
        <x:v>P2</x:v>
      </x:c>
      <x:c r="H40" s="24" t="str">
        <x:v>H6 / Vertical Slice</x:v>
      </x:c>
      <x:c r="I40" s="24" t="str">
        <x:v>Activo</x:v>
      </x:c>
      <x:c r="J40" s="24" t="str">
        <x:v>VRM Games</x:v>
      </x:c>
      <x:c r="K40" s="24" t="str">
        <x:v>Criterio de aceptación</x:v>
      </x:c>
    </x:row>
    <x:row r="41" ht="38" customHeight="1">
      <x:c r="A41" s="24" t="str">
        <x:v>VS-PRC-001</x:v>
      </x:c>
      <x:c r="B41" s="24" t="str">
        <x:v>02_Vertical_Slice_Specification.md</x:v>
      </x:c>
      <x:c r="C41" s="24" t="str">
        <x:v>7. Registro de criterios de aceptación</x:v>
      </x:c>
      <x:c r="D41" s="24" t="str">
        <x:v>Precios</x:v>
      </x:c>
      <x:c r="E41" s="24" t="str">
        <x:v>Precio inválido se rechaza.</x:v>
      </x:c>
      <x:c r="F41" s="24" t="str">
        <x:v>Prueba negativa.</x:v>
      </x:c>
      <x:c r="G41" s="24" t="str">
        <x:v>P2</x:v>
      </x:c>
      <x:c r="H41" s="24" t="str">
        <x:v>H6 / Vertical Slice</x:v>
      </x:c>
      <x:c r="I41" s="24" t="str">
        <x:v>Activo</x:v>
      </x:c>
      <x:c r="J41" s="24" t="str">
        <x:v>VRM Games</x:v>
      </x:c>
      <x:c r="K41" s="24" t="str">
        <x:v>Criterio de aceptación</x:v>
      </x:c>
    </x:row>
    <x:row r="42" ht="38" customHeight="1">
      <x:c r="A42" s="24" t="str">
        <x:v>VS-PRC-002</x:v>
      </x:c>
      <x:c r="B42" s="24" t="str">
        <x:v>02_Vertical_Slice_Specification.md</x:v>
      </x:c>
      <x:c r="C42" s="24" t="str">
        <x:v>7. Registro de criterios de aceptación</x:v>
      </x:c>
      <x:c r="D42" s="24" t="str">
        <x:v>Precios</x:v>
      </x:c>
      <x:c r="E42" s="24" t="str">
        <x:v>Precio confirmado persiste y se utiliza en la venta.</x:v>
      </x:c>
      <x:c r="F42" s="24" t="str">
        <x:v>Save/load y transacción.</x:v>
      </x:c>
      <x:c r="G42" s="24" t="str">
        <x:v>P2</x:v>
      </x:c>
      <x:c r="H42" s="24" t="str">
        <x:v>H6 / Vertical Slice</x:v>
      </x:c>
      <x:c r="I42" s="24" t="str">
        <x:v>Activo</x:v>
      </x:c>
      <x:c r="J42" s="24" t="str">
        <x:v>VRM Games</x:v>
      </x:c>
      <x:c r="K42" s="24" t="str">
        <x:v>Criterio de aceptación</x:v>
      </x:c>
    </x:row>
    <x:row r="43" ht="38" customHeight="1">
      <x:c r="A43" s="24" t="str">
        <x:v>VS-PRC-003</x:v>
      </x:c>
      <x:c r="B43" s="24" t="str">
        <x:v>02_Vertical_Slice_Specification.md</x:v>
      </x:c>
      <x:c r="C43" s="24" t="str">
        <x:v>7. Registro de criterios de aceptación</x:v>
      </x:c>
      <x:c r="D43" s="24" t="str">
        <x:v>Precios</x:v>
      </x:c>
      <x:c r="E43" s="24" t="str">
        <x:v>Cambiar precio afecta interés según regla determinista/configurada.</x:v>
      </x:c>
      <x:c r="F43" s="24" t="str">
        <x:v>Prueba comparativa.</x:v>
      </x:c>
      <x:c r="G43" s="24" t="str">
        <x:v>P2</x:v>
      </x:c>
      <x:c r="H43" s="24" t="str">
        <x:v>H6 / Vertical Slice</x:v>
      </x:c>
      <x:c r="I43" s="24" t="str">
        <x:v>Activo</x:v>
      </x:c>
      <x:c r="J43" s="24" t="str">
        <x:v>VRM Games</x:v>
      </x:c>
      <x:c r="K43" s="24" t="str">
        <x:v>Criterio de aceptación</x:v>
      </x:c>
    </x:row>
    <x:row r="44" ht="38" customHeight="1">
      <x:c r="A44" s="24" t="str">
        <x:v>VS-CUS-001</x:v>
      </x:c>
      <x:c r="B44" s="24" t="str">
        <x:v>02_Vertical_Slice_Specification.md</x:v>
      </x:c>
      <x:c r="C44" s="24" t="str">
        <x:v>7. Registro de criterios de aceptación</x:v>
      </x:c>
      <x:c r="D44" s="24" t="str">
        <x:v>Clientes</x:v>
      </x:c>
      <x:c r="E44" s="24" t="str">
        <x:v>Clientes solo aparecen durante estados permitidos.</x:v>
      </x:c>
      <x:c r="F44" s="24" t="str">
        <x:v>Prueba de estados.</x:v>
      </x:c>
      <x:c r="G44" s="24" t="str">
        <x:v>P1</x:v>
      </x:c>
      <x:c r="H44" s="24" t="str">
        <x:v>H6 / Vertical Slice</x:v>
      </x:c>
      <x:c r="I44" s="24" t="str">
        <x:v>Activo</x:v>
      </x:c>
      <x:c r="J44" s="24" t="str">
        <x:v>VRM Games</x:v>
      </x:c>
      <x:c r="K44" s="24" t="str">
        <x:v>Criterio de aceptación</x:v>
      </x:c>
    </x:row>
    <x:row r="45" ht="38" customHeight="1">
      <x:c r="A45" s="24" t="str">
        <x:v>VS-CUS-002</x:v>
      </x:c>
      <x:c r="B45" s="24" t="str">
        <x:v>02_Vertical_Slice_Specification.md</x:v>
      </x:c>
      <x:c r="C45" s="24" t="str">
        <x:v>7. Registro de criterios de aceptación</x:v>
      </x:c>
      <x:c r="D45" s="24" t="str">
        <x:v>Clientes</x:v>
      </x:c>
      <x:c r="E45" s="24" t="str">
        <x:v>Cliente selecciona objetivo compatible o abandona con causa.</x:v>
      </x:c>
      <x:c r="F45" s="24" t="str">
        <x:v>Observación y log de prueba.</x:v>
      </x:c>
      <x:c r="G45" s="24" t="str">
        <x:v>P1</x:v>
      </x:c>
      <x:c r="H45" s="24" t="str">
        <x:v>H6 / Vertical Slice</x:v>
      </x:c>
      <x:c r="I45" s="24" t="str">
        <x:v>Activo</x:v>
      </x:c>
      <x:c r="J45" s="24" t="str">
        <x:v>VRM Games</x:v>
      </x:c>
      <x:c r="K45" s="24" t="str">
        <x:v>Criterio de aceptación</x:v>
      </x:c>
    </x:row>
    <x:row r="46" ht="38" customHeight="1">
      <x:c r="A46" s="24" t="str">
        <x:v>VS-CUS-003</x:v>
      </x:c>
      <x:c r="B46" s="24" t="str">
        <x:v>02_Vertical_Slice_Specification.md</x:v>
      </x:c>
      <x:c r="C46" s="24" t="str">
        <x:v>7. Registro de criterios de aceptación</x:v>
      </x:c>
      <x:c r="D46" s="24" t="str">
        <x:v>Clientes</x:v>
      </x:c>
      <x:c r="E46" s="24" t="str">
        <x:v>Cliente navega sin atravesar obstáculos ni quedar bloqueado indefinidamente.</x:v>
      </x:c>
      <x:c r="F46" s="24" t="str">
        <x:v>Saturación y recorrido.</x:v>
      </x:c>
      <x:c r="G46" s="24" t="str">
        <x:v>P0</x:v>
      </x:c>
      <x:c r="H46" s="24" t="str">
        <x:v>H6 / Vertical Slice</x:v>
      </x:c>
      <x:c r="I46" s="24" t="str">
        <x:v>Activo</x:v>
      </x:c>
      <x:c r="J46" s="24" t="str">
        <x:v>VRM Games</x:v>
      </x:c>
      <x:c r="K46" s="24" t="str">
        <x:v>Criterio de aceptación</x:v>
      </x:c>
    </x:row>
    <x:row r="47" ht="38" customHeight="1">
      <x:c r="A47" s="24" t="str">
        <x:v>VS-CUS-004</x:v>
      </x:c>
      <x:c r="B47" s="24" t="str">
        <x:v>02_Vertical_Slice_Specification.md</x:v>
      </x:c>
      <x:c r="C47" s="24" t="str">
        <x:v>7. Registro de criterios de aceptación</x:v>
      </x:c>
      <x:c r="D47" s="24" t="str">
        <x:v>Clientes</x:v>
      </x:c>
      <x:c r="E47" s="24" t="str">
        <x:v>Falta de stock, precio o espera producen reacción legible.</x:v>
      </x:c>
      <x:c r="F47" s="24" t="str">
        <x:v>Pruebas de variantes.</x:v>
      </x:c>
      <x:c r="G47" s="24" t="str">
        <x:v>P1</x:v>
      </x:c>
      <x:c r="H47" s="24" t="str">
        <x:v>H6 / Vertical Slice</x:v>
      </x:c>
      <x:c r="I47" s="24" t="str">
        <x:v>Activo</x:v>
      </x:c>
      <x:c r="J47" s="24" t="str">
        <x:v>VRM Games</x:v>
      </x:c>
      <x:c r="K47" s="24" t="str">
        <x:v>Criterio de aceptación</x:v>
      </x:c>
    </x:row>
    <x:row r="48" ht="38" customHeight="1">
      <x:c r="A48" s="24" t="str">
        <x:v>VS-RES-001</x:v>
      </x:c>
      <x:c r="B48" s="24" t="str">
        <x:v>02_Vertical_Slice_Specification.md</x:v>
      </x:c>
      <x:c r="C48" s="24" t="str">
        <x:v>7. Registro de criterios de aceptación</x:v>
      </x:c>
      <x:c r="D48" s="24" t="str">
        <x:v>Reservas</x:v>
      </x:c>
      <x:c r="E48" s="24" t="str">
        <x:v>Una unidad no puede reservarse para dos clientes.</x:v>
      </x:c>
      <x:c r="F48" s="24" t="str">
        <x:v>Test concurrente.</x:v>
      </x:c>
      <x:c r="G48" s="24" t="str">
        <x:v>P0</x:v>
      </x:c>
      <x:c r="H48" s="24" t="str">
        <x:v>H6 / Vertical Slice</x:v>
      </x:c>
      <x:c r="I48" s="24" t="str">
        <x:v>Activo</x:v>
      </x:c>
      <x:c r="J48" s="24" t="str">
        <x:v>VRM Games</x:v>
      </x:c>
      <x:c r="K48" s="24" t="str">
        <x:v>Criterio de aceptación</x:v>
      </x:c>
    </x:row>
    <x:row r="49" ht="38" customHeight="1">
      <x:c r="A49" s="24" t="str">
        <x:v>VS-RES-002</x:v>
      </x:c>
      <x:c r="B49" s="24" t="str">
        <x:v>02_Vertical_Slice_Specification.md</x:v>
      </x:c>
      <x:c r="C49" s="24" t="str">
        <x:v>7. Registro de criterios de aceptación</x:v>
      </x:c>
      <x:c r="D49" s="24" t="str">
        <x:v>Reservas</x:v>
      </x:c>
      <x:c r="E49" s="24" t="str">
        <x:v>Abandono, fallo o cierre liberan la reserva.</x:v>
      </x:c>
      <x:c r="F49" s="24" t="str">
        <x:v>Pruebas de resolución.</x:v>
      </x:c>
      <x:c r="G49" s="24" t="str">
        <x:v>P0</x:v>
      </x:c>
      <x:c r="H49" s="24" t="str">
        <x:v>H6 / Vertical Slice</x:v>
      </x:c>
      <x:c r="I49" s="24" t="str">
        <x:v>Activo</x:v>
      </x:c>
      <x:c r="J49" s="24" t="str">
        <x:v>VRM Games</x:v>
      </x:c>
      <x:c r="K49" s="24" t="str">
        <x:v>Criterio de aceptación</x:v>
      </x:c>
    </x:row>
    <x:row r="50" ht="38" customHeight="1">
      <x:c r="A50" s="24" t="str">
        <x:v>VS-RES-003</x:v>
      </x:c>
      <x:c r="B50" s="24" t="str">
        <x:v>02_Vertical_Slice_Specification.md</x:v>
      </x:c>
      <x:c r="C50" s="24" t="str">
        <x:v>7. Registro de criterios de aceptación</x:v>
      </x:c>
      <x:c r="D50" s="24" t="str">
        <x:v>Reservas</x:v>
      </x:c>
      <x:c r="E50" s="24" t="str">
        <x:v>Venta consume la reserva exactamente una vez.</x:v>
      </x:c>
      <x:c r="F50" s="24" t="str">
        <x:v>Test de checkout.</x:v>
      </x:c>
      <x:c r="G50" s="24" t="str">
        <x:v>P0</x:v>
      </x:c>
      <x:c r="H50" s="24" t="str">
        <x:v>H6 / Vertical Slice</x:v>
      </x:c>
      <x:c r="I50" s="24" t="str">
        <x:v>Activo</x:v>
      </x:c>
      <x:c r="J50" s="24" t="str">
        <x:v>VRM Games</x:v>
      </x:c>
      <x:c r="K50" s="24" t="str">
        <x:v>Criterio de aceptación</x:v>
      </x:c>
    </x:row>
    <x:row r="51" ht="38" customHeight="1">
      <x:c r="A51" s="24" t="str">
        <x:v>VS-QUE-001</x:v>
      </x:c>
      <x:c r="B51" s="24" t="str">
        <x:v>02_Vertical_Slice_Specification.md</x:v>
      </x:c>
      <x:c r="C51" s="24" t="str">
        <x:v>7. Registro de criterios de aceptación</x:v>
      </x:c>
      <x:c r="D51" s="24" t="str">
        <x:v>Cola</x:v>
      </x:c>
      <x:c r="E51" s="24" t="str">
        <x:v>El orden de atención es determinista.</x:v>
      </x:c>
      <x:c r="F51" s="24" t="str">
        <x:v>Prueba con varios clientes.</x:v>
      </x:c>
      <x:c r="G51" s="24" t="str">
        <x:v>P1</x:v>
      </x:c>
      <x:c r="H51" s="24" t="str">
        <x:v>H6 / Vertical Slice</x:v>
      </x:c>
      <x:c r="I51" s="24" t="str">
        <x:v>Activo</x:v>
      </x:c>
      <x:c r="J51" s="24" t="str">
        <x:v>VRM Games</x:v>
      </x:c>
      <x:c r="K51" s="24" t="str">
        <x:v>Criterio de aceptación</x:v>
      </x:c>
    </x:row>
    <x:row r="52" ht="38" customHeight="1">
      <x:c r="A52" s="24" t="str">
        <x:v>VS-QUE-002</x:v>
      </x:c>
      <x:c r="B52" s="24" t="str">
        <x:v>02_Vertical_Slice_Specification.md</x:v>
      </x:c>
      <x:c r="C52" s="24" t="str">
        <x:v>7. Registro de criterios de aceptación</x:v>
      </x:c>
      <x:c r="D52" s="24" t="str">
        <x:v>Cola</x:v>
      </x:c>
      <x:c r="E52" s="24" t="str">
        <x:v>Posiciones se liberan y avanzan correctamente.</x:v>
      </x:c>
      <x:c r="F52" s="24" t="str">
        <x:v>Observación.</x:v>
      </x:c>
      <x:c r="G52" s="24" t="str">
        <x:v>P1</x:v>
      </x:c>
      <x:c r="H52" s="24" t="str">
        <x:v>H6 / Vertical Slice</x:v>
      </x:c>
      <x:c r="I52" s="24" t="str">
        <x:v>Activo</x:v>
      </x:c>
      <x:c r="J52" s="24" t="str">
        <x:v>VRM Games</x:v>
      </x:c>
      <x:c r="K52" s="24" t="str">
        <x:v>Criterio de aceptación</x:v>
      </x:c>
    </x:row>
    <x:row r="53" ht="38" customHeight="1">
      <x:c r="A53" s="24" t="str">
        <x:v>VS-QUE-003</x:v>
      </x:c>
      <x:c r="B53" s="24" t="str">
        <x:v>02_Vertical_Slice_Specification.md</x:v>
      </x:c>
      <x:c r="C53" s="24" t="str">
        <x:v>7. Registro de criterios de aceptación</x:v>
      </x:c>
      <x:c r="D53" s="24" t="str">
        <x:v>Cola</x:v>
      </x:c>
      <x:c r="E53" s="24" t="str">
        <x:v>Saturación no produce bloqueo permanente.</x:v>
      </x:c>
      <x:c r="F53" s="24" t="str">
        <x:v>Stress funcional.</x:v>
      </x:c>
      <x:c r="G53" s="24" t="str">
        <x:v>P0</x:v>
      </x:c>
      <x:c r="H53" s="24" t="str">
        <x:v>H6 / Vertical Slice</x:v>
      </x:c>
      <x:c r="I53" s="24" t="str">
        <x:v>Activo</x:v>
      </x:c>
      <x:c r="J53" s="24" t="str">
        <x:v>VRM Games</x:v>
      </x:c>
      <x:c r="K53" s="24" t="str">
        <x:v>Criterio de aceptación</x:v>
      </x:c>
    </x:row>
    <x:row r="54" ht="38" customHeight="1">
      <x:c r="A54" s="24" t="str">
        <x:v>VS-CHK-001</x:v>
      </x:c>
      <x:c r="B54" s="24" t="str">
        <x:v>02_Vertical_Slice_Specification.md</x:v>
      </x:c>
      <x:c r="C54" s="24" t="str">
        <x:v>7. Registro de criterios de aceptación</x:v>
      </x:c>
      <x:c r="D54" s="24" t="str">
        <x:v>Checkout</x:v>
      </x:c>
      <x:c r="E54" s="24" t="str">
        <x:v>Preflight rechaza transacción inválida sin mutación.</x:v>
      </x:c>
      <x:c r="F54" s="24" t="str">
        <x:v>Test negativo.</x:v>
      </x:c>
      <x:c r="G54" s="24" t="str">
        <x:v>P0</x:v>
      </x:c>
      <x:c r="H54" s="24" t="str">
        <x:v>H6 / Vertical Slice</x:v>
      </x:c>
      <x:c r="I54" s="24" t="str">
        <x:v>Activo</x:v>
      </x:c>
      <x:c r="J54" s="24" t="str">
        <x:v>VRM Games</x:v>
      </x:c>
      <x:c r="K54" s="24" t="str">
        <x:v>Criterio de aceptación</x:v>
      </x:c>
    </x:row>
    <x:row r="55" ht="38" customHeight="1">
      <x:c r="A55" s="24" t="str">
        <x:v>VS-CHK-002</x:v>
      </x:c>
      <x:c r="B55" s="24" t="str">
        <x:v>02_Vertical_Slice_Specification.md</x:v>
      </x:c>
      <x:c r="C55" s="24" t="str">
        <x:v>7. Registro de criterios de aceptación</x:v>
      </x:c>
      <x:c r="D55" s="24" t="str">
        <x:v>Checkout</x:v>
      </x:c>
      <x:c r="E55" s="24" t="str">
        <x:v>Venta válida consume una unidad y registra un ingreso.</x:v>
      </x:c>
      <x:c r="F55" s="24" t="str">
        <x:v>Test automatizado.</x:v>
      </x:c>
      <x:c r="G55" s="24" t="str">
        <x:v>P0</x:v>
      </x:c>
      <x:c r="H55" s="24" t="str">
        <x:v>H6 / Vertical Slice</x:v>
      </x:c>
      <x:c r="I55" s="24" t="str">
        <x:v>Activo</x:v>
      </x:c>
      <x:c r="J55" s="24" t="str">
        <x:v>VRM Games</x:v>
      </x:c>
      <x:c r="K55" s="24" t="str">
        <x:v>Criterio de aceptación</x:v>
      </x:c>
    </x:row>
    <x:row r="56" ht="38" customHeight="1">
      <x:c r="A56" s="24" t="str">
        <x:v>VS-CHK-003</x:v>
      </x:c>
      <x:c r="B56" s="24" t="str">
        <x:v>02_Vertical_Slice_Specification.md</x:v>
      </x:c>
      <x:c r="C56" s="24" t="str">
        <x:v>7. Registro de criterios de aceptación</x:v>
      </x:c>
      <x:c r="D56" s="24" t="str">
        <x:v>Checkout</x:v>
      </x:c>
      <x:c r="E56" s="24" t="str">
        <x:v>La misma venta no puede confirmarse dos veces.</x:v>
      </x:c>
      <x:c r="F56" s="24" t="str">
        <x:v>Doble input/evento.</x:v>
      </x:c>
      <x:c r="G56" s="24" t="str">
        <x:v>P0</x:v>
      </x:c>
      <x:c r="H56" s="24" t="str">
        <x:v>H6 / Vertical Slice</x:v>
      </x:c>
      <x:c r="I56" s="24" t="str">
        <x:v>Activo</x:v>
      </x:c>
      <x:c r="J56" s="24" t="str">
        <x:v>VRM Games</x:v>
      </x:c>
      <x:c r="K56" s="24" t="str">
        <x:v>Criterio de aceptación</x:v>
      </x:c>
    </x:row>
    <x:row r="57" ht="38" customHeight="1">
      <x:c r="A57" s="24" t="str">
        <x:v>VS-CHK-004</x:v>
      </x:c>
      <x:c r="B57" s="24" t="str">
        <x:v>02_Vertical_Slice_Specification.md</x:v>
      </x:c>
      <x:c r="C57" s="24" t="str">
        <x:v>7. Registro de criterios de aceptación</x:v>
      </x:c>
      <x:c r="D57" s="24" t="str">
        <x:v>Checkout</x:v>
      </x:c>
      <x:c r="E57" s="24" t="str">
        <x:v>Cliente, reserva, cola y métricas quedan resueltos tras vender.</x:v>
      </x:c>
      <x:c r="F57" s="24" t="str">
        <x:v>Inspección postcondición.</x:v>
      </x:c>
      <x:c r="G57" s="24" t="str">
        <x:v>P0</x:v>
      </x:c>
      <x:c r="H57" s="24" t="str">
        <x:v>H6 / Vertical Slice</x:v>
      </x:c>
      <x:c r="I57" s="24" t="str">
        <x:v>Activo</x:v>
      </x:c>
      <x:c r="J57" s="24" t="str">
        <x:v>VRM Games</x:v>
      </x:c>
      <x:c r="K57" s="24" t="str">
        <x:v>Criterio de aceptación</x:v>
      </x:c>
    </x:row>
    <x:row r="58" ht="38" customHeight="1">
      <x:c r="A58" s="24" t="str">
        <x:v>VS-DAY-001</x:v>
      </x:c>
      <x:c r="B58" s="24" t="str">
        <x:v>02_Vertical_Slice_Specification.md</x:v>
      </x:c>
      <x:c r="C58" s="24" t="str">
        <x:v>7. Registro de criterios de aceptación</x:v>
      </x:c>
      <x:c r="D58" s="24" t="str">
        <x:v>Ciclo diario</x:v>
      </x:c>
      <x:c r="E58" s="24" t="str">
        <x:v>Transiciones entre estados siguen el orden permitido.</x:v>
      </x:c>
      <x:c r="F58" s="24" t="str">
        <x:v>Test de state machine.</x:v>
      </x:c>
      <x:c r="G58" s="24" t="str">
        <x:v>P1</x:v>
      </x:c>
      <x:c r="H58" s="24" t="str">
        <x:v>H6 / Vertical Slice</x:v>
      </x:c>
      <x:c r="I58" s="24" t="str">
        <x:v>Activo</x:v>
      </x:c>
      <x:c r="J58" s="24" t="str">
        <x:v>VRM Games</x:v>
      </x:c>
      <x:c r="K58" s="24" t="str">
        <x:v>Criterio de aceptación</x:v>
      </x:c>
    </x:row>
    <x:row r="59" ht="38" customHeight="1">
      <x:c r="A59" s="24" t="str">
        <x:v>VS-DAY-002</x:v>
      </x:c>
      <x:c r="B59" s="24" t="str">
        <x:v>02_Vertical_Slice_Specification.md</x:v>
      </x:c>
      <x:c r="C59" s="24" t="str">
        <x:v>7. Registro de criterios de aceptación</x:v>
      </x:c>
      <x:c r="D59" s="24" t="str">
        <x:v>Ciclo diario</x:v>
      </x:c>
      <x:c r="E59" s="24" t="str">
        <x:v>Abrir habilita clientes una sola vez.</x:v>
      </x:c>
      <x:c r="F59" s="24" t="str">
        <x:v>Prueba de apertura.</x:v>
      </x:c>
      <x:c r="G59" s="24" t="str">
        <x:v>P0</x:v>
      </x:c>
      <x:c r="H59" s="24" t="str">
        <x:v>H6 / Vertical Slice</x:v>
      </x:c>
      <x:c r="I59" s="24" t="str">
        <x:v>Activo</x:v>
      </x:c>
      <x:c r="J59" s="24" t="str">
        <x:v>VRM Games</x:v>
      </x:c>
      <x:c r="K59" s="24" t="str">
        <x:v>Criterio de aceptación</x:v>
      </x:c>
    </x:row>
    <x:row r="60" ht="38" customHeight="1">
      <x:c r="A60" s="24" t="str">
        <x:v>VS-DAY-003</x:v>
      </x:c>
      <x:c r="B60" s="24" t="str">
        <x:v>02_Vertical_Slice_Specification.md</x:v>
      </x:c>
      <x:c r="C60" s="24" t="str">
        <x:v>7. Registro de criterios de aceptación</x:v>
      </x:c>
      <x:c r="D60" s="24" t="str">
        <x:v>Ciclo diario</x:v>
      </x:c>
      <x:c r="E60" s="24" t="str">
        <x:v>Cerrar impide nuevas entradas y resuelve activos.</x:v>
      </x:c>
      <x:c r="F60" s="24" t="str">
        <x:v>Cierre manual/forzado.</x:v>
      </x:c>
      <x:c r="G60" s="24" t="str">
        <x:v>P1</x:v>
      </x:c>
      <x:c r="H60" s="24" t="str">
        <x:v>H6 / Vertical Slice</x:v>
      </x:c>
      <x:c r="I60" s="24" t="str">
        <x:v>Activo</x:v>
      </x:c>
      <x:c r="J60" s="24" t="str">
        <x:v>VRM Games</x:v>
      </x:c>
      <x:c r="K60" s="24" t="str">
        <x:v>Criterio de aceptación</x:v>
      </x:c>
    </x:row>
    <x:row r="61" ht="38" customHeight="1">
      <x:c r="A61" s="24" t="str">
        <x:v>VS-DAY-004</x:v>
      </x:c>
      <x:c r="B61" s="24" t="str">
        <x:v>02_Vertical_Slice_Specification.md</x:v>
      </x:c>
      <x:c r="C61" s="24" t="str">
        <x:v>7. Registro de criterios de aceptación</x:v>
      </x:c>
      <x:c r="D61" s="24" t="str">
        <x:v>Ciclo diario</x:v>
      </x:c>
      <x:c r="E61" s="24" t="str">
        <x:v>Resumen y avance se generan una sola vez.</x:v>
      </x:c>
      <x:c r="F61" s="24" t="str">
        <x:v>Doble input/recarga.</x:v>
      </x:c>
      <x:c r="G61" s="24" t="str">
        <x:v>P0</x:v>
      </x:c>
      <x:c r="H61" s="24" t="str">
        <x:v>H6 / Vertical Slice</x:v>
      </x:c>
      <x:c r="I61" s="24" t="str">
        <x:v>Activo</x:v>
      </x:c>
      <x:c r="J61" s="24" t="str">
        <x:v>VRM Games</x:v>
      </x:c>
      <x:c r="K61" s="24" t="str">
        <x:v>Criterio de aceptación</x:v>
      </x:c>
    </x:row>
    <x:row r="62" ht="38" customHeight="1">
      <x:c r="A62" s="24" t="str">
        <x:v>VS-ECO-001</x:v>
      </x:c>
      <x:c r="B62" s="24" t="str">
        <x:v>02_Vertical_Slice_Specification.md</x:v>
      </x:c>
      <x:c r="C62" s="24" t="str">
        <x:v>7. Registro de criterios de aceptación</x:v>
      </x:c>
      <x:c r="D62" s="24" t="str">
        <x:v>Economía</x:v>
      </x:c>
      <x:c r="E62" s="24" t="str">
        <x:v>Todo cambio de saldo tiene movimiento registrado.</x:v>
      </x:c>
      <x:c r="F62" s="24" t="str">
        <x:v>Auditoría contable.</x:v>
      </x:c>
      <x:c r="G62" s="24" t="str">
        <x:v>P1</x:v>
      </x:c>
      <x:c r="H62" s="24" t="str">
        <x:v>H6 / Vertical Slice</x:v>
      </x:c>
      <x:c r="I62" s="24" t="str">
        <x:v>Activo</x:v>
      </x:c>
      <x:c r="J62" s="24" t="str">
        <x:v>VRM Games</x:v>
      </x:c>
      <x:c r="K62" s="24" t="str">
        <x:v>Criterio de aceptación</x:v>
      </x:c>
    </x:row>
    <x:row r="63" ht="38" customHeight="1">
      <x:c r="A63" s="24" t="str">
        <x:v>VS-ECO-002</x:v>
      </x:c>
      <x:c r="B63" s="24" t="str">
        <x:v>02_Vertical_Slice_Specification.md</x:v>
      </x:c>
      <x:c r="C63" s="24" t="str">
        <x:v>7. Registro de criterios de aceptación</x:v>
      </x:c>
      <x:c r="D63" s="24" t="str">
        <x:v>Economía</x:v>
      </x:c>
      <x:c r="E63" s="24" t="str">
        <x:v>Venta genera un único ingreso con precio correcto.</x:v>
      </x:c>
      <x:c r="F63" s="24" t="str">
        <x:v>Test de transacción.</x:v>
      </x:c>
      <x:c r="G63" s="24" t="str">
        <x:v>P1</x:v>
      </x:c>
      <x:c r="H63" s="24" t="str">
        <x:v>H6 / Vertical Slice</x:v>
      </x:c>
      <x:c r="I63" s="24" t="str">
        <x:v>Activo</x:v>
      </x:c>
      <x:c r="J63" s="24" t="str">
        <x:v>VRM Games</x:v>
      </x:c>
      <x:c r="K63" s="24" t="str">
        <x:v>Criterio de aceptación</x:v>
      </x:c>
    </x:row>
    <x:row r="64" ht="38" customHeight="1">
      <x:c r="A64" s="24" t="str">
        <x:v>VS-ECO-003</x:v>
      </x:c>
      <x:c r="B64" s="24" t="str">
        <x:v>02_Vertical_Slice_Specification.md</x:v>
      </x:c>
      <x:c r="C64" s="24" t="str">
        <x:v>7. Registro de criterios de aceptación</x:v>
      </x:c>
      <x:c r="D64" s="24" t="str">
        <x:v>Economía</x:v>
      </x:c>
      <x:c r="E64" s="24" t="str">
        <x:v>Pedido rechazado no cambia saldo.</x:v>
      </x:c>
      <x:c r="F64" s="24" t="str">
        <x:v>Prueba negativa.</x:v>
      </x:c>
      <x:c r="G64" s="24" t="str">
        <x:v>P1</x:v>
      </x:c>
      <x:c r="H64" s="24" t="str">
        <x:v>H6 / Vertical Slice</x:v>
      </x:c>
      <x:c r="I64" s="24" t="str">
        <x:v>Activo</x:v>
      </x:c>
      <x:c r="J64" s="24" t="str">
        <x:v>VRM Games</x:v>
      </x:c>
      <x:c r="K64" s="24" t="str">
        <x:v>Criterio de aceptación</x:v>
      </x:c>
    </x:row>
    <x:row r="65" ht="38" customHeight="1">
      <x:c r="A65" s="24" t="str">
        <x:v>VS-ECO-004</x:v>
      </x:c>
      <x:c r="B65" s="24" t="str">
        <x:v>02_Vertical_Slice_Specification.md</x:v>
      </x:c>
      <x:c r="C65" s="24" t="str">
        <x:v>7. Registro de criterios de aceptación</x:v>
      </x:c>
      <x:c r="D65" s="24" t="str">
        <x:v>Economía</x:v>
      </x:c>
      <x:c r="E65" s="24" t="str">
        <x:v>Impuesto solo se aplica a beneficio semanal positivo.</x:v>
      </x:c>
      <x:c r="F65" s="24" t="str">
        <x:v>Casos positivo/cero/negativo.</x:v>
      </x:c>
      <x:c r="G65" s="24" t="str">
        <x:v>P1</x:v>
      </x:c>
      <x:c r="H65" s="24" t="str">
        <x:v>H6 / Vertical Slice</x:v>
      </x:c>
      <x:c r="I65" s="24" t="str">
        <x:v>Activo</x:v>
      </x:c>
      <x:c r="J65" s="24" t="str">
        <x:v>VRM Games</x:v>
      </x:c>
      <x:c r="K65" s="24" t="str">
        <x:v>Criterio de aceptación</x:v>
      </x:c>
    </x:row>
    <x:row r="66" ht="38" customHeight="1">
      <x:c r="A66" s="24" t="str">
        <x:v>VS-ECO-005</x:v>
      </x:c>
      <x:c r="B66" s="24" t="str">
        <x:v>02_Vertical_Slice_Specification.md</x:v>
      </x:c>
      <x:c r="C66" s="24" t="str">
        <x:v>7. Registro de criterios de aceptación</x:v>
      </x:c>
      <x:c r="D66" s="24" t="str">
        <x:v>Economía</x:v>
      </x:c>
      <x:c r="E66" s="24" t="str">
        <x:v>Resumen diario/semanal reconcilia movimientos.</x:v>
      </x:c>
      <x:c r="F66" s="24" t="str">
        <x:v>Comparación.</x:v>
      </x:c>
      <x:c r="G66" s="24" t="str">
        <x:v>P1</x:v>
      </x:c>
      <x:c r="H66" s="24" t="str">
        <x:v>H6 / Vertical Slice</x:v>
      </x:c>
      <x:c r="I66" s="24" t="str">
        <x:v>Activo</x:v>
      </x:c>
      <x:c r="J66" s="24" t="str">
        <x:v>VRM Games</x:v>
      </x:c>
      <x:c r="K66" s="24" t="str">
        <x:v>Criterio de aceptación</x:v>
      </x:c>
    </x:row>
    <x:row r="67" ht="38" customHeight="1">
      <x:c r="A67" s="24" t="str">
        <x:v>VS-SAV-001</x:v>
      </x:c>
      <x:c r="B67" s="24" t="str">
        <x:v>02_Vertical_Slice_Specification.md</x:v>
      </x:c>
      <x:c r="C67" s="24" t="str">
        <x:v>7. Registro de criterios de aceptación</x:v>
      </x:c>
      <x:c r="D67" s="24" t="str">
        <x:v>Persistencia</x:v>
      </x:c>
      <x:c r="E67" s="24" t="str">
        <x:v>Guardado conserva todos los campos obligatorios.</x:v>
      </x:c>
      <x:c r="F67" s="24" t="str">
        <x:v>Snapshot y diff.</x:v>
      </x:c>
      <x:c r="G67" s="24" t="str">
        <x:v>P0</x:v>
      </x:c>
      <x:c r="H67" s="24" t="str">
        <x:v>H6 / Vertical Slice</x:v>
      </x:c>
      <x:c r="I67" s="24" t="str">
        <x:v>Activo</x:v>
      </x:c>
      <x:c r="J67" s="24" t="str">
        <x:v>VRM Games</x:v>
      </x:c>
      <x:c r="K67" s="24" t="str">
        <x:v>Criterio de aceptación</x:v>
      </x:c>
    </x:row>
    <x:row r="68" ht="38" customHeight="1">
      <x:c r="A68" s="24" t="str">
        <x:v>VS-SAV-002</x:v>
      </x:c>
      <x:c r="B68" s="24" t="str">
        <x:v>02_Vertical_Slice_Specification.md</x:v>
      </x:c>
      <x:c r="C68" s="24" t="str">
        <x:v>7. Registro de criterios de aceptación</x:v>
      </x:c>
      <x:c r="D68" s="24" t="str">
        <x:v>Persistencia</x:v>
      </x:c>
      <x:c r="E68" s="24" t="str">
        <x:v>Carga reconstruye un estado equivalente.</x:v>
      </x:c>
      <x:c r="F68" s="24" t="str">
        <x:v>Comparación antes/después.</x:v>
      </x:c>
      <x:c r="G68" s="24" t="str">
        <x:v>P0</x:v>
      </x:c>
      <x:c r="H68" s="24" t="str">
        <x:v>H6 / Vertical Slice</x:v>
      </x:c>
      <x:c r="I68" s="24" t="str">
        <x:v>Activo</x:v>
      </x:c>
      <x:c r="J68" s="24" t="str">
        <x:v>VRM Games</x:v>
      </x:c>
      <x:c r="K68" s="24" t="str">
        <x:v>Criterio de aceptación</x:v>
      </x:c>
    </x:row>
    <x:row r="69" ht="38" customHeight="1">
      <x:c r="A69" s="24" t="str">
        <x:v>VS-SAV-003</x:v>
      </x:c>
      <x:c r="B69" s="24" t="str">
        <x:v>02_Vertical_Slice_Specification.md</x:v>
      </x:c>
      <x:c r="C69" s="24" t="str">
        <x:v>7. Registro de criterios de aceptación</x:v>
      </x:c>
      <x:c r="D69" s="24" t="str">
        <x:v>Persistencia</x:v>
      </x:c>
      <x:c r="E69" s="24" t="str">
        <x:v>Cargar no duplica pedidos, muebles, stock, clientes o ingresos.</x:v>
      </x:c>
      <x:c r="F69" s="24" t="str">
        <x:v>Prueba de repetición.</x:v>
      </x:c>
      <x:c r="G69" s="24" t="str">
        <x:v>P0</x:v>
      </x:c>
      <x:c r="H69" s="24" t="str">
        <x:v>H6 / Vertical Slice</x:v>
      </x:c>
      <x:c r="I69" s="24" t="str">
        <x:v>Activo</x:v>
      </x:c>
      <x:c r="J69" s="24" t="str">
        <x:v>VRM Games</x:v>
      </x:c>
      <x:c r="K69" s="24" t="str">
        <x:v>Criterio de aceptación</x:v>
      </x:c>
    </x:row>
    <x:row r="70" ht="38" customHeight="1">
      <x:c r="A70" s="24" t="str">
        <x:v>VS-SAV-004</x:v>
      </x:c>
      <x:c r="B70" s="24" t="str">
        <x:v>02_Vertical_Slice_Specification.md</x:v>
      </x:c>
      <x:c r="C70" s="24" t="str">
        <x:v>7. Registro de criterios de aceptación</x:v>
      </x:c>
      <x:c r="D70" s="24" t="str">
        <x:v>Persistencia</x:v>
      </x:c>
      <x:c r="E70" s="24" t="str">
        <x:v>Archivo ausente o corrupto se maneja de forma controlada.</x:v>
      </x:c>
      <x:c r="F70" s="24" t="str">
        <x:v>Prueba negativa/backup.</x:v>
      </x:c>
      <x:c r="G70" s="24" t="str">
        <x:v>P0</x:v>
      </x:c>
      <x:c r="H70" s="24" t="str">
        <x:v>H6 / Vertical Slice</x:v>
      </x:c>
      <x:c r="I70" s="24" t="str">
        <x:v>Activo</x:v>
      </x:c>
      <x:c r="J70" s="24" t="str">
        <x:v>VRM Games</x:v>
      </x:c>
      <x:c r="K70" s="24" t="str">
        <x:v>Criterio de aceptación</x:v>
      </x:c>
    </x:row>
    <x:row r="71" ht="38" customHeight="1">
      <x:c r="A71" s="24" t="str">
        <x:v>VS-SAV-005</x:v>
      </x:c>
      <x:c r="B71" s="24" t="str">
        <x:v>02_Vertical_Slice_Specification.md</x:v>
      </x:c>
      <x:c r="C71" s="24" t="str">
        <x:v>7. Registro de criterios de aceptación</x:v>
      </x:c>
      <x:c r="D71" s="24" t="str">
        <x:v>Persistencia</x:v>
      </x:c>
      <x:c r="E71" s="24" t="str">
        <x:v>Tres slots son independientes.</x:v>
      </x:c>
      <x:c r="F71" s="24" t="str">
        <x:v>Prueba cruzada.</x:v>
      </x:c>
      <x:c r="G71" s="24" t="str">
        <x:v>P0</x:v>
      </x:c>
      <x:c r="H71" s="24" t="str">
        <x:v>H6 / Vertical Slice</x:v>
      </x:c>
      <x:c r="I71" s="24" t="str">
        <x:v>Activo</x:v>
      </x:c>
      <x:c r="J71" s="24" t="str">
        <x:v>VRM Games</x:v>
      </x:c>
      <x:c r="K71" s="24" t="str">
        <x:v>Criterio de aceptación</x:v>
      </x:c>
    </x:row>
    <x:row r="72" ht="38" customHeight="1">
      <x:c r="A72" s="24" t="str">
        <x:v>VS-UI-001</x:v>
      </x:c>
      <x:c r="B72" s="24" t="str">
        <x:v>02_Vertical_Slice_Specification.md</x:v>
      </x:c>
      <x:c r="C72" s="24" t="str">
        <x:v>7. Registro de criterios de aceptación</x:v>
      </x:c>
      <x:c r="D72" s="24" t="str">
        <x:v>UI/UX</x:v>
      </x:c>
      <x:c r="E72" s="24" t="str">
        <x:v>Golden Path puede completarse sin herramientas de debug.</x:v>
      </x:c>
      <x:c r="F72" s="24" t="str">
        <x:v>Sesión guiada/no guiada.</x:v>
      </x:c>
      <x:c r="G72" s="24" t="str">
        <x:v>P2</x:v>
      </x:c>
      <x:c r="H72" s="24" t="str">
        <x:v>H6 / Vertical Slice</x:v>
      </x:c>
      <x:c r="I72" s="24" t="str">
        <x:v>Activo</x:v>
      </x:c>
      <x:c r="J72" s="24" t="str">
        <x:v>VRM Games</x:v>
      </x:c>
      <x:c r="K72" s="24" t="str">
        <x:v>Criterio de aceptación</x:v>
      </x:c>
    </x:row>
    <x:row r="73" ht="38" customHeight="1">
      <x:c r="A73" s="24" t="str">
        <x:v>VS-UI-002</x:v>
      </x:c>
      <x:c r="B73" s="24" t="str">
        <x:v>02_Vertical_Slice_Specification.md</x:v>
      </x:c>
      <x:c r="C73" s="24" t="str">
        <x:v>7. Registro de criterios de aceptación</x:v>
      </x:c>
      <x:c r="D73" s="24" t="str">
        <x:v>UI/UX</x:v>
      </x:c>
      <x:c r="E73" s="24" t="str">
        <x:v>Errores y estados inválidos muestran causa comprensible.</x:v>
      </x:c>
      <x:c r="F73" s="24" t="str">
        <x:v>Checklist de feedback.</x:v>
      </x:c>
      <x:c r="G73" s="24" t="str">
        <x:v>P2</x:v>
      </x:c>
      <x:c r="H73" s="24" t="str">
        <x:v>H6 / Vertical Slice</x:v>
      </x:c>
      <x:c r="I73" s="24" t="str">
        <x:v>Activo</x:v>
      </x:c>
      <x:c r="J73" s="24" t="str">
        <x:v>VRM Games</x:v>
      </x:c>
      <x:c r="K73" s="24" t="str">
        <x:v>Criterio de aceptación</x:v>
      </x:c>
    </x:row>
    <x:row r="74" ht="38" customHeight="1">
      <x:c r="A74" s="24" t="str">
        <x:v>VS-UI-003</x:v>
      </x:c>
      <x:c r="B74" s="24" t="str">
        <x:v>02_Vertical_Slice_Specification.md</x:v>
      </x:c>
      <x:c r="C74" s="24" t="str">
        <x:v>7. Registro de criterios de aceptación</x:v>
      </x:c>
      <x:c r="D74" s="24" t="str">
        <x:v>UI/UX</x:v>
      </x:c>
      <x:c r="E74" s="24" t="str">
        <x:v>Controles críticos no dependen solo del color.</x:v>
      </x:c>
      <x:c r="F74" s="24" t="str">
        <x:v>Revisión de accesibilidad.</x:v>
      </x:c>
      <x:c r="G74" s="24" t="str">
        <x:v>P2</x:v>
      </x:c>
      <x:c r="H74" s="24" t="str">
        <x:v>H6 / Vertical Slice</x:v>
      </x:c>
      <x:c r="I74" s="24" t="str">
        <x:v>Activo</x:v>
      </x:c>
      <x:c r="J74" s="24" t="str">
        <x:v>VRM Games</x:v>
      </x:c>
      <x:c r="K74" s="24" t="str">
        <x:v>Criterio de aceptación</x:v>
      </x:c>
    </x:row>
    <x:row r="75" ht="38" customHeight="1">
      <x:c r="A75" s="24" t="str">
        <x:v>VS-UI-004</x:v>
      </x:c>
      <x:c r="B75" s="24" t="str">
        <x:v>02_Vertical_Slice_Specification.md</x:v>
      </x:c>
      <x:c r="C75" s="24" t="str">
        <x:v>7. Registro de criterios de aceptación</x:v>
      </x:c>
      <x:c r="D75" s="24" t="str">
        <x:v>UI/UX</x:v>
      </x:c>
      <x:c r="E75" s="24" t="str">
        <x:v>Textos incluidos están preparados para ES/EN sin desbordes bloqueantes.</x:v>
      </x:c>
      <x:c r="F75" s="24" t="str">
        <x:v>Revisión de localización.</x:v>
      </x:c>
      <x:c r="G75" s="24" t="str">
        <x:v>P0</x:v>
      </x:c>
      <x:c r="H75" s="24" t="str">
        <x:v>H6 / Vertical Slice</x:v>
      </x:c>
      <x:c r="I75" s="24" t="str">
        <x:v>Activo</x:v>
      </x:c>
      <x:c r="J75" s="24" t="str">
        <x:v>VRM Games</x:v>
      </x:c>
      <x:c r="K75" s="24" t="str">
        <x:v>Criterio de aceptación</x:v>
      </x:c>
    </x:row>
    <x:row r="76" ht="38" customHeight="1">
      <x:c r="A76" s="24" t="str">
        <x:v>VS-ART-001</x:v>
      </x:c>
      <x:c r="B76" s="24" t="str">
        <x:v>02_Vertical_Slice_Specification.md</x:v>
      </x:c>
      <x:c r="C76" s="24" t="str">
        <x:v>7. Registro de criterios de aceptación</x:v>
      </x:c>
      <x:c r="D76" s="24" t="str">
        <x:v>Arte y representación</x:v>
      </x:c>
      <x:c r="E76" s="24" t="str">
        <x:v>Escena cumple layout, escala y silueta aprobados.</x:v>
      </x:c>
      <x:c r="F76" s="24" t="str">
        <x:v>Revisión visual.</x:v>
      </x:c>
      <x:c r="G76" s="24" t="str">
        <x:v>P2</x:v>
      </x:c>
      <x:c r="H76" s="24" t="str">
        <x:v>H6 / Vertical Slice</x:v>
      </x:c>
      <x:c r="I76" s="24" t="str">
        <x:v>Activo</x:v>
      </x:c>
      <x:c r="J76" s="24" t="str">
        <x:v>VRM Games</x:v>
      </x:c>
      <x:c r="K76" s="24" t="str">
        <x:v>Criterio de aceptación</x:v>
      </x:c>
    </x:row>
    <x:row r="77" ht="38" customHeight="1">
      <x:c r="A77" s="24" t="str">
        <x:v>VS-ART-002</x:v>
      </x:c>
      <x:c r="B77" s="24" t="str">
        <x:v>02_Vertical_Slice_Specification.md</x:v>
      </x:c>
      <x:c r="C77" s="24" t="str">
        <x:v>7. Registro de criterios de aceptación</x:v>
      </x:c>
      <x:c r="D77" s="24" t="str">
        <x:v>Arte y representación</x:v>
      </x:c>
      <x:c r="E77" s="24" t="str">
        <x:v>Iluminación permite leer zonas, productos, clientes y cola.</x:v>
      </x:c>
      <x:c r="F77" s="24" t="str">
        <x:v>Capturas y recorrido.</x:v>
      </x:c>
      <x:c r="G77" s="24" t="str">
        <x:v>P2</x:v>
      </x:c>
      <x:c r="H77" s="24" t="str">
        <x:v>H6 / Vertical Slice</x:v>
      </x:c>
      <x:c r="I77" s="24" t="str">
        <x:v>Activo</x:v>
      </x:c>
      <x:c r="J77" s="24" t="str">
        <x:v>VRM Games</x:v>
      </x:c>
      <x:c r="K77" s="24" t="str">
        <x:v>Criterio de aceptación</x:v>
      </x:c>
    </x:row>
    <x:row r="78" ht="38" customHeight="1">
      <x:c r="A78" s="24" t="str">
        <x:v>VS-AUD-001</x:v>
      </x:c>
      <x:c r="B78" s="24" t="str">
        <x:v>02_Vertical_Slice_Specification.md</x:v>
      </x:c>
      <x:c r="C78" s="24" t="str">
        <x:v>7. Registro de criterios de aceptación</x:v>
      </x:c>
      <x:c r="D78" s="24" t="str">
        <x:v>Audio</x:v>
      </x:c>
      <x:c r="E78" s="24" t="str">
        <x:v>Acciones críticas incluidas tienen feedback sonoro o alternativa aprobada.</x:v>
      </x:c>
      <x:c r="F78" s="24" t="str">
        <x:v>Checklist.</x:v>
      </x:c>
      <x:c r="G78" s="24" t="str">
        <x:v>P2</x:v>
      </x:c>
      <x:c r="H78" s="24" t="str">
        <x:v>H6 / Vertical Slice</x:v>
      </x:c>
      <x:c r="I78" s="24" t="str">
        <x:v>Activo</x:v>
      </x:c>
      <x:c r="J78" s="24" t="str">
        <x:v>VRM Games</x:v>
      </x:c>
      <x:c r="K78" s="24" t="str">
        <x:v>Criterio de aceptación</x:v>
      </x:c>
    </x:row>
    <x:row r="79" ht="38" customHeight="1">
      <x:c r="A79" s="24" t="str">
        <x:v>VS-PER-001</x:v>
      </x:c>
      <x:c r="B79" s="24" t="str">
        <x:v>02_Vertical_Slice_Specification.md</x:v>
      </x:c>
      <x:c r="C79" s="24" t="str">
        <x:v>7. Registro de criterios de aceptación</x:v>
      </x:c>
      <x:c r="D79" s="24" t="str">
        <x:v>Rendimiento</x:v>
      </x:c>
      <x:c r="E79" s="24" t="str">
        <x:v>Prueba objetivo registra 60 FPS/1080p o desviación justificada en perfil documentado.</x:v>
      </x:c>
      <x:c r="F79" s="24" t="str">
        <x:v>Captura de profiler/medición.</x:v>
      </x:c>
      <x:c r="G79" s="24" t="str">
        <x:v>P2</x:v>
      </x:c>
      <x:c r="H79" s="24" t="str">
        <x:v>H6 / Vertical Slice</x:v>
      </x:c>
      <x:c r="I79" s="24" t="str">
        <x:v>Activo</x:v>
      </x:c>
      <x:c r="J79" s="24" t="str">
        <x:v>VRM Games</x:v>
      </x:c>
      <x:c r="K79" s="24" t="str">
        <x:v>Criterio de aceptación</x:v>
      </x:c>
    </x:row>
    <x:row r="80" ht="38" customHeight="1">
      <x:c r="A80" s="24" t="str">
        <x:v>VS-PER-002</x:v>
      </x:c>
      <x:c r="B80" s="24" t="str">
        <x:v>02_Vertical_Slice_Specification.md</x:v>
      </x:c>
      <x:c r="C80" s="24" t="str">
        <x:v>7. Registro de criterios de aceptación</x:v>
      </x:c>
      <x:c r="D80" s="24" t="str">
        <x:v>Rendimiento</x:v>
      </x:c>
      <x:c r="E80" s="24" t="str">
        <x:v>No existe degradación acumulativa grave durante la sesión extensa.</x:v>
      </x:c>
      <x:c r="F80" s="24" t="str">
        <x:v>Soak test.</x:v>
      </x:c>
      <x:c r="G80" s="24" t="str">
        <x:v>P2</x:v>
      </x:c>
      <x:c r="H80" s="24" t="str">
        <x:v>H6 / Vertical Slice</x:v>
      </x:c>
      <x:c r="I80" s="24" t="str">
        <x:v>Activo</x:v>
      </x:c>
      <x:c r="J80" s="24" t="str">
        <x:v>VRM Games</x:v>
      </x:c>
      <x:c r="K80" s="24" t="str">
        <x:v>Criterio de aceptación</x:v>
      </x:c>
    </x:row>
    <x:row r="81" ht="38" customHeight="1">
      <x:c r="A81" s="24" t="str">
        <x:v>VS-QA-001</x:v>
      </x:c>
      <x:c r="B81" s="24" t="str">
        <x:v>02_Vertical_Slice_Specification.md</x:v>
      </x:c>
      <x:c r="C81" s="24" t="str">
        <x:v>7. Registro de criterios de aceptación</x:v>
      </x:c>
      <x:c r="D81" s="24" t="str">
        <x:v>QA</x:v>
      </x:c>
      <x:c r="E81" s="24" t="str">
        <x:v>Suite automatizada completa permanece verde.</x:v>
      </x:c>
      <x:c r="F81" s="24" t="str">
        <x:v>Reporte de tests.</x:v>
      </x:c>
      <x:c r="G81" s="24" t="str">
        <x:v>P0</x:v>
      </x:c>
      <x:c r="H81" s="24" t="str">
        <x:v>H6 / Vertical Slice</x:v>
      </x:c>
      <x:c r="I81" s="24" t="str">
        <x:v>Activo</x:v>
      </x:c>
      <x:c r="J81" s="24" t="str">
        <x:v>VRM Games</x:v>
      </x:c>
      <x:c r="K81" s="24" t="str">
        <x:v>Criterio de aceptación</x:v>
      </x:c>
    </x:row>
    <x:row r="82" ht="38" customHeight="1">
      <x:c r="A82" s="24" t="str">
        <x:v>VS-QA-002</x:v>
      </x:c>
      <x:c r="B82" s="24" t="str">
        <x:v>02_Vertical_Slice_Specification.md</x:v>
      </x:c>
      <x:c r="C82" s="24" t="str">
        <x:v>7. Registro de criterios de aceptación</x:v>
      </x:c>
      <x:c r="D82" s="24" t="str">
        <x:v>QA</x:v>
      </x:c>
      <x:c r="E82" s="24" t="str">
        <x:v>Golden Path manual obtiene PASS reproducible.</x:v>
      </x:c>
      <x:c r="F82" s="24" t="str">
        <x:v>Acta de ejecución.</x:v>
      </x:c>
      <x:c r="G82" s="24" t="str">
        <x:v>P0</x:v>
      </x:c>
      <x:c r="H82" s="24" t="str">
        <x:v>H6 / Vertical Slice</x:v>
      </x:c>
      <x:c r="I82" s="24" t="str">
        <x:v>Activo</x:v>
      </x:c>
      <x:c r="J82" s="24" t="str">
        <x:v>VRM Games</x:v>
      </x:c>
      <x:c r="K82" s="24" t="str">
        <x:v>Criterio de aceptación</x:v>
      </x:c>
    </x:row>
    <x:row r="83" ht="38" customHeight="1">
      <x:c r="A83" s="24" t="str">
        <x:v>VS-BUILD-001</x:v>
      </x:c>
      <x:c r="B83" s="24" t="str">
        <x:v>02_Vertical_Slice_Specification.md</x:v>
      </x:c>
      <x:c r="C83" s="24" t="str">
        <x:v>7. Registro de criterios de aceptación</x:v>
      </x:c>
      <x:c r="D83" s="24" t="str">
        <x:v>Build</x:v>
      </x:c>
      <x:c r="E83" s="24" t="str">
        <x:v>Windows x64 Development Build se genera sin error.</x:v>
      </x:c>
      <x:c r="F83" s="24" t="str">
        <x:v>Artefacto y log.</x:v>
      </x:c>
      <x:c r="G83" s="24" t="str">
        <x:v>P0</x:v>
      </x:c>
      <x:c r="H83" s="24" t="str">
        <x:v>H6 / Vertical Slice</x:v>
      </x:c>
      <x:c r="I83" s="24" t="str">
        <x:v>Activo</x:v>
      </x:c>
      <x:c r="J83" s="24" t="str">
        <x:v>VRM Games</x:v>
      </x:c>
      <x:c r="K83" s="24" t="str">
        <x:v>Criterio de aceptación</x:v>
      </x:c>
    </x:row>
    <x:row r="84" ht="38" customHeight="1">
      <x:c r="A84" s="24" t="str">
        <x:v>VS-BUILD-002</x:v>
      </x:c>
      <x:c r="B84" s="24" t="str">
        <x:v>02_Vertical_Slice_Specification.md</x:v>
      </x:c>
      <x:c r="C84" s="24" t="str">
        <x:v>7. Registro de criterios de aceptación</x:v>
      </x:c>
      <x:c r="D84" s="24" t="str">
        <x:v>Build</x:v>
      </x:c>
      <x:c r="E84" s="24" t="str">
        <x:v>Ejecutable arranca y completa Golden Path fuera del Editor.</x:v>
      </x:c>
      <x:c r="F84" s="24" t="str">
        <x:v>Acta externa.</x:v>
      </x:c>
      <x:c r="G84" s="24" t="str">
        <x:v>P0</x:v>
      </x:c>
      <x:c r="H84" s="24" t="str">
        <x:v>H6 / Vertical Slice</x:v>
      </x:c>
      <x:c r="I84" s="24" t="str">
        <x:v>Activo</x:v>
      </x:c>
      <x:c r="J84" s="24" t="str">
        <x:v>VRM Games</x:v>
      </x:c>
      <x:c r="K84" s="24" t="str">
        <x:v>Criterio de aceptación</x:v>
      </x:c>
    </x:row>
    <x:row r="85" ht="38" customHeight="1">
      <x:c r="A85" s="24" t="str">
        <x:v>VS-BUILD-003</x:v>
      </x:c>
      <x:c r="B85" s="24" t="str">
        <x:v>02_Vertical_Slice_Specification.md</x:v>
      </x:c>
      <x:c r="C85" s="24" t="str">
        <x:v>7. Registro de criterios de aceptación</x:v>
      </x:c>
      <x:c r="D85" s="24" t="str">
        <x:v>Build</x:v>
      </x:c>
      <x:c r="E85" s="24" t="str">
        <x:v>`Player.log` no contiene errores bloqueantes o recurrentes.</x:v>
      </x:c>
      <x:c r="F85" s="24" t="str">
        <x:v>Log archivado.</x:v>
      </x:c>
      <x:c r="G85" s="24" t="str">
        <x:v>P0</x:v>
      </x:c>
      <x:c r="H85" s="24" t="str">
        <x:v>H6 / Vertical Slice</x:v>
      </x:c>
      <x:c r="I85" s="24" t="str">
        <x:v>Activo</x:v>
      </x:c>
      <x:c r="J85" s="24" t="str">
        <x:v>VRM Games</x:v>
      </x:c>
      <x:c r="K85" s="24" t="str">
        <x:v>Criterio de aceptación</x:v>
      </x:c>
    </x:row>
    <x:row r="86" ht="38" customHeight="1">
      <x:c r="A86" s="24" t="str">
        <x:v>VS-DOC-001</x:v>
      </x:c>
      <x:c r="B86" s="24" t="str">
        <x:v>02_Vertical_Slice_Specification.md</x:v>
      </x:c>
      <x:c r="C86" s="24" t="str">
        <x:v>7. Registro de criterios de aceptación</x:v>
      </x:c>
      <x:c r="D86" s="24" t="str">
        <x:v>Documentación</x:v>
      </x:c>
      <x:c r="E86" s="24" t="str">
        <x:v>Resultados, defectos, excepciones y decisiones están trazados.</x:v>
      </x:c>
      <x:c r="F86" s="24" t="str">
        <x:v>Matriz y changelog.</x:v>
      </x:c>
      <x:c r="G86" s="24" t="str">
        <x:v>P2</x:v>
      </x:c>
      <x:c r="H86" s="24" t="str">
        <x:v>H6 / Vertical Slice</x:v>
      </x:c>
      <x:c r="I86" s="24" t="str">
        <x:v>Activo</x:v>
      </x:c>
      <x:c r="J86" s="24" t="str">
        <x:v>VRM Games</x:v>
      </x:c>
      <x:c r="K86" s="24" t="str">
        <x:v>Criterio de aceptación</x:v>
      </x:c>
    </x:row>
    <x:row r="87" ht="38" customHeight="1">
      <x:c r="A87" s="24" t="str">
        <x:v>UX-BOOT-001</x:v>
      </x:c>
      <x:c r="B87" s="24" t="str">
        <x:v>05_UX_Flow.md</x:v>
      </x:c>
      <x:c r="C87" s="24" t="str">
        <x:v>30.1. Arranque y escenas</x:v>
      </x:c>
      <x:c r="D87" s="24" t="str">
        <x:v>Bootstrap y escenas</x:v>
      </x:c>
      <x:c r="E87" s="24" t="str">
        <x:v>La aplicación entra por Bootstrap.</x:v>
      </x:c>
      <x:c r="F87" s="24" t="str">
        <x:v>Ejecución manual, captura o registro según el flujo.</x:v>
      </x:c>
      <x:c r="G87" s="24" t="str">
        <x:v>P2</x:v>
      </x:c>
      <x:c r="H87" s="24" t="str">
        <x:v>Sprint 17 / H6</x:v>
      </x:c>
      <x:c r="I87" s="24" t="str">
        <x:v>Activo</x:v>
      </x:c>
      <x:c r="J87" s="24" t="str">
        <x:v>VRM Games</x:v>
      </x:c>
      <x:c r="K87" s="24" t="str">
        <x:v>Criterio UX</x:v>
      </x:c>
    </x:row>
    <x:row r="88" ht="38" customHeight="1">
      <x:c r="A88" s="24" t="str">
        <x:v>UX-BOOT-002</x:v>
      </x:c>
      <x:c r="B88" s="24" t="str">
        <x:v>05_UX_Flow.md</x:v>
      </x:c>
      <x:c r="C88" s="24" t="str">
        <x:v>30.1. Arranque y escenas</x:v>
      </x:c>
      <x:c r="D88" s="24" t="str">
        <x:v>Bootstrap y escenas</x:v>
      </x:c>
      <x:c r="E88" s="24" t="str">
        <x:v>MainMenu se carga mediante transición controlada.</x:v>
      </x:c>
      <x:c r="F88" s="24" t="str">
        <x:v>Ejecución manual, captura o registro según el flujo.</x:v>
      </x:c>
      <x:c r="G88" s="24" t="str">
        <x:v>P2</x:v>
      </x:c>
      <x:c r="H88" s="24" t="str">
        <x:v>Sprint 17 / H6</x:v>
      </x:c>
      <x:c r="I88" s="24" t="str">
        <x:v>Activo</x:v>
      </x:c>
      <x:c r="J88" s="24" t="str">
        <x:v>VRM Games</x:v>
      </x:c>
      <x:c r="K88" s="24" t="str">
        <x:v>Criterio UX</x:v>
      </x:c>
    </x:row>
    <x:row r="89" ht="38" customHeight="1">
      <x:c r="A89" s="24" t="str">
        <x:v>UX-BOOT-003</x:v>
      </x:c>
      <x:c r="B89" s="24" t="str">
        <x:v>05_UX_Flow.md</x:v>
      </x:c>
      <x:c r="C89" s="24" t="str">
        <x:v>30.1. Arranque y escenas</x:v>
      </x:c>
      <x:c r="D89" s="24" t="str">
        <x:v>Bootstrap y escenas</x:v>
      </x:c>
      <x:c r="E89" s="24" t="str">
        <x:v>No existen solicitudes concurrentes de escena.</x:v>
      </x:c>
      <x:c r="F89" s="24" t="str">
        <x:v>Ejecución manual, captura o registro según el flujo.</x:v>
      </x:c>
      <x:c r="G89" s="24" t="str">
        <x:v>P2</x:v>
      </x:c>
      <x:c r="H89" s="24" t="str">
        <x:v>Sprint 17 / H6</x:v>
      </x:c>
      <x:c r="I89" s="24" t="str">
        <x:v>Activo</x:v>
      </x:c>
      <x:c r="J89" s="24" t="str">
        <x:v>VRM Games</x:v>
      </x:c>
      <x:c r="K89" s="24" t="str">
        <x:v>Criterio UX</x:v>
      </x:c>
    </x:row>
    <x:row r="90" ht="38" customHeight="1">
      <x:c r="A90" s="24" t="str">
        <x:v>UX-BOOT-004</x:v>
      </x:c>
      <x:c r="B90" s="24" t="str">
        <x:v>05_UX_Flow.md</x:v>
      </x:c>
      <x:c r="C90" s="24" t="str">
        <x:v>30.1. Arranque y escenas</x:v>
      </x:c>
      <x:c r="D90" s="24" t="str">
        <x:v>Bootstrap y escenas</x:v>
      </x:c>
      <x:c r="E90" s="24" t="str">
        <x:v>TestLab no aparece en producción.</x:v>
      </x:c>
      <x:c r="F90" s="24" t="str">
        <x:v>Ejecución manual, captura o registro según el flujo.</x:v>
      </x:c>
      <x:c r="G90" s="24" t="str">
        <x:v>P2</x:v>
      </x:c>
      <x:c r="H90" s="24" t="str">
        <x:v>Sprint 17 / H6</x:v>
      </x:c>
      <x:c r="I90" s="24" t="str">
        <x:v>Activo</x:v>
      </x:c>
      <x:c r="J90" s="24" t="str">
        <x:v>VRM Games</x:v>
      </x:c>
      <x:c r="K90" s="24" t="str">
        <x:v>Criterio UX</x:v>
      </x:c>
    </x:row>
    <x:row r="91" ht="38" customHeight="1">
      <x:c r="A91" s="24" t="str">
        <x:v>UX-BOOT-005</x:v>
      </x:c>
      <x:c r="B91" s="24" t="str">
        <x:v>05_UX_Flow.md</x:v>
      </x:c>
      <x:c r="C91" s="24" t="str">
        <x:v>30.1. Arranque y escenas</x:v>
      </x:c>
      <x:c r="D91" s="24" t="str">
        <x:v>Bootstrap y escenas</x:v>
      </x:c>
      <x:c r="E91" s="24" t="str">
        <x:v>Un fallo de carga ofrece recuperación segura.</x:v>
      </x:c>
      <x:c r="F91" s="24" t="str">
        <x:v>Ejecución manual, captura o registro según el flujo.</x:v>
      </x:c>
      <x:c r="G91" s="24" t="str">
        <x:v>P2</x:v>
      </x:c>
      <x:c r="H91" s="24" t="str">
        <x:v>Sprint 17 / H6</x:v>
      </x:c>
      <x:c r="I91" s="24" t="str">
        <x:v>Activo</x:v>
      </x:c>
      <x:c r="J91" s="24" t="str">
        <x:v>VRM Games</x:v>
      </x:c>
      <x:c r="K91" s="24" t="str">
        <x:v>Criterio UX</x:v>
      </x:c>
    </x:row>
    <x:row r="92" ht="38" customHeight="1">
      <x:c r="A92" s="24" t="str">
        <x:v>UX-BOOT-006</x:v>
      </x:c>
      <x:c r="B92" s="24" t="str">
        <x:v>05_UX_Flow.md</x:v>
      </x:c>
      <x:c r="C92" s="24" t="str">
        <x:v>30.1. Arranque y escenas</x:v>
      </x:c>
      <x:c r="D92" s="24" t="str">
        <x:v>Bootstrap y escenas</x:v>
      </x:c>
      <x:c r="E92" s="24" t="str">
        <x:v>El clic de cierre de loading no mueve al jugador.</x:v>
      </x:c>
      <x:c r="F92" s="24" t="str">
        <x:v>Ejecución manual, captura o registro según el flujo.</x:v>
      </x:c>
      <x:c r="G92" s="24" t="str">
        <x:v>P2</x:v>
      </x:c>
      <x:c r="H92" s="24" t="str">
        <x:v>Sprint 17 / H6</x:v>
      </x:c>
      <x:c r="I92" s="24" t="str">
        <x:v>Activo</x:v>
      </x:c>
      <x:c r="J92" s="24" t="str">
        <x:v>VRM Games</x:v>
      </x:c>
      <x:c r="K92" s="24" t="str">
        <x:v>Criterio UX</x:v>
      </x:c>
    </x:row>
    <x:row r="93" ht="38" customHeight="1">
      <x:c r="A93" s="24" t="str">
        <x:v>UX-SLOT-001</x:v>
      </x:c>
      <x:c r="B93" s="24" t="str">
        <x:v>05_UX_Flow.md</x:v>
      </x:c>
      <x:c r="C93" s="24" t="str">
        <x:v>30.2. Slots</x:v>
      </x:c>
      <x:c r="D93" s="24" t="str">
        <x:v>Slots y persistencia</x:v>
      </x:c>
      <x:c r="E93" s="24" t="str">
        <x:v>Un slot vacío ofrece nueva partida.</x:v>
      </x:c>
      <x:c r="F93" s="24" t="str">
        <x:v>Ejecución manual, captura o registro según el flujo.</x:v>
      </x:c>
      <x:c r="G93" s="24" t="str">
        <x:v>P2</x:v>
      </x:c>
      <x:c r="H93" s="24" t="str">
        <x:v>Sprint 17 / H6</x:v>
      </x:c>
      <x:c r="I93" s="24" t="str">
        <x:v>Activo</x:v>
      </x:c>
      <x:c r="J93" s="24" t="str">
        <x:v>VRM Games</x:v>
      </x:c>
      <x:c r="K93" s="24" t="str">
        <x:v>Criterio UX</x:v>
      </x:c>
    </x:row>
    <x:row r="94" ht="38" customHeight="1">
      <x:c r="A94" s="24" t="str">
        <x:v>UX-SLOT-002</x:v>
      </x:c>
      <x:c r="B94" s="24" t="str">
        <x:v>05_UX_Flow.md</x:v>
      </x:c>
      <x:c r="C94" s="24" t="str">
        <x:v>30.2. Slots</x:v>
      </x:c>
      <x:c r="D94" s="24" t="str">
        <x:v>Slots y persistencia</x:v>
      </x:c>
      <x:c r="E94" s="24" t="str">
        <x:v>Un slot válido muestra información suficiente.</x:v>
      </x:c>
      <x:c r="F94" s="24" t="str">
        <x:v>Ejecución manual, captura o registro según el flujo.</x:v>
      </x:c>
      <x:c r="G94" s="24" t="str">
        <x:v>P2</x:v>
      </x:c>
      <x:c r="H94" s="24" t="str">
        <x:v>Sprint 17 / H6</x:v>
      </x:c>
      <x:c r="I94" s="24" t="str">
        <x:v>Activo</x:v>
      </x:c>
      <x:c r="J94" s="24" t="str">
        <x:v>VRM Games</x:v>
      </x:c>
      <x:c r="K94" s="24" t="str">
        <x:v>Criterio UX</x:v>
      </x:c>
    </x:row>
    <x:row r="95" ht="38" customHeight="1">
      <x:c r="A95" s="24" t="str">
        <x:v>UX-SLOT-003</x:v>
      </x:c>
      <x:c r="B95" s="24" t="str">
        <x:v>05_UX_Flow.md</x:v>
      </x:c>
      <x:c r="C95" s="24" t="str">
        <x:v>30.2. Slots</x:v>
      </x:c>
      <x:c r="D95" s="24" t="str">
        <x:v>Slots y persistencia</x:v>
      </x:c>
      <x:c r="E95" s="24" t="str">
        <x:v>Reemplazar exige confirmación inequívoca.</x:v>
      </x:c>
      <x:c r="F95" s="24" t="str">
        <x:v>Ejecución manual, captura o registro según el flujo.</x:v>
      </x:c>
      <x:c r="G95" s="24" t="str">
        <x:v>P2</x:v>
      </x:c>
      <x:c r="H95" s="24" t="str">
        <x:v>Sprint 17 / H6</x:v>
      </x:c>
      <x:c r="I95" s="24" t="str">
        <x:v>Activo</x:v>
      </x:c>
      <x:c r="J95" s="24" t="str">
        <x:v>VRM Games</x:v>
      </x:c>
      <x:c r="K95" s="24" t="str">
        <x:v>Criterio UX</x:v>
      </x:c>
    </x:row>
    <x:row r="96" ht="38" customHeight="1">
      <x:c r="A96" s="24" t="str">
        <x:v>UX-SLOT-004</x:v>
      </x:c>
      <x:c r="B96" s="24" t="str">
        <x:v>05_UX_Flow.md</x:v>
      </x:c>
      <x:c r="C96" s="24" t="str">
        <x:v>30.2. Slots</x:v>
      </x:c>
      <x:c r="D96" s="24" t="str">
        <x:v>Slots y persistencia</x:v>
      </x:c>
      <x:c r="E96" s="24" t="str">
        <x:v>Borrar exige confirmación.</x:v>
      </x:c>
      <x:c r="F96" s="24" t="str">
        <x:v>Ejecución manual, captura o registro según el flujo.</x:v>
      </x:c>
      <x:c r="G96" s="24" t="str">
        <x:v>P2</x:v>
      </x:c>
      <x:c r="H96" s="24" t="str">
        <x:v>Sprint 17 / H6</x:v>
      </x:c>
      <x:c r="I96" s="24" t="str">
        <x:v>Activo</x:v>
      </x:c>
      <x:c r="J96" s="24" t="str">
        <x:v>VRM Games</x:v>
      </x:c>
      <x:c r="K96" s="24" t="str">
        <x:v>Criterio UX</x:v>
      </x:c>
    </x:row>
    <x:row r="97" ht="38" customHeight="1">
      <x:c r="A97" s="24" t="str">
        <x:v>UX-SLOT-005</x:v>
      </x:c>
      <x:c r="B97" s="24" t="str">
        <x:v>05_UX_Flow.md</x:v>
      </x:c>
      <x:c r="C97" s="24" t="str">
        <x:v>30.2. Slots</x:v>
      </x:c>
      <x:c r="D97" s="24" t="str">
        <x:v>Slots y persistencia</x:v>
      </x:c>
      <x:c r="E97" s="24" t="str">
        <x:v>El backup se ofrece cuando el primario falla.</x:v>
      </x:c>
      <x:c r="F97" s="24" t="str">
        <x:v>Ejecución manual, captura o registro según el flujo.</x:v>
      </x:c>
      <x:c r="G97" s="24" t="str">
        <x:v>P2</x:v>
      </x:c>
      <x:c r="H97" s="24" t="str">
        <x:v>Sprint 17 / H6</x:v>
      </x:c>
      <x:c r="I97" s="24" t="str">
        <x:v>Activo</x:v>
      </x:c>
      <x:c r="J97" s="24" t="str">
        <x:v>VRM Games</x:v>
      </x:c>
      <x:c r="K97" s="24" t="str">
        <x:v>Criterio UX</x:v>
      </x:c>
    </x:row>
    <x:row r="98" ht="38" customHeight="1">
      <x:c r="A98" s="24" t="str">
        <x:v>UX-SLOT-006</x:v>
      </x:c>
      <x:c r="B98" s="24" t="str">
        <x:v>05_UX_Flow.md</x:v>
      </x:c>
      <x:c r="C98" s="24" t="str">
        <x:v>30.2. Slots</x:v>
      </x:c>
      <x:c r="D98" s="24" t="str">
        <x:v>Slots y persistencia</x:v>
      </x:c>
      <x:c r="E98" s="24" t="str">
        <x:v>Un error no sobrescribe el guardado existente.</x:v>
      </x:c>
      <x:c r="F98" s="24" t="str">
        <x:v>Ejecución manual, captura o registro según el flujo.</x:v>
      </x:c>
      <x:c r="G98" s="24" t="str">
        <x:v>P2</x:v>
      </x:c>
      <x:c r="H98" s="24" t="str">
        <x:v>Sprint 17 / H6</x:v>
      </x:c>
      <x:c r="I98" s="24" t="str">
        <x:v>Activo</x:v>
      </x:c>
      <x:c r="J98" s="24" t="str">
        <x:v>VRM Games</x:v>
      </x:c>
      <x:c r="K98" s="24" t="str">
        <x:v>Criterio UX</x:v>
      </x:c>
    </x:row>
    <x:row r="99" ht="38" customHeight="1">
      <x:c r="A99" s="24" t="str">
        <x:v>UX-SLOT-007</x:v>
      </x:c>
      <x:c r="B99" s="24" t="str">
        <x:v>05_UX_Flow.md</x:v>
      </x:c>
      <x:c r="C99" s="24" t="str">
        <x:v>30.2. Slots</x:v>
      </x:c>
      <x:c r="D99" s="24" t="str">
        <x:v>Slots y persistencia</x:v>
      </x:c>
      <x:c r="E99" s="24" t="str">
        <x:v>La carga no finaliza antes de restaurar escena y estado.</x:v>
      </x:c>
      <x:c r="F99" s="24" t="str">
        <x:v>Ejecución manual, captura o registro según el flujo.</x:v>
      </x:c>
      <x:c r="G99" s="24" t="str">
        <x:v>P2</x:v>
      </x:c>
      <x:c r="H99" s="24" t="str">
        <x:v>Sprint 17 / H6</x:v>
      </x:c>
      <x:c r="I99" s="24" t="str">
        <x:v>Activo</x:v>
      </x:c>
      <x:c r="J99" s="24" t="str">
        <x:v>VRM Games</x:v>
      </x:c>
      <x:c r="K99" s="24" t="str">
        <x:v>Criterio UX</x:v>
      </x:c>
    </x:row>
    <x:row r="100" ht="38" customHeight="1">
      <x:c r="A100" s="24" t="str">
        <x:v>UX-INP-001</x:v>
      </x:c>
      <x:c r="B100" s="24" t="str">
        <x:v>05_UX_Flow.md</x:v>
      </x:c>
      <x:c r="C100" s="24" t="str">
        <x:v>30.3. Input</x:v>
      </x:c>
      <x:c r="D100" s="24" t="str">
        <x:v>Input</x:v>
      </x:c>
      <x:c r="E100" s="24" t="str">
        <x:v>UI y mundo no procesan el mismo clic.</x:v>
      </x:c>
      <x:c r="F100" s="24" t="str">
        <x:v>Ejecución manual, captura o registro según el flujo.</x:v>
      </x:c>
      <x:c r="G100" s="24" t="str">
        <x:v>P1</x:v>
      </x:c>
      <x:c r="H100" s="24" t="str">
        <x:v>Sprint 17 / H6</x:v>
      </x:c>
      <x:c r="I100" s="24" t="str">
        <x:v>Activo</x:v>
      </x:c>
      <x:c r="J100" s="24" t="str">
        <x:v>VRM Games</x:v>
      </x:c>
      <x:c r="K100" s="24" t="str">
        <x:v>Criterio UX</x:v>
      </x:c>
    </x:row>
    <x:row r="101" ht="38" customHeight="1">
      <x:c r="A101" s="24" t="str">
        <x:v>UX-INP-002</x:v>
      </x:c>
      <x:c r="B101" s="24" t="str">
        <x:v>05_UX_Flow.md</x:v>
      </x:c>
      <x:c r="C101" s="24" t="str">
        <x:v>30.3. Input</x:v>
      </x:c>
      <x:c r="D101" s="24" t="str">
        <x:v>Input</x:v>
      </x:c>
      <x:c r="E101" s="24" t="str">
        <x:v>Solo un contexto captura input principal.</x:v>
      </x:c>
      <x:c r="F101" s="24" t="str">
        <x:v>Ejecución manual, captura o registro según el flujo.</x:v>
      </x:c>
      <x:c r="G101" s="24" t="str">
        <x:v>P1</x:v>
      </x:c>
      <x:c r="H101" s="24" t="str">
        <x:v>Sprint 17 / H6</x:v>
      </x:c>
      <x:c r="I101" s="24" t="str">
        <x:v>Activo</x:v>
      </x:c>
      <x:c r="J101" s="24" t="str">
        <x:v>VRM Games</x:v>
      </x:c>
      <x:c r="K101" s="24" t="str">
        <x:v>Criterio UX</x:v>
      </x:c>
    </x:row>
    <x:row r="102" ht="38" customHeight="1">
      <x:c r="A102" s="24" t="str">
        <x:v>UX-INP-003</x:v>
      </x:c>
      <x:c r="B102" s="24" t="str">
        <x:v>05_UX_Flow.md</x:v>
      </x:c>
      <x:c r="C102" s="24" t="str">
        <x:v>30.3. Input</x:v>
      </x:c>
      <x:c r="D102" s="24" t="str">
        <x:v>Input</x:v>
      </x:c>
      <x:c r="E102" s="24" t="str">
        <x:v>Escape resuelve primero el contexto más profundo.</x:v>
      </x:c>
      <x:c r="F102" s="24" t="str">
        <x:v>Ejecución manual, captura o registro según el flujo.</x:v>
      </x:c>
      <x:c r="G102" s="24" t="str">
        <x:v>P1</x:v>
      </x:c>
      <x:c r="H102" s="24" t="str">
        <x:v>Sprint 17 / H6</x:v>
      </x:c>
      <x:c r="I102" s="24" t="str">
        <x:v>Activo</x:v>
      </x:c>
      <x:c r="J102" s="24" t="str">
        <x:v>VRM Games</x:v>
      </x:c>
      <x:c r="K102" s="24" t="str">
        <x:v>Criterio UX</x:v>
      </x:c>
    </x:row>
    <x:row r="103" ht="38" customHeight="1">
      <x:c r="A103" s="24" t="str">
        <x:v>UX-INP-004</x:v>
      </x:c>
      <x:c r="B103" s="24" t="str">
        <x:v>05_UX_Flow.md</x:v>
      </x:c>
      <x:c r="C103" s="24" t="str">
        <x:v>30.3. Input</x:v>
      </x:c>
      <x:c r="D103" s="24" t="str">
        <x:v>Input</x:v>
      </x:c>
      <x:c r="E103" s="24" t="str">
        <x:v>Pausa impide mutaciones de gameplay.</x:v>
      </x:c>
      <x:c r="F103" s="24" t="str">
        <x:v>Ejecución manual, captura o registro según el flujo.</x:v>
      </x:c>
      <x:c r="G103" s="24" t="str">
        <x:v>P1</x:v>
      </x:c>
      <x:c r="H103" s="24" t="str">
        <x:v>Sprint 17 / H6</x:v>
      </x:c>
      <x:c r="I103" s="24" t="str">
        <x:v>Activo</x:v>
      </x:c>
      <x:c r="J103" s="24" t="str">
        <x:v>VRM Games</x:v>
      </x:c>
      <x:c r="K103" s="24" t="str">
        <x:v>Criterio UX</x:v>
      </x:c>
    </x:row>
    <x:row r="104" ht="38" customHeight="1">
      <x:c r="A104" s="24" t="str">
        <x:v>UX-INP-005</x:v>
      </x:c>
      <x:c r="B104" s="24" t="str">
        <x:v>05_UX_Flow.md</x:v>
      </x:c>
      <x:c r="C104" s="24" t="str">
        <x:v>30.3. Input</x:v>
      </x:c>
      <x:c r="D104" s="24" t="str">
        <x:v>Input</x:v>
      </x:c>
      <x:c r="E104" s="24" t="str">
        <x:v>Las instrucciones muestran bindings vigentes.</x:v>
      </x:c>
      <x:c r="F104" s="24" t="str">
        <x:v>Ejecución manual, captura o registro según el flujo.</x:v>
      </x:c>
      <x:c r="G104" s="24" t="str">
        <x:v>P1</x:v>
      </x:c>
      <x:c r="H104" s="24" t="str">
        <x:v>Sprint 17 / H6</x:v>
      </x:c>
      <x:c r="I104" s="24" t="str">
        <x:v>Activo</x:v>
      </x:c>
      <x:c r="J104" s="24" t="str">
        <x:v>VRM Games</x:v>
      </x:c>
      <x:c r="K104" s="24" t="str">
        <x:v>Criterio UX</x:v>
      </x:c>
    </x:row>
    <x:row r="105" ht="38" customHeight="1">
      <x:c r="A105" s="24" t="str">
        <x:v>UX-INP-006</x:v>
      </x:c>
      <x:c r="B105" s="24" t="str">
        <x:v>05_UX_Flow.md</x:v>
      </x:c>
      <x:c r="C105" s="24" t="str">
        <x:v>30.3. Input</x:v>
      </x:c>
      <x:c r="D105" s="24" t="str">
        <x:v>Input</x:v>
      </x:c>
      <x:c r="E105" s="24" t="str">
        <x:v>La cámara no activa interacciones.</x:v>
      </x:c>
      <x:c r="F105" s="24" t="str">
        <x:v>Ejecución manual, captura o registro según el flujo.</x:v>
      </x:c>
      <x:c r="G105" s="24" t="str">
        <x:v>P1</x:v>
      </x:c>
      <x:c r="H105" s="24" t="str">
        <x:v>Sprint 17 / H6</x:v>
      </x:c>
      <x:c r="I105" s="24" t="str">
        <x:v>Activo</x:v>
      </x:c>
      <x:c r="J105" s="24" t="str">
        <x:v>VRM Games</x:v>
      </x:c>
      <x:c r="K105" s="24" t="str">
        <x:v>Criterio UX</x:v>
      </x:c>
    </x:row>
    <x:row r="106" ht="38" customHeight="1">
      <x:c r="A106" s="24" t="str">
        <x:v>UX-BLD-001</x:v>
      </x:c>
      <x:c r="B106" s="24" t="str">
        <x:v>05_UX_Flow.md</x:v>
      </x:c>
      <x:c r="C106" s="24" t="str">
        <x:v>30.4. Construcción</x:v>
      </x:c>
      <x:c r="D106" s="24" t="str">
        <x:v>Construcción</x:v>
      </x:c>
      <x:c r="E106" s="24" t="str">
        <x:v>Entrar en BuildMode suprime movimiento.</x:v>
      </x:c>
      <x:c r="F106" s="24" t="str">
        <x:v>Ejecución manual, captura o registro según el flujo.</x:v>
      </x:c>
      <x:c r="G106" s="24" t="str">
        <x:v>P1</x:v>
      </x:c>
      <x:c r="H106" s="24" t="str">
        <x:v>Sprint 17 / H6</x:v>
      </x:c>
      <x:c r="I106" s="24" t="str">
        <x:v>Activo</x:v>
      </x:c>
      <x:c r="J106" s="24" t="str">
        <x:v>VRM Games</x:v>
      </x:c>
      <x:c r="K106" s="24" t="str">
        <x:v>Criterio UX</x:v>
      </x:c>
    </x:row>
    <x:row r="107" ht="38" customHeight="1">
      <x:c r="A107" s="24" t="str">
        <x:v>UX-BLD-002</x:v>
      </x:c>
      <x:c r="B107" s="24" t="str">
        <x:v>05_UX_Flow.md</x:v>
      </x:c>
      <x:c r="C107" s="24" t="str">
        <x:v>30.4. Construcción</x:v>
      </x:c>
      <x:c r="D107" s="24" t="str">
        <x:v>Construcción</x:v>
      </x:c>
      <x:c r="E107" s="24" t="str">
        <x:v>Preview coincide con grid y huella.</x:v>
      </x:c>
      <x:c r="F107" s="24" t="str">
        <x:v>Ejecución manual, captura o registro según el flujo.</x:v>
      </x:c>
      <x:c r="G107" s="24" t="str">
        <x:v>P1</x:v>
      </x:c>
      <x:c r="H107" s="24" t="str">
        <x:v>Sprint 17 / H6</x:v>
      </x:c>
      <x:c r="I107" s="24" t="str">
        <x:v>Activo</x:v>
      </x:c>
      <x:c r="J107" s="24" t="str">
        <x:v>VRM Games</x:v>
      </x:c>
      <x:c r="K107" s="24" t="str">
        <x:v>Criterio UX</x:v>
      </x:c>
    </x:row>
    <x:row r="108" ht="38" customHeight="1">
      <x:c r="A108" s="24" t="str">
        <x:v>UX-BLD-003</x:v>
      </x:c>
      <x:c r="B108" s="24" t="str">
        <x:v>05_UX_Flow.md</x:v>
      </x:c>
      <x:c r="C108" s="24" t="str">
        <x:v>30.4. Construcción</x:v>
      </x:c>
      <x:c r="D108" s="24" t="str">
        <x:v>Construcción</x:v>
      </x:c>
      <x:c r="E108" s="24" t="str">
        <x:v>Q/E rota y revalida.</x:v>
      </x:c>
      <x:c r="F108" s="24" t="str">
        <x:v>Ejecución manual, captura o registro según el flujo.</x:v>
      </x:c>
      <x:c r="G108" s="24" t="str">
        <x:v>P1</x:v>
      </x:c>
      <x:c r="H108" s="24" t="str">
        <x:v>Sprint 17 / H6</x:v>
      </x:c>
      <x:c r="I108" s="24" t="str">
        <x:v>Activo</x:v>
      </x:c>
      <x:c r="J108" s="24" t="str">
        <x:v>VRM Games</x:v>
      </x:c>
      <x:c r="K108" s="24" t="str">
        <x:v>Criterio UX</x:v>
      </x:c>
    </x:row>
    <x:row r="109" ht="38" customHeight="1">
      <x:c r="A109" s="24" t="str">
        <x:v>UX-BLD-004</x:v>
      </x:c>
      <x:c r="B109" s="24" t="str">
        <x:v>05_UX_Flow.md</x:v>
      </x:c>
      <x:c r="C109" s="24" t="str">
        <x:v>30.4. Construcción</x:v>
      </x:c>
      <x:c r="D109" s="24" t="str">
        <x:v>Construcción</x:v>
      </x:c>
      <x:c r="E109" s="24" t="str">
        <x:v>Un placement inválido explica causa.</x:v>
      </x:c>
      <x:c r="F109" s="24" t="str">
        <x:v>Ejecución manual, captura o registro según el flujo.</x:v>
      </x:c>
      <x:c r="G109" s="24" t="str">
        <x:v>P1</x:v>
      </x:c>
      <x:c r="H109" s="24" t="str">
        <x:v>Sprint 17 / H6</x:v>
      </x:c>
      <x:c r="I109" s="24" t="str">
        <x:v>Activo</x:v>
      </x:c>
      <x:c r="J109" s="24" t="str">
        <x:v>VRM Games</x:v>
      </x:c>
      <x:c r="K109" s="24" t="str">
        <x:v>Criterio UX</x:v>
      </x:c>
    </x:row>
    <x:row r="110" ht="38" customHeight="1">
      <x:c r="A110" s="24" t="str">
        <x:v>UX-BLD-005</x:v>
      </x:c>
      <x:c r="B110" s="24" t="str">
        <x:v>05_UX_Flow.md</x:v>
      </x:c>
      <x:c r="C110" s="24" t="str">
        <x:v>30.4. Construcción</x:v>
      </x:c>
      <x:c r="D110" s="24" t="str">
        <x:v>Construcción</x:v>
      </x:c>
      <x:c r="E110" s="24" t="str">
        <x:v>Un placement inválido no cobra ni ocupa.</x:v>
      </x:c>
      <x:c r="F110" s="24" t="str">
        <x:v>Ejecución manual, captura o registro según el flujo.</x:v>
      </x:c>
      <x:c r="G110" s="24" t="str">
        <x:v>P1</x:v>
      </x:c>
      <x:c r="H110" s="24" t="str">
        <x:v>Sprint 17 / H6</x:v>
      </x:c>
      <x:c r="I110" s="24" t="str">
        <x:v>Activo</x:v>
      </x:c>
      <x:c r="J110" s="24" t="str">
        <x:v>VRM Games</x:v>
      </x:c>
      <x:c r="K110" s="24" t="str">
        <x:v>Criterio UX</x:v>
      </x:c>
    </x:row>
    <x:row r="111" ht="38" customHeight="1">
      <x:c r="A111" s="24" t="str">
        <x:v>UX-BLD-006</x:v>
      </x:c>
      <x:c r="B111" s="24" t="str">
        <x:v>05_UX_Flow.md</x:v>
      </x:c>
      <x:c r="C111" s="24" t="str">
        <x:v>30.4. Construcción</x:v>
      </x:c>
      <x:c r="D111" s="24" t="str">
        <x:v>Construcción</x:v>
      </x:c>
      <x:c r="E111" s="24" t="str">
        <x:v>Cancelar movimiento restaura estado anterior.</x:v>
      </x:c>
      <x:c r="F111" s="24" t="str">
        <x:v>Ejecución manual, captura o registro según el flujo.</x:v>
      </x:c>
      <x:c r="G111" s="24" t="str">
        <x:v>P1</x:v>
      </x:c>
      <x:c r="H111" s="24" t="str">
        <x:v>Sprint 17 / H6</x:v>
      </x:c>
      <x:c r="I111" s="24" t="str">
        <x:v>Activo</x:v>
      </x:c>
      <x:c r="J111" s="24" t="str">
        <x:v>VRM Games</x:v>
      </x:c>
      <x:c r="K111" s="24" t="str">
        <x:v>Criterio UX</x:v>
      </x:c>
    </x:row>
    <x:row r="112" ht="38" customHeight="1">
      <x:c r="A112" s="24" t="str">
        <x:v>UX-BLD-007</x:v>
      </x:c>
      <x:c r="B112" s="24" t="str">
        <x:v>05_UX_Flow.md</x:v>
      </x:c>
      <x:c r="C112" s="24" t="str">
        <x:v>30.4. Construcción</x:v>
      </x:c>
      <x:c r="D112" s="24" t="str">
        <x:v>Construcción</x:v>
      </x:c>
      <x:c r="E112" s="24" t="str">
        <x:v>Retirar no destruye stock silenciosamente.</x:v>
      </x:c>
      <x:c r="F112" s="24" t="str">
        <x:v>Ejecución manual, captura o registro según el flujo.</x:v>
      </x:c>
      <x:c r="G112" s="24" t="str">
        <x:v>P1</x:v>
      </x:c>
      <x:c r="H112" s="24" t="str">
        <x:v>Sprint 17 / H6</x:v>
      </x:c>
      <x:c r="I112" s="24" t="str">
        <x:v>Activo</x:v>
      </x:c>
      <x:c r="J112" s="24" t="str">
        <x:v>VRM Games</x:v>
      </x:c>
      <x:c r="K112" s="24" t="str">
        <x:v>Criterio UX</x:v>
      </x:c>
    </x:row>
    <x:row r="113" ht="38" customHeight="1">
      <x:c r="A113" s="24" t="str">
        <x:v>UX-BLD-008</x:v>
      </x:c>
      <x:c r="B113" s="24" t="str">
        <x:v>05_UX_Flow.md</x:v>
      </x:c>
      <x:c r="C113" s="24" t="str">
        <x:v>30.4. Construcción</x:v>
      </x:c>
      <x:c r="D113" s="24" t="str">
        <x:v>Construcción</x:v>
      </x:c>
      <x:c r="E113" s="24" t="str">
        <x:v>El feedback no depende solo del color.</x:v>
      </x:c>
      <x:c r="F113" s="24" t="str">
        <x:v>Ejecución manual, captura o registro según el flujo.</x:v>
      </x:c>
      <x:c r="G113" s="24" t="str">
        <x:v>P1</x:v>
      </x:c>
      <x:c r="H113" s="24" t="str">
        <x:v>Sprint 17 / H6</x:v>
      </x:c>
      <x:c r="I113" s="24" t="str">
        <x:v>Activo</x:v>
      </x:c>
      <x:c r="J113" s="24" t="str">
        <x:v>VRM Games</x:v>
      </x:c>
      <x:c r="K113" s="24" t="str">
        <x:v>Criterio UX</x:v>
      </x:c>
    </x:row>
    <x:row r="114" ht="38" customHeight="1">
      <x:c r="A114" s="24" t="str">
        <x:v>UX-BLD-009</x:v>
      </x:c>
      <x:c r="B114" s="24" t="str">
        <x:v>05_UX_Flow.md</x:v>
      </x:c>
      <x:c r="C114" s="24" t="str">
        <x:v>30.4. Construcción</x:v>
      </x:c>
      <x:c r="D114" s="24" t="str">
        <x:v>Construcción</x:v>
      </x:c>
      <x:c r="E114" s="24" t="str">
        <x:v>Cerrar BuildMode no produce clic de mundo.</x:v>
      </x:c>
      <x:c r="F114" s="24" t="str">
        <x:v>Ejecución manual, captura o registro según el flujo.</x:v>
      </x:c>
      <x:c r="G114" s="24" t="str">
        <x:v>P1</x:v>
      </x:c>
      <x:c r="H114" s="24" t="str">
        <x:v>Sprint 17 / H6</x:v>
      </x:c>
      <x:c r="I114" s="24" t="str">
        <x:v>Activo</x:v>
      </x:c>
      <x:c r="J114" s="24" t="str">
        <x:v>VRM Games</x:v>
      </x:c>
      <x:c r="K114" s="24" t="str">
        <x:v>Criterio UX</x:v>
      </x:c>
    </x:row>
    <x:row r="115" ht="38" customHeight="1">
      <x:c r="A115" s="24" t="str">
        <x:v>UX-ORD-001</x:v>
      </x:c>
      <x:c r="B115" s="24" t="str">
        <x:v>05_UX_Flow.md</x:v>
      </x:c>
      <x:c r="C115" s="24" t="str">
        <x:v>30.5. Pedidos e inventario</x:v>
      </x:c>
      <x:c r="D115" s="24" t="str">
        <x:v>Pedidos y entregas</x:v>
      </x:c>
      <x:c r="E115" s="24" t="str">
        <x:v>El pedido muestra total antes de confirmar.</x:v>
      </x:c>
      <x:c r="F115" s="24" t="str">
        <x:v>Ejecución manual, captura o registro según el flujo.</x:v>
      </x:c>
      <x:c r="G115" s="24" t="str">
        <x:v>P2</x:v>
      </x:c>
      <x:c r="H115" s="24" t="str">
        <x:v>Sprint 17 / H6</x:v>
      </x:c>
      <x:c r="I115" s="24" t="str">
        <x:v>Activo</x:v>
      </x:c>
      <x:c r="J115" s="24" t="str">
        <x:v>VRM Games</x:v>
      </x:c>
      <x:c r="K115" s="24" t="str">
        <x:v>Criterio UX</x:v>
      </x:c>
    </x:row>
    <x:row r="116" ht="38" customHeight="1">
      <x:c r="A116" s="24" t="str">
        <x:v>UX-ORD-002</x:v>
      </x:c>
      <x:c r="B116" s="24" t="str">
        <x:v>05_UX_Flow.md</x:v>
      </x:c>
      <x:c r="C116" s="24" t="str">
        <x:v>30.5. Pedidos e inventario</x:v>
      </x:c>
      <x:c r="D116" s="24" t="str">
        <x:v>Pedidos y entregas</x:v>
      </x:c>
      <x:c r="E116" s="24" t="str">
        <x:v>Saldo insuficiente se explica.</x:v>
      </x:c>
      <x:c r="F116" s="24" t="str">
        <x:v>Ejecución manual, captura o registro según el flujo.</x:v>
      </x:c>
      <x:c r="G116" s="24" t="str">
        <x:v>P2</x:v>
      </x:c>
      <x:c r="H116" s="24" t="str">
        <x:v>Sprint 17 / H6</x:v>
      </x:c>
      <x:c r="I116" s="24" t="str">
        <x:v>Activo</x:v>
      </x:c>
      <x:c r="J116" s="24" t="str">
        <x:v>VRM Games</x:v>
      </x:c>
      <x:c r="K116" s="24" t="str">
        <x:v>Criterio UX</x:v>
      </x:c>
    </x:row>
    <x:row r="117" ht="38" customHeight="1">
      <x:c r="A117" s="24" t="str">
        <x:v>UX-ORD-003</x:v>
      </x:c>
      <x:c r="B117" s="24" t="str">
        <x:v>05_UX_Flow.md</x:v>
      </x:c>
      <x:c r="C117" s="24" t="str">
        <x:v>30.5. Pedidos e inventario</x:v>
      </x:c>
      <x:c r="D117" s="24" t="str">
        <x:v>Pedidos y entregas</x:v>
      </x:c>
      <x:c r="E117" s="24" t="str">
        <x:v>La recepción no puede repetirse.</x:v>
      </x:c>
      <x:c r="F117" s="24" t="str">
        <x:v>Ejecución manual, captura o registro según el flujo.</x:v>
      </x:c>
      <x:c r="G117" s="24" t="str">
        <x:v>P2</x:v>
      </x:c>
      <x:c r="H117" s="24" t="str">
        <x:v>Sprint 17 / H6</x:v>
      </x:c>
      <x:c r="I117" s="24" t="str">
        <x:v>Activo</x:v>
      </x:c>
      <x:c r="J117" s="24" t="str">
        <x:v>VRM Games</x:v>
      </x:c>
      <x:c r="K117" s="24" t="str">
        <x:v>Criterio UX</x:v>
      </x:c>
    </x:row>
    <x:row r="118" ht="38" customHeight="1">
      <x:c r="A118" s="24" t="str">
        <x:v>UX-INV-001</x:v>
      </x:c>
      <x:c r="B118" s="24" t="str">
        <x:v>05_UX_Flow.md</x:v>
      </x:c>
      <x:c r="C118" s="24" t="str">
        <x:v>30.5. Pedidos e inventario</x:v>
      </x:c>
      <x:c r="D118" s="24" t="str">
        <x:v>Inventario</x:v>
      </x:c>
      <x:c r="E118" s="24" t="str">
        <x:v>La UI distingue ubicaciones de stock.</x:v>
      </x:c>
      <x:c r="F118" s="24" t="str">
        <x:v>Ejecución manual, captura o registro según el flujo.</x:v>
      </x:c>
      <x:c r="G118" s="24" t="str">
        <x:v>P0</x:v>
      </x:c>
      <x:c r="H118" s="24" t="str">
        <x:v>Sprint 17 / H6</x:v>
      </x:c>
      <x:c r="I118" s="24" t="str">
        <x:v>Activo</x:v>
      </x:c>
      <x:c r="J118" s="24" t="str">
        <x:v>VRM Games</x:v>
      </x:c>
      <x:c r="K118" s="24" t="str">
        <x:v>Criterio UX</x:v>
      </x:c>
    </x:row>
    <x:row r="119" ht="38" customHeight="1">
      <x:c r="A119" s="24" t="str">
        <x:v>UX-INV-002</x:v>
      </x:c>
      <x:c r="B119" s="24" t="str">
        <x:v>05_UX_Flow.md</x:v>
      </x:c>
      <x:c r="C119" s="24" t="str">
        <x:v>30.5. Pedidos e inventario</x:v>
      </x:c>
      <x:c r="D119" s="24" t="str">
        <x:v>Inventario</x:v>
      </x:c>
      <x:c r="E119" s="24" t="str">
        <x:v>Transferir valida origen, destino y cantidad.</x:v>
      </x:c>
      <x:c r="F119" s="24" t="str">
        <x:v>Ejecución manual, captura o registro según el flujo.</x:v>
      </x:c>
      <x:c r="G119" s="24" t="str">
        <x:v>P0</x:v>
      </x:c>
      <x:c r="H119" s="24" t="str">
        <x:v>Sprint 17 / H6</x:v>
      </x:c>
      <x:c r="I119" s="24" t="str">
        <x:v>Activo</x:v>
      </x:c>
      <x:c r="J119" s="24" t="str">
        <x:v>VRM Games</x:v>
      </x:c>
      <x:c r="K119" s="24" t="str">
        <x:v>Criterio UX</x:v>
      </x:c>
    </x:row>
    <x:row r="120" ht="38" customHeight="1">
      <x:c r="A120" s="24" t="str">
        <x:v>UX-INV-003</x:v>
      </x:c>
      <x:c r="B120" s="24" t="str">
        <x:v>05_UX_Flow.md</x:v>
      </x:c>
      <x:c r="C120" s="24" t="str">
        <x:v>30.5. Pedidos e inventario</x:v>
      </x:c>
      <x:c r="D120" s="24" t="str">
        <x:v>Inventario</x:v>
      </x:c>
      <x:c r="E120" s="24" t="str">
        <x:v>Una transferencia falla sin estado parcial.</x:v>
      </x:c>
      <x:c r="F120" s="24" t="str">
        <x:v>Ejecución manual, captura o registro según el flujo.</x:v>
      </x:c>
      <x:c r="G120" s="24" t="str">
        <x:v>P0</x:v>
      </x:c>
      <x:c r="H120" s="24" t="str">
        <x:v>Sprint 17 / H6</x:v>
      </x:c>
      <x:c r="I120" s="24" t="str">
        <x:v>Activo</x:v>
      </x:c>
      <x:c r="J120" s="24" t="str">
        <x:v>VRM Games</x:v>
      </x:c>
      <x:c r="K120" s="24" t="str">
        <x:v>Criterio UX</x:v>
      </x:c>
    </x:row>
    <x:row r="121" ht="38" customHeight="1">
      <x:c r="A121" s="24" t="str">
        <x:v>UX-INV-004</x:v>
      </x:c>
      <x:c r="B121" s="24" t="str">
        <x:v>05_UX_Flow.md</x:v>
      </x:c>
      <x:c r="C121" s="24" t="str">
        <x:v>30.5. Pedidos e inventario</x:v>
      </x:c>
      <x:c r="D121" s="24" t="str">
        <x:v>Inventario</x:v>
      </x:c>
      <x:c r="E121" s="24" t="str">
        <x:v>Los estados vacíos sugieren siguiente acción.</x:v>
      </x:c>
      <x:c r="F121" s="24" t="str">
        <x:v>Ejecución manual, captura o registro según el flujo.</x:v>
      </x:c>
      <x:c r="G121" s="24" t="str">
        <x:v>P0</x:v>
      </x:c>
      <x:c r="H121" s="24" t="str">
        <x:v>Sprint 17 / H6</x:v>
      </x:c>
      <x:c r="I121" s="24" t="str">
        <x:v>Activo</x:v>
      </x:c>
      <x:c r="J121" s="24" t="str">
        <x:v>VRM Games</x:v>
      </x:c>
      <x:c r="K121" s="24" t="str">
        <x:v>Criterio UX</x:v>
      </x:c>
    </x:row>
    <x:row r="122" ht="38" customHeight="1">
      <x:c r="A122" s="24" t="str">
        <x:v>UX-DSP-001</x:v>
      </x:c>
      <x:c r="B122" s="24" t="str">
        <x:v>05_UX_Flow.md</x:v>
      </x:c>
      <x:c r="C122" s="24" t="str">
        <x:v>30.5. Pedidos e inventario</x:v>
      </x:c>
      <x:c r="D122" s="24" t="str">
        <x:v>Displays y reposición</x:v>
      </x:c>
      <x:c r="E122" s="24" t="str">
        <x:v>Asignar producto no crea stock.</x:v>
      </x:c>
      <x:c r="F122" s="24" t="str">
        <x:v>Ejecución manual, captura o registro según el flujo.</x:v>
      </x:c>
      <x:c r="G122" s="24" t="str">
        <x:v>P2</x:v>
      </x:c>
      <x:c r="H122" s="24" t="str">
        <x:v>Sprint 17 / H6</x:v>
      </x:c>
      <x:c r="I122" s="24" t="str">
        <x:v>Activo</x:v>
      </x:c>
      <x:c r="J122" s="24" t="str">
        <x:v>VRM Games</x:v>
      </x:c>
      <x:c r="K122" s="24" t="str">
        <x:v>Criterio UX</x:v>
      </x:c>
    </x:row>
    <x:row r="123" ht="38" customHeight="1">
      <x:c r="A123" s="24" t="str">
        <x:v>UX-DSP-002</x:v>
      </x:c>
      <x:c r="B123" s="24" t="str">
        <x:v>05_UX_Flow.md</x:v>
      </x:c>
      <x:c r="C123" s="24" t="str">
        <x:v>30.5. Pedidos e inventario</x:v>
      </x:c>
      <x:c r="D123" s="24" t="str">
        <x:v>Displays y reposición</x:v>
      </x:c>
      <x:c r="E123" s="24" t="str">
        <x:v>Reasignar preserva unidades.</x:v>
      </x:c>
      <x:c r="F123" s="24" t="str">
        <x:v>Ejecución manual, captura o registro según el flujo.</x:v>
      </x:c>
      <x:c r="G123" s="24" t="str">
        <x:v>P2</x:v>
      </x:c>
      <x:c r="H123" s="24" t="str">
        <x:v>Sprint 17 / H6</x:v>
      </x:c>
      <x:c r="I123" s="24" t="str">
        <x:v>Activo</x:v>
      </x:c>
      <x:c r="J123" s="24" t="str">
        <x:v>VRM Games</x:v>
      </x:c>
      <x:c r="K123" s="24" t="str">
        <x:v>Criterio UX</x:v>
      </x:c>
    </x:row>
    <x:row r="124" ht="38" customHeight="1">
      <x:c r="A124" s="24" t="str">
        <x:v>UX-DSP-003</x:v>
      </x:c>
      <x:c r="B124" s="24" t="str">
        <x:v>05_UX_Flow.md</x:v>
      </x:c>
      <x:c r="C124" s="24" t="str">
        <x:v>30.5. Pedidos e inventario</x:v>
      </x:c>
      <x:c r="D124" s="24" t="str">
        <x:v>Displays y reposición</x:v>
      </x:c>
      <x:c r="E124" s="24" t="str">
        <x:v>Reponer actualiza lógica y visual.</x:v>
      </x:c>
      <x:c r="F124" s="24" t="str">
        <x:v>Ejecución manual, captura o registro según el flujo.</x:v>
      </x:c>
      <x:c r="G124" s="24" t="str">
        <x:v>P2</x:v>
      </x:c>
      <x:c r="H124" s="24" t="str">
        <x:v>Sprint 17 / H6</x:v>
      </x:c>
      <x:c r="I124" s="24" t="str">
        <x:v>Activo</x:v>
      </x:c>
      <x:c r="J124" s="24" t="str">
        <x:v>VRM Games</x:v>
      </x:c>
      <x:c r="K124" s="24" t="str">
        <x:v>Criterio UX</x:v>
      </x:c>
    </x:row>
    <x:row r="125" ht="38" customHeight="1">
      <x:c r="A125" s="24" t="str">
        <x:v>UX-DAY-001</x:v>
      </x:c>
      <x:c r="B125" s="24" t="str">
        <x:v>05_UX_Flow.md</x:v>
      </x:c>
      <x:c r="C125" s="24" t="str">
        <x:v>30.6. Jornada y clientes</x:v>
      </x:c>
      <x:c r="D125" s="24" t="str">
        <x:v>Ciclo diario</x:v>
      </x:c>
      <x:c r="E125" s="24" t="str">
        <x:v>El estado de jornada siempre es visible.</x:v>
      </x:c>
      <x:c r="F125" s="24" t="str">
        <x:v>Ejecución manual, captura o registro según el flujo.</x:v>
      </x:c>
      <x:c r="G125" s="24" t="str">
        <x:v>P1</x:v>
      </x:c>
      <x:c r="H125" s="24" t="str">
        <x:v>Sprint 17 / H6</x:v>
      </x:c>
      <x:c r="I125" s="24" t="str">
        <x:v>Activo</x:v>
      </x:c>
      <x:c r="J125" s="24" t="str">
        <x:v>VRM Games</x:v>
      </x:c>
      <x:c r="K125" s="24" t="str">
        <x:v>Criterio UX</x:v>
      </x:c>
    </x:row>
    <x:row r="126" ht="38" customHeight="1">
      <x:c r="A126" s="24" t="str">
        <x:v>UX-DAY-002</x:v>
      </x:c>
      <x:c r="B126" s="24" t="str">
        <x:v>05_UX_Flow.md</x:v>
      </x:c>
      <x:c r="C126" s="24" t="str">
        <x:v>30.6. Jornada y clientes</x:v>
      </x:c>
      <x:c r="D126" s="24" t="str">
        <x:v>Ciclo diario</x:v>
      </x:c>
      <x:c r="E126" s="24" t="str">
        <x:v>Abrir valida bloqueos críticos.</x:v>
      </x:c>
      <x:c r="F126" s="24" t="str">
        <x:v>Ejecución manual, captura o registro según el flujo.</x:v>
      </x:c>
      <x:c r="G126" s="24" t="str">
        <x:v>P0</x:v>
      </x:c>
      <x:c r="H126" s="24" t="str">
        <x:v>Sprint 17 / H6</x:v>
      </x:c>
      <x:c r="I126" s="24" t="str">
        <x:v>Activo</x:v>
      </x:c>
      <x:c r="J126" s="24" t="str">
        <x:v>VRM Games</x:v>
      </x:c>
      <x:c r="K126" s="24" t="str">
        <x:v>Criterio UX</x:v>
      </x:c>
    </x:row>
    <x:row r="127" ht="38" customHeight="1">
      <x:c r="A127" s="24" t="str">
        <x:v>UX-DAY-003</x:v>
      </x:c>
      <x:c r="B127" s="24" t="str">
        <x:v>05_UX_Flow.md</x:v>
      </x:c>
      <x:c r="C127" s="24" t="str">
        <x:v>30.6. Jornada y clientes</x:v>
      </x:c>
      <x:c r="D127" s="24" t="str">
        <x:v>Ciclo diario</x:v>
      </x:c>
      <x:c r="E127" s="24" t="str">
        <x:v>Closing bloquea nuevos clientes.</x:v>
      </x:c>
      <x:c r="F127" s="24" t="str">
        <x:v>Ejecución manual, captura o registro según el flujo.</x:v>
      </x:c>
      <x:c r="G127" s="24" t="str">
        <x:v>P0</x:v>
      </x:c>
      <x:c r="H127" s="24" t="str">
        <x:v>Sprint 17 / H6</x:v>
      </x:c>
      <x:c r="I127" s="24" t="str">
        <x:v>Activo</x:v>
      </x:c>
      <x:c r="J127" s="24" t="str">
        <x:v>VRM Games</x:v>
      </x:c>
      <x:c r="K127" s="24" t="str">
        <x:v>Criterio UX</x:v>
      </x:c>
    </x:row>
    <x:row r="128" ht="38" customHeight="1">
      <x:c r="A128" s="24" t="str">
        <x:v>UX-DAY-004</x:v>
      </x:c>
      <x:c r="B128" s="24" t="str">
        <x:v>05_UX_Flow.md</x:v>
      </x:c>
      <x:c r="C128" s="24" t="str">
        <x:v>30.6. Jornada y clientes</x:v>
      </x:c>
      <x:c r="D128" s="24" t="str">
        <x:v>Ciclo diario</x:v>
      </x:c>
      <x:c r="E128" s="24" t="str">
        <x:v>Results espera resolución segura.</x:v>
      </x:c>
      <x:c r="F128" s="24" t="str">
        <x:v>Ejecución manual, captura o registro según el flujo.</x:v>
      </x:c>
      <x:c r="G128" s="24" t="str">
        <x:v>P1</x:v>
      </x:c>
      <x:c r="H128" s="24" t="str">
        <x:v>Sprint 17 / H6</x:v>
      </x:c>
      <x:c r="I128" s="24" t="str">
        <x:v>Activo</x:v>
      </x:c>
      <x:c r="J128" s="24" t="str">
        <x:v>VRM Games</x:v>
      </x:c>
      <x:c r="K128" s="24" t="str">
        <x:v>Criterio UX</x:v>
      </x:c>
    </x:row>
    <x:row r="129" ht="38" customHeight="1">
      <x:c r="A129" s="24" t="str">
        <x:v>UX-CUS-001</x:v>
      </x:c>
      <x:c r="B129" s="24" t="str">
        <x:v>05_UX_Flow.md</x:v>
      </x:c>
      <x:c r="C129" s="24" t="str">
        <x:v>30.6. Jornada y clientes</x:v>
      </x:c>
      <x:c r="D129" s="24" t="str">
        <x:v>Clientes</x:v>
      </x:c>
      <x:c r="E129" s="24" t="str">
        <x:v>El cliente comunica intención o problema.</x:v>
      </x:c>
      <x:c r="F129" s="24" t="str">
        <x:v>Ejecución manual, captura o registro según el flujo.</x:v>
      </x:c>
      <x:c r="G129" s="24" t="str">
        <x:v>P1</x:v>
      </x:c>
      <x:c r="H129" s="24" t="str">
        <x:v>Sprint 17 / H6</x:v>
      </x:c>
      <x:c r="I129" s="24" t="str">
        <x:v>Activo</x:v>
      </x:c>
      <x:c r="J129" s="24" t="str">
        <x:v>VRM Games</x:v>
      </x:c>
      <x:c r="K129" s="24" t="str">
        <x:v>Criterio UX</x:v>
      </x:c>
    </x:row>
    <x:row r="130" ht="38" customHeight="1">
      <x:c r="A130" s="24" t="str">
        <x:v>UX-CUS-002</x:v>
      </x:c>
      <x:c r="B130" s="24" t="str">
        <x:v>05_UX_Flow.md</x:v>
      </x:c>
      <x:c r="C130" s="24" t="str">
        <x:v>30.6. Jornada y clientes</x:v>
      </x:c>
      <x:c r="D130" s="24" t="str">
        <x:v>Clientes</x:v>
      </x:c>
      <x:c r="E130" s="24" t="str">
        <x:v>La paciencia se anticipa cuando es accionable.</x:v>
      </x:c>
      <x:c r="F130" s="24" t="str">
        <x:v>Ejecución manual, captura o registro según el flujo.</x:v>
      </x:c>
      <x:c r="G130" s="24" t="str">
        <x:v>P1</x:v>
      </x:c>
      <x:c r="H130" s="24" t="str">
        <x:v>Sprint 17 / H6</x:v>
      </x:c>
      <x:c r="I130" s="24" t="str">
        <x:v>Activo</x:v>
      </x:c>
      <x:c r="J130" s="24" t="str">
        <x:v>VRM Games</x:v>
      </x:c>
      <x:c r="K130" s="24" t="str">
        <x:v>Criterio UX</x:v>
      </x:c>
    </x:row>
    <x:row r="131" ht="38" customHeight="1">
      <x:c r="A131" s="24" t="str">
        <x:v>UX-CUS-003</x:v>
      </x:c>
      <x:c r="B131" s="24" t="str">
        <x:v>05_UX_Flow.md</x:v>
      </x:c>
      <x:c r="C131" s="24" t="str">
        <x:v>30.6. Jornada y clientes</x:v>
      </x:c>
      <x:c r="D131" s="24" t="str">
        <x:v>Clientes</x:v>
      </x:c>
      <x:c r="E131" s="24" t="str">
        <x:v>Abandono registra causa.</x:v>
      </x:c>
      <x:c r="F131" s="24" t="str">
        <x:v>Ejecución manual, captura o registro según el flujo.</x:v>
      </x:c>
      <x:c r="G131" s="24" t="str">
        <x:v>P1</x:v>
      </x:c>
      <x:c r="H131" s="24" t="str">
        <x:v>Sprint 17 / H6</x:v>
      </x:c>
      <x:c r="I131" s="24" t="str">
        <x:v>Activo</x:v>
      </x:c>
      <x:c r="J131" s="24" t="str">
        <x:v>VRM Games</x:v>
      </x:c>
      <x:c r="K131" s="24" t="str">
        <x:v>Criterio UX</x:v>
      </x:c>
    </x:row>
    <x:row r="132" ht="38" customHeight="1">
      <x:c r="A132" s="24" t="str">
        <x:v>UX-CUS-004</x:v>
      </x:c>
      <x:c r="B132" s="24" t="str">
        <x:v>05_UX_Flow.md</x:v>
      </x:c>
      <x:c r="C132" s="24" t="str">
        <x:v>30.6. Jornada y clientes</x:v>
      </x:c>
      <x:c r="D132" s="24" t="str">
        <x:v>Clientes</x:v>
      </x:c>
      <x:c r="E132" s="24" t="str">
        <x:v>Cierre libera reservas.</x:v>
      </x:c>
      <x:c r="F132" s="24" t="str">
        <x:v>Ejecución manual, captura o registro según el flujo.</x:v>
      </x:c>
      <x:c r="G132" s="24" t="str">
        <x:v>P1</x:v>
      </x:c>
      <x:c r="H132" s="24" t="str">
        <x:v>Sprint 17 / H6</x:v>
      </x:c>
      <x:c r="I132" s="24" t="str">
        <x:v>Activo</x:v>
      </x:c>
      <x:c r="J132" s="24" t="str">
        <x:v>VRM Games</x:v>
      </x:c>
      <x:c r="K132" s="24" t="str">
        <x:v>Criterio UX</x:v>
      </x:c>
    </x:row>
    <x:row r="133" ht="38" customHeight="1">
      <x:c r="A133" s="24" t="str">
        <x:v>UX-CUS-005</x:v>
      </x:c>
      <x:c r="B133" s="24" t="str">
        <x:v>05_UX_Flow.md</x:v>
      </x:c>
      <x:c r="C133" s="24" t="str">
        <x:v>30.6. Jornada y clientes</x:v>
      </x:c>
      <x:c r="D133" s="24" t="str">
        <x:v>Clientes</x:v>
      </x:c>
      <x:c r="E133" s="24" t="str">
        <x:v>Un cliente bloqueado no impide terminar jornada.</x:v>
      </x:c>
      <x:c r="F133" s="24" t="str">
        <x:v>Ejecución manual, captura o registro según el flujo.</x:v>
      </x:c>
      <x:c r="G133" s="24" t="str">
        <x:v>P0</x:v>
      </x:c>
      <x:c r="H133" s="24" t="str">
        <x:v>Sprint 17 / H6</x:v>
      </x:c>
      <x:c r="I133" s="24" t="str">
        <x:v>Activo</x:v>
      </x:c>
      <x:c r="J133" s="24" t="str">
        <x:v>VRM Games</x:v>
      </x:c>
      <x:c r="K133" s="24" t="str">
        <x:v>Criterio UX</x:v>
      </x:c>
    </x:row>
    <x:row r="134" ht="38" customHeight="1">
      <x:c r="A134" s="24" t="str">
        <x:v>UX-CHK-001</x:v>
      </x:c>
      <x:c r="B134" s="24" t="str">
        <x:v>05_UX_Flow.md</x:v>
      </x:c>
      <x:c r="C134" s="24" t="str">
        <x:v>30.7. Checkout y economía</x:v>
      </x:c>
      <x:c r="D134" s="24" t="str">
        <x:v>Checkout</x:v>
      </x:c>
      <x:c r="E134" s="24" t="str">
        <x:v>Checkout muestra carrito y total.</x:v>
      </x:c>
      <x:c r="F134" s="24" t="str">
        <x:v>Ejecución manual, captura o registro según el flujo.</x:v>
      </x:c>
      <x:c r="G134" s="24" t="str">
        <x:v>P0</x:v>
      </x:c>
      <x:c r="H134" s="24" t="str">
        <x:v>Sprint 17 / H6</x:v>
      </x:c>
      <x:c r="I134" s="24" t="str">
        <x:v>Activo</x:v>
      </x:c>
      <x:c r="J134" s="24" t="str">
        <x:v>VRM Games</x:v>
      </x:c>
      <x:c r="K134" s="24" t="str">
        <x:v>Criterio UX</x:v>
      </x:c>
    </x:row>
    <x:row r="135" ht="38" customHeight="1">
      <x:c r="A135" s="24" t="str">
        <x:v>UX-CHK-002</x:v>
      </x:c>
      <x:c r="B135" s="24" t="str">
        <x:v>05_UX_Flow.md</x:v>
      </x:c>
      <x:c r="C135" s="24" t="str">
        <x:v>30.7. Checkout y economía</x:v>
      </x:c>
      <x:c r="D135" s="24" t="str">
        <x:v>Checkout</x:v>
      </x:c>
      <x:c r="E135" s="24" t="str">
        <x:v>Preflight ocurre antes de mutar.</x:v>
      </x:c>
      <x:c r="F135" s="24" t="str">
        <x:v>Ejecución manual, captura o registro según el flujo.</x:v>
      </x:c>
      <x:c r="G135" s="24" t="str">
        <x:v>P0</x:v>
      </x:c>
      <x:c r="H135" s="24" t="str">
        <x:v>Sprint 17 / H6</x:v>
      </x:c>
      <x:c r="I135" s="24" t="str">
        <x:v>Activo</x:v>
      </x:c>
      <x:c r="J135" s="24" t="str">
        <x:v>VRM Games</x:v>
      </x:c>
      <x:c r="K135" s="24" t="str">
        <x:v>Criterio UX</x:v>
      </x:c>
    </x:row>
    <x:row r="136" ht="38" customHeight="1">
      <x:c r="A136" s="24" t="str">
        <x:v>UX-CHK-003</x:v>
      </x:c>
      <x:c r="B136" s="24" t="str">
        <x:v>05_UX_Flow.md</x:v>
      </x:c>
      <x:c r="C136" s="24" t="str">
        <x:v>30.7. Checkout y economía</x:v>
      </x:c>
      <x:c r="D136" s="24" t="str">
        <x:v>Checkout</x:v>
      </x:c>
      <x:c r="E136" s="24" t="str">
        <x:v>Una venta se confirma una sola vez.</x:v>
      </x:c>
      <x:c r="F136" s="24" t="str">
        <x:v>Ejecución manual, captura o registro según el flujo.</x:v>
      </x:c>
      <x:c r="G136" s="24" t="str">
        <x:v>P0</x:v>
      </x:c>
      <x:c r="H136" s="24" t="str">
        <x:v>Sprint 17 / H6</x:v>
      </x:c>
      <x:c r="I136" s="24" t="str">
        <x:v>Activo</x:v>
      </x:c>
      <x:c r="J136" s="24" t="str">
        <x:v>VRM Games</x:v>
      </x:c>
      <x:c r="K136" s="24" t="str">
        <x:v>Criterio UX</x:v>
      </x:c>
    </x:row>
    <x:row r="137" ht="38" customHeight="1">
      <x:c r="A137" s="24" t="str">
        <x:v>UX-CHK-004</x:v>
      </x:c>
      <x:c r="B137" s="24" t="str">
        <x:v>05_UX_Flow.md</x:v>
      </x:c>
      <x:c r="C137" s="24" t="str">
        <x:v>30.7. Checkout y economía</x:v>
      </x:c>
      <x:c r="D137" s="24" t="str">
        <x:v>Checkout</x:v>
      </x:c>
      <x:c r="E137" s="24" t="str">
        <x:v>Un fallo no mueve dinero ni stock.</x:v>
      </x:c>
      <x:c r="F137" s="24" t="str">
        <x:v>Ejecución manual, captura o registro según el flujo.</x:v>
      </x:c>
      <x:c r="G137" s="24" t="str">
        <x:v>P0</x:v>
      </x:c>
      <x:c r="H137" s="24" t="str">
        <x:v>Sprint 17 / H6</x:v>
      </x:c>
      <x:c r="I137" s="24" t="str">
        <x:v>Activo</x:v>
      </x:c>
      <x:c r="J137" s="24" t="str">
        <x:v>VRM Games</x:v>
      </x:c>
      <x:c r="K137" s="24" t="str">
        <x:v>Criterio UX</x:v>
      </x:c>
    </x:row>
    <x:row r="138" ht="38" customHeight="1">
      <x:c r="A138" s="24" t="str">
        <x:v>UX-CHK-005</x:v>
      </x:c>
      <x:c r="B138" s="24" t="str">
        <x:v>05_UX_Flow.md</x:v>
      </x:c>
      <x:c r="C138" s="24" t="str">
        <x:v>30.7. Checkout y economía</x:v>
      </x:c>
      <x:c r="D138" s="24" t="str">
        <x:v>Checkout</x:v>
      </x:c>
      <x:c r="E138" s="24" t="str">
        <x:v>La cola avanza después de la venta.</x:v>
      </x:c>
      <x:c r="F138" s="24" t="str">
        <x:v>Ejecución manual, captura o registro según el flujo.</x:v>
      </x:c>
      <x:c r="G138" s="24" t="str">
        <x:v>P0</x:v>
      </x:c>
      <x:c r="H138" s="24" t="str">
        <x:v>Sprint 17 / H6</x:v>
      </x:c>
      <x:c r="I138" s="24" t="str">
        <x:v>Activo</x:v>
      </x:c>
      <x:c r="J138" s="24" t="str">
        <x:v>VRM Games</x:v>
      </x:c>
      <x:c r="K138" s="24" t="str">
        <x:v>Criterio UX</x:v>
      </x:c>
    </x:row>
    <x:row r="139" ht="38" customHeight="1">
      <x:c r="A139" s="24" t="str">
        <x:v>UX-ECO-001</x:v>
      </x:c>
      <x:c r="B139" s="24" t="str">
        <x:v>05_UX_Flow.md</x:v>
      </x:c>
      <x:c r="C139" s="24" t="str">
        <x:v>30.7. Checkout y economía</x:v>
      </x:c>
      <x:c r="D139" s="24" t="str">
        <x:v>Economía</x:v>
      </x:c>
      <x:c r="E139" s="24" t="str">
        <x:v>El saldo se actualiza de forma comprensible.</x:v>
      </x:c>
      <x:c r="F139" s="24" t="str">
        <x:v>Ejecución manual, captura o registro según el flujo.</x:v>
      </x:c>
      <x:c r="G139" s="24" t="str">
        <x:v>P1</x:v>
      </x:c>
      <x:c r="H139" s="24" t="str">
        <x:v>Sprint 17 / H6</x:v>
      </x:c>
      <x:c r="I139" s="24" t="str">
        <x:v>Activo</x:v>
      </x:c>
      <x:c r="J139" s="24" t="str">
        <x:v>VRM Games</x:v>
      </x:c>
      <x:c r="K139" s="24" t="str">
        <x:v>Criterio UX</x:v>
      </x:c>
    </x:row>
    <x:row r="140" ht="38" customHeight="1">
      <x:c r="A140" s="24" t="str">
        <x:v>UX-ECO-002</x:v>
      </x:c>
      <x:c r="B140" s="24" t="str">
        <x:v>05_UX_Flow.md</x:v>
      </x:c>
      <x:c r="C140" s="24" t="str">
        <x:v>30.7. Checkout y economía</x:v>
      </x:c>
      <x:c r="D140" s="24" t="str">
        <x:v>Economía</x:v>
      </x:c>
      <x:c r="E140" s="24" t="str">
        <x:v>Cada movimiento tiene causa consultable.</x:v>
      </x:c>
      <x:c r="F140" s="24" t="str">
        <x:v>Ejecución manual, captura o registro según el flujo.</x:v>
      </x:c>
      <x:c r="G140" s="24" t="str">
        <x:v>P1</x:v>
      </x:c>
      <x:c r="H140" s="24" t="str">
        <x:v>Sprint 17 / H6</x:v>
      </x:c>
      <x:c r="I140" s="24" t="str">
        <x:v>Activo</x:v>
      </x:c>
      <x:c r="J140" s="24" t="str">
        <x:v>VRM Games</x:v>
      </x:c>
      <x:c r="K140" s="24" t="str">
        <x:v>Criterio UX</x:v>
      </x:c>
    </x:row>
    <x:row r="141" ht="38" customHeight="1">
      <x:c r="A141" s="24" t="str">
        <x:v>UX-ECO-003</x:v>
      </x:c>
      <x:c r="B141" s="24" t="str">
        <x:v>05_UX_Flow.md</x:v>
      </x:c>
      <x:c r="C141" s="24" t="str">
        <x:v>30.7. Checkout y economía</x:v>
      </x:c>
      <x:c r="D141" s="24" t="str">
        <x:v>Economía</x:v>
      </x:c>
      <x:c r="E141" s="24" t="str">
        <x:v>Results separa ingresos, costes y beneficio.</x:v>
      </x:c>
      <x:c r="F141" s="24" t="str">
        <x:v>Ejecución manual, captura o registro según el flujo.</x:v>
      </x:c>
      <x:c r="G141" s="24" t="str">
        <x:v>P1</x:v>
      </x:c>
      <x:c r="H141" s="24" t="str">
        <x:v>Sprint 17 / H6</x:v>
      </x:c>
      <x:c r="I141" s="24" t="str">
        <x:v>Activo</x:v>
      </x:c>
      <x:c r="J141" s="24" t="str">
        <x:v>VRM Games</x:v>
      </x:c>
      <x:c r="K141" s="24" t="str">
        <x:v>Criterio UX</x:v>
      </x:c>
    </x:row>
    <x:row r="142" ht="38" customHeight="1">
      <x:c r="A142" s="24" t="str">
        <x:v>UX-SAV-001</x:v>
      </x:c>
      <x:c r="B142" s="24" t="str">
        <x:v>05_UX_Flow.md</x:v>
      </x:c>
      <x:c r="C142" s="24" t="str">
        <x:v>30.8. Guardado y accesibilidad</x:v>
      </x:c>
      <x:c r="D142" s="24" t="str">
        <x:v>Persistencia</x:v>
      </x:c>
      <x:c r="E142" s="24" t="str">
        <x:v>Guardar muestra progreso y resultado real.</x:v>
      </x:c>
      <x:c r="F142" s="24" t="str">
        <x:v>Ejecución manual, captura o registro según el flujo.</x:v>
      </x:c>
      <x:c r="G142" s="24" t="str">
        <x:v>P0</x:v>
      </x:c>
      <x:c r="H142" s="24" t="str">
        <x:v>Sprint 17 / H6</x:v>
      </x:c>
      <x:c r="I142" s="24" t="str">
        <x:v>Activo</x:v>
      </x:c>
      <x:c r="J142" s="24" t="str">
        <x:v>VRM Games</x:v>
      </x:c>
      <x:c r="K142" s="24" t="str">
        <x:v>Criterio UX</x:v>
      </x:c>
    </x:row>
    <x:row r="143" ht="38" customHeight="1">
      <x:c r="A143" s="24" t="str">
        <x:v>UX-SAV-002</x:v>
      </x:c>
      <x:c r="B143" s="24" t="str">
        <x:v>05_UX_Flow.md</x:v>
      </x:c>
      <x:c r="C143" s="24" t="str">
        <x:v>30.8. Guardado y accesibilidad</x:v>
      </x:c>
      <x:c r="D143" s="24" t="str">
        <x:v>Persistencia</x:v>
      </x:c>
      <x:c r="E143" s="24" t="str">
        <x:v>Un error de guardado permanece visible.</x:v>
      </x:c>
      <x:c r="F143" s="24" t="str">
        <x:v>Ejecución manual, captura o registro según el flujo.</x:v>
      </x:c>
      <x:c r="G143" s="24" t="str">
        <x:v>P0</x:v>
      </x:c>
      <x:c r="H143" s="24" t="str">
        <x:v>Sprint 17 / H6</x:v>
      </x:c>
      <x:c r="I143" s="24" t="str">
        <x:v>Activo</x:v>
      </x:c>
      <x:c r="J143" s="24" t="str">
        <x:v>VRM Games</x:v>
      </x:c>
      <x:c r="K143" s="24" t="str">
        <x:v>Criterio UX</x:v>
      </x:c>
    </x:row>
    <x:row r="144" ht="38" customHeight="1">
      <x:c r="A144" s="24" t="str">
        <x:v>UX-SAV-003</x:v>
      </x:c>
      <x:c r="B144" s="24" t="str">
        <x:v>05_UX_Flow.md</x:v>
      </x:c>
      <x:c r="C144" s="24" t="str">
        <x:v>30.8. Guardado y accesibilidad</x:v>
      </x:c>
      <x:c r="D144" s="24" t="str">
        <x:v>Persistencia</x:v>
      </x:c>
      <x:c r="E144" s="24" t="str">
        <x:v>Cargar conserva estado relevante.</x:v>
      </x:c>
      <x:c r="F144" s="24" t="str">
        <x:v>Ejecución manual, captura o registro según el flujo.</x:v>
      </x:c>
      <x:c r="G144" s="24" t="str">
        <x:v>P0</x:v>
      </x:c>
      <x:c r="H144" s="24" t="str">
        <x:v>Sprint 17 / H6</x:v>
      </x:c>
      <x:c r="I144" s="24" t="str">
        <x:v>Activo</x:v>
      </x:c>
      <x:c r="J144" s="24" t="str">
        <x:v>VRM Games</x:v>
      </x:c>
      <x:c r="K144" s="24" t="str">
        <x:v>Criterio UX</x:v>
      </x:c>
    </x:row>
    <x:row r="145" ht="38" customHeight="1">
      <x:c r="A145" s="24" t="str">
        <x:v>UX-SAV-004</x:v>
      </x:c>
      <x:c r="B145" s="24" t="str">
        <x:v>05_UX_Flow.md</x:v>
      </x:c>
      <x:c r="C145" s="24" t="str">
        <x:v>30.8. Guardado y accesibilidad</x:v>
      </x:c>
      <x:c r="D145" s="24" t="str">
        <x:v>Persistencia</x:v>
      </x:c>
      <x:c r="E145" s="24" t="str">
        <x:v>Salir con cambios ofrece opciones claras.</x:v>
      </x:c>
      <x:c r="F145" s="24" t="str">
        <x:v>Ejecución manual, captura o registro según el flujo.</x:v>
      </x:c>
      <x:c r="G145" s="24" t="str">
        <x:v>P0</x:v>
      </x:c>
      <x:c r="H145" s="24" t="str">
        <x:v>Sprint 17 / H6</x:v>
      </x:c>
      <x:c r="I145" s="24" t="str">
        <x:v>Activo</x:v>
      </x:c>
      <x:c r="J145" s="24" t="str">
        <x:v>VRM Games</x:v>
      </x:c>
      <x:c r="K145" s="24" t="str">
        <x:v>Criterio UX</x:v>
      </x:c>
    </x:row>
    <x:row r="146" ht="38" customHeight="1">
      <x:c r="A146" s="24" t="str">
        <x:v>UX-ACC-001</x:v>
      </x:c>
      <x:c r="B146" s="24" t="str">
        <x:v>05_UX_Flow.md</x:v>
      </x:c>
      <x:c r="C146" s="24" t="str">
        <x:v>30.8. Guardado y accesibilidad</x:v>
      </x:c>
      <x:c r="D146" s="24" t="str">
        <x:v>Accesibilidad</x:v>
      </x:c>
      <x:c r="E146" s="24" t="str">
        <x:v>Los estados críticos no dependen solo del color.</x:v>
      </x:c>
      <x:c r="F146" s="24" t="str">
        <x:v>Ejecución manual, captura o registro según el flujo.</x:v>
      </x:c>
      <x:c r="G146" s="24" t="str">
        <x:v>P2</x:v>
      </x:c>
      <x:c r="H146" s="24" t="str">
        <x:v>Sprint 17 / H6</x:v>
      </x:c>
      <x:c r="I146" s="24" t="str">
        <x:v>Activo</x:v>
      </x:c>
      <x:c r="J146" s="24" t="str">
        <x:v>VRM Games</x:v>
      </x:c>
      <x:c r="K146" s="24" t="str">
        <x:v>Criterio UX</x:v>
      </x:c>
    </x:row>
    <x:row r="147" ht="38" customHeight="1">
      <x:c r="A147" s="24" t="str">
        <x:v>UX-ACC-002</x:v>
      </x:c>
      <x:c r="B147" s="24" t="str">
        <x:v>05_UX_Flow.md</x:v>
      </x:c>
      <x:c r="C147" s="24" t="str">
        <x:v>30.8. Guardado y accesibilidad</x:v>
      </x:c>
      <x:c r="D147" s="24" t="str">
        <x:v>Accesibilidad</x:v>
      </x:c>
      <x:c r="E147" s="24" t="str">
        <x:v>La escala de UI es configurable.</x:v>
      </x:c>
      <x:c r="F147" s="24" t="str">
        <x:v>Ejecución manual, captura o registro según el flujo.</x:v>
      </x:c>
      <x:c r="G147" s="24" t="str">
        <x:v>P2</x:v>
      </x:c>
      <x:c r="H147" s="24" t="str">
        <x:v>Sprint 17 / H6</x:v>
      </x:c>
      <x:c r="I147" s="24" t="str">
        <x:v>Activo</x:v>
      </x:c>
      <x:c r="J147" s="24" t="str">
        <x:v>VRM Games</x:v>
      </x:c>
      <x:c r="K147" s="24" t="str">
        <x:v>Criterio UX</x:v>
      </x:c>
    </x:row>
    <x:row r="148" ht="38" customHeight="1">
      <x:c r="A148" s="24" t="str">
        <x:v>UX-ACC-003</x:v>
      </x:c>
      <x:c r="B148" s="24" t="str">
        <x:v>05_UX_Flow.md</x:v>
      </x:c>
      <x:c r="C148" s="24" t="str">
        <x:v>30.8. Guardado y accesibilidad</x:v>
      </x:c>
      <x:c r="D148" s="24" t="str">
        <x:v>Accesibilidad</x:v>
      </x:c>
      <x:c r="E148" s="24" t="str">
        <x:v>La velocidad de cámara es configurable.</x:v>
      </x:c>
      <x:c r="F148" s="24" t="str">
        <x:v>Ejecución manual, captura o registro según el flujo.</x:v>
      </x:c>
      <x:c r="G148" s="24" t="str">
        <x:v>P2</x:v>
      </x:c>
      <x:c r="H148" s="24" t="str">
        <x:v>Sprint 17 / H6</x:v>
      </x:c>
      <x:c r="I148" s="24" t="str">
        <x:v>Activo</x:v>
      </x:c>
      <x:c r="J148" s="24" t="str">
        <x:v>VRM Games</x:v>
      </x:c>
      <x:c r="K148" s="24" t="str">
        <x:v>Criterio UX</x:v>
      </x:c>
    </x:row>
    <x:row r="149" ht="38" customHeight="1">
      <x:c r="A149" s="24" t="str">
        <x:v>UX-ACC-004</x:v>
      </x:c>
      <x:c r="B149" s="24" t="str">
        <x:v>05_UX_Flow.md</x:v>
      </x:c>
      <x:c r="C149" s="24" t="str">
        <x:v>30.8. Guardado y accesibilidad</x:v>
      </x:c>
      <x:c r="D149" s="24" t="str">
        <x:v>Accesibilidad</x:v>
      </x:c>
      <x:c r="E149" s="24" t="str">
        <x:v>Los avisos importantes tienen alternativa visual.</x:v>
      </x:c>
      <x:c r="F149" s="24" t="str">
        <x:v>Ejecución manual, captura o registro según el flujo.</x:v>
      </x:c>
      <x:c r="G149" s="24" t="str">
        <x:v>P2</x:v>
      </x:c>
      <x:c r="H149" s="24" t="str">
        <x:v>Sprint 17 / H6</x:v>
      </x:c>
      <x:c r="I149" s="24" t="str">
        <x:v>Activo</x:v>
      </x:c>
      <x:c r="J149" s="24" t="str">
        <x:v>VRM Games</x:v>
      </x:c>
      <x:c r="K149" s="24" t="str">
        <x:v>Criterio UX</x:v>
      </x:c>
    </x:row>
    <x:row r="150" ht="38" customHeight="1">
      <x:c r="A150" s="24" t="str">
        <x:v>UX-ACC-005</x:v>
      </x:c>
      <x:c r="B150" s="24" t="str">
        <x:v>05_UX_Flow.md</x:v>
      </x:c>
      <x:c r="C150" s="24" t="str">
        <x:v>30.8. Guardado y accesibilidad</x:v>
      </x:c>
      <x:c r="D150" s="24" t="str">
        <x:v>Accesibilidad</x:v>
      </x:c>
      <x:c r="E150" s="24" t="str">
        <x:v>La lectura puede realizarse con simulación pausada.</x:v>
      </x:c>
      <x:c r="F150" s="24" t="str">
        <x:v>Ejecución manual, captura o registro según el flujo.</x:v>
      </x:c>
      <x:c r="G150" s="24" t="str">
        <x:v>P2</x:v>
      </x:c>
      <x:c r="H150" s="24" t="str">
        <x:v>Sprint 17 / H6</x:v>
      </x:c>
      <x:c r="I150" s="24" t="str">
        <x:v>Activo</x:v>
      </x:c>
      <x:c r="J150" s="24" t="str">
        <x:v>VRM Games</x:v>
      </x:c>
      <x:c r="K150" s="24" t="str">
        <x:v>Criterio UX</x:v>
      </x:c>
    </x:row>
    <x:row r="151" ht="38" customHeight="1">
      <x:c r="A151" s="24" t="str">
        <x:v>UX-LOC-001</x:v>
      </x:c>
      <x:c r="B151" s="24" t="str">
        <x:v>05_UX_Flow.md</x:v>
      </x:c>
      <x:c r="C151" s="24" t="str">
        <x:v>30.8. Guardado y accesibilidad</x:v>
      </x:c>
      <x:c r="D151" s="24" t="str">
        <x:v>Localización</x:v>
      </x:c>
      <x:c r="E151" s="24" t="str">
        <x:v>ES y EN no presentan truncamientos críticos.</x:v>
      </x:c>
      <x:c r="F151" s="24" t="str">
        <x:v>Ejecución manual, captura o registro según el flujo.</x:v>
      </x:c>
      <x:c r="G151" s="24" t="str">
        <x:v>P2</x:v>
      </x:c>
      <x:c r="H151" s="24" t="str">
        <x:v>Sprint 17 / H6</x:v>
      </x:c>
      <x:c r="I151" s="24" t="str">
        <x:v>Activo</x:v>
      </x:c>
      <x:c r="J151" s="24" t="str">
        <x:v>VRM Games</x:v>
      </x:c>
      <x:c r="K151" s="24" t="str">
        <x:v>Criterio UX</x:v>
      </x:c>
    </x:row>
    <x:row r="152" ht="38" customHeight="1">
      <x:c r="A152" s="24" t="str">
        <x:v>UX-GP-001</x:v>
      </x:c>
      <x:c r="B152" s="24" t="str">
        <x:v>05_UX_Flow.md</x:v>
      </x:c>
      <x:c r="C152" s="24" t="str">
        <x:v>30.9. Golden Path y build</x:v>
      </x:c>
      <x:c r="D152" s="24" t="str">
        <x:v>Golden Path</x:v>
      </x:c>
      <x:c r="E152" s="24" t="str">
        <x:v>El Golden Path se completa sin herramientas de Editor.</x:v>
      </x:c>
      <x:c r="F152" s="24" t="str">
        <x:v>Ejecución manual, captura o registro según el flujo.</x:v>
      </x:c>
      <x:c r="G152" s="24" t="str">
        <x:v>P0</x:v>
      </x:c>
      <x:c r="H152" s="24" t="str">
        <x:v>Sprint 17 / H6</x:v>
      </x:c>
      <x:c r="I152" s="24" t="str">
        <x:v>Activo</x:v>
      </x:c>
      <x:c r="J152" s="24" t="str">
        <x:v>VRM Games</x:v>
      </x:c>
      <x:c r="K152" s="24" t="str">
        <x:v>Criterio UX</x:v>
      </x:c>
    </x:row>
    <x:row r="153" ht="38" customHeight="1">
      <x:c r="A153" s="24" t="str">
        <x:v>UX-GP-002</x:v>
      </x:c>
      <x:c r="B153" s="24" t="str">
        <x:v>05_UX_Flow.md</x:v>
      </x:c>
      <x:c r="C153" s="24" t="str">
        <x:v>30.9. Golden Path y build</x:v>
      </x:c>
      <x:c r="D153" s="24" t="str">
        <x:v>Golden Path</x:v>
      </x:c>
      <x:c r="E153" s="24" t="str">
        <x:v>El recorrido se completa en StoreInitial.</x:v>
      </x:c>
      <x:c r="F153" s="24" t="str">
        <x:v>Ejecución manual, captura o registro según el flujo.</x:v>
      </x:c>
      <x:c r="G153" s="24" t="str">
        <x:v>P0</x:v>
      </x:c>
      <x:c r="H153" s="24" t="str">
        <x:v>Sprint 17 / H6</x:v>
      </x:c>
      <x:c r="I153" s="24" t="str">
        <x:v>Activo</x:v>
      </x:c>
      <x:c r="J153" s="24" t="str">
        <x:v>VRM Games</x:v>
      </x:c>
      <x:c r="K153" s="24" t="str">
        <x:v>Criterio UX</x:v>
      </x:c>
    </x:row>
    <x:row r="154" ht="38" customHeight="1">
      <x:c r="A154" s="24" t="str">
        <x:v>UX-GP-003</x:v>
      </x:c>
      <x:c r="B154" s="24" t="str">
        <x:v>05_UX_Flow.md</x:v>
      </x:c>
      <x:c r="C154" s="24" t="str">
        <x:v>30.9. Golden Path y build</x:v>
      </x:c>
      <x:c r="D154" s="24" t="str">
        <x:v>Golden Path</x:v>
      </x:c>
      <x:c r="E154" s="24" t="str">
        <x:v>Guardar y cargar conserva equivalencia observable.</x:v>
      </x:c>
      <x:c r="F154" s="24" t="str">
        <x:v>Ejecución manual, captura o registro según el flujo.</x:v>
      </x:c>
      <x:c r="G154" s="24" t="str">
        <x:v>P0</x:v>
      </x:c>
      <x:c r="H154" s="24" t="str">
        <x:v>Sprint 17 / H6</x:v>
      </x:c>
      <x:c r="I154" s="24" t="str">
        <x:v>Activo</x:v>
      </x:c>
      <x:c r="J154" s="24" t="str">
        <x:v>VRM Games</x:v>
      </x:c>
      <x:c r="K154" s="24" t="str">
        <x:v>Criterio UX</x:v>
      </x:c>
    </x:row>
    <x:row r="155" ht="38" customHeight="1">
      <x:c r="A155" s="24" t="str">
        <x:v>UX-GP-004</x:v>
      </x:c>
      <x:c r="B155" s="24" t="str">
        <x:v>05_UX_Flow.md</x:v>
      </x:c>
      <x:c r="C155" s="24" t="str">
        <x:v>30.9. Golden Path y build</x:v>
      </x:c>
      <x:c r="D155" s="24" t="str">
        <x:v>Golden Path</x:v>
      </x:c>
      <x:c r="E155" s="24" t="str">
        <x:v>La build Windows x64 reproduce el recorrido.</x:v>
      </x:c>
      <x:c r="F155" s="24" t="str">
        <x:v>Ejecución manual, captura o registro según el flujo.</x:v>
      </x:c>
      <x:c r="G155" s="24" t="str">
        <x:v>P0</x:v>
      </x:c>
      <x:c r="H155" s="24" t="str">
        <x:v>Sprint 17 / H6</x:v>
      </x:c>
      <x:c r="I155" s="24" t="str">
        <x:v>Activo</x:v>
      </x:c>
      <x:c r="J155" s="24" t="str">
        <x:v>VRM Games</x:v>
      </x:c>
      <x:c r="K155" s="24" t="str">
        <x:v>Criterio UX</x:v>
      </x:c>
    </x:row>
    <x:row r="156" ht="38" customHeight="1">
      <x:c r="A156" s="24" t="str">
        <x:v>UX-GP-005</x:v>
      </x:c>
      <x:c r="B156" s="24" t="str">
        <x:v>05_UX_Flow.md</x:v>
      </x:c>
      <x:c r="C156" s="24" t="str">
        <x:v>30.9. Golden Path y build</x:v>
      </x:c>
      <x:c r="D156" s="24" t="str">
        <x:v>Golden Path</x:v>
      </x:c>
      <x:c r="E156" s="24" t="str">
        <x:v>Player.log no contiene errores UX bloqueantes.</x:v>
      </x:c>
      <x:c r="F156" s="24" t="str">
        <x:v>Ejecución manual, captura o registro según el flujo.</x:v>
      </x:c>
      <x:c r="G156" s="24" t="str">
        <x:v>P0</x:v>
      </x:c>
      <x:c r="H156" s="24" t="str">
        <x:v>Sprint 17 / H6</x:v>
      </x:c>
      <x:c r="I156" s="24" t="str">
        <x:v>Activo</x:v>
      </x:c>
      <x:c r="J156" s="24" t="str">
        <x:v>VRM Games</x:v>
      </x:c>
      <x:c r="K156" s="24" t="str">
        <x:v>Criterio UX</x:v>
      </x:c>
    </x:row>
    <x:row r="157" ht="38" customHeight="1">
      <x:c r="A157" s="24" t="str">
        <x:v>UX-GP-006</x:v>
      </x:c>
      <x:c r="B157" s="24" t="str">
        <x:v>05_UX_Flow.md</x:v>
      </x:c>
      <x:c r="C157" s="24" t="str">
        <x:v>30.9. Golden Path y build</x:v>
      </x:c>
      <x:c r="D157" s="24" t="str">
        <x:v>Golden Path</x:v>
      </x:c>
      <x:c r="E157" s="24" t="str">
        <x:v>No existen defectos S0 o S1 abiertos.</x:v>
      </x:c>
      <x:c r="F157" s="24" t="str">
        <x:v>Ejecución manual, captura o registro según el flujo.</x:v>
      </x:c>
      <x:c r="G157" s="24" t="str">
        <x:v>P0</x:v>
      </x:c>
      <x:c r="H157" s="24" t="str">
        <x:v>Sprint 17 / H6</x:v>
      </x:c>
      <x:c r="I157" s="24" t="str">
        <x:v>Activo</x:v>
      </x:c>
      <x:c r="J157" s="24" t="str">
        <x:v>VRM Games</x:v>
      </x:c>
      <x:c r="K157" s="24" t="str">
        <x:v>Criterio UX</x:v>
      </x:c>
    </x:row>
    <x:row r="158" ht="38" customHeight="1">
      <x:c r="A158" s="24" t="str">
        <x:v>QA-POL-001</x:v>
      </x:c>
      <x:c r="B158" s="24" t="str">
        <x:v>07_QA_Testing_Plan.md</x:v>
      </x:c>
      <x:c r="C158" s="24" t="str">
        <x:v>Requisito consolidado</x:v>
      </x:c>
      <x:c r="D158" s="24" t="str">
        <x:v>QA</x:v>
      </x:c>
      <x:c r="E158" s="24" t="str">
        <x:v>Ningún gate se aprueba con defectos S0 o S1 abiertos.</x:v>
      </x:c>
      <x:c r="F158" s="24" t="str">
        <x:v>Registro de defectos y decisión de gate.</x:v>
      </x:c>
      <x:c r="G158" s="24" t="str">
        <x:v>P0</x:v>
      </x:c>
      <x:c r="H158" s="24" t="str">
        <x:v>Todos</x:v>
      </x:c>
      <x:c r="I158" s="24" t="str">
        <x:v>Activo</x:v>
      </x:c>
      <x:c r="J158" s="24" t="str">
        <x:v>VRM Games</x:v>
      </x:c>
      <x:c r="K158" s="24" t="str">
        <x:v>Política / Invariante</x:v>
      </x:c>
    </x:row>
    <x:row r="159" ht="38" customHeight="1">
      <x:c r="A159" s="24" t="str">
        <x:v>QA-POL-002</x:v>
      </x:c>
      <x:c r="B159" s="24" t="str">
        <x:v>07_QA_Testing_Plan.md</x:v>
      </x:c>
      <x:c r="C159" s="24" t="str">
        <x:v>Requisito consolidado</x:v>
      </x:c>
      <x:c r="D159" s="24" t="str">
        <x:v>QA</x:v>
      </x:c>
      <x:c r="E159" s="24" t="str">
        <x:v>Todo resultado PASS debe asociarse a versión, SHA, entorno y evidencia.</x:v>
      </x:c>
      <x:c r="F159" s="24" t="str">
        <x:v>Registro de ejecución completo.</x:v>
      </x:c>
      <x:c r="G159" s="24" t="str">
        <x:v>P0</x:v>
      </x:c>
      <x:c r="H159" s="24" t="str">
        <x:v>Todos</x:v>
      </x:c>
      <x:c r="I159" s="24" t="str">
        <x:v>Activo</x:v>
      </x:c>
      <x:c r="J159" s="24" t="str">
        <x:v>VRM Games</x:v>
      </x:c>
      <x:c r="K159" s="24" t="str">
        <x:v>Política / Invariante</x:v>
      </x:c>
    </x:row>
    <x:row r="160" ht="38" customHeight="1">
      <x:c r="A160" s="24" t="str">
        <x:v>QA-POL-003</x:v>
      </x:c>
      <x:c r="B160" s="24" t="str">
        <x:v>07_QA_Testing_Plan.md</x:v>
      </x:c>
      <x:c r="C160" s="24" t="str">
        <x:v>Requisito consolidado</x:v>
      </x:c>
      <x:c r="D160" s="24" t="str">
        <x:v>QA</x:v>
      </x:c>
      <x:c r="E160" s="24" t="str">
        <x:v>Los fallos automatizados se investigan antes de repetirse o ignorarse.</x:v>
      </x:c>
      <x:c r="F160" s="24" t="str">
        <x:v>Incidencia o resolución documentada.</x:v>
      </x:c>
      <x:c r="G160" s="24" t="str">
        <x:v>P1</x:v>
      </x:c>
      <x:c r="H160" s="24" t="str">
        <x:v>Todos</x:v>
      </x:c>
      <x:c r="I160" s="24" t="str">
        <x:v>Activo</x:v>
      </x:c>
      <x:c r="J160" s="24" t="str">
        <x:v>VRM Games</x:v>
      </x:c>
      <x:c r="K160" s="24" t="str">
        <x:v>Política / Invariante</x:v>
      </x:c>
    </x:row>
    <x:row r="161" ht="38" customHeight="1">
      <x:c r="A161" s="24" t="str">
        <x:v>QA-POL-004</x:v>
      </x:c>
      <x:c r="B161" s="24" t="str">
        <x:v>07_QA_Testing_Plan.md</x:v>
      </x:c>
      <x:c r="C161" s="24" t="str">
        <x:v>Requisito consolidado</x:v>
      </x:c>
      <x:c r="D161" s="24" t="str">
        <x:v>QA</x:v>
      </x:c>
      <x:c r="E161" s="24" t="str">
        <x:v>La build externa debe revisarse mediante Player.log.</x:v>
      </x:c>
      <x:c r="F161" s="24" t="str">
        <x:v>Player.log archivado y clasificado.</x:v>
      </x:c>
      <x:c r="G161" s="24" t="str">
        <x:v>P0</x:v>
      </x:c>
      <x:c r="H161" s="24" t="str">
        <x:v>Sprint 16/17</x:v>
      </x:c>
      <x:c r="I161" s="24" t="str">
        <x:v>Activo</x:v>
      </x:c>
      <x:c r="J161" s="24" t="str">
        <x:v>VRM Games</x:v>
      </x:c>
      <x:c r="K161" s="24" t="str">
        <x:v>Política / Invariante</x:v>
      </x:c>
    </x:row>
    <x:row r="162" ht="38" customHeight="1">
      <x:c r="A162" s="24" t="str">
        <x:v>QA-POL-005</x:v>
      </x:c>
      <x:c r="B162" s="24" t="str">
        <x:v>07_QA_Testing_Plan.md</x:v>
      </x:c>
      <x:c r="C162" s="24" t="str">
        <x:v>Requisito consolidado</x:v>
      </x:c>
      <x:c r="D162" s="24" t="str">
        <x:v>QA</x:v>
      </x:c>
      <x:c r="E162" s="24" t="str">
        <x:v>La regresión incluye EditMode, PlayMode, escena, Golden Path y build cuando aplica.</x:v>
      </x:c>
      <x:c r="F162" s="24" t="str">
        <x:v>Reporte consolidado.</x:v>
      </x:c>
      <x:c r="G162" s="24" t="str">
        <x:v>P0</x:v>
      </x:c>
      <x:c r="H162" s="24" t="str">
        <x:v>Sprint 17/H6</x:v>
      </x:c>
      <x:c r="I162" s="24" t="str">
        <x:v>Activo</x:v>
      </x:c>
      <x:c r="J162" s="24" t="str">
        <x:v>VRM Games</x:v>
      </x:c>
      <x:c r="K162" s="24" t="str">
        <x:v>Política / Invariante</x:v>
      </x:c>
    </x:row>
    <x:row r="163" ht="38" customHeight="1">
      <x:c r="A163" s="24" t="str">
        <x:v>QA-POL-006</x:v>
      </x:c>
      <x:c r="B163" s="24" t="str">
        <x:v>07_QA_Testing_Plan.md</x:v>
      </x:c>
      <x:c r="C163" s="24" t="str">
        <x:v>Requisito consolidado</x:v>
      </x:c>
      <x:c r="D163" s="24" t="str">
        <x:v>QA</x:v>
      </x:c>
      <x:c r="E163" s="24" t="str">
        <x:v>Los datos de prueba son reproducibles mediante seed, fixture o estado documentado.</x:v>
      </x:c>
      <x:c r="F163" s="24" t="str">
        <x:v>Dataset o precondición registrada.</x:v>
      </x:c>
      <x:c r="G163" s="24" t="str">
        <x:v>P1</x:v>
      </x:c>
      <x:c r="H163" s="24" t="str">
        <x:v>Todos</x:v>
      </x:c>
      <x:c r="I163" s="24" t="str">
        <x:v>Activo</x:v>
      </x:c>
      <x:c r="J163" s="24" t="str">
        <x:v>VRM Games</x:v>
      </x:c>
      <x:c r="K163" s="24" t="str">
        <x:v>Política / Invariante</x:v>
      </x:c>
    </x:row>
    <x:row r="164" ht="38" customHeight="1">
      <x:c r="A164" s="24" t="str">
        <x:v>QA-POL-007</x:v>
      </x:c>
      <x:c r="B164" s="24" t="str">
        <x:v>07_QA_Testing_Plan.md</x:v>
      </x:c>
      <x:c r="C164" s="24" t="str">
        <x:v>Requisito consolidado</x:v>
      </x:c>
      <x:c r="D164" s="24" t="str">
        <x:v>QA</x:v>
      </x:c>
      <x:c r="E164" s="24" t="str">
        <x:v>Un caso bloqueado registra causa, owner y condición de desbloqueo.</x:v>
      </x:c>
      <x:c r="F164" s="24" t="str">
        <x:v>Registro de ejecución.</x:v>
      </x:c>
      <x:c r="G164" s="24" t="str">
        <x:v>P1</x:v>
      </x:c>
      <x:c r="H164" s="24" t="str">
        <x:v>Todos</x:v>
      </x:c>
      <x:c r="I164" s="24" t="str">
        <x:v>Activo</x:v>
      </x:c>
      <x:c r="J164" s="24" t="str">
        <x:v>VRM Games</x:v>
      </x:c>
      <x:c r="K164" s="24" t="str">
        <x:v>Política / Invariante</x:v>
      </x:c>
    </x:row>
    <x:row r="165" ht="38" customHeight="1">
      <x:c r="A165" s="24" t="str">
        <x:v>QA-POL-008</x:v>
      </x:c>
      <x:c r="B165" s="24" t="str">
        <x:v>07_QA_Testing_Plan.md</x:v>
      </x:c>
      <x:c r="C165" s="24" t="str">
        <x:v>Requisito consolidado</x:v>
      </x:c>
      <x:c r="D165" s="24" t="str">
        <x:v>QA</x:v>
      </x:c>
      <x:c r="E165" s="24" t="str">
        <x:v>Las pruebas manuales críticas requieren evidencia reproducible.</x:v>
      </x:c>
      <x:c r="F165" s="24" t="str">
        <x:v>Captura, vídeo, log o checklist.</x:v>
      </x:c>
      <x:c r="G165" s="24" t="str">
        <x:v>P1</x:v>
      </x:c>
      <x:c r="H165" s="24" t="str">
        <x:v>Todos</x:v>
      </x:c>
      <x:c r="I165" s="24" t="str">
        <x:v>Activo</x:v>
      </x:c>
      <x:c r="J165" s="24" t="str">
        <x:v>VRM Games</x:v>
      </x:c>
      <x:c r="K165" s="24" t="str">
        <x:v>Política / Invariante</x:v>
      </x:c>
    </x:row>
    <x:row r="166" ht="38" customHeight="1">
      <x:c r="A166" s="24" t="str">
        <x:v>QA-POL-009</x:v>
      </x:c>
      <x:c r="B166" s="24" t="str">
        <x:v>07_QA_Testing_Plan.md</x:v>
      </x:c>
      <x:c r="C166" s="24" t="str">
        <x:v>Requisito consolidado</x:v>
      </x:c>
      <x:c r="D166" s="24" t="str">
        <x:v>QA</x:v>
      </x:c>
      <x:c r="E166" s="24" t="str">
        <x:v>Persistencia verifica equivalencia y no solo ausencia de excepción.</x:v>
      </x:c>
      <x:c r="F166" s="24" t="str">
        <x:v>Comparación de snapshot.</x:v>
      </x:c>
      <x:c r="G166" s="24" t="str">
        <x:v>P0</x:v>
      </x:c>
      <x:c r="H166" s="24" t="str">
        <x:v>Sprint 17/H6</x:v>
      </x:c>
      <x:c r="I166" s="24" t="str">
        <x:v>Activo</x:v>
      </x:c>
      <x:c r="J166" s="24" t="str">
        <x:v>VRM Games</x:v>
      </x:c>
      <x:c r="K166" s="24" t="str">
        <x:v>Política / Invariante</x:v>
      </x:c>
    </x:row>
    <x:row r="167" ht="38" customHeight="1">
      <x:c r="A167" s="24" t="str">
        <x:v>QA-POL-010</x:v>
      </x:c>
      <x:c r="B167" s="24" t="str">
        <x:v>07_QA_Testing_Plan.md</x:v>
      </x:c>
      <x:c r="C167" s="24" t="str">
        <x:v>Requisito consolidado</x:v>
      </x:c>
      <x:c r="D167" s="24" t="str">
        <x:v>QA</x:v>
      </x:c>
      <x:c r="E167" s="24" t="str">
        <x:v>El soak test busca degradación acumulativa, fugas y bloqueos.</x:v>
      </x:c>
      <x:c r="F167" s="24" t="str">
        <x:v>Métricas iniciales y finales.</x:v>
      </x:c>
      <x:c r="G167" s="24" t="str">
        <x:v>P1</x:v>
      </x:c>
      <x:c r="H167" s="24" t="str">
        <x:v>Sprint 17</x:v>
      </x:c>
      <x:c r="I167" s="24" t="str">
        <x:v>Activo</x:v>
      </x:c>
      <x:c r="J167" s="24" t="str">
        <x:v>VRM Games</x:v>
      </x:c>
      <x:c r="K167" s="24" t="str">
        <x:v>Política / Invariante</x:v>
      </x:c>
    </x:row>
    <x:row r="168" ht="38" customHeight="1">
      <x:c r="A168" s="24" t="str">
        <x:v>DATA-INV-001</x:v>
      </x:c>
      <x:c r="B168" s="24" t="str">
        <x:v>04_Modelo_de_Datos.md</x:v>
      </x:c>
      <x:c r="C168" s="24" t="str">
        <x:v>Requisito consolidado</x:v>
      </x:c>
      <x:c r="D168" s="24" t="str">
        <x:v>Datos</x:v>
      </x:c>
      <x:c r="E168" s="24" t="str">
        <x:v>Cada unidad de inventario pertenece a una única ubicación lógica.</x:v>
      </x:c>
      <x:c r="F168" s="24" t="str">
        <x:v>Invariante automatizada.</x:v>
      </x:c>
      <x:c r="G168" s="24" t="str">
        <x:v>P0</x:v>
      </x:c>
      <x:c r="H168" s="24" t="str">
        <x:v>H6</x:v>
      </x:c>
      <x:c r="I168" s="24" t="str">
        <x:v>Activo</x:v>
      </x:c>
      <x:c r="J168" s="24" t="str">
        <x:v>VRM Games</x:v>
      </x:c>
      <x:c r="K168" s="24" t="str">
        <x:v>Política / Invariante</x:v>
      </x:c>
    </x:row>
    <x:row r="169" ht="38" customHeight="1">
      <x:c r="A169" s="24" t="str">
        <x:v>DATA-INV-002</x:v>
      </x:c>
      <x:c r="B169" s="24" t="str">
        <x:v>04_Modelo_de_Datos.md</x:v>
      </x:c>
      <x:c r="C169" s="24" t="str">
        <x:v>Requisito consolidado</x:v>
      </x:c>
      <x:c r="D169" s="24" t="str">
        <x:v>Datos</x:v>
      </x:c>
      <x:c r="E169" s="24" t="str">
        <x:v>Toda transferencia válida conserva la cantidad total.</x:v>
      </x:c>
      <x:c r="F169" s="24" t="str">
        <x:v>Comparación de cantidades.</x:v>
      </x:c>
      <x:c r="G169" s="24" t="str">
        <x:v>P0</x:v>
      </x:c>
      <x:c r="H169" s="24" t="str">
        <x:v>H6</x:v>
      </x:c>
      <x:c r="I169" s="24" t="str">
        <x:v>Activo</x:v>
      </x:c>
      <x:c r="J169" s="24" t="str">
        <x:v>VRM Games</x:v>
      </x:c>
      <x:c r="K169" s="24" t="str">
        <x:v>Política / Invariante</x:v>
      </x:c>
    </x:row>
    <x:row r="170" ht="38" customHeight="1">
      <x:c r="A170" s="24" t="str">
        <x:v>DATA-SAV-001</x:v>
      </x:c>
      <x:c r="B170" s="24" t="str">
        <x:v>04_Modelo_de_Datos.md</x:v>
      </x:c>
      <x:c r="C170" s="24" t="str">
        <x:v>Requisito consolidado</x:v>
      </x:c>
      <x:c r="D170" s="24" t="str">
        <x:v>Datos</x:v>
      </x:c>
      <x:c r="E170" s="24" t="str">
        <x:v>IntegratedGameStateSnapshot usa schema versionado y validado.</x:v>
      </x:c>
      <x:c r="F170" s="24" t="str">
        <x:v>Codec y tests de schema.</x:v>
      </x:c>
      <x:c r="G170" s="24" t="str">
        <x:v>P0</x:v>
      </x:c>
      <x:c r="H170" s="24" t="str">
        <x:v>H6</x:v>
      </x:c>
      <x:c r="I170" s="24" t="str">
        <x:v>Activo</x:v>
      </x:c>
      <x:c r="J170" s="24" t="str">
        <x:v>VRM Games</x:v>
      </x:c>
      <x:c r="K170" s="24" t="str">
        <x:v>Política / Invariante</x:v>
      </x:c>
    </x:row>
    <x:row r="171" ht="38" customHeight="1">
      <x:c r="A171" s="24" t="str">
        <x:v>DATA-SAV-002</x:v>
      </x:c>
      <x:c r="B171" s="24" t="str">
        <x:v>04_Modelo_de_Datos.md</x:v>
      </x:c>
      <x:c r="C171" s="24" t="str">
        <x:v>Requisito consolidado</x:v>
      </x:c>
      <x:c r="D171" s="24" t="str">
        <x:v>Datos</x:v>
      </x:c>
      <x:c r="E171" s="24" t="str">
        <x:v>El primario corrupto no destruye un backup válido.</x:v>
      </x:c>
      <x:c r="F171" s="24" t="str">
        <x:v>Fault injection.</x:v>
      </x:c>
      <x:c r="G171" s="24" t="str">
        <x:v>P0</x:v>
      </x:c>
      <x:c r="H171" s="24" t="str">
        <x:v>H6</x:v>
      </x:c>
      <x:c r="I171" s="24" t="str">
        <x:v>Activo</x:v>
      </x:c>
      <x:c r="J171" s="24" t="str">
        <x:v>VRM Games</x:v>
      </x:c>
      <x:c r="K171" s="24" t="str">
        <x:v>Política / Invariante</x:v>
      </x:c>
    </x:row>
    <x:row r="172" ht="38" customHeight="1">
      <x:c r="A172" s="24" t="str">
        <x:v>TDD-ARC-001</x:v>
      </x:c>
      <x:c r="B172" s="24" t="str">
        <x:v>03_Technical_Design_Document.md</x:v>
      </x:c>
      <x:c r="C172" s="24" t="str">
        <x:v>Requisito consolidado</x:v>
      </x:c>
      <x:c r="D172" s="24" t="str">
        <x:v>Arquitectura</x:v>
      </x:c>
      <x:c r="E172" s="24" t="str">
        <x:v>ApplicationRoot no se duplica durante transiciones.</x:v>
      </x:c>
      <x:c r="F172" s="24" t="str">
        <x:v>Prueba PlayMode y log.</x:v>
      </x:c>
      <x:c r="G172" s="24" t="str">
        <x:v>P0</x:v>
      </x:c>
      <x:c r="H172" s="24" t="str">
        <x:v>H6</x:v>
      </x:c>
      <x:c r="I172" s="24" t="str">
        <x:v>Activo</x:v>
      </x:c>
      <x:c r="J172" s="24" t="str">
        <x:v>VRM Games</x:v>
      </x:c>
      <x:c r="K172" s="24" t="str">
        <x:v>Política / Invariante</x:v>
      </x:c>
    </x:row>
    <x:row r="173" ht="38" customHeight="1">
      <x:c r="A173" s="24" t="str">
        <x:v>TDD-ARC-002</x:v>
      </x:c>
      <x:c r="B173" s="24" t="str">
        <x:v>03_Technical_Design_Document.md</x:v>
      </x:c>
      <x:c r="C173" s="24" t="str">
        <x:v>Requisito consolidado</x:v>
      </x:c>
      <x:c r="D173" s="24" t="str">
        <x:v>Arquitectura</x:v>
      </x:c>
      <x:c r="E173" s="24" t="str">
        <x:v>StoreInitialSceneContext resuelve referencias explícitas y falla de forma controlada.</x:v>
      </x:c>
      <x:c r="F173" s="24" t="str">
        <x:v>Validación de escena.</x:v>
      </x:c>
      <x:c r="G173" s="24" t="str">
        <x:v>P0</x:v>
      </x:c>
      <x:c r="H173" s="24" t="str">
        <x:v>Sprint 16</x:v>
      </x:c>
      <x:c r="I173" s="24" t="str">
        <x:v>Activo</x:v>
      </x:c>
      <x:c r="J173" s="24" t="str">
        <x:v>VRM Games</x:v>
      </x:c>
      <x:c r="K173" s="24" t="str">
        <x:v>Política / Invariante</x:v>
      </x:c>
    </x:row>
    <x:row r="174" ht="38" customHeight="1">
      <x:c r="A174" s="24" t="str">
        <x:v>TDD-INP-001</x:v>
      </x:c>
      <x:c r="B174" s="24" t="str">
        <x:v>03_Technical_Design_Document.md</x:v>
      </x:c>
      <x:c r="C174" s="24" t="str">
        <x:v>Requisito consolidado</x:v>
      </x:c>
      <x:c r="D174" s="24" t="str">
        <x:v>Input</x:v>
      </x:c>
      <x:c r="E174" s="24" t="str">
        <x:v>La UI consume input antes de gameplay.</x:v>
      </x:c>
      <x:c r="F174" s="24" t="str">
        <x:v>Prueba de propagación.</x:v>
      </x:c>
      <x:c r="G174" s="24" t="str">
        <x:v>P0</x:v>
      </x:c>
      <x:c r="H174" s="24" t="str">
        <x:v>Sprint 16</x:v>
      </x:c>
      <x:c r="I174" s="24" t="str">
        <x:v>Activo</x:v>
      </x:c>
      <x:c r="J174" s="24" t="str">
        <x:v>VRM Games</x:v>
      </x:c>
      <x:c r="K174" s="24" t="str">
        <x:v>Política / Invariante</x:v>
      </x:c>
    </x:row>
    <x:row r="175" ht="38" customHeight="1">
      <x:c r="A175" s="24" t="str">
        <x:v>RD-S16-001</x:v>
      </x:c>
      <x:c r="B175" s="24" t="str">
        <x:v>06_Production_Roadmap_y_Sprint_Plan.md</x:v>
      </x:c>
      <x:c r="C175" s="24" t="str">
        <x:v>Requisito consolidado</x:v>
      </x:c>
      <x:c r="D175" s="24" t="str">
        <x:v>Producción</x:v>
      </x:c>
      <x:c r="E175" s="24" t="str">
        <x:v>Sprint 16 exige aprobación visual manual además de pruebas verdes.</x:v>
      </x:c>
      <x:c r="F175" s="24" t="str">
        <x:v>Acta de aceptación visual.</x:v>
      </x:c>
      <x:c r="G175" s="24" t="str">
        <x:v>P0</x:v>
      </x:c>
      <x:c r="H175" s="24" t="str">
        <x:v>Sprint 16</x:v>
      </x:c>
      <x:c r="I175" s="24" t="str">
        <x:v>Activo</x:v>
      </x:c>
      <x:c r="J175" s="24" t="str">
        <x:v>VRM Games</x:v>
      </x:c>
      <x:c r="K175" s="24" t="str">
        <x:v>Política / Invariante</x:v>
      </x:c>
    </x:row>
    <x:row r="176" ht="38" customHeight="1">
      <x:c r="A176" s="24" t="str">
        <x:v>RD-S17-001</x:v>
      </x:c>
      <x:c r="B176" s="24" t="str">
        <x:v>06_Production_Roadmap_y_Sprint_Plan.md</x:v>
      </x:c>
      <x:c r="C176" s="24" t="str">
        <x:v>Requisito consolidado</x:v>
      </x:c>
      <x:c r="D176" s="24" t="str">
        <x:v>Producción</x:v>
      </x:c>
      <x:c r="E176" s="24" t="str">
        <x:v>Sprint 17 no incorpora sistemas mayores nuevos.</x:v>
      </x:c>
      <x:c r="F176" s="24" t="str">
        <x:v>Revisión de alcance.</x:v>
      </x:c>
      <x:c r="G176" s="24" t="str">
        <x:v>P1</x:v>
      </x:c>
      <x:c r="H176" s="24" t="str">
        <x:v>Sprint 17</x:v>
      </x:c>
      <x:c r="I176" s="24" t="str">
        <x:v>Activo</x:v>
      </x:c>
      <x:c r="J176" s="24" t="str">
        <x:v>VRM Games</x:v>
      </x:c>
      <x:c r="K176" s="24" t="str">
        <x:v>Política / Invariante</x:v>
      </x:c>
    </x:row>
    <x:row r="177" ht="38" customHeight="1">
      <x:c r="A177" s="24" t="str">
        <x:v>RD-H6-001</x:v>
      </x:c>
      <x:c r="B177" s="24" t="str">
        <x:v>06_Production_Roadmap_y_Sprint_Plan.md</x:v>
      </x:c>
      <x:c r="C177" s="24" t="str">
        <x:v>Requisito consolidado</x:v>
      </x:c>
      <x:c r="D177" s="24" t="str">
        <x:v>Producción</x:v>
      </x:c>
      <x:c r="E177" s="24" t="str">
        <x:v>H6 requiere build identificada, Golden Path, rendimiento, persistencia y defectos clasificados.</x:v>
      </x:c>
      <x:c r="F177" s="24" t="str">
        <x:v>Paquete de evidencia H6.</x:v>
      </x:c>
      <x:c r="G177" s="24" t="str">
        <x:v>P0</x:v>
      </x:c>
      <x:c r="H177" s="24" t="str">
        <x:v>H6</x:v>
      </x:c>
      <x:c r="I177" s="24" t="str">
        <x:v>Activo</x:v>
      </x:c>
      <x:c r="J177" s="24" t="str">
        <x:v>VRM Games</x:v>
      </x:c>
      <x:c r="K177" s="24" t="str">
        <x:v>Política / Invariante</x:v>
      </x:c>
    </x:row>
  </x:sheetData>
  <x:mergeCells>
    <x:mergeCell ref="A1:K1"/>
    <x:mergeCell ref="A2:K2"/>
  </x:mergeCells>
  <x:conditionalFormatting sqref="G5:G177">
    <x:cfRule type="expression" dxfId="0" priority="1">
      <x:formula>G5="P0"</x:formula>
    </x:cfRule>
    <x:cfRule type="expression" dxfId="1" priority="2">
      <x:formula>G5="P1"</x:formula>
    </x:cfRule>
  </x:conditionalFormatting>
  <x:dataValidations count="2">
    <x:dataValidation type="list" sqref="G5:G177">
      <x:formula1>"P0,P1,P2,P3,P4"</x:formula1>
    </x:dataValidation>
    <x:dataValidation type="list" sqref="I5:I177">
      <x:formula1>"Activo,Diferido,Sustituido,Cerrado"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2fb55f4f24a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5" hidden="0" customWidth="1"/>
    <x:col min="4" max="4" width="18" hidden="0" customWidth="1"/>
    <x:col min="5" max="5" width="50" hidden="0" customWidth="1"/>
    <x:col min="6" max="6" width="48" hidden="0" customWidth="1"/>
    <x:col min="7" max="7" width="42" hidden="0" customWidth="1"/>
    <x:col min="8" max="8" width="30" hidden="0" customWidth="1"/>
    <x:col min="9" max="9" width="55" hidden="0" customWidth="1"/>
    <x:col min="10" max="10" width="50" hidden="0" customWidth="1"/>
    <x:col min="11" max="11" width="22" hidden="0" customWidth="1"/>
    <x:col min="12" max="12" width="25" hidden="0" customWidth="1"/>
    <x:col min="13" max="13" width="10" hidden="0" customWidth="1"/>
    <x:col min="14" max="14" width="16" hidden="0" customWidth="1"/>
    <x:col min="15" max="15" width="18" hidden="0" customWidth="1"/>
    <x:col min="16" max="16" width="24" hidden="0" customWidth="1"/>
    <x:col min="17" max="17" width="20" hidden="0" customWidth="1"/>
    <x:col min="18" max="18" width="14" hidden="0" customWidth="1"/>
    <x:col min="19" max="19" width="18" hidden="0" customWidth="1"/>
    <x:col min="20" max="20" width="30" hidden="0" customWidth="1"/>
    <x:col min="21" max="21" width="30" hidden="0" customWidth="1"/>
  </x:cols>
  <x:sheetData>
    <x:row r="1" ht="28" customHeight="1">
      <x:c r="A1" s="36" t="str">
        <x:v>Catálogo maestro de casos de prueba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Casos actuales, escenarios oficiales, regresión histórica y pruebas especializadas.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4" ht="34" customHeight="1">
      <x:c r="A4" s="17" t="str">
        <x:v>Test ID</x:v>
      </x:c>
      <x:c r="B4" s="17" t="str">
        <x:v>Sistema</x:v>
      </x:c>
      <x:c r="C4" s="17" t="str">
        <x:v>Subsistema</x:v>
      </x:c>
      <x:c r="D4" s="17" t="str">
        <x:v>Requirement ID</x:v>
      </x:c>
      <x:c r="E4" s="17" t="str">
        <x:v>Título</x:v>
      </x:c>
      <x:c r="F4" s="17" t="str">
        <x:v>Objetivo</x:v>
      </x:c>
      <x:c r="G4" s="17" t="str">
        <x:v>Precondiciones</x:v>
      </x:c>
      <x:c r="H4" s="17" t="str">
        <x:v>Datos</x:v>
      </x:c>
      <x:c r="I4" s="17" t="str">
        <x:v>Pasos</x:v>
      </x:c>
      <x:c r="J4" s="17" t="str">
        <x:v>Resultado esperado</x:v>
      </x:c>
      <x:c r="K4" s="17" t="str">
        <x:v>Tipo</x:v>
      </x:c>
      <x:c r="L4" s="17" t="str">
        <x:v>Nivel</x:v>
      </x:c>
      <x:c r="M4" s="17" t="str">
        <x:v>Prioridad</x:v>
      </x:c>
      <x:c r="N4" s="17" t="str">
        <x:v>Severidad potencial</x:v>
      </x:c>
      <x:c r="O4" s="17" t="str">
        <x:v>Automatización</x:v>
      </x:c>
      <x:c r="P4" s="17" t="str">
        <x:v>Escena</x:v>
      </x:c>
      <x:c r="Q4" s="17" t="str">
        <x:v>Sprint/Gate</x:v>
      </x:c>
      <x:c r="R4" s="17" t="str">
        <x:v>Estado diseño</x:v>
      </x:c>
      <x:c r="S4" s="17" t="str">
        <x:v>Owner</x:v>
      </x:c>
      <x:c r="T4" s="17" t="str">
        <x:v>Fuente</x:v>
      </x:c>
      <x:c r="U4" s="17" t="str">
        <x:v>Etiquetas</x:v>
      </x:c>
    </x:row>
    <x:row r="5" ht="48" customHeight="1">
      <x:c r="A5" s="24" t="str">
        <x:v>TC-VS-APP-001</x:v>
      </x:c>
      <x:c r="B5" s="24" t="str">
        <x:v>Aplicación y sesión</x:v>
      </x:c>
      <x:c r="C5" s="24" t="str">
        <x:v>APP</x:v>
      </x:c>
      <x:c r="D5" s="24" t="str">
        <x:v>VS-APP-001</x:v>
      </x:c>
      <x:c r="E5" s="24" t="str">
        <x:v>Bootstrap inicia y alcanza menú sin excepción bloqueante</x:v>
      </x:c>
      <x:c r="F5" s="24" t="str">
        <x:v>Verificar que se cumple: Bootstrap inicia y alcanza menú sin excepción bloqueante.</x:v>
      </x:c>
      <x:c r="G5" s="24" t="str">
        <x:v>Baseline válida; estado inicial reproducible; datos de prueba preparados.</x:v>
      </x:c>
      <x:c r="H5" s="24" t="str">
        <x:v>Dataset nominal y, cuando aplique, valores límite o inválidos.</x:v>
      </x:c>
      <x:c r="I5" s="24" t="str">
        <x:v>1. Preparar el estado. 2. Ejecutar la acción o transición. 3. Observar estado, UI y logs. 4. Comparar precondición y postcondición.</x:v>
      </x:c>
      <x:c r="J5" s="24" t="str">
        <x:v>Bootstrap inicia y alcanza menú sin excepción bloqueante.</x:v>
      </x:c>
      <x:c r="K5" s="24" t="str">
        <x:v>Funcional</x:v>
      </x:c>
      <x:c r="L5" s="24" t="str">
        <x:v>PlayMode + Manual</x:v>
      </x:c>
      <x:c r="M5" s="24" t="str">
        <x:v>P0</x:v>
      </x:c>
      <x:c r="N5" s="24" t="str">
        <x:v>S1</x:v>
      </x:c>
      <x:c r="O5" s="24" t="str">
        <x:v>Manual/Parcial</x:v>
      </x:c>
      <x:c r="P5" s="24" t="str">
        <x:v>Bootstrap/MainMenu/StoreInitial</x:v>
      </x:c>
      <x:c r="Q5" s="24" t="str">
        <x:v>H6 / Vertical Slice</x:v>
      </x:c>
      <x:c r="R5" s="24" t="str">
        <x:v>Ready</x:v>
      </x:c>
      <x:c r="S5" s="24" t="str">
        <x:v>VRM Games</x:v>
      </x:c>
      <x:c r="T5" s="24" t="str">
        <x:v>02_Vertical_Slice_Specification.md</x:v>
      </x:c>
      <x:c r="U5" s="24" t="str">
        <x:v>APP;regresión;trazable</x:v>
      </x:c>
    </x:row>
    <x:row r="6" ht="48" customHeight="1">
      <x:c r="A6" s="24" t="str">
        <x:v>TC-VS-APP-002</x:v>
      </x:c>
      <x:c r="B6" s="24" t="str">
        <x:v>Aplicación y sesión</x:v>
      </x:c>
      <x:c r="C6" s="24" t="str">
        <x:v>APP</x:v>
      </x:c>
      <x:c r="D6" s="24" t="str">
        <x:v>VS-APP-002</x:v>
      </x:c>
      <x:c r="E6" s="24" t="str">
        <x:v>Nueva partida crea un slot válido una sola vez</x:v>
      </x:c>
      <x:c r="F6" s="24" t="str">
        <x:v>Verificar que se cumple: Nueva partida crea un slot válido una sola vez.</x:v>
      </x:c>
      <x:c r="G6" s="24" t="str">
        <x:v>Baseline válida; estado inicial reproducible; datos de prueba preparados.</x:v>
      </x:c>
      <x:c r="H6" s="24" t="str">
        <x:v>Dataset nominal y, cuando aplique, valores límite o inválidos.</x:v>
      </x:c>
      <x:c r="I6" s="24" t="str">
        <x:v>1. Preparar el estado. 2. Ejecutar la acción o transición. 3. Observar estado, UI y logs. 4. Comparar precondición y postcondición.</x:v>
      </x:c>
      <x:c r="J6" s="24" t="str">
        <x:v>Nueva partida crea un slot válido una sola vez.</x:v>
      </x:c>
      <x:c r="K6" s="24" t="str">
        <x:v>Funcional</x:v>
      </x:c>
      <x:c r="L6" s="24" t="str">
        <x:v>PlayMode + Manual</x:v>
      </x:c>
      <x:c r="M6" s="24" t="str">
        <x:v>P0</x:v>
      </x:c>
      <x:c r="N6" s="24" t="str">
        <x:v>S1</x:v>
      </x:c>
      <x:c r="O6" s="24" t="str">
        <x:v>Manual/Parcial</x:v>
      </x:c>
      <x:c r="P6" s="24" t="str">
        <x:v>Bootstrap/MainMenu/StoreInitial</x:v>
      </x:c>
      <x:c r="Q6" s="24" t="str">
        <x:v>H6 / Vertical Slice</x:v>
      </x:c>
      <x:c r="R6" s="24" t="str">
        <x:v>Ready</x:v>
      </x:c>
      <x:c r="S6" s="24" t="str">
        <x:v>VRM Games</x:v>
      </x:c>
      <x:c r="T6" s="24" t="str">
        <x:v>02_Vertical_Slice_Specification.md</x:v>
      </x:c>
      <x:c r="U6" s="24" t="str">
        <x:v>APP;regresión;trazable</x:v>
      </x:c>
    </x:row>
    <x:row r="7" ht="48" customHeight="1">
      <x:c r="A7" s="24" t="str">
        <x:v>TC-VS-APP-003</x:v>
      </x:c>
      <x:c r="B7" s="24" t="str">
        <x:v>Aplicación y sesión</x:v>
      </x:c>
      <x:c r="C7" s="24" t="str">
        <x:v>APP</x:v>
      </x:c>
      <x:c r="D7" s="24" t="str">
        <x:v>VS-APP-003</x:v>
      </x:c>
      <x:c r="E7" s="24" t="str">
        <x:v>Carga de slot entra en la sesión correcta sin duplicar inicialización</x:v>
      </x:c>
      <x:c r="F7" s="24" t="str">
        <x:v>Verificar que se cumple: Carga de slot entra en la sesión correcta sin duplicar inicialización.</x:v>
      </x:c>
      <x:c r="G7" s="24" t="str">
        <x:v>Baseline válida; estado inicial reproducible; datos de prueba preparados.</x:v>
      </x:c>
      <x:c r="H7" s="24" t="str">
        <x:v>Dataset nominal y, cuando aplique, valores límite o inválidos.</x:v>
      </x:c>
      <x:c r="I7" s="24" t="str">
        <x:v>1. Preparar el estado. 2. Ejecutar la acción o transición. 3. Observar estado, UI y logs. 4. Comparar precondición y postcondición.</x:v>
      </x:c>
      <x:c r="J7" s="24" t="str">
        <x:v>Carga de slot entra en la sesión correcta sin duplicar inicialización.</x:v>
      </x:c>
      <x:c r="K7" s="24" t="str">
        <x:v>Funcional</x:v>
      </x:c>
      <x:c r="L7" s="24" t="str">
        <x:v>PlayMode + Manual</x:v>
      </x:c>
      <x:c r="M7" s="24" t="str">
        <x:v>P0</x:v>
      </x:c>
      <x:c r="N7" s="24" t="str">
        <x:v>S1</x:v>
      </x:c>
      <x:c r="O7" s="24" t="str">
        <x:v>Manual/Parcial</x:v>
      </x:c>
      <x:c r="P7" s="24" t="str">
        <x:v>Bootstrap/MainMenu/StoreInitial</x:v>
      </x:c>
      <x:c r="Q7" s="24" t="str">
        <x:v>H6 / Vertical Slice</x:v>
      </x:c>
      <x:c r="R7" s="24" t="str">
        <x:v>Ready</x:v>
      </x:c>
      <x:c r="S7" s="24" t="str">
        <x:v>VRM Games</x:v>
      </x:c>
      <x:c r="T7" s="24" t="str">
        <x:v>02_Vertical_Slice_Specification.md</x:v>
      </x:c>
      <x:c r="U7" s="24" t="str">
        <x:v>APP;regresión;trazable</x:v>
      </x:c>
    </x:row>
    <x:row r="8" ht="48" customHeight="1">
      <x:c r="A8" s="24" t="str">
        <x:v>TC-VS-APP-004</x:v>
      </x:c>
      <x:c r="B8" s="24" t="str">
        <x:v>Aplicación y sesión</x:v>
      </x:c>
      <x:c r="C8" s="24" t="str">
        <x:v>APP</x:v>
      </x:c>
      <x:c r="D8" s="24" t="str">
        <x:v>VS-APP-004</x:v>
      </x:c>
      <x:c r="E8" s="24" t="str">
        <x:v>Volver al menú o salir no pierde un guardado confirmado</x:v>
      </x:c>
      <x:c r="F8" s="24" t="str">
        <x:v>Verificar que se cumple: Volver al menú o salir no pierde un guardado confirmado.</x:v>
      </x:c>
      <x:c r="G8" s="24" t="str">
        <x:v>Baseline válida; estado inicial reproducible; datos de prueba preparados.</x:v>
      </x:c>
      <x:c r="H8" s="24" t="str">
        <x:v>Dataset nominal y, cuando aplique, valores límite o inválidos.</x:v>
      </x:c>
      <x:c r="I8" s="24" t="str">
        <x:v>1. Preparar el estado. 2. Ejecutar la acción o transición. 3. Observar estado, UI y logs. 4. Comparar precondición y postcondición.</x:v>
      </x:c>
      <x:c r="J8" s="24" t="str">
        <x:v>Volver al menú o salir no pierde un guardado confirmado.</x:v>
      </x:c>
      <x:c r="K8" s="24" t="str">
        <x:v>Funcional</x:v>
      </x:c>
      <x:c r="L8" s="24" t="str">
        <x:v>PlayMode + Manual</x:v>
      </x:c>
      <x:c r="M8" s="24" t="str">
        <x:v>P0</x:v>
      </x:c>
      <x:c r="N8" s="24" t="str">
        <x:v>S1</x:v>
      </x:c>
      <x:c r="O8" s="24" t="str">
        <x:v>Manual/Parcial</x:v>
      </x:c>
      <x:c r="P8" s="24" t="str">
        <x:v>Bootstrap/MainMenu/StoreInitial</x:v>
      </x:c>
      <x:c r="Q8" s="24" t="str">
        <x:v>H6 / Vertical Slice</x:v>
      </x:c>
      <x:c r="R8" s="24" t="str">
        <x:v>Ready</x:v>
      </x:c>
      <x:c r="S8" s="24" t="str">
        <x:v>VRM Games</x:v>
      </x:c>
      <x:c r="T8" s="24" t="str">
        <x:v>02_Vertical_Slice_Specification.md</x:v>
      </x:c>
      <x:c r="U8" s="24" t="str">
        <x:v>APP;regresión;trazable</x:v>
      </x:c>
    </x:row>
    <x:row r="9" ht="48" customHeight="1">
      <x:c r="A9" s="24" t="str">
        <x:v>TC-VS-SCN-001</x:v>
      </x:c>
      <x:c r="B9" s="24" t="str">
        <x:v>Escena y composición</x:v>
      </x:c>
      <x:c r="C9" s="24" t="str">
        <x:v>SCN</x:v>
      </x:c>
      <x:c r="D9" s="24" t="str">
        <x:v>VS-SCN-001</x:v>
      </x:c>
      <x:c r="E9" s="24" t="str">
        <x:v>`StoreInitial.unity` carga con referencias obligatorias válidas</x:v>
      </x:c>
      <x:c r="F9" s="24" t="str">
        <x:v>Verificar que se cumple: `StoreInitial.unity` carga con referencias obligatorias válidas.</x:v>
      </x:c>
      <x:c r="G9" s="24" t="str">
        <x:v>Baseline válida; estado inicial reproducible; datos de prueba preparados.</x:v>
      </x:c>
      <x:c r="H9" s="24" t="str">
        <x:v>Dataset nominal y, cuando aplique, valores límite o inválidos.</x:v>
      </x:c>
      <x:c r="I9" s="24" t="str">
        <x:v>1. Preparar el estado. 2. Ejecutar la acción o transición. 3. Observar estado, UI y logs. 4. Comparar precondición y postcondición.</x:v>
      </x:c>
      <x:c r="J9" s="24" t="str">
        <x:v>`StoreInitial.unity` carga con referencias obligatorias válidas.</x:v>
      </x:c>
      <x:c r="K9" s="24" t="str">
        <x:v>Funcional</x:v>
      </x:c>
      <x:c r="L9" s="24" t="str">
        <x:v>PlayMode + Manual</x:v>
      </x:c>
      <x:c r="M9" s="24" t="str">
        <x:v>P0</x:v>
      </x:c>
      <x:c r="N9" s="24" t="str">
        <x:v>S1</x:v>
      </x:c>
      <x:c r="O9" s="24" t="str">
        <x:v>Manual/Parcial</x:v>
      </x:c>
      <x:c r="P9" s="24" t="str">
        <x:v>StoreInitial</x:v>
      </x:c>
      <x:c r="Q9" s="24" t="str">
        <x:v>H6 / Vertical Slice</x:v>
      </x:c>
      <x:c r="R9" s="24" t="str">
        <x:v>Ready</x:v>
      </x:c>
      <x:c r="S9" s="24" t="str">
        <x:v>VRM Games</x:v>
      </x:c>
      <x:c r="T9" s="24" t="str">
        <x:v>02_Vertical_Slice_Specification.md</x:v>
      </x:c>
      <x:c r="U9" s="24" t="str">
        <x:v>SCN;regresión;trazable</x:v>
      </x:c>
    </x:row>
    <x:row r="10" ht="48" customHeight="1">
      <x:c r="A10" s="24" t="str">
        <x:v>TC-VS-SCN-002</x:v>
      </x:c>
      <x:c r="B10" s="24" t="str">
        <x:v>Escena y composición</x:v>
      </x:c>
      <x:c r="C10" s="24" t="str">
        <x:v>SCN</x:v>
      </x:c>
      <x:c r="D10" s="24" t="str">
        <x:v>VS-SCN-002</x:v>
      </x:c>
      <x:c r="E10" s="24" t="str">
        <x:v>Arquitectura, puerta, zonas y mobiliario están colocados conforme al layout aprobado</x:v>
      </x:c>
      <x:c r="F10" s="24" t="str">
        <x:v>Verificar que se cumple: Arquitectura, puerta, zonas y mobiliario están colocados conforme al layout aprobado.</x:v>
      </x:c>
      <x:c r="G10" s="24" t="str">
        <x:v>Baseline válida; estado inicial reproducible; datos de prueba preparados.</x:v>
      </x:c>
      <x:c r="H10" s="24" t="str">
        <x:v>Dataset nominal y, cuando aplique, valores límite o inválidos.</x:v>
      </x:c>
      <x:c r="I10" s="24" t="str">
        <x:v>1. Preparar el estado. 2. Ejecutar la acción o transición. 3. Observar estado, UI y logs. 4. Comparar precondición y postcondición.</x:v>
      </x:c>
      <x:c r="J10" s="24" t="str">
        <x:v>Arquitectura, puerta, zonas y mobiliario están colocados conforme al layout aprobado.</x:v>
      </x:c>
      <x:c r="K10" s="24" t="str">
        <x:v>Funcional</x:v>
      </x:c>
      <x:c r="L10" s="24" t="str">
        <x:v>PlayMode + Manual</x:v>
      </x:c>
      <x:c r="M10" s="24" t="str">
        <x:v>P0</x:v>
      </x:c>
      <x:c r="N10" s="24" t="str">
        <x:v>S1</x:v>
      </x:c>
      <x:c r="O10" s="24" t="str">
        <x:v>Manual/Parcial</x:v>
      </x:c>
      <x:c r="P10" s="24" t="str">
        <x:v>StoreInitial</x:v>
      </x:c>
      <x:c r="Q10" s="24" t="str">
        <x:v>H6 / Vertical Slice</x:v>
      </x:c>
      <x:c r="R10" s="24" t="str">
        <x:v>Ready</x:v>
      </x:c>
      <x:c r="S10" s="24" t="str">
        <x:v>VRM Games</x:v>
      </x:c>
      <x:c r="T10" s="24" t="str">
        <x:v>02_Vertical_Slice_Specification.md</x:v>
      </x:c>
      <x:c r="U10" s="24" t="str">
        <x:v>SCN;regresión;trazable</x:v>
      </x:c>
    </x:row>
    <x:row r="11" ht="48" customHeight="1">
      <x:c r="A11" s="24" t="str">
        <x:v>TC-VS-SCN-003</x:v>
      </x:c>
      <x:c r="B11" s="24" t="str">
        <x:v>Escena y composición</x:v>
      </x:c>
      <x:c r="C11" s="24" t="str">
        <x:v>SCN</x:v>
      </x:c>
      <x:c r="D11" s="24" t="str">
        <x:v>VS-SCN-003</x:v>
      </x:c>
      <x:c r="E11" s="24" t="str">
        <x:v>No existen placeholders visibles no exceptuados</x:v>
      </x:c>
      <x:c r="F11" s="24" t="str">
        <x:v>Verificar que se cumple: No existen placeholders visibles no exceptuados.</x:v>
      </x:c>
      <x:c r="G11" s="24" t="str">
        <x:v>Baseline válida; estado inicial reproducible; datos de prueba preparados.</x:v>
      </x:c>
      <x:c r="H11" s="24" t="str">
        <x:v>Dataset nominal y, cuando aplique, valores límite o inválidos.</x:v>
      </x:c>
      <x:c r="I11" s="24" t="str">
        <x:v>1. Preparar el estado. 2. Ejecutar la acción o transición. 3. Observar estado, UI y logs. 4. Comparar precondición y postcondición.</x:v>
      </x:c>
      <x:c r="J11" s="24" t="str">
        <x:v>No existen placeholders visibles no exceptuados.</x:v>
      </x:c>
      <x:c r="K11" s="24" t="str">
        <x:v>Funcional</x:v>
      </x:c>
      <x:c r="L11" s="24" t="str">
        <x:v>PlayMode + Manual</x:v>
      </x:c>
      <x:c r="M11" s="24" t="str">
        <x:v>P0</x:v>
      </x:c>
      <x:c r="N11" s="24" t="str">
        <x:v>S1</x:v>
      </x:c>
      <x:c r="O11" s="24" t="str">
        <x:v>Manual/Parcial</x:v>
      </x:c>
      <x:c r="P11" s="24" t="str">
        <x:v>StoreInitial</x:v>
      </x:c>
      <x:c r="Q11" s="24" t="str">
        <x:v>H6 / Vertical Slice</x:v>
      </x:c>
      <x:c r="R11" s="24" t="str">
        <x:v>Ready</x:v>
      </x:c>
      <x:c r="S11" s="24" t="str">
        <x:v>VRM Games</x:v>
      </x:c>
      <x:c r="T11" s="24" t="str">
        <x:v>02_Vertical_Slice_Specification.md</x:v>
      </x:c>
      <x:c r="U11" s="24" t="str">
        <x:v>SCN;regresión;trazable</x:v>
      </x:c>
    </x:row>
    <x:row r="12" ht="48" customHeight="1">
      <x:c r="A12" s="24" t="str">
        <x:v>TC-VS-SCN-004</x:v>
      </x:c>
      <x:c r="B12" s="24" t="str">
        <x:v>Escena y composición</x:v>
      </x:c>
      <x:c r="C12" s="24" t="str">
        <x:v>SCN</x:v>
      </x:c>
      <x:c r="D12" s="24" t="str">
        <x:v>VS-SCN-004</x:v>
      </x:c>
      <x:c r="E12" s="24" t="str">
        <x:v>Visuales, colliders, navegación y puntos funcionales no se contradicen</x:v>
      </x:c>
      <x:c r="F12" s="24" t="str">
        <x:v>Verificar que se cumple: Visuales, colliders, navegación y puntos funcionales no se contradicen.</x:v>
      </x:c>
      <x:c r="G12" s="24" t="str">
        <x:v>Baseline válida; estado inicial reproducible; datos de prueba preparados.</x:v>
      </x:c>
      <x:c r="H12" s="24" t="str">
        <x:v>Dataset nominal y, cuando aplique, valores límite o inválidos.</x:v>
      </x:c>
      <x:c r="I12" s="24" t="str">
        <x:v>1. Preparar el estado. 2. Ejecutar la acción o transición. 3. Observar estado, UI y logs. 4. Comparar precondición y postcondición.</x:v>
      </x:c>
      <x:c r="J12" s="24" t="str">
        <x:v>Visuales, colliders, navegación y puntos funcionales no se contradicen.</x:v>
      </x:c>
      <x:c r="K12" s="24" t="str">
        <x:v>Funcional</x:v>
      </x:c>
      <x:c r="L12" s="24" t="str">
        <x:v>PlayMode + Manual</x:v>
      </x:c>
      <x:c r="M12" s="24" t="str">
        <x:v>P0</x:v>
      </x:c>
      <x:c r="N12" s="24" t="str">
        <x:v>S1</x:v>
      </x:c>
      <x:c r="O12" s="24" t="str">
        <x:v>Manual/Parcial</x:v>
      </x:c>
      <x:c r="P12" s="24" t="str">
        <x:v>StoreInitial</x:v>
      </x:c>
      <x:c r="Q12" s="24" t="str">
        <x:v>H6 / Vertical Slice</x:v>
      </x:c>
      <x:c r="R12" s="24" t="str">
        <x:v>Ready</x:v>
      </x:c>
      <x:c r="S12" s="24" t="str">
        <x:v>VRM Games</x:v>
      </x:c>
      <x:c r="T12" s="24" t="str">
        <x:v>02_Vertical_Slice_Specification.md</x:v>
      </x:c>
      <x:c r="U12" s="24" t="str">
        <x:v>SCN;regresión;trazable</x:v>
      </x:c>
    </x:row>
    <x:row r="13" ht="48" customHeight="1">
      <x:c r="A13" s="24" t="str">
        <x:v>TC-VS-INP-001</x:v>
      </x:c>
      <x:c r="B13" s="24" t="str">
        <x:v>Input</x:v>
      </x:c>
      <x:c r="C13" s="24" t="str">
        <x:v>INP</x:v>
      </x:c>
      <x:c r="D13" s="24" t="str">
        <x:v>VS-INP-001</x:v>
      </x:c>
      <x:c r="E13" s="24" t="str">
        <x:v>Un evento consumido por UI no dispara movimiento, colocación o interacción de mundo</x:v>
      </x:c>
      <x:c r="F13" s="24" t="str">
        <x:v>Verificar que se cumple: Un evento consumido por UI no dispara movimiento, colocación o interacción de mundo.</x:v>
      </x:c>
      <x:c r="G13" s="24" t="str">
        <x:v>Baseline válida; estado inicial reproducible; datos de prueba preparados.</x:v>
      </x:c>
      <x:c r="H13" s="24" t="str">
        <x:v>Dataset nominal y, cuando aplique, valores límite o inválidos.</x:v>
      </x:c>
      <x:c r="I13" s="24" t="str">
        <x:v>1. Preparar el estado. 2. Ejecutar la acción o transición. 3. Observar estado, UI y logs. 4. Comparar precondición y postcondición.</x:v>
      </x:c>
      <x:c r="J13" s="24" t="str">
        <x:v>Un evento consumido por UI no dispara movimiento, colocación o interacción de mundo.</x:v>
      </x:c>
      <x:c r="K13" s="24" t="str">
        <x:v>Funcional</x:v>
      </x:c>
      <x:c r="L13" s="24" t="str">
        <x:v>PlayMode + Manual</x:v>
      </x:c>
      <x:c r="M13" s="24" t="str">
        <x:v>P1</x:v>
      </x:c>
      <x:c r="N13" s="24" t="str">
        <x:v>S2</x:v>
      </x:c>
      <x:c r="O13" s="24" t="str">
        <x:v>Parcial</x:v>
      </x:c>
      <x:c r="P13" s="24" t="str">
        <x:v>StoreInitial</x:v>
      </x:c>
      <x:c r="Q13" s="24" t="str">
        <x:v>H6 / Vertical Slice</x:v>
      </x:c>
      <x:c r="R13" s="24" t="str">
        <x:v>Ready</x:v>
      </x:c>
      <x:c r="S13" s="24" t="str">
        <x:v>VRM Games</x:v>
      </x:c>
      <x:c r="T13" s="24" t="str">
        <x:v>02_Vertical_Slice_Specification.md</x:v>
      </x:c>
      <x:c r="U13" s="24" t="str">
        <x:v>INP;regresión;trazable</x:v>
      </x:c>
    </x:row>
    <x:row r="14" ht="48" customHeight="1">
      <x:c r="A14" s="24" t="str">
        <x:v>TC-VS-INP-002</x:v>
      </x:c>
      <x:c r="B14" s="24" t="str">
        <x:v>Input</x:v>
      </x:c>
      <x:c r="C14" s="24" t="str">
        <x:v>INP</x:v>
      </x:c>
      <x:c r="D14" s="24" t="str">
        <x:v>VS-INP-002</x:v>
      </x:c>
      <x:c r="E14" s="24" t="str">
        <x:v>Clic de mundo produce destino válido o feedback de rechazo</x:v>
      </x:c>
      <x:c r="F14" s="24" t="str">
        <x:v>Verificar que se cumple: Clic de mundo produce destino válido o feedback de rechazo.</x:v>
      </x:c>
      <x:c r="G14" s="24" t="str">
        <x:v>Baseline válida; estado inicial reproducible; datos de prueba preparados.</x:v>
      </x:c>
      <x:c r="H14" s="24" t="str">
        <x:v>Dataset nominal y, cuando aplique, valores límite o inválidos.</x:v>
      </x:c>
      <x:c r="I14" s="24" t="str">
        <x:v>1. Preparar el estado. 2. Ejecutar la acción o transición. 3. Observar estado, UI y logs. 4. Comparar precondición y postcondición.</x:v>
      </x:c>
      <x:c r="J14" s="24" t="str">
        <x:v>Clic de mundo produce destino válido o feedback de rechazo.</x:v>
      </x:c>
      <x:c r="K14" s="24" t="str">
        <x:v>Funcional</x:v>
      </x:c>
      <x:c r="L14" s="24" t="str">
        <x:v>PlayMode + Manual</x:v>
      </x:c>
      <x:c r="M14" s="24" t="str">
        <x:v>P1</x:v>
      </x:c>
      <x:c r="N14" s="24" t="str">
        <x:v>S2</x:v>
      </x:c>
      <x:c r="O14" s="24" t="str">
        <x:v>Parcial</x:v>
      </x:c>
      <x:c r="P14" s="24" t="str">
        <x:v>StoreInitial</x:v>
      </x:c>
      <x:c r="Q14" s="24" t="str">
        <x:v>H6 / Vertical Slice</x:v>
      </x:c>
      <x:c r="R14" s="24" t="str">
        <x:v>Ready</x:v>
      </x:c>
      <x:c r="S14" s="24" t="str">
        <x:v>VRM Games</x:v>
      </x:c>
      <x:c r="T14" s="24" t="str">
        <x:v>02_Vertical_Slice_Specification.md</x:v>
      </x:c>
      <x:c r="U14" s="24" t="str">
        <x:v>INP;regresión;trazable</x:v>
      </x:c>
    </x:row>
    <x:row r="15" ht="48" customHeight="1">
      <x:c r="A15" s="24" t="str">
        <x:v>TC-VS-CAM-001</x:v>
      </x:c>
      <x:c r="B15" s="24" t="str">
        <x:v>Cámara</x:v>
      </x:c>
      <x:c r="C15" s="24" t="str">
        <x:v>CAM</x:v>
      </x:c>
      <x:c r="D15" s="24" t="str">
        <x:v>VS-CAM-001</x:v>
      </x:c>
      <x:c r="E15" s="24" t="str">
        <x:v>Órbita y zoom permanecen dentro de límites y no bloquean el flujo</x:v>
      </x:c>
      <x:c r="F15" s="24" t="str">
        <x:v>Verificar que se cumple: Órbita y zoom permanecen dentro de límites y no bloquean el flujo.</x:v>
      </x:c>
      <x:c r="G15" s="24" t="str">
        <x:v>Baseline válida; estado inicial reproducible; datos de prueba preparados.</x:v>
      </x:c>
      <x:c r="H15" s="24" t="str">
        <x:v>Dataset nominal y, cuando aplique, valores límite o inválidos.</x:v>
      </x:c>
      <x:c r="I15" s="24" t="str">
        <x:v>1. Preparar el estado. 2. Ejecutar la acción o transición. 3. Observar estado, UI y logs. 4. Comparar precondición y postcondición.</x:v>
      </x:c>
      <x:c r="J15" s="24" t="str">
        <x:v>Órbita y zoom permanecen dentro de límites y no bloquean el flujo.</x:v>
      </x:c>
      <x:c r="K15" s="24" t="str">
        <x:v>Funcional</x:v>
      </x:c>
      <x:c r="L15" s="24" t="str">
        <x:v>PlayMode + Manual</x:v>
      </x:c>
      <x:c r="M15" s="24" t="str">
        <x:v>P0</x:v>
      </x:c>
      <x:c r="N15" s="24" t="str">
        <x:v>S1</x:v>
      </x:c>
      <x:c r="O15" s="24" t="str">
        <x:v>Parcial</x:v>
      </x:c>
      <x:c r="P15" s="24" t="str">
        <x:v>StoreInitial</x:v>
      </x:c>
      <x:c r="Q15" s="24" t="str">
        <x:v>H6 / Vertical Slice</x:v>
      </x:c>
      <x:c r="R15" s="24" t="str">
        <x:v>Ready</x:v>
      </x:c>
      <x:c r="S15" s="24" t="str">
        <x:v>VRM Games</x:v>
      </x:c>
      <x:c r="T15" s="24" t="str">
        <x:v>02_Vertical_Slice_Specification.md</x:v>
      </x:c>
      <x:c r="U15" s="24" t="str">
        <x:v>CAM;regresión;trazable</x:v>
      </x:c>
    </x:row>
    <x:row r="16" ht="48" customHeight="1">
      <x:c r="A16" s="24" t="str">
        <x:v>TC-VS-CAM-002</x:v>
      </x:c>
      <x:c r="B16" s="24" t="str">
        <x:v>Cámara</x:v>
      </x:c>
      <x:c r="C16" s="24" t="str">
        <x:v>CAM</x:v>
      </x:c>
      <x:c r="D16" s="24" t="str">
        <x:v>VS-CAM-002</x:v>
      </x:c>
      <x:c r="E16" s="24" t="str">
        <x:v>La cámara mantiene legibles entrada, displays, cola y checkout</x:v>
      </x:c>
      <x:c r="F16" s="24" t="str">
        <x:v>Verificar que se cumple: La cámara mantiene legibles entrada, displays, cola y checkout.</x:v>
      </x:c>
      <x:c r="G16" s="24" t="str">
        <x:v>Baseline válida; estado inicial reproducible; datos de prueba preparados.</x:v>
      </x:c>
      <x:c r="H16" s="24" t="str">
        <x:v>Dataset nominal y, cuando aplique, valores límite o inválidos.</x:v>
      </x:c>
      <x:c r="I16" s="24" t="str">
        <x:v>1. Preparar el estado. 2. Ejecutar la acción o transición. 3. Observar estado, UI y logs. 4. Comparar precondición y postcondición.</x:v>
      </x:c>
      <x:c r="J16" s="24" t="str">
        <x:v>La cámara mantiene legibles entrada, displays, cola y checkout.</x:v>
      </x:c>
      <x:c r="K16" s="24" t="str">
        <x:v>Funcional</x:v>
      </x:c>
      <x:c r="L16" s="24" t="str">
        <x:v>PlayMode + Manual</x:v>
      </x:c>
      <x:c r="M16" s="24" t="str">
        <x:v>P2</x:v>
      </x:c>
      <x:c r="N16" s="24" t="str">
        <x:v>S3</x:v>
      </x:c>
      <x:c r="O16" s="24" t="str">
        <x:v>Parcial</x:v>
      </x:c>
      <x:c r="P16" s="24" t="str">
        <x:v>StoreInitial</x:v>
      </x:c>
      <x:c r="Q16" s="24" t="str">
        <x:v>H6 / Vertical Slice</x:v>
      </x:c>
      <x:c r="R16" s="24" t="str">
        <x:v>Ready</x:v>
      </x:c>
      <x:c r="S16" s="24" t="str">
        <x:v>VRM Games</x:v>
      </x:c>
      <x:c r="T16" s="24" t="str">
        <x:v>02_Vertical_Slice_Specification.md</x:v>
      </x:c>
      <x:c r="U16" s="24" t="str">
        <x:v>CAM;regresión;trazable</x:v>
      </x:c>
    </x:row>
    <x:row r="17" ht="48" customHeight="1">
      <x:c r="A17" s="24" t="str">
        <x:v>TC-VS-MOV-001</x:v>
      </x:c>
      <x:c r="B17" s="24" t="str">
        <x:v>Movimiento y navegación</x:v>
      </x:c>
      <x:c r="C17" s="24" t="str">
        <x:v>MOV</x:v>
      </x:c>
      <x:c r="D17" s="24" t="str">
        <x:v>VS-MOV-001</x:v>
      </x:c>
      <x:c r="E17" s="24" t="str">
        <x:v>El jugador alcanza todos los puntos accesibles obligatorios</x:v>
      </x:c>
      <x:c r="F17" s="24" t="str">
        <x:v>Verificar que se cumple: El jugador alcanza todos los puntos accesibles obligatorios.</x:v>
      </x:c>
      <x:c r="G17" s="24" t="str">
        <x:v>Baseline válida; estado inicial reproducible; datos de prueba preparados.</x:v>
      </x:c>
      <x:c r="H17" s="24" t="str">
        <x:v>Dataset nominal y, cuando aplique, valores límite o inválidos.</x:v>
      </x:c>
      <x:c r="I17" s="24" t="str">
        <x:v>1. Preparar el estado. 2. Ejecutar la acción o transición. 3. Observar estado, UI y logs. 4. Comparar precondición y postcondición.</x:v>
      </x:c>
      <x:c r="J17" s="24" t="str">
        <x:v>El jugador alcanza todos los puntos accesibles obligatorios.</x:v>
      </x:c>
      <x:c r="K17" s="24" t="str">
        <x:v>Funcional</x:v>
      </x:c>
      <x:c r="L17" s="24" t="str">
        <x:v>PlayMode + Manual</x:v>
      </x:c>
      <x:c r="M17" s="24" t="str">
        <x:v>P1</x:v>
      </x:c>
      <x:c r="N17" s="24" t="str">
        <x:v>S2</x:v>
      </x:c>
      <x:c r="O17" s="24" t="str">
        <x:v>Parcial</x:v>
      </x:c>
      <x:c r="P17" s="24" t="str">
        <x:v>StoreInitial</x:v>
      </x:c>
      <x:c r="Q17" s="24" t="str">
        <x:v>H6 / Vertical Slice</x:v>
      </x:c>
      <x:c r="R17" s="24" t="str">
        <x:v>Ready</x:v>
      </x:c>
      <x:c r="S17" s="24" t="str">
        <x:v>VRM Games</x:v>
      </x:c>
      <x:c r="T17" s="24" t="str">
        <x:v>02_Vertical_Slice_Specification.md</x:v>
      </x:c>
      <x:c r="U17" s="24" t="str">
        <x:v>MOV;regresión;trazable</x:v>
      </x:c>
    </x:row>
    <x:row r="18" ht="48" customHeight="1">
      <x:c r="A18" s="24" t="str">
        <x:v>TC-VS-MOV-002</x:v>
      </x:c>
      <x:c r="B18" s="24" t="str">
        <x:v>Movimiento y navegación</x:v>
      </x:c>
      <x:c r="C18" s="24" t="str">
        <x:v>MOV</x:v>
      </x:c>
      <x:c r="D18" s="24" t="str">
        <x:v>VS-MOV-002</x:v>
      </x:c>
      <x:c r="E18" s="24" t="str">
        <x:v>El jugador no atraviesa arquitectura ni mobiliario</x:v>
      </x:c>
      <x:c r="F18" s="24" t="str">
        <x:v>Verificar que se cumple: El jugador no atraviesa arquitectura ni mobiliario.</x:v>
      </x:c>
      <x:c r="G18" s="24" t="str">
        <x:v>Baseline válida; estado inicial reproducible; datos de prueba preparados.</x:v>
      </x:c>
      <x:c r="H18" s="24" t="str">
        <x:v>Dataset nominal y, cuando aplique, valores límite o inválidos.</x:v>
      </x:c>
      <x:c r="I18" s="24" t="str">
        <x:v>1. Preparar el estado. 2. Ejecutar la acción o transición. 3. Observar estado, UI y logs. 4. Comparar precondición y postcondición.</x:v>
      </x:c>
      <x:c r="J18" s="24" t="str">
        <x:v>El jugador no atraviesa arquitectura ni mobiliario.</x:v>
      </x:c>
      <x:c r="K18" s="24" t="str">
        <x:v>Funcional</x:v>
      </x:c>
      <x:c r="L18" s="24" t="str">
        <x:v>PlayMode + Manual</x:v>
      </x:c>
      <x:c r="M18" s="24" t="str">
        <x:v>P1</x:v>
      </x:c>
      <x:c r="N18" s="24" t="str">
        <x:v>S2</x:v>
      </x:c>
      <x:c r="O18" s="24" t="str">
        <x:v>Parcial</x:v>
      </x:c>
      <x:c r="P18" s="24" t="str">
        <x:v>StoreInitial</x:v>
      </x:c>
      <x:c r="Q18" s="24" t="str">
        <x:v>H6 / Vertical Slice</x:v>
      </x:c>
      <x:c r="R18" s="24" t="str">
        <x:v>Ready</x:v>
      </x:c>
      <x:c r="S18" s="24" t="str">
        <x:v>VRM Games</x:v>
      </x:c>
      <x:c r="T18" s="24" t="str">
        <x:v>02_Vertical_Slice_Specification.md</x:v>
      </x:c>
      <x:c r="U18" s="24" t="str">
        <x:v>MOV;regresión;trazable</x:v>
      </x:c>
    </x:row>
    <x:row r="19" ht="48" customHeight="1">
      <x:c r="A19" s="24" t="str">
        <x:v>TC-VS-MOV-003</x:v>
      </x:c>
      <x:c r="B19" s="24" t="str">
        <x:v>Movimiento y navegación</x:v>
      </x:c>
      <x:c r="C19" s="24" t="str">
        <x:v>MOV</x:v>
      </x:c>
      <x:c r="D19" s="24" t="str">
        <x:v>VS-MOV-003</x:v>
      </x:c>
      <x:c r="E19" s="24" t="str">
        <x:v>Un destino inaccesible no deja al jugador en estado indefinido</x:v>
      </x:c>
      <x:c r="F19" s="24" t="str">
        <x:v>Verificar que se cumple: Un destino inaccesible no deja al jugador en estado indefinido.</x:v>
      </x:c>
      <x:c r="G19" s="24" t="str">
        <x:v>Baseline válida; estado inicial reproducible; datos de prueba preparados.</x:v>
      </x:c>
      <x:c r="H19" s="24" t="str">
        <x:v>Dataset nominal y, cuando aplique, valores límite o inválidos.</x:v>
      </x:c>
      <x:c r="I19" s="24" t="str">
        <x:v>1. Preparar el estado. 2. Ejecutar la acción o transición. 3. Observar estado, UI y logs. 4. Comparar precondición y postcondición.</x:v>
      </x:c>
      <x:c r="J19" s="24" t="str">
        <x:v>Un destino inaccesible no deja al jugador en estado indefinido.</x:v>
      </x:c>
      <x:c r="K19" s="24" t="str">
        <x:v>Funcional</x:v>
      </x:c>
      <x:c r="L19" s="24" t="str">
        <x:v>PlayMode + Manual</x:v>
      </x:c>
      <x:c r="M19" s="24" t="str">
        <x:v>P1</x:v>
      </x:c>
      <x:c r="N19" s="24" t="str">
        <x:v>S2</x:v>
      </x:c>
      <x:c r="O19" s="24" t="str">
        <x:v>Parcial</x:v>
      </x:c>
      <x:c r="P19" s="24" t="str">
        <x:v>StoreInitial</x:v>
      </x:c>
      <x:c r="Q19" s="24" t="str">
        <x:v>H6 / Vertical Slice</x:v>
      </x:c>
      <x:c r="R19" s="24" t="str">
        <x:v>Ready</x:v>
      </x:c>
      <x:c r="S19" s="24" t="str">
        <x:v>VRM Games</x:v>
      </x:c>
      <x:c r="T19" s="24" t="str">
        <x:v>02_Vertical_Slice_Specification.md</x:v>
      </x:c>
      <x:c r="U19" s="24" t="str">
        <x:v>MOV;regresión;trazable</x:v>
      </x:c>
    </x:row>
    <x:row r="20" ht="48" customHeight="1">
      <x:c r="A20" s="24" t="str">
        <x:v>TC-VS-BLD-001</x:v>
      </x:c>
      <x:c r="B20" s="24" t="str">
        <x:v>Construcción</x:v>
      </x:c>
      <x:c r="C20" s="24" t="str">
        <x:v>BLD</x:v>
      </x:c>
      <x:c r="D20" s="24" t="str">
        <x:v>VS-BLD-001</x:v>
      </x:c>
      <x:c r="E20" s="24" t="str">
        <x:v>Preview coincide con posición, rotación y huella final</x:v>
      </x:c>
      <x:c r="F20" s="24" t="str">
        <x:v>Verificar que se cumple: Preview coincide con posición, rotación y huella final.</x:v>
      </x:c>
      <x:c r="G20" s="24" t="str">
        <x:v>Baseline válida; estado inicial reproducible; datos de prueba preparados.</x:v>
      </x:c>
      <x:c r="H20" s="24" t="str">
        <x:v>Dataset nominal y, cuando aplique, valores límite o inválidos.</x:v>
      </x:c>
      <x:c r="I20" s="24" t="str">
        <x:v>1. Preparar el estado. 2. Ejecutar la acción o transición. 3. Observar estado, UI y logs. 4. Comparar precondición y postcondición.</x:v>
      </x:c>
      <x:c r="J20" s="24" t="str">
        <x:v>Preview coincide con posición, rotación y huella final.</x:v>
      </x:c>
      <x:c r="K20" s="24" t="str">
        <x:v>Funcional</x:v>
      </x:c>
      <x:c r="L20" s="24" t="str">
        <x:v>EditMode + Integración</x:v>
      </x:c>
      <x:c r="M20" s="24" t="str">
        <x:v>P1</x:v>
      </x:c>
      <x:c r="N20" s="24" t="str">
        <x:v>S2</x:v>
      </x:c>
      <x:c r="O20" s="24" t="str">
        <x:v>Parcial/Alta</x:v>
      </x:c>
      <x:c r="P20" s="24" t="str">
        <x:v>StoreInitial</x:v>
      </x:c>
      <x:c r="Q20" s="24" t="str">
        <x:v>H6 / Vertical Slice</x:v>
      </x:c>
      <x:c r="R20" s="24" t="str">
        <x:v>Ready</x:v>
      </x:c>
      <x:c r="S20" s="24" t="str">
        <x:v>VRM Games</x:v>
      </x:c>
      <x:c r="T20" s="24" t="str">
        <x:v>02_Vertical_Slice_Specification.md</x:v>
      </x:c>
      <x:c r="U20" s="24" t="str">
        <x:v>BLD;regresión;trazable</x:v>
      </x:c>
    </x:row>
    <x:row r="21" ht="48" customHeight="1">
      <x:c r="A21" s="24" t="str">
        <x:v>TC-VS-BLD-002</x:v>
      </x:c>
      <x:c r="B21" s="24" t="str">
        <x:v>Construcción</x:v>
      </x:c>
      <x:c r="C21" s="24" t="str">
        <x:v>BLD</x:v>
      </x:c>
      <x:c r="D21" s="24" t="str">
        <x:v>VS-BLD-002</x:v>
      </x:c>
      <x:c r="E21" s="24" t="str">
        <x:v>No se confirma colocación fuera de límites o sobre celdas ocupadas</x:v>
      </x:c>
      <x:c r="F21" s="24" t="str">
        <x:v>Verificar que se cumple: No se confirma colocación fuera de límites o sobre celdas ocupadas.</x:v>
      </x:c>
      <x:c r="G21" s="24" t="str">
        <x:v>Baseline válida; estado inicial reproducible; datos de prueba preparados.</x:v>
      </x:c>
      <x:c r="H21" s="24" t="str">
        <x:v>Dataset nominal y, cuando aplique, valores límite o inválidos.</x:v>
      </x:c>
      <x:c r="I21" s="24" t="str">
        <x:v>1. Preparar el estado. 2. Ejecutar la acción o transición. 3. Observar estado, UI y logs. 4. Comparar precondición y postcondición.</x:v>
      </x:c>
      <x:c r="J21" s="24" t="str">
        <x:v>No se confirma colocación fuera de límites o sobre celdas ocupadas.</x:v>
      </x:c>
      <x:c r="K21" s="24" t="str">
        <x:v>Funcional</x:v>
      </x:c>
      <x:c r="L21" s="24" t="str">
        <x:v>EditMode + Integración</x:v>
      </x:c>
      <x:c r="M21" s="24" t="str">
        <x:v>P1</x:v>
      </x:c>
      <x:c r="N21" s="24" t="str">
        <x:v>S2</x:v>
      </x:c>
      <x:c r="O21" s="24" t="str">
        <x:v>Parcial/Alta</x:v>
      </x:c>
      <x:c r="P21" s="24" t="str">
        <x:v>StoreInitial</x:v>
      </x:c>
      <x:c r="Q21" s="24" t="str">
        <x:v>H6 / Vertical Slice</x:v>
      </x:c>
      <x:c r="R21" s="24" t="str">
        <x:v>Ready</x:v>
      </x:c>
      <x:c r="S21" s="24" t="str">
        <x:v>VRM Games</x:v>
      </x:c>
      <x:c r="T21" s="24" t="str">
        <x:v>02_Vertical_Slice_Specification.md</x:v>
      </x:c>
      <x:c r="U21" s="24" t="str">
        <x:v>BLD;regresión;trazable</x:v>
      </x:c>
    </x:row>
    <x:row r="22" ht="48" customHeight="1">
      <x:c r="A22" s="24" t="str">
        <x:v>TC-VS-BLD-003</x:v>
      </x:c>
      <x:c r="B22" s="24" t="str">
        <x:v>Construcción</x:v>
      </x:c>
      <x:c r="C22" s="24" t="str">
        <x:v>BLD</x:v>
      </x:c>
      <x:c r="D22" s="24" t="str">
        <x:v>VS-BLD-003</x:v>
      </x:c>
      <x:c r="E22" s="24" t="str">
        <x:v>No se bloquean entrada, salida o puntos obligatorios</x:v>
      </x:c>
      <x:c r="F22" s="24" t="str">
        <x:v>Verificar que se cumple: No se bloquean entrada, salida o puntos obligatorios.</x:v>
      </x:c>
      <x:c r="G22" s="24" t="str">
        <x:v>Baseline válida; estado inicial reproducible; datos de prueba preparados.</x:v>
      </x:c>
      <x:c r="H22" s="24" t="str">
        <x:v>Dataset nominal y, cuando aplique, valores límite o inválidos.</x:v>
      </x:c>
      <x:c r="I22" s="24" t="str">
        <x:v>1. Preparar el estado. 2. Ejecutar la acción o transición. 3. Observar estado, UI y logs. 4. Comparar precondición y postcondición.</x:v>
      </x:c>
      <x:c r="J22" s="24" t="str">
        <x:v>No se bloquean entrada, salida o puntos obligatorios.</x:v>
      </x:c>
      <x:c r="K22" s="24" t="str">
        <x:v>Funcional</x:v>
      </x:c>
      <x:c r="L22" s="24" t="str">
        <x:v>EditMode + Integración</x:v>
      </x:c>
      <x:c r="M22" s="24" t="str">
        <x:v>P0</x:v>
      </x:c>
      <x:c r="N22" s="24" t="str">
        <x:v>S1</x:v>
      </x:c>
      <x:c r="O22" s="24" t="str">
        <x:v>Parcial/Alta</x:v>
      </x:c>
      <x:c r="P22" s="24" t="str">
        <x:v>StoreInitial</x:v>
      </x:c>
      <x:c r="Q22" s="24" t="str">
        <x:v>H6 / Vertical Slice</x:v>
      </x:c>
      <x:c r="R22" s="24" t="str">
        <x:v>Ready</x:v>
      </x:c>
      <x:c r="S22" s="24" t="str">
        <x:v>VRM Games</x:v>
      </x:c>
      <x:c r="T22" s="24" t="str">
        <x:v>02_Vertical_Slice_Specification.md</x:v>
      </x:c>
      <x:c r="U22" s="24" t="str">
        <x:v>BLD;regresión;trazable</x:v>
      </x:c>
    </x:row>
    <x:row r="23" ht="48" customHeight="1">
      <x:c r="A23" s="24" t="str">
        <x:v>TC-VS-BLD-004</x:v>
      </x:c>
      <x:c r="B23" s="24" t="str">
        <x:v>Construcción</x:v>
      </x:c>
      <x:c r="C23" s="24" t="str">
        <x:v>BLD</x:v>
      </x:c>
      <x:c r="D23" s="24" t="str">
        <x:v>VS-BLD-004</x:v>
      </x:c>
      <x:c r="E23" s="24" t="str">
        <x:v>Fallo de validación no consume dinero ni altera ocupación</x:v>
      </x:c>
      <x:c r="F23" s="24" t="str">
        <x:v>Verificar que se cumple: Fallo de validación no consume dinero ni altera ocupación.</x:v>
      </x:c>
      <x:c r="G23" s="24" t="str">
        <x:v>Baseline válida; estado inicial reproducible; datos de prueba preparados.</x:v>
      </x:c>
      <x:c r="H23" s="24" t="str">
        <x:v>Dataset nominal y, cuando aplique, valores límite o inválidos.</x:v>
      </x:c>
      <x:c r="I23" s="24" t="str">
        <x:v>1. Preparar el estado. 2. Ejecutar la acción o transición. 3. Observar estado, UI y logs. 4. Comparar precondición y postcondición.</x:v>
      </x:c>
      <x:c r="J23" s="24" t="str">
        <x:v>Fallo de validación no consume dinero ni altera ocupación.</x:v>
      </x:c>
      <x:c r="K23" s="24" t="str">
        <x:v>Funcional</x:v>
      </x:c>
      <x:c r="L23" s="24" t="str">
        <x:v>EditMode + Integración</x:v>
      </x:c>
      <x:c r="M23" s="24" t="str">
        <x:v>P1</x:v>
      </x:c>
      <x:c r="N23" s="24" t="str">
        <x:v>S2</x:v>
      </x:c>
      <x:c r="O23" s="24" t="str">
        <x:v>Parcial/Alta</x:v>
      </x:c>
      <x:c r="P23" s="24" t="str">
        <x:v>StoreInitial</x:v>
      </x:c>
      <x:c r="Q23" s="24" t="str">
        <x:v>H6 / Vertical Slice</x:v>
      </x:c>
      <x:c r="R23" s="24" t="str">
        <x:v>Ready</x:v>
      </x:c>
      <x:c r="S23" s="24" t="str">
        <x:v>VRM Games</x:v>
      </x:c>
      <x:c r="T23" s="24" t="str">
        <x:v>02_Vertical_Slice_Specification.md</x:v>
      </x:c>
      <x:c r="U23" s="24" t="str">
        <x:v>BLD;regresión;trazable</x:v>
      </x:c>
    </x:row>
    <x:row r="24" ht="48" customHeight="1">
      <x:c r="A24" s="24" t="str">
        <x:v>TC-VS-BLD-005</x:v>
      </x:c>
      <x:c r="B24" s="24" t="str">
        <x:v>Construcción</x:v>
      </x:c>
      <x:c r="C24" s="24" t="str">
        <x:v>BLD</x:v>
      </x:c>
      <x:c r="D24" s="24" t="str">
        <x:v>VS-BLD-005</x:v>
      </x:c>
      <x:c r="E24" s="24" t="str">
        <x:v>Mover o retirar libera exactamente las celdas ocupadas</x:v>
      </x:c>
      <x:c r="F24" s="24" t="str">
        <x:v>Verificar que se cumple: Mover o retirar libera exactamente las celdas ocupadas.</x:v>
      </x:c>
      <x:c r="G24" s="24" t="str">
        <x:v>Baseline válida; estado inicial reproducible; datos de prueba preparados.</x:v>
      </x:c>
      <x:c r="H24" s="24" t="str">
        <x:v>Dataset nominal y, cuando aplique, valores límite o inválidos.</x:v>
      </x:c>
      <x:c r="I24" s="24" t="str">
        <x:v>1. Preparar el estado. 2. Ejecutar la acción o transición. 3. Observar estado, UI y logs. 4. Comparar precondición y postcondición.</x:v>
      </x:c>
      <x:c r="J24" s="24" t="str">
        <x:v>Mover o retirar libera exactamente las celdas ocupadas.</x:v>
      </x:c>
      <x:c r="K24" s="24" t="str">
        <x:v>Funcional</x:v>
      </x:c>
      <x:c r="L24" s="24" t="str">
        <x:v>EditMode + Integración</x:v>
      </x:c>
      <x:c r="M24" s="24" t="str">
        <x:v>P1</x:v>
      </x:c>
      <x:c r="N24" s="24" t="str">
        <x:v>S2</x:v>
      </x:c>
      <x:c r="O24" s="24" t="str">
        <x:v>Parcial/Alta</x:v>
      </x:c>
      <x:c r="P24" s="24" t="str">
        <x:v>StoreInitial</x:v>
      </x:c>
      <x:c r="Q24" s="24" t="str">
        <x:v>H6 / Vertical Slice</x:v>
      </x:c>
      <x:c r="R24" s="24" t="str">
        <x:v>Ready</x:v>
      </x:c>
      <x:c r="S24" s="24" t="str">
        <x:v>VRM Games</x:v>
      </x:c>
      <x:c r="T24" s="24" t="str">
        <x:v>02_Vertical_Slice_Specification.md</x:v>
      </x:c>
      <x:c r="U24" s="24" t="str">
        <x:v>BLD;regresión;trazable</x:v>
      </x:c>
    </x:row>
    <x:row r="25" ht="48" customHeight="1">
      <x:c r="A25" s="24" t="str">
        <x:v>TC-VS-BLD-006</x:v>
      </x:c>
      <x:c r="B25" s="24" t="str">
        <x:v>Construcción</x:v>
      </x:c>
      <x:c r="C25" s="24" t="str">
        <x:v>BLD</x:v>
      </x:c>
      <x:c r="D25" s="24" t="str">
        <x:v>VS-BLD-006</x:v>
      </x:c>
      <x:c r="E25" s="24" t="str">
        <x:v>Posición, rotación, tipo e ID persisten tras recarga</x:v>
      </x:c>
      <x:c r="F25" s="24" t="str">
        <x:v>Verificar que se cumple: Posición, rotación, tipo e ID persisten tras recarga.</x:v>
      </x:c>
      <x:c r="G25" s="24" t="str">
        <x:v>Baseline válida; estado inicial reproducible; datos de prueba preparados.</x:v>
      </x:c>
      <x:c r="H25" s="24" t="str">
        <x:v>Dataset nominal y, cuando aplique, valores límite o inválidos.</x:v>
      </x:c>
      <x:c r="I25" s="24" t="str">
        <x:v>1. Preparar el estado. 2. Ejecutar la acción o transición. 3. Observar estado, UI y logs. 4. Comparar precondición y postcondición.</x:v>
      </x:c>
      <x:c r="J25" s="24" t="str">
        <x:v>Posición, rotación, tipo e ID persisten tras recarga.</x:v>
      </x:c>
      <x:c r="K25" s="24" t="str">
        <x:v>Funcional</x:v>
      </x:c>
      <x:c r="L25" s="24" t="str">
        <x:v>EditMode + Integración</x:v>
      </x:c>
      <x:c r="M25" s="24" t="str">
        <x:v>P1</x:v>
      </x:c>
      <x:c r="N25" s="24" t="str">
        <x:v>S2</x:v>
      </x:c>
      <x:c r="O25" s="24" t="str">
        <x:v>Parcial/Alta</x:v>
      </x:c>
      <x:c r="P25" s="24" t="str">
        <x:v>StoreInitial</x:v>
      </x:c>
      <x:c r="Q25" s="24" t="str">
        <x:v>H6 / Vertical Slice</x:v>
      </x:c>
      <x:c r="R25" s="24" t="str">
        <x:v>Ready</x:v>
      </x:c>
      <x:c r="S25" s="24" t="str">
        <x:v>VRM Games</x:v>
      </x:c>
      <x:c r="T25" s="24" t="str">
        <x:v>02_Vertical_Slice_Specification.md</x:v>
      </x:c>
      <x:c r="U25" s="24" t="str">
        <x:v>BLD;regresión;trazable</x:v>
      </x:c>
    </x:row>
    <x:row r="26" ht="48" customHeight="1">
      <x:c r="A26" s="24" t="str">
        <x:v>TC-VS-INV-001</x:v>
      </x:c>
      <x:c r="B26" s="24" t="str">
        <x:v>Inventario</x:v>
      </x:c>
      <x:c r="C26" s="24" t="str">
        <x:v>INV</x:v>
      </x:c>
      <x:c r="D26" s="24" t="str">
        <x:v>VS-INV-001</x:v>
      </x:c>
      <x:c r="E26" s="24" t="str">
        <x:v>La suma de ubicaciones coincide con el stock registrado</x:v>
      </x:c>
      <x:c r="F26" s="24" t="str">
        <x:v>Verificar que se cumple: La suma de ubicaciones coincide con el stock registrado.</x:v>
      </x:c>
      <x:c r="G26" s="24" t="str">
        <x:v>Baseline válida; estado inicial reproducible; datos de prueba preparados.</x:v>
      </x:c>
      <x:c r="H26" s="24" t="str">
        <x:v>Dataset nominal y, cuando aplique, valores límite o inválidos.</x:v>
      </x:c>
      <x:c r="I26" s="24" t="str">
        <x:v>1. Preparar el estado. 2. Ejecutar la acción o transición. 3. Observar estado, UI y logs. 4. Comparar precondición y postcondición.</x:v>
      </x:c>
      <x:c r="J26" s="24" t="str">
        <x:v>La suma de ubicaciones coincide con el stock registrado.</x:v>
      </x:c>
      <x:c r="K26" s="24" t="str">
        <x:v>Funcional</x:v>
      </x:c>
      <x:c r="L26" s="24" t="str">
        <x:v>EditMode + Integración</x:v>
      </x:c>
      <x:c r="M26" s="24" t="str">
        <x:v>P0</x:v>
      </x:c>
      <x:c r="N26" s="24" t="str">
        <x:v>S1</x:v>
      </x:c>
      <x:c r="O26" s="24" t="str">
        <x:v>Parcial/Alta</x:v>
      </x:c>
      <x:c r="P26" s="24" t="str">
        <x:v>StoreInitial</x:v>
      </x:c>
      <x:c r="Q26" s="24" t="str">
        <x:v>H6 / Vertical Slice</x:v>
      </x:c>
      <x:c r="R26" s="24" t="str">
        <x:v>Ready</x:v>
      </x:c>
      <x:c r="S26" s="24" t="str">
        <x:v>VRM Games</x:v>
      </x:c>
      <x:c r="T26" s="24" t="str">
        <x:v>02_Vertical_Slice_Specification.md</x:v>
      </x:c>
      <x:c r="U26" s="24" t="str">
        <x:v>INV;regresión;trazable</x:v>
      </x:c>
    </x:row>
    <x:row r="27" ht="48" customHeight="1">
      <x:c r="A27" s="24" t="str">
        <x:v>TC-VS-INV-002</x:v>
      </x:c>
      <x:c r="B27" s="24" t="str">
        <x:v>Inventario</x:v>
      </x:c>
      <x:c r="C27" s="24" t="str">
        <x:v>INV</x:v>
      </x:c>
      <x:c r="D27" s="24" t="str">
        <x:v>VS-INV-002</x:v>
      </x:c>
      <x:c r="E27" s="24" t="str">
        <x:v>Una unidad solo ocupa una ubicación lógica</x:v>
      </x:c>
      <x:c r="F27" s="24" t="str">
        <x:v>Verificar que se cumple: Una unidad solo ocupa una ubicación lógica.</x:v>
      </x:c>
      <x:c r="G27" s="24" t="str">
        <x:v>Baseline válida; estado inicial reproducible; datos de prueba preparados.</x:v>
      </x:c>
      <x:c r="H27" s="24" t="str">
        <x:v>Dataset nominal y, cuando aplique, valores límite o inválidos.</x:v>
      </x:c>
      <x:c r="I27" s="24" t="str">
        <x:v>1. Preparar el estado. 2. Ejecutar la acción o transición. 3. Observar estado, UI y logs. 4. Comparar precondición y postcondición.</x:v>
      </x:c>
      <x:c r="J27" s="24" t="str">
        <x:v>Una unidad solo ocupa una ubicación lógica.</x:v>
      </x:c>
      <x:c r="K27" s="24" t="str">
        <x:v>Funcional</x:v>
      </x:c>
      <x:c r="L27" s="24" t="str">
        <x:v>EditMode + Integración</x:v>
      </x:c>
      <x:c r="M27" s="24" t="str">
        <x:v>P0</x:v>
      </x:c>
      <x:c r="N27" s="24" t="str">
        <x:v>S1</x:v>
      </x:c>
      <x:c r="O27" s="24" t="str">
        <x:v>Parcial/Alta</x:v>
      </x:c>
      <x:c r="P27" s="24" t="str">
        <x:v>StoreInitial</x:v>
      </x:c>
      <x:c r="Q27" s="24" t="str">
        <x:v>H6 / Vertical Slice</x:v>
      </x:c>
      <x:c r="R27" s="24" t="str">
        <x:v>Ready</x:v>
      </x:c>
      <x:c r="S27" s="24" t="str">
        <x:v>VRM Games</x:v>
      </x:c>
      <x:c r="T27" s="24" t="str">
        <x:v>02_Vertical_Slice_Specification.md</x:v>
      </x:c>
      <x:c r="U27" s="24" t="str">
        <x:v>INV;regresión;trazable</x:v>
      </x:c>
    </x:row>
    <x:row r="28" ht="48" customHeight="1">
      <x:c r="A28" s="24" t="str">
        <x:v>TC-VS-INV-003</x:v>
      </x:c>
      <x:c r="B28" s="24" t="str">
        <x:v>Inventario</x:v>
      </x:c>
      <x:c r="C28" s="24" t="str">
        <x:v>INV</x:v>
      </x:c>
      <x:c r="D28" s="24" t="str">
        <x:v>VS-INV-003</x:v>
      </x:c>
      <x:c r="E28" s="24" t="str">
        <x:v>Transferencia inválida no modifica origen ni destino</x:v>
      </x:c>
      <x:c r="F28" s="24" t="str">
        <x:v>Verificar que se cumple: Transferencia inválida no modifica origen ni destino.</x:v>
      </x:c>
      <x:c r="G28" s="24" t="str">
        <x:v>Baseline válida; estado inicial reproducible; datos de prueba preparados.</x:v>
      </x:c>
      <x:c r="H28" s="24" t="str">
        <x:v>Dataset nominal y, cuando aplique, valores límite o inválidos.</x:v>
      </x:c>
      <x:c r="I28" s="24" t="str">
        <x:v>1. Preparar el estado. 2. Ejecutar la acción o transición. 3. Observar estado, UI y logs. 4. Comparar precondición y postcondición.</x:v>
      </x:c>
      <x:c r="J28" s="24" t="str">
        <x:v>Transferencia inválida no modifica origen ni destino.</x:v>
      </x:c>
      <x:c r="K28" s="24" t="str">
        <x:v>Funcional</x:v>
      </x:c>
      <x:c r="L28" s="24" t="str">
        <x:v>EditMode + Integración</x:v>
      </x:c>
      <x:c r="M28" s="24" t="str">
        <x:v>P0</x:v>
      </x:c>
      <x:c r="N28" s="24" t="str">
        <x:v>S1</x:v>
      </x:c>
      <x:c r="O28" s="24" t="str">
        <x:v>Parcial/Alta</x:v>
      </x:c>
      <x:c r="P28" s="24" t="str">
        <x:v>StoreInitial</x:v>
      </x:c>
      <x:c r="Q28" s="24" t="str">
        <x:v>H6 / Vertical Slice</x:v>
      </x:c>
      <x:c r="R28" s="24" t="str">
        <x:v>Ready</x:v>
      </x:c>
      <x:c r="S28" s="24" t="str">
        <x:v>VRM Games</x:v>
      </x:c>
      <x:c r="T28" s="24" t="str">
        <x:v>02_Vertical_Slice_Specification.md</x:v>
      </x:c>
      <x:c r="U28" s="24" t="str">
        <x:v>INV;regresión;trazable</x:v>
      </x:c>
    </x:row>
    <x:row r="29" ht="48" customHeight="1">
      <x:c r="A29" s="24" t="str">
        <x:v>TC-VS-INV-004</x:v>
      </x:c>
      <x:c r="B29" s="24" t="str">
        <x:v>Inventario</x:v>
      </x:c>
      <x:c r="C29" s="24" t="str">
        <x:v>INV</x:v>
      </x:c>
      <x:c r="D29" s="24" t="str">
        <x:v>VS-INV-004</x:v>
      </x:c>
      <x:c r="E29" s="24" t="str">
        <x:v>Transferencia válida conserva cantidad total</x:v>
      </x:c>
      <x:c r="F29" s="24" t="str">
        <x:v>Verificar que se cumple: Transferencia válida conserva cantidad total.</x:v>
      </x:c>
      <x:c r="G29" s="24" t="str">
        <x:v>Baseline válida; estado inicial reproducible; datos de prueba preparados.</x:v>
      </x:c>
      <x:c r="H29" s="24" t="str">
        <x:v>Dataset nominal y, cuando aplique, valores límite o inválidos.</x:v>
      </x:c>
      <x:c r="I29" s="24" t="str">
        <x:v>1. Preparar el estado. 2. Ejecutar la acción o transición. 3. Observar estado, UI y logs. 4. Comparar precondición y postcondición.</x:v>
      </x:c>
      <x:c r="J29" s="24" t="str">
        <x:v>Transferencia válida conserva cantidad total.</x:v>
      </x:c>
      <x:c r="K29" s="24" t="str">
        <x:v>Funcional</x:v>
      </x:c>
      <x:c r="L29" s="24" t="str">
        <x:v>EditMode + Integración</x:v>
      </x:c>
      <x:c r="M29" s="24" t="str">
        <x:v>P0</x:v>
      </x:c>
      <x:c r="N29" s="24" t="str">
        <x:v>S1</x:v>
      </x:c>
      <x:c r="O29" s="24" t="str">
        <x:v>Parcial/Alta</x:v>
      </x:c>
      <x:c r="P29" s="24" t="str">
        <x:v>StoreInitial</x:v>
      </x:c>
      <x:c r="Q29" s="24" t="str">
        <x:v>H6 / Vertical Slice</x:v>
      </x:c>
      <x:c r="R29" s="24" t="str">
        <x:v>Ready</x:v>
      </x:c>
      <x:c r="S29" s="24" t="str">
        <x:v>VRM Games</x:v>
      </x:c>
      <x:c r="T29" s="24" t="str">
        <x:v>02_Vertical_Slice_Specification.md</x:v>
      </x:c>
      <x:c r="U29" s="24" t="str">
        <x:v>INV;regresión;trazable</x:v>
      </x:c>
    </x:row>
    <x:row r="30" ht="48" customHeight="1">
      <x:c r="A30" s="24" t="str">
        <x:v>TC-VS-INV-005</x:v>
      </x:c>
      <x:c r="B30" s="24" t="str">
        <x:v>Inventario</x:v>
      </x:c>
      <x:c r="C30" s="24" t="str">
        <x:v>INV</x:v>
      </x:c>
      <x:c r="D30" s="24" t="str">
        <x:v>VS-INV-005</x:v>
      </x:c>
      <x:c r="E30" s="24" t="str">
        <x:v>No existen pérdidas o duplicaciones tras siete días</x:v>
      </x:c>
      <x:c r="F30" s="24" t="str">
        <x:v>Verificar que se cumple: No existen pérdidas o duplicaciones tras siete días.</x:v>
      </x:c>
      <x:c r="G30" s="24" t="str">
        <x:v>Baseline válida; estado inicial reproducible; datos de prueba preparados.</x:v>
      </x:c>
      <x:c r="H30" s="24" t="str">
        <x:v>Dataset nominal y, cuando aplique, valores límite o inválidos.</x:v>
      </x:c>
      <x:c r="I30" s="24" t="str">
        <x:v>1. Preparar el estado. 2. Ejecutar la acción o transición. 3. Observar estado, UI y logs. 4. Comparar precondición y postcondición.</x:v>
      </x:c>
      <x:c r="J30" s="24" t="str">
        <x:v>No existen pérdidas o duplicaciones tras siete días.</x:v>
      </x:c>
      <x:c r="K30" s="24" t="str">
        <x:v>Funcional</x:v>
      </x:c>
      <x:c r="L30" s="24" t="str">
        <x:v>EditMode + Integración</x:v>
      </x:c>
      <x:c r="M30" s="24" t="str">
        <x:v>P0</x:v>
      </x:c>
      <x:c r="N30" s="24" t="str">
        <x:v>S1</x:v>
      </x:c>
      <x:c r="O30" s="24" t="str">
        <x:v>Parcial/Alta</x:v>
      </x:c>
      <x:c r="P30" s="24" t="str">
        <x:v>StoreInitial</x:v>
      </x:c>
      <x:c r="Q30" s="24" t="str">
        <x:v>H6 / Vertical Slice</x:v>
      </x:c>
      <x:c r="R30" s="24" t="str">
        <x:v>Ready</x:v>
      </x:c>
      <x:c r="S30" s="24" t="str">
        <x:v>VRM Games</x:v>
      </x:c>
      <x:c r="T30" s="24" t="str">
        <x:v>02_Vertical_Slice_Specification.md</x:v>
      </x:c>
      <x:c r="U30" s="24" t="str">
        <x:v>INV;regresión;trazable</x:v>
      </x:c>
    </x:row>
    <x:row r="31" ht="48" customHeight="1">
      <x:c r="A31" s="24" t="str">
        <x:v>TC-VS-ORD-001</x:v>
      </x:c>
      <x:c r="B31" s="24" t="str">
        <x:v>Pedidos y entregas</x:v>
      </x:c>
      <x:c r="C31" s="24" t="str">
        <x:v>ORD</x:v>
      </x:c>
      <x:c r="D31" s="24" t="str">
        <x:v>VS-ORD-001</x:v>
      </x:c>
      <x:c r="E31" s="24" t="str">
        <x:v>Pedido inválido se rechaza sin coste</x:v>
      </x:c>
      <x:c r="F31" s="24" t="str">
        <x:v>Verificar que se cumple: Pedido inválido se rechaza sin coste.</x:v>
      </x:c>
      <x:c r="G31" s="24" t="str">
        <x:v>Baseline válida; estado inicial reproducible; datos de prueba preparados.</x:v>
      </x:c>
      <x:c r="H31" s="24" t="str">
        <x:v>Dataset nominal y, cuando aplique, valores límite o inválidos.</x:v>
      </x:c>
      <x:c r="I31" s="24" t="str">
        <x:v>1. Preparar el estado. 2. Ejecutar la acción o transición. 3. Observar estado, UI y logs. 4. Comparar precondición y postcondición.</x:v>
      </x:c>
      <x:c r="J31" s="24" t="str">
        <x:v>Pedido inválido se rechaza sin coste.</x:v>
      </x:c>
      <x:c r="K31" s="24" t="str">
        <x:v>Funcional</x:v>
      </x:c>
      <x:c r="L31" s="24" t="str">
        <x:v>EditMode + Integración</x:v>
      </x:c>
      <x:c r="M31" s="24" t="str">
        <x:v>P2</x:v>
      </x:c>
      <x:c r="N31" s="24" t="str">
        <x:v>S3</x:v>
      </x:c>
      <x:c r="O31" s="24" t="str">
        <x:v>Parcial/Alta</x:v>
      </x:c>
      <x:c r="P31" s="24" t="str">
        <x:v>StoreInitial</x:v>
      </x:c>
      <x:c r="Q31" s="24" t="str">
        <x:v>H6 / Vertical Slice</x:v>
      </x:c>
      <x:c r="R31" s="24" t="str">
        <x:v>Ready</x:v>
      </x:c>
      <x:c r="S31" s="24" t="str">
        <x:v>VRM Games</x:v>
      </x:c>
      <x:c r="T31" s="24" t="str">
        <x:v>02_Vertical_Slice_Specification.md</x:v>
      </x:c>
      <x:c r="U31" s="24" t="str">
        <x:v>ORD;regresión;trazable</x:v>
      </x:c>
    </x:row>
    <x:row r="32" ht="48" customHeight="1">
      <x:c r="A32" s="24" t="str">
        <x:v>TC-VS-ORD-002</x:v>
      </x:c>
      <x:c r="B32" s="24" t="str">
        <x:v>Pedidos y entregas</x:v>
      </x:c>
      <x:c r="C32" s="24" t="str">
        <x:v>ORD</x:v>
      </x:c>
      <x:c r="D32" s="24" t="str">
        <x:v>VS-ORD-002</x:v>
      </x:c>
      <x:c r="E32" s="24" t="str">
        <x:v>Pedido válido registra proveedor, producto, cantidad, coste e ID</x:v>
      </x:c>
      <x:c r="F32" s="24" t="str">
        <x:v>Verificar que se cumple: Pedido válido registra proveedor, producto, cantidad, coste e ID.</x:v>
      </x:c>
      <x:c r="G32" s="24" t="str">
        <x:v>Baseline válida; estado inicial reproducible; datos de prueba preparados.</x:v>
      </x:c>
      <x:c r="H32" s="24" t="str">
        <x:v>Dataset nominal y, cuando aplique, valores límite o inválidos.</x:v>
      </x:c>
      <x:c r="I32" s="24" t="str">
        <x:v>1. Preparar el estado. 2. Ejecutar la acción o transición. 3. Observar estado, UI y logs. 4. Comparar precondición y postcondición.</x:v>
      </x:c>
      <x:c r="J32" s="24" t="str">
        <x:v>Pedido válido registra proveedor, producto, cantidad, coste e ID.</x:v>
      </x:c>
      <x:c r="K32" s="24" t="str">
        <x:v>Funcional</x:v>
      </x:c>
      <x:c r="L32" s="24" t="str">
        <x:v>EditMode + Integración</x:v>
      </x:c>
      <x:c r="M32" s="24" t="str">
        <x:v>P2</x:v>
      </x:c>
      <x:c r="N32" s="24" t="str">
        <x:v>S3</x:v>
      </x:c>
      <x:c r="O32" s="24" t="str">
        <x:v>Parcial/Alta</x:v>
      </x:c>
      <x:c r="P32" s="24" t="str">
        <x:v>StoreInitial</x:v>
      </x:c>
      <x:c r="Q32" s="24" t="str">
        <x:v>H6 / Vertical Slice</x:v>
      </x:c>
      <x:c r="R32" s="24" t="str">
        <x:v>Ready</x:v>
      </x:c>
      <x:c r="S32" s="24" t="str">
        <x:v>VRM Games</x:v>
      </x:c>
      <x:c r="T32" s="24" t="str">
        <x:v>02_Vertical_Slice_Specification.md</x:v>
      </x:c>
      <x:c r="U32" s="24" t="str">
        <x:v>ORD;regresión;trazable</x:v>
      </x:c>
    </x:row>
    <x:row r="33" ht="48" customHeight="1">
      <x:c r="A33" s="24" t="str">
        <x:v>TC-VS-ORD-003</x:v>
      </x:c>
      <x:c r="B33" s="24" t="str">
        <x:v>Pedidos y entregas</x:v>
      </x:c>
      <x:c r="C33" s="24" t="str">
        <x:v>ORD</x:v>
      </x:c>
      <x:c r="D33" s="24" t="str">
        <x:v>VS-ORD-003</x:v>
      </x:c>
      <x:c r="E33" s="24" t="str">
        <x:v>Cada pedido se entrega una sola vez</x:v>
      </x:c>
      <x:c r="F33" s="24" t="str">
        <x:v>Verificar que se cumple: Cada pedido se entrega una sola vez.</x:v>
      </x:c>
      <x:c r="G33" s="24" t="str">
        <x:v>Baseline válida; estado inicial reproducible; datos de prueba preparados.</x:v>
      </x:c>
      <x:c r="H33" s="24" t="str">
        <x:v>Dataset nominal y, cuando aplique, valores límite o inválidos.</x:v>
      </x:c>
      <x:c r="I33" s="24" t="str">
        <x:v>1. Preparar el estado. 2. Ejecutar la acción o transición. 3. Observar estado, UI y logs. 4. Comparar precondición y postcondición.</x:v>
      </x:c>
      <x:c r="J33" s="24" t="str">
        <x:v>Cada pedido se entrega una sola vez.</x:v>
      </x:c>
      <x:c r="K33" s="24" t="str">
        <x:v>Funcional</x:v>
      </x:c>
      <x:c r="L33" s="24" t="str">
        <x:v>EditMode + Integración</x:v>
      </x:c>
      <x:c r="M33" s="24" t="str">
        <x:v>P0</x:v>
      </x:c>
      <x:c r="N33" s="24" t="str">
        <x:v>S1</x:v>
      </x:c>
      <x:c r="O33" s="24" t="str">
        <x:v>Parcial/Alta</x:v>
      </x:c>
      <x:c r="P33" s="24" t="str">
        <x:v>StoreInitial</x:v>
      </x:c>
      <x:c r="Q33" s="24" t="str">
        <x:v>H6 / Vertical Slice</x:v>
      </x:c>
      <x:c r="R33" s="24" t="str">
        <x:v>Ready</x:v>
      </x:c>
      <x:c r="S33" s="24" t="str">
        <x:v>VRM Games</x:v>
      </x:c>
      <x:c r="T33" s="24" t="str">
        <x:v>02_Vertical_Slice_Specification.md</x:v>
      </x:c>
      <x:c r="U33" s="24" t="str">
        <x:v>ORD;regresión;trazable</x:v>
      </x:c>
    </x:row>
    <x:row r="34" ht="48" customHeight="1">
      <x:c r="A34" s="24" t="str">
        <x:v>TC-VS-ORD-004</x:v>
      </x:c>
      <x:c r="B34" s="24" t="str">
        <x:v>Pedidos y entregas</x:v>
      </x:c>
      <x:c r="C34" s="24" t="str">
        <x:v>ORD</x:v>
      </x:c>
      <x:c r="D34" s="24" t="str">
        <x:v>VS-ORD-004</x:v>
      </x:c>
      <x:c r="E34" s="24" t="str">
        <x:v>La entrega contiene exactamente las cantidades confirmadas</x:v>
      </x:c>
      <x:c r="F34" s="24" t="str">
        <x:v>Verificar que se cumple: La entrega contiene exactamente las cantidades confirmadas.</x:v>
      </x:c>
      <x:c r="G34" s="24" t="str">
        <x:v>Baseline válida; estado inicial reproducible; datos de prueba preparados.</x:v>
      </x:c>
      <x:c r="H34" s="24" t="str">
        <x:v>Dataset nominal y, cuando aplique, valores límite o inválidos.</x:v>
      </x:c>
      <x:c r="I34" s="24" t="str">
        <x:v>1. Preparar el estado. 2. Ejecutar la acción o transición. 3. Observar estado, UI y logs. 4. Comparar precondición y postcondición.</x:v>
      </x:c>
      <x:c r="J34" s="24" t="str">
        <x:v>La entrega contiene exactamente las cantidades confirmadas.</x:v>
      </x:c>
      <x:c r="K34" s="24" t="str">
        <x:v>Funcional</x:v>
      </x:c>
      <x:c r="L34" s="24" t="str">
        <x:v>EditMode + Integración</x:v>
      </x:c>
      <x:c r="M34" s="24" t="str">
        <x:v>P2</x:v>
      </x:c>
      <x:c r="N34" s="24" t="str">
        <x:v>S3</x:v>
      </x:c>
      <x:c r="O34" s="24" t="str">
        <x:v>Parcial/Alta</x:v>
      </x:c>
      <x:c r="P34" s="24" t="str">
        <x:v>StoreInitial</x:v>
      </x:c>
      <x:c r="Q34" s="24" t="str">
        <x:v>H6 / Vertical Slice</x:v>
      </x:c>
      <x:c r="R34" s="24" t="str">
        <x:v>Ready</x:v>
      </x:c>
      <x:c r="S34" s="24" t="str">
        <x:v>VRM Games</x:v>
      </x:c>
      <x:c r="T34" s="24" t="str">
        <x:v>02_Vertical_Slice_Specification.md</x:v>
      </x:c>
      <x:c r="U34" s="24" t="str">
        <x:v>ORD;regresión;trazable</x:v>
      </x:c>
    </x:row>
    <x:row r="35" ht="48" customHeight="1">
      <x:c r="A35" s="24" t="str">
        <x:v>TC-VS-ORD-005</x:v>
      </x:c>
      <x:c r="B35" s="24" t="str">
        <x:v>Pedidos y entregas</x:v>
      </x:c>
      <x:c r="C35" s="24" t="str">
        <x:v>ORD</x:v>
      </x:c>
      <x:c r="D35" s="24" t="str">
        <x:v>VS-ORD-005</x:v>
      </x:c>
      <x:c r="E35" s="24" t="str">
        <x:v>Pedido pendiente persiste y reanuda correctamente</x:v>
      </x:c>
      <x:c r="F35" s="24" t="str">
        <x:v>Verificar que se cumple: Pedido pendiente persiste y reanuda correctamente.</x:v>
      </x:c>
      <x:c r="G35" s="24" t="str">
        <x:v>Baseline válida; estado inicial reproducible; datos de prueba preparados.</x:v>
      </x:c>
      <x:c r="H35" s="24" t="str">
        <x:v>Dataset nominal y, cuando aplique, valores límite o inválidos.</x:v>
      </x:c>
      <x:c r="I35" s="24" t="str">
        <x:v>1. Preparar el estado. 2. Ejecutar la acción o transición. 3. Observar estado, UI y logs. 4. Comparar precondición y postcondición.</x:v>
      </x:c>
      <x:c r="J35" s="24" t="str">
        <x:v>Pedido pendiente persiste y reanuda correctamente.</x:v>
      </x:c>
      <x:c r="K35" s="24" t="str">
        <x:v>Funcional</x:v>
      </x:c>
      <x:c r="L35" s="24" t="str">
        <x:v>EditMode + Integración</x:v>
      </x:c>
      <x:c r="M35" s="24" t="str">
        <x:v>P2</x:v>
      </x:c>
      <x:c r="N35" s="24" t="str">
        <x:v>S3</x:v>
      </x:c>
      <x:c r="O35" s="24" t="str">
        <x:v>Parcial/Alta</x:v>
      </x:c>
      <x:c r="P35" s="24" t="str">
        <x:v>StoreInitial</x:v>
      </x:c>
      <x:c r="Q35" s="24" t="str">
        <x:v>H6 / Vertical Slice</x:v>
      </x:c>
      <x:c r="R35" s="24" t="str">
        <x:v>Ready</x:v>
      </x:c>
      <x:c r="S35" s="24" t="str">
        <x:v>VRM Games</x:v>
      </x:c>
      <x:c r="T35" s="24" t="str">
        <x:v>02_Vertical_Slice_Specification.md</x:v>
      </x:c>
      <x:c r="U35" s="24" t="str">
        <x:v>ORD;regresión;trazable</x:v>
      </x:c>
    </x:row>
    <x:row r="36" ht="48" customHeight="1">
      <x:c r="A36" s="24" t="str">
        <x:v>TC-VS-DSP-001</x:v>
      </x:c>
      <x:c r="B36" s="24" t="str">
        <x:v>Displays y reposición</x:v>
      </x:c>
      <x:c r="C36" s="24" t="str">
        <x:v>DSP</x:v>
      </x:c>
      <x:c r="D36" s="24" t="str">
        <x:v>VS-DSP-001</x:v>
      </x:c>
      <x:c r="E36" s="24" t="str">
        <x:v>Asignación incompatible se rechaza con feedback</x:v>
      </x:c>
      <x:c r="F36" s="24" t="str">
        <x:v>Verificar que se cumple: Asignación incompatible se rechaza con feedback.</x:v>
      </x:c>
      <x:c r="G36" s="24" t="str">
        <x:v>Baseline válida; estado inicial reproducible; datos de prueba preparados.</x:v>
      </x:c>
      <x:c r="H36" s="24" t="str">
        <x:v>Dataset nominal y, cuando aplique, valores límite o inválidos.</x:v>
      </x:c>
      <x:c r="I36" s="24" t="str">
        <x:v>1. Preparar el estado. 2. Ejecutar la acción o transición. 3. Observar estado, UI y logs. 4. Comparar precondición y postcondición.</x:v>
      </x:c>
      <x:c r="J36" s="24" t="str">
        <x:v>Asignación incompatible se rechaza con feedback.</x:v>
      </x:c>
      <x:c r="K36" s="24" t="str">
        <x:v>Funcional</x:v>
      </x:c>
      <x:c r="L36" s="24" t="str">
        <x:v>Revisión</x:v>
      </x:c>
      <x:c r="M36" s="24" t="str">
        <x:v>P2</x:v>
      </x:c>
      <x:c r="N36" s="24" t="str">
        <x:v>S3</x:v>
      </x:c>
      <x:c r="O36" s="24" t="str">
        <x:v>Parcial</x:v>
      </x:c>
      <x:c r="P36" s="24" t="str">
        <x:v>StoreInitial</x:v>
      </x:c>
      <x:c r="Q36" s="24" t="str">
        <x:v>H6 / Vertical Slice</x:v>
      </x:c>
      <x:c r="R36" s="24" t="str">
        <x:v>Ready</x:v>
      </x:c>
      <x:c r="S36" s="24" t="str">
        <x:v>VRM Games</x:v>
      </x:c>
      <x:c r="T36" s="24" t="str">
        <x:v>02_Vertical_Slice_Specification.md</x:v>
      </x:c>
      <x:c r="U36" s="24" t="str">
        <x:v>DSP;regresión;trazable</x:v>
      </x:c>
    </x:row>
    <x:row r="37" ht="48" customHeight="1">
      <x:c r="A37" s="24" t="str">
        <x:v>TC-VS-DSP-002</x:v>
      </x:c>
      <x:c r="B37" s="24" t="str">
        <x:v>Displays y reposición</x:v>
      </x:c>
      <x:c r="C37" s="24" t="str">
        <x:v>DSP</x:v>
      </x:c>
      <x:c r="D37" s="24" t="str">
        <x:v>VS-DSP-002</x:v>
      </x:c>
      <x:c r="E37" s="24" t="str">
        <x:v>Capacidad impide sobrellenado</x:v>
      </x:c>
      <x:c r="F37" s="24" t="str">
        <x:v>Verificar que se cumple: Capacidad impide sobrellenado.</x:v>
      </x:c>
      <x:c r="G37" s="24" t="str">
        <x:v>Baseline válida; estado inicial reproducible; datos de prueba preparados.</x:v>
      </x:c>
      <x:c r="H37" s="24" t="str">
        <x:v>Dataset nominal y, cuando aplique, valores límite o inválidos.</x:v>
      </x:c>
      <x:c r="I37" s="24" t="str">
        <x:v>1. Preparar el estado. 2. Ejecutar la acción o transición. 3. Observar estado, UI y logs. 4. Comparar precondición y postcondición.</x:v>
      </x:c>
      <x:c r="J37" s="24" t="str">
        <x:v>Capacidad impide sobrellenado.</x:v>
      </x:c>
      <x:c r="K37" s="24" t="str">
        <x:v>Funcional</x:v>
      </x:c>
      <x:c r="L37" s="24" t="str">
        <x:v>Revisión</x:v>
      </x:c>
      <x:c r="M37" s="24" t="str">
        <x:v>P2</x:v>
      </x:c>
      <x:c r="N37" s="24" t="str">
        <x:v>S3</x:v>
      </x:c>
      <x:c r="O37" s="24" t="str">
        <x:v>Parcial</x:v>
      </x:c>
      <x:c r="P37" s="24" t="str">
        <x:v>StoreInitial</x:v>
      </x:c>
      <x:c r="Q37" s="24" t="str">
        <x:v>H6 / Vertical Slice</x:v>
      </x:c>
      <x:c r="R37" s="24" t="str">
        <x:v>Ready</x:v>
      </x:c>
      <x:c r="S37" s="24" t="str">
        <x:v>VRM Games</x:v>
      </x:c>
      <x:c r="T37" s="24" t="str">
        <x:v>02_Vertical_Slice_Specification.md</x:v>
      </x:c>
      <x:c r="U37" s="24" t="str">
        <x:v>DSP;regresión;trazable</x:v>
      </x:c>
    </x:row>
    <x:row r="38" ht="48" customHeight="1">
      <x:c r="A38" s="24" t="str">
        <x:v>TC-VS-DSP-003</x:v>
      </x:c>
      <x:c r="B38" s="24" t="str">
        <x:v>Displays y reposición</x:v>
      </x:c>
      <x:c r="C38" s="24" t="str">
        <x:v>DSP</x:v>
      </x:c>
      <x:c r="D38" s="24" t="str">
        <x:v>VS-DSP-003</x:v>
      </x:c>
      <x:c r="E38" s="24" t="str">
        <x:v>Reposición consume origen y aumenta destino de forma atómica</x:v>
      </x:c>
      <x:c r="F38" s="24" t="str">
        <x:v>Verificar que se cumple: Reposición consume origen y aumenta destino de forma atómica.</x:v>
      </x:c>
      <x:c r="G38" s="24" t="str">
        <x:v>Baseline válida; estado inicial reproducible; datos de prueba preparados.</x:v>
      </x:c>
      <x:c r="H38" s="24" t="str">
        <x:v>Dataset nominal y, cuando aplique, valores límite o inválidos.</x:v>
      </x:c>
      <x:c r="I38" s="24" t="str">
        <x:v>1. Preparar el estado. 2. Ejecutar la acción o transición. 3. Observar estado, UI y logs. 4. Comparar precondición y postcondición.</x:v>
      </x:c>
      <x:c r="J38" s="24" t="str">
        <x:v>Reposición consume origen y aumenta destino de forma atómica.</x:v>
      </x:c>
      <x:c r="K38" s="24" t="str">
        <x:v>Funcional</x:v>
      </x:c>
      <x:c r="L38" s="24" t="str">
        <x:v>Revisión</x:v>
      </x:c>
      <x:c r="M38" s="24" t="str">
        <x:v>P0</x:v>
      </x:c>
      <x:c r="N38" s="24" t="str">
        <x:v>S1</x:v>
      </x:c>
      <x:c r="O38" s="24" t="str">
        <x:v>Parcial</x:v>
      </x:c>
      <x:c r="P38" s="24" t="str">
        <x:v>StoreInitial</x:v>
      </x:c>
      <x:c r="Q38" s="24" t="str">
        <x:v>H6 / Vertical Slice</x:v>
      </x:c>
      <x:c r="R38" s="24" t="str">
        <x:v>Ready</x:v>
      </x:c>
      <x:c r="S38" s="24" t="str">
        <x:v>VRM Games</x:v>
      </x:c>
      <x:c r="T38" s="24" t="str">
        <x:v>02_Vertical_Slice_Specification.md</x:v>
      </x:c>
      <x:c r="U38" s="24" t="str">
        <x:v>DSP;regresión;trazable</x:v>
      </x:c>
    </x:row>
    <x:row r="39" ht="48" customHeight="1">
      <x:c r="A39" s="24" t="str">
        <x:v>TC-VS-DSP-004</x:v>
      </x:c>
      <x:c r="B39" s="24" t="str">
        <x:v>Displays y reposición</x:v>
      </x:c>
      <x:c r="C39" s="24" t="str">
        <x:v>DSP</x:v>
      </x:c>
      <x:c r="D39" s="24" t="str">
        <x:v>VS-DSP-004</x:v>
      </x:c>
      <x:c r="E39" s="24" t="str">
        <x:v>Visual de producto coincide con asignación y cantidad representada</x:v>
      </x:c>
      <x:c r="F39" s="24" t="str">
        <x:v>Verificar que se cumple: Visual de producto coincide con asignación y cantidad representada.</x:v>
      </x:c>
      <x:c r="G39" s="24" t="str">
        <x:v>Baseline válida; estado inicial reproducible; datos de prueba preparados.</x:v>
      </x:c>
      <x:c r="H39" s="24" t="str">
        <x:v>Dataset nominal y, cuando aplique, valores límite o inválidos.</x:v>
      </x:c>
      <x:c r="I39" s="24" t="str">
        <x:v>1. Preparar el estado. 2. Ejecutar la acción o transición. 3. Observar estado, UI y logs. 4. Comparar precondición y postcondición.</x:v>
      </x:c>
      <x:c r="J39" s="24" t="str">
        <x:v>Visual de producto coincide con asignación y cantidad representada.</x:v>
      </x:c>
      <x:c r="K39" s="24" t="str">
        <x:v>Funcional</x:v>
      </x:c>
      <x:c r="L39" s="24" t="str">
        <x:v>Revisión</x:v>
      </x:c>
      <x:c r="M39" s="24" t="str">
        <x:v>P2</x:v>
      </x:c>
      <x:c r="N39" s="24" t="str">
        <x:v>S3</x:v>
      </x:c>
      <x:c r="O39" s="24" t="str">
        <x:v>Parcial</x:v>
      </x:c>
      <x:c r="P39" s="24" t="str">
        <x:v>StoreInitial</x:v>
      </x:c>
      <x:c r="Q39" s="24" t="str">
        <x:v>H6 / Vertical Slice</x:v>
      </x:c>
      <x:c r="R39" s="24" t="str">
        <x:v>Ready</x:v>
      </x:c>
      <x:c r="S39" s="24" t="str">
        <x:v>VRM Games</x:v>
      </x:c>
      <x:c r="T39" s="24" t="str">
        <x:v>02_Vertical_Slice_Specification.md</x:v>
      </x:c>
      <x:c r="U39" s="24" t="str">
        <x:v>DSP;regresión;trazable</x:v>
      </x:c>
    </x:row>
    <x:row r="40" ht="48" customHeight="1">
      <x:c r="A40" s="24" t="str">
        <x:v>TC-VS-DSP-005</x:v>
      </x:c>
      <x:c r="B40" s="24" t="str">
        <x:v>Displays y reposición</x:v>
      </x:c>
      <x:c r="C40" s="24" t="str">
        <x:v>DSP</x:v>
      </x:c>
      <x:c r="D40" s="24" t="str">
        <x:v>VS-DSP-005</x:v>
      </x:c>
      <x:c r="E40" s="24" t="str">
        <x:v>Asignación y stock visible persisten</x:v>
      </x:c>
      <x:c r="F40" s="24" t="str">
        <x:v>Verificar que se cumple: Asignación y stock visible persisten.</x:v>
      </x:c>
      <x:c r="G40" s="24" t="str">
        <x:v>Baseline válida; estado inicial reproducible; datos de prueba preparados.</x:v>
      </x:c>
      <x:c r="H40" s="24" t="str">
        <x:v>Dataset nominal y, cuando aplique, valores límite o inválidos.</x:v>
      </x:c>
      <x:c r="I40" s="24" t="str">
        <x:v>1. Preparar el estado. 2. Ejecutar la acción o transición. 3. Observar estado, UI y logs. 4. Comparar precondición y postcondición.</x:v>
      </x:c>
      <x:c r="J40" s="24" t="str">
        <x:v>Asignación y stock visible persisten.</x:v>
      </x:c>
      <x:c r="K40" s="24" t="str">
        <x:v>Funcional</x:v>
      </x:c>
      <x:c r="L40" s="24" t="str">
        <x:v>Revisión</x:v>
      </x:c>
      <x:c r="M40" s="24" t="str">
        <x:v>P2</x:v>
      </x:c>
      <x:c r="N40" s="24" t="str">
        <x:v>S3</x:v>
      </x:c>
      <x:c r="O40" s="24" t="str">
        <x:v>Parcial</x:v>
      </x:c>
      <x:c r="P40" s="24" t="str">
        <x:v>StoreInitial</x:v>
      </x:c>
      <x:c r="Q40" s="24" t="str">
        <x:v>H6 / Vertical Slice</x:v>
      </x:c>
      <x:c r="R40" s="24" t="str">
        <x:v>Ready</x:v>
      </x:c>
      <x:c r="S40" s="24" t="str">
        <x:v>VRM Games</x:v>
      </x:c>
      <x:c r="T40" s="24" t="str">
        <x:v>02_Vertical_Slice_Specification.md</x:v>
      </x:c>
      <x:c r="U40" s="24" t="str">
        <x:v>DSP;regresión;trazable</x:v>
      </x:c>
    </x:row>
    <x:row r="41" ht="48" customHeight="1">
      <x:c r="A41" s="24" t="str">
        <x:v>TC-VS-PRC-001</x:v>
      </x:c>
      <x:c r="B41" s="24" t="str">
        <x:v>Precios</x:v>
      </x:c>
      <x:c r="C41" s="24" t="str">
        <x:v>PRC</x:v>
      </x:c>
      <x:c r="D41" s="24" t="str">
        <x:v>VS-PRC-001</x:v>
      </x:c>
      <x:c r="E41" s="24" t="str">
        <x:v>Precio inválido se rechaza</x:v>
      </x:c>
      <x:c r="F41" s="24" t="str">
        <x:v>Verificar que se cumple: Precio inválido se rechaza.</x:v>
      </x:c>
      <x:c r="G41" s="24" t="str">
        <x:v>Baseline válida; estado inicial reproducible; datos de prueba preparados.</x:v>
      </x:c>
      <x:c r="H41" s="24" t="str">
        <x:v>Dataset nominal y, cuando aplique, valores límite o inválidos.</x:v>
      </x:c>
      <x:c r="I41" s="24" t="str">
        <x:v>1. Preparar el estado. 2. Ejecutar la acción o transición. 3. Observar estado, UI y logs. 4. Comparar precondición y postcondición.</x:v>
      </x:c>
      <x:c r="J41" s="24" t="str">
        <x:v>Precio inválido se rechaza.</x:v>
      </x:c>
      <x:c r="K41" s="24" t="str">
        <x:v>Funcional</x:v>
      </x:c>
      <x:c r="L41" s="24" t="str">
        <x:v>EditMode + Integración</x:v>
      </x:c>
      <x:c r="M41" s="24" t="str">
        <x:v>P2</x:v>
      </x:c>
      <x:c r="N41" s="24" t="str">
        <x:v>S3</x:v>
      </x:c>
      <x:c r="O41" s="24" t="str">
        <x:v>Parcial/Alta</x:v>
      </x:c>
      <x:c r="P41" s="24" t="str">
        <x:v>StoreInitial</x:v>
      </x:c>
      <x:c r="Q41" s="24" t="str">
        <x:v>H6 / Vertical Slice</x:v>
      </x:c>
      <x:c r="R41" s="24" t="str">
        <x:v>Ready</x:v>
      </x:c>
      <x:c r="S41" s="24" t="str">
        <x:v>VRM Games</x:v>
      </x:c>
      <x:c r="T41" s="24" t="str">
        <x:v>02_Vertical_Slice_Specification.md</x:v>
      </x:c>
      <x:c r="U41" s="24" t="str">
        <x:v>PRC;regresión;trazable</x:v>
      </x:c>
    </x:row>
    <x:row r="42" ht="48" customHeight="1">
      <x:c r="A42" s="24" t="str">
        <x:v>TC-VS-PRC-002</x:v>
      </x:c>
      <x:c r="B42" s="24" t="str">
        <x:v>Precios</x:v>
      </x:c>
      <x:c r="C42" s="24" t="str">
        <x:v>PRC</x:v>
      </x:c>
      <x:c r="D42" s="24" t="str">
        <x:v>VS-PRC-002</x:v>
      </x:c>
      <x:c r="E42" s="24" t="str">
        <x:v>Precio confirmado persiste y se utiliza en la venta</x:v>
      </x:c>
      <x:c r="F42" s="24" t="str">
        <x:v>Verificar que se cumple: Precio confirmado persiste y se utiliza en la venta.</x:v>
      </x:c>
      <x:c r="G42" s="24" t="str">
        <x:v>Baseline válida; estado inicial reproducible; datos de prueba preparados.</x:v>
      </x:c>
      <x:c r="H42" s="24" t="str">
        <x:v>Dataset nominal y, cuando aplique, valores límite o inválidos.</x:v>
      </x:c>
      <x:c r="I42" s="24" t="str">
        <x:v>1. Preparar el estado. 2. Ejecutar la acción o transición. 3. Observar estado, UI y logs. 4. Comparar precondición y postcondición.</x:v>
      </x:c>
      <x:c r="J42" s="24" t="str">
        <x:v>Precio confirmado persiste y se utiliza en la venta.</x:v>
      </x:c>
      <x:c r="K42" s="24" t="str">
        <x:v>Funcional</x:v>
      </x:c>
      <x:c r="L42" s="24" t="str">
        <x:v>EditMode + Integración</x:v>
      </x:c>
      <x:c r="M42" s="24" t="str">
        <x:v>P2</x:v>
      </x:c>
      <x:c r="N42" s="24" t="str">
        <x:v>S3</x:v>
      </x:c>
      <x:c r="O42" s="24" t="str">
        <x:v>Parcial/Alta</x:v>
      </x:c>
      <x:c r="P42" s="24" t="str">
        <x:v>StoreInitial</x:v>
      </x:c>
      <x:c r="Q42" s="24" t="str">
        <x:v>H6 / Vertical Slice</x:v>
      </x:c>
      <x:c r="R42" s="24" t="str">
        <x:v>Ready</x:v>
      </x:c>
      <x:c r="S42" s="24" t="str">
        <x:v>VRM Games</x:v>
      </x:c>
      <x:c r="T42" s="24" t="str">
        <x:v>02_Vertical_Slice_Specification.md</x:v>
      </x:c>
      <x:c r="U42" s="24" t="str">
        <x:v>PRC;regresión;trazable</x:v>
      </x:c>
    </x:row>
    <x:row r="43" ht="48" customHeight="1">
      <x:c r="A43" s="24" t="str">
        <x:v>TC-VS-PRC-003</x:v>
      </x:c>
      <x:c r="B43" s="24" t="str">
        <x:v>Precios</x:v>
      </x:c>
      <x:c r="C43" s="24" t="str">
        <x:v>PRC</x:v>
      </x:c>
      <x:c r="D43" s="24" t="str">
        <x:v>VS-PRC-003</x:v>
      </x:c>
      <x:c r="E43" s="24" t="str">
        <x:v>Cambiar precio afecta interés según regla determinista/configurada</x:v>
      </x:c>
      <x:c r="F43" s="24" t="str">
        <x:v>Verificar que se cumple: Cambiar precio afecta interés según regla determinista/configurada.</x:v>
      </x:c>
      <x:c r="G43" s="24" t="str">
        <x:v>Baseline válida; estado inicial reproducible; datos de prueba preparados.</x:v>
      </x:c>
      <x:c r="H43" s="24" t="str">
        <x:v>Dataset nominal y, cuando aplique, valores límite o inválidos.</x:v>
      </x:c>
      <x:c r="I43" s="24" t="str">
        <x:v>1. Preparar el estado. 2. Ejecutar la acción o transición. 3. Observar estado, UI y logs. 4. Comparar precondición y postcondición.</x:v>
      </x:c>
      <x:c r="J43" s="24" t="str">
        <x:v>Cambiar precio afecta interés según regla determinista/configurada.</x:v>
      </x:c>
      <x:c r="K43" s="24" t="str">
        <x:v>Funcional</x:v>
      </x:c>
      <x:c r="L43" s="24" t="str">
        <x:v>EditMode + Integración</x:v>
      </x:c>
      <x:c r="M43" s="24" t="str">
        <x:v>P2</x:v>
      </x:c>
      <x:c r="N43" s="24" t="str">
        <x:v>S3</x:v>
      </x:c>
      <x:c r="O43" s="24" t="str">
        <x:v>Parcial/Alta</x:v>
      </x:c>
      <x:c r="P43" s="24" t="str">
        <x:v>StoreInitial</x:v>
      </x:c>
      <x:c r="Q43" s="24" t="str">
        <x:v>H6 / Vertical Slice</x:v>
      </x:c>
      <x:c r="R43" s="24" t="str">
        <x:v>Ready</x:v>
      </x:c>
      <x:c r="S43" s="24" t="str">
        <x:v>VRM Games</x:v>
      </x:c>
      <x:c r="T43" s="24" t="str">
        <x:v>02_Vertical_Slice_Specification.md</x:v>
      </x:c>
      <x:c r="U43" s="24" t="str">
        <x:v>PRC;regresión;trazable</x:v>
      </x:c>
    </x:row>
    <x:row r="44" ht="48" customHeight="1">
      <x:c r="A44" s="24" t="str">
        <x:v>TC-VS-CUS-001</x:v>
      </x:c>
      <x:c r="B44" s="24" t="str">
        <x:v>Clientes</x:v>
      </x:c>
      <x:c r="C44" s="24" t="str">
        <x:v>CUS</x:v>
      </x:c>
      <x:c r="D44" s="24" t="str">
        <x:v>VS-CUS-001</x:v>
      </x:c>
      <x:c r="E44" s="24" t="str">
        <x:v>Clientes solo aparecen durante estados permitidos</x:v>
      </x:c>
      <x:c r="F44" s="24" t="str">
        <x:v>Verificar que se cumple: Clientes solo aparecen durante estados permitidos.</x:v>
      </x:c>
      <x:c r="G44" s="24" t="str">
        <x:v>Baseline válida; estado inicial reproducible; datos de prueba preparados.</x:v>
      </x:c>
      <x:c r="H44" s="24" t="str">
        <x:v>Dataset nominal y, cuando aplique, valores límite o inválidos.</x:v>
      </x:c>
      <x:c r="I44" s="24" t="str">
        <x:v>1. Preparar el estado. 2. Ejecutar la acción o transición. 3. Observar estado, UI y logs. 4. Comparar precondición y postcondición.</x:v>
      </x:c>
      <x:c r="J44" s="24" t="str">
        <x:v>Clientes solo aparecen durante estados permitidos.</x:v>
      </x:c>
      <x:c r="K44" s="24" t="str">
        <x:v>Funcional</x:v>
      </x:c>
      <x:c r="L44" s="24" t="str">
        <x:v>PlayMode + Manual</x:v>
      </x:c>
      <x:c r="M44" s="24" t="str">
        <x:v>P1</x:v>
      </x:c>
      <x:c r="N44" s="24" t="str">
        <x:v>S2</x:v>
      </x:c>
      <x:c r="O44" s="24" t="str">
        <x:v>Parcial</x:v>
      </x:c>
      <x:c r="P44" s="24" t="str">
        <x:v>StoreInitial</x:v>
      </x:c>
      <x:c r="Q44" s="24" t="str">
        <x:v>H6 / Vertical Slice</x:v>
      </x:c>
      <x:c r="R44" s="24" t="str">
        <x:v>Ready</x:v>
      </x:c>
      <x:c r="S44" s="24" t="str">
        <x:v>VRM Games</x:v>
      </x:c>
      <x:c r="T44" s="24" t="str">
        <x:v>02_Vertical_Slice_Specification.md</x:v>
      </x:c>
      <x:c r="U44" s="24" t="str">
        <x:v>CUS;regresión;trazable</x:v>
      </x:c>
    </x:row>
    <x:row r="45" ht="48" customHeight="1">
      <x:c r="A45" s="24" t="str">
        <x:v>TC-VS-CUS-002</x:v>
      </x:c>
      <x:c r="B45" s="24" t="str">
        <x:v>Clientes</x:v>
      </x:c>
      <x:c r="C45" s="24" t="str">
        <x:v>CUS</x:v>
      </x:c>
      <x:c r="D45" s="24" t="str">
        <x:v>VS-CUS-002</x:v>
      </x:c>
      <x:c r="E45" s="24" t="str">
        <x:v>Cliente selecciona objetivo compatible o abandona con causa</x:v>
      </x:c>
      <x:c r="F45" s="24" t="str">
        <x:v>Verificar que se cumple: Cliente selecciona objetivo compatible o abandona con causa.</x:v>
      </x:c>
      <x:c r="G45" s="24" t="str">
        <x:v>Baseline válida; estado inicial reproducible; datos de prueba preparados.</x:v>
      </x:c>
      <x:c r="H45" s="24" t="str">
        <x:v>Dataset nominal y, cuando aplique, valores límite o inválidos.</x:v>
      </x:c>
      <x:c r="I45" s="24" t="str">
        <x:v>1. Preparar el estado. 2. Ejecutar la acción o transición. 3. Observar estado, UI y logs. 4. Comparar precondición y postcondición.</x:v>
      </x:c>
      <x:c r="J45" s="24" t="str">
        <x:v>Cliente selecciona objetivo compatible o abandona con causa.</x:v>
      </x:c>
      <x:c r="K45" s="24" t="str">
        <x:v>Funcional</x:v>
      </x:c>
      <x:c r="L45" s="24" t="str">
        <x:v>PlayMode + Manual</x:v>
      </x:c>
      <x:c r="M45" s="24" t="str">
        <x:v>P1</x:v>
      </x:c>
      <x:c r="N45" s="24" t="str">
        <x:v>S2</x:v>
      </x:c>
      <x:c r="O45" s="24" t="str">
        <x:v>Parcial</x:v>
      </x:c>
      <x:c r="P45" s="24" t="str">
        <x:v>StoreInitial</x:v>
      </x:c>
      <x:c r="Q45" s="24" t="str">
        <x:v>H6 / Vertical Slice</x:v>
      </x:c>
      <x:c r="R45" s="24" t="str">
        <x:v>Ready</x:v>
      </x:c>
      <x:c r="S45" s="24" t="str">
        <x:v>VRM Games</x:v>
      </x:c>
      <x:c r="T45" s="24" t="str">
        <x:v>02_Vertical_Slice_Specification.md</x:v>
      </x:c>
      <x:c r="U45" s="24" t="str">
        <x:v>CUS;regresión;trazable</x:v>
      </x:c>
    </x:row>
    <x:row r="46" ht="48" customHeight="1">
      <x:c r="A46" s="24" t="str">
        <x:v>TC-VS-CUS-003</x:v>
      </x:c>
      <x:c r="B46" s="24" t="str">
        <x:v>Clientes</x:v>
      </x:c>
      <x:c r="C46" s="24" t="str">
        <x:v>CUS</x:v>
      </x:c>
      <x:c r="D46" s="24" t="str">
        <x:v>VS-CUS-003</x:v>
      </x:c>
      <x:c r="E46" s="24" t="str">
        <x:v>Cliente navega sin atravesar obstáculos ni quedar bloqueado indefinidamente</x:v>
      </x:c>
      <x:c r="F46" s="24" t="str">
        <x:v>Verificar que se cumple: Cliente navega sin atravesar obstáculos ni quedar bloqueado indefinidamente.</x:v>
      </x:c>
      <x:c r="G46" s="24" t="str">
        <x:v>Baseline válida; estado inicial reproducible; datos de prueba preparados.</x:v>
      </x:c>
      <x:c r="H46" s="24" t="str">
        <x:v>Dataset nominal y, cuando aplique, valores límite o inválidos.</x:v>
      </x:c>
      <x:c r="I46" s="24" t="str">
        <x:v>1. Preparar el estado. 2. Ejecutar la acción o transición. 3. Observar estado, UI y logs. 4. Comparar precondición y postcondición.</x:v>
      </x:c>
      <x:c r="J46" s="24" t="str">
        <x:v>Cliente navega sin atravesar obstáculos ni quedar bloqueado indefinidamente.</x:v>
      </x:c>
      <x:c r="K46" s="24" t="str">
        <x:v>Funcional</x:v>
      </x:c>
      <x:c r="L46" s="24" t="str">
        <x:v>PlayMode + Manual</x:v>
      </x:c>
      <x:c r="M46" s="24" t="str">
        <x:v>P0</x:v>
      </x:c>
      <x:c r="N46" s="24" t="str">
        <x:v>S1</x:v>
      </x:c>
      <x:c r="O46" s="24" t="str">
        <x:v>Parcial</x:v>
      </x:c>
      <x:c r="P46" s="24" t="str">
        <x:v>StoreInitial</x:v>
      </x:c>
      <x:c r="Q46" s="24" t="str">
        <x:v>H6 / Vertical Slice</x:v>
      </x:c>
      <x:c r="R46" s="24" t="str">
        <x:v>Ready</x:v>
      </x:c>
      <x:c r="S46" s="24" t="str">
        <x:v>VRM Games</x:v>
      </x:c>
      <x:c r="T46" s="24" t="str">
        <x:v>02_Vertical_Slice_Specification.md</x:v>
      </x:c>
      <x:c r="U46" s="24" t="str">
        <x:v>CUS;regresión;trazable</x:v>
      </x:c>
    </x:row>
    <x:row r="47" ht="48" customHeight="1">
      <x:c r="A47" s="24" t="str">
        <x:v>TC-VS-CUS-004</x:v>
      </x:c>
      <x:c r="B47" s="24" t="str">
        <x:v>Clientes</x:v>
      </x:c>
      <x:c r="C47" s="24" t="str">
        <x:v>CUS</x:v>
      </x:c>
      <x:c r="D47" s="24" t="str">
        <x:v>VS-CUS-004</x:v>
      </x:c>
      <x:c r="E47" s="24" t="str">
        <x:v>Falta de stock, precio o espera producen reacción legible</x:v>
      </x:c>
      <x:c r="F47" s="24" t="str">
        <x:v>Verificar que se cumple: Falta de stock, precio o espera producen reacción legible.</x:v>
      </x:c>
      <x:c r="G47" s="24" t="str">
        <x:v>Baseline válida; estado inicial reproducible; datos de prueba preparados.</x:v>
      </x:c>
      <x:c r="H47" s="24" t="str">
        <x:v>Dataset nominal y, cuando aplique, valores límite o inválidos.</x:v>
      </x:c>
      <x:c r="I47" s="24" t="str">
        <x:v>1. Preparar el estado. 2. Ejecutar la acción o transición. 3. Observar estado, UI y logs. 4. Comparar precondición y postcondición.</x:v>
      </x:c>
      <x:c r="J47" s="24" t="str">
        <x:v>Falta de stock, precio o espera producen reacción legible.</x:v>
      </x:c>
      <x:c r="K47" s="24" t="str">
        <x:v>Funcional</x:v>
      </x:c>
      <x:c r="L47" s="24" t="str">
        <x:v>PlayMode + Manual</x:v>
      </x:c>
      <x:c r="M47" s="24" t="str">
        <x:v>P1</x:v>
      </x:c>
      <x:c r="N47" s="24" t="str">
        <x:v>S2</x:v>
      </x:c>
      <x:c r="O47" s="24" t="str">
        <x:v>Parcial</x:v>
      </x:c>
      <x:c r="P47" s="24" t="str">
        <x:v>StoreInitial</x:v>
      </x:c>
      <x:c r="Q47" s="24" t="str">
        <x:v>H6 / Vertical Slice</x:v>
      </x:c>
      <x:c r="R47" s="24" t="str">
        <x:v>Ready</x:v>
      </x:c>
      <x:c r="S47" s="24" t="str">
        <x:v>VRM Games</x:v>
      </x:c>
      <x:c r="T47" s="24" t="str">
        <x:v>02_Vertical_Slice_Specification.md</x:v>
      </x:c>
      <x:c r="U47" s="24" t="str">
        <x:v>CUS;regresión;trazable</x:v>
      </x:c>
    </x:row>
    <x:row r="48" ht="48" customHeight="1">
      <x:c r="A48" s="24" t="str">
        <x:v>TC-VS-RES-001</x:v>
      </x:c>
      <x:c r="B48" s="24" t="str">
        <x:v>Reservas</x:v>
      </x:c>
      <x:c r="C48" s="24" t="str">
        <x:v>RES</x:v>
      </x:c>
      <x:c r="D48" s="24" t="str">
        <x:v>VS-RES-001</x:v>
      </x:c>
      <x:c r="E48" s="24" t="str">
        <x:v>Una unidad no puede reservarse para dos clientes</x:v>
      </x:c>
      <x:c r="F48" s="24" t="str">
        <x:v>Verificar que se cumple: Una unidad no puede reservarse para dos clientes.</x:v>
      </x:c>
      <x:c r="G48" s="24" t="str">
        <x:v>Baseline válida; estado inicial reproducible; datos de prueba preparados.</x:v>
      </x:c>
      <x:c r="H48" s="24" t="str">
        <x:v>Dataset nominal y, cuando aplique, valores límite o inválidos.</x:v>
      </x:c>
      <x:c r="I48" s="24" t="str">
        <x:v>1. Preparar el estado. 2. Ejecutar la acción o transición. 3. Observar estado, UI y logs. 4. Comparar precondición y postcondición.</x:v>
      </x:c>
      <x:c r="J48" s="24" t="str">
        <x:v>Una unidad no puede reservarse para dos clientes.</x:v>
      </x:c>
      <x:c r="K48" s="24" t="str">
        <x:v>Funcional</x:v>
      </x:c>
      <x:c r="L48" s="24" t="str">
        <x:v>EditMode + Integración</x:v>
      </x:c>
      <x:c r="M48" s="24" t="str">
        <x:v>P0</x:v>
      </x:c>
      <x:c r="N48" s="24" t="str">
        <x:v>S1</x:v>
      </x:c>
      <x:c r="O48" s="24" t="str">
        <x:v>Parcial/Alta</x:v>
      </x:c>
      <x:c r="P48" s="24" t="str">
        <x:v>StoreInitial</x:v>
      </x:c>
      <x:c r="Q48" s="24" t="str">
        <x:v>H6 / Vertical Slice</x:v>
      </x:c>
      <x:c r="R48" s="24" t="str">
        <x:v>Ready</x:v>
      </x:c>
      <x:c r="S48" s="24" t="str">
        <x:v>VRM Games</x:v>
      </x:c>
      <x:c r="T48" s="24" t="str">
        <x:v>02_Vertical_Slice_Specification.md</x:v>
      </x:c>
      <x:c r="U48" s="24" t="str">
        <x:v>RES;regresión;trazable</x:v>
      </x:c>
    </x:row>
    <x:row r="49" ht="48" customHeight="1">
      <x:c r="A49" s="24" t="str">
        <x:v>TC-VS-RES-002</x:v>
      </x:c>
      <x:c r="B49" s="24" t="str">
        <x:v>Reservas</x:v>
      </x:c>
      <x:c r="C49" s="24" t="str">
        <x:v>RES</x:v>
      </x:c>
      <x:c r="D49" s="24" t="str">
        <x:v>VS-RES-002</x:v>
      </x:c>
      <x:c r="E49" s="24" t="str">
        <x:v>Abandono, fallo o cierre liberan la reserva</x:v>
      </x:c>
      <x:c r="F49" s="24" t="str">
        <x:v>Verificar que se cumple: Abandono, fallo o cierre liberan la reserva.</x:v>
      </x:c>
      <x:c r="G49" s="24" t="str">
        <x:v>Baseline válida; estado inicial reproducible; datos de prueba preparados.</x:v>
      </x:c>
      <x:c r="H49" s="24" t="str">
        <x:v>Dataset nominal y, cuando aplique, valores límite o inválidos.</x:v>
      </x:c>
      <x:c r="I49" s="24" t="str">
        <x:v>1. Preparar el estado. 2. Ejecutar la acción o transición. 3. Observar estado, UI y logs. 4. Comparar precondición y postcondición.</x:v>
      </x:c>
      <x:c r="J49" s="24" t="str">
        <x:v>Abandono, fallo o cierre liberan la reserva.</x:v>
      </x:c>
      <x:c r="K49" s="24" t="str">
        <x:v>Funcional</x:v>
      </x:c>
      <x:c r="L49" s="24" t="str">
        <x:v>EditMode + Integración</x:v>
      </x:c>
      <x:c r="M49" s="24" t="str">
        <x:v>P0</x:v>
      </x:c>
      <x:c r="N49" s="24" t="str">
        <x:v>S1</x:v>
      </x:c>
      <x:c r="O49" s="24" t="str">
        <x:v>Parcial/Alta</x:v>
      </x:c>
      <x:c r="P49" s="24" t="str">
        <x:v>StoreInitial</x:v>
      </x:c>
      <x:c r="Q49" s="24" t="str">
        <x:v>H6 / Vertical Slice</x:v>
      </x:c>
      <x:c r="R49" s="24" t="str">
        <x:v>Ready</x:v>
      </x:c>
      <x:c r="S49" s="24" t="str">
        <x:v>VRM Games</x:v>
      </x:c>
      <x:c r="T49" s="24" t="str">
        <x:v>02_Vertical_Slice_Specification.md</x:v>
      </x:c>
      <x:c r="U49" s="24" t="str">
        <x:v>RES;regresión;trazable</x:v>
      </x:c>
    </x:row>
    <x:row r="50" ht="48" customHeight="1">
      <x:c r="A50" s="24" t="str">
        <x:v>TC-VS-RES-003</x:v>
      </x:c>
      <x:c r="B50" s="24" t="str">
        <x:v>Reservas</x:v>
      </x:c>
      <x:c r="C50" s="24" t="str">
        <x:v>RES</x:v>
      </x:c>
      <x:c r="D50" s="24" t="str">
        <x:v>VS-RES-003</x:v>
      </x:c>
      <x:c r="E50" s="24" t="str">
        <x:v>Venta consume la reserva exactamente una vez</x:v>
      </x:c>
      <x:c r="F50" s="24" t="str">
        <x:v>Verificar que se cumple: Venta consume la reserva exactamente una vez.</x:v>
      </x:c>
      <x:c r="G50" s="24" t="str">
        <x:v>Baseline válida; estado inicial reproducible; datos de prueba preparados.</x:v>
      </x:c>
      <x:c r="H50" s="24" t="str">
        <x:v>Dataset nominal y, cuando aplique, valores límite o inválidos.</x:v>
      </x:c>
      <x:c r="I50" s="24" t="str">
        <x:v>1. Preparar el estado. 2. Ejecutar la acción o transición. 3. Observar estado, UI y logs. 4. Comparar precondición y postcondición.</x:v>
      </x:c>
      <x:c r="J50" s="24" t="str">
        <x:v>Venta consume la reserva exactamente una vez.</x:v>
      </x:c>
      <x:c r="K50" s="24" t="str">
        <x:v>Funcional</x:v>
      </x:c>
      <x:c r="L50" s="24" t="str">
        <x:v>EditMode + Integración</x:v>
      </x:c>
      <x:c r="M50" s="24" t="str">
        <x:v>P0</x:v>
      </x:c>
      <x:c r="N50" s="24" t="str">
        <x:v>S1</x:v>
      </x:c>
      <x:c r="O50" s="24" t="str">
        <x:v>Parcial/Alta</x:v>
      </x:c>
      <x:c r="P50" s="24" t="str">
        <x:v>StoreInitial</x:v>
      </x:c>
      <x:c r="Q50" s="24" t="str">
        <x:v>H6 / Vertical Slice</x:v>
      </x:c>
      <x:c r="R50" s="24" t="str">
        <x:v>Ready</x:v>
      </x:c>
      <x:c r="S50" s="24" t="str">
        <x:v>VRM Games</x:v>
      </x:c>
      <x:c r="T50" s="24" t="str">
        <x:v>02_Vertical_Slice_Specification.md</x:v>
      </x:c>
      <x:c r="U50" s="24" t="str">
        <x:v>RES;regresión;trazable</x:v>
      </x:c>
    </x:row>
    <x:row r="51" ht="48" customHeight="1">
      <x:c r="A51" s="24" t="str">
        <x:v>TC-VS-QUE-001</x:v>
      </x:c>
      <x:c r="B51" s="24" t="str">
        <x:v>Cola</x:v>
      </x:c>
      <x:c r="C51" s="24" t="str">
        <x:v>QUE</x:v>
      </x:c>
      <x:c r="D51" s="24" t="str">
        <x:v>VS-QUE-001</x:v>
      </x:c>
      <x:c r="E51" s="24" t="str">
        <x:v>El orden de atención es determinista</x:v>
      </x:c>
      <x:c r="F51" s="24" t="str">
        <x:v>Verificar que se cumple: El orden de atención es determinista.</x:v>
      </x:c>
      <x:c r="G51" s="24" t="str">
        <x:v>Baseline válida; estado inicial reproducible; datos de prueba preparados.</x:v>
      </x:c>
      <x:c r="H51" s="24" t="str">
        <x:v>Dataset nominal y, cuando aplique, valores límite o inválidos.</x:v>
      </x:c>
      <x:c r="I51" s="24" t="str">
        <x:v>1. Preparar el estado. 2. Ejecutar la acción o transición. 3. Observar estado, UI y logs. 4. Comparar precondición y postcondición.</x:v>
      </x:c>
      <x:c r="J51" s="24" t="str">
        <x:v>El orden de atención es determinista.</x:v>
      </x:c>
      <x:c r="K51" s="24" t="str">
        <x:v>Funcional</x:v>
      </x:c>
      <x:c r="L51" s="24" t="str">
        <x:v>PlayMode + Manual</x:v>
      </x:c>
      <x:c r="M51" s="24" t="str">
        <x:v>P1</x:v>
      </x:c>
      <x:c r="N51" s="24" t="str">
        <x:v>S2</x:v>
      </x:c>
      <x:c r="O51" s="24" t="str">
        <x:v>Parcial</x:v>
      </x:c>
      <x:c r="P51" s="24" t="str">
        <x:v>StoreInitial</x:v>
      </x:c>
      <x:c r="Q51" s="24" t="str">
        <x:v>H6 / Vertical Slice</x:v>
      </x:c>
      <x:c r="R51" s="24" t="str">
        <x:v>Ready</x:v>
      </x:c>
      <x:c r="S51" s="24" t="str">
        <x:v>VRM Games</x:v>
      </x:c>
      <x:c r="T51" s="24" t="str">
        <x:v>02_Vertical_Slice_Specification.md</x:v>
      </x:c>
      <x:c r="U51" s="24" t="str">
        <x:v>QUE;regresión;trazable</x:v>
      </x:c>
    </x:row>
    <x:row r="52" ht="48" customHeight="1">
      <x:c r="A52" s="24" t="str">
        <x:v>TC-VS-QUE-002</x:v>
      </x:c>
      <x:c r="B52" s="24" t="str">
        <x:v>Cola</x:v>
      </x:c>
      <x:c r="C52" s="24" t="str">
        <x:v>QUE</x:v>
      </x:c>
      <x:c r="D52" s="24" t="str">
        <x:v>VS-QUE-002</x:v>
      </x:c>
      <x:c r="E52" s="24" t="str">
        <x:v>Posiciones se liberan y avanzan correctamente</x:v>
      </x:c>
      <x:c r="F52" s="24" t="str">
        <x:v>Verificar que se cumple: Posiciones se liberan y avanzan correctamente.</x:v>
      </x:c>
      <x:c r="G52" s="24" t="str">
        <x:v>Baseline válida; estado inicial reproducible; datos de prueba preparados.</x:v>
      </x:c>
      <x:c r="H52" s="24" t="str">
        <x:v>Dataset nominal y, cuando aplique, valores límite o inválidos.</x:v>
      </x:c>
      <x:c r="I52" s="24" t="str">
        <x:v>1. Preparar el estado. 2. Ejecutar la acción o transición. 3. Observar estado, UI y logs. 4. Comparar precondición y postcondición.</x:v>
      </x:c>
      <x:c r="J52" s="24" t="str">
        <x:v>Posiciones se liberan y avanzan correctamente.</x:v>
      </x:c>
      <x:c r="K52" s="24" t="str">
        <x:v>Funcional</x:v>
      </x:c>
      <x:c r="L52" s="24" t="str">
        <x:v>PlayMode + Manual</x:v>
      </x:c>
      <x:c r="M52" s="24" t="str">
        <x:v>P1</x:v>
      </x:c>
      <x:c r="N52" s="24" t="str">
        <x:v>S2</x:v>
      </x:c>
      <x:c r="O52" s="24" t="str">
        <x:v>Parcial</x:v>
      </x:c>
      <x:c r="P52" s="24" t="str">
        <x:v>StoreInitial</x:v>
      </x:c>
      <x:c r="Q52" s="24" t="str">
        <x:v>H6 / Vertical Slice</x:v>
      </x:c>
      <x:c r="R52" s="24" t="str">
        <x:v>Ready</x:v>
      </x:c>
      <x:c r="S52" s="24" t="str">
        <x:v>VRM Games</x:v>
      </x:c>
      <x:c r="T52" s="24" t="str">
        <x:v>02_Vertical_Slice_Specification.md</x:v>
      </x:c>
      <x:c r="U52" s="24" t="str">
        <x:v>QUE;regresión;trazable</x:v>
      </x:c>
    </x:row>
    <x:row r="53" ht="48" customHeight="1">
      <x:c r="A53" s="24" t="str">
        <x:v>TC-VS-QUE-003</x:v>
      </x:c>
      <x:c r="B53" s="24" t="str">
        <x:v>Cola</x:v>
      </x:c>
      <x:c r="C53" s="24" t="str">
        <x:v>QUE</x:v>
      </x:c>
      <x:c r="D53" s="24" t="str">
        <x:v>VS-QUE-003</x:v>
      </x:c>
      <x:c r="E53" s="24" t="str">
        <x:v>Saturación no produce bloqueo permanente</x:v>
      </x:c>
      <x:c r="F53" s="24" t="str">
        <x:v>Verificar que se cumple: Saturación no produce bloqueo permanente.</x:v>
      </x:c>
      <x:c r="G53" s="24" t="str">
        <x:v>Baseline válida; estado inicial reproducible; datos de prueba preparados.</x:v>
      </x:c>
      <x:c r="H53" s="24" t="str">
        <x:v>Dataset nominal y, cuando aplique, valores límite o inválidos.</x:v>
      </x:c>
      <x:c r="I53" s="24" t="str">
        <x:v>1. Preparar el estado. 2. Ejecutar la acción o transición. 3. Observar estado, UI y logs. 4. Comparar precondición y postcondición.</x:v>
      </x:c>
      <x:c r="J53" s="24" t="str">
        <x:v>Saturación no produce bloqueo permanente.</x:v>
      </x:c>
      <x:c r="K53" s="24" t="str">
        <x:v>Funcional</x:v>
      </x:c>
      <x:c r="L53" s="24" t="str">
        <x:v>PlayMode + Manual</x:v>
      </x:c>
      <x:c r="M53" s="24" t="str">
        <x:v>P0</x:v>
      </x:c>
      <x:c r="N53" s="24" t="str">
        <x:v>S1</x:v>
      </x:c>
      <x:c r="O53" s="24" t="str">
        <x:v>Parcial</x:v>
      </x:c>
      <x:c r="P53" s="24" t="str">
        <x:v>StoreInitial</x:v>
      </x:c>
      <x:c r="Q53" s="24" t="str">
        <x:v>H6 / Vertical Slice</x:v>
      </x:c>
      <x:c r="R53" s="24" t="str">
        <x:v>Ready</x:v>
      </x:c>
      <x:c r="S53" s="24" t="str">
        <x:v>VRM Games</x:v>
      </x:c>
      <x:c r="T53" s="24" t="str">
        <x:v>02_Vertical_Slice_Specification.md</x:v>
      </x:c>
      <x:c r="U53" s="24" t="str">
        <x:v>QUE;regresión;trazable</x:v>
      </x:c>
    </x:row>
    <x:row r="54" ht="48" customHeight="1">
      <x:c r="A54" s="24" t="str">
        <x:v>TC-VS-CHK-001</x:v>
      </x:c>
      <x:c r="B54" s="24" t="str">
        <x:v>Checkout</x:v>
      </x:c>
      <x:c r="C54" s="24" t="str">
        <x:v>CHK</x:v>
      </x:c>
      <x:c r="D54" s="24" t="str">
        <x:v>VS-CHK-001</x:v>
      </x:c>
      <x:c r="E54" s="24" t="str">
        <x:v>Preflight rechaza transacción inválida sin mutación</x:v>
      </x:c>
      <x:c r="F54" s="24" t="str">
        <x:v>Verificar que se cumple: Preflight rechaza transacción inválida sin mutación.</x:v>
      </x:c>
      <x:c r="G54" s="24" t="str">
        <x:v>Baseline válida; estado inicial reproducible; datos de prueba preparados.</x:v>
      </x:c>
      <x:c r="H54" s="24" t="str">
        <x:v>Dataset nominal y, cuando aplique, valores límite o inválidos.</x:v>
      </x:c>
      <x:c r="I54" s="24" t="str">
        <x:v>1. Preparar el estado. 2. Ejecutar la acción o transición. 3. Observar estado, UI y logs. 4. Comparar precondición y postcondición.</x:v>
      </x:c>
      <x:c r="J54" s="24" t="str">
        <x:v>Preflight rechaza transacción inválida sin mutación.</x:v>
      </x:c>
      <x:c r="K54" s="24" t="str">
        <x:v>Funcional</x:v>
      </x:c>
      <x:c r="L54" s="24" t="str">
        <x:v>EditMode + Integración</x:v>
      </x:c>
      <x:c r="M54" s="24" t="str">
        <x:v>P0</x:v>
      </x:c>
      <x:c r="N54" s="24" t="str">
        <x:v>S1</x:v>
      </x:c>
      <x:c r="O54" s="24" t="str">
        <x:v>Parcial/Alta</x:v>
      </x:c>
      <x:c r="P54" s="24" t="str">
        <x:v>StoreInitial</x:v>
      </x:c>
      <x:c r="Q54" s="24" t="str">
        <x:v>H6 / Vertical Slice</x:v>
      </x:c>
      <x:c r="R54" s="24" t="str">
        <x:v>Ready</x:v>
      </x:c>
      <x:c r="S54" s="24" t="str">
        <x:v>VRM Games</x:v>
      </x:c>
      <x:c r="T54" s="24" t="str">
        <x:v>02_Vertical_Slice_Specification.md</x:v>
      </x:c>
      <x:c r="U54" s="24" t="str">
        <x:v>CHK;regresión;trazable</x:v>
      </x:c>
    </x:row>
    <x:row r="55" ht="48" customHeight="1">
      <x:c r="A55" s="24" t="str">
        <x:v>TC-VS-CHK-002</x:v>
      </x:c>
      <x:c r="B55" s="24" t="str">
        <x:v>Checkout</x:v>
      </x:c>
      <x:c r="C55" s="24" t="str">
        <x:v>CHK</x:v>
      </x:c>
      <x:c r="D55" s="24" t="str">
        <x:v>VS-CHK-002</x:v>
      </x:c>
      <x:c r="E55" s="24" t="str">
        <x:v>Venta válida consume una unidad y registra un ingreso</x:v>
      </x:c>
      <x:c r="F55" s="24" t="str">
        <x:v>Verificar que se cumple: Venta válida consume una unidad y registra un ingreso.</x:v>
      </x:c>
      <x:c r="G55" s="24" t="str">
        <x:v>Baseline válida; estado inicial reproducible; datos de prueba preparados.</x:v>
      </x:c>
      <x:c r="H55" s="24" t="str">
        <x:v>Dataset nominal y, cuando aplique, valores límite o inválidos.</x:v>
      </x:c>
      <x:c r="I55" s="24" t="str">
        <x:v>1. Preparar el estado. 2. Ejecutar la acción o transición. 3. Observar estado, UI y logs. 4. Comparar precondición y postcondición.</x:v>
      </x:c>
      <x:c r="J55" s="24" t="str">
        <x:v>Venta válida consume una unidad y registra un ingreso.</x:v>
      </x:c>
      <x:c r="K55" s="24" t="str">
        <x:v>Funcional</x:v>
      </x:c>
      <x:c r="L55" s="24" t="str">
        <x:v>EditMode + Integración</x:v>
      </x:c>
      <x:c r="M55" s="24" t="str">
        <x:v>P0</x:v>
      </x:c>
      <x:c r="N55" s="24" t="str">
        <x:v>S1</x:v>
      </x:c>
      <x:c r="O55" s="24" t="str">
        <x:v>Parcial/Alta</x:v>
      </x:c>
      <x:c r="P55" s="24" t="str">
        <x:v>StoreInitial</x:v>
      </x:c>
      <x:c r="Q55" s="24" t="str">
        <x:v>H6 / Vertical Slice</x:v>
      </x:c>
      <x:c r="R55" s="24" t="str">
        <x:v>Ready</x:v>
      </x:c>
      <x:c r="S55" s="24" t="str">
        <x:v>VRM Games</x:v>
      </x:c>
      <x:c r="T55" s="24" t="str">
        <x:v>02_Vertical_Slice_Specification.md</x:v>
      </x:c>
      <x:c r="U55" s="24" t="str">
        <x:v>CHK;regresión;trazable</x:v>
      </x:c>
    </x:row>
    <x:row r="56" ht="48" customHeight="1">
      <x:c r="A56" s="24" t="str">
        <x:v>TC-VS-CHK-003</x:v>
      </x:c>
      <x:c r="B56" s="24" t="str">
        <x:v>Checkout</x:v>
      </x:c>
      <x:c r="C56" s="24" t="str">
        <x:v>CHK</x:v>
      </x:c>
      <x:c r="D56" s="24" t="str">
        <x:v>VS-CHK-003</x:v>
      </x:c>
      <x:c r="E56" s="24" t="str">
        <x:v>La misma venta no puede confirmarse dos veces</x:v>
      </x:c>
      <x:c r="F56" s="24" t="str">
        <x:v>Verificar que se cumple: La misma venta no puede confirmarse dos veces.</x:v>
      </x:c>
      <x:c r="G56" s="24" t="str">
        <x:v>Baseline válida; estado inicial reproducible; datos de prueba preparados.</x:v>
      </x:c>
      <x:c r="H56" s="24" t="str">
        <x:v>Dataset nominal y, cuando aplique, valores límite o inválidos.</x:v>
      </x:c>
      <x:c r="I56" s="24" t="str">
        <x:v>1. Preparar el estado. 2. Ejecutar la acción o transición. 3. Observar estado, UI y logs. 4. Comparar precondición y postcondición.</x:v>
      </x:c>
      <x:c r="J56" s="24" t="str">
        <x:v>La misma venta no puede confirmarse dos veces.</x:v>
      </x:c>
      <x:c r="K56" s="24" t="str">
        <x:v>Funcional</x:v>
      </x:c>
      <x:c r="L56" s="24" t="str">
        <x:v>EditMode + Integración</x:v>
      </x:c>
      <x:c r="M56" s="24" t="str">
        <x:v>P0</x:v>
      </x:c>
      <x:c r="N56" s="24" t="str">
        <x:v>S1</x:v>
      </x:c>
      <x:c r="O56" s="24" t="str">
        <x:v>Parcial/Alta</x:v>
      </x:c>
      <x:c r="P56" s="24" t="str">
        <x:v>StoreInitial</x:v>
      </x:c>
      <x:c r="Q56" s="24" t="str">
        <x:v>H6 / Vertical Slice</x:v>
      </x:c>
      <x:c r="R56" s="24" t="str">
        <x:v>Ready</x:v>
      </x:c>
      <x:c r="S56" s="24" t="str">
        <x:v>VRM Games</x:v>
      </x:c>
      <x:c r="T56" s="24" t="str">
        <x:v>02_Vertical_Slice_Specification.md</x:v>
      </x:c>
      <x:c r="U56" s="24" t="str">
        <x:v>CHK;regresión;trazable</x:v>
      </x:c>
    </x:row>
    <x:row r="57" ht="48" customHeight="1">
      <x:c r="A57" s="24" t="str">
        <x:v>TC-VS-CHK-004</x:v>
      </x:c>
      <x:c r="B57" s="24" t="str">
        <x:v>Checkout</x:v>
      </x:c>
      <x:c r="C57" s="24" t="str">
        <x:v>CHK</x:v>
      </x:c>
      <x:c r="D57" s="24" t="str">
        <x:v>VS-CHK-004</x:v>
      </x:c>
      <x:c r="E57" s="24" t="str">
        <x:v>Cliente, reserva, cola y métricas quedan resueltos tras vender</x:v>
      </x:c>
      <x:c r="F57" s="24" t="str">
        <x:v>Verificar que se cumple: Cliente, reserva, cola y métricas quedan resueltos tras vender.</x:v>
      </x:c>
      <x:c r="G57" s="24" t="str">
        <x:v>Baseline válida; estado inicial reproducible; datos de prueba preparados.</x:v>
      </x:c>
      <x:c r="H57" s="24" t="str">
        <x:v>Dataset nominal y, cuando aplique, valores límite o inválidos.</x:v>
      </x:c>
      <x:c r="I57" s="24" t="str">
        <x:v>1. Preparar el estado. 2. Ejecutar la acción o transición. 3. Observar estado, UI y logs. 4. Comparar precondición y postcondición.</x:v>
      </x:c>
      <x:c r="J57" s="24" t="str">
        <x:v>Cliente, reserva, cola y métricas quedan resueltos tras vender.</x:v>
      </x:c>
      <x:c r="K57" s="24" t="str">
        <x:v>Funcional</x:v>
      </x:c>
      <x:c r="L57" s="24" t="str">
        <x:v>EditMode + Integración</x:v>
      </x:c>
      <x:c r="M57" s="24" t="str">
        <x:v>P0</x:v>
      </x:c>
      <x:c r="N57" s="24" t="str">
        <x:v>S1</x:v>
      </x:c>
      <x:c r="O57" s="24" t="str">
        <x:v>Parcial/Alta</x:v>
      </x:c>
      <x:c r="P57" s="24" t="str">
        <x:v>StoreInitial</x:v>
      </x:c>
      <x:c r="Q57" s="24" t="str">
        <x:v>H6 / Vertical Slice</x:v>
      </x:c>
      <x:c r="R57" s="24" t="str">
        <x:v>Ready</x:v>
      </x:c>
      <x:c r="S57" s="24" t="str">
        <x:v>VRM Games</x:v>
      </x:c>
      <x:c r="T57" s="24" t="str">
        <x:v>02_Vertical_Slice_Specification.md</x:v>
      </x:c>
      <x:c r="U57" s="24" t="str">
        <x:v>CHK;regresión;trazable</x:v>
      </x:c>
    </x:row>
    <x:row r="58" ht="48" customHeight="1">
      <x:c r="A58" s="24" t="str">
        <x:v>TC-VS-DAY-001</x:v>
      </x:c>
      <x:c r="B58" s="24" t="str">
        <x:v>Ciclo diario</x:v>
      </x:c>
      <x:c r="C58" s="24" t="str">
        <x:v>DAY</x:v>
      </x:c>
      <x:c r="D58" s="24" t="str">
        <x:v>VS-DAY-001</x:v>
      </x:c>
      <x:c r="E58" s="24" t="str">
        <x:v>Transiciones entre estados siguen el orden permitido</x:v>
      </x:c>
      <x:c r="F58" s="24" t="str">
        <x:v>Verificar que se cumple: Transiciones entre estados siguen el orden permitido.</x:v>
      </x:c>
      <x:c r="G58" s="24" t="str">
        <x:v>Baseline válida; estado inicial reproducible; datos de prueba preparados.</x:v>
      </x:c>
      <x:c r="H58" s="24" t="str">
        <x:v>Dataset nominal y, cuando aplique, valores límite o inválidos.</x:v>
      </x:c>
      <x:c r="I58" s="24" t="str">
        <x:v>1. Preparar el estado. 2. Ejecutar la acción o transición. 3. Observar estado, UI y logs. 4. Comparar precondición y postcondición.</x:v>
      </x:c>
      <x:c r="J58" s="24" t="str">
        <x:v>Transiciones entre estados siguen el orden permitido.</x:v>
      </x:c>
      <x:c r="K58" s="24" t="str">
        <x:v>Funcional</x:v>
      </x:c>
      <x:c r="L58" s="24" t="str">
        <x:v>EditMode + Integración</x:v>
      </x:c>
      <x:c r="M58" s="24" t="str">
        <x:v>P1</x:v>
      </x:c>
      <x:c r="N58" s="24" t="str">
        <x:v>S2</x:v>
      </x:c>
      <x:c r="O58" s="24" t="str">
        <x:v>Parcial/Alta</x:v>
      </x:c>
      <x:c r="P58" s="24" t="str">
        <x:v>StoreInitial</x:v>
      </x:c>
      <x:c r="Q58" s="24" t="str">
        <x:v>H6 / Vertical Slice</x:v>
      </x:c>
      <x:c r="R58" s="24" t="str">
        <x:v>Ready</x:v>
      </x:c>
      <x:c r="S58" s="24" t="str">
        <x:v>VRM Games</x:v>
      </x:c>
      <x:c r="T58" s="24" t="str">
        <x:v>02_Vertical_Slice_Specification.md</x:v>
      </x:c>
      <x:c r="U58" s="24" t="str">
        <x:v>DAY;regresión;trazable</x:v>
      </x:c>
    </x:row>
    <x:row r="59" ht="48" customHeight="1">
      <x:c r="A59" s="24" t="str">
        <x:v>TC-VS-DAY-002</x:v>
      </x:c>
      <x:c r="B59" s="24" t="str">
        <x:v>Ciclo diario</x:v>
      </x:c>
      <x:c r="C59" s="24" t="str">
        <x:v>DAY</x:v>
      </x:c>
      <x:c r="D59" s="24" t="str">
        <x:v>VS-DAY-002</x:v>
      </x:c>
      <x:c r="E59" s="24" t="str">
        <x:v>Abrir habilita clientes una sola vez</x:v>
      </x:c>
      <x:c r="F59" s="24" t="str">
        <x:v>Verificar que se cumple: Abrir habilita clientes una sola vez.</x:v>
      </x:c>
      <x:c r="G59" s="24" t="str">
        <x:v>Baseline válida; estado inicial reproducible; datos de prueba preparados.</x:v>
      </x:c>
      <x:c r="H59" s="24" t="str">
        <x:v>Dataset nominal y, cuando aplique, valores límite o inválidos.</x:v>
      </x:c>
      <x:c r="I59" s="24" t="str">
        <x:v>1. Preparar el estado. 2. Ejecutar la acción o transición. 3. Observar estado, UI y logs. 4. Comparar precondición y postcondición.</x:v>
      </x:c>
      <x:c r="J59" s="24" t="str">
        <x:v>Abrir habilita clientes una sola vez.</x:v>
      </x:c>
      <x:c r="K59" s="24" t="str">
        <x:v>Funcional</x:v>
      </x:c>
      <x:c r="L59" s="24" t="str">
        <x:v>EditMode + Integración</x:v>
      </x:c>
      <x:c r="M59" s="24" t="str">
        <x:v>P0</x:v>
      </x:c>
      <x:c r="N59" s="24" t="str">
        <x:v>S1</x:v>
      </x:c>
      <x:c r="O59" s="24" t="str">
        <x:v>Parcial/Alta</x:v>
      </x:c>
      <x:c r="P59" s="24" t="str">
        <x:v>StoreInitial</x:v>
      </x:c>
      <x:c r="Q59" s="24" t="str">
        <x:v>H6 / Vertical Slice</x:v>
      </x:c>
      <x:c r="R59" s="24" t="str">
        <x:v>Ready</x:v>
      </x:c>
      <x:c r="S59" s="24" t="str">
        <x:v>VRM Games</x:v>
      </x:c>
      <x:c r="T59" s="24" t="str">
        <x:v>02_Vertical_Slice_Specification.md</x:v>
      </x:c>
      <x:c r="U59" s="24" t="str">
        <x:v>DAY;regresión;trazable</x:v>
      </x:c>
    </x:row>
    <x:row r="60" ht="48" customHeight="1">
      <x:c r="A60" s="24" t="str">
        <x:v>TC-VS-DAY-003</x:v>
      </x:c>
      <x:c r="B60" s="24" t="str">
        <x:v>Ciclo diario</x:v>
      </x:c>
      <x:c r="C60" s="24" t="str">
        <x:v>DAY</x:v>
      </x:c>
      <x:c r="D60" s="24" t="str">
        <x:v>VS-DAY-003</x:v>
      </x:c>
      <x:c r="E60" s="24" t="str">
        <x:v>Cerrar impide nuevas entradas y resuelve activos</x:v>
      </x:c>
      <x:c r="F60" s="24" t="str">
        <x:v>Verificar que se cumple: Cerrar impide nuevas entradas y resuelve activos.</x:v>
      </x:c>
      <x:c r="G60" s="24" t="str">
        <x:v>Baseline válida; estado inicial reproducible; datos de prueba preparados.</x:v>
      </x:c>
      <x:c r="H60" s="24" t="str">
        <x:v>Dataset nominal y, cuando aplique, valores límite o inválidos.</x:v>
      </x:c>
      <x:c r="I60" s="24" t="str">
        <x:v>1. Preparar el estado. 2. Ejecutar la acción o transición. 3. Observar estado, UI y logs. 4. Comparar precondición y postcondición.</x:v>
      </x:c>
      <x:c r="J60" s="24" t="str">
        <x:v>Cerrar impide nuevas entradas y resuelve activos.</x:v>
      </x:c>
      <x:c r="K60" s="24" t="str">
        <x:v>Funcional</x:v>
      </x:c>
      <x:c r="L60" s="24" t="str">
        <x:v>EditMode + Integración</x:v>
      </x:c>
      <x:c r="M60" s="24" t="str">
        <x:v>P1</x:v>
      </x:c>
      <x:c r="N60" s="24" t="str">
        <x:v>S2</x:v>
      </x:c>
      <x:c r="O60" s="24" t="str">
        <x:v>Parcial/Alta</x:v>
      </x:c>
      <x:c r="P60" s="24" t="str">
        <x:v>StoreInitial</x:v>
      </x:c>
      <x:c r="Q60" s="24" t="str">
        <x:v>H6 / Vertical Slice</x:v>
      </x:c>
      <x:c r="R60" s="24" t="str">
        <x:v>Ready</x:v>
      </x:c>
      <x:c r="S60" s="24" t="str">
        <x:v>VRM Games</x:v>
      </x:c>
      <x:c r="T60" s="24" t="str">
        <x:v>02_Vertical_Slice_Specification.md</x:v>
      </x:c>
      <x:c r="U60" s="24" t="str">
        <x:v>DAY;regresión;trazable</x:v>
      </x:c>
    </x:row>
    <x:row r="61" ht="48" customHeight="1">
      <x:c r="A61" s="24" t="str">
        <x:v>TC-VS-DAY-004</x:v>
      </x:c>
      <x:c r="B61" s="24" t="str">
        <x:v>Ciclo diario</x:v>
      </x:c>
      <x:c r="C61" s="24" t="str">
        <x:v>DAY</x:v>
      </x:c>
      <x:c r="D61" s="24" t="str">
        <x:v>VS-DAY-004</x:v>
      </x:c>
      <x:c r="E61" s="24" t="str">
        <x:v>Resumen y avance se generan una sola vez</x:v>
      </x:c>
      <x:c r="F61" s="24" t="str">
        <x:v>Verificar que se cumple: Resumen y avance se generan una sola vez.</x:v>
      </x:c>
      <x:c r="G61" s="24" t="str">
        <x:v>Baseline válida; estado inicial reproducible; datos de prueba preparados.</x:v>
      </x:c>
      <x:c r="H61" s="24" t="str">
        <x:v>Dataset nominal y, cuando aplique, valores límite o inválidos.</x:v>
      </x:c>
      <x:c r="I61" s="24" t="str">
        <x:v>1. Preparar el estado. 2. Ejecutar la acción o transición. 3. Observar estado, UI y logs. 4. Comparar precondición y postcondición.</x:v>
      </x:c>
      <x:c r="J61" s="24" t="str">
        <x:v>Resumen y avance se generan una sola vez.</x:v>
      </x:c>
      <x:c r="K61" s="24" t="str">
        <x:v>Funcional</x:v>
      </x:c>
      <x:c r="L61" s="24" t="str">
        <x:v>EditMode + Integración</x:v>
      </x:c>
      <x:c r="M61" s="24" t="str">
        <x:v>P0</x:v>
      </x:c>
      <x:c r="N61" s="24" t="str">
        <x:v>S1</x:v>
      </x:c>
      <x:c r="O61" s="24" t="str">
        <x:v>Parcial/Alta</x:v>
      </x:c>
      <x:c r="P61" s="24" t="str">
        <x:v>StoreInitial</x:v>
      </x:c>
      <x:c r="Q61" s="24" t="str">
        <x:v>H6 / Vertical Slice</x:v>
      </x:c>
      <x:c r="R61" s="24" t="str">
        <x:v>Ready</x:v>
      </x:c>
      <x:c r="S61" s="24" t="str">
        <x:v>VRM Games</x:v>
      </x:c>
      <x:c r="T61" s="24" t="str">
        <x:v>02_Vertical_Slice_Specification.md</x:v>
      </x:c>
      <x:c r="U61" s="24" t="str">
        <x:v>DAY;regresión;trazable</x:v>
      </x:c>
    </x:row>
    <x:row r="62" ht="48" customHeight="1">
      <x:c r="A62" s="24" t="str">
        <x:v>TC-VS-ECO-001</x:v>
      </x:c>
      <x:c r="B62" s="24" t="str">
        <x:v>Economía</x:v>
      </x:c>
      <x:c r="C62" s="24" t="str">
        <x:v>ECO</x:v>
      </x:c>
      <x:c r="D62" s="24" t="str">
        <x:v>VS-ECO-001</x:v>
      </x:c>
      <x:c r="E62" s="24" t="str">
        <x:v>Todo cambio de saldo tiene movimiento registrado</x:v>
      </x:c>
      <x:c r="F62" s="24" t="str">
        <x:v>Verificar que se cumple: Todo cambio de saldo tiene movimiento registrado.</x:v>
      </x:c>
      <x:c r="G62" s="24" t="str">
        <x:v>Baseline válida; estado inicial reproducible; datos de prueba preparados.</x:v>
      </x:c>
      <x:c r="H62" s="24" t="str">
        <x:v>Dataset nominal y, cuando aplique, valores límite o inválidos.</x:v>
      </x:c>
      <x:c r="I62" s="24" t="str">
        <x:v>1. Preparar el estado. 2. Ejecutar la acción o transición. 3. Observar estado, UI y logs. 4. Comparar precondición y postcondición.</x:v>
      </x:c>
      <x:c r="J62" s="24" t="str">
        <x:v>Todo cambio de saldo tiene movimiento registrado.</x:v>
      </x:c>
      <x:c r="K62" s="24" t="str">
        <x:v>Funcional</x:v>
      </x:c>
      <x:c r="L62" s="24" t="str">
        <x:v>EditMode + Integración</x:v>
      </x:c>
      <x:c r="M62" s="24" t="str">
        <x:v>P1</x:v>
      </x:c>
      <x:c r="N62" s="24" t="str">
        <x:v>S2</x:v>
      </x:c>
      <x:c r="O62" s="24" t="str">
        <x:v>Parcial/Alta</x:v>
      </x:c>
      <x:c r="P62" s="24" t="str">
        <x:v>StoreInitial</x:v>
      </x:c>
      <x:c r="Q62" s="24" t="str">
        <x:v>H6 / Vertical Slice</x:v>
      </x:c>
      <x:c r="R62" s="24" t="str">
        <x:v>Ready</x:v>
      </x:c>
      <x:c r="S62" s="24" t="str">
        <x:v>VRM Games</x:v>
      </x:c>
      <x:c r="T62" s="24" t="str">
        <x:v>02_Vertical_Slice_Specification.md</x:v>
      </x:c>
      <x:c r="U62" s="24" t="str">
        <x:v>ECO;regresión;trazable</x:v>
      </x:c>
    </x:row>
    <x:row r="63" ht="48" customHeight="1">
      <x:c r="A63" s="24" t="str">
        <x:v>TC-VS-ECO-002</x:v>
      </x:c>
      <x:c r="B63" s="24" t="str">
        <x:v>Economía</x:v>
      </x:c>
      <x:c r="C63" s="24" t="str">
        <x:v>ECO</x:v>
      </x:c>
      <x:c r="D63" s="24" t="str">
        <x:v>VS-ECO-002</x:v>
      </x:c>
      <x:c r="E63" s="24" t="str">
        <x:v>Venta genera un único ingreso con precio correcto</x:v>
      </x:c>
      <x:c r="F63" s="24" t="str">
        <x:v>Verificar que se cumple: Venta genera un único ingreso con precio correcto.</x:v>
      </x:c>
      <x:c r="G63" s="24" t="str">
        <x:v>Baseline válida; estado inicial reproducible; datos de prueba preparados.</x:v>
      </x:c>
      <x:c r="H63" s="24" t="str">
        <x:v>Dataset nominal y, cuando aplique, valores límite o inválidos.</x:v>
      </x:c>
      <x:c r="I63" s="24" t="str">
        <x:v>1. Preparar el estado. 2. Ejecutar la acción o transición. 3. Observar estado, UI y logs. 4. Comparar precondición y postcondición.</x:v>
      </x:c>
      <x:c r="J63" s="24" t="str">
        <x:v>Venta genera un único ingreso con precio correcto.</x:v>
      </x:c>
      <x:c r="K63" s="24" t="str">
        <x:v>Funcional</x:v>
      </x:c>
      <x:c r="L63" s="24" t="str">
        <x:v>EditMode + Integración</x:v>
      </x:c>
      <x:c r="M63" s="24" t="str">
        <x:v>P1</x:v>
      </x:c>
      <x:c r="N63" s="24" t="str">
        <x:v>S2</x:v>
      </x:c>
      <x:c r="O63" s="24" t="str">
        <x:v>Parcial/Alta</x:v>
      </x:c>
      <x:c r="P63" s="24" t="str">
        <x:v>StoreInitial</x:v>
      </x:c>
      <x:c r="Q63" s="24" t="str">
        <x:v>H6 / Vertical Slice</x:v>
      </x:c>
      <x:c r="R63" s="24" t="str">
        <x:v>Ready</x:v>
      </x:c>
      <x:c r="S63" s="24" t="str">
        <x:v>VRM Games</x:v>
      </x:c>
      <x:c r="T63" s="24" t="str">
        <x:v>02_Vertical_Slice_Specification.md</x:v>
      </x:c>
      <x:c r="U63" s="24" t="str">
        <x:v>ECO;regresión;trazable</x:v>
      </x:c>
    </x:row>
    <x:row r="64" ht="48" customHeight="1">
      <x:c r="A64" s="24" t="str">
        <x:v>TC-VS-ECO-003</x:v>
      </x:c>
      <x:c r="B64" s="24" t="str">
        <x:v>Economía</x:v>
      </x:c>
      <x:c r="C64" s="24" t="str">
        <x:v>ECO</x:v>
      </x:c>
      <x:c r="D64" s="24" t="str">
        <x:v>VS-ECO-003</x:v>
      </x:c>
      <x:c r="E64" s="24" t="str">
        <x:v>Pedido rechazado no cambia saldo</x:v>
      </x:c>
      <x:c r="F64" s="24" t="str">
        <x:v>Verificar que se cumple: Pedido rechazado no cambia saldo.</x:v>
      </x:c>
      <x:c r="G64" s="24" t="str">
        <x:v>Baseline válida; estado inicial reproducible; datos de prueba preparados.</x:v>
      </x:c>
      <x:c r="H64" s="24" t="str">
        <x:v>Dataset nominal y, cuando aplique, valores límite o inválidos.</x:v>
      </x:c>
      <x:c r="I64" s="24" t="str">
        <x:v>1. Preparar el estado. 2. Ejecutar la acción o transición. 3. Observar estado, UI y logs. 4. Comparar precondición y postcondición.</x:v>
      </x:c>
      <x:c r="J64" s="24" t="str">
        <x:v>Pedido rechazado no cambia saldo.</x:v>
      </x:c>
      <x:c r="K64" s="24" t="str">
        <x:v>Funcional</x:v>
      </x:c>
      <x:c r="L64" s="24" t="str">
        <x:v>EditMode + Integración</x:v>
      </x:c>
      <x:c r="M64" s="24" t="str">
        <x:v>P1</x:v>
      </x:c>
      <x:c r="N64" s="24" t="str">
        <x:v>S2</x:v>
      </x:c>
      <x:c r="O64" s="24" t="str">
        <x:v>Parcial/Alta</x:v>
      </x:c>
      <x:c r="P64" s="24" t="str">
        <x:v>StoreInitial</x:v>
      </x:c>
      <x:c r="Q64" s="24" t="str">
        <x:v>H6 / Vertical Slice</x:v>
      </x:c>
      <x:c r="R64" s="24" t="str">
        <x:v>Ready</x:v>
      </x:c>
      <x:c r="S64" s="24" t="str">
        <x:v>VRM Games</x:v>
      </x:c>
      <x:c r="T64" s="24" t="str">
        <x:v>02_Vertical_Slice_Specification.md</x:v>
      </x:c>
      <x:c r="U64" s="24" t="str">
        <x:v>ECO;regresión;trazable</x:v>
      </x:c>
    </x:row>
    <x:row r="65" ht="48" customHeight="1">
      <x:c r="A65" s="24" t="str">
        <x:v>TC-VS-ECO-004</x:v>
      </x:c>
      <x:c r="B65" s="24" t="str">
        <x:v>Economía</x:v>
      </x:c>
      <x:c r="C65" s="24" t="str">
        <x:v>ECO</x:v>
      </x:c>
      <x:c r="D65" s="24" t="str">
        <x:v>VS-ECO-004</x:v>
      </x:c>
      <x:c r="E65" s="24" t="str">
        <x:v>Impuesto solo se aplica a beneficio semanal positivo</x:v>
      </x:c>
      <x:c r="F65" s="24" t="str">
        <x:v>Verificar que se cumple: Impuesto solo se aplica a beneficio semanal positivo.</x:v>
      </x:c>
      <x:c r="G65" s="24" t="str">
        <x:v>Baseline válida; estado inicial reproducible; datos de prueba preparados.</x:v>
      </x:c>
      <x:c r="H65" s="24" t="str">
        <x:v>Dataset nominal y, cuando aplique, valores límite o inválidos.</x:v>
      </x:c>
      <x:c r="I65" s="24" t="str">
        <x:v>1. Preparar el estado. 2. Ejecutar la acción o transición. 3. Observar estado, UI y logs. 4. Comparar precondición y postcondición.</x:v>
      </x:c>
      <x:c r="J65" s="24" t="str">
        <x:v>Impuesto solo se aplica a beneficio semanal positivo.</x:v>
      </x:c>
      <x:c r="K65" s="24" t="str">
        <x:v>Funcional</x:v>
      </x:c>
      <x:c r="L65" s="24" t="str">
        <x:v>EditMode + Integración</x:v>
      </x:c>
      <x:c r="M65" s="24" t="str">
        <x:v>P1</x:v>
      </x:c>
      <x:c r="N65" s="24" t="str">
        <x:v>S2</x:v>
      </x:c>
      <x:c r="O65" s="24" t="str">
        <x:v>Parcial/Alta</x:v>
      </x:c>
      <x:c r="P65" s="24" t="str">
        <x:v>StoreInitial</x:v>
      </x:c>
      <x:c r="Q65" s="24" t="str">
        <x:v>H6 / Vertical Slice</x:v>
      </x:c>
      <x:c r="R65" s="24" t="str">
        <x:v>Ready</x:v>
      </x:c>
      <x:c r="S65" s="24" t="str">
        <x:v>VRM Games</x:v>
      </x:c>
      <x:c r="T65" s="24" t="str">
        <x:v>02_Vertical_Slice_Specification.md</x:v>
      </x:c>
      <x:c r="U65" s="24" t="str">
        <x:v>ECO;regresión;trazable</x:v>
      </x:c>
    </x:row>
    <x:row r="66" ht="48" customHeight="1">
      <x:c r="A66" s="24" t="str">
        <x:v>TC-VS-ECO-005</x:v>
      </x:c>
      <x:c r="B66" s="24" t="str">
        <x:v>Economía</x:v>
      </x:c>
      <x:c r="C66" s="24" t="str">
        <x:v>ECO</x:v>
      </x:c>
      <x:c r="D66" s="24" t="str">
        <x:v>VS-ECO-005</x:v>
      </x:c>
      <x:c r="E66" s="24" t="str">
        <x:v>Resumen diario/semanal reconcilia movimientos</x:v>
      </x:c>
      <x:c r="F66" s="24" t="str">
        <x:v>Verificar que se cumple: Resumen diario/semanal reconcilia movimientos.</x:v>
      </x:c>
      <x:c r="G66" s="24" t="str">
        <x:v>Baseline válida; estado inicial reproducible; datos de prueba preparados.</x:v>
      </x:c>
      <x:c r="H66" s="24" t="str">
        <x:v>Dataset nominal y, cuando aplique, valores límite o inválidos.</x:v>
      </x:c>
      <x:c r="I66" s="24" t="str">
        <x:v>1. Preparar el estado. 2. Ejecutar la acción o transición. 3. Observar estado, UI y logs. 4. Comparar precondición y postcondición.</x:v>
      </x:c>
      <x:c r="J66" s="24" t="str">
        <x:v>Resumen diario/semanal reconcilia movimientos.</x:v>
      </x:c>
      <x:c r="K66" s="24" t="str">
        <x:v>Funcional</x:v>
      </x:c>
      <x:c r="L66" s="24" t="str">
        <x:v>EditMode + Integración</x:v>
      </x:c>
      <x:c r="M66" s="24" t="str">
        <x:v>P1</x:v>
      </x:c>
      <x:c r="N66" s="24" t="str">
        <x:v>S2</x:v>
      </x:c>
      <x:c r="O66" s="24" t="str">
        <x:v>Parcial/Alta</x:v>
      </x:c>
      <x:c r="P66" s="24" t="str">
        <x:v>StoreInitial</x:v>
      </x:c>
      <x:c r="Q66" s="24" t="str">
        <x:v>H6 / Vertical Slice</x:v>
      </x:c>
      <x:c r="R66" s="24" t="str">
        <x:v>Ready</x:v>
      </x:c>
      <x:c r="S66" s="24" t="str">
        <x:v>VRM Games</x:v>
      </x:c>
      <x:c r="T66" s="24" t="str">
        <x:v>02_Vertical_Slice_Specification.md</x:v>
      </x:c>
      <x:c r="U66" s="24" t="str">
        <x:v>ECO;regresión;trazable</x:v>
      </x:c>
    </x:row>
    <x:row r="67" ht="48" customHeight="1">
      <x:c r="A67" s="24" t="str">
        <x:v>TC-VS-SAV-001</x:v>
      </x:c>
      <x:c r="B67" s="24" t="str">
        <x:v>Persistencia</x:v>
      </x:c>
      <x:c r="C67" s="24" t="str">
        <x:v>SAV</x:v>
      </x:c>
      <x:c r="D67" s="24" t="str">
        <x:v>VS-SAV-001</x:v>
      </x:c>
      <x:c r="E67" s="24" t="str">
        <x:v>Guardado conserva todos los campos obligatorios</x:v>
      </x:c>
      <x:c r="F67" s="24" t="str">
        <x:v>Verificar que se cumple: Guardado conserva todos los campos obligatorios.</x:v>
      </x:c>
      <x:c r="G67" s="24" t="str">
        <x:v>Baseline válida; estado inicial reproducible; datos de prueba preparados.</x:v>
      </x:c>
      <x:c r="H67" s="24" t="str">
        <x:v>Dataset nominal y, cuando aplique, valores límite o inválidos.</x:v>
      </x:c>
      <x:c r="I67" s="24" t="str">
        <x:v>1. Preparar el estado. 2. Ejecutar la acción o transición. 3. Observar estado, UI y logs. 4. Comparar precondición y postcondición.</x:v>
      </x:c>
      <x:c r="J67" s="24" t="str">
        <x:v>Guardado conserva todos los campos obligatorios.</x:v>
      </x:c>
      <x:c r="K67" s="24" t="str">
        <x:v>Funcional</x:v>
      </x:c>
      <x:c r="L67" s="24" t="str">
        <x:v>EditMode + Integración</x:v>
      </x:c>
      <x:c r="M67" s="24" t="str">
        <x:v>P0</x:v>
      </x:c>
      <x:c r="N67" s="24" t="str">
        <x:v>S1</x:v>
      </x:c>
      <x:c r="O67" s="24" t="str">
        <x:v>Parcial/Alta</x:v>
      </x:c>
      <x:c r="P67" s="24" t="str">
        <x:v>StoreInitial</x:v>
      </x:c>
      <x:c r="Q67" s="24" t="str">
        <x:v>H6 / Vertical Slice</x:v>
      </x:c>
      <x:c r="R67" s="24" t="str">
        <x:v>Ready</x:v>
      </x:c>
      <x:c r="S67" s="24" t="str">
        <x:v>VRM Games</x:v>
      </x:c>
      <x:c r="T67" s="24" t="str">
        <x:v>02_Vertical_Slice_Specification.md</x:v>
      </x:c>
      <x:c r="U67" s="24" t="str">
        <x:v>SAV;regresión;trazable</x:v>
      </x:c>
    </x:row>
    <x:row r="68" ht="48" customHeight="1">
      <x:c r="A68" s="24" t="str">
        <x:v>TC-VS-SAV-002</x:v>
      </x:c>
      <x:c r="B68" s="24" t="str">
        <x:v>Persistencia</x:v>
      </x:c>
      <x:c r="C68" s="24" t="str">
        <x:v>SAV</x:v>
      </x:c>
      <x:c r="D68" s="24" t="str">
        <x:v>VS-SAV-002</x:v>
      </x:c>
      <x:c r="E68" s="24" t="str">
        <x:v>Carga reconstruye un estado equivalente</x:v>
      </x:c>
      <x:c r="F68" s="24" t="str">
        <x:v>Verificar que se cumple: Carga reconstruye un estado equivalente.</x:v>
      </x:c>
      <x:c r="G68" s="24" t="str">
        <x:v>Baseline válida; estado inicial reproducible; datos de prueba preparados.</x:v>
      </x:c>
      <x:c r="H68" s="24" t="str">
        <x:v>Dataset nominal y, cuando aplique, valores límite o inválidos.</x:v>
      </x:c>
      <x:c r="I68" s="24" t="str">
        <x:v>1. Preparar el estado. 2. Ejecutar la acción o transición. 3. Observar estado, UI y logs. 4. Comparar precondición y postcondición.</x:v>
      </x:c>
      <x:c r="J68" s="24" t="str">
        <x:v>Carga reconstruye un estado equivalente.</x:v>
      </x:c>
      <x:c r="K68" s="24" t="str">
        <x:v>Funcional</x:v>
      </x:c>
      <x:c r="L68" s="24" t="str">
        <x:v>EditMode + Integración</x:v>
      </x:c>
      <x:c r="M68" s="24" t="str">
        <x:v>P0</x:v>
      </x:c>
      <x:c r="N68" s="24" t="str">
        <x:v>S1</x:v>
      </x:c>
      <x:c r="O68" s="24" t="str">
        <x:v>Parcial/Alta</x:v>
      </x:c>
      <x:c r="P68" s="24" t="str">
        <x:v>StoreInitial</x:v>
      </x:c>
      <x:c r="Q68" s="24" t="str">
        <x:v>H6 / Vertical Slice</x:v>
      </x:c>
      <x:c r="R68" s="24" t="str">
        <x:v>Ready</x:v>
      </x:c>
      <x:c r="S68" s="24" t="str">
        <x:v>VRM Games</x:v>
      </x:c>
      <x:c r="T68" s="24" t="str">
        <x:v>02_Vertical_Slice_Specification.md</x:v>
      </x:c>
      <x:c r="U68" s="24" t="str">
        <x:v>SAV;regresión;trazable</x:v>
      </x:c>
    </x:row>
    <x:row r="69" ht="48" customHeight="1">
      <x:c r="A69" s="24" t="str">
        <x:v>TC-VS-SAV-003</x:v>
      </x:c>
      <x:c r="B69" s="24" t="str">
        <x:v>Persistencia</x:v>
      </x:c>
      <x:c r="C69" s="24" t="str">
        <x:v>SAV</x:v>
      </x:c>
      <x:c r="D69" s="24" t="str">
        <x:v>VS-SAV-003</x:v>
      </x:c>
      <x:c r="E69" s="24" t="str">
        <x:v>Cargar no duplica pedidos, muebles, stock, clientes o ingresos</x:v>
      </x:c>
      <x:c r="F69" s="24" t="str">
        <x:v>Verificar que se cumple: Cargar no duplica pedidos, muebles, stock, clientes o ingresos.</x:v>
      </x:c>
      <x:c r="G69" s="24" t="str">
        <x:v>Baseline válida; estado inicial reproducible; datos de prueba preparados.</x:v>
      </x:c>
      <x:c r="H69" s="24" t="str">
        <x:v>Dataset nominal y, cuando aplique, valores límite o inválidos.</x:v>
      </x:c>
      <x:c r="I69" s="24" t="str">
        <x:v>1. Preparar el estado. 2. Ejecutar la acción o transición. 3. Observar estado, UI y logs. 4. Comparar precondición y postcondición.</x:v>
      </x:c>
      <x:c r="J69" s="24" t="str">
        <x:v>Cargar no duplica pedidos, muebles, stock, clientes o ingresos.</x:v>
      </x:c>
      <x:c r="K69" s="24" t="str">
        <x:v>Funcional</x:v>
      </x:c>
      <x:c r="L69" s="24" t="str">
        <x:v>EditMode + Integración</x:v>
      </x:c>
      <x:c r="M69" s="24" t="str">
        <x:v>P0</x:v>
      </x:c>
      <x:c r="N69" s="24" t="str">
        <x:v>S1</x:v>
      </x:c>
      <x:c r="O69" s="24" t="str">
        <x:v>Parcial/Alta</x:v>
      </x:c>
      <x:c r="P69" s="24" t="str">
        <x:v>StoreInitial</x:v>
      </x:c>
      <x:c r="Q69" s="24" t="str">
        <x:v>H6 / Vertical Slice</x:v>
      </x:c>
      <x:c r="R69" s="24" t="str">
        <x:v>Ready</x:v>
      </x:c>
      <x:c r="S69" s="24" t="str">
        <x:v>VRM Games</x:v>
      </x:c>
      <x:c r="T69" s="24" t="str">
        <x:v>02_Vertical_Slice_Specification.md</x:v>
      </x:c>
      <x:c r="U69" s="24" t="str">
        <x:v>SAV;regresión;trazable</x:v>
      </x:c>
    </x:row>
    <x:row r="70" ht="48" customHeight="1">
      <x:c r="A70" s="24" t="str">
        <x:v>TC-VS-SAV-004</x:v>
      </x:c>
      <x:c r="B70" s="24" t="str">
        <x:v>Persistencia</x:v>
      </x:c>
      <x:c r="C70" s="24" t="str">
        <x:v>SAV</x:v>
      </x:c>
      <x:c r="D70" s="24" t="str">
        <x:v>VS-SAV-004</x:v>
      </x:c>
      <x:c r="E70" s="24" t="str">
        <x:v>Archivo ausente o corrupto se maneja de forma controlada</x:v>
      </x:c>
      <x:c r="F70" s="24" t="str">
        <x:v>Verificar que se cumple: Archivo ausente o corrupto se maneja de forma controlada.</x:v>
      </x:c>
      <x:c r="G70" s="24" t="str">
        <x:v>Baseline válida; estado inicial reproducible; datos de prueba preparados.</x:v>
      </x:c>
      <x:c r="H70" s="24" t="str">
        <x:v>Dataset nominal y, cuando aplique, valores límite o inválidos.</x:v>
      </x:c>
      <x:c r="I70" s="24" t="str">
        <x:v>1. Preparar el estado. 2. Ejecutar la acción o transición. 3. Observar estado, UI y logs. 4. Comparar precondición y postcondición.</x:v>
      </x:c>
      <x:c r="J70" s="24" t="str">
        <x:v>Archivo ausente o corrupto se maneja de forma controlada.</x:v>
      </x:c>
      <x:c r="K70" s="24" t="str">
        <x:v>Funcional</x:v>
      </x:c>
      <x:c r="L70" s="24" t="str">
        <x:v>EditMode + Integración</x:v>
      </x:c>
      <x:c r="M70" s="24" t="str">
        <x:v>P0</x:v>
      </x:c>
      <x:c r="N70" s="24" t="str">
        <x:v>S1</x:v>
      </x:c>
      <x:c r="O70" s="24" t="str">
        <x:v>Parcial/Alta</x:v>
      </x:c>
      <x:c r="P70" s="24" t="str">
        <x:v>StoreInitial</x:v>
      </x:c>
      <x:c r="Q70" s="24" t="str">
        <x:v>H6 / Vertical Slice</x:v>
      </x:c>
      <x:c r="R70" s="24" t="str">
        <x:v>Ready</x:v>
      </x:c>
      <x:c r="S70" s="24" t="str">
        <x:v>VRM Games</x:v>
      </x:c>
      <x:c r="T70" s="24" t="str">
        <x:v>02_Vertical_Slice_Specification.md</x:v>
      </x:c>
      <x:c r="U70" s="24" t="str">
        <x:v>SAV;regresión;trazable</x:v>
      </x:c>
    </x:row>
    <x:row r="71" ht="48" customHeight="1">
      <x:c r="A71" s="24" t="str">
        <x:v>TC-VS-SAV-005</x:v>
      </x:c>
      <x:c r="B71" s="24" t="str">
        <x:v>Persistencia</x:v>
      </x:c>
      <x:c r="C71" s="24" t="str">
        <x:v>SAV</x:v>
      </x:c>
      <x:c r="D71" s="24" t="str">
        <x:v>VS-SAV-005</x:v>
      </x:c>
      <x:c r="E71" s="24" t="str">
        <x:v>Tres slots son independientes</x:v>
      </x:c>
      <x:c r="F71" s="24" t="str">
        <x:v>Verificar que se cumple: Tres slots son independientes.</x:v>
      </x:c>
      <x:c r="G71" s="24" t="str">
        <x:v>Baseline válida; estado inicial reproducible; datos de prueba preparados.</x:v>
      </x:c>
      <x:c r="H71" s="24" t="str">
        <x:v>Dataset nominal y, cuando aplique, valores límite o inválidos.</x:v>
      </x:c>
      <x:c r="I71" s="24" t="str">
        <x:v>1. Preparar el estado. 2. Ejecutar la acción o transición. 3. Observar estado, UI y logs. 4. Comparar precondición y postcondición.</x:v>
      </x:c>
      <x:c r="J71" s="24" t="str">
        <x:v>Tres slots son independientes.</x:v>
      </x:c>
      <x:c r="K71" s="24" t="str">
        <x:v>Funcional</x:v>
      </x:c>
      <x:c r="L71" s="24" t="str">
        <x:v>EditMode + Integración</x:v>
      </x:c>
      <x:c r="M71" s="24" t="str">
        <x:v>P0</x:v>
      </x:c>
      <x:c r="N71" s="24" t="str">
        <x:v>S1</x:v>
      </x:c>
      <x:c r="O71" s="24" t="str">
        <x:v>Parcial/Alta</x:v>
      </x:c>
      <x:c r="P71" s="24" t="str">
        <x:v>StoreInitial</x:v>
      </x:c>
      <x:c r="Q71" s="24" t="str">
        <x:v>H6 / Vertical Slice</x:v>
      </x:c>
      <x:c r="R71" s="24" t="str">
        <x:v>Ready</x:v>
      </x:c>
      <x:c r="S71" s="24" t="str">
        <x:v>VRM Games</x:v>
      </x:c>
      <x:c r="T71" s="24" t="str">
        <x:v>02_Vertical_Slice_Specification.md</x:v>
      </x:c>
      <x:c r="U71" s="24" t="str">
        <x:v>SAV;regresión;trazable</x:v>
      </x:c>
    </x:row>
    <x:row r="72" ht="48" customHeight="1">
      <x:c r="A72" s="24" t="str">
        <x:v>TC-VS-UI-001</x:v>
      </x:c>
      <x:c r="B72" s="24" t="str">
        <x:v>UI/UX</x:v>
      </x:c>
      <x:c r="C72" s="24" t="str">
        <x:v>UI</x:v>
      </x:c>
      <x:c r="D72" s="24" t="str">
        <x:v>VS-UI-001</x:v>
      </x:c>
      <x:c r="E72" s="24" t="str">
        <x:v>Golden Path puede completarse sin herramientas de debug</x:v>
      </x:c>
      <x:c r="F72" s="24" t="str">
        <x:v>Verificar que se cumple: Golden Path puede completarse sin herramientas de debug.</x:v>
      </x:c>
      <x:c r="G72" s="24" t="str">
        <x:v>Baseline válida; estado inicial reproducible; datos de prueba preparados.</x:v>
      </x:c>
      <x:c r="H72" s="24" t="str">
        <x:v>Dataset nominal y, cuando aplique, valores límite o inválidos.</x:v>
      </x:c>
      <x:c r="I72" s="24" t="str">
        <x:v>1. Preparar el estado. 2. Ejecutar la acción o transición. 3. Observar estado, UI y logs. 4. Comparar precondición y postcondición.</x:v>
      </x:c>
      <x:c r="J72" s="24" t="str">
        <x:v>Golden Path puede completarse sin herramientas de debug.</x:v>
      </x:c>
      <x:c r="K72" s="24" t="str">
        <x:v>Funcional</x:v>
      </x:c>
      <x:c r="L72" s="24" t="str">
        <x:v>PlayMode + Manual</x:v>
      </x:c>
      <x:c r="M72" s="24" t="str">
        <x:v>P2</x:v>
      </x:c>
      <x:c r="N72" s="24" t="str">
        <x:v>S3</x:v>
      </x:c>
      <x:c r="O72" s="24" t="str">
        <x:v>Manual/Parcial</x:v>
      </x:c>
      <x:c r="P72" s="24" t="str">
        <x:v>StoreInitial</x:v>
      </x:c>
      <x:c r="Q72" s="24" t="str">
        <x:v>H6 / Vertical Slice</x:v>
      </x:c>
      <x:c r="R72" s="24" t="str">
        <x:v>Ready</x:v>
      </x:c>
      <x:c r="S72" s="24" t="str">
        <x:v>VRM Games</x:v>
      </x:c>
      <x:c r="T72" s="24" t="str">
        <x:v>02_Vertical_Slice_Specification.md</x:v>
      </x:c>
      <x:c r="U72" s="24" t="str">
        <x:v>UI;regresión;trazable</x:v>
      </x:c>
    </x:row>
    <x:row r="73" ht="48" customHeight="1">
      <x:c r="A73" s="24" t="str">
        <x:v>TC-VS-UI-002</x:v>
      </x:c>
      <x:c r="B73" s="24" t="str">
        <x:v>UI/UX</x:v>
      </x:c>
      <x:c r="C73" s="24" t="str">
        <x:v>UI</x:v>
      </x:c>
      <x:c r="D73" s="24" t="str">
        <x:v>VS-UI-002</x:v>
      </x:c>
      <x:c r="E73" s="24" t="str">
        <x:v>Errores y estados inválidos muestran causa comprensible</x:v>
      </x:c>
      <x:c r="F73" s="24" t="str">
        <x:v>Verificar que se cumple: Errores y estados inválidos muestran causa comprensible.</x:v>
      </x:c>
      <x:c r="G73" s="24" t="str">
        <x:v>Baseline válida; estado inicial reproducible; datos de prueba preparados.</x:v>
      </x:c>
      <x:c r="H73" s="24" t="str">
        <x:v>Dataset nominal y, cuando aplique, valores límite o inválidos.</x:v>
      </x:c>
      <x:c r="I73" s="24" t="str">
        <x:v>1. Preparar el estado. 2. Ejecutar la acción o transición. 3. Observar estado, UI y logs. 4. Comparar precondición y postcondición.</x:v>
      </x:c>
      <x:c r="J73" s="24" t="str">
        <x:v>Errores y estados inválidos muestran causa comprensible.</x:v>
      </x:c>
      <x:c r="K73" s="24" t="str">
        <x:v>Funcional</x:v>
      </x:c>
      <x:c r="L73" s="24" t="str">
        <x:v>PlayMode + Manual</x:v>
      </x:c>
      <x:c r="M73" s="24" t="str">
        <x:v>P2</x:v>
      </x:c>
      <x:c r="N73" s="24" t="str">
        <x:v>S3</x:v>
      </x:c>
      <x:c r="O73" s="24" t="str">
        <x:v>Manual/Parcial</x:v>
      </x:c>
      <x:c r="P73" s="24" t="str">
        <x:v>StoreInitial</x:v>
      </x:c>
      <x:c r="Q73" s="24" t="str">
        <x:v>H6 / Vertical Slice</x:v>
      </x:c>
      <x:c r="R73" s="24" t="str">
        <x:v>Ready</x:v>
      </x:c>
      <x:c r="S73" s="24" t="str">
        <x:v>VRM Games</x:v>
      </x:c>
      <x:c r="T73" s="24" t="str">
        <x:v>02_Vertical_Slice_Specification.md</x:v>
      </x:c>
      <x:c r="U73" s="24" t="str">
        <x:v>UI;regresión;trazable</x:v>
      </x:c>
    </x:row>
    <x:row r="74" ht="48" customHeight="1">
      <x:c r="A74" s="24" t="str">
        <x:v>TC-VS-UI-003</x:v>
      </x:c>
      <x:c r="B74" s="24" t="str">
        <x:v>UI/UX</x:v>
      </x:c>
      <x:c r="C74" s="24" t="str">
        <x:v>UI</x:v>
      </x:c>
      <x:c r="D74" s="24" t="str">
        <x:v>VS-UI-003</x:v>
      </x:c>
      <x:c r="E74" s="24" t="str">
        <x:v>Controles críticos no dependen solo del color</x:v>
      </x:c>
      <x:c r="F74" s="24" t="str">
        <x:v>Verificar que se cumple: Controles críticos no dependen solo del color.</x:v>
      </x:c>
      <x:c r="G74" s="24" t="str">
        <x:v>Baseline válida; estado inicial reproducible; datos de prueba preparados.</x:v>
      </x:c>
      <x:c r="H74" s="24" t="str">
        <x:v>Dataset nominal y, cuando aplique, valores límite o inválidos.</x:v>
      </x:c>
      <x:c r="I74" s="24" t="str">
        <x:v>1. Preparar el estado. 2. Ejecutar la acción o transición. 3. Observar estado, UI y logs. 4. Comparar precondición y postcondición.</x:v>
      </x:c>
      <x:c r="J74" s="24" t="str">
        <x:v>Controles críticos no dependen solo del color.</x:v>
      </x:c>
      <x:c r="K74" s="24" t="str">
        <x:v>Funcional</x:v>
      </x:c>
      <x:c r="L74" s="24" t="str">
        <x:v>PlayMode + Manual</x:v>
      </x:c>
      <x:c r="M74" s="24" t="str">
        <x:v>P2</x:v>
      </x:c>
      <x:c r="N74" s="24" t="str">
        <x:v>S3</x:v>
      </x:c>
      <x:c r="O74" s="24" t="str">
        <x:v>Manual/Parcial</x:v>
      </x:c>
      <x:c r="P74" s="24" t="str">
        <x:v>StoreInitial</x:v>
      </x:c>
      <x:c r="Q74" s="24" t="str">
        <x:v>H6 / Vertical Slice</x:v>
      </x:c>
      <x:c r="R74" s="24" t="str">
        <x:v>Ready</x:v>
      </x:c>
      <x:c r="S74" s="24" t="str">
        <x:v>VRM Games</x:v>
      </x:c>
      <x:c r="T74" s="24" t="str">
        <x:v>02_Vertical_Slice_Specification.md</x:v>
      </x:c>
      <x:c r="U74" s="24" t="str">
        <x:v>UI;regresión;trazable</x:v>
      </x:c>
    </x:row>
    <x:row r="75" ht="48" customHeight="1">
      <x:c r="A75" s="24" t="str">
        <x:v>TC-VS-UI-004</x:v>
      </x:c>
      <x:c r="B75" s="24" t="str">
        <x:v>UI/UX</x:v>
      </x:c>
      <x:c r="C75" s="24" t="str">
        <x:v>UI</x:v>
      </x:c>
      <x:c r="D75" s="24" t="str">
        <x:v>VS-UI-004</x:v>
      </x:c>
      <x:c r="E75" s="24" t="str">
        <x:v>Textos incluidos están preparados para ES/EN sin desbordes bloqueantes</x:v>
      </x:c>
      <x:c r="F75" s="24" t="str">
        <x:v>Verificar que se cumple: Textos incluidos están preparados para ES/EN sin desbordes bloqueantes.</x:v>
      </x:c>
      <x:c r="G75" s="24" t="str">
        <x:v>Baseline válida; estado inicial reproducible; datos de prueba preparados.</x:v>
      </x:c>
      <x:c r="H75" s="24" t="str">
        <x:v>Dataset nominal y, cuando aplique, valores límite o inválidos.</x:v>
      </x:c>
      <x:c r="I75" s="24" t="str">
        <x:v>1. Preparar el estado. 2. Ejecutar la acción o transición. 3. Observar estado, UI y logs. 4. Comparar precondición y postcondición.</x:v>
      </x:c>
      <x:c r="J75" s="24" t="str">
        <x:v>Textos incluidos están preparados para ES/EN sin desbordes bloqueantes.</x:v>
      </x:c>
      <x:c r="K75" s="24" t="str">
        <x:v>Funcional</x:v>
      </x:c>
      <x:c r="L75" s="24" t="str">
        <x:v>PlayMode + Manual</x:v>
      </x:c>
      <x:c r="M75" s="24" t="str">
        <x:v>P0</x:v>
      </x:c>
      <x:c r="N75" s="24" t="str">
        <x:v>S1</x:v>
      </x:c>
      <x:c r="O75" s="24" t="str">
        <x:v>Manual/Parcial</x:v>
      </x:c>
      <x:c r="P75" s="24" t="str">
        <x:v>StoreInitial</x:v>
      </x:c>
      <x:c r="Q75" s="24" t="str">
        <x:v>H6 / Vertical Slice</x:v>
      </x:c>
      <x:c r="R75" s="24" t="str">
        <x:v>Ready</x:v>
      </x:c>
      <x:c r="S75" s="24" t="str">
        <x:v>VRM Games</x:v>
      </x:c>
      <x:c r="T75" s="24" t="str">
        <x:v>02_Vertical_Slice_Specification.md</x:v>
      </x:c>
      <x:c r="U75" s="24" t="str">
        <x:v>UI;regresión;trazable</x:v>
      </x:c>
    </x:row>
    <x:row r="76" ht="48" customHeight="1">
      <x:c r="A76" s="24" t="str">
        <x:v>TC-VS-ART-001</x:v>
      </x:c>
      <x:c r="B76" s="24" t="str">
        <x:v>Arte y representación</x:v>
      </x:c>
      <x:c r="C76" s="24" t="str">
        <x:v>ART</x:v>
      </x:c>
      <x:c r="D76" s="24" t="str">
        <x:v>VS-ART-001</x:v>
      </x:c>
      <x:c r="E76" s="24" t="str">
        <x:v>Escena cumple layout, escala y silueta aprobados</x:v>
      </x:c>
      <x:c r="F76" s="24" t="str">
        <x:v>Verificar que se cumple: Escena cumple layout, escala y silueta aprobados.</x:v>
      </x:c>
      <x:c r="G76" s="24" t="str">
        <x:v>Baseline válida; estado inicial reproducible; datos de prueba preparados.</x:v>
      </x:c>
      <x:c r="H76" s="24" t="str">
        <x:v>Dataset nominal y, cuando aplique, valores límite o inválidos.</x:v>
      </x:c>
      <x:c r="I76" s="24" t="str">
        <x:v>1. Preparar el estado. 2. Ejecutar la acción o transición. 3. Observar estado, UI y logs. 4. Comparar precondición y postcondición.</x:v>
      </x:c>
      <x:c r="J76" s="24" t="str">
        <x:v>Escena cumple layout, escala y silueta aprobados.</x:v>
      </x:c>
      <x:c r="K76" s="24" t="str">
        <x:v>Funcional</x:v>
      </x:c>
      <x:c r="L76" s="24" t="str">
        <x:v>PlayMode + Manual</x:v>
      </x:c>
      <x:c r="M76" s="24" t="str">
        <x:v>P2</x:v>
      </x:c>
      <x:c r="N76" s="24" t="str">
        <x:v>S3</x:v>
      </x:c>
      <x:c r="O76" s="24" t="str">
        <x:v>Manual/Parcial</x:v>
      </x:c>
      <x:c r="P76" s="24" t="str">
        <x:v>StoreInitial</x:v>
      </x:c>
      <x:c r="Q76" s="24" t="str">
        <x:v>H6 / Vertical Slice</x:v>
      </x:c>
      <x:c r="R76" s="24" t="str">
        <x:v>Ready</x:v>
      </x:c>
      <x:c r="S76" s="24" t="str">
        <x:v>VRM Games</x:v>
      </x:c>
      <x:c r="T76" s="24" t="str">
        <x:v>02_Vertical_Slice_Specification.md</x:v>
      </x:c>
      <x:c r="U76" s="24" t="str">
        <x:v>ART;regresión;trazable</x:v>
      </x:c>
    </x:row>
    <x:row r="77" ht="48" customHeight="1">
      <x:c r="A77" s="24" t="str">
        <x:v>TC-VS-ART-002</x:v>
      </x:c>
      <x:c r="B77" s="24" t="str">
        <x:v>Arte y representación</x:v>
      </x:c>
      <x:c r="C77" s="24" t="str">
        <x:v>ART</x:v>
      </x:c>
      <x:c r="D77" s="24" t="str">
        <x:v>VS-ART-002</x:v>
      </x:c>
      <x:c r="E77" s="24" t="str">
        <x:v>Iluminación permite leer zonas, productos, clientes y cola</x:v>
      </x:c>
      <x:c r="F77" s="24" t="str">
        <x:v>Verificar que se cumple: Iluminación permite leer zonas, productos, clientes y cola.</x:v>
      </x:c>
      <x:c r="G77" s="24" t="str">
        <x:v>Baseline válida; estado inicial reproducible; datos de prueba preparados.</x:v>
      </x:c>
      <x:c r="H77" s="24" t="str">
        <x:v>Dataset nominal y, cuando aplique, valores límite o inválidos.</x:v>
      </x:c>
      <x:c r="I77" s="24" t="str">
        <x:v>1. Preparar el estado. 2. Ejecutar la acción o transición. 3. Observar estado, UI y logs. 4. Comparar precondición y postcondición.</x:v>
      </x:c>
      <x:c r="J77" s="24" t="str">
        <x:v>Iluminación permite leer zonas, productos, clientes y cola.</x:v>
      </x:c>
      <x:c r="K77" s="24" t="str">
        <x:v>Funcional</x:v>
      </x:c>
      <x:c r="L77" s="24" t="str">
        <x:v>PlayMode + Manual</x:v>
      </x:c>
      <x:c r="M77" s="24" t="str">
        <x:v>P2</x:v>
      </x:c>
      <x:c r="N77" s="24" t="str">
        <x:v>S3</x:v>
      </x:c>
      <x:c r="O77" s="24" t="str">
        <x:v>Manual/Parcial</x:v>
      </x:c>
      <x:c r="P77" s="24" t="str">
        <x:v>StoreInitial</x:v>
      </x:c>
      <x:c r="Q77" s="24" t="str">
        <x:v>H6 / Vertical Slice</x:v>
      </x:c>
      <x:c r="R77" s="24" t="str">
        <x:v>Ready</x:v>
      </x:c>
      <x:c r="S77" s="24" t="str">
        <x:v>VRM Games</x:v>
      </x:c>
      <x:c r="T77" s="24" t="str">
        <x:v>02_Vertical_Slice_Specification.md</x:v>
      </x:c>
      <x:c r="U77" s="24" t="str">
        <x:v>ART;regresión;trazable</x:v>
      </x:c>
    </x:row>
    <x:row r="78" ht="48" customHeight="1">
      <x:c r="A78" s="24" t="str">
        <x:v>TC-VS-AUD-001</x:v>
      </x:c>
      <x:c r="B78" s="24" t="str">
        <x:v>Audio</x:v>
      </x:c>
      <x:c r="C78" s="24" t="str">
        <x:v>AUD</x:v>
      </x:c>
      <x:c r="D78" s="24" t="str">
        <x:v>VS-AUD-001</x:v>
      </x:c>
      <x:c r="E78" s="24" t="str">
        <x:v>Acciones críticas incluidas tienen feedback sonoro o alternativa aprobada</x:v>
      </x:c>
      <x:c r="F78" s="24" t="str">
        <x:v>Verificar que se cumple: Acciones críticas incluidas tienen feedback sonoro o alternativa aprobada.</x:v>
      </x:c>
      <x:c r="G78" s="24" t="str">
        <x:v>Baseline válida; estado inicial reproducible; datos de prueba preparados.</x:v>
      </x:c>
      <x:c r="H78" s="24" t="str">
        <x:v>Dataset nominal y, cuando aplique, valores límite o inválidos.</x:v>
      </x:c>
      <x:c r="I78" s="24" t="str">
        <x:v>1. Preparar el estado. 2. Ejecutar la acción o transición. 3. Observar estado, UI y logs. 4. Comparar precondición y postcondición.</x:v>
      </x:c>
      <x:c r="J78" s="24" t="str">
        <x:v>Acciones críticas incluidas tienen feedback sonoro o alternativa aprobada.</x:v>
      </x:c>
      <x:c r="K78" s="24" t="str">
        <x:v>Funcional</x:v>
      </x:c>
      <x:c r="L78" s="24" t="str">
        <x:v>PlayMode + Manual</x:v>
      </x:c>
      <x:c r="M78" s="24" t="str">
        <x:v>P2</x:v>
      </x:c>
      <x:c r="N78" s="24" t="str">
        <x:v>S3</x:v>
      </x:c>
      <x:c r="O78" s="24" t="str">
        <x:v>Manual/Parcial</x:v>
      </x:c>
      <x:c r="P78" s="24" t="str">
        <x:v>StoreInitial</x:v>
      </x:c>
      <x:c r="Q78" s="24" t="str">
        <x:v>H6 / Vertical Slice</x:v>
      </x:c>
      <x:c r="R78" s="24" t="str">
        <x:v>Ready</x:v>
      </x:c>
      <x:c r="S78" s="24" t="str">
        <x:v>VRM Games</x:v>
      </x:c>
      <x:c r="T78" s="24" t="str">
        <x:v>02_Vertical_Slice_Specification.md</x:v>
      </x:c>
      <x:c r="U78" s="24" t="str">
        <x:v>AUD;regresión;trazable</x:v>
      </x:c>
    </x:row>
    <x:row r="79" ht="48" customHeight="1">
      <x:c r="A79" s="24" t="str">
        <x:v>TC-VS-PER-001</x:v>
      </x:c>
      <x:c r="B79" s="24" t="str">
        <x:v>Rendimiento</x:v>
      </x:c>
      <x:c r="C79" s="24" t="str">
        <x:v>PER</x:v>
      </x:c>
      <x:c r="D79" s="24" t="str">
        <x:v>VS-PER-001</x:v>
      </x:c>
      <x:c r="E79" s="24" t="str">
        <x:v>Prueba objetivo registra 60 FPS/1080p o desviación justificada en perfil documentado</x:v>
      </x:c>
      <x:c r="F79" s="24" t="str">
        <x:v>Verificar que se cumple: Prueba objetivo registra 60 FPS/1080p o desviación justificada en perfil documentado.</x:v>
      </x:c>
      <x:c r="G79" s="24" t="str">
        <x:v>Baseline válida; estado inicial reproducible; datos de prueba preparados.</x:v>
      </x:c>
      <x:c r="H79" s="24" t="str">
        <x:v>Dataset nominal y, cuando aplique, valores límite o inválidos.</x:v>
      </x:c>
      <x:c r="I79" s="24" t="str">
        <x:v>1. Preparar el estado. 2. Ejecutar la acción o transición. 3. Observar estado, UI y logs. 4. Comparar precondición y postcondición.</x:v>
      </x:c>
      <x:c r="J79" s="24" t="str">
        <x:v>Prueba objetivo registra 60 FPS/1080p o desviación justificada en perfil documentado.</x:v>
      </x:c>
      <x:c r="K79" s="24" t="str">
        <x:v>Funcional</x:v>
      </x:c>
      <x:c r="L79" s="24" t="str">
        <x:v>Build + Manual</x:v>
      </x:c>
      <x:c r="M79" s="24" t="str">
        <x:v>P2</x:v>
      </x:c>
      <x:c r="N79" s="24" t="str">
        <x:v>S3</x:v>
      </x:c>
      <x:c r="O79" s="24" t="str">
        <x:v>Manual/Parcial</x:v>
      </x:c>
      <x:c r="P79" s="24" t="str">
        <x:v>StoreInitial</x:v>
      </x:c>
      <x:c r="Q79" s="24" t="str">
        <x:v>H6 / Vertical Slice</x:v>
      </x:c>
      <x:c r="R79" s="24" t="str">
        <x:v>Ready</x:v>
      </x:c>
      <x:c r="S79" s="24" t="str">
        <x:v>VRM Games</x:v>
      </x:c>
      <x:c r="T79" s="24" t="str">
        <x:v>02_Vertical_Slice_Specification.md</x:v>
      </x:c>
      <x:c r="U79" s="24" t="str">
        <x:v>PER;regresión;trazable</x:v>
      </x:c>
    </x:row>
    <x:row r="80" ht="48" customHeight="1">
      <x:c r="A80" s="24" t="str">
        <x:v>TC-VS-PER-002</x:v>
      </x:c>
      <x:c r="B80" s="24" t="str">
        <x:v>Rendimiento</x:v>
      </x:c>
      <x:c r="C80" s="24" t="str">
        <x:v>PER</x:v>
      </x:c>
      <x:c r="D80" s="24" t="str">
        <x:v>VS-PER-002</x:v>
      </x:c>
      <x:c r="E80" s="24" t="str">
        <x:v>No existe degradación acumulativa grave durante la sesión extensa</x:v>
      </x:c>
      <x:c r="F80" s="24" t="str">
        <x:v>Verificar que se cumple: No existe degradación acumulativa grave durante la sesión extensa.</x:v>
      </x:c>
      <x:c r="G80" s="24" t="str">
        <x:v>Baseline válida; estado inicial reproducible; datos de prueba preparados.</x:v>
      </x:c>
      <x:c r="H80" s="24" t="str">
        <x:v>Dataset nominal y, cuando aplique, valores límite o inválidos.</x:v>
      </x:c>
      <x:c r="I80" s="24" t="str">
        <x:v>1. Preparar el estado. 2. Ejecutar la acción o transición. 3. Observar estado, UI y logs. 4. Comparar precondición y postcondición.</x:v>
      </x:c>
      <x:c r="J80" s="24" t="str">
        <x:v>No existe degradación acumulativa grave durante la sesión extensa.</x:v>
      </x:c>
      <x:c r="K80" s="24" t="str">
        <x:v>Funcional</x:v>
      </x:c>
      <x:c r="L80" s="24" t="str">
        <x:v>Build + Manual</x:v>
      </x:c>
      <x:c r="M80" s="24" t="str">
        <x:v>P2</x:v>
      </x:c>
      <x:c r="N80" s="24" t="str">
        <x:v>S3</x:v>
      </x:c>
      <x:c r="O80" s="24" t="str">
        <x:v>Manual/Parcial</x:v>
      </x:c>
      <x:c r="P80" s="24" t="str">
        <x:v>StoreInitial</x:v>
      </x:c>
      <x:c r="Q80" s="24" t="str">
        <x:v>H6 / Vertical Slice</x:v>
      </x:c>
      <x:c r="R80" s="24" t="str">
        <x:v>Ready</x:v>
      </x:c>
      <x:c r="S80" s="24" t="str">
        <x:v>VRM Games</x:v>
      </x:c>
      <x:c r="T80" s="24" t="str">
        <x:v>02_Vertical_Slice_Specification.md</x:v>
      </x:c>
      <x:c r="U80" s="24" t="str">
        <x:v>PER;regresión;trazable</x:v>
      </x:c>
    </x:row>
    <x:row r="81" ht="48" customHeight="1">
      <x:c r="A81" s="24" t="str">
        <x:v>TC-VS-QA-001</x:v>
      </x:c>
      <x:c r="B81" s="24" t="str">
        <x:v>QA</x:v>
      </x:c>
      <x:c r="C81" s="24" t="str">
        <x:v>QA</x:v>
      </x:c>
      <x:c r="D81" s="24" t="str">
        <x:v>VS-QA-001</x:v>
      </x:c>
      <x:c r="E81" s="24" t="str">
        <x:v>Suite automatizada completa permanece verde</x:v>
      </x:c>
      <x:c r="F81" s="24" t="str">
        <x:v>Verificar que se cumple: Suite automatizada completa permanece verde.</x:v>
      </x:c>
      <x:c r="G81" s="24" t="str">
        <x:v>Baseline válida; estado inicial reproducible; datos de prueba preparados.</x:v>
      </x:c>
      <x:c r="H81" s="24" t="str">
        <x:v>Dataset nominal y, cuando aplique, valores límite o inválidos.</x:v>
      </x:c>
      <x:c r="I81" s="24" t="str">
        <x:v>1. Preparar el estado. 2. Ejecutar la acción o transición. 3. Observar estado, UI y logs. 4. Comparar precondición y postcondición.</x:v>
      </x:c>
      <x:c r="J81" s="24" t="str">
        <x:v>Suite automatizada completa permanece verde.</x:v>
      </x:c>
      <x:c r="K81" s="24" t="str">
        <x:v>Funcional</x:v>
      </x:c>
      <x:c r="L81" s="24" t="str">
        <x:v>Revisión</x:v>
      </x:c>
      <x:c r="M81" s="24" t="str">
        <x:v>P0</x:v>
      </x:c>
      <x:c r="N81" s="24" t="str">
        <x:v>S1</x:v>
      </x:c>
      <x:c r="O81" s="24" t="str">
        <x:v>Parcial</x:v>
      </x:c>
      <x:c r="P81" s="24" t="str">
        <x:v>Bootstrap/MainMenu/StoreInitial</x:v>
      </x:c>
      <x:c r="Q81" s="24" t="str">
        <x:v>H6 / Vertical Slice</x:v>
      </x:c>
      <x:c r="R81" s="24" t="str">
        <x:v>Ready</x:v>
      </x:c>
      <x:c r="S81" s="24" t="str">
        <x:v>VRM Games</x:v>
      </x:c>
      <x:c r="T81" s="24" t="str">
        <x:v>02_Vertical_Slice_Specification.md</x:v>
      </x:c>
      <x:c r="U81" s="24" t="str">
        <x:v>QA;regresión;trazable</x:v>
      </x:c>
    </x:row>
    <x:row r="82" ht="48" customHeight="1">
      <x:c r="A82" s="24" t="str">
        <x:v>TC-VS-QA-002</x:v>
      </x:c>
      <x:c r="B82" s="24" t="str">
        <x:v>QA</x:v>
      </x:c>
      <x:c r="C82" s="24" t="str">
        <x:v>QA</x:v>
      </x:c>
      <x:c r="D82" s="24" t="str">
        <x:v>VS-QA-002</x:v>
      </x:c>
      <x:c r="E82" s="24" t="str">
        <x:v>Golden Path manual obtiene PASS reproducible</x:v>
      </x:c>
      <x:c r="F82" s="24" t="str">
        <x:v>Verificar que se cumple: Golden Path manual obtiene PASS reproducible.</x:v>
      </x:c>
      <x:c r="G82" s="24" t="str">
        <x:v>Baseline válida; estado inicial reproducible; datos de prueba preparados.</x:v>
      </x:c>
      <x:c r="H82" s="24" t="str">
        <x:v>Dataset nominal y, cuando aplique, valores límite o inválidos.</x:v>
      </x:c>
      <x:c r="I82" s="24" t="str">
        <x:v>1. Preparar el estado. 2. Ejecutar la acción o transición. 3. Observar estado, UI y logs. 4. Comparar precondición y postcondición.</x:v>
      </x:c>
      <x:c r="J82" s="24" t="str">
        <x:v>Golden Path manual obtiene PASS reproducible.</x:v>
      </x:c>
      <x:c r="K82" s="24" t="str">
        <x:v>Funcional</x:v>
      </x:c>
      <x:c r="L82" s="24" t="str">
        <x:v>Revisión</x:v>
      </x:c>
      <x:c r="M82" s="24" t="str">
        <x:v>P0</x:v>
      </x:c>
      <x:c r="N82" s="24" t="str">
        <x:v>S1</x:v>
      </x:c>
      <x:c r="O82" s="24" t="str">
        <x:v>Parcial</x:v>
      </x:c>
      <x:c r="P82" s="24" t="str">
        <x:v>Bootstrap/MainMenu/StoreInitial</x:v>
      </x:c>
      <x:c r="Q82" s="24" t="str">
        <x:v>H6 / Vertical Slice</x:v>
      </x:c>
      <x:c r="R82" s="24" t="str">
        <x:v>Ready</x:v>
      </x:c>
      <x:c r="S82" s="24" t="str">
        <x:v>VRM Games</x:v>
      </x:c>
      <x:c r="T82" s="24" t="str">
        <x:v>02_Vertical_Slice_Specification.md</x:v>
      </x:c>
      <x:c r="U82" s="24" t="str">
        <x:v>QA;regresión;trazable</x:v>
      </x:c>
    </x:row>
    <x:row r="83" ht="48" customHeight="1">
      <x:c r="A83" s="24" t="str">
        <x:v>TC-VS-BUILD-001</x:v>
      </x:c>
      <x:c r="B83" s="24" t="str">
        <x:v>Build</x:v>
      </x:c>
      <x:c r="C83" s="24" t="str">
        <x:v>BUILD</x:v>
      </x:c>
      <x:c r="D83" s="24" t="str">
        <x:v>VS-BUILD-001</x:v>
      </x:c>
      <x:c r="E83" s="24" t="str">
        <x:v>Windows x64 Development Build se genera sin error</x:v>
      </x:c>
      <x:c r="F83" s="24" t="str">
        <x:v>Verificar que se cumple: Windows x64 Development Build se genera sin error.</x:v>
      </x:c>
      <x:c r="G83" s="24" t="str">
        <x:v>Baseline válida; estado inicial reproducible; datos de prueba preparados.</x:v>
      </x:c>
      <x:c r="H83" s="24" t="str">
        <x:v>Dataset nominal y, cuando aplique, valores límite o inválidos.</x:v>
      </x:c>
      <x:c r="I83" s="24" t="str">
        <x:v>1. Preparar el estado. 2. Ejecutar la acción o transición. 3. Observar estado, UI y logs. 4. Comparar precondición y postcondición.</x:v>
      </x:c>
      <x:c r="J83" s="24" t="str">
        <x:v>Windows x64 Development Build se genera sin error.</x:v>
      </x:c>
      <x:c r="K83" s="24" t="str">
        <x:v>Funcional</x:v>
      </x:c>
      <x:c r="L83" s="24" t="str">
        <x:v>Build + Manual</x:v>
      </x:c>
      <x:c r="M83" s="24" t="str">
        <x:v>P0</x:v>
      </x:c>
      <x:c r="N83" s="24" t="str">
        <x:v>S1</x:v>
      </x:c>
      <x:c r="O83" s="24" t="str">
        <x:v>Manual/Parcial</x:v>
      </x:c>
      <x:c r="P83" s="24" t="str">
        <x:v>Bootstrap/MainMenu/StoreInitial</x:v>
      </x:c>
      <x:c r="Q83" s="24" t="str">
        <x:v>H6 / Vertical Slice</x:v>
      </x:c>
      <x:c r="R83" s="24" t="str">
        <x:v>Ready</x:v>
      </x:c>
      <x:c r="S83" s="24" t="str">
        <x:v>VRM Games</x:v>
      </x:c>
      <x:c r="T83" s="24" t="str">
        <x:v>02_Vertical_Slice_Specification.md</x:v>
      </x:c>
      <x:c r="U83" s="24" t="str">
        <x:v>BUILD;regresión;trazable</x:v>
      </x:c>
    </x:row>
    <x:row r="84" ht="48" customHeight="1">
      <x:c r="A84" s="24" t="str">
        <x:v>TC-VS-BUILD-002</x:v>
      </x:c>
      <x:c r="B84" s="24" t="str">
        <x:v>Build</x:v>
      </x:c>
      <x:c r="C84" s="24" t="str">
        <x:v>BUILD</x:v>
      </x:c>
      <x:c r="D84" s="24" t="str">
        <x:v>VS-BUILD-002</x:v>
      </x:c>
      <x:c r="E84" s="24" t="str">
        <x:v>Ejecutable arranca y completa Golden Path fuera del Editor</x:v>
      </x:c>
      <x:c r="F84" s="24" t="str">
        <x:v>Verificar que se cumple: Ejecutable arranca y completa Golden Path fuera del Editor.</x:v>
      </x:c>
      <x:c r="G84" s="24" t="str">
        <x:v>Baseline válida; estado inicial reproducible; datos de prueba preparados.</x:v>
      </x:c>
      <x:c r="H84" s="24" t="str">
        <x:v>Dataset nominal y, cuando aplique, valores límite o inválidos.</x:v>
      </x:c>
      <x:c r="I84" s="24" t="str">
        <x:v>1. Preparar el estado. 2. Ejecutar la acción o transición. 3. Observar estado, UI y logs. 4. Comparar precondición y postcondición.</x:v>
      </x:c>
      <x:c r="J84" s="24" t="str">
        <x:v>Ejecutable arranca y completa Golden Path fuera del Editor.</x:v>
      </x:c>
      <x:c r="K84" s="24" t="str">
        <x:v>Funcional</x:v>
      </x:c>
      <x:c r="L84" s="24" t="str">
        <x:v>Build + Manual</x:v>
      </x:c>
      <x:c r="M84" s="24" t="str">
        <x:v>P0</x:v>
      </x:c>
      <x:c r="N84" s="24" t="str">
        <x:v>S1</x:v>
      </x:c>
      <x:c r="O84" s="24" t="str">
        <x:v>Manual/Parcial</x:v>
      </x:c>
      <x:c r="P84" s="24" t="str">
        <x:v>Bootstrap/MainMenu/StoreInitial</x:v>
      </x:c>
      <x:c r="Q84" s="24" t="str">
        <x:v>H6 / Vertical Slice</x:v>
      </x:c>
      <x:c r="R84" s="24" t="str">
        <x:v>Ready</x:v>
      </x:c>
      <x:c r="S84" s="24" t="str">
        <x:v>VRM Games</x:v>
      </x:c>
      <x:c r="T84" s="24" t="str">
        <x:v>02_Vertical_Slice_Specification.md</x:v>
      </x:c>
      <x:c r="U84" s="24" t="str">
        <x:v>BUILD;regresión;trazable</x:v>
      </x:c>
    </x:row>
    <x:row r="85" ht="48" customHeight="1">
      <x:c r="A85" s="24" t="str">
        <x:v>TC-VS-BUILD-003</x:v>
      </x:c>
      <x:c r="B85" s="24" t="str">
        <x:v>Build</x:v>
      </x:c>
      <x:c r="C85" s="24" t="str">
        <x:v>BUILD</x:v>
      </x:c>
      <x:c r="D85" s="24" t="str">
        <x:v>VS-BUILD-003</x:v>
      </x:c>
      <x:c r="E85" s="24" t="str">
        <x:v>`Player.log` no contiene errores bloqueantes o recurrentes</x:v>
      </x:c>
      <x:c r="F85" s="24" t="str">
        <x:v>Verificar que se cumple: `Player.log` no contiene errores bloqueantes o recurrentes.</x:v>
      </x:c>
      <x:c r="G85" s="24" t="str">
        <x:v>Baseline válida; estado inicial reproducible; datos de prueba preparados.</x:v>
      </x:c>
      <x:c r="H85" s="24" t="str">
        <x:v>Dataset nominal y, cuando aplique, valores límite o inválidos.</x:v>
      </x:c>
      <x:c r="I85" s="24" t="str">
        <x:v>1. Preparar el estado. 2. Ejecutar la acción o transición. 3. Observar estado, UI y logs. 4. Comparar precondición y postcondición.</x:v>
      </x:c>
      <x:c r="J85" s="24" t="str">
        <x:v>`Player.log` no contiene errores bloqueantes o recurrentes.</x:v>
      </x:c>
      <x:c r="K85" s="24" t="str">
        <x:v>Funcional</x:v>
      </x:c>
      <x:c r="L85" s="24" t="str">
        <x:v>Build + Manual</x:v>
      </x:c>
      <x:c r="M85" s="24" t="str">
        <x:v>P0</x:v>
      </x:c>
      <x:c r="N85" s="24" t="str">
        <x:v>S1</x:v>
      </x:c>
      <x:c r="O85" s="24" t="str">
        <x:v>Manual/Parcial</x:v>
      </x:c>
      <x:c r="P85" s="24" t="str">
        <x:v>Bootstrap/MainMenu/StoreInitial</x:v>
      </x:c>
      <x:c r="Q85" s="24" t="str">
        <x:v>H6 / Vertical Slice</x:v>
      </x:c>
      <x:c r="R85" s="24" t="str">
        <x:v>Ready</x:v>
      </x:c>
      <x:c r="S85" s="24" t="str">
        <x:v>VRM Games</x:v>
      </x:c>
      <x:c r="T85" s="24" t="str">
        <x:v>02_Vertical_Slice_Specification.md</x:v>
      </x:c>
      <x:c r="U85" s="24" t="str">
        <x:v>BUILD;regresión;trazable</x:v>
      </x:c>
    </x:row>
    <x:row r="86" ht="48" customHeight="1">
      <x:c r="A86" s="24" t="str">
        <x:v>TC-VS-DOC-001</x:v>
      </x:c>
      <x:c r="B86" s="24" t="str">
        <x:v>Documentación</x:v>
      </x:c>
      <x:c r="C86" s="24" t="str">
        <x:v>DOC</x:v>
      </x:c>
      <x:c r="D86" s="24" t="str">
        <x:v>VS-DOC-001</x:v>
      </x:c>
      <x:c r="E86" s="24" t="str">
        <x:v>Resultados, defectos, excepciones y decisiones están trazados</x:v>
      </x:c>
      <x:c r="F86" s="24" t="str">
        <x:v>Verificar que se cumple: Resultados, defectos, excepciones y decisiones están trazados.</x:v>
      </x:c>
      <x:c r="G86" s="24" t="str">
        <x:v>Baseline válida; estado inicial reproducible; datos de prueba preparados.</x:v>
      </x:c>
      <x:c r="H86" s="24" t="str">
        <x:v>Dataset nominal y, cuando aplique, valores límite o inválidos.</x:v>
      </x:c>
      <x:c r="I86" s="24" t="str">
        <x:v>1. Preparar el estado. 2. Ejecutar la acción o transición. 3. Observar estado, UI y logs. 4. Comparar precondición y postcondición.</x:v>
      </x:c>
      <x:c r="J86" s="24" t="str">
        <x:v>Resultados, defectos, excepciones y decisiones están trazados.</x:v>
      </x:c>
      <x:c r="K86" s="24" t="str">
        <x:v>Funcional</x:v>
      </x:c>
      <x:c r="L86" s="24" t="str">
        <x:v>Revisión</x:v>
      </x:c>
      <x:c r="M86" s="24" t="str">
        <x:v>P2</x:v>
      </x:c>
      <x:c r="N86" s="24" t="str">
        <x:v>S3</x:v>
      </x:c>
      <x:c r="O86" s="24" t="str">
        <x:v>Parcial</x:v>
      </x:c>
      <x:c r="P86" s="24" t="str">
        <x:v>Bootstrap/MainMenu/StoreInitial</x:v>
      </x:c>
      <x:c r="Q86" s="24" t="str">
        <x:v>H6 / Vertical Slice</x:v>
      </x:c>
      <x:c r="R86" s="24" t="str">
        <x:v>Ready</x:v>
      </x:c>
      <x:c r="S86" s="24" t="str">
        <x:v>VRM Games</x:v>
      </x:c>
      <x:c r="T86" s="24" t="str">
        <x:v>02_Vertical_Slice_Specification.md</x:v>
      </x:c>
      <x:c r="U86" s="24" t="str">
        <x:v>DOC;regresión;trazable</x:v>
      </x:c>
    </x:row>
    <x:row r="87" ht="48" customHeight="1">
      <x:c r="A87" s="24" t="str">
        <x:v>TC-UX-BOOT-001</x:v>
      </x:c>
      <x:c r="B87" s="24" t="str">
        <x:v>Bootstrap y escenas</x:v>
      </x:c>
      <x:c r="C87" s="24" t="str">
        <x:v>BOOT</x:v>
      </x:c>
      <x:c r="D87" s="24" t="str">
        <x:v>UX-BOOT-001</x:v>
      </x:c>
      <x:c r="E87" s="24" t="str">
        <x:v>La aplicación entra por Bootstrap</x:v>
      </x:c>
      <x:c r="F87" s="24" t="str">
        <x:v>Verificar que se cumple: La aplicación entra por Bootstrap.</x:v>
      </x:c>
      <x:c r="G87" s="24" t="str">
        <x:v>Baseline válida; estado inicial reproducible; datos de prueba preparados.</x:v>
      </x:c>
      <x:c r="H87" s="24" t="str">
        <x:v>Dataset nominal y, cuando aplique, valores límite o inválidos.</x:v>
      </x:c>
      <x:c r="I87" s="24" t="str">
        <x:v>1. Preparar el estado. 2. Ejecutar la acción o transición. 3. Observar estado, UI y logs. 4. Comparar precondición y postcondición.</x:v>
      </x:c>
      <x:c r="J87" s="24" t="str">
        <x:v>La aplicación entra por Bootstrap.</x:v>
      </x:c>
      <x:c r="K87" s="24" t="str">
        <x:v>Funcional</x:v>
      </x:c>
      <x:c r="L87" s="24" t="str">
        <x:v>PlayMode + Manual</x:v>
      </x:c>
      <x:c r="M87" s="24" t="str">
        <x:v>P2</x:v>
      </x:c>
      <x:c r="N87" s="24" t="str">
        <x:v>S3</x:v>
      </x:c>
      <x:c r="O87" s="24" t="str">
        <x:v>Manual/Parcial</x:v>
      </x:c>
      <x:c r="P87" s="24" t="str">
        <x:v>Bootstrap/MainMenu/StoreInitial</x:v>
      </x:c>
      <x:c r="Q87" s="24" t="str">
        <x:v>Sprint 17 / H6</x:v>
      </x:c>
      <x:c r="R87" s="24" t="str">
        <x:v>Ready</x:v>
      </x:c>
      <x:c r="S87" s="24" t="str">
        <x:v>VRM Games</x:v>
      </x:c>
      <x:c r="T87" s="24" t="str">
        <x:v>05_UX_Flow.md</x:v>
      </x:c>
      <x:c r="U87" s="24" t="str">
        <x:v>BOOT;regresión;trazable</x:v>
      </x:c>
    </x:row>
    <x:row r="88" ht="48" customHeight="1">
      <x:c r="A88" s="24" t="str">
        <x:v>TC-UX-BOOT-002</x:v>
      </x:c>
      <x:c r="B88" s="24" t="str">
        <x:v>Bootstrap y escenas</x:v>
      </x:c>
      <x:c r="C88" s="24" t="str">
        <x:v>BOOT</x:v>
      </x:c>
      <x:c r="D88" s="24" t="str">
        <x:v>UX-BOOT-002</x:v>
      </x:c>
      <x:c r="E88" s="24" t="str">
        <x:v>MainMenu se carga mediante transición controlada</x:v>
      </x:c>
      <x:c r="F88" s="24" t="str">
        <x:v>Verificar que se cumple: MainMenu se carga mediante transición controlada.</x:v>
      </x:c>
      <x:c r="G88" s="24" t="str">
        <x:v>Baseline válida; estado inicial reproducible; datos de prueba preparados.</x:v>
      </x:c>
      <x:c r="H88" s="24" t="str">
        <x:v>Dataset nominal y, cuando aplique, valores límite o inválidos.</x:v>
      </x:c>
      <x:c r="I88" s="24" t="str">
        <x:v>1. Preparar el estado. 2. Ejecutar la acción o transición. 3. Observar estado, UI y logs. 4. Comparar precondición y postcondición.</x:v>
      </x:c>
      <x:c r="J88" s="24" t="str">
        <x:v>MainMenu se carga mediante transición controlada.</x:v>
      </x:c>
      <x:c r="K88" s="24" t="str">
        <x:v>Funcional</x:v>
      </x:c>
      <x:c r="L88" s="24" t="str">
        <x:v>PlayMode + Manual</x:v>
      </x:c>
      <x:c r="M88" s="24" t="str">
        <x:v>P2</x:v>
      </x:c>
      <x:c r="N88" s="24" t="str">
        <x:v>S3</x:v>
      </x:c>
      <x:c r="O88" s="24" t="str">
        <x:v>Manual/Parcial</x:v>
      </x:c>
      <x:c r="P88" s="24" t="str">
        <x:v>Bootstrap/MainMenu/StoreInitial</x:v>
      </x:c>
      <x:c r="Q88" s="24" t="str">
        <x:v>Sprint 17 / H6</x:v>
      </x:c>
      <x:c r="R88" s="24" t="str">
        <x:v>Ready</x:v>
      </x:c>
      <x:c r="S88" s="24" t="str">
        <x:v>VRM Games</x:v>
      </x:c>
      <x:c r="T88" s="24" t="str">
        <x:v>05_UX_Flow.md</x:v>
      </x:c>
      <x:c r="U88" s="24" t="str">
        <x:v>BOOT;regresión;trazable</x:v>
      </x:c>
    </x:row>
    <x:row r="89" ht="48" customHeight="1">
      <x:c r="A89" s="24" t="str">
        <x:v>TC-UX-BOOT-003</x:v>
      </x:c>
      <x:c r="B89" s="24" t="str">
        <x:v>Bootstrap y escenas</x:v>
      </x:c>
      <x:c r="C89" s="24" t="str">
        <x:v>BOOT</x:v>
      </x:c>
      <x:c r="D89" s="24" t="str">
        <x:v>UX-BOOT-003</x:v>
      </x:c>
      <x:c r="E89" s="24" t="str">
        <x:v>No existen solicitudes concurrentes de escena</x:v>
      </x:c>
      <x:c r="F89" s="24" t="str">
        <x:v>Verificar que se cumple: No existen solicitudes concurrentes de escena.</x:v>
      </x:c>
      <x:c r="G89" s="24" t="str">
        <x:v>Baseline válida; estado inicial reproducible; datos de prueba preparados.</x:v>
      </x:c>
      <x:c r="H89" s="24" t="str">
        <x:v>Dataset nominal y, cuando aplique, valores límite o inválidos.</x:v>
      </x:c>
      <x:c r="I89" s="24" t="str">
        <x:v>1. Preparar el estado. 2. Ejecutar la acción o transición. 3. Observar estado, UI y logs. 4. Comparar precondición y postcondición.</x:v>
      </x:c>
      <x:c r="J89" s="24" t="str">
        <x:v>No existen solicitudes concurrentes de escena.</x:v>
      </x:c>
      <x:c r="K89" s="24" t="str">
        <x:v>Funcional</x:v>
      </x:c>
      <x:c r="L89" s="24" t="str">
        <x:v>PlayMode + Manual</x:v>
      </x:c>
      <x:c r="M89" s="24" t="str">
        <x:v>P2</x:v>
      </x:c>
      <x:c r="N89" s="24" t="str">
        <x:v>S3</x:v>
      </x:c>
      <x:c r="O89" s="24" t="str">
        <x:v>Manual/Parcial</x:v>
      </x:c>
      <x:c r="P89" s="24" t="str">
        <x:v>Bootstrap/MainMenu/StoreInitial</x:v>
      </x:c>
      <x:c r="Q89" s="24" t="str">
        <x:v>Sprint 17 / H6</x:v>
      </x:c>
      <x:c r="R89" s="24" t="str">
        <x:v>Ready</x:v>
      </x:c>
      <x:c r="S89" s="24" t="str">
        <x:v>VRM Games</x:v>
      </x:c>
      <x:c r="T89" s="24" t="str">
        <x:v>05_UX_Flow.md</x:v>
      </x:c>
      <x:c r="U89" s="24" t="str">
        <x:v>BOOT;regresión;trazable</x:v>
      </x:c>
    </x:row>
    <x:row r="90" ht="48" customHeight="1">
      <x:c r="A90" s="24" t="str">
        <x:v>TC-UX-BOOT-004</x:v>
      </x:c>
      <x:c r="B90" s="24" t="str">
        <x:v>Bootstrap y escenas</x:v>
      </x:c>
      <x:c r="C90" s="24" t="str">
        <x:v>BOOT</x:v>
      </x:c>
      <x:c r="D90" s="24" t="str">
        <x:v>UX-BOOT-004</x:v>
      </x:c>
      <x:c r="E90" s="24" t="str">
        <x:v>TestLab no aparece en producción</x:v>
      </x:c>
      <x:c r="F90" s="24" t="str">
        <x:v>Verificar que se cumple: TestLab no aparece en producción.</x:v>
      </x:c>
      <x:c r="G90" s="24" t="str">
        <x:v>Baseline válida; estado inicial reproducible; datos de prueba preparados.</x:v>
      </x:c>
      <x:c r="H90" s="24" t="str">
        <x:v>Dataset nominal y, cuando aplique, valores límite o inválidos.</x:v>
      </x:c>
      <x:c r="I90" s="24" t="str">
        <x:v>1. Preparar el estado. 2. Ejecutar la acción o transición. 3. Observar estado, UI y logs. 4. Comparar precondición y postcondición.</x:v>
      </x:c>
      <x:c r="J90" s="24" t="str">
        <x:v>TestLab no aparece en producción.</x:v>
      </x:c>
      <x:c r="K90" s="24" t="str">
        <x:v>Funcional</x:v>
      </x:c>
      <x:c r="L90" s="24" t="str">
        <x:v>PlayMode + Manual</x:v>
      </x:c>
      <x:c r="M90" s="24" t="str">
        <x:v>P2</x:v>
      </x:c>
      <x:c r="N90" s="24" t="str">
        <x:v>S3</x:v>
      </x:c>
      <x:c r="O90" s="24" t="str">
        <x:v>Manual/Parcial</x:v>
      </x:c>
      <x:c r="P90" s="24" t="str">
        <x:v>Bootstrap/MainMenu/StoreInitial</x:v>
      </x:c>
      <x:c r="Q90" s="24" t="str">
        <x:v>Sprint 17 / H6</x:v>
      </x:c>
      <x:c r="R90" s="24" t="str">
        <x:v>Ready</x:v>
      </x:c>
      <x:c r="S90" s="24" t="str">
        <x:v>VRM Games</x:v>
      </x:c>
      <x:c r="T90" s="24" t="str">
        <x:v>05_UX_Flow.md</x:v>
      </x:c>
      <x:c r="U90" s="24" t="str">
        <x:v>BOOT;regresión;trazable</x:v>
      </x:c>
    </x:row>
    <x:row r="91" ht="48" customHeight="1">
      <x:c r="A91" s="24" t="str">
        <x:v>TC-UX-BOOT-005</x:v>
      </x:c>
      <x:c r="B91" s="24" t="str">
        <x:v>Bootstrap y escenas</x:v>
      </x:c>
      <x:c r="C91" s="24" t="str">
        <x:v>BOOT</x:v>
      </x:c>
      <x:c r="D91" s="24" t="str">
        <x:v>UX-BOOT-005</x:v>
      </x:c>
      <x:c r="E91" s="24" t="str">
        <x:v>Un fallo de carga ofrece recuperación segura</x:v>
      </x:c>
      <x:c r="F91" s="24" t="str">
        <x:v>Verificar que se cumple: Un fallo de carga ofrece recuperación segura.</x:v>
      </x:c>
      <x:c r="G91" s="24" t="str">
        <x:v>Baseline válida; estado inicial reproducible; datos de prueba preparados.</x:v>
      </x:c>
      <x:c r="H91" s="24" t="str">
        <x:v>Dataset nominal y, cuando aplique, valores límite o inválidos.</x:v>
      </x:c>
      <x:c r="I91" s="24" t="str">
        <x:v>1. Preparar el estado. 2. Ejecutar la acción o transición. 3. Observar estado, UI y logs. 4. Comparar precondición y postcondición.</x:v>
      </x:c>
      <x:c r="J91" s="24" t="str">
        <x:v>Un fallo de carga ofrece recuperación segura.</x:v>
      </x:c>
      <x:c r="K91" s="24" t="str">
        <x:v>Funcional</x:v>
      </x:c>
      <x:c r="L91" s="24" t="str">
        <x:v>PlayMode + Manual</x:v>
      </x:c>
      <x:c r="M91" s="24" t="str">
        <x:v>P2</x:v>
      </x:c>
      <x:c r="N91" s="24" t="str">
        <x:v>S3</x:v>
      </x:c>
      <x:c r="O91" s="24" t="str">
        <x:v>Manual/Parcial</x:v>
      </x:c>
      <x:c r="P91" s="24" t="str">
        <x:v>Bootstrap/MainMenu/StoreInitial</x:v>
      </x:c>
      <x:c r="Q91" s="24" t="str">
        <x:v>Sprint 17 / H6</x:v>
      </x:c>
      <x:c r="R91" s="24" t="str">
        <x:v>Ready</x:v>
      </x:c>
      <x:c r="S91" s="24" t="str">
        <x:v>VRM Games</x:v>
      </x:c>
      <x:c r="T91" s="24" t="str">
        <x:v>05_UX_Flow.md</x:v>
      </x:c>
      <x:c r="U91" s="24" t="str">
        <x:v>BOOT;regresión;trazable</x:v>
      </x:c>
    </x:row>
    <x:row r="92" ht="48" customHeight="1">
      <x:c r="A92" s="24" t="str">
        <x:v>TC-UX-BOOT-006</x:v>
      </x:c>
      <x:c r="B92" s="24" t="str">
        <x:v>Bootstrap y escenas</x:v>
      </x:c>
      <x:c r="C92" s="24" t="str">
        <x:v>BOOT</x:v>
      </x:c>
      <x:c r="D92" s="24" t="str">
        <x:v>UX-BOOT-006</x:v>
      </x:c>
      <x:c r="E92" s="24" t="str">
        <x:v>El clic de cierre de loading no mueve al jugador</x:v>
      </x:c>
      <x:c r="F92" s="24" t="str">
        <x:v>Verificar que se cumple: El clic de cierre de loading no mueve al jugador.</x:v>
      </x:c>
      <x:c r="G92" s="24" t="str">
        <x:v>Baseline válida; estado inicial reproducible; datos de prueba preparados.</x:v>
      </x:c>
      <x:c r="H92" s="24" t="str">
        <x:v>Dataset nominal y, cuando aplique, valores límite o inválidos.</x:v>
      </x:c>
      <x:c r="I92" s="24" t="str">
        <x:v>1. Preparar el estado. 2. Ejecutar la acción o transición. 3. Observar estado, UI y logs. 4. Comparar precondición y postcondición.</x:v>
      </x:c>
      <x:c r="J92" s="24" t="str">
        <x:v>El clic de cierre de loading no mueve al jugador.</x:v>
      </x:c>
      <x:c r="K92" s="24" t="str">
        <x:v>Funcional</x:v>
      </x:c>
      <x:c r="L92" s="24" t="str">
        <x:v>PlayMode + Manual</x:v>
      </x:c>
      <x:c r="M92" s="24" t="str">
        <x:v>P2</x:v>
      </x:c>
      <x:c r="N92" s="24" t="str">
        <x:v>S3</x:v>
      </x:c>
      <x:c r="O92" s="24" t="str">
        <x:v>Manual/Parcial</x:v>
      </x:c>
      <x:c r="P92" s="24" t="str">
        <x:v>Bootstrap/MainMenu/StoreInitial</x:v>
      </x:c>
      <x:c r="Q92" s="24" t="str">
        <x:v>Sprint 17 / H6</x:v>
      </x:c>
      <x:c r="R92" s="24" t="str">
        <x:v>Ready</x:v>
      </x:c>
      <x:c r="S92" s="24" t="str">
        <x:v>VRM Games</x:v>
      </x:c>
      <x:c r="T92" s="24" t="str">
        <x:v>05_UX_Flow.md</x:v>
      </x:c>
      <x:c r="U92" s="24" t="str">
        <x:v>BOOT;regresión;trazable</x:v>
      </x:c>
    </x:row>
    <x:row r="93" ht="48" customHeight="1">
      <x:c r="A93" s="24" t="str">
        <x:v>TC-UX-SLOT-001</x:v>
      </x:c>
      <x:c r="B93" s="24" t="str">
        <x:v>Slots y persistencia</x:v>
      </x:c>
      <x:c r="C93" s="24" t="str">
        <x:v>SLOT</x:v>
      </x:c>
      <x:c r="D93" s="24" t="str">
        <x:v>UX-SLOT-001</x:v>
      </x:c>
      <x:c r="E93" s="24" t="str">
        <x:v>Un slot vacío ofrece nueva partida</x:v>
      </x:c>
      <x:c r="F93" s="24" t="str">
        <x:v>Verificar que se cumple: Un slot vacío ofrece nueva partida.</x:v>
      </x:c>
      <x:c r="G93" s="24" t="str">
        <x:v>Baseline válida; estado inicial reproducible; datos de prueba preparados.</x:v>
      </x:c>
      <x:c r="H93" s="24" t="str">
        <x:v>Dataset nominal y, cuando aplique, valores límite o inválidos.</x:v>
      </x:c>
      <x:c r="I93" s="24" t="str">
        <x:v>1. Preparar el estado. 2. Ejecutar la acción o transición. 3. Observar estado, UI y logs. 4. Comparar precondición y postcondición.</x:v>
      </x:c>
      <x:c r="J93" s="24" t="str">
        <x:v>Un slot vacío ofrece nueva partida.</x:v>
      </x:c>
      <x:c r="K93" s="24" t="str">
        <x:v>Funcional</x:v>
      </x:c>
      <x:c r="L93" s="24" t="str">
        <x:v>PlayMode + Manual</x:v>
      </x:c>
      <x:c r="M93" s="24" t="str">
        <x:v>P2</x:v>
      </x:c>
      <x:c r="N93" s="24" t="str">
        <x:v>S3</x:v>
      </x:c>
      <x:c r="O93" s="24" t="str">
        <x:v>Manual/Parcial</x:v>
      </x:c>
      <x:c r="P93" s="24" t="str">
        <x:v>Bootstrap/MainMenu/StoreInitial</x:v>
      </x:c>
      <x:c r="Q93" s="24" t="str">
        <x:v>Sprint 17 / H6</x:v>
      </x:c>
      <x:c r="R93" s="24" t="str">
        <x:v>Ready</x:v>
      </x:c>
      <x:c r="S93" s="24" t="str">
        <x:v>VRM Games</x:v>
      </x:c>
      <x:c r="T93" s="24" t="str">
        <x:v>05_UX_Flow.md</x:v>
      </x:c>
      <x:c r="U93" s="24" t="str">
        <x:v>SLOT;regresión;trazable</x:v>
      </x:c>
    </x:row>
    <x:row r="94" ht="48" customHeight="1">
      <x:c r="A94" s="24" t="str">
        <x:v>TC-UX-SLOT-002</x:v>
      </x:c>
      <x:c r="B94" s="24" t="str">
        <x:v>Slots y persistencia</x:v>
      </x:c>
      <x:c r="C94" s="24" t="str">
        <x:v>SLOT</x:v>
      </x:c>
      <x:c r="D94" s="24" t="str">
        <x:v>UX-SLOT-002</x:v>
      </x:c>
      <x:c r="E94" s="24" t="str">
        <x:v>Un slot válido muestra información suficiente</x:v>
      </x:c>
      <x:c r="F94" s="24" t="str">
        <x:v>Verificar que se cumple: Un slot válido muestra información suficiente.</x:v>
      </x:c>
      <x:c r="G94" s="24" t="str">
        <x:v>Baseline válida; estado inicial reproducible; datos de prueba preparados.</x:v>
      </x:c>
      <x:c r="H94" s="24" t="str">
        <x:v>Dataset nominal y, cuando aplique, valores límite o inválidos.</x:v>
      </x:c>
      <x:c r="I94" s="24" t="str">
        <x:v>1. Preparar el estado. 2. Ejecutar la acción o transición. 3. Observar estado, UI y logs. 4. Comparar precondición y postcondición.</x:v>
      </x:c>
      <x:c r="J94" s="24" t="str">
        <x:v>Un slot válido muestra información suficiente.</x:v>
      </x:c>
      <x:c r="K94" s="24" t="str">
        <x:v>Funcional</x:v>
      </x:c>
      <x:c r="L94" s="24" t="str">
        <x:v>PlayMode + Manual</x:v>
      </x:c>
      <x:c r="M94" s="24" t="str">
        <x:v>P2</x:v>
      </x:c>
      <x:c r="N94" s="24" t="str">
        <x:v>S3</x:v>
      </x:c>
      <x:c r="O94" s="24" t="str">
        <x:v>Manual/Parcial</x:v>
      </x:c>
      <x:c r="P94" s="24" t="str">
        <x:v>Bootstrap/MainMenu/StoreInitial</x:v>
      </x:c>
      <x:c r="Q94" s="24" t="str">
        <x:v>Sprint 17 / H6</x:v>
      </x:c>
      <x:c r="R94" s="24" t="str">
        <x:v>Ready</x:v>
      </x:c>
      <x:c r="S94" s="24" t="str">
        <x:v>VRM Games</x:v>
      </x:c>
      <x:c r="T94" s="24" t="str">
        <x:v>05_UX_Flow.md</x:v>
      </x:c>
      <x:c r="U94" s="24" t="str">
        <x:v>SLOT;regresión;trazable</x:v>
      </x:c>
    </x:row>
    <x:row r="95" ht="48" customHeight="1">
      <x:c r="A95" s="24" t="str">
        <x:v>TC-UX-SLOT-003</x:v>
      </x:c>
      <x:c r="B95" s="24" t="str">
        <x:v>Slots y persistencia</x:v>
      </x:c>
      <x:c r="C95" s="24" t="str">
        <x:v>SLOT</x:v>
      </x:c>
      <x:c r="D95" s="24" t="str">
        <x:v>UX-SLOT-003</x:v>
      </x:c>
      <x:c r="E95" s="24" t="str">
        <x:v>Reemplazar exige confirmación inequívoca</x:v>
      </x:c>
      <x:c r="F95" s="24" t="str">
        <x:v>Verificar que se cumple: Reemplazar exige confirmación inequívoca.</x:v>
      </x:c>
      <x:c r="G95" s="24" t="str">
        <x:v>Baseline válida; estado inicial reproducible; datos de prueba preparados.</x:v>
      </x:c>
      <x:c r="H95" s="24" t="str">
        <x:v>Dataset nominal y, cuando aplique, valores límite o inválidos.</x:v>
      </x:c>
      <x:c r="I95" s="24" t="str">
        <x:v>1. Preparar el estado. 2. Ejecutar la acción o transición. 3. Observar estado, UI y logs. 4. Comparar precondición y postcondición.</x:v>
      </x:c>
      <x:c r="J95" s="24" t="str">
        <x:v>Reemplazar exige confirmación inequívoca.</x:v>
      </x:c>
      <x:c r="K95" s="24" t="str">
        <x:v>Funcional</x:v>
      </x:c>
      <x:c r="L95" s="24" t="str">
        <x:v>PlayMode + Manual</x:v>
      </x:c>
      <x:c r="M95" s="24" t="str">
        <x:v>P2</x:v>
      </x:c>
      <x:c r="N95" s="24" t="str">
        <x:v>S3</x:v>
      </x:c>
      <x:c r="O95" s="24" t="str">
        <x:v>Manual/Parcial</x:v>
      </x:c>
      <x:c r="P95" s="24" t="str">
        <x:v>Bootstrap/MainMenu/StoreInitial</x:v>
      </x:c>
      <x:c r="Q95" s="24" t="str">
        <x:v>Sprint 17 / H6</x:v>
      </x:c>
      <x:c r="R95" s="24" t="str">
        <x:v>Ready</x:v>
      </x:c>
      <x:c r="S95" s="24" t="str">
        <x:v>VRM Games</x:v>
      </x:c>
      <x:c r="T95" s="24" t="str">
        <x:v>05_UX_Flow.md</x:v>
      </x:c>
      <x:c r="U95" s="24" t="str">
        <x:v>SLOT;regresión;trazable</x:v>
      </x:c>
    </x:row>
    <x:row r="96" ht="48" customHeight="1">
      <x:c r="A96" s="24" t="str">
        <x:v>TC-UX-SLOT-004</x:v>
      </x:c>
      <x:c r="B96" s="24" t="str">
        <x:v>Slots y persistencia</x:v>
      </x:c>
      <x:c r="C96" s="24" t="str">
        <x:v>SLOT</x:v>
      </x:c>
      <x:c r="D96" s="24" t="str">
        <x:v>UX-SLOT-004</x:v>
      </x:c>
      <x:c r="E96" s="24" t="str">
        <x:v>Borrar exige confirmación</x:v>
      </x:c>
      <x:c r="F96" s="24" t="str">
        <x:v>Verificar que se cumple: Borrar exige confirmación.</x:v>
      </x:c>
      <x:c r="G96" s="24" t="str">
        <x:v>Baseline válida; estado inicial reproducible; datos de prueba preparados.</x:v>
      </x:c>
      <x:c r="H96" s="24" t="str">
        <x:v>Dataset nominal y, cuando aplique, valores límite o inválidos.</x:v>
      </x:c>
      <x:c r="I96" s="24" t="str">
        <x:v>1. Preparar el estado. 2. Ejecutar la acción o transición. 3. Observar estado, UI y logs. 4. Comparar precondición y postcondición.</x:v>
      </x:c>
      <x:c r="J96" s="24" t="str">
        <x:v>Borrar exige confirmación.</x:v>
      </x:c>
      <x:c r="K96" s="24" t="str">
        <x:v>Funcional</x:v>
      </x:c>
      <x:c r="L96" s="24" t="str">
        <x:v>PlayMode + Manual</x:v>
      </x:c>
      <x:c r="M96" s="24" t="str">
        <x:v>P2</x:v>
      </x:c>
      <x:c r="N96" s="24" t="str">
        <x:v>S3</x:v>
      </x:c>
      <x:c r="O96" s="24" t="str">
        <x:v>Manual/Parcial</x:v>
      </x:c>
      <x:c r="P96" s="24" t="str">
        <x:v>Bootstrap/MainMenu/StoreInitial</x:v>
      </x:c>
      <x:c r="Q96" s="24" t="str">
        <x:v>Sprint 17 / H6</x:v>
      </x:c>
      <x:c r="R96" s="24" t="str">
        <x:v>Ready</x:v>
      </x:c>
      <x:c r="S96" s="24" t="str">
        <x:v>VRM Games</x:v>
      </x:c>
      <x:c r="T96" s="24" t="str">
        <x:v>05_UX_Flow.md</x:v>
      </x:c>
      <x:c r="U96" s="24" t="str">
        <x:v>SLOT;regresión;trazable</x:v>
      </x:c>
    </x:row>
    <x:row r="97" ht="48" customHeight="1">
      <x:c r="A97" s="24" t="str">
        <x:v>TC-UX-SLOT-005</x:v>
      </x:c>
      <x:c r="B97" s="24" t="str">
        <x:v>Slots y persistencia</x:v>
      </x:c>
      <x:c r="C97" s="24" t="str">
        <x:v>SLOT</x:v>
      </x:c>
      <x:c r="D97" s="24" t="str">
        <x:v>UX-SLOT-005</x:v>
      </x:c>
      <x:c r="E97" s="24" t="str">
        <x:v>El backup se ofrece cuando el primario falla</x:v>
      </x:c>
      <x:c r="F97" s="24" t="str">
        <x:v>Verificar que se cumple: El backup se ofrece cuando el primario falla.</x:v>
      </x:c>
      <x:c r="G97" s="24" t="str">
        <x:v>Baseline válida; estado inicial reproducible; datos de prueba preparados.</x:v>
      </x:c>
      <x:c r="H97" s="24" t="str">
        <x:v>Dataset nominal y, cuando aplique, valores límite o inválidos.</x:v>
      </x:c>
      <x:c r="I97" s="24" t="str">
        <x:v>1. Preparar el estado. 2. Ejecutar la acción o transición. 3. Observar estado, UI y logs. 4. Comparar precondición y postcondición.</x:v>
      </x:c>
      <x:c r="J97" s="24" t="str">
        <x:v>El backup se ofrece cuando el primario falla.</x:v>
      </x:c>
      <x:c r="K97" s="24" t="str">
        <x:v>Funcional</x:v>
      </x:c>
      <x:c r="L97" s="24" t="str">
        <x:v>PlayMode + Manual</x:v>
      </x:c>
      <x:c r="M97" s="24" t="str">
        <x:v>P2</x:v>
      </x:c>
      <x:c r="N97" s="24" t="str">
        <x:v>S3</x:v>
      </x:c>
      <x:c r="O97" s="24" t="str">
        <x:v>Manual/Parcial</x:v>
      </x:c>
      <x:c r="P97" s="24" t="str">
        <x:v>Bootstrap/MainMenu/StoreInitial</x:v>
      </x:c>
      <x:c r="Q97" s="24" t="str">
        <x:v>Sprint 17 / H6</x:v>
      </x:c>
      <x:c r="R97" s="24" t="str">
        <x:v>Ready</x:v>
      </x:c>
      <x:c r="S97" s="24" t="str">
        <x:v>VRM Games</x:v>
      </x:c>
      <x:c r="T97" s="24" t="str">
        <x:v>05_UX_Flow.md</x:v>
      </x:c>
      <x:c r="U97" s="24" t="str">
        <x:v>SLOT;regresión;trazable</x:v>
      </x:c>
    </x:row>
    <x:row r="98" ht="48" customHeight="1">
      <x:c r="A98" s="24" t="str">
        <x:v>TC-UX-SLOT-006</x:v>
      </x:c>
      <x:c r="B98" s="24" t="str">
        <x:v>Slots y persistencia</x:v>
      </x:c>
      <x:c r="C98" s="24" t="str">
        <x:v>SLOT</x:v>
      </x:c>
      <x:c r="D98" s="24" t="str">
        <x:v>UX-SLOT-006</x:v>
      </x:c>
      <x:c r="E98" s="24" t="str">
        <x:v>Un error no sobrescribe el guardado existente</x:v>
      </x:c>
      <x:c r="F98" s="24" t="str">
        <x:v>Verificar que se cumple: Un error no sobrescribe el guardado existente.</x:v>
      </x:c>
      <x:c r="G98" s="24" t="str">
        <x:v>Baseline válida; estado inicial reproducible; datos de prueba preparados.</x:v>
      </x:c>
      <x:c r="H98" s="24" t="str">
        <x:v>Dataset nominal y, cuando aplique, valores límite o inválidos.</x:v>
      </x:c>
      <x:c r="I98" s="24" t="str">
        <x:v>1. Preparar el estado. 2. Ejecutar la acción o transición. 3. Observar estado, UI y logs. 4. Comparar precondición y postcondición.</x:v>
      </x:c>
      <x:c r="J98" s="24" t="str">
        <x:v>Un error no sobrescribe el guardado existente.</x:v>
      </x:c>
      <x:c r="K98" s="24" t="str">
        <x:v>Funcional</x:v>
      </x:c>
      <x:c r="L98" s="24" t="str">
        <x:v>PlayMode + Manual</x:v>
      </x:c>
      <x:c r="M98" s="24" t="str">
        <x:v>P2</x:v>
      </x:c>
      <x:c r="N98" s="24" t="str">
        <x:v>S3</x:v>
      </x:c>
      <x:c r="O98" s="24" t="str">
        <x:v>Manual/Parcial</x:v>
      </x:c>
      <x:c r="P98" s="24" t="str">
        <x:v>Bootstrap/MainMenu/StoreInitial</x:v>
      </x:c>
      <x:c r="Q98" s="24" t="str">
        <x:v>Sprint 17 / H6</x:v>
      </x:c>
      <x:c r="R98" s="24" t="str">
        <x:v>Ready</x:v>
      </x:c>
      <x:c r="S98" s="24" t="str">
        <x:v>VRM Games</x:v>
      </x:c>
      <x:c r="T98" s="24" t="str">
        <x:v>05_UX_Flow.md</x:v>
      </x:c>
      <x:c r="U98" s="24" t="str">
        <x:v>SLOT;regresión;trazable</x:v>
      </x:c>
    </x:row>
    <x:row r="99" ht="48" customHeight="1">
      <x:c r="A99" s="24" t="str">
        <x:v>TC-UX-SLOT-007</x:v>
      </x:c>
      <x:c r="B99" s="24" t="str">
        <x:v>Slots y persistencia</x:v>
      </x:c>
      <x:c r="C99" s="24" t="str">
        <x:v>SLOT</x:v>
      </x:c>
      <x:c r="D99" s="24" t="str">
        <x:v>UX-SLOT-007</x:v>
      </x:c>
      <x:c r="E99" s="24" t="str">
        <x:v>La carga no finaliza antes de restaurar escena y estado</x:v>
      </x:c>
      <x:c r="F99" s="24" t="str">
        <x:v>Verificar que se cumple: La carga no finaliza antes de restaurar escena y estado.</x:v>
      </x:c>
      <x:c r="G99" s="24" t="str">
        <x:v>Baseline válida; estado inicial reproducible; datos de prueba preparados.</x:v>
      </x:c>
      <x:c r="H99" s="24" t="str">
        <x:v>Dataset nominal y, cuando aplique, valores límite o inválidos.</x:v>
      </x:c>
      <x:c r="I99" s="24" t="str">
        <x:v>1. Preparar el estado. 2. Ejecutar la acción o transición. 3. Observar estado, UI y logs. 4. Comparar precondición y postcondición.</x:v>
      </x:c>
      <x:c r="J99" s="24" t="str">
        <x:v>La carga no finaliza antes de restaurar escena y estado.</x:v>
      </x:c>
      <x:c r="K99" s="24" t="str">
        <x:v>Funcional</x:v>
      </x:c>
      <x:c r="L99" s="24" t="str">
        <x:v>PlayMode + Manual</x:v>
      </x:c>
      <x:c r="M99" s="24" t="str">
        <x:v>P2</x:v>
      </x:c>
      <x:c r="N99" s="24" t="str">
        <x:v>S3</x:v>
      </x:c>
      <x:c r="O99" s="24" t="str">
        <x:v>Manual/Parcial</x:v>
      </x:c>
      <x:c r="P99" s="24" t="str">
        <x:v>Bootstrap/MainMenu/StoreInitial</x:v>
      </x:c>
      <x:c r="Q99" s="24" t="str">
        <x:v>Sprint 17 / H6</x:v>
      </x:c>
      <x:c r="R99" s="24" t="str">
        <x:v>Ready</x:v>
      </x:c>
      <x:c r="S99" s="24" t="str">
        <x:v>VRM Games</x:v>
      </x:c>
      <x:c r="T99" s="24" t="str">
        <x:v>05_UX_Flow.md</x:v>
      </x:c>
      <x:c r="U99" s="24" t="str">
        <x:v>SLOT;regresión;trazable</x:v>
      </x:c>
    </x:row>
    <x:row r="100" ht="48" customHeight="1">
      <x:c r="A100" s="24" t="str">
        <x:v>TC-UX-INP-001</x:v>
      </x:c>
      <x:c r="B100" s="24" t="str">
        <x:v>Input</x:v>
      </x:c>
      <x:c r="C100" s="24" t="str">
        <x:v>INP</x:v>
      </x:c>
      <x:c r="D100" s="24" t="str">
        <x:v>UX-INP-001</x:v>
      </x:c>
      <x:c r="E100" s="24" t="str">
        <x:v>UI y mundo no procesan el mismo clic</x:v>
      </x:c>
      <x:c r="F100" s="24" t="str">
        <x:v>Verificar que se cumple: UI y mundo no procesan el mismo clic.</x:v>
      </x:c>
      <x:c r="G100" s="24" t="str">
        <x:v>Baseline válida; estado inicial reproducible; datos de prueba preparados.</x:v>
      </x:c>
      <x:c r="H100" s="24" t="str">
        <x:v>Dataset nominal y, cuando aplique, valores límite o inválidos.</x:v>
      </x:c>
      <x:c r="I100" s="24" t="str">
        <x:v>1. Preparar el estado. 2. Ejecutar la acción o transición. 3. Observar estado, UI y logs. 4. Comparar precondición y postcondición.</x:v>
      </x:c>
      <x:c r="J100" s="24" t="str">
        <x:v>UI y mundo no procesan el mismo clic.</x:v>
      </x:c>
      <x:c r="K100" s="24" t="str">
        <x:v>Funcional</x:v>
      </x:c>
      <x:c r="L100" s="24" t="str">
        <x:v>PlayMode + Manual</x:v>
      </x:c>
      <x:c r="M100" s="24" t="str">
        <x:v>P1</x:v>
      </x:c>
      <x:c r="N100" s="24" t="str">
        <x:v>S2</x:v>
      </x:c>
      <x:c r="O100" s="24" t="str">
        <x:v>Parcial</x:v>
      </x:c>
      <x:c r="P100" s="24" t="str">
        <x:v>StoreInitial</x:v>
      </x:c>
      <x:c r="Q100" s="24" t="str">
        <x:v>Sprint 17 / H6</x:v>
      </x:c>
      <x:c r="R100" s="24" t="str">
        <x:v>Ready</x:v>
      </x:c>
      <x:c r="S100" s="24" t="str">
        <x:v>VRM Games</x:v>
      </x:c>
      <x:c r="T100" s="24" t="str">
        <x:v>05_UX_Flow.md</x:v>
      </x:c>
      <x:c r="U100" s="24" t="str">
        <x:v>INP;regresión;trazable</x:v>
      </x:c>
    </x:row>
    <x:row r="101" ht="48" customHeight="1">
      <x:c r="A101" s="24" t="str">
        <x:v>TC-UX-INP-002</x:v>
      </x:c>
      <x:c r="B101" s="24" t="str">
        <x:v>Input</x:v>
      </x:c>
      <x:c r="C101" s="24" t="str">
        <x:v>INP</x:v>
      </x:c>
      <x:c r="D101" s="24" t="str">
        <x:v>UX-INP-002</x:v>
      </x:c>
      <x:c r="E101" s="24" t="str">
        <x:v>Solo un contexto captura input principal</x:v>
      </x:c>
      <x:c r="F101" s="24" t="str">
        <x:v>Verificar que se cumple: Solo un contexto captura input principal.</x:v>
      </x:c>
      <x:c r="G101" s="24" t="str">
        <x:v>Baseline válida; estado inicial reproducible; datos de prueba preparados.</x:v>
      </x:c>
      <x:c r="H101" s="24" t="str">
        <x:v>Dataset nominal y, cuando aplique, valores límite o inválidos.</x:v>
      </x:c>
      <x:c r="I101" s="24" t="str">
        <x:v>1. Preparar el estado. 2. Ejecutar la acción o transición. 3. Observar estado, UI y logs. 4. Comparar precondición y postcondición.</x:v>
      </x:c>
      <x:c r="J101" s="24" t="str">
        <x:v>Solo un contexto captura input principal.</x:v>
      </x:c>
      <x:c r="K101" s="24" t="str">
        <x:v>Funcional</x:v>
      </x:c>
      <x:c r="L101" s="24" t="str">
        <x:v>PlayMode + Manual</x:v>
      </x:c>
      <x:c r="M101" s="24" t="str">
        <x:v>P1</x:v>
      </x:c>
      <x:c r="N101" s="24" t="str">
        <x:v>S2</x:v>
      </x:c>
      <x:c r="O101" s="24" t="str">
        <x:v>Parcial</x:v>
      </x:c>
      <x:c r="P101" s="24" t="str">
        <x:v>StoreInitial</x:v>
      </x:c>
      <x:c r="Q101" s="24" t="str">
        <x:v>Sprint 17 / H6</x:v>
      </x:c>
      <x:c r="R101" s="24" t="str">
        <x:v>Ready</x:v>
      </x:c>
      <x:c r="S101" s="24" t="str">
        <x:v>VRM Games</x:v>
      </x:c>
      <x:c r="T101" s="24" t="str">
        <x:v>05_UX_Flow.md</x:v>
      </x:c>
      <x:c r="U101" s="24" t="str">
        <x:v>INP;regresión;trazable</x:v>
      </x:c>
    </x:row>
    <x:row r="102" ht="48" customHeight="1">
      <x:c r="A102" s="24" t="str">
        <x:v>TC-UX-INP-003</x:v>
      </x:c>
      <x:c r="B102" s="24" t="str">
        <x:v>Input</x:v>
      </x:c>
      <x:c r="C102" s="24" t="str">
        <x:v>INP</x:v>
      </x:c>
      <x:c r="D102" s="24" t="str">
        <x:v>UX-INP-003</x:v>
      </x:c>
      <x:c r="E102" s="24" t="str">
        <x:v>Escape resuelve primero el contexto más profundo</x:v>
      </x:c>
      <x:c r="F102" s="24" t="str">
        <x:v>Verificar que se cumple: Escape resuelve primero el contexto más profundo.</x:v>
      </x:c>
      <x:c r="G102" s="24" t="str">
        <x:v>Baseline válida; estado inicial reproducible; datos de prueba preparados.</x:v>
      </x:c>
      <x:c r="H102" s="24" t="str">
        <x:v>Dataset nominal y, cuando aplique, valores límite o inválidos.</x:v>
      </x:c>
      <x:c r="I102" s="24" t="str">
        <x:v>1. Preparar el estado. 2. Ejecutar la acción o transición. 3. Observar estado, UI y logs. 4. Comparar precondición y postcondición.</x:v>
      </x:c>
      <x:c r="J102" s="24" t="str">
        <x:v>Escape resuelve primero el contexto más profundo.</x:v>
      </x:c>
      <x:c r="K102" s="24" t="str">
        <x:v>Funcional</x:v>
      </x:c>
      <x:c r="L102" s="24" t="str">
        <x:v>PlayMode + Manual</x:v>
      </x:c>
      <x:c r="M102" s="24" t="str">
        <x:v>P1</x:v>
      </x:c>
      <x:c r="N102" s="24" t="str">
        <x:v>S2</x:v>
      </x:c>
      <x:c r="O102" s="24" t="str">
        <x:v>Parcial</x:v>
      </x:c>
      <x:c r="P102" s="24" t="str">
        <x:v>StoreInitial</x:v>
      </x:c>
      <x:c r="Q102" s="24" t="str">
        <x:v>Sprint 17 / H6</x:v>
      </x:c>
      <x:c r="R102" s="24" t="str">
        <x:v>Ready</x:v>
      </x:c>
      <x:c r="S102" s="24" t="str">
        <x:v>VRM Games</x:v>
      </x:c>
      <x:c r="T102" s="24" t="str">
        <x:v>05_UX_Flow.md</x:v>
      </x:c>
      <x:c r="U102" s="24" t="str">
        <x:v>INP;regresión;trazable</x:v>
      </x:c>
    </x:row>
    <x:row r="103" ht="48" customHeight="1">
      <x:c r="A103" s="24" t="str">
        <x:v>TC-UX-INP-004</x:v>
      </x:c>
      <x:c r="B103" s="24" t="str">
        <x:v>Input</x:v>
      </x:c>
      <x:c r="C103" s="24" t="str">
        <x:v>INP</x:v>
      </x:c>
      <x:c r="D103" s="24" t="str">
        <x:v>UX-INP-004</x:v>
      </x:c>
      <x:c r="E103" s="24" t="str">
        <x:v>Pausa impide mutaciones de gameplay</x:v>
      </x:c>
      <x:c r="F103" s="24" t="str">
        <x:v>Verificar que se cumple: Pausa impide mutaciones de gameplay.</x:v>
      </x:c>
      <x:c r="G103" s="24" t="str">
        <x:v>Baseline válida; estado inicial reproducible; datos de prueba preparados.</x:v>
      </x:c>
      <x:c r="H103" s="24" t="str">
        <x:v>Dataset nominal y, cuando aplique, valores límite o inválidos.</x:v>
      </x:c>
      <x:c r="I103" s="24" t="str">
        <x:v>1. Preparar el estado. 2. Ejecutar la acción o transición. 3. Observar estado, UI y logs. 4. Comparar precondición y postcondición.</x:v>
      </x:c>
      <x:c r="J103" s="24" t="str">
        <x:v>Pausa impide mutaciones de gameplay.</x:v>
      </x:c>
      <x:c r="K103" s="24" t="str">
        <x:v>Funcional</x:v>
      </x:c>
      <x:c r="L103" s="24" t="str">
        <x:v>PlayMode + Manual</x:v>
      </x:c>
      <x:c r="M103" s="24" t="str">
        <x:v>P1</x:v>
      </x:c>
      <x:c r="N103" s="24" t="str">
        <x:v>S2</x:v>
      </x:c>
      <x:c r="O103" s="24" t="str">
        <x:v>Parcial</x:v>
      </x:c>
      <x:c r="P103" s="24" t="str">
        <x:v>StoreInitial</x:v>
      </x:c>
      <x:c r="Q103" s="24" t="str">
        <x:v>Sprint 17 / H6</x:v>
      </x:c>
      <x:c r="R103" s="24" t="str">
        <x:v>Ready</x:v>
      </x:c>
      <x:c r="S103" s="24" t="str">
        <x:v>VRM Games</x:v>
      </x:c>
      <x:c r="T103" s="24" t="str">
        <x:v>05_UX_Flow.md</x:v>
      </x:c>
      <x:c r="U103" s="24" t="str">
        <x:v>INP;regresión;trazable</x:v>
      </x:c>
    </x:row>
    <x:row r="104" ht="48" customHeight="1">
      <x:c r="A104" s="24" t="str">
        <x:v>TC-UX-INP-005</x:v>
      </x:c>
      <x:c r="B104" s="24" t="str">
        <x:v>Input</x:v>
      </x:c>
      <x:c r="C104" s="24" t="str">
        <x:v>INP</x:v>
      </x:c>
      <x:c r="D104" s="24" t="str">
        <x:v>UX-INP-005</x:v>
      </x:c>
      <x:c r="E104" s="24" t="str">
        <x:v>Las instrucciones muestran bindings vigentes</x:v>
      </x:c>
      <x:c r="F104" s="24" t="str">
        <x:v>Verificar que se cumple: Las instrucciones muestran bindings vigentes.</x:v>
      </x:c>
      <x:c r="G104" s="24" t="str">
        <x:v>Baseline válida; estado inicial reproducible; datos de prueba preparados.</x:v>
      </x:c>
      <x:c r="H104" s="24" t="str">
        <x:v>Dataset nominal y, cuando aplique, valores límite o inválidos.</x:v>
      </x:c>
      <x:c r="I104" s="24" t="str">
        <x:v>1. Preparar el estado. 2. Ejecutar la acción o transición. 3. Observar estado, UI y logs. 4. Comparar precondición y postcondición.</x:v>
      </x:c>
      <x:c r="J104" s="24" t="str">
        <x:v>Las instrucciones muestran bindings vigentes.</x:v>
      </x:c>
      <x:c r="K104" s="24" t="str">
        <x:v>Funcional</x:v>
      </x:c>
      <x:c r="L104" s="24" t="str">
        <x:v>PlayMode + Manual</x:v>
      </x:c>
      <x:c r="M104" s="24" t="str">
        <x:v>P1</x:v>
      </x:c>
      <x:c r="N104" s="24" t="str">
        <x:v>S2</x:v>
      </x:c>
      <x:c r="O104" s="24" t="str">
        <x:v>Parcial</x:v>
      </x:c>
      <x:c r="P104" s="24" t="str">
        <x:v>StoreInitial</x:v>
      </x:c>
      <x:c r="Q104" s="24" t="str">
        <x:v>Sprint 17 / H6</x:v>
      </x:c>
      <x:c r="R104" s="24" t="str">
        <x:v>Ready</x:v>
      </x:c>
      <x:c r="S104" s="24" t="str">
        <x:v>VRM Games</x:v>
      </x:c>
      <x:c r="T104" s="24" t="str">
        <x:v>05_UX_Flow.md</x:v>
      </x:c>
      <x:c r="U104" s="24" t="str">
        <x:v>INP;regresión;trazable</x:v>
      </x:c>
    </x:row>
    <x:row r="105" ht="48" customHeight="1">
      <x:c r="A105" s="24" t="str">
        <x:v>TC-UX-INP-006</x:v>
      </x:c>
      <x:c r="B105" s="24" t="str">
        <x:v>Input</x:v>
      </x:c>
      <x:c r="C105" s="24" t="str">
        <x:v>INP</x:v>
      </x:c>
      <x:c r="D105" s="24" t="str">
        <x:v>UX-INP-006</x:v>
      </x:c>
      <x:c r="E105" s="24" t="str">
        <x:v>La cámara no activa interacciones</x:v>
      </x:c>
      <x:c r="F105" s="24" t="str">
        <x:v>Verificar que se cumple: La cámara no activa interacciones.</x:v>
      </x:c>
      <x:c r="G105" s="24" t="str">
        <x:v>Baseline válida; estado inicial reproducible; datos de prueba preparados.</x:v>
      </x:c>
      <x:c r="H105" s="24" t="str">
        <x:v>Dataset nominal y, cuando aplique, valores límite o inválidos.</x:v>
      </x:c>
      <x:c r="I105" s="24" t="str">
        <x:v>1. Preparar el estado. 2. Ejecutar la acción o transición. 3. Observar estado, UI y logs. 4. Comparar precondición y postcondición.</x:v>
      </x:c>
      <x:c r="J105" s="24" t="str">
        <x:v>La cámara no activa interacciones.</x:v>
      </x:c>
      <x:c r="K105" s="24" t="str">
        <x:v>Funcional</x:v>
      </x:c>
      <x:c r="L105" s="24" t="str">
        <x:v>PlayMode + Manual</x:v>
      </x:c>
      <x:c r="M105" s="24" t="str">
        <x:v>P1</x:v>
      </x:c>
      <x:c r="N105" s="24" t="str">
        <x:v>S2</x:v>
      </x:c>
      <x:c r="O105" s="24" t="str">
        <x:v>Parcial</x:v>
      </x:c>
      <x:c r="P105" s="24" t="str">
        <x:v>StoreInitial</x:v>
      </x:c>
      <x:c r="Q105" s="24" t="str">
        <x:v>Sprint 17 / H6</x:v>
      </x:c>
      <x:c r="R105" s="24" t="str">
        <x:v>Ready</x:v>
      </x:c>
      <x:c r="S105" s="24" t="str">
        <x:v>VRM Games</x:v>
      </x:c>
      <x:c r="T105" s="24" t="str">
        <x:v>05_UX_Flow.md</x:v>
      </x:c>
      <x:c r="U105" s="24" t="str">
        <x:v>INP;regresión;trazable</x:v>
      </x:c>
    </x:row>
    <x:row r="106" ht="48" customHeight="1">
      <x:c r="A106" s="24" t="str">
        <x:v>TC-UX-BLD-001</x:v>
      </x:c>
      <x:c r="B106" s="24" t="str">
        <x:v>Construcción</x:v>
      </x:c>
      <x:c r="C106" s="24" t="str">
        <x:v>BLD</x:v>
      </x:c>
      <x:c r="D106" s="24" t="str">
        <x:v>UX-BLD-001</x:v>
      </x:c>
      <x:c r="E106" s="24" t="str">
        <x:v>Entrar en BuildMode suprime movimiento</x:v>
      </x:c>
      <x:c r="F106" s="24" t="str">
        <x:v>Verificar que se cumple: Entrar en BuildMode suprime movimiento.</x:v>
      </x:c>
      <x:c r="G106" s="24" t="str">
        <x:v>Baseline válida; estado inicial reproducible; datos de prueba preparados.</x:v>
      </x:c>
      <x:c r="H106" s="24" t="str">
        <x:v>Dataset nominal y, cuando aplique, valores límite o inválidos.</x:v>
      </x:c>
      <x:c r="I106" s="24" t="str">
        <x:v>1. Preparar el estado. 2. Ejecutar la acción o transición. 3. Observar estado, UI y logs. 4. Comparar precondición y postcondición.</x:v>
      </x:c>
      <x:c r="J106" s="24" t="str">
        <x:v>Entrar en BuildMode suprime movimiento.</x:v>
      </x:c>
      <x:c r="K106" s="24" t="str">
        <x:v>Funcional</x:v>
      </x:c>
      <x:c r="L106" s="24" t="str">
        <x:v>EditMode + Integración</x:v>
      </x:c>
      <x:c r="M106" s="24" t="str">
        <x:v>P1</x:v>
      </x:c>
      <x:c r="N106" s="24" t="str">
        <x:v>S2</x:v>
      </x:c>
      <x:c r="O106" s="24" t="str">
        <x:v>Parcial/Alta</x:v>
      </x:c>
      <x:c r="P106" s="24" t="str">
        <x:v>StoreInitial</x:v>
      </x:c>
      <x:c r="Q106" s="24" t="str">
        <x:v>Sprint 17 / H6</x:v>
      </x:c>
      <x:c r="R106" s="24" t="str">
        <x:v>Ready</x:v>
      </x:c>
      <x:c r="S106" s="24" t="str">
        <x:v>VRM Games</x:v>
      </x:c>
      <x:c r="T106" s="24" t="str">
        <x:v>05_UX_Flow.md</x:v>
      </x:c>
      <x:c r="U106" s="24" t="str">
        <x:v>BLD;regresión;trazable</x:v>
      </x:c>
    </x:row>
    <x:row r="107" ht="48" customHeight="1">
      <x:c r="A107" s="24" t="str">
        <x:v>TC-UX-BLD-002</x:v>
      </x:c>
      <x:c r="B107" s="24" t="str">
        <x:v>Construcción</x:v>
      </x:c>
      <x:c r="C107" s="24" t="str">
        <x:v>BLD</x:v>
      </x:c>
      <x:c r="D107" s="24" t="str">
        <x:v>UX-BLD-002</x:v>
      </x:c>
      <x:c r="E107" s="24" t="str">
        <x:v>Preview coincide con grid y huella</x:v>
      </x:c>
      <x:c r="F107" s="24" t="str">
        <x:v>Verificar que se cumple: Preview coincide con grid y huella.</x:v>
      </x:c>
      <x:c r="G107" s="24" t="str">
        <x:v>Baseline válida; estado inicial reproducible; datos de prueba preparados.</x:v>
      </x:c>
      <x:c r="H107" s="24" t="str">
        <x:v>Dataset nominal y, cuando aplique, valores límite o inválidos.</x:v>
      </x:c>
      <x:c r="I107" s="24" t="str">
        <x:v>1. Preparar el estado. 2. Ejecutar la acción o transición. 3. Observar estado, UI y logs. 4. Comparar precondición y postcondición.</x:v>
      </x:c>
      <x:c r="J107" s="24" t="str">
        <x:v>Preview coincide con grid y huella.</x:v>
      </x:c>
      <x:c r="K107" s="24" t="str">
        <x:v>Funcional</x:v>
      </x:c>
      <x:c r="L107" s="24" t="str">
        <x:v>EditMode + Integración</x:v>
      </x:c>
      <x:c r="M107" s="24" t="str">
        <x:v>P1</x:v>
      </x:c>
      <x:c r="N107" s="24" t="str">
        <x:v>S2</x:v>
      </x:c>
      <x:c r="O107" s="24" t="str">
        <x:v>Parcial/Alta</x:v>
      </x:c>
      <x:c r="P107" s="24" t="str">
        <x:v>StoreInitial</x:v>
      </x:c>
      <x:c r="Q107" s="24" t="str">
        <x:v>Sprint 17 / H6</x:v>
      </x:c>
      <x:c r="R107" s="24" t="str">
        <x:v>Ready</x:v>
      </x:c>
      <x:c r="S107" s="24" t="str">
        <x:v>VRM Games</x:v>
      </x:c>
      <x:c r="T107" s="24" t="str">
        <x:v>05_UX_Flow.md</x:v>
      </x:c>
      <x:c r="U107" s="24" t="str">
        <x:v>BLD;regresión;trazable</x:v>
      </x:c>
    </x:row>
    <x:row r="108" ht="48" customHeight="1">
      <x:c r="A108" s="24" t="str">
        <x:v>TC-UX-BLD-003</x:v>
      </x:c>
      <x:c r="B108" s="24" t="str">
        <x:v>Construcción</x:v>
      </x:c>
      <x:c r="C108" s="24" t="str">
        <x:v>BLD</x:v>
      </x:c>
      <x:c r="D108" s="24" t="str">
        <x:v>UX-BLD-003</x:v>
      </x:c>
      <x:c r="E108" s="24" t="str">
        <x:v>Q/E rota y revalida</x:v>
      </x:c>
      <x:c r="F108" s="24" t="str">
        <x:v>Verificar que se cumple: Q/E rota y revalida.</x:v>
      </x:c>
      <x:c r="G108" s="24" t="str">
        <x:v>Baseline válida; estado inicial reproducible; datos de prueba preparados.</x:v>
      </x:c>
      <x:c r="H108" s="24" t="str">
        <x:v>Dataset nominal y, cuando aplique, valores límite o inválidos.</x:v>
      </x:c>
      <x:c r="I108" s="24" t="str">
        <x:v>1. Preparar el estado. 2. Ejecutar la acción o transición. 3. Observar estado, UI y logs. 4. Comparar precondición y postcondición.</x:v>
      </x:c>
      <x:c r="J108" s="24" t="str">
        <x:v>Q/E rota y revalida.</x:v>
      </x:c>
      <x:c r="K108" s="24" t="str">
        <x:v>Funcional</x:v>
      </x:c>
      <x:c r="L108" s="24" t="str">
        <x:v>EditMode + Integración</x:v>
      </x:c>
      <x:c r="M108" s="24" t="str">
        <x:v>P1</x:v>
      </x:c>
      <x:c r="N108" s="24" t="str">
        <x:v>S2</x:v>
      </x:c>
      <x:c r="O108" s="24" t="str">
        <x:v>Parcial/Alta</x:v>
      </x:c>
      <x:c r="P108" s="24" t="str">
        <x:v>StoreInitial</x:v>
      </x:c>
      <x:c r="Q108" s="24" t="str">
        <x:v>Sprint 17 / H6</x:v>
      </x:c>
      <x:c r="R108" s="24" t="str">
        <x:v>Ready</x:v>
      </x:c>
      <x:c r="S108" s="24" t="str">
        <x:v>VRM Games</x:v>
      </x:c>
      <x:c r="T108" s="24" t="str">
        <x:v>05_UX_Flow.md</x:v>
      </x:c>
      <x:c r="U108" s="24" t="str">
        <x:v>BLD;regresión;trazable</x:v>
      </x:c>
    </x:row>
    <x:row r="109" ht="48" customHeight="1">
      <x:c r="A109" s="24" t="str">
        <x:v>TC-UX-BLD-004</x:v>
      </x:c>
      <x:c r="B109" s="24" t="str">
        <x:v>Construcción</x:v>
      </x:c>
      <x:c r="C109" s="24" t="str">
        <x:v>BLD</x:v>
      </x:c>
      <x:c r="D109" s="24" t="str">
        <x:v>UX-BLD-004</x:v>
      </x:c>
      <x:c r="E109" s="24" t="str">
        <x:v>Un placement inválido explica causa</x:v>
      </x:c>
      <x:c r="F109" s="24" t="str">
        <x:v>Verificar que se cumple: Un placement inválido explica causa.</x:v>
      </x:c>
      <x:c r="G109" s="24" t="str">
        <x:v>Baseline válida; estado inicial reproducible; datos de prueba preparados.</x:v>
      </x:c>
      <x:c r="H109" s="24" t="str">
        <x:v>Dataset nominal y, cuando aplique, valores límite o inválidos.</x:v>
      </x:c>
      <x:c r="I109" s="24" t="str">
        <x:v>1. Preparar el estado. 2. Ejecutar la acción o transición. 3. Observar estado, UI y logs. 4. Comparar precondición y postcondición.</x:v>
      </x:c>
      <x:c r="J109" s="24" t="str">
        <x:v>Un placement inválido explica causa.</x:v>
      </x:c>
      <x:c r="K109" s="24" t="str">
        <x:v>Funcional</x:v>
      </x:c>
      <x:c r="L109" s="24" t="str">
        <x:v>EditMode + Integración</x:v>
      </x:c>
      <x:c r="M109" s="24" t="str">
        <x:v>P1</x:v>
      </x:c>
      <x:c r="N109" s="24" t="str">
        <x:v>S2</x:v>
      </x:c>
      <x:c r="O109" s="24" t="str">
        <x:v>Parcial/Alta</x:v>
      </x:c>
      <x:c r="P109" s="24" t="str">
        <x:v>StoreInitial</x:v>
      </x:c>
      <x:c r="Q109" s="24" t="str">
        <x:v>Sprint 17 / H6</x:v>
      </x:c>
      <x:c r="R109" s="24" t="str">
        <x:v>Ready</x:v>
      </x:c>
      <x:c r="S109" s="24" t="str">
        <x:v>VRM Games</x:v>
      </x:c>
      <x:c r="T109" s="24" t="str">
        <x:v>05_UX_Flow.md</x:v>
      </x:c>
      <x:c r="U109" s="24" t="str">
        <x:v>BLD;regresión;trazable</x:v>
      </x:c>
    </x:row>
    <x:row r="110" ht="48" customHeight="1">
      <x:c r="A110" s="24" t="str">
        <x:v>TC-UX-BLD-005</x:v>
      </x:c>
      <x:c r="B110" s="24" t="str">
        <x:v>Construcción</x:v>
      </x:c>
      <x:c r="C110" s="24" t="str">
        <x:v>BLD</x:v>
      </x:c>
      <x:c r="D110" s="24" t="str">
        <x:v>UX-BLD-005</x:v>
      </x:c>
      <x:c r="E110" s="24" t="str">
        <x:v>Un placement inválido no cobra ni ocupa</x:v>
      </x:c>
      <x:c r="F110" s="24" t="str">
        <x:v>Verificar que se cumple: Un placement inválido no cobra ni ocupa.</x:v>
      </x:c>
      <x:c r="G110" s="24" t="str">
        <x:v>Baseline válida; estado inicial reproducible; datos de prueba preparados.</x:v>
      </x:c>
      <x:c r="H110" s="24" t="str">
        <x:v>Dataset nominal y, cuando aplique, valores límite o inválidos.</x:v>
      </x:c>
      <x:c r="I110" s="24" t="str">
        <x:v>1. Preparar el estado. 2. Ejecutar la acción o transición. 3. Observar estado, UI y logs. 4. Comparar precondición y postcondición.</x:v>
      </x:c>
      <x:c r="J110" s="24" t="str">
        <x:v>Un placement inválido no cobra ni ocupa.</x:v>
      </x:c>
      <x:c r="K110" s="24" t="str">
        <x:v>Funcional</x:v>
      </x:c>
      <x:c r="L110" s="24" t="str">
        <x:v>EditMode + Integración</x:v>
      </x:c>
      <x:c r="M110" s="24" t="str">
        <x:v>P1</x:v>
      </x:c>
      <x:c r="N110" s="24" t="str">
        <x:v>S2</x:v>
      </x:c>
      <x:c r="O110" s="24" t="str">
        <x:v>Parcial/Alta</x:v>
      </x:c>
      <x:c r="P110" s="24" t="str">
        <x:v>StoreInitial</x:v>
      </x:c>
      <x:c r="Q110" s="24" t="str">
        <x:v>Sprint 17 / H6</x:v>
      </x:c>
      <x:c r="R110" s="24" t="str">
        <x:v>Ready</x:v>
      </x:c>
      <x:c r="S110" s="24" t="str">
        <x:v>VRM Games</x:v>
      </x:c>
      <x:c r="T110" s="24" t="str">
        <x:v>05_UX_Flow.md</x:v>
      </x:c>
      <x:c r="U110" s="24" t="str">
        <x:v>BLD;regresión;trazable</x:v>
      </x:c>
    </x:row>
    <x:row r="111" ht="48" customHeight="1">
      <x:c r="A111" s="24" t="str">
        <x:v>TC-UX-BLD-006</x:v>
      </x:c>
      <x:c r="B111" s="24" t="str">
        <x:v>Construcción</x:v>
      </x:c>
      <x:c r="C111" s="24" t="str">
        <x:v>BLD</x:v>
      </x:c>
      <x:c r="D111" s="24" t="str">
        <x:v>UX-BLD-006</x:v>
      </x:c>
      <x:c r="E111" s="24" t="str">
        <x:v>Cancelar movimiento restaura estado anterior</x:v>
      </x:c>
      <x:c r="F111" s="24" t="str">
        <x:v>Verificar que se cumple: Cancelar movimiento restaura estado anterior.</x:v>
      </x:c>
      <x:c r="G111" s="24" t="str">
        <x:v>Baseline válida; estado inicial reproducible; datos de prueba preparados.</x:v>
      </x:c>
      <x:c r="H111" s="24" t="str">
        <x:v>Dataset nominal y, cuando aplique, valores límite o inválidos.</x:v>
      </x:c>
      <x:c r="I111" s="24" t="str">
        <x:v>1. Preparar el estado. 2. Ejecutar la acción o transición. 3. Observar estado, UI y logs. 4. Comparar precondición y postcondición.</x:v>
      </x:c>
      <x:c r="J111" s="24" t="str">
        <x:v>Cancelar movimiento restaura estado anterior.</x:v>
      </x:c>
      <x:c r="K111" s="24" t="str">
        <x:v>Funcional</x:v>
      </x:c>
      <x:c r="L111" s="24" t="str">
        <x:v>EditMode + Integración</x:v>
      </x:c>
      <x:c r="M111" s="24" t="str">
        <x:v>P1</x:v>
      </x:c>
      <x:c r="N111" s="24" t="str">
        <x:v>S2</x:v>
      </x:c>
      <x:c r="O111" s="24" t="str">
        <x:v>Parcial/Alta</x:v>
      </x:c>
      <x:c r="P111" s="24" t="str">
        <x:v>StoreInitial</x:v>
      </x:c>
      <x:c r="Q111" s="24" t="str">
        <x:v>Sprint 17 / H6</x:v>
      </x:c>
      <x:c r="R111" s="24" t="str">
        <x:v>Ready</x:v>
      </x:c>
      <x:c r="S111" s="24" t="str">
        <x:v>VRM Games</x:v>
      </x:c>
      <x:c r="T111" s="24" t="str">
        <x:v>05_UX_Flow.md</x:v>
      </x:c>
      <x:c r="U111" s="24" t="str">
        <x:v>BLD;regresión;trazable</x:v>
      </x:c>
    </x:row>
    <x:row r="112" ht="48" customHeight="1">
      <x:c r="A112" s="24" t="str">
        <x:v>TC-UX-BLD-007</x:v>
      </x:c>
      <x:c r="B112" s="24" t="str">
        <x:v>Construcción</x:v>
      </x:c>
      <x:c r="C112" s="24" t="str">
        <x:v>BLD</x:v>
      </x:c>
      <x:c r="D112" s="24" t="str">
        <x:v>UX-BLD-007</x:v>
      </x:c>
      <x:c r="E112" s="24" t="str">
        <x:v>Retirar no destruye stock silenciosamente</x:v>
      </x:c>
      <x:c r="F112" s="24" t="str">
        <x:v>Verificar que se cumple: Retirar no destruye stock silenciosamente.</x:v>
      </x:c>
      <x:c r="G112" s="24" t="str">
        <x:v>Baseline válida; estado inicial reproducible; datos de prueba preparados.</x:v>
      </x:c>
      <x:c r="H112" s="24" t="str">
        <x:v>Dataset nominal y, cuando aplique, valores límite o inválidos.</x:v>
      </x:c>
      <x:c r="I112" s="24" t="str">
        <x:v>1. Preparar el estado. 2. Ejecutar la acción o transición. 3. Observar estado, UI y logs. 4. Comparar precondición y postcondición.</x:v>
      </x:c>
      <x:c r="J112" s="24" t="str">
        <x:v>Retirar no destruye stock silenciosamente.</x:v>
      </x:c>
      <x:c r="K112" s="24" t="str">
        <x:v>Funcional</x:v>
      </x:c>
      <x:c r="L112" s="24" t="str">
        <x:v>EditMode + Integración</x:v>
      </x:c>
      <x:c r="M112" s="24" t="str">
        <x:v>P1</x:v>
      </x:c>
      <x:c r="N112" s="24" t="str">
        <x:v>S2</x:v>
      </x:c>
      <x:c r="O112" s="24" t="str">
        <x:v>Parcial/Alta</x:v>
      </x:c>
      <x:c r="P112" s="24" t="str">
        <x:v>StoreInitial</x:v>
      </x:c>
      <x:c r="Q112" s="24" t="str">
        <x:v>Sprint 17 / H6</x:v>
      </x:c>
      <x:c r="R112" s="24" t="str">
        <x:v>Ready</x:v>
      </x:c>
      <x:c r="S112" s="24" t="str">
        <x:v>VRM Games</x:v>
      </x:c>
      <x:c r="T112" s="24" t="str">
        <x:v>05_UX_Flow.md</x:v>
      </x:c>
      <x:c r="U112" s="24" t="str">
        <x:v>BLD;regresión;trazable</x:v>
      </x:c>
    </x:row>
    <x:row r="113" ht="48" customHeight="1">
      <x:c r="A113" s="24" t="str">
        <x:v>TC-UX-BLD-008</x:v>
      </x:c>
      <x:c r="B113" s="24" t="str">
        <x:v>Construcción</x:v>
      </x:c>
      <x:c r="C113" s="24" t="str">
        <x:v>BLD</x:v>
      </x:c>
      <x:c r="D113" s="24" t="str">
        <x:v>UX-BLD-008</x:v>
      </x:c>
      <x:c r="E113" s="24" t="str">
        <x:v>El feedback no depende solo del color</x:v>
      </x:c>
      <x:c r="F113" s="24" t="str">
        <x:v>Verificar que se cumple: El feedback no depende solo del color.</x:v>
      </x:c>
      <x:c r="G113" s="24" t="str">
        <x:v>Baseline válida; estado inicial reproducible; datos de prueba preparados.</x:v>
      </x:c>
      <x:c r="H113" s="24" t="str">
        <x:v>Dataset nominal y, cuando aplique, valores límite o inválidos.</x:v>
      </x:c>
      <x:c r="I113" s="24" t="str">
        <x:v>1. Preparar el estado. 2. Ejecutar la acción o transición. 3. Observar estado, UI y logs. 4. Comparar precondición y postcondición.</x:v>
      </x:c>
      <x:c r="J113" s="24" t="str">
        <x:v>El feedback no depende solo del color.</x:v>
      </x:c>
      <x:c r="K113" s="24" t="str">
        <x:v>Funcional</x:v>
      </x:c>
      <x:c r="L113" s="24" t="str">
        <x:v>EditMode + Integración</x:v>
      </x:c>
      <x:c r="M113" s="24" t="str">
        <x:v>P1</x:v>
      </x:c>
      <x:c r="N113" s="24" t="str">
        <x:v>S2</x:v>
      </x:c>
      <x:c r="O113" s="24" t="str">
        <x:v>Parcial/Alta</x:v>
      </x:c>
      <x:c r="P113" s="24" t="str">
        <x:v>StoreInitial</x:v>
      </x:c>
      <x:c r="Q113" s="24" t="str">
        <x:v>Sprint 17 / H6</x:v>
      </x:c>
      <x:c r="R113" s="24" t="str">
        <x:v>Ready</x:v>
      </x:c>
      <x:c r="S113" s="24" t="str">
        <x:v>VRM Games</x:v>
      </x:c>
      <x:c r="T113" s="24" t="str">
        <x:v>05_UX_Flow.md</x:v>
      </x:c>
      <x:c r="U113" s="24" t="str">
        <x:v>BLD;regresión;trazable</x:v>
      </x:c>
    </x:row>
    <x:row r="114" ht="48" customHeight="1">
      <x:c r="A114" s="24" t="str">
        <x:v>TC-UX-BLD-009</x:v>
      </x:c>
      <x:c r="B114" s="24" t="str">
        <x:v>Construcción</x:v>
      </x:c>
      <x:c r="C114" s="24" t="str">
        <x:v>BLD</x:v>
      </x:c>
      <x:c r="D114" s="24" t="str">
        <x:v>UX-BLD-009</x:v>
      </x:c>
      <x:c r="E114" s="24" t="str">
        <x:v>Cerrar BuildMode no produce clic de mundo</x:v>
      </x:c>
      <x:c r="F114" s="24" t="str">
        <x:v>Verificar que se cumple: Cerrar BuildMode no produce clic de mundo.</x:v>
      </x:c>
      <x:c r="G114" s="24" t="str">
        <x:v>Baseline válida; estado inicial reproducible; datos de prueba preparados.</x:v>
      </x:c>
      <x:c r="H114" s="24" t="str">
        <x:v>Dataset nominal y, cuando aplique, valores límite o inválidos.</x:v>
      </x:c>
      <x:c r="I114" s="24" t="str">
        <x:v>1. Preparar el estado. 2. Ejecutar la acción o transición. 3. Observar estado, UI y logs. 4. Comparar precondición y postcondición.</x:v>
      </x:c>
      <x:c r="J114" s="24" t="str">
        <x:v>Cerrar BuildMode no produce clic de mundo.</x:v>
      </x:c>
      <x:c r="K114" s="24" t="str">
        <x:v>Funcional</x:v>
      </x:c>
      <x:c r="L114" s="24" t="str">
        <x:v>EditMode + Integración</x:v>
      </x:c>
      <x:c r="M114" s="24" t="str">
        <x:v>P1</x:v>
      </x:c>
      <x:c r="N114" s="24" t="str">
        <x:v>S2</x:v>
      </x:c>
      <x:c r="O114" s="24" t="str">
        <x:v>Parcial/Alta</x:v>
      </x:c>
      <x:c r="P114" s="24" t="str">
        <x:v>StoreInitial</x:v>
      </x:c>
      <x:c r="Q114" s="24" t="str">
        <x:v>Sprint 17 / H6</x:v>
      </x:c>
      <x:c r="R114" s="24" t="str">
        <x:v>Ready</x:v>
      </x:c>
      <x:c r="S114" s="24" t="str">
        <x:v>VRM Games</x:v>
      </x:c>
      <x:c r="T114" s="24" t="str">
        <x:v>05_UX_Flow.md</x:v>
      </x:c>
      <x:c r="U114" s="24" t="str">
        <x:v>BLD;regresión;trazable</x:v>
      </x:c>
    </x:row>
    <x:row r="115" ht="48" customHeight="1">
      <x:c r="A115" s="24" t="str">
        <x:v>TC-UX-ORD-001</x:v>
      </x:c>
      <x:c r="B115" s="24" t="str">
        <x:v>Pedidos y entregas</x:v>
      </x:c>
      <x:c r="C115" s="24" t="str">
        <x:v>ORD</x:v>
      </x:c>
      <x:c r="D115" s="24" t="str">
        <x:v>UX-ORD-001</x:v>
      </x:c>
      <x:c r="E115" s="24" t="str">
        <x:v>El pedido muestra total antes de confirmar</x:v>
      </x:c>
      <x:c r="F115" s="24" t="str">
        <x:v>Verificar que se cumple: El pedido muestra total antes de confirmar.</x:v>
      </x:c>
      <x:c r="G115" s="24" t="str">
        <x:v>Baseline válida; estado inicial reproducible; datos de prueba preparados.</x:v>
      </x:c>
      <x:c r="H115" s="24" t="str">
        <x:v>Dataset nominal y, cuando aplique, valores límite o inválidos.</x:v>
      </x:c>
      <x:c r="I115" s="24" t="str">
        <x:v>1. Preparar el estado. 2. Ejecutar la acción o transición. 3. Observar estado, UI y logs. 4. Comparar precondición y postcondición.</x:v>
      </x:c>
      <x:c r="J115" s="24" t="str">
        <x:v>El pedido muestra total antes de confirmar.</x:v>
      </x:c>
      <x:c r="K115" s="24" t="str">
        <x:v>Funcional</x:v>
      </x:c>
      <x:c r="L115" s="24" t="str">
        <x:v>EditMode + Integración</x:v>
      </x:c>
      <x:c r="M115" s="24" t="str">
        <x:v>P2</x:v>
      </x:c>
      <x:c r="N115" s="24" t="str">
        <x:v>S3</x:v>
      </x:c>
      <x:c r="O115" s="24" t="str">
        <x:v>Parcial/Alta</x:v>
      </x:c>
      <x:c r="P115" s="24" t="str">
        <x:v>StoreInitial</x:v>
      </x:c>
      <x:c r="Q115" s="24" t="str">
        <x:v>Sprint 17 / H6</x:v>
      </x:c>
      <x:c r="R115" s="24" t="str">
        <x:v>Ready</x:v>
      </x:c>
      <x:c r="S115" s="24" t="str">
        <x:v>VRM Games</x:v>
      </x:c>
      <x:c r="T115" s="24" t="str">
        <x:v>05_UX_Flow.md</x:v>
      </x:c>
      <x:c r="U115" s="24" t="str">
        <x:v>ORD;regresión;trazable</x:v>
      </x:c>
    </x:row>
    <x:row r="116" ht="48" customHeight="1">
      <x:c r="A116" s="24" t="str">
        <x:v>TC-UX-ORD-002</x:v>
      </x:c>
      <x:c r="B116" s="24" t="str">
        <x:v>Pedidos y entregas</x:v>
      </x:c>
      <x:c r="C116" s="24" t="str">
        <x:v>ORD</x:v>
      </x:c>
      <x:c r="D116" s="24" t="str">
        <x:v>UX-ORD-002</x:v>
      </x:c>
      <x:c r="E116" s="24" t="str">
        <x:v>Saldo insuficiente se explica</x:v>
      </x:c>
      <x:c r="F116" s="24" t="str">
        <x:v>Verificar que se cumple: Saldo insuficiente se explica.</x:v>
      </x:c>
      <x:c r="G116" s="24" t="str">
        <x:v>Baseline válida; estado inicial reproducible; datos de prueba preparados.</x:v>
      </x:c>
      <x:c r="H116" s="24" t="str">
        <x:v>Dataset nominal y, cuando aplique, valores límite o inválidos.</x:v>
      </x:c>
      <x:c r="I116" s="24" t="str">
        <x:v>1. Preparar el estado. 2. Ejecutar la acción o transición. 3. Observar estado, UI y logs. 4. Comparar precondición y postcondición.</x:v>
      </x:c>
      <x:c r="J116" s="24" t="str">
        <x:v>Saldo insuficiente se explica.</x:v>
      </x:c>
      <x:c r="K116" s="24" t="str">
        <x:v>Funcional</x:v>
      </x:c>
      <x:c r="L116" s="24" t="str">
        <x:v>EditMode + Integración</x:v>
      </x:c>
      <x:c r="M116" s="24" t="str">
        <x:v>P2</x:v>
      </x:c>
      <x:c r="N116" s="24" t="str">
        <x:v>S3</x:v>
      </x:c>
      <x:c r="O116" s="24" t="str">
        <x:v>Parcial/Alta</x:v>
      </x:c>
      <x:c r="P116" s="24" t="str">
        <x:v>StoreInitial</x:v>
      </x:c>
      <x:c r="Q116" s="24" t="str">
        <x:v>Sprint 17 / H6</x:v>
      </x:c>
      <x:c r="R116" s="24" t="str">
        <x:v>Ready</x:v>
      </x:c>
      <x:c r="S116" s="24" t="str">
        <x:v>VRM Games</x:v>
      </x:c>
      <x:c r="T116" s="24" t="str">
        <x:v>05_UX_Flow.md</x:v>
      </x:c>
      <x:c r="U116" s="24" t="str">
        <x:v>ORD;regresión;trazable</x:v>
      </x:c>
    </x:row>
    <x:row r="117" ht="48" customHeight="1">
      <x:c r="A117" s="24" t="str">
        <x:v>TC-UX-ORD-003</x:v>
      </x:c>
      <x:c r="B117" s="24" t="str">
        <x:v>Pedidos y entregas</x:v>
      </x:c>
      <x:c r="C117" s="24" t="str">
        <x:v>ORD</x:v>
      </x:c>
      <x:c r="D117" s="24" t="str">
        <x:v>UX-ORD-003</x:v>
      </x:c>
      <x:c r="E117" s="24" t="str">
        <x:v>La recepción no puede repetirse</x:v>
      </x:c>
      <x:c r="F117" s="24" t="str">
        <x:v>Verificar que se cumple: La recepción no puede repetirse.</x:v>
      </x:c>
      <x:c r="G117" s="24" t="str">
        <x:v>Baseline válida; estado inicial reproducible; datos de prueba preparados.</x:v>
      </x:c>
      <x:c r="H117" s="24" t="str">
        <x:v>Dataset nominal y, cuando aplique, valores límite o inválidos.</x:v>
      </x:c>
      <x:c r="I117" s="24" t="str">
        <x:v>1. Preparar el estado. 2. Ejecutar la acción o transición. 3. Observar estado, UI y logs. 4. Comparar precondición y postcondición.</x:v>
      </x:c>
      <x:c r="J117" s="24" t="str">
        <x:v>La recepción no puede repetirse.</x:v>
      </x:c>
      <x:c r="K117" s="24" t="str">
        <x:v>Funcional</x:v>
      </x:c>
      <x:c r="L117" s="24" t="str">
        <x:v>EditMode + Integración</x:v>
      </x:c>
      <x:c r="M117" s="24" t="str">
        <x:v>P2</x:v>
      </x:c>
      <x:c r="N117" s="24" t="str">
        <x:v>S3</x:v>
      </x:c>
      <x:c r="O117" s="24" t="str">
        <x:v>Parcial/Alta</x:v>
      </x:c>
      <x:c r="P117" s="24" t="str">
        <x:v>StoreInitial</x:v>
      </x:c>
      <x:c r="Q117" s="24" t="str">
        <x:v>Sprint 17 / H6</x:v>
      </x:c>
      <x:c r="R117" s="24" t="str">
        <x:v>Ready</x:v>
      </x:c>
      <x:c r="S117" s="24" t="str">
        <x:v>VRM Games</x:v>
      </x:c>
      <x:c r="T117" s="24" t="str">
        <x:v>05_UX_Flow.md</x:v>
      </x:c>
      <x:c r="U117" s="24" t="str">
        <x:v>ORD;regresión;trazable</x:v>
      </x:c>
    </x:row>
    <x:row r="118" ht="48" customHeight="1">
      <x:c r="A118" s="24" t="str">
        <x:v>TC-UX-INV-001</x:v>
      </x:c>
      <x:c r="B118" s="24" t="str">
        <x:v>Inventario</x:v>
      </x:c>
      <x:c r="C118" s="24" t="str">
        <x:v>INV</x:v>
      </x:c>
      <x:c r="D118" s="24" t="str">
        <x:v>UX-INV-001</x:v>
      </x:c>
      <x:c r="E118" s="24" t="str">
        <x:v>La UI distingue ubicaciones de stock</x:v>
      </x:c>
      <x:c r="F118" s="24" t="str">
        <x:v>Verificar que se cumple: La UI distingue ubicaciones de stock.</x:v>
      </x:c>
      <x:c r="G118" s="24" t="str">
        <x:v>Baseline válida; estado inicial reproducible; datos de prueba preparados.</x:v>
      </x:c>
      <x:c r="H118" s="24" t="str">
        <x:v>Dataset nominal y, cuando aplique, valores límite o inválidos.</x:v>
      </x:c>
      <x:c r="I118" s="24" t="str">
        <x:v>1. Preparar el estado. 2. Ejecutar la acción o transición. 3. Observar estado, UI y logs. 4. Comparar precondición y postcondición.</x:v>
      </x:c>
      <x:c r="J118" s="24" t="str">
        <x:v>La UI distingue ubicaciones de stock.</x:v>
      </x:c>
      <x:c r="K118" s="24" t="str">
        <x:v>Funcional</x:v>
      </x:c>
      <x:c r="L118" s="24" t="str">
        <x:v>EditMode + Integración</x:v>
      </x:c>
      <x:c r="M118" s="24" t="str">
        <x:v>P0</x:v>
      </x:c>
      <x:c r="N118" s="24" t="str">
        <x:v>S1</x:v>
      </x:c>
      <x:c r="O118" s="24" t="str">
        <x:v>Parcial/Alta</x:v>
      </x:c>
      <x:c r="P118" s="24" t="str">
        <x:v>StoreInitial</x:v>
      </x:c>
      <x:c r="Q118" s="24" t="str">
        <x:v>Sprint 17 / H6</x:v>
      </x:c>
      <x:c r="R118" s="24" t="str">
        <x:v>Ready</x:v>
      </x:c>
      <x:c r="S118" s="24" t="str">
        <x:v>VRM Games</x:v>
      </x:c>
      <x:c r="T118" s="24" t="str">
        <x:v>05_UX_Flow.md</x:v>
      </x:c>
      <x:c r="U118" s="24" t="str">
        <x:v>INV;regresión;trazable</x:v>
      </x:c>
    </x:row>
    <x:row r="119" ht="48" customHeight="1">
      <x:c r="A119" s="24" t="str">
        <x:v>TC-UX-INV-002</x:v>
      </x:c>
      <x:c r="B119" s="24" t="str">
        <x:v>Inventario</x:v>
      </x:c>
      <x:c r="C119" s="24" t="str">
        <x:v>INV</x:v>
      </x:c>
      <x:c r="D119" s="24" t="str">
        <x:v>UX-INV-002</x:v>
      </x:c>
      <x:c r="E119" s="24" t="str">
        <x:v>Transferir valida origen, destino y cantidad</x:v>
      </x:c>
      <x:c r="F119" s="24" t="str">
        <x:v>Verificar que se cumple: Transferir valida origen, destino y cantidad.</x:v>
      </x:c>
      <x:c r="G119" s="24" t="str">
        <x:v>Baseline válida; estado inicial reproducible; datos de prueba preparados.</x:v>
      </x:c>
      <x:c r="H119" s="24" t="str">
        <x:v>Dataset nominal y, cuando aplique, valores límite o inválidos.</x:v>
      </x:c>
      <x:c r="I119" s="24" t="str">
        <x:v>1. Preparar el estado. 2. Ejecutar la acción o transición. 3. Observar estado, UI y logs. 4. Comparar precondición y postcondición.</x:v>
      </x:c>
      <x:c r="J119" s="24" t="str">
        <x:v>Transferir valida origen, destino y cantidad.</x:v>
      </x:c>
      <x:c r="K119" s="24" t="str">
        <x:v>Funcional</x:v>
      </x:c>
      <x:c r="L119" s="24" t="str">
        <x:v>EditMode + Integración</x:v>
      </x:c>
      <x:c r="M119" s="24" t="str">
        <x:v>P0</x:v>
      </x:c>
      <x:c r="N119" s="24" t="str">
        <x:v>S1</x:v>
      </x:c>
      <x:c r="O119" s="24" t="str">
        <x:v>Parcial/Alta</x:v>
      </x:c>
      <x:c r="P119" s="24" t="str">
        <x:v>StoreInitial</x:v>
      </x:c>
      <x:c r="Q119" s="24" t="str">
        <x:v>Sprint 17 / H6</x:v>
      </x:c>
      <x:c r="R119" s="24" t="str">
        <x:v>Ready</x:v>
      </x:c>
      <x:c r="S119" s="24" t="str">
        <x:v>VRM Games</x:v>
      </x:c>
      <x:c r="T119" s="24" t="str">
        <x:v>05_UX_Flow.md</x:v>
      </x:c>
      <x:c r="U119" s="24" t="str">
        <x:v>INV;regresión;trazable</x:v>
      </x:c>
    </x:row>
    <x:row r="120" ht="48" customHeight="1">
      <x:c r="A120" s="24" t="str">
        <x:v>TC-UX-INV-003</x:v>
      </x:c>
      <x:c r="B120" s="24" t="str">
        <x:v>Inventario</x:v>
      </x:c>
      <x:c r="C120" s="24" t="str">
        <x:v>INV</x:v>
      </x:c>
      <x:c r="D120" s="24" t="str">
        <x:v>UX-INV-003</x:v>
      </x:c>
      <x:c r="E120" s="24" t="str">
        <x:v>Una transferencia falla sin estado parcial</x:v>
      </x:c>
      <x:c r="F120" s="24" t="str">
        <x:v>Verificar que se cumple: Una transferencia falla sin estado parcial.</x:v>
      </x:c>
      <x:c r="G120" s="24" t="str">
        <x:v>Baseline válida; estado inicial reproducible; datos de prueba preparados.</x:v>
      </x:c>
      <x:c r="H120" s="24" t="str">
        <x:v>Dataset nominal y, cuando aplique, valores límite o inválidos.</x:v>
      </x:c>
      <x:c r="I120" s="24" t="str">
        <x:v>1. Preparar el estado. 2. Ejecutar la acción o transición. 3. Observar estado, UI y logs. 4. Comparar precondición y postcondición.</x:v>
      </x:c>
      <x:c r="J120" s="24" t="str">
        <x:v>Una transferencia falla sin estado parcial.</x:v>
      </x:c>
      <x:c r="K120" s="24" t="str">
        <x:v>Funcional</x:v>
      </x:c>
      <x:c r="L120" s="24" t="str">
        <x:v>EditMode + Integración</x:v>
      </x:c>
      <x:c r="M120" s="24" t="str">
        <x:v>P0</x:v>
      </x:c>
      <x:c r="N120" s="24" t="str">
        <x:v>S1</x:v>
      </x:c>
      <x:c r="O120" s="24" t="str">
        <x:v>Parcial/Alta</x:v>
      </x:c>
      <x:c r="P120" s="24" t="str">
        <x:v>StoreInitial</x:v>
      </x:c>
      <x:c r="Q120" s="24" t="str">
        <x:v>Sprint 17 / H6</x:v>
      </x:c>
      <x:c r="R120" s="24" t="str">
        <x:v>Ready</x:v>
      </x:c>
      <x:c r="S120" s="24" t="str">
        <x:v>VRM Games</x:v>
      </x:c>
      <x:c r="T120" s="24" t="str">
        <x:v>05_UX_Flow.md</x:v>
      </x:c>
      <x:c r="U120" s="24" t="str">
        <x:v>INV;regresión;trazable</x:v>
      </x:c>
    </x:row>
    <x:row r="121" ht="48" customHeight="1">
      <x:c r="A121" s="24" t="str">
        <x:v>TC-UX-INV-004</x:v>
      </x:c>
      <x:c r="B121" s="24" t="str">
        <x:v>Inventario</x:v>
      </x:c>
      <x:c r="C121" s="24" t="str">
        <x:v>INV</x:v>
      </x:c>
      <x:c r="D121" s="24" t="str">
        <x:v>UX-INV-004</x:v>
      </x:c>
      <x:c r="E121" s="24" t="str">
        <x:v>Los estados vacíos sugieren siguiente acción</x:v>
      </x:c>
      <x:c r="F121" s="24" t="str">
        <x:v>Verificar que se cumple: Los estados vacíos sugieren siguiente acción.</x:v>
      </x:c>
      <x:c r="G121" s="24" t="str">
        <x:v>Baseline válida; estado inicial reproducible; datos de prueba preparados.</x:v>
      </x:c>
      <x:c r="H121" s="24" t="str">
        <x:v>Dataset nominal y, cuando aplique, valores límite o inválidos.</x:v>
      </x:c>
      <x:c r="I121" s="24" t="str">
        <x:v>1. Preparar el estado. 2. Ejecutar la acción o transición. 3. Observar estado, UI y logs. 4. Comparar precondición y postcondición.</x:v>
      </x:c>
      <x:c r="J121" s="24" t="str">
        <x:v>Los estados vacíos sugieren siguiente acción.</x:v>
      </x:c>
      <x:c r="K121" s="24" t="str">
        <x:v>Funcional</x:v>
      </x:c>
      <x:c r="L121" s="24" t="str">
        <x:v>EditMode + Integración</x:v>
      </x:c>
      <x:c r="M121" s="24" t="str">
        <x:v>P0</x:v>
      </x:c>
      <x:c r="N121" s="24" t="str">
        <x:v>S1</x:v>
      </x:c>
      <x:c r="O121" s="24" t="str">
        <x:v>Parcial/Alta</x:v>
      </x:c>
      <x:c r="P121" s="24" t="str">
        <x:v>StoreInitial</x:v>
      </x:c>
      <x:c r="Q121" s="24" t="str">
        <x:v>Sprint 17 / H6</x:v>
      </x:c>
      <x:c r="R121" s="24" t="str">
        <x:v>Ready</x:v>
      </x:c>
      <x:c r="S121" s="24" t="str">
        <x:v>VRM Games</x:v>
      </x:c>
      <x:c r="T121" s="24" t="str">
        <x:v>05_UX_Flow.md</x:v>
      </x:c>
      <x:c r="U121" s="24" t="str">
        <x:v>INV;regresión;trazable</x:v>
      </x:c>
    </x:row>
    <x:row r="122" ht="48" customHeight="1">
      <x:c r="A122" s="24" t="str">
        <x:v>TC-UX-DSP-001</x:v>
      </x:c>
      <x:c r="B122" s="24" t="str">
        <x:v>Displays y reposición</x:v>
      </x:c>
      <x:c r="C122" s="24" t="str">
        <x:v>DSP</x:v>
      </x:c>
      <x:c r="D122" s="24" t="str">
        <x:v>UX-DSP-001</x:v>
      </x:c>
      <x:c r="E122" s="24" t="str">
        <x:v>Asignar producto no crea stock</x:v>
      </x:c>
      <x:c r="F122" s="24" t="str">
        <x:v>Verificar que se cumple: Asignar producto no crea stock.</x:v>
      </x:c>
      <x:c r="G122" s="24" t="str">
        <x:v>Baseline válida; estado inicial reproducible; datos de prueba preparados.</x:v>
      </x:c>
      <x:c r="H122" s="24" t="str">
        <x:v>Dataset nominal y, cuando aplique, valores límite o inválidos.</x:v>
      </x:c>
      <x:c r="I122" s="24" t="str">
        <x:v>1. Preparar el estado. 2. Ejecutar la acción o transición. 3. Observar estado, UI y logs. 4. Comparar precondición y postcondición.</x:v>
      </x:c>
      <x:c r="J122" s="24" t="str">
        <x:v>Asignar producto no crea stock.</x:v>
      </x:c>
      <x:c r="K122" s="24" t="str">
        <x:v>Funcional</x:v>
      </x:c>
      <x:c r="L122" s="24" t="str">
        <x:v>Revisión</x:v>
      </x:c>
      <x:c r="M122" s="24" t="str">
        <x:v>P2</x:v>
      </x:c>
      <x:c r="N122" s="24" t="str">
        <x:v>S3</x:v>
      </x:c>
      <x:c r="O122" s="24" t="str">
        <x:v>Parcial</x:v>
      </x:c>
      <x:c r="P122" s="24" t="str">
        <x:v>StoreInitial</x:v>
      </x:c>
      <x:c r="Q122" s="24" t="str">
        <x:v>Sprint 17 / H6</x:v>
      </x:c>
      <x:c r="R122" s="24" t="str">
        <x:v>Ready</x:v>
      </x:c>
      <x:c r="S122" s="24" t="str">
        <x:v>VRM Games</x:v>
      </x:c>
      <x:c r="T122" s="24" t="str">
        <x:v>05_UX_Flow.md</x:v>
      </x:c>
      <x:c r="U122" s="24" t="str">
        <x:v>DSP;regresión;trazable</x:v>
      </x:c>
    </x:row>
    <x:row r="123" ht="48" customHeight="1">
      <x:c r="A123" s="24" t="str">
        <x:v>TC-UX-DSP-002</x:v>
      </x:c>
      <x:c r="B123" s="24" t="str">
        <x:v>Displays y reposición</x:v>
      </x:c>
      <x:c r="C123" s="24" t="str">
        <x:v>DSP</x:v>
      </x:c>
      <x:c r="D123" s="24" t="str">
        <x:v>UX-DSP-002</x:v>
      </x:c>
      <x:c r="E123" s="24" t="str">
        <x:v>Reasignar preserva unidades</x:v>
      </x:c>
      <x:c r="F123" s="24" t="str">
        <x:v>Verificar que se cumple: Reasignar preserva unidades.</x:v>
      </x:c>
      <x:c r="G123" s="24" t="str">
        <x:v>Baseline válida; estado inicial reproducible; datos de prueba preparados.</x:v>
      </x:c>
      <x:c r="H123" s="24" t="str">
        <x:v>Dataset nominal y, cuando aplique, valores límite o inválidos.</x:v>
      </x:c>
      <x:c r="I123" s="24" t="str">
        <x:v>1. Preparar el estado. 2. Ejecutar la acción o transición. 3. Observar estado, UI y logs. 4. Comparar precondición y postcondición.</x:v>
      </x:c>
      <x:c r="J123" s="24" t="str">
        <x:v>Reasignar preserva unidades.</x:v>
      </x:c>
      <x:c r="K123" s="24" t="str">
        <x:v>Funcional</x:v>
      </x:c>
      <x:c r="L123" s="24" t="str">
        <x:v>Revisión</x:v>
      </x:c>
      <x:c r="M123" s="24" t="str">
        <x:v>P2</x:v>
      </x:c>
      <x:c r="N123" s="24" t="str">
        <x:v>S3</x:v>
      </x:c>
      <x:c r="O123" s="24" t="str">
        <x:v>Parcial</x:v>
      </x:c>
      <x:c r="P123" s="24" t="str">
        <x:v>StoreInitial</x:v>
      </x:c>
      <x:c r="Q123" s="24" t="str">
        <x:v>Sprint 17 / H6</x:v>
      </x:c>
      <x:c r="R123" s="24" t="str">
        <x:v>Ready</x:v>
      </x:c>
      <x:c r="S123" s="24" t="str">
        <x:v>VRM Games</x:v>
      </x:c>
      <x:c r="T123" s="24" t="str">
        <x:v>05_UX_Flow.md</x:v>
      </x:c>
      <x:c r="U123" s="24" t="str">
        <x:v>DSP;regresión;trazable</x:v>
      </x:c>
    </x:row>
    <x:row r="124" ht="48" customHeight="1">
      <x:c r="A124" s="24" t="str">
        <x:v>TC-UX-DSP-003</x:v>
      </x:c>
      <x:c r="B124" s="24" t="str">
        <x:v>Displays y reposición</x:v>
      </x:c>
      <x:c r="C124" s="24" t="str">
        <x:v>DSP</x:v>
      </x:c>
      <x:c r="D124" s="24" t="str">
        <x:v>UX-DSP-003</x:v>
      </x:c>
      <x:c r="E124" s="24" t="str">
        <x:v>Reponer actualiza lógica y visual</x:v>
      </x:c>
      <x:c r="F124" s="24" t="str">
        <x:v>Verificar que se cumple: Reponer actualiza lógica y visual.</x:v>
      </x:c>
      <x:c r="G124" s="24" t="str">
        <x:v>Baseline válida; estado inicial reproducible; datos de prueba preparados.</x:v>
      </x:c>
      <x:c r="H124" s="24" t="str">
        <x:v>Dataset nominal y, cuando aplique, valores límite o inválidos.</x:v>
      </x:c>
      <x:c r="I124" s="24" t="str">
        <x:v>1. Preparar el estado. 2. Ejecutar la acción o transición. 3. Observar estado, UI y logs. 4. Comparar precondición y postcondición.</x:v>
      </x:c>
      <x:c r="J124" s="24" t="str">
        <x:v>Reponer actualiza lógica y visual.</x:v>
      </x:c>
      <x:c r="K124" s="24" t="str">
        <x:v>Funcional</x:v>
      </x:c>
      <x:c r="L124" s="24" t="str">
        <x:v>Revisión</x:v>
      </x:c>
      <x:c r="M124" s="24" t="str">
        <x:v>P2</x:v>
      </x:c>
      <x:c r="N124" s="24" t="str">
        <x:v>S3</x:v>
      </x:c>
      <x:c r="O124" s="24" t="str">
        <x:v>Parcial</x:v>
      </x:c>
      <x:c r="P124" s="24" t="str">
        <x:v>StoreInitial</x:v>
      </x:c>
      <x:c r="Q124" s="24" t="str">
        <x:v>Sprint 17 / H6</x:v>
      </x:c>
      <x:c r="R124" s="24" t="str">
        <x:v>Ready</x:v>
      </x:c>
      <x:c r="S124" s="24" t="str">
        <x:v>VRM Games</x:v>
      </x:c>
      <x:c r="T124" s="24" t="str">
        <x:v>05_UX_Flow.md</x:v>
      </x:c>
      <x:c r="U124" s="24" t="str">
        <x:v>DSP;regresión;trazable</x:v>
      </x:c>
    </x:row>
    <x:row r="125" ht="48" customHeight="1">
      <x:c r="A125" s="24" t="str">
        <x:v>TC-UX-DAY-001</x:v>
      </x:c>
      <x:c r="B125" s="24" t="str">
        <x:v>Ciclo diario</x:v>
      </x:c>
      <x:c r="C125" s="24" t="str">
        <x:v>DAY</x:v>
      </x:c>
      <x:c r="D125" s="24" t="str">
        <x:v>UX-DAY-001</x:v>
      </x:c>
      <x:c r="E125" s="24" t="str">
        <x:v>El estado de jornada siempre es visible</x:v>
      </x:c>
      <x:c r="F125" s="24" t="str">
        <x:v>Verificar que se cumple: El estado de jornada siempre es visible.</x:v>
      </x:c>
      <x:c r="G125" s="24" t="str">
        <x:v>Baseline válida; estado inicial reproducible; datos de prueba preparados.</x:v>
      </x:c>
      <x:c r="H125" s="24" t="str">
        <x:v>Dataset nominal y, cuando aplique, valores límite o inválidos.</x:v>
      </x:c>
      <x:c r="I125" s="24" t="str">
        <x:v>1. Preparar el estado. 2. Ejecutar la acción o transición. 3. Observar estado, UI y logs. 4. Comparar precondición y postcondición.</x:v>
      </x:c>
      <x:c r="J125" s="24" t="str">
        <x:v>El estado de jornada siempre es visible.</x:v>
      </x:c>
      <x:c r="K125" s="24" t="str">
        <x:v>Funcional</x:v>
      </x:c>
      <x:c r="L125" s="24" t="str">
        <x:v>EditMode + Integración</x:v>
      </x:c>
      <x:c r="M125" s="24" t="str">
        <x:v>P1</x:v>
      </x:c>
      <x:c r="N125" s="24" t="str">
        <x:v>S2</x:v>
      </x:c>
      <x:c r="O125" s="24" t="str">
        <x:v>Parcial/Alta</x:v>
      </x:c>
      <x:c r="P125" s="24" t="str">
        <x:v>StoreInitial</x:v>
      </x:c>
      <x:c r="Q125" s="24" t="str">
        <x:v>Sprint 17 / H6</x:v>
      </x:c>
      <x:c r="R125" s="24" t="str">
        <x:v>Ready</x:v>
      </x:c>
      <x:c r="S125" s="24" t="str">
        <x:v>VRM Games</x:v>
      </x:c>
      <x:c r="T125" s="24" t="str">
        <x:v>05_UX_Flow.md</x:v>
      </x:c>
      <x:c r="U125" s="24" t="str">
        <x:v>DAY;regresión;trazable</x:v>
      </x:c>
    </x:row>
    <x:row r="126" ht="48" customHeight="1">
      <x:c r="A126" s="24" t="str">
        <x:v>TC-UX-DAY-002</x:v>
      </x:c>
      <x:c r="B126" s="24" t="str">
        <x:v>Ciclo diario</x:v>
      </x:c>
      <x:c r="C126" s="24" t="str">
        <x:v>DAY</x:v>
      </x:c>
      <x:c r="D126" s="24" t="str">
        <x:v>UX-DAY-002</x:v>
      </x:c>
      <x:c r="E126" s="24" t="str">
        <x:v>Abrir valida bloqueos críticos</x:v>
      </x:c>
      <x:c r="F126" s="24" t="str">
        <x:v>Verificar que se cumple: Abrir valida bloqueos críticos.</x:v>
      </x:c>
      <x:c r="G126" s="24" t="str">
        <x:v>Baseline válida; estado inicial reproducible; datos de prueba preparados.</x:v>
      </x:c>
      <x:c r="H126" s="24" t="str">
        <x:v>Dataset nominal y, cuando aplique, valores límite o inválidos.</x:v>
      </x:c>
      <x:c r="I126" s="24" t="str">
        <x:v>1. Preparar el estado. 2. Ejecutar la acción o transición. 3. Observar estado, UI y logs. 4. Comparar precondición y postcondición.</x:v>
      </x:c>
      <x:c r="J126" s="24" t="str">
        <x:v>Abrir valida bloqueos críticos.</x:v>
      </x:c>
      <x:c r="K126" s="24" t="str">
        <x:v>Funcional</x:v>
      </x:c>
      <x:c r="L126" s="24" t="str">
        <x:v>EditMode + Integración</x:v>
      </x:c>
      <x:c r="M126" s="24" t="str">
        <x:v>P0</x:v>
      </x:c>
      <x:c r="N126" s="24" t="str">
        <x:v>S1</x:v>
      </x:c>
      <x:c r="O126" s="24" t="str">
        <x:v>Parcial/Alta</x:v>
      </x:c>
      <x:c r="P126" s="24" t="str">
        <x:v>StoreInitial</x:v>
      </x:c>
      <x:c r="Q126" s="24" t="str">
        <x:v>Sprint 17 / H6</x:v>
      </x:c>
      <x:c r="R126" s="24" t="str">
        <x:v>Ready</x:v>
      </x:c>
      <x:c r="S126" s="24" t="str">
        <x:v>VRM Games</x:v>
      </x:c>
      <x:c r="T126" s="24" t="str">
        <x:v>05_UX_Flow.md</x:v>
      </x:c>
      <x:c r="U126" s="24" t="str">
        <x:v>DAY;regresión;trazable</x:v>
      </x:c>
    </x:row>
    <x:row r="127" ht="48" customHeight="1">
      <x:c r="A127" s="24" t="str">
        <x:v>TC-UX-DAY-003</x:v>
      </x:c>
      <x:c r="B127" s="24" t="str">
        <x:v>Ciclo diario</x:v>
      </x:c>
      <x:c r="C127" s="24" t="str">
        <x:v>DAY</x:v>
      </x:c>
      <x:c r="D127" s="24" t="str">
        <x:v>UX-DAY-003</x:v>
      </x:c>
      <x:c r="E127" s="24" t="str">
        <x:v>Closing bloquea nuevos clientes</x:v>
      </x:c>
      <x:c r="F127" s="24" t="str">
        <x:v>Verificar que se cumple: Closing bloquea nuevos clientes.</x:v>
      </x:c>
      <x:c r="G127" s="24" t="str">
        <x:v>Baseline válida; estado inicial reproducible; datos de prueba preparados.</x:v>
      </x:c>
      <x:c r="H127" s="24" t="str">
        <x:v>Dataset nominal y, cuando aplique, valores límite o inválidos.</x:v>
      </x:c>
      <x:c r="I127" s="24" t="str">
        <x:v>1. Preparar el estado. 2. Ejecutar la acción o transición. 3. Observar estado, UI y logs. 4. Comparar precondición y postcondición.</x:v>
      </x:c>
      <x:c r="J127" s="24" t="str">
        <x:v>Closing bloquea nuevos clientes.</x:v>
      </x:c>
      <x:c r="K127" s="24" t="str">
        <x:v>Funcional</x:v>
      </x:c>
      <x:c r="L127" s="24" t="str">
        <x:v>EditMode + Integración</x:v>
      </x:c>
      <x:c r="M127" s="24" t="str">
        <x:v>P0</x:v>
      </x:c>
      <x:c r="N127" s="24" t="str">
        <x:v>S1</x:v>
      </x:c>
      <x:c r="O127" s="24" t="str">
        <x:v>Parcial/Alta</x:v>
      </x:c>
      <x:c r="P127" s="24" t="str">
        <x:v>StoreInitial</x:v>
      </x:c>
      <x:c r="Q127" s="24" t="str">
        <x:v>Sprint 17 / H6</x:v>
      </x:c>
      <x:c r="R127" s="24" t="str">
        <x:v>Ready</x:v>
      </x:c>
      <x:c r="S127" s="24" t="str">
        <x:v>VRM Games</x:v>
      </x:c>
      <x:c r="T127" s="24" t="str">
        <x:v>05_UX_Flow.md</x:v>
      </x:c>
      <x:c r="U127" s="24" t="str">
        <x:v>DAY;regresión;trazable</x:v>
      </x:c>
    </x:row>
    <x:row r="128" ht="48" customHeight="1">
      <x:c r="A128" s="24" t="str">
        <x:v>TC-UX-DAY-004</x:v>
      </x:c>
      <x:c r="B128" s="24" t="str">
        <x:v>Ciclo diario</x:v>
      </x:c>
      <x:c r="C128" s="24" t="str">
        <x:v>DAY</x:v>
      </x:c>
      <x:c r="D128" s="24" t="str">
        <x:v>UX-DAY-004</x:v>
      </x:c>
      <x:c r="E128" s="24" t="str">
        <x:v>Results espera resolución segura</x:v>
      </x:c>
      <x:c r="F128" s="24" t="str">
        <x:v>Verificar que se cumple: Results espera resolución segura.</x:v>
      </x:c>
      <x:c r="G128" s="24" t="str">
        <x:v>Baseline válida; estado inicial reproducible; datos de prueba preparados.</x:v>
      </x:c>
      <x:c r="H128" s="24" t="str">
        <x:v>Dataset nominal y, cuando aplique, valores límite o inválidos.</x:v>
      </x:c>
      <x:c r="I128" s="24" t="str">
        <x:v>1. Preparar el estado. 2. Ejecutar la acción o transición. 3. Observar estado, UI y logs. 4. Comparar precondición y postcondición.</x:v>
      </x:c>
      <x:c r="J128" s="24" t="str">
        <x:v>Results espera resolución segura.</x:v>
      </x:c>
      <x:c r="K128" s="24" t="str">
        <x:v>Funcional</x:v>
      </x:c>
      <x:c r="L128" s="24" t="str">
        <x:v>EditMode + Integración</x:v>
      </x:c>
      <x:c r="M128" s="24" t="str">
        <x:v>P1</x:v>
      </x:c>
      <x:c r="N128" s="24" t="str">
        <x:v>S2</x:v>
      </x:c>
      <x:c r="O128" s="24" t="str">
        <x:v>Parcial/Alta</x:v>
      </x:c>
      <x:c r="P128" s="24" t="str">
        <x:v>StoreInitial</x:v>
      </x:c>
      <x:c r="Q128" s="24" t="str">
        <x:v>Sprint 17 / H6</x:v>
      </x:c>
      <x:c r="R128" s="24" t="str">
        <x:v>Ready</x:v>
      </x:c>
      <x:c r="S128" s="24" t="str">
        <x:v>VRM Games</x:v>
      </x:c>
      <x:c r="T128" s="24" t="str">
        <x:v>05_UX_Flow.md</x:v>
      </x:c>
      <x:c r="U128" s="24" t="str">
        <x:v>DAY;regresión;trazable</x:v>
      </x:c>
    </x:row>
    <x:row r="129" ht="48" customHeight="1">
      <x:c r="A129" s="24" t="str">
        <x:v>TC-UX-CUS-001</x:v>
      </x:c>
      <x:c r="B129" s="24" t="str">
        <x:v>Clientes</x:v>
      </x:c>
      <x:c r="C129" s="24" t="str">
        <x:v>CUS</x:v>
      </x:c>
      <x:c r="D129" s="24" t="str">
        <x:v>UX-CUS-001</x:v>
      </x:c>
      <x:c r="E129" s="24" t="str">
        <x:v>El cliente comunica intención o problema</x:v>
      </x:c>
      <x:c r="F129" s="24" t="str">
        <x:v>Verificar que se cumple: El cliente comunica intención o problema.</x:v>
      </x:c>
      <x:c r="G129" s="24" t="str">
        <x:v>Baseline válida; estado inicial reproducible; datos de prueba preparados.</x:v>
      </x:c>
      <x:c r="H129" s="24" t="str">
        <x:v>Dataset nominal y, cuando aplique, valores límite o inválidos.</x:v>
      </x:c>
      <x:c r="I129" s="24" t="str">
        <x:v>1. Preparar el estado. 2. Ejecutar la acción o transición. 3. Observar estado, UI y logs. 4. Comparar precondición y postcondición.</x:v>
      </x:c>
      <x:c r="J129" s="24" t="str">
        <x:v>El cliente comunica intención o problema.</x:v>
      </x:c>
      <x:c r="K129" s="24" t="str">
        <x:v>Funcional</x:v>
      </x:c>
      <x:c r="L129" s="24" t="str">
        <x:v>PlayMode + Manual</x:v>
      </x:c>
      <x:c r="M129" s="24" t="str">
        <x:v>P1</x:v>
      </x:c>
      <x:c r="N129" s="24" t="str">
        <x:v>S2</x:v>
      </x:c>
      <x:c r="O129" s="24" t="str">
        <x:v>Parcial</x:v>
      </x:c>
      <x:c r="P129" s="24" t="str">
        <x:v>StoreInitial</x:v>
      </x:c>
      <x:c r="Q129" s="24" t="str">
        <x:v>Sprint 17 / H6</x:v>
      </x:c>
      <x:c r="R129" s="24" t="str">
        <x:v>Ready</x:v>
      </x:c>
      <x:c r="S129" s="24" t="str">
        <x:v>VRM Games</x:v>
      </x:c>
      <x:c r="T129" s="24" t="str">
        <x:v>05_UX_Flow.md</x:v>
      </x:c>
      <x:c r="U129" s="24" t="str">
        <x:v>CUS;regresión;trazable</x:v>
      </x:c>
    </x:row>
    <x:row r="130" ht="48" customHeight="1">
      <x:c r="A130" s="24" t="str">
        <x:v>TC-UX-CUS-002</x:v>
      </x:c>
      <x:c r="B130" s="24" t="str">
        <x:v>Clientes</x:v>
      </x:c>
      <x:c r="C130" s="24" t="str">
        <x:v>CUS</x:v>
      </x:c>
      <x:c r="D130" s="24" t="str">
        <x:v>UX-CUS-002</x:v>
      </x:c>
      <x:c r="E130" s="24" t="str">
        <x:v>La paciencia se anticipa cuando es accionable</x:v>
      </x:c>
      <x:c r="F130" s="24" t="str">
        <x:v>Verificar que se cumple: La paciencia se anticipa cuando es accionable.</x:v>
      </x:c>
      <x:c r="G130" s="24" t="str">
        <x:v>Baseline válida; estado inicial reproducible; datos de prueba preparados.</x:v>
      </x:c>
      <x:c r="H130" s="24" t="str">
        <x:v>Dataset nominal y, cuando aplique, valores límite o inválidos.</x:v>
      </x:c>
      <x:c r="I130" s="24" t="str">
        <x:v>1. Preparar el estado. 2. Ejecutar la acción o transición. 3. Observar estado, UI y logs. 4. Comparar precondición y postcondición.</x:v>
      </x:c>
      <x:c r="J130" s="24" t="str">
        <x:v>La paciencia se anticipa cuando es accionable.</x:v>
      </x:c>
      <x:c r="K130" s="24" t="str">
        <x:v>Funcional</x:v>
      </x:c>
      <x:c r="L130" s="24" t="str">
        <x:v>PlayMode + Manual</x:v>
      </x:c>
      <x:c r="M130" s="24" t="str">
        <x:v>P1</x:v>
      </x:c>
      <x:c r="N130" s="24" t="str">
        <x:v>S2</x:v>
      </x:c>
      <x:c r="O130" s="24" t="str">
        <x:v>Parcial</x:v>
      </x:c>
      <x:c r="P130" s="24" t="str">
        <x:v>StoreInitial</x:v>
      </x:c>
      <x:c r="Q130" s="24" t="str">
        <x:v>Sprint 17 / H6</x:v>
      </x:c>
      <x:c r="R130" s="24" t="str">
        <x:v>Ready</x:v>
      </x:c>
      <x:c r="S130" s="24" t="str">
        <x:v>VRM Games</x:v>
      </x:c>
      <x:c r="T130" s="24" t="str">
        <x:v>05_UX_Flow.md</x:v>
      </x:c>
      <x:c r="U130" s="24" t="str">
        <x:v>CUS;regresión;trazable</x:v>
      </x:c>
    </x:row>
    <x:row r="131" ht="48" customHeight="1">
      <x:c r="A131" s="24" t="str">
        <x:v>TC-UX-CUS-003</x:v>
      </x:c>
      <x:c r="B131" s="24" t="str">
        <x:v>Clientes</x:v>
      </x:c>
      <x:c r="C131" s="24" t="str">
        <x:v>CUS</x:v>
      </x:c>
      <x:c r="D131" s="24" t="str">
        <x:v>UX-CUS-003</x:v>
      </x:c>
      <x:c r="E131" s="24" t="str">
        <x:v>Abandono registra causa</x:v>
      </x:c>
      <x:c r="F131" s="24" t="str">
        <x:v>Verificar que se cumple: Abandono registra causa.</x:v>
      </x:c>
      <x:c r="G131" s="24" t="str">
        <x:v>Baseline válida; estado inicial reproducible; datos de prueba preparados.</x:v>
      </x:c>
      <x:c r="H131" s="24" t="str">
        <x:v>Dataset nominal y, cuando aplique, valores límite o inválidos.</x:v>
      </x:c>
      <x:c r="I131" s="24" t="str">
        <x:v>1. Preparar el estado. 2. Ejecutar la acción o transición. 3. Observar estado, UI y logs. 4. Comparar precondición y postcondición.</x:v>
      </x:c>
      <x:c r="J131" s="24" t="str">
        <x:v>Abandono registra causa.</x:v>
      </x:c>
      <x:c r="K131" s="24" t="str">
        <x:v>Funcional</x:v>
      </x:c>
      <x:c r="L131" s="24" t="str">
        <x:v>PlayMode + Manual</x:v>
      </x:c>
      <x:c r="M131" s="24" t="str">
        <x:v>P1</x:v>
      </x:c>
      <x:c r="N131" s="24" t="str">
        <x:v>S2</x:v>
      </x:c>
      <x:c r="O131" s="24" t="str">
        <x:v>Parcial</x:v>
      </x:c>
      <x:c r="P131" s="24" t="str">
        <x:v>StoreInitial</x:v>
      </x:c>
      <x:c r="Q131" s="24" t="str">
        <x:v>Sprint 17 / H6</x:v>
      </x:c>
      <x:c r="R131" s="24" t="str">
        <x:v>Ready</x:v>
      </x:c>
      <x:c r="S131" s="24" t="str">
        <x:v>VRM Games</x:v>
      </x:c>
      <x:c r="T131" s="24" t="str">
        <x:v>05_UX_Flow.md</x:v>
      </x:c>
      <x:c r="U131" s="24" t="str">
        <x:v>CUS;regresión;trazable</x:v>
      </x:c>
    </x:row>
    <x:row r="132" ht="48" customHeight="1">
      <x:c r="A132" s="24" t="str">
        <x:v>TC-UX-CUS-004</x:v>
      </x:c>
      <x:c r="B132" s="24" t="str">
        <x:v>Clientes</x:v>
      </x:c>
      <x:c r="C132" s="24" t="str">
        <x:v>CUS</x:v>
      </x:c>
      <x:c r="D132" s="24" t="str">
        <x:v>UX-CUS-004</x:v>
      </x:c>
      <x:c r="E132" s="24" t="str">
        <x:v>Cierre libera reservas</x:v>
      </x:c>
      <x:c r="F132" s="24" t="str">
        <x:v>Verificar que se cumple: Cierre libera reservas.</x:v>
      </x:c>
      <x:c r="G132" s="24" t="str">
        <x:v>Baseline válida; estado inicial reproducible; datos de prueba preparados.</x:v>
      </x:c>
      <x:c r="H132" s="24" t="str">
        <x:v>Dataset nominal y, cuando aplique, valores límite o inválidos.</x:v>
      </x:c>
      <x:c r="I132" s="24" t="str">
        <x:v>1. Preparar el estado. 2. Ejecutar la acción o transición. 3. Observar estado, UI y logs. 4. Comparar precondición y postcondición.</x:v>
      </x:c>
      <x:c r="J132" s="24" t="str">
        <x:v>Cierre libera reservas.</x:v>
      </x:c>
      <x:c r="K132" s="24" t="str">
        <x:v>Funcional</x:v>
      </x:c>
      <x:c r="L132" s="24" t="str">
        <x:v>PlayMode + Manual</x:v>
      </x:c>
      <x:c r="M132" s="24" t="str">
        <x:v>P1</x:v>
      </x:c>
      <x:c r="N132" s="24" t="str">
        <x:v>S2</x:v>
      </x:c>
      <x:c r="O132" s="24" t="str">
        <x:v>Parcial</x:v>
      </x:c>
      <x:c r="P132" s="24" t="str">
        <x:v>StoreInitial</x:v>
      </x:c>
      <x:c r="Q132" s="24" t="str">
        <x:v>Sprint 17 / H6</x:v>
      </x:c>
      <x:c r="R132" s="24" t="str">
        <x:v>Ready</x:v>
      </x:c>
      <x:c r="S132" s="24" t="str">
        <x:v>VRM Games</x:v>
      </x:c>
      <x:c r="T132" s="24" t="str">
        <x:v>05_UX_Flow.md</x:v>
      </x:c>
      <x:c r="U132" s="24" t="str">
        <x:v>CUS;regresión;trazable</x:v>
      </x:c>
    </x:row>
    <x:row r="133" ht="48" customHeight="1">
      <x:c r="A133" s="24" t="str">
        <x:v>TC-UX-CUS-005</x:v>
      </x:c>
      <x:c r="B133" s="24" t="str">
        <x:v>Clientes</x:v>
      </x:c>
      <x:c r="C133" s="24" t="str">
        <x:v>CUS</x:v>
      </x:c>
      <x:c r="D133" s="24" t="str">
        <x:v>UX-CUS-005</x:v>
      </x:c>
      <x:c r="E133" s="24" t="str">
        <x:v>Un cliente bloqueado no impide terminar jornada</x:v>
      </x:c>
      <x:c r="F133" s="24" t="str">
        <x:v>Verificar que se cumple: Un cliente bloqueado no impide terminar jornada.</x:v>
      </x:c>
      <x:c r="G133" s="24" t="str">
        <x:v>Baseline válida; estado inicial reproducible; datos de prueba preparados.</x:v>
      </x:c>
      <x:c r="H133" s="24" t="str">
        <x:v>Dataset nominal y, cuando aplique, valores límite o inválidos.</x:v>
      </x:c>
      <x:c r="I133" s="24" t="str">
        <x:v>1. Preparar el estado. 2. Ejecutar la acción o transición. 3. Observar estado, UI y logs. 4. Comparar precondición y postcondición.</x:v>
      </x:c>
      <x:c r="J133" s="24" t="str">
        <x:v>Un cliente bloqueado no impide terminar jornada.</x:v>
      </x:c>
      <x:c r="K133" s="24" t="str">
        <x:v>Funcional</x:v>
      </x:c>
      <x:c r="L133" s="24" t="str">
        <x:v>PlayMode + Manual</x:v>
      </x:c>
      <x:c r="M133" s="24" t="str">
        <x:v>P0</x:v>
      </x:c>
      <x:c r="N133" s="24" t="str">
        <x:v>S1</x:v>
      </x:c>
      <x:c r="O133" s="24" t="str">
        <x:v>Parcial</x:v>
      </x:c>
      <x:c r="P133" s="24" t="str">
        <x:v>StoreInitial</x:v>
      </x:c>
      <x:c r="Q133" s="24" t="str">
        <x:v>Sprint 17 / H6</x:v>
      </x:c>
      <x:c r="R133" s="24" t="str">
        <x:v>Ready</x:v>
      </x:c>
      <x:c r="S133" s="24" t="str">
        <x:v>VRM Games</x:v>
      </x:c>
      <x:c r="T133" s="24" t="str">
        <x:v>05_UX_Flow.md</x:v>
      </x:c>
      <x:c r="U133" s="24" t="str">
        <x:v>CUS;regresión;trazable</x:v>
      </x:c>
    </x:row>
    <x:row r="134" ht="48" customHeight="1">
      <x:c r="A134" s="24" t="str">
        <x:v>TC-UX-CHK-001</x:v>
      </x:c>
      <x:c r="B134" s="24" t="str">
        <x:v>Checkout</x:v>
      </x:c>
      <x:c r="C134" s="24" t="str">
        <x:v>CHK</x:v>
      </x:c>
      <x:c r="D134" s="24" t="str">
        <x:v>UX-CHK-001</x:v>
      </x:c>
      <x:c r="E134" s="24" t="str">
        <x:v>Checkout muestra carrito y total</x:v>
      </x:c>
      <x:c r="F134" s="24" t="str">
        <x:v>Verificar que se cumple: Checkout muestra carrito y total.</x:v>
      </x:c>
      <x:c r="G134" s="24" t="str">
        <x:v>Baseline válida; estado inicial reproducible; datos de prueba preparados.</x:v>
      </x:c>
      <x:c r="H134" s="24" t="str">
        <x:v>Dataset nominal y, cuando aplique, valores límite o inválidos.</x:v>
      </x:c>
      <x:c r="I134" s="24" t="str">
        <x:v>1. Preparar el estado. 2. Ejecutar la acción o transición. 3. Observar estado, UI y logs. 4. Comparar precondición y postcondición.</x:v>
      </x:c>
      <x:c r="J134" s="24" t="str">
        <x:v>Checkout muestra carrito y total.</x:v>
      </x:c>
      <x:c r="K134" s="24" t="str">
        <x:v>Funcional</x:v>
      </x:c>
      <x:c r="L134" s="24" t="str">
        <x:v>EditMode + Integración</x:v>
      </x:c>
      <x:c r="M134" s="24" t="str">
        <x:v>P0</x:v>
      </x:c>
      <x:c r="N134" s="24" t="str">
        <x:v>S1</x:v>
      </x:c>
      <x:c r="O134" s="24" t="str">
        <x:v>Parcial/Alta</x:v>
      </x:c>
      <x:c r="P134" s="24" t="str">
        <x:v>StoreInitial</x:v>
      </x:c>
      <x:c r="Q134" s="24" t="str">
        <x:v>Sprint 17 / H6</x:v>
      </x:c>
      <x:c r="R134" s="24" t="str">
        <x:v>Ready</x:v>
      </x:c>
      <x:c r="S134" s="24" t="str">
        <x:v>VRM Games</x:v>
      </x:c>
      <x:c r="T134" s="24" t="str">
        <x:v>05_UX_Flow.md</x:v>
      </x:c>
      <x:c r="U134" s="24" t="str">
        <x:v>CHK;regresión;trazable</x:v>
      </x:c>
    </x:row>
    <x:row r="135" ht="48" customHeight="1">
      <x:c r="A135" s="24" t="str">
        <x:v>TC-UX-CHK-002</x:v>
      </x:c>
      <x:c r="B135" s="24" t="str">
        <x:v>Checkout</x:v>
      </x:c>
      <x:c r="C135" s="24" t="str">
        <x:v>CHK</x:v>
      </x:c>
      <x:c r="D135" s="24" t="str">
        <x:v>UX-CHK-002</x:v>
      </x:c>
      <x:c r="E135" s="24" t="str">
        <x:v>Preflight ocurre antes de mutar</x:v>
      </x:c>
      <x:c r="F135" s="24" t="str">
        <x:v>Verificar que se cumple: Preflight ocurre antes de mutar.</x:v>
      </x:c>
      <x:c r="G135" s="24" t="str">
        <x:v>Baseline válida; estado inicial reproducible; datos de prueba preparados.</x:v>
      </x:c>
      <x:c r="H135" s="24" t="str">
        <x:v>Dataset nominal y, cuando aplique, valores límite o inválidos.</x:v>
      </x:c>
      <x:c r="I135" s="24" t="str">
        <x:v>1. Preparar el estado. 2. Ejecutar la acción o transición. 3. Observar estado, UI y logs. 4. Comparar precondición y postcondición.</x:v>
      </x:c>
      <x:c r="J135" s="24" t="str">
        <x:v>Preflight ocurre antes de mutar.</x:v>
      </x:c>
      <x:c r="K135" s="24" t="str">
        <x:v>Funcional</x:v>
      </x:c>
      <x:c r="L135" s="24" t="str">
        <x:v>EditMode + Integración</x:v>
      </x:c>
      <x:c r="M135" s="24" t="str">
        <x:v>P0</x:v>
      </x:c>
      <x:c r="N135" s="24" t="str">
        <x:v>S1</x:v>
      </x:c>
      <x:c r="O135" s="24" t="str">
        <x:v>Parcial/Alta</x:v>
      </x:c>
      <x:c r="P135" s="24" t="str">
        <x:v>StoreInitial</x:v>
      </x:c>
      <x:c r="Q135" s="24" t="str">
        <x:v>Sprint 17 / H6</x:v>
      </x:c>
      <x:c r="R135" s="24" t="str">
        <x:v>Ready</x:v>
      </x:c>
      <x:c r="S135" s="24" t="str">
        <x:v>VRM Games</x:v>
      </x:c>
      <x:c r="T135" s="24" t="str">
        <x:v>05_UX_Flow.md</x:v>
      </x:c>
      <x:c r="U135" s="24" t="str">
        <x:v>CHK;regresión;trazable</x:v>
      </x:c>
    </x:row>
    <x:row r="136" ht="48" customHeight="1">
      <x:c r="A136" s="24" t="str">
        <x:v>TC-UX-CHK-003</x:v>
      </x:c>
      <x:c r="B136" s="24" t="str">
        <x:v>Checkout</x:v>
      </x:c>
      <x:c r="C136" s="24" t="str">
        <x:v>CHK</x:v>
      </x:c>
      <x:c r="D136" s="24" t="str">
        <x:v>UX-CHK-003</x:v>
      </x:c>
      <x:c r="E136" s="24" t="str">
        <x:v>Una venta se confirma una sola vez</x:v>
      </x:c>
      <x:c r="F136" s="24" t="str">
        <x:v>Verificar que se cumple: Una venta se confirma una sola vez.</x:v>
      </x:c>
      <x:c r="G136" s="24" t="str">
        <x:v>Baseline válida; estado inicial reproducible; datos de prueba preparados.</x:v>
      </x:c>
      <x:c r="H136" s="24" t="str">
        <x:v>Dataset nominal y, cuando aplique, valores límite o inválidos.</x:v>
      </x:c>
      <x:c r="I136" s="24" t="str">
        <x:v>1. Preparar el estado. 2. Ejecutar la acción o transición. 3. Observar estado, UI y logs. 4. Comparar precondición y postcondición.</x:v>
      </x:c>
      <x:c r="J136" s="24" t="str">
        <x:v>Una venta se confirma una sola vez.</x:v>
      </x:c>
      <x:c r="K136" s="24" t="str">
        <x:v>Funcional</x:v>
      </x:c>
      <x:c r="L136" s="24" t="str">
        <x:v>EditMode + Integración</x:v>
      </x:c>
      <x:c r="M136" s="24" t="str">
        <x:v>P0</x:v>
      </x:c>
      <x:c r="N136" s="24" t="str">
        <x:v>S1</x:v>
      </x:c>
      <x:c r="O136" s="24" t="str">
        <x:v>Parcial/Alta</x:v>
      </x:c>
      <x:c r="P136" s="24" t="str">
        <x:v>StoreInitial</x:v>
      </x:c>
      <x:c r="Q136" s="24" t="str">
        <x:v>Sprint 17 / H6</x:v>
      </x:c>
      <x:c r="R136" s="24" t="str">
        <x:v>Ready</x:v>
      </x:c>
      <x:c r="S136" s="24" t="str">
        <x:v>VRM Games</x:v>
      </x:c>
      <x:c r="T136" s="24" t="str">
        <x:v>05_UX_Flow.md</x:v>
      </x:c>
      <x:c r="U136" s="24" t="str">
        <x:v>CHK;regresión;trazable</x:v>
      </x:c>
    </x:row>
    <x:row r="137" ht="48" customHeight="1">
      <x:c r="A137" s="24" t="str">
        <x:v>TC-UX-CHK-004</x:v>
      </x:c>
      <x:c r="B137" s="24" t="str">
        <x:v>Checkout</x:v>
      </x:c>
      <x:c r="C137" s="24" t="str">
        <x:v>CHK</x:v>
      </x:c>
      <x:c r="D137" s="24" t="str">
        <x:v>UX-CHK-004</x:v>
      </x:c>
      <x:c r="E137" s="24" t="str">
        <x:v>Un fallo no mueve dinero ni stock</x:v>
      </x:c>
      <x:c r="F137" s="24" t="str">
        <x:v>Verificar que se cumple: Un fallo no mueve dinero ni stock.</x:v>
      </x:c>
      <x:c r="G137" s="24" t="str">
        <x:v>Baseline válida; estado inicial reproducible; datos de prueba preparados.</x:v>
      </x:c>
      <x:c r="H137" s="24" t="str">
        <x:v>Dataset nominal y, cuando aplique, valores límite o inválidos.</x:v>
      </x:c>
      <x:c r="I137" s="24" t="str">
        <x:v>1. Preparar el estado. 2. Ejecutar la acción o transición. 3. Observar estado, UI y logs. 4. Comparar precondición y postcondición.</x:v>
      </x:c>
      <x:c r="J137" s="24" t="str">
        <x:v>Un fallo no mueve dinero ni stock.</x:v>
      </x:c>
      <x:c r="K137" s="24" t="str">
        <x:v>Funcional</x:v>
      </x:c>
      <x:c r="L137" s="24" t="str">
        <x:v>EditMode + Integración</x:v>
      </x:c>
      <x:c r="M137" s="24" t="str">
        <x:v>P0</x:v>
      </x:c>
      <x:c r="N137" s="24" t="str">
        <x:v>S1</x:v>
      </x:c>
      <x:c r="O137" s="24" t="str">
        <x:v>Parcial/Alta</x:v>
      </x:c>
      <x:c r="P137" s="24" t="str">
        <x:v>StoreInitial</x:v>
      </x:c>
      <x:c r="Q137" s="24" t="str">
        <x:v>Sprint 17 / H6</x:v>
      </x:c>
      <x:c r="R137" s="24" t="str">
        <x:v>Ready</x:v>
      </x:c>
      <x:c r="S137" s="24" t="str">
        <x:v>VRM Games</x:v>
      </x:c>
      <x:c r="T137" s="24" t="str">
        <x:v>05_UX_Flow.md</x:v>
      </x:c>
      <x:c r="U137" s="24" t="str">
        <x:v>CHK;regresión;trazable</x:v>
      </x:c>
    </x:row>
    <x:row r="138" ht="48" customHeight="1">
      <x:c r="A138" s="24" t="str">
        <x:v>TC-UX-CHK-005</x:v>
      </x:c>
      <x:c r="B138" s="24" t="str">
        <x:v>Checkout</x:v>
      </x:c>
      <x:c r="C138" s="24" t="str">
        <x:v>CHK</x:v>
      </x:c>
      <x:c r="D138" s="24" t="str">
        <x:v>UX-CHK-005</x:v>
      </x:c>
      <x:c r="E138" s="24" t="str">
        <x:v>La cola avanza después de la venta</x:v>
      </x:c>
      <x:c r="F138" s="24" t="str">
        <x:v>Verificar que se cumple: La cola avanza después de la venta.</x:v>
      </x:c>
      <x:c r="G138" s="24" t="str">
        <x:v>Baseline válida; estado inicial reproducible; datos de prueba preparados.</x:v>
      </x:c>
      <x:c r="H138" s="24" t="str">
        <x:v>Dataset nominal y, cuando aplique, valores límite o inválidos.</x:v>
      </x:c>
      <x:c r="I138" s="24" t="str">
        <x:v>1. Preparar el estado. 2. Ejecutar la acción o transición. 3. Observar estado, UI y logs. 4. Comparar precondición y postcondición.</x:v>
      </x:c>
      <x:c r="J138" s="24" t="str">
        <x:v>La cola avanza después de la venta.</x:v>
      </x:c>
      <x:c r="K138" s="24" t="str">
        <x:v>Funcional</x:v>
      </x:c>
      <x:c r="L138" s="24" t="str">
        <x:v>EditMode + Integración</x:v>
      </x:c>
      <x:c r="M138" s="24" t="str">
        <x:v>P0</x:v>
      </x:c>
      <x:c r="N138" s="24" t="str">
        <x:v>S1</x:v>
      </x:c>
      <x:c r="O138" s="24" t="str">
        <x:v>Parcial/Alta</x:v>
      </x:c>
      <x:c r="P138" s="24" t="str">
        <x:v>StoreInitial</x:v>
      </x:c>
      <x:c r="Q138" s="24" t="str">
        <x:v>Sprint 17 / H6</x:v>
      </x:c>
      <x:c r="R138" s="24" t="str">
        <x:v>Ready</x:v>
      </x:c>
      <x:c r="S138" s="24" t="str">
        <x:v>VRM Games</x:v>
      </x:c>
      <x:c r="T138" s="24" t="str">
        <x:v>05_UX_Flow.md</x:v>
      </x:c>
      <x:c r="U138" s="24" t="str">
        <x:v>CHK;regresión;trazable</x:v>
      </x:c>
    </x:row>
    <x:row r="139" ht="48" customHeight="1">
      <x:c r="A139" s="24" t="str">
        <x:v>TC-UX-ECO-001</x:v>
      </x:c>
      <x:c r="B139" s="24" t="str">
        <x:v>Economía</x:v>
      </x:c>
      <x:c r="C139" s="24" t="str">
        <x:v>ECO</x:v>
      </x:c>
      <x:c r="D139" s="24" t="str">
        <x:v>UX-ECO-001</x:v>
      </x:c>
      <x:c r="E139" s="24" t="str">
        <x:v>El saldo se actualiza de forma comprensible</x:v>
      </x:c>
      <x:c r="F139" s="24" t="str">
        <x:v>Verificar que se cumple: El saldo se actualiza de forma comprensible.</x:v>
      </x:c>
      <x:c r="G139" s="24" t="str">
        <x:v>Baseline válida; estado inicial reproducible; datos de prueba preparados.</x:v>
      </x:c>
      <x:c r="H139" s="24" t="str">
        <x:v>Dataset nominal y, cuando aplique, valores límite o inválidos.</x:v>
      </x:c>
      <x:c r="I139" s="24" t="str">
        <x:v>1. Preparar el estado. 2. Ejecutar la acción o transición. 3. Observar estado, UI y logs. 4. Comparar precondición y postcondición.</x:v>
      </x:c>
      <x:c r="J139" s="24" t="str">
        <x:v>El saldo se actualiza de forma comprensible.</x:v>
      </x:c>
      <x:c r="K139" s="24" t="str">
        <x:v>Funcional</x:v>
      </x:c>
      <x:c r="L139" s="24" t="str">
        <x:v>EditMode + Integración</x:v>
      </x:c>
      <x:c r="M139" s="24" t="str">
        <x:v>P1</x:v>
      </x:c>
      <x:c r="N139" s="24" t="str">
        <x:v>S2</x:v>
      </x:c>
      <x:c r="O139" s="24" t="str">
        <x:v>Parcial/Alta</x:v>
      </x:c>
      <x:c r="P139" s="24" t="str">
        <x:v>StoreInitial</x:v>
      </x:c>
      <x:c r="Q139" s="24" t="str">
        <x:v>Sprint 17 / H6</x:v>
      </x:c>
      <x:c r="R139" s="24" t="str">
        <x:v>Ready</x:v>
      </x:c>
      <x:c r="S139" s="24" t="str">
        <x:v>VRM Games</x:v>
      </x:c>
      <x:c r="T139" s="24" t="str">
        <x:v>05_UX_Flow.md</x:v>
      </x:c>
      <x:c r="U139" s="24" t="str">
        <x:v>ECO;regresión;trazable</x:v>
      </x:c>
    </x:row>
    <x:row r="140" ht="48" customHeight="1">
      <x:c r="A140" s="24" t="str">
        <x:v>TC-UX-ECO-002</x:v>
      </x:c>
      <x:c r="B140" s="24" t="str">
        <x:v>Economía</x:v>
      </x:c>
      <x:c r="C140" s="24" t="str">
        <x:v>ECO</x:v>
      </x:c>
      <x:c r="D140" s="24" t="str">
        <x:v>UX-ECO-002</x:v>
      </x:c>
      <x:c r="E140" s="24" t="str">
        <x:v>Cada movimiento tiene causa consultable</x:v>
      </x:c>
      <x:c r="F140" s="24" t="str">
        <x:v>Verificar que se cumple: Cada movimiento tiene causa consultable.</x:v>
      </x:c>
      <x:c r="G140" s="24" t="str">
        <x:v>Baseline válida; estado inicial reproducible; datos de prueba preparados.</x:v>
      </x:c>
      <x:c r="H140" s="24" t="str">
        <x:v>Dataset nominal y, cuando aplique, valores límite o inválidos.</x:v>
      </x:c>
      <x:c r="I140" s="24" t="str">
        <x:v>1. Preparar el estado. 2. Ejecutar la acción o transición. 3. Observar estado, UI y logs. 4. Comparar precondición y postcondición.</x:v>
      </x:c>
      <x:c r="J140" s="24" t="str">
        <x:v>Cada movimiento tiene causa consultable.</x:v>
      </x:c>
      <x:c r="K140" s="24" t="str">
        <x:v>Funcional</x:v>
      </x:c>
      <x:c r="L140" s="24" t="str">
        <x:v>EditMode + Integración</x:v>
      </x:c>
      <x:c r="M140" s="24" t="str">
        <x:v>P1</x:v>
      </x:c>
      <x:c r="N140" s="24" t="str">
        <x:v>S2</x:v>
      </x:c>
      <x:c r="O140" s="24" t="str">
        <x:v>Parcial/Alta</x:v>
      </x:c>
      <x:c r="P140" s="24" t="str">
        <x:v>StoreInitial</x:v>
      </x:c>
      <x:c r="Q140" s="24" t="str">
        <x:v>Sprint 17 / H6</x:v>
      </x:c>
      <x:c r="R140" s="24" t="str">
        <x:v>Ready</x:v>
      </x:c>
      <x:c r="S140" s="24" t="str">
        <x:v>VRM Games</x:v>
      </x:c>
      <x:c r="T140" s="24" t="str">
        <x:v>05_UX_Flow.md</x:v>
      </x:c>
      <x:c r="U140" s="24" t="str">
        <x:v>ECO;regresión;trazable</x:v>
      </x:c>
    </x:row>
    <x:row r="141" ht="48" customHeight="1">
      <x:c r="A141" s="24" t="str">
        <x:v>TC-UX-ECO-003</x:v>
      </x:c>
      <x:c r="B141" s="24" t="str">
        <x:v>Economía</x:v>
      </x:c>
      <x:c r="C141" s="24" t="str">
        <x:v>ECO</x:v>
      </x:c>
      <x:c r="D141" s="24" t="str">
        <x:v>UX-ECO-003</x:v>
      </x:c>
      <x:c r="E141" s="24" t="str">
        <x:v>Results separa ingresos, costes y beneficio</x:v>
      </x:c>
      <x:c r="F141" s="24" t="str">
        <x:v>Verificar que se cumple: Results separa ingresos, costes y beneficio.</x:v>
      </x:c>
      <x:c r="G141" s="24" t="str">
        <x:v>Baseline válida; estado inicial reproducible; datos de prueba preparados.</x:v>
      </x:c>
      <x:c r="H141" s="24" t="str">
        <x:v>Dataset nominal y, cuando aplique, valores límite o inválidos.</x:v>
      </x:c>
      <x:c r="I141" s="24" t="str">
        <x:v>1. Preparar el estado. 2. Ejecutar la acción o transición. 3. Observar estado, UI y logs. 4. Comparar precondición y postcondición.</x:v>
      </x:c>
      <x:c r="J141" s="24" t="str">
        <x:v>Results separa ingresos, costes y beneficio.</x:v>
      </x:c>
      <x:c r="K141" s="24" t="str">
        <x:v>Funcional</x:v>
      </x:c>
      <x:c r="L141" s="24" t="str">
        <x:v>EditMode + Integración</x:v>
      </x:c>
      <x:c r="M141" s="24" t="str">
        <x:v>P1</x:v>
      </x:c>
      <x:c r="N141" s="24" t="str">
        <x:v>S2</x:v>
      </x:c>
      <x:c r="O141" s="24" t="str">
        <x:v>Parcial/Alta</x:v>
      </x:c>
      <x:c r="P141" s="24" t="str">
        <x:v>StoreInitial</x:v>
      </x:c>
      <x:c r="Q141" s="24" t="str">
        <x:v>Sprint 17 / H6</x:v>
      </x:c>
      <x:c r="R141" s="24" t="str">
        <x:v>Ready</x:v>
      </x:c>
      <x:c r="S141" s="24" t="str">
        <x:v>VRM Games</x:v>
      </x:c>
      <x:c r="T141" s="24" t="str">
        <x:v>05_UX_Flow.md</x:v>
      </x:c>
      <x:c r="U141" s="24" t="str">
        <x:v>ECO;regresión;trazable</x:v>
      </x:c>
    </x:row>
    <x:row r="142" ht="48" customHeight="1">
      <x:c r="A142" s="24" t="str">
        <x:v>TC-UX-SAV-001</x:v>
      </x:c>
      <x:c r="B142" s="24" t="str">
        <x:v>Persistencia</x:v>
      </x:c>
      <x:c r="C142" s="24" t="str">
        <x:v>SAV</x:v>
      </x:c>
      <x:c r="D142" s="24" t="str">
        <x:v>UX-SAV-001</x:v>
      </x:c>
      <x:c r="E142" s="24" t="str">
        <x:v>Guardar muestra progreso y resultado real</x:v>
      </x:c>
      <x:c r="F142" s="24" t="str">
        <x:v>Verificar que se cumple: Guardar muestra progreso y resultado real.</x:v>
      </x:c>
      <x:c r="G142" s="24" t="str">
        <x:v>Baseline válida; estado inicial reproducible; datos de prueba preparados.</x:v>
      </x:c>
      <x:c r="H142" s="24" t="str">
        <x:v>Dataset nominal y, cuando aplique, valores límite o inválidos.</x:v>
      </x:c>
      <x:c r="I142" s="24" t="str">
        <x:v>1. Preparar el estado. 2. Ejecutar la acción o transición. 3. Observar estado, UI y logs. 4. Comparar precondición y postcondición.</x:v>
      </x:c>
      <x:c r="J142" s="24" t="str">
        <x:v>Guardar muestra progreso y resultado real.</x:v>
      </x:c>
      <x:c r="K142" s="24" t="str">
        <x:v>Funcional</x:v>
      </x:c>
      <x:c r="L142" s="24" t="str">
        <x:v>EditMode + Integración</x:v>
      </x:c>
      <x:c r="M142" s="24" t="str">
        <x:v>P0</x:v>
      </x:c>
      <x:c r="N142" s="24" t="str">
        <x:v>S1</x:v>
      </x:c>
      <x:c r="O142" s="24" t="str">
        <x:v>Parcial/Alta</x:v>
      </x:c>
      <x:c r="P142" s="24" t="str">
        <x:v>StoreInitial</x:v>
      </x:c>
      <x:c r="Q142" s="24" t="str">
        <x:v>Sprint 17 / H6</x:v>
      </x:c>
      <x:c r="R142" s="24" t="str">
        <x:v>Ready</x:v>
      </x:c>
      <x:c r="S142" s="24" t="str">
        <x:v>VRM Games</x:v>
      </x:c>
      <x:c r="T142" s="24" t="str">
        <x:v>05_UX_Flow.md</x:v>
      </x:c>
      <x:c r="U142" s="24" t="str">
        <x:v>SAV;regresión;trazable</x:v>
      </x:c>
    </x:row>
    <x:row r="143" ht="48" customHeight="1">
      <x:c r="A143" s="24" t="str">
        <x:v>TC-UX-SAV-002</x:v>
      </x:c>
      <x:c r="B143" s="24" t="str">
        <x:v>Persistencia</x:v>
      </x:c>
      <x:c r="C143" s="24" t="str">
        <x:v>SAV</x:v>
      </x:c>
      <x:c r="D143" s="24" t="str">
        <x:v>UX-SAV-002</x:v>
      </x:c>
      <x:c r="E143" s="24" t="str">
        <x:v>Un error de guardado permanece visible</x:v>
      </x:c>
      <x:c r="F143" s="24" t="str">
        <x:v>Verificar que se cumple: Un error de guardado permanece visible.</x:v>
      </x:c>
      <x:c r="G143" s="24" t="str">
        <x:v>Baseline válida; estado inicial reproducible; datos de prueba preparados.</x:v>
      </x:c>
      <x:c r="H143" s="24" t="str">
        <x:v>Dataset nominal y, cuando aplique, valores límite o inválidos.</x:v>
      </x:c>
      <x:c r="I143" s="24" t="str">
        <x:v>1. Preparar el estado. 2. Ejecutar la acción o transición. 3. Observar estado, UI y logs. 4. Comparar precondición y postcondición.</x:v>
      </x:c>
      <x:c r="J143" s="24" t="str">
        <x:v>Un error de guardado permanece visible.</x:v>
      </x:c>
      <x:c r="K143" s="24" t="str">
        <x:v>Funcional</x:v>
      </x:c>
      <x:c r="L143" s="24" t="str">
        <x:v>EditMode + Integración</x:v>
      </x:c>
      <x:c r="M143" s="24" t="str">
        <x:v>P0</x:v>
      </x:c>
      <x:c r="N143" s="24" t="str">
        <x:v>S1</x:v>
      </x:c>
      <x:c r="O143" s="24" t="str">
        <x:v>Parcial/Alta</x:v>
      </x:c>
      <x:c r="P143" s="24" t="str">
        <x:v>StoreInitial</x:v>
      </x:c>
      <x:c r="Q143" s="24" t="str">
        <x:v>Sprint 17 / H6</x:v>
      </x:c>
      <x:c r="R143" s="24" t="str">
        <x:v>Ready</x:v>
      </x:c>
      <x:c r="S143" s="24" t="str">
        <x:v>VRM Games</x:v>
      </x:c>
      <x:c r="T143" s="24" t="str">
        <x:v>05_UX_Flow.md</x:v>
      </x:c>
      <x:c r="U143" s="24" t="str">
        <x:v>SAV;regresión;trazable</x:v>
      </x:c>
    </x:row>
    <x:row r="144" ht="48" customHeight="1">
      <x:c r="A144" s="24" t="str">
        <x:v>TC-UX-SAV-003</x:v>
      </x:c>
      <x:c r="B144" s="24" t="str">
        <x:v>Persistencia</x:v>
      </x:c>
      <x:c r="C144" s="24" t="str">
        <x:v>SAV</x:v>
      </x:c>
      <x:c r="D144" s="24" t="str">
        <x:v>UX-SAV-003</x:v>
      </x:c>
      <x:c r="E144" s="24" t="str">
        <x:v>Cargar conserva estado relevante</x:v>
      </x:c>
      <x:c r="F144" s="24" t="str">
        <x:v>Verificar que se cumple: Cargar conserva estado relevante.</x:v>
      </x:c>
      <x:c r="G144" s="24" t="str">
        <x:v>Baseline válida; estado inicial reproducible; datos de prueba preparados.</x:v>
      </x:c>
      <x:c r="H144" s="24" t="str">
        <x:v>Dataset nominal y, cuando aplique, valores límite o inválidos.</x:v>
      </x:c>
      <x:c r="I144" s="24" t="str">
        <x:v>1. Preparar el estado. 2. Ejecutar la acción o transición. 3. Observar estado, UI y logs. 4. Comparar precondición y postcondición.</x:v>
      </x:c>
      <x:c r="J144" s="24" t="str">
        <x:v>Cargar conserva estado relevante.</x:v>
      </x:c>
      <x:c r="K144" s="24" t="str">
        <x:v>Funcional</x:v>
      </x:c>
      <x:c r="L144" s="24" t="str">
        <x:v>EditMode + Integración</x:v>
      </x:c>
      <x:c r="M144" s="24" t="str">
        <x:v>P0</x:v>
      </x:c>
      <x:c r="N144" s="24" t="str">
        <x:v>S1</x:v>
      </x:c>
      <x:c r="O144" s="24" t="str">
        <x:v>Parcial/Alta</x:v>
      </x:c>
      <x:c r="P144" s="24" t="str">
        <x:v>StoreInitial</x:v>
      </x:c>
      <x:c r="Q144" s="24" t="str">
        <x:v>Sprint 17 / H6</x:v>
      </x:c>
      <x:c r="R144" s="24" t="str">
        <x:v>Ready</x:v>
      </x:c>
      <x:c r="S144" s="24" t="str">
        <x:v>VRM Games</x:v>
      </x:c>
      <x:c r="T144" s="24" t="str">
        <x:v>05_UX_Flow.md</x:v>
      </x:c>
      <x:c r="U144" s="24" t="str">
        <x:v>SAV;regresión;trazable</x:v>
      </x:c>
    </x:row>
    <x:row r="145" ht="48" customHeight="1">
      <x:c r="A145" s="24" t="str">
        <x:v>TC-UX-SAV-004</x:v>
      </x:c>
      <x:c r="B145" s="24" t="str">
        <x:v>Persistencia</x:v>
      </x:c>
      <x:c r="C145" s="24" t="str">
        <x:v>SAV</x:v>
      </x:c>
      <x:c r="D145" s="24" t="str">
        <x:v>UX-SAV-004</x:v>
      </x:c>
      <x:c r="E145" s="24" t="str">
        <x:v>Salir con cambios ofrece opciones claras</x:v>
      </x:c>
      <x:c r="F145" s="24" t="str">
        <x:v>Verificar que se cumple: Salir con cambios ofrece opciones claras.</x:v>
      </x:c>
      <x:c r="G145" s="24" t="str">
        <x:v>Baseline válida; estado inicial reproducible; datos de prueba preparados.</x:v>
      </x:c>
      <x:c r="H145" s="24" t="str">
        <x:v>Dataset nominal y, cuando aplique, valores límite o inválidos.</x:v>
      </x:c>
      <x:c r="I145" s="24" t="str">
        <x:v>1. Preparar el estado. 2. Ejecutar la acción o transición. 3. Observar estado, UI y logs. 4. Comparar precondición y postcondición.</x:v>
      </x:c>
      <x:c r="J145" s="24" t="str">
        <x:v>Salir con cambios ofrece opciones claras.</x:v>
      </x:c>
      <x:c r="K145" s="24" t="str">
        <x:v>Funcional</x:v>
      </x:c>
      <x:c r="L145" s="24" t="str">
        <x:v>EditMode + Integración</x:v>
      </x:c>
      <x:c r="M145" s="24" t="str">
        <x:v>P0</x:v>
      </x:c>
      <x:c r="N145" s="24" t="str">
        <x:v>S1</x:v>
      </x:c>
      <x:c r="O145" s="24" t="str">
        <x:v>Parcial/Alta</x:v>
      </x:c>
      <x:c r="P145" s="24" t="str">
        <x:v>StoreInitial</x:v>
      </x:c>
      <x:c r="Q145" s="24" t="str">
        <x:v>Sprint 17 / H6</x:v>
      </x:c>
      <x:c r="R145" s="24" t="str">
        <x:v>Ready</x:v>
      </x:c>
      <x:c r="S145" s="24" t="str">
        <x:v>VRM Games</x:v>
      </x:c>
      <x:c r="T145" s="24" t="str">
        <x:v>05_UX_Flow.md</x:v>
      </x:c>
      <x:c r="U145" s="24" t="str">
        <x:v>SAV;regresión;trazable</x:v>
      </x:c>
    </x:row>
    <x:row r="146" ht="48" customHeight="1">
      <x:c r="A146" s="24" t="str">
        <x:v>TC-UX-ACC-001</x:v>
      </x:c>
      <x:c r="B146" s="24" t="str">
        <x:v>Accesibilidad</x:v>
      </x:c>
      <x:c r="C146" s="24" t="str">
        <x:v>ACC</x:v>
      </x:c>
      <x:c r="D146" s="24" t="str">
        <x:v>UX-ACC-001</x:v>
      </x:c>
      <x:c r="E146" s="24" t="str">
        <x:v>Los estados críticos no dependen solo del color</x:v>
      </x:c>
      <x:c r="F146" s="24" t="str">
        <x:v>Verificar que se cumple: Los estados críticos no dependen solo del color.</x:v>
      </x:c>
      <x:c r="G146" s="24" t="str">
        <x:v>Baseline válida; estado inicial reproducible; datos de prueba preparados.</x:v>
      </x:c>
      <x:c r="H146" s="24" t="str">
        <x:v>Dataset nominal y, cuando aplique, valores límite o inválidos.</x:v>
      </x:c>
      <x:c r="I146" s="24" t="str">
        <x:v>1. Preparar el estado. 2. Ejecutar la acción o transición. 3. Observar estado, UI y logs. 4. Comparar precondición y postcondición.</x:v>
      </x:c>
      <x:c r="J146" s="24" t="str">
        <x:v>Los estados críticos no dependen solo del color.</x:v>
      </x:c>
      <x:c r="K146" s="24" t="str">
        <x:v>Funcional</x:v>
      </x:c>
      <x:c r="L146" s="24" t="str">
        <x:v>PlayMode + Manual</x:v>
      </x:c>
      <x:c r="M146" s="24" t="str">
        <x:v>P2</x:v>
      </x:c>
      <x:c r="N146" s="24" t="str">
        <x:v>S3</x:v>
      </x:c>
      <x:c r="O146" s="24" t="str">
        <x:v>Manual/Parcial</x:v>
      </x:c>
      <x:c r="P146" s="24" t="str">
        <x:v>StoreInitial</x:v>
      </x:c>
      <x:c r="Q146" s="24" t="str">
        <x:v>Sprint 17 / H6</x:v>
      </x:c>
      <x:c r="R146" s="24" t="str">
        <x:v>Ready</x:v>
      </x:c>
      <x:c r="S146" s="24" t="str">
        <x:v>VRM Games</x:v>
      </x:c>
      <x:c r="T146" s="24" t="str">
        <x:v>05_UX_Flow.md</x:v>
      </x:c>
      <x:c r="U146" s="24" t="str">
        <x:v>ACC;regresión;trazable</x:v>
      </x:c>
    </x:row>
    <x:row r="147" ht="48" customHeight="1">
      <x:c r="A147" s="24" t="str">
        <x:v>TC-UX-ACC-002</x:v>
      </x:c>
      <x:c r="B147" s="24" t="str">
        <x:v>Accesibilidad</x:v>
      </x:c>
      <x:c r="C147" s="24" t="str">
        <x:v>ACC</x:v>
      </x:c>
      <x:c r="D147" s="24" t="str">
        <x:v>UX-ACC-002</x:v>
      </x:c>
      <x:c r="E147" s="24" t="str">
        <x:v>La escala de UI es configurable</x:v>
      </x:c>
      <x:c r="F147" s="24" t="str">
        <x:v>Verificar que se cumple: La escala de UI es configurable.</x:v>
      </x:c>
      <x:c r="G147" s="24" t="str">
        <x:v>Baseline válida; estado inicial reproducible; datos de prueba preparados.</x:v>
      </x:c>
      <x:c r="H147" s="24" t="str">
        <x:v>Dataset nominal y, cuando aplique, valores límite o inválidos.</x:v>
      </x:c>
      <x:c r="I147" s="24" t="str">
        <x:v>1. Preparar el estado. 2. Ejecutar la acción o transición. 3. Observar estado, UI y logs. 4. Comparar precondición y postcondición.</x:v>
      </x:c>
      <x:c r="J147" s="24" t="str">
        <x:v>La escala de UI es configurable.</x:v>
      </x:c>
      <x:c r="K147" s="24" t="str">
        <x:v>Funcional</x:v>
      </x:c>
      <x:c r="L147" s="24" t="str">
        <x:v>PlayMode + Manual</x:v>
      </x:c>
      <x:c r="M147" s="24" t="str">
        <x:v>P2</x:v>
      </x:c>
      <x:c r="N147" s="24" t="str">
        <x:v>S3</x:v>
      </x:c>
      <x:c r="O147" s="24" t="str">
        <x:v>Manual/Parcial</x:v>
      </x:c>
      <x:c r="P147" s="24" t="str">
        <x:v>StoreInitial</x:v>
      </x:c>
      <x:c r="Q147" s="24" t="str">
        <x:v>Sprint 17 / H6</x:v>
      </x:c>
      <x:c r="R147" s="24" t="str">
        <x:v>Ready</x:v>
      </x:c>
      <x:c r="S147" s="24" t="str">
        <x:v>VRM Games</x:v>
      </x:c>
      <x:c r="T147" s="24" t="str">
        <x:v>05_UX_Flow.md</x:v>
      </x:c>
      <x:c r="U147" s="24" t="str">
        <x:v>ACC;regresión;trazable</x:v>
      </x:c>
    </x:row>
    <x:row r="148" ht="48" customHeight="1">
      <x:c r="A148" s="24" t="str">
        <x:v>TC-UX-ACC-003</x:v>
      </x:c>
      <x:c r="B148" s="24" t="str">
        <x:v>Accesibilidad</x:v>
      </x:c>
      <x:c r="C148" s="24" t="str">
        <x:v>ACC</x:v>
      </x:c>
      <x:c r="D148" s="24" t="str">
        <x:v>UX-ACC-003</x:v>
      </x:c>
      <x:c r="E148" s="24" t="str">
        <x:v>La velocidad de cámara es configurable</x:v>
      </x:c>
      <x:c r="F148" s="24" t="str">
        <x:v>Verificar que se cumple: La velocidad de cámara es configurable.</x:v>
      </x:c>
      <x:c r="G148" s="24" t="str">
        <x:v>Baseline válida; estado inicial reproducible; datos de prueba preparados.</x:v>
      </x:c>
      <x:c r="H148" s="24" t="str">
        <x:v>Dataset nominal y, cuando aplique, valores límite o inválidos.</x:v>
      </x:c>
      <x:c r="I148" s="24" t="str">
        <x:v>1. Preparar el estado. 2. Ejecutar la acción o transición. 3. Observar estado, UI y logs. 4. Comparar precondición y postcondición.</x:v>
      </x:c>
      <x:c r="J148" s="24" t="str">
        <x:v>La velocidad de cámara es configurable.</x:v>
      </x:c>
      <x:c r="K148" s="24" t="str">
        <x:v>Funcional</x:v>
      </x:c>
      <x:c r="L148" s="24" t="str">
        <x:v>PlayMode + Manual</x:v>
      </x:c>
      <x:c r="M148" s="24" t="str">
        <x:v>P2</x:v>
      </x:c>
      <x:c r="N148" s="24" t="str">
        <x:v>S3</x:v>
      </x:c>
      <x:c r="O148" s="24" t="str">
        <x:v>Manual/Parcial</x:v>
      </x:c>
      <x:c r="P148" s="24" t="str">
        <x:v>StoreInitial</x:v>
      </x:c>
      <x:c r="Q148" s="24" t="str">
        <x:v>Sprint 17 / H6</x:v>
      </x:c>
      <x:c r="R148" s="24" t="str">
        <x:v>Ready</x:v>
      </x:c>
      <x:c r="S148" s="24" t="str">
        <x:v>VRM Games</x:v>
      </x:c>
      <x:c r="T148" s="24" t="str">
        <x:v>05_UX_Flow.md</x:v>
      </x:c>
      <x:c r="U148" s="24" t="str">
        <x:v>ACC;regresión;trazable</x:v>
      </x:c>
    </x:row>
    <x:row r="149" ht="48" customHeight="1">
      <x:c r="A149" s="24" t="str">
        <x:v>TC-UX-ACC-004</x:v>
      </x:c>
      <x:c r="B149" s="24" t="str">
        <x:v>Accesibilidad</x:v>
      </x:c>
      <x:c r="C149" s="24" t="str">
        <x:v>ACC</x:v>
      </x:c>
      <x:c r="D149" s="24" t="str">
        <x:v>UX-ACC-004</x:v>
      </x:c>
      <x:c r="E149" s="24" t="str">
        <x:v>Los avisos importantes tienen alternativa visual</x:v>
      </x:c>
      <x:c r="F149" s="24" t="str">
        <x:v>Verificar que se cumple: Los avisos importantes tienen alternativa visual.</x:v>
      </x:c>
      <x:c r="G149" s="24" t="str">
        <x:v>Baseline válida; estado inicial reproducible; datos de prueba preparados.</x:v>
      </x:c>
      <x:c r="H149" s="24" t="str">
        <x:v>Dataset nominal y, cuando aplique, valores límite o inválidos.</x:v>
      </x:c>
      <x:c r="I149" s="24" t="str">
        <x:v>1. Preparar el estado. 2. Ejecutar la acción o transición. 3. Observar estado, UI y logs. 4. Comparar precondición y postcondición.</x:v>
      </x:c>
      <x:c r="J149" s="24" t="str">
        <x:v>Los avisos importantes tienen alternativa visual.</x:v>
      </x:c>
      <x:c r="K149" s="24" t="str">
        <x:v>Funcional</x:v>
      </x:c>
      <x:c r="L149" s="24" t="str">
        <x:v>PlayMode + Manual</x:v>
      </x:c>
      <x:c r="M149" s="24" t="str">
        <x:v>P2</x:v>
      </x:c>
      <x:c r="N149" s="24" t="str">
        <x:v>S3</x:v>
      </x:c>
      <x:c r="O149" s="24" t="str">
        <x:v>Manual/Parcial</x:v>
      </x:c>
      <x:c r="P149" s="24" t="str">
        <x:v>StoreInitial</x:v>
      </x:c>
      <x:c r="Q149" s="24" t="str">
        <x:v>Sprint 17 / H6</x:v>
      </x:c>
      <x:c r="R149" s="24" t="str">
        <x:v>Ready</x:v>
      </x:c>
      <x:c r="S149" s="24" t="str">
        <x:v>VRM Games</x:v>
      </x:c>
      <x:c r="T149" s="24" t="str">
        <x:v>05_UX_Flow.md</x:v>
      </x:c>
      <x:c r="U149" s="24" t="str">
        <x:v>ACC;regresión;trazable</x:v>
      </x:c>
    </x:row>
    <x:row r="150" ht="48" customHeight="1">
      <x:c r="A150" s="24" t="str">
        <x:v>TC-UX-ACC-005</x:v>
      </x:c>
      <x:c r="B150" s="24" t="str">
        <x:v>Accesibilidad</x:v>
      </x:c>
      <x:c r="C150" s="24" t="str">
        <x:v>ACC</x:v>
      </x:c>
      <x:c r="D150" s="24" t="str">
        <x:v>UX-ACC-005</x:v>
      </x:c>
      <x:c r="E150" s="24" t="str">
        <x:v>La lectura puede realizarse con simulación pausada</x:v>
      </x:c>
      <x:c r="F150" s="24" t="str">
        <x:v>Verificar que se cumple: La lectura puede realizarse con simulación pausada.</x:v>
      </x:c>
      <x:c r="G150" s="24" t="str">
        <x:v>Baseline válida; estado inicial reproducible; datos de prueba preparados.</x:v>
      </x:c>
      <x:c r="H150" s="24" t="str">
        <x:v>Dataset nominal y, cuando aplique, valores límite o inválidos.</x:v>
      </x:c>
      <x:c r="I150" s="24" t="str">
        <x:v>1. Preparar el estado. 2. Ejecutar la acción o transición. 3. Observar estado, UI y logs. 4. Comparar precondición y postcondición.</x:v>
      </x:c>
      <x:c r="J150" s="24" t="str">
        <x:v>La lectura puede realizarse con simulación pausada.</x:v>
      </x:c>
      <x:c r="K150" s="24" t="str">
        <x:v>Funcional</x:v>
      </x:c>
      <x:c r="L150" s="24" t="str">
        <x:v>PlayMode + Manual</x:v>
      </x:c>
      <x:c r="M150" s="24" t="str">
        <x:v>P2</x:v>
      </x:c>
      <x:c r="N150" s="24" t="str">
        <x:v>S3</x:v>
      </x:c>
      <x:c r="O150" s="24" t="str">
        <x:v>Manual/Parcial</x:v>
      </x:c>
      <x:c r="P150" s="24" t="str">
        <x:v>StoreInitial</x:v>
      </x:c>
      <x:c r="Q150" s="24" t="str">
        <x:v>Sprint 17 / H6</x:v>
      </x:c>
      <x:c r="R150" s="24" t="str">
        <x:v>Ready</x:v>
      </x:c>
      <x:c r="S150" s="24" t="str">
        <x:v>VRM Games</x:v>
      </x:c>
      <x:c r="T150" s="24" t="str">
        <x:v>05_UX_Flow.md</x:v>
      </x:c>
      <x:c r="U150" s="24" t="str">
        <x:v>ACC;regresión;trazable</x:v>
      </x:c>
    </x:row>
    <x:row r="151" ht="48" customHeight="1">
      <x:c r="A151" s="24" t="str">
        <x:v>TC-UX-LOC-001</x:v>
      </x:c>
      <x:c r="B151" s="24" t="str">
        <x:v>Localización</x:v>
      </x:c>
      <x:c r="C151" s="24" t="str">
        <x:v>LOC</x:v>
      </x:c>
      <x:c r="D151" s="24" t="str">
        <x:v>UX-LOC-001</x:v>
      </x:c>
      <x:c r="E151" s="24" t="str">
        <x:v>ES y EN no presentan truncamientos críticos</x:v>
      </x:c>
      <x:c r="F151" s="24" t="str">
        <x:v>Verificar que se cumple: ES y EN no presentan truncamientos críticos.</x:v>
      </x:c>
      <x:c r="G151" s="24" t="str">
        <x:v>Baseline válida; estado inicial reproducible; datos de prueba preparados.</x:v>
      </x:c>
      <x:c r="H151" s="24" t="str">
        <x:v>Dataset nominal y, cuando aplique, valores límite o inválidos.</x:v>
      </x:c>
      <x:c r="I151" s="24" t="str">
        <x:v>1. Preparar el estado. 2. Ejecutar la acción o transición. 3. Observar estado, UI y logs. 4. Comparar precondición y postcondición.</x:v>
      </x:c>
      <x:c r="J151" s="24" t="str">
        <x:v>ES y EN no presentan truncamientos críticos.</x:v>
      </x:c>
      <x:c r="K151" s="24" t="str">
        <x:v>Funcional</x:v>
      </x:c>
      <x:c r="L151" s="24" t="str">
        <x:v>PlayMode + Manual</x:v>
      </x:c>
      <x:c r="M151" s="24" t="str">
        <x:v>P2</x:v>
      </x:c>
      <x:c r="N151" s="24" t="str">
        <x:v>S3</x:v>
      </x:c>
      <x:c r="O151" s="24" t="str">
        <x:v>Manual/Parcial</x:v>
      </x:c>
      <x:c r="P151" s="24" t="str">
        <x:v>StoreInitial</x:v>
      </x:c>
      <x:c r="Q151" s="24" t="str">
        <x:v>Sprint 17 / H6</x:v>
      </x:c>
      <x:c r="R151" s="24" t="str">
        <x:v>Ready</x:v>
      </x:c>
      <x:c r="S151" s="24" t="str">
        <x:v>VRM Games</x:v>
      </x:c>
      <x:c r="T151" s="24" t="str">
        <x:v>05_UX_Flow.md</x:v>
      </x:c>
      <x:c r="U151" s="24" t="str">
        <x:v>LOC;regresión;trazable</x:v>
      </x:c>
    </x:row>
    <x:row r="152" ht="48" customHeight="1">
      <x:c r="A152" s="24" t="str">
        <x:v>TC-UX-GP-001</x:v>
      </x:c>
      <x:c r="B152" s="24" t="str">
        <x:v>Golden Path</x:v>
      </x:c>
      <x:c r="C152" s="24" t="str">
        <x:v>GP</x:v>
      </x:c>
      <x:c r="D152" s="24" t="str">
        <x:v>UX-GP-001</x:v>
      </x:c>
      <x:c r="E152" s="24" t="str">
        <x:v>El Golden Path se completa sin herramientas de Editor</x:v>
      </x:c>
      <x:c r="F152" s="24" t="str">
        <x:v>Verificar que se cumple: El Golden Path se completa sin herramientas de Editor.</x:v>
      </x:c>
      <x:c r="G152" s="24" t="str">
        <x:v>Baseline válida; estado inicial reproducible; datos de prueba preparados.</x:v>
      </x:c>
      <x:c r="H152" s="24" t="str">
        <x:v>Dataset nominal y, cuando aplique, valores límite o inválidos.</x:v>
      </x:c>
      <x:c r="I152" s="24" t="str">
        <x:v>1. Preparar el estado. 2. Ejecutar la acción o transición. 3. Observar estado, UI y logs. 4. Comparar precondición y postcondición.</x:v>
      </x:c>
      <x:c r="J152" s="24" t="str">
        <x:v>El Golden Path se completa sin herramientas de Editor.</x:v>
      </x:c>
      <x:c r="K152" s="24" t="str">
        <x:v>Funcional</x:v>
      </x:c>
      <x:c r="L152" s="24" t="str">
        <x:v>PlayMode + Manual</x:v>
      </x:c>
      <x:c r="M152" s="24" t="str">
        <x:v>P0</x:v>
      </x:c>
      <x:c r="N152" s="24" t="str">
        <x:v>S1</x:v>
      </x:c>
      <x:c r="O152" s="24" t="str">
        <x:v>Manual/Parcial</x:v>
      </x:c>
      <x:c r="P152" s="24" t="str">
        <x:v>StoreInitial</x:v>
      </x:c>
      <x:c r="Q152" s="24" t="str">
        <x:v>Sprint 17 / H6</x:v>
      </x:c>
      <x:c r="R152" s="24" t="str">
        <x:v>Ready</x:v>
      </x:c>
      <x:c r="S152" s="24" t="str">
        <x:v>VRM Games</x:v>
      </x:c>
      <x:c r="T152" s="24" t="str">
        <x:v>05_UX_Flow.md</x:v>
      </x:c>
      <x:c r="U152" s="24" t="str">
        <x:v>GP;regresión;trazable</x:v>
      </x:c>
    </x:row>
    <x:row r="153" ht="48" customHeight="1">
      <x:c r="A153" s="24" t="str">
        <x:v>TC-UX-GP-002</x:v>
      </x:c>
      <x:c r="B153" s="24" t="str">
        <x:v>Golden Path</x:v>
      </x:c>
      <x:c r="C153" s="24" t="str">
        <x:v>GP</x:v>
      </x:c>
      <x:c r="D153" s="24" t="str">
        <x:v>UX-GP-002</x:v>
      </x:c>
      <x:c r="E153" s="24" t="str">
        <x:v>El recorrido se completa en StoreInitial</x:v>
      </x:c>
      <x:c r="F153" s="24" t="str">
        <x:v>Verificar que se cumple: El recorrido se completa en StoreInitial.</x:v>
      </x:c>
      <x:c r="G153" s="24" t="str">
        <x:v>Baseline válida; estado inicial reproducible; datos de prueba preparados.</x:v>
      </x:c>
      <x:c r="H153" s="24" t="str">
        <x:v>Dataset nominal y, cuando aplique, valores límite o inválidos.</x:v>
      </x:c>
      <x:c r="I153" s="24" t="str">
        <x:v>1. Preparar el estado. 2. Ejecutar la acción o transición. 3. Observar estado, UI y logs. 4. Comparar precondición y postcondición.</x:v>
      </x:c>
      <x:c r="J153" s="24" t="str">
        <x:v>El recorrido se completa en StoreInitial.</x:v>
      </x:c>
      <x:c r="K153" s="24" t="str">
        <x:v>Funcional</x:v>
      </x:c>
      <x:c r="L153" s="24" t="str">
        <x:v>PlayMode + Manual</x:v>
      </x:c>
      <x:c r="M153" s="24" t="str">
        <x:v>P0</x:v>
      </x:c>
      <x:c r="N153" s="24" t="str">
        <x:v>S1</x:v>
      </x:c>
      <x:c r="O153" s="24" t="str">
        <x:v>Manual/Parcial</x:v>
      </x:c>
      <x:c r="P153" s="24" t="str">
        <x:v>StoreInitial</x:v>
      </x:c>
      <x:c r="Q153" s="24" t="str">
        <x:v>Sprint 17 / H6</x:v>
      </x:c>
      <x:c r="R153" s="24" t="str">
        <x:v>Ready</x:v>
      </x:c>
      <x:c r="S153" s="24" t="str">
        <x:v>VRM Games</x:v>
      </x:c>
      <x:c r="T153" s="24" t="str">
        <x:v>05_UX_Flow.md</x:v>
      </x:c>
      <x:c r="U153" s="24" t="str">
        <x:v>GP;regresión;trazable</x:v>
      </x:c>
    </x:row>
    <x:row r="154" ht="48" customHeight="1">
      <x:c r="A154" s="24" t="str">
        <x:v>TC-UX-GP-003</x:v>
      </x:c>
      <x:c r="B154" s="24" t="str">
        <x:v>Golden Path</x:v>
      </x:c>
      <x:c r="C154" s="24" t="str">
        <x:v>GP</x:v>
      </x:c>
      <x:c r="D154" s="24" t="str">
        <x:v>UX-GP-003</x:v>
      </x:c>
      <x:c r="E154" s="24" t="str">
        <x:v>Guardar y cargar conserva equivalencia observable</x:v>
      </x:c>
      <x:c r="F154" s="24" t="str">
        <x:v>Verificar que se cumple: Guardar y cargar conserva equivalencia observable.</x:v>
      </x:c>
      <x:c r="G154" s="24" t="str">
        <x:v>Baseline válida; estado inicial reproducible; datos de prueba preparados.</x:v>
      </x:c>
      <x:c r="H154" s="24" t="str">
        <x:v>Dataset nominal y, cuando aplique, valores límite o inválidos.</x:v>
      </x:c>
      <x:c r="I154" s="24" t="str">
        <x:v>1. Preparar el estado. 2. Ejecutar la acción o transición. 3. Observar estado, UI y logs. 4. Comparar precondición y postcondición.</x:v>
      </x:c>
      <x:c r="J154" s="24" t="str">
        <x:v>Guardar y cargar conserva equivalencia observable.</x:v>
      </x:c>
      <x:c r="K154" s="24" t="str">
        <x:v>Funcional</x:v>
      </x:c>
      <x:c r="L154" s="24" t="str">
        <x:v>PlayMode + Manual</x:v>
      </x:c>
      <x:c r="M154" s="24" t="str">
        <x:v>P0</x:v>
      </x:c>
      <x:c r="N154" s="24" t="str">
        <x:v>S1</x:v>
      </x:c>
      <x:c r="O154" s="24" t="str">
        <x:v>Manual/Parcial</x:v>
      </x:c>
      <x:c r="P154" s="24" t="str">
        <x:v>StoreInitial</x:v>
      </x:c>
      <x:c r="Q154" s="24" t="str">
        <x:v>Sprint 17 / H6</x:v>
      </x:c>
      <x:c r="R154" s="24" t="str">
        <x:v>Ready</x:v>
      </x:c>
      <x:c r="S154" s="24" t="str">
        <x:v>VRM Games</x:v>
      </x:c>
      <x:c r="T154" s="24" t="str">
        <x:v>05_UX_Flow.md</x:v>
      </x:c>
      <x:c r="U154" s="24" t="str">
        <x:v>GP;regresión;trazable</x:v>
      </x:c>
    </x:row>
    <x:row r="155" ht="48" customHeight="1">
      <x:c r="A155" s="24" t="str">
        <x:v>TC-UX-GP-004</x:v>
      </x:c>
      <x:c r="B155" s="24" t="str">
        <x:v>Golden Path</x:v>
      </x:c>
      <x:c r="C155" s="24" t="str">
        <x:v>GP</x:v>
      </x:c>
      <x:c r="D155" s="24" t="str">
        <x:v>UX-GP-004</x:v>
      </x:c>
      <x:c r="E155" s="24" t="str">
        <x:v>La build Windows x64 reproduce el recorrido</x:v>
      </x:c>
      <x:c r="F155" s="24" t="str">
        <x:v>Verificar que se cumple: La build Windows x64 reproduce el recorrido.</x:v>
      </x:c>
      <x:c r="G155" s="24" t="str">
        <x:v>Baseline válida; estado inicial reproducible; datos de prueba preparados.</x:v>
      </x:c>
      <x:c r="H155" s="24" t="str">
        <x:v>Dataset nominal y, cuando aplique, valores límite o inválidos.</x:v>
      </x:c>
      <x:c r="I155" s="24" t="str">
        <x:v>1. Preparar el estado. 2. Ejecutar la acción o transición. 3. Observar estado, UI y logs. 4. Comparar precondición y postcondición.</x:v>
      </x:c>
      <x:c r="J155" s="24" t="str">
        <x:v>La build Windows x64 reproduce el recorrido.</x:v>
      </x:c>
      <x:c r="K155" s="24" t="str">
        <x:v>Funcional</x:v>
      </x:c>
      <x:c r="L155" s="24" t="str">
        <x:v>PlayMode + Manual</x:v>
      </x:c>
      <x:c r="M155" s="24" t="str">
        <x:v>P0</x:v>
      </x:c>
      <x:c r="N155" s="24" t="str">
        <x:v>S1</x:v>
      </x:c>
      <x:c r="O155" s="24" t="str">
        <x:v>Manual/Parcial</x:v>
      </x:c>
      <x:c r="P155" s="24" t="str">
        <x:v>StoreInitial</x:v>
      </x:c>
      <x:c r="Q155" s="24" t="str">
        <x:v>Sprint 17 / H6</x:v>
      </x:c>
      <x:c r="R155" s="24" t="str">
        <x:v>Ready</x:v>
      </x:c>
      <x:c r="S155" s="24" t="str">
        <x:v>VRM Games</x:v>
      </x:c>
      <x:c r="T155" s="24" t="str">
        <x:v>05_UX_Flow.md</x:v>
      </x:c>
      <x:c r="U155" s="24" t="str">
        <x:v>GP;regresión;trazable</x:v>
      </x:c>
    </x:row>
    <x:row r="156" ht="48" customHeight="1">
      <x:c r="A156" s="24" t="str">
        <x:v>TC-UX-GP-005</x:v>
      </x:c>
      <x:c r="B156" s="24" t="str">
        <x:v>Golden Path</x:v>
      </x:c>
      <x:c r="C156" s="24" t="str">
        <x:v>GP</x:v>
      </x:c>
      <x:c r="D156" s="24" t="str">
        <x:v>UX-GP-005</x:v>
      </x:c>
      <x:c r="E156" s="24" t="str">
        <x:v>Player.log no contiene errores UX bloqueantes</x:v>
      </x:c>
      <x:c r="F156" s="24" t="str">
        <x:v>Verificar que se cumple: Player.log no contiene errores UX bloqueantes.</x:v>
      </x:c>
      <x:c r="G156" s="24" t="str">
        <x:v>Baseline válida; estado inicial reproducible; datos de prueba preparados.</x:v>
      </x:c>
      <x:c r="H156" s="24" t="str">
        <x:v>Dataset nominal y, cuando aplique, valores límite o inválidos.</x:v>
      </x:c>
      <x:c r="I156" s="24" t="str">
        <x:v>1. Preparar el estado. 2. Ejecutar la acción o transición. 3. Observar estado, UI y logs. 4. Comparar precondición y postcondición.</x:v>
      </x:c>
      <x:c r="J156" s="24" t="str">
        <x:v>Player.log no contiene errores UX bloqueantes.</x:v>
      </x:c>
      <x:c r="K156" s="24" t="str">
        <x:v>Funcional</x:v>
      </x:c>
      <x:c r="L156" s="24" t="str">
        <x:v>PlayMode + Manual</x:v>
      </x:c>
      <x:c r="M156" s="24" t="str">
        <x:v>P0</x:v>
      </x:c>
      <x:c r="N156" s="24" t="str">
        <x:v>S1</x:v>
      </x:c>
      <x:c r="O156" s="24" t="str">
        <x:v>Manual/Parcial</x:v>
      </x:c>
      <x:c r="P156" s="24" t="str">
        <x:v>StoreInitial</x:v>
      </x:c>
      <x:c r="Q156" s="24" t="str">
        <x:v>Sprint 17 / H6</x:v>
      </x:c>
      <x:c r="R156" s="24" t="str">
        <x:v>Ready</x:v>
      </x:c>
      <x:c r="S156" s="24" t="str">
        <x:v>VRM Games</x:v>
      </x:c>
      <x:c r="T156" s="24" t="str">
        <x:v>05_UX_Flow.md</x:v>
      </x:c>
      <x:c r="U156" s="24" t="str">
        <x:v>GP;regresión;trazable</x:v>
      </x:c>
    </x:row>
    <x:row r="157" ht="48" customHeight="1">
      <x:c r="A157" s="24" t="str">
        <x:v>TC-UX-GP-006</x:v>
      </x:c>
      <x:c r="B157" s="24" t="str">
        <x:v>Golden Path</x:v>
      </x:c>
      <x:c r="C157" s="24" t="str">
        <x:v>GP</x:v>
      </x:c>
      <x:c r="D157" s="24" t="str">
        <x:v>UX-GP-006</x:v>
      </x:c>
      <x:c r="E157" s="24" t="str">
        <x:v>No existen defectos S0 o S1 abiertos</x:v>
      </x:c>
      <x:c r="F157" s="24" t="str">
        <x:v>Verificar que se cumple: No existen defectos S0 o S1 abiertos.</x:v>
      </x:c>
      <x:c r="G157" s="24" t="str">
        <x:v>Baseline válida; estado inicial reproducible; datos de prueba preparados.</x:v>
      </x:c>
      <x:c r="H157" s="24" t="str">
        <x:v>Dataset nominal y, cuando aplique, valores límite o inválidos.</x:v>
      </x:c>
      <x:c r="I157" s="24" t="str">
        <x:v>1. Preparar el estado. 2. Ejecutar la acción o transición. 3. Observar estado, UI y logs. 4. Comparar precondición y postcondición.</x:v>
      </x:c>
      <x:c r="J157" s="24" t="str">
        <x:v>No existen defectos S0 o S1 abiertos.</x:v>
      </x:c>
      <x:c r="K157" s="24" t="str">
        <x:v>Funcional</x:v>
      </x:c>
      <x:c r="L157" s="24" t="str">
        <x:v>PlayMode + Manual</x:v>
      </x:c>
      <x:c r="M157" s="24" t="str">
        <x:v>P0</x:v>
      </x:c>
      <x:c r="N157" s="24" t="str">
        <x:v>S1</x:v>
      </x:c>
      <x:c r="O157" s="24" t="str">
        <x:v>Manual/Parcial</x:v>
      </x:c>
      <x:c r="P157" s="24" t="str">
        <x:v>StoreInitial</x:v>
      </x:c>
      <x:c r="Q157" s="24" t="str">
        <x:v>Sprint 17 / H6</x:v>
      </x:c>
      <x:c r="R157" s="24" t="str">
        <x:v>Ready</x:v>
      </x:c>
      <x:c r="S157" s="24" t="str">
        <x:v>VRM Games</x:v>
      </x:c>
      <x:c r="T157" s="24" t="str">
        <x:v>05_UX_Flow.md</x:v>
      </x:c>
      <x:c r="U157" s="24" t="str">
        <x:v>GP;regresión;trazable</x:v>
      </x:c>
    </x:row>
    <x:row r="158" ht="48" customHeight="1">
      <x:c r="A158" s="24" t="str">
        <x:v>TC-QA-POL-001</x:v>
      </x:c>
      <x:c r="B158" s="24" t="str">
        <x:v>QA</x:v>
      </x:c>
      <x:c r="C158" s="24" t="str">
        <x:v>GEN</x:v>
      </x:c>
      <x:c r="D158" s="24" t="str">
        <x:v>QA-POL-001</x:v>
      </x:c>
      <x:c r="E158" s="24" t="str">
        <x:v>Ningún gate se aprueba con defectos S0 o S1 abiertos</x:v>
      </x:c>
      <x:c r="F158" s="24" t="str">
        <x:v>Verificar que se cumple: Ningún gate se aprueba con defectos S0 o S1 abiertos.</x:v>
      </x:c>
      <x:c r="G158" s="24" t="str">
        <x:v>Baseline válida; estado inicial reproducible; datos de prueba preparados.</x:v>
      </x:c>
      <x:c r="H158" s="24" t="str">
        <x:v>Dataset nominal y, cuando aplique, valores límite o inválidos.</x:v>
      </x:c>
      <x:c r="I158" s="24" t="str">
        <x:v>1. Preparar el estado. 2. Ejecutar la acción o transición. 3. Observar estado, UI y logs. 4. Comparar precondición y postcondición.</x:v>
      </x:c>
      <x:c r="J158" s="24" t="str">
        <x:v>Ningún gate se aprueba con defectos S0 o S1 abiertos.</x:v>
      </x:c>
      <x:c r="K158" s="24" t="str">
        <x:v>Funcional</x:v>
      </x:c>
      <x:c r="L158" s="24" t="str">
        <x:v>Revisión</x:v>
      </x:c>
      <x:c r="M158" s="24" t="str">
        <x:v>P0</x:v>
      </x:c>
      <x:c r="N158" s="24" t="str">
        <x:v>S1</x:v>
      </x:c>
      <x:c r="O158" s="24" t="str">
        <x:v>Parcial</x:v>
      </x:c>
      <x:c r="P158" s="24" t="str">
        <x:v>StoreInitial</x:v>
      </x:c>
      <x:c r="Q158" s="24" t="str">
        <x:v>Todos</x:v>
      </x:c>
      <x:c r="R158" s="24" t="str">
        <x:v>Ready</x:v>
      </x:c>
      <x:c r="S158" s="24" t="str">
        <x:v>VRM Games</x:v>
      </x:c>
      <x:c r="T158" s="24" t="str">
        <x:v>07_QA_Testing_Plan.md</x:v>
      </x:c>
      <x:c r="U158" s="24" t="str">
        <x:v>GEN;regresión;trazable</x:v>
      </x:c>
    </x:row>
    <x:row r="159" ht="48" customHeight="1">
      <x:c r="A159" s="24" t="str">
        <x:v>TC-QA-POL-002</x:v>
      </x:c>
      <x:c r="B159" s="24" t="str">
        <x:v>QA</x:v>
      </x:c>
      <x:c r="C159" s="24" t="str">
        <x:v>GEN</x:v>
      </x:c>
      <x:c r="D159" s="24" t="str">
        <x:v>QA-POL-002</x:v>
      </x:c>
      <x:c r="E159" s="24" t="str">
        <x:v>Todo resultado PASS debe asociarse a versión, SHA, entorno y evidencia</x:v>
      </x:c>
      <x:c r="F159" s="24" t="str">
        <x:v>Verificar que se cumple: Todo resultado PASS debe asociarse a versión, SHA, entorno y evidencia.</x:v>
      </x:c>
      <x:c r="G159" s="24" t="str">
        <x:v>Baseline válida; estado inicial reproducible; datos de prueba preparados.</x:v>
      </x:c>
      <x:c r="H159" s="24" t="str">
        <x:v>Dataset nominal y, cuando aplique, valores límite o inválidos.</x:v>
      </x:c>
      <x:c r="I159" s="24" t="str">
        <x:v>1. Preparar el estado. 2. Ejecutar la acción o transición. 3. Observar estado, UI y logs. 4. Comparar precondición y postcondición.</x:v>
      </x:c>
      <x:c r="J159" s="24" t="str">
        <x:v>Todo resultado PASS debe asociarse a versión, SHA, entorno y evidencia.</x:v>
      </x:c>
      <x:c r="K159" s="24" t="str">
        <x:v>Funcional</x:v>
      </x:c>
      <x:c r="L159" s="24" t="str">
        <x:v>Revisión</x:v>
      </x:c>
      <x:c r="M159" s="24" t="str">
        <x:v>P0</x:v>
      </x:c>
      <x:c r="N159" s="24" t="str">
        <x:v>S1</x:v>
      </x:c>
      <x:c r="O159" s="24" t="str">
        <x:v>Parcial</x:v>
      </x:c>
      <x:c r="P159" s="24" t="str">
        <x:v>StoreInitial</x:v>
      </x:c>
      <x:c r="Q159" s="24" t="str">
        <x:v>Todos</x:v>
      </x:c>
      <x:c r="R159" s="24" t="str">
        <x:v>Ready</x:v>
      </x:c>
      <x:c r="S159" s="24" t="str">
        <x:v>VRM Games</x:v>
      </x:c>
      <x:c r="T159" s="24" t="str">
        <x:v>07_QA_Testing_Plan.md</x:v>
      </x:c>
      <x:c r="U159" s="24" t="str">
        <x:v>GEN;regresión;trazable</x:v>
      </x:c>
    </x:row>
    <x:row r="160" ht="48" customHeight="1">
      <x:c r="A160" s="24" t="str">
        <x:v>TC-QA-POL-003</x:v>
      </x:c>
      <x:c r="B160" s="24" t="str">
        <x:v>QA</x:v>
      </x:c>
      <x:c r="C160" s="24" t="str">
        <x:v>GEN</x:v>
      </x:c>
      <x:c r="D160" s="24" t="str">
        <x:v>QA-POL-003</x:v>
      </x:c>
      <x:c r="E160" s="24" t="str">
        <x:v>Los fallos automatizados se investigan antes de repetirse o ignorarse</x:v>
      </x:c>
      <x:c r="F160" s="24" t="str">
        <x:v>Verificar que se cumple: Los fallos automatizados se investigan antes de repetirse o ignorarse.</x:v>
      </x:c>
      <x:c r="G160" s="24" t="str">
        <x:v>Baseline válida; estado inicial reproducible; datos de prueba preparados.</x:v>
      </x:c>
      <x:c r="H160" s="24" t="str">
        <x:v>Dataset nominal y, cuando aplique, valores límite o inválidos.</x:v>
      </x:c>
      <x:c r="I160" s="24" t="str">
        <x:v>1. Preparar el estado. 2. Ejecutar la acción o transición. 3. Observar estado, UI y logs. 4. Comparar precondición y postcondición.</x:v>
      </x:c>
      <x:c r="J160" s="24" t="str">
        <x:v>Los fallos automatizados se investigan antes de repetirse o ignorarse.</x:v>
      </x:c>
      <x:c r="K160" s="24" t="str">
        <x:v>Funcional</x:v>
      </x:c>
      <x:c r="L160" s="24" t="str">
        <x:v>Revisión</x:v>
      </x:c>
      <x:c r="M160" s="24" t="str">
        <x:v>P1</x:v>
      </x:c>
      <x:c r="N160" s="24" t="str">
        <x:v>S2</x:v>
      </x:c>
      <x:c r="O160" s="24" t="str">
        <x:v>Parcial</x:v>
      </x:c>
      <x:c r="P160" s="24" t="str">
        <x:v>StoreInitial</x:v>
      </x:c>
      <x:c r="Q160" s="24" t="str">
        <x:v>Todos</x:v>
      </x:c>
      <x:c r="R160" s="24" t="str">
        <x:v>Ready</x:v>
      </x:c>
      <x:c r="S160" s="24" t="str">
        <x:v>VRM Games</x:v>
      </x:c>
      <x:c r="T160" s="24" t="str">
        <x:v>07_QA_Testing_Plan.md</x:v>
      </x:c>
      <x:c r="U160" s="24" t="str">
        <x:v>GEN;regresión;trazable</x:v>
      </x:c>
    </x:row>
    <x:row r="161" ht="48" customHeight="1">
      <x:c r="A161" s="24" t="str">
        <x:v>TC-QA-POL-004</x:v>
      </x:c>
      <x:c r="B161" s="24" t="str">
        <x:v>QA</x:v>
      </x:c>
      <x:c r="C161" s="24" t="str">
        <x:v>GEN</x:v>
      </x:c>
      <x:c r="D161" s="24" t="str">
        <x:v>QA-POL-004</x:v>
      </x:c>
      <x:c r="E161" s="24" t="str">
        <x:v>La build externa debe revisarse mediante Player.log</x:v>
      </x:c>
      <x:c r="F161" s="24" t="str">
        <x:v>Verificar que se cumple: La build externa debe revisarse mediante Player.log.</x:v>
      </x:c>
      <x:c r="G161" s="24" t="str">
        <x:v>Baseline válida; estado inicial reproducible; datos de prueba preparados.</x:v>
      </x:c>
      <x:c r="H161" s="24" t="str">
        <x:v>Dataset nominal y, cuando aplique, valores límite o inválidos.</x:v>
      </x:c>
      <x:c r="I161" s="24" t="str">
        <x:v>1. Preparar el estado. 2. Ejecutar la acción o transición. 3. Observar estado, UI y logs. 4. Comparar precondición y postcondición.</x:v>
      </x:c>
      <x:c r="J161" s="24" t="str">
        <x:v>La build externa debe revisarse mediante Player.log.</x:v>
      </x:c>
      <x:c r="K161" s="24" t="str">
        <x:v>Funcional</x:v>
      </x:c>
      <x:c r="L161" s="24" t="str">
        <x:v>Revisión</x:v>
      </x:c>
      <x:c r="M161" s="24" t="str">
        <x:v>P0</x:v>
      </x:c>
      <x:c r="N161" s="24" t="str">
        <x:v>S1</x:v>
      </x:c>
      <x:c r="O161" s="24" t="str">
        <x:v>Parcial</x:v>
      </x:c>
      <x:c r="P161" s="24" t="str">
        <x:v>StoreInitial</x:v>
      </x:c>
      <x:c r="Q161" s="24" t="str">
        <x:v>Sprint 16/17</x:v>
      </x:c>
      <x:c r="R161" s="24" t="str">
        <x:v>Ready</x:v>
      </x:c>
      <x:c r="S161" s="24" t="str">
        <x:v>VRM Games</x:v>
      </x:c>
      <x:c r="T161" s="24" t="str">
        <x:v>07_QA_Testing_Plan.md</x:v>
      </x:c>
      <x:c r="U161" s="24" t="str">
        <x:v>GEN;regresión;trazable</x:v>
      </x:c>
    </x:row>
    <x:row r="162" ht="48" customHeight="1">
      <x:c r="A162" s="24" t="str">
        <x:v>TC-QA-POL-005</x:v>
      </x:c>
      <x:c r="B162" s="24" t="str">
        <x:v>QA</x:v>
      </x:c>
      <x:c r="C162" s="24" t="str">
        <x:v>GEN</x:v>
      </x:c>
      <x:c r="D162" s="24" t="str">
        <x:v>QA-POL-005</x:v>
      </x:c>
      <x:c r="E162" s="24" t="str">
        <x:v>La regresión incluye EditMode, PlayMode, escena, Golden Path y build cuando aplica</x:v>
      </x:c>
      <x:c r="F162" s="24" t="str">
        <x:v>Verificar que se cumple: La regresión incluye EditMode, PlayMode, escena, Golden Path y build cuando aplica.</x:v>
      </x:c>
      <x:c r="G162" s="24" t="str">
        <x:v>Baseline válida; estado inicial reproducible; datos de prueba preparados.</x:v>
      </x:c>
      <x:c r="H162" s="24" t="str">
        <x:v>Dataset nominal y, cuando aplique, valores límite o inválidos.</x:v>
      </x:c>
      <x:c r="I162" s="24" t="str">
        <x:v>1. Preparar el estado. 2. Ejecutar la acción o transición. 3. Observar estado, UI y logs. 4. Comparar precondición y postcondición.</x:v>
      </x:c>
      <x:c r="J162" s="24" t="str">
        <x:v>La regresión incluye EditMode, PlayMode, escena, Golden Path y build cuando aplica.</x:v>
      </x:c>
      <x:c r="K162" s="24" t="str">
        <x:v>Funcional</x:v>
      </x:c>
      <x:c r="L162" s="24" t="str">
        <x:v>Revisión</x:v>
      </x:c>
      <x:c r="M162" s="24" t="str">
        <x:v>P0</x:v>
      </x:c>
      <x:c r="N162" s="24" t="str">
        <x:v>S1</x:v>
      </x:c>
      <x:c r="O162" s="24" t="str">
        <x:v>Parcial</x:v>
      </x:c>
      <x:c r="P162" s="24" t="str">
        <x:v>StoreInitial</x:v>
      </x:c>
      <x:c r="Q162" s="24" t="str">
        <x:v>Sprint 17/H6</x:v>
      </x:c>
      <x:c r="R162" s="24" t="str">
        <x:v>Ready</x:v>
      </x:c>
      <x:c r="S162" s="24" t="str">
        <x:v>VRM Games</x:v>
      </x:c>
      <x:c r="T162" s="24" t="str">
        <x:v>07_QA_Testing_Plan.md</x:v>
      </x:c>
      <x:c r="U162" s="24" t="str">
        <x:v>GEN;regresión;trazable</x:v>
      </x:c>
    </x:row>
    <x:row r="163" ht="48" customHeight="1">
      <x:c r="A163" s="24" t="str">
        <x:v>TC-QA-POL-006</x:v>
      </x:c>
      <x:c r="B163" s="24" t="str">
        <x:v>QA</x:v>
      </x:c>
      <x:c r="C163" s="24" t="str">
        <x:v>GEN</x:v>
      </x:c>
      <x:c r="D163" s="24" t="str">
        <x:v>QA-POL-006</x:v>
      </x:c>
      <x:c r="E163" s="24" t="str">
        <x:v>Los datos de prueba son reproducibles mediante seed, fixture o estado documentado</x:v>
      </x:c>
      <x:c r="F163" s="24" t="str">
        <x:v>Verificar que se cumple: Los datos de prueba son reproducibles mediante seed, fixture o estado documentado.</x:v>
      </x:c>
      <x:c r="G163" s="24" t="str">
        <x:v>Baseline válida; estado inicial reproducible; datos de prueba preparados.</x:v>
      </x:c>
      <x:c r="H163" s="24" t="str">
        <x:v>Dataset nominal y, cuando aplique, valores límite o inválidos.</x:v>
      </x:c>
      <x:c r="I163" s="24" t="str">
        <x:v>1. Preparar el estado. 2. Ejecutar la acción o transición. 3. Observar estado, UI y logs. 4. Comparar precondición y postcondición.</x:v>
      </x:c>
      <x:c r="J163" s="24" t="str">
        <x:v>Los datos de prueba son reproducibles mediante seed, fixture o estado documentado.</x:v>
      </x:c>
      <x:c r="K163" s="24" t="str">
        <x:v>Funcional</x:v>
      </x:c>
      <x:c r="L163" s="24" t="str">
        <x:v>Revisión</x:v>
      </x:c>
      <x:c r="M163" s="24" t="str">
        <x:v>P1</x:v>
      </x:c>
      <x:c r="N163" s="24" t="str">
        <x:v>S2</x:v>
      </x:c>
      <x:c r="O163" s="24" t="str">
        <x:v>Parcial</x:v>
      </x:c>
      <x:c r="P163" s="24" t="str">
        <x:v>StoreInitial</x:v>
      </x:c>
      <x:c r="Q163" s="24" t="str">
        <x:v>Todos</x:v>
      </x:c>
      <x:c r="R163" s="24" t="str">
        <x:v>Ready</x:v>
      </x:c>
      <x:c r="S163" s="24" t="str">
        <x:v>VRM Games</x:v>
      </x:c>
      <x:c r="T163" s="24" t="str">
        <x:v>07_QA_Testing_Plan.md</x:v>
      </x:c>
      <x:c r="U163" s="24" t="str">
        <x:v>GEN;regresión;trazable</x:v>
      </x:c>
    </x:row>
    <x:row r="164" ht="48" customHeight="1">
      <x:c r="A164" s="24" t="str">
        <x:v>TC-QA-POL-007</x:v>
      </x:c>
      <x:c r="B164" s="24" t="str">
        <x:v>QA</x:v>
      </x:c>
      <x:c r="C164" s="24" t="str">
        <x:v>GEN</x:v>
      </x:c>
      <x:c r="D164" s="24" t="str">
        <x:v>QA-POL-007</x:v>
      </x:c>
      <x:c r="E164" s="24" t="str">
        <x:v>Un caso bloqueado registra causa, owner y condición de desbloqueo</x:v>
      </x:c>
      <x:c r="F164" s="24" t="str">
        <x:v>Verificar que se cumple: Un caso bloqueado registra causa, owner y condición de desbloqueo.</x:v>
      </x:c>
      <x:c r="G164" s="24" t="str">
        <x:v>Baseline válida; estado inicial reproducible; datos de prueba preparados.</x:v>
      </x:c>
      <x:c r="H164" s="24" t="str">
        <x:v>Dataset nominal y, cuando aplique, valores límite o inválidos.</x:v>
      </x:c>
      <x:c r="I164" s="24" t="str">
        <x:v>1. Preparar el estado. 2. Ejecutar la acción o transición. 3. Observar estado, UI y logs. 4. Comparar precondición y postcondición.</x:v>
      </x:c>
      <x:c r="J164" s="24" t="str">
        <x:v>Un caso bloqueado registra causa, owner y condición de desbloqueo.</x:v>
      </x:c>
      <x:c r="K164" s="24" t="str">
        <x:v>Funcional</x:v>
      </x:c>
      <x:c r="L164" s="24" t="str">
        <x:v>Revisión</x:v>
      </x:c>
      <x:c r="M164" s="24" t="str">
        <x:v>P1</x:v>
      </x:c>
      <x:c r="N164" s="24" t="str">
        <x:v>S2</x:v>
      </x:c>
      <x:c r="O164" s="24" t="str">
        <x:v>Parcial</x:v>
      </x:c>
      <x:c r="P164" s="24" t="str">
        <x:v>StoreInitial</x:v>
      </x:c>
      <x:c r="Q164" s="24" t="str">
        <x:v>Todos</x:v>
      </x:c>
      <x:c r="R164" s="24" t="str">
        <x:v>Ready</x:v>
      </x:c>
      <x:c r="S164" s="24" t="str">
        <x:v>VRM Games</x:v>
      </x:c>
      <x:c r="T164" s="24" t="str">
        <x:v>07_QA_Testing_Plan.md</x:v>
      </x:c>
      <x:c r="U164" s="24" t="str">
        <x:v>GEN;regresión;trazable</x:v>
      </x:c>
    </x:row>
    <x:row r="165" ht="48" customHeight="1">
      <x:c r="A165" s="24" t="str">
        <x:v>TC-QA-POL-008</x:v>
      </x:c>
      <x:c r="B165" s="24" t="str">
        <x:v>QA</x:v>
      </x:c>
      <x:c r="C165" s="24" t="str">
        <x:v>GEN</x:v>
      </x:c>
      <x:c r="D165" s="24" t="str">
        <x:v>QA-POL-008</x:v>
      </x:c>
      <x:c r="E165" s="24" t="str">
        <x:v>Las pruebas manuales críticas requieren evidencia reproducible</x:v>
      </x:c>
      <x:c r="F165" s="24" t="str">
        <x:v>Verificar que se cumple: Las pruebas manuales críticas requieren evidencia reproducible.</x:v>
      </x:c>
      <x:c r="G165" s="24" t="str">
        <x:v>Baseline válida; estado inicial reproducible; datos de prueba preparados.</x:v>
      </x:c>
      <x:c r="H165" s="24" t="str">
        <x:v>Dataset nominal y, cuando aplique, valores límite o inválidos.</x:v>
      </x:c>
      <x:c r="I165" s="24" t="str">
        <x:v>1. Preparar el estado. 2. Ejecutar la acción o transición. 3. Observar estado, UI y logs. 4. Comparar precondición y postcondición.</x:v>
      </x:c>
      <x:c r="J165" s="24" t="str">
        <x:v>Las pruebas manuales críticas requieren evidencia reproducible.</x:v>
      </x:c>
      <x:c r="K165" s="24" t="str">
        <x:v>Funcional</x:v>
      </x:c>
      <x:c r="L165" s="24" t="str">
        <x:v>Revisión</x:v>
      </x:c>
      <x:c r="M165" s="24" t="str">
        <x:v>P1</x:v>
      </x:c>
      <x:c r="N165" s="24" t="str">
        <x:v>S2</x:v>
      </x:c>
      <x:c r="O165" s="24" t="str">
        <x:v>Parcial</x:v>
      </x:c>
      <x:c r="P165" s="24" t="str">
        <x:v>StoreInitial</x:v>
      </x:c>
      <x:c r="Q165" s="24" t="str">
        <x:v>Todos</x:v>
      </x:c>
      <x:c r="R165" s="24" t="str">
        <x:v>Ready</x:v>
      </x:c>
      <x:c r="S165" s="24" t="str">
        <x:v>VRM Games</x:v>
      </x:c>
      <x:c r="T165" s="24" t="str">
        <x:v>07_QA_Testing_Plan.md</x:v>
      </x:c>
      <x:c r="U165" s="24" t="str">
        <x:v>GEN;regresión;trazable</x:v>
      </x:c>
    </x:row>
    <x:row r="166" ht="48" customHeight="1">
      <x:c r="A166" s="24" t="str">
        <x:v>TC-QA-POL-009</x:v>
      </x:c>
      <x:c r="B166" s="24" t="str">
        <x:v>QA</x:v>
      </x:c>
      <x:c r="C166" s="24" t="str">
        <x:v>GEN</x:v>
      </x:c>
      <x:c r="D166" s="24" t="str">
        <x:v>QA-POL-009</x:v>
      </x:c>
      <x:c r="E166" s="24" t="str">
        <x:v>Persistencia verifica equivalencia y no solo ausencia de excepción</x:v>
      </x:c>
      <x:c r="F166" s="24" t="str">
        <x:v>Verificar que se cumple: Persistencia verifica equivalencia y no solo ausencia de excepción.</x:v>
      </x:c>
      <x:c r="G166" s="24" t="str">
        <x:v>Baseline válida; estado inicial reproducible; datos de prueba preparados.</x:v>
      </x:c>
      <x:c r="H166" s="24" t="str">
        <x:v>Dataset nominal y, cuando aplique, valores límite o inválidos.</x:v>
      </x:c>
      <x:c r="I166" s="24" t="str">
        <x:v>1. Preparar el estado. 2. Ejecutar la acción o transición. 3. Observar estado, UI y logs. 4. Comparar precondición y postcondición.</x:v>
      </x:c>
      <x:c r="J166" s="24" t="str">
        <x:v>Persistencia verifica equivalencia y no solo ausencia de excepción.</x:v>
      </x:c>
      <x:c r="K166" s="24" t="str">
        <x:v>Funcional</x:v>
      </x:c>
      <x:c r="L166" s="24" t="str">
        <x:v>Revisión</x:v>
      </x:c>
      <x:c r="M166" s="24" t="str">
        <x:v>P0</x:v>
      </x:c>
      <x:c r="N166" s="24" t="str">
        <x:v>S1</x:v>
      </x:c>
      <x:c r="O166" s="24" t="str">
        <x:v>Parcial</x:v>
      </x:c>
      <x:c r="P166" s="24" t="str">
        <x:v>StoreInitial</x:v>
      </x:c>
      <x:c r="Q166" s="24" t="str">
        <x:v>Sprint 17/H6</x:v>
      </x:c>
      <x:c r="R166" s="24" t="str">
        <x:v>Ready</x:v>
      </x:c>
      <x:c r="S166" s="24" t="str">
        <x:v>VRM Games</x:v>
      </x:c>
      <x:c r="T166" s="24" t="str">
        <x:v>07_QA_Testing_Plan.md</x:v>
      </x:c>
      <x:c r="U166" s="24" t="str">
        <x:v>GEN;regresión;trazable</x:v>
      </x:c>
    </x:row>
    <x:row r="167" ht="48" customHeight="1">
      <x:c r="A167" s="24" t="str">
        <x:v>TC-QA-POL-010</x:v>
      </x:c>
      <x:c r="B167" s="24" t="str">
        <x:v>QA</x:v>
      </x:c>
      <x:c r="C167" s="24" t="str">
        <x:v>GEN</x:v>
      </x:c>
      <x:c r="D167" s="24" t="str">
        <x:v>QA-POL-010</x:v>
      </x:c>
      <x:c r="E167" s="24" t="str">
        <x:v>El soak test busca degradación acumulativa, fugas y bloqueos</x:v>
      </x:c>
      <x:c r="F167" s="24" t="str">
        <x:v>Verificar que se cumple: El soak test busca degradación acumulativa, fugas y bloqueos.</x:v>
      </x:c>
      <x:c r="G167" s="24" t="str">
        <x:v>Baseline válida; estado inicial reproducible; datos de prueba preparados.</x:v>
      </x:c>
      <x:c r="H167" s="24" t="str">
        <x:v>Dataset nominal y, cuando aplique, valores límite o inválidos.</x:v>
      </x:c>
      <x:c r="I167" s="24" t="str">
        <x:v>1. Preparar el estado. 2. Ejecutar la acción o transición. 3. Observar estado, UI y logs. 4. Comparar precondición y postcondición.</x:v>
      </x:c>
      <x:c r="J167" s="24" t="str">
        <x:v>El soak test busca degradación acumulativa, fugas y bloqueos.</x:v>
      </x:c>
      <x:c r="K167" s="24" t="str">
        <x:v>Funcional</x:v>
      </x:c>
      <x:c r="L167" s="24" t="str">
        <x:v>Revisión</x:v>
      </x:c>
      <x:c r="M167" s="24" t="str">
        <x:v>P1</x:v>
      </x:c>
      <x:c r="N167" s="24" t="str">
        <x:v>S2</x:v>
      </x:c>
      <x:c r="O167" s="24" t="str">
        <x:v>Parcial</x:v>
      </x:c>
      <x:c r="P167" s="24" t="str">
        <x:v>StoreInitial</x:v>
      </x:c>
      <x:c r="Q167" s="24" t="str">
        <x:v>Sprint 17</x:v>
      </x:c>
      <x:c r="R167" s="24" t="str">
        <x:v>Ready</x:v>
      </x:c>
      <x:c r="S167" s="24" t="str">
        <x:v>VRM Games</x:v>
      </x:c>
      <x:c r="T167" s="24" t="str">
        <x:v>07_QA_Testing_Plan.md</x:v>
      </x:c>
      <x:c r="U167" s="24" t="str">
        <x:v>GEN;regresión;trazable</x:v>
      </x:c>
    </x:row>
    <x:row r="168" ht="48" customHeight="1">
      <x:c r="A168" s="24" t="str">
        <x:v>TC-DATA-INV-001</x:v>
      </x:c>
      <x:c r="B168" s="24" t="str">
        <x:v>Datos</x:v>
      </x:c>
      <x:c r="C168" s="24" t="str">
        <x:v>GEN</x:v>
      </x:c>
      <x:c r="D168" s="24" t="str">
        <x:v>DATA-INV-001</x:v>
      </x:c>
      <x:c r="E168" s="24" t="str">
        <x:v>Cada unidad de inventario pertenece a una única ubicación lógica</x:v>
      </x:c>
      <x:c r="F168" s="24" t="str">
        <x:v>Verificar que se cumple: Cada unidad de inventario pertenece a una única ubicación lógica.</x:v>
      </x:c>
      <x:c r="G168" s="24" t="str">
        <x:v>Baseline válida; estado inicial reproducible; datos de prueba preparados.</x:v>
      </x:c>
      <x:c r="H168" s="24" t="str">
        <x:v>Dataset nominal y, cuando aplique, valores límite o inválidos.</x:v>
      </x:c>
      <x:c r="I168" s="24" t="str">
        <x:v>1. Preparar el estado. 2. Ejecutar la acción o transición. 3. Observar estado, UI y logs. 4. Comparar precondición y postcondición.</x:v>
      </x:c>
      <x:c r="J168" s="24" t="str">
        <x:v>Cada unidad de inventario pertenece a una única ubicación lógica.</x:v>
      </x:c>
      <x:c r="K168" s="24" t="str">
        <x:v>Funcional</x:v>
      </x:c>
      <x:c r="L168" s="24" t="str">
        <x:v>Revisión</x:v>
      </x:c>
      <x:c r="M168" s="24" t="str">
        <x:v>P0</x:v>
      </x:c>
      <x:c r="N168" s="24" t="str">
        <x:v>S1</x:v>
      </x:c>
      <x:c r="O168" s="24" t="str">
        <x:v>Parcial</x:v>
      </x:c>
      <x:c r="P168" s="24" t="str">
        <x:v>StoreInitial</x:v>
      </x:c>
      <x:c r="Q168" s="24" t="str">
        <x:v>H6</x:v>
      </x:c>
      <x:c r="R168" s="24" t="str">
        <x:v>Ready</x:v>
      </x:c>
      <x:c r="S168" s="24" t="str">
        <x:v>VRM Games</x:v>
      </x:c>
      <x:c r="T168" s="24" t="str">
        <x:v>04_Modelo_de_Datos.md</x:v>
      </x:c>
      <x:c r="U168" s="24" t="str">
        <x:v>GEN;regresión;trazable</x:v>
      </x:c>
    </x:row>
    <x:row r="169" ht="48" customHeight="1">
      <x:c r="A169" s="24" t="str">
        <x:v>TC-DATA-INV-002</x:v>
      </x:c>
      <x:c r="B169" s="24" t="str">
        <x:v>Datos</x:v>
      </x:c>
      <x:c r="C169" s="24" t="str">
        <x:v>GEN</x:v>
      </x:c>
      <x:c r="D169" s="24" t="str">
        <x:v>DATA-INV-002</x:v>
      </x:c>
      <x:c r="E169" s="24" t="str">
        <x:v>Toda transferencia válida conserva la cantidad total</x:v>
      </x:c>
      <x:c r="F169" s="24" t="str">
        <x:v>Verificar que se cumple: Toda transferencia válida conserva la cantidad total.</x:v>
      </x:c>
      <x:c r="G169" s="24" t="str">
        <x:v>Baseline válida; estado inicial reproducible; datos de prueba preparados.</x:v>
      </x:c>
      <x:c r="H169" s="24" t="str">
        <x:v>Dataset nominal y, cuando aplique, valores límite o inválidos.</x:v>
      </x:c>
      <x:c r="I169" s="24" t="str">
        <x:v>1. Preparar el estado. 2. Ejecutar la acción o transición. 3. Observar estado, UI y logs. 4. Comparar precondición y postcondición.</x:v>
      </x:c>
      <x:c r="J169" s="24" t="str">
        <x:v>Toda transferencia válida conserva la cantidad total.</x:v>
      </x:c>
      <x:c r="K169" s="24" t="str">
        <x:v>Funcional</x:v>
      </x:c>
      <x:c r="L169" s="24" t="str">
        <x:v>Revisión</x:v>
      </x:c>
      <x:c r="M169" s="24" t="str">
        <x:v>P0</x:v>
      </x:c>
      <x:c r="N169" s="24" t="str">
        <x:v>S1</x:v>
      </x:c>
      <x:c r="O169" s="24" t="str">
        <x:v>Parcial</x:v>
      </x:c>
      <x:c r="P169" s="24" t="str">
        <x:v>StoreInitial</x:v>
      </x:c>
      <x:c r="Q169" s="24" t="str">
        <x:v>H6</x:v>
      </x:c>
      <x:c r="R169" s="24" t="str">
        <x:v>Ready</x:v>
      </x:c>
      <x:c r="S169" s="24" t="str">
        <x:v>VRM Games</x:v>
      </x:c>
      <x:c r="T169" s="24" t="str">
        <x:v>04_Modelo_de_Datos.md</x:v>
      </x:c>
      <x:c r="U169" s="24" t="str">
        <x:v>GEN;regresión;trazable</x:v>
      </x:c>
    </x:row>
    <x:row r="170" ht="48" customHeight="1">
      <x:c r="A170" s="24" t="str">
        <x:v>TC-DATA-SAV-001</x:v>
      </x:c>
      <x:c r="B170" s="24" t="str">
        <x:v>Datos</x:v>
      </x:c>
      <x:c r="C170" s="24" t="str">
        <x:v>GEN</x:v>
      </x:c>
      <x:c r="D170" s="24" t="str">
        <x:v>DATA-SAV-001</x:v>
      </x:c>
      <x:c r="E170" s="24" t="str">
        <x:v>IntegratedGameStateSnapshot usa schema versionado y validado</x:v>
      </x:c>
      <x:c r="F170" s="24" t="str">
        <x:v>Verificar que se cumple: IntegratedGameStateSnapshot usa schema versionado y validado.</x:v>
      </x:c>
      <x:c r="G170" s="24" t="str">
        <x:v>Baseline válida; estado inicial reproducible; datos de prueba preparados.</x:v>
      </x:c>
      <x:c r="H170" s="24" t="str">
        <x:v>Dataset nominal y, cuando aplique, valores límite o inválidos.</x:v>
      </x:c>
      <x:c r="I170" s="24" t="str">
        <x:v>1. Preparar el estado. 2. Ejecutar la acción o transición. 3. Observar estado, UI y logs. 4. Comparar precondición y postcondición.</x:v>
      </x:c>
      <x:c r="J170" s="24" t="str">
        <x:v>IntegratedGameStateSnapshot usa schema versionado y validado.</x:v>
      </x:c>
      <x:c r="K170" s="24" t="str">
        <x:v>Funcional</x:v>
      </x:c>
      <x:c r="L170" s="24" t="str">
        <x:v>Revisión</x:v>
      </x:c>
      <x:c r="M170" s="24" t="str">
        <x:v>P0</x:v>
      </x:c>
      <x:c r="N170" s="24" t="str">
        <x:v>S1</x:v>
      </x:c>
      <x:c r="O170" s="24" t="str">
        <x:v>Parcial</x:v>
      </x:c>
      <x:c r="P170" s="24" t="str">
        <x:v>StoreInitial</x:v>
      </x:c>
      <x:c r="Q170" s="24" t="str">
        <x:v>H6</x:v>
      </x:c>
      <x:c r="R170" s="24" t="str">
        <x:v>Ready</x:v>
      </x:c>
      <x:c r="S170" s="24" t="str">
        <x:v>VRM Games</x:v>
      </x:c>
      <x:c r="T170" s="24" t="str">
        <x:v>04_Modelo_de_Datos.md</x:v>
      </x:c>
      <x:c r="U170" s="24" t="str">
        <x:v>GEN;regresión;trazable</x:v>
      </x:c>
    </x:row>
    <x:row r="171" ht="48" customHeight="1">
      <x:c r="A171" s="24" t="str">
        <x:v>TC-DATA-SAV-002</x:v>
      </x:c>
      <x:c r="B171" s="24" t="str">
        <x:v>Datos</x:v>
      </x:c>
      <x:c r="C171" s="24" t="str">
        <x:v>GEN</x:v>
      </x:c>
      <x:c r="D171" s="24" t="str">
        <x:v>DATA-SAV-002</x:v>
      </x:c>
      <x:c r="E171" s="24" t="str">
        <x:v>El primario corrupto no destruye un backup válido</x:v>
      </x:c>
      <x:c r="F171" s="24" t="str">
        <x:v>Verificar que se cumple: El primario corrupto no destruye un backup válido.</x:v>
      </x:c>
      <x:c r="G171" s="24" t="str">
        <x:v>Baseline válida; estado inicial reproducible; datos de prueba preparados.</x:v>
      </x:c>
      <x:c r="H171" s="24" t="str">
        <x:v>Dataset nominal y, cuando aplique, valores límite o inválidos.</x:v>
      </x:c>
      <x:c r="I171" s="24" t="str">
        <x:v>1. Preparar el estado. 2. Ejecutar la acción o transición. 3. Observar estado, UI y logs. 4. Comparar precondición y postcondición.</x:v>
      </x:c>
      <x:c r="J171" s="24" t="str">
        <x:v>El primario corrupto no destruye un backup válido.</x:v>
      </x:c>
      <x:c r="K171" s="24" t="str">
        <x:v>Funcional</x:v>
      </x:c>
      <x:c r="L171" s="24" t="str">
        <x:v>Revisión</x:v>
      </x:c>
      <x:c r="M171" s="24" t="str">
        <x:v>P0</x:v>
      </x:c>
      <x:c r="N171" s="24" t="str">
        <x:v>S1</x:v>
      </x:c>
      <x:c r="O171" s="24" t="str">
        <x:v>Parcial</x:v>
      </x:c>
      <x:c r="P171" s="24" t="str">
        <x:v>StoreInitial</x:v>
      </x:c>
      <x:c r="Q171" s="24" t="str">
        <x:v>H6</x:v>
      </x:c>
      <x:c r="R171" s="24" t="str">
        <x:v>Ready</x:v>
      </x:c>
      <x:c r="S171" s="24" t="str">
        <x:v>VRM Games</x:v>
      </x:c>
      <x:c r="T171" s="24" t="str">
        <x:v>04_Modelo_de_Datos.md</x:v>
      </x:c>
      <x:c r="U171" s="24" t="str">
        <x:v>GEN;regresión;trazable</x:v>
      </x:c>
    </x:row>
    <x:row r="172" ht="48" customHeight="1">
      <x:c r="A172" s="24" t="str">
        <x:v>TC-TDD-ARC-001</x:v>
      </x:c>
      <x:c r="B172" s="24" t="str">
        <x:v>Arquitectura</x:v>
      </x:c>
      <x:c r="C172" s="24" t="str">
        <x:v>GEN</x:v>
      </x:c>
      <x:c r="D172" s="24" t="str">
        <x:v>TDD-ARC-001</x:v>
      </x:c>
      <x:c r="E172" s="24" t="str">
        <x:v>ApplicationRoot no se duplica durante transiciones</x:v>
      </x:c>
      <x:c r="F172" s="24" t="str">
        <x:v>Verificar que se cumple: ApplicationRoot no se duplica durante transiciones.</x:v>
      </x:c>
      <x:c r="G172" s="24" t="str">
        <x:v>Baseline válida; estado inicial reproducible; datos de prueba preparados.</x:v>
      </x:c>
      <x:c r="H172" s="24" t="str">
        <x:v>Dataset nominal y, cuando aplique, valores límite o inválidos.</x:v>
      </x:c>
      <x:c r="I172" s="24" t="str">
        <x:v>1. Preparar el estado. 2. Ejecutar la acción o transición. 3. Observar estado, UI y logs. 4. Comparar precondición y postcondición.</x:v>
      </x:c>
      <x:c r="J172" s="24" t="str">
        <x:v>ApplicationRoot no se duplica durante transiciones.</x:v>
      </x:c>
      <x:c r="K172" s="24" t="str">
        <x:v>Funcional</x:v>
      </x:c>
      <x:c r="L172" s="24" t="str">
        <x:v>Revisión</x:v>
      </x:c>
      <x:c r="M172" s="24" t="str">
        <x:v>P0</x:v>
      </x:c>
      <x:c r="N172" s="24" t="str">
        <x:v>S1</x:v>
      </x:c>
      <x:c r="O172" s="24" t="str">
        <x:v>Parcial</x:v>
      </x:c>
      <x:c r="P172" s="24" t="str">
        <x:v>StoreInitial</x:v>
      </x:c>
      <x:c r="Q172" s="24" t="str">
        <x:v>H6</x:v>
      </x:c>
      <x:c r="R172" s="24" t="str">
        <x:v>Ready</x:v>
      </x:c>
      <x:c r="S172" s="24" t="str">
        <x:v>VRM Games</x:v>
      </x:c>
      <x:c r="T172" s="24" t="str">
        <x:v>03_Technical_Design_Document.md</x:v>
      </x:c>
      <x:c r="U172" s="24" t="str">
        <x:v>GEN;regresión;trazable</x:v>
      </x:c>
    </x:row>
    <x:row r="173" ht="48" customHeight="1">
      <x:c r="A173" s="24" t="str">
        <x:v>TC-TDD-ARC-002</x:v>
      </x:c>
      <x:c r="B173" s="24" t="str">
        <x:v>Arquitectura</x:v>
      </x:c>
      <x:c r="C173" s="24" t="str">
        <x:v>GEN</x:v>
      </x:c>
      <x:c r="D173" s="24" t="str">
        <x:v>TDD-ARC-002</x:v>
      </x:c>
      <x:c r="E173" s="24" t="str">
        <x:v>StoreInitialSceneContext resuelve referencias explícitas y falla de forma controlada</x:v>
      </x:c>
      <x:c r="F173" s="24" t="str">
        <x:v>Verificar que se cumple: StoreInitialSceneContext resuelve referencias explícitas y falla de forma controlada.</x:v>
      </x:c>
      <x:c r="G173" s="24" t="str">
        <x:v>Baseline válida; estado inicial reproducible; datos de prueba preparados.</x:v>
      </x:c>
      <x:c r="H173" s="24" t="str">
        <x:v>Dataset nominal y, cuando aplique, valores límite o inválidos.</x:v>
      </x:c>
      <x:c r="I173" s="24" t="str">
        <x:v>1. Preparar el estado. 2. Ejecutar la acción o transición. 3. Observar estado, UI y logs. 4. Comparar precondición y postcondición.</x:v>
      </x:c>
      <x:c r="J173" s="24" t="str">
        <x:v>StoreInitialSceneContext resuelve referencias explícitas y falla de forma controlada.</x:v>
      </x:c>
      <x:c r="K173" s="24" t="str">
        <x:v>Funcional</x:v>
      </x:c>
      <x:c r="L173" s="24" t="str">
        <x:v>Revisión</x:v>
      </x:c>
      <x:c r="M173" s="24" t="str">
        <x:v>P0</x:v>
      </x:c>
      <x:c r="N173" s="24" t="str">
        <x:v>S1</x:v>
      </x:c>
      <x:c r="O173" s="24" t="str">
        <x:v>Parcial</x:v>
      </x:c>
      <x:c r="P173" s="24" t="str">
        <x:v>StoreInitial</x:v>
      </x:c>
      <x:c r="Q173" s="24" t="str">
        <x:v>Sprint 16</x:v>
      </x:c>
      <x:c r="R173" s="24" t="str">
        <x:v>Ready</x:v>
      </x:c>
      <x:c r="S173" s="24" t="str">
        <x:v>VRM Games</x:v>
      </x:c>
      <x:c r="T173" s="24" t="str">
        <x:v>03_Technical_Design_Document.md</x:v>
      </x:c>
      <x:c r="U173" s="24" t="str">
        <x:v>GEN;regresión;trazable</x:v>
      </x:c>
    </x:row>
    <x:row r="174" ht="48" customHeight="1">
      <x:c r="A174" s="24" t="str">
        <x:v>TC-TDD-INP-001</x:v>
      </x:c>
      <x:c r="B174" s="24" t="str">
        <x:v>Input</x:v>
      </x:c>
      <x:c r="C174" s="24" t="str">
        <x:v>GEN</x:v>
      </x:c>
      <x:c r="D174" s="24" t="str">
        <x:v>TDD-INP-001</x:v>
      </x:c>
      <x:c r="E174" s="24" t="str">
        <x:v>La UI consume input antes de gameplay</x:v>
      </x:c>
      <x:c r="F174" s="24" t="str">
        <x:v>Verificar que se cumple: La UI consume input antes de gameplay.</x:v>
      </x:c>
      <x:c r="G174" s="24" t="str">
        <x:v>Baseline válida; estado inicial reproducible; datos de prueba preparados.</x:v>
      </x:c>
      <x:c r="H174" s="24" t="str">
        <x:v>Dataset nominal y, cuando aplique, valores límite o inválidos.</x:v>
      </x:c>
      <x:c r="I174" s="24" t="str">
        <x:v>1. Preparar el estado. 2. Ejecutar la acción o transición. 3. Observar estado, UI y logs. 4. Comparar precondición y postcondición.</x:v>
      </x:c>
      <x:c r="J174" s="24" t="str">
        <x:v>La UI consume input antes de gameplay.</x:v>
      </x:c>
      <x:c r="K174" s="24" t="str">
        <x:v>Funcional</x:v>
      </x:c>
      <x:c r="L174" s="24" t="str">
        <x:v>Revisión</x:v>
      </x:c>
      <x:c r="M174" s="24" t="str">
        <x:v>P0</x:v>
      </x:c>
      <x:c r="N174" s="24" t="str">
        <x:v>S1</x:v>
      </x:c>
      <x:c r="O174" s="24" t="str">
        <x:v>Parcial</x:v>
      </x:c>
      <x:c r="P174" s="24" t="str">
        <x:v>StoreInitial</x:v>
      </x:c>
      <x:c r="Q174" s="24" t="str">
        <x:v>Sprint 16</x:v>
      </x:c>
      <x:c r="R174" s="24" t="str">
        <x:v>Ready</x:v>
      </x:c>
      <x:c r="S174" s="24" t="str">
        <x:v>VRM Games</x:v>
      </x:c>
      <x:c r="T174" s="24" t="str">
        <x:v>03_Technical_Design_Document.md</x:v>
      </x:c>
      <x:c r="U174" s="24" t="str">
        <x:v>GEN;regresión;trazable</x:v>
      </x:c>
    </x:row>
    <x:row r="175" ht="48" customHeight="1">
      <x:c r="A175" s="24" t="str">
        <x:v>TC-RD-S16-001</x:v>
      </x:c>
      <x:c r="B175" s="24" t="str">
        <x:v>Producción</x:v>
      </x:c>
      <x:c r="C175" s="24" t="str">
        <x:v>GEN</x:v>
      </x:c>
      <x:c r="D175" s="24" t="str">
        <x:v>RD-S16-001</x:v>
      </x:c>
      <x:c r="E175" s="24" t="str">
        <x:v>Sprint 16 exige aprobación visual manual además de pruebas verdes</x:v>
      </x:c>
      <x:c r="F175" s="24" t="str">
        <x:v>Verificar que se cumple: Sprint 16 exige aprobación visual manual además de pruebas verdes.</x:v>
      </x:c>
      <x:c r="G175" s="24" t="str">
        <x:v>Baseline válida; estado inicial reproducible; datos de prueba preparados.</x:v>
      </x:c>
      <x:c r="H175" s="24" t="str">
        <x:v>Dataset nominal y, cuando aplique, valores límite o inválidos.</x:v>
      </x:c>
      <x:c r="I175" s="24" t="str">
        <x:v>1. Preparar el estado. 2. Ejecutar la acción o transición. 3. Observar estado, UI y logs. 4. Comparar precondición y postcondición.</x:v>
      </x:c>
      <x:c r="J175" s="24" t="str">
        <x:v>Sprint 16 exige aprobación visual manual además de pruebas verdes.</x:v>
      </x:c>
      <x:c r="K175" s="24" t="str">
        <x:v>Funcional</x:v>
      </x:c>
      <x:c r="L175" s="24" t="str">
        <x:v>Revisión</x:v>
      </x:c>
      <x:c r="M175" s="24" t="str">
        <x:v>P0</x:v>
      </x:c>
      <x:c r="N175" s="24" t="str">
        <x:v>S1</x:v>
      </x:c>
      <x:c r="O175" s="24" t="str">
        <x:v>Parcial</x:v>
      </x:c>
      <x:c r="P175" s="24" t="str">
        <x:v>StoreInitial</x:v>
      </x:c>
      <x:c r="Q175" s="24" t="str">
        <x:v>Sprint 16</x:v>
      </x:c>
      <x:c r="R175" s="24" t="str">
        <x:v>Ready</x:v>
      </x:c>
      <x:c r="S175" s="24" t="str">
        <x:v>VRM Games</x:v>
      </x:c>
      <x:c r="T175" s="24" t="str">
        <x:v>06_Production_Roadmap_y_Sprint_Plan.md</x:v>
      </x:c>
      <x:c r="U175" s="24" t="str">
        <x:v>GEN;regresión;trazable</x:v>
      </x:c>
    </x:row>
    <x:row r="176" ht="48" customHeight="1">
      <x:c r="A176" s="24" t="str">
        <x:v>TC-RD-S17-001</x:v>
      </x:c>
      <x:c r="B176" s="24" t="str">
        <x:v>Producción</x:v>
      </x:c>
      <x:c r="C176" s="24" t="str">
        <x:v>GEN</x:v>
      </x:c>
      <x:c r="D176" s="24" t="str">
        <x:v>RD-S17-001</x:v>
      </x:c>
      <x:c r="E176" s="24" t="str">
        <x:v>Sprint 17 no incorpora sistemas mayores nuevos</x:v>
      </x:c>
      <x:c r="F176" s="24" t="str">
        <x:v>Verificar que se cumple: Sprint 17 no incorpora sistemas mayores nuevos.</x:v>
      </x:c>
      <x:c r="G176" s="24" t="str">
        <x:v>Baseline válida; estado inicial reproducible; datos de prueba preparados.</x:v>
      </x:c>
      <x:c r="H176" s="24" t="str">
        <x:v>Dataset nominal y, cuando aplique, valores límite o inválidos.</x:v>
      </x:c>
      <x:c r="I176" s="24" t="str">
        <x:v>1. Preparar el estado. 2. Ejecutar la acción o transición. 3. Observar estado, UI y logs. 4. Comparar precondición y postcondición.</x:v>
      </x:c>
      <x:c r="J176" s="24" t="str">
        <x:v>Sprint 17 no incorpora sistemas mayores nuevos.</x:v>
      </x:c>
      <x:c r="K176" s="24" t="str">
        <x:v>Funcional</x:v>
      </x:c>
      <x:c r="L176" s="24" t="str">
        <x:v>Revisión</x:v>
      </x:c>
      <x:c r="M176" s="24" t="str">
        <x:v>P1</x:v>
      </x:c>
      <x:c r="N176" s="24" t="str">
        <x:v>S2</x:v>
      </x:c>
      <x:c r="O176" s="24" t="str">
        <x:v>Parcial</x:v>
      </x:c>
      <x:c r="P176" s="24" t="str">
        <x:v>StoreInitial</x:v>
      </x:c>
      <x:c r="Q176" s="24" t="str">
        <x:v>Sprint 17</x:v>
      </x:c>
      <x:c r="R176" s="24" t="str">
        <x:v>Ready</x:v>
      </x:c>
      <x:c r="S176" s="24" t="str">
        <x:v>VRM Games</x:v>
      </x:c>
      <x:c r="T176" s="24" t="str">
        <x:v>06_Production_Roadmap_y_Sprint_Plan.md</x:v>
      </x:c>
      <x:c r="U176" s="24" t="str">
        <x:v>GEN;regresión;trazable</x:v>
      </x:c>
    </x:row>
    <x:row r="177" ht="48" customHeight="1">
      <x:c r="A177" s="24" t="str">
        <x:v>TC-RD-H6-001</x:v>
      </x:c>
      <x:c r="B177" s="24" t="str">
        <x:v>Producción</x:v>
      </x:c>
      <x:c r="C177" s="24" t="str">
        <x:v>GEN</x:v>
      </x:c>
      <x:c r="D177" s="24" t="str">
        <x:v>RD-H6-001</x:v>
      </x:c>
      <x:c r="E177" s="24" t="str">
        <x:v>H6 requiere build identificada, Golden Path, rendimiento, persistencia y defectos clasificados</x:v>
      </x:c>
      <x:c r="F177" s="24" t="str">
        <x:v>Verificar que se cumple: H6 requiere build identificada, Golden Path, rendimiento, persistencia y defectos clasificados.</x:v>
      </x:c>
      <x:c r="G177" s="24" t="str">
        <x:v>Baseline válida; estado inicial reproducible; datos de prueba preparados.</x:v>
      </x:c>
      <x:c r="H177" s="24" t="str">
        <x:v>Dataset nominal y, cuando aplique, valores límite o inválidos.</x:v>
      </x:c>
      <x:c r="I177" s="24" t="str">
        <x:v>1. Preparar el estado. 2. Ejecutar la acción o transición. 3. Observar estado, UI y logs. 4. Comparar precondición y postcondición.</x:v>
      </x:c>
      <x:c r="J177" s="24" t="str">
        <x:v>H6 requiere build identificada, Golden Path, rendimiento, persistencia y defectos clasificados.</x:v>
      </x:c>
      <x:c r="K177" s="24" t="str">
        <x:v>Funcional</x:v>
      </x:c>
      <x:c r="L177" s="24" t="str">
        <x:v>Revisión</x:v>
      </x:c>
      <x:c r="M177" s="24" t="str">
        <x:v>P0</x:v>
      </x:c>
      <x:c r="N177" s="24" t="str">
        <x:v>S1</x:v>
      </x:c>
      <x:c r="O177" s="24" t="str">
        <x:v>Parcial</x:v>
      </x:c>
      <x:c r="P177" s="24" t="str">
        <x:v>StoreInitial</x:v>
      </x:c>
      <x:c r="Q177" s="24" t="str">
        <x:v>H6</x:v>
      </x:c>
      <x:c r="R177" s="24" t="str">
        <x:v>Ready</x:v>
      </x:c>
      <x:c r="S177" s="24" t="str">
        <x:v>VRM Games</x:v>
      </x:c>
      <x:c r="T177" s="24" t="str">
        <x:v>06_Production_Roadmap_y_Sprint_Plan.md</x:v>
      </x:c>
      <x:c r="U177" s="24" t="str">
        <x:v>GEN;regresión;trazable</x:v>
      </x:c>
    </x:row>
    <x:row r="178" ht="48" customHeight="1">
      <x:c r="A178" s="24" t="str">
        <x:v>TC-VS-TST-001</x:v>
      </x:c>
      <x:c r="B178" s="24" t="str">
        <x:v>Golden Path / Escenarios</x:v>
      </x:c>
      <x:c r="C178" s="24" t="str">
        <x:v>TST</x:v>
      </x:c>
      <x:c r="D178" s="24" t="str">
        <x:v>VS-TST-001</x:v>
      </x:c>
      <x:c r="E178" s="24" t="str">
        <x:v>Nueva partida desde instalación limpia</x:v>
      </x:c>
      <x:c r="F178" s="24" t="str">
        <x:v>Validar el escenario oficial: Nueva partida desde instalación limpia.</x:v>
      </x:c>
      <x:c r="G178" s="24" t="str">
        <x:v>Fase(s) D; baseline y datos preparados.</x:v>
      </x:c>
      <x:c r="H178" s="24" t="str">
        <x:v>Datos de referencia del vertical slice.</x:v>
      </x:c>
      <x:c r="I178" s="24" t="str">
        <x:v>Crear slot, entrar, completar primer día.</x:v>
      </x:c>
      <x:c r="J178" s="24" t="str">
        <x:v>Slot válido y recorrido sin bloqueo.</x:v>
      </x:c>
      <x:c r="K178" s="24" t="str">
        <x:v>Escenario end-to-end</x:v>
      </x:c>
      <x:c r="L178" s="24" t="str">
        <x:v>Manual + Integración + Build</x:v>
      </x:c>
      <x:c r="M178" s="24" t="str">
        <x:v>P1</x:v>
      </x:c>
      <x:c r="N178" s="24" t="str">
        <x:v>S1</x:v>
      </x:c>
      <x:c r="O178" s="24" t="str">
        <x:v>Parcial</x:v>
      </x:c>
      <x:c r="P178" s="24" t="str">
        <x:v>StoreInitial / Build</x:v>
      </x:c>
      <x:c r="Q178" s="24" t="str">
        <x:v>Sprint 17 / H6</x:v>
      </x:c>
      <x:c r="R178" s="24" t="str">
        <x:v>Ready</x:v>
      </x:c>
      <x:c r="S178" s="24" t="str">
        <x:v>VRM Games</x:v>
      </x:c>
      <x:c r="T178" s="24" t="str">
        <x:v>02_Vertical_Slice_Specification.md</x:v>
      </x:c>
      <x:c r="U178" s="24" t="str">
        <x:v>escenario-oficial;golden-path</x:v>
      </x:c>
    </x:row>
    <x:row r="179" ht="48" customHeight="1">
      <x:c r="A179" s="24" t="str">
        <x:v>TC-VS-TST-002</x:v>
      </x:c>
      <x:c r="B179" s="24" t="str">
        <x:v>Golden Path / Escenarios</x:v>
      </x:c>
      <x:c r="C179" s="24" t="str">
        <x:v>TST</x:v>
      </x:c>
      <x:c r="D179" s="24" t="str">
        <x:v>VS-TST-002</x:v>
      </x:c>
      <x:c r="E179" s="24" t="str">
        <x:v>Tres slots independientes</x:v>
      </x:c>
      <x:c r="F179" s="24" t="str">
        <x:v>Validar el escenario oficial: Tres slots independientes.</x:v>
      </x:c>
      <x:c r="G179" s="24" t="str">
        <x:v>Fase(s) D; baseline y datos preparados.</x:v>
      </x:c>
      <x:c r="H179" s="24" t="str">
        <x:v>Datos de referencia del vertical slice.</x:v>
      </x:c>
      <x:c r="I179" s="24" t="str">
        <x:v>Crear estados distintos en cada slot.</x:v>
      </x:c>
      <x:c r="J179" s="24" t="str">
        <x:v>No hay contaminación cruzada.</x:v>
      </x:c>
      <x:c r="K179" s="24" t="str">
        <x:v>Escenario end-to-end</x:v>
      </x:c>
      <x:c r="L179" s="24" t="str">
        <x:v>Manual + Integración + Build</x:v>
      </x:c>
      <x:c r="M179" s="24" t="str">
        <x:v>P1</x:v>
      </x:c>
      <x:c r="N179" s="24" t="str">
        <x:v>S1</x:v>
      </x:c>
      <x:c r="O179" s="24" t="str">
        <x:v>Parcial</x:v>
      </x:c>
      <x:c r="P179" s="24" t="str">
        <x:v>StoreInitial / Build</x:v>
      </x:c>
      <x:c r="Q179" s="24" t="str">
        <x:v>Sprint 17 / H6</x:v>
      </x:c>
      <x:c r="R179" s="24" t="str">
        <x:v>Ready</x:v>
      </x:c>
      <x:c r="S179" s="24" t="str">
        <x:v>VRM Games</x:v>
      </x:c>
      <x:c r="T179" s="24" t="str">
        <x:v>02_Vertical_Slice_Specification.md</x:v>
      </x:c>
      <x:c r="U179" s="24" t="str">
        <x:v>escenario-oficial;golden-path</x:v>
      </x:c>
    </x:row>
    <x:row r="180" ht="48" customHeight="1">
      <x:c r="A180" s="24" t="str">
        <x:v>TC-VS-TST-003</x:v>
      </x:c>
      <x:c r="B180" s="24" t="str">
        <x:v>Golden Path / Escenarios</x:v>
      </x:c>
      <x:c r="C180" s="24" t="str">
        <x:v>TST</x:v>
      </x:c>
      <x:c r="D180" s="24" t="str">
        <x:v>VS-TST-003</x:v>
      </x:c>
      <x:c r="E180" s="24" t="str">
        <x:v>Golden Path completo</x:v>
      </x:c>
      <x:c r="F180" s="24" t="str">
        <x:v>Validar el escenario oficial: Golden Path completo.</x:v>
      </x:c>
      <x:c r="G180" s="24" t="str">
        <x:v>Fase(s) D/E; baseline y datos preparados.</x:v>
      </x:c>
      <x:c r="H180" s="24" t="str">
        <x:v>Datos de referencia del vertical slice.</x:v>
      </x:c>
      <x:c r="I180" s="24" t="str">
        <x:v>Ejecutar todos los pasos oficiales.</x:v>
      </x:c>
      <x:c r="J180" s="24" t="str">
        <x:v>PASS sin debug.</x:v>
      </x:c>
      <x:c r="K180" s="24" t="str">
        <x:v>Escenario end-to-end</x:v>
      </x:c>
      <x:c r="L180" s="24" t="str">
        <x:v>Manual + Integración + Build</x:v>
      </x:c>
      <x:c r="M180" s="24" t="str">
        <x:v>P0</x:v>
      </x:c>
      <x:c r="N180" s="24" t="str">
        <x:v>S1</x:v>
      </x:c>
      <x:c r="O180" s="24" t="str">
        <x:v>Parcial</x:v>
      </x:c>
      <x:c r="P180" s="24" t="str">
        <x:v>StoreInitial / Build</x:v>
      </x:c>
      <x:c r="Q180" s="24" t="str">
        <x:v>Sprint 17 / H6</x:v>
      </x:c>
      <x:c r="R180" s="24" t="str">
        <x:v>Ready</x:v>
      </x:c>
      <x:c r="S180" s="24" t="str">
        <x:v>VRM Games</x:v>
      </x:c>
      <x:c r="T180" s="24" t="str">
        <x:v>02_Vertical_Slice_Specification.md</x:v>
      </x:c>
      <x:c r="U180" s="24" t="str">
        <x:v>escenario-oficial;golden-path</x:v>
      </x:c>
    </x:row>
    <x:row r="181" ht="48" customHeight="1">
      <x:c r="A181" s="24" t="str">
        <x:v>TC-VS-TST-004</x:v>
      </x:c>
      <x:c r="B181" s="24" t="str">
        <x:v>Golden Path / Escenarios</x:v>
      </x:c>
      <x:c r="C181" s="24" t="str">
        <x:v>TST</x:v>
      </x:c>
      <x:c r="D181" s="24" t="str">
        <x:v>VS-TST-004</x:v>
      </x:c>
      <x:c r="E181" s="24" t="str">
        <x:v>Siete días consecutivos</x:v>
      </x:c>
      <x:c r="F181" s="24" t="str">
        <x:v>Validar el escenario oficial: Siete días consecutivos.</x:v>
      </x:c>
      <x:c r="G181" s="24" t="str">
        <x:v>Fase(s) F; baseline y datos preparados.</x:v>
      </x:c>
      <x:c r="H181" s="24" t="str">
        <x:v>Datos de referencia del vertical slice.</x:v>
      </x:c>
      <x:c r="I181" s="24" t="str">
        <x:v>Completar semana con varias compras y ventas.</x:v>
      </x:c>
      <x:c r="J181" s="24" t="str">
        <x:v>Sin pérdida, duplicación ni corrupción.</x:v>
      </x:c>
      <x:c r="K181" s="24" t="str">
        <x:v>Escenario end-to-end</x:v>
      </x:c>
      <x:c r="L181" s="24" t="str">
        <x:v>Manual + Integración + Build</x:v>
      </x:c>
      <x:c r="M181" s="24" t="str">
        <x:v>P0</x:v>
      </x:c>
      <x:c r="N181" s="24" t="str">
        <x:v>S1</x:v>
      </x:c>
      <x:c r="O181" s="24" t="str">
        <x:v>Parcial</x:v>
      </x:c>
      <x:c r="P181" s="24" t="str">
        <x:v>StoreInitial / Build</x:v>
      </x:c>
      <x:c r="Q181" s="24" t="str">
        <x:v>Sprint 17 / H6</x:v>
      </x:c>
      <x:c r="R181" s="24" t="str">
        <x:v>Ready</x:v>
      </x:c>
      <x:c r="S181" s="24" t="str">
        <x:v>VRM Games</x:v>
      </x:c>
      <x:c r="T181" s="24" t="str">
        <x:v>02_Vertical_Slice_Specification.md</x:v>
      </x:c>
      <x:c r="U181" s="24" t="str">
        <x:v>escenario-oficial;golden-path</x:v>
      </x:c>
    </x:row>
    <x:row r="182" ht="48" customHeight="1">
      <x:c r="A182" s="24" t="str">
        <x:v>TC-VS-TST-005</x:v>
      </x:c>
      <x:c r="B182" s="24" t="str">
        <x:v>Golden Path / Escenarios</x:v>
      </x:c>
      <x:c r="C182" s="24" t="str">
        <x:v>TST</x:v>
      </x:c>
      <x:c r="D182" s="24" t="str">
        <x:v>VS-TST-005</x:v>
      </x:c>
      <x:c r="E182" s="24" t="str">
        <x:v>Cierre manual</x:v>
      </x:c>
      <x:c r="F182" s="24" t="str">
        <x:v>Validar el escenario oficial: Cierre manual.</x:v>
      </x:c>
      <x:c r="G182" s="24" t="str">
        <x:v>Fase(s) C/D; baseline y datos preparados.</x:v>
      </x:c>
      <x:c r="H182" s="24" t="str">
        <x:v>Datos de referencia del vertical slice.</x:v>
      </x:c>
      <x:c r="I182" s="24" t="str">
        <x:v>Cerrar en ventana permitida.</x:v>
      </x:c>
      <x:c r="J182" s="24" t="str">
        <x:v>Clientes y reservas resueltos.</x:v>
      </x:c>
      <x:c r="K182" s="24" t="str">
        <x:v>Escenario end-to-end</x:v>
      </x:c>
      <x:c r="L182" s="24" t="str">
        <x:v>Manual + Integración + Build</x:v>
      </x:c>
      <x:c r="M182" s="24" t="str">
        <x:v>P1</x:v>
      </x:c>
      <x:c r="N182" s="24" t="str">
        <x:v>S1</x:v>
      </x:c>
      <x:c r="O182" s="24" t="str">
        <x:v>Parcial</x:v>
      </x:c>
      <x:c r="P182" s="24" t="str">
        <x:v>StoreInitial / Build</x:v>
      </x:c>
      <x:c r="Q182" s="24" t="str">
        <x:v>Sprint 17 / H6</x:v>
      </x:c>
      <x:c r="R182" s="24" t="str">
        <x:v>Ready</x:v>
      </x:c>
      <x:c r="S182" s="24" t="str">
        <x:v>VRM Games</x:v>
      </x:c>
      <x:c r="T182" s="24" t="str">
        <x:v>02_Vertical_Slice_Specification.md</x:v>
      </x:c>
      <x:c r="U182" s="24" t="str">
        <x:v>escenario-oficial;golden-path</x:v>
      </x:c>
    </x:row>
    <x:row r="183" ht="48" customHeight="1">
      <x:c r="A183" s="24" t="str">
        <x:v>TC-VS-TST-006</x:v>
      </x:c>
      <x:c r="B183" s="24" t="str">
        <x:v>Golden Path / Escenarios</x:v>
      </x:c>
      <x:c r="C183" s="24" t="str">
        <x:v>TST</x:v>
      </x:c>
      <x:c r="D183" s="24" t="str">
        <x:v>VS-TST-006</x:v>
      </x:c>
      <x:c r="E183" s="24" t="str">
        <x:v>Cierre forzado</x:v>
      </x:c>
      <x:c r="F183" s="24" t="str">
        <x:v>Validar el escenario oficial: Cierre forzado.</x:v>
      </x:c>
      <x:c r="G183" s="24" t="str">
        <x:v>Fase(s) C/D; baseline y datos preparados.</x:v>
      </x:c>
      <x:c r="H183" s="24" t="str">
        <x:v>Datos de referencia del vertical slice.</x:v>
      </x:c>
      <x:c r="I183" s="24" t="str">
        <x:v>Alcanzar hora límite con clientes activos.</x:v>
      </x:c>
      <x:c r="J183" s="24" t="str">
        <x:v>Transición determinista y segura.</x:v>
      </x:c>
      <x:c r="K183" s="24" t="str">
        <x:v>Escenario end-to-end</x:v>
      </x:c>
      <x:c r="L183" s="24" t="str">
        <x:v>Manual + Integración + Build</x:v>
      </x:c>
      <x:c r="M183" s="24" t="str">
        <x:v>P1</x:v>
      </x:c>
      <x:c r="N183" s="24" t="str">
        <x:v>S1</x:v>
      </x:c>
      <x:c r="O183" s="24" t="str">
        <x:v>Parcial</x:v>
      </x:c>
      <x:c r="P183" s="24" t="str">
        <x:v>StoreInitial / Build</x:v>
      </x:c>
      <x:c r="Q183" s="24" t="str">
        <x:v>Sprint 17 / H6</x:v>
      </x:c>
      <x:c r="R183" s="24" t="str">
        <x:v>Ready</x:v>
      </x:c>
      <x:c r="S183" s="24" t="str">
        <x:v>VRM Games</x:v>
      </x:c>
      <x:c r="T183" s="24" t="str">
        <x:v>02_Vertical_Slice_Specification.md</x:v>
      </x:c>
      <x:c r="U183" s="24" t="str">
        <x:v>escenario-oficial;golden-path</x:v>
      </x:c>
    </x:row>
    <x:row r="184" ht="48" customHeight="1">
      <x:c r="A184" s="24" t="str">
        <x:v>TC-VS-TST-007</x:v>
      </x:c>
      <x:c r="B184" s="24" t="str">
        <x:v>Golden Path / Escenarios</x:v>
      </x:c>
      <x:c r="C184" s="24" t="str">
        <x:v>TST</x:v>
      </x:c>
      <x:c r="D184" s="24" t="str">
        <x:v>VS-TST-007</x:v>
      </x:c>
      <x:c r="E184" s="24" t="str">
        <x:v>Colocación válida</x:v>
      </x:c>
      <x:c r="F184" s="24" t="str">
        <x:v>Validar el escenario oficial: Colocación válida.</x:v>
      </x:c>
      <x:c r="G184" s="24" t="str">
        <x:v>Fase(s) B/C; baseline y datos preparados.</x:v>
      </x:c>
      <x:c r="H184" s="24" t="str">
        <x:v>Datos de referencia del vertical slice.</x:v>
      </x:c>
      <x:c r="I184" s="24" t="str">
        <x:v>Colocar y rotar cada familia incluida.</x:v>
      </x:c>
      <x:c r="J184" s="24" t="str">
        <x:v>Preview y ocupación coinciden.</x:v>
      </x:c>
      <x:c r="K184" s="24" t="str">
        <x:v>Escenario end-to-end</x:v>
      </x:c>
      <x:c r="L184" s="24" t="str">
        <x:v>Manual + Integración + Build</x:v>
      </x:c>
      <x:c r="M184" s="24" t="str">
        <x:v>P1</x:v>
      </x:c>
      <x:c r="N184" s="24" t="str">
        <x:v>S1</x:v>
      </x:c>
      <x:c r="O184" s="24" t="str">
        <x:v>Parcial</x:v>
      </x:c>
      <x:c r="P184" s="24" t="str">
        <x:v>StoreInitial / Build</x:v>
      </x:c>
      <x:c r="Q184" s="24" t="str">
        <x:v>Sprint 17 / H6</x:v>
      </x:c>
      <x:c r="R184" s="24" t="str">
        <x:v>Ready</x:v>
      </x:c>
      <x:c r="S184" s="24" t="str">
        <x:v>VRM Games</x:v>
      </x:c>
      <x:c r="T184" s="24" t="str">
        <x:v>02_Vertical_Slice_Specification.md</x:v>
      </x:c>
      <x:c r="U184" s="24" t="str">
        <x:v>escenario-oficial;golden-path</x:v>
      </x:c>
    </x:row>
    <x:row r="185" ht="48" customHeight="1">
      <x:c r="A185" s="24" t="str">
        <x:v>TC-VS-TST-008</x:v>
      </x:c>
      <x:c r="B185" s="24" t="str">
        <x:v>Golden Path / Escenarios</x:v>
      </x:c>
      <x:c r="C185" s="24" t="str">
        <x:v>TST</x:v>
      </x:c>
      <x:c r="D185" s="24" t="str">
        <x:v>VS-TST-008</x:v>
      </x:c>
      <x:c r="E185" s="24" t="str">
        <x:v>Colocación solapada</x:v>
      </x:c>
      <x:c r="F185" s="24" t="str">
        <x:v>Validar el escenario oficial: Colocación solapada.</x:v>
      </x:c>
      <x:c r="G185" s="24" t="str">
        <x:v>Fase(s) B/C; baseline y datos preparados.</x:v>
      </x:c>
      <x:c r="H185" s="24" t="str">
        <x:v>Datos de referencia del vertical slice.</x:v>
      </x:c>
      <x:c r="I185" s="24" t="str">
        <x:v>Intentar ocupar celdas usadas.</x:v>
      </x:c>
      <x:c r="J185" s="24" t="str">
        <x:v>Rechazo sin mutación.</x:v>
      </x:c>
      <x:c r="K185" s="24" t="str">
        <x:v>Escenario end-to-end</x:v>
      </x:c>
      <x:c r="L185" s="24" t="str">
        <x:v>Manual + Integración + Build</x:v>
      </x:c>
      <x:c r="M185" s="24" t="str">
        <x:v>P1</x:v>
      </x:c>
      <x:c r="N185" s="24" t="str">
        <x:v>S1</x:v>
      </x:c>
      <x:c r="O185" s="24" t="str">
        <x:v>Parcial</x:v>
      </x:c>
      <x:c r="P185" s="24" t="str">
        <x:v>StoreInitial / Build</x:v>
      </x:c>
      <x:c r="Q185" s="24" t="str">
        <x:v>Sprint 17 / H6</x:v>
      </x:c>
      <x:c r="R185" s="24" t="str">
        <x:v>Ready</x:v>
      </x:c>
      <x:c r="S185" s="24" t="str">
        <x:v>VRM Games</x:v>
      </x:c>
      <x:c r="T185" s="24" t="str">
        <x:v>02_Vertical_Slice_Specification.md</x:v>
      </x:c>
      <x:c r="U185" s="24" t="str">
        <x:v>escenario-oficial;golden-path</x:v>
      </x:c>
    </x:row>
    <x:row r="186" ht="48" customHeight="1">
      <x:c r="A186" s="24" t="str">
        <x:v>TC-VS-TST-009</x:v>
      </x:c>
      <x:c r="B186" s="24" t="str">
        <x:v>Golden Path / Escenarios</x:v>
      </x:c>
      <x:c r="C186" s="24" t="str">
        <x:v>TST</x:v>
      </x:c>
      <x:c r="D186" s="24" t="str">
        <x:v>VS-TST-009</x:v>
      </x:c>
      <x:c r="E186" s="24" t="str">
        <x:v>Bloqueo de entrada</x:v>
      </x:c>
      <x:c r="F186" s="24" t="str">
        <x:v>Validar el escenario oficial: Bloqueo de entrada.</x:v>
      </x:c>
      <x:c r="G186" s="24" t="str">
        <x:v>Fase(s) B/C; baseline y datos preparados.</x:v>
      </x:c>
      <x:c r="H186" s="24" t="str">
        <x:v>Datos de referencia del vertical slice.</x:v>
      </x:c>
      <x:c r="I186" s="24" t="str">
        <x:v>Intentar bloquear reserva obligatoria.</x:v>
      </x:c>
      <x:c r="J186" s="24" t="str">
        <x:v>Rechazo con causa.</x:v>
      </x:c>
      <x:c r="K186" s="24" t="str">
        <x:v>Escenario end-to-end</x:v>
      </x:c>
      <x:c r="L186" s="24" t="str">
        <x:v>Manual + Integración + Build</x:v>
      </x:c>
      <x:c r="M186" s="24" t="str">
        <x:v>P1</x:v>
      </x:c>
      <x:c r="N186" s="24" t="str">
        <x:v>S1</x:v>
      </x:c>
      <x:c r="O186" s="24" t="str">
        <x:v>Parcial</x:v>
      </x:c>
      <x:c r="P186" s="24" t="str">
        <x:v>StoreInitial / Build</x:v>
      </x:c>
      <x:c r="Q186" s="24" t="str">
        <x:v>Sprint 17 / H6</x:v>
      </x:c>
      <x:c r="R186" s="24" t="str">
        <x:v>Ready</x:v>
      </x:c>
      <x:c r="S186" s="24" t="str">
        <x:v>VRM Games</x:v>
      </x:c>
      <x:c r="T186" s="24" t="str">
        <x:v>02_Vertical_Slice_Specification.md</x:v>
      </x:c>
      <x:c r="U186" s="24" t="str">
        <x:v>escenario-oficial;golden-path</x:v>
      </x:c>
    </x:row>
    <x:row r="187" ht="48" customHeight="1">
      <x:c r="A187" s="24" t="str">
        <x:v>TC-VS-TST-010</x:v>
      </x:c>
      <x:c r="B187" s="24" t="str">
        <x:v>Golden Path / Escenarios</x:v>
      </x:c>
      <x:c r="C187" s="24" t="str">
        <x:v>TST</x:v>
      </x:c>
      <x:c r="D187" s="24" t="str">
        <x:v>VS-TST-010</x:v>
      </x:c>
      <x:c r="E187" s="24" t="str">
        <x:v>Mover y retirar</x:v>
      </x:c>
      <x:c r="F187" s="24" t="str">
        <x:v>Validar el escenario oficial: Mover y retirar.</x:v>
      </x:c>
      <x:c r="G187" s="24" t="str">
        <x:v>Fase(s) B/C; baseline y datos preparados.</x:v>
      </x:c>
      <x:c r="H187" s="24" t="str">
        <x:v>Datos de referencia del vertical slice.</x:v>
      </x:c>
      <x:c r="I187" s="24" t="str">
        <x:v>Mover objeto y comprobar celdas.</x:v>
      </x:c>
      <x:c r="J187" s="24" t="str">
        <x:v>Liberación exacta.</x:v>
      </x:c>
      <x:c r="K187" s="24" t="str">
        <x:v>Escenario end-to-end</x:v>
      </x:c>
      <x:c r="L187" s="24" t="str">
        <x:v>Manual + Integración + Build</x:v>
      </x:c>
      <x:c r="M187" s="24" t="str">
        <x:v>P1</x:v>
      </x:c>
      <x:c r="N187" s="24" t="str">
        <x:v>S1</x:v>
      </x:c>
      <x:c r="O187" s="24" t="str">
        <x:v>Parcial</x:v>
      </x:c>
      <x:c r="P187" s="24" t="str">
        <x:v>StoreInitial / Build</x:v>
      </x:c>
      <x:c r="Q187" s="24" t="str">
        <x:v>Sprint 17 / H6</x:v>
      </x:c>
      <x:c r="R187" s="24" t="str">
        <x:v>Ready</x:v>
      </x:c>
      <x:c r="S187" s="24" t="str">
        <x:v>VRM Games</x:v>
      </x:c>
      <x:c r="T187" s="24" t="str">
        <x:v>02_Vertical_Slice_Specification.md</x:v>
      </x:c>
      <x:c r="U187" s="24" t="str">
        <x:v>escenario-oficial;golden-path</x:v>
      </x:c>
    </x:row>
    <x:row r="188" ht="48" customHeight="1">
      <x:c r="A188" s="24" t="str">
        <x:v>TC-VS-TST-011</x:v>
      </x:c>
      <x:c r="B188" s="24" t="str">
        <x:v>Golden Path / Escenarios</x:v>
      </x:c>
      <x:c r="C188" s="24" t="str">
        <x:v>TST</x:v>
      </x:c>
      <x:c r="D188" s="24" t="str">
        <x:v>VS-TST-011</x:v>
      </x:c>
      <x:c r="E188" s="24" t="str">
        <x:v>Pedido sin dinero</x:v>
      </x:c>
      <x:c r="F188" s="24" t="str">
        <x:v>Validar el escenario oficial: Pedido sin dinero.</x:v>
      </x:c>
      <x:c r="G188" s="24" t="str">
        <x:v>Fase(s) A/C; baseline y datos preparados.</x:v>
      </x:c>
      <x:c r="H188" s="24" t="str">
        <x:v>Datos de referencia del vertical slice.</x:v>
      </x:c>
      <x:c r="I188" s="24" t="str">
        <x:v>Confirmar pedido superior al saldo.</x:v>
      </x:c>
      <x:c r="J188" s="24" t="str">
        <x:v>Rechazo sin coste.</x:v>
      </x:c>
      <x:c r="K188" s="24" t="str">
        <x:v>Escenario end-to-end</x:v>
      </x:c>
      <x:c r="L188" s="24" t="str">
        <x:v>Manual + Integración + Build</x:v>
      </x:c>
      <x:c r="M188" s="24" t="str">
        <x:v>P1</x:v>
      </x:c>
      <x:c r="N188" s="24" t="str">
        <x:v>S1</x:v>
      </x:c>
      <x:c r="O188" s="24" t="str">
        <x:v>Parcial</x:v>
      </x:c>
      <x:c r="P188" s="24" t="str">
        <x:v>StoreInitial / Build</x:v>
      </x:c>
      <x:c r="Q188" s="24" t="str">
        <x:v>Sprint 17 / H6</x:v>
      </x:c>
      <x:c r="R188" s="24" t="str">
        <x:v>Ready</x:v>
      </x:c>
      <x:c r="S188" s="24" t="str">
        <x:v>VRM Games</x:v>
      </x:c>
      <x:c r="T188" s="24" t="str">
        <x:v>02_Vertical_Slice_Specification.md</x:v>
      </x:c>
      <x:c r="U188" s="24" t="str">
        <x:v>escenario-oficial;golden-path</x:v>
      </x:c>
    </x:row>
    <x:row r="189" ht="48" customHeight="1">
      <x:c r="A189" s="24" t="str">
        <x:v>TC-VS-TST-012</x:v>
      </x:c>
      <x:c r="B189" s="24" t="str">
        <x:v>Golden Path / Escenarios</x:v>
      </x:c>
      <x:c r="C189" s="24" t="str">
        <x:v>TST</x:v>
      </x:c>
      <x:c r="D189" s="24" t="str">
        <x:v>VS-TST-012</x:v>
      </x:c>
      <x:c r="E189" s="24" t="str">
        <x:v>Pedido válido</x:v>
      </x:c>
      <x:c r="F189" s="24" t="str">
        <x:v>Validar el escenario oficial: Pedido válido.</x:v>
      </x:c>
      <x:c r="G189" s="24" t="str">
        <x:v>Fase(s) A/C; baseline y datos preparados.</x:v>
      </x:c>
      <x:c r="H189" s="24" t="str">
        <x:v>Datos de referencia del vertical slice.</x:v>
      </x:c>
      <x:c r="I189" s="24" t="str">
        <x:v>Comprar varias cantidades.</x:v>
      </x:c>
      <x:c r="J189" s="24" t="str">
        <x:v>Registro correcto.</x:v>
      </x:c>
      <x:c r="K189" s="24" t="str">
        <x:v>Escenario end-to-end</x:v>
      </x:c>
      <x:c r="L189" s="24" t="str">
        <x:v>Manual + Integración + Build</x:v>
      </x:c>
      <x:c r="M189" s="24" t="str">
        <x:v>P1</x:v>
      </x:c>
      <x:c r="N189" s="24" t="str">
        <x:v>S1</x:v>
      </x:c>
      <x:c r="O189" s="24" t="str">
        <x:v>Parcial</x:v>
      </x:c>
      <x:c r="P189" s="24" t="str">
        <x:v>StoreInitial / Build</x:v>
      </x:c>
      <x:c r="Q189" s="24" t="str">
        <x:v>Sprint 17 / H6</x:v>
      </x:c>
      <x:c r="R189" s="24" t="str">
        <x:v>Ready</x:v>
      </x:c>
      <x:c r="S189" s="24" t="str">
        <x:v>VRM Games</x:v>
      </x:c>
      <x:c r="T189" s="24" t="str">
        <x:v>02_Vertical_Slice_Specification.md</x:v>
      </x:c>
      <x:c r="U189" s="24" t="str">
        <x:v>escenario-oficial;golden-path</x:v>
      </x:c>
    </x:row>
    <x:row r="190" ht="48" customHeight="1">
      <x:c r="A190" s="24" t="str">
        <x:v>TC-VS-TST-013</x:v>
      </x:c>
      <x:c r="B190" s="24" t="str">
        <x:v>Golden Path / Escenarios</x:v>
      </x:c>
      <x:c r="C190" s="24" t="str">
        <x:v>TST</x:v>
      </x:c>
      <x:c r="D190" s="24" t="str">
        <x:v>VS-TST-013</x:v>
      </x:c>
      <x:c r="E190" s="24" t="str">
        <x:v>Entrega única tras recarga</x:v>
      </x:c>
      <x:c r="F190" s="24" t="str">
        <x:v>Validar el escenario oficial: Entrega única tras recarga.</x:v>
      </x:c>
      <x:c r="G190" s="24" t="str">
        <x:v>Fase(s) A/C; baseline y datos preparados.</x:v>
      </x:c>
      <x:c r="H190" s="24" t="str">
        <x:v>Datos de referencia del vertical slice.</x:v>
      </x:c>
      <x:c r="I190" s="24" t="str">
        <x:v>Guardar antes de entrega, cargar y avanzar.</x:v>
      </x:c>
      <x:c r="J190" s="24" t="str">
        <x:v>Entrega una vez.</x:v>
      </x:c>
      <x:c r="K190" s="24" t="str">
        <x:v>Escenario end-to-end</x:v>
      </x:c>
      <x:c r="L190" s="24" t="str">
        <x:v>Manual + Integración + Build</x:v>
      </x:c>
      <x:c r="M190" s="24" t="str">
        <x:v>P1</x:v>
      </x:c>
      <x:c r="N190" s="24" t="str">
        <x:v>S1</x:v>
      </x:c>
      <x:c r="O190" s="24" t="str">
        <x:v>Parcial</x:v>
      </x:c>
      <x:c r="P190" s="24" t="str">
        <x:v>StoreInitial / Build</x:v>
      </x:c>
      <x:c r="Q190" s="24" t="str">
        <x:v>Sprint 17 / H6</x:v>
      </x:c>
      <x:c r="R190" s="24" t="str">
        <x:v>Ready</x:v>
      </x:c>
      <x:c r="S190" s="24" t="str">
        <x:v>VRM Games</x:v>
      </x:c>
      <x:c r="T190" s="24" t="str">
        <x:v>02_Vertical_Slice_Specification.md</x:v>
      </x:c>
      <x:c r="U190" s="24" t="str">
        <x:v>escenario-oficial;golden-path</x:v>
      </x:c>
    </x:row>
    <x:row r="191" ht="48" customHeight="1">
      <x:c r="A191" s="24" t="str">
        <x:v>TC-VS-TST-014</x:v>
      </x:c>
      <x:c r="B191" s="24" t="str">
        <x:v>Golden Path / Escenarios</x:v>
      </x:c>
      <x:c r="C191" s="24" t="str">
        <x:v>TST</x:v>
      </x:c>
      <x:c r="D191" s="24" t="str">
        <x:v>VS-TST-014</x:v>
      </x:c>
      <x:c r="E191" s="24" t="str">
        <x:v>Capacidad de recepción</x:v>
      </x:c>
      <x:c r="F191" s="24" t="str">
        <x:v>Validar el escenario oficial: Capacidad de recepción.</x:v>
      </x:c>
      <x:c r="G191" s="24" t="str">
        <x:v>Fase(s) A/C; baseline y datos preparados.</x:v>
      </x:c>
      <x:c r="H191" s="24" t="str">
        <x:v>Datos de referencia del vertical slice.</x:v>
      </x:c>
      <x:c r="I191" s="24" t="str">
        <x:v>Forzar destino insuficiente.</x:v>
      </x:c>
      <x:c r="J191" s="24" t="str">
        <x:v>Sin pérdida.</x:v>
      </x:c>
      <x:c r="K191" s="24" t="str">
        <x:v>Escenario end-to-end</x:v>
      </x:c>
      <x:c r="L191" s="24" t="str">
        <x:v>Manual + Integración + Build</x:v>
      </x:c>
      <x:c r="M191" s="24" t="str">
        <x:v>P1</x:v>
      </x:c>
      <x:c r="N191" s="24" t="str">
        <x:v>S1</x:v>
      </x:c>
      <x:c r="O191" s="24" t="str">
        <x:v>Parcial</x:v>
      </x:c>
      <x:c r="P191" s="24" t="str">
        <x:v>StoreInitial / Build</x:v>
      </x:c>
      <x:c r="Q191" s="24" t="str">
        <x:v>Sprint 17 / H6</x:v>
      </x:c>
      <x:c r="R191" s="24" t="str">
        <x:v>Ready</x:v>
      </x:c>
      <x:c r="S191" s="24" t="str">
        <x:v>VRM Games</x:v>
      </x:c>
      <x:c r="T191" s="24" t="str">
        <x:v>02_Vertical_Slice_Specification.md</x:v>
      </x:c>
      <x:c r="U191" s="24" t="str">
        <x:v>escenario-oficial;golden-path</x:v>
      </x:c>
    </x:row>
    <x:row r="192" ht="48" customHeight="1">
      <x:c r="A192" s="24" t="str">
        <x:v>TC-VS-TST-015</x:v>
      </x:c>
      <x:c r="B192" s="24" t="str">
        <x:v>Golden Path / Escenarios</x:v>
      </x:c>
      <x:c r="C192" s="24" t="str">
        <x:v>TST</x:v>
      </x:c>
      <x:c r="D192" s="24" t="str">
        <x:v>VS-TST-015</x:v>
      </x:c>
      <x:c r="E192" s="24" t="str">
        <x:v>Transferencia válida</x:v>
      </x:c>
      <x:c r="F192" s="24" t="str">
        <x:v>Validar el escenario oficial: Transferencia válida.</x:v>
      </x:c>
      <x:c r="G192" s="24" t="str">
        <x:v>Fase(s) A/C; baseline y datos preparados.</x:v>
      </x:c>
      <x:c r="H192" s="24" t="str">
        <x:v>Datos de referencia del vertical slice.</x:v>
      </x:c>
      <x:c r="I192" s="24" t="str">
        <x:v>Mover recepción→almacén→display.</x:v>
      </x:c>
      <x:c r="J192" s="24" t="str">
        <x:v>Conservación de cantidad.</x:v>
      </x:c>
      <x:c r="K192" s="24" t="str">
        <x:v>Escenario end-to-end</x:v>
      </x:c>
      <x:c r="L192" s="24" t="str">
        <x:v>Manual + Integración + Build</x:v>
      </x:c>
      <x:c r="M192" s="24" t="str">
        <x:v>P1</x:v>
      </x:c>
      <x:c r="N192" s="24" t="str">
        <x:v>S1</x:v>
      </x:c>
      <x:c r="O192" s="24" t="str">
        <x:v>Parcial</x:v>
      </x:c>
      <x:c r="P192" s="24" t="str">
        <x:v>StoreInitial / Build</x:v>
      </x:c>
      <x:c r="Q192" s="24" t="str">
        <x:v>Sprint 17 / H6</x:v>
      </x:c>
      <x:c r="R192" s="24" t="str">
        <x:v>Ready</x:v>
      </x:c>
      <x:c r="S192" s="24" t="str">
        <x:v>VRM Games</x:v>
      </x:c>
      <x:c r="T192" s="24" t="str">
        <x:v>02_Vertical_Slice_Specification.md</x:v>
      </x:c>
      <x:c r="U192" s="24" t="str">
        <x:v>escenario-oficial;golden-path</x:v>
      </x:c>
    </x:row>
    <x:row r="193" ht="48" customHeight="1">
      <x:c r="A193" s="24" t="str">
        <x:v>TC-VS-TST-016</x:v>
      </x:c>
      <x:c r="B193" s="24" t="str">
        <x:v>Golden Path / Escenarios</x:v>
      </x:c>
      <x:c r="C193" s="24" t="str">
        <x:v>TST</x:v>
      </x:c>
      <x:c r="D193" s="24" t="str">
        <x:v>VS-TST-016</x:v>
      </x:c>
      <x:c r="E193" s="24" t="str">
        <x:v>Transferencia inválida</x:v>
      </x:c>
      <x:c r="F193" s="24" t="str">
        <x:v>Validar el escenario oficial: Transferencia inválida.</x:v>
      </x:c>
      <x:c r="G193" s="24" t="str">
        <x:v>Fase(s) A/C; baseline y datos preparados.</x:v>
      </x:c>
      <x:c r="H193" s="24" t="str">
        <x:v>Datos de referencia del vertical slice.</x:v>
      </x:c>
      <x:c r="I193" s="24" t="str">
        <x:v>Destino incompatible/lleno.</x:v>
      </x:c>
      <x:c r="J193" s="24" t="str">
        <x:v>Sin mutación parcial.</x:v>
      </x:c>
      <x:c r="K193" s="24" t="str">
        <x:v>Escenario end-to-end</x:v>
      </x:c>
      <x:c r="L193" s="24" t="str">
        <x:v>Manual + Integración + Build</x:v>
      </x:c>
      <x:c r="M193" s="24" t="str">
        <x:v>P1</x:v>
      </x:c>
      <x:c r="N193" s="24" t="str">
        <x:v>S1</x:v>
      </x:c>
      <x:c r="O193" s="24" t="str">
        <x:v>Parcial</x:v>
      </x:c>
      <x:c r="P193" s="24" t="str">
        <x:v>StoreInitial / Build</x:v>
      </x:c>
      <x:c r="Q193" s="24" t="str">
        <x:v>Sprint 17 / H6</x:v>
      </x:c>
      <x:c r="R193" s="24" t="str">
        <x:v>Ready</x:v>
      </x:c>
      <x:c r="S193" s="24" t="str">
        <x:v>VRM Games</x:v>
      </x:c>
      <x:c r="T193" s="24" t="str">
        <x:v>02_Vertical_Slice_Specification.md</x:v>
      </x:c>
      <x:c r="U193" s="24" t="str">
        <x:v>escenario-oficial;golden-path</x:v>
      </x:c>
    </x:row>
    <x:row r="194" ht="48" customHeight="1">
      <x:c r="A194" s="24" t="str">
        <x:v>TC-VS-TST-017</x:v>
      </x:c>
      <x:c r="B194" s="24" t="str">
        <x:v>Golden Path / Escenarios</x:v>
      </x:c>
      <x:c r="C194" s="24" t="str">
        <x:v>TST</x:v>
      </x:c>
      <x:c r="D194" s="24" t="str">
        <x:v>VS-TST-017</x:v>
      </x:c>
      <x:c r="E194" s="24" t="str">
        <x:v>Asignación incompatible</x:v>
      </x:c>
      <x:c r="F194" s="24" t="str">
        <x:v>Validar el escenario oficial: Asignación incompatible.</x:v>
      </x:c>
      <x:c r="G194" s="24" t="str">
        <x:v>Fase(s) A/C; baseline y datos preparados.</x:v>
      </x:c>
      <x:c r="H194" s="24" t="str">
        <x:v>Datos de referencia del vertical slice.</x:v>
      </x:c>
      <x:c r="I194" s="24" t="str">
        <x:v>Asignar producto no admitido.</x:v>
      </x:c>
      <x:c r="J194" s="24" t="str">
        <x:v>Rechazo y feedback.</x:v>
      </x:c>
      <x:c r="K194" s="24" t="str">
        <x:v>Escenario end-to-end</x:v>
      </x:c>
      <x:c r="L194" s="24" t="str">
        <x:v>Manual + Integración + Build</x:v>
      </x:c>
      <x:c r="M194" s="24" t="str">
        <x:v>P1</x:v>
      </x:c>
      <x:c r="N194" s="24" t="str">
        <x:v>S1</x:v>
      </x:c>
      <x:c r="O194" s="24" t="str">
        <x:v>Parcial</x:v>
      </x:c>
      <x:c r="P194" s="24" t="str">
        <x:v>StoreInitial / Build</x:v>
      </x:c>
      <x:c r="Q194" s="24" t="str">
        <x:v>Sprint 17 / H6</x:v>
      </x:c>
      <x:c r="R194" s="24" t="str">
        <x:v>Ready</x:v>
      </x:c>
      <x:c r="S194" s="24" t="str">
        <x:v>VRM Games</x:v>
      </x:c>
      <x:c r="T194" s="24" t="str">
        <x:v>02_Vertical_Slice_Specification.md</x:v>
      </x:c>
      <x:c r="U194" s="24" t="str">
        <x:v>escenario-oficial;golden-path</x:v>
      </x:c>
    </x:row>
    <x:row r="195" ht="48" customHeight="1">
      <x:c r="A195" s="24" t="str">
        <x:v>TC-VS-TST-018</x:v>
      </x:c>
      <x:c r="B195" s="24" t="str">
        <x:v>Golden Path / Escenarios</x:v>
      </x:c>
      <x:c r="C195" s="24" t="str">
        <x:v>TST</x:v>
      </x:c>
      <x:c r="D195" s="24" t="str">
        <x:v>VS-TST-018</x:v>
      </x:c>
      <x:c r="E195" s="24" t="str">
        <x:v>Reposición límite</x:v>
      </x:c>
      <x:c r="F195" s="24" t="str">
        <x:v>Validar el escenario oficial: Reposición límite.</x:v>
      </x:c>
      <x:c r="G195" s="24" t="str">
        <x:v>Fase(s) A/C; baseline y datos preparados.</x:v>
      </x:c>
      <x:c r="H195" s="24" t="str">
        <x:v>Datos de referencia del vertical slice.</x:v>
      </x:c>
      <x:c r="I195" s="24" t="str">
        <x:v>Reponer hasta capacidad.</x:v>
      </x:c>
      <x:c r="J195" s="24" t="str">
        <x:v>No sobrellenado.</x:v>
      </x:c>
      <x:c r="K195" s="24" t="str">
        <x:v>Escenario end-to-end</x:v>
      </x:c>
      <x:c r="L195" s="24" t="str">
        <x:v>Manual + Integración + Build</x:v>
      </x:c>
      <x:c r="M195" s="24" t="str">
        <x:v>P1</x:v>
      </x:c>
      <x:c r="N195" s="24" t="str">
        <x:v>S1</x:v>
      </x:c>
      <x:c r="O195" s="24" t="str">
        <x:v>Parcial</x:v>
      </x:c>
      <x:c r="P195" s="24" t="str">
        <x:v>StoreInitial / Build</x:v>
      </x:c>
      <x:c r="Q195" s="24" t="str">
        <x:v>Sprint 17 / H6</x:v>
      </x:c>
      <x:c r="R195" s="24" t="str">
        <x:v>Ready</x:v>
      </x:c>
      <x:c r="S195" s="24" t="str">
        <x:v>VRM Games</x:v>
      </x:c>
      <x:c r="T195" s="24" t="str">
        <x:v>02_Vertical_Slice_Specification.md</x:v>
      </x:c>
      <x:c r="U195" s="24" t="str">
        <x:v>escenario-oficial;golden-path</x:v>
      </x:c>
    </x:row>
    <x:row r="196" ht="48" customHeight="1">
      <x:c r="A196" s="24" t="str">
        <x:v>TC-VS-TST-019</x:v>
      </x:c>
      <x:c r="B196" s="24" t="str">
        <x:v>Golden Path / Escenarios</x:v>
      </x:c>
      <x:c r="C196" s="24" t="str">
        <x:v>TST</x:v>
      </x:c>
      <x:c r="D196" s="24" t="str">
        <x:v>VS-TST-019</x:v>
      </x:c>
      <x:c r="E196" s="24" t="str">
        <x:v>Comparación de precios</x:v>
      </x:c>
      <x:c r="F196" s="24" t="str">
        <x:v>Validar el escenario oficial: Comparación de precios.</x:v>
      </x:c>
      <x:c r="G196" s="24" t="str">
        <x:v>Fase(s) C/F; baseline y datos preparados.</x:v>
      </x:c>
      <x:c r="H196" s="24" t="str">
        <x:v>Datos de referencia del vertical slice.</x:v>
      </x:c>
      <x:c r="I196" s="24" t="str">
        <x:v>Usar precio bajo, recomendado y alto.</x:v>
      </x:c>
      <x:c r="J196" s="24" t="str">
        <x:v>Respuesta de demanda observable.</x:v>
      </x:c>
      <x:c r="K196" s="24" t="str">
        <x:v>Escenario end-to-end</x:v>
      </x:c>
      <x:c r="L196" s="24" t="str">
        <x:v>Manual + Integración + Build</x:v>
      </x:c>
      <x:c r="M196" s="24" t="str">
        <x:v>P1</x:v>
      </x:c>
      <x:c r="N196" s="24" t="str">
        <x:v>S1</x:v>
      </x:c>
      <x:c r="O196" s="24" t="str">
        <x:v>Parcial</x:v>
      </x:c>
      <x:c r="P196" s="24" t="str">
        <x:v>StoreInitial / Build</x:v>
      </x:c>
      <x:c r="Q196" s="24" t="str">
        <x:v>Sprint 17 / H6</x:v>
      </x:c>
      <x:c r="R196" s="24" t="str">
        <x:v>Ready</x:v>
      </x:c>
      <x:c r="S196" s="24" t="str">
        <x:v>VRM Games</x:v>
      </x:c>
      <x:c r="T196" s="24" t="str">
        <x:v>02_Vertical_Slice_Specification.md</x:v>
      </x:c>
      <x:c r="U196" s="24" t="str">
        <x:v>escenario-oficial;golden-path</x:v>
      </x:c>
    </x:row>
    <x:row r="197" ht="48" customHeight="1">
      <x:c r="A197" s="24" t="str">
        <x:v>TC-VS-TST-020</x:v>
      </x:c>
      <x:c r="B197" s="24" t="str">
        <x:v>Golden Path / Escenarios</x:v>
      </x:c>
      <x:c r="C197" s="24" t="str">
        <x:v>TST</x:v>
      </x:c>
      <x:c r="D197" s="24" t="str">
        <x:v>VS-TST-020</x:v>
      </x:c>
      <x:c r="E197" s="24" t="str">
        <x:v>Sin stock</x:v>
      </x:c>
      <x:c r="F197" s="24" t="str">
        <x:v>Validar el escenario oficial: Sin stock.</x:v>
      </x:c>
      <x:c r="G197" s="24" t="str">
        <x:v>Fase(s) C/D; baseline y datos preparados.</x:v>
      </x:c>
      <x:c r="H197" s="24" t="str">
        <x:v>Datos de referencia del vertical slice.</x:v>
      </x:c>
      <x:c r="I197" s="24" t="str">
        <x:v>Abrir con producto demandado agotado.</x:v>
      </x:c>
      <x:c r="J197" s="24" t="str">
        <x:v>Abandono o alternativa legible.</x:v>
      </x:c>
      <x:c r="K197" s="24" t="str">
        <x:v>Escenario end-to-end</x:v>
      </x:c>
      <x:c r="L197" s="24" t="str">
        <x:v>Manual + Integración + Build</x:v>
      </x:c>
      <x:c r="M197" s="24" t="str">
        <x:v>P1</x:v>
      </x:c>
      <x:c r="N197" s="24" t="str">
        <x:v>S1</x:v>
      </x:c>
      <x:c r="O197" s="24" t="str">
        <x:v>Parcial</x:v>
      </x:c>
      <x:c r="P197" s="24" t="str">
        <x:v>StoreInitial / Build</x:v>
      </x:c>
      <x:c r="Q197" s="24" t="str">
        <x:v>Sprint 17 / H6</x:v>
      </x:c>
      <x:c r="R197" s="24" t="str">
        <x:v>Ready</x:v>
      </x:c>
      <x:c r="S197" s="24" t="str">
        <x:v>VRM Games</x:v>
      </x:c>
      <x:c r="T197" s="24" t="str">
        <x:v>02_Vertical_Slice_Specification.md</x:v>
      </x:c>
      <x:c r="U197" s="24" t="str">
        <x:v>escenario-oficial;golden-path</x:v>
      </x:c>
    </x:row>
    <x:row r="198" ht="48" customHeight="1">
      <x:c r="A198" s="24" t="str">
        <x:v>TC-VS-TST-021</x:v>
      </x:c>
      <x:c r="B198" s="24" t="str">
        <x:v>Golden Path / Escenarios</x:v>
      </x:c>
      <x:c r="C198" s="24" t="str">
        <x:v>TST</x:v>
      </x:c>
      <x:c r="D198" s="24" t="str">
        <x:v>VS-TST-021</x:v>
      </x:c>
      <x:c r="E198" s="24" t="str">
        <x:v>Dos clientes, una unidad</x:v>
      </x:c>
      <x:c r="F198" s="24" t="str">
        <x:v>Validar el escenario oficial: Dos clientes, una unidad.</x:v>
      </x:c>
      <x:c r="G198" s="24" t="str">
        <x:v>Fase(s) A/C; baseline y datos preparados.</x:v>
      </x:c>
      <x:c r="H198" s="24" t="str">
        <x:v>Datos de referencia del vertical slice.</x:v>
      </x:c>
      <x:c r="I198" s="24" t="str">
        <x:v>Competencia por última unidad.</x:v>
      </x:c>
      <x:c r="J198" s="24" t="str">
        <x:v>Una sola reserva/venta.</x:v>
      </x:c>
      <x:c r="K198" s="24" t="str">
        <x:v>Escenario end-to-end</x:v>
      </x:c>
      <x:c r="L198" s="24" t="str">
        <x:v>Manual + Integración + Build</x:v>
      </x:c>
      <x:c r="M198" s="24" t="str">
        <x:v>P1</x:v>
      </x:c>
      <x:c r="N198" s="24" t="str">
        <x:v>S1</x:v>
      </x:c>
      <x:c r="O198" s="24" t="str">
        <x:v>Parcial</x:v>
      </x:c>
      <x:c r="P198" s="24" t="str">
        <x:v>StoreInitial / Build</x:v>
      </x:c>
      <x:c r="Q198" s="24" t="str">
        <x:v>Sprint 17 / H6</x:v>
      </x:c>
      <x:c r="R198" s="24" t="str">
        <x:v>Ready</x:v>
      </x:c>
      <x:c r="S198" s="24" t="str">
        <x:v>VRM Games</x:v>
      </x:c>
      <x:c r="T198" s="24" t="str">
        <x:v>02_Vertical_Slice_Specification.md</x:v>
      </x:c>
      <x:c r="U198" s="24" t="str">
        <x:v>escenario-oficial;golden-path</x:v>
      </x:c>
    </x:row>
    <x:row r="199" ht="48" customHeight="1">
      <x:c r="A199" s="24" t="str">
        <x:v>TC-VS-TST-022</x:v>
      </x:c>
      <x:c r="B199" s="24" t="str">
        <x:v>Golden Path / Escenarios</x:v>
      </x:c>
      <x:c r="C199" s="24" t="str">
        <x:v>TST</x:v>
      </x:c>
      <x:c r="D199" s="24" t="str">
        <x:v>VS-TST-022</x:v>
      </x:c>
      <x:c r="E199" s="24" t="str">
        <x:v>Abandono libera reserva</x:v>
      </x:c>
      <x:c r="F199" s="24" t="str">
        <x:v>Validar el escenario oficial: Abandono libera reserva.</x:v>
      </x:c>
      <x:c r="G199" s="24" t="str">
        <x:v>Fase(s) A/C; baseline y datos preparados.</x:v>
      </x:c>
      <x:c r="H199" s="24" t="str">
        <x:v>Datos de referencia del vertical slice.</x:v>
      </x:c>
      <x:c r="I199" s="24" t="str">
        <x:v>Provocar espera o fallo.</x:v>
      </x:c>
      <x:c r="J199" s="24" t="str">
        <x:v>Unidad vuelve a disponibilidad.</x:v>
      </x:c>
      <x:c r="K199" s="24" t="str">
        <x:v>Escenario end-to-end</x:v>
      </x:c>
      <x:c r="L199" s="24" t="str">
        <x:v>Manual + Integración + Build</x:v>
      </x:c>
      <x:c r="M199" s="24" t="str">
        <x:v>P1</x:v>
      </x:c>
      <x:c r="N199" s="24" t="str">
        <x:v>S1</x:v>
      </x:c>
      <x:c r="O199" s="24" t="str">
        <x:v>Parcial</x:v>
      </x:c>
      <x:c r="P199" s="24" t="str">
        <x:v>StoreInitial / Build</x:v>
      </x:c>
      <x:c r="Q199" s="24" t="str">
        <x:v>Sprint 17 / H6</x:v>
      </x:c>
      <x:c r="R199" s="24" t="str">
        <x:v>Ready</x:v>
      </x:c>
      <x:c r="S199" s="24" t="str">
        <x:v>VRM Games</x:v>
      </x:c>
      <x:c r="T199" s="24" t="str">
        <x:v>02_Vertical_Slice_Specification.md</x:v>
      </x:c>
      <x:c r="U199" s="24" t="str">
        <x:v>escenario-oficial;golden-path</x:v>
      </x:c>
    </x:row>
    <x:row r="200" ht="48" customHeight="1">
      <x:c r="A200" s="24" t="str">
        <x:v>TC-VS-TST-023</x:v>
      </x:c>
      <x:c r="B200" s="24" t="str">
        <x:v>Golden Path / Escenarios</x:v>
      </x:c>
      <x:c r="C200" s="24" t="str">
        <x:v>TST</x:v>
      </x:c>
      <x:c r="D200" s="24" t="str">
        <x:v>VS-TST-023</x:v>
      </x:c>
      <x:c r="E200" s="24" t="str">
        <x:v>Cola saturada</x:v>
      </x:c>
      <x:c r="F200" s="24" t="str">
        <x:v>Validar el escenario oficial: Cola saturada.</x:v>
      </x:c>
      <x:c r="G200" s="24" t="str">
        <x:v>Fase(s) C/F; baseline y datos preparados.</x:v>
      </x:c>
      <x:c r="H200" s="24" t="str">
        <x:v>Datos de referencia del vertical slice.</x:v>
      </x:c>
      <x:c r="I200" s="24" t="str">
        <x:v>Alcanzar carga de clientes de referencia.</x:v>
      </x:c>
      <x:c r="J200" s="24" t="str">
        <x:v>Sin deadlock.</x:v>
      </x:c>
      <x:c r="K200" s="24" t="str">
        <x:v>Escenario end-to-end</x:v>
      </x:c>
      <x:c r="L200" s="24" t="str">
        <x:v>Manual + Integración + Build</x:v>
      </x:c>
      <x:c r="M200" s="24" t="str">
        <x:v>P1</x:v>
      </x:c>
      <x:c r="N200" s="24" t="str">
        <x:v>S1</x:v>
      </x:c>
      <x:c r="O200" s="24" t="str">
        <x:v>Parcial</x:v>
      </x:c>
      <x:c r="P200" s="24" t="str">
        <x:v>StoreInitial / Build</x:v>
      </x:c>
      <x:c r="Q200" s="24" t="str">
        <x:v>Sprint 17 / H6</x:v>
      </x:c>
      <x:c r="R200" s="24" t="str">
        <x:v>Ready</x:v>
      </x:c>
      <x:c r="S200" s="24" t="str">
        <x:v>VRM Games</x:v>
      </x:c>
      <x:c r="T200" s="24" t="str">
        <x:v>02_Vertical_Slice_Specification.md</x:v>
      </x:c>
      <x:c r="U200" s="24" t="str">
        <x:v>escenario-oficial;golden-path</x:v>
      </x:c>
    </x:row>
    <x:row r="201" ht="48" customHeight="1">
      <x:c r="A201" s="24" t="str">
        <x:v>TC-VS-TST-024</x:v>
      </x:c>
      <x:c r="B201" s="24" t="str">
        <x:v>Golden Path / Escenarios</x:v>
      </x:c>
      <x:c r="C201" s="24" t="str">
        <x:v>TST</x:v>
      </x:c>
      <x:c r="D201" s="24" t="str">
        <x:v>VS-TST-024</x:v>
      </x:c>
      <x:c r="E201" s="24" t="str">
        <x:v>Doble confirmación de checkout</x:v>
      </x:c>
      <x:c r="F201" s="24" t="str">
        <x:v>Validar el escenario oficial: Doble confirmación de checkout.</x:v>
      </x:c>
      <x:c r="G201" s="24" t="str">
        <x:v>Fase(s) A/C; baseline y datos preparados.</x:v>
      </x:c>
      <x:c r="H201" s="24" t="str">
        <x:v>Datos de referencia del vertical slice.</x:v>
      </x:c>
      <x:c r="I201" s="24" t="str">
        <x:v>Repetir input/evento.</x:v>
      </x:c>
      <x:c r="J201" s="24" t="str">
        <x:v>Una sola venta.</x:v>
      </x:c>
      <x:c r="K201" s="24" t="str">
        <x:v>Escenario end-to-end</x:v>
      </x:c>
      <x:c r="L201" s="24" t="str">
        <x:v>Manual + Integración + Build</x:v>
      </x:c>
      <x:c r="M201" s="24" t="str">
        <x:v>P1</x:v>
      </x:c>
      <x:c r="N201" s="24" t="str">
        <x:v>S1</x:v>
      </x:c>
      <x:c r="O201" s="24" t="str">
        <x:v>Parcial</x:v>
      </x:c>
      <x:c r="P201" s="24" t="str">
        <x:v>StoreInitial / Build</x:v>
      </x:c>
      <x:c r="Q201" s="24" t="str">
        <x:v>Sprint 17 / H6</x:v>
      </x:c>
      <x:c r="R201" s="24" t="str">
        <x:v>Ready</x:v>
      </x:c>
      <x:c r="S201" s="24" t="str">
        <x:v>VRM Games</x:v>
      </x:c>
      <x:c r="T201" s="24" t="str">
        <x:v>02_Vertical_Slice_Specification.md</x:v>
      </x:c>
      <x:c r="U201" s="24" t="str">
        <x:v>escenario-oficial;golden-path</x:v>
      </x:c>
    </x:row>
    <x:row r="202" ht="48" customHeight="1">
      <x:c r="A202" s="24" t="str">
        <x:v>TC-VS-TST-025</x:v>
      </x:c>
      <x:c r="B202" s="24" t="str">
        <x:v>Golden Path / Escenarios</x:v>
      </x:c>
      <x:c r="C202" s="24" t="str">
        <x:v>TST</x:v>
      </x:c>
      <x:c r="D202" s="24" t="str">
        <x:v>VS-TST-025</x:v>
      </x:c>
      <x:c r="E202" s="24" t="str">
        <x:v>Cierre con reserva activa</x:v>
      </x:c>
      <x:c r="F202" s="24" t="str">
        <x:v>Validar el escenario oficial: Cierre con reserva activa.</x:v>
      </x:c>
      <x:c r="G202" s="24" t="str">
        <x:v>Fase(s) A/C; baseline y datos preparados.</x:v>
      </x:c>
      <x:c r="H202" s="24" t="str">
        <x:v>Datos de referencia del vertical slice.</x:v>
      </x:c>
      <x:c r="I202" s="24" t="str">
        <x:v>Cerrar durante recorrido.</x:v>
      </x:c>
      <x:c r="J202" s="24" t="str">
        <x:v>Resolución segura.</x:v>
      </x:c>
      <x:c r="K202" s="24" t="str">
        <x:v>Escenario end-to-end</x:v>
      </x:c>
      <x:c r="L202" s="24" t="str">
        <x:v>Manual + Integración + Build</x:v>
      </x:c>
      <x:c r="M202" s="24" t="str">
        <x:v>P1</x:v>
      </x:c>
      <x:c r="N202" s="24" t="str">
        <x:v>S1</x:v>
      </x:c>
      <x:c r="O202" s="24" t="str">
        <x:v>Parcial</x:v>
      </x:c>
      <x:c r="P202" s="24" t="str">
        <x:v>StoreInitial / Build</x:v>
      </x:c>
      <x:c r="Q202" s="24" t="str">
        <x:v>Sprint 17 / H6</x:v>
      </x:c>
      <x:c r="R202" s="24" t="str">
        <x:v>Ready</x:v>
      </x:c>
      <x:c r="S202" s="24" t="str">
        <x:v>VRM Games</x:v>
      </x:c>
      <x:c r="T202" s="24" t="str">
        <x:v>02_Vertical_Slice_Specification.md</x:v>
      </x:c>
      <x:c r="U202" s="24" t="str">
        <x:v>escenario-oficial;golden-path</x:v>
      </x:c>
    </x:row>
    <x:row r="203" ht="48" customHeight="1">
      <x:c r="A203" s="24" t="str">
        <x:v>TC-VS-TST-026</x:v>
      </x:c>
      <x:c r="B203" s="24" t="str">
        <x:v>Golden Path / Escenarios</x:v>
      </x:c>
      <x:c r="C203" s="24" t="str">
        <x:v>TST</x:v>
      </x:c>
      <x:c r="D203" s="24" t="str">
        <x:v>VS-TST-026</x:v>
      </x:c>
      <x:c r="E203" s="24" t="str">
        <x:v>Semana con beneficio</x:v>
      </x:c>
      <x:c r="F203" s="24" t="str">
        <x:v>Validar el escenario oficial: Semana con beneficio.</x:v>
      </x:c>
      <x:c r="G203" s="24" t="str">
        <x:v>Fase(s) A/F; baseline y datos preparados.</x:v>
      </x:c>
      <x:c r="H203" s="24" t="str">
        <x:v>Datos de referencia del vertical slice.</x:v>
      </x:c>
      <x:c r="I203" s="24" t="str">
        <x:v>Cerrar semana positiva.</x:v>
      </x:c>
      <x:c r="J203" s="24" t="str">
        <x:v>Impuesto correcto.</x:v>
      </x:c>
      <x:c r="K203" s="24" t="str">
        <x:v>Escenario end-to-end</x:v>
      </x:c>
      <x:c r="L203" s="24" t="str">
        <x:v>Manual + Integración + Build</x:v>
      </x:c>
      <x:c r="M203" s="24" t="str">
        <x:v>P1</x:v>
      </x:c>
      <x:c r="N203" s="24" t="str">
        <x:v>S1</x:v>
      </x:c>
      <x:c r="O203" s="24" t="str">
        <x:v>Parcial</x:v>
      </x:c>
      <x:c r="P203" s="24" t="str">
        <x:v>StoreInitial / Build</x:v>
      </x:c>
      <x:c r="Q203" s="24" t="str">
        <x:v>Sprint 17 / H6</x:v>
      </x:c>
      <x:c r="R203" s="24" t="str">
        <x:v>Ready</x:v>
      </x:c>
      <x:c r="S203" s="24" t="str">
        <x:v>VRM Games</x:v>
      </x:c>
      <x:c r="T203" s="24" t="str">
        <x:v>02_Vertical_Slice_Specification.md</x:v>
      </x:c>
      <x:c r="U203" s="24" t="str">
        <x:v>escenario-oficial;golden-path</x:v>
      </x:c>
    </x:row>
    <x:row r="204" ht="48" customHeight="1">
      <x:c r="A204" s="24" t="str">
        <x:v>TC-VS-TST-027</x:v>
      </x:c>
      <x:c r="B204" s="24" t="str">
        <x:v>Golden Path / Escenarios</x:v>
      </x:c>
      <x:c r="C204" s="24" t="str">
        <x:v>TST</x:v>
      </x:c>
      <x:c r="D204" s="24" t="str">
        <x:v>VS-TST-027</x:v>
      </x:c>
      <x:c r="E204" s="24" t="str">
        <x:v>Semana sin beneficio</x:v>
      </x:c>
      <x:c r="F204" s="24" t="str">
        <x:v>Validar el escenario oficial: Semana sin beneficio.</x:v>
      </x:c>
      <x:c r="G204" s="24" t="str">
        <x:v>Fase(s) A/F; baseline y datos preparados.</x:v>
      </x:c>
      <x:c r="H204" s="24" t="str">
        <x:v>Datos de referencia del vertical slice.</x:v>
      </x:c>
      <x:c r="I204" s="24" t="str">
        <x:v>Cerrar semana cero/negativa.</x:v>
      </x:c>
      <x:c r="J204" s="24" t="str">
        <x:v>Sin impuesto positivo indebido.</x:v>
      </x:c>
      <x:c r="K204" s="24" t="str">
        <x:v>Escenario end-to-end</x:v>
      </x:c>
      <x:c r="L204" s="24" t="str">
        <x:v>Manual + Integración + Build</x:v>
      </x:c>
      <x:c r="M204" s="24" t="str">
        <x:v>P1</x:v>
      </x:c>
      <x:c r="N204" s="24" t="str">
        <x:v>S1</x:v>
      </x:c>
      <x:c r="O204" s="24" t="str">
        <x:v>Parcial</x:v>
      </x:c>
      <x:c r="P204" s="24" t="str">
        <x:v>StoreInitial / Build</x:v>
      </x:c>
      <x:c r="Q204" s="24" t="str">
        <x:v>Sprint 17 / H6</x:v>
      </x:c>
      <x:c r="R204" s="24" t="str">
        <x:v>Ready</x:v>
      </x:c>
      <x:c r="S204" s="24" t="str">
        <x:v>VRM Games</x:v>
      </x:c>
      <x:c r="T204" s="24" t="str">
        <x:v>02_Vertical_Slice_Specification.md</x:v>
      </x:c>
      <x:c r="U204" s="24" t="str">
        <x:v>escenario-oficial;golden-path</x:v>
      </x:c>
    </x:row>
    <x:row r="205" ht="48" customHeight="1">
      <x:c r="A205" s="24" t="str">
        <x:v>TC-VS-TST-028</x:v>
      </x:c>
      <x:c r="B205" s="24" t="str">
        <x:v>Golden Path / Escenarios</x:v>
      </x:c>
      <x:c r="C205" s="24" t="str">
        <x:v>TST</x:v>
      </x:c>
      <x:c r="D205" s="24" t="str">
        <x:v>VS-TST-028</x:v>
      </x:c>
      <x:c r="E205" s="24" t="str">
        <x:v>Guardar en estado seguro</x:v>
      </x:c>
      <x:c r="F205" s="24" t="str">
        <x:v>Validar el escenario oficial: Guardar en estado seguro.</x:v>
      </x:c>
      <x:c r="G205" s="24" t="str">
        <x:v>Fase(s) C/D; baseline y datos preparados.</x:v>
      </x:c>
      <x:c r="H205" s="24" t="str">
        <x:v>Datos de referencia del vertical slice.</x:v>
      </x:c>
      <x:c r="I205" s="24" t="str">
        <x:v>Guardar cuando está permitido.</x:v>
      </x:c>
      <x:c r="J205" s="24" t="str">
        <x:v>Archivo válido.</x:v>
      </x:c>
      <x:c r="K205" s="24" t="str">
        <x:v>Escenario end-to-end</x:v>
      </x:c>
      <x:c r="L205" s="24" t="str">
        <x:v>Manual + Integración + Build</x:v>
      </x:c>
      <x:c r="M205" s="24" t="str">
        <x:v>P1</x:v>
      </x:c>
      <x:c r="N205" s="24" t="str">
        <x:v>S1</x:v>
      </x:c>
      <x:c r="O205" s="24" t="str">
        <x:v>Parcial</x:v>
      </x:c>
      <x:c r="P205" s="24" t="str">
        <x:v>StoreInitial / Build</x:v>
      </x:c>
      <x:c r="Q205" s="24" t="str">
        <x:v>Sprint 17 / H6</x:v>
      </x:c>
      <x:c r="R205" s="24" t="str">
        <x:v>Ready</x:v>
      </x:c>
      <x:c r="S205" s="24" t="str">
        <x:v>VRM Games</x:v>
      </x:c>
      <x:c r="T205" s="24" t="str">
        <x:v>02_Vertical_Slice_Specification.md</x:v>
      </x:c>
      <x:c r="U205" s="24" t="str">
        <x:v>escenario-oficial;golden-path</x:v>
      </x:c>
    </x:row>
    <x:row r="206" ht="48" customHeight="1">
      <x:c r="A206" s="24" t="str">
        <x:v>TC-VS-TST-029</x:v>
      </x:c>
      <x:c r="B206" s="24" t="str">
        <x:v>Golden Path / Escenarios</x:v>
      </x:c>
      <x:c r="C206" s="24" t="str">
        <x:v>TST</x:v>
      </x:c>
      <x:c r="D206" s="24" t="str">
        <x:v>VS-TST-029</x:v>
      </x:c>
      <x:c r="E206" s="24" t="str">
        <x:v>Guardar en estado no seguro</x:v>
      </x:c>
      <x:c r="F206" s="24" t="str">
        <x:v>Validar el escenario oficial: Guardar en estado no seguro.</x:v>
      </x:c>
      <x:c r="G206" s="24" t="str">
        <x:v>Fase(s) C/D; baseline y datos preparados.</x:v>
      </x:c>
      <x:c r="H206" s="24" t="str">
        <x:v>Datos de referencia del vertical slice.</x:v>
      </x:c>
      <x:c r="I206" s="24" t="str">
        <x:v>Intentar guardar donde no procede.</x:v>
      </x:c>
      <x:c r="J206" s="24" t="str">
        <x:v>Rechazo o resolución controlada.</x:v>
      </x:c>
      <x:c r="K206" s="24" t="str">
        <x:v>Escenario end-to-end</x:v>
      </x:c>
      <x:c r="L206" s="24" t="str">
        <x:v>Manual + Integración + Build</x:v>
      </x:c>
      <x:c r="M206" s="24" t="str">
        <x:v>P1</x:v>
      </x:c>
      <x:c r="N206" s="24" t="str">
        <x:v>S1</x:v>
      </x:c>
      <x:c r="O206" s="24" t="str">
        <x:v>Parcial</x:v>
      </x:c>
      <x:c r="P206" s="24" t="str">
        <x:v>StoreInitial / Build</x:v>
      </x:c>
      <x:c r="Q206" s="24" t="str">
        <x:v>Sprint 17 / H6</x:v>
      </x:c>
      <x:c r="R206" s="24" t="str">
        <x:v>Ready</x:v>
      </x:c>
      <x:c r="S206" s="24" t="str">
        <x:v>VRM Games</x:v>
      </x:c>
      <x:c r="T206" s="24" t="str">
        <x:v>02_Vertical_Slice_Specification.md</x:v>
      </x:c>
      <x:c r="U206" s="24" t="str">
        <x:v>escenario-oficial;golden-path</x:v>
      </x:c>
    </x:row>
    <x:row r="207" ht="48" customHeight="1">
      <x:c r="A207" s="24" t="str">
        <x:v>TC-VS-TST-030</x:v>
      </x:c>
      <x:c r="B207" s="24" t="str">
        <x:v>Golden Path / Escenarios</x:v>
      </x:c>
      <x:c r="C207" s="24" t="str">
        <x:v>TST</x:v>
      </x:c>
      <x:c r="D207" s="24" t="str">
        <x:v>VS-TST-030</x:v>
      </x:c>
      <x:c r="E207" s="24" t="str">
        <x:v>Equivalencia de recarga</x:v>
      </x:c>
      <x:c r="F207" s="24" t="str">
        <x:v>Validar el escenario oficial: Equivalencia de recarga.</x:v>
      </x:c>
      <x:c r="G207" s="24" t="str">
        <x:v>Fase(s) A/D; baseline y datos preparados.</x:v>
      </x:c>
      <x:c r="H207" s="24" t="str">
        <x:v>Datos de referencia del vertical slice.</x:v>
      </x:c>
      <x:c r="I207" s="24" t="str">
        <x:v>Snapshot antes y después.</x:v>
      </x:c>
      <x:c r="J207" s="24" t="str">
        <x:v>Campos obligatorios equivalentes.</x:v>
      </x:c>
      <x:c r="K207" s="24" t="str">
        <x:v>Escenario end-to-end</x:v>
      </x:c>
      <x:c r="L207" s="24" t="str">
        <x:v>Manual + Integración + Build</x:v>
      </x:c>
      <x:c r="M207" s="24" t="str">
        <x:v>P0</x:v>
      </x:c>
      <x:c r="N207" s="24" t="str">
        <x:v>S1</x:v>
      </x:c>
      <x:c r="O207" s="24" t="str">
        <x:v>Parcial</x:v>
      </x:c>
      <x:c r="P207" s="24" t="str">
        <x:v>StoreInitial / Build</x:v>
      </x:c>
      <x:c r="Q207" s="24" t="str">
        <x:v>Sprint 17 / H6</x:v>
      </x:c>
      <x:c r="R207" s="24" t="str">
        <x:v>Ready</x:v>
      </x:c>
      <x:c r="S207" s="24" t="str">
        <x:v>VRM Games</x:v>
      </x:c>
      <x:c r="T207" s="24" t="str">
        <x:v>02_Vertical_Slice_Specification.md</x:v>
      </x:c>
      <x:c r="U207" s="24" t="str">
        <x:v>escenario-oficial;golden-path</x:v>
      </x:c>
    </x:row>
    <x:row r="208" ht="48" customHeight="1">
      <x:c r="A208" s="24" t="str">
        <x:v>TC-VS-TST-031</x:v>
      </x:c>
      <x:c r="B208" s="24" t="str">
        <x:v>Golden Path / Escenarios</x:v>
      </x:c>
      <x:c r="C208" s="24" t="str">
        <x:v>TST</x:v>
      </x:c>
      <x:c r="D208" s="24" t="str">
        <x:v>VS-TST-031</x:v>
      </x:c>
      <x:c r="E208" s="24" t="str">
        <x:v>Archivo principal corrupto</x:v>
      </x:c>
      <x:c r="F208" s="24" t="str">
        <x:v>Validar el escenario oficial: Archivo principal corrupto.</x:v>
      </x:c>
      <x:c r="G208" s="24" t="str">
        <x:v>Fase(s) B/E; baseline y datos preparados.</x:v>
      </x:c>
      <x:c r="H208" s="24" t="str">
        <x:v>Datos de referencia del vertical slice.</x:v>
      </x:c>
      <x:c r="I208" s="24" t="str">
        <x:v>Probar recuperación soportada.</x:v>
      </x:c>
      <x:c r="J208" s="24" t="str">
        <x:v>Mensaje y backup/control.</x:v>
      </x:c>
      <x:c r="K208" s="24" t="str">
        <x:v>Escenario end-to-end</x:v>
      </x:c>
      <x:c r="L208" s="24" t="str">
        <x:v>Manual + Integración + Build</x:v>
      </x:c>
      <x:c r="M208" s="24" t="str">
        <x:v>P1</x:v>
      </x:c>
      <x:c r="N208" s="24" t="str">
        <x:v>S1</x:v>
      </x:c>
      <x:c r="O208" s="24" t="str">
        <x:v>Parcial</x:v>
      </x:c>
      <x:c r="P208" s="24" t="str">
        <x:v>StoreInitial / Build</x:v>
      </x:c>
      <x:c r="Q208" s="24" t="str">
        <x:v>Sprint 17 / H6</x:v>
      </x:c>
      <x:c r="R208" s="24" t="str">
        <x:v>Ready</x:v>
      </x:c>
      <x:c r="S208" s="24" t="str">
        <x:v>VRM Games</x:v>
      </x:c>
      <x:c r="T208" s="24" t="str">
        <x:v>02_Vertical_Slice_Specification.md</x:v>
      </x:c>
      <x:c r="U208" s="24" t="str">
        <x:v>escenario-oficial;golden-path</x:v>
      </x:c>
    </x:row>
    <x:row r="209" ht="48" customHeight="1">
      <x:c r="A209" s="24" t="str">
        <x:v>TC-VS-TST-032</x:v>
      </x:c>
      <x:c r="B209" s="24" t="str">
        <x:v>Golden Path / Escenarios</x:v>
      </x:c>
      <x:c r="C209" s="24" t="str">
        <x:v>TST</x:v>
      </x:c>
      <x:c r="D209" s="24" t="str">
        <x:v>VS-TST-032</x:v>
      </x:c>
      <x:c r="E209" s="24" t="str">
        <x:v>Input de UI</x:v>
      </x:c>
      <x:c r="F209" s="24" t="str">
        <x:v>Validar el escenario oficial: Input de UI.</x:v>
      </x:c>
      <x:c r="G209" s="24" t="str">
        <x:v>Fase(s) C/D; baseline y datos preparados.</x:v>
      </x:c>
      <x:c r="H209" s="24" t="str">
        <x:v>Datos de referencia del vertical slice.</x:v>
      </x:c>
      <x:c r="I209" s="24" t="str">
        <x:v>Operar todas las pantallas sobre mundo interactivo.</x:v>
      </x:c>
      <x:c r="J209" s="24" t="str">
        <x:v>Sin propagación.</x:v>
      </x:c>
      <x:c r="K209" s="24" t="str">
        <x:v>Escenario end-to-end</x:v>
      </x:c>
      <x:c r="L209" s="24" t="str">
        <x:v>Manual + Integración + Build</x:v>
      </x:c>
      <x:c r="M209" s="24" t="str">
        <x:v>P1</x:v>
      </x:c>
      <x:c r="N209" s="24" t="str">
        <x:v>S1</x:v>
      </x:c>
      <x:c r="O209" s="24" t="str">
        <x:v>Parcial</x:v>
      </x:c>
      <x:c r="P209" s="24" t="str">
        <x:v>StoreInitial / Build</x:v>
      </x:c>
      <x:c r="Q209" s="24" t="str">
        <x:v>Sprint 17 / H6</x:v>
      </x:c>
      <x:c r="R209" s="24" t="str">
        <x:v>Ready</x:v>
      </x:c>
      <x:c r="S209" s="24" t="str">
        <x:v>VRM Games</x:v>
      </x:c>
      <x:c r="T209" s="24" t="str">
        <x:v>02_Vertical_Slice_Specification.md</x:v>
      </x:c>
      <x:c r="U209" s="24" t="str">
        <x:v>escenario-oficial;golden-path</x:v>
      </x:c>
    </x:row>
    <x:row r="210" ht="48" customHeight="1">
      <x:c r="A210" s="24" t="str">
        <x:v>TC-VS-TST-033</x:v>
      </x:c>
      <x:c r="B210" s="24" t="str">
        <x:v>Golden Path / Escenarios</x:v>
      </x:c>
      <x:c r="C210" s="24" t="str">
        <x:v>TST</x:v>
      </x:c>
      <x:c r="D210" s="24" t="str">
        <x:v>VS-TST-033</x:v>
      </x:c>
      <x:c r="E210" s="24" t="str">
        <x:v>Resolución 1080p</x:v>
      </x:c>
      <x:c r="F210" s="24" t="str">
        <x:v>Validar el escenario oficial: Resolución 1080p.</x:v>
      </x:c>
      <x:c r="G210" s="24" t="str">
        <x:v>Fase(s) C/E; baseline y datos preparados.</x:v>
      </x:c>
      <x:c r="H210" s="24" t="str">
        <x:v>Datos de referencia del vertical slice.</x:v>
      </x:c>
      <x:c r="I210" s="24" t="str">
        <x:v>Recorrer UI completa.</x:v>
      </x:c>
      <x:c r="J210" s="24" t="str">
        <x:v>Sin cortes bloqueantes.</x:v>
      </x:c>
      <x:c r="K210" s="24" t="str">
        <x:v>Escenario end-to-end</x:v>
      </x:c>
      <x:c r="L210" s="24" t="str">
        <x:v>Manual + Integración + Build</x:v>
      </x:c>
      <x:c r="M210" s="24" t="str">
        <x:v>P1</x:v>
      </x:c>
      <x:c r="N210" s="24" t="str">
        <x:v>S1</x:v>
      </x:c>
      <x:c r="O210" s="24" t="str">
        <x:v>Parcial</x:v>
      </x:c>
      <x:c r="P210" s="24" t="str">
        <x:v>StoreInitial / Build</x:v>
      </x:c>
      <x:c r="Q210" s="24" t="str">
        <x:v>Sprint 17 / H6</x:v>
      </x:c>
      <x:c r="R210" s="24" t="str">
        <x:v>Ready</x:v>
      </x:c>
      <x:c r="S210" s="24" t="str">
        <x:v>VRM Games</x:v>
      </x:c>
      <x:c r="T210" s="24" t="str">
        <x:v>02_Vertical_Slice_Specification.md</x:v>
      </x:c>
      <x:c r="U210" s="24" t="str">
        <x:v>escenario-oficial;golden-path</x:v>
      </x:c>
    </x:row>
    <x:row r="211" ht="48" customHeight="1">
      <x:c r="A211" s="24" t="str">
        <x:v>TC-VS-TST-034</x:v>
      </x:c>
      <x:c r="B211" s="24" t="str">
        <x:v>Golden Path / Escenarios</x:v>
      </x:c>
      <x:c r="C211" s="24" t="str">
        <x:v>TST</x:v>
      </x:c>
      <x:c r="D211" s="24" t="str">
        <x:v>VS-TST-034</x:v>
      </x:c>
      <x:c r="E211" s="24" t="str">
        <x:v>Idioma ES</x:v>
      </x:c>
      <x:c r="F211" s="24" t="str">
        <x:v>Validar el escenario oficial: Idioma ES.</x:v>
      </x:c>
      <x:c r="G211" s="24" t="str">
        <x:v>Fase(s) C/E; baseline y datos preparados.</x:v>
      </x:c>
      <x:c r="H211" s="24" t="str">
        <x:v>Datos de referencia del vertical slice.</x:v>
      </x:c>
      <x:c r="I211" s="24" t="str">
        <x:v>Completar Golden Path.</x:v>
      </x:c>
      <x:c r="J211" s="24" t="str">
        <x:v>Textos correctos.</x:v>
      </x:c>
      <x:c r="K211" s="24" t="str">
        <x:v>Escenario end-to-end</x:v>
      </x:c>
      <x:c r="L211" s="24" t="str">
        <x:v>Manual + Integración + Build</x:v>
      </x:c>
      <x:c r="M211" s="24" t="str">
        <x:v>P1</x:v>
      </x:c>
      <x:c r="N211" s="24" t="str">
        <x:v>S1</x:v>
      </x:c>
      <x:c r="O211" s="24" t="str">
        <x:v>Parcial</x:v>
      </x:c>
      <x:c r="P211" s="24" t="str">
        <x:v>StoreInitial / Build</x:v>
      </x:c>
      <x:c r="Q211" s="24" t="str">
        <x:v>Sprint 17 / H6</x:v>
      </x:c>
      <x:c r="R211" s="24" t="str">
        <x:v>Ready</x:v>
      </x:c>
      <x:c r="S211" s="24" t="str">
        <x:v>VRM Games</x:v>
      </x:c>
      <x:c r="T211" s="24" t="str">
        <x:v>02_Vertical_Slice_Specification.md</x:v>
      </x:c>
      <x:c r="U211" s="24" t="str">
        <x:v>escenario-oficial;golden-path</x:v>
      </x:c>
    </x:row>
    <x:row r="212" ht="48" customHeight="1">
      <x:c r="A212" s="24" t="str">
        <x:v>TC-VS-TST-035</x:v>
      </x:c>
      <x:c r="B212" s="24" t="str">
        <x:v>Golden Path / Escenarios</x:v>
      </x:c>
      <x:c r="C212" s="24" t="str">
        <x:v>TST</x:v>
      </x:c>
      <x:c r="D212" s="24" t="str">
        <x:v>VS-TST-035</x:v>
      </x:c>
      <x:c r="E212" s="24" t="str">
        <x:v>Idioma EN</x:v>
      </x:c>
      <x:c r="F212" s="24" t="str">
        <x:v>Validar el escenario oficial: Idioma EN.</x:v>
      </x:c>
      <x:c r="G212" s="24" t="str">
        <x:v>Fase(s) C/E; baseline y datos preparados.</x:v>
      </x:c>
      <x:c r="H212" s="24" t="str">
        <x:v>Datos de referencia del vertical slice.</x:v>
      </x:c>
      <x:c r="I212" s="24" t="str">
        <x:v>Completar Golden Path.</x:v>
      </x:c>
      <x:c r="J212" s="24" t="str">
        <x:v>Sin desbordes bloqueantes.</x:v>
      </x:c>
      <x:c r="K212" s="24" t="str">
        <x:v>Escenario end-to-end</x:v>
      </x:c>
      <x:c r="L212" s="24" t="str">
        <x:v>Manual + Integración + Build</x:v>
      </x:c>
      <x:c r="M212" s="24" t="str">
        <x:v>P1</x:v>
      </x:c>
      <x:c r="N212" s="24" t="str">
        <x:v>S1</x:v>
      </x:c>
      <x:c r="O212" s="24" t="str">
        <x:v>Parcial</x:v>
      </x:c>
      <x:c r="P212" s="24" t="str">
        <x:v>StoreInitial / Build</x:v>
      </x:c>
      <x:c r="Q212" s="24" t="str">
        <x:v>Sprint 17 / H6</x:v>
      </x:c>
      <x:c r="R212" s="24" t="str">
        <x:v>Ready</x:v>
      </x:c>
      <x:c r="S212" s="24" t="str">
        <x:v>VRM Games</x:v>
      </x:c>
      <x:c r="T212" s="24" t="str">
        <x:v>02_Vertical_Slice_Specification.md</x:v>
      </x:c>
      <x:c r="U212" s="24" t="str">
        <x:v>escenario-oficial;golden-path</x:v>
      </x:c>
    </x:row>
    <x:row r="213" ht="48" customHeight="1">
      <x:c r="A213" s="24" t="str">
        <x:v>TC-VS-TST-036</x:v>
      </x:c>
      <x:c r="B213" s="24" t="str">
        <x:v>Golden Path / Escenarios</x:v>
      </x:c>
      <x:c r="C213" s="24" t="str">
        <x:v>TST</x:v>
      </x:c>
      <x:c r="D213" s="24" t="str">
        <x:v>VS-TST-036</x:v>
      </x:c>
      <x:c r="E213" s="24" t="str">
        <x:v>Puerta y navegación</x:v>
      </x:c>
      <x:c r="F213" s="24" t="str">
        <x:v>Validar el escenario oficial: Puerta y navegación.</x:v>
      </x:c>
      <x:c r="G213" s="24" t="str">
        <x:v>Fase(s) C/E; baseline y datos preparados.</x:v>
      </x:c>
      <x:c r="H213" s="24" t="str">
        <x:v>Datos de referencia del vertical slice.</x:v>
      </x:c>
      <x:c r="I213" s="24" t="str">
        <x:v>Entrada/salida con varios agentes.</x:v>
      </x:c>
      <x:c r="J213" s="24" t="str">
        <x:v>Sin colisiones o bloqueo.</x:v>
      </x:c>
      <x:c r="K213" s="24" t="str">
        <x:v>Escenario end-to-end</x:v>
      </x:c>
      <x:c r="L213" s="24" t="str">
        <x:v>Manual + Integración + Build</x:v>
      </x:c>
      <x:c r="M213" s="24" t="str">
        <x:v>P1</x:v>
      </x:c>
      <x:c r="N213" s="24" t="str">
        <x:v>S1</x:v>
      </x:c>
      <x:c r="O213" s="24" t="str">
        <x:v>Parcial</x:v>
      </x:c>
      <x:c r="P213" s="24" t="str">
        <x:v>StoreInitial / Build</x:v>
      </x:c>
      <x:c r="Q213" s="24" t="str">
        <x:v>Sprint 17 / H6</x:v>
      </x:c>
      <x:c r="R213" s="24" t="str">
        <x:v>Ready</x:v>
      </x:c>
      <x:c r="S213" s="24" t="str">
        <x:v>VRM Games</x:v>
      </x:c>
      <x:c r="T213" s="24" t="str">
        <x:v>02_Vertical_Slice_Specification.md</x:v>
      </x:c>
      <x:c r="U213" s="24" t="str">
        <x:v>escenario-oficial;golden-path</x:v>
      </x:c>
    </x:row>
    <x:row r="214" ht="48" customHeight="1">
      <x:c r="A214" s="24" t="str">
        <x:v>TC-VS-TST-037</x:v>
      </x:c>
      <x:c r="B214" s="24" t="str">
        <x:v>Golden Path / Escenarios</x:v>
      </x:c>
      <x:c r="C214" s="24" t="str">
        <x:v>TST</x:v>
      </x:c>
      <x:c r="D214" s="24" t="str">
        <x:v>VS-TST-037</x:v>
      </x:c>
      <x:c r="E214" s="24" t="str">
        <x:v>Sesión de rendimiento</x:v>
      </x:c>
      <x:c r="F214" s="24" t="str">
        <x:v>Validar el escenario oficial: Sesión de rendimiento.</x:v>
      </x:c>
      <x:c r="G214" s="24" t="str">
        <x:v>Fase(s) E/F; baseline y datos preparados.</x:v>
      </x:c>
      <x:c r="H214" s="24" t="str">
        <x:v>Datos de referencia del vertical slice.</x:v>
      </x:c>
      <x:c r="I214" s="24" t="str">
        <x:v>Tienda equipada y 8 clientes.</x:v>
      </x:c>
      <x:c r="J214" s="24" t="str">
        <x:v>Métricas registradas.</x:v>
      </x:c>
      <x:c r="K214" s="24" t="str">
        <x:v>Escenario end-to-end</x:v>
      </x:c>
      <x:c r="L214" s="24" t="str">
        <x:v>Manual + Integración + Build</x:v>
      </x:c>
      <x:c r="M214" s="24" t="str">
        <x:v>P1</x:v>
      </x:c>
      <x:c r="N214" s="24" t="str">
        <x:v>S1</x:v>
      </x:c>
      <x:c r="O214" s="24" t="str">
        <x:v>Parcial</x:v>
      </x:c>
      <x:c r="P214" s="24" t="str">
        <x:v>StoreInitial / Build</x:v>
      </x:c>
      <x:c r="Q214" s="24" t="str">
        <x:v>Sprint 17 / H6</x:v>
      </x:c>
      <x:c r="R214" s="24" t="str">
        <x:v>Ready</x:v>
      </x:c>
      <x:c r="S214" s="24" t="str">
        <x:v>VRM Games</x:v>
      </x:c>
      <x:c r="T214" s="24" t="str">
        <x:v>02_Vertical_Slice_Specification.md</x:v>
      </x:c>
      <x:c r="U214" s="24" t="str">
        <x:v>escenario-oficial;golden-path</x:v>
      </x:c>
    </x:row>
    <x:row r="215" ht="48" customHeight="1">
      <x:c r="A215" s="24" t="str">
        <x:v>TC-VS-TST-038</x:v>
      </x:c>
      <x:c r="B215" s="24" t="str">
        <x:v>Golden Path / Escenarios</x:v>
      </x:c>
      <x:c r="C215" s="24" t="str">
        <x:v>TST</x:v>
      </x:c>
      <x:c r="D215" s="24" t="str">
        <x:v>VS-TST-038</x:v>
      </x:c>
      <x:c r="E215" s="24" t="str">
        <x:v>Soak test</x:v>
      </x:c>
      <x:c r="F215" s="24" t="str">
        <x:v>Validar el escenario oficial: Soak test.</x:v>
      </x:c>
      <x:c r="G215" s="24" t="str">
        <x:v>Fase(s) E/F; baseline y datos preparados.</x:v>
      </x:c>
      <x:c r="H215" s="24" t="str">
        <x:v>Datos de referencia del vertical slice.</x:v>
      </x:c>
      <x:c r="I215" s="24" t="str">
        <x:v>Sesión prolongada y varios días.</x:v>
      </x:c>
      <x:c r="J215" s="24" t="str">
        <x:v>Sin degradación grave.</x:v>
      </x:c>
      <x:c r="K215" s="24" t="str">
        <x:v>Escenario end-to-end</x:v>
      </x:c>
      <x:c r="L215" s="24" t="str">
        <x:v>Manual + Integración + Build</x:v>
      </x:c>
      <x:c r="M215" s="24" t="str">
        <x:v>P1</x:v>
      </x:c>
      <x:c r="N215" s="24" t="str">
        <x:v>S1</x:v>
      </x:c>
      <x:c r="O215" s="24" t="str">
        <x:v>Parcial</x:v>
      </x:c>
      <x:c r="P215" s="24" t="str">
        <x:v>StoreInitial / Build</x:v>
      </x:c>
      <x:c r="Q215" s="24" t="str">
        <x:v>Sprint 17 / H6</x:v>
      </x:c>
      <x:c r="R215" s="24" t="str">
        <x:v>Ready</x:v>
      </x:c>
      <x:c r="S215" s="24" t="str">
        <x:v>VRM Games</x:v>
      </x:c>
      <x:c r="T215" s="24" t="str">
        <x:v>02_Vertical_Slice_Specification.md</x:v>
      </x:c>
      <x:c r="U215" s="24" t="str">
        <x:v>escenario-oficial;golden-path</x:v>
      </x:c>
    </x:row>
    <x:row r="216" ht="48" customHeight="1">
      <x:c r="A216" s="24" t="str">
        <x:v>TC-VS-TST-039</x:v>
      </x:c>
      <x:c r="B216" s="24" t="str">
        <x:v>Golden Path / Escenarios</x:v>
      </x:c>
      <x:c r="C216" s="24" t="str">
        <x:v>TST</x:v>
      </x:c>
      <x:c r="D216" s="24" t="str">
        <x:v>VS-TST-039</x:v>
      </x:c>
      <x:c r="E216" s="24" t="str">
        <x:v>Build externa</x:v>
      </x:c>
      <x:c r="F216" s="24" t="str">
        <x:v>Validar el escenario oficial: Build externa.</x:v>
      </x:c>
      <x:c r="G216" s="24" t="str">
        <x:v>Fase(s) E; baseline y datos preparados.</x:v>
      </x:c>
      <x:c r="H216" s="24" t="str">
        <x:v>Datos de referencia del vertical slice.</x:v>
      </x:c>
      <x:c r="I216" s="24" t="str">
        <x:v>Ejecutar en entorno fuera del Editor.</x:v>
      </x:c>
      <x:c r="J216" s="24" t="str">
        <x:v>Arranque, guardado y log válidos.</x:v>
      </x:c>
      <x:c r="K216" s="24" t="str">
        <x:v>Escenario end-to-end</x:v>
      </x:c>
      <x:c r="L216" s="24" t="str">
        <x:v>Manual + Integración + Build</x:v>
      </x:c>
      <x:c r="M216" s="24" t="str">
        <x:v>P0</x:v>
      </x:c>
      <x:c r="N216" s="24" t="str">
        <x:v>S1</x:v>
      </x:c>
      <x:c r="O216" s="24" t="str">
        <x:v>Parcial</x:v>
      </x:c>
      <x:c r="P216" s="24" t="str">
        <x:v>StoreInitial / Build</x:v>
      </x:c>
      <x:c r="Q216" s="24" t="str">
        <x:v>Sprint 17 / H6</x:v>
      </x:c>
      <x:c r="R216" s="24" t="str">
        <x:v>Ready</x:v>
      </x:c>
      <x:c r="S216" s="24" t="str">
        <x:v>VRM Games</x:v>
      </x:c>
      <x:c r="T216" s="24" t="str">
        <x:v>02_Vertical_Slice_Specification.md</x:v>
      </x:c>
      <x:c r="U216" s="24" t="str">
        <x:v>escenario-oficial;golden-path</x:v>
      </x:c>
    </x:row>
    <x:row r="217" ht="48" customHeight="1">
      <x:c r="A217" s="24" t="str">
        <x:v>TC-VS-TST-040</x:v>
      </x:c>
      <x:c r="B217" s="24" t="str">
        <x:v>Golden Path / Escenarios</x:v>
      </x:c>
      <x:c r="C217" s="24" t="str">
        <x:v>TST</x:v>
      </x:c>
      <x:c r="D217" s="24" t="str">
        <x:v>VS-TST-040</x:v>
      </x:c>
      <x:c r="E217" s="24" t="str">
        <x:v>Regresión completa</x:v>
      </x:c>
      <x:c r="F217" s="24" t="str">
        <x:v>Validar el escenario oficial: Regresión completa.</x:v>
      </x:c>
      <x:c r="G217" s="24" t="str">
        <x:v>Fase(s) A/B/C; baseline y datos preparados.</x:v>
      </x:c>
      <x:c r="H217" s="24" t="str">
        <x:v>Datos de referencia del vertical slice.</x:v>
      </x:c>
      <x:c r="I217" s="24" t="str">
        <x:v>Ejecutar suite y checklist.</x:v>
      </x:c>
      <x:c r="J217" s="24" t="str">
        <x:v>Todo verde o excepción formal.</x:v>
      </x:c>
      <x:c r="K217" s="24" t="str">
        <x:v>Escenario end-to-end</x:v>
      </x:c>
      <x:c r="L217" s="24" t="str">
        <x:v>Manual + Integración + Build</x:v>
      </x:c>
      <x:c r="M217" s="24" t="str">
        <x:v>P0</x:v>
      </x:c>
      <x:c r="N217" s="24" t="str">
        <x:v>S1</x:v>
      </x:c>
      <x:c r="O217" s="24" t="str">
        <x:v>Parcial</x:v>
      </x:c>
      <x:c r="P217" s="24" t="str">
        <x:v>StoreInitial / Build</x:v>
      </x:c>
      <x:c r="Q217" s="24" t="str">
        <x:v>Sprint 17 / H6</x:v>
      </x:c>
      <x:c r="R217" s="24" t="str">
        <x:v>Ready</x:v>
      </x:c>
      <x:c r="S217" s="24" t="str">
        <x:v>VRM Games</x:v>
      </x:c>
      <x:c r="T217" s="24" t="str">
        <x:v>02_Vertical_Slice_Specification.md</x:v>
      </x:c>
      <x:c r="U217" s="24" t="str">
        <x:v>escenario-oficial;golden-path</x:v>
      </x:c>
    </x:row>
    <x:row r="218" ht="48" customHeight="1">
      <x:c r="A218" s="24" t="str">
        <x:v>LEG-QA-S0-001</x:v>
      </x:c>
      <x:c r="B218" s="24" t="str">
        <x:v>Foundation</x:v>
      </x:c>
      <x:c r="C218" s="24" t="str">
        <x:v>Legacy</x:v>
      </x:c>
      <x:c r="D218" s="24" t="str"/>
      <x:c r="E218" s="24" t="str">
        <x:v>QA-S0-001</x:v>
      </x:c>
      <x:c r="F218" s="24" t="str">
        <x:v>Conservar la regresión histórica de la baseline v0.4: None.</x:v>
      </x:c>
      <x:c r="G218" s="24" t="str">
        <x:v>Proyecto y entorno configurados según la baseline aplicable.</x:v>
      </x:c>
      <x:c r="H218" s="24" t="str">
        <x:v>Configuración del bloque histórico.</x:v>
      </x:c>
      <x:c r="I218" s="24" t="str">
        <x:v>Ejecutar la verificación histórica y comparar con la baseline vigente.</x:v>
      </x:c>
      <x:c r="J218" s="24" t="str">
        <x:v>Resultado conforme.</x:v>
      </x:c>
      <x:c r="K218" s="24" t="str">
        <x:v>Regresión</x:v>
      </x:c>
      <x:c r="L218" s="24" t="str">
        <x:v>Revisión / Manual / Automatizada</x:v>
      </x:c>
      <x:c r="M218" s="24" t="str">
        <x:v>P2</x:v>
      </x:c>
      <x:c r="N218" s="24" t="str">
        <x:v>S3</x:v>
      </x:c>
      <x:c r="O218" s="24" t="str">
        <x:v>No/Parcial</x:v>
      </x:c>
      <x:c r="P218" s="24" t="str">
        <x:v>Proyecto / Editor / Build</x:v>
      </x:c>
      <x:c r="Q218" s="24" t="str">
        <x:v>Regresión histórica</x:v>
      </x:c>
      <x:c r="R218" s="24" t="str">
        <x:v>Legacy</x:v>
      </x:c>
      <x:c r="S218" s="24" t="str">
        <x:v>VRM Games</x:v>
      </x:c>
      <x:c r="T218" s="24" t="str">
        <x:v>QA Testing Matrix v0.4</x:v>
      </x:c>
      <x:c r="U218" s="24" t="str">
        <x:v>legacy;baseline;</x:v>
      </x:c>
    </x:row>
    <x:row r="219" ht="48" customHeight="1">
      <x:c r="A219" s="24" t="str">
        <x:v>TC-FI-SAV-001</x:v>
      </x:c>
      <x:c r="B219" s="24" t="str">
        <x:v>Persistencia</x:v>
      </x:c>
      <x:c r="C219" s="24" t="str">
        <x:v>Corrupción</x:v>
      </x:c>
      <x:c r="D219" s="24" t="str"/>
      <x:c r="E219" s="24" t="str">
        <x:v>Truncar el archivo primario tras una escritura válida</x:v>
      </x:c>
      <x:c r="F219" s="24" t="str">
        <x:v>Validar resiliencia o calidad específica: Truncar el archivo primario tras una escritura válida.</x:v>
      </x:c>
      <x:c r="G219" s="24" t="str">
        <x:v>Build o escena representativa; instrumentación y evidencia preparadas.</x:v>
      </x:c>
      <x:c r="H219" s="24" t="str">
        <x:v>Estado representativo y variante negativa descrita.</x:v>
      </x:c>
      <x:c r="I219" s="24" t="str">
        <x:v>1. Preparar baseline. 2. Truncar el archivo primario tras una escritura válida. 3. Capturar estado, métricas y logs. 4. Verificar recuperación.</x:v>
      </x:c>
      <x:c r="J219" s="24" t="str">
        <x:v>El sistema detecta corrupción y ofrece backup sin sobrescribirlo.</x:v>
      </x:c>
      <x:c r="K219" s="24" t="str">
        <x:v>Fault injection / No funcional</x:v>
      </x:c>
      <x:c r="L219" s="24" t="str">
        <x:v>Integración + Manual</x:v>
      </x:c>
      <x:c r="M219" s="24" t="str">
        <x:v>P0</x:v>
      </x:c>
      <x:c r="N219" s="24" t="str">
        <x:v>S0</x:v>
      </x:c>
      <x:c r="O219" s="24" t="str">
        <x:v>Parcial</x:v>
      </x:c>
      <x:c r="P219" s="24" t="str">
        <x:v>StoreInitial / Build</x:v>
      </x:c>
      <x:c r="Q219" s="24" t="str">
        <x:v>Sprint 17 / H6</x:v>
      </x:c>
      <x:c r="R219" s="24" t="str">
        <x:v>Ready</x:v>
      </x:c>
      <x:c r="S219" s="24" t="str">
        <x:v>VRM Games</x:v>
      </x:c>
      <x:c r="T219" s="24" t="str">
        <x:v>07_QA_Testing_Plan.md</x:v>
      </x:c>
      <x:c r="U219" s="24" t="str">
        <x:v>especializado;negative;quality</x:v>
      </x:c>
    </x:row>
    <x:row r="220" ht="48" customHeight="1">
      <x:c r="A220" s="24" t="str">
        <x:v>TC-FI-SAV-002</x:v>
      </x:c>
      <x:c r="B220" s="24" t="str">
        <x:v>Persistencia</x:v>
      </x:c>
      <x:c r="C220" s="24" t="str">
        <x:v>Permisos</x:v>
      </x:c>
      <x:c r="D220" s="24" t="str"/>
      <x:c r="E220" s="24" t="str">
        <x:v>Denegar escritura en la carpeta de guardado</x:v>
      </x:c>
      <x:c r="F220" s="24" t="str">
        <x:v>Validar resiliencia o calidad específica: Denegar escritura en la carpeta de guardado.</x:v>
      </x:c>
      <x:c r="G220" s="24" t="str">
        <x:v>Build o escena representativa; instrumentación y evidencia preparadas.</x:v>
      </x:c>
      <x:c r="H220" s="24" t="str">
        <x:v>Estado representativo y variante negativa descrita.</x:v>
      </x:c>
      <x:c r="I220" s="24" t="str">
        <x:v>1. Preparar baseline. 2. Denegar escritura en la carpeta de guardado. 3. Capturar estado, métricas y logs. 4. Verificar recuperación.</x:v>
      </x:c>
      <x:c r="J220" s="24" t="str">
        <x:v>Se informa el fallo; el primario previo permanece válido.</x:v>
      </x:c>
      <x:c r="K220" s="24" t="str">
        <x:v>Fault injection / No funcional</x:v>
      </x:c>
      <x:c r="L220" s="24" t="str">
        <x:v>Integración + Manual</x:v>
      </x:c>
      <x:c r="M220" s="24" t="str">
        <x:v>P0</x:v>
      </x:c>
      <x:c r="N220" s="24" t="str">
        <x:v>S1</x:v>
      </x:c>
      <x:c r="O220" s="24" t="str">
        <x:v>Parcial</x:v>
      </x:c>
      <x:c r="P220" s="24" t="str">
        <x:v>StoreInitial / Build</x:v>
      </x:c>
      <x:c r="Q220" s="24" t="str">
        <x:v>Sprint 17 / H6</x:v>
      </x:c>
      <x:c r="R220" s="24" t="str">
        <x:v>Ready</x:v>
      </x:c>
      <x:c r="S220" s="24" t="str">
        <x:v>VRM Games</x:v>
      </x:c>
      <x:c r="T220" s="24" t="str">
        <x:v>07_QA_Testing_Plan.md</x:v>
      </x:c>
      <x:c r="U220" s="24" t="str">
        <x:v>especializado;negative;quality</x:v>
      </x:c>
    </x:row>
    <x:row r="221" ht="48" customHeight="1">
      <x:c r="A221" s="24" t="str">
        <x:v>TC-FI-SAV-003</x:v>
      </x:c>
      <x:c r="B221" s="24" t="str">
        <x:v>Persistencia</x:v>
      </x:c>
      <x:c r="C221" s="24" t="str">
        <x:v>Escritura</x:v>
      </x:c>
      <x:c r="D221" s="24" t="str"/>
      <x:c r="E221" s="24" t="str">
        <x:v>Interrumpir antes de promover el temporal</x:v>
      </x:c>
      <x:c r="F221" s="24" t="str">
        <x:v>Validar resiliencia o calidad específica: Interrumpir antes de promover el temporal.</x:v>
      </x:c>
      <x:c r="G221" s="24" t="str">
        <x:v>Build o escena representativa; instrumentación y evidencia preparadas.</x:v>
      </x:c>
      <x:c r="H221" s="24" t="str">
        <x:v>Estado representativo y variante negativa descrita.</x:v>
      </x:c>
      <x:c r="I221" s="24" t="str">
        <x:v>1. Preparar baseline. 2. Interrumpir antes de promover el temporal. 3. Capturar estado, métricas y logs. 4. Verificar recuperación.</x:v>
      </x:c>
      <x:c r="J221" s="24" t="str">
        <x:v>No aparece un primario parcial y el backup sigue disponible.</x:v>
      </x:c>
      <x:c r="K221" s="24" t="str">
        <x:v>Fault injection / No funcional</x:v>
      </x:c>
      <x:c r="L221" s="24" t="str">
        <x:v>Integración + Manual</x:v>
      </x:c>
      <x:c r="M221" s="24" t="str">
        <x:v>P0</x:v>
      </x:c>
      <x:c r="N221" s="24" t="str">
        <x:v>S0</x:v>
      </x:c>
      <x:c r="O221" s="24" t="str">
        <x:v>Parcial</x:v>
      </x:c>
      <x:c r="P221" s="24" t="str">
        <x:v>StoreInitial / Build</x:v>
      </x:c>
      <x:c r="Q221" s="24" t="str">
        <x:v>Sprint 17 / H6</x:v>
      </x:c>
      <x:c r="R221" s="24" t="str">
        <x:v>Ready</x:v>
      </x:c>
      <x:c r="S221" s="24" t="str">
        <x:v>VRM Games</x:v>
      </x:c>
      <x:c r="T221" s="24" t="str">
        <x:v>07_QA_Testing_Plan.md</x:v>
      </x:c>
      <x:c r="U221" s="24" t="str">
        <x:v>especializado;negative;quality</x:v>
      </x:c>
    </x:row>
    <x:row r="222" ht="48" customHeight="1">
      <x:c r="A222" s="24" t="str">
        <x:v>TC-FI-SAV-004</x:v>
      </x:c>
      <x:c r="B222" s="24" t="str">
        <x:v>Persistencia</x:v>
      </x:c>
      <x:c r="C222" s="24" t="str">
        <x:v>Schema</x:v>
      </x:c>
      <x:c r="D222" s="24" t="str"/>
      <x:c r="E222" s="24" t="str">
        <x:v>Cargar schema futuro no soportado</x:v>
      </x:c>
      <x:c r="F222" s="24" t="str">
        <x:v>Validar resiliencia o calidad específica: Cargar schema futuro no soportado.</x:v>
      </x:c>
      <x:c r="G222" s="24" t="str">
        <x:v>Build o escena representativa; instrumentación y evidencia preparadas.</x:v>
      </x:c>
      <x:c r="H222" s="24" t="str">
        <x:v>Estado representativo y variante negativa descrita.</x:v>
      </x:c>
      <x:c r="I222" s="24" t="str">
        <x:v>1. Preparar baseline. 2. Cargar schema futuro no soportado. 3. Capturar estado, métricas y logs. 4. Verificar recuperación.</x:v>
      </x:c>
      <x:c r="J222" s="24" t="str">
        <x:v>Se rechaza sin mutación parcial y se informa compatibilidad.</x:v>
      </x:c>
      <x:c r="K222" s="24" t="str">
        <x:v>Fault injection / No funcional</x:v>
      </x:c>
      <x:c r="L222" s="24" t="str">
        <x:v>Integración + Manual</x:v>
      </x:c>
      <x:c r="M222" s="24" t="str">
        <x:v>P0</x:v>
      </x:c>
      <x:c r="N222" s="24" t="str">
        <x:v>S1</x:v>
      </x:c>
      <x:c r="O222" s="24" t="str">
        <x:v>Parcial</x:v>
      </x:c>
      <x:c r="P222" s="24" t="str">
        <x:v>StoreInitial / Build</x:v>
      </x:c>
      <x:c r="Q222" s="24" t="str">
        <x:v>Sprint 17 / H6</x:v>
      </x:c>
      <x:c r="R222" s="24" t="str">
        <x:v>Ready</x:v>
      </x:c>
      <x:c r="S222" s="24" t="str">
        <x:v>VRM Games</x:v>
      </x:c>
      <x:c r="T222" s="24" t="str">
        <x:v>07_QA_Testing_Plan.md</x:v>
      </x:c>
      <x:c r="U222" s="24" t="str">
        <x:v>especializado;negative;quality</x:v>
      </x:c>
    </x:row>
    <x:row r="223" ht="48" customHeight="1">
      <x:c r="A223" s="24" t="str">
        <x:v>TC-FI-SAV-005</x:v>
      </x:c>
      <x:c r="B223" s="24" t="str">
        <x:v>Persistencia</x:v>
      </x:c>
      <x:c r="C223" s="24" t="str">
        <x:v>Checksum</x:v>
      </x:c>
      <x:c r="D223" s="24" t="str"/>
      <x:c r="E223" s="24" t="str">
        <x:v>Modificar un byte del snapshot</x:v>
      </x:c>
      <x:c r="F223" s="24" t="str">
        <x:v>Validar resiliencia o calidad específica: Modificar un byte del snapshot.</x:v>
      </x:c>
      <x:c r="G223" s="24" t="str">
        <x:v>Build o escena representativa; instrumentación y evidencia preparadas.</x:v>
      </x:c>
      <x:c r="H223" s="24" t="str">
        <x:v>Estado representativo y variante negativa descrita.</x:v>
      </x:c>
      <x:c r="I223" s="24" t="str">
        <x:v>1. Preparar baseline. 2. Modificar un byte del snapshot. 3. Capturar estado, métricas y logs. 4. Verificar recuperación.</x:v>
      </x:c>
      <x:c r="J223" s="24" t="str">
        <x:v>Checksum o validación detecta la alteración.</x:v>
      </x:c>
      <x:c r="K223" s="24" t="str">
        <x:v>Fault injection / No funcional</x:v>
      </x:c>
      <x:c r="L223" s="24" t="str">
        <x:v>Integración + Manual</x:v>
      </x:c>
      <x:c r="M223" s="24" t="str">
        <x:v>P0</x:v>
      </x:c>
      <x:c r="N223" s="24" t="str">
        <x:v>S1</x:v>
      </x:c>
      <x:c r="O223" s="24" t="str">
        <x:v>Parcial</x:v>
      </x:c>
      <x:c r="P223" s="24" t="str">
        <x:v>StoreInitial / Build</x:v>
      </x:c>
      <x:c r="Q223" s="24" t="str">
        <x:v>Sprint 17 / H6</x:v>
      </x:c>
      <x:c r="R223" s="24" t="str">
        <x:v>Ready</x:v>
      </x:c>
      <x:c r="S223" s="24" t="str">
        <x:v>VRM Games</x:v>
      </x:c>
      <x:c r="T223" s="24" t="str">
        <x:v>07_QA_Testing_Plan.md</x:v>
      </x:c>
      <x:c r="U223" s="24" t="str">
        <x:v>especializado;negative;quality</x:v>
      </x:c>
    </x:row>
    <x:row r="224" ht="48" customHeight="1">
      <x:c r="A224" s="24" t="str">
        <x:v>TC-FI-INV-001</x:v>
      </x:c>
      <x:c r="B224" s="24" t="str">
        <x:v>Inventario</x:v>
      </x:c>
      <x:c r="C224" s="24" t="str">
        <x:v>Concurrencia</x:v>
      </x:c>
      <x:c r="D224" s="24" t="str"/>
      <x:c r="E224" s="24" t="str">
        <x:v>Cambiar stock entre preflight y commit</x:v>
      </x:c>
      <x:c r="F224" s="24" t="str">
        <x:v>Validar resiliencia o calidad específica: Cambiar stock entre preflight y commit.</x:v>
      </x:c>
      <x:c r="G224" s="24" t="str">
        <x:v>Build o escena representativa; instrumentación y evidencia preparadas.</x:v>
      </x:c>
      <x:c r="H224" s="24" t="str">
        <x:v>Estado representativo y variante negativa descrita.</x:v>
      </x:c>
      <x:c r="I224" s="24" t="str">
        <x:v>1. Preparar baseline. 2. Cambiar stock entre preflight y commit. 3. Capturar estado, métricas y logs. 4. Verificar recuperación.</x:v>
      </x:c>
      <x:c r="J224" s="24" t="str">
        <x:v>La transferencia se revalida o falla sin mutación.</x:v>
      </x:c>
      <x:c r="K224" s="24" t="str">
        <x:v>Fault injection / No funcional</x:v>
      </x:c>
      <x:c r="L224" s="24" t="str">
        <x:v>Integración + Manual</x:v>
      </x:c>
      <x:c r="M224" s="24" t="str">
        <x:v>P0</x:v>
      </x:c>
      <x:c r="N224" s="24" t="str">
        <x:v>S1</x:v>
      </x:c>
      <x:c r="O224" s="24" t="str">
        <x:v>Parcial</x:v>
      </x:c>
      <x:c r="P224" s="24" t="str">
        <x:v>StoreInitial / Build</x:v>
      </x:c>
      <x:c r="Q224" s="24" t="str">
        <x:v>Sprint 17 / H6</x:v>
      </x:c>
      <x:c r="R224" s="24" t="str">
        <x:v>Ready</x:v>
      </x:c>
      <x:c r="S224" s="24" t="str">
        <x:v>VRM Games</x:v>
      </x:c>
      <x:c r="T224" s="24" t="str">
        <x:v>07_QA_Testing_Plan.md</x:v>
      </x:c>
      <x:c r="U224" s="24" t="str">
        <x:v>especializado;negative;quality</x:v>
      </x:c>
    </x:row>
    <x:row r="225" ht="48" customHeight="1">
      <x:c r="A225" s="24" t="str">
        <x:v>TC-FI-CHK-001</x:v>
      </x:c>
      <x:c r="B225" s="24" t="str">
        <x:v>Checkout</x:v>
      </x:c>
      <x:c r="C225" s="24" t="str">
        <x:v>Doble evento</x:v>
      </x:c>
      <x:c r="D225" s="24" t="str"/>
      <x:c r="E225" s="24" t="str">
        <x:v>Emitir dos confirmaciones en el mismo frame</x:v>
      </x:c>
      <x:c r="F225" s="24" t="str">
        <x:v>Validar resiliencia o calidad específica: Emitir dos confirmaciones en el mismo frame.</x:v>
      </x:c>
      <x:c r="G225" s="24" t="str">
        <x:v>Build o escena representativa; instrumentación y evidencia preparadas.</x:v>
      </x:c>
      <x:c r="H225" s="24" t="str">
        <x:v>Estado representativo y variante negativa descrita.</x:v>
      </x:c>
      <x:c r="I225" s="24" t="str">
        <x:v>1. Preparar baseline. 2. Emitir dos confirmaciones en el mismo frame. 3. Capturar estado, métricas y logs. 4. Verificar recuperación.</x:v>
      </x:c>
      <x:c r="J225" s="24" t="str">
        <x:v>Solo existe una venta, un ingreso y un consumo.</x:v>
      </x:c>
      <x:c r="K225" s="24" t="str">
        <x:v>Fault injection / No funcional</x:v>
      </x:c>
      <x:c r="L225" s="24" t="str">
        <x:v>Integración + Manual</x:v>
      </x:c>
      <x:c r="M225" s="24" t="str">
        <x:v>P0</x:v>
      </x:c>
      <x:c r="N225" s="24" t="str">
        <x:v>S0</x:v>
      </x:c>
      <x:c r="O225" s="24" t="str">
        <x:v>Parcial</x:v>
      </x:c>
      <x:c r="P225" s="24" t="str">
        <x:v>StoreInitial / Build</x:v>
      </x:c>
      <x:c r="Q225" s="24" t="str">
        <x:v>Sprint 17 / H6</x:v>
      </x:c>
      <x:c r="R225" s="24" t="str">
        <x:v>Ready</x:v>
      </x:c>
      <x:c r="S225" s="24" t="str">
        <x:v>VRM Games</x:v>
      </x:c>
      <x:c r="T225" s="24" t="str">
        <x:v>07_QA_Testing_Plan.md</x:v>
      </x:c>
      <x:c r="U225" s="24" t="str">
        <x:v>especializado;negative;quality</x:v>
      </x:c>
    </x:row>
    <x:row r="226" ht="48" customHeight="1">
      <x:c r="A226" s="24" t="str">
        <x:v>TC-FI-RES-001</x:v>
      </x:c>
      <x:c r="B226" s="24" t="str">
        <x:v>Reservas</x:v>
      </x:c>
      <x:c r="C226" s="24" t="str">
        <x:v>Abandono</x:v>
      </x:c>
      <x:c r="D226" s="24" t="str"/>
      <x:c r="E226" s="24" t="str">
        <x:v>Destruir o desactivar cliente con reserva</x:v>
      </x:c>
      <x:c r="F226" s="24" t="str">
        <x:v>Validar resiliencia o calidad específica: Destruir o desactivar cliente con reserva.</x:v>
      </x:c>
      <x:c r="G226" s="24" t="str">
        <x:v>Build o escena representativa; instrumentación y evidencia preparadas.</x:v>
      </x:c>
      <x:c r="H226" s="24" t="str">
        <x:v>Estado representativo y variante negativa descrita.</x:v>
      </x:c>
      <x:c r="I226" s="24" t="str">
        <x:v>1. Preparar baseline. 2. Destruir o desactivar cliente con reserva. 3. Capturar estado, métricas y logs. 4. Verificar recuperación.</x:v>
      </x:c>
      <x:c r="J226" s="24" t="str">
        <x:v>La reserva se libera mediante recuperación segura.</x:v>
      </x:c>
      <x:c r="K226" s="24" t="str">
        <x:v>Fault injection / No funcional</x:v>
      </x:c>
      <x:c r="L226" s="24" t="str">
        <x:v>Integración + Manual</x:v>
      </x:c>
      <x:c r="M226" s="24" t="str">
        <x:v>P0</x:v>
      </x:c>
      <x:c r="N226" s="24" t="str">
        <x:v>S1</x:v>
      </x:c>
      <x:c r="O226" s="24" t="str">
        <x:v>Parcial</x:v>
      </x:c>
      <x:c r="P226" s="24" t="str">
        <x:v>StoreInitial / Build</x:v>
      </x:c>
      <x:c r="Q226" s="24" t="str">
        <x:v>Sprint 17 / H6</x:v>
      </x:c>
      <x:c r="R226" s="24" t="str">
        <x:v>Ready</x:v>
      </x:c>
      <x:c r="S226" s="24" t="str">
        <x:v>VRM Games</x:v>
      </x:c>
      <x:c r="T226" s="24" t="str">
        <x:v>07_QA_Testing_Plan.md</x:v>
      </x:c>
      <x:c r="U226" s="24" t="str">
        <x:v>especializado;negative;quality</x:v>
      </x:c>
    </x:row>
    <x:row r="227" ht="48" customHeight="1">
      <x:c r="A227" s="24" t="str">
        <x:v>TC-FI-DAY-001</x:v>
      </x:c>
      <x:c r="B227" s="24" t="str">
        <x:v>Ciclo diario</x:v>
      </x:c>
      <x:c r="C227" s="24" t="str">
        <x:v>Cierre</x:v>
      </x:c>
      <x:c r="D227" s="24" t="str"/>
      <x:c r="E227" s="24" t="str">
        <x:v>Cerrar con cola, reservas y pedido pendiente</x:v>
      </x:c>
      <x:c r="F227" s="24" t="str">
        <x:v>Validar resiliencia o calidad específica: Cerrar con cola, reservas y pedido pendiente.</x:v>
      </x:c>
      <x:c r="G227" s="24" t="str">
        <x:v>Build o escena representativa; instrumentación y evidencia preparadas.</x:v>
      </x:c>
      <x:c r="H227" s="24" t="str">
        <x:v>Estado representativo y variante negativa descrita.</x:v>
      </x:c>
      <x:c r="I227" s="24" t="str">
        <x:v>1. Preparar baseline. 2. Cerrar con cola, reservas y pedido pendiente. 3. Capturar estado, métricas y logs. 4. Verificar recuperación.</x:v>
      </x:c>
      <x:c r="J227" s="24" t="str">
        <x:v>El cierre resuelve activos sin deadlock ni duplicación.</x:v>
      </x:c>
      <x:c r="K227" s="24" t="str">
        <x:v>Fault injection / No funcional</x:v>
      </x:c>
      <x:c r="L227" s="24" t="str">
        <x:v>Integración + Manual</x:v>
      </x:c>
      <x:c r="M227" s="24" t="str">
        <x:v>P0</x:v>
      </x:c>
      <x:c r="N227" s="24" t="str">
        <x:v>S1</x:v>
      </x:c>
      <x:c r="O227" s="24" t="str">
        <x:v>Parcial</x:v>
      </x:c>
      <x:c r="P227" s="24" t="str">
        <x:v>StoreInitial / Build</x:v>
      </x:c>
      <x:c r="Q227" s="24" t="str">
        <x:v>Sprint 17 / H6</x:v>
      </x:c>
      <x:c r="R227" s="24" t="str">
        <x:v>Ready</x:v>
      </x:c>
      <x:c r="S227" s="24" t="str">
        <x:v>VRM Games</x:v>
      </x:c>
      <x:c r="T227" s="24" t="str">
        <x:v>07_QA_Testing_Plan.md</x:v>
      </x:c>
      <x:c r="U227" s="24" t="str">
        <x:v>especializado;negative;quality</x:v>
      </x:c>
    </x:row>
    <x:row r="228" ht="48" customHeight="1">
      <x:c r="A228" s="24" t="str">
        <x:v>TC-FI-SCN-001</x:v>
      </x:c>
      <x:c r="B228" s="24" t="str">
        <x:v>Escena</x:v>
      </x:c>
      <x:c r="C228" s="24" t="str">
        <x:v>Referencias</x:v>
      </x:c>
      <x:c r="D228" s="24" t="str"/>
      <x:c r="E228" s="24" t="str">
        <x:v>Eliminar una referencia obligatoria de StoreInitialSceneContext</x:v>
      </x:c>
      <x:c r="F228" s="24" t="str">
        <x:v>Validar resiliencia o calidad específica: Eliminar una referencia obligatoria de StoreInitialSceneContext.</x:v>
      </x:c>
      <x:c r="G228" s="24" t="str">
        <x:v>Build o escena representativa; instrumentación y evidencia preparadas.</x:v>
      </x:c>
      <x:c r="H228" s="24" t="str">
        <x:v>Estado representativo y variante negativa descrita.</x:v>
      </x:c>
      <x:c r="I228" s="24" t="str">
        <x:v>1. Preparar baseline. 2. Eliminar una referencia obligatoria de StoreInitialSceneContext. 3. Capturar estado, métricas y logs. 4. Verificar recuperación.</x:v>
      </x:c>
      <x:c r="J228" s="24" t="str">
        <x:v>La escena falla de forma controlada y registra el campo faltante.</x:v>
      </x:c>
      <x:c r="K228" s="24" t="str">
        <x:v>Fault injection / No funcional</x:v>
      </x:c>
      <x:c r="L228" s="24" t="str">
        <x:v>Integración + Manual</x:v>
      </x:c>
      <x:c r="M228" s="24" t="str">
        <x:v>P0</x:v>
      </x:c>
      <x:c r="N228" s="24" t="str">
        <x:v>S1</x:v>
      </x:c>
      <x:c r="O228" s="24" t="str">
        <x:v>Parcial</x:v>
      </x:c>
      <x:c r="P228" s="24" t="str">
        <x:v>StoreInitial / Build</x:v>
      </x:c>
      <x:c r="Q228" s="24" t="str">
        <x:v>Sprint 17 / H6</x:v>
      </x:c>
      <x:c r="R228" s="24" t="str">
        <x:v>Ready</x:v>
      </x:c>
      <x:c r="S228" s="24" t="str">
        <x:v>VRM Games</x:v>
      </x:c>
      <x:c r="T228" s="24" t="str">
        <x:v>07_QA_Testing_Plan.md</x:v>
      </x:c>
      <x:c r="U228" s="24" t="str">
        <x:v>especializado;negative;quality</x:v>
      </x:c>
    </x:row>
    <x:row r="229" ht="48" customHeight="1">
      <x:c r="A229" s="24" t="str">
        <x:v>TC-PERF-001</x:v>
      </x:c>
      <x:c r="B229" s="24" t="str">
        <x:v>Rendimiento</x:v>
      </x:c>
      <x:c r="C229" s="24" t="str">
        <x:v>Baseline</x:v>
      </x:c>
      <x:c r="D229" s="24" t="str"/>
      <x:c r="E229" s="24" t="str">
        <x:v>Medir StoreInitial vacía en build 1080p</x:v>
      </x:c>
      <x:c r="F229" s="24" t="str">
        <x:v>Validar resiliencia o calidad específica: Medir StoreInitial vacía en build 1080p.</x:v>
      </x:c>
      <x:c r="G229" s="24" t="str">
        <x:v>Build o escena representativa; instrumentación y evidencia preparadas.</x:v>
      </x:c>
      <x:c r="H229" s="24" t="str">
        <x:v>Estado representativo y variante negativa descrita.</x:v>
      </x:c>
      <x:c r="I229" s="24" t="str">
        <x:v>1. Preparar baseline. 2. Medir StoreInitial vacía en build 1080p. 3. Capturar estado, métricas y logs. 4. Verificar recuperación.</x:v>
      </x:c>
      <x:c r="J229" s="24" t="str">
        <x:v>Se registra FPS, CPU, GPU, memoria y hardware.</x:v>
      </x:c>
      <x:c r="K229" s="24" t="str">
        <x:v>Fault injection / No funcional</x:v>
      </x:c>
      <x:c r="L229" s="24" t="str">
        <x:v>Build + Manual</x:v>
      </x:c>
      <x:c r="M229" s="24" t="str">
        <x:v>P1</x:v>
      </x:c>
      <x:c r="N229" s="24" t="str">
        <x:v>S2</x:v>
      </x:c>
      <x:c r="O229" s="24" t="str">
        <x:v>Parcial</x:v>
      </x:c>
      <x:c r="P229" s="24" t="str">
        <x:v>StoreInitial / Build</x:v>
      </x:c>
      <x:c r="Q229" s="24" t="str">
        <x:v>Sprint 17 / H6</x:v>
      </x:c>
      <x:c r="R229" s="24" t="str">
        <x:v>Ready</x:v>
      </x:c>
      <x:c r="S229" s="24" t="str">
        <x:v>VRM Games</x:v>
      </x:c>
      <x:c r="T229" s="24" t="str">
        <x:v>07_QA_Testing_Plan.md</x:v>
      </x:c>
      <x:c r="U229" s="24" t="str">
        <x:v>especializado;negative;quality</x:v>
      </x:c>
    </x:row>
    <x:row r="230" ht="48" customHeight="1">
      <x:c r="A230" s="24" t="str">
        <x:v>TC-PERF-002</x:v>
      </x:c>
      <x:c r="B230" s="24" t="str">
        <x:v>Rendimiento</x:v>
      </x:c>
      <x:c r="C230" s="24" t="str">
        <x:v>Carga</x:v>
      </x:c>
      <x:c r="D230" s="24" t="str"/>
      <x:c r="E230" s="24" t="str">
        <x:v>Tienda equipada con ocho clientes</x:v>
      </x:c>
      <x:c r="F230" s="24" t="str">
        <x:v>Validar resiliencia o calidad específica: Tienda equipada con ocho clientes.</x:v>
      </x:c>
      <x:c r="G230" s="24" t="str">
        <x:v>Build o escena representativa; instrumentación y evidencia preparadas.</x:v>
      </x:c>
      <x:c r="H230" s="24" t="str">
        <x:v>Estado representativo y variante negativa descrita.</x:v>
      </x:c>
      <x:c r="I230" s="24" t="str">
        <x:v>1. Preparar baseline. 2. Tienda equipada con ocho clientes. 3. Capturar estado, métricas y logs. 4. Verificar recuperación.</x:v>
      </x:c>
      <x:c r="J230" s="24" t="str">
        <x:v>Se cumple el objetivo o se documenta desviación.</x:v>
      </x:c>
      <x:c r="K230" s="24" t="str">
        <x:v>Fault injection / No funcional</x:v>
      </x:c>
      <x:c r="L230" s="24" t="str">
        <x:v>Build + Manual</x:v>
      </x:c>
      <x:c r="M230" s="24" t="str">
        <x:v>P1</x:v>
      </x:c>
      <x:c r="N230" s="24" t="str">
        <x:v>S2</x:v>
      </x:c>
      <x:c r="O230" s="24" t="str">
        <x:v>Parcial</x:v>
      </x:c>
      <x:c r="P230" s="24" t="str">
        <x:v>StoreInitial / Build</x:v>
      </x:c>
      <x:c r="Q230" s="24" t="str">
        <x:v>Sprint 17 / H6</x:v>
      </x:c>
      <x:c r="R230" s="24" t="str">
        <x:v>Ready</x:v>
      </x:c>
      <x:c r="S230" s="24" t="str">
        <x:v>VRM Games</x:v>
      </x:c>
      <x:c r="T230" s="24" t="str">
        <x:v>07_QA_Testing_Plan.md</x:v>
      </x:c>
      <x:c r="U230" s="24" t="str">
        <x:v>especializado;negative;quality</x:v>
      </x:c>
    </x:row>
    <x:row r="231" ht="48" customHeight="1">
      <x:c r="A231" s="24" t="str">
        <x:v>TC-PERF-003</x:v>
      </x:c>
      <x:c r="B231" s="24" t="str">
        <x:v>Rendimiento</x:v>
      </x:c>
      <x:c r="C231" s="24" t="str">
        <x:v>Soak</x:v>
      </x:c>
      <x:c r="D231" s="24" t="str"/>
      <x:c r="E231" s="24" t="str">
        <x:v>Ejecutar siete días consecutivos</x:v>
      </x:c>
      <x:c r="F231" s="24" t="str">
        <x:v>Validar resiliencia o calidad específica: Ejecutar siete días consecutivos.</x:v>
      </x:c>
      <x:c r="G231" s="24" t="str">
        <x:v>Build o escena representativa; instrumentación y evidencia preparadas.</x:v>
      </x:c>
      <x:c r="H231" s="24" t="str">
        <x:v>Estado representativo y variante negativa descrita.</x:v>
      </x:c>
      <x:c r="I231" s="24" t="str">
        <x:v>1. Preparar baseline. 2. Ejecutar siete días consecutivos. 3. Capturar estado, métricas y logs. 4. Verificar recuperación.</x:v>
      </x:c>
      <x:c r="J231" s="24" t="str">
        <x:v>No existe degradación acumulativa grave.</x:v>
      </x:c>
      <x:c r="K231" s="24" t="str">
        <x:v>Fault injection / No funcional</x:v>
      </x:c>
      <x:c r="L231" s="24" t="str">
        <x:v>Build + Manual</x:v>
      </x:c>
      <x:c r="M231" s="24" t="str">
        <x:v>P1</x:v>
      </x:c>
      <x:c r="N231" s="24" t="str">
        <x:v>S1</x:v>
      </x:c>
      <x:c r="O231" s="24" t="str">
        <x:v>Parcial</x:v>
      </x:c>
      <x:c r="P231" s="24" t="str">
        <x:v>StoreInitial / Build</x:v>
      </x:c>
      <x:c r="Q231" s="24" t="str">
        <x:v>Sprint 17 / H6</x:v>
      </x:c>
      <x:c r="R231" s="24" t="str">
        <x:v>Ready</x:v>
      </x:c>
      <x:c r="S231" s="24" t="str">
        <x:v>VRM Games</x:v>
      </x:c>
      <x:c r="T231" s="24" t="str">
        <x:v>07_QA_Testing_Plan.md</x:v>
      </x:c>
      <x:c r="U231" s="24" t="str">
        <x:v>especializado;negative;quality</x:v>
      </x:c>
    </x:row>
    <x:row r="232" ht="48" customHeight="1">
      <x:c r="A232" s="24" t="str">
        <x:v>TC-PERF-004</x:v>
      </x:c>
      <x:c r="B232" s="24" t="str">
        <x:v>Rendimiento</x:v>
      </x:c>
      <x:c r="C232" s="24" t="str">
        <x:v>Allocations</x:v>
      </x:c>
      <x:c r="D232" s="24" t="str"/>
      <x:c r="E232" s="24" t="str">
        <x:v>Perfilar checkout repetido</x:v>
      </x:c>
      <x:c r="F232" s="24" t="str">
        <x:v>Validar resiliencia o calidad específica: Perfilar checkout repetido.</x:v>
      </x:c>
      <x:c r="G232" s="24" t="str">
        <x:v>Build o escena representativa; instrumentación y evidencia preparadas.</x:v>
      </x:c>
      <x:c r="H232" s="24" t="str">
        <x:v>Estado representativo y variante negativa descrita.</x:v>
      </x:c>
      <x:c r="I232" s="24" t="str">
        <x:v>1. Preparar baseline. 2. Perfilar checkout repetido. 3. Capturar estado, métricas y logs. 4. Verificar recuperación.</x:v>
      </x:c>
      <x:c r="J232" s="24" t="str">
        <x:v>No hay allocations recurrentes graves en la ruta crítica.</x:v>
      </x:c>
      <x:c r="K232" s="24" t="str">
        <x:v>Fault injection / No funcional</x:v>
      </x:c>
      <x:c r="L232" s="24" t="str">
        <x:v>Build + Manual</x:v>
      </x:c>
      <x:c r="M232" s="24" t="str">
        <x:v>P1</x:v>
      </x:c>
      <x:c r="N232" s="24" t="str">
        <x:v>S2</x:v>
      </x:c>
      <x:c r="O232" s="24" t="str">
        <x:v>Parcial</x:v>
      </x:c>
      <x:c r="P232" s="24" t="str">
        <x:v>StoreInitial / Build</x:v>
      </x:c>
      <x:c r="Q232" s="24" t="str">
        <x:v>Sprint 17 / H6</x:v>
      </x:c>
      <x:c r="R232" s="24" t="str">
        <x:v>Ready</x:v>
      </x:c>
      <x:c r="S232" s="24" t="str">
        <x:v>VRM Games</x:v>
      </x:c>
      <x:c r="T232" s="24" t="str">
        <x:v>07_QA_Testing_Plan.md</x:v>
      </x:c>
      <x:c r="U232" s="24" t="str">
        <x:v>especializado;negative;quality</x:v>
      </x:c>
    </x:row>
    <x:row r="233" ht="48" customHeight="1">
      <x:c r="A233" s="24" t="str">
        <x:v>TC-PERF-005</x:v>
      </x:c>
      <x:c r="B233" s="24" t="str">
        <x:v>Rendimiento</x:v>
      </x:c>
      <x:c r="C233" s="24" t="str">
        <x:v>Save</x:v>
      </x:c>
      <x:c r="D233" s="24" t="str"/>
      <x:c r="E233" s="24" t="str">
        <x:v>Medir guardado con estado representativo</x:v>
      </x:c>
      <x:c r="F233" s="24" t="str">
        <x:v>Validar resiliencia o calidad específica: Medir guardado con estado representativo.</x:v>
      </x:c>
      <x:c r="G233" s="24" t="str">
        <x:v>Build o escena representativa; instrumentación y evidencia preparadas.</x:v>
      </x:c>
      <x:c r="H233" s="24" t="str">
        <x:v>Estado representativo y variante negativa descrita.</x:v>
      </x:c>
      <x:c r="I233" s="24" t="str">
        <x:v>1. Preparar baseline. 2. Medir guardado con estado representativo. 3. Capturar estado, métricas y logs. 4. Verificar recuperación.</x:v>
      </x:c>
      <x:c r="J233" s="24" t="str">
        <x:v>Tiempo y pico de memoria quedan dentro de objetivo documentado.</x:v>
      </x:c>
      <x:c r="K233" s="24" t="str">
        <x:v>Fault injection / No funcional</x:v>
      </x:c>
      <x:c r="L233" s="24" t="str">
        <x:v>Build + Manual</x:v>
      </x:c>
      <x:c r="M233" s="24" t="str">
        <x:v>P1</x:v>
      </x:c>
      <x:c r="N233" s="24" t="str">
        <x:v>S2</x:v>
      </x:c>
      <x:c r="O233" s="24" t="str">
        <x:v>Parcial</x:v>
      </x:c>
      <x:c r="P233" s="24" t="str">
        <x:v>StoreInitial / Build</x:v>
      </x:c>
      <x:c r="Q233" s="24" t="str">
        <x:v>Sprint 17 / H6</x:v>
      </x:c>
      <x:c r="R233" s="24" t="str">
        <x:v>Ready</x:v>
      </x:c>
      <x:c r="S233" s="24" t="str">
        <x:v>VRM Games</x:v>
      </x:c>
      <x:c r="T233" s="24" t="str">
        <x:v>07_QA_Testing_Plan.md</x:v>
      </x:c>
      <x:c r="U233" s="24" t="str">
        <x:v>especializado;negative;quality</x:v>
      </x:c>
    </x:row>
    <x:row r="234" ht="48" customHeight="1">
      <x:c r="A234" s="24" t="str">
        <x:v>TC-PERF-006</x:v>
      </x:c>
      <x:c r="B234" s="24" t="str">
        <x:v>Rendimiento</x:v>
      </x:c>
      <x:c r="C234" s="24" t="str">
        <x:v>Load</x:v>
      </x:c>
      <x:c r="D234" s="24" t="str"/>
      <x:c r="E234" s="24" t="str">
        <x:v>Medir carga y restauración de StoreInitial</x:v>
      </x:c>
      <x:c r="F234" s="24" t="str">
        <x:v>Validar resiliencia o calidad específica: Medir carga y restauración de StoreInitial.</x:v>
      </x:c>
      <x:c r="G234" s="24" t="str">
        <x:v>Build o escena representativa; instrumentación y evidencia preparadas.</x:v>
      </x:c>
      <x:c r="H234" s="24" t="str">
        <x:v>Estado representativo y variante negativa descrita.</x:v>
      </x:c>
      <x:c r="I234" s="24" t="str">
        <x:v>1. Preparar baseline. 2. Medir carga y restauración de StoreInitial. 3. Capturar estado, métricas y logs. 4. Verificar recuperación.</x:v>
      </x:c>
      <x:c r="J234" s="24" t="str">
        <x:v>No hay freeze inaceptable; la transición comunica progreso.</x:v>
      </x:c>
      <x:c r="K234" s="24" t="str">
        <x:v>Fault injection / No funcional</x:v>
      </x:c>
      <x:c r="L234" s="24" t="str">
        <x:v>Build + Manual</x:v>
      </x:c>
      <x:c r="M234" s="24" t="str">
        <x:v>P1</x:v>
      </x:c>
      <x:c r="N234" s="24" t="str">
        <x:v>S2</x:v>
      </x:c>
      <x:c r="O234" s="24" t="str">
        <x:v>Parcial</x:v>
      </x:c>
      <x:c r="P234" s="24" t="str">
        <x:v>StoreInitial / Build</x:v>
      </x:c>
      <x:c r="Q234" s="24" t="str">
        <x:v>Sprint 17 / H6</x:v>
      </x:c>
      <x:c r="R234" s="24" t="str">
        <x:v>Ready</x:v>
      </x:c>
      <x:c r="S234" s="24" t="str">
        <x:v>VRM Games</x:v>
      </x:c>
      <x:c r="T234" s="24" t="str">
        <x:v>07_QA_Testing_Plan.md</x:v>
      </x:c>
      <x:c r="U234" s="24" t="str">
        <x:v>especializado;negative;quality</x:v>
      </x:c>
    </x:row>
    <x:row r="235" ht="48" customHeight="1">
      <x:c r="A235" s="24" t="str">
        <x:v>TC-BLD-EXT-001</x:v>
      </x:c>
      <x:c r="B235" s="24" t="str">
        <x:v>Build</x:v>
      </x:c>
      <x:c r="C235" s="24" t="str">
        <x:v>Arranque</x:v>
      </x:c>
      <x:c r="D235" s="24" t="str"/>
      <x:c r="E235" s="24" t="str">
        <x:v>Ejecutar EXE desde carpeta limpia</x:v>
      </x:c>
      <x:c r="F235" s="24" t="str">
        <x:v>Validar resiliencia o calidad específica: Ejecutar EXE desde carpeta limpia.</x:v>
      </x:c>
      <x:c r="G235" s="24" t="str">
        <x:v>Build o escena representativa; instrumentación y evidencia preparadas.</x:v>
      </x:c>
      <x:c r="H235" s="24" t="str">
        <x:v>Estado representativo y variante negativa descrita.</x:v>
      </x:c>
      <x:c r="I235" s="24" t="str">
        <x:v>1. Preparar baseline. 2. Ejecutar EXE desde carpeta limpia. 3. Capturar estado, métricas y logs. 4. Verificar recuperación.</x:v>
      </x:c>
      <x:c r="J235" s="24" t="str">
        <x:v>Bootstrap alcanza MainMenu sin dependencia del Editor.</x:v>
      </x:c>
      <x:c r="K235" s="24" t="str">
        <x:v>Funcional / Manual</x:v>
      </x:c>
      <x:c r="L235" s="24" t="str">
        <x:v>Build + Manual</x:v>
      </x:c>
      <x:c r="M235" s="24" t="str">
        <x:v>P0</x:v>
      </x:c>
      <x:c r="N235" s="24" t="str">
        <x:v>S1</x:v>
      </x:c>
      <x:c r="O235" s="24" t="str">
        <x:v>Parcial</x:v>
      </x:c>
      <x:c r="P235" s="24" t="str">
        <x:v>StoreInitial / Build</x:v>
      </x:c>
      <x:c r="Q235" s="24" t="str">
        <x:v>Sprint 17 / H6</x:v>
      </x:c>
      <x:c r="R235" s="24" t="str">
        <x:v>Ready</x:v>
      </x:c>
      <x:c r="S235" s="24" t="str">
        <x:v>VRM Games</x:v>
      </x:c>
      <x:c r="T235" s="24" t="str">
        <x:v>07_QA_Testing_Plan.md</x:v>
      </x:c>
      <x:c r="U235" s="24" t="str">
        <x:v>especializado;negative;quality</x:v>
      </x:c>
    </x:row>
    <x:row r="236" ht="48" customHeight="1">
      <x:c r="A236" s="24" t="str">
        <x:v>TC-BLD-EXT-002</x:v>
      </x:c>
      <x:c r="B236" s="24" t="str">
        <x:v>Build</x:v>
      </x:c>
      <x:c r="C236" s="24" t="str">
        <x:v>Escenas</x:v>
      </x:c>
      <x:c r="D236" s="24" t="str"/>
      <x:c r="E236" s="24" t="str">
        <x:v>Crear nueva partida y entrar en StoreInitial</x:v>
      </x:c>
      <x:c r="F236" s="24" t="str">
        <x:v>Validar resiliencia o calidad específica: Crear nueva partida y entrar en StoreInitial.</x:v>
      </x:c>
      <x:c r="G236" s="24" t="str">
        <x:v>Build o escena representativa; instrumentación y evidencia preparadas.</x:v>
      </x:c>
      <x:c r="H236" s="24" t="str">
        <x:v>Estado representativo y variante negativa descrita.</x:v>
      </x:c>
      <x:c r="I236" s="24" t="str">
        <x:v>1. Preparar baseline. 2. Crear nueva partida y entrar en StoreInitial. 3. Capturar estado, métricas y logs. 4. Verificar recuperación.</x:v>
      </x:c>
      <x:c r="J236" s="24" t="str">
        <x:v>La escena correcta está incluida y conectada.</x:v>
      </x:c>
      <x:c r="K236" s="24" t="str">
        <x:v>Funcional / Manual</x:v>
      </x:c>
      <x:c r="L236" s="24" t="str">
        <x:v>Build + Manual</x:v>
      </x:c>
      <x:c r="M236" s="24" t="str">
        <x:v>P0</x:v>
      </x:c>
      <x:c r="N236" s="24" t="str">
        <x:v>S1</x:v>
      </x:c>
      <x:c r="O236" s="24" t="str">
        <x:v>Parcial</x:v>
      </x:c>
      <x:c r="P236" s="24" t="str">
        <x:v>StoreInitial / Build</x:v>
      </x:c>
      <x:c r="Q236" s="24" t="str">
        <x:v>Sprint 17 / H6</x:v>
      </x:c>
      <x:c r="R236" s="24" t="str">
        <x:v>Ready</x:v>
      </x:c>
      <x:c r="S236" s="24" t="str">
        <x:v>VRM Games</x:v>
      </x:c>
      <x:c r="T236" s="24" t="str">
        <x:v>07_QA_Testing_Plan.md</x:v>
      </x:c>
      <x:c r="U236" s="24" t="str">
        <x:v>especializado;negative;quality</x:v>
      </x:c>
    </x:row>
    <x:row r="237" ht="48" customHeight="1">
      <x:c r="A237" s="24" t="str">
        <x:v>TC-BLD-EXT-003</x:v>
      </x:c>
      <x:c r="B237" s="24" t="str">
        <x:v>Build</x:v>
      </x:c>
      <x:c r="C237" s="24" t="str">
        <x:v>Persistencia</x:v>
      </x:c>
      <x:c r="D237" s="24" t="str"/>
      <x:c r="E237" s="24" t="str">
        <x:v>Guardar, cerrar proceso y continuar</x:v>
      </x:c>
      <x:c r="F237" s="24" t="str">
        <x:v>Validar resiliencia o calidad específica: Guardar, cerrar proceso y continuar.</x:v>
      </x:c>
      <x:c r="G237" s="24" t="str">
        <x:v>Build o escena representativa; instrumentación y evidencia preparadas.</x:v>
      </x:c>
      <x:c r="H237" s="24" t="str">
        <x:v>Estado representativo y variante negativa descrita.</x:v>
      </x:c>
      <x:c r="I237" s="24" t="str">
        <x:v>1. Preparar baseline. 2. Guardar, cerrar proceso y continuar. 3. Capturar estado, métricas y logs. 4. Verificar recuperación.</x:v>
      </x:c>
      <x:c r="J237" s="24" t="str">
        <x:v>El slot se restaura correctamente.</x:v>
      </x:c>
      <x:c r="K237" s="24" t="str">
        <x:v>Funcional / Manual</x:v>
      </x:c>
      <x:c r="L237" s="24" t="str">
        <x:v>Build + Manual</x:v>
      </x:c>
      <x:c r="M237" s="24" t="str">
        <x:v>P0</x:v>
      </x:c>
      <x:c r="N237" s="24" t="str">
        <x:v>S1</x:v>
      </x:c>
      <x:c r="O237" s="24" t="str">
        <x:v>Parcial</x:v>
      </x:c>
      <x:c r="P237" s="24" t="str">
        <x:v>StoreInitial / Build</x:v>
      </x:c>
      <x:c r="Q237" s="24" t="str">
        <x:v>Sprint 17 / H6</x:v>
      </x:c>
      <x:c r="R237" s="24" t="str">
        <x:v>Ready</x:v>
      </x:c>
      <x:c r="S237" s="24" t="str">
        <x:v>VRM Games</x:v>
      </x:c>
      <x:c r="T237" s="24" t="str">
        <x:v>07_QA_Testing_Plan.md</x:v>
      </x:c>
      <x:c r="U237" s="24" t="str">
        <x:v>especializado;negative;quality</x:v>
      </x:c>
    </x:row>
    <x:row r="238" ht="48" customHeight="1">
      <x:c r="A238" s="24" t="str">
        <x:v>TC-BLD-EXT-004</x:v>
      </x:c>
      <x:c r="B238" s="24" t="str">
        <x:v>Build</x:v>
      </x:c>
      <x:c r="C238" s="24" t="str">
        <x:v>Log</x:v>
      </x:c>
      <x:c r="D238" s="24" t="str"/>
      <x:c r="E238" s="24" t="str">
        <x:v>Revisar Player.log tras Golden Path</x:v>
      </x:c>
      <x:c r="F238" s="24" t="str">
        <x:v>Validar resiliencia o calidad específica: Revisar Player.log tras Golden Path.</x:v>
      </x:c>
      <x:c r="G238" s="24" t="str">
        <x:v>Build o escena representativa; instrumentación y evidencia preparadas.</x:v>
      </x:c>
      <x:c r="H238" s="24" t="str">
        <x:v>Estado representativo y variante negativa descrita.</x:v>
      </x:c>
      <x:c r="I238" s="24" t="str">
        <x:v>1. Preparar baseline. 2. Revisar Player.log tras Golden Path. 3. Capturar estado, métricas y logs. 4. Verificar recuperación.</x:v>
      </x:c>
      <x:c r="J238" s="24" t="str">
        <x:v>No contiene errores bloqueantes o recurrentes.</x:v>
      </x:c>
      <x:c r="K238" s="24" t="str">
        <x:v>Funcional / Manual</x:v>
      </x:c>
      <x:c r="L238" s="24" t="str">
        <x:v>Build + Manual</x:v>
      </x:c>
      <x:c r="M238" s="24" t="str">
        <x:v>P0</x:v>
      </x:c>
      <x:c r="N238" s="24" t="str">
        <x:v>S1</x:v>
      </x:c>
      <x:c r="O238" s="24" t="str">
        <x:v>Parcial</x:v>
      </x:c>
      <x:c r="P238" s="24" t="str">
        <x:v>StoreInitial / Build</x:v>
      </x:c>
      <x:c r="Q238" s="24" t="str">
        <x:v>Sprint 17 / H6</x:v>
      </x:c>
      <x:c r="R238" s="24" t="str">
        <x:v>Ready</x:v>
      </x:c>
      <x:c r="S238" s="24" t="str">
        <x:v>VRM Games</x:v>
      </x:c>
      <x:c r="T238" s="24" t="str">
        <x:v>07_QA_Testing_Plan.md</x:v>
      </x:c>
      <x:c r="U238" s="24" t="str">
        <x:v>especializado;negative;quality</x:v>
      </x:c>
    </x:row>
    <x:row r="239" ht="48" customHeight="1">
      <x:c r="A239" s="24" t="str">
        <x:v>TC-BLD-EXT-005</x:v>
      </x:c>
      <x:c r="B239" s="24" t="str">
        <x:v>Build</x:v>
      </x:c>
      <x:c r="C239" s="24" t="str">
        <x:v>Portabilidad</x:v>
      </x:c>
      <x:c r="D239" s="24" t="str"/>
      <x:c r="E239" s="24" t="str">
        <x:v>Mover la carpeta de build a otra ruta</x:v>
      </x:c>
      <x:c r="F239" s="24" t="str">
        <x:v>Validar resiliencia o calidad específica: Mover la carpeta de build a otra ruta.</x:v>
      </x:c>
      <x:c r="G239" s="24" t="str">
        <x:v>Build o escena representativa; instrumentación y evidencia preparadas.</x:v>
      </x:c>
      <x:c r="H239" s="24" t="str">
        <x:v>Estado representativo y variante negativa descrita.</x:v>
      </x:c>
      <x:c r="I239" s="24" t="str">
        <x:v>1. Preparar baseline. 2. Mover la carpeta de build a otra ruta. 3. Capturar estado, métricas y logs. 4. Verificar recuperación.</x:v>
      </x:c>
      <x:c r="J239" s="24" t="str">
        <x:v>La build sigue arrancando y guardando.</x:v>
      </x:c>
      <x:c r="K239" s="24" t="str">
        <x:v>Funcional / Manual</x:v>
      </x:c>
      <x:c r="L239" s="24" t="str">
        <x:v>Build + Manual</x:v>
      </x:c>
      <x:c r="M239" s="24" t="str">
        <x:v>P1</x:v>
      </x:c>
      <x:c r="N239" s="24" t="str">
        <x:v>S2</x:v>
      </x:c>
      <x:c r="O239" s="24" t="str">
        <x:v>Parcial</x:v>
      </x:c>
      <x:c r="P239" s="24" t="str">
        <x:v>StoreInitial / Build</x:v>
      </x:c>
      <x:c r="Q239" s="24" t="str">
        <x:v>Sprint 17 / H6</x:v>
      </x:c>
      <x:c r="R239" s="24" t="str">
        <x:v>Ready</x:v>
      </x:c>
      <x:c r="S239" s="24" t="str">
        <x:v>VRM Games</x:v>
      </x:c>
      <x:c r="T239" s="24" t="str">
        <x:v>07_QA_Testing_Plan.md</x:v>
      </x:c>
      <x:c r="U239" s="24" t="str">
        <x:v>especializado;negative;quality</x:v>
      </x:c>
    </x:row>
    <x:row r="240" ht="48" customHeight="1">
      <x:c r="A240" s="24" t="str">
        <x:v>TC-ACC-001</x:v>
      </x:c>
      <x:c r="B240" s="24" t="str">
        <x:v>Accesibilidad</x:v>
      </x:c>
      <x:c r="C240" s="24" t="str">
        <x:v>Color</x:v>
      </x:c>
      <x:c r="D240" s="24" t="str"/>
      <x:c r="E240" s="24" t="str">
        <x:v>Revisar estados válidos/invalidos en escala de grises</x:v>
      </x:c>
      <x:c r="F240" s="24" t="str">
        <x:v>Validar resiliencia o calidad específica: Revisar estados válidos/invalidos en escala de grises.</x:v>
      </x:c>
      <x:c r="G240" s="24" t="str">
        <x:v>Build o escena representativa; instrumentación y evidencia preparadas.</x:v>
      </x:c>
      <x:c r="H240" s="24" t="str">
        <x:v>Estado representativo y variante negativa descrita.</x:v>
      </x:c>
      <x:c r="I240" s="24" t="str">
        <x:v>1. Preparar baseline. 2. Revisar estados válidos/invalidos en escala de grises. 3. Capturar estado, métricas y logs. 4. Verificar recuperación.</x:v>
      </x:c>
      <x:c r="J240" s="24" t="str">
        <x:v>Forma, texto o icono mantienen el significado.</x:v>
      </x:c>
      <x:c r="K240" s="24" t="str">
        <x:v>Funcional / Manual</x:v>
      </x:c>
      <x:c r="L240" s="24" t="str">
        <x:v>Integración + Manual</x:v>
      </x:c>
      <x:c r="M240" s="24" t="str">
        <x:v>P1</x:v>
      </x:c>
      <x:c r="N240" s="24" t="str">
        <x:v>S2</x:v>
      </x:c>
      <x:c r="O240" s="24" t="str">
        <x:v>Parcial</x:v>
      </x:c>
      <x:c r="P240" s="24" t="str">
        <x:v>StoreInitial / Build</x:v>
      </x:c>
      <x:c r="Q240" s="24" t="str">
        <x:v>Sprint 17 / H6</x:v>
      </x:c>
      <x:c r="R240" s="24" t="str">
        <x:v>Ready</x:v>
      </x:c>
      <x:c r="S240" s="24" t="str">
        <x:v>VRM Games</x:v>
      </x:c>
      <x:c r="T240" s="24" t="str">
        <x:v>07_QA_Testing_Plan.md</x:v>
      </x:c>
      <x:c r="U240" s="24" t="str">
        <x:v>especializado;negative;quality</x:v>
      </x:c>
    </x:row>
    <x:row r="241" ht="48" customHeight="1">
      <x:c r="A241" s="24" t="str">
        <x:v>TC-ACC-002</x:v>
      </x:c>
      <x:c r="B241" s="24" t="str">
        <x:v>Accesibilidad</x:v>
      </x:c>
      <x:c r="C241" s="24" t="str">
        <x:v>Escala UI</x:v>
      </x:c>
      <x:c r="D241" s="24" t="str"/>
      <x:c r="E241" s="24" t="str">
        <x:v>Probar escala mínima y máxima</x:v>
      </x:c>
      <x:c r="F241" s="24" t="str">
        <x:v>Validar resiliencia o calidad específica: Probar escala mínima y máxima.</x:v>
      </x:c>
      <x:c r="G241" s="24" t="str">
        <x:v>Build o escena representativa; instrumentación y evidencia preparadas.</x:v>
      </x:c>
      <x:c r="H241" s="24" t="str">
        <x:v>Estado representativo y variante negativa descrita.</x:v>
      </x:c>
      <x:c r="I241" s="24" t="str">
        <x:v>1. Preparar baseline. 2. Probar escala mínima y máxima. 3. Capturar estado, métricas y logs. 4. Verificar recuperación.</x:v>
      </x:c>
      <x:c r="J241" s="24" t="str">
        <x:v>No hay solapes o pérdida de controles críticos.</x:v>
      </x:c>
      <x:c r="K241" s="24" t="str">
        <x:v>Funcional / Manual</x:v>
      </x:c>
      <x:c r="L241" s="24" t="str">
        <x:v>Integración + Manual</x:v>
      </x:c>
      <x:c r="M241" s="24" t="str">
        <x:v>P1</x:v>
      </x:c>
      <x:c r="N241" s="24" t="str">
        <x:v>S2</x:v>
      </x:c>
      <x:c r="O241" s="24" t="str">
        <x:v>Parcial</x:v>
      </x:c>
      <x:c r="P241" s="24" t="str">
        <x:v>StoreInitial / Build</x:v>
      </x:c>
      <x:c r="Q241" s="24" t="str">
        <x:v>Sprint 17 / H6</x:v>
      </x:c>
      <x:c r="R241" s="24" t="str">
        <x:v>Ready</x:v>
      </x:c>
      <x:c r="S241" s="24" t="str">
        <x:v>VRM Games</x:v>
      </x:c>
      <x:c r="T241" s="24" t="str">
        <x:v>07_QA_Testing_Plan.md</x:v>
      </x:c>
      <x:c r="U241" s="24" t="str">
        <x:v>especializado;negative;quality</x:v>
      </x:c>
    </x:row>
    <x:row r="242" ht="48" customHeight="1">
      <x:c r="A242" s="24" t="str">
        <x:v>TC-ACC-003</x:v>
      </x:c>
      <x:c r="B242" s="24" t="str">
        <x:v>Accesibilidad</x:v>
      </x:c>
      <x:c r="C242" s="24" t="str">
        <x:v>Movimiento</x:v>
      </x:c>
      <x:c r="D242" s="24" t="str"/>
      <x:c r="E242" s="24" t="str">
        <x:v>Activar reducción de movimiento/cámara</x:v>
      </x:c>
      <x:c r="F242" s="24" t="str">
        <x:v>Validar resiliencia o calidad específica: Activar reducción de movimiento/cámara.</x:v>
      </x:c>
      <x:c r="G242" s="24" t="str">
        <x:v>Build o escena representativa; instrumentación y evidencia preparadas.</x:v>
      </x:c>
      <x:c r="H242" s="24" t="str">
        <x:v>Estado representativo y variante negativa descrita.</x:v>
      </x:c>
      <x:c r="I242" s="24" t="str">
        <x:v>1. Preparar baseline. 2. Activar reducción de movimiento/cámara. 3. Capturar estado, métricas y logs. 4. Verificar recuperación.</x:v>
      </x:c>
      <x:c r="J242" s="24" t="str">
        <x:v>La opción reduce movimiento sin romper navegación.</x:v>
      </x:c>
      <x:c r="K242" s="24" t="str">
        <x:v>Funcional / Manual</x:v>
      </x:c>
      <x:c r="L242" s="24" t="str">
        <x:v>Integración + Manual</x:v>
      </x:c>
      <x:c r="M242" s="24" t="str">
        <x:v>P2</x:v>
      </x:c>
      <x:c r="N242" s="24" t="str">
        <x:v>S3</x:v>
      </x:c>
      <x:c r="O242" s="24" t="str">
        <x:v>Parcial</x:v>
      </x:c>
      <x:c r="P242" s="24" t="str">
        <x:v>StoreInitial / Build</x:v>
      </x:c>
      <x:c r="Q242" s="24" t="str">
        <x:v>Sprint 17 / H6</x:v>
      </x:c>
      <x:c r="R242" s="24" t="str">
        <x:v>Ready</x:v>
      </x:c>
      <x:c r="S242" s="24" t="str">
        <x:v>VRM Games</x:v>
      </x:c>
      <x:c r="T242" s="24" t="str">
        <x:v>07_QA_Testing_Plan.md</x:v>
      </x:c>
      <x:c r="U242" s="24" t="str">
        <x:v>especializado;negative;quality</x:v>
      </x:c>
    </x:row>
    <x:row r="243" ht="48" customHeight="1">
      <x:c r="A243" s="24" t="str">
        <x:v>TC-LOC-001</x:v>
      </x:c>
      <x:c r="B243" s="24" t="str">
        <x:v>Localización</x:v>
      </x:c>
      <x:c r="C243" s="24" t="str">
        <x:v>ES</x:v>
      </x:c>
      <x:c r="D243" s="24" t="str"/>
      <x:c r="E243" s="24" t="str">
        <x:v>Recorrer todas las pantallas en español</x:v>
      </x:c>
      <x:c r="F243" s="24" t="str">
        <x:v>Validar resiliencia o calidad específica: Recorrer todas las pantallas en español.</x:v>
      </x:c>
      <x:c r="G243" s="24" t="str">
        <x:v>Build o escena representativa; instrumentación y evidencia preparadas.</x:v>
      </x:c>
      <x:c r="H243" s="24" t="str">
        <x:v>Estado representativo y variante negativa descrita.</x:v>
      </x:c>
      <x:c r="I243" s="24" t="str">
        <x:v>1. Preparar baseline. 2. Recorrer todas las pantallas en español. 3. Capturar estado, métricas y logs. 4. Verificar recuperación.</x:v>
      </x:c>
      <x:c r="J243" s="24" t="str">
        <x:v>No hay claves crudas ni truncamientos críticos.</x:v>
      </x:c>
      <x:c r="K243" s="24" t="str">
        <x:v>Funcional / Manual</x:v>
      </x:c>
      <x:c r="L243" s="24" t="str">
        <x:v>Integración + Manual</x:v>
      </x:c>
      <x:c r="M243" s="24" t="str">
        <x:v>P1</x:v>
      </x:c>
      <x:c r="N243" s="24" t="str">
        <x:v>S2</x:v>
      </x:c>
      <x:c r="O243" s="24" t="str">
        <x:v>Parcial</x:v>
      </x:c>
      <x:c r="P243" s="24" t="str">
        <x:v>StoreInitial / Build</x:v>
      </x:c>
      <x:c r="Q243" s="24" t="str">
        <x:v>Sprint 17 / H6</x:v>
      </x:c>
      <x:c r="R243" s="24" t="str">
        <x:v>Ready</x:v>
      </x:c>
      <x:c r="S243" s="24" t="str">
        <x:v>VRM Games</x:v>
      </x:c>
      <x:c r="T243" s="24" t="str">
        <x:v>07_QA_Testing_Plan.md</x:v>
      </x:c>
      <x:c r="U243" s="24" t="str">
        <x:v>especializado;negative;quality</x:v>
      </x:c>
    </x:row>
    <x:row r="244" ht="48" customHeight="1">
      <x:c r="A244" s="24" t="str">
        <x:v>TC-LOC-002</x:v>
      </x:c>
      <x:c r="B244" s="24" t="str">
        <x:v>Localización</x:v>
      </x:c>
      <x:c r="C244" s="24" t="str">
        <x:v>EN</x:v>
      </x:c>
      <x:c r="D244" s="24" t="str"/>
      <x:c r="E244" s="24" t="str">
        <x:v>Recorrer todas las pantallas en inglés</x:v>
      </x:c>
      <x:c r="F244" s="24" t="str">
        <x:v>Validar resiliencia o calidad específica: Recorrer todas las pantallas en inglés.</x:v>
      </x:c>
      <x:c r="G244" s="24" t="str">
        <x:v>Build o escena representativa; instrumentación y evidencia preparadas.</x:v>
      </x:c>
      <x:c r="H244" s="24" t="str">
        <x:v>Estado representativo y variante negativa descrita.</x:v>
      </x:c>
      <x:c r="I244" s="24" t="str">
        <x:v>1. Preparar baseline. 2. Recorrer todas las pantallas en inglés. 3. Capturar estado, métricas y logs. 4. Verificar recuperación.</x:v>
      </x:c>
      <x:c r="J244" s="24" t="str">
        <x:v>No hay claves crudas ni truncamientos críticos.</x:v>
      </x:c>
      <x:c r="K244" s="24" t="str">
        <x:v>Funcional / Manual</x:v>
      </x:c>
      <x:c r="L244" s="24" t="str">
        <x:v>Integración + Manual</x:v>
      </x:c>
      <x:c r="M244" s="24" t="str">
        <x:v>P1</x:v>
      </x:c>
      <x:c r="N244" s="24" t="str">
        <x:v>S2</x:v>
      </x:c>
      <x:c r="O244" s="24" t="str">
        <x:v>Parcial</x:v>
      </x:c>
      <x:c r="P244" s="24" t="str">
        <x:v>StoreInitial / Build</x:v>
      </x:c>
      <x:c r="Q244" s="24" t="str">
        <x:v>Sprint 17 / H6</x:v>
      </x:c>
      <x:c r="R244" s="24" t="str">
        <x:v>Ready</x:v>
      </x:c>
      <x:c r="S244" s="24" t="str">
        <x:v>VRM Games</x:v>
      </x:c>
      <x:c r="T244" s="24" t="str">
        <x:v>07_QA_Testing_Plan.md</x:v>
      </x:c>
      <x:c r="U244" s="24" t="str">
        <x:v>especializado;negative;quality</x:v>
      </x:c>
    </x:row>
    <x:row r="245" ht="48" customHeight="1">
      <x:c r="A245" s="24" t="str">
        <x:v>TC-RES-1080</x:v>
      </x:c>
      <x:c r="B245" s="24" t="str">
        <x:v>Compatibilidad</x:v>
      </x:c>
      <x:c r="C245" s="24" t="str">
        <x:v>Resolución</x:v>
      </x:c>
      <x:c r="D245" s="24" t="str"/>
      <x:c r="E245" s="24" t="str">
        <x:v>Probar 1920×1080</x:v>
      </x:c>
      <x:c r="F245" s="24" t="str">
        <x:v>Validar resiliencia o calidad específica: Probar 1920×1080.</x:v>
      </x:c>
      <x:c r="G245" s="24" t="str">
        <x:v>Build o escena representativa; instrumentación y evidencia preparadas.</x:v>
      </x:c>
      <x:c r="H245" s="24" t="str">
        <x:v>Estado representativo y variante negativa descrita.</x:v>
      </x:c>
      <x:c r="I245" s="24" t="str">
        <x:v>1. Preparar baseline. 2. Probar 1920×1080. 3. Capturar estado, métricas y logs. 4. Verificar recuperación.</x:v>
      </x:c>
      <x:c r="J245" s="24" t="str">
        <x:v>Golden Path legible y operable.</x:v>
      </x:c>
      <x:c r="K245" s="24" t="str">
        <x:v>Funcional / Manual</x:v>
      </x:c>
      <x:c r="L245" s="24" t="str">
        <x:v>Build + Manual</x:v>
      </x:c>
      <x:c r="M245" s="24" t="str">
        <x:v>P0</x:v>
      </x:c>
      <x:c r="N245" s="24" t="str">
        <x:v>S1</x:v>
      </x:c>
      <x:c r="O245" s="24" t="str">
        <x:v>Parcial</x:v>
      </x:c>
      <x:c r="P245" s="24" t="str">
        <x:v>StoreInitial / Build</x:v>
      </x:c>
      <x:c r="Q245" s="24" t="str">
        <x:v>Sprint 17 / H6</x:v>
      </x:c>
      <x:c r="R245" s="24" t="str">
        <x:v>Ready</x:v>
      </x:c>
      <x:c r="S245" s="24" t="str">
        <x:v>VRM Games</x:v>
      </x:c>
      <x:c r="T245" s="24" t="str">
        <x:v>07_QA_Testing_Plan.md</x:v>
      </x:c>
      <x:c r="U245" s="24" t="str">
        <x:v>especializado;negative;quality</x:v>
      </x:c>
    </x:row>
    <x:row r="246" ht="48" customHeight="1">
      <x:c r="A246" s="24" t="str">
        <x:v>TC-RES-1440</x:v>
      </x:c>
      <x:c r="B246" s="24" t="str">
        <x:v>Compatibilidad</x:v>
      </x:c>
      <x:c r="C246" s="24" t="str">
        <x:v>Resolución</x:v>
      </x:c>
      <x:c r="D246" s="24" t="str"/>
      <x:c r="E246" s="24" t="str">
        <x:v>Probar 2560×1440</x:v>
      </x:c>
      <x:c r="F246" s="24" t="str">
        <x:v>Validar resiliencia o calidad específica: Probar 2560×1440.</x:v>
      </x:c>
      <x:c r="G246" s="24" t="str">
        <x:v>Build o escena representativa; instrumentación y evidencia preparadas.</x:v>
      </x:c>
      <x:c r="H246" s="24" t="str">
        <x:v>Estado representativo y variante negativa descrita.</x:v>
      </x:c>
      <x:c r="I246" s="24" t="str">
        <x:v>1. Preparar baseline. 2. Probar 2560×1440. 3. Capturar estado, métricas y logs. 4. Verificar recuperación.</x:v>
      </x:c>
      <x:c r="J246" s="24" t="str">
        <x:v>UI y cámara conservan composición.</x:v>
      </x:c>
      <x:c r="K246" s="24" t="str">
        <x:v>Funcional / Manual</x:v>
      </x:c>
      <x:c r="L246" s="24" t="str">
        <x:v>Build + Manual</x:v>
      </x:c>
      <x:c r="M246" s="24" t="str">
        <x:v>P2</x:v>
      </x:c>
      <x:c r="N246" s="24" t="str">
        <x:v>S3</x:v>
      </x:c>
      <x:c r="O246" s="24" t="str">
        <x:v>Parcial</x:v>
      </x:c>
      <x:c r="P246" s="24" t="str">
        <x:v>StoreInitial / Build</x:v>
      </x:c>
      <x:c r="Q246" s="24" t="str">
        <x:v>Sprint 17 / H6</x:v>
      </x:c>
      <x:c r="R246" s="24" t="str">
        <x:v>Ready</x:v>
      </x:c>
      <x:c r="S246" s="24" t="str">
        <x:v>VRM Games</x:v>
      </x:c>
      <x:c r="T246" s="24" t="str">
        <x:v>07_QA_Testing_Plan.md</x:v>
      </x:c>
      <x:c r="U246" s="24" t="str">
        <x:v>especializado;negative;quality</x:v>
      </x:c>
    </x:row>
    <x:row r="247" ht="48" customHeight="1">
      <x:c r="A247" s="24" t="str">
        <x:v>TC-RES-720</x:v>
      </x:c>
      <x:c r="B247" s="24" t="str">
        <x:v>Compatibilidad</x:v>
      </x:c>
      <x:c r="C247" s="24" t="str">
        <x:v>Resolución</x:v>
      </x:c>
      <x:c r="D247" s="24" t="str"/>
      <x:c r="E247" s="24" t="str">
        <x:v>Probar 1280×720</x:v>
      </x:c>
      <x:c r="F247" s="24" t="str">
        <x:v>Validar resiliencia o calidad específica: Probar 1280×720.</x:v>
      </x:c>
      <x:c r="G247" s="24" t="str">
        <x:v>Build o escena representativa; instrumentación y evidencia preparadas.</x:v>
      </x:c>
      <x:c r="H247" s="24" t="str">
        <x:v>Estado representativo y variante negativa descrita.</x:v>
      </x:c>
      <x:c r="I247" s="24" t="str">
        <x:v>1. Preparar baseline. 2. Probar 1280×720. 3. Capturar estado, métricas y logs. 4. Verificar recuperación.</x:v>
      </x:c>
      <x:c r="J247" s="24" t="str">
        <x:v>Controles críticos visibles o resolución declarada no soportada.</x:v>
      </x:c>
      <x:c r="K247" s="24" t="str">
        <x:v>Funcional / Manual</x:v>
      </x:c>
      <x:c r="L247" s="24" t="str">
        <x:v>Build + Manual</x:v>
      </x:c>
      <x:c r="M247" s="24" t="str">
        <x:v>P1</x:v>
      </x:c>
      <x:c r="N247" s="24" t="str">
        <x:v>S2</x:v>
      </x:c>
      <x:c r="O247" s="24" t="str">
        <x:v>Parcial</x:v>
      </x:c>
      <x:c r="P247" s="24" t="str">
        <x:v>StoreInitial / Build</x:v>
      </x:c>
      <x:c r="Q247" s="24" t="str">
        <x:v>Sprint 17 / H6</x:v>
      </x:c>
      <x:c r="R247" s="24" t="str">
        <x:v>Ready</x:v>
      </x:c>
      <x:c r="S247" s="24" t="str">
        <x:v>VRM Games</x:v>
      </x:c>
      <x:c r="T247" s="24" t="str">
        <x:v>07_QA_Testing_Plan.md</x:v>
      </x:c>
      <x:c r="U247" s="24" t="str">
        <x:v>especializado;negative;quality</x:v>
      </x:c>
    </x:row>
    <x:row r="248" ht="48" customHeight="1">
      <x:c r="A248" s="24" t="str">
        <x:v>TC-INPUT-001</x:v>
      </x:c>
      <x:c r="B248" s="24" t="str">
        <x:v>Input</x:v>
      </x:c>
      <x:c r="C248" s="24" t="str">
        <x:v>Foco</x:v>
      </x:c>
      <x:c r="D248" s="24" t="str"/>
      <x:c r="E248" s="24" t="str">
        <x:v>Alt-Tab durante panel modal</x:v>
      </x:c>
      <x:c r="F248" s="24" t="str">
        <x:v>Validar resiliencia o calidad específica: Alt-Tab durante panel modal.</x:v>
      </x:c>
      <x:c r="G248" s="24" t="str">
        <x:v>Build o escena representativa; instrumentación y evidencia preparadas.</x:v>
      </x:c>
      <x:c r="H248" s="24" t="str">
        <x:v>Estado representativo y variante negativa descrita.</x:v>
      </x:c>
      <x:c r="I248" s="24" t="str">
        <x:v>1. Preparar baseline. 2. Alt-Tab durante panel modal. 3. Capturar estado, métricas y logs. 4. Verificar recuperación.</x:v>
      </x:c>
      <x:c r="J248" s="24" t="str">
        <x:v>El foco se recupera sin input fantasma.</x:v>
      </x:c>
      <x:c r="K248" s="24" t="str">
        <x:v>Funcional / Manual</x:v>
      </x:c>
      <x:c r="L248" s="24" t="str">
        <x:v>Integración + Manual</x:v>
      </x:c>
      <x:c r="M248" s="24" t="str">
        <x:v>P1</x:v>
      </x:c>
      <x:c r="N248" s="24" t="str">
        <x:v>S2</x:v>
      </x:c>
      <x:c r="O248" s="24" t="str">
        <x:v>Parcial</x:v>
      </x:c>
      <x:c r="P248" s="24" t="str">
        <x:v>StoreInitial / Build</x:v>
      </x:c>
      <x:c r="Q248" s="24" t="str">
        <x:v>Sprint 17 / H6</x:v>
      </x:c>
      <x:c r="R248" s="24" t="str">
        <x:v>Ready</x:v>
      </x:c>
      <x:c r="S248" s="24" t="str">
        <x:v>VRM Games</x:v>
      </x:c>
      <x:c r="T248" s="24" t="str">
        <x:v>07_QA_Testing_Plan.md</x:v>
      </x:c>
      <x:c r="U248" s="24" t="str">
        <x:v>especializado;negative;quality</x:v>
      </x:c>
    </x:row>
    <x:row r="249" ht="48" customHeight="1">
      <x:c r="A249" s="24" t="str">
        <x:v>TC-INPUT-002</x:v>
      </x:c>
      <x:c r="B249" s="24" t="str">
        <x:v>Input</x:v>
      </x:c>
      <x:c r="C249" s="24" t="str">
        <x:v>Doble clic</x:v>
      </x:c>
      <x:c r="D249" s="24" t="str"/>
      <x:c r="E249" s="24" t="str">
        <x:v>Doble clic sobre acción destructiva</x:v>
      </x:c>
      <x:c r="F249" s="24" t="str">
        <x:v>Validar resiliencia o calidad específica: Doble clic sobre acción destructiva.</x:v>
      </x:c>
      <x:c r="G249" s="24" t="str">
        <x:v>Build o escena representativa; instrumentación y evidencia preparadas.</x:v>
      </x:c>
      <x:c r="H249" s="24" t="str">
        <x:v>Estado representativo y variante negativa descrita.</x:v>
      </x:c>
      <x:c r="I249" s="24" t="str">
        <x:v>1. Preparar baseline. 2. Doble clic sobre acción destructiva. 3. Capturar estado, métricas y logs. 4. Verificar recuperación.</x:v>
      </x:c>
      <x:c r="J249" s="24" t="str">
        <x:v>No confirma sin diálogo ni duplica la acción.</x:v>
      </x:c>
      <x:c r="K249" s="24" t="str">
        <x:v>Funcional / Manual</x:v>
      </x:c>
      <x:c r="L249" s="24" t="str">
        <x:v>Integración + Manual</x:v>
      </x:c>
      <x:c r="M249" s="24" t="str">
        <x:v>P0</x:v>
      </x:c>
      <x:c r="N249" s="24" t="str">
        <x:v>S1</x:v>
      </x:c>
      <x:c r="O249" s="24" t="str">
        <x:v>Parcial</x:v>
      </x:c>
      <x:c r="P249" s="24" t="str">
        <x:v>StoreInitial / Build</x:v>
      </x:c>
      <x:c r="Q249" s="24" t="str">
        <x:v>Sprint 17 / H6</x:v>
      </x:c>
      <x:c r="R249" s="24" t="str">
        <x:v>Ready</x:v>
      </x:c>
      <x:c r="S249" s="24" t="str">
        <x:v>VRM Games</x:v>
      </x:c>
      <x:c r="T249" s="24" t="str">
        <x:v>07_QA_Testing_Plan.md</x:v>
      </x:c>
      <x:c r="U249" s="24" t="str">
        <x:v>especializado;negative;quality</x:v>
      </x:c>
    </x:row>
    <x:row r="250" ht="48" customHeight="1">
      <x:c r="A250" s="24" t="str">
        <x:v>TC-AUDIO-001</x:v>
      </x:c>
      <x:c r="B250" s="24" t="str">
        <x:v>Audio</x:v>
      </x:c>
      <x:c r="C250" s="24" t="str">
        <x:v>Mezcla</x:v>
      </x:c>
      <x:c r="D250" s="24" t="str"/>
      <x:c r="E250" s="24" t="str">
        <x:v>Ejecutar tienda con múltiples eventos simultáneos</x:v>
      </x:c>
      <x:c r="F250" s="24" t="str">
        <x:v>Validar resiliencia o calidad específica: Ejecutar tienda con múltiples eventos simultáneos.</x:v>
      </x:c>
      <x:c r="G250" s="24" t="str">
        <x:v>Build o escena representativa; instrumentación y evidencia preparadas.</x:v>
      </x:c>
      <x:c r="H250" s="24" t="str">
        <x:v>Estado representativo y variante negativa descrita.</x:v>
      </x:c>
      <x:c r="I250" s="24" t="str">
        <x:v>1. Preparar baseline. 2. Ejecutar tienda con múltiples eventos simultáneos. 3. Capturar estado, métricas y logs. 4. Verificar recuperación.</x:v>
      </x:c>
      <x:c r="J250" s="24" t="str">
        <x:v>No hay clipping ni niveles excesivos.</x:v>
      </x:c>
      <x:c r="K250" s="24" t="str">
        <x:v>Funcional / Manual</x:v>
      </x:c>
      <x:c r="L250" s="24" t="str">
        <x:v>Integración + Manual</x:v>
      </x:c>
      <x:c r="M250" s="24" t="str">
        <x:v>P2</x:v>
      </x:c>
      <x:c r="N250" s="24" t="str">
        <x:v>S3</x:v>
      </x:c>
      <x:c r="O250" s="24" t="str">
        <x:v>Parcial</x:v>
      </x:c>
      <x:c r="P250" s="24" t="str">
        <x:v>StoreInitial / Build</x:v>
      </x:c>
      <x:c r="Q250" s="24" t="str">
        <x:v>Sprint 17 / H6</x:v>
      </x:c>
      <x:c r="R250" s="24" t="str">
        <x:v>Ready</x:v>
      </x:c>
      <x:c r="S250" s="24" t="str">
        <x:v>VRM Games</x:v>
      </x:c>
      <x:c r="T250" s="24" t="str">
        <x:v>07_QA_Testing_Plan.md</x:v>
      </x:c>
      <x:c r="U250" s="24" t="str">
        <x:v>especializado;negative;quality</x:v>
      </x:c>
    </x:row>
    <x:row r="251" ht="48" customHeight="1">
      <x:c r="A251" s="24" t="str">
        <x:v>TC-AUDIO-002</x:v>
      </x:c>
      <x:c r="B251" s="24" t="str">
        <x:v>Audio</x:v>
      </x:c>
      <x:c r="C251" s="24" t="str">
        <x:v>Fallback</x:v>
      </x:c>
      <x:c r="D251" s="24" t="str"/>
      <x:c r="E251" s="24" t="str">
        <x:v>Silenciar audio y completar alertas críticas</x:v>
      </x:c>
      <x:c r="F251" s="24" t="str">
        <x:v>Validar resiliencia o calidad específica: Silenciar audio y completar alertas críticas.</x:v>
      </x:c>
      <x:c r="G251" s="24" t="str">
        <x:v>Build o escena representativa; instrumentación y evidencia preparadas.</x:v>
      </x:c>
      <x:c r="H251" s="24" t="str">
        <x:v>Estado representativo y variante negativa descrita.</x:v>
      </x:c>
      <x:c r="I251" s="24" t="str">
        <x:v>1. Preparar baseline. 2. Silenciar audio y completar alertas críticas. 3. Capturar estado, métricas y logs. 4. Verificar recuperación.</x:v>
      </x:c>
      <x:c r="J251" s="24" t="str">
        <x:v>Las alertas mantienen alternativa visual.</x:v>
      </x:c>
      <x:c r="K251" s="24" t="str">
        <x:v>Funcional / Manual</x:v>
      </x:c>
      <x:c r="L251" s="24" t="str">
        <x:v>Integración + Manual</x:v>
      </x:c>
      <x:c r="M251" s="24" t="str">
        <x:v>P1</x:v>
      </x:c>
      <x:c r="N251" s="24" t="str">
        <x:v>S2</x:v>
      </x:c>
      <x:c r="O251" s="24" t="str">
        <x:v>Parcial</x:v>
      </x:c>
      <x:c r="P251" s="24" t="str">
        <x:v>StoreInitial / Build</x:v>
      </x:c>
      <x:c r="Q251" s="24" t="str">
        <x:v>Sprint 17 / H6</x:v>
      </x:c>
      <x:c r="R251" s="24" t="str">
        <x:v>Ready</x:v>
      </x:c>
      <x:c r="S251" s="24" t="str">
        <x:v>VRM Games</x:v>
      </x:c>
      <x:c r="T251" s="24" t="str">
        <x:v>07_QA_Testing_Plan.md</x:v>
      </x:c>
      <x:c r="U251" s="24" t="str">
        <x:v>especializado;negative;quality</x:v>
      </x:c>
    </x:row>
    <x:row r="252" ht="48" customHeight="1">
      <x:c r="A252" s="24" t="str">
        <x:v>TC-VIS-001</x:v>
      </x:c>
      <x:c r="B252" s="24" t="str">
        <x:v>Arte</x:v>
      </x:c>
      <x:c r="C252" s="24" t="str">
        <x:v>Placeholders</x:v>
      </x:c>
      <x:c r="D252" s="24" t="str"/>
      <x:c r="E252" s="24" t="str">
        <x:v>Inspeccionar StoreInitial desde ángulos de juego</x:v>
      </x:c>
      <x:c r="F252" s="24" t="str">
        <x:v>Validar resiliencia o calidad específica: Inspeccionar StoreInitial desde ángulos de juego.</x:v>
      </x:c>
      <x:c r="G252" s="24" t="str">
        <x:v>Build o escena representativa; instrumentación y evidencia preparadas.</x:v>
      </x:c>
      <x:c r="H252" s="24" t="str">
        <x:v>Estado representativo y variante negativa descrita.</x:v>
      </x:c>
      <x:c r="I252" s="24" t="str">
        <x:v>1. Preparar baseline. 2. Inspeccionar StoreInitial desde ángulos de juego. 3. Capturar estado, métricas y logs. 4. Verificar recuperación.</x:v>
      </x:c>
      <x:c r="J252" s="24" t="str">
        <x:v>No existen placeholders no exceptuados.</x:v>
      </x:c>
      <x:c r="K252" s="24" t="str">
        <x:v>Funcional / Manual</x:v>
      </x:c>
      <x:c r="L252" s="24" t="str">
        <x:v>Integración + Manual</x:v>
      </x:c>
      <x:c r="M252" s="24" t="str">
        <x:v>P1</x:v>
      </x:c>
      <x:c r="N252" s="24" t="str">
        <x:v>S2</x:v>
      </x:c>
      <x:c r="O252" s="24" t="str">
        <x:v>Parcial</x:v>
      </x:c>
      <x:c r="P252" s="24" t="str">
        <x:v>StoreInitial / Build</x:v>
      </x:c>
      <x:c r="Q252" s="24" t="str">
        <x:v>Sprint 17 / H6</x:v>
      </x:c>
      <x:c r="R252" s="24" t="str">
        <x:v>Ready</x:v>
      </x:c>
      <x:c r="S252" s="24" t="str">
        <x:v>VRM Games</x:v>
      </x:c>
      <x:c r="T252" s="24" t="str">
        <x:v>07_QA_Testing_Plan.md</x:v>
      </x:c>
      <x:c r="U252" s="24" t="str">
        <x:v>especializado;negative;quality</x:v>
      </x:c>
    </x:row>
    <x:row r="253" ht="48" customHeight="1">
      <x:c r="A253" s="24" t="str">
        <x:v>TC-VIS-002</x:v>
      </x:c>
      <x:c r="B253" s="24" t="str">
        <x:v>Arte</x:v>
      </x:c>
      <x:c r="C253" s="24" t="str">
        <x:v>Colliders</x:v>
      </x:c>
      <x:c r="D253" s="24" t="str"/>
      <x:c r="E253" s="24" t="str">
        <x:v>Comparar silueta visual y colisión</x:v>
      </x:c>
      <x:c r="F253" s="24" t="str">
        <x:v>Validar resiliencia o calidad específica: Comparar silueta visual y colisión.</x:v>
      </x:c>
      <x:c r="G253" s="24" t="str">
        <x:v>Build o escena representativa; instrumentación y evidencia preparadas.</x:v>
      </x:c>
      <x:c r="H253" s="24" t="str">
        <x:v>Estado representativo y variante negativa descrita.</x:v>
      </x:c>
      <x:c r="I253" s="24" t="str">
        <x:v>1. Preparar baseline. 2. Comparar silueta visual y colisión. 3. Capturar estado, métricas y logs. 4. Verificar recuperación.</x:v>
      </x:c>
      <x:c r="J253" s="24" t="str">
        <x:v>No hay contradicciones que bloqueen o engañen.</x:v>
      </x:c>
      <x:c r="K253" s="24" t="str">
        <x:v>Funcional / Manual</x:v>
      </x:c>
      <x:c r="L253" s="24" t="str">
        <x:v>Integración + Manual</x:v>
      </x:c>
      <x:c r="M253" s="24" t="str">
        <x:v>P0</x:v>
      </x:c>
      <x:c r="N253" s="24" t="str">
        <x:v>S1</x:v>
      </x:c>
      <x:c r="O253" s="24" t="str">
        <x:v>Parcial</x:v>
      </x:c>
      <x:c r="P253" s="24" t="str">
        <x:v>StoreInitial / Build</x:v>
      </x:c>
      <x:c r="Q253" s="24" t="str">
        <x:v>Sprint 17 / H6</x:v>
      </x:c>
      <x:c r="R253" s="24" t="str">
        <x:v>Ready</x:v>
      </x:c>
      <x:c r="S253" s="24" t="str">
        <x:v>VRM Games</x:v>
      </x:c>
      <x:c r="T253" s="24" t="str">
        <x:v>07_QA_Testing_Plan.md</x:v>
      </x:c>
      <x:c r="U253" s="24" t="str">
        <x:v>especializado;negative;quality</x:v>
      </x:c>
    </x:row>
    <x:row r="254" ht="48" customHeight="1">
      <x:c r="A254" s="24" t="str">
        <x:v>TC-VIS-003</x:v>
      </x:c>
      <x:c r="B254" s="24" t="str">
        <x:v>Arte</x:v>
      </x:c>
      <x:c r="C254" s="24" t="str">
        <x:v>Iluminación</x:v>
      </x:c>
      <x:c r="D254" s="24" t="str"/>
      <x:c r="E254" s="24" t="str">
        <x:v>Revisar entrada, displays, cola y almacén</x:v>
      </x:c>
      <x:c r="F254" s="24" t="str">
        <x:v>Validar resiliencia o calidad específica: Revisar entrada, displays, cola y almacén.</x:v>
      </x:c>
      <x:c r="G254" s="24" t="str">
        <x:v>Build o escena representativa; instrumentación y evidencia preparadas.</x:v>
      </x:c>
      <x:c r="H254" s="24" t="str">
        <x:v>Estado representativo y variante negativa descrita.</x:v>
      </x:c>
      <x:c r="I254" s="24" t="str">
        <x:v>1. Preparar baseline. 2. Revisar entrada, displays, cola y almacén. 3. Capturar estado, métricas y logs. 4. Verificar recuperación.</x:v>
      </x:c>
      <x:c r="J254" s="24" t="str">
        <x:v>Zonas y objetos son legibles sin oscuridad crítica.</x:v>
      </x:c>
      <x:c r="K254" s="24" t="str">
        <x:v>Funcional / Manual</x:v>
      </x:c>
      <x:c r="L254" s="24" t="str">
        <x:v>Integración + Manual</x:v>
      </x:c>
      <x:c r="M254" s="24" t="str">
        <x:v>P1</x:v>
      </x:c>
      <x:c r="N254" s="24" t="str">
        <x:v>S2</x:v>
      </x:c>
      <x:c r="O254" s="24" t="str">
        <x:v>Parcial</x:v>
      </x:c>
      <x:c r="P254" s="24" t="str">
        <x:v>StoreInitial / Build</x:v>
      </x:c>
      <x:c r="Q254" s="24" t="str">
        <x:v>Sprint 17 / H6</x:v>
      </x:c>
      <x:c r="R254" s="24" t="str">
        <x:v>Ready</x:v>
      </x:c>
      <x:c r="S254" s="24" t="str">
        <x:v>VRM Games</x:v>
      </x:c>
      <x:c r="T254" s="24" t="str">
        <x:v>07_QA_Testing_Plan.md</x:v>
      </x:c>
      <x:c r="U254" s="24" t="str">
        <x:v>especializado;negative;quality</x:v>
      </x:c>
    </x:row>
    <x:row r="255">
      <x:c r="A255" s="41" t="str">
        <x:v>CHAR-TIM-001</x:v>
      </x:c>
      <x:c r="B255" s="41" t="str">
        <x:v>Tiempo</x:v>
      </x:c>
      <x:c r="C255" s="41" t="str">
        <x:v>SimulationClock</x:v>
      </x:c>
      <x:c r="D255" s="41" t="str">
        <x:v>ADR-0074;ADR-0075</x:v>
      </x:c>
      <x:c r="E255" s="41" t="str">
        <x:v>Jornada x1 finaliza en 300 segundos de negocio</x:v>
      </x:c>
      <x:c r="F255" s="41" t="str">
        <x:v>Capturar duración y transición de fase a x1.</x:v>
      </x:c>
      <x:c r="G255" s="41" t="str">
        <x:v>Baseline main@efbc1a885a1d6819f764ec8cff8a465ad1986661 / app 0.0.21; estado reproducible y datos controlados.</x:v>
      </x:c>
      <x:c r="H255" s="41" t="str">
        <x:v>Dataset nominal y variante límite/negativa definida para el caso.</x:v>
      </x:c>
      <x:c r="I255" s="41" t="str">
        <x:v>1. Preparar baseline y captura inicial. 2. Ejecutar la acción. 3. Registrar estado, UI, logs y datos. 4. Comparar invariantes y resultado.</x:v>
      </x:c>
      <x:c r="J255" s="41" t="str">
        <x:v>La fase Open consume 300 s configurados y transiciona una sola vez.</x:v>
      </x:c>
      <x:c r="K255" s="41" t="str">
        <x:v>Caracterización / Regresión</x:v>
      </x:c>
      <x:c r="L255" s="41" t="str">
        <x:v>PlayMode + Manual</x:v>
      </x:c>
      <x:c r="M255" s="41" t="str">
        <x:v>P0</x:v>
      </x:c>
      <x:c r="N255" s="41" t="str">
        <x:v>S1</x:v>
      </x:c>
      <x:c r="O255" s="41" t="str">
        <x:v>Manual/Parcial</x:v>
      </x:c>
      <x:c r="P255" s="41" t="str">
        <x:v>StoreInitial</x:v>
      </x:c>
      <x:c r="Q255" s="41" t="str">
        <x:v>Sprint17_Phase1 / pre-ola</x:v>
      </x:c>
      <x:c r="R255" s="41" t="str">
        <x:v>Ready / Not Run</x:v>
      </x:c>
      <x:c r="S255" s="41" t="str">
        <x:v>VRM Games</x:v>
      </x:c>
      <x:c r="T255" s="41" t="str">
        <x:v>ADR-0074…ADR-0085 / W0 documental</x:v>
      </x:c>
      <x:c r="U255" s="41" t="str">
        <x:v>W1;clock;baseline</x:v>
      </x:c>
    </x:row>
    <x:row r="256">
      <x:c r="A256" s="41" t="str">
        <x:v>CHAR-TIM-002</x:v>
      </x:c>
      <x:c r="B256" s="41" t="str">
        <x:v>Tiempo</x:v>
      </x:c>
      <x:c r="C256" s="41" t="str">
        <x:v>Velocidad</x:v>
      </x:c>
      <x:c r="D256" s="41" t="str">
        <x:v>ADR-0074</x:v>
      </x:c>
      <x:c r="E256" s="41" t="str">
        <x:v>Velocidad x0,5 conserva equivalencia lógica</x:v>
      </x:c>
      <x:c r="F256" s="41" t="str">
        <x:v>Comparar eventos y orden causal frente a x1.</x:v>
      </x:c>
      <x:c r="G256" s="41" t="str">
        <x:v>Baseline main@efbc1a885a1d6819f764ec8cff8a465ad1986661 / app 0.0.21; estado reproducible y datos controlados.</x:v>
      </x:c>
      <x:c r="H256" s="41" t="str">
        <x:v>Dataset nominal y variante límite/negativa definida para el caso.</x:v>
      </x:c>
      <x:c r="I256" s="41" t="str">
        <x:v>1. Preparar baseline y captura inicial. 2. Ejecutar la acción. 3. Registrar estado, UI, logs y datos. 4. Comparar invariantes y resultado.</x:v>
      </x:c>
      <x:c r="J256" s="41" t="str">
        <x:v>El tiempo de negocio avanza a la mitad sin perder o duplicar eventos.</x:v>
      </x:c>
      <x:c r="K256" s="41" t="str">
        <x:v>Caracterización / Regresión</x:v>
      </x:c>
      <x:c r="L256" s="41" t="str">
        <x:v>PlayMode + Manual</x:v>
      </x:c>
      <x:c r="M256" s="41" t="str">
        <x:v>P0</x:v>
      </x:c>
      <x:c r="N256" s="41" t="str">
        <x:v>S1</x:v>
      </x:c>
      <x:c r="O256" s="41" t="str">
        <x:v>Manual/Parcial</x:v>
      </x:c>
      <x:c r="P256" s="41" t="str">
        <x:v>StoreInitial</x:v>
      </x:c>
      <x:c r="Q256" s="41" t="str">
        <x:v>Sprint17_Phase1 / pre-ola</x:v>
      </x:c>
      <x:c r="R256" s="41" t="str">
        <x:v>Ready / Not Run</x:v>
      </x:c>
      <x:c r="S256" s="41" t="str">
        <x:v>VRM Games</x:v>
      </x:c>
      <x:c r="T256" s="41" t="str">
        <x:v>ADR-0074…ADR-0085 / W0 documental</x:v>
      </x:c>
      <x:c r="U256" s="41" t="str">
        <x:v>W1;speed</x:v>
      </x:c>
    </x:row>
    <x:row r="257">
      <x:c r="A257" s="41" t="str">
        <x:v>CHAR-TIM-003</x:v>
      </x:c>
      <x:c r="B257" s="41" t="str">
        <x:v>Tiempo</x:v>
      </x:c>
      <x:c r="C257" s="41" t="str">
        <x:v>Velocidad</x:v>
      </x:c>
      <x:c r="D257" s="41" t="str">
        <x:v>ADR-0074</x:v>
      </x:c>
      <x:c r="E257" s="41" t="str">
        <x:v>Velocidad x2 conserva equivalencia lógica</x:v>
      </x:c>
      <x:c r="F257" s="41" t="str">
        <x:v>Comparar jornada y eventos con baseline x1.</x:v>
      </x:c>
      <x:c r="G257" s="41" t="str">
        <x:v>Baseline main@efbc1a885a1d6819f764ec8cff8a465ad1986661 / app 0.0.21; estado reproducible y datos controlados.</x:v>
      </x:c>
      <x:c r="H257" s="41" t="str">
        <x:v>Dataset nominal y variante límite/negativa definida para el caso.</x:v>
      </x:c>
      <x:c r="I257" s="41" t="str">
        <x:v>1. Preparar baseline y captura inicial. 2. Ejecutar la acción. 3. Registrar estado, UI, logs y datos. 4. Comparar invariantes y resultado.</x:v>
      </x:c>
      <x:c r="J257" s="41" t="str">
        <x:v>El tiempo avanza al doble y mantiene orden e invariantes.</x:v>
      </x:c>
      <x:c r="K257" s="41" t="str">
        <x:v>Caracterización / Regresión</x:v>
      </x:c>
      <x:c r="L257" s="41" t="str">
        <x:v>PlayMode + Manual</x:v>
      </x:c>
      <x:c r="M257" s="41" t="str">
        <x:v>P0</x:v>
      </x:c>
      <x:c r="N257" s="41" t="str">
        <x:v>S1</x:v>
      </x:c>
      <x:c r="O257" s="41" t="str">
        <x:v>Manual/Parcial</x:v>
      </x:c>
      <x:c r="P257" s="41" t="str">
        <x:v>StoreInitial</x:v>
      </x:c>
      <x:c r="Q257" s="41" t="str">
        <x:v>Sprint17_Phase1 / pre-ola</x:v>
      </x:c>
      <x:c r="R257" s="41" t="str">
        <x:v>Ready / Not Run</x:v>
      </x:c>
      <x:c r="S257" s="41" t="str">
        <x:v>VRM Games</x:v>
      </x:c>
      <x:c r="T257" s="41" t="str">
        <x:v>ADR-0074…ADR-0085 / W0 documental</x:v>
      </x:c>
      <x:c r="U257" s="41" t="str">
        <x:v>W1;speed</x:v>
      </x:c>
    </x:row>
    <x:row r="258">
      <x:c r="A258" s="41" t="str">
        <x:v>CHAR-TIM-004</x:v>
      </x:c>
      <x:c r="B258" s="41" t="str">
        <x:v>Tiempo</x:v>
      </x:c>
      <x:c r="C258" s="41" t="str">
        <x:v>Velocidad</x:v>
      </x:c>
      <x:c r="D258" s="41" t="str">
        <x:v>ADR-0074</x:v>
      </x:c>
      <x:c r="E258" s="41" t="str">
        <x:v>Velocidad x4 conserva equivalencia lógica</x:v>
      </x:c>
      <x:c r="F258" s="41" t="str">
        <x:v>Ejecutar carga representativa a x4.</x:v>
      </x:c>
      <x:c r="G258" s="41" t="str">
        <x:v>Baseline main@efbc1a885a1d6819f764ec8cff8a465ad1986661 / app 0.0.21; estado reproducible y datos controlados.</x:v>
      </x:c>
      <x:c r="H258" s="41" t="str">
        <x:v>Dataset nominal y variante límite/negativa definida para el caso.</x:v>
      </x:c>
      <x:c r="I258" s="41" t="str">
        <x:v>1. Preparar baseline y captura inicial. 2. Ejecutar la acción. 3. Registrar estado, UI, logs y datos. 4. Comparar invariantes y resultado.</x:v>
      </x:c>
      <x:c r="J258" s="41" t="str">
        <x:v>La jornada completa sin saltos de estado, duplicados ni deadlocks.</x:v>
      </x:c>
      <x:c r="K258" s="41" t="str">
        <x:v>Caracterización / Regresión</x:v>
      </x:c>
      <x:c r="L258" s="41" t="str">
        <x:v>Build + Manual</x:v>
      </x:c>
      <x:c r="M258" s="41" t="str">
        <x:v>P0</x:v>
      </x:c>
      <x:c r="N258" s="41" t="str">
        <x:v>S1</x:v>
      </x:c>
      <x:c r="O258" s="41" t="str">
        <x:v>Manual/Parcial</x:v>
      </x:c>
      <x:c r="P258" s="41" t="str">
        <x:v>StoreInitial / Build</x:v>
      </x:c>
      <x:c r="Q258" s="41" t="str">
        <x:v>Sprint17_Phase1 / pre-ola</x:v>
      </x:c>
      <x:c r="R258" s="41" t="str">
        <x:v>Ready / Not Run</x:v>
      </x:c>
      <x:c r="S258" s="41" t="str">
        <x:v>VRM Games</x:v>
      </x:c>
      <x:c r="T258" s="41" t="str">
        <x:v>ADR-0074…ADR-0085 / W0 documental</x:v>
      </x:c>
      <x:c r="U258" s="41" t="str">
        <x:v>W1;speed;performance</x:v>
      </x:c>
    </x:row>
    <x:row r="259">
      <x:c r="A259" s="41" t="str">
        <x:v>CHAR-TIM-005</x:v>
      </x:c>
      <x:c r="B259" s="41" t="str">
        <x:v>Tiempo</x:v>
      </x:c>
      <x:c r="C259" s="41" t="str">
        <x:v>PauseService</x:v>
      </x:c>
      <x:c r="D259" s="41" t="str">
        <x:v>ADR-0074;ADR-0075</x:v>
      </x:c>
      <x:c r="E259" s="41" t="str">
        <x:v>Pausa detiene todos los timers de negocio</x:v>
      </x:c>
      <x:c r="F259" s="41" t="str">
        <x:v>Pausar durante spawn, paciencia, cierre y entrega.</x:v>
      </x:c>
      <x:c r="G259" s="41" t="str">
        <x:v>Baseline main@efbc1a885a1d6819f764ec8cff8a465ad1986661 / app 0.0.21; estado reproducible y datos controlados.</x:v>
      </x:c>
      <x:c r="H259" s="41" t="str">
        <x:v>Dataset nominal y variante límite/negativa definida para el caso.</x:v>
      </x:c>
      <x:c r="I259" s="41" t="str">
        <x:v>1. Preparar baseline y captura inicial. 2. Ejecutar la acción. 3. Registrar estado, UI, logs y datos. 4. Comparar invariantes y resultado.</x:v>
      </x:c>
      <x:c r="J259" s="41" t="str">
        <x:v>Ningún timer de negocio avanza; UI de pausa permanece operable.</x:v>
      </x:c>
      <x:c r="K259" s="41" t="str">
        <x:v>Caracterización / Regresión</x:v>
      </x:c>
      <x:c r="L259" s="41" t="str">
        <x:v>PlayMode + Manual</x:v>
      </x:c>
      <x:c r="M259" s="41" t="str">
        <x:v>P0</x:v>
      </x:c>
      <x:c r="N259" s="41" t="str">
        <x:v>S1</x:v>
      </x:c>
      <x:c r="O259" s="41" t="str">
        <x:v>Manual/Parcial</x:v>
      </x:c>
      <x:c r="P259" s="41" t="str">
        <x:v>StoreInitial</x:v>
      </x:c>
      <x:c r="Q259" s="41" t="str">
        <x:v>Sprint17_Phase1 / pre-ola</x:v>
      </x:c>
      <x:c r="R259" s="41" t="str">
        <x:v>Ready / Not Run</x:v>
      </x:c>
      <x:c r="S259" s="41" t="str">
        <x:v>VRM Games</x:v>
      </x:c>
      <x:c r="T259" s="41" t="str">
        <x:v>ADR-0074…ADR-0085 / W0 documental</x:v>
      </x:c>
      <x:c r="U259" s="41" t="str">
        <x:v>W1;pause</x:v>
      </x:c>
    </x:row>
    <x:row r="260">
      <x:c r="A260" s="41" t="str">
        <x:v>CHAR-TIM-006</x:v>
      </x:c>
      <x:c r="B260" s="41" t="str">
        <x:v>Tiempo</x:v>
      </x:c>
      <x:c r="C260" s="41" t="str">
        <x:v>PauseService</x:v>
      </x:c>
      <x:c r="D260" s="41" t="str">
        <x:v>ADR-0074</x:v>
      </x:c>
      <x:c r="E260" s="41" t="str">
        <x:v>Pausas anidadas requieren liberar todas las razones</x:v>
      </x:c>
      <x:c r="F260" s="41" t="str">
        <x:v>Aplicar dos razones de pausa y liberarlas por separado.</x:v>
      </x:c>
      <x:c r="G260" s="41" t="str">
        <x:v>Baseline main@efbc1a885a1d6819f764ec8cff8a465ad1986661 / app 0.0.21; estado reproducible y datos controlados.</x:v>
      </x:c>
      <x:c r="H260" s="41" t="str">
        <x:v>Dataset nominal y variante límite/negativa definida para el caso.</x:v>
      </x:c>
      <x:c r="I260" s="41" t="str">
        <x:v>1. Preparar baseline y captura inicial. 2. Ejecutar la acción. 3. Registrar estado, UI, logs y datos. 4. Comparar invariantes y resultado.</x:v>
      </x:c>
      <x:c r="J260" s="41" t="str">
        <x:v>La simulación solo reanuda al desaparecer la última razón.</x:v>
      </x:c>
      <x:c r="K260" s="41" t="str">
        <x:v>Caracterización / Regresión</x:v>
      </x:c>
      <x:c r="L260" s="41" t="str">
        <x:v>EditMode + PlayMode</x:v>
      </x:c>
      <x:c r="M260" s="41" t="str">
        <x:v>P0</x:v>
      </x:c>
      <x:c r="N260" s="41" t="str">
        <x:v>S1</x:v>
      </x:c>
      <x:c r="O260" s="41" t="str">
        <x:v>Manual/Parcial</x:v>
      </x:c>
      <x:c r="P260" s="41" t="str">
        <x:v>TestLab / StoreInitial</x:v>
      </x:c>
      <x:c r="Q260" s="41" t="str">
        <x:v>Sprint17_Phase1 / pre-ola</x:v>
      </x:c>
      <x:c r="R260" s="41" t="str">
        <x:v>Ready / Not Run</x:v>
      </x:c>
      <x:c r="S260" s="41" t="str">
        <x:v>VRM Games</x:v>
      </x:c>
      <x:c r="T260" s="41" t="str">
        <x:v>ADR-0074…ADR-0085 / W0 documental</x:v>
      </x:c>
      <x:c r="U260" s="41" t="str">
        <x:v>W1;pause;nested</x:v>
      </x:c>
    </x:row>
    <x:row r="261">
      <x:c r="A261" s="41" t="str">
        <x:v>CHAR-TIM-007</x:v>
      </x:c>
      <x:c r="B261" s="41" t="str">
        <x:v>Día</x:v>
      </x:c>
      <x:c r="C261" s="41" t="str">
        <x:v>Transiciones</x:v>
      </x:c>
      <x:c r="D261" s="41" t="str">
        <x:v>ADR-0075</x:v>
      </x:c>
      <x:c r="E261" s="41" t="str">
        <x:v>Estados consumen el reloj sin autoridad paralela</x:v>
      </x:c>
      <x:c r="F261" s="41" t="str">
        <x:v>Comparar snapshots y transiciones ante cambio de velocidad.</x:v>
      </x:c>
      <x:c r="G261" s="41" t="str">
        <x:v>Baseline main@efbc1a885a1d6819f764ec8cff8a465ad1986661 / app 0.0.21; estado reproducible y datos controlados.</x:v>
      </x:c>
      <x:c r="H261" s="41" t="str">
        <x:v>Dataset nominal y variante límite/negativa definida para el caso.</x:v>
      </x:c>
      <x:c r="I261" s="41" t="str">
        <x:v>1. Preparar baseline y captura inicial. 2. Ejecutar la acción. 3. Registrar estado, UI, logs y datos. 4. Comparar invariantes y resultado.</x:v>
      </x:c>
      <x:c r="J261" s="41" t="str">
        <x:v>BeforeOpen/Open/Closing/Closed usan el mismo reloj y no divergen.</x:v>
      </x:c>
      <x:c r="K261" s="41" t="str">
        <x:v>Caracterización / Regresión</x:v>
      </x:c>
      <x:c r="L261" s="41" t="str">
        <x:v>EditMode + PlayMode</x:v>
      </x:c>
      <x:c r="M261" s="41" t="str">
        <x:v>P0</x:v>
      </x:c>
      <x:c r="N261" s="41" t="str">
        <x:v>S1</x:v>
      </x:c>
      <x:c r="O261" s="41" t="str">
        <x:v>Manual/Parcial</x:v>
      </x:c>
      <x:c r="P261" s="41" t="str">
        <x:v>StoreInitial</x:v>
      </x:c>
      <x:c r="Q261" s="41" t="str">
        <x:v>Sprint17_Phase1 / pre-ola</x:v>
      </x:c>
      <x:c r="R261" s="41" t="str">
        <x:v>Ready / Not Run</x:v>
      </x:c>
      <x:c r="S261" s="41" t="str">
        <x:v>VRM Games</x:v>
      </x:c>
      <x:c r="T261" s="41" t="str">
        <x:v>ADR-0074…ADR-0085 / W0 documental</x:v>
      </x:c>
      <x:c r="U261" s="41" t="str">
        <x:v>W1;state</x:v>
      </x:c>
    </x:row>
    <x:row r="262">
      <x:c r="A262" s="41" t="str">
        <x:v>CHAR-TIM-008</x:v>
      </x:c>
      <x:c r="B262" s="41" t="str">
        <x:v>Persistencia</x:v>
      </x:c>
      <x:c r="C262" s="41" t="str">
        <x:v>Clock snapshot</x:v>
      </x:c>
      <x:c r="D262" s="41" t="str">
        <x:v>ADR-0074;ADR-0075</x:v>
      </x:c>
      <x:c r="E262" s="41" t="str">
        <x:v>Save/load conserva día y velocidad seleccionada</x:v>
      </x:c>
      <x:c r="F262" s="41" t="str">
        <x:v>Guardar en estado seguro y recargar.</x:v>
      </x:c>
      <x:c r="G262" s="41" t="str">
        <x:v>Baseline main@efbc1a885a1d6819f764ec8cff8a465ad1986661 / app 0.0.21; estado reproducible y datos controlados.</x:v>
      </x:c>
      <x:c r="H262" s="41" t="str">
        <x:v>Dataset nominal y variante límite/negativa definida para el caso.</x:v>
      </x:c>
      <x:c r="I262" s="41" t="str">
        <x:v>1. Preparar baseline y captura inicial. 2. Ejecutar la acción. 3. Registrar estado, UI, logs y datos. 4. Comparar invariantes y resultado.</x:v>
      </x:c>
      <x:c r="J262" s="41" t="str">
        <x:v>Día, fase y velocidad seleccionada se restauran sin doble avance.</x:v>
      </x:c>
      <x:c r="K262" s="41" t="str">
        <x:v>Caracterización / Regresión</x:v>
      </x:c>
      <x:c r="L262" s="41" t="str">
        <x:v>PlayMode + Manual</x:v>
      </x:c>
      <x:c r="M262" s="41" t="str">
        <x:v>P1</x:v>
      </x:c>
      <x:c r="N262" s="41" t="str">
        <x:v>S2</x:v>
      </x:c>
      <x:c r="O262" s="41" t="str">
        <x:v>Manual/Parcial</x:v>
      </x:c>
      <x:c r="P262" s="41" t="str">
        <x:v>StoreInitial</x:v>
      </x:c>
      <x:c r="Q262" s="41" t="str">
        <x:v>Sprint17_Phase1 / pre-ola</x:v>
      </x:c>
      <x:c r="R262" s="41" t="str">
        <x:v>Ready / Not Run</x:v>
      </x:c>
      <x:c r="S262" s="41" t="str">
        <x:v>VRM Games</x:v>
      </x:c>
      <x:c r="T262" s="41" t="str">
        <x:v>ADR-0074…ADR-0085 / W0 documental</x:v>
      </x:c>
      <x:c r="U262" s="41" t="str">
        <x:v>W1;save</x:v>
      </x:c>
    </x:row>
    <x:row r="263">
      <x:c r="A263" s="41" t="str">
        <x:v>CHAR-CUS-001</x:v>
      </x:c>
      <x:c r="B263" s="41" t="str">
        <x:v>Checkout</x:v>
      </x:c>
      <x:c r="C263" s="41" t="str">
        <x:v>Apertura</x:v>
      </x:c>
      <x:c r="D263" s="41" t="str">
        <x:v>ADR-0077</x:v>
      </x:c>
      <x:c r="E263" s="41" t="str">
        <x:v>No se abre sin checkout funcional</x:v>
      </x:c>
      <x:c r="F263" s="41" t="str">
        <x:v>Intentar abrir sin estación válida.</x:v>
      </x:c>
      <x:c r="G263" s="41" t="str">
        <x:v>Baseline main@efbc1a885a1d6819f764ec8cff8a465ad1986661 / app 0.0.21; estado reproducible y datos controlados.</x:v>
      </x:c>
      <x:c r="H263" s="41" t="str">
        <x:v>Dataset nominal y variante límite/negativa definida para el caso.</x:v>
      </x:c>
      <x:c r="I263" s="41" t="str">
        <x:v>1. Preparar baseline y captura inicial. 2. Ejecutar la acción. 3. Registrar estado, UI, logs y datos. 4. Comparar invariantes y resultado.</x:v>
      </x:c>
      <x:c r="J263" s="41" t="str">
        <x:v>Open Store permanece bloqueado con motivo visible.</x:v>
      </x:c>
      <x:c r="K263" s="41" t="str">
        <x:v>Caracterización / Regresión</x:v>
      </x:c>
      <x:c r="L263" s="41" t="str">
        <x:v>PlayMode + Manual</x:v>
      </x:c>
      <x:c r="M263" s="41" t="str">
        <x:v>P0</x:v>
      </x:c>
      <x:c r="N263" s="41" t="str">
        <x:v>S1</x:v>
      </x:c>
      <x:c r="O263" s="41" t="str">
        <x:v>Manual/Parcial</x:v>
      </x:c>
      <x:c r="P263" s="41" t="str">
        <x:v>StoreInitial</x:v>
      </x:c>
      <x:c r="Q263" s="41" t="str">
        <x:v>Sprint17_Phase1 / pre-ola</x:v>
      </x:c>
      <x:c r="R263" s="41" t="str">
        <x:v>Ready / Not Run</x:v>
      </x:c>
      <x:c r="S263" s="41" t="str">
        <x:v>VRM Games</x:v>
      </x:c>
      <x:c r="T263" s="41" t="str">
        <x:v>ADR-0074…ADR-0085 / W0 documental</x:v>
      </x:c>
      <x:c r="U263" s="41" t="str">
        <x:v>W2;checkout</x:v>
      </x:c>
    </x:row>
    <x:row r="264">
      <x:c r="A264" s="41" t="str">
        <x:v>CHAR-CUS-002</x:v>
      </x:c>
      <x:c r="B264" s="41" t="str">
        <x:v>Checkout</x:v>
      </x:c>
      <x:c r="C264" s="41" t="str">
        <x:v>Apertura</x:v>
      </x:c>
      <x:c r="D264" s="41" t="str">
        <x:v>ADR-0077</x:v>
      </x:c>
      <x:c r="E264" s="41" t="str">
        <x:v>Se abre con checkout funcional</x:v>
      </x:c>
      <x:c r="F264" s="41" t="str">
        <x:v>Validar apertura con una estación operativa.</x:v>
      </x:c>
      <x:c r="G264" s="41" t="str">
        <x:v>Baseline main@efbc1a885a1d6819f764ec8cff8a465ad1986661 / app 0.0.21; estado reproducible y datos controlados.</x:v>
      </x:c>
      <x:c r="H264" s="41" t="str">
        <x:v>Dataset nominal y variante límite/negativa definida para el caso.</x:v>
      </x:c>
      <x:c r="I264" s="41" t="str">
        <x:v>1. Preparar baseline y captura inicial. 2. Ejecutar la acción. 3. Registrar estado, UI, logs y datos. 4. Comparar invariantes y resultado.</x:v>
      </x:c>
      <x:c r="J264" s="41" t="str">
        <x:v>La tienda abre y admite clientes una sola vez.</x:v>
      </x:c>
      <x:c r="K264" s="41" t="str">
        <x:v>Caracterización / Regresión</x:v>
      </x:c>
      <x:c r="L264" s="41" t="str">
        <x:v>PlayMode + Manual</x:v>
      </x:c>
      <x:c r="M264" s="41" t="str">
        <x:v>P0</x:v>
      </x:c>
      <x:c r="N264" s="41" t="str">
        <x:v>S1</x:v>
      </x:c>
      <x:c r="O264" s="41" t="str">
        <x:v>Manual/Parcial</x:v>
      </x:c>
      <x:c r="P264" s="41" t="str">
        <x:v>StoreInitial</x:v>
      </x:c>
      <x:c r="Q264" s="41" t="str">
        <x:v>Sprint17_Phase1 / pre-ola</x:v>
      </x:c>
      <x:c r="R264" s="41" t="str">
        <x:v>Ready / Not Run</x:v>
      </x:c>
      <x:c r="S264" s="41" t="str">
        <x:v>VRM Games</x:v>
      </x:c>
      <x:c r="T264" s="41" t="str">
        <x:v>ADR-0074…ADR-0085 / W0 documental</x:v>
      </x:c>
      <x:c r="U264" s="41" t="str">
        <x:v>W2;checkout</x:v>
      </x:c>
    </x:row>
    <x:row r="265">
      <x:c r="A265" s="41" t="str">
        <x:v>CHAR-CUS-003</x:v>
      </x:c>
      <x:c r="B265" s="41" t="str">
        <x:v>Checkout</x:v>
      </x:c>
      <x:c r="C265" s="41" t="str">
        <x:v>Placement</x:v>
      </x:c>
      <x:c r="D265" s="41" t="str">
        <x:v>ADR-0077</x:v>
      </x:c>
      <x:c r="E265" s="41" t="str">
        <x:v>No se retira el último checkout durante Open</x:v>
      </x:c>
      <x:c r="F265" s="41" t="str">
        <x:v>Intentar retirar o invalidar la última estación.</x:v>
      </x:c>
      <x:c r="G265" s="41" t="str">
        <x:v>Baseline main@efbc1a885a1d6819f764ec8cff8a465ad1986661 / app 0.0.21; estado reproducible y datos controlados.</x:v>
      </x:c>
      <x:c r="H265" s="41" t="str">
        <x:v>Dataset nominal y variante límite/negativa definida para el caso.</x:v>
      </x:c>
      <x:c r="I265" s="41" t="str">
        <x:v>1. Preparar baseline y captura inicial. 2. Ejecutar la acción. 3. Registrar estado, UI, logs y datos. 4. Comparar invariantes y resultado.</x:v>
      </x:c>
      <x:c r="J265" s="41" t="str">
        <x:v>La operación se rechaza sin alterar ocupación ni navegación.</x:v>
      </x:c>
      <x:c r="K265" s="41" t="str">
        <x:v>Caracterización / Regresión</x:v>
      </x:c>
      <x:c r="L265" s="41" t="str">
        <x:v>PlayMode + Manual</x:v>
      </x:c>
      <x:c r="M265" s="41" t="str">
        <x:v>P0</x:v>
      </x:c>
      <x:c r="N265" s="41" t="str">
        <x:v>S1</x:v>
      </x:c>
      <x:c r="O265" s="41" t="str">
        <x:v>Manual/Parcial</x:v>
      </x:c>
      <x:c r="P265" s="41" t="str">
        <x:v>StoreInitial</x:v>
      </x:c>
      <x:c r="Q265" s="41" t="str">
        <x:v>Sprint17_Phase1 / pre-ola</x:v>
      </x:c>
      <x:c r="R265" s="41" t="str">
        <x:v>Ready / Not Run</x:v>
      </x:c>
      <x:c r="S265" s="41" t="str">
        <x:v>VRM Games</x:v>
      </x:c>
      <x:c r="T265" s="41" t="str">
        <x:v>ADR-0074…ADR-0085 / W0 documental</x:v>
      </x:c>
      <x:c r="U265" s="41" t="str">
        <x:v>W2;checkout;placement</x:v>
      </x:c>
    </x:row>
    <x:row r="266">
      <x:c r="A266" s="41" t="str">
        <x:v>CHAR-CUS-004</x:v>
      </x:c>
      <x:c r="B266" s="41" t="str">
        <x:v>Checkout</x:v>
      </x:c>
      <x:c r="C266" s="41" t="str">
        <x:v>Recuperación</x:v>
      </x:c>
      <x:c r="D266" s="41" t="str">
        <x:v>ADR-0077</x:v>
      </x:c>
      <x:c r="E266" s="41" t="str">
        <x:v>Invalidación sobrevenida bloquea nuevos spawns</x:v>
      </x:c>
      <x:c r="F266" s="41" t="str">
        <x:v>Invalidar checkout durante Open por vía controlada.</x:v>
      </x:c>
      <x:c r="G266" s="41" t="str">
        <x:v>Baseline main@efbc1a885a1d6819f764ec8cff8a465ad1986661 / app 0.0.21; estado reproducible y datos controlados.</x:v>
      </x:c>
      <x:c r="H266" s="41" t="str">
        <x:v>Dataset nominal y variante límite/negativa definida para el caso.</x:v>
      </x:c>
      <x:c r="I266" s="41" t="str">
        <x:v>1. Preparar baseline y captura inicial. 2. Ejecutar la acción. 3. Registrar estado, UI, logs y datos. 4. Comparar invariantes y resultado.</x:v>
      </x:c>
      <x:c r="J266" s="41" t="str">
        <x:v>No entran clientes nuevos y aparece flujo de recuperación/cierre.</x:v>
      </x:c>
      <x:c r="K266" s="41" t="str">
        <x:v>Caracterización / Regresión</x:v>
      </x:c>
      <x:c r="L266" s="41" t="str">
        <x:v>PlayMode + Manual</x:v>
      </x:c>
      <x:c r="M266" s="41" t="str">
        <x:v>P0</x:v>
      </x:c>
      <x:c r="N266" s="41" t="str">
        <x:v>S1</x:v>
      </x:c>
      <x:c r="O266" s="41" t="str">
        <x:v>Manual/Parcial</x:v>
      </x:c>
      <x:c r="P266" s="41" t="str">
        <x:v>StoreInitial</x:v>
      </x:c>
      <x:c r="Q266" s="41" t="str">
        <x:v>Sprint17_Phase1 / pre-ola</x:v>
      </x:c>
      <x:c r="R266" s="41" t="str">
        <x:v>Ready / Not Run</x:v>
      </x:c>
      <x:c r="S266" s="41" t="str">
        <x:v>VRM Games</x:v>
      </x:c>
      <x:c r="T266" s="41" t="str">
        <x:v>ADR-0074…ADR-0085 / W0 documental</x:v>
      </x:c>
      <x:c r="U266" s="41" t="str">
        <x:v>W2;recovery</x:v>
      </x:c>
    </x:row>
    <x:row r="267">
      <x:c r="A267" s="41" t="str">
        <x:v>CHAR-CUS-005</x:v>
      </x:c>
      <x:c r="B267" s="41" t="str">
        <x:v>Checkout</x:v>
      </x:c>
      <x:c r="C267" s="41" t="str">
        <x:v>Recuperación</x:v>
      </x:c>
      <x:c r="D267" s="41" t="str">
        <x:v>ADR-0077</x:v>
      </x:c>
      <x:c r="E267" s="41" t="str">
        <x:v>Restaurar checkout permite continuar sin duplicar cola</x:v>
      </x:c>
      <x:c r="F267" s="41" t="str">
        <x:v>Reparar la estación tras invalidación.</x:v>
      </x:c>
      <x:c r="G267" s="41" t="str">
        <x:v>Baseline main@efbc1a885a1d6819f764ec8cff8a465ad1986661 / app 0.0.21; estado reproducible y datos controlados.</x:v>
      </x:c>
      <x:c r="H267" s="41" t="str">
        <x:v>Dataset nominal y variante límite/negativa definida para el caso.</x:v>
      </x:c>
      <x:c r="I267" s="41" t="str">
        <x:v>1. Preparar baseline y captura inicial. 2. Ejecutar la acción. 3. Registrar estado, UI, logs y datos. 4. Comparar invariantes y resultado.</x:v>
      </x:c>
      <x:c r="J267" s="41" t="str">
        <x:v>El sistema reanuda admisión controlada sin duplicar clientes o cola.</x:v>
      </x:c>
      <x:c r="K267" s="41" t="str">
        <x:v>Caracterización / Regresión</x:v>
      </x:c>
      <x:c r="L267" s="41" t="str">
        <x:v>PlayMode + Manual</x:v>
      </x:c>
      <x:c r="M267" s="41" t="str">
        <x:v>P0</x:v>
      </x:c>
      <x:c r="N267" s="41" t="str">
        <x:v>S1</x:v>
      </x:c>
      <x:c r="O267" s="41" t="str">
        <x:v>Manual/Parcial</x:v>
      </x:c>
      <x:c r="P267" s="41" t="str">
        <x:v>StoreInitial</x:v>
      </x:c>
      <x:c r="Q267" s="41" t="str">
        <x:v>Sprint17_Phase1 / pre-ola</x:v>
      </x:c>
      <x:c r="R267" s="41" t="str">
        <x:v>Ready / Not Run</x:v>
      </x:c>
      <x:c r="S267" s="41" t="str">
        <x:v>VRM Games</x:v>
      </x:c>
      <x:c r="T267" s="41" t="str">
        <x:v>ADR-0074…ADR-0085 / W0 documental</x:v>
      </x:c>
      <x:c r="U267" s="41" t="str">
        <x:v>W2;recovery</x:v>
      </x:c>
    </x:row>
    <x:row r="268">
      <x:c r="A268" s="41" t="str">
        <x:v>CHAR-CUS-006</x:v>
      </x:c>
      <x:c r="B268" s="41" t="str">
        <x:v>Clientes</x:v>
      </x:c>
      <x:c r="C268" s="41" t="str">
        <x:v>Capacidad</x:v>
      </x:c>
      <x:c r="D268" s="41" t="str">
        <x:v>ADR-0078</x:v>
      </x:c>
      <x:c r="E268" s="41" t="str">
        <x:v>Máximo de ocho clientes activos</x:v>
      </x:c>
      <x:c r="F268" s="41" t="str">
        <x:v>Forzar llegadas con ciclo corto.</x:v>
      </x:c>
      <x:c r="G268" s="41" t="str">
        <x:v>Baseline main@efbc1a885a1d6819f764ec8cff8a465ad1986661 / app 0.0.21; estado reproducible y datos controlados.</x:v>
      </x:c>
      <x:c r="H268" s="41" t="str">
        <x:v>Dataset nominal y variante límite/negativa definida para el caso.</x:v>
      </x:c>
      <x:c r="I268" s="41" t="str">
        <x:v>1. Preparar baseline y captura inicial. 2. Ejecutar la acción. 3. Registrar estado, UI, logs y datos. 4. Comparar invariantes y resultado.</x:v>
      </x:c>
      <x:c r="J268" s="41" t="str">
        <x:v>Nunca existen más de ocho clientes con estado distinto de Despawned.</x:v>
      </x:c>
      <x:c r="K268" s="41" t="str">
        <x:v>Caracterización / Regresión</x:v>
      </x:c>
      <x:c r="L268" s="41" t="str">
        <x:v>Build + Manual</x:v>
      </x:c>
      <x:c r="M268" s="41" t="str">
        <x:v>P0</x:v>
      </x:c>
      <x:c r="N268" s="41" t="str">
        <x:v>S1</x:v>
      </x:c>
      <x:c r="O268" s="41" t="str">
        <x:v>Manual/Parcial</x:v>
      </x:c>
      <x:c r="P268" s="41" t="str">
        <x:v>StoreInitial / Build</x:v>
      </x:c>
      <x:c r="Q268" s="41" t="str">
        <x:v>Sprint17_Phase1 / pre-ola</x:v>
      </x:c>
      <x:c r="R268" s="41" t="str">
        <x:v>Ready / Not Run</x:v>
      </x:c>
      <x:c r="S268" s="41" t="str">
        <x:v>VRM Games</x:v>
      </x:c>
      <x:c r="T268" s="41" t="str">
        <x:v>ADR-0074…ADR-0085 / W0 documental</x:v>
      </x:c>
      <x:c r="U268" s="41" t="str">
        <x:v>W2;capacity</x:v>
      </x:c>
    </x:row>
    <x:row r="269">
      <x:c r="A269" s="41" t="str">
        <x:v>CHAR-CUS-007</x:v>
      </x:c>
      <x:c r="B269" s="41" t="str">
        <x:v>Clientes</x:v>
      </x:c>
      <x:c r="C269" s="41" t="str">
        <x:v>Lifecycle</x:v>
      </x:c>
      <x:c r="D269" s="41" t="str">
        <x:v>ADR-0078</x:v>
      </x:c>
      <x:c r="E269" s="41" t="str">
        <x:v>Queued y Leaving siguen contando como activos</x:v>
      </x:c>
      <x:c r="F269" s="41" t="str">
        <x:v>Observar estados alrededor del límite.</x:v>
      </x:c>
      <x:c r="G269" s="41" t="str">
        <x:v>Baseline main@efbc1a885a1d6819f764ec8cff8a465ad1986661 / app 0.0.21; estado reproducible y datos controlados.</x:v>
      </x:c>
      <x:c r="H269" s="41" t="str">
        <x:v>Dataset nominal y variante límite/negativa definida para el caso.</x:v>
      </x:c>
      <x:c r="I269" s="41" t="str">
        <x:v>1. Preparar baseline y captura inicial. 2. Ejecutar la acción. 3. Registrar estado, UI, logs y datos. 4. Comparar invariantes y resultado.</x:v>
      </x:c>
      <x:c r="J269" s="41" t="str">
        <x:v>El slot solo se libera al alcanzar Despawned.</x:v>
      </x:c>
      <x:c r="K269" s="41" t="str">
        <x:v>Caracterización / Regresión</x:v>
      </x:c>
      <x:c r="L269" s="41" t="str">
        <x:v>EditMode + PlayMode</x:v>
      </x:c>
      <x:c r="M269" s="41" t="str">
        <x:v>P0</x:v>
      </x:c>
      <x:c r="N269" s="41" t="str">
        <x:v>S1</x:v>
      </x:c>
      <x:c r="O269" s="41" t="str">
        <x:v>Manual/Parcial</x:v>
      </x:c>
      <x:c r="P269" s="41" t="str">
        <x:v>StoreInitial</x:v>
      </x:c>
      <x:c r="Q269" s="41" t="str">
        <x:v>Sprint17_Phase1 / pre-ola</x:v>
      </x:c>
      <x:c r="R269" s="41" t="str">
        <x:v>Ready / Not Run</x:v>
      </x:c>
      <x:c r="S269" s="41" t="str">
        <x:v>VRM Games</x:v>
      </x:c>
      <x:c r="T269" s="41" t="str">
        <x:v>ADR-0074…ADR-0085 / W0 documental</x:v>
      </x:c>
      <x:c r="U269" s="41" t="str">
        <x:v>W2;lifecycle</x:v>
      </x:c>
    </x:row>
    <x:row r="270">
      <x:c r="A270" s="41" t="str">
        <x:v>CHAR-CUS-008</x:v>
      </x:c>
      <x:c r="B270" s="41" t="str">
        <x:v>Clientes</x:v>
      </x:c>
      <x:c r="C270" s="41" t="str">
        <x:v>Cierre</x:v>
      </x:c>
      <x:c r="D270" s="41" t="str">
        <x:v>ADR-0077;ADR-0078</x:v>
      </x:c>
      <x:c r="E270" s="41" t="str">
        <x:v>Cierre drena población sin deadlock</x:v>
      </x:c>
      <x:c r="F270" s="41" t="str">
        <x:v>Cerrar con ocho clientes en estados distintos.</x:v>
      </x:c>
      <x:c r="G270" s="41" t="str">
        <x:v>Baseline main@efbc1a885a1d6819f764ec8cff8a465ad1986661 / app 0.0.21; estado reproducible y datos controlados.</x:v>
      </x:c>
      <x:c r="H270" s="41" t="str">
        <x:v>Dataset nominal y variante límite/negativa definida para el caso.</x:v>
      </x:c>
      <x:c r="I270" s="41" t="str">
        <x:v>1. Preparar baseline y captura inicial. 2. Ejecutar la acción. 3. Registrar estado, UI, logs y datos. 4. Comparar invariantes y resultado.</x:v>
      </x:c>
      <x:c r="J270" s="41" t="str">
        <x:v>Todos alcanzan resolución o salida dentro de timeout controlado.</x:v>
      </x:c>
      <x:c r="K270" s="41" t="str">
        <x:v>Caracterización / Regresión</x:v>
      </x:c>
      <x:c r="L270" s="41" t="str">
        <x:v>Build + Manual</x:v>
      </x:c>
      <x:c r="M270" s="41" t="str">
        <x:v>P0</x:v>
      </x:c>
      <x:c r="N270" s="41" t="str">
        <x:v>S1</x:v>
      </x:c>
      <x:c r="O270" s="41" t="str">
        <x:v>Manual/Parcial</x:v>
      </x:c>
      <x:c r="P270" s="41" t="str">
        <x:v>StoreInitial / Build</x:v>
      </x:c>
      <x:c r="Q270" s="41" t="str">
        <x:v>Sprint17_Phase1 / pre-ola</x:v>
      </x:c>
      <x:c r="R270" s="41" t="str">
        <x:v>Ready / Not Run</x:v>
      </x:c>
      <x:c r="S270" s="41" t="str">
        <x:v>VRM Games</x:v>
      </x:c>
      <x:c r="T270" s="41" t="str">
        <x:v>ADR-0074…ADR-0085 / W0 documental</x:v>
      </x:c>
      <x:c r="U270" s="41" t="str">
        <x:v>W2;closing;deadlock</x:v>
      </x:c>
    </x:row>
    <x:row r="271">
      <x:c r="A271" s="41" t="str">
        <x:v>CHAR-CUS-009</x:v>
      </x:c>
      <x:c r="B271" s="41" t="str">
        <x:v>Clientes</x:v>
      </x:c>
      <x:c r="C271" s="41" t="str">
        <x:v>Idempotencia</x:v>
      </x:c>
      <x:c r="D271" s="41" t="str">
        <x:v>ADR-0078</x:v>
      </x:c>
      <x:c r="E271" s="41" t="str">
        <x:v>Reintentos de spawn no duplican identidad</x:v>
      </x:c>
      <x:c r="F271" s="41" t="str">
        <x:v>Provocar reintento/fallo controlado de spawn.</x:v>
      </x:c>
      <x:c r="G271" s="41" t="str">
        <x:v>Baseline main@efbc1a885a1d6819f764ec8cff8a465ad1986661 / app 0.0.21; estado reproducible y datos controlados.</x:v>
      </x:c>
      <x:c r="H271" s="41" t="str">
        <x:v>Dataset nominal y variante límite/negativa definida para el caso.</x:v>
      </x:c>
      <x:c r="I271" s="41" t="str">
        <x:v>1. Preparar baseline y captura inicial. 2. Ejecutar la acción. 3. Registrar estado, UI, logs y datos. 4. Comparar invariantes y resultado.</x:v>
      </x:c>
      <x:c r="J271" s="41" t="str">
        <x:v>No aparecen IDs duplicados ni conteos negativos/huérfanos.</x:v>
      </x:c>
      <x:c r="K271" s="41" t="str">
        <x:v>Caracterización / Regresión</x:v>
      </x:c>
      <x:c r="L271" s="41" t="str">
        <x:v>EditMode + PlayMode</x:v>
      </x:c>
      <x:c r="M271" s="41" t="str">
        <x:v>P1</x:v>
      </x:c>
      <x:c r="N271" s="41" t="str">
        <x:v>S2</x:v>
      </x:c>
      <x:c r="O271" s="41" t="str">
        <x:v>Manual/Parcial</x:v>
      </x:c>
      <x:c r="P271" s="41" t="str">
        <x:v>TestLab / StoreInitial</x:v>
      </x:c>
      <x:c r="Q271" s="41" t="str">
        <x:v>Sprint17_Phase1 / pre-ola</x:v>
      </x:c>
      <x:c r="R271" s="41" t="str">
        <x:v>Ready / Not Run</x:v>
      </x:c>
      <x:c r="S271" s="41" t="str">
        <x:v>VRM Games</x:v>
      </x:c>
      <x:c r="T271" s="41" t="str">
        <x:v>ADR-0074…ADR-0085 / W0 documental</x:v>
      </x:c>
      <x:c r="U271" s="41" t="str">
        <x:v>W2;idempotency</x:v>
      </x:c>
    </x:row>
    <x:row r="272">
      <x:c r="A272" s="41" t="str">
        <x:v>CHAR-ODR-001</x:v>
      </x:c>
      <x:c r="B272" s="41" t="str">
        <x:v>Pedidos</x:v>
      </x:c>
      <x:c r="C272" s="41" t="str">
        <x:v>Reserva fondos</x:v>
      </x:c>
      <x:c r="D272" s="41" t="str">
        <x:v>ADR-0079</x:v>
      </x:c>
      <x:c r="E272" s="41" t="str">
        <x:v>Solicitar entrega crea reserva persistente</x:v>
      </x:c>
      <x:c r="F272" s="41" t="str">
        <x:v>Crear una orden financiable.</x:v>
      </x:c>
      <x:c r="G272" s="41" t="str">
        <x:v>Baseline main@efbc1a885a1d6819f764ec8cff8a465ad1986661 / app 0.0.21; estado reproducible y datos controlados.</x:v>
      </x:c>
      <x:c r="H272" s="41" t="str">
        <x:v>Dataset nominal y variante límite/negativa definida para el caso.</x:v>
      </x:c>
      <x:c r="I272" s="41" t="str">
        <x:v>1. Preparar baseline y captura inicial. 2. Ejecutar la acción. 3. Registrar estado, UI, logs y datos. 4. Comparar invariantes y resultado.</x:v>
      </x:c>
      <x:c r="J272" s="41" t="str">
        <x:v>Fondos disponibles disminuyen por la reserva; caja contable no se debita aún.</x:v>
      </x:c>
      <x:c r="K272" s="41" t="str">
        <x:v>Caracterización / Regresión</x:v>
      </x:c>
      <x:c r="L272" s="41" t="str">
        <x:v>EditMode + PlayMode</x:v>
      </x:c>
      <x:c r="M272" s="41" t="str">
        <x:v>P0</x:v>
      </x:c>
      <x:c r="N272" s="41" t="str">
        <x:v>S1</x:v>
      </x:c>
      <x:c r="O272" s="41" t="str">
        <x:v>Manual/Parcial</x:v>
      </x:c>
      <x:c r="P272" s="41" t="str">
        <x:v>StoreInitial</x:v>
      </x:c>
      <x:c r="Q272" s="41" t="str">
        <x:v>Sprint17_Phase1 / pre-ola</x:v>
      </x:c>
      <x:c r="R272" s="41" t="str">
        <x:v>Ready / Not Run</x:v>
      </x:c>
      <x:c r="S272" s="41" t="str">
        <x:v>VRM Games</x:v>
      </x:c>
      <x:c r="T272" s="41" t="str">
        <x:v>ADR-0074…ADR-0085 / W0 documental</x:v>
      </x:c>
      <x:c r="U272" s="41" t="str">
        <x:v>W3;reservation</x:v>
      </x:c>
    </x:row>
    <x:row r="273">
      <x:c r="A273" s="41" t="str">
        <x:v>CHAR-ODR-002</x:v>
      </x:c>
      <x:c r="B273" s="41" t="str">
        <x:v>Pedidos</x:v>
      </x:c>
      <x:c r="C273" s="41" t="str">
        <x:v>Fondos insuficientes</x:v>
      </x:c>
      <x:c r="D273" s="41" t="str">
        <x:v>ADR-0079</x:v>
      </x:c>
      <x:c r="E273" s="41" t="str">
        <x:v>Reserva falla sin mutaciones parciales</x:v>
      </x:c>
      <x:c r="F273" s="41" t="str">
        <x:v>Solicitar por encima de fondos disponibles.</x:v>
      </x:c>
      <x:c r="G273" s="41" t="str">
        <x:v>Baseline main@efbc1a885a1d6819f764ec8cff8a465ad1986661 / app 0.0.21; estado reproducible y datos controlados.</x:v>
      </x:c>
      <x:c r="H273" s="41" t="str">
        <x:v>Dataset nominal y variante límite/negativa definida para el caso.</x:v>
      </x:c>
      <x:c r="I273" s="41" t="str">
        <x:v>1. Preparar baseline y captura inicial. 2. Ejecutar la acción. 3. Registrar estado, UI, logs y datos. 4. Comparar invariantes y resultado.</x:v>
      </x:c>
      <x:c r="J273" s="41" t="str">
        <x:v>No se crea reserva, delivery ni cambio de orden/stock.</x:v>
      </x:c>
      <x:c r="K273" s="41" t="str">
        <x:v>Caracterización / Regresión</x:v>
      </x:c>
      <x:c r="L273" s="41" t="str">
        <x:v>EditMode + PlayMode</x:v>
      </x:c>
      <x:c r="M273" s="41" t="str">
        <x:v>P0</x:v>
      </x:c>
      <x:c r="N273" s="41" t="str">
        <x:v>S1</x:v>
      </x:c>
      <x:c r="O273" s="41" t="str">
        <x:v>Manual/Parcial</x:v>
      </x:c>
      <x:c r="P273" s="41" t="str">
        <x:v>StoreInitial</x:v>
      </x:c>
      <x:c r="Q273" s="41" t="str">
        <x:v>Sprint17_Phase1 / pre-ola</x:v>
      </x:c>
      <x:c r="R273" s="41" t="str">
        <x:v>Ready / Not Run</x:v>
      </x:c>
      <x:c r="S273" s="41" t="str">
        <x:v>VRM Games</x:v>
      </x:c>
      <x:c r="T273" s="41" t="str">
        <x:v>ADR-0074…ADR-0085 / W0 documental</x:v>
      </x:c>
      <x:c r="U273" s="41" t="str">
        <x:v>W3;preflight</x:v>
      </x:c>
    </x:row>
    <x:row r="274">
      <x:c r="A274" s="41" t="str">
        <x:v>CHAR-ODR-003</x:v>
      </x:c>
      <x:c r="B274" s="41" t="str">
        <x:v>Persistencia</x:v>
      </x:c>
      <x:c r="C274" s="41" t="str">
        <x:v>Reserva fondos</x:v>
      </x:c>
      <x:c r="D274" s="41" t="str">
        <x:v>ADR-0079</x:v>
      </x:c>
      <x:c r="E274" s="41" t="str">
        <x:v>Reserva sobrevive save/load</x:v>
      </x:c>
      <x:c r="F274" s="41" t="str">
        <x:v>Guardar con entrega solicitada y recargar.</x:v>
      </x:c>
      <x:c r="G274" s="41" t="str">
        <x:v>Baseline main@efbc1a885a1d6819f764ec8cff8a465ad1986661 / app 0.0.21; estado reproducible y datos controlados.</x:v>
      </x:c>
      <x:c r="H274" s="41" t="str">
        <x:v>Dataset nominal y variante límite/negativa definida para el caso.</x:v>
      </x:c>
      <x:c r="I274" s="41" t="str">
        <x:v>1. Preparar baseline y captura inicial. 2. Ejecutar la acción. 3. Registrar estado, UI, logs y datos. 4. Comparar invariantes y resultado.</x:v>
      </x:c>
      <x:c r="J274" s="41" t="str">
        <x:v>Orden, reserva y fondos disponibles se reconstruyen exactamente.</x:v>
      </x:c>
      <x:c r="K274" s="41" t="str">
        <x:v>Caracterización / Regresión</x:v>
      </x:c>
      <x:c r="L274" s="41" t="str">
        <x:v>PlayMode + Manual</x:v>
      </x:c>
      <x:c r="M274" s="41" t="str">
        <x:v>P0</x:v>
      </x:c>
      <x:c r="N274" s="41" t="str">
        <x:v>S1</x:v>
      </x:c>
      <x:c r="O274" s="41" t="str">
        <x:v>Manual/Parcial</x:v>
      </x:c>
      <x:c r="P274" s="41" t="str">
        <x:v>StoreInitial</x:v>
      </x:c>
      <x:c r="Q274" s="41" t="str">
        <x:v>Sprint17_Phase1 / pre-ola</x:v>
      </x:c>
      <x:c r="R274" s="41" t="str">
        <x:v>Ready / Not Run</x:v>
      </x:c>
      <x:c r="S274" s="41" t="str">
        <x:v>VRM Games</x:v>
      </x:c>
      <x:c r="T274" s="41" t="str">
        <x:v>ADR-0074…ADR-0085 / W0 documental</x:v>
      </x:c>
      <x:c r="U274" s="41" t="str">
        <x:v>W3;save</x:v>
      </x:c>
    </x:row>
    <x:row r="275">
      <x:c r="A275" s="41" t="str">
        <x:v>CHAR-ODR-004</x:v>
      </x:c>
      <x:c r="B275" s="41" t="str">
        <x:v>Recepción</x:v>
      </x:c>
      <x:c r="C275" s="41" t="str">
        <x:v>Commit</x:v>
      </x:c>
      <x:c r="D275" s="41" t="str">
        <x:v>ADR-0079</x:v>
      </x:c>
      <x:c r="E275" s="41" t="str">
        <x:v>Receipt descuenta, contabiliza y añade stock una vez</x:v>
      </x:c>
      <x:c r="F275" s="41" t="str">
        <x:v>Recibir una entrega válida.</x:v>
      </x:c>
      <x:c r="G275" s="41" t="str">
        <x:v>Baseline main@efbc1a885a1d6819f764ec8cff8a465ad1986661 / app 0.0.21; estado reproducible y datos controlados.</x:v>
      </x:c>
      <x:c r="H275" s="41" t="str">
        <x:v>Dataset nominal y variante límite/negativa definida para el caso.</x:v>
      </x:c>
      <x:c r="I275" s="41" t="str">
        <x:v>1. Preparar baseline y captura inicial. 2. Ejecutar la acción. 3. Registrar estado, UI, logs y datos. 4. Comparar invariantes y resultado.</x:v>
      </x:c>
      <x:c r="J275" s="41" t="str">
        <x:v>Caja, SupplierReceivingCost, stock y estado de orden cambian en un commit.</x:v>
      </x:c>
      <x:c r="K275" s="41" t="str">
        <x:v>Caracterización / Regresión</x:v>
      </x:c>
      <x:c r="L275" s="41" t="str">
        <x:v>EditMode + PlayMode</x:v>
      </x:c>
      <x:c r="M275" s="41" t="str">
        <x:v>P0</x:v>
      </x:c>
      <x:c r="N275" s="41" t="str">
        <x:v>S1</x:v>
      </x:c>
      <x:c r="O275" s="41" t="str">
        <x:v>Manual/Parcial</x:v>
      </x:c>
      <x:c r="P275" s="41" t="str">
        <x:v>StoreInitial</x:v>
      </x:c>
      <x:c r="Q275" s="41" t="str">
        <x:v>Sprint17_Phase1 / pre-ola</x:v>
      </x:c>
      <x:c r="R275" s="41" t="str">
        <x:v>Ready / Not Run</x:v>
      </x:c>
      <x:c r="S275" s="41" t="str">
        <x:v>VRM Games</x:v>
      </x:c>
      <x:c r="T275" s="41" t="str">
        <x:v>ADR-0074…ADR-0085 / W0 documental</x:v>
      </x:c>
      <x:c r="U275" s="41" t="str">
        <x:v>W3;receipt</x:v>
      </x:c>
    </x:row>
    <x:row r="276">
      <x:c r="A276" s="41" t="str">
        <x:v>CHAR-ODR-005</x:v>
      </x:c>
      <x:c r="B276" s="41" t="str">
        <x:v>Recepción</x:v>
      </x:c>
      <x:c r="C276" s="41" t="str">
        <x:v>Idempotencia</x:v>
      </x:c>
      <x:c r="D276" s="41" t="str">
        <x:v>ADR-0079</x:v>
      </x:c>
      <x:c r="E276" s="41" t="str">
        <x:v>Repetir receipt no duplica efectos</x:v>
      </x:c>
      <x:c r="F276" s="41" t="str">
        <x:v>Reejecutar el mismo comando/idempotency key.</x:v>
      </x:c>
      <x:c r="G276" s="41" t="str">
        <x:v>Baseline main@efbc1a885a1d6819f764ec8cff8a465ad1986661 / app 0.0.21; estado reproducible y datos controlados.</x:v>
      </x:c>
      <x:c r="H276" s="41" t="str">
        <x:v>Dataset nominal y variante límite/negativa definida para el caso.</x:v>
      </x:c>
      <x:c r="I276" s="41" t="str">
        <x:v>1. Preparar baseline y captura inicial. 2. Ejecutar la acción. 3. Registrar estado, UI, logs y datos. 4. Comparar invariantes y resultado.</x:v>
      </x:c>
      <x:c r="J276" s="41" t="str">
        <x:v>No hay segundo débito, asiento ni stock adicional.</x:v>
      </x:c>
      <x:c r="K276" s="41" t="str">
        <x:v>Caracterización / Regresión</x:v>
      </x:c>
      <x:c r="L276" s="41" t="str">
        <x:v>EditMode + PlayMode</x:v>
      </x:c>
      <x:c r="M276" s="41" t="str">
        <x:v>P0</x:v>
      </x:c>
      <x:c r="N276" s="41" t="str">
        <x:v>S1</x:v>
      </x:c>
      <x:c r="O276" s="41" t="str">
        <x:v>Manual/Parcial</x:v>
      </x:c>
      <x:c r="P276" s="41" t="str">
        <x:v>TestLab / StoreInitial</x:v>
      </x:c>
      <x:c r="Q276" s="41" t="str">
        <x:v>Sprint17_Phase1 / pre-ola</x:v>
      </x:c>
      <x:c r="R276" s="41" t="str">
        <x:v>Ready / Not Run</x:v>
      </x:c>
      <x:c r="S276" s="41" t="str">
        <x:v>VRM Games</x:v>
      </x:c>
      <x:c r="T276" s="41" t="str">
        <x:v>ADR-0074…ADR-0085 / W0 documental</x:v>
      </x:c>
      <x:c r="U276" s="41" t="str">
        <x:v>W3;idempotency</x:v>
      </x:c>
    </x:row>
    <x:row r="277">
      <x:c r="A277" s="41" t="str">
        <x:v>CHAR-ODR-006</x:v>
      </x:c>
      <x:c r="B277" s="41" t="str">
        <x:v>Pedidos</x:v>
      </x:c>
      <x:c r="C277" s="41" t="str">
        <x:v>Process All</x:v>
      </x:c>
      <x:c r="D277" s="41" t="str">
        <x:v>ADR-0080</x:v>
      </x:c>
      <x:c r="E277" s="41" t="str">
        <x:v>Process All valida el total antes de mutar</x:v>
      </x:c>
      <x:c r="F277" s="41" t="str">
        <x:v>Seleccionar varias órdenes financiables.</x:v>
      </x:c>
      <x:c r="G277" s="41" t="str">
        <x:v>Baseline main@efbc1a885a1d6819f764ec8cff8a465ad1986661 / app 0.0.21; estado reproducible y datos controlados.</x:v>
      </x:c>
      <x:c r="H277" s="41" t="str">
        <x:v>Dataset nominal y variante límite/negativa definida para el caso.</x:v>
      </x:c>
      <x:c r="I277" s="41" t="str">
        <x:v>1. Preparar baseline y captura inicial. 2. Ejecutar la acción. 3. Registrar estado, UI, logs y datos. 4. Comparar invariantes y resultado.</x:v>
      </x:c>
      <x:c r="J277" s="41" t="str">
        <x:v>Se reserva el total y se crea un único DeliveryRun con todas las órdenes.</x:v>
      </x:c>
      <x:c r="K277" s="41" t="str">
        <x:v>Caracterización / Regresión</x:v>
      </x:c>
      <x:c r="L277" s="41" t="str">
        <x:v>PlayMode + Manual</x:v>
      </x:c>
      <x:c r="M277" s="41" t="str">
        <x:v>P0</x:v>
      </x:c>
      <x:c r="N277" s="41" t="str">
        <x:v>S1</x:v>
      </x:c>
      <x:c r="O277" s="41" t="str">
        <x:v>Manual/Parcial</x:v>
      </x:c>
      <x:c r="P277" s="41" t="str">
        <x:v>StoreInitial</x:v>
      </x:c>
      <x:c r="Q277" s="41" t="str">
        <x:v>Sprint17_Phase1 / pre-ola</x:v>
      </x:c>
      <x:c r="R277" s="41" t="str">
        <x:v>Ready / Not Run</x:v>
      </x:c>
      <x:c r="S277" s="41" t="str">
        <x:v>VRM Games</x:v>
      </x:c>
      <x:c r="T277" s="41" t="str">
        <x:v>ADR-0074…ADR-0085 / W0 documental</x:v>
      </x:c>
      <x:c r="U277" s="41" t="str">
        <x:v>W3;process-all</x:v>
      </x:c>
    </x:row>
    <x:row r="278">
      <x:c r="A278" s="41" t="str">
        <x:v>CHAR-ODR-007</x:v>
      </x:c>
      <x:c r="B278" s="41" t="str">
        <x:v>Pedidos</x:v>
      </x:c>
      <x:c r="C278" s="41" t="str">
        <x:v>Process All</x:v>
      </x:c>
      <x:c r="D278" s="41" t="str">
        <x:v>ADR-0080</x:v>
      </x:c>
      <x:c r="E278" s="41" t="str">
        <x:v>Fallo de una orden revierte el lote completo</x:v>
      </x:c>
      <x:c r="F278" s="41" t="str">
        <x:v>Incluir una orden inválida o no financiable.</x:v>
      </x:c>
      <x:c r="G278" s="41" t="str">
        <x:v>Baseline main@efbc1a885a1d6819f764ec8cff8a465ad1986661 / app 0.0.21; estado reproducible y datos controlados.</x:v>
      </x:c>
      <x:c r="H278" s="41" t="str">
        <x:v>Dataset nominal y variante límite/negativa definida para el caso.</x:v>
      </x:c>
      <x:c r="I278" s="41" t="str">
        <x:v>1. Preparar baseline y captura inicial. 2. Ejecutar la acción. 3. Registrar estado, UI, logs y datos. 4. Comparar invariantes y resultado.</x:v>
      </x:c>
      <x:c r="J278" s="41" t="str">
        <x:v>Ninguna orden cambia, no hay reserva parcial ni DeliveryRun.</x:v>
      </x:c>
      <x:c r="K278" s="41" t="str">
        <x:v>Caracterización / Regresión</x:v>
      </x:c>
      <x:c r="L278" s="41" t="str">
        <x:v>EditMode + PlayMode</x:v>
      </x:c>
      <x:c r="M278" s="41" t="str">
        <x:v>P0</x:v>
      </x:c>
      <x:c r="N278" s="41" t="str">
        <x:v>S1</x:v>
      </x:c>
      <x:c r="O278" s="41" t="str">
        <x:v>Manual/Parcial</x:v>
      </x:c>
      <x:c r="P278" s="41" t="str">
        <x:v>StoreInitial</x:v>
      </x:c>
      <x:c r="Q278" s="41" t="str">
        <x:v>Sprint17_Phase1 / pre-ola</x:v>
      </x:c>
      <x:c r="R278" s="41" t="str">
        <x:v>Ready / Not Run</x:v>
      </x:c>
      <x:c r="S278" s="41" t="str">
        <x:v>VRM Games</x:v>
      </x:c>
      <x:c r="T278" s="41" t="str">
        <x:v>ADR-0074…ADR-0085 / W0 documental</x:v>
      </x:c>
      <x:c r="U278" s="41" t="str">
        <x:v>W3;atomic</x:v>
      </x:c>
    </x:row>
    <x:row r="279">
      <x:c r="A279" s="41" t="str">
        <x:v>CHAR-ODR-008</x:v>
      </x:c>
      <x:c r="B279" s="41" t="str">
        <x:v>Pedidos</x:v>
      </x:c>
      <x:c r="C279" s="41" t="str">
        <x:v>Identidad</x:v>
      </x:c>
      <x:c r="D279" s="41" t="str">
        <x:v>ADR-0080</x:v>
      </x:c>
      <x:c r="E279" s="41" t="str">
        <x:v>Órdenes conservan identidad dentro de DeliveryRun</x:v>
      </x:c>
      <x:c r="F279" s="41" t="str">
        <x:v>Procesar y recibir un lote multiorden.</x:v>
      </x:c>
      <x:c r="G279" s="41" t="str">
        <x:v>Baseline main@efbc1a885a1d6819f764ec8cff8a465ad1986661 / app 0.0.21; estado reproducible y datos controlados.</x:v>
      </x:c>
      <x:c r="H279" s="41" t="str">
        <x:v>Dataset nominal y variante límite/negativa definida para el caso.</x:v>
      </x:c>
      <x:c r="I279" s="41" t="str">
        <x:v>1. Preparar baseline y captura inicial. 2. Ejecutar la acción. 3. Registrar estado, UI, logs y datos. 4. Comparar invariantes y resultado.</x:v>
      </x:c>
      <x:c r="J279" s="41" t="str">
        <x:v>Cada orden conserva ID, cantidades y trazabilidad; el run solo agrupa.</x:v>
      </x:c>
      <x:c r="K279" s="41" t="str">
        <x:v>Caracterización / Regresión</x:v>
      </x:c>
      <x:c r="L279" s="41" t="str">
        <x:v>EditMode + PlayMode</x:v>
      </x:c>
      <x:c r="M279" s="41" t="str">
        <x:v>P1</x:v>
      </x:c>
      <x:c r="N279" s="41" t="str">
        <x:v>S2</x:v>
      </x:c>
      <x:c r="O279" s="41" t="str">
        <x:v>Manual/Parcial</x:v>
      </x:c>
      <x:c r="P279" s="41" t="str">
        <x:v>StoreInitial</x:v>
      </x:c>
      <x:c r="Q279" s="41" t="str">
        <x:v>Sprint17_Phase1 / pre-ola</x:v>
      </x:c>
      <x:c r="R279" s="41" t="str">
        <x:v>Ready / Not Run</x:v>
      </x:c>
      <x:c r="S279" s="41" t="str">
        <x:v>VRM Games</x:v>
      </x:c>
      <x:c r="T279" s="41" t="str">
        <x:v>ADR-0074…ADR-0085 / W0 documental</x:v>
      </x:c>
      <x:c r="U279" s="41" t="str">
        <x:v>W3;identity</x:v>
      </x:c>
    </x:row>
    <x:row r="280">
      <x:c r="A280" s="41" t="str">
        <x:v>CHAR-ODR-009</x:v>
      </x:c>
      <x:c r="B280" s="41" t="str">
        <x:v>Economía</x:v>
      </x:c>
      <x:c r="C280" s="41" t="str">
        <x:v>Impuesto semanal</x:v>
      </x:c>
      <x:c r="D280" s="41" t="str">
        <x:v>ADR-0083</x:v>
      </x:c>
      <x:c r="E280" s="41" t="str">
        <x:v>Día 7 publica 10 % sobre resultado positivo</x:v>
      </x:c>
      <x:c r="F280" s="41" t="str">
        <x:v>Completar semana con resultado positivo conocido.</x:v>
      </x:c>
      <x:c r="G280" s="41" t="str">
        <x:v>Baseline main@efbc1a885a1d6819f764ec8cff8a465ad1986661 / app 0.0.21; estado reproducible y datos controlados.</x:v>
      </x:c>
      <x:c r="H280" s="41" t="str">
        <x:v>Dataset nominal y variante límite/negativa definida para el caso.</x:v>
      </x:c>
      <x:c r="I280" s="41" t="str">
        <x:v>1. Preparar baseline y captura inicial. 2. Ejecutar la acción. 3. Registrar estado, UI, logs y datos. 4. Comparar invariantes y resultado.</x:v>
      </x:c>
      <x:c r="J280" s="41" t="str">
        <x:v>Se publica una obligación igual al 10 % de la base técnica positiva.</x:v>
      </x:c>
      <x:c r="K280" s="41" t="str">
        <x:v>Caracterización / Regresión</x:v>
      </x:c>
      <x:c r="L280" s="41" t="str">
        <x:v>EditMode + PlayMode</x:v>
      </x:c>
      <x:c r="M280" s="41" t="str">
        <x:v>P0</x:v>
      </x:c>
      <x:c r="N280" s="41" t="str">
        <x:v>S1</x:v>
      </x:c>
      <x:c r="O280" s="41" t="str">
        <x:v>Manual/Parcial</x:v>
      </x:c>
      <x:c r="P280" s="41" t="str">
        <x:v>StoreInitial</x:v>
      </x:c>
      <x:c r="Q280" s="41" t="str">
        <x:v>Sprint17_Phase1 / pre-ola</x:v>
      </x:c>
      <x:c r="R280" s="41" t="str">
        <x:v>Ready / Not Run</x:v>
      </x:c>
      <x:c r="S280" s="41" t="str">
        <x:v>VRM Games</x:v>
      </x:c>
      <x:c r="T280" s="41" t="str">
        <x:v>ADR-0074…ADR-0085 / W0 documental</x:v>
      </x:c>
      <x:c r="U280" s="41" t="str">
        <x:v>W3;tax</x:v>
      </x:c>
    </x:row>
    <x:row r="281">
      <x:c r="A281" s="41" t="str">
        <x:v>CHAR-ODR-010</x:v>
      </x:c>
      <x:c r="B281" s="41" t="str">
        <x:v>Economía</x:v>
      </x:c>
      <x:c r="C281" s="41" t="str">
        <x:v>Impuesto semanal</x:v>
      </x:c>
      <x:c r="D281" s="41" t="str">
        <x:v>ADR-0083</x:v>
      </x:c>
      <x:c r="E281" s="41" t="str">
        <x:v>Impuesto es cero para base no positiva e idempotente</x:v>
      </x:c>
      <x:c r="F281" s="41" t="str">
        <x:v>Cerrar/reabrir semana con resultado &lt;=0 y reintentar.</x:v>
      </x:c>
      <x:c r="G281" s="41" t="str">
        <x:v>Baseline main@efbc1a885a1d6819f764ec8cff8a465ad1986661 / app 0.0.21; estado reproducible y datos controlados.</x:v>
      </x:c>
      <x:c r="H281" s="41" t="str">
        <x:v>Dataset nominal y variante límite/negativa definida para el caso.</x:v>
      </x:c>
      <x:c r="I281" s="41" t="str">
        <x:v>1. Preparar baseline y captura inicial. 2. Ejecutar la acción. 3. Registrar estado, UI, logs y datos. 4. Comparar invariantes y resultado.</x:v>
      </x:c>
      <x:c r="J281" s="41" t="str">
        <x:v>No hay cargo negativo; un reintento no publica un segundo asiento.</x:v>
      </x:c>
      <x:c r="K281" s="41" t="str">
        <x:v>Caracterización / Regresión</x:v>
      </x:c>
      <x:c r="L281" s="41" t="str">
        <x:v>EditMode + PlayMode</x:v>
      </x:c>
      <x:c r="M281" s="41" t="str">
        <x:v>P0</x:v>
      </x:c>
      <x:c r="N281" s="41" t="str">
        <x:v>S1</x:v>
      </x:c>
      <x:c r="O281" s="41" t="str">
        <x:v>Manual/Parcial</x:v>
      </x:c>
      <x:c r="P281" s="41" t="str">
        <x:v>TestLab / StoreInitial</x:v>
      </x:c>
      <x:c r="Q281" s="41" t="str">
        <x:v>Sprint17_Phase1 / pre-ola</x:v>
      </x:c>
      <x:c r="R281" s="41" t="str">
        <x:v>Ready / Not Run</x:v>
      </x:c>
      <x:c r="S281" s="41" t="str">
        <x:v>VRM Games</x:v>
      </x:c>
      <x:c r="T281" s="41" t="str">
        <x:v>ADR-0074…ADR-0085 / W0 documental</x:v>
      </x:c>
      <x:c r="U281" s="41" t="str">
        <x:v>W3;tax;idempotency</x:v>
      </x:c>
    </x:row>
    <x:row r="282">
      <x:c r="A282" s="41" t="str">
        <x:v>CHAR-DSP-001</x:v>
      </x:c>
      <x:c r="B282" s="41" t="str">
        <x:v>Displays</x:v>
      </x:c>
      <x:c r="C282" s="41" t="str">
        <x:v>Asignación</x:v>
      </x:c>
      <x:c r="D282" s="41" t="str">
        <x:v>ADR-0081</x:v>
      </x:c>
      <x:c r="E282" s="41" t="str">
        <x:v>Display acepta un único producto</x:v>
      </x:c>
      <x:c r="F282" s="41" t="str">
        <x:v>Asignar producto A y luego intentar B con stock presente.</x:v>
      </x:c>
      <x:c r="G282" s="41" t="str">
        <x:v>Baseline main@efbc1a885a1d6819f764ec8cff8a465ad1986661 / app 0.0.21; estado reproducible y datos controlados.</x:v>
      </x:c>
      <x:c r="H282" s="41" t="str">
        <x:v>Dataset nominal y variante límite/negativa definida para el caso.</x:v>
      </x:c>
      <x:c r="I282" s="41" t="str">
        <x:v>1. Preparar baseline y captura inicial. 2. Ejecutar la acción. 3. Registrar estado, UI, logs y datos. 4. Comparar invariantes y resultado.</x:v>
      </x:c>
      <x:c r="J282" s="41" t="str">
        <x:v>La segunda asignación requiere vaciado/retorno y nunca mezcla productos.</x:v>
      </x:c>
      <x:c r="K282" s="41" t="str">
        <x:v>Caracterización / Regresión</x:v>
      </x:c>
      <x:c r="L282" s="41" t="str">
        <x:v>PlayMode + Manual</x:v>
      </x:c>
      <x:c r="M282" s="41" t="str">
        <x:v>P0</x:v>
      </x:c>
      <x:c r="N282" s="41" t="str">
        <x:v>S1</x:v>
      </x:c>
      <x:c r="O282" s="41" t="str">
        <x:v>Manual/Parcial</x:v>
      </x:c>
      <x:c r="P282" s="41" t="str">
        <x:v>StoreInitial</x:v>
      </x:c>
      <x:c r="Q282" s="41" t="str">
        <x:v>Sprint17_Phase1 / pre-ola</x:v>
      </x:c>
      <x:c r="R282" s="41" t="str">
        <x:v>Ready / Not Run</x:v>
      </x:c>
      <x:c r="S282" s="41" t="str">
        <x:v>VRM Games</x:v>
      </x:c>
      <x:c r="T282" s="41" t="str">
        <x:v>ADR-0074…ADR-0085 / W0 documental</x:v>
      </x:c>
      <x:c r="U282" s="41" t="str">
        <x:v>W4;single-product</x:v>
      </x:c>
    </x:row>
    <x:row r="283">
      <x:c r="A283" s="41" t="str">
        <x:v>CHAR-DSP-002</x:v>
      </x:c>
      <x:c r="B283" s="41" t="str">
        <x:v>Displays</x:v>
      </x:c>
      <x:c r="C283" s="41" t="str">
        <x:v>Cantidad</x:v>
      </x:c>
      <x:c r="D283" s="41" t="str">
        <x:v>ADR-0081</x:v>
      </x:c>
      <x:c r="E283" s="41" t="str">
        <x:v>Cantidad visible respeta capacidad</x:v>
      </x:c>
      <x:c r="F283" s="41" t="str">
        <x:v>Reponer hasta y por encima de capacidad.</x:v>
      </x:c>
      <x:c r="G283" s="41" t="str">
        <x:v>Baseline main@efbc1a885a1d6819f764ec8cff8a465ad1986661 / app 0.0.21; estado reproducible y datos controlados.</x:v>
      </x:c>
      <x:c r="H283" s="41" t="str">
        <x:v>Dataset nominal y variante límite/negativa definida para el caso.</x:v>
      </x:c>
      <x:c r="I283" s="41" t="str">
        <x:v>1. Preparar baseline y captura inicial. 2. Ejecutar la acción. 3. Registrar estado, UI, logs y datos. 4. Comparar invariantes y resultado.</x:v>
      </x:c>
      <x:c r="J283" s="41" t="str">
        <x:v>La transferencia se limita/rechaza sin pérdida ni duplicado.</x:v>
      </x:c>
      <x:c r="K283" s="41" t="str">
        <x:v>Caracterización / Regresión</x:v>
      </x:c>
      <x:c r="L283" s="41" t="str">
        <x:v>EditMode + PlayMode</x:v>
      </x:c>
      <x:c r="M283" s="41" t="str">
        <x:v>P0</x:v>
      </x:c>
      <x:c r="N283" s="41" t="str">
        <x:v>S1</x:v>
      </x:c>
      <x:c r="O283" s="41" t="str">
        <x:v>Manual/Parcial</x:v>
      </x:c>
      <x:c r="P283" s="41" t="str">
        <x:v>StoreInitial</x:v>
      </x:c>
      <x:c r="Q283" s="41" t="str">
        <x:v>Sprint17_Phase1 / pre-ola</x:v>
      </x:c>
      <x:c r="R283" s="41" t="str">
        <x:v>Ready / Not Run</x:v>
      </x:c>
      <x:c r="S283" s="41" t="str">
        <x:v>VRM Games</x:v>
      </x:c>
      <x:c r="T283" s="41" t="str">
        <x:v>ADR-0074…ADR-0085 / W0 documental</x:v>
      </x:c>
      <x:c r="U283" s="41" t="str">
        <x:v>W4;capacity</x:v>
      </x:c>
    </x:row>
    <x:row r="284">
      <x:c r="A284" s="41" t="str">
        <x:v>CHAR-DSP-003</x:v>
      </x:c>
      <x:c r="B284" s="41" t="str">
        <x:v>Displays</x:v>
      </x:c>
      <x:c r="C284" s="41" t="str">
        <x:v>Retirada</x:v>
      </x:c>
      <x:c r="D284" s="41" t="str">
        <x:v>ADR-0081</x:v>
      </x:c>
      <x:c r="E284" s="41" t="str">
        <x:v>Retirar unidades devuelve stock al origen válido</x:v>
      </x:c>
      <x:c r="F284" s="41" t="str">
        <x:v>Retirar cantidad parcial.</x:v>
      </x:c>
      <x:c r="G284" s="41" t="str">
        <x:v>Baseline main@efbc1a885a1d6819f764ec8cff8a465ad1986661 / app 0.0.21; estado reproducible y datos controlados.</x:v>
      </x:c>
      <x:c r="H284" s="41" t="str">
        <x:v>Dataset nominal y variante límite/negativa definida para el caso.</x:v>
      </x:c>
      <x:c r="I284" s="41" t="str">
        <x:v>1. Preparar baseline y captura inicial. 2. Ejecutar la acción. 3. Registrar estado, UI, logs y datos. 4. Comparar invariantes y resultado.</x:v>
      </x:c>
      <x:c r="J284" s="41" t="str">
        <x:v>Totales se conservan y el display mantiene asignación mientras no quede vacío.</x:v>
      </x:c>
      <x:c r="K284" s="41" t="str">
        <x:v>Caracterización / Regresión</x:v>
      </x:c>
      <x:c r="L284" s="41" t="str">
        <x:v>EditMode + PlayMode</x:v>
      </x:c>
      <x:c r="M284" s="41" t="str">
        <x:v>P0</x:v>
      </x:c>
      <x:c r="N284" s="41" t="str">
        <x:v>S1</x:v>
      </x:c>
      <x:c r="O284" s="41" t="str">
        <x:v>Manual/Parcial</x:v>
      </x:c>
      <x:c r="P284" s="41" t="str">
        <x:v>StoreInitial</x:v>
      </x:c>
      <x:c r="Q284" s="41" t="str">
        <x:v>Sprint17_Phase1 / pre-ola</x:v>
      </x:c>
      <x:c r="R284" s="41" t="str">
        <x:v>Ready / Not Run</x:v>
      </x:c>
      <x:c r="S284" s="41" t="str">
        <x:v>VRM Games</x:v>
      </x:c>
      <x:c r="T284" s="41" t="str">
        <x:v>ADR-0074…ADR-0085 / W0 documental</x:v>
      </x:c>
      <x:c r="U284" s="41" t="str">
        <x:v>W4;return</x:v>
      </x:c>
    </x:row>
    <x:row r="285">
      <x:c r="A285" s="41" t="str">
        <x:v>CHAR-DSP-004</x:v>
      </x:c>
      <x:c r="B285" s="41" t="str">
        <x:v>Displays</x:v>
      </x:c>
      <x:c r="C285" s="41" t="str">
        <x:v>Return All</x:v>
      </x:c>
      <x:c r="D285" s="41" t="str">
        <x:v>ADR-0081</x:v>
      </x:c>
      <x:c r="E285" s="41" t="str">
        <x:v>Return All es atómico</x:v>
      </x:c>
      <x:c r="F285" s="41" t="str">
        <x:v>Vaciar un display con varias unidades.</x:v>
      </x:c>
      <x:c r="G285" s="41" t="str">
        <x:v>Baseline main@efbc1a885a1d6819f764ec8cff8a465ad1986661 / app 0.0.21; estado reproducible y datos controlados.</x:v>
      </x:c>
      <x:c r="H285" s="41" t="str">
        <x:v>Dataset nominal y variante límite/negativa definida para el caso.</x:v>
      </x:c>
      <x:c r="I285" s="41" t="str">
        <x:v>1. Preparar baseline y captura inicial. 2. Ejecutar la acción. 3. Registrar estado, UI, logs y datos. 4. Comparar invariantes y resultado.</x:v>
      </x:c>
      <x:c r="J285" s="41" t="str">
        <x:v>Todas las unidades vuelven una vez o la operación no cambia nada.</x:v>
      </x:c>
      <x:c r="K285" s="41" t="str">
        <x:v>Caracterización / Regresión</x:v>
      </x:c>
      <x:c r="L285" s="41" t="str">
        <x:v>EditMode + PlayMode</x:v>
      </x:c>
      <x:c r="M285" s="41" t="str">
        <x:v>P0</x:v>
      </x:c>
      <x:c r="N285" s="41" t="str">
        <x:v>S1</x:v>
      </x:c>
      <x:c r="O285" s="41" t="str">
        <x:v>Manual/Parcial</x:v>
      </x:c>
      <x:c r="P285" s="41" t="str">
        <x:v>StoreInitial</x:v>
      </x:c>
      <x:c r="Q285" s="41" t="str">
        <x:v>Sprint17_Phase1 / pre-ola</x:v>
      </x:c>
      <x:c r="R285" s="41" t="str">
        <x:v>Ready / Not Run</x:v>
      </x:c>
      <x:c r="S285" s="41" t="str">
        <x:v>VRM Games</x:v>
      </x:c>
      <x:c r="T285" s="41" t="str">
        <x:v>ADR-0074…ADR-0085 / W0 documental</x:v>
      </x:c>
      <x:c r="U285" s="41" t="str">
        <x:v>W4;atomic</x:v>
      </x:c>
    </x:row>
    <x:row r="286">
      <x:c r="A286" s="41" t="str">
        <x:v>CHAR-DSP-005</x:v>
      </x:c>
      <x:c r="B286" s="41" t="str">
        <x:v>Displays</x:v>
      </x:c>
      <x:c r="C286" s="41" t="str">
        <x:v>Clear Empty</x:v>
      </x:c>
      <x:c r="D286" s="41" t="str">
        <x:v>ADR-0081</x:v>
      </x:c>
      <x:c r="E286" s="41" t="str">
        <x:v>Display vacío puede limpiar asignación</x:v>
      </x:c>
      <x:c r="F286" s="41" t="str">
        <x:v>Vaciar y ejecutar clear-empty.</x:v>
      </x:c>
      <x:c r="G286" s="41" t="str">
        <x:v>Baseline main@efbc1a885a1d6819f764ec8cff8a465ad1986661 / app 0.0.21; estado reproducible y datos controlados.</x:v>
      </x:c>
      <x:c r="H286" s="41" t="str">
        <x:v>Dataset nominal y variante límite/negativa definida para el caso.</x:v>
      </x:c>
      <x:c r="I286" s="41" t="str">
        <x:v>1. Preparar baseline y captura inicial. 2. Ejecutar la acción. 3. Registrar estado, UI, logs y datos. 4. Comparar invariantes y resultado.</x:v>
      </x:c>
      <x:c r="J286" s="41" t="str">
        <x:v>AssignedProductId queda nulo sin afectar otros displays o stock.</x:v>
      </x:c>
      <x:c r="K286" s="41" t="str">
        <x:v>Caracterización / Regresión</x:v>
      </x:c>
      <x:c r="L286" s="41" t="str">
        <x:v>PlayMode + Manual</x:v>
      </x:c>
      <x:c r="M286" s="41" t="str">
        <x:v>P1</x:v>
      </x:c>
      <x:c r="N286" s="41" t="str">
        <x:v>S2</x:v>
      </x:c>
      <x:c r="O286" s="41" t="str">
        <x:v>Manual/Parcial</x:v>
      </x:c>
      <x:c r="P286" s="41" t="str">
        <x:v>StoreInitial</x:v>
      </x:c>
      <x:c r="Q286" s="41" t="str">
        <x:v>Sprint17_Phase1 / pre-ola</x:v>
      </x:c>
      <x:c r="R286" s="41" t="str">
        <x:v>Ready / Not Run</x:v>
      </x:c>
      <x:c r="S286" s="41" t="str">
        <x:v>VRM Games</x:v>
      </x:c>
      <x:c r="T286" s="41" t="str">
        <x:v>ADR-0074…ADR-0085 / W0 documental</x:v>
      </x:c>
      <x:c r="U286" s="41" t="str">
        <x:v>W4;clear-empty</x:v>
      </x:c>
    </x:row>
    <x:row r="287">
      <x:c r="A287" s="41" t="str">
        <x:v>CHAR-DSP-006</x:v>
      </x:c>
      <x:c r="B287" s="41" t="str">
        <x:v>Persistencia</x:v>
      </x:c>
      <x:c r="C287" s="41" t="str">
        <x:v>Display snapshot</x:v>
      </x:c>
      <x:c r="D287" s="41" t="str">
        <x:v>ADR-0081</x:v>
      </x:c>
      <x:c r="E287" s="41" t="str">
        <x:v>Save/load conserva asignación y cantidades</x:v>
      </x:c>
      <x:c r="F287" s="41" t="str">
        <x:v>Guardar varios displays y recargar.</x:v>
      </x:c>
      <x:c r="G287" s="41" t="str">
        <x:v>Baseline main@efbc1a885a1d6819f764ec8cff8a465ad1986661 / app 0.0.21; estado reproducible y datos controlados.</x:v>
      </x:c>
      <x:c r="H287" s="41" t="str">
        <x:v>Dataset nominal y variante límite/negativa definida para el caso.</x:v>
      </x:c>
      <x:c r="I287" s="41" t="str">
        <x:v>1. Preparar baseline y captura inicial. 2. Ejecutar la acción. 3. Registrar estado, UI, logs y datos. 4. Comparar invariantes y resultado.</x:v>
      </x:c>
      <x:c r="J287" s="41" t="str">
        <x:v>Producto, cantidad, capacidad y stock global son equivalentes.</x:v>
      </x:c>
      <x:c r="K287" s="41" t="str">
        <x:v>Caracterización / Regresión</x:v>
      </x:c>
      <x:c r="L287" s="41" t="str">
        <x:v>PlayMode + Manual</x:v>
      </x:c>
      <x:c r="M287" s="41" t="str">
        <x:v>P0</x:v>
      </x:c>
      <x:c r="N287" s="41" t="str">
        <x:v>S1</x:v>
      </x:c>
      <x:c r="O287" s="41" t="str">
        <x:v>Manual/Parcial</x:v>
      </x:c>
      <x:c r="P287" s="41" t="str">
        <x:v>StoreInitial</x:v>
      </x:c>
      <x:c r="Q287" s="41" t="str">
        <x:v>Sprint17_Phase1 / pre-ola</x:v>
      </x:c>
      <x:c r="R287" s="41" t="str">
        <x:v>Ready / Not Run</x:v>
      </x:c>
      <x:c r="S287" s="41" t="str">
        <x:v>VRM Games</x:v>
      </x:c>
      <x:c r="T287" s="41" t="str">
        <x:v>ADR-0074…ADR-0085 / W0 documental</x:v>
      </x:c>
      <x:c r="U287" s="41" t="str">
        <x:v>W4;save</x:v>
      </x:c>
    </x:row>
    <x:row r="288">
      <x:c r="A288" s="41" t="str">
        <x:v>CHAR-SAV-001</x:v>
      </x:c>
      <x:c r="B288" s="41" t="str">
        <x:v>Persistencia</x:v>
      </x:c>
      <x:c r="C288" s="41" t="str">
        <x:v>UI pausa</x:v>
      </x:c>
      <x:c r="D288" s="41" t="str">
        <x:v>ADR-0076</x:v>
      </x:c>
      <x:c r="E288" s="41" t="str">
        <x:v>Guardado manual solo aparece desde pausa</x:v>
      </x:c>
      <x:c r="F288" s="41" t="str">
        <x:v>Revisar HUD, Operations y pausa.</x:v>
      </x:c>
      <x:c r="G288" s="41" t="str">
        <x:v>Baseline main@efbc1a885a1d6819f764ec8cff8a465ad1986661 / app 0.0.21; estado reproducible y datos controlados.</x:v>
      </x:c>
      <x:c r="H288" s="41" t="str">
        <x:v>Dataset nominal y variante límite/negativa definida para el caso.</x:v>
      </x:c>
      <x:c r="I288" s="41" t="str">
        <x:v>1. Preparar baseline y captura inicial. 2. Ejecutar la acción. 3. Registrar estado, UI, logs y datos. 4. Comparar invariantes y resultado.</x:v>
      </x:c>
      <x:c r="J288" s="41" t="str">
        <x:v>La acción manual está disponible únicamente en el panel de pausa.</x:v>
      </x:c>
      <x:c r="K288" s="41" t="str">
        <x:v>Caracterización / Regresión</x:v>
      </x:c>
      <x:c r="L288" s="41" t="str">
        <x:v>Manual</x:v>
      </x:c>
      <x:c r="M288" s="41" t="str">
        <x:v>P1</x:v>
      </x:c>
      <x:c r="N288" s="41" t="str">
        <x:v>S2</x:v>
      </x:c>
      <x:c r="O288" s="41" t="str">
        <x:v>Manual/Parcial</x:v>
      </x:c>
      <x:c r="P288" s="41" t="str">
        <x:v>StoreInitial</x:v>
      </x:c>
      <x:c r="Q288" s="41" t="str">
        <x:v>Sprint17_Phase1 / pre-ola</x:v>
      </x:c>
      <x:c r="R288" s="41" t="str">
        <x:v>Ready / Not Run</x:v>
      </x:c>
      <x:c r="S288" s="41" t="str">
        <x:v>VRM Games</x:v>
      </x:c>
      <x:c r="T288" s="41" t="str">
        <x:v>ADR-0074…ADR-0085 / W0 documental</x:v>
      </x:c>
      <x:c r="U288" s="41" t="str">
        <x:v>W5;ux</x:v>
      </x:c>
    </x:row>
    <x:row r="289">
      <x:c r="A289" s="41" t="str">
        <x:v>CHAR-SAV-002</x:v>
      </x:c>
      <x:c r="B289" s="41" t="str">
        <x:v>Persistencia</x:v>
      </x:c>
      <x:c r="C289" s="41" t="str">
        <x:v>BeforeOpen</x:v>
      </x:c>
      <x:c r="D289" s="41" t="str">
        <x:v>ADR-0076</x:v>
      </x:c>
      <x:c r="E289" s="41" t="str">
        <x:v>BeforeOpen permite guardar sin mutaciones</x:v>
      </x:c>
      <x:c r="F289" s="41" t="str">
        <x:v>Pausar antes de abrir y guardar.</x:v>
      </x:c>
      <x:c r="G289" s="41" t="str">
        <x:v>Baseline main@efbc1a885a1d6819f764ec8cff8a465ad1986661 / app 0.0.21; estado reproducible y datos controlados.</x:v>
      </x:c>
      <x:c r="H289" s="41" t="str">
        <x:v>Dataset nominal y variante límite/negativa definida para el caso.</x:v>
      </x:c>
      <x:c r="I289" s="41" t="str">
        <x:v>1. Preparar baseline y captura inicial. 2. Ejecutar la acción. 3. Registrar estado, UI, logs y datos. 4. Comparar invariantes y resultado.</x:v>
      </x:c>
      <x:c r="J289" s="41" t="str">
        <x:v>El slot se escribe y carga de forma equivalente.</x:v>
      </x:c>
      <x:c r="K289" s="41" t="str">
        <x:v>Caracterización / Regresión</x:v>
      </x:c>
      <x:c r="L289" s="41" t="str">
        <x:v>PlayMode + Manual</x:v>
      </x:c>
      <x:c r="M289" s="41" t="str">
        <x:v>P0</x:v>
      </x:c>
      <x:c r="N289" s="41" t="str">
        <x:v>S1</x:v>
      </x:c>
      <x:c r="O289" s="41" t="str">
        <x:v>Manual/Parcial</x:v>
      </x:c>
      <x:c r="P289" s="41" t="str">
        <x:v>StoreInitial</x:v>
      </x:c>
      <x:c r="Q289" s="41" t="str">
        <x:v>Sprint17_Phase1 / pre-ola</x:v>
      </x:c>
      <x:c r="R289" s="41" t="str">
        <x:v>Ready / Not Run</x:v>
      </x:c>
      <x:c r="S289" s="41" t="str">
        <x:v>VRM Games</x:v>
      </x:c>
      <x:c r="T289" s="41" t="str">
        <x:v>ADR-0074…ADR-0085 / W0 documental</x:v>
      </x:c>
      <x:c r="U289" s="41" t="str">
        <x:v>W5;safe-state</x:v>
      </x:c>
    </x:row>
    <x:row r="290">
      <x:c r="A290" s="41" t="str">
        <x:v>CHAR-SAV-003</x:v>
      </x:c>
      <x:c r="B290" s="41" t="str">
        <x:v>Persistencia</x:v>
      </x:c>
      <x:c r="C290" s="41" t="str">
        <x:v>Closed</x:v>
      </x:c>
      <x:c r="D290" s="41" t="str">
        <x:v>ADR-0076</x:v>
      </x:c>
      <x:c r="E290" s="41" t="str">
        <x:v>Closed permite guardar sin mutaciones</x:v>
      </x:c>
      <x:c r="F290" s="41" t="str">
        <x:v>Cerrar jornada, pausar y guardar.</x:v>
      </x:c>
      <x:c r="G290" s="41" t="str">
        <x:v>Baseline main@efbc1a885a1d6819f764ec8cff8a465ad1986661 / app 0.0.21; estado reproducible y datos controlados.</x:v>
      </x:c>
      <x:c r="H290" s="41" t="str">
        <x:v>Dataset nominal y variante límite/negativa definida para el caso.</x:v>
      </x:c>
      <x:c r="I290" s="41" t="str">
        <x:v>1. Preparar baseline y captura inicial. 2. Ejecutar la acción. 3. Registrar estado, UI, logs y datos. 4. Comparar invariantes y resultado.</x:v>
      </x:c>
      <x:c r="J290" s="41" t="str">
        <x:v>El snapshot se confirma sin acciones duplicadas.</x:v>
      </x:c>
      <x:c r="K290" s="41" t="str">
        <x:v>Caracterización / Regresión</x:v>
      </x:c>
      <x:c r="L290" s="41" t="str">
        <x:v>PlayMode + Manual</x:v>
      </x:c>
      <x:c r="M290" s="41" t="str">
        <x:v>P0</x:v>
      </x:c>
      <x:c r="N290" s="41" t="str">
        <x:v>S1</x:v>
      </x:c>
      <x:c r="O290" s="41" t="str">
        <x:v>Manual/Parcial</x:v>
      </x:c>
      <x:c r="P290" s="41" t="str">
        <x:v>StoreInitial</x:v>
      </x:c>
      <x:c r="Q290" s="41" t="str">
        <x:v>Sprint17_Phase1 / pre-ola</x:v>
      </x:c>
      <x:c r="R290" s="41" t="str">
        <x:v>Ready / Not Run</x:v>
      </x:c>
      <x:c r="S290" s="41" t="str">
        <x:v>VRM Games</x:v>
      </x:c>
      <x:c r="T290" s="41" t="str">
        <x:v>ADR-0074…ADR-0085 / W0 documental</x:v>
      </x:c>
      <x:c r="U290" s="41" t="str">
        <x:v>W5;safe-state</x:v>
      </x:c>
    </x:row>
    <x:row r="291">
      <x:c r="A291" s="41" t="str">
        <x:v>CHAR-SAV-004</x:v>
      </x:c>
      <x:c r="B291" s="41" t="str">
        <x:v>Persistencia</x:v>
      </x:c>
      <x:c r="C291" s="41" t="str">
        <x:v>Results</x:v>
      </x:c>
      <x:c r="D291" s="41" t="str">
        <x:v>ADR-0076</x:v>
      </x:c>
      <x:c r="E291" s="41" t="str">
        <x:v>Results permite guardar sin mutaciones</x:v>
      </x:c>
      <x:c r="F291" s="41" t="str">
        <x:v>Abrir resultados y guardar.</x:v>
      </x:c>
      <x:c r="G291" s="41" t="str">
        <x:v>Baseline main@efbc1a885a1d6819f764ec8cff8a465ad1986661 / app 0.0.21; estado reproducible y datos controlados.</x:v>
      </x:c>
      <x:c r="H291" s="41" t="str">
        <x:v>Dataset nominal y variante límite/negativa definida para el caso.</x:v>
      </x:c>
      <x:c r="I291" s="41" t="str">
        <x:v>1. Preparar baseline y captura inicial. 2. Ejecutar la acción. 3. Registrar estado, UI, logs y datos. 4. Comparar invariantes y resultado.</x:v>
      </x:c>
      <x:c r="J291" s="41" t="str">
        <x:v>Se conserva resumen diario y no se repite cierre/ledger al cargar.</x:v>
      </x:c>
      <x:c r="K291" s="41" t="str">
        <x:v>Caracterización / Regresión</x:v>
      </x:c>
      <x:c r="L291" s="41" t="str">
        <x:v>PlayMode + Manual</x:v>
      </x:c>
      <x:c r="M291" s="41" t="str">
        <x:v>P0</x:v>
      </x:c>
      <x:c r="N291" s="41" t="str">
        <x:v>S1</x:v>
      </x:c>
      <x:c r="O291" s="41" t="str">
        <x:v>Manual/Parcial</x:v>
      </x:c>
      <x:c r="P291" s="41" t="str">
        <x:v>StoreInitial</x:v>
      </x:c>
      <x:c r="Q291" s="41" t="str">
        <x:v>Sprint17_Phase1 / pre-ola</x:v>
      </x:c>
      <x:c r="R291" s="41" t="str">
        <x:v>Ready / Not Run</x:v>
      </x:c>
      <x:c r="S291" s="41" t="str">
        <x:v>VRM Games</x:v>
      </x:c>
      <x:c r="T291" s="41" t="str">
        <x:v>ADR-0074…ADR-0085 / W0 documental</x:v>
      </x:c>
      <x:c r="U291" s="41" t="str">
        <x:v>W5;results</x:v>
      </x:c>
    </x:row>
    <x:row r="292">
      <x:c r="A292" s="41" t="str">
        <x:v>CHAR-SAV-005</x:v>
      </x:c>
      <x:c r="B292" s="41" t="str">
        <x:v>Persistencia</x:v>
      </x:c>
      <x:c r="C292" s="41" t="str">
        <x:v>Open/Closing</x:v>
      </x:c>
      <x:c r="D292" s="41" t="str">
        <x:v>ADR-0076</x:v>
      </x:c>
      <x:c r="E292" s="41" t="str">
        <x:v>Open y Closing bloquean guardado manual</x:v>
      </x:c>
      <x:c r="F292" s="41" t="str">
        <x:v>Intentar guardar durante operación y drenaje.</x:v>
      </x:c>
      <x:c r="G292" s="41" t="str">
        <x:v>Baseline main@efbc1a885a1d6819f764ec8cff8a465ad1986661 / app 0.0.21; estado reproducible y datos controlados.</x:v>
      </x:c>
      <x:c r="H292" s="41" t="str">
        <x:v>Dataset nominal y variante límite/negativa definida para el caso.</x:v>
      </x:c>
      <x:c r="I292" s="41" t="str">
        <x:v>1. Preparar baseline y captura inicial. 2. Ejecutar la acción. 3. Registrar estado, UI, logs y datos. 4. Comparar invariantes y resultado.</x:v>
      </x:c>
      <x:c r="J292" s="41" t="str">
        <x:v>La UI informa el motivo y no inicia escritura.</x:v>
      </x:c>
      <x:c r="K292" s="41" t="str">
        <x:v>Caracterización / Regresión</x:v>
      </x:c>
      <x:c r="L292" s="41" t="str">
        <x:v>PlayMode + Manual</x:v>
      </x:c>
      <x:c r="M292" s="41" t="str">
        <x:v>P0</x:v>
      </x:c>
      <x:c r="N292" s="41" t="str">
        <x:v>S1</x:v>
      </x:c>
      <x:c r="O292" s="41" t="str">
        <x:v>Manual/Parcial</x:v>
      </x:c>
      <x:c r="P292" s="41" t="str">
        <x:v>StoreInitial</x:v>
      </x:c>
      <x:c r="Q292" s="41" t="str">
        <x:v>Sprint17_Phase1 / pre-ola</x:v>
      </x:c>
      <x:c r="R292" s="41" t="str">
        <x:v>Ready / Not Run</x:v>
      </x:c>
      <x:c r="S292" s="41" t="str">
        <x:v>VRM Games</x:v>
      </x:c>
      <x:c r="T292" s="41" t="str">
        <x:v>ADR-0074…ADR-0085 / W0 documental</x:v>
      </x:c>
      <x:c r="U292" s="41" t="str">
        <x:v>W5;blocked</x:v>
      </x:c>
    </x:row>
    <x:row r="293">
      <x:c r="A293" s="41" t="str">
        <x:v>CHAR-SAV-006</x:v>
      </x:c>
      <x:c r="B293" s="41" t="str">
        <x:v>Persistencia</x:v>
      </x:c>
      <x:c r="C293" s="41" t="str">
        <x:v>Mutaciones pendientes</x:v>
      </x:c>
      <x:c r="D293" s="41" t="str">
        <x:v>ADR-0076</x:v>
      </x:c>
      <x:c r="E293" s="41" t="str">
        <x:v>Mutación pendiente bloquea incluso en fase segura</x:v>
      </x:c>
      <x:c r="F293" s="41" t="str">
        <x:v>Simular receipt/commit pendiente en Closed/Results.</x:v>
      </x:c>
      <x:c r="G293" s="41" t="str">
        <x:v>Baseline main@efbc1a885a1d6819f764ec8cff8a465ad1986661 / app 0.0.21; estado reproducible y datos controlados.</x:v>
      </x:c>
      <x:c r="H293" s="41" t="str">
        <x:v>Dataset nominal y variante límite/negativa definida para el caso.</x:v>
      </x:c>
      <x:c r="I293" s="41" t="str">
        <x:v>1. Preparar baseline y captura inicial. 2. Ejecutar la acción. 3. Registrar estado, UI, logs y datos. 4. Comparar invariantes y resultado.</x:v>
      </x:c>
      <x:c r="J293" s="41" t="str">
        <x:v>No se guarda hasta completar o revertir la mutación.</x:v>
      </x:c>
      <x:c r="K293" s="41" t="str">
        <x:v>Caracterización / Regresión</x:v>
      </x:c>
      <x:c r="L293" s="41" t="str">
        <x:v>EditMode + PlayMode</x:v>
      </x:c>
      <x:c r="M293" s="41" t="str">
        <x:v>P0</x:v>
      </x:c>
      <x:c r="N293" s="41" t="str">
        <x:v>S1</x:v>
      </x:c>
      <x:c r="O293" s="41" t="str">
        <x:v>Manual/Parcial</x:v>
      </x:c>
      <x:c r="P293" s="41" t="str">
        <x:v>TestLab / StoreInitial</x:v>
      </x:c>
      <x:c r="Q293" s="41" t="str">
        <x:v>Sprint17_Phase1 / pre-ola</x:v>
      </x:c>
      <x:c r="R293" s="41" t="str">
        <x:v>Ready / Not Run</x:v>
      </x:c>
      <x:c r="S293" s="41" t="str">
        <x:v>VRM Games</x:v>
      </x:c>
      <x:c r="T293" s="41" t="str">
        <x:v>ADR-0074…ADR-0085 / W0 documental</x:v>
      </x:c>
      <x:c r="U293" s="41" t="str">
        <x:v>W5;mutation</x:v>
      </x:c>
    </x:row>
    <x:row r="294">
      <x:c r="A294" s="41" t="str">
        <x:v>CHAR-SAV-007</x:v>
      </x:c>
      <x:c r="B294" s="41" t="str">
        <x:v>Persistencia</x:v>
      </x:c>
      <x:c r="C294" s="41" t="str">
        <x:v>Recovery</x:v>
      </x:c>
      <x:c r="D294" s="41" t="str">
        <x:v>ADR-0076</x:v>
      </x:c>
      <x:c r="E294" s="41" t="str">
        <x:v>Backup/recovery conserva invariantes W0</x:v>
      </x:c>
      <x:c r="F294" s="41" t="str">
        <x:v>Corromper primario y recuperar backup.</x:v>
      </x:c>
      <x:c r="G294" s="41" t="str">
        <x:v>Baseline main@efbc1a885a1d6819f764ec8cff8a465ad1986661 / app 0.0.21; estado reproducible y datos controlados.</x:v>
      </x:c>
      <x:c r="H294" s="41" t="str">
        <x:v>Dataset nominal y variante límite/negativa definida para el caso.</x:v>
      </x:c>
      <x:c r="I294" s="41" t="str">
        <x:v>1. Preparar baseline y captura inicial. 2. Ejecutar la acción. 3. Registrar estado, UI, logs y datos. 4. Comparar invariantes y resultado.</x:v>
      </x:c>
      <x:c r="J294" s="41" t="str">
        <x:v>No se duplican reservas, stock, tax posting ni summaries.</x:v>
      </x:c>
      <x:c r="K294" s="41" t="str">
        <x:v>Caracterización / Regresión</x:v>
      </x:c>
      <x:c r="L294" s="41" t="str">
        <x:v>PlayMode + Manual</x:v>
      </x:c>
      <x:c r="M294" s="41" t="str">
        <x:v>P0</x:v>
      </x:c>
      <x:c r="N294" s="41" t="str">
        <x:v>S1</x:v>
      </x:c>
      <x:c r="O294" s="41" t="str">
        <x:v>Manual/Parcial</x:v>
      </x:c>
      <x:c r="P294" s="41" t="str">
        <x:v>StoreInitial / Filesystem</x:v>
      </x:c>
      <x:c r="Q294" s="41" t="str">
        <x:v>Sprint17_Phase1 / pre-ola</x:v>
      </x:c>
      <x:c r="R294" s="41" t="str">
        <x:v>Ready / Not Run</x:v>
      </x:c>
      <x:c r="S294" s="41" t="str">
        <x:v>VRM Games</x:v>
      </x:c>
      <x:c r="T294" s="41" t="str">
        <x:v>ADR-0074…ADR-0085 / W0 documental</x:v>
      </x:c>
      <x:c r="U294" s="41" t="str">
        <x:v>W5;recovery</x:v>
      </x:c>
    </x:row>
    <x:row r="295">
      <x:c r="A295" s="41" t="str">
        <x:v>CHAR-SAV-008</x:v>
      </x:c>
      <x:c r="B295" s="41" t="str">
        <x:v>Persistencia</x:v>
      </x:c>
      <x:c r="C295" s="41" t="str">
        <x:v>Idempotencia</x:v>
      </x:c>
      <x:c r="D295" s="41" t="str">
        <x:v>ADR-0076</x:v>
      </x:c>
      <x:c r="E295" s="41" t="str">
        <x:v>Doble clic o reintento no crea doble save/commit</x:v>
      </x:c>
      <x:c r="F295" s="41" t="str">
        <x:v>Disparar la acción repetidamente.</x:v>
      </x:c>
      <x:c r="G295" s="41" t="str">
        <x:v>Baseline main@efbc1a885a1d6819f764ec8cff8a465ad1986661 / app 0.0.21; estado reproducible y datos controlados.</x:v>
      </x:c>
      <x:c r="H295" s="41" t="str">
        <x:v>Dataset nominal y variante límite/negativa definida para el caso.</x:v>
      </x:c>
      <x:c r="I295" s="41" t="str">
        <x:v>1. Preparar baseline y captura inicial. 2. Ejecutar la acción. 3. Registrar estado, UI, logs y datos. 4. Comparar invariantes y resultado.</x:v>
      </x:c>
      <x:c r="J295" s="41" t="str">
        <x:v>Solo una operación de guardado queda confirmada y el slot es válido.</x:v>
      </x:c>
      <x:c r="K295" s="41" t="str">
        <x:v>Caracterización / Regresión</x:v>
      </x:c>
      <x:c r="L295" s="41" t="str">
        <x:v>PlayMode + Manual</x:v>
      </x:c>
      <x:c r="M295" s="41" t="str">
        <x:v>P0</x:v>
      </x:c>
      <x:c r="N295" s="41" t="str">
        <x:v>S1</x:v>
      </x:c>
      <x:c r="O295" s="41" t="str">
        <x:v>Manual/Parcial</x:v>
      </x:c>
      <x:c r="P295" s="41" t="str">
        <x:v>StoreInitial</x:v>
      </x:c>
      <x:c r="Q295" s="41" t="str">
        <x:v>Sprint17_Phase1 / pre-ola</x:v>
      </x:c>
      <x:c r="R295" s="41" t="str">
        <x:v>Ready / Not Run</x:v>
      </x:c>
      <x:c r="S295" s="41" t="str">
        <x:v>VRM Games</x:v>
      </x:c>
      <x:c r="T295" s="41" t="str">
        <x:v>ADR-0074…ADR-0085 / W0 documental</x:v>
      </x:c>
      <x:c r="U295" s="41" t="str">
        <x:v>W5;idempotency</x:v>
      </x:c>
    </x:row>
    <x:row r="296">
      <x:c r="A296" s="41" t="str">
        <x:v>CHAR-MGT-001</x:v>
      </x:c>
      <x:c r="B296" s="41" t="str">
        <x:v>Management</x:v>
      </x:c>
      <x:c r="C296" s="41" t="str">
        <x:v>Día actual</x:v>
      </x:c>
      <x:c r="D296" s="41" t="str">
        <x:v>ADR-0082</x:v>
      </x:c>
      <x:c r="E296" s="41" t="str">
        <x:v>Vista actual muestra datos en curso sin fingir cierre</x:v>
      </x:c>
      <x:c r="F296" s="41" t="str">
        <x:v>Abrir Management durante jornada.</x:v>
      </x:c>
      <x:c r="G296" s="41" t="str">
        <x:v>Baseline main@efbc1a885a1d6819f764ec8cff8a465ad1986661 / app 0.0.21; estado reproducible y datos controlados.</x:v>
      </x:c>
      <x:c r="H296" s="41" t="str">
        <x:v>Dataset nominal y variante límite/negativa definida para el caso.</x:v>
      </x:c>
      <x:c r="I296" s="41" t="str">
        <x:v>1. Preparar baseline y captura inicial. 2. Ejecutar la acción. 3. Registrar estado, UI, logs y datos. 4. Comparar invariantes y resultado.</x:v>
      </x:c>
      <x:c r="J296" s="41" t="str">
        <x:v>La vista distingue datos provisionales de un resumen cerrado.</x:v>
      </x:c>
      <x:c r="K296" s="41" t="str">
        <x:v>Caracterización / Regresión</x:v>
      </x:c>
      <x:c r="L296" s="41" t="str">
        <x:v>Manual</x:v>
      </x:c>
      <x:c r="M296" s="41" t="str">
        <x:v>P1</x:v>
      </x:c>
      <x:c r="N296" s="41" t="str">
        <x:v>S2</x:v>
      </x:c>
      <x:c r="O296" s="41" t="str">
        <x:v>Manual/Parcial</x:v>
      </x:c>
      <x:c r="P296" s="41" t="str">
        <x:v>StoreInitial</x:v>
      </x:c>
      <x:c r="Q296" s="41" t="str">
        <x:v>Sprint17_Phase1 / pre-ola</x:v>
      </x:c>
      <x:c r="R296" s="41" t="str">
        <x:v>Ready / Not Run</x:v>
      </x:c>
      <x:c r="S296" s="41" t="str">
        <x:v>VRM Games</x:v>
      </x:c>
      <x:c r="T296" s="41" t="str">
        <x:v>ADR-0074…ADR-0085 / W0 documental</x:v>
      </x:c>
      <x:c r="U296" s="41" t="str">
        <x:v>W6;current-day</x:v>
      </x:c>
    </x:row>
    <x:row r="297">
      <x:c r="A297" s="41" t="str">
        <x:v>CHAR-MGT-002</x:v>
      </x:c>
      <x:c r="B297" s="41" t="str">
        <x:v>Management</x:v>
      </x:c>
      <x:c r="C297" s="41" t="str">
        <x:v>Detalle reciente</x:v>
      </x:c>
      <x:c r="D297" s="41" t="str">
        <x:v>ADR-0082</x:v>
      </x:c>
      <x:c r="E297" s="41" t="str">
        <x:v>Último día completado conserva detalle</x:v>
      </x:c>
      <x:c r="F297" s="41" t="str">
        <x:v>Completar y consultar día N-1.</x:v>
      </x:c>
      <x:c r="G297" s="41" t="str">
        <x:v>Baseline main@efbc1a885a1d6819f764ec8cff8a465ad1986661 / app 0.0.21; estado reproducible y datos controlados.</x:v>
      </x:c>
      <x:c r="H297" s="41" t="str">
        <x:v>Dataset nominal y variante límite/negativa definida para el caso.</x:v>
      </x:c>
      <x:c r="I297" s="41" t="str">
        <x:v>1. Preparar baseline y captura inicial. 2. Ejecutar la acción. 3. Registrar estado, UI, logs y datos. 4. Comparar invariantes y resultado.</x:v>
      </x:c>
      <x:c r="J297" s="41" t="str">
        <x:v>Clientes, shopping y checkout detallados están disponibles.</x:v>
      </x:c>
      <x:c r="K297" s="41" t="str">
        <x:v>Caracterización / Regresión</x:v>
      </x:c>
      <x:c r="L297" s="41" t="str">
        <x:v>PlayMode + Manual</x:v>
      </x:c>
      <x:c r="M297" s="41" t="str">
        <x:v>P0</x:v>
      </x:c>
      <x:c r="N297" s="41" t="str">
        <x:v>S1</x:v>
      </x:c>
      <x:c r="O297" s="41" t="str">
        <x:v>Manual/Parcial</x:v>
      </x:c>
      <x:c r="P297" s="41" t="str">
        <x:v>StoreInitial</x:v>
      </x:c>
      <x:c r="Q297" s="41" t="str">
        <x:v>Sprint17_Phase1 / pre-ola</x:v>
      </x:c>
      <x:c r="R297" s="41" t="str">
        <x:v>Ready / Not Run</x:v>
      </x:c>
      <x:c r="S297" s="41" t="str">
        <x:v>VRM Games</x:v>
      </x:c>
      <x:c r="T297" s="41" t="str">
        <x:v>ADR-0074…ADR-0085 / W0 documental</x:v>
      </x:c>
      <x:c r="U297" s="41" t="str">
        <x:v>W6;history</x:v>
      </x:c>
    </x:row>
    <x:row r="298">
      <x:c r="A298" s="41" t="str">
        <x:v>CHAR-MGT-003</x:v>
      </x:c>
      <x:c r="B298" s="41" t="str">
        <x:v>Management</x:v>
      </x:c>
      <x:c r="C298" s="41" t="str">
        <x:v>Detalle reciente</x:v>
      </x:c>
      <x:c r="D298" s="41" t="str">
        <x:v>ADR-0082</x:v>
      </x:c>
      <x:c r="E298" s="41" t="str">
        <x:v>Segundo día completado conserva detalle</x:v>
      </x:c>
      <x:c r="F298" s="41" t="str">
        <x:v>Completar al menos tres días.</x:v>
      </x:c>
      <x:c r="G298" s="41" t="str">
        <x:v>Baseline main@efbc1a885a1d6819f764ec8cff8a465ad1986661 / app 0.0.21; estado reproducible y datos controlados.</x:v>
      </x:c>
      <x:c r="H298" s="41" t="str">
        <x:v>Dataset nominal y variante límite/negativa definida para el caso.</x:v>
      </x:c>
      <x:c r="I298" s="41" t="str">
        <x:v>1. Preparar baseline y captura inicial. 2. Ejecutar la acción. 3. Registrar estado, UI, logs y datos. 4. Comparar invariantes y resultado.</x:v>
      </x:c>
      <x:c r="J298" s="41" t="str">
        <x:v>El día N-2 conserva detalle independiente.</x:v>
      </x:c>
      <x:c r="K298" s="41" t="str">
        <x:v>Caracterización / Regresión</x:v>
      </x:c>
      <x:c r="L298" s="41" t="str">
        <x:v>PlayMode + Manual</x:v>
      </x:c>
      <x:c r="M298" s="41" t="str">
        <x:v>P0</x:v>
      </x:c>
      <x:c r="N298" s="41" t="str">
        <x:v>S1</x:v>
      </x:c>
      <x:c r="O298" s="41" t="str">
        <x:v>Manual/Parcial</x:v>
      </x:c>
      <x:c r="P298" s="41" t="str">
        <x:v>StoreInitial</x:v>
      </x:c>
      <x:c r="Q298" s="41" t="str">
        <x:v>Sprint17_Phase1 / pre-ola</x:v>
      </x:c>
      <x:c r="R298" s="41" t="str">
        <x:v>Ready / Not Run</x:v>
      </x:c>
      <x:c r="S298" s="41" t="str">
        <x:v>VRM Games</x:v>
      </x:c>
      <x:c r="T298" s="41" t="str">
        <x:v>ADR-0074…ADR-0085 / W0 documental</x:v>
      </x:c>
      <x:c r="U298" s="41" t="str">
        <x:v>W6;history</x:v>
      </x:c>
    </x:row>
    <x:row r="299">
      <x:c r="A299" s="41" t="str">
        <x:v>CHAR-MGT-004</x:v>
      </x:c>
      <x:c r="B299" s="41" t="str">
        <x:v>Management</x:v>
      </x:c>
      <x:c r="C299" s="41" t="str">
        <x:v>DailySummary</x:v>
      </x:c>
      <x:c r="D299" s="41" t="str">
        <x:v>ADR-0082</x:v>
      </x:c>
      <x:c r="E299" s="41" t="str">
        <x:v>Días más antiguos mantienen summary individual</x:v>
      </x:c>
      <x:c r="F299" s="41" t="str">
        <x:v>Completar siete días y navegar a N-3 o anterior.</x:v>
      </x:c>
      <x:c r="G299" s="41" t="str">
        <x:v>Baseline main@efbc1a885a1d6819f764ec8cff8a465ad1986661 / app 0.0.21; estado reproducible y datos controlados.</x:v>
      </x:c>
      <x:c r="H299" s="41" t="str">
        <x:v>Dataset nominal y variante límite/negativa definida para el caso.</x:v>
      </x:c>
      <x:c r="I299" s="41" t="str">
        <x:v>1. Preparar baseline y captura inicial. 2. Ejecutar la acción. 3. Registrar estado, UI, logs y datos. 4. Comparar invariantes y resultado.</x:v>
      </x:c>
      <x:c r="J299" s="41" t="str">
        <x:v>Cada día aparece como fila/entrada propia, no como agregado único.</x:v>
      </x:c>
      <x:c r="K299" s="41" t="str">
        <x:v>Caracterización / Regresión</x:v>
      </x:c>
      <x:c r="L299" s="41" t="str">
        <x:v>PlayMode + Manual</x:v>
      </x:c>
      <x:c r="M299" s="41" t="str">
        <x:v>P0</x:v>
      </x:c>
      <x:c r="N299" s="41" t="str">
        <x:v>S1</x:v>
      </x:c>
      <x:c r="O299" s="41" t="str">
        <x:v>Manual/Parcial</x:v>
      </x:c>
      <x:c r="P299" s="41" t="str">
        <x:v>StoreInitial</x:v>
      </x:c>
      <x:c r="Q299" s="41" t="str">
        <x:v>Sprint17_Phase1 / pre-ola</x:v>
      </x:c>
      <x:c r="R299" s="41" t="str">
        <x:v>Ready / Not Run</x:v>
      </x:c>
      <x:c r="S299" s="41" t="str">
        <x:v>VRM Games</x:v>
      </x:c>
      <x:c r="T299" s="41" t="str">
        <x:v>ADR-0074…ADR-0085 / W0 documental</x:v>
      </x:c>
      <x:c r="U299" s="41" t="str">
        <x:v>W6;summary</x:v>
      </x:c>
    </x:row>
    <x:row r="300">
      <x:c r="A300" s="41" t="str">
        <x:v>CHAR-MGT-005</x:v>
      </x:c>
      <x:c r="B300" s="41" t="str">
        <x:v>Management</x:v>
      </x:c>
      <x:c r="C300" s="41" t="str">
        <x:v>Lifetime</x:v>
      </x:c>
      <x:c r="D300" s="41" t="str">
        <x:v>ADR-0082</x:v>
      </x:c>
      <x:c r="E300" s="41" t="str">
        <x:v>Acumulados lifetime reconcilian con días cerrados</x:v>
      </x:c>
      <x:c r="F300" s="41" t="str">
        <x:v>Sumar summaries y comparar lifetime.</x:v>
      </x:c>
      <x:c r="G300" s="41" t="str">
        <x:v>Baseline main@efbc1a885a1d6819f764ec8cff8a465ad1986661 / app 0.0.21; estado reproducible y datos controlados.</x:v>
      </x:c>
      <x:c r="H300" s="41" t="str">
        <x:v>Dataset nominal y variante límite/negativa definida para el caso.</x:v>
      </x:c>
      <x:c r="I300" s="41" t="str">
        <x:v>1. Preparar baseline y captura inicial. 2. Ejecutar la acción. 3. Registrar estado, UI, logs y datos. 4. Comparar invariantes y resultado.</x:v>
      </x:c>
      <x:c r="J300" s="41" t="str">
        <x:v>Los acumulados coinciden con ledger/summaries sin doble conteo.</x:v>
      </x:c>
      <x:c r="K300" s="41" t="str">
        <x:v>Caracterización / Regresión</x:v>
      </x:c>
      <x:c r="L300" s="41" t="str">
        <x:v>EditMode + PlayMode</x:v>
      </x:c>
      <x:c r="M300" s="41" t="str">
        <x:v>P0</x:v>
      </x:c>
      <x:c r="N300" s="41" t="str">
        <x:v>S1</x:v>
      </x:c>
      <x:c r="O300" s="41" t="str">
        <x:v>Manual/Parcial</x:v>
      </x:c>
      <x:c r="P300" s="41" t="str">
        <x:v>StoreInitial</x:v>
      </x:c>
      <x:c r="Q300" s="41" t="str">
        <x:v>Sprint17_Phase1 / pre-ola</x:v>
      </x:c>
      <x:c r="R300" s="41" t="str">
        <x:v>Ready / Not Run</x:v>
      </x:c>
      <x:c r="S300" s="41" t="str">
        <x:v>VRM Games</x:v>
      </x:c>
      <x:c r="T300" s="41" t="str">
        <x:v>ADR-0074…ADR-0085 / W0 documental</x:v>
      </x:c>
      <x:c r="U300" s="41" t="str">
        <x:v>W6;lifetime</x:v>
      </x:c>
    </x:row>
    <x:row r="301">
      <x:c r="A301" s="41" t="str">
        <x:v>CHAR-MGT-006</x:v>
      </x:c>
      <x:c r="B301" s="41" t="str">
        <x:v>Management</x:v>
      </x:c>
      <x:c r="C301" s="41" t="str">
        <x:v>Persistencia</x:v>
      </x:c>
      <x:c r="D301" s="41" t="str">
        <x:v>ADR-0082</x:v>
      </x:c>
      <x:c r="E301" s="41" t="str">
        <x:v>Save/load conserva orden y contenido histórico</x:v>
      </x:c>
      <x:c r="F301" s="41" t="str">
        <x:v>Guardar tras siete días y recargar.</x:v>
      </x:c>
      <x:c r="G301" s="41" t="str">
        <x:v>Baseline main@efbc1a885a1d6819f764ec8cff8a465ad1986661 / app 0.0.21; estado reproducible y datos controlados.</x:v>
      </x:c>
      <x:c r="H301" s="41" t="str">
        <x:v>Dataset nominal y variante límite/negativa definida para el caso.</x:v>
      </x:c>
      <x:c r="I301" s="41" t="str">
        <x:v>1. Preparar baseline y captura inicial. 2. Ejecutar la acción. 3. Registrar estado, UI, logs y datos. 4. Comparar invariantes y resultado.</x:v>
      </x:c>
      <x:c r="J301" s="41" t="str">
        <x:v>Días, detalle, summaries y lifetime son equivalentes.</x:v>
      </x:c>
      <x:c r="K301" s="41" t="str">
        <x:v>Caracterización / Regresión</x:v>
      </x:c>
      <x:c r="L301" s="41" t="str">
        <x:v>PlayMode + Manual</x:v>
      </x:c>
      <x:c r="M301" s="41" t="str">
        <x:v>P0</x:v>
      </x:c>
      <x:c r="N301" s="41" t="str">
        <x:v>S1</x:v>
      </x:c>
      <x:c r="O301" s="41" t="str">
        <x:v>Manual/Parcial</x:v>
      </x:c>
      <x:c r="P301" s="41" t="str">
        <x:v>StoreInitial</x:v>
      </x:c>
      <x:c r="Q301" s="41" t="str">
        <x:v>Sprint17_Phase1 / pre-ola</x:v>
      </x:c>
      <x:c r="R301" s="41" t="str">
        <x:v>Ready / Not Run</x:v>
      </x:c>
      <x:c r="S301" s="41" t="str">
        <x:v>VRM Games</x:v>
      </x:c>
      <x:c r="T301" s="41" t="str">
        <x:v>ADR-0074…ADR-0085 / W0 documental</x:v>
      </x:c>
      <x:c r="U301" s="41" t="str">
        <x:v>W6;save</x:v>
      </x:c>
    </x:row>
    <x:row r="302">
      <x:c r="A302" s="41" t="str">
        <x:v>CHAR-MGT-007</x:v>
      </x:c>
      <x:c r="B302" s="41" t="str">
        <x:v>Management</x:v>
      </x:c>
      <x:c r="C302" s="41" t="str">
        <x:v>UI</x:v>
      </x:c>
      <x:c r="D302" s="41" t="str">
        <x:v>ADR-0082</x:v>
      </x:c>
      <x:c r="E302" s="41" t="str">
        <x:v>Histórico es operable a 1280x720 y 1920x1080</x:v>
      </x:c>
      <x:c r="F302" s="41" t="str">
        <x:v>Revisar scroll, foco, selección y empty states.</x:v>
      </x:c>
      <x:c r="G302" s="41" t="str">
        <x:v>Baseline main@efbc1a885a1d6819f764ec8cff8a465ad1986661 / app 0.0.21; estado reproducible y datos controlados.</x:v>
      </x:c>
      <x:c r="H302" s="41" t="str">
        <x:v>Dataset nominal y variante límite/negativa definida para el caso.</x:v>
      </x:c>
      <x:c r="I302" s="41" t="str">
        <x:v>1. Preparar baseline y captura inicial. 2. Ejecutar la acción. 3. Registrar estado, UI, logs y datos. 4. Comparar invariantes y resultado.</x:v>
      </x:c>
      <x:c r="J302" s="41" t="str">
        <x:v>No hay controles inaccesibles, solapes ni pérdida de contexto.</x:v>
      </x:c>
      <x:c r="K302" s="41" t="str">
        <x:v>Caracterización / Regresión</x:v>
      </x:c>
      <x:c r="L302" s="41" t="str">
        <x:v>Build + Manual</x:v>
      </x:c>
      <x:c r="M302" s="41" t="str">
        <x:v>P1</x:v>
      </x:c>
      <x:c r="N302" s="41" t="str">
        <x:v>S2</x:v>
      </x:c>
      <x:c r="O302" s="41" t="str">
        <x:v>Manual/Parcial</x:v>
      </x:c>
      <x:c r="P302" s="41" t="str">
        <x:v>StoreInitial / Build</x:v>
      </x:c>
      <x:c r="Q302" s="41" t="str">
        <x:v>Sprint17_Phase1 / pre-ola</x:v>
      </x:c>
      <x:c r="R302" s="41" t="str">
        <x:v>Ready / Not Run</x:v>
      </x:c>
      <x:c r="S302" s="41" t="str">
        <x:v>VRM Games</x:v>
      </x:c>
      <x:c r="T302" s="41" t="str">
        <x:v>ADR-0074…ADR-0085 / W0 documental</x:v>
      </x:c>
      <x:c r="U302" s="41" t="str">
        <x:v>W6;resolution</x:v>
      </x:c>
    </x:row>
    <x:row r="303">
      <x:c r="A303" s="41" t="str">
        <x:v>CHAR-MGT-008</x:v>
      </x:c>
      <x:c r="B303" s="41" t="str">
        <x:v>Management</x:v>
      </x:c>
      <x:c r="C303" s="41" t="str">
        <x:v>Localización</x:v>
      </x:c>
      <x:c r="D303" s="41" t="str">
        <x:v>ADR-0082</x:v>
      </x:c>
      <x:c r="E303" s="41" t="str">
        <x:v>Histórico es legible en ES y EN</x:v>
      </x:c>
      <x:c r="F303" s="41" t="str">
        <x:v>Cambiar idioma con dataset largo.</x:v>
      </x:c>
      <x:c r="G303" s="41" t="str">
        <x:v>Baseline main@efbc1a885a1d6819f764ec8cff8a465ad1986661 / app 0.0.21; estado reproducible y datos controlados.</x:v>
      </x:c>
      <x:c r="H303" s="41" t="str">
        <x:v>Dataset nominal y variante límite/negativa definida para el caso.</x:v>
      </x:c>
      <x:c r="I303" s="41" t="str">
        <x:v>1. Preparar baseline y captura inicial. 2. Ejecutar la acción. 3. Registrar estado, UI, logs y datos. 4. Comparar invariantes y resultado.</x:v>
      </x:c>
      <x:c r="J303" s="41" t="str">
        <x:v>No hay claves crudas ni truncamientos bloqueantes.</x:v>
      </x:c>
      <x:c r="K303" s="41" t="str">
        <x:v>Caracterización / Regresión</x:v>
      </x:c>
      <x:c r="L303" s="41" t="str">
        <x:v>Build + Manual</x:v>
      </x:c>
      <x:c r="M303" s="41" t="str">
        <x:v>P1</x:v>
      </x:c>
      <x:c r="N303" s="41" t="str">
        <x:v>S2</x:v>
      </x:c>
      <x:c r="O303" s="41" t="str">
        <x:v>Manual/Parcial</x:v>
      </x:c>
      <x:c r="P303" s="41" t="str">
        <x:v>StoreInitial / Build</x:v>
      </x:c>
      <x:c r="Q303" s="41" t="str">
        <x:v>Sprint17_Phase1 / pre-ola</x:v>
      </x:c>
      <x:c r="R303" s="41" t="str">
        <x:v>Ready / Not Run</x:v>
      </x:c>
      <x:c r="S303" s="41" t="str">
        <x:v>VRM Games</x:v>
      </x:c>
      <x:c r="T303" s="41" t="str">
        <x:v>ADR-0074…ADR-0085 / W0 documental</x:v>
      </x:c>
      <x:c r="U303" s="41" t="str">
        <x:v>W6;l10n</x:v>
      </x:c>
    </x:row>
    <x:row r="304">
      <x:c r="A304" s="41" t="str">
        <x:v>CHAR-ART-001</x:v>
      </x:c>
      <x:c r="B304" s="41" t="str">
        <x:v>Cámara</x:v>
      </x:c>
      <x:c r="C304" s="41" t="str">
        <x:v>Wall occlusion</x:v>
      </x:c>
      <x:c r="D304" s="41" t="str">
        <x:v>ADR-0084</x:v>
      </x:c>
      <x:c r="E304" s="41" t="str">
        <x:v>Policy efectiva mantiene wall occlusion false</x:v>
      </x:c>
      <x:c r="F304" s="41" t="str">
        <x:v>Cargar con defaults y recorrer cámara.</x:v>
      </x:c>
      <x:c r="G304" s="41" t="str">
        <x:v>Baseline main@efbc1a885a1d6819f764ec8cff8a465ad1986661 / app 0.0.21; estado reproducible y datos controlados.</x:v>
      </x:c>
      <x:c r="H304" s="41" t="str">
        <x:v>Dataset nominal y variante límite/negativa definida para el caso.</x:v>
      </x:c>
      <x:c r="I304" s="41" t="str">
        <x:v>1. Preparar baseline y captura inicial. 2. Ejecutar la acción. 3. Registrar estado, UI, logs y datos. 4. Comparar invariantes y resultado.</x:v>
      </x:c>
      <x:c r="J304" s="41" t="str">
        <x:v>Ninguna pared usa la ocultación desactivada.</x:v>
      </x:c>
      <x:c r="K304" s="41" t="str">
        <x:v>Caracterización / Regresión</x:v>
      </x:c>
      <x:c r="L304" s="41" t="str">
        <x:v>PlayMode + Manual</x:v>
      </x:c>
      <x:c r="M304" s="41" t="str">
        <x:v>P0</x:v>
      </x:c>
      <x:c r="N304" s="41" t="str">
        <x:v>S1</x:v>
      </x:c>
      <x:c r="O304" s="41" t="str">
        <x:v>Manual/Parcial</x:v>
      </x:c>
      <x:c r="P304" s="41" t="str">
        <x:v>StoreInitial</x:v>
      </x:c>
      <x:c r="Q304" s="41" t="str">
        <x:v>Sprint17_Phase1 / pre-ola</x:v>
      </x:c>
      <x:c r="R304" s="41" t="str">
        <x:v>Ready / Not Run</x:v>
      </x:c>
      <x:c r="S304" s="41" t="str">
        <x:v>VRM Games</x:v>
      </x:c>
      <x:c r="T304" s="41" t="str">
        <x:v>ADR-0074…ADR-0085 / W0 documental</x:v>
      </x:c>
      <x:c r="U304" s="41" t="str">
        <x:v>W7;camera</x:v>
      </x:c>
    </x:row>
    <x:row r="305">
      <x:c r="A305" s="41" t="str">
        <x:v>CHAR-ART-002</x:v>
      </x:c>
      <x:c r="B305" s="41" t="str">
        <x:v>Settings</x:v>
      </x:c>
      <x:c r="C305" s="41" t="str">
        <x:v>Migración</x:v>
      </x:c>
      <x:c r="D305" s="41" t="str">
        <x:v>ADR-0084</x:v>
      </x:c>
      <x:c r="E305" s="41" t="str">
        <x:v>Preferencia antigua true no reactiva occlusion</x:v>
      </x:c>
      <x:c r="F305" s="41" t="str">
        <x:v>Inyectar PlayerPrefs/config legacy.</x:v>
      </x:c>
      <x:c r="G305" s="41" t="str">
        <x:v>Baseline main@efbc1a885a1d6819f764ec8cff8a465ad1986661 / app 0.0.21; estado reproducible y datos controlados.</x:v>
      </x:c>
      <x:c r="H305" s="41" t="str">
        <x:v>Dataset nominal y variante límite/negativa definida para el caso.</x:v>
      </x:c>
      <x:c r="I305" s="41" t="str">
        <x:v>1. Preparar baseline y captura inicial. 2. Ejecutar la acción. 3. Registrar estado, UI, logs y datos. 4. Comparar invariantes y resultado.</x:v>
      </x:c>
      <x:c r="J305" s="41" t="str">
        <x:v>La policy ignora o migra el valor y el toggle no aparece.</x:v>
      </x:c>
      <x:c r="K305" s="41" t="str">
        <x:v>Caracterización / Regresión</x:v>
      </x:c>
      <x:c r="L305" s="41" t="str">
        <x:v>PlayMode + Manual</x:v>
      </x:c>
      <x:c r="M305" s="41" t="str">
        <x:v>P0</x:v>
      </x:c>
      <x:c r="N305" s="41" t="str">
        <x:v>S1</x:v>
      </x:c>
      <x:c r="O305" s="41" t="str">
        <x:v>Manual/Parcial</x:v>
      </x:c>
      <x:c r="P305" s="41" t="str">
        <x:v>StoreInitial</x:v>
      </x:c>
      <x:c r="Q305" s="41" t="str">
        <x:v>Sprint17_Phase1 / pre-ola</x:v>
      </x:c>
      <x:c r="R305" s="41" t="str">
        <x:v>Ready / Not Run</x:v>
      </x:c>
      <x:c r="S305" s="41" t="str">
        <x:v>VRM Games</x:v>
      </x:c>
      <x:c r="T305" s="41" t="str">
        <x:v>ADR-0074…ADR-0085 / W0 documental</x:v>
      </x:c>
      <x:c r="U305" s="41" t="str">
        <x:v>W7;settings</x:v>
      </x:c>
    </x:row>
    <x:row r="306">
      <x:c r="A306" s="41" t="str">
        <x:v>CHAR-ART-003</x:v>
      </x:c>
      <x:c r="B306" s="41" t="str">
        <x:v>UI</x:v>
      </x:c>
      <x:c r="C306" s="41" t="str">
        <x:v>Settings</x:v>
      </x:c>
      <x:c r="D306" s="41" t="str">
        <x:v>ADR-0084</x:v>
      </x:c>
      <x:c r="E306" s="41" t="str">
        <x:v>Ocultar toggle no deja foco o layout huérfano</x:v>
      </x:c>
      <x:c r="F306" s="41" t="str">
        <x:v>Navegar settings por teclado y ratón.</x:v>
      </x:c>
      <x:c r="G306" s="41" t="str">
        <x:v>Baseline main@efbc1a885a1d6819f764ec8cff8a465ad1986661 / app 0.0.21; estado reproducible y datos controlados.</x:v>
      </x:c>
      <x:c r="H306" s="41" t="str">
        <x:v>Dataset nominal y variante límite/negativa definida para el caso.</x:v>
      </x:c>
      <x:c r="I306" s="41" t="str">
        <x:v>1. Preparar baseline y captura inicial. 2. Ejecutar la acción. 3. Registrar estado, UI, logs y datos. 4. Comparar invariantes y resultado.</x:v>
      </x:c>
      <x:c r="J306" s="41" t="str">
        <x:v>Orden de foco, espaciado y navegación permanecen correctos.</x:v>
      </x:c>
      <x:c r="K306" s="41" t="str">
        <x:v>Caracterización / Regresión</x:v>
      </x:c>
      <x:c r="L306" s="41" t="str">
        <x:v>Manual</x:v>
      </x:c>
      <x:c r="M306" s="41" t="str">
        <x:v>P1</x:v>
      </x:c>
      <x:c r="N306" s="41" t="str">
        <x:v>S2</x:v>
      </x:c>
      <x:c r="O306" s="41" t="str">
        <x:v>Manual/Parcial</x:v>
      </x:c>
      <x:c r="P306" s="41" t="str">
        <x:v>MainMenu / StoreInitial</x:v>
      </x:c>
      <x:c r="Q306" s="41" t="str">
        <x:v>Sprint17_Phase1 / pre-ola</x:v>
      </x:c>
      <x:c r="R306" s="41" t="str">
        <x:v>Ready / Not Run</x:v>
      </x:c>
      <x:c r="S306" s="41" t="str">
        <x:v>VRM Games</x:v>
      </x:c>
      <x:c r="T306" s="41" t="str">
        <x:v>ADR-0074…ADR-0085 / W0 documental</x:v>
      </x:c>
      <x:c r="U306" s="41" t="str">
        <x:v>W7;ui</x:v>
      </x:c>
    </x:row>
    <x:row r="307">
      <x:c r="A307" s="41" t="str">
        <x:v>CHAR-ART-004</x:v>
      </x:c>
      <x:c r="B307" s="41" t="str">
        <x:v>Placement</x:v>
      </x:c>
      <x:c r="C307" s="41" t="str">
        <x:v>GroundAnchor</x:v>
      </x:c>
      <x:c r="D307" s="41" t="str">
        <x:v>ADR-0085</x:v>
      </x:c>
      <x:c r="E307" s="41" t="str">
        <x:v>Prefabs usan base-centro contractual</x:v>
      </x:c>
      <x:c r="F307" s="41" t="str">
        <x:v>Inspeccionar familia representativa de prefabs.</x:v>
      </x:c>
      <x:c r="G307" s="41" t="str">
        <x:v>Baseline main@efbc1a885a1d6819f764ec8cff8a465ad1986661 / app 0.0.21; estado reproducible y datos controlados.</x:v>
      </x:c>
      <x:c r="H307" s="41" t="str">
        <x:v>Dataset nominal y variante límite/negativa definida para el caso.</x:v>
      </x:c>
      <x:c r="I307" s="41" t="str">
        <x:v>1. Preparar baseline y captura inicial. 2. Ejecutar la acción. 3. Registrar estado, UI, logs y datos. 4. Comparar invariantes y resultado.</x:v>
      </x:c>
      <x:c r="J307" s="41" t="str">
        <x:v>Anchor, footprint, collider y visual coinciden.</x:v>
      </x:c>
      <x:c r="K307" s="41" t="str">
        <x:v>Caracterización / Regresión</x:v>
      </x:c>
      <x:c r="L307" s="41" t="str">
        <x:v>EditMode + Manual</x:v>
      </x:c>
      <x:c r="M307" s="41" t="str">
        <x:v>P0</x:v>
      </x:c>
      <x:c r="N307" s="41" t="str">
        <x:v>S1</x:v>
      </x:c>
      <x:c r="O307" s="41" t="str">
        <x:v>Manual/Parcial</x:v>
      </x:c>
      <x:c r="P307" s="41" t="str">
        <x:v>StoreInitial / Prefab</x:v>
      </x:c>
      <x:c r="Q307" s="41" t="str">
        <x:v>Sprint17_Phase1 / pre-ola</x:v>
      </x:c>
      <x:c r="R307" s="41" t="str">
        <x:v>Ready / Not Run</x:v>
      </x:c>
      <x:c r="S307" s="41" t="str">
        <x:v>VRM Games</x:v>
      </x:c>
      <x:c r="T307" s="41" t="str">
        <x:v>ADR-0074…ADR-0085 / W0 documental</x:v>
      </x:c>
      <x:c r="U307" s="41" t="str">
        <x:v>W7;anchor</x:v>
      </x:c>
    </x:row>
    <x:row r="308">
      <x:c r="A308" s="41" t="str">
        <x:v>CHAR-ART-005</x:v>
      </x:c>
      <x:c r="B308" s="41" t="str">
        <x:v>Placement</x:v>
      </x:c>
      <x:c r="C308" s="41" t="str">
        <x:v>Migración</x:v>
      </x:c>
      <x:c r="D308" s="41" t="str">
        <x:v>ADR-0085</x:v>
      </x:c>
      <x:c r="E308" s="41" t="str">
        <x:v>Migración aplica compensación una sola vez</x:v>
      </x:c>
      <x:c r="F308" s="41" t="str">
        <x:v>Cargar estado pre-W7 dos veces.</x:v>
      </x:c>
      <x:c r="G308" s="41" t="str">
        <x:v>Baseline main@efbc1a885a1d6819f764ec8cff8a465ad1986661 / app 0.0.21; estado reproducible y datos controlados.</x:v>
      </x:c>
      <x:c r="H308" s="41" t="str">
        <x:v>Dataset nominal y variante límite/negativa definida para el caso.</x:v>
      </x:c>
      <x:c r="I308" s="41" t="str">
        <x:v>1. Preparar baseline y captura inicial. 2. Ejecutar la acción. 3. Registrar estado, UI, logs y datos. 4. Comparar invariantes y resultado.</x:v>
      </x:c>
      <x:c r="J308" s="41" t="str">
        <x:v>La primera carga corrige cuando procede; posteriores no acumulan offset.</x:v>
      </x:c>
      <x:c r="K308" s="41" t="str">
        <x:v>Caracterización / Regresión</x:v>
      </x:c>
      <x:c r="L308" s="41" t="str">
        <x:v>EditMode + PlayMode</x:v>
      </x:c>
      <x:c r="M308" s="41" t="str">
        <x:v>P0</x:v>
      </x:c>
      <x:c r="N308" s="41" t="str">
        <x:v>S1</x:v>
      </x:c>
      <x:c r="O308" s="41" t="str">
        <x:v>Manual/Parcial</x:v>
      </x:c>
      <x:c r="P308" s="41" t="str">
        <x:v>StoreInitial</x:v>
      </x:c>
      <x:c r="Q308" s="41" t="str">
        <x:v>Sprint17_Phase1 / pre-ola</x:v>
      </x:c>
      <x:c r="R308" s="41" t="str">
        <x:v>Ready / Not Run</x:v>
      </x:c>
      <x:c r="S308" s="41" t="str">
        <x:v>VRM Games</x:v>
      </x:c>
      <x:c r="T308" s="41" t="str">
        <x:v>ADR-0074…ADR-0085 / W0 documental</x:v>
      </x:c>
      <x:c r="U308" s="41" t="str">
        <x:v>W7;migration</x:v>
      </x:c>
    </x:row>
    <x:row r="309">
      <x:c r="A309" s="41" t="str">
        <x:v>CHAR-ART-006</x:v>
      </x:c>
      <x:c r="B309" s="41" t="str">
        <x:v>Persistencia</x:v>
      </x:c>
      <x:c r="C309" s="41" t="str">
        <x:v>Placement snapshot</x:v>
      </x:c>
      <x:c r="D309" s="41" t="str">
        <x:v>ADR-0085</x:v>
      </x:c>
      <x:c r="E309" s="41" t="str">
        <x:v>Saves 0.0.21 no desplazan mobiliario</x:v>
      </x:c>
      <x:c r="F309" s="41" t="str">
        <x:v>Cargar varios placements/rotaciones.</x:v>
      </x:c>
      <x:c r="G309" s="41" t="str">
        <x:v>Baseline main@efbc1a885a1d6819f764ec8cff8a465ad1986661 / app 0.0.21; estado reproducible y datos controlados.</x:v>
      </x:c>
      <x:c r="H309" s="41" t="str">
        <x:v>Dataset nominal y variante límite/negativa definida para el caso.</x:v>
      </x:c>
      <x:c r="I309" s="41" t="str">
        <x:v>1. Preparar baseline y captura inicial. 2. Ejecutar la acción. 3. Registrar estado, UI, logs y datos. 4. Comparar invariantes y resultado.</x:v>
      </x:c>
      <x:c r="J309" s="41" t="str">
        <x:v>Transforms, celdas, acceso y colliders mantienen equivalencia.</x:v>
      </x:c>
      <x:c r="K309" s="41" t="str">
        <x:v>Caracterización / Regresión</x:v>
      </x:c>
      <x:c r="L309" s="41" t="str">
        <x:v>PlayMode + Manual</x:v>
      </x:c>
      <x:c r="M309" s="41" t="str">
        <x:v>P0</x:v>
      </x:c>
      <x:c r="N309" s="41" t="str">
        <x:v>S1</x:v>
      </x:c>
      <x:c r="O309" s="41" t="str">
        <x:v>Manual/Parcial</x:v>
      </x:c>
      <x:c r="P309" s="41" t="str">
        <x:v>StoreInitial</x:v>
      </x:c>
      <x:c r="Q309" s="41" t="str">
        <x:v>Sprint17_Phase1 / pre-ola</x:v>
      </x:c>
      <x:c r="R309" s="41" t="str">
        <x:v>Ready / Not Run</x:v>
      </x:c>
      <x:c r="S309" s="41" t="str">
        <x:v>VRM Games</x:v>
      </x:c>
      <x:c r="T309" s="41" t="str">
        <x:v>ADR-0074…ADR-0085 / W0 documental</x:v>
      </x:c>
      <x:c r="U309" s="41" t="str">
        <x:v>W7;save</x:v>
      </x:c>
    </x:row>
    <x:row r="310">
      <x:c r="A310" s="41" t="str">
        <x:v>CHAR-ART-007</x:v>
      </x:c>
      <x:c r="B310" s="41" t="str">
        <x:v>Navegación</x:v>
      </x:c>
      <x:c r="C310" s="41" t="str">
        <x:v>Placement</x:v>
      </x:c>
      <x:c r="D310" s="41" t="str">
        <x:v>ADR-0085</x:v>
      </x:c>
      <x:c r="E310" s="41" t="str">
        <x:v>Corrección de pivotes no rompe NavMesh ni interacción</x:v>
      </x:c>
      <x:c r="F310" s="41" t="str">
        <x:v>Recorrer alrededor de objetos migrados.</x:v>
      </x:c>
      <x:c r="G310" s="41" t="str">
        <x:v>Baseline main@efbc1a885a1d6819f764ec8cff8a465ad1986661 / app 0.0.21; estado reproducible y datos controlados.</x:v>
      </x:c>
      <x:c r="H310" s="41" t="str">
        <x:v>Dataset nominal y variante límite/negativa definida para el caso.</x:v>
      </x:c>
      <x:c r="I310" s="41" t="str">
        <x:v>1. Preparar baseline y captura inicial. 2. Ejecutar la acción. 3. Registrar estado, UI, logs y datos. 4. Comparar invariantes y resultado.</x:v>
      </x:c>
      <x:c r="J310" s="41" t="str">
        <x:v>No aparecen obstáculos fantasma, huecos o puntos de interacción desplazados.</x:v>
      </x:c>
      <x:c r="K310" s="41" t="str">
        <x:v>Caracterización / Regresión</x:v>
      </x:c>
      <x:c r="L310" s="41" t="str">
        <x:v>Build + Manual</x:v>
      </x:c>
      <x:c r="M310" s="41" t="str">
        <x:v>P0</x:v>
      </x:c>
      <x:c r="N310" s="41" t="str">
        <x:v>S1</x:v>
      </x:c>
      <x:c r="O310" s="41" t="str">
        <x:v>Manual/Parcial</x:v>
      </x:c>
      <x:c r="P310" s="41" t="str">
        <x:v>StoreInitial / Build</x:v>
      </x:c>
      <x:c r="Q310" s="41" t="str">
        <x:v>Sprint17_Phase1 / pre-ola</x:v>
      </x:c>
      <x:c r="R310" s="41" t="str">
        <x:v>Ready / Not Run</x:v>
      </x:c>
      <x:c r="S310" s="41" t="str">
        <x:v>VRM Games</x:v>
      </x:c>
      <x:c r="T310" s="41" t="str">
        <x:v>ADR-0074…ADR-0085 / W0 documental</x:v>
      </x:c>
      <x:c r="U310" s="41" t="str">
        <x:v>W7;navmesh</x:v>
      </x:c>
    </x:row>
    <x:row r="311">
      <x:c r="A311" s="41" t="str">
        <x:v>CHAR-REG-001</x:v>
      </x:c>
      <x:c r="B311" s="41" t="str">
        <x:v>Regresión</x:v>
      </x:c>
      <x:c r="C311" s="41" t="str">
        <x:v>Golden Path</x:v>
      </x:c>
      <x:c r="D311" s="41" t="str">
        <x:v>ADR-0074…ADR-0085</x:v>
      </x:c>
      <x:c r="E311" s="41" t="str">
        <x:v>Golden Path completo tras W1-W7</x:v>
      </x:c>
      <x:c r="F311" s="41" t="str">
        <x:v>Ejecutar desde Bootstrap a resultados.</x:v>
      </x:c>
      <x:c r="G311" s="41" t="str">
        <x:v>Baseline main@efbc1a885a1d6819f764ec8cff8a465ad1986661 / app 0.0.21; estado reproducible y datos controlados.</x:v>
      </x:c>
      <x:c r="H311" s="41" t="str">
        <x:v>Dataset nominal y variante límite/negativa definida para el caso.</x:v>
      </x:c>
      <x:c r="I311" s="41" t="str">
        <x:v>1. Preparar baseline y captura inicial. 2. Ejecutar la acción. 3. Registrar estado, UI, logs y datos. 4. Comparar invariantes y resultado.</x:v>
      </x:c>
      <x:c r="J311" s="41" t="str">
        <x:v>El flujo completa sin S0/S1, bloqueos ni datos divergentes.</x:v>
      </x:c>
      <x:c r="K311" s="41" t="str">
        <x:v>Caracterización / Regresión</x:v>
      </x:c>
      <x:c r="L311" s="41" t="str">
        <x:v>Build + Manual</x:v>
      </x:c>
      <x:c r="M311" s="41" t="str">
        <x:v>P0</x:v>
      </x:c>
      <x:c r="N311" s="41" t="str">
        <x:v>S1</x:v>
      </x:c>
      <x:c r="O311" s="41" t="str">
        <x:v>Manual/Parcial</x:v>
      </x:c>
      <x:c r="P311" s="41" t="str">
        <x:v>Bootstrap/MainMenu/StoreInitial</x:v>
      </x:c>
      <x:c r="Q311" s="41" t="str">
        <x:v>Sprint17_Phase1 / pre-ola</x:v>
      </x:c>
      <x:c r="R311" s="41" t="str">
        <x:v>Ready / Not Run</x:v>
      </x:c>
      <x:c r="S311" s="41" t="str">
        <x:v>VRM Games</x:v>
      </x:c>
      <x:c r="T311" s="41" t="str">
        <x:v>ADR-0074…ADR-0085 / W0 documental</x:v>
      </x:c>
      <x:c r="U311" s="41" t="str">
        <x:v>W8;golden-path</x:v>
      </x:c>
    </x:row>
    <x:row r="312">
      <x:c r="A312" s="41" t="str">
        <x:v>CHAR-REG-002</x:v>
      </x:c>
      <x:c r="B312" s="41" t="str">
        <x:v>Regresión</x:v>
      </x:c>
      <x:c r="C312" s="41" t="str">
        <x:v>Campaña siete días</x:v>
      </x:c>
      <x:c r="D312" s="41" t="str">
        <x:v>ADR-0082;ADR-0083</x:v>
      </x:c>
      <x:c r="E312" s="41" t="str">
        <x:v>Campaña persistente de siete días</x:v>
      </x:c>
      <x:c r="F312" s="41" t="str">
        <x:v>Jugar, guardar y cargar durante una semana.</x:v>
      </x:c>
      <x:c r="G312" s="41" t="str">
        <x:v>Baseline main@efbc1a885a1d6819f764ec8cff8a465ad1986661 / app 0.0.21; estado reproducible y datos controlados.</x:v>
      </x:c>
      <x:c r="H312" s="41" t="str">
        <x:v>Dataset nominal y variante límite/negativa definida para el caso.</x:v>
      </x:c>
      <x:c r="I312" s="41" t="str">
        <x:v>1. Preparar baseline y captura inicial. 2. Ejecutar la acción. 3. Registrar estado, UI, logs y datos. 4. Comparar invariantes y resultado.</x:v>
      </x:c>
      <x:c r="J312" s="41" t="str">
        <x:v>Días, impuesto, historial, lifetime, stock y caja reconcilian.</x:v>
      </x:c>
      <x:c r="K312" s="41" t="str">
        <x:v>Caracterización / Regresión</x:v>
      </x:c>
      <x:c r="L312" s="41" t="str">
        <x:v>Build + Manual</x:v>
      </x:c>
      <x:c r="M312" s="41" t="str">
        <x:v>P0</x:v>
      </x:c>
      <x:c r="N312" s="41" t="str">
        <x:v>S1</x:v>
      </x:c>
      <x:c r="O312" s="41" t="str">
        <x:v>Manual/Parcial</x:v>
      </x:c>
      <x:c r="P312" s="41" t="str">
        <x:v>StoreInitial / Build</x:v>
      </x:c>
      <x:c r="Q312" s="41" t="str">
        <x:v>Sprint17_Phase1 / pre-ola</x:v>
      </x:c>
      <x:c r="R312" s="41" t="str">
        <x:v>Ready / Not Run</x:v>
      </x:c>
      <x:c r="S312" s="41" t="str">
        <x:v>VRM Games</x:v>
      </x:c>
      <x:c r="T312" s="41" t="str">
        <x:v>ADR-0074…ADR-0085 / W0 documental</x:v>
      </x:c>
      <x:c r="U312" s="41" t="str">
        <x:v>W8;7-days</x:v>
      </x:c>
    </x:row>
    <x:row r="313">
      <x:c r="A313" s="41" t="str">
        <x:v>CHAR-REG-003</x:v>
      </x:c>
      <x:c r="B313" s="41" t="str">
        <x:v>Regresión</x:v>
      </x:c>
      <x:c r="C313" s="41" t="str">
        <x:v>Save/reload</x:v>
      </x:c>
      <x:c r="D313" s="41" t="str">
        <x:v>ADR-0076;ADR-0079;ADR-0082</x:v>
      </x:c>
      <x:c r="E313" s="41" t="str">
        <x:v>Cerrar ejecutable y continuar slot</x:v>
      </x:c>
      <x:c r="F313" s="41" t="str">
        <x:v>Guardar en fase segura, cerrar y reabrir.</x:v>
      </x:c>
      <x:c r="G313" s="41" t="str">
        <x:v>Baseline main@efbc1a885a1d6819f764ec8cff8a465ad1986661 / app 0.0.21; estado reproducible y datos controlados.</x:v>
      </x:c>
      <x:c r="H313" s="41" t="str">
        <x:v>Dataset nominal y variante límite/negativa definida para el caso.</x:v>
      </x:c>
      <x:c r="I313" s="41" t="str">
        <x:v>1. Preparar baseline y captura inicial. 2. Ejecutar la acción. 3. Registrar estado, UI, logs y datos. 4. Comparar invariantes y resultado.</x:v>
      </x:c>
      <x:c r="J313" s="41" t="str">
        <x:v>El estado cargado es equivalente y no repite commits.</x:v>
      </x:c>
      <x:c r="K313" s="41" t="str">
        <x:v>Caracterización / Regresión</x:v>
      </x:c>
      <x:c r="L313" s="41" t="str">
        <x:v>Build + Manual</x:v>
      </x:c>
      <x:c r="M313" s="41" t="str">
        <x:v>P0</x:v>
      </x:c>
      <x:c r="N313" s="41" t="str">
        <x:v>S1</x:v>
      </x:c>
      <x:c r="O313" s="41" t="str">
        <x:v>Manual/Parcial</x:v>
      </x:c>
      <x:c r="P313" s="41" t="str">
        <x:v>Windows x64 Build</x:v>
      </x:c>
      <x:c r="Q313" s="41" t="str">
        <x:v>Sprint17_Phase1 / pre-ola</x:v>
      </x:c>
      <x:c r="R313" s="41" t="str">
        <x:v>Ready / Not Run</x:v>
      </x:c>
      <x:c r="S313" s="41" t="str">
        <x:v>VRM Games</x:v>
      </x:c>
      <x:c r="T313" s="41" t="str">
        <x:v>ADR-0074…ADR-0085 / W0 documental</x:v>
      </x:c>
      <x:c r="U313" s="41" t="str">
        <x:v>W8;save</x:v>
      </x:c>
    </x:row>
    <x:row r="314">
      <x:c r="A314" s="41" t="str">
        <x:v>CHAR-REG-004</x:v>
      </x:c>
      <x:c r="B314" s="41" t="str">
        <x:v>Regresión</x:v>
      </x:c>
      <x:c r="C314" s="41" t="str">
        <x:v>Idempotencia</x:v>
      </x:c>
      <x:c r="D314" s="41" t="str">
        <x:v>ADR-0079;ADR-0080;ADR-0083</x:v>
      </x:c>
      <x:c r="E314" s="41" t="str">
        <x:v>Reintentos no duplican ledger o stock</x:v>
      </x:c>
      <x:c r="F314" s="41" t="str">
        <x:v>Repetir receipt, Process All, cierre semanal y save.</x:v>
      </x:c>
      <x:c r="G314" s="41" t="str">
        <x:v>Baseline main@efbc1a885a1d6819f764ec8cff8a465ad1986661 / app 0.0.21; estado reproducible y datos controlados.</x:v>
      </x:c>
      <x:c r="H314" s="41" t="str">
        <x:v>Dataset nominal y variante límite/negativa definida para el caso.</x:v>
      </x:c>
      <x:c r="I314" s="41" t="str">
        <x:v>1. Preparar baseline y captura inicial. 2. Ejecutar la acción. 3. Registrar estado, UI, logs y datos. 4. Comparar invariantes y resultado.</x:v>
      </x:c>
      <x:c r="J314" s="41" t="str">
        <x:v>Todos los comandos protegidos producen como máximo un efecto.</x:v>
      </x:c>
      <x:c r="K314" s="41" t="str">
        <x:v>Caracterización / Regresión</x:v>
      </x:c>
      <x:c r="L314" s="41" t="str">
        <x:v>EditMode + Build</x:v>
      </x:c>
      <x:c r="M314" s="41" t="str">
        <x:v>P0</x:v>
      </x:c>
      <x:c r="N314" s="41" t="str">
        <x:v>S1</x:v>
      </x:c>
      <x:c r="O314" s="41" t="str">
        <x:v>Manual/Parcial</x:v>
      </x:c>
      <x:c r="P314" s="41" t="str">
        <x:v>TestLab / Build</x:v>
      </x:c>
      <x:c r="Q314" s="41" t="str">
        <x:v>Sprint17_Phase1 / pre-ola</x:v>
      </x:c>
      <x:c r="R314" s="41" t="str">
        <x:v>Ready / Not Run</x:v>
      </x:c>
      <x:c r="S314" s="41" t="str">
        <x:v>VRM Games</x:v>
      </x:c>
      <x:c r="T314" s="41" t="str">
        <x:v>ADR-0074…ADR-0085 / W0 documental</x:v>
      </x:c>
      <x:c r="U314" s="41" t="str">
        <x:v>W8;idempotency</x:v>
      </x:c>
    </x:row>
    <x:row r="315">
      <x:c r="A315" s="41" t="str">
        <x:v>CHAR-REG-005</x:v>
      </x:c>
      <x:c r="B315" s="41" t="str">
        <x:v>Regresión</x:v>
      </x:c>
      <x:c r="C315" s="41" t="str">
        <x:v>Conservación</x:v>
      </x:c>
      <x:c r="D315" s="41" t="str">
        <x:v>ADR-0081</x:v>
      </x:c>
      <x:c r="E315" s="41" t="str">
        <x:v>Inventario total se conserva</x:v>
      </x:c>
      <x:c r="F315" s="41" t="str">
        <x:v>Comparar proveedor/entrega/almacén/display/carrito/checkout.</x:v>
      </x:c>
      <x:c r="G315" s="41" t="str">
        <x:v>Baseline main@efbc1a885a1d6819f764ec8cff8a465ad1986661 / app 0.0.21; estado reproducible y datos controlados.</x:v>
      </x:c>
      <x:c r="H315" s="41" t="str">
        <x:v>Dataset nominal y variante límite/negativa definida para el caso.</x:v>
      </x:c>
      <x:c r="I315" s="41" t="str">
        <x:v>1. Preparar baseline y captura inicial. 2. Ejecutar la acción. 3. Registrar estado, UI, logs y datos. 4. Comparar invariantes y resultado.</x:v>
      </x:c>
      <x:c r="J315" s="41" t="str">
        <x:v>La suma cambia solo por entradas/salidas contractuales.</x:v>
      </x:c>
      <x:c r="K315" s="41" t="str">
        <x:v>Caracterización / Regresión</x:v>
      </x:c>
      <x:c r="L315" s="41" t="str">
        <x:v>EditMode + Build</x:v>
      </x:c>
      <x:c r="M315" s="41" t="str">
        <x:v>P0</x:v>
      </x:c>
      <x:c r="N315" s="41" t="str">
        <x:v>S1</x:v>
      </x:c>
      <x:c r="O315" s="41" t="str">
        <x:v>Manual/Parcial</x:v>
      </x:c>
      <x:c r="P315" s="41" t="str">
        <x:v>StoreInitial / Build</x:v>
      </x:c>
      <x:c r="Q315" s="41" t="str">
        <x:v>Sprint17_Phase1 / pre-ola</x:v>
      </x:c>
      <x:c r="R315" s="41" t="str">
        <x:v>Ready / Not Run</x:v>
      </x:c>
      <x:c r="S315" s="41" t="str">
        <x:v>VRM Games</x:v>
      </x:c>
      <x:c r="T315" s="41" t="str">
        <x:v>ADR-0074…ADR-0085 / W0 documental</x:v>
      </x:c>
      <x:c r="U315" s="41" t="str">
        <x:v>W8;inventory</x:v>
      </x:c>
    </x:row>
    <x:row r="316">
      <x:c r="A316" s="41" t="str">
        <x:v>CHAR-REG-006</x:v>
      </x:c>
      <x:c r="B316" s="41" t="str">
        <x:v>Regresión</x:v>
      </x:c>
      <x:c r="C316" s="41" t="str">
        <x:v>Clientes</x:v>
      </x:c>
      <x:c r="D316" s="41" t="str">
        <x:v>ADR-0077;ADR-0078</x:v>
      </x:c>
      <x:c r="E316" s="41" t="str">
        <x:v>Ocho clientes sin deadlock en build</x:v>
      </x:c>
      <x:c r="F316" s="41" t="str">
        <x:v>Ejecutar pico de población y cierre.</x:v>
      </x:c>
      <x:c r="G316" s="41" t="str">
        <x:v>Baseline main@efbc1a885a1d6819f764ec8cff8a465ad1986661 / app 0.0.21; estado reproducible y datos controlados.</x:v>
      </x:c>
      <x:c r="H316" s="41" t="str">
        <x:v>Dataset nominal y variante límite/negativa definida para el caso.</x:v>
      </x:c>
      <x:c r="I316" s="41" t="str">
        <x:v>1. Preparar baseline y captura inicial. 2. Ejecutar la acción. 3. Registrar estado, UI, logs y datos. 4. Comparar invariantes y resultado.</x:v>
      </x:c>
      <x:c r="J316" s="41" t="str">
        <x:v>Todos progresan o recuperan; cero clientes huérfanos.</x:v>
      </x:c>
      <x:c r="K316" s="41" t="str">
        <x:v>Caracterización / Regresión</x:v>
      </x:c>
      <x:c r="L316" s="41" t="str">
        <x:v>Build + Manual</x:v>
      </x:c>
      <x:c r="M316" s="41" t="str">
        <x:v>P0</x:v>
      </x:c>
      <x:c r="N316" s="41" t="str">
        <x:v>S1</x:v>
      </x:c>
      <x:c r="O316" s="41" t="str">
        <x:v>Manual/Parcial</x:v>
      </x:c>
      <x:c r="P316" s="41" t="str">
        <x:v>Windows x64 Build</x:v>
      </x:c>
      <x:c r="Q316" s="41" t="str">
        <x:v>Sprint17_Phase1 / pre-ola</x:v>
      </x:c>
      <x:c r="R316" s="41" t="str">
        <x:v>Ready / Not Run</x:v>
      </x:c>
      <x:c r="S316" s="41" t="str">
        <x:v>VRM Games</x:v>
      </x:c>
      <x:c r="T316" s="41" t="str">
        <x:v>ADR-0074…ADR-0085 / W0 documental</x:v>
      </x:c>
      <x:c r="U316" s="41" t="str">
        <x:v>W8;customers</x:v>
      </x:c>
    </x:row>
    <x:row r="317">
      <x:c r="A317" s="41" t="str">
        <x:v>CHAR-REG-007</x:v>
      </x:c>
      <x:c r="B317" s="41" t="str">
        <x:v>Regresión</x:v>
      </x:c>
      <x:c r="C317" s="41" t="str">
        <x:v>UX</x:v>
      </x:c>
      <x:c r="D317" s="41" t="str">
        <x:v>ADR-0074;ADR-0082;ADR-0084</x:v>
      </x:c>
      <x:c r="E317" s="41" t="str">
        <x:v>UI ES/EN a 720p y 1080p</x:v>
      </x:c>
      <x:c r="F317" s="41" t="str">
        <x:v>Recorrer HUD, pausa, Orders, Management y Settings.</x:v>
      </x:c>
      <x:c r="G317" s="41" t="str">
        <x:v>Baseline main@efbc1a885a1d6819f764ec8cff8a465ad1986661 / app 0.0.21; estado reproducible y datos controlados.</x:v>
      </x:c>
      <x:c r="H317" s="41" t="str">
        <x:v>Dataset nominal y variante límite/negativa definida para el caso.</x:v>
      </x:c>
      <x:c r="I317" s="41" t="str">
        <x:v>1. Preparar baseline y captura inicial. 2. Ejecutar la acción. 3. Registrar estado, UI, logs y datos. 4. Comparar invariantes y resultado.</x:v>
      </x:c>
      <x:c r="J317" s="41" t="str">
        <x:v>Flujo operable sin truncamientos o foco bloqueado.</x:v>
      </x:c>
      <x:c r="K317" s="41" t="str">
        <x:v>Caracterización / Regresión</x:v>
      </x:c>
      <x:c r="L317" s="41" t="str">
        <x:v>Build + Manual</x:v>
      </x:c>
      <x:c r="M317" s="41" t="str">
        <x:v>P1</x:v>
      </x:c>
      <x:c r="N317" s="41" t="str">
        <x:v>S2</x:v>
      </x:c>
      <x:c r="O317" s="41" t="str">
        <x:v>Manual/Parcial</x:v>
      </x:c>
      <x:c r="P317" s="41" t="str">
        <x:v>Windows x64 Build</x:v>
      </x:c>
      <x:c r="Q317" s="41" t="str">
        <x:v>Sprint17_Phase1 / pre-ola</x:v>
      </x:c>
      <x:c r="R317" s="41" t="str">
        <x:v>Ready / Not Run</x:v>
      </x:c>
      <x:c r="S317" s="41" t="str">
        <x:v>VRM Games</x:v>
      </x:c>
      <x:c r="T317" s="41" t="str">
        <x:v>ADR-0074…ADR-0085 / W0 documental</x:v>
      </x:c>
      <x:c r="U317" s="41" t="str">
        <x:v>W8;ux</x:v>
      </x:c>
    </x:row>
    <x:row r="318">
      <x:c r="A318" s="41" t="str">
        <x:v>CHAR-REG-008</x:v>
      </x:c>
      <x:c r="B318" s="41" t="str">
        <x:v>Regresión</x:v>
      </x:c>
      <x:c r="C318" s="41" t="str">
        <x:v>Rendimiento</x:v>
      </x:c>
      <x:c r="D318" s="41" t="str">
        <x:v>ADR-0074;ADR-0078</x:v>
      </x:c>
      <x:c r="E318" s="41" t="str">
        <x:v>Frame/memoria bajo carga representativa</x:v>
      </x:c>
      <x:c r="F318" s="41" t="str">
        <x:v>Medir x1/x4 con ocho clientes durante soak.</x:v>
      </x:c>
      <x:c r="G318" s="41" t="str">
        <x:v>Baseline main@efbc1a885a1d6819f764ec8cff8a465ad1986661 / app 0.0.21; estado reproducible y datos controlados.</x:v>
      </x:c>
      <x:c r="H318" s="41" t="str">
        <x:v>Dataset nominal y variante límite/negativa definida para el caso.</x:v>
      </x:c>
      <x:c r="I318" s="41" t="str">
        <x:v>1. Preparar baseline y captura inicial. 2. Ejecutar la acción. 3. Registrar estado, UI, logs y datos. 4. Comparar invariantes y resultado.</x:v>
      </x:c>
      <x:c r="J318" s="41" t="str">
        <x:v>No hay degradación crítica, crecimiento no acotado ni lógica dependiente de FPS.</x:v>
      </x:c>
      <x:c r="K318" s="41" t="str">
        <x:v>Caracterización / Regresión</x:v>
      </x:c>
      <x:c r="L318" s="41" t="str">
        <x:v>Build + Manual</x:v>
      </x:c>
      <x:c r="M318" s="41" t="str">
        <x:v>P1</x:v>
      </x:c>
      <x:c r="N318" s="41" t="str">
        <x:v>S2</x:v>
      </x:c>
      <x:c r="O318" s="41" t="str">
        <x:v>Manual/Parcial</x:v>
      </x:c>
      <x:c r="P318" s="41" t="str">
        <x:v>Windows x64 Build</x:v>
      </x:c>
      <x:c r="Q318" s="41" t="str">
        <x:v>Sprint17_Phase1 / pre-ola</x:v>
      </x:c>
      <x:c r="R318" s="41" t="str">
        <x:v>Ready / Not Run</x:v>
      </x:c>
      <x:c r="S318" s="41" t="str">
        <x:v>VRM Games</x:v>
      </x:c>
      <x:c r="T318" s="41" t="str">
        <x:v>ADR-0074…ADR-0085 / W0 documental</x:v>
      </x:c>
      <x:c r="U318" s="41" t="str">
        <x:v>W8;performance</x:v>
      </x:c>
    </x:row>
    <x:row r="319">
      <x:c r="A319" s="41" t="str">
        <x:v>CHAR-REG-009</x:v>
      </x:c>
      <x:c r="B319" s="41" t="str">
        <x:v>Regresión</x:v>
      </x:c>
      <x:c r="C319" s="41" t="str">
        <x:v>Logs</x:v>
      </x:c>
      <x:c r="D319" s="41" t="str">
        <x:v>ADR-0074…ADR-0085</x:v>
      </x:c>
      <x:c r="E319" s="41" t="str">
        <x:v>Player.log sin errores bloqueantes</x:v>
      </x:c>
      <x:c r="F319" s="41" t="str">
        <x:v>Ejecutar campaña y revisar logs.</x:v>
      </x:c>
      <x:c r="G319" s="41" t="str">
        <x:v>Baseline main@efbc1a885a1d6819f764ec8cff8a465ad1986661 / app 0.0.21; estado reproducible y datos controlados.</x:v>
      </x:c>
      <x:c r="H319" s="41" t="str">
        <x:v>Dataset nominal y variante límite/negativa definida para el caso.</x:v>
      </x:c>
      <x:c r="I319" s="41" t="str">
        <x:v>1. Preparar baseline y captura inicial. 2. Ejecutar la acción. 3. Registrar estado, UI, logs y datos. 4. Comparar invariantes y resultado.</x:v>
      </x:c>
      <x:c r="J319" s="41" t="str">
        <x:v>Cero excepciones no controladas y warnings críticos trazados.</x:v>
      </x:c>
      <x:c r="K319" s="41" t="str">
        <x:v>Caracterización / Regresión</x:v>
      </x:c>
      <x:c r="L319" s="41" t="str">
        <x:v>Build + Manual</x:v>
      </x:c>
      <x:c r="M319" s="41" t="str">
        <x:v>P0</x:v>
      </x:c>
      <x:c r="N319" s="41" t="str">
        <x:v>S1</x:v>
      </x:c>
      <x:c r="O319" s="41" t="str">
        <x:v>Manual/Parcial</x:v>
      </x:c>
      <x:c r="P319" s="41" t="str">
        <x:v>Windows x64 Build</x:v>
      </x:c>
      <x:c r="Q319" s="41" t="str">
        <x:v>Sprint17_Phase1 / pre-ola</x:v>
      </x:c>
      <x:c r="R319" s="41" t="str">
        <x:v>Ready / Not Run</x:v>
      </x:c>
      <x:c r="S319" s="41" t="str">
        <x:v>VRM Games</x:v>
      </x:c>
      <x:c r="T319" s="41" t="str">
        <x:v>ADR-0074…ADR-0085 / W0 documental</x:v>
      </x:c>
      <x:c r="U319" s="41" t="str">
        <x:v>W8;logs</x:v>
      </x:c>
    </x:row>
    <x:row r="320">
      <x:c r="A320" s="41" t="str">
        <x:v>CHAR-REG-010</x:v>
      </x:c>
      <x:c r="B320" s="41" t="str">
        <x:v>Regresión</x:v>
      </x:c>
      <x:c r="C320" s="41" t="str">
        <x:v>Compatibilidad</x:v>
      </x:c>
      <x:c r="D320" s="41" t="str">
        <x:v>ADR-0084;ADR-0085</x:v>
      </x:c>
      <x:c r="E320" s="41" t="str">
        <x:v>Settings y placements legacy compatibles</x:v>
      </x:c>
      <x:c r="F320" s="41" t="str">
        <x:v>Cargar preferencias y saves previos.</x:v>
      </x:c>
      <x:c r="G320" s="41" t="str">
        <x:v>Baseline main@efbc1a885a1d6819f764ec8cff8a465ad1986661 / app 0.0.21; estado reproducible y datos controlados.</x:v>
      </x:c>
      <x:c r="H320" s="41" t="str">
        <x:v>Dataset nominal y variante límite/negativa definida para el caso.</x:v>
      </x:c>
      <x:c r="I320" s="41" t="str">
        <x:v>1. Preparar baseline y captura inicial. 2. Ejecutar la acción. 3. Registrar estado, UI, logs y datos. 4. Comparar invariantes y resultado.</x:v>
      </x:c>
      <x:c r="J320" s="41" t="str">
        <x:v>Occlusion sigue false y placements no se desplazan.</x:v>
      </x:c>
      <x:c r="K320" s="41" t="str">
        <x:v>Caracterización / Regresión</x:v>
      </x:c>
      <x:c r="L320" s="41" t="str">
        <x:v>Build + Manual</x:v>
      </x:c>
      <x:c r="M320" s="41" t="str">
        <x:v>P0</x:v>
      </x:c>
      <x:c r="N320" s="41" t="str">
        <x:v>S1</x:v>
      </x:c>
      <x:c r="O320" s="41" t="str">
        <x:v>Manual/Parcial</x:v>
      </x:c>
      <x:c r="P320" s="41" t="str">
        <x:v>Windows x64 Build</x:v>
      </x:c>
      <x:c r="Q320" s="41" t="str">
        <x:v>Sprint17_Phase1 / pre-ola</x:v>
      </x:c>
      <x:c r="R320" s="41" t="str">
        <x:v>Ready / Not Run</x:v>
      </x:c>
      <x:c r="S320" s="41" t="str">
        <x:v>VRM Games</x:v>
      </x:c>
      <x:c r="T320" s="41" t="str">
        <x:v>ADR-0074…ADR-0085 / W0 documental</x:v>
      </x:c>
      <x:c r="U320" s="41" t="str">
        <x:v>W8;compatibility</x:v>
      </x:c>
    </x:row>
  </x:sheetData>
  <x:mergeCells>
    <x:mergeCell ref="A1:U1"/>
    <x:mergeCell ref="A2:U2"/>
  </x:mergeCells>
  <x:conditionalFormatting sqref="M5:M254">
    <x:cfRule type="expression" dxfId="2" priority="1">
      <x:formula>M5="P0"</x:formula>
    </x:cfRule>
  </x:conditionalFormatting>
  <x:conditionalFormatting sqref="N5:N254">
    <x:cfRule type="expression" dxfId="3" priority="2">
      <x:formula>N5="S0"</x:formula>
    </x:cfRule>
    <x:cfRule type="expression" dxfId="4" priority="3">
      <x:formula>N5="S1"</x:formula>
    </x:cfRule>
  </x:conditionalFormatting>
  <x:dataValidations count="3">
    <x:dataValidation type="list" sqref="M5:M254">
      <x:formula1>"P0,P1,P2,P3,P4"</x:formula1>
    </x:dataValidation>
    <x:dataValidation type="list" sqref="N5:N254">
      <x:formula1>"S0,S1,S2,S3,S4"</x:formula1>
    </x:dataValidation>
    <x:dataValidation type="list" sqref="R5:R254">
      <x:formula1>"Draft,Ready,Legacy,Deprecated"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357cb5ef8740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8" hidden="0" customWidth="1"/>
    <x:col min="4" max="4" width="18" hidden="0" customWidth="1"/>
    <x:col min="5" max="5" width="58" hidden="0" customWidth="1"/>
    <x:col min="6" max="6" width="52" hidden="0" customWidth="1"/>
    <x:col min="7" max="7" width="34" hidden="0" customWidth="1"/>
    <x:col min="8" max="8" width="24" hidden="0" customWidth="1"/>
    <x:col min="9" max="9" width="30" hidden="0" customWidth="1"/>
    <x:col min="10" max="10" width="18" hidden="0" customWidth="1"/>
    <x:col min="11" max="11" width="18" hidden="0" customWidth="1"/>
    <x:col min="12" max="12" width="12" hidden="0" customWidth="1"/>
  </x:cols>
  <x:sheetData>
    <x:row r="1" ht="28" customHeight="1">
      <x:c r="A1" s="36" t="str">
        <x:v>Golden Path y campaña de siete días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Secuencia de validación end-to-end para Sprint 17 y gate H6.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4" customHeight="1">
      <x:c r="A4" s="17" t="str">
        <x:v>Step ID</x:v>
      </x:c>
      <x:c r="B4" s="17" t="str">
        <x:v>Campaña</x:v>
      </x:c>
      <x:c r="C4" s="17" t="str">
        <x:v>Día</x:v>
      </x:c>
      <x:c r="D4" s="17" t="str">
        <x:v>Fase</x:v>
      </x:c>
      <x:c r="E4" s="17" t="str">
        <x:v>Acción</x:v>
      </x:c>
      <x:c r="F4" s="17" t="str">
        <x:v>Resultado esperado</x:v>
      </x:c>
      <x:c r="G4" s="17" t="str">
        <x:v>Test IDs</x:v>
      </x:c>
      <x:c r="H4" s="17" t="str">
        <x:v>Datos</x:v>
      </x:c>
      <x:c r="I4" s="17" t="str">
        <x:v>Evidencia</x:v>
      </x:c>
      <x:c r="J4" s="17" t="str">
        <x:v>Gate</x:v>
      </x:c>
      <x:c r="K4" s="17" t="str">
        <x:v>Owner</x:v>
      </x:c>
      <x:c r="L4" s="17" t="str">
        <x:v>Estado</x:v>
      </x:c>
    </x:row>
    <x:row r="5" ht="42" customHeight="1">
      <x:c r="A5" s="24" t="str">
        <x:v>GP-001</x:v>
      </x:c>
      <x:c r="B5" s="24" t="str">
        <x:v>Golden Path principal</x:v>
      </x:c>
      <x:c r="C5" s="24" t="n">
        <x:v>0</x:v>
      </x:c>
      <x:c r="D5" s="24" t="str">
        <x:v>Arranque</x:v>
      </x:c>
      <x:c r="E5" s="24" t="str">
        <x:v>Ejecutar la aplicación desde una carpeta de build limpia.</x:v>
      </x:c>
      <x:c r="F5" s="24" t="str">
        <x:v>Bootstrap alcanza MainMenu sin excepción.</x:v>
      </x:c>
      <x:c r="G5" s="24" t="str">
        <x:v>TC-VS-APP-001;TC-BLD-EXT-001</x:v>
      </x:c>
      <x:c r="H5" s="24" t="str">
        <x:v>Slot 1 / seed documentada</x:v>
      </x:c>
      <x:c r="I5" s="24" t="str">
        <x:v>Captura, log o registro según el paso</x:v>
      </x:c>
      <x:c r="J5" s="24" t="str">
        <x:v>Sprint 17 / H6</x:v>
      </x:c>
      <x:c r="K5" s="24" t="str">
        <x:v>VRM Games</x:v>
      </x:c>
      <x:c r="L5" s="24" t="str">
        <x:v>Not Run</x:v>
      </x:c>
    </x:row>
    <x:row r="6" ht="42" customHeight="1">
      <x:c r="A6" s="24" t="str">
        <x:v>GP-002</x:v>
      </x:c>
      <x:c r="B6" s="24" t="str">
        <x:v>Golden Path principal</x:v>
      </x:c>
      <x:c r="C6" s="24" t="n">
        <x:v>0</x:v>
      </x:c>
      <x:c r="D6" s="24" t="str">
        <x:v>Slot</x:v>
      </x:c>
      <x:c r="E6" s="24" t="str">
        <x:v>Seleccionar un slot vacío y crear nueva partida.</x:v>
      </x:c>
      <x:c r="F6" s="24" t="str">
        <x:v>Se crea un único slot válido.</x:v>
      </x:c>
      <x:c r="G6" s="24" t="str">
        <x:v>TC-VS-APP-002;TC-UX-SLOT-001</x:v>
      </x:c>
      <x:c r="H6" s="24" t="str">
        <x:v>Slot 1 / seed documentada</x:v>
      </x:c>
      <x:c r="I6" s="24" t="str">
        <x:v>Captura, log o registro según el paso</x:v>
      </x:c>
      <x:c r="J6" s="24" t="str">
        <x:v>Sprint 17 / H6</x:v>
      </x:c>
      <x:c r="K6" s="24" t="str">
        <x:v>VRM Games</x:v>
      </x:c>
      <x:c r="L6" s="24" t="str">
        <x:v>Not Run</x:v>
      </x:c>
    </x:row>
    <x:row r="7" ht="42" customHeight="1">
      <x:c r="A7" s="24" t="str">
        <x:v>GP-003</x:v>
      </x:c>
      <x:c r="B7" s="24" t="str">
        <x:v>Golden Path principal</x:v>
      </x:c>
      <x:c r="C7" s="24" t="n">
        <x:v>0</x:v>
      </x:c>
      <x:c r="D7" s="24" t="str">
        <x:v>Carga</x:v>
      </x:c>
      <x:c r="E7" s="24" t="str">
        <x:v>Cargar StoreInitial.</x:v>
      </x:c>
      <x:c r="F7" s="24" t="str">
        <x:v>Escena y estado quedan disponibles antes de retirar loading.</x:v>
      </x:c>
      <x:c r="G7" s="24" t="str">
        <x:v>TC-VS-SCN-001;TC-UX-SLOT-007</x:v>
      </x:c>
      <x:c r="H7" s="24" t="str">
        <x:v>Slot 1 / seed documentada</x:v>
      </x:c>
      <x:c r="I7" s="24" t="str">
        <x:v>Captura, log o registro según el paso</x:v>
      </x:c>
      <x:c r="J7" s="24" t="str">
        <x:v>Sprint 17 / H6</x:v>
      </x:c>
      <x:c r="K7" s="24" t="str">
        <x:v>VRM Games</x:v>
      </x:c>
      <x:c r="L7" s="24" t="str">
        <x:v>Not Run</x:v>
      </x:c>
    </x:row>
    <x:row r="8" ht="42" customHeight="1">
      <x:c r="A8" s="24" t="str">
        <x:v>GP-004</x:v>
      </x:c>
      <x:c r="B8" s="24" t="str">
        <x:v>Golden Path principal</x:v>
      </x:c>
      <x:c r="C8" s="24" t="n">
        <x:v>1</x:v>
      </x:c>
      <x:c r="D8" s="24" t="str">
        <x:v>Movimiento</x:v>
      </x:c>
      <x:c r="E8" s="24" t="str">
        <x:v>Moverse por entrada, exposición, almacén, recepción y checkout.</x:v>
      </x:c>
      <x:c r="F8" s="24" t="str">
        <x:v>Todos los puntos obligatorios son alcanzables.</x:v>
      </x:c>
      <x:c r="G8" s="24" t="str">
        <x:v>TC-VS-MOV-001</x:v>
      </x:c>
      <x:c r="H8" s="24" t="str">
        <x:v>Slot 1 / seed documentada</x:v>
      </x:c>
      <x:c r="I8" s="24" t="str">
        <x:v>Captura, log o registro según el paso</x:v>
      </x:c>
      <x:c r="J8" s="24" t="str">
        <x:v>Sprint 17 / H6</x:v>
      </x:c>
      <x:c r="K8" s="24" t="str">
        <x:v>VRM Games</x:v>
      </x:c>
      <x:c r="L8" s="24" t="str">
        <x:v>Not Run</x:v>
      </x:c>
    </x:row>
    <x:row r="9" ht="42" customHeight="1">
      <x:c r="A9" s="24" t="str">
        <x:v>GP-005</x:v>
      </x:c>
      <x:c r="B9" s="24" t="str">
        <x:v>Golden Path principal</x:v>
      </x:c>
      <x:c r="C9" s="24" t="n">
        <x:v>1</x:v>
      </x:c>
      <x:c r="D9" s="24" t="str">
        <x:v>Cámara</x:v>
      </x:c>
      <x:c r="E9" s="24" t="str">
        <x:v>Orbitar y hacer zoom en las zonas principales.</x:v>
      </x:c>
      <x:c r="F9" s="24" t="str">
        <x:v>La cámara permanece legible y dentro de límites.</x:v>
      </x:c>
      <x:c r="G9" s="24" t="str">
        <x:v>TC-VS-CAM-001;TC-VS-CAM-002</x:v>
      </x:c>
      <x:c r="H9" s="24" t="str">
        <x:v>Slot 1 / seed documentada</x:v>
      </x:c>
      <x:c r="I9" s="24" t="str">
        <x:v>Captura, log o registro según el paso</x:v>
      </x:c>
      <x:c r="J9" s="24" t="str">
        <x:v>Sprint 17 / H6</x:v>
      </x:c>
      <x:c r="K9" s="24" t="str">
        <x:v>VRM Games</x:v>
      </x:c>
      <x:c r="L9" s="24" t="str">
        <x:v>Not Run</x:v>
      </x:c>
    </x:row>
    <x:row r="10" ht="42" customHeight="1">
      <x:c r="A10" s="24" t="str">
        <x:v>GP-006</x:v>
      </x:c>
      <x:c r="B10" s="24" t="str">
        <x:v>Golden Path principal</x:v>
      </x:c>
      <x:c r="C10" s="24" t="n">
        <x:v>1</x:v>
      </x:c>
      <x:c r="D10" s="24" t="str">
        <x:v>Operations</x:v>
      </x:c>
      <x:c r="E10" s="24" t="str">
        <x:v>Abrir y cerrar Operations sobre suelo interactivo.</x:v>
      </x:c>
      <x:c r="F10" s="24" t="str">
        <x:v>No se propaga input al mundo.</x:v>
      </x:c>
      <x:c r="G10" s="24" t="str">
        <x:v>TC-VS-INP-001;TC-UX-INP-001</x:v>
      </x:c>
      <x:c r="H10" s="24" t="str">
        <x:v>Slot 1 / seed documentada</x:v>
      </x:c>
      <x:c r="I10" s="24" t="str">
        <x:v>Captura, log o registro según el paso</x:v>
      </x:c>
      <x:c r="J10" s="24" t="str">
        <x:v>Sprint 17 / H6</x:v>
      </x:c>
      <x:c r="K10" s="24" t="str">
        <x:v>VRM Games</x:v>
      </x:c>
      <x:c r="L10" s="24" t="str">
        <x:v>Not Run</x:v>
      </x:c>
    </x:row>
    <x:row r="11" ht="42" customHeight="1">
      <x:c r="A11" s="24" t="str">
        <x:v>GP-007</x:v>
      </x:c>
      <x:c r="B11" s="24" t="str">
        <x:v>Golden Path principal</x:v>
      </x:c>
      <x:c r="C11" s="24" t="n">
        <x:v>1</x:v>
      </x:c>
      <x:c r="D11" s="24" t="str">
        <x:v>Pedido</x:v>
      </x:c>
      <x:c r="E11" s="24" t="str">
        <x:v>Crear un pedido válido con varias unidades.</x:v>
      </x:c>
      <x:c r="F11" s="24" t="str">
        <x:v>Se registra una orden y un único coste.</x:v>
      </x:c>
      <x:c r="G11" s="24" t="str">
        <x:v>TC-VS-ORD-002;TC-VS-ECO-001</x:v>
      </x:c>
      <x:c r="H11" s="24" t="str">
        <x:v>Slot 1 / seed documentada</x:v>
      </x:c>
      <x:c r="I11" s="24" t="str">
        <x:v>Captura, log o registro según el paso</x:v>
      </x:c>
      <x:c r="J11" s="24" t="str">
        <x:v>Sprint 17 / H6</x:v>
      </x:c>
      <x:c r="K11" s="24" t="str">
        <x:v>VRM Games</x:v>
      </x:c>
      <x:c r="L11" s="24" t="str">
        <x:v>Not Run</x:v>
      </x:c>
    </x:row>
    <x:row r="12" ht="42" customHeight="1">
      <x:c r="A12" s="24" t="str">
        <x:v>GP-008</x:v>
      </x:c>
      <x:c r="B12" s="24" t="str">
        <x:v>Golden Path principal</x:v>
      </x:c>
      <x:c r="C12" s="24" t="n">
        <x:v>1</x:v>
      </x:c>
      <x:c r="D12" s="24" t="str">
        <x:v>Entrega</x:v>
      </x:c>
      <x:c r="E12" s="24" t="str">
        <x:v>Avanzar hasta la entrega y recibirla.</x:v>
      </x:c>
      <x:c r="F12" s="24" t="str">
        <x:v>Las cantidades coinciden y no se recibe dos veces.</x:v>
      </x:c>
      <x:c r="G12" s="24" t="str">
        <x:v>TC-VS-ORD-003;TC-VS-ORD-004</x:v>
      </x:c>
      <x:c r="H12" s="24" t="str">
        <x:v>Slot 1 / seed documentada</x:v>
      </x:c>
      <x:c r="I12" s="24" t="str">
        <x:v>Captura, log o registro según el paso</x:v>
      </x:c>
      <x:c r="J12" s="24" t="str">
        <x:v>Sprint 17 / H6</x:v>
      </x:c>
      <x:c r="K12" s="24" t="str">
        <x:v>VRM Games</x:v>
      </x:c>
      <x:c r="L12" s="24" t="str">
        <x:v>Not Run</x:v>
      </x:c>
    </x:row>
    <x:row r="13" ht="42" customHeight="1">
      <x:c r="A13" s="24" t="str">
        <x:v>GP-009</x:v>
      </x:c>
      <x:c r="B13" s="24" t="str">
        <x:v>Golden Path principal</x:v>
      </x:c>
      <x:c r="C13" s="24" t="n">
        <x:v>1</x:v>
      </x:c>
      <x:c r="D13" s="24" t="str">
        <x:v>Inventario</x:v>
      </x:c>
      <x:c r="E13" s="24" t="str">
        <x:v>Transferir recepción → almacén.</x:v>
      </x:c>
      <x:c r="F13" s="24" t="str">
        <x:v>La cantidad total se conserva.</x:v>
      </x:c>
      <x:c r="G13" s="24" t="str">
        <x:v>TC-VS-INV-004</x:v>
      </x:c>
      <x:c r="H13" s="24" t="str">
        <x:v>Slot 1 / seed documentada</x:v>
      </x:c>
      <x:c r="I13" s="24" t="str">
        <x:v>Captura, log o registro según el paso</x:v>
      </x:c>
      <x:c r="J13" s="24" t="str">
        <x:v>Sprint 17 / H6</x:v>
      </x:c>
      <x:c r="K13" s="24" t="str">
        <x:v>VRM Games</x:v>
      </x:c>
      <x:c r="L13" s="24" t="str">
        <x:v>Not Run</x:v>
      </x:c>
    </x:row>
    <x:row r="14" ht="42" customHeight="1">
      <x:c r="A14" s="24" t="str">
        <x:v>GP-010</x:v>
      </x:c>
      <x:c r="B14" s="24" t="str">
        <x:v>Golden Path principal</x:v>
      </x:c>
      <x:c r="C14" s="24" t="n">
        <x:v>1</x:v>
      </x:c>
      <x:c r="D14" s="24" t="str">
        <x:v>Display</x:v>
      </x:c>
      <x:c r="E14" s="24" t="str">
        <x:v>Asignar un producto compatible a un display.</x:v>
      </x:c>
      <x:c r="F14" s="24" t="str">
        <x:v>La asignación se refleja sin crear stock.</x:v>
      </x:c>
      <x:c r="G14" s="24" t="str">
        <x:v>TC-UX-DSP-001;TC-VS-DSP-001</x:v>
      </x:c>
      <x:c r="H14" s="24" t="str">
        <x:v>Slot 1 / seed documentada</x:v>
      </x:c>
      <x:c r="I14" s="24" t="str">
        <x:v>Captura, log o registro según el paso</x:v>
      </x:c>
      <x:c r="J14" s="24" t="str">
        <x:v>Sprint 17 / H6</x:v>
      </x:c>
      <x:c r="K14" s="24" t="str">
        <x:v>VRM Games</x:v>
      </x:c>
      <x:c r="L14" s="24" t="str">
        <x:v>Not Run</x:v>
      </x:c>
    </x:row>
    <x:row r="15" ht="42" customHeight="1">
      <x:c r="A15" s="24" t="str">
        <x:v>GP-011</x:v>
      </x:c>
      <x:c r="B15" s="24" t="str">
        <x:v>Golden Path principal</x:v>
      </x:c>
      <x:c r="C15" s="24" t="n">
        <x:v>1</x:v>
      </x:c>
      <x:c r="D15" s="24" t="str">
        <x:v>Reposición</x:v>
      </x:c>
      <x:c r="E15" s="24" t="str">
        <x:v>Reponer hasta capacidad.</x:v>
      </x:c>
      <x:c r="F15" s="24" t="str">
        <x:v>Origen disminuye y display aumenta atómicamente.</x:v>
      </x:c>
      <x:c r="G15" s="24" t="str">
        <x:v>TC-VS-DSP-003;TC-VS-DSP-002</x:v>
      </x:c>
      <x:c r="H15" s="24" t="str">
        <x:v>Slot 1 / seed documentada</x:v>
      </x:c>
      <x:c r="I15" s="24" t="str">
        <x:v>Captura, log o registro según el paso</x:v>
      </x:c>
      <x:c r="J15" s="24" t="str">
        <x:v>Sprint 17 / H6</x:v>
      </x:c>
      <x:c r="K15" s="24" t="str">
        <x:v>VRM Games</x:v>
      </x:c>
      <x:c r="L15" s="24" t="str">
        <x:v>Not Run</x:v>
      </x:c>
    </x:row>
    <x:row r="16" ht="42" customHeight="1">
      <x:c r="A16" s="24" t="str">
        <x:v>GP-012</x:v>
      </x:c>
      <x:c r="B16" s="24" t="str">
        <x:v>Golden Path principal</x:v>
      </x:c>
      <x:c r="C16" s="24" t="n">
        <x:v>1</x:v>
      </x:c>
      <x:c r="D16" s="24" t="str">
        <x:v>Precio</x:v>
      </x:c>
      <x:c r="E16" s="24" t="str">
        <x:v>Confirmar un precio válido.</x:v>
      </x:c>
      <x:c r="F16" s="24" t="str">
        <x:v>El precio persiste y se usa en venta.</x:v>
      </x:c>
      <x:c r="G16" s="24" t="str">
        <x:v>TC-VS-PRC-002</x:v>
      </x:c>
      <x:c r="H16" s="24" t="str">
        <x:v>Slot 1 / seed documentada</x:v>
      </x:c>
      <x:c r="I16" s="24" t="str">
        <x:v>Captura, log o registro según el paso</x:v>
      </x:c>
      <x:c r="J16" s="24" t="str">
        <x:v>Sprint 17 / H6</x:v>
      </x:c>
      <x:c r="K16" s="24" t="str">
        <x:v>VRM Games</x:v>
      </x:c>
      <x:c r="L16" s="24" t="str">
        <x:v>Not Run</x:v>
      </x:c>
    </x:row>
    <x:row r="17" ht="42" customHeight="1">
      <x:c r="A17" s="24" t="str">
        <x:v>GP-013</x:v>
      </x:c>
      <x:c r="B17" s="24" t="str">
        <x:v>Golden Path principal</x:v>
      </x:c>
      <x:c r="C17" s="24" t="n">
        <x:v>1</x:v>
      </x:c>
      <x:c r="D17" s="24" t="str">
        <x:v>Apertura</x:v>
      </x:c>
      <x:c r="E17" s="24" t="str">
        <x:v>Abrir tienda.</x:v>
      </x:c>
      <x:c r="F17" s="24" t="str">
        <x:v>El estado pasa a Open y habilita clientes una vez.</x:v>
      </x:c>
      <x:c r="G17" s="24" t="str">
        <x:v>TC-VS-DAY-002;TC-UX-DAY-002</x:v>
      </x:c>
      <x:c r="H17" s="24" t="str">
        <x:v>Slot 1 / seed documentada</x:v>
      </x:c>
      <x:c r="I17" s="24" t="str">
        <x:v>Captura, log o registro según el paso</x:v>
      </x:c>
      <x:c r="J17" s="24" t="str">
        <x:v>Sprint 17 / H6</x:v>
      </x:c>
      <x:c r="K17" s="24" t="str">
        <x:v>VRM Games</x:v>
      </x:c>
      <x:c r="L17" s="24" t="str">
        <x:v>Not Run</x:v>
      </x:c>
    </x:row>
    <x:row r="18" ht="42" customHeight="1">
      <x:c r="A18" s="24" t="str">
        <x:v>GP-014</x:v>
      </x:c>
      <x:c r="B18" s="24" t="str">
        <x:v>Golden Path principal</x:v>
      </x:c>
      <x:c r="C18" s="24" t="n">
        <x:v>1</x:v>
      </x:c>
      <x:c r="D18" s="24" t="str">
        <x:v>Cliente</x:v>
      </x:c>
      <x:c r="E18" s="24" t="str">
        <x:v>Observar búsqueda y selección de producto.</x:v>
      </x:c>
      <x:c r="F18" s="24" t="str">
        <x:v>El cliente selecciona o abandona con causa.</x:v>
      </x:c>
      <x:c r="G18" s="24" t="str">
        <x:v>TC-VS-CUS-002;TC-UX-CUS-001</x:v>
      </x:c>
      <x:c r="H18" s="24" t="str">
        <x:v>Slot 1 / seed documentada</x:v>
      </x:c>
      <x:c r="I18" s="24" t="str">
        <x:v>Captura, log o registro según el paso</x:v>
      </x:c>
      <x:c r="J18" s="24" t="str">
        <x:v>Sprint 17 / H6</x:v>
      </x:c>
      <x:c r="K18" s="24" t="str">
        <x:v>VRM Games</x:v>
      </x:c>
      <x:c r="L18" s="24" t="str">
        <x:v>Not Run</x:v>
      </x:c>
    </x:row>
    <x:row r="19" ht="42" customHeight="1">
      <x:c r="A19" s="24" t="str">
        <x:v>GP-015</x:v>
      </x:c>
      <x:c r="B19" s="24" t="str">
        <x:v>Golden Path principal</x:v>
      </x:c>
      <x:c r="C19" s="24" t="n">
        <x:v>1</x:v>
      </x:c>
      <x:c r="D19" s="24" t="str">
        <x:v>Reserva</x:v>
      </x:c>
      <x:c r="E19" s="24" t="str">
        <x:v>Permitir que un cliente reserve una unidad.</x:v>
      </x:c>
      <x:c r="F19" s="24" t="str">
        <x:v>La unidad deja de estar disponible para otros.</x:v>
      </x:c>
      <x:c r="G19" s="24" t="str">
        <x:v>TC-VS-RES-001</x:v>
      </x:c>
      <x:c r="H19" s="24" t="str">
        <x:v>Slot 1 / seed documentada</x:v>
      </x:c>
      <x:c r="I19" s="24" t="str">
        <x:v>Captura, log o registro según el paso</x:v>
      </x:c>
      <x:c r="J19" s="24" t="str">
        <x:v>Sprint 17 / H6</x:v>
      </x:c>
      <x:c r="K19" s="24" t="str">
        <x:v>VRM Games</x:v>
      </x:c>
      <x:c r="L19" s="24" t="str">
        <x:v>Not Run</x:v>
      </x:c>
    </x:row>
    <x:row r="20" ht="42" customHeight="1">
      <x:c r="A20" s="24" t="str">
        <x:v>GP-016</x:v>
      </x:c>
      <x:c r="B20" s="24" t="str">
        <x:v>Golden Path principal</x:v>
      </x:c>
      <x:c r="C20" s="24" t="n">
        <x:v>1</x:v>
      </x:c>
      <x:c r="D20" s="24" t="str">
        <x:v>Cola</x:v>
      </x:c>
      <x:c r="E20" s="24" t="str">
        <x:v>Observar entrada y avance en cola.</x:v>
      </x:c>
      <x:c r="F20" s="24" t="str">
        <x:v>El orden es determinista y libera posiciones.</x:v>
      </x:c>
      <x:c r="G20" s="24" t="str">
        <x:v>TC-VS-QUE-001;TC-VS-QUE-002</x:v>
      </x:c>
      <x:c r="H20" s="24" t="str">
        <x:v>Slot 1 / seed documentada</x:v>
      </x:c>
      <x:c r="I20" s="24" t="str">
        <x:v>Captura, log o registro según el paso</x:v>
      </x:c>
      <x:c r="J20" s="24" t="str">
        <x:v>Sprint 17 / H6</x:v>
      </x:c>
      <x:c r="K20" s="24" t="str">
        <x:v>VRM Games</x:v>
      </x:c>
      <x:c r="L20" s="24" t="str">
        <x:v>Not Run</x:v>
      </x:c>
    </x:row>
    <x:row r="21" ht="42" customHeight="1">
      <x:c r="A21" s="24" t="str">
        <x:v>GP-017</x:v>
      </x:c>
      <x:c r="B21" s="24" t="str">
        <x:v>Golden Path principal</x:v>
      </x:c>
      <x:c r="C21" s="24" t="n">
        <x:v>1</x:v>
      </x:c>
      <x:c r="D21" s="24" t="str">
        <x:v>Checkout</x:v>
      </x:c>
      <x:c r="E21" s="24" t="str">
        <x:v>Confirmar la venta.</x:v>
      </x:c>
      <x:c r="F21" s="24" t="str">
        <x:v>Se consume una reserva y se registra un ingreso.</x:v>
      </x:c>
      <x:c r="G21" s="24" t="str">
        <x:v>TC-VS-CHK-002;TC-VS-ECO-002</x:v>
      </x:c>
      <x:c r="H21" s="24" t="str">
        <x:v>Slot 1 / seed documentada</x:v>
      </x:c>
      <x:c r="I21" s="24" t="str">
        <x:v>Captura, log o registro según el paso</x:v>
      </x:c>
      <x:c r="J21" s="24" t="str">
        <x:v>Sprint 17 / H6</x:v>
      </x:c>
      <x:c r="K21" s="24" t="str">
        <x:v>VRM Games</x:v>
      </x:c>
      <x:c r="L21" s="24" t="str">
        <x:v>Not Run</x:v>
      </x:c>
    </x:row>
    <x:row r="22" ht="42" customHeight="1">
      <x:c r="A22" s="24" t="str">
        <x:v>GP-018</x:v>
      </x:c>
      <x:c r="B22" s="24" t="str">
        <x:v>Golden Path principal</x:v>
      </x:c>
      <x:c r="C22" s="24" t="n">
        <x:v>1</x:v>
      </x:c>
      <x:c r="D22" s="24" t="str">
        <x:v>Cierre</x:v>
      </x:c>
      <x:c r="E22" s="24" t="str">
        <x:v>Cerrar la tienda con o sin clientes activos.</x:v>
      </x:c>
      <x:c r="F22" s="24" t="str">
        <x:v>No entran clientes nuevos y los activos se resuelven.</x:v>
      </x:c>
      <x:c r="G22" s="24" t="str">
        <x:v>TC-VS-DAY-003</x:v>
      </x:c>
      <x:c r="H22" s="24" t="str">
        <x:v>Slot 1 / seed documentada</x:v>
      </x:c>
      <x:c r="I22" s="24" t="str">
        <x:v>Captura, log o registro según el paso</x:v>
      </x:c>
      <x:c r="J22" s="24" t="str">
        <x:v>Sprint 17 / H6</x:v>
      </x:c>
      <x:c r="K22" s="24" t="str">
        <x:v>VRM Games</x:v>
      </x:c>
      <x:c r="L22" s="24" t="str">
        <x:v>Not Run</x:v>
      </x:c>
    </x:row>
    <x:row r="23" ht="42" customHeight="1">
      <x:c r="A23" s="24" t="str">
        <x:v>GP-019</x:v>
      </x:c>
      <x:c r="B23" s="24" t="str">
        <x:v>Golden Path principal</x:v>
      </x:c>
      <x:c r="C23" s="24" t="n">
        <x:v>1</x:v>
      </x:c>
      <x:c r="D23" s="24" t="str">
        <x:v>Resultados</x:v>
      </x:c>
      <x:c r="E23" s="24" t="str">
        <x:v>Abrir el resumen diario.</x:v>
      </x:c>
      <x:c r="F23" s="24" t="str">
        <x:v>Ingresos, costes y beneficio reconcilian.</x:v>
      </x:c>
      <x:c r="G23" s="24" t="str">
        <x:v>TC-VS-ECO-005;TC-UX-ECO-003</x:v>
      </x:c>
      <x:c r="H23" s="24" t="str">
        <x:v>Slot 1 / seed documentada</x:v>
      </x:c>
      <x:c r="I23" s="24" t="str">
        <x:v>Captura, log o registro según el paso</x:v>
      </x:c>
      <x:c r="J23" s="24" t="str">
        <x:v>Sprint 17 / H6</x:v>
      </x:c>
      <x:c r="K23" s="24" t="str">
        <x:v>VRM Games</x:v>
      </x:c>
      <x:c r="L23" s="24" t="str">
        <x:v>Not Run</x:v>
      </x:c>
    </x:row>
    <x:row r="24" ht="42" customHeight="1">
      <x:c r="A24" s="24" t="str">
        <x:v>GP-020</x:v>
      </x:c>
      <x:c r="B24" s="24" t="str">
        <x:v>Golden Path principal</x:v>
      </x:c>
      <x:c r="C24" s="24" t="n">
        <x:v>1</x:v>
      </x:c>
      <x:c r="D24" s="24" t="str">
        <x:v>Guardado</x:v>
      </x:c>
      <x:c r="E24" s="24" t="str">
        <x:v>Guardar y avanzar de día.</x:v>
      </x:c>
      <x:c r="F24" s="24" t="str">
        <x:v>Se crea un snapshot válido una vez.</x:v>
      </x:c>
      <x:c r="G24" s="24" t="str">
        <x:v>TC-VS-SAV-001;TC-UX-SAV-001</x:v>
      </x:c>
      <x:c r="H24" s="24" t="str">
        <x:v>Slot 1 / seed documentada</x:v>
      </x:c>
      <x:c r="I24" s="24" t="str">
        <x:v>Captura, log o registro según el paso</x:v>
      </x:c>
      <x:c r="J24" s="24" t="str">
        <x:v>Sprint 17 / H6</x:v>
      </x:c>
      <x:c r="K24" s="24" t="str">
        <x:v>VRM Games</x:v>
      </x:c>
      <x:c r="L24" s="24" t="str">
        <x:v>Not Run</x:v>
      </x:c>
    </x:row>
    <x:row r="25" ht="42" customHeight="1">
      <x:c r="A25" s="24" t="str">
        <x:v>GP-021</x:v>
      </x:c>
      <x:c r="B25" s="24" t="str">
        <x:v>Golden Path principal</x:v>
      </x:c>
      <x:c r="C25" s="24" t="n">
        <x:v>2</x:v>
      </x:c>
      <x:c r="D25" s="24" t="str">
        <x:v>Recarga</x:v>
      </x:c>
      <x:c r="E25" s="24" t="str">
        <x:v>Salir a MainMenu y continuar el slot.</x:v>
      </x:c>
      <x:c r="F25" s="24" t="str">
        <x:v>El estado restaurado es equivalente.</x:v>
      </x:c>
      <x:c r="G25" s="24" t="str">
        <x:v>TC-VS-SAV-002;TC-UX-GP-003</x:v>
      </x:c>
      <x:c r="H25" s="24" t="str">
        <x:v>Slot 1 / seed documentada</x:v>
      </x:c>
      <x:c r="I25" s="24" t="str">
        <x:v>Captura, log o registro según el paso</x:v>
      </x:c>
      <x:c r="J25" s="24" t="str">
        <x:v>Sprint 17 / H6</x:v>
      </x:c>
      <x:c r="K25" s="24" t="str">
        <x:v>VRM Games</x:v>
      </x:c>
      <x:c r="L25" s="24" t="str">
        <x:v>Not Run</x:v>
      </x:c>
    </x:row>
    <x:row r="26" ht="42" customHeight="1">
      <x:c r="A26" s="24" t="str">
        <x:v>GP-D2-01</x:v>
      </x:c>
      <x:c r="B26" s="24" t="str">
        <x:v>Campaña de siete días</x:v>
      </x:c>
      <x:c r="C26" s="24" t="n">
        <x:v>2</x:v>
      </x:c>
      <x:c r="D26" s="24" t="str">
        <x:v>Pedido y recepción</x:v>
      </x:c>
      <x:c r="E26" s="24" t="str">
        <x:v>Realizar al menos un pedido y recibirlo.</x:v>
      </x:c>
      <x:c r="F26" s="24" t="str">
        <x:v>No se duplica ni pierde inventario.</x:v>
      </x:c>
      <x:c r="G26" s="24" t="str">
        <x:v>TC-VS-TST-004;TC-VS-INV-005;TC-VS-SAV-002</x:v>
      </x:c>
      <x:c r="H26" s="24" t="str">
        <x:v>Slot 1 / Día 2</x:v>
      </x:c>
      <x:c r="I26" s="24" t="str">
        <x:v>Snapshot, ledger y captura</x:v>
      </x:c>
      <x:c r="J26" s="24" t="str">
        <x:v>Sprint 17 / H6</x:v>
      </x:c>
      <x:c r="K26" s="24" t="str">
        <x:v>VRM Games</x:v>
      </x:c>
      <x:c r="L26" s="24" t="str">
        <x:v>Not Run</x:v>
      </x:c>
    </x:row>
    <x:row r="27" ht="42" customHeight="1">
      <x:c r="A27" s="24" t="str">
        <x:v>GP-D2-02</x:v>
      </x:c>
      <x:c r="B27" s="24" t="str">
        <x:v>Campaña de siete días</x:v>
      </x:c>
      <x:c r="C27" s="24" t="n">
        <x:v>2</x:v>
      </x:c>
      <x:c r="D27" s="24" t="str">
        <x:v>Operación</x:v>
      </x:c>
      <x:c r="E27" s="24" t="str">
        <x:v>Abrir, atender clientes y completar ventas.</x:v>
      </x:c>
      <x:c r="F27" s="24" t="str">
        <x:v>Ventas, reservas y cola quedan consistentes.</x:v>
      </x:c>
      <x:c r="G27" s="24" t="str">
        <x:v>TC-VS-TST-004;TC-VS-INV-005;TC-VS-SAV-002</x:v>
      </x:c>
      <x:c r="H27" s="24" t="str">
        <x:v>Slot 1 / Día 2</x:v>
      </x:c>
      <x:c r="I27" s="24" t="str">
        <x:v>Snapshot, ledger y captura</x:v>
      </x:c>
      <x:c r="J27" s="24" t="str">
        <x:v>Sprint 17 / H6</x:v>
      </x:c>
      <x:c r="K27" s="24" t="str">
        <x:v>VRM Games</x:v>
      </x:c>
      <x:c r="L27" s="24" t="str">
        <x:v>Not Run</x:v>
      </x:c>
    </x:row>
    <x:row r="28" ht="42" customHeight="1">
      <x:c r="A28" s="24" t="str">
        <x:v>GP-D2-03</x:v>
      </x:c>
      <x:c r="B28" s="24" t="str">
        <x:v>Campaña de siete días</x:v>
      </x:c>
      <x:c r="C28" s="24" t="n">
        <x:v>2</x:v>
      </x:c>
      <x:c r="D28" s="24" t="str">
        <x:v>Cierre</x:v>
      </x:c>
      <x:c r="E28" s="24" t="str">
        <x:v>Cerrar y revisar resultados.</x:v>
      </x:c>
      <x:c r="F28" s="24" t="str">
        <x:v>Ledger y resumen reconcilian.</x:v>
      </x:c>
      <x:c r="G28" s="24" t="str">
        <x:v>TC-VS-TST-004;TC-VS-INV-005;TC-VS-SAV-002</x:v>
      </x:c>
      <x:c r="H28" s="24" t="str">
        <x:v>Slot 1 / Día 2</x:v>
      </x:c>
      <x:c r="I28" s="24" t="str">
        <x:v>Snapshot, ledger y captura</x:v>
      </x:c>
      <x:c r="J28" s="24" t="str">
        <x:v>Sprint 17 / H6</x:v>
      </x:c>
      <x:c r="K28" s="24" t="str">
        <x:v>VRM Games</x:v>
      </x:c>
      <x:c r="L28" s="24" t="str">
        <x:v>Not Run</x:v>
      </x:c>
    </x:row>
    <x:row r="29" ht="42" customHeight="1">
      <x:c r="A29" s="24" t="str">
        <x:v>GP-D2-04</x:v>
      </x:c>
      <x:c r="B29" s="24" t="str">
        <x:v>Campaña de siete días</x:v>
      </x:c>
      <x:c r="C29" s="24" t="n">
        <x:v>2</x:v>
      </x:c>
      <x:c r="D29" s="24" t="str">
        <x:v>Persistencia</x:v>
      </x:c>
      <x:c r="E29" s="24" t="str">
        <x:v>Guardar, salir y recargar.</x:v>
      </x:c>
      <x:c r="F29" s="24" t="str">
        <x:v>El estado del día se conserva.</x:v>
      </x:c>
      <x:c r="G29" s="24" t="str">
        <x:v>TC-VS-TST-004;TC-VS-INV-005;TC-VS-SAV-002</x:v>
      </x:c>
      <x:c r="H29" s="24" t="str">
        <x:v>Slot 1 / Día 2</x:v>
      </x:c>
      <x:c r="I29" s="24" t="str">
        <x:v>Snapshot, ledger y captura</x:v>
      </x:c>
      <x:c r="J29" s="24" t="str">
        <x:v>Sprint 17 / H6</x:v>
      </x:c>
      <x:c r="K29" s="24" t="str">
        <x:v>VRM Games</x:v>
      </x:c>
      <x:c r="L29" s="24" t="str">
        <x:v>Not Run</x:v>
      </x:c>
    </x:row>
    <x:row r="30" ht="42" customHeight="1">
      <x:c r="A30" s="24" t="str">
        <x:v>GP-D3-01</x:v>
      </x:c>
      <x:c r="B30" s="24" t="str">
        <x:v>Campaña de siete días</x:v>
      </x:c>
      <x:c r="C30" s="24" t="n">
        <x:v>3</x:v>
      </x:c>
      <x:c r="D30" s="24" t="str">
        <x:v>Pedido y recepción</x:v>
      </x:c>
      <x:c r="E30" s="24" t="str">
        <x:v>Realizar al menos un pedido y recibirlo.</x:v>
      </x:c>
      <x:c r="F30" s="24" t="str">
        <x:v>No se duplica ni pierde inventario.</x:v>
      </x:c>
      <x:c r="G30" s="24" t="str">
        <x:v>TC-VS-TST-004;TC-VS-INV-005;TC-VS-SAV-002</x:v>
      </x:c>
      <x:c r="H30" s="24" t="str">
        <x:v>Slot 1 / Día 3</x:v>
      </x:c>
      <x:c r="I30" s="24" t="str">
        <x:v>Snapshot, ledger y captura</x:v>
      </x:c>
      <x:c r="J30" s="24" t="str">
        <x:v>Sprint 17 / H6</x:v>
      </x:c>
      <x:c r="K30" s="24" t="str">
        <x:v>VRM Games</x:v>
      </x:c>
      <x:c r="L30" s="24" t="str">
        <x:v>Not Run</x:v>
      </x:c>
    </x:row>
    <x:row r="31" ht="42" customHeight="1">
      <x:c r="A31" s="24" t="str">
        <x:v>GP-D3-02</x:v>
      </x:c>
      <x:c r="B31" s="24" t="str">
        <x:v>Campaña de siete días</x:v>
      </x:c>
      <x:c r="C31" s="24" t="n">
        <x:v>3</x:v>
      </x:c>
      <x:c r="D31" s="24" t="str">
        <x:v>Operación</x:v>
      </x:c>
      <x:c r="E31" s="24" t="str">
        <x:v>Abrir, atender clientes y completar ventas.</x:v>
      </x:c>
      <x:c r="F31" s="24" t="str">
        <x:v>Ventas, reservas y cola quedan consistentes.</x:v>
      </x:c>
      <x:c r="G31" s="24" t="str">
        <x:v>TC-VS-TST-004;TC-VS-INV-005;TC-VS-SAV-002</x:v>
      </x:c>
      <x:c r="H31" s="24" t="str">
        <x:v>Slot 1 / Día 3</x:v>
      </x:c>
      <x:c r="I31" s="24" t="str">
        <x:v>Snapshot, ledger y captura</x:v>
      </x:c>
      <x:c r="J31" s="24" t="str">
        <x:v>Sprint 17 / H6</x:v>
      </x:c>
      <x:c r="K31" s="24" t="str">
        <x:v>VRM Games</x:v>
      </x:c>
      <x:c r="L31" s="24" t="str">
        <x:v>Not Run</x:v>
      </x:c>
    </x:row>
    <x:row r="32" ht="42" customHeight="1">
      <x:c r="A32" s="24" t="str">
        <x:v>GP-D3-03</x:v>
      </x:c>
      <x:c r="B32" s="24" t="str">
        <x:v>Campaña de siete días</x:v>
      </x:c>
      <x:c r="C32" s="24" t="n">
        <x:v>3</x:v>
      </x:c>
      <x:c r="D32" s="24" t="str">
        <x:v>Cierre</x:v>
      </x:c>
      <x:c r="E32" s="24" t="str">
        <x:v>Cerrar y revisar resultados.</x:v>
      </x:c>
      <x:c r="F32" s="24" t="str">
        <x:v>Ledger y resumen reconcilian.</x:v>
      </x:c>
      <x:c r="G32" s="24" t="str">
        <x:v>TC-VS-TST-004;TC-VS-INV-005;TC-VS-SAV-002</x:v>
      </x:c>
      <x:c r="H32" s="24" t="str">
        <x:v>Slot 1 / Día 3</x:v>
      </x:c>
      <x:c r="I32" s="24" t="str">
        <x:v>Snapshot, ledger y captura</x:v>
      </x:c>
      <x:c r="J32" s="24" t="str">
        <x:v>Sprint 17 / H6</x:v>
      </x:c>
      <x:c r="K32" s="24" t="str">
        <x:v>VRM Games</x:v>
      </x:c>
      <x:c r="L32" s="24" t="str">
        <x:v>Not Run</x:v>
      </x:c>
    </x:row>
    <x:row r="33" ht="42" customHeight="1">
      <x:c r="A33" s="24" t="str">
        <x:v>GP-D3-04</x:v>
      </x:c>
      <x:c r="B33" s="24" t="str">
        <x:v>Campaña de siete días</x:v>
      </x:c>
      <x:c r="C33" s="24" t="n">
        <x:v>3</x:v>
      </x:c>
      <x:c r="D33" s="24" t="str">
        <x:v>Persistencia</x:v>
      </x:c>
      <x:c r="E33" s="24" t="str">
        <x:v>Guardar, salir y recargar.</x:v>
      </x:c>
      <x:c r="F33" s="24" t="str">
        <x:v>El estado del día se conserva.</x:v>
      </x:c>
      <x:c r="G33" s="24" t="str">
        <x:v>TC-VS-TST-004;TC-VS-INV-005;TC-VS-SAV-002</x:v>
      </x:c>
      <x:c r="H33" s="24" t="str">
        <x:v>Slot 1 / Día 3</x:v>
      </x:c>
      <x:c r="I33" s="24" t="str">
        <x:v>Snapshot, ledger y captura</x:v>
      </x:c>
      <x:c r="J33" s="24" t="str">
        <x:v>Sprint 17 / H6</x:v>
      </x:c>
      <x:c r="K33" s="24" t="str">
        <x:v>VRM Games</x:v>
      </x:c>
      <x:c r="L33" s="24" t="str">
        <x:v>Not Run</x:v>
      </x:c>
    </x:row>
    <x:row r="34" ht="42" customHeight="1">
      <x:c r="A34" s="24" t="str">
        <x:v>GP-D4-01</x:v>
      </x:c>
      <x:c r="B34" s="24" t="str">
        <x:v>Campaña de siete días</x:v>
      </x:c>
      <x:c r="C34" s="24" t="n">
        <x:v>4</x:v>
      </x:c>
      <x:c r="D34" s="24" t="str">
        <x:v>Pedido y recepción</x:v>
      </x:c>
      <x:c r="E34" s="24" t="str">
        <x:v>Realizar al menos un pedido y recibirlo.</x:v>
      </x:c>
      <x:c r="F34" s="24" t="str">
        <x:v>No se duplica ni pierde inventario.</x:v>
      </x:c>
      <x:c r="G34" s="24" t="str">
        <x:v>TC-VS-TST-004;TC-VS-INV-005;TC-VS-SAV-002</x:v>
      </x:c>
      <x:c r="H34" s="24" t="str">
        <x:v>Slot 1 / Día 4</x:v>
      </x:c>
      <x:c r="I34" s="24" t="str">
        <x:v>Snapshot, ledger y captura</x:v>
      </x:c>
      <x:c r="J34" s="24" t="str">
        <x:v>Sprint 17 / H6</x:v>
      </x:c>
      <x:c r="K34" s="24" t="str">
        <x:v>VRM Games</x:v>
      </x:c>
      <x:c r="L34" s="24" t="str">
        <x:v>Not Run</x:v>
      </x:c>
    </x:row>
    <x:row r="35" ht="42" customHeight="1">
      <x:c r="A35" s="24" t="str">
        <x:v>GP-D4-02</x:v>
      </x:c>
      <x:c r="B35" s="24" t="str">
        <x:v>Campaña de siete días</x:v>
      </x:c>
      <x:c r="C35" s="24" t="n">
        <x:v>4</x:v>
      </x:c>
      <x:c r="D35" s="24" t="str">
        <x:v>Operación</x:v>
      </x:c>
      <x:c r="E35" s="24" t="str">
        <x:v>Abrir, atender clientes y completar ventas.</x:v>
      </x:c>
      <x:c r="F35" s="24" t="str">
        <x:v>Ventas, reservas y cola quedan consistentes.</x:v>
      </x:c>
      <x:c r="G35" s="24" t="str">
        <x:v>TC-VS-TST-004;TC-VS-INV-005;TC-VS-SAV-002</x:v>
      </x:c>
      <x:c r="H35" s="24" t="str">
        <x:v>Slot 1 / Día 4</x:v>
      </x:c>
      <x:c r="I35" s="24" t="str">
        <x:v>Snapshot, ledger y captura</x:v>
      </x:c>
      <x:c r="J35" s="24" t="str">
        <x:v>Sprint 17 / H6</x:v>
      </x:c>
      <x:c r="K35" s="24" t="str">
        <x:v>VRM Games</x:v>
      </x:c>
      <x:c r="L35" s="24" t="str">
        <x:v>Not Run</x:v>
      </x:c>
    </x:row>
    <x:row r="36" ht="42" customHeight="1">
      <x:c r="A36" s="24" t="str">
        <x:v>GP-D4-03</x:v>
      </x:c>
      <x:c r="B36" s="24" t="str">
        <x:v>Campaña de siete días</x:v>
      </x:c>
      <x:c r="C36" s="24" t="n">
        <x:v>4</x:v>
      </x:c>
      <x:c r="D36" s="24" t="str">
        <x:v>Cierre</x:v>
      </x:c>
      <x:c r="E36" s="24" t="str">
        <x:v>Cerrar y revisar resultados.</x:v>
      </x:c>
      <x:c r="F36" s="24" t="str">
        <x:v>Ledger y resumen reconcilian.</x:v>
      </x:c>
      <x:c r="G36" s="24" t="str">
        <x:v>TC-VS-TST-004;TC-VS-INV-005;TC-VS-SAV-002</x:v>
      </x:c>
      <x:c r="H36" s="24" t="str">
        <x:v>Slot 1 / Día 4</x:v>
      </x:c>
      <x:c r="I36" s="24" t="str">
        <x:v>Snapshot, ledger y captura</x:v>
      </x:c>
      <x:c r="J36" s="24" t="str">
        <x:v>Sprint 17 / H6</x:v>
      </x:c>
      <x:c r="K36" s="24" t="str">
        <x:v>VRM Games</x:v>
      </x:c>
      <x:c r="L36" s="24" t="str">
        <x:v>Not Run</x:v>
      </x:c>
    </x:row>
    <x:row r="37" ht="42" customHeight="1">
      <x:c r="A37" s="24" t="str">
        <x:v>GP-D4-04</x:v>
      </x:c>
      <x:c r="B37" s="24" t="str">
        <x:v>Campaña de siete días</x:v>
      </x:c>
      <x:c r="C37" s="24" t="n">
        <x:v>4</x:v>
      </x:c>
      <x:c r="D37" s="24" t="str">
        <x:v>Persistencia</x:v>
      </x:c>
      <x:c r="E37" s="24" t="str">
        <x:v>Guardar, salir y recargar.</x:v>
      </x:c>
      <x:c r="F37" s="24" t="str">
        <x:v>El estado del día se conserva.</x:v>
      </x:c>
      <x:c r="G37" s="24" t="str">
        <x:v>TC-VS-TST-004;TC-VS-INV-005;TC-VS-SAV-002</x:v>
      </x:c>
      <x:c r="H37" s="24" t="str">
        <x:v>Slot 1 / Día 4</x:v>
      </x:c>
      <x:c r="I37" s="24" t="str">
        <x:v>Snapshot, ledger y captura</x:v>
      </x:c>
      <x:c r="J37" s="24" t="str">
        <x:v>Sprint 17 / H6</x:v>
      </x:c>
      <x:c r="K37" s="24" t="str">
        <x:v>VRM Games</x:v>
      </x:c>
      <x:c r="L37" s="24" t="str">
        <x:v>Not Run</x:v>
      </x:c>
    </x:row>
    <x:row r="38" ht="42" customHeight="1">
      <x:c r="A38" s="24" t="str">
        <x:v>GP-D5-01</x:v>
      </x:c>
      <x:c r="B38" s="24" t="str">
        <x:v>Campaña de siete días</x:v>
      </x:c>
      <x:c r="C38" s="24" t="n">
        <x:v>5</x:v>
      </x:c>
      <x:c r="D38" s="24" t="str">
        <x:v>Pedido y recepción</x:v>
      </x:c>
      <x:c r="E38" s="24" t="str">
        <x:v>Realizar al menos un pedido y recibirlo.</x:v>
      </x:c>
      <x:c r="F38" s="24" t="str">
        <x:v>No se duplica ni pierde inventario.</x:v>
      </x:c>
      <x:c r="G38" s="24" t="str">
        <x:v>TC-VS-TST-004;TC-VS-INV-005;TC-VS-SAV-002</x:v>
      </x:c>
      <x:c r="H38" s="24" t="str">
        <x:v>Slot 1 / Día 5</x:v>
      </x:c>
      <x:c r="I38" s="24" t="str">
        <x:v>Snapshot, ledger y captura</x:v>
      </x:c>
      <x:c r="J38" s="24" t="str">
        <x:v>Sprint 17 / H6</x:v>
      </x:c>
      <x:c r="K38" s="24" t="str">
        <x:v>VRM Games</x:v>
      </x:c>
      <x:c r="L38" s="24" t="str">
        <x:v>Not Run</x:v>
      </x:c>
    </x:row>
    <x:row r="39" ht="42" customHeight="1">
      <x:c r="A39" s="24" t="str">
        <x:v>GP-D5-02</x:v>
      </x:c>
      <x:c r="B39" s="24" t="str">
        <x:v>Campaña de siete días</x:v>
      </x:c>
      <x:c r="C39" s="24" t="n">
        <x:v>5</x:v>
      </x:c>
      <x:c r="D39" s="24" t="str">
        <x:v>Operación</x:v>
      </x:c>
      <x:c r="E39" s="24" t="str">
        <x:v>Abrir, atender clientes y completar ventas.</x:v>
      </x:c>
      <x:c r="F39" s="24" t="str">
        <x:v>Ventas, reservas y cola quedan consistentes.</x:v>
      </x:c>
      <x:c r="G39" s="24" t="str">
        <x:v>TC-VS-TST-004;TC-VS-INV-005;TC-VS-SAV-002</x:v>
      </x:c>
      <x:c r="H39" s="24" t="str">
        <x:v>Slot 1 / Día 5</x:v>
      </x:c>
      <x:c r="I39" s="24" t="str">
        <x:v>Snapshot, ledger y captura</x:v>
      </x:c>
      <x:c r="J39" s="24" t="str">
        <x:v>Sprint 17 / H6</x:v>
      </x:c>
      <x:c r="K39" s="24" t="str">
        <x:v>VRM Games</x:v>
      </x:c>
      <x:c r="L39" s="24" t="str">
        <x:v>Not Run</x:v>
      </x:c>
    </x:row>
    <x:row r="40" ht="42" customHeight="1">
      <x:c r="A40" s="24" t="str">
        <x:v>GP-D5-03</x:v>
      </x:c>
      <x:c r="B40" s="24" t="str">
        <x:v>Campaña de siete días</x:v>
      </x:c>
      <x:c r="C40" s="24" t="n">
        <x:v>5</x:v>
      </x:c>
      <x:c r="D40" s="24" t="str">
        <x:v>Cierre</x:v>
      </x:c>
      <x:c r="E40" s="24" t="str">
        <x:v>Cerrar y revisar resultados.</x:v>
      </x:c>
      <x:c r="F40" s="24" t="str">
        <x:v>Ledger y resumen reconcilian.</x:v>
      </x:c>
      <x:c r="G40" s="24" t="str">
        <x:v>TC-VS-TST-004;TC-VS-INV-005;TC-VS-SAV-002</x:v>
      </x:c>
      <x:c r="H40" s="24" t="str">
        <x:v>Slot 1 / Día 5</x:v>
      </x:c>
      <x:c r="I40" s="24" t="str">
        <x:v>Snapshot, ledger y captura</x:v>
      </x:c>
      <x:c r="J40" s="24" t="str">
        <x:v>Sprint 17 / H6</x:v>
      </x:c>
      <x:c r="K40" s="24" t="str">
        <x:v>VRM Games</x:v>
      </x:c>
      <x:c r="L40" s="24" t="str">
        <x:v>Not Run</x:v>
      </x:c>
    </x:row>
    <x:row r="41" ht="42" customHeight="1">
      <x:c r="A41" s="24" t="str">
        <x:v>GP-D5-04</x:v>
      </x:c>
      <x:c r="B41" s="24" t="str">
        <x:v>Campaña de siete días</x:v>
      </x:c>
      <x:c r="C41" s="24" t="n">
        <x:v>5</x:v>
      </x:c>
      <x:c r="D41" s="24" t="str">
        <x:v>Persistencia</x:v>
      </x:c>
      <x:c r="E41" s="24" t="str">
        <x:v>Guardar, salir y recargar.</x:v>
      </x:c>
      <x:c r="F41" s="24" t="str">
        <x:v>El estado del día se conserva.</x:v>
      </x:c>
      <x:c r="G41" s="24" t="str">
        <x:v>TC-VS-TST-004;TC-VS-INV-005;TC-VS-SAV-002</x:v>
      </x:c>
      <x:c r="H41" s="24" t="str">
        <x:v>Slot 1 / Día 5</x:v>
      </x:c>
      <x:c r="I41" s="24" t="str">
        <x:v>Snapshot, ledger y captura</x:v>
      </x:c>
      <x:c r="J41" s="24" t="str">
        <x:v>Sprint 17 / H6</x:v>
      </x:c>
      <x:c r="K41" s="24" t="str">
        <x:v>VRM Games</x:v>
      </x:c>
      <x:c r="L41" s="24" t="str">
        <x:v>Not Run</x:v>
      </x:c>
    </x:row>
    <x:row r="42" ht="42" customHeight="1">
      <x:c r="A42" s="24" t="str">
        <x:v>GP-D6-01</x:v>
      </x:c>
      <x:c r="B42" s="24" t="str">
        <x:v>Campaña de siete días</x:v>
      </x:c>
      <x:c r="C42" s="24" t="n">
        <x:v>6</x:v>
      </x:c>
      <x:c r="D42" s="24" t="str">
        <x:v>Pedido y recepción</x:v>
      </x:c>
      <x:c r="E42" s="24" t="str">
        <x:v>Realizar al menos un pedido y recibirlo.</x:v>
      </x:c>
      <x:c r="F42" s="24" t="str">
        <x:v>No se duplica ni pierde inventario.</x:v>
      </x:c>
      <x:c r="G42" s="24" t="str">
        <x:v>TC-VS-TST-004;TC-VS-INV-005;TC-VS-SAV-002</x:v>
      </x:c>
      <x:c r="H42" s="24" t="str">
        <x:v>Slot 1 / Día 6</x:v>
      </x:c>
      <x:c r="I42" s="24" t="str">
        <x:v>Snapshot, ledger y captura</x:v>
      </x:c>
      <x:c r="J42" s="24" t="str">
        <x:v>Sprint 17 / H6</x:v>
      </x:c>
      <x:c r="K42" s="24" t="str">
        <x:v>VRM Games</x:v>
      </x:c>
      <x:c r="L42" s="24" t="str">
        <x:v>Not Run</x:v>
      </x:c>
    </x:row>
    <x:row r="43" ht="42" customHeight="1">
      <x:c r="A43" s="24" t="str">
        <x:v>GP-D6-02</x:v>
      </x:c>
      <x:c r="B43" s="24" t="str">
        <x:v>Campaña de siete días</x:v>
      </x:c>
      <x:c r="C43" s="24" t="n">
        <x:v>6</x:v>
      </x:c>
      <x:c r="D43" s="24" t="str">
        <x:v>Operación</x:v>
      </x:c>
      <x:c r="E43" s="24" t="str">
        <x:v>Abrir, atender clientes y completar ventas.</x:v>
      </x:c>
      <x:c r="F43" s="24" t="str">
        <x:v>Ventas, reservas y cola quedan consistentes.</x:v>
      </x:c>
      <x:c r="G43" s="24" t="str">
        <x:v>TC-VS-TST-004;TC-VS-INV-005;TC-VS-SAV-002</x:v>
      </x:c>
      <x:c r="H43" s="24" t="str">
        <x:v>Slot 1 / Día 6</x:v>
      </x:c>
      <x:c r="I43" s="24" t="str">
        <x:v>Snapshot, ledger y captura</x:v>
      </x:c>
      <x:c r="J43" s="24" t="str">
        <x:v>Sprint 17 / H6</x:v>
      </x:c>
      <x:c r="K43" s="24" t="str">
        <x:v>VRM Games</x:v>
      </x:c>
      <x:c r="L43" s="24" t="str">
        <x:v>Not Run</x:v>
      </x:c>
    </x:row>
    <x:row r="44" ht="42" customHeight="1">
      <x:c r="A44" s="24" t="str">
        <x:v>GP-D6-03</x:v>
      </x:c>
      <x:c r="B44" s="24" t="str">
        <x:v>Campaña de siete días</x:v>
      </x:c>
      <x:c r="C44" s="24" t="n">
        <x:v>6</x:v>
      </x:c>
      <x:c r="D44" s="24" t="str">
        <x:v>Cierre</x:v>
      </x:c>
      <x:c r="E44" s="24" t="str">
        <x:v>Cerrar y revisar resultados.</x:v>
      </x:c>
      <x:c r="F44" s="24" t="str">
        <x:v>Ledger y resumen reconcilian.</x:v>
      </x:c>
      <x:c r="G44" s="24" t="str">
        <x:v>TC-VS-TST-004;TC-VS-INV-005;TC-VS-SAV-002</x:v>
      </x:c>
      <x:c r="H44" s="24" t="str">
        <x:v>Slot 1 / Día 6</x:v>
      </x:c>
      <x:c r="I44" s="24" t="str">
        <x:v>Snapshot, ledger y captura</x:v>
      </x:c>
      <x:c r="J44" s="24" t="str">
        <x:v>Sprint 17 / H6</x:v>
      </x:c>
      <x:c r="K44" s="24" t="str">
        <x:v>VRM Games</x:v>
      </x:c>
      <x:c r="L44" s="24" t="str">
        <x:v>Not Run</x:v>
      </x:c>
    </x:row>
    <x:row r="45" ht="42" customHeight="1">
      <x:c r="A45" s="24" t="str">
        <x:v>GP-D6-04</x:v>
      </x:c>
      <x:c r="B45" s="24" t="str">
        <x:v>Campaña de siete días</x:v>
      </x:c>
      <x:c r="C45" s="24" t="n">
        <x:v>6</x:v>
      </x:c>
      <x:c r="D45" s="24" t="str">
        <x:v>Persistencia</x:v>
      </x:c>
      <x:c r="E45" s="24" t="str">
        <x:v>Guardar, salir y recargar.</x:v>
      </x:c>
      <x:c r="F45" s="24" t="str">
        <x:v>El estado del día se conserva.</x:v>
      </x:c>
      <x:c r="G45" s="24" t="str">
        <x:v>TC-VS-TST-004;TC-VS-INV-005;TC-VS-SAV-002</x:v>
      </x:c>
      <x:c r="H45" s="24" t="str">
        <x:v>Slot 1 / Día 6</x:v>
      </x:c>
      <x:c r="I45" s="24" t="str">
        <x:v>Snapshot, ledger y captura</x:v>
      </x:c>
      <x:c r="J45" s="24" t="str">
        <x:v>Sprint 17 / H6</x:v>
      </x:c>
      <x:c r="K45" s="24" t="str">
        <x:v>VRM Games</x:v>
      </x:c>
      <x:c r="L45" s="24" t="str">
        <x:v>Not Run</x:v>
      </x:c>
    </x:row>
    <x:row r="46" ht="42" customHeight="1">
      <x:c r="A46" s="24" t="str">
        <x:v>GP-D7-01</x:v>
      </x:c>
      <x:c r="B46" s="24" t="str">
        <x:v>Campaña de siete días</x:v>
      </x:c>
      <x:c r="C46" s="24" t="n">
        <x:v>7</x:v>
      </x:c>
      <x:c r="D46" s="24" t="str">
        <x:v>Pedido y recepción</x:v>
      </x:c>
      <x:c r="E46" s="24" t="str">
        <x:v>Realizar al menos un pedido y recibirlo.</x:v>
      </x:c>
      <x:c r="F46" s="24" t="str">
        <x:v>No se duplica ni pierde inventario.</x:v>
      </x:c>
      <x:c r="G46" s="24" t="str">
        <x:v>TC-VS-TST-004;TC-VS-INV-005;TC-VS-SAV-002</x:v>
      </x:c>
      <x:c r="H46" s="24" t="str">
        <x:v>Slot 1 / Día 7</x:v>
      </x:c>
      <x:c r="I46" s="24" t="str">
        <x:v>Snapshot, ledger y captura</x:v>
      </x:c>
      <x:c r="J46" s="24" t="str">
        <x:v>Sprint 17 / H6</x:v>
      </x:c>
      <x:c r="K46" s="24" t="str">
        <x:v>VRM Games</x:v>
      </x:c>
      <x:c r="L46" s="24" t="str">
        <x:v>Not Run</x:v>
      </x:c>
    </x:row>
    <x:row r="47" ht="42" customHeight="1">
      <x:c r="A47" s="24" t="str">
        <x:v>GP-D7-02</x:v>
      </x:c>
      <x:c r="B47" s="24" t="str">
        <x:v>Campaña de siete días</x:v>
      </x:c>
      <x:c r="C47" s="24" t="n">
        <x:v>7</x:v>
      </x:c>
      <x:c r="D47" s="24" t="str">
        <x:v>Operación</x:v>
      </x:c>
      <x:c r="E47" s="24" t="str">
        <x:v>Abrir, atender clientes y completar ventas.</x:v>
      </x:c>
      <x:c r="F47" s="24" t="str">
        <x:v>Ventas, reservas y cola quedan consistentes.</x:v>
      </x:c>
      <x:c r="G47" s="24" t="str">
        <x:v>TC-VS-TST-004;TC-VS-INV-005;TC-VS-SAV-002</x:v>
      </x:c>
      <x:c r="H47" s="24" t="str">
        <x:v>Slot 1 / Día 7</x:v>
      </x:c>
      <x:c r="I47" s="24" t="str">
        <x:v>Snapshot, ledger y captura</x:v>
      </x:c>
      <x:c r="J47" s="24" t="str">
        <x:v>Sprint 17 / H6</x:v>
      </x:c>
      <x:c r="K47" s="24" t="str">
        <x:v>VRM Games</x:v>
      </x:c>
      <x:c r="L47" s="24" t="str">
        <x:v>Not Run</x:v>
      </x:c>
    </x:row>
    <x:row r="48" ht="42" customHeight="1">
      <x:c r="A48" s="24" t="str">
        <x:v>GP-D7-03</x:v>
      </x:c>
      <x:c r="B48" s="24" t="str">
        <x:v>Campaña de siete días</x:v>
      </x:c>
      <x:c r="C48" s="24" t="n">
        <x:v>7</x:v>
      </x:c>
      <x:c r="D48" s="24" t="str">
        <x:v>Cierre</x:v>
      </x:c>
      <x:c r="E48" s="24" t="str">
        <x:v>Cerrar y revisar resultados.</x:v>
      </x:c>
      <x:c r="F48" s="24" t="str">
        <x:v>Ledger y resumen reconcilian.</x:v>
      </x:c>
      <x:c r="G48" s="24" t="str">
        <x:v>TC-VS-TST-004;TC-VS-INV-005;TC-VS-SAV-002</x:v>
      </x:c>
      <x:c r="H48" s="24" t="str">
        <x:v>Slot 1 / Día 7</x:v>
      </x:c>
      <x:c r="I48" s="24" t="str">
        <x:v>Snapshot, ledger y captura</x:v>
      </x:c>
      <x:c r="J48" s="24" t="str">
        <x:v>Sprint 17 / H6</x:v>
      </x:c>
      <x:c r="K48" s="24" t="str">
        <x:v>VRM Games</x:v>
      </x:c>
      <x:c r="L48" s="24" t="str">
        <x:v>Not Run</x:v>
      </x:c>
    </x:row>
    <x:row r="49" ht="42" customHeight="1">
      <x:c r="A49" s="24" t="str">
        <x:v>GP-D7-04</x:v>
      </x:c>
      <x:c r="B49" s="24" t="str">
        <x:v>Campaña de siete días</x:v>
      </x:c>
      <x:c r="C49" s="24" t="n">
        <x:v>7</x:v>
      </x:c>
      <x:c r="D49" s="24" t="str">
        <x:v>Persistencia</x:v>
      </x:c>
      <x:c r="E49" s="24" t="str">
        <x:v>Guardar, salir y recargar.</x:v>
      </x:c>
      <x:c r="F49" s="24" t="str">
        <x:v>El estado del día se conserva.</x:v>
      </x:c>
      <x:c r="G49" s="24" t="str">
        <x:v>TC-VS-TST-004;TC-VS-INV-005;TC-VS-SAV-002</x:v>
      </x:c>
      <x:c r="H49" s="24" t="str">
        <x:v>Slot 1 / Día 7</x:v>
      </x:c>
      <x:c r="I49" s="24" t="str">
        <x:v>Snapshot, ledger y captura</x:v>
      </x:c>
      <x:c r="J49" s="24" t="str">
        <x:v>Sprint 17 / H6</x:v>
      </x:c>
      <x:c r="K49" s="24" t="str">
        <x:v>VRM Games</x:v>
      </x:c>
      <x:c r="L49" s="24" t="str">
        <x:v>Not Run</x:v>
      </x:c>
    </x:row>
  </x:sheetData>
  <x:mergeCells>
    <x:mergeCell ref="A1:L1"/>
    <x:mergeCell ref="A2:L2"/>
  </x:mergeCells>
  <x:conditionalFormatting sqref="L5:L49">
    <x:cfRule type="expression" dxfId="5" priority="1">
      <x:formula>L5="PASS"</x:formula>
    </x:cfRule>
    <x:cfRule type="expression" dxfId="6" priority="2">
      <x:formula>L5="FAIL"</x:formula>
    </x:cfRule>
  </x:conditionalFormatting>
  <x:dataValidations count="1">
    <x:dataValidation type="list" sqref="L5:L49">
      <x:formula1>"Not Run,PASS,FAIL,BLOCKED,SKIPPED,Baseline PASS,PASS WITH OBSERVATION,N/A"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55a60577a243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48" hidden="0" customWidth="1"/>
    <x:col min="5" max="5" width="40" hidden="0" customWidth="1"/>
    <x:col min="6" max="6" width="24" hidden="0" customWidth="1"/>
    <x:col min="7" max="7" width="50" hidden="0" customWidth="1"/>
    <x:col min="8" max="8" width="24" hidden="0" customWidth="1"/>
    <x:col min="9" max="9" width="10" hidden="0" customWidth="1"/>
    <x:col min="10" max="10" width="12" hidden="0" customWidth="1"/>
    <x:col min="11" max="11" width="16" hidden="0" customWidth="1"/>
    <x:col min="12" max="12" width="16" hidden="0" customWidth="1"/>
    <x:col min="13" max="13" width="14" hidden="0" customWidth="1"/>
    <x:col min="14" max="14" width="30" hidden="0" customWidth="1"/>
    <x:col min="15" max="15" width="28" hidden="0" customWidth="1"/>
  </x:cols>
  <x:sheetData>
    <x:row r="1" ht="28" customHeight="1">
      <x:c r="A1" s="36" t="str">
        <x:v>Campaña de persistencia, backup y migraciones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Índice operativo de save/load, equivalencia, corrupción, slots y recuperación.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4" customHeight="1">
      <x:c r="A4" s="17" t="str">
        <x:v>Test ID</x:v>
      </x:c>
      <x:c r="B4" s="17" t="str">
        <x:v>Requirement ID</x:v>
      </x:c>
      <x:c r="C4" s="17" t="str">
        <x:v>Área de estado</x:v>
      </x:c>
      <x:c r="D4" s="17" t="str">
        <x:v>Título</x:v>
      </x:c>
      <x:c r="E4" s="17" t="str">
        <x:v>Precondiciones</x:v>
      </x:c>
      <x:c r="F4" s="17" t="str">
        <x:v>Variante/Fallo</x:v>
      </x:c>
      <x:c r="G4" s="17" t="str">
        <x:v>Resultado esperado</x:v>
      </x:c>
      <x:c r="H4" s="17" t="str">
        <x:v>Nivel</x:v>
      </x:c>
      <x:c r="I4" s="17" t="str">
        <x:v>Prioridad</x:v>
      </x:c>
      <x:c r="J4" s="17" t="str">
        <x:v>Severidad</x:v>
      </x:c>
      <x:c r="K4" s="17" t="str">
        <x:v>Automatización</x:v>
      </x:c>
      <x:c r="L4" s="17" t="str">
        <x:v>Build</x:v>
      </x:c>
      <x:c r="M4" s="17" t="str">
        <x:v>Resultado</x:v>
      </x:c>
      <x:c r="N4" s="17" t="str">
        <x:v>Evidencia</x:v>
      </x:c>
      <x:c r="O4" s="17" t="str">
        <x:v>Notas</x:v>
      </x:c>
    </x:row>
    <x:row r="5" ht="42" customHeight="1">
      <x:c r="A5" s="24" t="str">
        <x:v>TC-VS-SAV-001</x:v>
      </x:c>
      <x:c r="B5" s="24" t="str">
        <x:v>VS-SAV-001</x:v>
      </x:c>
      <x:c r="C5" s="24" t="str">
        <x:v>Persistencia</x:v>
      </x:c>
      <x:c r="D5" s="24" t="str">
        <x:v>Guardado conserva todos los campos obligatorios</x:v>
      </x:c>
      <x:c r="E5" s="24" t="str">
        <x:v>Baseline válida; estado inicial reproducible; datos de prueba preparados.</x:v>
      </x:c>
      <x:c r="F5" s="24" t="str">
        <x:v>Nominal</x:v>
      </x:c>
      <x:c r="G5" s="24" t="str">
        <x:v>Guardado conserva todos los campos obligatorios.</x:v>
      </x:c>
      <x:c r="H5" s="24" t="str">
        <x:v>EditMode + Integración</x:v>
      </x:c>
      <x:c r="I5" s="24" t="str">
        <x:v>P0</x:v>
      </x:c>
      <x:c r="J5" s="24" t="str">
        <x:v>S1</x:v>
      </x:c>
      <x:c r="K5" s="24" t="str">
        <x:v>Parcial/Alta</x:v>
      </x:c>
      <x:c r="L5" s="24" t="str"/>
      <x:c r="M5" s="24" t="str">
        <x:v>Not Run</x:v>
      </x:c>
      <x:c r="N5" s="24" t="str"/>
      <x:c r="O5" s="24" t="str"/>
    </x:row>
    <x:row r="6" ht="42" customHeight="1">
      <x:c r="A6" s="24" t="str">
        <x:v>TC-VS-SAV-002</x:v>
      </x:c>
      <x:c r="B6" s="24" t="str">
        <x:v>VS-SAV-002</x:v>
      </x:c>
      <x:c r="C6" s="24" t="str">
        <x:v>Persistencia</x:v>
      </x:c>
      <x:c r="D6" s="24" t="str">
        <x:v>Carga reconstruye un estado equivalente</x:v>
      </x:c>
      <x:c r="E6" s="24" t="str">
        <x:v>Baseline válida; estado inicial reproducible; datos de prueba preparados.</x:v>
      </x:c>
      <x:c r="F6" s="24" t="str">
        <x:v>Nominal</x:v>
      </x:c>
      <x:c r="G6" s="24" t="str">
        <x:v>Carga reconstruye un estado equivalente.</x:v>
      </x:c>
      <x:c r="H6" s="24" t="str">
        <x:v>EditMode + Integración</x:v>
      </x:c>
      <x:c r="I6" s="24" t="str">
        <x:v>P0</x:v>
      </x:c>
      <x:c r="J6" s="24" t="str">
        <x:v>S1</x:v>
      </x:c>
      <x:c r="K6" s="24" t="str">
        <x:v>Parcial/Alta</x:v>
      </x:c>
      <x:c r="L6" s="24" t="str"/>
      <x:c r="M6" s="24" t="str">
        <x:v>Not Run</x:v>
      </x:c>
      <x:c r="N6" s="24" t="str"/>
      <x:c r="O6" s="24" t="str"/>
    </x:row>
    <x:row r="7" ht="42" customHeight="1">
      <x:c r="A7" s="24" t="str">
        <x:v>TC-VS-SAV-003</x:v>
      </x:c>
      <x:c r="B7" s="24" t="str">
        <x:v>VS-SAV-003</x:v>
      </x:c>
      <x:c r="C7" s="24" t="str">
        <x:v>Persistencia</x:v>
      </x:c>
      <x:c r="D7" s="24" t="str">
        <x:v>Cargar no duplica pedidos, muebles, stock, clientes o ingresos</x:v>
      </x:c>
      <x:c r="E7" s="24" t="str">
        <x:v>Baseline válida; estado inicial reproducible; datos de prueba preparados.</x:v>
      </x:c>
      <x:c r="F7" s="24" t="str">
        <x:v>Nominal</x:v>
      </x:c>
      <x:c r="G7" s="24" t="str">
        <x:v>Cargar no duplica pedidos, muebles, stock, clientes o ingresos.</x:v>
      </x:c>
      <x:c r="H7" s="24" t="str">
        <x:v>EditMode + Integración</x:v>
      </x:c>
      <x:c r="I7" s="24" t="str">
        <x:v>P0</x:v>
      </x:c>
      <x:c r="J7" s="24" t="str">
        <x:v>S1</x:v>
      </x:c>
      <x:c r="K7" s="24" t="str">
        <x:v>Parcial/Alta</x:v>
      </x:c>
      <x:c r="L7" s="24" t="str"/>
      <x:c r="M7" s="24" t="str">
        <x:v>Not Run</x:v>
      </x:c>
      <x:c r="N7" s="24" t="str"/>
      <x:c r="O7" s="24" t="str"/>
    </x:row>
    <x:row r="8" ht="42" customHeight="1">
      <x:c r="A8" s="24" t="str">
        <x:v>TC-VS-SAV-004</x:v>
      </x:c>
      <x:c r="B8" s="24" t="str">
        <x:v>VS-SAV-004</x:v>
      </x:c>
      <x:c r="C8" s="24" t="str">
        <x:v>Persistencia</x:v>
      </x:c>
      <x:c r="D8" s="24" t="str">
        <x:v>Archivo ausente o corrupto se maneja de forma controlada</x:v>
      </x:c>
      <x:c r="E8" s="24" t="str">
        <x:v>Baseline válida; estado inicial reproducible; datos de prueba preparados.</x:v>
      </x:c>
      <x:c r="F8" s="24" t="str">
        <x:v>Negativa / Fault injection</x:v>
      </x:c>
      <x:c r="G8" s="24" t="str">
        <x:v>Archivo ausente o corrupto se maneja de forma controlada.</x:v>
      </x:c>
      <x:c r="H8" s="24" t="str">
        <x:v>EditMode + Integración</x:v>
      </x:c>
      <x:c r="I8" s="24" t="str">
        <x:v>P0</x:v>
      </x:c>
      <x:c r="J8" s="24" t="str">
        <x:v>S1</x:v>
      </x:c>
      <x:c r="K8" s="24" t="str">
        <x:v>Parcial/Alta</x:v>
      </x:c>
      <x:c r="L8" s="24" t="str"/>
      <x:c r="M8" s="24" t="str">
        <x:v>Not Run</x:v>
      </x:c>
      <x:c r="N8" s="24" t="str"/>
      <x:c r="O8" s="24" t="str"/>
    </x:row>
    <x:row r="9" ht="42" customHeight="1">
      <x:c r="A9" s="24" t="str">
        <x:v>TC-VS-SAV-005</x:v>
      </x:c>
      <x:c r="B9" s="24" t="str">
        <x:v>VS-SAV-005</x:v>
      </x:c>
      <x:c r="C9" s="24" t="str">
        <x:v>Persistencia</x:v>
      </x:c>
      <x:c r="D9" s="24" t="str">
        <x:v>Tres slots son independientes</x:v>
      </x:c>
      <x:c r="E9" s="24" t="str">
        <x:v>Baseline válida; estado inicial reproducible; datos de prueba preparados.</x:v>
      </x:c>
      <x:c r="F9" s="24" t="str">
        <x:v>Nominal</x:v>
      </x:c>
      <x:c r="G9" s="24" t="str">
        <x:v>Tres slots son independientes.</x:v>
      </x:c>
      <x:c r="H9" s="24" t="str">
        <x:v>EditMode + Integración</x:v>
      </x:c>
      <x:c r="I9" s="24" t="str">
        <x:v>P0</x:v>
      </x:c>
      <x:c r="J9" s="24" t="str">
        <x:v>S1</x:v>
      </x:c>
      <x:c r="K9" s="24" t="str">
        <x:v>Parcial/Alta</x:v>
      </x:c>
      <x:c r="L9" s="24" t="str"/>
      <x:c r="M9" s="24" t="str">
        <x:v>Not Run</x:v>
      </x:c>
      <x:c r="N9" s="24" t="str"/>
      <x:c r="O9" s="24" t="str"/>
    </x:row>
    <x:row r="10" ht="42" customHeight="1">
      <x:c r="A10" s="24" t="str">
        <x:v>TC-UX-SLOT-001</x:v>
      </x:c>
      <x:c r="B10" s="24" t="str">
        <x:v>UX-SLOT-001</x:v>
      </x:c>
      <x:c r="C10" s="24" t="str">
        <x:v>Slots y persistencia</x:v>
      </x:c>
      <x:c r="D10" s="24" t="str">
        <x:v>Un slot vacío ofrece nueva partida</x:v>
      </x:c>
      <x:c r="E10" s="24" t="str">
        <x:v>Baseline válida; estado inicial reproducible; datos de prueba preparados.</x:v>
      </x:c>
      <x:c r="F10" s="24" t="str">
        <x:v>Nominal</x:v>
      </x:c>
      <x:c r="G10" s="24" t="str">
        <x:v>Un slot vacío ofrece nueva partida.</x:v>
      </x:c>
      <x:c r="H10" s="24" t="str">
        <x:v>PlayMode + Manual</x:v>
      </x:c>
      <x:c r="I10" s="24" t="str">
        <x:v>P2</x:v>
      </x:c>
      <x:c r="J10" s="24" t="str">
        <x:v>S3</x:v>
      </x:c>
      <x:c r="K10" s="24" t="str">
        <x:v>Manual/Parcial</x:v>
      </x:c>
      <x:c r="L10" s="24" t="str"/>
      <x:c r="M10" s="24" t="str">
        <x:v>Not Run</x:v>
      </x:c>
      <x:c r="N10" s="24" t="str"/>
      <x:c r="O10" s="24" t="str"/>
    </x:row>
    <x:row r="11" ht="42" customHeight="1">
      <x:c r="A11" s="24" t="str">
        <x:v>TC-UX-SLOT-002</x:v>
      </x:c>
      <x:c r="B11" s="24" t="str">
        <x:v>UX-SLOT-002</x:v>
      </x:c>
      <x:c r="C11" s="24" t="str">
        <x:v>Slots y persistencia</x:v>
      </x:c>
      <x:c r="D11" s="24" t="str">
        <x:v>Un slot válido muestra información suficiente</x:v>
      </x:c>
      <x:c r="E11" s="24" t="str">
        <x:v>Baseline válida; estado inicial reproducible; datos de prueba preparados.</x:v>
      </x:c>
      <x:c r="F11" s="24" t="str">
        <x:v>Nominal</x:v>
      </x:c>
      <x:c r="G11" s="24" t="str">
        <x:v>Un slot válido muestra información suficiente.</x:v>
      </x:c>
      <x:c r="H11" s="24" t="str">
        <x:v>PlayMode + Manual</x:v>
      </x:c>
      <x:c r="I11" s="24" t="str">
        <x:v>P2</x:v>
      </x:c>
      <x:c r="J11" s="24" t="str">
        <x:v>S3</x:v>
      </x:c>
      <x:c r="K11" s="24" t="str">
        <x:v>Manual/Parcial</x:v>
      </x:c>
      <x:c r="L11" s="24" t="str"/>
      <x:c r="M11" s="24" t="str">
        <x:v>Not Run</x:v>
      </x:c>
      <x:c r="N11" s="24" t="str"/>
      <x:c r="O11" s="24" t="str"/>
    </x:row>
    <x:row r="12" ht="42" customHeight="1">
      <x:c r="A12" s="24" t="str">
        <x:v>TC-UX-SLOT-003</x:v>
      </x:c>
      <x:c r="B12" s="24" t="str">
        <x:v>UX-SLOT-003</x:v>
      </x:c>
      <x:c r="C12" s="24" t="str">
        <x:v>Slots y persistencia</x:v>
      </x:c>
      <x:c r="D12" s="24" t="str">
        <x:v>Reemplazar exige confirmación inequívoca</x:v>
      </x:c>
      <x:c r="E12" s="24" t="str">
        <x:v>Baseline válida; estado inicial reproducible; datos de prueba preparados.</x:v>
      </x:c>
      <x:c r="F12" s="24" t="str">
        <x:v>Nominal</x:v>
      </x:c>
      <x:c r="G12" s="24" t="str">
        <x:v>Reemplazar exige confirmación inequívoca.</x:v>
      </x:c>
      <x:c r="H12" s="24" t="str">
        <x:v>PlayMode + Manual</x:v>
      </x:c>
      <x:c r="I12" s="24" t="str">
        <x:v>P2</x:v>
      </x:c>
      <x:c r="J12" s="24" t="str">
        <x:v>S3</x:v>
      </x:c>
      <x:c r="K12" s="24" t="str">
        <x:v>Manual/Parcial</x:v>
      </x:c>
      <x:c r="L12" s="24" t="str"/>
      <x:c r="M12" s="24" t="str">
        <x:v>Not Run</x:v>
      </x:c>
      <x:c r="N12" s="24" t="str"/>
      <x:c r="O12" s="24" t="str"/>
    </x:row>
    <x:row r="13" ht="42" customHeight="1">
      <x:c r="A13" s="24" t="str">
        <x:v>TC-UX-SLOT-004</x:v>
      </x:c>
      <x:c r="B13" s="24" t="str">
        <x:v>UX-SLOT-004</x:v>
      </x:c>
      <x:c r="C13" s="24" t="str">
        <x:v>Slots y persistencia</x:v>
      </x:c>
      <x:c r="D13" s="24" t="str">
        <x:v>Borrar exige confirmación</x:v>
      </x:c>
      <x:c r="E13" s="24" t="str">
        <x:v>Baseline válida; estado inicial reproducible; datos de prueba preparados.</x:v>
      </x:c>
      <x:c r="F13" s="24" t="str">
        <x:v>Nominal</x:v>
      </x:c>
      <x:c r="G13" s="24" t="str">
        <x:v>Borrar exige confirmación.</x:v>
      </x:c>
      <x:c r="H13" s="24" t="str">
        <x:v>PlayMode + Manual</x:v>
      </x:c>
      <x:c r="I13" s="24" t="str">
        <x:v>P2</x:v>
      </x:c>
      <x:c r="J13" s="24" t="str">
        <x:v>S3</x:v>
      </x:c>
      <x:c r="K13" s="24" t="str">
        <x:v>Manual/Parcial</x:v>
      </x:c>
      <x:c r="L13" s="24" t="str"/>
      <x:c r="M13" s="24" t="str">
        <x:v>Not Run</x:v>
      </x:c>
      <x:c r="N13" s="24" t="str"/>
      <x:c r="O13" s="24" t="str"/>
    </x:row>
    <x:row r="14" ht="42" customHeight="1">
      <x:c r="A14" s="24" t="str">
        <x:v>TC-UX-SLOT-005</x:v>
      </x:c>
      <x:c r="B14" s="24" t="str">
        <x:v>UX-SLOT-005</x:v>
      </x:c>
      <x:c r="C14" s="24" t="str">
        <x:v>Slots y persistencia</x:v>
      </x:c>
      <x:c r="D14" s="24" t="str">
        <x:v>El backup se ofrece cuando el primario falla</x:v>
      </x:c>
      <x:c r="E14" s="24" t="str">
        <x:v>Baseline válida; estado inicial reproducible; datos de prueba preparados.</x:v>
      </x:c>
      <x:c r="F14" s="24" t="str">
        <x:v>Negativa / Fault injection</x:v>
      </x:c>
      <x:c r="G14" s="24" t="str">
        <x:v>El backup se ofrece cuando el primario falla.</x:v>
      </x:c>
      <x:c r="H14" s="24" t="str">
        <x:v>PlayMode + Manual</x:v>
      </x:c>
      <x:c r="I14" s="24" t="str">
        <x:v>P2</x:v>
      </x:c>
      <x:c r="J14" s="24" t="str">
        <x:v>S3</x:v>
      </x:c>
      <x:c r="K14" s="24" t="str">
        <x:v>Manual/Parcial</x:v>
      </x:c>
      <x:c r="L14" s="24" t="str"/>
      <x:c r="M14" s="24" t="str">
        <x:v>Not Run</x:v>
      </x:c>
      <x:c r="N14" s="24" t="str"/>
      <x:c r="O14" s="24" t="str"/>
    </x:row>
    <x:row r="15" ht="42" customHeight="1">
      <x:c r="A15" s="24" t="str">
        <x:v>TC-UX-SLOT-006</x:v>
      </x:c>
      <x:c r="B15" s="24" t="str">
        <x:v>UX-SLOT-006</x:v>
      </x:c>
      <x:c r="C15" s="24" t="str">
        <x:v>Slots y persistencia</x:v>
      </x:c>
      <x:c r="D15" s="24" t="str">
        <x:v>Un error no sobrescribe el guardado existente</x:v>
      </x:c>
      <x:c r="E15" s="24" t="str">
        <x:v>Baseline válida; estado inicial reproducible; datos de prueba preparados.</x:v>
      </x:c>
      <x:c r="F15" s="24" t="str">
        <x:v>Nominal</x:v>
      </x:c>
      <x:c r="G15" s="24" t="str">
        <x:v>Un error no sobrescribe el guardado existente.</x:v>
      </x:c>
      <x:c r="H15" s="24" t="str">
        <x:v>PlayMode + Manual</x:v>
      </x:c>
      <x:c r="I15" s="24" t="str">
        <x:v>P2</x:v>
      </x:c>
      <x:c r="J15" s="24" t="str">
        <x:v>S3</x:v>
      </x:c>
      <x:c r="K15" s="24" t="str">
        <x:v>Manual/Parcial</x:v>
      </x:c>
      <x:c r="L15" s="24" t="str"/>
      <x:c r="M15" s="24" t="str">
        <x:v>Not Run</x:v>
      </x:c>
      <x:c r="N15" s="24" t="str"/>
      <x:c r="O15" s="24" t="str"/>
    </x:row>
    <x:row r="16" ht="42" customHeight="1">
      <x:c r="A16" s="24" t="str">
        <x:v>TC-UX-SLOT-007</x:v>
      </x:c>
      <x:c r="B16" s="24" t="str">
        <x:v>UX-SLOT-007</x:v>
      </x:c>
      <x:c r="C16" s="24" t="str">
        <x:v>Slots y persistencia</x:v>
      </x:c>
      <x:c r="D16" s="24" t="str">
        <x:v>La carga no finaliza antes de restaurar escena y estado</x:v>
      </x:c>
      <x:c r="E16" s="24" t="str">
        <x:v>Baseline válida; estado inicial reproducible; datos de prueba preparados.</x:v>
      </x:c>
      <x:c r="F16" s="24" t="str">
        <x:v>Nominal</x:v>
      </x:c>
      <x:c r="G16" s="24" t="str">
        <x:v>La carga no finaliza antes de restaurar escena y estado.</x:v>
      </x:c>
      <x:c r="H16" s="24" t="str">
        <x:v>PlayMode + Manual</x:v>
      </x:c>
      <x:c r="I16" s="24" t="str">
        <x:v>P2</x:v>
      </x:c>
      <x:c r="J16" s="24" t="str">
        <x:v>S3</x:v>
      </x:c>
      <x:c r="K16" s="24" t="str">
        <x:v>Manual/Parcial</x:v>
      </x:c>
      <x:c r="L16" s="24" t="str"/>
      <x:c r="M16" s="24" t="str">
        <x:v>Not Run</x:v>
      </x:c>
      <x:c r="N16" s="24" t="str"/>
      <x:c r="O16" s="24" t="str"/>
    </x:row>
    <x:row r="17" ht="42" customHeight="1">
      <x:c r="A17" s="24" t="str">
        <x:v>TC-UX-SAV-001</x:v>
      </x:c>
      <x:c r="B17" s="24" t="str">
        <x:v>UX-SAV-001</x:v>
      </x:c>
      <x:c r="C17" s="24" t="str">
        <x:v>Persistencia</x:v>
      </x:c>
      <x:c r="D17" s="24" t="str">
        <x:v>Guardar muestra progreso y resultado real</x:v>
      </x:c>
      <x:c r="E17" s="24" t="str">
        <x:v>Baseline válida; estado inicial reproducible; datos de prueba preparados.</x:v>
      </x:c>
      <x:c r="F17" s="24" t="str">
        <x:v>Nominal</x:v>
      </x:c>
      <x:c r="G17" s="24" t="str">
        <x:v>Guardar muestra progreso y resultado real.</x:v>
      </x:c>
      <x:c r="H17" s="24" t="str">
        <x:v>EditMode + Integración</x:v>
      </x:c>
      <x:c r="I17" s="24" t="str">
        <x:v>P0</x:v>
      </x:c>
      <x:c r="J17" s="24" t="str">
        <x:v>S1</x:v>
      </x:c>
      <x:c r="K17" s="24" t="str">
        <x:v>Parcial/Alta</x:v>
      </x:c>
      <x:c r="L17" s="24" t="str"/>
      <x:c r="M17" s="24" t="str">
        <x:v>Not Run</x:v>
      </x:c>
      <x:c r="N17" s="24" t="str"/>
      <x:c r="O17" s="24" t="str"/>
    </x:row>
    <x:row r="18" ht="42" customHeight="1">
      <x:c r="A18" s="24" t="str">
        <x:v>TC-UX-SAV-002</x:v>
      </x:c>
      <x:c r="B18" s="24" t="str">
        <x:v>UX-SAV-002</x:v>
      </x:c>
      <x:c r="C18" s="24" t="str">
        <x:v>Persistencia</x:v>
      </x:c>
      <x:c r="D18" s="24" t="str">
        <x:v>Un error de guardado permanece visible</x:v>
      </x:c>
      <x:c r="E18" s="24" t="str">
        <x:v>Baseline válida; estado inicial reproducible; datos de prueba preparados.</x:v>
      </x:c>
      <x:c r="F18" s="24" t="str">
        <x:v>Nominal</x:v>
      </x:c>
      <x:c r="G18" s="24" t="str">
        <x:v>Un error de guardado permanece visible.</x:v>
      </x:c>
      <x:c r="H18" s="24" t="str">
        <x:v>EditMode + Integración</x:v>
      </x:c>
      <x:c r="I18" s="24" t="str">
        <x:v>P0</x:v>
      </x:c>
      <x:c r="J18" s="24" t="str">
        <x:v>S1</x:v>
      </x:c>
      <x:c r="K18" s="24" t="str">
        <x:v>Parcial/Alta</x:v>
      </x:c>
      <x:c r="L18" s="24" t="str"/>
      <x:c r="M18" s="24" t="str">
        <x:v>Not Run</x:v>
      </x:c>
      <x:c r="N18" s="24" t="str"/>
      <x:c r="O18" s="24" t="str"/>
    </x:row>
    <x:row r="19" ht="42" customHeight="1">
      <x:c r="A19" s="24" t="str">
        <x:v>TC-UX-SAV-003</x:v>
      </x:c>
      <x:c r="B19" s="24" t="str">
        <x:v>UX-SAV-003</x:v>
      </x:c>
      <x:c r="C19" s="24" t="str">
        <x:v>Persistencia</x:v>
      </x:c>
      <x:c r="D19" s="24" t="str">
        <x:v>Cargar conserva estado relevante</x:v>
      </x:c>
      <x:c r="E19" s="24" t="str">
        <x:v>Baseline válida; estado inicial reproducible; datos de prueba preparados.</x:v>
      </x:c>
      <x:c r="F19" s="24" t="str">
        <x:v>Nominal</x:v>
      </x:c>
      <x:c r="G19" s="24" t="str">
        <x:v>Cargar conserva estado relevante.</x:v>
      </x:c>
      <x:c r="H19" s="24" t="str">
        <x:v>EditMode + Integración</x:v>
      </x:c>
      <x:c r="I19" s="24" t="str">
        <x:v>P0</x:v>
      </x:c>
      <x:c r="J19" s="24" t="str">
        <x:v>S1</x:v>
      </x:c>
      <x:c r="K19" s="24" t="str">
        <x:v>Parcial/Alta</x:v>
      </x:c>
      <x:c r="L19" s="24" t="str"/>
      <x:c r="M19" s="24" t="str">
        <x:v>Not Run</x:v>
      </x:c>
      <x:c r="N19" s="24" t="str"/>
      <x:c r="O19" s="24" t="str"/>
    </x:row>
    <x:row r="20" ht="42" customHeight="1">
      <x:c r="A20" s="24" t="str">
        <x:v>TC-UX-SAV-004</x:v>
      </x:c>
      <x:c r="B20" s="24" t="str">
        <x:v>UX-SAV-004</x:v>
      </x:c>
      <x:c r="C20" s="24" t="str">
        <x:v>Persistencia</x:v>
      </x:c>
      <x:c r="D20" s="24" t="str">
        <x:v>Salir con cambios ofrece opciones claras</x:v>
      </x:c>
      <x:c r="E20" s="24" t="str">
        <x:v>Baseline válida; estado inicial reproducible; datos de prueba preparados.</x:v>
      </x:c>
      <x:c r="F20" s="24" t="str">
        <x:v>Nominal</x:v>
      </x:c>
      <x:c r="G20" s="24" t="str">
        <x:v>Salir con cambios ofrece opciones claras.</x:v>
      </x:c>
      <x:c r="H20" s="24" t="str">
        <x:v>EditMode + Integración</x:v>
      </x:c>
      <x:c r="I20" s="24" t="str">
        <x:v>P0</x:v>
      </x:c>
      <x:c r="J20" s="24" t="str">
        <x:v>S1</x:v>
      </x:c>
      <x:c r="K20" s="24" t="str">
        <x:v>Parcial/Alta</x:v>
      </x:c>
      <x:c r="L20" s="24" t="str"/>
      <x:c r="M20" s="24" t="str">
        <x:v>Not Run</x:v>
      </x:c>
      <x:c r="N20" s="24" t="str"/>
      <x:c r="O20" s="24" t="str"/>
    </x:row>
    <x:row r="21" ht="42" customHeight="1">
      <x:c r="A21" s="24" t="str">
        <x:v>TC-DATA-SAV-001</x:v>
      </x:c>
      <x:c r="B21" s="24" t="str">
        <x:v>DATA-SAV-001</x:v>
      </x:c>
      <x:c r="C21" s="24" t="str">
        <x:v>Datos</x:v>
      </x:c>
      <x:c r="D21" s="24" t="str">
        <x:v>IntegratedGameStateSnapshot usa schema versionado y validado</x:v>
      </x:c>
      <x:c r="E21" s="24" t="str">
        <x:v>Baseline válida; estado inicial reproducible; datos de prueba preparados.</x:v>
      </x:c>
      <x:c r="F21" s="24" t="str">
        <x:v>Nominal</x:v>
      </x:c>
      <x:c r="G21" s="24" t="str">
        <x:v>IntegratedGameStateSnapshot usa schema versionado y validado.</x:v>
      </x:c>
      <x:c r="H21" s="24" t="str">
        <x:v>Revisión</x:v>
      </x:c>
      <x:c r="I21" s="24" t="str">
        <x:v>P0</x:v>
      </x:c>
      <x:c r="J21" s="24" t="str">
        <x:v>S1</x:v>
      </x:c>
      <x:c r="K21" s="24" t="str">
        <x:v>Parcial</x:v>
      </x:c>
      <x:c r="L21" s="24" t="str"/>
      <x:c r="M21" s="24" t="str">
        <x:v>Not Run</x:v>
      </x:c>
      <x:c r="N21" s="24" t="str"/>
      <x:c r="O21" s="24" t="str"/>
    </x:row>
    <x:row r="22" ht="42" customHeight="1">
      <x:c r="A22" s="24" t="str">
        <x:v>TC-DATA-SAV-002</x:v>
      </x:c>
      <x:c r="B22" s="24" t="str">
        <x:v>DATA-SAV-002</x:v>
      </x:c>
      <x:c r="C22" s="24" t="str">
        <x:v>Datos</x:v>
      </x:c>
      <x:c r="D22" s="24" t="str">
        <x:v>El primario corrupto no destruye un backup válido</x:v>
      </x:c>
      <x:c r="E22" s="24" t="str">
        <x:v>Baseline válida; estado inicial reproducible; datos de prueba preparados.</x:v>
      </x:c>
      <x:c r="F22" s="24" t="str">
        <x:v>Negativa / Fault injection</x:v>
      </x:c>
      <x:c r="G22" s="24" t="str">
        <x:v>El primario corrupto no destruye un backup válido.</x:v>
      </x:c>
      <x:c r="H22" s="24" t="str">
        <x:v>Revisión</x:v>
      </x:c>
      <x:c r="I22" s="24" t="str">
        <x:v>P0</x:v>
      </x:c>
      <x:c r="J22" s="24" t="str">
        <x:v>S1</x:v>
      </x:c>
      <x:c r="K22" s="24" t="str">
        <x:v>Parcial</x:v>
      </x:c>
      <x:c r="L22" s="24" t="str"/>
      <x:c r="M22" s="24" t="str">
        <x:v>Not Run</x:v>
      </x:c>
      <x:c r="N22" s="24" t="str"/>
      <x:c r="O22" s="24" t="str"/>
    </x:row>
    <x:row r="23" ht="42" customHeight="1">
      <x:c r="A23" s="24" t="str">
        <x:v>TC-FI-SAV-001</x:v>
      </x:c>
      <x:c r="B23" s="24" t="str"/>
      <x:c r="C23" s="24" t="str">
        <x:v>Persistencia</x:v>
      </x:c>
      <x:c r="D23" s="24" t="str">
        <x:v>Truncar el archivo primario tras una escritura válida</x:v>
      </x:c>
      <x:c r="E23" s="24" t="str">
        <x:v>Build o escena representativa; instrumentación y evidencia preparadas.</x:v>
      </x:c>
      <x:c r="F23" s="24" t="str">
        <x:v>Negativa / Fault injection</x:v>
      </x:c>
      <x:c r="G23" s="24" t="str">
        <x:v>El sistema detecta corrupción y ofrece backup sin sobrescribirlo.</x:v>
      </x:c>
      <x:c r="H23" s="24" t="str">
        <x:v>Integración + Manual</x:v>
      </x:c>
      <x:c r="I23" s="24" t="str">
        <x:v>P0</x:v>
      </x:c>
      <x:c r="J23" s="24" t="str">
        <x:v>S0</x:v>
      </x:c>
      <x:c r="K23" s="24" t="str">
        <x:v>Parcial</x:v>
      </x:c>
      <x:c r="L23" s="24" t="str"/>
      <x:c r="M23" s="24" t="str">
        <x:v>Not Run</x:v>
      </x:c>
      <x:c r="N23" s="24" t="str"/>
      <x:c r="O23" s="24" t="str"/>
    </x:row>
    <x:row r="24" ht="42" customHeight="1">
      <x:c r="A24" s="24" t="str">
        <x:v>TC-FI-SAV-002</x:v>
      </x:c>
      <x:c r="B24" s="24" t="str"/>
      <x:c r="C24" s="24" t="str">
        <x:v>Persistencia</x:v>
      </x:c>
      <x:c r="D24" s="24" t="str">
        <x:v>Denegar escritura en la carpeta de guardado</x:v>
      </x:c>
      <x:c r="E24" s="24" t="str">
        <x:v>Build o escena representativa; instrumentación y evidencia preparadas.</x:v>
      </x:c>
      <x:c r="F24" s="24" t="str">
        <x:v>Negativa / Fault injection</x:v>
      </x:c>
      <x:c r="G24" s="24" t="str">
        <x:v>Se informa el fallo; el primario previo permanece válido.</x:v>
      </x:c>
      <x:c r="H24" s="24" t="str">
        <x:v>Integración + Manual</x:v>
      </x:c>
      <x:c r="I24" s="24" t="str">
        <x:v>P0</x:v>
      </x:c>
      <x:c r="J24" s="24" t="str">
        <x:v>S1</x:v>
      </x:c>
      <x:c r="K24" s="24" t="str">
        <x:v>Parcial</x:v>
      </x:c>
      <x:c r="L24" s="24" t="str"/>
      <x:c r="M24" s="24" t="str">
        <x:v>Not Run</x:v>
      </x:c>
      <x:c r="N24" s="24" t="str"/>
      <x:c r="O24" s="24" t="str"/>
    </x:row>
    <x:row r="25" ht="42" customHeight="1">
      <x:c r="A25" s="24" t="str">
        <x:v>TC-FI-SAV-003</x:v>
      </x:c>
      <x:c r="B25" s="24" t="str"/>
      <x:c r="C25" s="24" t="str">
        <x:v>Persistencia</x:v>
      </x:c>
      <x:c r="D25" s="24" t="str">
        <x:v>Interrumpir antes de promover el temporal</x:v>
      </x:c>
      <x:c r="E25" s="24" t="str">
        <x:v>Build o escena representativa; instrumentación y evidencia preparadas.</x:v>
      </x:c>
      <x:c r="F25" s="24" t="str">
        <x:v>Negativa / Fault injection</x:v>
      </x:c>
      <x:c r="G25" s="24" t="str">
        <x:v>No aparece un primario parcial y el backup sigue disponible.</x:v>
      </x:c>
      <x:c r="H25" s="24" t="str">
        <x:v>Integración + Manual</x:v>
      </x:c>
      <x:c r="I25" s="24" t="str">
        <x:v>P0</x:v>
      </x:c>
      <x:c r="J25" s="24" t="str">
        <x:v>S0</x:v>
      </x:c>
      <x:c r="K25" s="24" t="str">
        <x:v>Parcial</x:v>
      </x:c>
      <x:c r="L25" s="24" t="str"/>
      <x:c r="M25" s="24" t="str">
        <x:v>Not Run</x:v>
      </x:c>
      <x:c r="N25" s="24" t="str"/>
      <x:c r="O25" s="24" t="str"/>
    </x:row>
    <x:row r="26" ht="42" customHeight="1">
      <x:c r="A26" s="24" t="str">
        <x:v>TC-FI-SAV-004</x:v>
      </x:c>
      <x:c r="B26" s="24" t="str"/>
      <x:c r="C26" s="24" t="str">
        <x:v>Persistencia</x:v>
      </x:c>
      <x:c r="D26" s="24" t="str">
        <x:v>Cargar schema futuro no soportado</x:v>
      </x:c>
      <x:c r="E26" s="24" t="str">
        <x:v>Build o escena representativa; instrumentación y evidencia preparadas.</x:v>
      </x:c>
      <x:c r="F26" s="24" t="str">
        <x:v>Negativa / Fault injection</x:v>
      </x:c>
      <x:c r="G26" s="24" t="str">
        <x:v>Se rechaza sin mutación parcial y se informa compatibilidad.</x:v>
      </x:c>
      <x:c r="H26" s="24" t="str">
        <x:v>Integración + Manual</x:v>
      </x:c>
      <x:c r="I26" s="24" t="str">
        <x:v>P0</x:v>
      </x:c>
      <x:c r="J26" s="24" t="str">
        <x:v>S1</x:v>
      </x:c>
      <x:c r="K26" s="24" t="str">
        <x:v>Parcial</x:v>
      </x:c>
      <x:c r="L26" s="24" t="str"/>
      <x:c r="M26" s="24" t="str">
        <x:v>Not Run</x:v>
      </x:c>
      <x:c r="N26" s="24" t="str"/>
      <x:c r="O26" s="24" t="str"/>
    </x:row>
    <x:row r="27" ht="42" customHeight="1">
      <x:c r="A27" s="24" t="str">
        <x:v>TC-FI-SAV-005</x:v>
      </x:c>
      <x:c r="B27" s="24" t="str"/>
      <x:c r="C27" s="24" t="str">
        <x:v>Persistencia</x:v>
      </x:c>
      <x:c r="D27" s="24" t="str">
        <x:v>Modificar un byte del snapshot</x:v>
      </x:c>
      <x:c r="E27" s="24" t="str">
        <x:v>Build o escena representativa; instrumentación y evidencia preparadas.</x:v>
      </x:c>
      <x:c r="F27" s="24" t="str">
        <x:v>Negativa / Fault injection</x:v>
      </x:c>
      <x:c r="G27" s="24" t="str">
        <x:v>Checksum o validación detecta la alteración.</x:v>
      </x:c>
      <x:c r="H27" s="24" t="str">
        <x:v>Integración + Manual</x:v>
      </x:c>
      <x:c r="I27" s="24" t="str">
        <x:v>P0</x:v>
      </x:c>
      <x:c r="J27" s="24" t="str">
        <x:v>S1</x:v>
      </x:c>
      <x:c r="K27" s="24" t="str">
        <x:v>Parcial</x:v>
      </x:c>
      <x:c r="L27" s="24" t="str"/>
      <x:c r="M27" s="24" t="str">
        <x:v>Not Run</x:v>
      </x:c>
      <x:c r="N27" s="24" t="str"/>
      <x:c r="O27" s="24" t="str"/>
    </x:row>
  </x:sheetData>
  <x:mergeCells>
    <x:mergeCell ref="A1:O1"/>
    <x:mergeCell ref="A2:O2"/>
  </x:mergeCells>
  <x:dataValidations count="1">
    <x:dataValidation type="list" sqref="M5:M27">
      <x:formula1>"Not Run,PASS,FAIL,BLOCKED,SKIPPED,Baseline PASS,PASS WITH OBSERVATION,N/A"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aaeb25de2646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35" hidden="0" customWidth="1"/>
  </x:cols>
  <x:sheetData>
    <x:row r="1" ht="28" customHeight="1">
      <x:c r="A1" s="36" t="str">
        <x:v>Cobertura por sistemas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Resumen calculado de requisitos, casos, P0, automatización, defectos y estado.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4" customHeight="1">
      <x:c r="A4" s="17" t="str">
        <x:v>Sistema</x:v>
      </x:c>
      <x:c r="B4" s="17" t="str">
        <x:v>Requisitos</x:v>
      </x:c>
      <x:c r="C4" s="17" t="str">
        <x:v>Casos</x:v>
      </x:c>
      <x:c r="D4" s="17" t="str">
        <x:v>Casos P0</x:v>
      </x:c>
      <x:c r="E4" s="17" t="str">
        <x:v>Casos automatizables</x:v>
      </x:c>
      <x:c r="F4" s="17" t="str">
        <x:v>Defectos abiertos</x:v>
      </x:c>
      <x:c r="G4" s="17" t="str">
        <x:v>Cobertura de diseño</x:v>
      </x:c>
      <x:c r="H4" s="17" t="str">
        <x:v>Último resultado</x:v>
      </x:c>
      <x:c r="I4" s="17" t="str">
        <x:v>Owner</x:v>
      </x:c>
      <x:c r="J4" s="17" t="str">
        <x:v>Notas</x:v>
      </x:c>
    </x:row>
    <x:row r="5">
      <x:c r="A5" s="24" t="str">
        <x:v>Accesibilidad</x:v>
      </x:c>
      <x:c r="B5" s="24" t="n">
        <x:f>COUNTIF('02_Requisitos'!$D$5:$D$177,A5)</x:f>
        <x:v>5</x:v>
      </x:c>
      <x:c r="C5" s="24" t="n">
        <x:f>COUNTIF('03_Casos_Prueba'!$B$5:$B$254,A5)</x:f>
        <x:v>8</x:v>
      </x:c>
      <x:c r="D5" s="24" t="n">
        <x:f>COUNTIFS('03_Casos_Prueba'!$B$5:$B$254,A5,'03_Casos_Prueba'!$M$5:$M$254,"P0")</x:f>
        <x:v>0</x:v>
      </x:c>
      <x:c r="E5" s="24" t="n">
        <x:f>COUNTIFS('03_Casos_Prueba'!$B$5:$B$254,A5,'03_Casos_Prueba'!$O$5:$O$254,"&lt;&gt;No")</x:f>
        <x:v>8</x:v>
      </x:c>
      <x:c r="F5" s="24" t="n">
        <x:f>COUNTIFS('12_Defectos'!$C$5:$C$1000,A5,'12_Defectos'!$E$5:$E$1000,"&lt;&gt;Closed")</x:f>
        <x:v>0</x:v>
      </x:c>
      <x:c r="G5" s="32" t="n">
        <x:f>IF(B5=0,0,MIN(1,C5/B5))</x:f>
        <x:v>1</x:v>
      </x:c>
      <x:c r="H5" s="24" t="str">
        <x:v>Not Run</x:v>
      </x:c>
      <x:c r="I5" s="24" t="str">
        <x:v>VRM Games</x:v>
      </x:c>
      <x:c r="J5" s="24" t="str"/>
    </x:row>
    <x:row r="6">
      <x:c r="A6" s="24" t="str">
        <x:v>Aplicación y sesión</x:v>
      </x:c>
      <x:c r="B6" s="24" t="n">
        <x:f>COUNTIF('02_Requisitos'!$D$5:$D$177,A6)</x:f>
        <x:v>4</x:v>
      </x:c>
      <x:c r="C6" s="24" t="n">
        <x:f>COUNTIF('03_Casos_Prueba'!$B$5:$B$254,A6)</x:f>
        <x:v>4</x:v>
      </x:c>
      <x:c r="D6" s="24" t="n">
        <x:f>COUNTIFS('03_Casos_Prueba'!$B$5:$B$254,A6,'03_Casos_Prueba'!$M$5:$M$254,"P0")</x:f>
        <x:v>4</x:v>
      </x:c>
      <x:c r="E6" s="24" t="n">
        <x:f>COUNTIFS('03_Casos_Prueba'!$B$5:$B$254,A6,'03_Casos_Prueba'!$O$5:$O$254,"&lt;&gt;No")</x:f>
        <x:v>4</x:v>
      </x:c>
      <x:c r="F6" s="24" t="n">
        <x:f>COUNTIFS('12_Defectos'!$C$5:$C$1000,A6,'12_Defectos'!$E$5:$E$1000,"&lt;&gt;Closed")</x:f>
        <x:v>0</x:v>
      </x:c>
      <x:c r="G6" s="32" t="n">
        <x:f>IF(B6=0,0,MIN(1,C6/B6))</x:f>
        <x:v>1</x:v>
      </x:c>
      <x:c r="H6" s="24" t="str">
        <x:v>Not Run</x:v>
      </x:c>
      <x:c r="I6" s="24" t="str">
        <x:v>VRM Games</x:v>
      </x:c>
      <x:c r="J6" s="24" t="str"/>
    </x:row>
    <x:row r="7">
      <x:c r="A7" s="24" t="str">
        <x:v>Arquitectura</x:v>
      </x:c>
      <x:c r="B7" s="24" t="n">
        <x:f>COUNTIF('02_Requisitos'!$D$5:$D$177,A7)</x:f>
        <x:v>2</x:v>
      </x:c>
      <x:c r="C7" s="24" t="n">
        <x:f>COUNTIF('03_Casos_Prueba'!$B$5:$B$254,A7)</x:f>
        <x:v>2</x:v>
      </x:c>
      <x:c r="D7" s="24" t="n">
        <x:f>COUNTIFS('03_Casos_Prueba'!$B$5:$B$254,A7,'03_Casos_Prueba'!$M$5:$M$254,"P0")</x:f>
        <x:v>2</x:v>
      </x:c>
      <x:c r="E7" s="24" t="n">
        <x:f>COUNTIFS('03_Casos_Prueba'!$B$5:$B$254,A7,'03_Casos_Prueba'!$O$5:$O$254,"&lt;&gt;No")</x:f>
        <x:v>2</x:v>
      </x:c>
      <x:c r="F7" s="24" t="n">
        <x:f>COUNTIFS('12_Defectos'!$C$5:$C$1000,A7,'12_Defectos'!$E$5:$E$1000,"&lt;&gt;Closed")</x:f>
        <x:v>0</x:v>
      </x:c>
      <x:c r="G7" s="32" t="n">
        <x:f>IF(B7=0,0,MIN(1,C7/B7))</x:f>
        <x:v>1</x:v>
      </x:c>
      <x:c r="H7" s="24" t="str">
        <x:v>Not Run</x:v>
      </x:c>
      <x:c r="I7" s="24" t="str">
        <x:v>VRM Games</x:v>
      </x:c>
      <x:c r="J7" s="24" t="str"/>
    </x:row>
    <x:row r="8">
      <x:c r="A8" s="24" t="str">
        <x:v>Arte</x:v>
      </x:c>
      <x:c r="B8" s="24" t="n">
        <x:f>COUNTIF('02_Requisitos'!$D$5:$D$177,A8)</x:f>
        <x:v>0</x:v>
      </x:c>
      <x:c r="C8" s="24" t="n">
        <x:f>COUNTIF('03_Casos_Prueba'!$B$5:$B$254,A8)</x:f>
        <x:v>3</x:v>
      </x:c>
      <x:c r="D8" s="24" t="n">
        <x:f>COUNTIFS('03_Casos_Prueba'!$B$5:$B$254,A8,'03_Casos_Prueba'!$M$5:$M$254,"P0")</x:f>
        <x:v>1</x:v>
      </x:c>
      <x:c r="E8" s="24" t="n">
        <x:f>COUNTIFS('03_Casos_Prueba'!$B$5:$B$254,A8,'03_Casos_Prueba'!$O$5:$O$254,"&lt;&gt;No")</x:f>
        <x:v>3</x:v>
      </x:c>
      <x:c r="F8" s="24" t="n">
        <x:f>COUNTIFS('12_Defectos'!$C$5:$C$1000,A8,'12_Defectos'!$E$5:$E$1000,"&lt;&gt;Closed")</x:f>
        <x:v>0</x:v>
      </x:c>
      <x:c r="G8" s="32" t="n">
        <x:f>IF(B8=0,0,MIN(1,C8/B8))</x:f>
        <x:v>0</x:v>
      </x:c>
      <x:c r="H8" s="24" t="str">
        <x:v>Not Run</x:v>
      </x:c>
      <x:c r="I8" s="24" t="str">
        <x:v>VRM Games</x:v>
      </x:c>
      <x:c r="J8" s="24" t="str"/>
    </x:row>
    <x:row r="9">
      <x:c r="A9" s="24" t="str">
        <x:v>Arte y representación</x:v>
      </x:c>
      <x:c r="B9" s="24" t="n">
        <x:f>COUNTIF('02_Requisitos'!$D$5:$D$177,A9)</x:f>
        <x:v>2</x:v>
      </x:c>
      <x:c r="C9" s="24" t="n">
        <x:f>COUNTIF('03_Casos_Prueba'!$B$5:$B$254,A9)</x:f>
        <x:v>2</x:v>
      </x:c>
      <x:c r="D9" s="24" t="n">
        <x:f>COUNTIFS('03_Casos_Prueba'!$B$5:$B$254,A9,'03_Casos_Prueba'!$M$5:$M$254,"P0")</x:f>
        <x:v>0</x:v>
      </x:c>
      <x:c r="E9" s="24" t="n">
        <x:f>COUNTIFS('03_Casos_Prueba'!$B$5:$B$254,A9,'03_Casos_Prueba'!$O$5:$O$254,"&lt;&gt;No")</x:f>
        <x:v>2</x:v>
      </x:c>
      <x:c r="F9" s="24" t="n">
        <x:f>COUNTIFS('12_Defectos'!$C$5:$C$1000,A9,'12_Defectos'!$E$5:$E$1000,"&lt;&gt;Closed")</x:f>
        <x:v>0</x:v>
      </x:c>
      <x:c r="G9" s="32" t="n">
        <x:f>IF(B9=0,0,MIN(1,C9/B9))</x:f>
        <x:v>1</x:v>
      </x:c>
      <x:c r="H9" s="24" t="str">
        <x:v>Not Run</x:v>
      </x:c>
      <x:c r="I9" s="24" t="str">
        <x:v>VRM Games</x:v>
      </x:c>
      <x:c r="J9" s="24" t="str"/>
    </x:row>
    <x:row r="10">
      <x:c r="A10" s="24" t="str">
        <x:v>Audio</x:v>
      </x:c>
      <x:c r="B10" s="24" t="n">
        <x:f>COUNTIF('02_Requisitos'!$D$5:$D$177,A10)</x:f>
        <x:v>1</x:v>
      </x:c>
      <x:c r="C10" s="24" t="n">
        <x:f>COUNTIF('03_Casos_Prueba'!$B$5:$B$254,A10)</x:f>
        <x:v>3</x:v>
      </x:c>
      <x:c r="D10" s="24" t="n">
        <x:f>COUNTIFS('03_Casos_Prueba'!$B$5:$B$254,A10,'03_Casos_Prueba'!$M$5:$M$254,"P0")</x:f>
        <x:v>0</x:v>
      </x:c>
      <x:c r="E10" s="24" t="n">
        <x:f>COUNTIFS('03_Casos_Prueba'!$B$5:$B$254,A10,'03_Casos_Prueba'!$O$5:$O$254,"&lt;&gt;No")</x:f>
        <x:v>3</x:v>
      </x:c>
      <x:c r="F10" s="24" t="n">
        <x:f>COUNTIFS('12_Defectos'!$C$5:$C$1000,A10,'12_Defectos'!$E$5:$E$1000,"&lt;&gt;Closed")</x:f>
        <x:v>0</x:v>
      </x:c>
      <x:c r="G10" s="32" t="n">
        <x:f>IF(B10=0,0,MIN(1,C10/B10))</x:f>
        <x:v>1</x:v>
      </x:c>
      <x:c r="H10" s="24" t="str">
        <x:v>Not Run</x:v>
      </x:c>
      <x:c r="I10" s="24" t="str">
        <x:v>VRM Games</x:v>
      </x:c>
      <x:c r="J10" s="24" t="str"/>
    </x:row>
    <x:row r="11">
      <x:c r="A11" s="24" t="str">
        <x:v>Bootstrap y escenas</x:v>
      </x:c>
      <x:c r="B11" s="24" t="n">
        <x:f>COUNTIF('02_Requisitos'!$D$5:$D$177,A11)</x:f>
        <x:v>6</x:v>
      </x:c>
      <x:c r="C11" s="24" t="n">
        <x:f>COUNTIF('03_Casos_Prueba'!$B$5:$B$254,A11)</x:f>
        <x:v>6</x:v>
      </x:c>
      <x:c r="D11" s="24" t="n">
        <x:f>COUNTIFS('03_Casos_Prueba'!$B$5:$B$254,A11,'03_Casos_Prueba'!$M$5:$M$254,"P0")</x:f>
        <x:v>0</x:v>
      </x:c>
      <x:c r="E11" s="24" t="n">
        <x:f>COUNTIFS('03_Casos_Prueba'!$B$5:$B$254,A11,'03_Casos_Prueba'!$O$5:$O$254,"&lt;&gt;No")</x:f>
        <x:v>6</x:v>
      </x:c>
      <x:c r="F11" s="24" t="n">
        <x:f>COUNTIFS('12_Defectos'!$C$5:$C$1000,A11,'12_Defectos'!$E$5:$E$1000,"&lt;&gt;Closed")</x:f>
        <x:v>0</x:v>
      </x:c>
      <x:c r="G11" s="32" t="n">
        <x:f>IF(B11=0,0,MIN(1,C11/B11))</x:f>
        <x:v>1</x:v>
      </x:c>
      <x:c r="H11" s="24" t="str">
        <x:v>Not Run</x:v>
      </x:c>
      <x:c r="I11" s="24" t="str">
        <x:v>VRM Games</x:v>
      </x:c>
      <x:c r="J11" s="24" t="str"/>
    </x:row>
    <x:row r="12">
      <x:c r="A12" s="24" t="str">
        <x:v>Build</x:v>
      </x:c>
      <x:c r="B12" s="24" t="n">
        <x:f>COUNTIF('02_Requisitos'!$D$5:$D$177,A12)</x:f>
        <x:v>3</x:v>
      </x:c>
      <x:c r="C12" s="24" t="n">
        <x:f>COUNTIF('03_Casos_Prueba'!$B$5:$B$254,A12)</x:f>
        <x:v>8</x:v>
      </x:c>
      <x:c r="D12" s="24" t="n">
        <x:f>COUNTIFS('03_Casos_Prueba'!$B$5:$B$254,A12,'03_Casos_Prueba'!$M$5:$M$254,"P0")</x:f>
        <x:v>7</x:v>
      </x:c>
      <x:c r="E12" s="24" t="n">
        <x:f>COUNTIFS('03_Casos_Prueba'!$B$5:$B$254,A12,'03_Casos_Prueba'!$O$5:$O$254,"&lt;&gt;No")</x:f>
        <x:v>8</x:v>
      </x:c>
      <x:c r="F12" s="24" t="n">
        <x:f>COUNTIFS('12_Defectos'!$C$5:$C$1000,A12,'12_Defectos'!$E$5:$E$1000,"&lt;&gt;Closed")</x:f>
        <x:v>0</x:v>
      </x:c>
      <x:c r="G12" s="32" t="n">
        <x:f>IF(B12=0,0,MIN(1,C12/B12))</x:f>
        <x:v>1</x:v>
      </x:c>
      <x:c r="H12" s="24" t="str">
        <x:v>Not Run</x:v>
      </x:c>
      <x:c r="I12" s="24" t="str">
        <x:v>VRM Games</x:v>
      </x:c>
      <x:c r="J12" s="24" t="str"/>
    </x:row>
    <x:row r="13">
      <x:c r="A13" s="24" t="str">
        <x:v>Checkout</x:v>
      </x:c>
      <x:c r="B13" s="24" t="n">
        <x:f>COUNTIF('02_Requisitos'!$D$5:$D$177,A13)</x:f>
        <x:v>9</x:v>
      </x:c>
      <x:c r="C13" s="24" t="n">
        <x:f>COUNTIF('03_Casos_Prueba'!$B$5:$B$254,A13)</x:f>
        <x:v>10</x:v>
      </x:c>
      <x:c r="D13" s="24" t="n">
        <x:f>COUNTIFS('03_Casos_Prueba'!$B$5:$B$254,A13,'03_Casos_Prueba'!$M$5:$M$254,"P0")</x:f>
        <x:v>10</x:v>
      </x:c>
      <x:c r="E13" s="24" t="n">
        <x:f>COUNTIFS('03_Casos_Prueba'!$B$5:$B$254,A13,'03_Casos_Prueba'!$O$5:$O$254,"&lt;&gt;No")</x:f>
        <x:v>10</x:v>
      </x:c>
      <x:c r="F13" s="24" t="n">
        <x:f>COUNTIFS('12_Defectos'!$C$5:$C$1000,A13,'12_Defectos'!$E$5:$E$1000,"&lt;&gt;Closed")</x:f>
        <x:v>0</x:v>
      </x:c>
      <x:c r="G13" s="32" t="n">
        <x:f>IF(B13=0,0,MIN(1,C13/B13))</x:f>
        <x:v>1</x:v>
      </x:c>
      <x:c r="H13" s="24" t="str">
        <x:v>Not Run</x:v>
      </x:c>
      <x:c r="I13" s="24" t="str">
        <x:v>VRM Games</x:v>
      </x:c>
      <x:c r="J13" s="24" t="str"/>
    </x:row>
    <x:row r="14">
      <x:c r="A14" s="24" t="str">
        <x:v>Ciclo diario</x:v>
      </x:c>
      <x:c r="B14" s="24" t="n">
        <x:f>COUNTIF('02_Requisitos'!$D$5:$D$177,A14)</x:f>
        <x:v>8</x:v>
      </x:c>
      <x:c r="C14" s="24" t="n">
        <x:f>COUNTIF('03_Casos_Prueba'!$B$5:$B$254,A14)</x:f>
        <x:v>9</x:v>
      </x:c>
      <x:c r="D14" s="24" t="n">
        <x:f>COUNTIFS('03_Casos_Prueba'!$B$5:$B$254,A14,'03_Casos_Prueba'!$M$5:$M$254,"P0")</x:f>
        <x:v>5</x:v>
      </x:c>
      <x:c r="E14" s="24" t="n">
        <x:f>COUNTIFS('03_Casos_Prueba'!$B$5:$B$254,A14,'03_Casos_Prueba'!$O$5:$O$254,"&lt;&gt;No")</x:f>
        <x:v>9</x:v>
      </x:c>
      <x:c r="F14" s="24" t="n">
        <x:f>COUNTIFS('12_Defectos'!$C$5:$C$1000,A14,'12_Defectos'!$E$5:$E$1000,"&lt;&gt;Closed")</x:f>
        <x:v>0</x:v>
      </x:c>
      <x:c r="G14" s="32" t="n">
        <x:f>IF(B14=0,0,MIN(1,C14/B14))</x:f>
        <x:v>1</x:v>
      </x:c>
      <x:c r="H14" s="24" t="str">
        <x:v>Not Run</x:v>
      </x:c>
      <x:c r="I14" s="24" t="str">
        <x:v>VRM Games</x:v>
      </x:c>
      <x:c r="J14" s="24" t="str"/>
    </x:row>
    <x:row r="15">
      <x:c r="A15" s="24" t="str">
        <x:v>Clientes</x:v>
      </x:c>
      <x:c r="B15" s="24" t="n">
        <x:f>COUNTIF('02_Requisitos'!$D$5:$D$177,A15)</x:f>
        <x:v>9</x:v>
      </x:c>
      <x:c r="C15" s="24" t="n">
        <x:f>COUNTIF('03_Casos_Prueba'!$B$5:$B$254,A15)</x:f>
        <x:v>9</x:v>
      </x:c>
      <x:c r="D15" s="24" t="n">
        <x:f>COUNTIFS('03_Casos_Prueba'!$B$5:$B$254,A15,'03_Casos_Prueba'!$M$5:$M$254,"P0")</x:f>
        <x:v>2</x:v>
      </x:c>
      <x:c r="E15" s="24" t="n">
        <x:f>COUNTIFS('03_Casos_Prueba'!$B$5:$B$254,A15,'03_Casos_Prueba'!$O$5:$O$254,"&lt;&gt;No")</x:f>
        <x:v>9</x:v>
      </x:c>
      <x:c r="F15" s="24" t="n">
        <x:f>COUNTIFS('12_Defectos'!$C$5:$C$1000,A15,'12_Defectos'!$E$5:$E$1000,"&lt;&gt;Closed")</x:f>
        <x:v>0</x:v>
      </x:c>
      <x:c r="G15" s="32" t="n">
        <x:f>IF(B15=0,0,MIN(1,C15/B15))</x:f>
        <x:v>1</x:v>
      </x:c>
      <x:c r="H15" s="24" t="str">
        <x:v>Not Run</x:v>
      </x:c>
      <x:c r="I15" s="24" t="str">
        <x:v>VRM Games</x:v>
      </x:c>
      <x:c r="J15" s="24" t="str"/>
    </x:row>
    <x:row r="16">
      <x:c r="A16" s="24" t="str">
        <x:v>Cola</x:v>
      </x:c>
      <x:c r="B16" s="24" t="n">
        <x:f>COUNTIF('02_Requisitos'!$D$5:$D$177,A16)</x:f>
        <x:v>3</x:v>
      </x:c>
      <x:c r="C16" s="24" t="n">
        <x:f>COUNTIF('03_Casos_Prueba'!$B$5:$B$254,A16)</x:f>
        <x:v>3</x:v>
      </x:c>
      <x:c r="D16" s="24" t="n">
        <x:f>COUNTIFS('03_Casos_Prueba'!$B$5:$B$254,A16,'03_Casos_Prueba'!$M$5:$M$254,"P0")</x:f>
        <x:v>1</x:v>
      </x:c>
      <x:c r="E16" s="24" t="n">
        <x:f>COUNTIFS('03_Casos_Prueba'!$B$5:$B$254,A16,'03_Casos_Prueba'!$O$5:$O$254,"&lt;&gt;No")</x:f>
        <x:v>3</x:v>
      </x:c>
      <x:c r="F16" s="24" t="n">
        <x:f>COUNTIFS('12_Defectos'!$C$5:$C$1000,A16,'12_Defectos'!$E$5:$E$1000,"&lt;&gt;Closed")</x:f>
        <x:v>0</x:v>
      </x:c>
      <x:c r="G16" s="32" t="n">
        <x:f>IF(B16=0,0,MIN(1,C16/B16))</x:f>
        <x:v>1</x:v>
      </x:c>
      <x:c r="H16" s="24" t="str">
        <x:v>Not Run</x:v>
      </x:c>
      <x:c r="I16" s="24" t="str">
        <x:v>VRM Games</x:v>
      </x:c>
      <x:c r="J16" s="24" t="str"/>
    </x:row>
    <x:row r="17">
      <x:c r="A17" s="24" t="str">
        <x:v>Compatibilidad</x:v>
      </x:c>
      <x:c r="B17" s="24" t="n">
        <x:f>COUNTIF('02_Requisitos'!$D$5:$D$177,A17)</x:f>
        <x:v>0</x:v>
      </x:c>
      <x:c r="C17" s="24" t="n">
        <x:f>COUNTIF('03_Casos_Prueba'!$B$5:$B$254,A17)</x:f>
        <x:v>3</x:v>
      </x:c>
      <x:c r="D17" s="24" t="n">
        <x:f>COUNTIFS('03_Casos_Prueba'!$B$5:$B$254,A17,'03_Casos_Prueba'!$M$5:$M$254,"P0")</x:f>
        <x:v>1</x:v>
      </x:c>
      <x:c r="E17" s="24" t="n">
        <x:f>COUNTIFS('03_Casos_Prueba'!$B$5:$B$254,A17,'03_Casos_Prueba'!$O$5:$O$254,"&lt;&gt;No")</x:f>
        <x:v>3</x:v>
      </x:c>
      <x:c r="F17" s="24" t="n">
        <x:f>COUNTIFS('12_Defectos'!$C$5:$C$1000,A17,'12_Defectos'!$E$5:$E$1000,"&lt;&gt;Closed")</x:f>
        <x:v>0</x:v>
      </x:c>
      <x:c r="G17" s="32" t="n">
        <x:f>IF(B17=0,0,MIN(1,C17/B17))</x:f>
        <x:v>0</x:v>
      </x:c>
      <x:c r="H17" s="24" t="str">
        <x:v>Not Run</x:v>
      </x:c>
      <x:c r="I17" s="24" t="str">
        <x:v>VRM Games</x:v>
      </x:c>
      <x:c r="J17" s="24" t="str"/>
    </x:row>
    <x:row r="18">
      <x:c r="A18" s="24" t="str">
        <x:v>Construcción</x:v>
      </x:c>
      <x:c r="B18" s="24" t="n">
        <x:f>COUNTIF('02_Requisitos'!$D$5:$D$177,A18)</x:f>
        <x:v>15</x:v>
      </x:c>
      <x:c r="C18" s="24" t="n">
        <x:f>COUNTIF('03_Casos_Prueba'!$B$5:$B$254,A18)</x:f>
        <x:v>15</x:v>
      </x:c>
      <x:c r="D18" s="24" t="n">
        <x:f>COUNTIFS('03_Casos_Prueba'!$B$5:$B$254,A18,'03_Casos_Prueba'!$M$5:$M$254,"P0")</x:f>
        <x:v>1</x:v>
      </x:c>
      <x:c r="E18" s="24" t="n">
        <x:f>COUNTIFS('03_Casos_Prueba'!$B$5:$B$254,A18,'03_Casos_Prueba'!$O$5:$O$254,"&lt;&gt;No")</x:f>
        <x:v>15</x:v>
      </x:c>
      <x:c r="F18" s="24" t="n">
        <x:f>COUNTIFS('12_Defectos'!$C$5:$C$1000,A18,'12_Defectos'!$E$5:$E$1000,"&lt;&gt;Closed")</x:f>
        <x:v>0</x:v>
      </x:c>
      <x:c r="G18" s="32" t="n">
        <x:f>IF(B18=0,0,MIN(1,C18/B18))</x:f>
        <x:v>1</x:v>
      </x:c>
      <x:c r="H18" s="24" t="str">
        <x:v>Not Run</x:v>
      </x:c>
      <x:c r="I18" s="24" t="str">
        <x:v>VRM Games</x:v>
      </x:c>
      <x:c r="J18" s="24" t="str"/>
    </x:row>
    <x:row r="19">
      <x:c r="A19" s="24" t="str">
        <x:v>Cámara</x:v>
      </x:c>
      <x:c r="B19" s="24" t="n">
        <x:f>COUNTIF('02_Requisitos'!$D$5:$D$177,A19)</x:f>
        <x:v>2</x:v>
      </x:c>
      <x:c r="C19" s="24" t="n">
        <x:f>COUNTIF('03_Casos_Prueba'!$B$5:$B$254,A19)</x:f>
        <x:v>2</x:v>
      </x:c>
      <x:c r="D19" s="24" t="n">
        <x:f>COUNTIFS('03_Casos_Prueba'!$B$5:$B$254,A19,'03_Casos_Prueba'!$M$5:$M$254,"P0")</x:f>
        <x:v>1</x:v>
      </x:c>
      <x:c r="E19" s="24" t="n">
        <x:f>COUNTIFS('03_Casos_Prueba'!$B$5:$B$254,A19,'03_Casos_Prueba'!$O$5:$O$254,"&lt;&gt;No")</x:f>
        <x:v>2</x:v>
      </x:c>
      <x:c r="F19" s="24" t="n">
        <x:f>COUNTIFS('12_Defectos'!$C$5:$C$1000,A19,'12_Defectos'!$E$5:$E$1000,"&lt;&gt;Closed")</x:f>
        <x:v>0</x:v>
      </x:c>
      <x:c r="G19" s="32" t="n">
        <x:f>IF(B19=0,0,MIN(1,C19/B19))</x:f>
        <x:v>1</x:v>
      </x:c>
      <x:c r="H19" s="24" t="str">
        <x:v>Not Run</x:v>
      </x:c>
      <x:c r="I19" s="24" t="str">
        <x:v>VRM Games</x:v>
      </x:c>
      <x:c r="J19" s="24" t="str"/>
    </x:row>
    <x:row r="20">
      <x:c r="A20" s="24" t="str">
        <x:v>Datos</x:v>
      </x:c>
      <x:c r="B20" s="24" t="n">
        <x:f>COUNTIF('02_Requisitos'!$D$5:$D$177,A20)</x:f>
        <x:v>4</x:v>
      </x:c>
      <x:c r="C20" s="24" t="n">
        <x:f>COUNTIF('03_Casos_Prueba'!$B$5:$B$254,A20)</x:f>
        <x:v>4</x:v>
      </x:c>
      <x:c r="D20" s="24" t="n">
        <x:f>COUNTIFS('03_Casos_Prueba'!$B$5:$B$254,A20,'03_Casos_Prueba'!$M$5:$M$254,"P0")</x:f>
        <x:v>4</x:v>
      </x:c>
      <x:c r="E20" s="24" t="n">
        <x:f>COUNTIFS('03_Casos_Prueba'!$B$5:$B$254,A20,'03_Casos_Prueba'!$O$5:$O$254,"&lt;&gt;No")</x:f>
        <x:v>4</x:v>
      </x:c>
      <x:c r="F20" s="24" t="n">
        <x:f>COUNTIFS('12_Defectos'!$C$5:$C$1000,A20,'12_Defectos'!$E$5:$E$1000,"&lt;&gt;Closed")</x:f>
        <x:v>0</x:v>
      </x:c>
      <x:c r="G20" s="32" t="n">
        <x:f>IF(B20=0,0,MIN(1,C20/B20))</x:f>
        <x:v>1</x:v>
      </x:c>
      <x:c r="H20" s="24" t="str">
        <x:v>Not Run</x:v>
      </x:c>
      <x:c r="I20" s="24" t="str">
        <x:v>VRM Games</x:v>
      </x:c>
      <x:c r="J20" s="24" t="str"/>
    </x:row>
    <x:row r="21">
      <x:c r="A21" s="24" t="str">
        <x:v>Displays y reposición</x:v>
      </x:c>
      <x:c r="B21" s="24" t="n">
        <x:f>COUNTIF('02_Requisitos'!$D$5:$D$177,A21)</x:f>
        <x:v>8</x:v>
      </x:c>
      <x:c r="C21" s="24" t="n">
        <x:f>COUNTIF('03_Casos_Prueba'!$B$5:$B$254,A21)</x:f>
        <x:v>8</x:v>
      </x:c>
      <x:c r="D21" s="24" t="n">
        <x:f>COUNTIFS('03_Casos_Prueba'!$B$5:$B$254,A21,'03_Casos_Prueba'!$M$5:$M$254,"P0")</x:f>
        <x:v>1</x:v>
      </x:c>
      <x:c r="E21" s="24" t="n">
        <x:f>COUNTIFS('03_Casos_Prueba'!$B$5:$B$254,A21,'03_Casos_Prueba'!$O$5:$O$254,"&lt;&gt;No")</x:f>
        <x:v>8</x:v>
      </x:c>
      <x:c r="F21" s="24" t="n">
        <x:f>COUNTIFS('12_Defectos'!$C$5:$C$1000,A21,'12_Defectos'!$E$5:$E$1000,"&lt;&gt;Closed")</x:f>
        <x:v>0</x:v>
      </x:c>
      <x:c r="G21" s="32" t="n">
        <x:f>IF(B21=0,0,MIN(1,C21/B21))</x:f>
        <x:v>1</x:v>
      </x:c>
      <x:c r="H21" s="24" t="str">
        <x:v>Not Run</x:v>
      </x:c>
      <x:c r="I21" s="24" t="str">
        <x:v>VRM Games</x:v>
      </x:c>
      <x:c r="J21" s="24" t="str"/>
    </x:row>
    <x:row r="22">
      <x:c r="A22" s="24" t="str">
        <x:v>Documentación</x:v>
      </x:c>
      <x:c r="B22" s="24" t="n">
        <x:f>COUNTIF('02_Requisitos'!$D$5:$D$177,A22)</x:f>
        <x:v>1</x:v>
      </x:c>
      <x:c r="C22" s="24" t="n">
        <x:f>COUNTIF('03_Casos_Prueba'!$B$5:$B$254,A22)</x:f>
        <x:v>1</x:v>
      </x:c>
      <x:c r="D22" s="24" t="n">
        <x:f>COUNTIFS('03_Casos_Prueba'!$B$5:$B$254,A22,'03_Casos_Prueba'!$M$5:$M$254,"P0")</x:f>
        <x:v>0</x:v>
      </x:c>
      <x:c r="E22" s="24" t="n">
        <x:f>COUNTIFS('03_Casos_Prueba'!$B$5:$B$254,A22,'03_Casos_Prueba'!$O$5:$O$254,"&lt;&gt;No")</x:f>
        <x:v>1</x:v>
      </x:c>
      <x:c r="F22" s="24" t="n">
        <x:f>COUNTIFS('12_Defectos'!$C$5:$C$1000,A22,'12_Defectos'!$E$5:$E$1000,"&lt;&gt;Closed")</x:f>
        <x:v>0</x:v>
      </x:c>
      <x:c r="G22" s="32" t="n">
        <x:f>IF(B22=0,0,MIN(1,C22/B22))</x:f>
        <x:v>1</x:v>
      </x:c>
      <x:c r="H22" s="24" t="str">
        <x:v>Not Run</x:v>
      </x:c>
      <x:c r="I22" s="24" t="str">
        <x:v>VRM Games</x:v>
      </x:c>
      <x:c r="J22" s="24" t="str"/>
    </x:row>
    <x:row r="23">
      <x:c r="A23" s="24" t="str">
        <x:v>Economía</x:v>
      </x:c>
      <x:c r="B23" s="24" t="n">
        <x:f>COUNTIF('02_Requisitos'!$D$5:$D$177,A23)</x:f>
        <x:v>8</x:v>
      </x:c>
      <x:c r="C23" s="24" t="n">
        <x:f>COUNTIF('03_Casos_Prueba'!$B$5:$B$254,A23)</x:f>
        <x:v>8</x:v>
      </x:c>
      <x:c r="D23" s="24" t="n">
        <x:f>COUNTIFS('03_Casos_Prueba'!$B$5:$B$254,A23,'03_Casos_Prueba'!$M$5:$M$254,"P0")</x:f>
        <x:v>0</x:v>
      </x:c>
      <x:c r="E23" s="24" t="n">
        <x:f>COUNTIFS('03_Casos_Prueba'!$B$5:$B$254,A23,'03_Casos_Prueba'!$O$5:$O$254,"&lt;&gt;No")</x:f>
        <x:v>8</x:v>
      </x:c>
      <x:c r="F23" s="24" t="n">
        <x:f>COUNTIFS('12_Defectos'!$C$5:$C$1000,A23,'12_Defectos'!$E$5:$E$1000,"&lt;&gt;Closed")</x:f>
        <x:v>0</x:v>
      </x:c>
      <x:c r="G23" s="32" t="n">
        <x:f>IF(B23=0,0,MIN(1,C23/B23))</x:f>
        <x:v>1</x:v>
      </x:c>
      <x:c r="H23" s="24" t="str">
        <x:v>Not Run</x:v>
      </x:c>
      <x:c r="I23" s="24" t="str">
        <x:v>VRM Games</x:v>
      </x:c>
      <x:c r="J23" s="24" t="str"/>
    </x:row>
    <x:row r="24">
      <x:c r="A24" s="24" t="str">
        <x:v>Escena</x:v>
      </x:c>
      <x:c r="B24" s="24" t="n">
        <x:f>COUNTIF('02_Requisitos'!$D$5:$D$177,A24)</x:f>
        <x:v>0</x:v>
      </x:c>
      <x:c r="C24" s="24" t="n">
        <x:f>COUNTIF('03_Casos_Prueba'!$B$5:$B$254,A24)</x:f>
        <x:v>1</x:v>
      </x:c>
      <x:c r="D24" s="24" t="n">
        <x:f>COUNTIFS('03_Casos_Prueba'!$B$5:$B$254,A24,'03_Casos_Prueba'!$M$5:$M$254,"P0")</x:f>
        <x:v>1</x:v>
      </x:c>
      <x:c r="E24" s="24" t="n">
        <x:f>COUNTIFS('03_Casos_Prueba'!$B$5:$B$254,A24,'03_Casos_Prueba'!$O$5:$O$254,"&lt;&gt;No")</x:f>
        <x:v>1</x:v>
      </x:c>
      <x:c r="F24" s="24" t="n">
        <x:f>COUNTIFS('12_Defectos'!$C$5:$C$1000,A24,'12_Defectos'!$E$5:$E$1000,"&lt;&gt;Closed")</x:f>
        <x:v>4</x:v>
      </x:c>
      <x:c r="G24" s="32" t="n">
        <x:f>IF(B24=0,0,MIN(1,C24/B24))</x:f>
        <x:v>0</x:v>
      </x:c>
      <x:c r="H24" s="24" t="str">
        <x:v>Not Run</x:v>
      </x:c>
      <x:c r="I24" s="24" t="str">
        <x:v>VRM Games</x:v>
      </x:c>
      <x:c r="J24" s="24" t="str"/>
    </x:row>
    <x:row r="25">
      <x:c r="A25" s="24" t="str">
        <x:v>Escena y composición</x:v>
      </x:c>
      <x:c r="B25" s="24" t="n">
        <x:f>COUNTIF('02_Requisitos'!$D$5:$D$177,A25)</x:f>
        <x:v>4</x:v>
      </x:c>
      <x:c r="C25" s="24" t="n">
        <x:f>COUNTIF('03_Casos_Prueba'!$B$5:$B$254,A25)</x:f>
        <x:v>4</x:v>
      </x:c>
      <x:c r="D25" s="24" t="n">
        <x:f>COUNTIFS('03_Casos_Prueba'!$B$5:$B$254,A25,'03_Casos_Prueba'!$M$5:$M$254,"P0")</x:f>
        <x:v>4</x:v>
      </x:c>
      <x:c r="E25" s="24" t="n">
        <x:f>COUNTIFS('03_Casos_Prueba'!$B$5:$B$254,A25,'03_Casos_Prueba'!$O$5:$O$254,"&lt;&gt;No")</x:f>
        <x:v>4</x:v>
      </x:c>
      <x:c r="F25" s="24" t="n">
        <x:f>COUNTIFS('12_Defectos'!$C$5:$C$1000,A25,'12_Defectos'!$E$5:$E$1000,"&lt;&gt;Closed")</x:f>
        <x:v>0</x:v>
      </x:c>
      <x:c r="G25" s="32" t="n">
        <x:f>IF(B25=0,0,MIN(1,C25/B25))</x:f>
        <x:v>1</x:v>
      </x:c>
      <x:c r="H25" s="24" t="str">
        <x:v>Not Run</x:v>
      </x:c>
      <x:c r="I25" s="24" t="str">
        <x:v>VRM Games</x:v>
      </x:c>
      <x:c r="J25" s="24" t="str"/>
    </x:row>
    <x:row r="26">
      <x:c r="A26" s="24" t="str">
        <x:v>Foundation</x:v>
      </x:c>
      <x:c r="B26" s="24" t="n">
        <x:f>COUNTIF('02_Requisitos'!$D$5:$D$177,A26)</x:f>
        <x:v>0</x:v>
      </x:c>
      <x:c r="C26" s="24" t="n">
        <x:f>COUNTIF('03_Casos_Prueba'!$B$5:$B$254,A26)</x:f>
        <x:v>1</x:v>
      </x:c>
      <x:c r="D26" s="24" t="n">
        <x:f>COUNTIFS('03_Casos_Prueba'!$B$5:$B$254,A26,'03_Casos_Prueba'!$M$5:$M$254,"P0")</x:f>
        <x:v>0</x:v>
      </x:c>
      <x:c r="E26" s="24" t="n">
        <x:f>COUNTIFS('03_Casos_Prueba'!$B$5:$B$254,A26,'03_Casos_Prueba'!$O$5:$O$254,"&lt;&gt;No")</x:f>
        <x:v>1</x:v>
      </x:c>
      <x:c r="F26" s="24" t="n">
        <x:f>COUNTIFS('12_Defectos'!$C$5:$C$1000,A26,'12_Defectos'!$E$5:$E$1000,"&lt;&gt;Closed")</x:f>
        <x:v>0</x:v>
      </x:c>
      <x:c r="G26" s="32" t="n">
        <x:f>IF(B26=0,0,MIN(1,C26/B26))</x:f>
        <x:v>0</x:v>
      </x:c>
      <x:c r="H26" s="24" t="str">
        <x:v>Not Run</x:v>
      </x:c>
      <x:c r="I26" s="24" t="str">
        <x:v>VRM Games</x:v>
      </x:c>
      <x:c r="J26" s="24" t="str"/>
    </x:row>
    <x:row r="27">
      <x:c r="A27" s="24" t="str">
        <x:v>Golden Path</x:v>
      </x:c>
      <x:c r="B27" s="24" t="n">
        <x:f>COUNTIF('02_Requisitos'!$D$5:$D$177,A27)</x:f>
        <x:v>6</x:v>
      </x:c>
      <x:c r="C27" s="24" t="n">
        <x:f>COUNTIF('03_Casos_Prueba'!$B$5:$B$254,A27)</x:f>
        <x:v>6</x:v>
      </x:c>
      <x:c r="D27" s="24" t="n">
        <x:f>COUNTIFS('03_Casos_Prueba'!$B$5:$B$254,A27,'03_Casos_Prueba'!$M$5:$M$254,"P0")</x:f>
        <x:v>6</x:v>
      </x:c>
      <x:c r="E27" s="24" t="n">
        <x:f>COUNTIFS('03_Casos_Prueba'!$B$5:$B$254,A27,'03_Casos_Prueba'!$O$5:$O$254,"&lt;&gt;No")</x:f>
        <x:v>6</x:v>
      </x:c>
      <x:c r="F27" s="24" t="n">
        <x:f>COUNTIFS('12_Defectos'!$C$5:$C$1000,A27,'12_Defectos'!$E$5:$E$1000,"&lt;&gt;Closed")</x:f>
        <x:v>0</x:v>
      </x:c>
      <x:c r="G27" s="32" t="n">
        <x:f>IF(B27=0,0,MIN(1,C27/B27))</x:f>
        <x:v>1</x:v>
      </x:c>
      <x:c r="H27" s="24" t="str">
        <x:v>Not Run</x:v>
      </x:c>
      <x:c r="I27" s="24" t="str">
        <x:v>VRM Games</x:v>
      </x:c>
      <x:c r="J27" s="24" t="str"/>
    </x:row>
    <x:row r="28">
      <x:c r="A28" s="24" t="str">
        <x:v>Golden Path / Escenarios</x:v>
      </x:c>
      <x:c r="B28" s="24" t="n">
        <x:f>COUNTIF('02_Requisitos'!$D$5:$D$177,A28)</x:f>
        <x:v>0</x:v>
      </x:c>
      <x:c r="C28" s="24" t="n">
        <x:f>COUNTIF('03_Casos_Prueba'!$B$5:$B$254,A28)</x:f>
        <x:v>40</x:v>
      </x:c>
      <x:c r="D28" s="24" t="n">
        <x:f>COUNTIFS('03_Casos_Prueba'!$B$5:$B$254,A28,'03_Casos_Prueba'!$M$5:$M$254,"P0")</x:f>
        <x:v>5</x:v>
      </x:c>
      <x:c r="E28" s="24" t="n">
        <x:f>COUNTIFS('03_Casos_Prueba'!$B$5:$B$254,A28,'03_Casos_Prueba'!$O$5:$O$254,"&lt;&gt;No")</x:f>
        <x:v>40</x:v>
      </x:c>
      <x:c r="F28" s="24" t="n">
        <x:f>COUNTIFS('12_Defectos'!$C$5:$C$1000,A28,'12_Defectos'!$E$5:$E$1000,"&lt;&gt;Closed")</x:f>
        <x:v>0</x:v>
      </x:c>
      <x:c r="G28" s="32" t="n">
        <x:f>IF(B28=0,0,MIN(1,C28/B28))</x:f>
        <x:v>0</x:v>
      </x:c>
      <x:c r="H28" s="24" t="str">
        <x:v>Not Run</x:v>
      </x:c>
      <x:c r="I28" s="24" t="str">
        <x:v>VRM Games</x:v>
      </x:c>
      <x:c r="J28" s="24" t="str"/>
    </x:row>
    <x:row r="29">
      <x:c r="A29" s="24" t="str">
        <x:v>Input</x:v>
      </x:c>
      <x:c r="B29" s="24" t="n">
        <x:f>COUNTIF('02_Requisitos'!$D$5:$D$177,A29)</x:f>
        <x:v>9</x:v>
      </x:c>
      <x:c r="C29" s="24" t="n">
        <x:f>COUNTIF('03_Casos_Prueba'!$B$5:$B$254,A29)</x:f>
        <x:v>11</x:v>
      </x:c>
      <x:c r="D29" s="24" t="n">
        <x:f>COUNTIFS('03_Casos_Prueba'!$B$5:$B$254,A29,'03_Casos_Prueba'!$M$5:$M$254,"P0")</x:f>
        <x:v>2</x:v>
      </x:c>
      <x:c r="E29" s="24" t="n">
        <x:f>COUNTIFS('03_Casos_Prueba'!$B$5:$B$254,A29,'03_Casos_Prueba'!$O$5:$O$254,"&lt;&gt;No")</x:f>
        <x:v>11</x:v>
      </x:c>
      <x:c r="F29" s="24" t="n">
        <x:f>COUNTIFS('12_Defectos'!$C$5:$C$1000,A29,'12_Defectos'!$E$5:$E$1000,"&lt;&gt;Closed")</x:f>
        <x:v>1</x:v>
      </x:c>
      <x:c r="G29" s="32" t="n">
        <x:f>IF(B29=0,0,MIN(1,C29/B29))</x:f>
        <x:v>1</x:v>
      </x:c>
      <x:c r="H29" s="24" t="str">
        <x:v>Not Run</x:v>
      </x:c>
      <x:c r="I29" s="24" t="str">
        <x:v>VRM Games</x:v>
      </x:c>
      <x:c r="J29" s="24" t="str"/>
    </x:row>
    <x:row r="30">
      <x:c r="A30" s="24" t="str">
        <x:v>Inventario</x:v>
      </x:c>
      <x:c r="B30" s="24" t="n">
        <x:f>COUNTIF('02_Requisitos'!$D$5:$D$177,A30)</x:f>
        <x:v>9</x:v>
      </x:c>
      <x:c r="C30" s="24" t="n">
        <x:f>COUNTIF('03_Casos_Prueba'!$B$5:$B$254,A30)</x:f>
        <x:v>10</x:v>
      </x:c>
      <x:c r="D30" s="24" t="n">
        <x:f>COUNTIFS('03_Casos_Prueba'!$B$5:$B$254,A30,'03_Casos_Prueba'!$M$5:$M$254,"P0")</x:f>
        <x:v>10</x:v>
      </x:c>
      <x:c r="E30" s="24" t="n">
        <x:f>COUNTIFS('03_Casos_Prueba'!$B$5:$B$254,A30,'03_Casos_Prueba'!$O$5:$O$254,"&lt;&gt;No")</x:f>
        <x:v>10</x:v>
      </x:c>
      <x:c r="F30" s="24" t="n">
        <x:f>COUNTIFS('12_Defectos'!$C$5:$C$1000,A30,'12_Defectos'!$E$5:$E$1000,"&lt;&gt;Closed")</x:f>
        <x:v>0</x:v>
      </x:c>
      <x:c r="G30" s="32" t="n">
        <x:f>IF(B30=0,0,MIN(1,C30/B30))</x:f>
        <x:v>1</x:v>
      </x:c>
      <x:c r="H30" s="24" t="str">
        <x:v>Not Run</x:v>
      </x:c>
      <x:c r="I30" s="24" t="str">
        <x:v>VRM Games</x:v>
      </x:c>
      <x:c r="J30" s="24" t="str"/>
    </x:row>
    <x:row r="31">
      <x:c r="A31" s="24" t="str">
        <x:v>Localización</x:v>
      </x:c>
      <x:c r="B31" s="24" t="n">
        <x:f>COUNTIF('02_Requisitos'!$D$5:$D$177,A31)</x:f>
        <x:v>1</x:v>
      </x:c>
      <x:c r="C31" s="24" t="n">
        <x:f>COUNTIF('03_Casos_Prueba'!$B$5:$B$254,A31)</x:f>
        <x:v>3</x:v>
      </x:c>
      <x:c r="D31" s="24" t="n">
        <x:f>COUNTIFS('03_Casos_Prueba'!$B$5:$B$254,A31,'03_Casos_Prueba'!$M$5:$M$254,"P0")</x:f>
        <x:v>0</x:v>
      </x:c>
      <x:c r="E31" s="24" t="n">
        <x:f>COUNTIFS('03_Casos_Prueba'!$B$5:$B$254,A31,'03_Casos_Prueba'!$O$5:$O$254,"&lt;&gt;No")</x:f>
        <x:v>3</x:v>
      </x:c>
      <x:c r="F31" s="24" t="n">
        <x:f>COUNTIFS('12_Defectos'!$C$5:$C$1000,A31,'12_Defectos'!$E$5:$E$1000,"&lt;&gt;Closed")</x:f>
        <x:v>0</x:v>
      </x:c>
      <x:c r="G31" s="32" t="n">
        <x:f>IF(B31=0,0,MIN(1,C31/B31))</x:f>
        <x:v>1</x:v>
      </x:c>
      <x:c r="H31" s="24" t="str">
        <x:v>Not Run</x:v>
      </x:c>
      <x:c r="I31" s="24" t="str">
        <x:v>VRM Games</x:v>
      </x:c>
      <x:c r="J31" s="24" t="str"/>
    </x:row>
    <x:row r="32">
      <x:c r="A32" s="24" t="str">
        <x:v>Movimiento y navegación</x:v>
      </x:c>
      <x:c r="B32" s="24" t="n">
        <x:f>COUNTIF('02_Requisitos'!$D$5:$D$177,A32)</x:f>
        <x:v>3</x:v>
      </x:c>
      <x:c r="C32" s="24" t="n">
        <x:f>COUNTIF('03_Casos_Prueba'!$B$5:$B$254,A32)</x:f>
        <x:v>3</x:v>
      </x:c>
      <x:c r="D32" s="24" t="n">
        <x:f>COUNTIFS('03_Casos_Prueba'!$B$5:$B$254,A32,'03_Casos_Prueba'!$M$5:$M$254,"P0")</x:f>
        <x:v>0</x:v>
      </x:c>
      <x:c r="E32" s="24" t="n">
        <x:f>COUNTIFS('03_Casos_Prueba'!$B$5:$B$254,A32,'03_Casos_Prueba'!$O$5:$O$254,"&lt;&gt;No")</x:f>
        <x:v>3</x:v>
      </x:c>
      <x:c r="F32" s="24" t="n">
        <x:f>COUNTIFS('12_Defectos'!$C$5:$C$1000,A32,'12_Defectos'!$E$5:$E$1000,"&lt;&gt;Closed")</x:f>
        <x:v>0</x:v>
      </x:c>
      <x:c r="G32" s="32" t="n">
        <x:f>IF(B32=0,0,MIN(1,C32/B32))</x:f>
        <x:v>1</x:v>
      </x:c>
      <x:c r="H32" s="24" t="str">
        <x:v>Not Run</x:v>
      </x:c>
      <x:c r="I32" s="24" t="str">
        <x:v>VRM Games</x:v>
      </x:c>
      <x:c r="J32" s="24" t="str"/>
    </x:row>
    <x:row r="33">
      <x:c r="A33" s="24" t="str">
        <x:v>Pedidos y entregas</x:v>
      </x:c>
      <x:c r="B33" s="24" t="n">
        <x:f>COUNTIF('02_Requisitos'!$D$5:$D$177,A33)</x:f>
        <x:v>8</x:v>
      </x:c>
      <x:c r="C33" s="24" t="n">
        <x:f>COUNTIF('03_Casos_Prueba'!$B$5:$B$254,A33)</x:f>
        <x:v>8</x:v>
      </x:c>
      <x:c r="D33" s="24" t="n">
        <x:f>COUNTIFS('03_Casos_Prueba'!$B$5:$B$254,A33,'03_Casos_Prueba'!$M$5:$M$254,"P0")</x:f>
        <x:v>1</x:v>
      </x:c>
      <x:c r="E33" s="24" t="n">
        <x:f>COUNTIFS('03_Casos_Prueba'!$B$5:$B$254,A33,'03_Casos_Prueba'!$O$5:$O$254,"&lt;&gt;No")</x:f>
        <x:v>8</x:v>
      </x:c>
      <x:c r="F33" s="24" t="n">
        <x:f>COUNTIFS('12_Defectos'!$C$5:$C$1000,A33,'12_Defectos'!$E$5:$E$1000,"&lt;&gt;Closed")</x:f>
        <x:v>0</x:v>
      </x:c>
      <x:c r="G33" s="32" t="n">
        <x:f>IF(B33=0,0,MIN(1,C33/B33))</x:f>
        <x:v>1</x:v>
      </x:c>
      <x:c r="H33" s="24" t="str">
        <x:v>Not Run</x:v>
      </x:c>
      <x:c r="I33" s="24" t="str">
        <x:v>VRM Games</x:v>
      </x:c>
      <x:c r="J33" s="24" t="str"/>
    </x:row>
    <x:row r="34">
      <x:c r="A34" s="24" t="str">
        <x:v>Persistencia</x:v>
      </x:c>
      <x:c r="B34" s="24" t="n">
        <x:f>COUNTIF('02_Requisitos'!$D$5:$D$177,A34)</x:f>
        <x:v>9</x:v>
      </x:c>
      <x:c r="C34" s="24" t="n">
        <x:f>COUNTIF('03_Casos_Prueba'!$B$5:$B$254,A34)</x:f>
        <x:v>14</x:v>
      </x:c>
      <x:c r="D34" s="24" t="n">
        <x:f>COUNTIFS('03_Casos_Prueba'!$B$5:$B$254,A34,'03_Casos_Prueba'!$M$5:$M$254,"P0")</x:f>
        <x:v>14</x:v>
      </x:c>
      <x:c r="E34" s="24" t="n">
        <x:f>COUNTIFS('03_Casos_Prueba'!$B$5:$B$254,A34,'03_Casos_Prueba'!$O$5:$O$254,"&lt;&gt;No")</x:f>
        <x:v>14</x:v>
      </x:c>
      <x:c r="F34" s="24" t="n">
        <x:f>COUNTIFS('12_Defectos'!$C$5:$C$1000,A34,'12_Defectos'!$E$5:$E$1000,"&lt;&gt;Closed")</x:f>
        <x:v>0</x:v>
      </x:c>
      <x:c r="G34" s="32" t="n">
        <x:f>IF(B34=0,0,MIN(1,C34/B34))</x:f>
        <x:v>1</x:v>
      </x:c>
      <x:c r="H34" s="24" t="str">
        <x:v>Not Run</x:v>
      </x:c>
      <x:c r="I34" s="24" t="str">
        <x:v>VRM Games</x:v>
      </x:c>
      <x:c r="J34" s="24" t="str"/>
    </x:row>
    <x:row r="35">
      <x:c r="A35" s="24" t="str">
        <x:v>Precios</x:v>
      </x:c>
      <x:c r="B35" s="24" t="n">
        <x:f>COUNTIF('02_Requisitos'!$D$5:$D$177,A35)</x:f>
        <x:v>3</x:v>
      </x:c>
      <x:c r="C35" s="24" t="n">
        <x:f>COUNTIF('03_Casos_Prueba'!$B$5:$B$254,A35)</x:f>
        <x:v>3</x:v>
      </x:c>
      <x:c r="D35" s="24" t="n">
        <x:f>COUNTIFS('03_Casos_Prueba'!$B$5:$B$254,A35,'03_Casos_Prueba'!$M$5:$M$254,"P0")</x:f>
        <x:v>0</x:v>
      </x:c>
      <x:c r="E35" s="24" t="n">
        <x:f>COUNTIFS('03_Casos_Prueba'!$B$5:$B$254,A35,'03_Casos_Prueba'!$O$5:$O$254,"&lt;&gt;No")</x:f>
        <x:v>3</x:v>
      </x:c>
      <x:c r="F35" s="24" t="n">
        <x:f>COUNTIFS('12_Defectos'!$C$5:$C$1000,A35,'12_Defectos'!$E$5:$E$1000,"&lt;&gt;Closed")</x:f>
        <x:v>0</x:v>
      </x:c>
      <x:c r="G35" s="32" t="n">
        <x:f>IF(B35=0,0,MIN(1,C35/B35))</x:f>
        <x:v>1</x:v>
      </x:c>
      <x:c r="H35" s="24" t="str">
        <x:v>Not Run</x:v>
      </x:c>
      <x:c r="I35" s="24" t="str">
        <x:v>VRM Games</x:v>
      </x:c>
      <x:c r="J35" s="24" t="str"/>
    </x:row>
    <x:row r="36">
      <x:c r="A36" s="24" t="str">
        <x:v>Producción</x:v>
      </x:c>
      <x:c r="B36" s="24" t="n">
        <x:f>COUNTIF('02_Requisitos'!$D$5:$D$177,A36)</x:f>
        <x:v>3</x:v>
      </x:c>
      <x:c r="C36" s="24" t="n">
        <x:f>COUNTIF('03_Casos_Prueba'!$B$5:$B$254,A36)</x:f>
        <x:v>3</x:v>
      </x:c>
      <x:c r="D36" s="24" t="n">
        <x:f>COUNTIFS('03_Casos_Prueba'!$B$5:$B$254,A36,'03_Casos_Prueba'!$M$5:$M$254,"P0")</x:f>
        <x:v>2</x:v>
      </x:c>
      <x:c r="E36" s="24" t="n">
        <x:f>COUNTIFS('03_Casos_Prueba'!$B$5:$B$254,A36,'03_Casos_Prueba'!$O$5:$O$254,"&lt;&gt;No")</x:f>
        <x:v>3</x:v>
      </x:c>
      <x:c r="F36" s="24" t="n">
        <x:f>COUNTIFS('12_Defectos'!$C$5:$C$1000,A36,'12_Defectos'!$E$5:$E$1000,"&lt;&gt;Closed")</x:f>
        <x:v>0</x:v>
      </x:c>
      <x:c r="G36" s="32" t="n">
        <x:f>IF(B36=0,0,MIN(1,C36/B36))</x:f>
        <x:v>1</x:v>
      </x:c>
      <x:c r="H36" s="24" t="str">
        <x:v>Not Run</x:v>
      </x:c>
      <x:c r="I36" s="24" t="str">
        <x:v>VRM Games</x:v>
      </x:c>
      <x:c r="J36" s="24" t="str"/>
    </x:row>
    <x:row r="37">
      <x:c r="A37" s="24" t="str">
        <x:v>QA</x:v>
      </x:c>
      <x:c r="B37" s="24" t="n">
        <x:f>COUNTIF('02_Requisitos'!$D$5:$D$177,A37)</x:f>
        <x:v>12</x:v>
      </x:c>
      <x:c r="C37" s="24" t="n">
        <x:f>COUNTIF('03_Casos_Prueba'!$B$5:$B$254,A37)</x:f>
        <x:v>12</x:v>
      </x:c>
      <x:c r="D37" s="24" t="n">
        <x:f>COUNTIFS('03_Casos_Prueba'!$B$5:$B$254,A37,'03_Casos_Prueba'!$M$5:$M$254,"P0")</x:f>
        <x:v>7</x:v>
      </x:c>
      <x:c r="E37" s="24" t="n">
        <x:f>COUNTIFS('03_Casos_Prueba'!$B$5:$B$254,A37,'03_Casos_Prueba'!$O$5:$O$254,"&lt;&gt;No")</x:f>
        <x:v>12</x:v>
      </x:c>
      <x:c r="F37" s="24" t="n">
        <x:f>COUNTIFS('12_Defectos'!$C$5:$C$1000,A37,'12_Defectos'!$E$5:$E$1000,"&lt;&gt;Closed")</x:f>
        <x:v>0</x:v>
      </x:c>
      <x:c r="G37" s="32" t="n">
        <x:f>IF(B37=0,0,MIN(1,C37/B37))</x:f>
        <x:v>1</x:v>
      </x:c>
      <x:c r="H37" s="24" t="str">
        <x:v>Not Run</x:v>
      </x:c>
      <x:c r="I37" s="24" t="str">
        <x:v>VRM Games</x:v>
      </x:c>
      <x:c r="J37" s="24" t="str"/>
    </x:row>
    <x:row r="38">
      <x:c r="A38" s="24" t="str">
        <x:v>Rendimiento</x:v>
      </x:c>
      <x:c r="B38" s="24" t="n">
        <x:f>COUNTIF('02_Requisitos'!$D$5:$D$177,A38)</x:f>
        <x:v>2</x:v>
      </x:c>
      <x:c r="C38" s="24" t="n">
        <x:f>COUNTIF('03_Casos_Prueba'!$B$5:$B$254,A38)</x:f>
        <x:v>8</x:v>
      </x:c>
      <x:c r="D38" s="24" t="n">
        <x:f>COUNTIFS('03_Casos_Prueba'!$B$5:$B$254,A38,'03_Casos_Prueba'!$M$5:$M$254,"P0")</x:f>
        <x:v>0</x:v>
      </x:c>
      <x:c r="E38" s="24" t="n">
        <x:f>COUNTIFS('03_Casos_Prueba'!$B$5:$B$254,A38,'03_Casos_Prueba'!$O$5:$O$254,"&lt;&gt;No")</x:f>
        <x:v>8</x:v>
      </x:c>
      <x:c r="F38" s="24" t="n">
        <x:f>COUNTIFS('12_Defectos'!$C$5:$C$1000,A38,'12_Defectos'!$E$5:$E$1000,"&lt;&gt;Closed")</x:f>
        <x:v>0</x:v>
      </x:c>
      <x:c r="G38" s="32" t="n">
        <x:f>IF(B38=0,0,MIN(1,C38/B38))</x:f>
        <x:v>1</x:v>
      </x:c>
      <x:c r="H38" s="24" t="str">
        <x:v>Not Run</x:v>
      </x:c>
      <x:c r="I38" s="24" t="str">
        <x:v>VRM Games</x:v>
      </x:c>
      <x:c r="J38" s="24" t="str"/>
    </x:row>
    <x:row r="39">
      <x:c r="A39" s="24" t="str">
        <x:v>Reservas</x:v>
      </x:c>
      <x:c r="B39" s="24" t="n">
        <x:f>COUNTIF('02_Requisitos'!$D$5:$D$177,A39)</x:f>
        <x:v>3</x:v>
      </x:c>
      <x:c r="C39" s="24" t="n">
        <x:f>COUNTIF('03_Casos_Prueba'!$B$5:$B$254,A39)</x:f>
        <x:v>4</x:v>
      </x:c>
      <x:c r="D39" s="24" t="n">
        <x:f>COUNTIFS('03_Casos_Prueba'!$B$5:$B$254,A39,'03_Casos_Prueba'!$M$5:$M$254,"P0")</x:f>
        <x:v>4</x:v>
      </x:c>
      <x:c r="E39" s="24" t="n">
        <x:f>COUNTIFS('03_Casos_Prueba'!$B$5:$B$254,A39,'03_Casos_Prueba'!$O$5:$O$254,"&lt;&gt;No")</x:f>
        <x:v>4</x:v>
      </x:c>
      <x:c r="F39" s="24" t="n">
        <x:f>COUNTIFS('12_Defectos'!$C$5:$C$1000,A39,'12_Defectos'!$E$5:$E$1000,"&lt;&gt;Closed")</x:f>
        <x:v>0</x:v>
      </x:c>
      <x:c r="G39" s="32" t="n">
        <x:f>IF(B39=0,0,MIN(1,C39/B39))</x:f>
        <x:v>1</x:v>
      </x:c>
      <x:c r="H39" s="24" t="str">
        <x:v>Not Run</x:v>
      </x:c>
      <x:c r="I39" s="24" t="str">
        <x:v>VRM Games</x:v>
      </x:c>
      <x:c r="J39" s="24" t="str"/>
    </x:row>
    <x:row r="40">
      <x:c r="A40" s="24" t="str">
        <x:v>Slots y persistencia</x:v>
      </x:c>
      <x:c r="B40" s="24" t="n">
        <x:f>COUNTIF('02_Requisitos'!$D$5:$D$177,A40)</x:f>
        <x:v>7</x:v>
      </x:c>
      <x:c r="C40" s="24" t="n">
        <x:f>COUNTIF('03_Casos_Prueba'!$B$5:$B$254,A40)</x:f>
        <x:v>7</x:v>
      </x:c>
      <x:c r="D40" s="24" t="n">
        <x:f>COUNTIFS('03_Casos_Prueba'!$B$5:$B$254,A40,'03_Casos_Prueba'!$M$5:$M$254,"P0")</x:f>
        <x:v>0</x:v>
      </x:c>
      <x:c r="E40" s="24" t="n">
        <x:f>COUNTIFS('03_Casos_Prueba'!$B$5:$B$254,A40,'03_Casos_Prueba'!$O$5:$O$254,"&lt;&gt;No")</x:f>
        <x:v>7</x:v>
      </x:c>
      <x:c r="F40" s="24" t="n">
        <x:f>COUNTIFS('12_Defectos'!$C$5:$C$1000,A40,'12_Defectos'!$E$5:$E$1000,"&lt;&gt;Closed")</x:f>
        <x:v>0</x:v>
      </x:c>
      <x:c r="G40" s="32" t="n">
        <x:f>IF(B40=0,0,MIN(1,C40/B40))</x:f>
        <x:v>1</x:v>
      </x:c>
      <x:c r="H40" s="24" t="str">
        <x:v>Not Run</x:v>
      </x:c>
      <x:c r="I40" s="24" t="str">
        <x:v>VRM Games</x:v>
      </x:c>
      <x:c r="J40" s="24" t="str"/>
    </x:row>
    <x:row r="41">
      <x:c r="A41" s="24" t="str">
        <x:v>UI/UX</x:v>
      </x:c>
      <x:c r="B41" s="24" t="n">
        <x:f>COUNTIF('02_Requisitos'!$D$5:$D$177,A41)</x:f>
        <x:v>4</x:v>
      </x:c>
      <x:c r="C41" s="24" t="n">
        <x:f>COUNTIF('03_Casos_Prueba'!$B$5:$B$254,A41)</x:f>
        <x:v>4</x:v>
      </x:c>
      <x:c r="D41" s="24" t="n">
        <x:f>COUNTIFS('03_Casos_Prueba'!$B$5:$B$254,A41,'03_Casos_Prueba'!$M$5:$M$254,"P0")</x:f>
        <x:v>1</x:v>
      </x:c>
      <x:c r="E41" s="24" t="n">
        <x:f>COUNTIFS('03_Casos_Prueba'!$B$5:$B$254,A41,'03_Casos_Prueba'!$O$5:$O$254,"&lt;&gt;No")</x:f>
        <x:v>4</x:v>
      </x:c>
      <x:c r="F41" s="24" t="n">
        <x:f>COUNTIFS('12_Defectos'!$C$5:$C$1000,A41,'12_Defectos'!$E$5:$E$1000,"&lt;&gt;Closed")</x:f>
        <x:v>0</x:v>
      </x:c>
      <x:c r="G41" s="32" t="n">
        <x:f>IF(B41=0,0,MIN(1,C41/B41))</x:f>
        <x:v>1</x:v>
      </x:c>
      <x:c r="H41" s="24" t="str">
        <x:v>Not Run</x:v>
      </x:c>
      <x:c r="I41" s="24" t="str">
        <x:v>VRM Games</x:v>
      </x:c>
      <x:c r="J41" s="24" t="str"/>
    </x:row>
  </x:sheetData>
  <x:mergeCells>
    <x:mergeCell ref="A1:J1"/>
    <x:mergeCell ref="A2:J2"/>
  </x:mergeCells>
  <x:conditionalFormatting sqref="G5:G41">
    <x:cfRule type="dataBar" priority="1">
      <x:dataBar>
        <x:cfvo type="min"/>
        <x:cfvo type="max"/>
        <x:color rgb="FF24C78A"/>
      </x:dataBar>
      <x:extLst>
        <x:ext xmlns:x14="http://schemas.microsoft.com/office/spreadsheetml/2009/9/main" uri="{B025F937-C7B1-47D3-B67F-A62EFF666E3E}">
          <x14:id>{D933EA89-3798-F31D-2571-D0B1FFD635FF}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fd5a7181e2342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933EA89-3798-F31D-2571-D0B1FFD635FF}">
            <x14:dataBar gradient="1">
              <x14:cfvo type="min"/>
              <x14:cfvo type="max"/>
              <x14:fillColor rgb="FF24C78A"/>
            </x14:dataBar>
          </x14:cfRule>
          <xm:sqref>G5:G41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48" hidden="0" customWidth="1"/>
    <x:col min="5" max="5" width="38" hidden="0" customWidth="1"/>
    <x:col min="6" max="6" width="48" hidden="0" customWidth="1"/>
    <x:col min="7" max="7" width="48" hidden="0" customWidth="1"/>
    <x:col min="8" max="8" width="10" hidden="0" customWidth="1"/>
    <x:col min="9" max="9" width="12" hidden="0" customWidth="1"/>
    <x:col min="10" max="10" width="22" hidden="0" customWidth="1"/>
    <x:col min="11" max="11" width="16" hidden="0" customWidth="1"/>
    <x:col min="12" max="12" width="24" hidden="0" customWidth="1"/>
    <x:col min="13" max="13" width="16" hidden="0" customWidth="1"/>
    <x:col min="14" max="14" width="14" hidden="0" customWidth="1"/>
    <x:col min="15" max="15" width="30" hidden="0" customWidth="1"/>
  </x:cols>
  <x:sheetData>
    <x:row r="1" ht="28" customHeight="1">
      <x:c r="A1" s="36" t="str">
        <x:v>UX, input, accesibilidad y localización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Casos especializados para recorridos, foco, mensajes, controles, ES/EN y alternativas sensoriales.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4" customHeight="1">
      <x:c r="A4" s="17" t="str">
        <x:v>Test ID</x:v>
      </x:c>
      <x:c r="B4" s="17" t="str">
        <x:v>Requirement ID</x:v>
      </x:c>
      <x:c r="C4" s="17" t="str">
        <x:v>Sistema</x:v>
      </x:c>
      <x:c r="D4" s="17" t="str">
        <x:v>Título</x:v>
      </x:c>
      <x:c r="E4" s="17" t="str">
        <x:v>Precondiciones</x:v>
      </x:c>
      <x:c r="F4" s="17" t="str">
        <x:v>Pasos</x:v>
      </x:c>
      <x:c r="G4" s="17" t="str">
        <x:v>Resultado esperado</x:v>
      </x:c>
      <x:c r="H4" s="17" t="str">
        <x:v>Prioridad</x:v>
      </x:c>
      <x:c r="I4" s="17" t="str">
        <x:v>Severidad</x:v>
      </x:c>
      <x:c r="J4" s="17" t="str">
        <x:v>Nivel</x:v>
      </x:c>
      <x:c r="K4" s="17" t="str">
        <x:v>Automatización</x:v>
      </x:c>
      <x:c r="L4" s="17" t="str">
        <x:v>Resolución/Idioma</x:v>
      </x:c>
      <x:c r="M4" s="17" t="str">
        <x:v>Build</x:v>
      </x:c>
      <x:c r="N4" s="17" t="str">
        <x:v>Resultado</x:v>
      </x:c>
      <x:c r="O4" s="17" t="str">
        <x:v>Evidencia</x:v>
      </x:c>
    </x:row>
    <x:row r="5">
      <x:c r="A5" s="24" t="str">
        <x:v>TC-VS-INP-001</x:v>
      </x:c>
      <x:c r="B5" s="24" t="str">
        <x:v>VS-INP-001</x:v>
      </x:c>
      <x:c r="C5" s="24" t="str">
        <x:v>Input</x:v>
      </x:c>
      <x:c r="D5" s="24" t="str">
        <x:v>Un evento consumido por UI no dispara movimiento, colocación o interacción de mundo</x:v>
      </x:c>
      <x:c r="E5" s="24" t="str">
        <x:v>Baseline válida; estado inicial reproducible; datos de prueba preparados.</x:v>
      </x:c>
      <x:c r="F5" s="24" t="str">
        <x:v>1. Preparar el estado. 2. Ejecutar la acción o transición. 3. Observar estado, UI y logs. 4. Comparar precondición y postcondición.</x:v>
      </x:c>
      <x:c r="G5" s="24" t="str">
        <x:v>Un evento consumido por UI no dispara movimiento, colocación o interacción de mundo.</x:v>
      </x:c>
      <x:c r="H5" s="24" t="str">
        <x:v>P1</x:v>
      </x:c>
      <x:c r="I5" s="24" t="str">
        <x:v>S2</x:v>
      </x:c>
      <x:c r="J5" s="24" t="str">
        <x:v>PlayMode + Manual</x:v>
      </x:c>
      <x:c r="K5" s="24" t="str">
        <x:v>Parcial</x:v>
      </x:c>
      <x:c r="L5" s="24" t="str">
        <x:v>Estándar</x:v>
      </x:c>
      <x:c r="M5" s="24" t="str"/>
      <x:c r="N5" s="24" t="str">
        <x:v>Not Run</x:v>
      </x:c>
      <x:c r="O5" s="24" t="str"/>
    </x:row>
    <x:row r="6">
      <x:c r="A6" s="24" t="str">
        <x:v>TC-VS-INP-002</x:v>
      </x:c>
      <x:c r="B6" s="24" t="str">
        <x:v>VS-INP-002</x:v>
      </x:c>
      <x:c r="C6" s="24" t="str">
        <x:v>Input</x:v>
      </x:c>
      <x:c r="D6" s="24" t="str">
        <x:v>Clic de mundo produce destino válido o feedback de rechazo</x:v>
      </x:c>
      <x:c r="E6" s="24" t="str">
        <x:v>Baseline válida; estado inicial reproducible; datos de prueba preparados.</x:v>
      </x:c>
      <x:c r="F6" s="24" t="str">
        <x:v>1. Preparar el estado. 2. Ejecutar la acción o transición. 3. Observar estado, UI y logs. 4. Comparar precondición y postcondición.</x:v>
      </x:c>
      <x:c r="G6" s="24" t="str">
        <x:v>Clic de mundo produce destino válido o feedback de rechazo.</x:v>
      </x:c>
      <x:c r="H6" s="24" t="str">
        <x:v>P1</x:v>
      </x:c>
      <x:c r="I6" s="24" t="str">
        <x:v>S2</x:v>
      </x:c>
      <x:c r="J6" s="24" t="str">
        <x:v>PlayMode + Manual</x:v>
      </x:c>
      <x:c r="K6" s="24" t="str">
        <x:v>Parcial</x:v>
      </x:c>
      <x:c r="L6" s="24" t="str">
        <x:v>Estándar</x:v>
      </x:c>
      <x:c r="M6" s="24" t="str"/>
      <x:c r="N6" s="24" t="str">
        <x:v>Not Run</x:v>
      </x:c>
      <x:c r="O6" s="24" t="str"/>
    </x:row>
    <x:row r="7">
      <x:c r="A7" s="24" t="str">
        <x:v>TC-VS-CAM-001</x:v>
      </x:c>
      <x:c r="B7" s="24" t="str">
        <x:v>VS-CAM-001</x:v>
      </x:c>
      <x:c r="C7" s="24" t="str">
        <x:v>Cámara</x:v>
      </x:c>
      <x:c r="D7" s="24" t="str">
        <x:v>Órbita y zoom permanecen dentro de límites y no bloquean el flujo</x:v>
      </x:c>
      <x:c r="E7" s="24" t="str">
        <x:v>Baseline válida; estado inicial reproducible; datos de prueba preparados.</x:v>
      </x:c>
      <x:c r="F7" s="24" t="str">
        <x:v>1. Preparar el estado. 2. Ejecutar la acción o transición. 3. Observar estado, UI y logs. 4. Comparar precondición y postcondición.</x:v>
      </x:c>
      <x:c r="G7" s="24" t="str">
        <x:v>Órbita y zoom permanecen dentro de límites y no bloquean el flujo.</x:v>
      </x:c>
      <x:c r="H7" s="24" t="str">
        <x:v>P0</x:v>
      </x:c>
      <x:c r="I7" s="24" t="str">
        <x:v>S1</x:v>
      </x:c>
      <x:c r="J7" s="24" t="str">
        <x:v>PlayMode + Manual</x:v>
      </x:c>
      <x:c r="K7" s="24" t="str">
        <x:v>Parcial</x:v>
      </x:c>
      <x:c r="L7" s="24" t="str">
        <x:v>Estándar</x:v>
      </x:c>
      <x:c r="M7" s="24" t="str"/>
      <x:c r="N7" s="24" t="str">
        <x:v>Not Run</x:v>
      </x:c>
      <x:c r="O7" s="24" t="str"/>
    </x:row>
    <x:row r="8">
      <x:c r="A8" s="24" t="str">
        <x:v>TC-VS-CAM-002</x:v>
      </x:c>
      <x:c r="B8" s="24" t="str">
        <x:v>VS-CAM-002</x:v>
      </x:c>
      <x:c r="C8" s="24" t="str">
        <x:v>Cámara</x:v>
      </x:c>
      <x:c r="D8" s="24" t="str">
        <x:v>La cámara mantiene legibles entrada, displays, cola y checkout</x:v>
      </x:c>
      <x:c r="E8" s="24" t="str">
        <x:v>Baseline válida; estado inicial reproducible; datos de prueba preparados.</x:v>
      </x:c>
      <x:c r="F8" s="24" t="str">
        <x:v>1. Preparar el estado. 2. Ejecutar la acción o transición. 3. Observar estado, UI y logs. 4. Comparar precondición y postcondición.</x:v>
      </x:c>
      <x:c r="G8" s="24" t="str">
        <x:v>La cámara mantiene legibles entrada, displays, cola y checkout.</x:v>
      </x:c>
      <x:c r="H8" s="24" t="str">
        <x:v>P2</x:v>
      </x:c>
      <x:c r="I8" s="24" t="str">
        <x:v>S3</x:v>
      </x:c>
      <x:c r="J8" s="24" t="str">
        <x:v>PlayMode + Manual</x:v>
      </x:c>
      <x:c r="K8" s="24" t="str">
        <x:v>Parcial</x:v>
      </x:c>
      <x:c r="L8" s="24" t="str">
        <x:v>Estándar</x:v>
      </x:c>
      <x:c r="M8" s="24" t="str"/>
      <x:c r="N8" s="24" t="str">
        <x:v>Not Run</x:v>
      </x:c>
      <x:c r="O8" s="24" t="str"/>
    </x:row>
    <x:row r="9">
      <x:c r="A9" s="24" t="str">
        <x:v>TC-VS-UI-001</x:v>
      </x:c>
      <x:c r="B9" s="24" t="str">
        <x:v>VS-UI-001</x:v>
      </x:c>
      <x:c r="C9" s="24" t="str">
        <x:v>UI/UX</x:v>
      </x:c>
      <x:c r="D9" s="24" t="str">
        <x:v>Golden Path puede completarse sin herramientas de debug</x:v>
      </x:c>
      <x:c r="E9" s="24" t="str">
        <x:v>Baseline válida; estado inicial reproducible; datos de prueba preparados.</x:v>
      </x:c>
      <x:c r="F9" s="24" t="str">
        <x:v>1. Preparar el estado. 2. Ejecutar la acción o transición. 3. Observar estado, UI y logs. 4. Comparar precondición y postcondición.</x:v>
      </x:c>
      <x:c r="G9" s="24" t="str">
        <x:v>Golden Path puede completarse sin herramientas de debug.</x:v>
      </x:c>
      <x:c r="H9" s="24" t="str">
        <x:v>P2</x:v>
      </x:c>
      <x:c r="I9" s="24" t="str">
        <x:v>S3</x:v>
      </x:c>
      <x:c r="J9" s="24" t="str">
        <x:v>PlayMode + Manual</x:v>
      </x:c>
      <x:c r="K9" s="24" t="str">
        <x:v>Manual/Parcial</x:v>
      </x:c>
      <x:c r="L9" s="24" t="str">
        <x:v>Estándar</x:v>
      </x:c>
      <x:c r="M9" s="24" t="str"/>
      <x:c r="N9" s="24" t="str">
        <x:v>Not Run</x:v>
      </x:c>
      <x:c r="O9" s="24" t="str"/>
    </x:row>
    <x:row r="10">
      <x:c r="A10" s="24" t="str">
        <x:v>TC-VS-UI-002</x:v>
      </x:c>
      <x:c r="B10" s="24" t="str">
        <x:v>VS-UI-002</x:v>
      </x:c>
      <x:c r="C10" s="24" t="str">
        <x:v>UI/UX</x:v>
      </x:c>
      <x:c r="D10" s="24" t="str">
        <x:v>Errores y estados inválidos muestran causa comprensible</x:v>
      </x:c>
      <x:c r="E10" s="24" t="str">
        <x:v>Baseline válida; estado inicial reproducible; datos de prueba preparados.</x:v>
      </x:c>
      <x:c r="F10" s="24" t="str">
        <x:v>1. Preparar el estado. 2. Ejecutar la acción o transición. 3. Observar estado, UI y logs. 4. Comparar precondición y postcondición.</x:v>
      </x:c>
      <x:c r="G10" s="24" t="str">
        <x:v>Errores y estados inválidos muestran causa comprensible.</x:v>
      </x:c>
      <x:c r="H10" s="24" t="str">
        <x:v>P2</x:v>
      </x:c>
      <x:c r="I10" s="24" t="str">
        <x:v>S3</x:v>
      </x:c>
      <x:c r="J10" s="24" t="str">
        <x:v>PlayMode + Manual</x:v>
      </x:c>
      <x:c r="K10" s="24" t="str">
        <x:v>Manual/Parcial</x:v>
      </x:c>
      <x:c r="L10" s="24" t="str">
        <x:v>Estándar</x:v>
      </x:c>
      <x:c r="M10" s="24" t="str"/>
      <x:c r="N10" s="24" t="str">
        <x:v>Not Run</x:v>
      </x:c>
      <x:c r="O10" s="24" t="str"/>
    </x:row>
    <x:row r="11">
      <x:c r="A11" s="24" t="str">
        <x:v>TC-VS-UI-003</x:v>
      </x:c>
      <x:c r="B11" s="24" t="str">
        <x:v>VS-UI-003</x:v>
      </x:c>
      <x:c r="C11" s="24" t="str">
        <x:v>UI/UX</x:v>
      </x:c>
      <x:c r="D11" s="24" t="str">
        <x:v>Controles críticos no dependen solo del color</x:v>
      </x:c>
      <x:c r="E11" s="24" t="str">
        <x:v>Baseline válida; estado inicial reproducible; datos de prueba preparados.</x:v>
      </x:c>
      <x:c r="F11" s="24" t="str">
        <x:v>1. Preparar el estado. 2. Ejecutar la acción o transición. 3. Observar estado, UI y logs. 4. Comparar precondición y postcondición.</x:v>
      </x:c>
      <x:c r="G11" s="24" t="str">
        <x:v>Controles críticos no dependen solo del color.</x:v>
      </x:c>
      <x:c r="H11" s="24" t="str">
        <x:v>P2</x:v>
      </x:c>
      <x:c r="I11" s="24" t="str">
        <x:v>S3</x:v>
      </x:c>
      <x:c r="J11" s="24" t="str">
        <x:v>PlayMode + Manual</x:v>
      </x:c>
      <x:c r="K11" s="24" t="str">
        <x:v>Manual/Parcial</x:v>
      </x:c>
      <x:c r="L11" s="24" t="str">
        <x:v>Estándar</x:v>
      </x:c>
      <x:c r="M11" s="24" t="str"/>
      <x:c r="N11" s="24" t="str">
        <x:v>Not Run</x:v>
      </x:c>
      <x:c r="O11" s="24" t="str"/>
    </x:row>
    <x:row r="12">
      <x:c r="A12" s="24" t="str">
        <x:v>TC-VS-UI-004</x:v>
      </x:c>
      <x:c r="B12" s="24" t="str">
        <x:v>VS-UI-004</x:v>
      </x:c>
      <x:c r="C12" s="24" t="str">
        <x:v>UI/UX</x:v>
      </x:c>
      <x:c r="D12" s="24" t="str">
        <x:v>Textos incluidos están preparados para ES/EN sin desbordes bloqueantes</x:v>
      </x:c>
      <x:c r="E12" s="24" t="str">
        <x:v>Baseline válida; estado inicial reproducible; datos de prueba preparados.</x:v>
      </x:c>
      <x:c r="F12" s="24" t="str">
        <x:v>1. Preparar el estado. 2. Ejecutar la acción o transición. 3. Observar estado, UI y logs. 4. Comparar precondición y postcondición.</x:v>
      </x:c>
      <x:c r="G12" s="24" t="str">
        <x:v>Textos incluidos están preparados para ES/EN sin desbordes bloqueantes.</x:v>
      </x:c>
      <x:c r="H12" s="24" t="str">
        <x:v>P0</x:v>
      </x:c>
      <x:c r="I12" s="24" t="str">
        <x:v>S1</x:v>
      </x:c>
      <x:c r="J12" s="24" t="str">
        <x:v>PlayMode + Manual</x:v>
      </x:c>
      <x:c r="K12" s="24" t="str">
        <x:v>Manual/Parcial</x:v>
      </x:c>
      <x:c r="L12" s="24" t="str">
        <x:v>Estándar</x:v>
      </x:c>
      <x:c r="M12" s="24" t="str"/>
      <x:c r="N12" s="24" t="str">
        <x:v>Not Run</x:v>
      </x:c>
      <x:c r="O12" s="24" t="str"/>
    </x:row>
    <x:row r="13">
      <x:c r="A13" s="24" t="str">
        <x:v>TC-UX-BOOT-001</x:v>
      </x:c>
      <x:c r="B13" s="24" t="str">
        <x:v>UX-BOOT-001</x:v>
      </x:c>
      <x:c r="C13" s="24" t="str">
        <x:v>Bootstrap y escenas</x:v>
      </x:c>
      <x:c r="D13" s="24" t="str">
        <x:v>La aplicación entra por Bootstrap</x:v>
      </x:c>
      <x:c r="E13" s="24" t="str">
        <x:v>Baseline válida; estado inicial reproducible; datos de prueba preparados.</x:v>
      </x:c>
      <x:c r="F13" s="24" t="str">
        <x:v>1. Preparar el estado. 2. Ejecutar la acción o transición. 3. Observar estado, UI y logs. 4. Comparar precondición y postcondición.</x:v>
      </x:c>
      <x:c r="G13" s="24" t="str">
        <x:v>La aplicación entra por Bootstrap.</x:v>
      </x:c>
      <x:c r="H13" s="24" t="str">
        <x:v>P2</x:v>
      </x:c>
      <x:c r="I13" s="24" t="str">
        <x:v>S3</x:v>
      </x:c>
      <x:c r="J13" s="24" t="str">
        <x:v>PlayMode + Manual</x:v>
      </x:c>
      <x:c r="K13" s="24" t="str">
        <x:v>Manual/Parcial</x:v>
      </x:c>
      <x:c r="L13" s="24" t="str">
        <x:v>Estándar</x:v>
      </x:c>
      <x:c r="M13" s="24" t="str"/>
      <x:c r="N13" s="24" t="str">
        <x:v>Not Run</x:v>
      </x:c>
      <x:c r="O13" s="24" t="str"/>
    </x:row>
    <x:row r="14">
      <x:c r="A14" s="24" t="str">
        <x:v>TC-UX-BOOT-002</x:v>
      </x:c>
      <x:c r="B14" s="24" t="str">
        <x:v>UX-BOOT-002</x:v>
      </x:c>
      <x:c r="C14" s="24" t="str">
        <x:v>Bootstrap y escenas</x:v>
      </x:c>
      <x:c r="D14" s="24" t="str">
        <x:v>MainMenu se carga mediante transición controlada</x:v>
      </x:c>
      <x:c r="E14" s="24" t="str">
        <x:v>Baseline válida; estado inicial reproducible; datos de prueba preparados.</x:v>
      </x:c>
      <x:c r="F14" s="24" t="str">
        <x:v>1. Preparar el estado. 2. Ejecutar la acción o transición. 3. Observar estado, UI y logs. 4. Comparar precondición y postcondición.</x:v>
      </x:c>
      <x:c r="G14" s="24" t="str">
        <x:v>MainMenu se carga mediante transición controlada.</x:v>
      </x:c>
      <x:c r="H14" s="24" t="str">
        <x:v>P2</x:v>
      </x:c>
      <x:c r="I14" s="24" t="str">
        <x:v>S3</x:v>
      </x:c>
      <x:c r="J14" s="24" t="str">
        <x:v>PlayMode + Manual</x:v>
      </x:c>
      <x:c r="K14" s="24" t="str">
        <x:v>Manual/Parcial</x:v>
      </x:c>
      <x:c r="L14" s="24" t="str">
        <x:v>Estándar</x:v>
      </x:c>
      <x:c r="M14" s="24" t="str"/>
      <x:c r="N14" s="24" t="str">
        <x:v>Not Run</x:v>
      </x:c>
      <x:c r="O14" s="24" t="str"/>
    </x:row>
    <x:row r="15">
      <x:c r="A15" s="24" t="str">
        <x:v>TC-UX-BOOT-003</x:v>
      </x:c>
      <x:c r="B15" s="24" t="str">
        <x:v>UX-BOOT-003</x:v>
      </x:c>
      <x:c r="C15" s="24" t="str">
        <x:v>Bootstrap y escenas</x:v>
      </x:c>
      <x:c r="D15" s="24" t="str">
        <x:v>No existen solicitudes concurrentes de escena</x:v>
      </x:c>
      <x:c r="E15" s="24" t="str">
        <x:v>Baseline válida; estado inicial reproducible; datos de prueba preparados.</x:v>
      </x:c>
      <x:c r="F15" s="24" t="str">
        <x:v>1. Preparar el estado. 2. Ejecutar la acción o transición. 3. Observar estado, UI y logs. 4. Comparar precondición y postcondición.</x:v>
      </x:c>
      <x:c r="G15" s="24" t="str">
        <x:v>No existen solicitudes concurrentes de escena.</x:v>
      </x:c>
      <x:c r="H15" s="24" t="str">
        <x:v>P2</x:v>
      </x:c>
      <x:c r="I15" s="24" t="str">
        <x:v>S3</x:v>
      </x:c>
      <x:c r="J15" s="24" t="str">
        <x:v>PlayMode + Manual</x:v>
      </x:c>
      <x:c r="K15" s="24" t="str">
        <x:v>Manual/Parcial</x:v>
      </x:c>
      <x:c r="L15" s="24" t="str">
        <x:v>Estándar</x:v>
      </x:c>
      <x:c r="M15" s="24" t="str"/>
      <x:c r="N15" s="24" t="str">
        <x:v>Not Run</x:v>
      </x:c>
      <x:c r="O15" s="24" t="str"/>
    </x:row>
    <x:row r="16">
      <x:c r="A16" s="24" t="str">
        <x:v>TC-UX-BOOT-004</x:v>
      </x:c>
      <x:c r="B16" s="24" t="str">
        <x:v>UX-BOOT-004</x:v>
      </x:c>
      <x:c r="C16" s="24" t="str">
        <x:v>Bootstrap y escenas</x:v>
      </x:c>
      <x:c r="D16" s="24" t="str">
        <x:v>TestLab no aparece en producción</x:v>
      </x:c>
      <x:c r="E16" s="24" t="str">
        <x:v>Baseline válida; estado inicial reproducible; datos de prueba preparados.</x:v>
      </x:c>
      <x:c r="F16" s="24" t="str">
        <x:v>1. Preparar el estado. 2. Ejecutar la acción o transición. 3. Observar estado, UI y logs. 4. Comparar precondición y postcondición.</x:v>
      </x:c>
      <x:c r="G16" s="24" t="str">
        <x:v>TestLab no aparece en producción.</x:v>
      </x:c>
      <x:c r="H16" s="24" t="str">
        <x:v>P2</x:v>
      </x:c>
      <x:c r="I16" s="24" t="str">
        <x:v>S3</x:v>
      </x:c>
      <x:c r="J16" s="24" t="str">
        <x:v>PlayMode + Manual</x:v>
      </x:c>
      <x:c r="K16" s="24" t="str">
        <x:v>Manual/Parcial</x:v>
      </x:c>
      <x:c r="L16" s="24" t="str">
        <x:v>Estándar</x:v>
      </x:c>
      <x:c r="M16" s="24" t="str"/>
      <x:c r="N16" s="24" t="str">
        <x:v>Not Run</x:v>
      </x:c>
      <x:c r="O16" s="24" t="str"/>
    </x:row>
    <x:row r="17">
      <x:c r="A17" s="24" t="str">
        <x:v>TC-UX-BOOT-005</x:v>
      </x:c>
      <x:c r="B17" s="24" t="str">
        <x:v>UX-BOOT-005</x:v>
      </x:c>
      <x:c r="C17" s="24" t="str">
        <x:v>Bootstrap y escenas</x:v>
      </x:c>
      <x:c r="D17" s="24" t="str">
        <x:v>Un fallo de carga ofrece recuperación segura</x:v>
      </x:c>
      <x:c r="E17" s="24" t="str">
        <x:v>Baseline válida; estado inicial reproducible; datos de prueba preparados.</x:v>
      </x:c>
      <x:c r="F17" s="24" t="str">
        <x:v>1. Preparar el estado. 2. Ejecutar la acción o transición. 3. Observar estado, UI y logs. 4. Comparar precondición y postcondición.</x:v>
      </x:c>
      <x:c r="G17" s="24" t="str">
        <x:v>Un fallo de carga ofrece recuperación segura.</x:v>
      </x:c>
      <x:c r="H17" s="24" t="str">
        <x:v>P2</x:v>
      </x:c>
      <x:c r="I17" s="24" t="str">
        <x:v>S3</x:v>
      </x:c>
      <x:c r="J17" s="24" t="str">
        <x:v>PlayMode + Manual</x:v>
      </x:c>
      <x:c r="K17" s="24" t="str">
        <x:v>Manual/Parcial</x:v>
      </x:c>
      <x:c r="L17" s="24" t="str">
        <x:v>Estándar</x:v>
      </x:c>
      <x:c r="M17" s="24" t="str"/>
      <x:c r="N17" s="24" t="str">
        <x:v>Not Run</x:v>
      </x:c>
      <x:c r="O17" s="24" t="str"/>
    </x:row>
    <x:row r="18">
      <x:c r="A18" s="24" t="str">
        <x:v>TC-UX-BOOT-006</x:v>
      </x:c>
      <x:c r="B18" s="24" t="str">
        <x:v>UX-BOOT-006</x:v>
      </x:c>
      <x:c r="C18" s="24" t="str">
        <x:v>Bootstrap y escenas</x:v>
      </x:c>
      <x:c r="D18" s="24" t="str">
        <x:v>El clic de cierre de loading no mueve al jugador</x:v>
      </x:c>
      <x:c r="E18" s="24" t="str">
        <x:v>Baseline válida; estado inicial reproducible; datos de prueba preparados.</x:v>
      </x:c>
      <x:c r="F18" s="24" t="str">
        <x:v>1. Preparar el estado. 2. Ejecutar la acción o transición. 3. Observar estado, UI y logs. 4. Comparar precondición y postcondición.</x:v>
      </x:c>
      <x:c r="G18" s="24" t="str">
        <x:v>El clic de cierre de loading no mueve al jugador.</x:v>
      </x:c>
      <x:c r="H18" s="24" t="str">
        <x:v>P2</x:v>
      </x:c>
      <x:c r="I18" s="24" t="str">
        <x:v>S3</x:v>
      </x:c>
      <x:c r="J18" s="24" t="str">
        <x:v>PlayMode + Manual</x:v>
      </x:c>
      <x:c r="K18" s="24" t="str">
        <x:v>Manual/Parcial</x:v>
      </x:c>
      <x:c r="L18" s="24" t="str">
        <x:v>Estándar</x:v>
      </x:c>
      <x:c r="M18" s="24" t="str"/>
      <x:c r="N18" s="24" t="str">
        <x:v>Not Run</x:v>
      </x:c>
      <x:c r="O18" s="24" t="str"/>
    </x:row>
    <x:row r="19">
      <x:c r="A19" s="24" t="str">
        <x:v>TC-UX-SLOT-001</x:v>
      </x:c>
      <x:c r="B19" s="24" t="str">
        <x:v>UX-SLOT-001</x:v>
      </x:c>
      <x:c r="C19" s="24" t="str">
        <x:v>Slots y persistencia</x:v>
      </x:c>
      <x:c r="D19" s="24" t="str">
        <x:v>Un slot vacío ofrece nueva partida</x:v>
      </x:c>
      <x:c r="E19" s="24" t="str">
        <x:v>Baseline válida; estado inicial reproducible; datos de prueba preparados.</x:v>
      </x:c>
      <x:c r="F19" s="24" t="str">
        <x:v>1. Preparar el estado. 2. Ejecutar la acción o transición. 3. Observar estado, UI y logs. 4. Comparar precondición y postcondición.</x:v>
      </x:c>
      <x:c r="G19" s="24" t="str">
        <x:v>Un slot vacío ofrece nueva partida.</x:v>
      </x:c>
      <x:c r="H19" s="24" t="str">
        <x:v>P2</x:v>
      </x:c>
      <x:c r="I19" s="24" t="str">
        <x:v>S3</x:v>
      </x:c>
      <x:c r="J19" s="24" t="str">
        <x:v>PlayMode + Manual</x:v>
      </x:c>
      <x:c r="K19" s="24" t="str">
        <x:v>Manual/Parcial</x:v>
      </x:c>
      <x:c r="L19" s="24" t="str">
        <x:v>Estándar</x:v>
      </x:c>
      <x:c r="M19" s="24" t="str"/>
      <x:c r="N19" s="24" t="str">
        <x:v>Not Run</x:v>
      </x:c>
      <x:c r="O19" s="24" t="str"/>
    </x:row>
    <x:row r="20">
      <x:c r="A20" s="24" t="str">
        <x:v>TC-UX-SLOT-002</x:v>
      </x:c>
      <x:c r="B20" s="24" t="str">
        <x:v>UX-SLOT-002</x:v>
      </x:c>
      <x:c r="C20" s="24" t="str">
        <x:v>Slots y persistencia</x:v>
      </x:c>
      <x:c r="D20" s="24" t="str">
        <x:v>Un slot válido muestra información suficiente</x:v>
      </x:c>
      <x:c r="E20" s="24" t="str">
        <x:v>Baseline válida; estado inicial reproducible; datos de prueba preparados.</x:v>
      </x:c>
      <x:c r="F20" s="24" t="str">
        <x:v>1. Preparar el estado. 2. Ejecutar la acción o transición. 3. Observar estado, UI y logs. 4. Comparar precondición y postcondición.</x:v>
      </x:c>
      <x:c r="G20" s="24" t="str">
        <x:v>Un slot válido muestra información suficiente.</x:v>
      </x:c>
      <x:c r="H20" s="24" t="str">
        <x:v>P2</x:v>
      </x:c>
      <x:c r="I20" s="24" t="str">
        <x:v>S3</x:v>
      </x:c>
      <x:c r="J20" s="24" t="str">
        <x:v>PlayMode + Manual</x:v>
      </x:c>
      <x:c r="K20" s="24" t="str">
        <x:v>Manual/Parcial</x:v>
      </x:c>
      <x:c r="L20" s="24" t="str">
        <x:v>Estándar</x:v>
      </x:c>
      <x:c r="M20" s="24" t="str"/>
      <x:c r="N20" s="24" t="str">
        <x:v>Not Run</x:v>
      </x:c>
      <x:c r="O20" s="24" t="str"/>
    </x:row>
    <x:row r="21">
      <x:c r="A21" s="24" t="str">
        <x:v>TC-UX-SLOT-003</x:v>
      </x:c>
      <x:c r="B21" s="24" t="str">
        <x:v>UX-SLOT-003</x:v>
      </x:c>
      <x:c r="C21" s="24" t="str">
        <x:v>Slots y persistencia</x:v>
      </x:c>
      <x:c r="D21" s="24" t="str">
        <x:v>Reemplazar exige confirmación inequívoca</x:v>
      </x:c>
      <x:c r="E21" s="24" t="str">
        <x:v>Baseline válida; estado inicial reproducible; datos de prueba preparados.</x:v>
      </x:c>
      <x:c r="F21" s="24" t="str">
        <x:v>1. Preparar el estado. 2. Ejecutar la acción o transición. 3. Observar estado, UI y logs. 4. Comparar precondición y postcondición.</x:v>
      </x:c>
      <x:c r="G21" s="24" t="str">
        <x:v>Reemplazar exige confirmación inequívoca.</x:v>
      </x:c>
      <x:c r="H21" s="24" t="str">
        <x:v>P2</x:v>
      </x:c>
      <x:c r="I21" s="24" t="str">
        <x:v>S3</x:v>
      </x:c>
      <x:c r="J21" s="24" t="str">
        <x:v>PlayMode + Manual</x:v>
      </x:c>
      <x:c r="K21" s="24" t="str">
        <x:v>Manual/Parcial</x:v>
      </x:c>
      <x:c r="L21" s="24" t="str">
        <x:v>Estándar</x:v>
      </x:c>
      <x:c r="M21" s="24" t="str"/>
      <x:c r="N21" s="24" t="str">
        <x:v>Not Run</x:v>
      </x:c>
      <x:c r="O21" s="24" t="str"/>
    </x:row>
    <x:row r="22">
      <x:c r="A22" s="24" t="str">
        <x:v>TC-UX-SLOT-004</x:v>
      </x:c>
      <x:c r="B22" s="24" t="str">
        <x:v>UX-SLOT-004</x:v>
      </x:c>
      <x:c r="C22" s="24" t="str">
        <x:v>Slots y persistencia</x:v>
      </x:c>
      <x:c r="D22" s="24" t="str">
        <x:v>Borrar exige confirmación</x:v>
      </x:c>
      <x:c r="E22" s="24" t="str">
        <x:v>Baseline válida; estado inicial reproducible; datos de prueba preparados.</x:v>
      </x:c>
      <x:c r="F22" s="24" t="str">
        <x:v>1. Preparar el estado. 2. Ejecutar la acción o transición. 3. Observar estado, UI y logs. 4. Comparar precondición y postcondición.</x:v>
      </x:c>
      <x:c r="G22" s="24" t="str">
        <x:v>Borrar exige confirmación.</x:v>
      </x:c>
      <x:c r="H22" s="24" t="str">
        <x:v>P2</x:v>
      </x:c>
      <x:c r="I22" s="24" t="str">
        <x:v>S3</x:v>
      </x:c>
      <x:c r="J22" s="24" t="str">
        <x:v>PlayMode + Manual</x:v>
      </x:c>
      <x:c r="K22" s="24" t="str">
        <x:v>Manual/Parcial</x:v>
      </x:c>
      <x:c r="L22" s="24" t="str">
        <x:v>Estándar</x:v>
      </x:c>
      <x:c r="M22" s="24" t="str"/>
      <x:c r="N22" s="24" t="str">
        <x:v>Not Run</x:v>
      </x:c>
      <x:c r="O22" s="24" t="str"/>
    </x:row>
    <x:row r="23">
      <x:c r="A23" s="24" t="str">
        <x:v>TC-UX-SLOT-005</x:v>
      </x:c>
      <x:c r="B23" s="24" t="str">
        <x:v>UX-SLOT-005</x:v>
      </x:c>
      <x:c r="C23" s="24" t="str">
        <x:v>Slots y persistencia</x:v>
      </x:c>
      <x:c r="D23" s="24" t="str">
        <x:v>El backup se ofrece cuando el primario falla</x:v>
      </x:c>
      <x:c r="E23" s="24" t="str">
        <x:v>Baseline válida; estado inicial reproducible; datos de prueba preparados.</x:v>
      </x:c>
      <x:c r="F23" s="24" t="str">
        <x:v>1. Preparar el estado. 2. Ejecutar la acción o transición. 3. Observar estado, UI y logs. 4. Comparar precondición y postcondición.</x:v>
      </x:c>
      <x:c r="G23" s="24" t="str">
        <x:v>El backup se ofrece cuando el primario falla.</x:v>
      </x:c>
      <x:c r="H23" s="24" t="str">
        <x:v>P2</x:v>
      </x:c>
      <x:c r="I23" s="24" t="str">
        <x:v>S3</x:v>
      </x:c>
      <x:c r="J23" s="24" t="str">
        <x:v>PlayMode + Manual</x:v>
      </x:c>
      <x:c r="K23" s="24" t="str">
        <x:v>Manual/Parcial</x:v>
      </x:c>
      <x:c r="L23" s="24" t="str">
        <x:v>Estándar</x:v>
      </x:c>
      <x:c r="M23" s="24" t="str"/>
      <x:c r="N23" s="24" t="str">
        <x:v>Not Run</x:v>
      </x:c>
      <x:c r="O23" s="24" t="str"/>
    </x:row>
    <x:row r="24">
      <x:c r="A24" s="24" t="str">
        <x:v>TC-UX-SLOT-006</x:v>
      </x:c>
      <x:c r="B24" s="24" t="str">
        <x:v>UX-SLOT-006</x:v>
      </x:c>
      <x:c r="C24" s="24" t="str">
        <x:v>Slots y persistencia</x:v>
      </x:c>
      <x:c r="D24" s="24" t="str">
        <x:v>Un error no sobrescribe el guardado existente</x:v>
      </x:c>
      <x:c r="E24" s="24" t="str">
        <x:v>Baseline válida; estado inicial reproducible; datos de prueba preparados.</x:v>
      </x:c>
      <x:c r="F24" s="24" t="str">
        <x:v>1. Preparar el estado. 2. Ejecutar la acción o transición. 3. Observar estado, UI y logs. 4. Comparar precondición y postcondición.</x:v>
      </x:c>
      <x:c r="G24" s="24" t="str">
        <x:v>Un error no sobrescribe el guardado existente.</x:v>
      </x:c>
      <x:c r="H24" s="24" t="str">
        <x:v>P2</x:v>
      </x:c>
      <x:c r="I24" s="24" t="str">
        <x:v>S3</x:v>
      </x:c>
      <x:c r="J24" s="24" t="str">
        <x:v>PlayMode + Manual</x:v>
      </x:c>
      <x:c r="K24" s="24" t="str">
        <x:v>Manual/Parcial</x:v>
      </x:c>
      <x:c r="L24" s="24" t="str">
        <x:v>Estándar</x:v>
      </x:c>
      <x:c r="M24" s="24" t="str"/>
      <x:c r="N24" s="24" t="str">
        <x:v>Not Run</x:v>
      </x:c>
      <x:c r="O24" s="24" t="str"/>
    </x:row>
    <x:row r="25">
      <x:c r="A25" s="24" t="str">
        <x:v>TC-UX-SLOT-007</x:v>
      </x:c>
      <x:c r="B25" s="24" t="str">
        <x:v>UX-SLOT-007</x:v>
      </x:c>
      <x:c r="C25" s="24" t="str">
        <x:v>Slots y persistencia</x:v>
      </x:c>
      <x:c r="D25" s="24" t="str">
        <x:v>La carga no finaliza antes de restaurar escena y estado</x:v>
      </x:c>
      <x:c r="E25" s="24" t="str">
        <x:v>Baseline válida; estado inicial reproducible; datos de prueba preparados.</x:v>
      </x:c>
      <x:c r="F25" s="24" t="str">
        <x:v>1. Preparar el estado. 2. Ejecutar la acción o transición. 3. Observar estado, UI y logs. 4. Comparar precondición y postcondición.</x:v>
      </x:c>
      <x:c r="G25" s="24" t="str">
        <x:v>La carga no finaliza antes de restaurar escena y estado.</x:v>
      </x:c>
      <x:c r="H25" s="24" t="str">
        <x:v>P2</x:v>
      </x:c>
      <x:c r="I25" s="24" t="str">
        <x:v>S3</x:v>
      </x:c>
      <x:c r="J25" s="24" t="str">
        <x:v>PlayMode + Manual</x:v>
      </x:c>
      <x:c r="K25" s="24" t="str">
        <x:v>Manual/Parcial</x:v>
      </x:c>
      <x:c r="L25" s="24" t="str">
        <x:v>Estándar</x:v>
      </x:c>
      <x:c r="M25" s="24" t="str"/>
      <x:c r="N25" s="24" t="str">
        <x:v>Not Run</x:v>
      </x:c>
      <x:c r="O25" s="24" t="str"/>
    </x:row>
    <x:row r="26">
      <x:c r="A26" s="24" t="str">
        <x:v>TC-UX-INP-001</x:v>
      </x:c>
      <x:c r="B26" s="24" t="str">
        <x:v>UX-INP-001</x:v>
      </x:c>
      <x:c r="C26" s="24" t="str">
        <x:v>Input</x:v>
      </x:c>
      <x:c r="D26" s="24" t="str">
        <x:v>UI y mundo no procesan el mismo clic</x:v>
      </x:c>
      <x:c r="E26" s="24" t="str">
        <x:v>Baseline válida; estado inicial reproducible; datos de prueba preparados.</x:v>
      </x:c>
      <x:c r="F26" s="24" t="str">
        <x:v>1. Preparar el estado. 2. Ejecutar la acción o transición. 3. Observar estado, UI y logs. 4. Comparar precondición y postcondición.</x:v>
      </x:c>
      <x:c r="G26" s="24" t="str">
        <x:v>UI y mundo no procesan el mismo clic.</x:v>
      </x:c>
      <x:c r="H26" s="24" t="str">
        <x:v>P1</x:v>
      </x:c>
      <x:c r="I26" s="24" t="str">
        <x:v>S2</x:v>
      </x:c>
      <x:c r="J26" s="24" t="str">
        <x:v>PlayMode + Manual</x:v>
      </x:c>
      <x:c r="K26" s="24" t="str">
        <x:v>Parcial</x:v>
      </x:c>
      <x:c r="L26" s="24" t="str">
        <x:v>Estándar</x:v>
      </x:c>
      <x:c r="M26" s="24" t="str"/>
      <x:c r="N26" s="24" t="str">
        <x:v>Not Run</x:v>
      </x:c>
      <x:c r="O26" s="24" t="str"/>
    </x:row>
    <x:row r="27">
      <x:c r="A27" s="24" t="str">
        <x:v>TC-UX-INP-002</x:v>
      </x:c>
      <x:c r="B27" s="24" t="str">
        <x:v>UX-INP-002</x:v>
      </x:c>
      <x:c r="C27" s="24" t="str">
        <x:v>Input</x:v>
      </x:c>
      <x:c r="D27" s="24" t="str">
        <x:v>Solo un contexto captura input principal</x:v>
      </x:c>
      <x:c r="E27" s="24" t="str">
        <x:v>Baseline válida; estado inicial reproducible; datos de prueba preparados.</x:v>
      </x:c>
      <x:c r="F27" s="24" t="str">
        <x:v>1. Preparar el estado. 2. Ejecutar la acción o transición. 3. Observar estado, UI y logs. 4. Comparar precondición y postcondición.</x:v>
      </x:c>
      <x:c r="G27" s="24" t="str">
        <x:v>Solo un contexto captura input principal.</x:v>
      </x:c>
      <x:c r="H27" s="24" t="str">
        <x:v>P1</x:v>
      </x:c>
      <x:c r="I27" s="24" t="str">
        <x:v>S2</x:v>
      </x:c>
      <x:c r="J27" s="24" t="str">
        <x:v>PlayMode + Manual</x:v>
      </x:c>
      <x:c r="K27" s="24" t="str">
        <x:v>Parcial</x:v>
      </x:c>
      <x:c r="L27" s="24" t="str">
        <x:v>Estándar</x:v>
      </x:c>
      <x:c r="M27" s="24" t="str"/>
      <x:c r="N27" s="24" t="str">
        <x:v>Not Run</x:v>
      </x:c>
      <x:c r="O27" s="24" t="str"/>
    </x:row>
    <x:row r="28">
      <x:c r="A28" s="24" t="str">
        <x:v>TC-UX-INP-003</x:v>
      </x:c>
      <x:c r="B28" s="24" t="str">
        <x:v>UX-INP-003</x:v>
      </x:c>
      <x:c r="C28" s="24" t="str">
        <x:v>Input</x:v>
      </x:c>
      <x:c r="D28" s="24" t="str">
        <x:v>Escape resuelve primero el contexto más profundo</x:v>
      </x:c>
      <x:c r="E28" s="24" t="str">
        <x:v>Baseline válida; estado inicial reproducible; datos de prueba preparados.</x:v>
      </x:c>
      <x:c r="F28" s="24" t="str">
        <x:v>1. Preparar el estado. 2. Ejecutar la acción o transición. 3. Observar estado, UI y logs. 4. Comparar precondición y postcondición.</x:v>
      </x:c>
      <x:c r="G28" s="24" t="str">
        <x:v>Escape resuelve primero el contexto más profundo.</x:v>
      </x:c>
      <x:c r="H28" s="24" t="str">
        <x:v>P1</x:v>
      </x:c>
      <x:c r="I28" s="24" t="str">
        <x:v>S2</x:v>
      </x:c>
      <x:c r="J28" s="24" t="str">
        <x:v>PlayMode + Manual</x:v>
      </x:c>
      <x:c r="K28" s="24" t="str">
        <x:v>Parcial</x:v>
      </x:c>
      <x:c r="L28" s="24" t="str">
        <x:v>Estándar</x:v>
      </x:c>
      <x:c r="M28" s="24" t="str"/>
      <x:c r="N28" s="24" t="str">
        <x:v>Not Run</x:v>
      </x:c>
      <x:c r="O28" s="24" t="str"/>
    </x:row>
    <x:row r="29">
      <x:c r="A29" s="24" t="str">
        <x:v>TC-UX-INP-004</x:v>
      </x:c>
      <x:c r="B29" s="24" t="str">
        <x:v>UX-INP-004</x:v>
      </x:c>
      <x:c r="C29" s="24" t="str">
        <x:v>Input</x:v>
      </x:c>
      <x:c r="D29" s="24" t="str">
        <x:v>Pausa impide mutaciones de gameplay</x:v>
      </x:c>
      <x:c r="E29" s="24" t="str">
        <x:v>Baseline válida; estado inicial reproducible; datos de prueba preparados.</x:v>
      </x:c>
      <x:c r="F29" s="24" t="str">
        <x:v>1. Preparar el estado. 2. Ejecutar la acción o transición. 3. Observar estado, UI y logs. 4. Comparar precondición y postcondición.</x:v>
      </x:c>
      <x:c r="G29" s="24" t="str">
        <x:v>Pausa impide mutaciones de gameplay.</x:v>
      </x:c>
      <x:c r="H29" s="24" t="str">
        <x:v>P1</x:v>
      </x:c>
      <x:c r="I29" s="24" t="str">
        <x:v>S2</x:v>
      </x:c>
      <x:c r="J29" s="24" t="str">
        <x:v>PlayMode + Manual</x:v>
      </x:c>
      <x:c r="K29" s="24" t="str">
        <x:v>Parcial</x:v>
      </x:c>
      <x:c r="L29" s="24" t="str">
        <x:v>Estándar</x:v>
      </x:c>
      <x:c r="M29" s="24" t="str"/>
      <x:c r="N29" s="24" t="str">
        <x:v>Not Run</x:v>
      </x:c>
      <x:c r="O29" s="24" t="str"/>
    </x:row>
    <x:row r="30">
      <x:c r="A30" s="24" t="str">
        <x:v>TC-UX-INP-005</x:v>
      </x:c>
      <x:c r="B30" s="24" t="str">
        <x:v>UX-INP-005</x:v>
      </x:c>
      <x:c r="C30" s="24" t="str">
        <x:v>Input</x:v>
      </x:c>
      <x:c r="D30" s="24" t="str">
        <x:v>Las instrucciones muestran bindings vigentes</x:v>
      </x:c>
      <x:c r="E30" s="24" t="str">
        <x:v>Baseline válida; estado inicial reproducible; datos de prueba preparados.</x:v>
      </x:c>
      <x:c r="F30" s="24" t="str">
        <x:v>1. Preparar el estado. 2. Ejecutar la acción o transición. 3. Observar estado, UI y logs. 4. Comparar precondición y postcondición.</x:v>
      </x:c>
      <x:c r="G30" s="24" t="str">
        <x:v>Las instrucciones muestran bindings vigentes.</x:v>
      </x:c>
      <x:c r="H30" s="24" t="str">
        <x:v>P1</x:v>
      </x:c>
      <x:c r="I30" s="24" t="str">
        <x:v>S2</x:v>
      </x:c>
      <x:c r="J30" s="24" t="str">
        <x:v>PlayMode + Manual</x:v>
      </x:c>
      <x:c r="K30" s="24" t="str">
        <x:v>Parcial</x:v>
      </x:c>
      <x:c r="L30" s="24" t="str">
        <x:v>Estándar</x:v>
      </x:c>
      <x:c r="M30" s="24" t="str"/>
      <x:c r="N30" s="24" t="str">
        <x:v>Not Run</x:v>
      </x:c>
      <x:c r="O30" s="24" t="str"/>
    </x:row>
    <x:row r="31">
      <x:c r="A31" s="24" t="str">
        <x:v>TC-UX-INP-006</x:v>
      </x:c>
      <x:c r="B31" s="24" t="str">
        <x:v>UX-INP-006</x:v>
      </x:c>
      <x:c r="C31" s="24" t="str">
        <x:v>Input</x:v>
      </x:c>
      <x:c r="D31" s="24" t="str">
        <x:v>La cámara no activa interacciones</x:v>
      </x:c>
      <x:c r="E31" s="24" t="str">
        <x:v>Baseline válida; estado inicial reproducible; datos de prueba preparados.</x:v>
      </x:c>
      <x:c r="F31" s="24" t="str">
        <x:v>1. Preparar el estado. 2. Ejecutar la acción o transición. 3. Observar estado, UI y logs. 4. Comparar precondición y postcondición.</x:v>
      </x:c>
      <x:c r="G31" s="24" t="str">
        <x:v>La cámara no activa interacciones.</x:v>
      </x:c>
      <x:c r="H31" s="24" t="str">
        <x:v>P1</x:v>
      </x:c>
      <x:c r="I31" s="24" t="str">
        <x:v>S2</x:v>
      </x:c>
      <x:c r="J31" s="24" t="str">
        <x:v>PlayMode + Manual</x:v>
      </x:c>
      <x:c r="K31" s="24" t="str">
        <x:v>Parcial</x:v>
      </x:c>
      <x:c r="L31" s="24" t="str">
        <x:v>Estándar</x:v>
      </x:c>
      <x:c r="M31" s="24" t="str"/>
      <x:c r="N31" s="24" t="str">
        <x:v>Not Run</x:v>
      </x:c>
      <x:c r="O31" s="24" t="str"/>
    </x:row>
    <x:row r="32">
      <x:c r="A32" s="24" t="str">
        <x:v>TC-UX-BLD-001</x:v>
      </x:c>
      <x:c r="B32" s="24" t="str">
        <x:v>UX-BLD-001</x:v>
      </x:c>
      <x:c r="C32" s="24" t="str">
        <x:v>Construcción</x:v>
      </x:c>
      <x:c r="D32" s="24" t="str">
        <x:v>Entrar en BuildMode suprime movimiento</x:v>
      </x:c>
      <x:c r="E32" s="24" t="str">
        <x:v>Baseline válida; estado inicial reproducible; datos de prueba preparados.</x:v>
      </x:c>
      <x:c r="F32" s="24" t="str">
        <x:v>1. Preparar el estado. 2. Ejecutar la acción o transición. 3. Observar estado, UI y logs. 4. Comparar precondición y postcondición.</x:v>
      </x:c>
      <x:c r="G32" s="24" t="str">
        <x:v>Entrar en BuildMode suprime movimiento.</x:v>
      </x:c>
      <x:c r="H32" s="24" t="str">
        <x:v>P1</x:v>
      </x:c>
      <x:c r="I32" s="24" t="str">
        <x:v>S2</x:v>
      </x:c>
      <x:c r="J32" s="24" t="str">
        <x:v>EditMode + Integración</x:v>
      </x:c>
      <x:c r="K32" s="24" t="str">
        <x:v>Parcial/Alta</x:v>
      </x:c>
      <x:c r="L32" s="24" t="str">
        <x:v>Estándar</x:v>
      </x:c>
      <x:c r="M32" s="24" t="str"/>
      <x:c r="N32" s="24" t="str">
        <x:v>Not Run</x:v>
      </x:c>
      <x:c r="O32" s="24" t="str"/>
    </x:row>
    <x:row r="33">
      <x:c r="A33" s="24" t="str">
        <x:v>TC-UX-BLD-002</x:v>
      </x:c>
      <x:c r="B33" s="24" t="str">
        <x:v>UX-BLD-002</x:v>
      </x:c>
      <x:c r="C33" s="24" t="str">
        <x:v>Construcción</x:v>
      </x:c>
      <x:c r="D33" s="24" t="str">
        <x:v>Preview coincide con grid y huella</x:v>
      </x:c>
      <x:c r="E33" s="24" t="str">
        <x:v>Baseline válida; estado inicial reproducible; datos de prueba preparados.</x:v>
      </x:c>
      <x:c r="F33" s="24" t="str">
        <x:v>1. Preparar el estado. 2. Ejecutar la acción o transición. 3. Observar estado, UI y logs. 4. Comparar precondición y postcondición.</x:v>
      </x:c>
      <x:c r="G33" s="24" t="str">
        <x:v>Preview coincide con grid y huella.</x:v>
      </x:c>
      <x:c r="H33" s="24" t="str">
        <x:v>P1</x:v>
      </x:c>
      <x:c r="I33" s="24" t="str">
        <x:v>S2</x:v>
      </x:c>
      <x:c r="J33" s="24" t="str">
        <x:v>EditMode + Integración</x:v>
      </x:c>
      <x:c r="K33" s="24" t="str">
        <x:v>Parcial/Alta</x:v>
      </x:c>
      <x:c r="L33" s="24" t="str">
        <x:v>Estándar</x:v>
      </x:c>
      <x:c r="M33" s="24" t="str"/>
      <x:c r="N33" s="24" t="str">
        <x:v>Not Run</x:v>
      </x:c>
      <x:c r="O33" s="24" t="str"/>
    </x:row>
    <x:row r="34">
      <x:c r="A34" s="24" t="str">
        <x:v>TC-UX-BLD-003</x:v>
      </x:c>
      <x:c r="B34" s="24" t="str">
        <x:v>UX-BLD-003</x:v>
      </x:c>
      <x:c r="C34" s="24" t="str">
        <x:v>Construcción</x:v>
      </x:c>
      <x:c r="D34" s="24" t="str">
        <x:v>Q/E rota y revalida</x:v>
      </x:c>
      <x:c r="E34" s="24" t="str">
        <x:v>Baseline válida; estado inicial reproducible; datos de prueba preparados.</x:v>
      </x:c>
      <x:c r="F34" s="24" t="str">
        <x:v>1. Preparar el estado. 2. Ejecutar la acción o transición. 3. Observar estado, UI y logs. 4. Comparar precondición y postcondición.</x:v>
      </x:c>
      <x:c r="G34" s="24" t="str">
        <x:v>Q/E rota y revalida.</x:v>
      </x:c>
      <x:c r="H34" s="24" t="str">
        <x:v>P1</x:v>
      </x:c>
      <x:c r="I34" s="24" t="str">
        <x:v>S2</x:v>
      </x:c>
      <x:c r="J34" s="24" t="str">
        <x:v>EditMode + Integración</x:v>
      </x:c>
      <x:c r="K34" s="24" t="str">
        <x:v>Parcial/Alta</x:v>
      </x:c>
      <x:c r="L34" s="24" t="str">
        <x:v>Estándar</x:v>
      </x:c>
      <x:c r="M34" s="24" t="str"/>
      <x:c r="N34" s="24" t="str">
        <x:v>Not Run</x:v>
      </x:c>
      <x:c r="O34" s="24" t="str"/>
    </x:row>
    <x:row r="35">
      <x:c r="A35" s="24" t="str">
        <x:v>TC-UX-BLD-004</x:v>
      </x:c>
      <x:c r="B35" s="24" t="str">
        <x:v>UX-BLD-004</x:v>
      </x:c>
      <x:c r="C35" s="24" t="str">
        <x:v>Construcción</x:v>
      </x:c>
      <x:c r="D35" s="24" t="str">
        <x:v>Un placement inválido explica causa</x:v>
      </x:c>
      <x:c r="E35" s="24" t="str">
        <x:v>Baseline válida; estado inicial reproducible; datos de prueba preparados.</x:v>
      </x:c>
      <x:c r="F35" s="24" t="str">
        <x:v>1. Preparar el estado. 2. Ejecutar la acción o transición. 3. Observar estado, UI y logs. 4. Comparar precondición y postcondición.</x:v>
      </x:c>
      <x:c r="G35" s="24" t="str">
        <x:v>Un placement inválido explica causa.</x:v>
      </x:c>
      <x:c r="H35" s="24" t="str">
        <x:v>P1</x:v>
      </x:c>
      <x:c r="I35" s="24" t="str">
        <x:v>S2</x:v>
      </x:c>
      <x:c r="J35" s="24" t="str">
        <x:v>EditMode + Integración</x:v>
      </x:c>
      <x:c r="K35" s="24" t="str">
        <x:v>Parcial/Alta</x:v>
      </x:c>
      <x:c r="L35" s="24" t="str">
        <x:v>Estándar</x:v>
      </x:c>
      <x:c r="M35" s="24" t="str"/>
      <x:c r="N35" s="24" t="str">
        <x:v>Not Run</x:v>
      </x:c>
      <x:c r="O35" s="24" t="str"/>
    </x:row>
    <x:row r="36">
      <x:c r="A36" s="24" t="str">
        <x:v>TC-UX-BLD-005</x:v>
      </x:c>
      <x:c r="B36" s="24" t="str">
        <x:v>UX-BLD-005</x:v>
      </x:c>
      <x:c r="C36" s="24" t="str">
        <x:v>Construcción</x:v>
      </x:c>
      <x:c r="D36" s="24" t="str">
        <x:v>Un placement inválido no cobra ni ocupa</x:v>
      </x:c>
      <x:c r="E36" s="24" t="str">
        <x:v>Baseline válida; estado inicial reproducible; datos de prueba preparados.</x:v>
      </x:c>
      <x:c r="F36" s="24" t="str">
        <x:v>1. Preparar el estado. 2. Ejecutar la acción o transición. 3. Observar estado, UI y logs. 4. Comparar precondición y postcondición.</x:v>
      </x:c>
      <x:c r="G36" s="24" t="str">
        <x:v>Un placement inválido no cobra ni ocupa.</x:v>
      </x:c>
      <x:c r="H36" s="24" t="str">
        <x:v>P1</x:v>
      </x:c>
      <x:c r="I36" s="24" t="str">
        <x:v>S2</x:v>
      </x:c>
      <x:c r="J36" s="24" t="str">
        <x:v>EditMode + Integración</x:v>
      </x:c>
      <x:c r="K36" s="24" t="str">
        <x:v>Parcial/Alta</x:v>
      </x:c>
      <x:c r="L36" s="24" t="str">
        <x:v>Estándar</x:v>
      </x:c>
      <x:c r="M36" s="24" t="str"/>
      <x:c r="N36" s="24" t="str">
        <x:v>Not Run</x:v>
      </x:c>
      <x:c r="O36" s="24" t="str"/>
    </x:row>
    <x:row r="37">
      <x:c r="A37" s="24" t="str">
        <x:v>TC-UX-BLD-006</x:v>
      </x:c>
      <x:c r="B37" s="24" t="str">
        <x:v>UX-BLD-006</x:v>
      </x:c>
      <x:c r="C37" s="24" t="str">
        <x:v>Construcción</x:v>
      </x:c>
      <x:c r="D37" s="24" t="str">
        <x:v>Cancelar movimiento restaura estado anterior</x:v>
      </x:c>
      <x:c r="E37" s="24" t="str">
        <x:v>Baseline válida; estado inicial reproducible; datos de prueba preparados.</x:v>
      </x:c>
      <x:c r="F37" s="24" t="str">
        <x:v>1. Preparar el estado. 2. Ejecutar la acción o transición. 3. Observar estado, UI y logs. 4. Comparar precondición y postcondición.</x:v>
      </x:c>
      <x:c r="G37" s="24" t="str">
        <x:v>Cancelar movimiento restaura estado anterior.</x:v>
      </x:c>
      <x:c r="H37" s="24" t="str">
        <x:v>P1</x:v>
      </x:c>
      <x:c r="I37" s="24" t="str">
        <x:v>S2</x:v>
      </x:c>
      <x:c r="J37" s="24" t="str">
        <x:v>EditMode + Integración</x:v>
      </x:c>
      <x:c r="K37" s="24" t="str">
        <x:v>Parcial/Alta</x:v>
      </x:c>
      <x:c r="L37" s="24" t="str">
        <x:v>Estándar</x:v>
      </x:c>
      <x:c r="M37" s="24" t="str"/>
      <x:c r="N37" s="24" t="str">
        <x:v>Not Run</x:v>
      </x:c>
      <x:c r="O37" s="24" t="str"/>
    </x:row>
    <x:row r="38">
      <x:c r="A38" s="24" t="str">
        <x:v>TC-UX-BLD-007</x:v>
      </x:c>
      <x:c r="B38" s="24" t="str">
        <x:v>UX-BLD-007</x:v>
      </x:c>
      <x:c r="C38" s="24" t="str">
        <x:v>Construcción</x:v>
      </x:c>
      <x:c r="D38" s="24" t="str">
        <x:v>Retirar no destruye stock silenciosamente</x:v>
      </x:c>
      <x:c r="E38" s="24" t="str">
        <x:v>Baseline válida; estado inicial reproducible; datos de prueba preparados.</x:v>
      </x:c>
      <x:c r="F38" s="24" t="str">
        <x:v>1. Preparar el estado. 2. Ejecutar la acción o transición. 3. Observar estado, UI y logs. 4. Comparar precondición y postcondición.</x:v>
      </x:c>
      <x:c r="G38" s="24" t="str">
        <x:v>Retirar no destruye stock silenciosamente.</x:v>
      </x:c>
      <x:c r="H38" s="24" t="str">
        <x:v>P1</x:v>
      </x:c>
      <x:c r="I38" s="24" t="str">
        <x:v>S2</x:v>
      </x:c>
      <x:c r="J38" s="24" t="str">
        <x:v>EditMode + Integración</x:v>
      </x:c>
      <x:c r="K38" s="24" t="str">
        <x:v>Parcial/Alta</x:v>
      </x:c>
      <x:c r="L38" s="24" t="str">
        <x:v>Estándar</x:v>
      </x:c>
      <x:c r="M38" s="24" t="str"/>
      <x:c r="N38" s="24" t="str">
        <x:v>Not Run</x:v>
      </x:c>
      <x:c r="O38" s="24" t="str"/>
    </x:row>
    <x:row r="39">
      <x:c r="A39" s="24" t="str">
        <x:v>TC-UX-BLD-008</x:v>
      </x:c>
      <x:c r="B39" s="24" t="str">
        <x:v>UX-BLD-008</x:v>
      </x:c>
      <x:c r="C39" s="24" t="str">
        <x:v>Construcción</x:v>
      </x:c>
      <x:c r="D39" s="24" t="str">
        <x:v>El feedback no depende solo del color</x:v>
      </x:c>
      <x:c r="E39" s="24" t="str">
        <x:v>Baseline válida; estado inicial reproducible; datos de prueba preparados.</x:v>
      </x:c>
      <x:c r="F39" s="24" t="str">
        <x:v>1. Preparar el estado. 2. Ejecutar la acción o transición. 3. Observar estado, UI y logs. 4. Comparar precondición y postcondición.</x:v>
      </x:c>
      <x:c r="G39" s="24" t="str">
        <x:v>El feedback no depende solo del color.</x:v>
      </x:c>
      <x:c r="H39" s="24" t="str">
        <x:v>P1</x:v>
      </x:c>
      <x:c r="I39" s="24" t="str">
        <x:v>S2</x:v>
      </x:c>
      <x:c r="J39" s="24" t="str">
        <x:v>EditMode + Integración</x:v>
      </x:c>
      <x:c r="K39" s="24" t="str">
        <x:v>Parcial/Alta</x:v>
      </x:c>
      <x:c r="L39" s="24" t="str">
        <x:v>Estándar</x:v>
      </x:c>
      <x:c r="M39" s="24" t="str"/>
      <x:c r="N39" s="24" t="str">
        <x:v>Not Run</x:v>
      </x:c>
      <x:c r="O39" s="24" t="str"/>
    </x:row>
    <x:row r="40">
      <x:c r="A40" s="24" t="str">
        <x:v>TC-UX-BLD-009</x:v>
      </x:c>
      <x:c r="B40" s="24" t="str">
        <x:v>UX-BLD-009</x:v>
      </x:c>
      <x:c r="C40" s="24" t="str">
        <x:v>Construcción</x:v>
      </x:c>
      <x:c r="D40" s="24" t="str">
        <x:v>Cerrar BuildMode no produce clic de mundo</x:v>
      </x:c>
      <x:c r="E40" s="24" t="str">
        <x:v>Baseline válida; estado inicial reproducible; datos de prueba preparados.</x:v>
      </x:c>
      <x:c r="F40" s="24" t="str">
        <x:v>1. Preparar el estado. 2. Ejecutar la acción o transición. 3. Observar estado, UI y logs. 4. Comparar precondición y postcondición.</x:v>
      </x:c>
      <x:c r="G40" s="24" t="str">
        <x:v>Cerrar BuildMode no produce clic de mundo.</x:v>
      </x:c>
      <x:c r="H40" s="24" t="str">
        <x:v>P1</x:v>
      </x:c>
      <x:c r="I40" s="24" t="str">
        <x:v>S2</x:v>
      </x:c>
      <x:c r="J40" s="24" t="str">
        <x:v>EditMode + Integración</x:v>
      </x:c>
      <x:c r="K40" s="24" t="str">
        <x:v>Parcial/Alta</x:v>
      </x:c>
      <x:c r="L40" s="24" t="str">
        <x:v>Estándar</x:v>
      </x:c>
      <x:c r="M40" s="24" t="str"/>
      <x:c r="N40" s="24" t="str">
        <x:v>Not Run</x:v>
      </x:c>
      <x:c r="O40" s="24" t="str"/>
    </x:row>
    <x:row r="41">
      <x:c r="A41" s="24" t="str">
        <x:v>TC-UX-ORD-001</x:v>
      </x:c>
      <x:c r="B41" s="24" t="str">
        <x:v>UX-ORD-001</x:v>
      </x:c>
      <x:c r="C41" s="24" t="str">
        <x:v>Pedidos y entregas</x:v>
      </x:c>
      <x:c r="D41" s="24" t="str">
        <x:v>El pedido muestra total antes de confirmar</x:v>
      </x:c>
      <x:c r="E41" s="24" t="str">
        <x:v>Baseline válida; estado inicial reproducible; datos de prueba preparados.</x:v>
      </x:c>
      <x:c r="F41" s="24" t="str">
        <x:v>1. Preparar el estado. 2. Ejecutar la acción o transición. 3. Observar estado, UI y logs. 4. Comparar precondición y postcondición.</x:v>
      </x:c>
      <x:c r="G41" s="24" t="str">
        <x:v>El pedido muestra total antes de confirmar.</x:v>
      </x:c>
      <x:c r="H41" s="24" t="str">
        <x:v>P2</x:v>
      </x:c>
      <x:c r="I41" s="24" t="str">
        <x:v>S3</x:v>
      </x:c>
      <x:c r="J41" s="24" t="str">
        <x:v>EditMode + Integración</x:v>
      </x:c>
      <x:c r="K41" s="24" t="str">
        <x:v>Parcial/Alta</x:v>
      </x:c>
      <x:c r="L41" s="24" t="str">
        <x:v>Estándar</x:v>
      </x:c>
      <x:c r="M41" s="24" t="str"/>
      <x:c r="N41" s="24" t="str">
        <x:v>Not Run</x:v>
      </x:c>
      <x:c r="O41" s="24" t="str"/>
    </x:row>
    <x:row r="42">
      <x:c r="A42" s="24" t="str">
        <x:v>TC-UX-ORD-002</x:v>
      </x:c>
      <x:c r="B42" s="24" t="str">
        <x:v>UX-ORD-002</x:v>
      </x:c>
      <x:c r="C42" s="24" t="str">
        <x:v>Pedidos y entregas</x:v>
      </x:c>
      <x:c r="D42" s="24" t="str">
        <x:v>Saldo insuficiente se explica</x:v>
      </x:c>
      <x:c r="E42" s="24" t="str">
        <x:v>Baseline válida; estado inicial reproducible; datos de prueba preparados.</x:v>
      </x:c>
      <x:c r="F42" s="24" t="str">
        <x:v>1. Preparar el estado. 2. Ejecutar la acción o transición. 3. Observar estado, UI y logs. 4. Comparar precondición y postcondición.</x:v>
      </x:c>
      <x:c r="G42" s="24" t="str">
        <x:v>Saldo insuficiente se explica.</x:v>
      </x:c>
      <x:c r="H42" s="24" t="str">
        <x:v>P2</x:v>
      </x:c>
      <x:c r="I42" s="24" t="str">
        <x:v>S3</x:v>
      </x:c>
      <x:c r="J42" s="24" t="str">
        <x:v>EditMode + Integración</x:v>
      </x:c>
      <x:c r="K42" s="24" t="str">
        <x:v>Parcial/Alta</x:v>
      </x:c>
      <x:c r="L42" s="24" t="str">
        <x:v>Estándar</x:v>
      </x:c>
      <x:c r="M42" s="24" t="str"/>
      <x:c r="N42" s="24" t="str">
        <x:v>Not Run</x:v>
      </x:c>
      <x:c r="O42" s="24" t="str"/>
    </x:row>
    <x:row r="43">
      <x:c r="A43" s="24" t="str">
        <x:v>TC-UX-ORD-003</x:v>
      </x:c>
      <x:c r="B43" s="24" t="str">
        <x:v>UX-ORD-003</x:v>
      </x:c>
      <x:c r="C43" s="24" t="str">
        <x:v>Pedidos y entregas</x:v>
      </x:c>
      <x:c r="D43" s="24" t="str">
        <x:v>La recepción no puede repetirse</x:v>
      </x:c>
      <x:c r="E43" s="24" t="str">
        <x:v>Baseline válida; estado inicial reproducible; datos de prueba preparados.</x:v>
      </x:c>
      <x:c r="F43" s="24" t="str">
        <x:v>1. Preparar el estado. 2. Ejecutar la acción o transición. 3. Observar estado, UI y logs. 4. Comparar precondición y postcondición.</x:v>
      </x:c>
      <x:c r="G43" s="24" t="str">
        <x:v>La recepción no puede repetirse.</x:v>
      </x:c>
      <x:c r="H43" s="24" t="str">
        <x:v>P2</x:v>
      </x:c>
      <x:c r="I43" s="24" t="str">
        <x:v>S3</x:v>
      </x:c>
      <x:c r="J43" s="24" t="str">
        <x:v>EditMode + Integración</x:v>
      </x:c>
      <x:c r="K43" s="24" t="str">
        <x:v>Parcial/Alta</x:v>
      </x:c>
      <x:c r="L43" s="24" t="str">
        <x:v>Estándar</x:v>
      </x:c>
      <x:c r="M43" s="24" t="str"/>
      <x:c r="N43" s="24" t="str">
        <x:v>Not Run</x:v>
      </x:c>
      <x:c r="O43" s="24" t="str"/>
    </x:row>
    <x:row r="44">
      <x:c r="A44" s="24" t="str">
        <x:v>TC-UX-INV-001</x:v>
      </x:c>
      <x:c r="B44" s="24" t="str">
        <x:v>UX-INV-001</x:v>
      </x:c>
      <x:c r="C44" s="24" t="str">
        <x:v>Inventario</x:v>
      </x:c>
      <x:c r="D44" s="24" t="str">
        <x:v>La UI distingue ubicaciones de stock</x:v>
      </x:c>
      <x:c r="E44" s="24" t="str">
        <x:v>Baseline válida; estado inicial reproducible; datos de prueba preparados.</x:v>
      </x:c>
      <x:c r="F44" s="24" t="str">
        <x:v>1. Preparar el estado. 2. Ejecutar la acción o transición. 3. Observar estado, UI y logs. 4. Comparar precondición y postcondición.</x:v>
      </x:c>
      <x:c r="G44" s="24" t="str">
        <x:v>La UI distingue ubicaciones de stock.</x:v>
      </x:c>
      <x:c r="H44" s="24" t="str">
        <x:v>P0</x:v>
      </x:c>
      <x:c r="I44" s="24" t="str">
        <x:v>S1</x:v>
      </x:c>
      <x:c r="J44" s="24" t="str">
        <x:v>EditMode + Integración</x:v>
      </x:c>
      <x:c r="K44" s="24" t="str">
        <x:v>Parcial/Alta</x:v>
      </x:c>
      <x:c r="L44" s="24" t="str">
        <x:v>Estándar</x:v>
      </x:c>
      <x:c r="M44" s="24" t="str"/>
      <x:c r="N44" s="24" t="str">
        <x:v>Not Run</x:v>
      </x:c>
      <x:c r="O44" s="24" t="str"/>
    </x:row>
    <x:row r="45">
      <x:c r="A45" s="24" t="str">
        <x:v>TC-UX-INV-002</x:v>
      </x:c>
      <x:c r="B45" s="24" t="str">
        <x:v>UX-INV-002</x:v>
      </x:c>
      <x:c r="C45" s="24" t="str">
        <x:v>Inventario</x:v>
      </x:c>
      <x:c r="D45" s="24" t="str">
        <x:v>Transferir valida origen, destino y cantidad</x:v>
      </x:c>
      <x:c r="E45" s="24" t="str">
        <x:v>Baseline válida; estado inicial reproducible; datos de prueba preparados.</x:v>
      </x:c>
      <x:c r="F45" s="24" t="str">
        <x:v>1. Preparar el estado. 2. Ejecutar la acción o transición. 3. Observar estado, UI y logs. 4. Comparar precondición y postcondición.</x:v>
      </x:c>
      <x:c r="G45" s="24" t="str">
        <x:v>Transferir valida origen, destino y cantidad.</x:v>
      </x:c>
      <x:c r="H45" s="24" t="str">
        <x:v>P0</x:v>
      </x:c>
      <x:c r="I45" s="24" t="str">
        <x:v>S1</x:v>
      </x:c>
      <x:c r="J45" s="24" t="str">
        <x:v>EditMode + Integración</x:v>
      </x:c>
      <x:c r="K45" s="24" t="str">
        <x:v>Parcial/Alta</x:v>
      </x:c>
      <x:c r="L45" s="24" t="str">
        <x:v>Estándar</x:v>
      </x:c>
      <x:c r="M45" s="24" t="str"/>
      <x:c r="N45" s="24" t="str">
        <x:v>Not Run</x:v>
      </x:c>
      <x:c r="O45" s="24" t="str"/>
    </x:row>
    <x:row r="46">
      <x:c r="A46" s="24" t="str">
        <x:v>TC-UX-INV-003</x:v>
      </x:c>
      <x:c r="B46" s="24" t="str">
        <x:v>UX-INV-003</x:v>
      </x:c>
      <x:c r="C46" s="24" t="str">
        <x:v>Inventario</x:v>
      </x:c>
      <x:c r="D46" s="24" t="str">
        <x:v>Una transferencia falla sin estado parcial</x:v>
      </x:c>
      <x:c r="E46" s="24" t="str">
        <x:v>Baseline válida; estado inicial reproducible; datos de prueba preparados.</x:v>
      </x:c>
      <x:c r="F46" s="24" t="str">
        <x:v>1. Preparar el estado. 2. Ejecutar la acción o transición. 3. Observar estado, UI y logs. 4. Comparar precondición y postcondición.</x:v>
      </x:c>
      <x:c r="G46" s="24" t="str">
        <x:v>Una transferencia falla sin estado parcial.</x:v>
      </x:c>
      <x:c r="H46" s="24" t="str">
        <x:v>P0</x:v>
      </x:c>
      <x:c r="I46" s="24" t="str">
        <x:v>S1</x:v>
      </x:c>
      <x:c r="J46" s="24" t="str">
        <x:v>EditMode + Integración</x:v>
      </x:c>
      <x:c r="K46" s="24" t="str">
        <x:v>Parcial/Alta</x:v>
      </x:c>
      <x:c r="L46" s="24" t="str">
        <x:v>Estándar</x:v>
      </x:c>
      <x:c r="M46" s="24" t="str"/>
      <x:c r="N46" s="24" t="str">
        <x:v>Not Run</x:v>
      </x:c>
      <x:c r="O46" s="24" t="str"/>
    </x:row>
    <x:row r="47">
      <x:c r="A47" s="24" t="str">
        <x:v>TC-UX-INV-004</x:v>
      </x:c>
      <x:c r="B47" s="24" t="str">
        <x:v>UX-INV-004</x:v>
      </x:c>
      <x:c r="C47" s="24" t="str">
        <x:v>Inventario</x:v>
      </x:c>
      <x:c r="D47" s="24" t="str">
        <x:v>Los estados vacíos sugieren siguiente acción</x:v>
      </x:c>
      <x:c r="E47" s="24" t="str">
        <x:v>Baseline válida; estado inicial reproducible; datos de prueba preparados.</x:v>
      </x:c>
      <x:c r="F47" s="24" t="str">
        <x:v>1. Preparar el estado. 2. Ejecutar la acción o transición. 3. Observar estado, UI y logs. 4. Comparar precondición y postcondición.</x:v>
      </x:c>
      <x:c r="G47" s="24" t="str">
        <x:v>Los estados vacíos sugieren siguiente acción.</x:v>
      </x:c>
      <x:c r="H47" s="24" t="str">
        <x:v>P0</x:v>
      </x:c>
      <x:c r="I47" s="24" t="str">
        <x:v>S1</x:v>
      </x:c>
      <x:c r="J47" s="24" t="str">
        <x:v>EditMode + Integración</x:v>
      </x:c>
      <x:c r="K47" s="24" t="str">
        <x:v>Parcial/Alta</x:v>
      </x:c>
      <x:c r="L47" s="24" t="str">
        <x:v>Estándar</x:v>
      </x:c>
      <x:c r="M47" s="24" t="str"/>
      <x:c r="N47" s="24" t="str">
        <x:v>Not Run</x:v>
      </x:c>
      <x:c r="O47" s="24" t="str"/>
    </x:row>
    <x:row r="48">
      <x:c r="A48" s="24" t="str">
        <x:v>TC-UX-DSP-001</x:v>
      </x:c>
      <x:c r="B48" s="24" t="str">
        <x:v>UX-DSP-001</x:v>
      </x:c>
      <x:c r="C48" s="24" t="str">
        <x:v>Displays y reposición</x:v>
      </x:c>
      <x:c r="D48" s="24" t="str">
        <x:v>Asignar producto no crea stock</x:v>
      </x:c>
      <x:c r="E48" s="24" t="str">
        <x:v>Baseline válida; estado inicial reproducible; datos de prueba preparados.</x:v>
      </x:c>
      <x:c r="F48" s="24" t="str">
        <x:v>1. Preparar el estado. 2. Ejecutar la acción o transición. 3. Observar estado, UI y logs. 4. Comparar precondición y postcondición.</x:v>
      </x:c>
      <x:c r="G48" s="24" t="str">
        <x:v>Asignar producto no crea stock.</x:v>
      </x:c>
      <x:c r="H48" s="24" t="str">
        <x:v>P2</x:v>
      </x:c>
      <x:c r="I48" s="24" t="str">
        <x:v>S3</x:v>
      </x:c>
      <x:c r="J48" s="24" t="str">
        <x:v>Revisión</x:v>
      </x:c>
      <x:c r="K48" s="24" t="str">
        <x:v>Parcial</x:v>
      </x:c>
      <x:c r="L48" s="24" t="str">
        <x:v>Estándar</x:v>
      </x:c>
      <x:c r="M48" s="24" t="str"/>
      <x:c r="N48" s="24" t="str">
        <x:v>Not Run</x:v>
      </x:c>
      <x:c r="O48" s="24" t="str"/>
    </x:row>
    <x:row r="49">
      <x:c r="A49" s="24" t="str">
        <x:v>TC-UX-DSP-002</x:v>
      </x:c>
      <x:c r="B49" s="24" t="str">
        <x:v>UX-DSP-002</x:v>
      </x:c>
      <x:c r="C49" s="24" t="str">
        <x:v>Displays y reposición</x:v>
      </x:c>
      <x:c r="D49" s="24" t="str">
        <x:v>Reasignar preserva unidades</x:v>
      </x:c>
      <x:c r="E49" s="24" t="str">
        <x:v>Baseline válida; estado inicial reproducible; datos de prueba preparados.</x:v>
      </x:c>
      <x:c r="F49" s="24" t="str">
        <x:v>1. Preparar el estado. 2. Ejecutar la acción o transición. 3. Observar estado, UI y logs. 4. Comparar precondición y postcondición.</x:v>
      </x:c>
      <x:c r="G49" s="24" t="str">
        <x:v>Reasignar preserva unidades.</x:v>
      </x:c>
      <x:c r="H49" s="24" t="str">
        <x:v>P2</x:v>
      </x:c>
      <x:c r="I49" s="24" t="str">
        <x:v>S3</x:v>
      </x:c>
      <x:c r="J49" s="24" t="str">
        <x:v>Revisión</x:v>
      </x:c>
      <x:c r="K49" s="24" t="str">
        <x:v>Parcial</x:v>
      </x:c>
      <x:c r="L49" s="24" t="str">
        <x:v>Estándar</x:v>
      </x:c>
      <x:c r="M49" s="24" t="str"/>
      <x:c r="N49" s="24" t="str">
        <x:v>Not Run</x:v>
      </x:c>
      <x:c r="O49" s="24" t="str"/>
    </x:row>
    <x:row r="50">
      <x:c r="A50" s="24" t="str">
        <x:v>TC-UX-DSP-003</x:v>
      </x:c>
      <x:c r="B50" s="24" t="str">
        <x:v>UX-DSP-003</x:v>
      </x:c>
      <x:c r="C50" s="24" t="str">
        <x:v>Displays y reposición</x:v>
      </x:c>
      <x:c r="D50" s="24" t="str">
        <x:v>Reponer actualiza lógica y visual</x:v>
      </x:c>
      <x:c r="E50" s="24" t="str">
        <x:v>Baseline válida; estado inicial reproducible; datos de prueba preparados.</x:v>
      </x:c>
      <x:c r="F50" s="24" t="str">
        <x:v>1. Preparar el estado. 2. Ejecutar la acción o transición. 3. Observar estado, UI y logs. 4. Comparar precondición y postcondición.</x:v>
      </x:c>
      <x:c r="G50" s="24" t="str">
        <x:v>Reponer actualiza lógica y visual.</x:v>
      </x:c>
      <x:c r="H50" s="24" t="str">
        <x:v>P2</x:v>
      </x:c>
      <x:c r="I50" s="24" t="str">
        <x:v>S3</x:v>
      </x:c>
      <x:c r="J50" s="24" t="str">
        <x:v>Revisión</x:v>
      </x:c>
      <x:c r="K50" s="24" t="str">
        <x:v>Parcial</x:v>
      </x:c>
      <x:c r="L50" s="24" t="str">
        <x:v>Estándar</x:v>
      </x:c>
      <x:c r="M50" s="24" t="str"/>
      <x:c r="N50" s="24" t="str">
        <x:v>Not Run</x:v>
      </x:c>
      <x:c r="O50" s="24" t="str"/>
    </x:row>
    <x:row r="51">
      <x:c r="A51" s="24" t="str">
        <x:v>TC-UX-DAY-001</x:v>
      </x:c>
      <x:c r="B51" s="24" t="str">
        <x:v>UX-DAY-001</x:v>
      </x:c>
      <x:c r="C51" s="24" t="str">
        <x:v>Ciclo diario</x:v>
      </x:c>
      <x:c r="D51" s="24" t="str">
        <x:v>El estado de jornada siempre es visible</x:v>
      </x:c>
      <x:c r="E51" s="24" t="str">
        <x:v>Baseline válida; estado inicial reproducible; datos de prueba preparados.</x:v>
      </x:c>
      <x:c r="F51" s="24" t="str">
        <x:v>1. Preparar el estado. 2. Ejecutar la acción o transición. 3. Observar estado, UI y logs. 4. Comparar precondición y postcondición.</x:v>
      </x:c>
      <x:c r="G51" s="24" t="str">
        <x:v>El estado de jornada siempre es visible.</x:v>
      </x:c>
      <x:c r="H51" s="24" t="str">
        <x:v>P1</x:v>
      </x:c>
      <x:c r="I51" s="24" t="str">
        <x:v>S2</x:v>
      </x:c>
      <x:c r="J51" s="24" t="str">
        <x:v>EditMode + Integración</x:v>
      </x:c>
      <x:c r="K51" s="24" t="str">
        <x:v>Parcial/Alta</x:v>
      </x:c>
      <x:c r="L51" s="24" t="str">
        <x:v>Estándar</x:v>
      </x:c>
      <x:c r="M51" s="24" t="str"/>
      <x:c r="N51" s="24" t="str">
        <x:v>Not Run</x:v>
      </x:c>
      <x:c r="O51" s="24" t="str"/>
    </x:row>
    <x:row r="52">
      <x:c r="A52" s="24" t="str">
        <x:v>TC-UX-DAY-002</x:v>
      </x:c>
      <x:c r="B52" s="24" t="str">
        <x:v>UX-DAY-002</x:v>
      </x:c>
      <x:c r="C52" s="24" t="str">
        <x:v>Ciclo diario</x:v>
      </x:c>
      <x:c r="D52" s="24" t="str">
        <x:v>Abrir valida bloqueos críticos</x:v>
      </x:c>
      <x:c r="E52" s="24" t="str">
        <x:v>Baseline válida; estado inicial reproducible; datos de prueba preparados.</x:v>
      </x:c>
      <x:c r="F52" s="24" t="str">
        <x:v>1. Preparar el estado. 2. Ejecutar la acción o transición. 3. Observar estado, UI y logs. 4. Comparar precondición y postcondición.</x:v>
      </x:c>
      <x:c r="G52" s="24" t="str">
        <x:v>Abrir valida bloqueos críticos.</x:v>
      </x:c>
      <x:c r="H52" s="24" t="str">
        <x:v>P0</x:v>
      </x:c>
      <x:c r="I52" s="24" t="str">
        <x:v>S1</x:v>
      </x:c>
      <x:c r="J52" s="24" t="str">
        <x:v>EditMode + Integración</x:v>
      </x:c>
      <x:c r="K52" s="24" t="str">
        <x:v>Parcial/Alta</x:v>
      </x:c>
      <x:c r="L52" s="24" t="str">
        <x:v>Estándar</x:v>
      </x:c>
      <x:c r="M52" s="24" t="str"/>
      <x:c r="N52" s="24" t="str">
        <x:v>Not Run</x:v>
      </x:c>
      <x:c r="O52" s="24" t="str"/>
    </x:row>
    <x:row r="53">
      <x:c r="A53" s="24" t="str">
        <x:v>TC-UX-DAY-003</x:v>
      </x:c>
      <x:c r="B53" s="24" t="str">
        <x:v>UX-DAY-003</x:v>
      </x:c>
      <x:c r="C53" s="24" t="str">
        <x:v>Ciclo diario</x:v>
      </x:c>
      <x:c r="D53" s="24" t="str">
        <x:v>Closing bloquea nuevos clientes</x:v>
      </x:c>
      <x:c r="E53" s="24" t="str">
        <x:v>Baseline válida; estado inicial reproducible; datos de prueba preparados.</x:v>
      </x:c>
      <x:c r="F53" s="24" t="str">
        <x:v>1. Preparar el estado. 2. Ejecutar la acción o transición. 3. Observar estado, UI y logs. 4. Comparar precondición y postcondición.</x:v>
      </x:c>
      <x:c r="G53" s="24" t="str">
        <x:v>Closing bloquea nuevos clientes.</x:v>
      </x:c>
      <x:c r="H53" s="24" t="str">
        <x:v>P0</x:v>
      </x:c>
      <x:c r="I53" s="24" t="str">
        <x:v>S1</x:v>
      </x:c>
      <x:c r="J53" s="24" t="str">
        <x:v>EditMode + Integración</x:v>
      </x:c>
      <x:c r="K53" s="24" t="str">
        <x:v>Parcial/Alta</x:v>
      </x:c>
      <x:c r="L53" s="24" t="str">
        <x:v>Estándar</x:v>
      </x:c>
      <x:c r="M53" s="24" t="str"/>
      <x:c r="N53" s="24" t="str">
        <x:v>Not Run</x:v>
      </x:c>
      <x:c r="O53" s="24" t="str"/>
    </x:row>
    <x:row r="54">
      <x:c r="A54" s="24" t="str">
        <x:v>TC-UX-DAY-004</x:v>
      </x:c>
      <x:c r="B54" s="24" t="str">
        <x:v>UX-DAY-004</x:v>
      </x:c>
      <x:c r="C54" s="24" t="str">
        <x:v>Ciclo diario</x:v>
      </x:c>
      <x:c r="D54" s="24" t="str">
        <x:v>Results espera resolución segura</x:v>
      </x:c>
      <x:c r="E54" s="24" t="str">
        <x:v>Baseline válida; estado inicial reproducible; datos de prueba preparados.</x:v>
      </x:c>
      <x:c r="F54" s="24" t="str">
        <x:v>1. Preparar el estado. 2. Ejecutar la acción o transición. 3. Observar estado, UI y logs. 4. Comparar precondición y postcondición.</x:v>
      </x:c>
      <x:c r="G54" s="24" t="str">
        <x:v>Results espera resolución segura.</x:v>
      </x:c>
      <x:c r="H54" s="24" t="str">
        <x:v>P1</x:v>
      </x:c>
      <x:c r="I54" s="24" t="str">
        <x:v>S2</x:v>
      </x:c>
      <x:c r="J54" s="24" t="str">
        <x:v>EditMode + Integración</x:v>
      </x:c>
      <x:c r="K54" s="24" t="str">
        <x:v>Parcial/Alta</x:v>
      </x:c>
      <x:c r="L54" s="24" t="str">
        <x:v>Estándar</x:v>
      </x:c>
      <x:c r="M54" s="24" t="str"/>
      <x:c r="N54" s="24" t="str">
        <x:v>Not Run</x:v>
      </x:c>
      <x:c r="O54" s="24" t="str"/>
    </x:row>
    <x:row r="55">
      <x:c r="A55" s="24" t="str">
        <x:v>TC-UX-CUS-001</x:v>
      </x:c>
      <x:c r="B55" s="24" t="str">
        <x:v>UX-CUS-001</x:v>
      </x:c>
      <x:c r="C55" s="24" t="str">
        <x:v>Clientes</x:v>
      </x:c>
      <x:c r="D55" s="24" t="str">
        <x:v>El cliente comunica intención o problema</x:v>
      </x:c>
      <x:c r="E55" s="24" t="str">
        <x:v>Baseline válida; estado inicial reproducible; datos de prueba preparados.</x:v>
      </x:c>
      <x:c r="F55" s="24" t="str">
        <x:v>1. Preparar el estado. 2. Ejecutar la acción o transición. 3. Observar estado, UI y logs. 4. Comparar precondición y postcondición.</x:v>
      </x:c>
      <x:c r="G55" s="24" t="str">
        <x:v>El cliente comunica intención o problema.</x:v>
      </x:c>
      <x:c r="H55" s="24" t="str">
        <x:v>P1</x:v>
      </x:c>
      <x:c r="I55" s="24" t="str">
        <x:v>S2</x:v>
      </x:c>
      <x:c r="J55" s="24" t="str">
        <x:v>PlayMode + Manual</x:v>
      </x:c>
      <x:c r="K55" s="24" t="str">
        <x:v>Parcial</x:v>
      </x:c>
      <x:c r="L55" s="24" t="str">
        <x:v>Estándar</x:v>
      </x:c>
      <x:c r="M55" s="24" t="str"/>
      <x:c r="N55" s="24" t="str">
        <x:v>Not Run</x:v>
      </x:c>
      <x:c r="O55" s="24" t="str"/>
    </x:row>
    <x:row r="56">
      <x:c r="A56" s="24" t="str">
        <x:v>TC-UX-CUS-002</x:v>
      </x:c>
      <x:c r="B56" s="24" t="str">
        <x:v>UX-CUS-002</x:v>
      </x:c>
      <x:c r="C56" s="24" t="str">
        <x:v>Clientes</x:v>
      </x:c>
      <x:c r="D56" s="24" t="str">
        <x:v>La paciencia se anticipa cuando es accionable</x:v>
      </x:c>
      <x:c r="E56" s="24" t="str">
        <x:v>Baseline válida; estado inicial reproducible; datos de prueba preparados.</x:v>
      </x:c>
      <x:c r="F56" s="24" t="str">
        <x:v>1. Preparar el estado. 2. Ejecutar la acción o transición. 3. Observar estado, UI y logs. 4. Comparar precondición y postcondición.</x:v>
      </x:c>
      <x:c r="G56" s="24" t="str">
        <x:v>La paciencia se anticipa cuando es accionable.</x:v>
      </x:c>
      <x:c r="H56" s="24" t="str">
        <x:v>P1</x:v>
      </x:c>
      <x:c r="I56" s="24" t="str">
        <x:v>S2</x:v>
      </x:c>
      <x:c r="J56" s="24" t="str">
        <x:v>PlayMode + Manual</x:v>
      </x:c>
      <x:c r="K56" s="24" t="str">
        <x:v>Parcial</x:v>
      </x:c>
      <x:c r="L56" s="24" t="str">
        <x:v>Estándar</x:v>
      </x:c>
      <x:c r="M56" s="24" t="str"/>
      <x:c r="N56" s="24" t="str">
        <x:v>Not Run</x:v>
      </x:c>
      <x:c r="O56" s="24" t="str"/>
    </x:row>
    <x:row r="57">
      <x:c r="A57" s="24" t="str">
        <x:v>TC-UX-CUS-003</x:v>
      </x:c>
      <x:c r="B57" s="24" t="str">
        <x:v>UX-CUS-003</x:v>
      </x:c>
      <x:c r="C57" s="24" t="str">
        <x:v>Clientes</x:v>
      </x:c>
      <x:c r="D57" s="24" t="str">
        <x:v>Abandono registra causa</x:v>
      </x:c>
      <x:c r="E57" s="24" t="str">
        <x:v>Baseline válida; estado inicial reproducible; datos de prueba preparados.</x:v>
      </x:c>
      <x:c r="F57" s="24" t="str">
        <x:v>1. Preparar el estado. 2. Ejecutar la acción o transición. 3. Observar estado, UI y logs. 4. Comparar precondición y postcondición.</x:v>
      </x:c>
      <x:c r="G57" s="24" t="str">
        <x:v>Abandono registra causa.</x:v>
      </x:c>
      <x:c r="H57" s="24" t="str">
        <x:v>P1</x:v>
      </x:c>
      <x:c r="I57" s="24" t="str">
        <x:v>S2</x:v>
      </x:c>
      <x:c r="J57" s="24" t="str">
        <x:v>PlayMode + Manual</x:v>
      </x:c>
      <x:c r="K57" s="24" t="str">
        <x:v>Parcial</x:v>
      </x:c>
      <x:c r="L57" s="24" t="str">
        <x:v>Estándar</x:v>
      </x:c>
      <x:c r="M57" s="24" t="str"/>
      <x:c r="N57" s="24" t="str">
        <x:v>Not Run</x:v>
      </x:c>
      <x:c r="O57" s="24" t="str"/>
    </x:row>
    <x:row r="58">
      <x:c r="A58" s="24" t="str">
        <x:v>TC-UX-CUS-004</x:v>
      </x:c>
      <x:c r="B58" s="24" t="str">
        <x:v>UX-CUS-004</x:v>
      </x:c>
      <x:c r="C58" s="24" t="str">
        <x:v>Clientes</x:v>
      </x:c>
      <x:c r="D58" s="24" t="str">
        <x:v>Cierre libera reservas</x:v>
      </x:c>
      <x:c r="E58" s="24" t="str">
        <x:v>Baseline válida; estado inicial reproducible; datos de prueba preparados.</x:v>
      </x:c>
      <x:c r="F58" s="24" t="str">
        <x:v>1. Preparar el estado. 2. Ejecutar la acción o transición. 3. Observar estado, UI y logs. 4. Comparar precondición y postcondición.</x:v>
      </x:c>
      <x:c r="G58" s="24" t="str">
        <x:v>Cierre libera reservas.</x:v>
      </x:c>
      <x:c r="H58" s="24" t="str">
        <x:v>P1</x:v>
      </x:c>
      <x:c r="I58" s="24" t="str">
        <x:v>S2</x:v>
      </x:c>
      <x:c r="J58" s="24" t="str">
        <x:v>PlayMode + Manual</x:v>
      </x:c>
      <x:c r="K58" s="24" t="str">
        <x:v>Parcial</x:v>
      </x:c>
      <x:c r="L58" s="24" t="str">
        <x:v>Estándar</x:v>
      </x:c>
      <x:c r="M58" s="24" t="str"/>
      <x:c r="N58" s="24" t="str">
        <x:v>Not Run</x:v>
      </x:c>
      <x:c r="O58" s="24" t="str"/>
    </x:row>
    <x:row r="59">
      <x:c r="A59" s="24" t="str">
        <x:v>TC-UX-CUS-005</x:v>
      </x:c>
      <x:c r="B59" s="24" t="str">
        <x:v>UX-CUS-005</x:v>
      </x:c>
      <x:c r="C59" s="24" t="str">
        <x:v>Clientes</x:v>
      </x:c>
      <x:c r="D59" s="24" t="str">
        <x:v>Un cliente bloqueado no impide terminar jornada</x:v>
      </x:c>
      <x:c r="E59" s="24" t="str">
        <x:v>Baseline válida; estado inicial reproducible; datos de prueba preparados.</x:v>
      </x:c>
      <x:c r="F59" s="24" t="str">
        <x:v>1. Preparar el estado. 2. Ejecutar la acción o transición. 3. Observar estado, UI y logs. 4. Comparar precondición y postcondición.</x:v>
      </x:c>
      <x:c r="G59" s="24" t="str">
        <x:v>Un cliente bloqueado no impide terminar jornada.</x:v>
      </x:c>
      <x:c r="H59" s="24" t="str">
        <x:v>P0</x:v>
      </x:c>
      <x:c r="I59" s="24" t="str">
        <x:v>S1</x:v>
      </x:c>
      <x:c r="J59" s="24" t="str">
        <x:v>PlayMode + Manual</x:v>
      </x:c>
      <x:c r="K59" s="24" t="str">
        <x:v>Parcial</x:v>
      </x:c>
      <x:c r="L59" s="24" t="str">
        <x:v>Estándar</x:v>
      </x:c>
      <x:c r="M59" s="24" t="str"/>
      <x:c r="N59" s="24" t="str">
        <x:v>Not Run</x:v>
      </x:c>
      <x:c r="O59" s="24" t="str"/>
    </x:row>
    <x:row r="60">
      <x:c r="A60" s="24" t="str">
        <x:v>TC-UX-CHK-001</x:v>
      </x:c>
      <x:c r="B60" s="24" t="str">
        <x:v>UX-CHK-001</x:v>
      </x:c>
      <x:c r="C60" s="24" t="str">
        <x:v>Checkout</x:v>
      </x:c>
      <x:c r="D60" s="24" t="str">
        <x:v>Checkout muestra carrito y total</x:v>
      </x:c>
      <x:c r="E60" s="24" t="str">
        <x:v>Baseline válida; estado inicial reproducible; datos de prueba preparados.</x:v>
      </x:c>
      <x:c r="F60" s="24" t="str">
        <x:v>1. Preparar el estado. 2. Ejecutar la acción o transición. 3. Observar estado, UI y logs. 4. Comparar precondición y postcondición.</x:v>
      </x:c>
      <x:c r="G60" s="24" t="str">
        <x:v>Checkout muestra carrito y total.</x:v>
      </x:c>
      <x:c r="H60" s="24" t="str">
        <x:v>P0</x:v>
      </x:c>
      <x:c r="I60" s="24" t="str">
        <x:v>S1</x:v>
      </x:c>
      <x:c r="J60" s="24" t="str">
        <x:v>EditMode + Integración</x:v>
      </x:c>
      <x:c r="K60" s="24" t="str">
        <x:v>Parcial/Alta</x:v>
      </x:c>
      <x:c r="L60" s="24" t="str">
        <x:v>Estándar</x:v>
      </x:c>
      <x:c r="M60" s="24" t="str"/>
      <x:c r="N60" s="24" t="str">
        <x:v>Not Run</x:v>
      </x:c>
      <x:c r="O60" s="24" t="str"/>
    </x:row>
    <x:row r="61">
      <x:c r="A61" s="24" t="str">
        <x:v>TC-UX-CHK-002</x:v>
      </x:c>
      <x:c r="B61" s="24" t="str">
        <x:v>UX-CHK-002</x:v>
      </x:c>
      <x:c r="C61" s="24" t="str">
        <x:v>Checkout</x:v>
      </x:c>
      <x:c r="D61" s="24" t="str">
        <x:v>Preflight ocurre antes de mutar</x:v>
      </x:c>
      <x:c r="E61" s="24" t="str">
        <x:v>Baseline válida; estado inicial reproducible; datos de prueba preparados.</x:v>
      </x:c>
      <x:c r="F61" s="24" t="str">
        <x:v>1. Preparar el estado. 2. Ejecutar la acción o transición. 3. Observar estado, UI y logs. 4. Comparar precondición y postcondición.</x:v>
      </x:c>
      <x:c r="G61" s="24" t="str">
        <x:v>Preflight ocurre antes de mutar.</x:v>
      </x:c>
      <x:c r="H61" s="24" t="str">
        <x:v>P0</x:v>
      </x:c>
      <x:c r="I61" s="24" t="str">
        <x:v>S1</x:v>
      </x:c>
      <x:c r="J61" s="24" t="str">
        <x:v>EditMode + Integración</x:v>
      </x:c>
      <x:c r="K61" s="24" t="str">
        <x:v>Parcial/Alta</x:v>
      </x:c>
      <x:c r="L61" s="24" t="str">
        <x:v>Estándar</x:v>
      </x:c>
      <x:c r="M61" s="24" t="str"/>
      <x:c r="N61" s="24" t="str">
        <x:v>Not Run</x:v>
      </x:c>
      <x:c r="O61" s="24" t="str"/>
    </x:row>
    <x:row r="62">
      <x:c r="A62" s="24" t="str">
        <x:v>TC-UX-CHK-003</x:v>
      </x:c>
      <x:c r="B62" s="24" t="str">
        <x:v>UX-CHK-003</x:v>
      </x:c>
      <x:c r="C62" s="24" t="str">
        <x:v>Checkout</x:v>
      </x:c>
      <x:c r="D62" s="24" t="str">
        <x:v>Una venta se confirma una sola vez</x:v>
      </x:c>
      <x:c r="E62" s="24" t="str">
        <x:v>Baseline válida; estado inicial reproducible; datos de prueba preparados.</x:v>
      </x:c>
      <x:c r="F62" s="24" t="str">
        <x:v>1. Preparar el estado. 2. Ejecutar la acción o transición. 3. Observar estado, UI y logs. 4. Comparar precondición y postcondición.</x:v>
      </x:c>
      <x:c r="G62" s="24" t="str">
        <x:v>Una venta se confirma una sola vez.</x:v>
      </x:c>
      <x:c r="H62" s="24" t="str">
        <x:v>P0</x:v>
      </x:c>
      <x:c r="I62" s="24" t="str">
        <x:v>S1</x:v>
      </x:c>
      <x:c r="J62" s="24" t="str">
        <x:v>EditMode + Integración</x:v>
      </x:c>
      <x:c r="K62" s="24" t="str">
        <x:v>Parcial/Alta</x:v>
      </x:c>
      <x:c r="L62" s="24" t="str">
        <x:v>Estándar</x:v>
      </x:c>
      <x:c r="M62" s="24" t="str"/>
      <x:c r="N62" s="24" t="str">
        <x:v>Not Run</x:v>
      </x:c>
      <x:c r="O62" s="24" t="str"/>
    </x:row>
    <x:row r="63">
      <x:c r="A63" s="24" t="str">
        <x:v>TC-UX-CHK-004</x:v>
      </x:c>
      <x:c r="B63" s="24" t="str">
        <x:v>UX-CHK-004</x:v>
      </x:c>
      <x:c r="C63" s="24" t="str">
        <x:v>Checkout</x:v>
      </x:c>
      <x:c r="D63" s="24" t="str">
        <x:v>Un fallo no mueve dinero ni stock</x:v>
      </x:c>
      <x:c r="E63" s="24" t="str">
        <x:v>Baseline válida; estado inicial reproducible; datos de prueba preparados.</x:v>
      </x:c>
      <x:c r="F63" s="24" t="str">
        <x:v>1. Preparar el estado. 2. Ejecutar la acción o transición. 3. Observar estado, UI y logs. 4. Comparar precondición y postcondición.</x:v>
      </x:c>
      <x:c r="G63" s="24" t="str">
        <x:v>Un fallo no mueve dinero ni stock.</x:v>
      </x:c>
      <x:c r="H63" s="24" t="str">
        <x:v>P0</x:v>
      </x:c>
      <x:c r="I63" s="24" t="str">
        <x:v>S1</x:v>
      </x:c>
      <x:c r="J63" s="24" t="str">
        <x:v>EditMode + Integración</x:v>
      </x:c>
      <x:c r="K63" s="24" t="str">
        <x:v>Parcial/Alta</x:v>
      </x:c>
      <x:c r="L63" s="24" t="str">
        <x:v>Estándar</x:v>
      </x:c>
      <x:c r="M63" s="24" t="str"/>
      <x:c r="N63" s="24" t="str">
        <x:v>Not Run</x:v>
      </x:c>
      <x:c r="O63" s="24" t="str"/>
    </x:row>
    <x:row r="64">
      <x:c r="A64" s="24" t="str">
        <x:v>TC-UX-CHK-005</x:v>
      </x:c>
      <x:c r="B64" s="24" t="str">
        <x:v>UX-CHK-005</x:v>
      </x:c>
      <x:c r="C64" s="24" t="str">
        <x:v>Checkout</x:v>
      </x:c>
      <x:c r="D64" s="24" t="str">
        <x:v>La cola avanza después de la venta</x:v>
      </x:c>
      <x:c r="E64" s="24" t="str">
        <x:v>Baseline válida; estado inicial reproducible; datos de prueba preparados.</x:v>
      </x:c>
      <x:c r="F64" s="24" t="str">
        <x:v>1. Preparar el estado. 2. Ejecutar la acción o transición. 3. Observar estado, UI y logs. 4. Comparar precondición y postcondición.</x:v>
      </x:c>
      <x:c r="G64" s="24" t="str">
        <x:v>La cola avanza después de la venta.</x:v>
      </x:c>
      <x:c r="H64" s="24" t="str">
        <x:v>P0</x:v>
      </x:c>
      <x:c r="I64" s="24" t="str">
        <x:v>S1</x:v>
      </x:c>
      <x:c r="J64" s="24" t="str">
        <x:v>EditMode + Integración</x:v>
      </x:c>
      <x:c r="K64" s="24" t="str">
        <x:v>Parcial/Alta</x:v>
      </x:c>
      <x:c r="L64" s="24" t="str">
        <x:v>Estándar</x:v>
      </x:c>
      <x:c r="M64" s="24" t="str"/>
      <x:c r="N64" s="24" t="str">
        <x:v>Not Run</x:v>
      </x:c>
      <x:c r="O64" s="24" t="str"/>
    </x:row>
    <x:row r="65">
      <x:c r="A65" s="24" t="str">
        <x:v>TC-UX-ECO-001</x:v>
      </x:c>
      <x:c r="B65" s="24" t="str">
        <x:v>UX-ECO-001</x:v>
      </x:c>
      <x:c r="C65" s="24" t="str">
        <x:v>Economía</x:v>
      </x:c>
      <x:c r="D65" s="24" t="str">
        <x:v>El saldo se actualiza de forma comprensible</x:v>
      </x:c>
      <x:c r="E65" s="24" t="str">
        <x:v>Baseline válida; estado inicial reproducible; datos de prueba preparados.</x:v>
      </x:c>
      <x:c r="F65" s="24" t="str">
        <x:v>1. Preparar el estado. 2. Ejecutar la acción o transición. 3. Observar estado, UI y logs. 4. Comparar precondición y postcondición.</x:v>
      </x:c>
      <x:c r="G65" s="24" t="str">
        <x:v>El saldo se actualiza de forma comprensible.</x:v>
      </x:c>
      <x:c r="H65" s="24" t="str">
        <x:v>P1</x:v>
      </x:c>
      <x:c r="I65" s="24" t="str">
        <x:v>S2</x:v>
      </x:c>
      <x:c r="J65" s="24" t="str">
        <x:v>EditMode + Integración</x:v>
      </x:c>
      <x:c r="K65" s="24" t="str">
        <x:v>Parcial/Alta</x:v>
      </x:c>
      <x:c r="L65" s="24" t="str">
        <x:v>Estándar</x:v>
      </x:c>
      <x:c r="M65" s="24" t="str"/>
      <x:c r="N65" s="24" t="str">
        <x:v>Not Run</x:v>
      </x:c>
      <x:c r="O65" s="24" t="str"/>
    </x:row>
    <x:row r="66">
      <x:c r="A66" s="24" t="str">
        <x:v>TC-UX-ECO-002</x:v>
      </x:c>
      <x:c r="B66" s="24" t="str">
        <x:v>UX-ECO-002</x:v>
      </x:c>
      <x:c r="C66" s="24" t="str">
        <x:v>Economía</x:v>
      </x:c>
      <x:c r="D66" s="24" t="str">
        <x:v>Cada movimiento tiene causa consultable</x:v>
      </x:c>
      <x:c r="E66" s="24" t="str">
        <x:v>Baseline válida; estado inicial reproducible; datos de prueba preparados.</x:v>
      </x:c>
      <x:c r="F66" s="24" t="str">
        <x:v>1. Preparar el estado. 2. Ejecutar la acción o transición. 3. Observar estado, UI y logs. 4. Comparar precondición y postcondición.</x:v>
      </x:c>
      <x:c r="G66" s="24" t="str">
        <x:v>Cada movimiento tiene causa consultable.</x:v>
      </x:c>
      <x:c r="H66" s="24" t="str">
        <x:v>P1</x:v>
      </x:c>
      <x:c r="I66" s="24" t="str">
        <x:v>S2</x:v>
      </x:c>
      <x:c r="J66" s="24" t="str">
        <x:v>EditMode + Integración</x:v>
      </x:c>
      <x:c r="K66" s="24" t="str">
        <x:v>Parcial/Alta</x:v>
      </x:c>
      <x:c r="L66" s="24" t="str">
        <x:v>Estándar</x:v>
      </x:c>
      <x:c r="M66" s="24" t="str"/>
      <x:c r="N66" s="24" t="str">
        <x:v>Not Run</x:v>
      </x:c>
      <x:c r="O66" s="24" t="str"/>
    </x:row>
    <x:row r="67">
      <x:c r="A67" s="24" t="str">
        <x:v>TC-UX-ECO-003</x:v>
      </x:c>
      <x:c r="B67" s="24" t="str">
        <x:v>UX-ECO-003</x:v>
      </x:c>
      <x:c r="C67" s="24" t="str">
        <x:v>Economía</x:v>
      </x:c>
      <x:c r="D67" s="24" t="str">
        <x:v>Results separa ingresos, costes y beneficio</x:v>
      </x:c>
      <x:c r="E67" s="24" t="str">
        <x:v>Baseline válida; estado inicial reproducible; datos de prueba preparados.</x:v>
      </x:c>
      <x:c r="F67" s="24" t="str">
        <x:v>1. Preparar el estado. 2. Ejecutar la acción o transición. 3. Observar estado, UI y logs. 4. Comparar precondición y postcondición.</x:v>
      </x:c>
      <x:c r="G67" s="24" t="str">
        <x:v>Results separa ingresos, costes y beneficio.</x:v>
      </x:c>
      <x:c r="H67" s="24" t="str">
        <x:v>P1</x:v>
      </x:c>
      <x:c r="I67" s="24" t="str">
        <x:v>S2</x:v>
      </x:c>
      <x:c r="J67" s="24" t="str">
        <x:v>EditMode + Integración</x:v>
      </x:c>
      <x:c r="K67" s="24" t="str">
        <x:v>Parcial/Alta</x:v>
      </x:c>
      <x:c r="L67" s="24" t="str">
        <x:v>Estándar</x:v>
      </x:c>
      <x:c r="M67" s="24" t="str"/>
      <x:c r="N67" s="24" t="str">
        <x:v>Not Run</x:v>
      </x:c>
      <x:c r="O67" s="24" t="str"/>
    </x:row>
    <x:row r="68">
      <x:c r="A68" s="24" t="str">
        <x:v>TC-UX-SAV-001</x:v>
      </x:c>
      <x:c r="B68" s="24" t="str">
        <x:v>UX-SAV-001</x:v>
      </x:c>
      <x:c r="C68" s="24" t="str">
        <x:v>Persistencia</x:v>
      </x:c>
      <x:c r="D68" s="24" t="str">
        <x:v>Guardar muestra progreso y resultado real</x:v>
      </x:c>
      <x:c r="E68" s="24" t="str">
        <x:v>Baseline válida; estado inicial reproducible; datos de prueba preparados.</x:v>
      </x:c>
      <x:c r="F68" s="24" t="str">
        <x:v>1. Preparar el estado. 2. Ejecutar la acción o transición. 3. Observar estado, UI y logs. 4. Comparar precondición y postcondición.</x:v>
      </x:c>
      <x:c r="G68" s="24" t="str">
        <x:v>Guardar muestra progreso y resultado real.</x:v>
      </x:c>
      <x:c r="H68" s="24" t="str">
        <x:v>P0</x:v>
      </x:c>
      <x:c r="I68" s="24" t="str">
        <x:v>S1</x:v>
      </x:c>
      <x:c r="J68" s="24" t="str">
        <x:v>EditMode + Integración</x:v>
      </x:c>
      <x:c r="K68" s="24" t="str">
        <x:v>Parcial/Alta</x:v>
      </x:c>
      <x:c r="L68" s="24" t="str">
        <x:v>Estándar</x:v>
      </x:c>
      <x:c r="M68" s="24" t="str"/>
      <x:c r="N68" s="24" t="str">
        <x:v>Not Run</x:v>
      </x:c>
      <x:c r="O68" s="24" t="str"/>
    </x:row>
    <x:row r="69">
      <x:c r="A69" s="24" t="str">
        <x:v>TC-UX-SAV-002</x:v>
      </x:c>
      <x:c r="B69" s="24" t="str">
        <x:v>UX-SAV-002</x:v>
      </x:c>
      <x:c r="C69" s="24" t="str">
        <x:v>Persistencia</x:v>
      </x:c>
      <x:c r="D69" s="24" t="str">
        <x:v>Un error de guardado permanece visible</x:v>
      </x:c>
      <x:c r="E69" s="24" t="str">
        <x:v>Baseline válida; estado inicial reproducible; datos de prueba preparados.</x:v>
      </x:c>
      <x:c r="F69" s="24" t="str">
        <x:v>1. Preparar el estado. 2. Ejecutar la acción o transición. 3. Observar estado, UI y logs. 4. Comparar precondición y postcondición.</x:v>
      </x:c>
      <x:c r="G69" s="24" t="str">
        <x:v>Un error de guardado permanece visible.</x:v>
      </x:c>
      <x:c r="H69" s="24" t="str">
        <x:v>P0</x:v>
      </x:c>
      <x:c r="I69" s="24" t="str">
        <x:v>S1</x:v>
      </x:c>
      <x:c r="J69" s="24" t="str">
        <x:v>EditMode + Integración</x:v>
      </x:c>
      <x:c r="K69" s="24" t="str">
        <x:v>Parcial/Alta</x:v>
      </x:c>
      <x:c r="L69" s="24" t="str">
        <x:v>Estándar</x:v>
      </x:c>
      <x:c r="M69" s="24" t="str"/>
      <x:c r="N69" s="24" t="str">
        <x:v>Not Run</x:v>
      </x:c>
      <x:c r="O69" s="24" t="str"/>
    </x:row>
    <x:row r="70">
      <x:c r="A70" s="24" t="str">
        <x:v>TC-UX-SAV-003</x:v>
      </x:c>
      <x:c r="B70" s="24" t="str">
        <x:v>UX-SAV-003</x:v>
      </x:c>
      <x:c r="C70" s="24" t="str">
        <x:v>Persistencia</x:v>
      </x:c>
      <x:c r="D70" s="24" t="str">
        <x:v>Cargar conserva estado relevante</x:v>
      </x:c>
      <x:c r="E70" s="24" t="str">
        <x:v>Baseline válida; estado inicial reproducible; datos de prueba preparados.</x:v>
      </x:c>
      <x:c r="F70" s="24" t="str">
        <x:v>1. Preparar el estado. 2. Ejecutar la acción o transición. 3. Observar estado, UI y logs. 4. Comparar precondición y postcondición.</x:v>
      </x:c>
      <x:c r="G70" s="24" t="str">
        <x:v>Cargar conserva estado relevante.</x:v>
      </x:c>
      <x:c r="H70" s="24" t="str">
        <x:v>P0</x:v>
      </x:c>
      <x:c r="I70" s="24" t="str">
        <x:v>S1</x:v>
      </x:c>
      <x:c r="J70" s="24" t="str">
        <x:v>EditMode + Integración</x:v>
      </x:c>
      <x:c r="K70" s="24" t="str">
        <x:v>Parcial/Alta</x:v>
      </x:c>
      <x:c r="L70" s="24" t="str">
        <x:v>Estándar</x:v>
      </x:c>
      <x:c r="M70" s="24" t="str"/>
      <x:c r="N70" s="24" t="str">
        <x:v>Not Run</x:v>
      </x:c>
      <x:c r="O70" s="24" t="str"/>
    </x:row>
    <x:row r="71">
      <x:c r="A71" s="24" t="str">
        <x:v>TC-UX-SAV-004</x:v>
      </x:c>
      <x:c r="B71" s="24" t="str">
        <x:v>UX-SAV-004</x:v>
      </x:c>
      <x:c r="C71" s="24" t="str">
        <x:v>Persistencia</x:v>
      </x:c>
      <x:c r="D71" s="24" t="str">
        <x:v>Salir con cambios ofrece opciones claras</x:v>
      </x:c>
      <x:c r="E71" s="24" t="str">
        <x:v>Baseline válida; estado inicial reproducible; datos de prueba preparados.</x:v>
      </x:c>
      <x:c r="F71" s="24" t="str">
        <x:v>1. Preparar el estado. 2. Ejecutar la acción o transición. 3. Observar estado, UI y logs. 4. Comparar precondición y postcondición.</x:v>
      </x:c>
      <x:c r="G71" s="24" t="str">
        <x:v>Salir con cambios ofrece opciones claras.</x:v>
      </x:c>
      <x:c r="H71" s="24" t="str">
        <x:v>P0</x:v>
      </x:c>
      <x:c r="I71" s="24" t="str">
        <x:v>S1</x:v>
      </x:c>
      <x:c r="J71" s="24" t="str">
        <x:v>EditMode + Integración</x:v>
      </x:c>
      <x:c r="K71" s="24" t="str">
        <x:v>Parcial/Alta</x:v>
      </x:c>
      <x:c r="L71" s="24" t="str">
        <x:v>Estándar</x:v>
      </x:c>
      <x:c r="M71" s="24" t="str"/>
      <x:c r="N71" s="24" t="str">
        <x:v>Not Run</x:v>
      </x:c>
      <x:c r="O71" s="24" t="str"/>
    </x:row>
    <x:row r="72">
      <x:c r="A72" s="24" t="str">
        <x:v>TC-UX-ACC-001</x:v>
      </x:c>
      <x:c r="B72" s="24" t="str">
        <x:v>UX-ACC-001</x:v>
      </x:c>
      <x:c r="C72" s="24" t="str">
        <x:v>Accesibilidad</x:v>
      </x:c>
      <x:c r="D72" s="24" t="str">
        <x:v>Los estados críticos no dependen solo del color</x:v>
      </x:c>
      <x:c r="E72" s="24" t="str">
        <x:v>Baseline válida; estado inicial reproducible; datos de prueba preparados.</x:v>
      </x:c>
      <x:c r="F72" s="24" t="str">
        <x:v>1. Preparar el estado. 2. Ejecutar la acción o transición. 3. Observar estado, UI y logs. 4. Comparar precondición y postcondición.</x:v>
      </x:c>
      <x:c r="G72" s="24" t="str">
        <x:v>Los estados críticos no dependen solo del color.</x:v>
      </x:c>
      <x:c r="H72" s="24" t="str">
        <x:v>P2</x:v>
      </x:c>
      <x:c r="I72" s="24" t="str">
        <x:v>S3</x:v>
      </x:c>
      <x:c r="J72" s="24" t="str">
        <x:v>PlayMode + Manual</x:v>
      </x:c>
      <x:c r="K72" s="24" t="str">
        <x:v>Manual/Parcial</x:v>
      </x:c>
      <x:c r="L72" s="24" t="str">
        <x:v>1280×720 / 1920×1080 / 2560×1440</x:v>
      </x:c>
      <x:c r="M72" s="24" t="str"/>
      <x:c r="N72" s="24" t="str">
        <x:v>Not Run</x:v>
      </x:c>
      <x:c r="O72" s="24" t="str"/>
    </x:row>
    <x:row r="73">
      <x:c r="A73" s="24" t="str">
        <x:v>TC-UX-ACC-002</x:v>
      </x:c>
      <x:c r="B73" s="24" t="str">
        <x:v>UX-ACC-002</x:v>
      </x:c>
      <x:c r="C73" s="24" t="str">
        <x:v>Accesibilidad</x:v>
      </x:c>
      <x:c r="D73" s="24" t="str">
        <x:v>La escala de UI es configurable</x:v>
      </x:c>
      <x:c r="E73" s="24" t="str">
        <x:v>Baseline válida; estado inicial reproducible; datos de prueba preparados.</x:v>
      </x:c>
      <x:c r="F73" s="24" t="str">
        <x:v>1. Preparar el estado. 2. Ejecutar la acción o transición. 3. Observar estado, UI y logs. 4. Comparar precondición y postcondición.</x:v>
      </x:c>
      <x:c r="G73" s="24" t="str">
        <x:v>La escala de UI es configurable.</x:v>
      </x:c>
      <x:c r="H73" s="24" t="str">
        <x:v>P2</x:v>
      </x:c>
      <x:c r="I73" s="24" t="str">
        <x:v>S3</x:v>
      </x:c>
      <x:c r="J73" s="24" t="str">
        <x:v>PlayMode + Manual</x:v>
      </x:c>
      <x:c r="K73" s="24" t="str">
        <x:v>Manual/Parcial</x:v>
      </x:c>
      <x:c r="L73" s="24" t="str">
        <x:v>1280×720 / 1920×1080 / 2560×1440</x:v>
      </x:c>
      <x:c r="M73" s="24" t="str"/>
      <x:c r="N73" s="24" t="str">
        <x:v>Not Run</x:v>
      </x:c>
      <x:c r="O73" s="24" t="str"/>
    </x:row>
    <x:row r="74">
      <x:c r="A74" s="24" t="str">
        <x:v>TC-UX-ACC-003</x:v>
      </x:c>
      <x:c r="B74" s="24" t="str">
        <x:v>UX-ACC-003</x:v>
      </x:c>
      <x:c r="C74" s="24" t="str">
        <x:v>Accesibilidad</x:v>
      </x:c>
      <x:c r="D74" s="24" t="str">
        <x:v>La velocidad de cámara es configurable</x:v>
      </x:c>
      <x:c r="E74" s="24" t="str">
        <x:v>Baseline válida; estado inicial reproducible; datos de prueba preparados.</x:v>
      </x:c>
      <x:c r="F74" s="24" t="str">
        <x:v>1. Preparar el estado. 2. Ejecutar la acción o transición. 3. Observar estado, UI y logs. 4. Comparar precondición y postcondición.</x:v>
      </x:c>
      <x:c r="G74" s="24" t="str">
        <x:v>La velocidad de cámara es configurable.</x:v>
      </x:c>
      <x:c r="H74" s="24" t="str">
        <x:v>P2</x:v>
      </x:c>
      <x:c r="I74" s="24" t="str">
        <x:v>S3</x:v>
      </x:c>
      <x:c r="J74" s="24" t="str">
        <x:v>PlayMode + Manual</x:v>
      </x:c>
      <x:c r="K74" s="24" t="str">
        <x:v>Manual/Parcial</x:v>
      </x:c>
      <x:c r="L74" s="24" t="str">
        <x:v>1280×720 / 1920×1080 / 2560×1440</x:v>
      </x:c>
      <x:c r="M74" s="24" t="str"/>
      <x:c r="N74" s="24" t="str">
        <x:v>Not Run</x:v>
      </x:c>
      <x:c r="O74" s="24" t="str"/>
    </x:row>
    <x:row r="75">
      <x:c r="A75" s="24" t="str">
        <x:v>TC-UX-ACC-004</x:v>
      </x:c>
      <x:c r="B75" s="24" t="str">
        <x:v>UX-ACC-004</x:v>
      </x:c>
      <x:c r="C75" s="24" t="str">
        <x:v>Accesibilidad</x:v>
      </x:c>
      <x:c r="D75" s="24" t="str">
        <x:v>Los avisos importantes tienen alternativa visual</x:v>
      </x:c>
      <x:c r="E75" s="24" t="str">
        <x:v>Baseline válida; estado inicial reproducible; datos de prueba preparados.</x:v>
      </x:c>
      <x:c r="F75" s="24" t="str">
        <x:v>1. Preparar el estado. 2. Ejecutar la acción o transición. 3. Observar estado, UI y logs. 4. Comparar precondición y postcondición.</x:v>
      </x:c>
      <x:c r="G75" s="24" t="str">
        <x:v>Los avisos importantes tienen alternativa visual.</x:v>
      </x:c>
      <x:c r="H75" s="24" t="str">
        <x:v>P2</x:v>
      </x:c>
      <x:c r="I75" s="24" t="str">
        <x:v>S3</x:v>
      </x:c>
      <x:c r="J75" s="24" t="str">
        <x:v>PlayMode + Manual</x:v>
      </x:c>
      <x:c r="K75" s="24" t="str">
        <x:v>Manual/Parcial</x:v>
      </x:c>
      <x:c r="L75" s="24" t="str">
        <x:v>1280×720 / 1920×1080 / 2560×1440</x:v>
      </x:c>
      <x:c r="M75" s="24" t="str"/>
      <x:c r="N75" s="24" t="str">
        <x:v>Not Run</x:v>
      </x:c>
      <x:c r="O75" s="24" t="str"/>
    </x:row>
    <x:row r="76">
      <x:c r="A76" s="24" t="str">
        <x:v>TC-UX-ACC-005</x:v>
      </x:c>
      <x:c r="B76" s="24" t="str">
        <x:v>UX-ACC-005</x:v>
      </x:c>
      <x:c r="C76" s="24" t="str">
        <x:v>Accesibilidad</x:v>
      </x:c>
      <x:c r="D76" s="24" t="str">
        <x:v>La lectura puede realizarse con simulación pausada</x:v>
      </x:c>
      <x:c r="E76" s="24" t="str">
        <x:v>Baseline válida; estado inicial reproducible; datos de prueba preparados.</x:v>
      </x:c>
      <x:c r="F76" s="24" t="str">
        <x:v>1. Preparar el estado. 2. Ejecutar la acción o transición. 3. Observar estado, UI y logs. 4. Comparar precondición y postcondición.</x:v>
      </x:c>
      <x:c r="G76" s="24" t="str">
        <x:v>La lectura puede realizarse con simulación pausada.</x:v>
      </x:c>
      <x:c r="H76" s="24" t="str">
        <x:v>P2</x:v>
      </x:c>
      <x:c r="I76" s="24" t="str">
        <x:v>S3</x:v>
      </x:c>
      <x:c r="J76" s="24" t="str">
        <x:v>PlayMode + Manual</x:v>
      </x:c>
      <x:c r="K76" s="24" t="str">
        <x:v>Manual/Parcial</x:v>
      </x:c>
      <x:c r="L76" s="24" t="str">
        <x:v>1280×720 / 1920×1080 / 2560×1440</x:v>
      </x:c>
      <x:c r="M76" s="24" t="str"/>
      <x:c r="N76" s="24" t="str">
        <x:v>Not Run</x:v>
      </x:c>
      <x:c r="O76" s="24" t="str"/>
    </x:row>
    <x:row r="77">
      <x:c r="A77" s="24" t="str">
        <x:v>TC-UX-LOC-001</x:v>
      </x:c>
      <x:c r="B77" s="24" t="str">
        <x:v>UX-LOC-001</x:v>
      </x:c>
      <x:c r="C77" s="24" t="str">
        <x:v>Localización</x:v>
      </x:c>
      <x:c r="D77" s="24" t="str">
        <x:v>ES y EN no presentan truncamientos críticos</x:v>
      </x:c>
      <x:c r="E77" s="24" t="str">
        <x:v>Baseline válida; estado inicial reproducible; datos de prueba preparados.</x:v>
      </x:c>
      <x:c r="F77" s="24" t="str">
        <x:v>1. Preparar el estado. 2. Ejecutar la acción o transición. 3. Observar estado, UI y logs. 4. Comparar precondición y postcondición.</x:v>
      </x:c>
      <x:c r="G77" s="24" t="str">
        <x:v>ES y EN no presentan truncamientos críticos.</x:v>
      </x:c>
      <x:c r="H77" s="24" t="str">
        <x:v>P2</x:v>
      </x:c>
      <x:c r="I77" s="24" t="str">
        <x:v>S3</x:v>
      </x:c>
      <x:c r="J77" s="24" t="str">
        <x:v>PlayMode + Manual</x:v>
      </x:c>
      <x:c r="K77" s="24" t="str">
        <x:v>Manual/Parcial</x:v>
      </x:c>
      <x:c r="L77" s="24" t="str">
        <x:v>ES/EN</x:v>
      </x:c>
      <x:c r="M77" s="24" t="str"/>
      <x:c r="N77" s="24" t="str">
        <x:v>Not Run</x:v>
      </x:c>
      <x:c r="O77" s="24" t="str"/>
    </x:row>
    <x:row r="78">
      <x:c r="A78" s="24" t="str">
        <x:v>TC-UX-GP-001</x:v>
      </x:c>
      <x:c r="B78" s="24" t="str">
        <x:v>UX-GP-001</x:v>
      </x:c>
      <x:c r="C78" s="24" t="str">
        <x:v>Golden Path</x:v>
      </x:c>
      <x:c r="D78" s="24" t="str">
        <x:v>El Golden Path se completa sin herramientas de Editor</x:v>
      </x:c>
      <x:c r="E78" s="24" t="str">
        <x:v>Baseline válida; estado inicial reproducible; datos de prueba preparados.</x:v>
      </x:c>
      <x:c r="F78" s="24" t="str">
        <x:v>1. Preparar el estado. 2. Ejecutar la acción o transición. 3. Observar estado, UI y logs. 4. Comparar precondición y postcondición.</x:v>
      </x:c>
      <x:c r="G78" s="24" t="str">
        <x:v>El Golden Path se completa sin herramientas de Editor.</x:v>
      </x:c>
      <x:c r="H78" s="24" t="str">
        <x:v>P0</x:v>
      </x:c>
      <x:c r="I78" s="24" t="str">
        <x:v>S1</x:v>
      </x:c>
      <x:c r="J78" s="24" t="str">
        <x:v>PlayMode + Manual</x:v>
      </x:c>
      <x:c r="K78" s="24" t="str">
        <x:v>Manual/Parcial</x:v>
      </x:c>
      <x:c r="L78" s="24" t="str">
        <x:v>Estándar</x:v>
      </x:c>
      <x:c r="M78" s="24" t="str"/>
      <x:c r="N78" s="24" t="str">
        <x:v>Not Run</x:v>
      </x:c>
      <x:c r="O78" s="24" t="str"/>
    </x:row>
    <x:row r="79">
      <x:c r="A79" s="24" t="str">
        <x:v>TC-UX-GP-002</x:v>
      </x:c>
      <x:c r="B79" s="24" t="str">
        <x:v>UX-GP-002</x:v>
      </x:c>
      <x:c r="C79" s="24" t="str">
        <x:v>Golden Path</x:v>
      </x:c>
      <x:c r="D79" s="24" t="str">
        <x:v>El recorrido se completa en StoreInitial</x:v>
      </x:c>
      <x:c r="E79" s="24" t="str">
        <x:v>Baseline válida; estado inicial reproducible; datos de prueba preparados.</x:v>
      </x:c>
      <x:c r="F79" s="24" t="str">
        <x:v>1. Preparar el estado. 2. Ejecutar la acción o transición. 3. Observar estado, UI y logs. 4. Comparar precondición y postcondición.</x:v>
      </x:c>
      <x:c r="G79" s="24" t="str">
        <x:v>El recorrido se completa en StoreInitial.</x:v>
      </x:c>
      <x:c r="H79" s="24" t="str">
        <x:v>P0</x:v>
      </x:c>
      <x:c r="I79" s="24" t="str">
        <x:v>S1</x:v>
      </x:c>
      <x:c r="J79" s="24" t="str">
        <x:v>PlayMode + Manual</x:v>
      </x:c>
      <x:c r="K79" s="24" t="str">
        <x:v>Manual/Parcial</x:v>
      </x:c>
      <x:c r="L79" s="24" t="str">
        <x:v>Estándar</x:v>
      </x:c>
      <x:c r="M79" s="24" t="str"/>
      <x:c r="N79" s="24" t="str">
        <x:v>Not Run</x:v>
      </x:c>
      <x:c r="O79" s="24" t="str"/>
    </x:row>
    <x:row r="80">
      <x:c r="A80" s="24" t="str">
        <x:v>TC-UX-GP-003</x:v>
      </x:c>
      <x:c r="B80" s="24" t="str">
        <x:v>UX-GP-003</x:v>
      </x:c>
      <x:c r="C80" s="24" t="str">
        <x:v>Golden Path</x:v>
      </x:c>
      <x:c r="D80" s="24" t="str">
        <x:v>Guardar y cargar conserva equivalencia observable</x:v>
      </x:c>
      <x:c r="E80" s="24" t="str">
        <x:v>Baseline válida; estado inicial reproducible; datos de prueba preparados.</x:v>
      </x:c>
      <x:c r="F80" s="24" t="str">
        <x:v>1. Preparar el estado. 2. Ejecutar la acción o transición. 3. Observar estado, UI y logs. 4. Comparar precondición y postcondición.</x:v>
      </x:c>
      <x:c r="G80" s="24" t="str">
        <x:v>Guardar y cargar conserva equivalencia observable.</x:v>
      </x:c>
      <x:c r="H80" s="24" t="str">
        <x:v>P0</x:v>
      </x:c>
      <x:c r="I80" s="24" t="str">
        <x:v>S1</x:v>
      </x:c>
      <x:c r="J80" s="24" t="str">
        <x:v>PlayMode + Manual</x:v>
      </x:c>
      <x:c r="K80" s="24" t="str">
        <x:v>Manual/Parcial</x:v>
      </x:c>
      <x:c r="L80" s="24" t="str">
        <x:v>Estándar</x:v>
      </x:c>
      <x:c r="M80" s="24" t="str"/>
      <x:c r="N80" s="24" t="str">
        <x:v>Not Run</x:v>
      </x:c>
      <x:c r="O80" s="24" t="str"/>
    </x:row>
    <x:row r="81">
      <x:c r="A81" s="24" t="str">
        <x:v>TC-UX-GP-004</x:v>
      </x:c>
      <x:c r="B81" s="24" t="str">
        <x:v>UX-GP-004</x:v>
      </x:c>
      <x:c r="C81" s="24" t="str">
        <x:v>Golden Path</x:v>
      </x:c>
      <x:c r="D81" s="24" t="str">
        <x:v>La build Windows x64 reproduce el recorrido</x:v>
      </x:c>
      <x:c r="E81" s="24" t="str">
        <x:v>Baseline válida; estado inicial reproducible; datos de prueba preparados.</x:v>
      </x:c>
      <x:c r="F81" s="24" t="str">
        <x:v>1. Preparar el estado. 2. Ejecutar la acción o transición. 3. Observar estado, UI y logs. 4. Comparar precondición y postcondición.</x:v>
      </x:c>
      <x:c r="G81" s="24" t="str">
        <x:v>La build Windows x64 reproduce el recorrido.</x:v>
      </x:c>
      <x:c r="H81" s="24" t="str">
        <x:v>P0</x:v>
      </x:c>
      <x:c r="I81" s="24" t="str">
        <x:v>S1</x:v>
      </x:c>
      <x:c r="J81" s="24" t="str">
        <x:v>PlayMode + Manual</x:v>
      </x:c>
      <x:c r="K81" s="24" t="str">
        <x:v>Manual/Parcial</x:v>
      </x:c>
      <x:c r="L81" s="24" t="str">
        <x:v>Estándar</x:v>
      </x:c>
      <x:c r="M81" s="24" t="str"/>
      <x:c r="N81" s="24" t="str">
        <x:v>Not Run</x:v>
      </x:c>
      <x:c r="O81" s="24" t="str"/>
    </x:row>
    <x:row r="82">
      <x:c r="A82" s="24" t="str">
        <x:v>TC-UX-GP-005</x:v>
      </x:c>
      <x:c r="B82" s="24" t="str">
        <x:v>UX-GP-005</x:v>
      </x:c>
      <x:c r="C82" s="24" t="str">
        <x:v>Golden Path</x:v>
      </x:c>
      <x:c r="D82" s="24" t="str">
        <x:v>Player.log no contiene errores UX bloqueantes</x:v>
      </x:c>
      <x:c r="E82" s="24" t="str">
        <x:v>Baseline válida; estado inicial reproducible; datos de prueba preparados.</x:v>
      </x:c>
      <x:c r="F82" s="24" t="str">
        <x:v>1. Preparar el estado. 2. Ejecutar la acción o transición. 3. Observar estado, UI y logs. 4. Comparar precondición y postcondición.</x:v>
      </x:c>
      <x:c r="G82" s="24" t="str">
        <x:v>Player.log no contiene errores UX bloqueantes.</x:v>
      </x:c>
      <x:c r="H82" s="24" t="str">
        <x:v>P0</x:v>
      </x:c>
      <x:c r="I82" s="24" t="str">
        <x:v>S1</x:v>
      </x:c>
      <x:c r="J82" s="24" t="str">
        <x:v>PlayMode + Manual</x:v>
      </x:c>
      <x:c r="K82" s="24" t="str">
        <x:v>Manual/Parcial</x:v>
      </x:c>
      <x:c r="L82" s="24" t="str">
        <x:v>Estándar</x:v>
      </x:c>
      <x:c r="M82" s="24" t="str"/>
      <x:c r="N82" s="24" t="str">
        <x:v>Not Run</x:v>
      </x:c>
      <x:c r="O82" s="24" t="str"/>
    </x:row>
    <x:row r="83">
      <x:c r="A83" s="24" t="str">
        <x:v>TC-UX-GP-006</x:v>
      </x:c>
      <x:c r="B83" s="24" t="str">
        <x:v>UX-GP-006</x:v>
      </x:c>
      <x:c r="C83" s="24" t="str">
        <x:v>Golden Path</x:v>
      </x:c>
      <x:c r="D83" s="24" t="str">
        <x:v>No existen defectos S0 o S1 abiertos</x:v>
      </x:c>
      <x:c r="E83" s="24" t="str">
        <x:v>Baseline válida; estado inicial reproducible; datos de prueba preparados.</x:v>
      </x:c>
      <x:c r="F83" s="24" t="str">
        <x:v>1. Preparar el estado. 2. Ejecutar la acción o transición. 3. Observar estado, UI y logs. 4. Comparar precondición y postcondición.</x:v>
      </x:c>
      <x:c r="G83" s="24" t="str">
        <x:v>No existen defectos S0 o S1 abiertos.</x:v>
      </x:c>
      <x:c r="H83" s="24" t="str">
        <x:v>P0</x:v>
      </x:c>
      <x:c r="I83" s="24" t="str">
        <x:v>S1</x:v>
      </x:c>
      <x:c r="J83" s="24" t="str">
        <x:v>PlayMode + Manual</x:v>
      </x:c>
      <x:c r="K83" s="24" t="str">
        <x:v>Manual/Parcial</x:v>
      </x:c>
      <x:c r="L83" s="24" t="str">
        <x:v>Estándar</x:v>
      </x:c>
      <x:c r="M83" s="24" t="str"/>
      <x:c r="N83" s="24" t="str">
        <x:v>Not Run</x:v>
      </x:c>
      <x:c r="O83" s="24" t="str"/>
    </x:row>
    <x:row r="84">
      <x:c r="A84" s="24" t="str">
        <x:v>TC-TDD-INP-001</x:v>
      </x:c>
      <x:c r="B84" s="24" t="str">
        <x:v>TDD-INP-001</x:v>
      </x:c>
      <x:c r="C84" s="24" t="str">
        <x:v>Input</x:v>
      </x:c>
      <x:c r="D84" s="24" t="str">
        <x:v>La UI consume input antes de gameplay</x:v>
      </x:c>
      <x:c r="E84" s="24" t="str">
        <x:v>Baseline válida; estado inicial reproducible; datos de prueba preparados.</x:v>
      </x:c>
      <x:c r="F84" s="24" t="str">
        <x:v>1. Preparar el estado. 2. Ejecutar la acción o transición. 3. Observar estado, UI y logs. 4. Comparar precondición y postcondición.</x:v>
      </x:c>
      <x:c r="G84" s="24" t="str">
        <x:v>La UI consume input antes de gameplay.</x:v>
      </x:c>
      <x:c r="H84" s="24" t="str">
        <x:v>P0</x:v>
      </x:c>
      <x:c r="I84" s="24" t="str">
        <x:v>S1</x:v>
      </x:c>
      <x:c r="J84" s="24" t="str">
        <x:v>Revisión</x:v>
      </x:c>
      <x:c r="K84" s="24" t="str">
        <x:v>Parcial</x:v>
      </x:c>
      <x:c r="L84" s="24" t="str">
        <x:v>Estándar</x:v>
      </x:c>
      <x:c r="M84" s="24" t="str"/>
      <x:c r="N84" s="24" t="str">
        <x:v>Not Run</x:v>
      </x:c>
      <x:c r="O84" s="24" t="str"/>
    </x:row>
    <x:row r="85">
      <x:c r="A85" s="24" t="str">
        <x:v>TC-ACC-001</x:v>
      </x:c>
      <x:c r="B85" s="24" t="str"/>
      <x:c r="C85" s="24" t="str">
        <x:v>Accesibilidad</x:v>
      </x:c>
      <x:c r="D85" s="24" t="str">
        <x:v>Revisar estados válidos/invalidos en escala de grises</x:v>
      </x:c>
      <x:c r="E85" s="24" t="str">
        <x:v>Build o escena representativa; instrumentación y evidencia preparadas.</x:v>
      </x:c>
      <x:c r="F85" s="24" t="str">
        <x:v>1. Preparar baseline. 2. Revisar estados válidos/invalidos en escala de grises. 3. Capturar estado, métricas y logs. 4. Verificar recuperación.</x:v>
      </x:c>
      <x:c r="G85" s="24" t="str">
        <x:v>Forma, texto o icono mantienen el significado.</x:v>
      </x:c>
      <x:c r="H85" s="24" t="str">
        <x:v>P1</x:v>
      </x:c>
      <x:c r="I85" s="24" t="str">
        <x:v>S2</x:v>
      </x:c>
      <x:c r="J85" s="24" t="str">
        <x:v>Integración + Manual</x:v>
      </x:c>
      <x:c r="K85" s="24" t="str">
        <x:v>Parcial</x:v>
      </x:c>
      <x:c r="L85" s="24" t="str">
        <x:v>1280×720 / 1920×1080 / 2560×1440</x:v>
      </x:c>
      <x:c r="M85" s="24" t="str"/>
      <x:c r="N85" s="24" t="str">
        <x:v>Not Run</x:v>
      </x:c>
      <x:c r="O85" s="24" t="str"/>
    </x:row>
    <x:row r="86">
      <x:c r="A86" s="24" t="str">
        <x:v>TC-ACC-002</x:v>
      </x:c>
      <x:c r="B86" s="24" t="str"/>
      <x:c r="C86" s="24" t="str">
        <x:v>Accesibilidad</x:v>
      </x:c>
      <x:c r="D86" s="24" t="str">
        <x:v>Probar escala mínima y máxima</x:v>
      </x:c>
      <x:c r="E86" s="24" t="str">
        <x:v>Build o escena representativa; instrumentación y evidencia preparadas.</x:v>
      </x:c>
      <x:c r="F86" s="24" t="str">
        <x:v>1. Preparar baseline. 2. Probar escala mínima y máxima. 3. Capturar estado, métricas y logs. 4. Verificar recuperación.</x:v>
      </x:c>
      <x:c r="G86" s="24" t="str">
        <x:v>No hay solapes o pérdida de controles críticos.</x:v>
      </x:c>
      <x:c r="H86" s="24" t="str">
        <x:v>P1</x:v>
      </x:c>
      <x:c r="I86" s="24" t="str">
        <x:v>S2</x:v>
      </x:c>
      <x:c r="J86" s="24" t="str">
        <x:v>Integración + Manual</x:v>
      </x:c>
      <x:c r="K86" s="24" t="str">
        <x:v>Parcial</x:v>
      </x:c>
      <x:c r="L86" s="24" t="str">
        <x:v>1280×720 / 1920×1080 / 2560×1440</x:v>
      </x:c>
      <x:c r="M86" s="24" t="str"/>
      <x:c r="N86" s="24" t="str">
        <x:v>Not Run</x:v>
      </x:c>
      <x:c r="O86" s="24" t="str"/>
    </x:row>
    <x:row r="87">
      <x:c r="A87" s="24" t="str">
        <x:v>TC-ACC-003</x:v>
      </x:c>
      <x:c r="B87" s="24" t="str"/>
      <x:c r="C87" s="24" t="str">
        <x:v>Accesibilidad</x:v>
      </x:c>
      <x:c r="D87" s="24" t="str">
        <x:v>Activar reducción de movimiento/cámara</x:v>
      </x:c>
      <x:c r="E87" s="24" t="str">
        <x:v>Build o escena representativa; instrumentación y evidencia preparadas.</x:v>
      </x:c>
      <x:c r="F87" s="24" t="str">
        <x:v>1. Preparar baseline. 2. Activar reducción de movimiento/cámara. 3. Capturar estado, métricas y logs. 4. Verificar recuperación.</x:v>
      </x:c>
      <x:c r="G87" s="24" t="str">
        <x:v>La opción reduce movimiento sin romper navegación.</x:v>
      </x:c>
      <x:c r="H87" s="24" t="str">
        <x:v>P2</x:v>
      </x:c>
      <x:c r="I87" s="24" t="str">
        <x:v>S3</x:v>
      </x:c>
      <x:c r="J87" s="24" t="str">
        <x:v>Integración + Manual</x:v>
      </x:c>
      <x:c r="K87" s="24" t="str">
        <x:v>Parcial</x:v>
      </x:c>
      <x:c r="L87" s="24" t="str">
        <x:v>1280×720 / 1920×1080 / 2560×1440</x:v>
      </x:c>
      <x:c r="M87" s="24" t="str"/>
      <x:c r="N87" s="24" t="str">
        <x:v>Not Run</x:v>
      </x:c>
      <x:c r="O87" s="24" t="str"/>
    </x:row>
    <x:row r="88">
      <x:c r="A88" s="24" t="str">
        <x:v>TC-LOC-001</x:v>
      </x:c>
      <x:c r="B88" s="24" t="str"/>
      <x:c r="C88" s="24" t="str">
        <x:v>Localización</x:v>
      </x:c>
      <x:c r="D88" s="24" t="str">
        <x:v>Recorrer todas las pantallas en español</x:v>
      </x:c>
      <x:c r="E88" s="24" t="str">
        <x:v>Build o escena representativa; instrumentación y evidencia preparadas.</x:v>
      </x:c>
      <x:c r="F88" s="24" t="str">
        <x:v>1. Preparar baseline. 2. Recorrer todas las pantallas en español. 3. Capturar estado, métricas y logs. 4. Verificar recuperación.</x:v>
      </x:c>
      <x:c r="G88" s="24" t="str">
        <x:v>No hay claves crudas ni truncamientos críticos.</x:v>
      </x:c>
      <x:c r="H88" s="24" t="str">
        <x:v>P1</x:v>
      </x:c>
      <x:c r="I88" s="24" t="str">
        <x:v>S2</x:v>
      </x:c>
      <x:c r="J88" s="24" t="str">
        <x:v>Integración + Manual</x:v>
      </x:c>
      <x:c r="K88" s="24" t="str">
        <x:v>Parcial</x:v>
      </x:c>
      <x:c r="L88" s="24" t="str">
        <x:v>ES/EN</x:v>
      </x:c>
      <x:c r="M88" s="24" t="str"/>
      <x:c r="N88" s="24" t="str">
        <x:v>Not Run</x:v>
      </x:c>
      <x:c r="O88" s="24" t="str"/>
    </x:row>
    <x:row r="89">
      <x:c r="A89" s="24" t="str">
        <x:v>TC-LOC-002</x:v>
      </x:c>
      <x:c r="B89" s="24" t="str"/>
      <x:c r="C89" s="24" t="str">
        <x:v>Localización</x:v>
      </x:c>
      <x:c r="D89" s="24" t="str">
        <x:v>Recorrer todas las pantallas en inglés</x:v>
      </x:c>
      <x:c r="E89" s="24" t="str">
        <x:v>Build o escena representativa; instrumentación y evidencia preparadas.</x:v>
      </x:c>
      <x:c r="F89" s="24" t="str">
        <x:v>1. Preparar baseline. 2. Recorrer todas las pantallas en inglés. 3. Capturar estado, métricas y logs. 4. Verificar recuperación.</x:v>
      </x:c>
      <x:c r="G89" s="24" t="str">
        <x:v>No hay claves crudas ni truncamientos críticos.</x:v>
      </x:c>
      <x:c r="H89" s="24" t="str">
        <x:v>P1</x:v>
      </x:c>
      <x:c r="I89" s="24" t="str">
        <x:v>S2</x:v>
      </x:c>
      <x:c r="J89" s="24" t="str">
        <x:v>Integración + Manual</x:v>
      </x:c>
      <x:c r="K89" s="24" t="str">
        <x:v>Parcial</x:v>
      </x:c>
      <x:c r="L89" s="24" t="str">
        <x:v>ES/EN</x:v>
      </x:c>
      <x:c r="M89" s="24" t="str"/>
      <x:c r="N89" s="24" t="str">
        <x:v>Not Run</x:v>
      </x:c>
      <x:c r="O89" s="24" t="str"/>
    </x:row>
    <x:row r="90">
      <x:c r="A90" s="24" t="str">
        <x:v>TC-INPUT-001</x:v>
      </x:c>
      <x:c r="B90" s="24" t="str"/>
      <x:c r="C90" s="24" t="str">
        <x:v>Input</x:v>
      </x:c>
      <x:c r="D90" s="24" t="str">
        <x:v>Alt-Tab durante panel modal</x:v>
      </x:c>
      <x:c r="E90" s="24" t="str">
        <x:v>Build o escena representativa; instrumentación y evidencia preparadas.</x:v>
      </x:c>
      <x:c r="F90" s="24" t="str">
        <x:v>1. Preparar baseline. 2. Alt-Tab durante panel modal. 3. Capturar estado, métricas y logs. 4. Verificar recuperación.</x:v>
      </x:c>
      <x:c r="G90" s="24" t="str">
        <x:v>El foco se recupera sin input fantasma.</x:v>
      </x:c>
      <x:c r="H90" s="24" t="str">
        <x:v>P1</x:v>
      </x:c>
      <x:c r="I90" s="24" t="str">
        <x:v>S2</x:v>
      </x:c>
      <x:c r="J90" s="24" t="str">
        <x:v>Integración + Manual</x:v>
      </x:c>
      <x:c r="K90" s="24" t="str">
        <x:v>Parcial</x:v>
      </x:c>
      <x:c r="L90" s="24" t="str">
        <x:v>Estándar</x:v>
      </x:c>
      <x:c r="M90" s="24" t="str"/>
      <x:c r="N90" s="24" t="str">
        <x:v>Not Run</x:v>
      </x:c>
      <x:c r="O90" s="24" t="str"/>
    </x:row>
    <x:row r="91">
      <x:c r="A91" s="24" t="str">
        <x:v>TC-INPUT-002</x:v>
      </x:c>
      <x:c r="B91" s="24" t="str"/>
      <x:c r="C91" s="24" t="str">
        <x:v>Input</x:v>
      </x:c>
      <x:c r="D91" s="24" t="str">
        <x:v>Doble clic sobre acción destructiva</x:v>
      </x:c>
      <x:c r="E91" s="24" t="str">
        <x:v>Build o escena representativa; instrumentación y evidencia preparadas.</x:v>
      </x:c>
      <x:c r="F91" s="24" t="str">
        <x:v>1. Preparar baseline. 2. Doble clic sobre acción destructiva. 3. Capturar estado, métricas y logs. 4. Verificar recuperación.</x:v>
      </x:c>
      <x:c r="G91" s="24" t="str">
        <x:v>No confirma sin diálogo ni duplica la acción.</x:v>
      </x:c>
      <x:c r="H91" s="24" t="str">
        <x:v>P0</x:v>
      </x:c>
      <x:c r="I91" s="24" t="str">
        <x:v>S1</x:v>
      </x:c>
      <x:c r="J91" s="24" t="str">
        <x:v>Integración + Manual</x:v>
      </x:c>
      <x:c r="K91" s="24" t="str">
        <x:v>Parcial</x:v>
      </x:c>
      <x:c r="L91" s="24" t="str">
        <x:v>Estándar</x:v>
      </x:c>
      <x:c r="M91" s="24" t="str"/>
      <x:c r="N91" s="24" t="str">
        <x:v>Not Run</x:v>
      </x:c>
      <x:c r="O91" s="24" t="str"/>
    </x:row>
  </x:sheetData>
  <x:mergeCells>
    <x:mergeCell ref="A1:O1"/>
    <x:mergeCell ref="A2:O2"/>
  </x:mergeCells>
  <x:dataValidations count="1">
    <x:dataValidation type="list" sqref="N5:N91">
      <x:formula1>"Not Run,PASS,FAIL,BLOCKED,SKIPPED,Baseline PASS,PASS WITH OBSERVATION,N/A"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80b0c816294a4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52" hidden="0" customWidth="1"/>
    <x:col min="5" max="5" width="28" hidden="0" customWidth="1"/>
    <x:col min="6" max="6" width="26" hidden="0" customWidth="1"/>
    <x:col min="7" max="7" width="10" hidden="0" customWidth="1"/>
    <x:col min="8" max="8" width="12" hidden="0" customWidth="1"/>
    <x:col min="9" max="9" width="18" hidden="0" customWidth="1"/>
    <x:col min="10" max="10" width="14" hidden="0" customWidth="1"/>
    <x:col min="11" max="11" width="16" hidden="0" customWidth="1"/>
    <x:col min="12" max="12" width="28" hidden="0" customWidth="1"/>
    <x:col min="13" max="13" width="16" hidden="0" customWidth="1"/>
    <x:col min="14" max="14" width="32" hidden="0" customWidth="1"/>
  </x:cols>
  <x:sheetData>
    <x:row r="1" ht="28" customHeight="1">
      <x:c r="A1" s="36" t="str">
        <x:v>StoreInitial, arte, audio, VFX y coherencia de escena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Checklist trazable para autoría representativa y conexión funcional de Sprint 16.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4" customHeight="1">
      <x:c r="A4" s="17" t="str">
        <x:v>Item ID</x:v>
      </x:c>
      <x:c r="B4" s="17" t="str">
        <x:v>Categoría</x:v>
      </x:c>
      <x:c r="C4" s="17" t="str">
        <x:v>Elemento</x:v>
      </x:c>
      <x:c r="D4" s="17" t="str">
        <x:v>Criterio</x:v>
      </x:c>
      <x:c r="E4" s="17" t="str">
        <x:v>Referencia/Anchor</x:v>
      </x:c>
      <x:c r="F4" s="17" t="str">
        <x:v>Test IDs</x:v>
      </x:c>
      <x:c r="G4" s="17" t="str">
        <x:v>Prioridad</x:v>
      </x:c>
      <x:c r="H4" s="17" t="str">
        <x:v>Severidad</x:v>
      </x:c>
      <x:c r="I4" s="17" t="str">
        <x:v>Owner</x:v>
      </x:c>
      <x:c r="J4" s="17" t="str">
        <x:v>Estado</x:v>
      </x:c>
      <x:c r="K4" s="17" t="str">
        <x:v>Defecto</x:v>
      </x:c>
      <x:c r="L4" s="17" t="str">
        <x:v>Evidencia</x:v>
      </x:c>
      <x:c r="M4" s="17" t="str">
        <x:v>Build</x:v>
      </x:c>
      <x:c r="N4" s="17" t="str">
        <x:v>Notas</x:v>
      </x:c>
    </x:row>
    <x:row r="5" ht="38" customHeight="1">
      <x:c r="A5" s="24" t="str">
        <x:v>SC-ARCH-001</x:v>
      </x:c>
      <x:c r="B5" s="24" t="str">
        <x:v>Architecture</x:v>
      </x:c>
      <x:c r="C5" s="24" t="str">
        <x:v>Floor</x:v>
      </x:c>
      <x:c r="D5" s="24" t="str">
        <x:v>Cubre el área aprobada y alinea grid 20×30.</x:v>
      </x:c>
      <x:c r="E5" s="24" t="str">
        <x:v>Architecture/Floor</x:v>
      </x:c>
      <x:c r="F5" s="24" t="str">
        <x:v>TC-VS-SCN-002;TC-VIS-002</x:v>
      </x:c>
      <x:c r="G5" s="24" t="str">
        <x:v>P0</x:v>
      </x:c>
      <x:c r="H5" s="24" t="str">
        <x:v>S1</x:v>
      </x:c>
      <x:c r="I5" s="24" t="str">
        <x:v>VRM Games</x:v>
      </x:c>
      <x:c r="J5" s="24" t="str">
        <x:v>Open</x:v>
      </x:c>
      <x:c r="K5" s="24" t="str">
        <x:v>KI-016-01</x:v>
      </x:c>
      <x:c r="L5" s="24" t="str"/>
      <x:c r="M5" s="24" t="str"/>
      <x:c r="N5" s="24" t="str"/>
    </x:row>
    <x:row r="6" ht="38" customHeight="1">
      <x:c r="A6" s="24" t="str">
        <x:v>SC-ARCH-002</x:v>
      </x:c>
      <x:c r="B6" s="24" t="str">
        <x:v>Architecture</x:v>
      </x:c>
      <x:c r="C6" s="24" t="str">
        <x:v>Walls</x:v>
      </x:c>
      <x:c r="D6" s="24" t="str">
        <x:v>Perímetro, escala y colliders coinciden.</x:v>
      </x:c>
      <x:c r="E6" s="24" t="str">
        <x:v>Architecture/Walls</x:v>
      </x:c>
      <x:c r="F6" s="24" t="str">
        <x:v>TC-VS-SCN-002;TC-VIS-002</x:v>
      </x:c>
      <x:c r="G6" s="24" t="str">
        <x:v>P0</x:v>
      </x:c>
      <x:c r="H6" s="24" t="str">
        <x:v>S1</x:v>
      </x:c>
      <x:c r="I6" s="24" t="str">
        <x:v>VRM Games</x:v>
      </x:c>
      <x:c r="J6" s="24" t="str">
        <x:v>Open</x:v>
      </x:c>
      <x:c r="K6" s="24" t="str">
        <x:v>KI-016-01</x:v>
      </x:c>
      <x:c r="L6" s="24" t="str"/>
      <x:c r="M6" s="24" t="str"/>
      <x:c r="N6" s="24" t="str"/>
    </x:row>
    <x:row r="7" ht="38" customHeight="1">
      <x:c r="A7" s="24" t="str">
        <x:v>SC-DOOR-001</x:v>
      </x:c>
      <x:c r="B7" s="24" t="str">
        <x:v>Door</x:v>
      </x:c>
      <x:c r="C7" s="24" t="str">
        <x:v>Automatic door</x:v>
      </x:c>
      <x:c r="D7" s="24" t="str">
        <x:v>Orientación, apertura y paso funcionan.</x:v>
      </x:c>
      <x:c r="E7" s="24" t="str">
        <x:v>Anchors/Entrance</x:v>
      </x:c>
      <x:c r="F7" s="24" t="str">
        <x:v>TC-VS-TST-036</x:v>
      </x:c>
      <x:c r="G7" s="24" t="str">
        <x:v>P0</x:v>
      </x:c>
      <x:c r="H7" s="24" t="str">
        <x:v>S1</x:v>
      </x:c>
      <x:c r="I7" s="24" t="str">
        <x:v>VRM Games</x:v>
      </x:c>
      <x:c r="J7" s="24" t="str">
        <x:v>Open</x:v>
      </x:c>
      <x:c r="K7" s="24" t="str">
        <x:v>KI-016-02</x:v>
      </x:c>
      <x:c r="L7" s="24" t="str"/>
      <x:c r="M7" s="24" t="str"/>
      <x:c r="N7" s="24" t="str"/>
    </x:row>
    <x:row r="8" ht="38" customHeight="1">
      <x:c r="A8" s="24" t="str">
        <x:v>SC-FURN-001</x:v>
      </x:c>
      <x:c r="B8" s="24" t="str">
        <x:v>InitialFurniture</x:v>
      </x:c>
      <x:c r="C8" s="24" t="str">
        <x:v>Checkout counter</x:v>
      </x:c>
      <x:c r="D8" s="24" t="str">
        <x:v>Visible, accesible y conectado.</x:v>
      </x:c>
      <x:c r="E8" s="24" t="str">
        <x:v>Anchors/Checkout</x:v>
      </x:c>
      <x:c r="F8" s="24" t="str">
        <x:v>TC-VS-CHK-004</x:v>
      </x:c>
      <x:c r="G8" s="24" t="str">
        <x:v>P0</x:v>
      </x:c>
      <x:c r="H8" s="24" t="str">
        <x:v>S1</x:v>
      </x:c>
      <x:c r="I8" s="24" t="str">
        <x:v>VRM Games</x:v>
      </x:c>
      <x:c r="J8" s="24" t="str">
        <x:v>Pending</x:v>
      </x:c>
      <x:c r="K8" s="24" t="str"/>
      <x:c r="L8" s="24" t="str"/>
      <x:c r="M8" s="24" t="str"/>
      <x:c r="N8" s="24" t="str"/>
    </x:row>
    <x:row r="9" ht="38" customHeight="1">
      <x:c r="A9" s="24" t="str">
        <x:v>SC-FURN-002</x:v>
      </x:c>
      <x:c r="B9" s="24" t="str">
        <x:v>InitialFurniture</x:v>
      </x:c>
      <x:c r="C9" s="24" t="str">
        <x:v>Warehouse shelving</x:v>
      </x:c>
      <x:c r="D9" s="24" t="str">
        <x:v>Posición autorada y sin duplicación.</x:v>
      </x:c>
      <x:c r="E9" s="24" t="str">
        <x:v>InitialFurniture/Warehouse</x:v>
      </x:c>
      <x:c r="F9" s="24" t="str">
        <x:v>TC-VIS-001</x:v>
      </x:c>
      <x:c r="G9" s="24" t="str">
        <x:v>P0</x:v>
      </x:c>
      <x:c r="H9" s="24" t="str">
        <x:v>S1</x:v>
      </x:c>
      <x:c r="I9" s="24" t="str">
        <x:v>VRM Games</x:v>
      </x:c>
      <x:c r="J9" s="24" t="str">
        <x:v>Open</x:v>
      </x:c>
      <x:c r="K9" s="24" t="str">
        <x:v>KI-016-03</x:v>
      </x:c>
      <x:c r="L9" s="24" t="str"/>
      <x:c r="M9" s="24" t="str"/>
      <x:c r="N9" s="24" t="str"/>
    </x:row>
    <x:row r="10" ht="38" customHeight="1">
      <x:c r="A10" s="24" t="str">
        <x:v>SC-FURN-003</x:v>
      </x:c>
      <x:c r="B10" s="24" t="str">
        <x:v>InitialFurniture</x:v>
      </x:c>
      <x:c r="C10" s="24" t="str">
        <x:v>Displays</x:v>
      </x:c>
      <x:c r="D10" s="24" t="str">
        <x:v>Familias representativas y puntos accesibles.</x:v>
      </x:c>
      <x:c r="E10" s="24" t="str">
        <x:v>InitialFurniture/Displays</x:v>
      </x:c>
      <x:c r="F10" s="24" t="str">
        <x:v>TC-VS-DSP-004</x:v>
      </x:c>
      <x:c r="G10" s="24" t="str">
        <x:v>P1</x:v>
      </x:c>
      <x:c r="H10" s="24" t="str">
        <x:v>S2</x:v>
      </x:c>
      <x:c r="I10" s="24" t="str">
        <x:v>VRM Games</x:v>
      </x:c>
      <x:c r="J10" s="24" t="str">
        <x:v>Pending</x:v>
      </x:c>
      <x:c r="K10" s="24" t="str"/>
      <x:c r="L10" s="24" t="str"/>
      <x:c r="M10" s="24" t="str"/>
      <x:c r="N10" s="24" t="str"/>
    </x:row>
    <x:row r="11" ht="38" customHeight="1">
      <x:c r="A11" s="24" t="str">
        <x:v>SC-ZONE-001</x:v>
      </x:c>
      <x:c r="B11" s="24" t="str">
        <x:v>Anchors</x:v>
      </x:c>
      <x:c r="C11" s="24" t="str">
        <x:v>Reception</x:v>
      </x:c>
      <x:c r="D11" s="24" t="str">
        <x:v>Zona y punto de interacción claros.</x:v>
      </x:c>
      <x:c r="E11" s="24" t="str">
        <x:v>Anchors/Reception</x:v>
      </x:c>
      <x:c r="F11" s="24" t="str">
        <x:v>TC-VS-ORD-004</x:v>
      </x:c>
      <x:c r="G11" s="24" t="str">
        <x:v>P0</x:v>
      </x:c>
      <x:c r="H11" s="24" t="str">
        <x:v>S1</x:v>
      </x:c>
      <x:c r="I11" s="24" t="str">
        <x:v>VRM Games</x:v>
      </x:c>
      <x:c r="J11" s="24" t="str">
        <x:v>Pending</x:v>
      </x:c>
      <x:c r="K11" s="24" t="str"/>
      <x:c r="L11" s="24" t="str"/>
      <x:c r="M11" s="24" t="str"/>
      <x:c r="N11" s="24" t="str"/>
    </x:row>
    <x:row r="12" ht="38" customHeight="1">
      <x:c r="A12" s="24" t="str">
        <x:v>SC-ZONE-002</x:v>
      </x:c>
      <x:c r="B12" s="24" t="str">
        <x:v>Anchors</x:v>
      </x:c>
      <x:c r="C12" s="24" t="str">
        <x:v>Entrance/Exit</x:v>
      </x:c>
      <x:c r="D12" s="24" t="str">
        <x:v>Spawn, entrada y salida explícitos.</x:v>
      </x:c>
      <x:c r="E12" s="24" t="str">
        <x:v>Anchors/Entrance;Exit</x:v>
      </x:c>
      <x:c r="F12" s="24" t="str">
        <x:v>TC-VS-MOV-001</x:v>
      </x:c>
      <x:c r="G12" s="24" t="str">
        <x:v>P0</x:v>
      </x:c>
      <x:c r="H12" s="24" t="str">
        <x:v>S1</x:v>
      </x:c>
      <x:c r="I12" s="24" t="str">
        <x:v>VRM Games</x:v>
      </x:c>
      <x:c r="J12" s="24" t="str">
        <x:v>Pending</x:v>
      </x:c>
      <x:c r="K12" s="24" t="str"/>
      <x:c r="L12" s="24" t="str"/>
      <x:c r="M12" s="24" t="str"/>
      <x:c r="N12" s="24" t="str"/>
    </x:row>
    <x:row r="13" ht="38" customHeight="1">
      <x:c r="A13" s="24" t="str">
        <x:v>SC-TECH-001</x:v>
      </x:c>
      <x:c r="B13" s="24" t="str">
        <x:v>Technical</x:v>
      </x:c>
      <x:c r="C13" s="24" t="str">
        <x:v>StoreInitialSceneContext</x:v>
      </x:c>
      <x:c r="D13" s="24" t="str">
        <x:v>Referencias serializadas y validación.</x:v>
      </x:c>
      <x:c r="E13" s="24" t="str">
        <x:v>SceneContext</x:v>
      </x:c>
      <x:c r="F13" s="24" t="str">
        <x:v>TC-TDD-ARC-002</x:v>
      </x:c>
      <x:c r="G13" s="24" t="str">
        <x:v>P0</x:v>
      </x:c>
      <x:c r="H13" s="24" t="str">
        <x:v>S1</x:v>
      </x:c>
      <x:c r="I13" s="24" t="str">
        <x:v>VRM Games</x:v>
      </x:c>
      <x:c r="J13" s="24" t="str">
        <x:v>Pending</x:v>
      </x:c>
      <x:c r="K13" s="24" t="str"/>
      <x:c r="L13" s="24" t="str"/>
      <x:c r="M13" s="24" t="str"/>
      <x:c r="N13" s="24" t="str"/>
    </x:row>
    <x:row r="14" ht="38" customHeight="1">
      <x:c r="A14" s="24" t="str">
        <x:v>SC-TECH-002</x:v>
      </x:c>
      <x:c r="B14" s="24" t="str">
        <x:v>Technical</x:v>
      </x:c>
      <x:c r="C14" s="24" t="str">
        <x:v>Procedural fallback</x:v>
      </x:c>
      <x:c r="D14" s="24" t="str">
        <x:v>No coexiste con entorno autorado.</x:v>
      </x:c>
      <x:c r="E14" s="24" t="str">
        <x:v>Runtime flag</x:v>
      </x:c>
      <x:c r="F14" s="24" t="str">
        <x:v>TC-VS-SCN-004</x:v>
      </x:c>
      <x:c r="G14" s="24" t="str">
        <x:v>P0</x:v>
      </x:c>
      <x:c r="H14" s="24" t="str">
        <x:v>S1</x:v>
      </x:c>
      <x:c r="I14" s="24" t="str">
        <x:v>VRM Games</x:v>
      </x:c>
      <x:c r="J14" s="24" t="str">
        <x:v>Open</x:v>
      </x:c>
      <x:c r="K14" s="24" t="str">
        <x:v>KI-016-05</x:v>
      </x:c>
      <x:c r="L14" s="24" t="str"/>
      <x:c r="M14" s="24" t="str"/>
      <x:c r="N14" s="24" t="str"/>
    </x:row>
    <x:row r="15" ht="38" customHeight="1">
      <x:c r="A15" s="24" t="str">
        <x:v>SC-LGT-001</x:v>
      </x:c>
      <x:c r="B15" s="24" t="str">
        <x:v>Lighting</x:v>
      </x:c>
      <x:c r="C15" s="24" t="str">
        <x:v>General lighting</x:v>
      </x:c>
      <x:c r="D15" s="24" t="str">
        <x:v>Entrada, displays, cola y almacén legibles.</x:v>
      </x:c>
      <x:c r="E15" s="24" t="str">
        <x:v>Lighting</x:v>
      </x:c>
      <x:c r="F15" s="24" t="str">
        <x:v>TC-VS-ART-002;TC-VIS-003</x:v>
      </x:c>
      <x:c r="G15" s="24" t="str">
        <x:v>P1</x:v>
      </x:c>
      <x:c r="H15" s="24" t="str">
        <x:v>S2</x:v>
      </x:c>
      <x:c r="I15" s="24" t="str">
        <x:v>VRM Games</x:v>
      </x:c>
      <x:c r="J15" s="24" t="str">
        <x:v>Pending</x:v>
      </x:c>
      <x:c r="K15" s="24" t="str"/>
      <x:c r="L15" s="24" t="str"/>
      <x:c r="M15" s="24" t="str"/>
      <x:c r="N15" s="24" t="str"/>
    </x:row>
    <x:row r="16" ht="38" customHeight="1">
      <x:c r="A16" s="24" t="str">
        <x:v>SC-OCC-001</x:v>
      </x:c>
      <x:c r="B16" s="24" t="str">
        <x:v>Occlusion</x:v>
      </x:c>
      <x:c r="C16" s="24" t="str">
        <x:v>Walls</x:v>
      </x:c>
      <x:c r="D16" s="24" t="str">
        <x:v>Ocultación no produce saltos o pérdida de objetivos.</x:v>
      </x:c>
      <x:c r="E16" s="24" t="str">
        <x:v>Camera/WallOcclusion</x:v>
      </x:c>
      <x:c r="F16" s="24" t="str">
        <x:v>TC-VS-TST-009</x:v>
      </x:c>
      <x:c r="G16" s="24" t="str">
        <x:v>P1</x:v>
      </x:c>
      <x:c r="H16" s="24" t="str">
        <x:v>S2</x:v>
      </x:c>
      <x:c r="I16" s="24" t="str">
        <x:v>VRM Games</x:v>
      </x:c>
      <x:c r="J16" s="24" t="str">
        <x:v>Pending</x:v>
      </x:c>
      <x:c r="K16" s="24" t="str"/>
      <x:c r="L16" s="24" t="str"/>
      <x:c r="M16" s="24" t="str"/>
      <x:c r="N16" s="24" t="str"/>
    </x:row>
    <x:row r="17" ht="38" customHeight="1">
      <x:c r="A17" s="24" t="str">
        <x:v>SC-AUD-001</x:v>
      </x:c>
      <x:c r="B17" s="24" t="str">
        <x:v>Audio</x:v>
      </x:c>
      <x:c r="C17" s="24" t="str">
        <x:v>Critical feedback</x:v>
      </x:c>
      <x:c r="D17" s="24" t="str">
        <x:v>Venta, error, cierre y guardado tienen feedback.</x:v>
      </x:c>
      <x:c r="E17" s="24" t="str">
        <x:v>Audio roots</x:v>
      </x:c>
      <x:c r="F17" s="24" t="str">
        <x:v>TC-VS-AUD-001;TC-AUDIO-002</x:v>
      </x:c>
      <x:c r="G17" s="24" t="str">
        <x:v>P2</x:v>
      </x:c>
      <x:c r="H17" s="24" t="str">
        <x:v>S2</x:v>
      </x:c>
      <x:c r="I17" s="24" t="str">
        <x:v>VRM Games</x:v>
      </x:c>
      <x:c r="J17" s="24" t="str">
        <x:v>Pending</x:v>
      </x:c>
      <x:c r="K17" s="24" t="str"/>
      <x:c r="L17" s="24" t="str"/>
      <x:c r="M17" s="24" t="str"/>
      <x:c r="N17" s="24" t="str"/>
    </x:row>
    <x:row r="18" ht="38" customHeight="1">
      <x:c r="A18" s="24" t="str">
        <x:v>SC-VFX-001</x:v>
      </x:c>
      <x:c r="B18" s="24" t="str">
        <x:v>VFX</x:v>
      </x:c>
      <x:c r="C18" s="24" t="str">
        <x:v>Placement and sale</x:v>
      </x:c>
      <x:c r="D18" s="24" t="str">
        <x:v>No faltan referencias ni hay exceso visual.</x:v>
      </x:c>
      <x:c r="E18" s="24" t="str">
        <x:v>VFX roots</x:v>
      </x:c>
      <x:c r="F18" s="24" t="str">
        <x:v>TC-AUDIO-001</x:v>
      </x:c>
      <x:c r="G18" s="24" t="str">
        <x:v>P2</x:v>
      </x:c>
      <x:c r="H18" s="24" t="str">
        <x:v>S3</x:v>
      </x:c>
      <x:c r="I18" s="24" t="str">
        <x:v>VRM Games</x:v>
      </x:c>
      <x:c r="J18" s="24" t="str">
        <x:v>Pending</x:v>
      </x:c>
      <x:c r="K18" s="24" t="str"/>
      <x:c r="L18" s="24" t="str"/>
      <x:c r="M18" s="24" t="str"/>
      <x:c r="N18" s="24" t="str"/>
    </x:row>
    <x:row r="19" ht="38" customHeight="1">
      <x:c r="A19" s="24" t="str">
        <x:v>SC-TC-001</x:v>
      </x:c>
      <x:c r="B19" s="24" t="str">
        <x:v>Escena y composición</x:v>
      </x:c>
      <x:c r="C19" s="24" t="str">
        <x:v>SCN</x:v>
      </x:c>
      <x:c r="D19" s="24" t="str">
        <x:v>`StoreInitial.unity` carga con referencias obligatorias válidas.</x:v>
      </x:c>
      <x:c r="E19" s="24" t="str">
        <x:v>StoreInitial</x:v>
      </x:c>
      <x:c r="F19" s="24" t="str">
        <x:v>TC-VS-SCN-001</x:v>
      </x:c>
      <x:c r="G19" s="24" t="str">
        <x:v>P0</x:v>
      </x:c>
      <x:c r="H19" s="24" t="str">
        <x:v>S1</x:v>
      </x:c>
      <x:c r="I19" s="24" t="str">
        <x:v>VRM Games</x:v>
      </x:c>
      <x:c r="J19" s="24" t="str">
        <x:v>Pending</x:v>
      </x:c>
      <x:c r="K19" s="24" t="str"/>
      <x:c r="L19" s="24" t="str"/>
      <x:c r="M19" s="24" t="str"/>
      <x:c r="N19" s="24" t="str">
        <x:v>`StoreInitial.unity` carga con referencias obligatorias válidas</x:v>
      </x:c>
    </x:row>
    <x:row r="20" ht="38" customHeight="1">
      <x:c r="A20" s="24" t="str">
        <x:v>SC-TC-002</x:v>
      </x:c>
      <x:c r="B20" s="24" t="str">
        <x:v>Escena y composición</x:v>
      </x:c>
      <x:c r="C20" s="24" t="str">
        <x:v>SCN</x:v>
      </x:c>
      <x:c r="D20" s="24" t="str">
        <x:v>Arquitectura, puerta, zonas y mobiliario están colocados conforme al layout aprobado.</x:v>
      </x:c>
      <x:c r="E20" s="24" t="str">
        <x:v>StoreInitial</x:v>
      </x:c>
      <x:c r="F20" s="24" t="str">
        <x:v>TC-VS-SCN-002</x:v>
      </x:c>
      <x:c r="G20" s="24" t="str">
        <x:v>P0</x:v>
      </x:c>
      <x:c r="H20" s="24" t="str">
        <x:v>S1</x:v>
      </x:c>
      <x:c r="I20" s="24" t="str">
        <x:v>VRM Games</x:v>
      </x:c>
      <x:c r="J20" s="24" t="str">
        <x:v>Pending</x:v>
      </x:c>
      <x:c r="K20" s="24" t="str"/>
      <x:c r="L20" s="24" t="str"/>
      <x:c r="M20" s="24" t="str"/>
      <x:c r="N20" s="24" t="str">
        <x:v>Arquitectura, puerta, zonas y mobiliario están colocados conforme al layout aprobado</x:v>
      </x:c>
    </x:row>
    <x:row r="21" ht="38" customHeight="1">
      <x:c r="A21" s="24" t="str">
        <x:v>SC-TC-003</x:v>
      </x:c>
      <x:c r="B21" s="24" t="str">
        <x:v>Escena y composición</x:v>
      </x:c>
      <x:c r="C21" s="24" t="str">
        <x:v>SCN</x:v>
      </x:c>
      <x:c r="D21" s="24" t="str">
        <x:v>No existen placeholders visibles no exceptuados.</x:v>
      </x:c>
      <x:c r="E21" s="24" t="str">
        <x:v>StoreInitial</x:v>
      </x:c>
      <x:c r="F21" s="24" t="str">
        <x:v>TC-VS-SCN-003</x:v>
      </x:c>
      <x:c r="G21" s="24" t="str">
        <x:v>P0</x:v>
      </x:c>
      <x:c r="H21" s="24" t="str">
        <x:v>S1</x:v>
      </x:c>
      <x:c r="I21" s="24" t="str">
        <x:v>VRM Games</x:v>
      </x:c>
      <x:c r="J21" s="24" t="str">
        <x:v>Pending</x:v>
      </x:c>
      <x:c r="K21" s="24" t="str"/>
      <x:c r="L21" s="24" t="str"/>
      <x:c r="M21" s="24" t="str"/>
      <x:c r="N21" s="24" t="str">
        <x:v>No existen placeholders visibles no exceptuados</x:v>
      </x:c>
    </x:row>
    <x:row r="22" ht="38" customHeight="1">
      <x:c r="A22" s="24" t="str">
        <x:v>SC-TC-004</x:v>
      </x:c>
      <x:c r="B22" s="24" t="str">
        <x:v>Escena y composición</x:v>
      </x:c>
      <x:c r="C22" s="24" t="str">
        <x:v>SCN</x:v>
      </x:c>
      <x:c r="D22" s="24" t="str">
        <x:v>Visuales, colliders, navegación y puntos funcionales no se contradicen.</x:v>
      </x:c>
      <x:c r="E22" s="24" t="str">
        <x:v>StoreInitial</x:v>
      </x:c>
      <x:c r="F22" s="24" t="str">
        <x:v>TC-VS-SCN-004</x:v>
      </x:c>
      <x:c r="G22" s="24" t="str">
        <x:v>P0</x:v>
      </x:c>
      <x:c r="H22" s="24" t="str">
        <x:v>S1</x:v>
      </x:c>
      <x:c r="I22" s="24" t="str">
        <x:v>VRM Games</x:v>
      </x:c>
      <x:c r="J22" s="24" t="str">
        <x:v>Pending</x:v>
      </x:c>
      <x:c r="K22" s="24" t="str"/>
      <x:c r="L22" s="24" t="str"/>
      <x:c r="M22" s="24" t="str"/>
      <x:c r="N22" s="24" t="str">
        <x:v>Visuales, colliders, navegación y puntos funcionales no se contradicen</x:v>
      </x:c>
    </x:row>
    <x:row r="23" ht="38" customHeight="1">
      <x:c r="A23" s="24" t="str">
        <x:v>SC-TC-005</x:v>
      </x:c>
      <x:c r="B23" s="24" t="str">
        <x:v>Movimiento y navegación</x:v>
      </x:c>
      <x:c r="C23" s="24" t="str">
        <x:v>MOV</x:v>
      </x:c>
      <x:c r="D23" s="24" t="str">
        <x:v>El jugador alcanza todos los puntos accesibles obligatorios.</x:v>
      </x:c>
      <x:c r="E23" s="24" t="str">
        <x:v>StoreInitial</x:v>
      </x:c>
      <x:c r="F23" s="24" t="str">
        <x:v>TC-VS-MOV-001</x:v>
      </x:c>
      <x:c r="G23" s="24" t="str">
        <x:v>P1</x:v>
      </x:c>
      <x:c r="H23" s="24" t="str">
        <x:v>S2</x:v>
      </x:c>
      <x:c r="I23" s="24" t="str">
        <x:v>VRM Games</x:v>
      </x:c>
      <x:c r="J23" s="24" t="str">
        <x:v>Pending</x:v>
      </x:c>
      <x:c r="K23" s="24" t="str"/>
      <x:c r="L23" s="24" t="str"/>
      <x:c r="M23" s="24" t="str"/>
      <x:c r="N23" s="24" t="str">
        <x:v>El jugador alcanza todos los puntos accesibles obligatorios</x:v>
      </x:c>
    </x:row>
    <x:row r="24" ht="38" customHeight="1">
      <x:c r="A24" s="24" t="str">
        <x:v>SC-TC-006</x:v>
      </x:c>
      <x:c r="B24" s="24" t="str">
        <x:v>Movimiento y navegación</x:v>
      </x:c>
      <x:c r="C24" s="24" t="str">
        <x:v>MOV</x:v>
      </x:c>
      <x:c r="D24" s="24" t="str">
        <x:v>El jugador no atraviesa arquitectura ni mobiliario.</x:v>
      </x:c>
      <x:c r="E24" s="24" t="str">
        <x:v>StoreInitial</x:v>
      </x:c>
      <x:c r="F24" s="24" t="str">
        <x:v>TC-VS-MOV-002</x:v>
      </x:c>
      <x:c r="G24" s="24" t="str">
        <x:v>P1</x:v>
      </x:c>
      <x:c r="H24" s="24" t="str">
        <x:v>S2</x:v>
      </x:c>
      <x:c r="I24" s="24" t="str">
        <x:v>VRM Games</x:v>
      </x:c>
      <x:c r="J24" s="24" t="str">
        <x:v>Pending</x:v>
      </x:c>
      <x:c r="K24" s="24" t="str"/>
      <x:c r="L24" s="24" t="str"/>
      <x:c r="M24" s="24" t="str"/>
      <x:c r="N24" s="24" t="str">
        <x:v>El jugador no atraviesa arquitectura ni mobiliario</x:v>
      </x:c>
    </x:row>
    <x:row r="25" ht="38" customHeight="1">
      <x:c r="A25" s="24" t="str">
        <x:v>SC-TC-007</x:v>
      </x:c>
      <x:c r="B25" s="24" t="str">
        <x:v>Movimiento y navegación</x:v>
      </x:c>
      <x:c r="C25" s="24" t="str">
        <x:v>MOV</x:v>
      </x:c>
      <x:c r="D25" s="24" t="str">
        <x:v>Un destino inaccesible no deja al jugador en estado indefinido.</x:v>
      </x:c>
      <x:c r="E25" s="24" t="str">
        <x:v>StoreInitial</x:v>
      </x:c>
      <x:c r="F25" s="24" t="str">
        <x:v>TC-VS-MOV-003</x:v>
      </x:c>
      <x:c r="G25" s="24" t="str">
        <x:v>P1</x:v>
      </x:c>
      <x:c r="H25" s="24" t="str">
        <x:v>S2</x:v>
      </x:c>
      <x:c r="I25" s="24" t="str">
        <x:v>VRM Games</x:v>
      </x:c>
      <x:c r="J25" s="24" t="str">
        <x:v>Pending</x:v>
      </x:c>
      <x:c r="K25" s="24" t="str"/>
      <x:c r="L25" s="24" t="str"/>
      <x:c r="M25" s="24" t="str"/>
      <x:c r="N25" s="24" t="str">
        <x:v>Un destino inaccesible no deja al jugador en estado indefinido</x:v>
      </x:c>
    </x:row>
    <x:row r="26" ht="38" customHeight="1">
      <x:c r="A26" s="24" t="str">
        <x:v>SC-TC-008</x:v>
      </x:c>
      <x:c r="B26" s="24" t="str">
        <x:v>Construcción</x:v>
      </x:c>
      <x:c r="C26" s="24" t="str">
        <x:v>BLD</x:v>
      </x:c>
      <x:c r="D26" s="24" t="str">
        <x:v>Preview coincide con posición, rotación y huella final.</x:v>
      </x:c>
      <x:c r="E26" s="24" t="str">
        <x:v>StoreInitial</x:v>
      </x:c>
      <x:c r="F26" s="24" t="str">
        <x:v>TC-VS-BLD-001</x:v>
      </x:c>
      <x:c r="G26" s="24" t="str">
        <x:v>P1</x:v>
      </x:c>
      <x:c r="H26" s="24" t="str">
        <x:v>S2</x:v>
      </x:c>
      <x:c r="I26" s="24" t="str">
        <x:v>VRM Games</x:v>
      </x:c>
      <x:c r="J26" s="24" t="str">
        <x:v>Pending</x:v>
      </x:c>
      <x:c r="K26" s="24" t="str"/>
      <x:c r="L26" s="24" t="str"/>
      <x:c r="M26" s="24" t="str"/>
      <x:c r="N26" s="24" t="str">
        <x:v>Preview coincide con posición, rotación y huella final</x:v>
      </x:c>
    </x:row>
    <x:row r="27" ht="38" customHeight="1">
      <x:c r="A27" s="24" t="str">
        <x:v>SC-TC-009</x:v>
      </x:c>
      <x:c r="B27" s="24" t="str">
        <x:v>Construcción</x:v>
      </x:c>
      <x:c r="C27" s="24" t="str">
        <x:v>BLD</x:v>
      </x:c>
      <x:c r="D27" s="24" t="str">
        <x:v>No se confirma colocación fuera de límites o sobre celdas ocupadas.</x:v>
      </x:c>
      <x:c r="E27" s="24" t="str">
        <x:v>StoreInitial</x:v>
      </x:c>
      <x:c r="F27" s="24" t="str">
        <x:v>TC-VS-BLD-002</x:v>
      </x:c>
      <x:c r="G27" s="24" t="str">
        <x:v>P1</x:v>
      </x:c>
      <x:c r="H27" s="24" t="str">
        <x:v>S2</x:v>
      </x:c>
      <x:c r="I27" s="24" t="str">
        <x:v>VRM Games</x:v>
      </x:c>
      <x:c r="J27" s="24" t="str">
        <x:v>Pending</x:v>
      </x:c>
      <x:c r="K27" s="24" t="str"/>
      <x:c r="L27" s="24" t="str"/>
      <x:c r="M27" s="24" t="str"/>
      <x:c r="N27" s="24" t="str">
        <x:v>No se confirma colocación fuera de límites o sobre celdas ocupadas</x:v>
      </x:c>
    </x:row>
    <x:row r="28" ht="38" customHeight="1">
      <x:c r="A28" s="24" t="str">
        <x:v>SC-TC-010</x:v>
      </x:c>
      <x:c r="B28" s="24" t="str">
        <x:v>Construcción</x:v>
      </x:c>
      <x:c r="C28" s="24" t="str">
        <x:v>BLD</x:v>
      </x:c>
      <x:c r="D28" s="24" t="str">
        <x:v>No se bloquean entrada, salida o puntos obligatorios.</x:v>
      </x:c>
      <x:c r="E28" s="24" t="str">
        <x:v>StoreInitial</x:v>
      </x:c>
      <x:c r="F28" s="24" t="str">
        <x:v>TC-VS-BLD-003</x:v>
      </x:c>
      <x:c r="G28" s="24" t="str">
        <x:v>P0</x:v>
      </x:c>
      <x:c r="H28" s="24" t="str">
        <x:v>S1</x:v>
      </x:c>
      <x:c r="I28" s="24" t="str">
        <x:v>VRM Games</x:v>
      </x:c>
      <x:c r="J28" s="24" t="str">
        <x:v>Pending</x:v>
      </x:c>
      <x:c r="K28" s="24" t="str"/>
      <x:c r="L28" s="24" t="str"/>
      <x:c r="M28" s="24" t="str"/>
      <x:c r="N28" s="24" t="str">
        <x:v>No se bloquean entrada, salida o puntos obligatorios</x:v>
      </x:c>
    </x:row>
    <x:row r="29" ht="38" customHeight="1">
      <x:c r="A29" s="24" t="str">
        <x:v>SC-TC-011</x:v>
      </x:c>
      <x:c r="B29" s="24" t="str">
        <x:v>Construcción</x:v>
      </x:c>
      <x:c r="C29" s="24" t="str">
        <x:v>BLD</x:v>
      </x:c>
      <x:c r="D29" s="24" t="str">
        <x:v>Fallo de validación no consume dinero ni altera ocupación.</x:v>
      </x:c>
      <x:c r="E29" s="24" t="str">
        <x:v>StoreInitial</x:v>
      </x:c>
      <x:c r="F29" s="24" t="str">
        <x:v>TC-VS-BLD-004</x:v>
      </x:c>
      <x:c r="G29" s="24" t="str">
        <x:v>P1</x:v>
      </x:c>
      <x:c r="H29" s="24" t="str">
        <x:v>S2</x:v>
      </x:c>
      <x:c r="I29" s="24" t="str">
        <x:v>VRM Games</x:v>
      </x:c>
      <x:c r="J29" s="24" t="str">
        <x:v>Pending</x:v>
      </x:c>
      <x:c r="K29" s="24" t="str"/>
      <x:c r="L29" s="24" t="str"/>
      <x:c r="M29" s="24" t="str"/>
      <x:c r="N29" s="24" t="str">
        <x:v>Fallo de validación no consume dinero ni altera ocupación</x:v>
      </x:c>
    </x:row>
    <x:row r="30" ht="38" customHeight="1">
      <x:c r="A30" s="24" t="str">
        <x:v>SC-TC-012</x:v>
      </x:c>
      <x:c r="B30" s="24" t="str">
        <x:v>Construcción</x:v>
      </x:c>
      <x:c r="C30" s="24" t="str">
        <x:v>BLD</x:v>
      </x:c>
      <x:c r="D30" s="24" t="str">
        <x:v>Mover o retirar libera exactamente las celdas ocupadas.</x:v>
      </x:c>
      <x:c r="E30" s="24" t="str">
        <x:v>StoreInitial</x:v>
      </x:c>
      <x:c r="F30" s="24" t="str">
        <x:v>TC-VS-BLD-005</x:v>
      </x:c>
      <x:c r="G30" s="24" t="str">
        <x:v>P1</x:v>
      </x:c>
      <x:c r="H30" s="24" t="str">
        <x:v>S2</x:v>
      </x:c>
      <x:c r="I30" s="24" t="str">
        <x:v>VRM Games</x:v>
      </x:c>
      <x:c r="J30" s="24" t="str">
        <x:v>Pending</x:v>
      </x:c>
      <x:c r="K30" s="24" t="str"/>
      <x:c r="L30" s="24" t="str"/>
      <x:c r="M30" s="24" t="str"/>
      <x:c r="N30" s="24" t="str">
        <x:v>Mover o retirar libera exactamente las celdas ocupadas</x:v>
      </x:c>
    </x:row>
    <x:row r="31" ht="38" customHeight="1">
      <x:c r="A31" s="24" t="str">
        <x:v>SC-TC-013</x:v>
      </x:c>
      <x:c r="B31" s="24" t="str">
        <x:v>Construcción</x:v>
      </x:c>
      <x:c r="C31" s="24" t="str">
        <x:v>BLD</x:v>
      </x:c>
      <x:c r="D31" s="24" t="str">
        <x:v>Posición, rotación, tipo e ID persisten tras recarga.</x:v>
      </x:c>
      <x:c r="E31" s="24" t="str">
        <x:v>StoreInitial</x:v>
      </x:c>
      <x:c r="F31" s="24" t="str">
        <x:v>TC-VS-BLD-006</x:v>
      </x:c>
      <x:c r="G31" s="24" t="str">
        <x:v>P1</x:v>
      </x:c>
      <x:c r="H31" s="24" t="str">
        <x:v>S2</x:v>
      </x:c>
      <x:c r="I31" s="24" t="str">
        <x:v>VRM Games</x:v>
      </x:c>
      <x:c r="J31" s="24" t="str">
        <x:v>Pending</x:v>
      </x:c>
      <x:c r="K31" s="24" t="str"/>
      <x:c r="L31" s="24" t="str"/>
      <x:c r="M31" s="24" t="str"/>
      <x:c r="N31" s="24" t="str">
        <x:v>Posición, rotación, tipo e ID persisten tras recarga</x:v>
      </x:c>
    </x:row>
    <x:row r="32" ht="38" customHeight="1">
      <x:c r="A32" s="24" t="str">
        <x:v>SC-TC-014</x:v>
      </x:c>
      <x:c r="B32" s="24" t="str">
        <x:v>Arte y representación</x:v>
      </x:c>
      <x:c r="C32" s="24" t="str">
        <x:v>ART</x:v>
      </x:c>
      <x:c r="D32" s="24" t="str">
        <x:v>Escena cumple layout, escala y silueta aprobados.</x:v>
      </x:c>
      <x:c r="E32" s="24" t="str">
        <x:v>StoreInitial</x:v>
      </x:c>
      <x:c r="F32" s="24" t="str">
        <x:v>TC-VS-ART-001</x:v>
      </x:c>
      <x:c r="G32" s="24" t="str">
        <x:v>P2</x:v>
      </x:c>
      <x:c r="H32" s="24" t="str">
        <x:v>S3</x:v>
      </x:c>
      <x:c r="I32" s="24" t="str">
        <x:v>VRM Games</x:v>
      </x:c>
      <x:c r="J32" s="24" t="str">
        <x:v>Pending</x:v>
      </x:c>
      <x:c r="K32" s="24" t="str"/>
      <x:c r="L32" s="24" t="str"/>
      <x:c r="M32" s="24" t="str"/>
      <x:c r="N32" s="24" t="str">
        <x:v>Escena cumple layout, escala y silueta aprobados</x:v>
      </x:c>
    </x:row>
    <x:row r="33" ht="38" customHeight="1">
      <x:c r="A33" s="24" t="str">
        <x:v>SC-TC-015</x:v>
      </x:c>
      <x:c r="B33" s="24" t="str">
        <x:v>Arte y representación</x:v>
      </x:c>
      <x:c r="C33" s="24" t="str">
        <x:v>ART</x:v>
      </x:c>
      <x:c r="D33" s="24" t="str">
        <x:v>Iluminación permite leer zonas, productos, clientes y cola.</x:v>
      </x:c>
      <x:c r="E33" s="24" t="str">
        <x:v>StoreInitial</x:v>
      </x:c>
      <x:c r="F33" s="24" t="str">
        <x:v>TC-VS-ART-002</x:v>
      </x:c>
      <x:c r="G33" s="24" t="str">
        <x:v>P2</x:v>
      </x:c>
      <x:c r="H33" s="24" t="str">
        <x:v>S3</x:v>
      </x:c>
      <x:c r="I33" s="24" t="str">
        <x:v>VRM Games</x:v>
      </x:c>
      <x:c r="J33" s="24" t="str">
        <x:v>Pending</x:v>
      </x:c>
      <x:c r="K33" s="24" t="str"/>
      <x:c r="L33" s="24" t="str"/>
      <x:c r="M33" s="24" t="str"/>
      <x:c r="N33" s="24" t="str">
        <x:v>Iluminación permite leer zonas, productos, clientes y cola</x:v>
      </x:c>
    </x:row>
    <x:row r="34" ht="38" customHeight="1">
      <x:c r="A34" s="24" t="str">
        <x:v>SC-TC-016</x:v>
      </x:c>
      <x:c r="B34" s="24" t="str">
        <x:v>Audio</x:v>
      </x:c>
      <x:c r="C34" s="24" t="str">
        <x:v>AUD</x:v>
      </x:c>
      <x:c r="D34" s="24" t="str">
        <x:v>Acciones críticas incluidas tienen feedback sonoro o alternativa aprobada.</x:v>
      </x:c>
      <x:c r="E34" s="24" t="str">
        <x:v>StoreInitial</x:v>
      </x:c>
      <x:c r="F34" s="24" t="str">
        <x:v>TC-VS-AUD-001</x:v>
      </x:c>
      <x:c r="G34" s="24" t="str">
        <x:v>P2</x:v>
      </x:c>
      <x:c r="H34" s="24" t="str">
        <x:v>S3</x:v>
      </x:c>
      <x:c r="I34" s="24" t="str">
        <x:v>VRM Games</x:v>
      </x:c>
      <x:c r="J34" s="24" t="str">
        <x:v>Pending</x:v>
      </x:c>
      <x:c r="K34" s="24" t="str"/>
      <x:c r="L34" s="24" t="str"/>
      <x:c r="M34" s="24" t="str"/>
      <x:c r="N34" s="24" t="str">
        <x:v>Acciones críticas incluidas tienen feedback sonoro o alternativa aprobada</x:v>
      </x:c>
    </x:row>
    <x:row r="35" ht="38" customHeight="1">
      <x:c r="A35" s="24" t="str">
        <x:v>SC-TC-017</x:v>
      </x:c>
      <x:c r="B35" s="24" t="str">
        <x:v>Construcción</x:v>
      </x:c>
      <x:c r="C35" s="24" t="str">
        <x:v>BLD</x:v>
      </x:c>
      <x:c r="D35" s="24" t="str">
        <x:v>Entrar en BuildMode suprime movimiento.</x:v>
      </x:c>
      <x:c r="E35" s="24" t="str">
        <x:v>StoreInitial</x:v>
      </x:c>
      <x:c r="F35" s="24" t="str">
        <x:v>TC-UX-BLD-001</x:v>
      </x:c>
      <x:c r="G35" s="24" t="str">
        <x:v>P1</x:v>
      </x:c>
      <x:c r="H35" s="24" t="str">
        <x:v>S2</x:v>
      </x:c>
      <x:c r="I35" s="24" t="str">
        <x:v>VRM Games</x:v>
      </x:c>
      <x:c r="J35" s="24" t="str">
        <x:v>Pending</x:v>
      </x:c>
      <x:c r="K35" s="24" t="str"/>
      <x:c r="L35" s="24" t="str"/>
      <x:c r="M35" s="24" t="str"/>
      <x:c r="N35" s="24" t="str">
        <x:v>Entrar en BuildMode suprime movimiento</x:v>
      </x:c>
    </x:row>
    <x:row r="36" ht="38" customHeight="1">
      <x:c r="A36" s="24" t="str">
        <x:v>SC-TC-018</x:v>
      </x:c>
      <x:c r="B36" s="24" t="str">
        <x:v>Construcción</x:v>
      </x:c>
      <x:c r="C36" s="24" t="str">
        <x:v>BLD</x:v>
      </x:c>
      <x:c r="D36" s="24" t="str">
        <x:v>Preview coincide con grid y huella.</x:v>
      </x:c>
      <x:c r="E36" s="24" t="str">
        <x:v>StoreInitial</x:v>
      </x:c>
      <x:c r="F36" s="24" t="str">
        <x:v>TC-UX-BLD-002</x:v>
      </x:c>
      <x:c r="G36" s="24" t="str">
        <x:v>P1</x:v>
      </x:c>
      <x:c r="H36" s="24" t="str">
        <x:v>S2</x:v>
      </x:c>
      <x:c r="I36" s="24" t="str">
        <x:v>VRM Games</x:v>
      </x:c>
      <x:c r="J36" s="24" t="str">
        <x:v>Pending</x:v>
      </x:c>
      <x:c r="K36" s="24" t="str"/>
      <x:c r="L36" s="24" t="str"/>
      <x:c r="M36" s="24" t="str"/>
      <x:c r="N36" s="24" t="str">
        <x:v>Preview coincide con grid y huella</x:v>
      </x:c>
    </x:row>
    <x:row r="37" ht="38" customHeight="1">
      <x:c r="A37" s="24" t="str">
        <x:v>SC-TC-019</x:v>
      </x:c>
      <x:c r="B37" s="24" t="str">
        <x:v>Construcción</x:v>
      </x:c>
      <x:c r="C37" s="24" t="str">
        <x:v>BLD</x:v>
      </x:c>
      <x:c r="D37" s="24" t="str">
        <x:v>Q/E rota y revalida.</x:v>
      </x:c>
      <x:c r="E37" s="24" t="str">
        <x:v>StoreInitial</x:v>
      </x:c>
      <x:c r="F37" s="24" t="str">
        <x:v>TC-UX-BLD-003</x:v>
      </x:c>
      <x:c r="G37" s="24" t="str">
        <x:v>P1</x:v>
      </x:c>
      <x:c r="H37" s="24" t="str">
        <x:v>S2</x:v>
      </x:c>
      <x:c r="I37" s="24" t="str">
        <x:v>VRM Games</x:v>
      </x:c>
      <x:c r="J37" s="24" t="str">
        <x:v>Pending</x:v>
      </x:c>
      <x:c r="K37" s="24" t="str"/>
      <x:c r="L37" s="24" t="str"/>
      <x:c r="M37" s="24" t="str"/>
      <x:c r="N37" s="24" t="str">
        <x:v>Q/E rota y revalida</x:v>
      </x:c>
    </x:row>
    <x:row r="38" ht="38" customHeight="1">
      <x:c r="A38" s="24" t="str">
        <x:v>SC-TC-020</x:v>
      </x:c>
      <x:c r="B38" s="24" t="str">
        <x:v>Construcción</x:v>
      </x:c>
      <x:c r="C38" s="24" t="str">
        <x:v>BLD</x:v>
      </x:c>
      <x:c r="D38" s="24" t="str">
        <x:v>Un placement inválido explica causa.</x:v>
      </x:c>
      <x:c r="E38" s="24" t="str">
        <x:v>StoreInitial</x:v>
      </x:c>
      <x:c r="F38" s="24" t="str">
        <x:v>TC-UX-BLD-004</x:v>
      </x:c>
      <x:c r="G38" s="24" t="str">
        <x:v>P1</x:v>
      </x:c>
      <x:c r="H38" s="24" t="str">
        <x:v>S2</x:v>
      </x:c>
      <x:c r="I38" s="24" t="str">
        <x:v>VRM Games</x:v>
      </x:c>
      <x:c r="J38" s="24" t="str">
        <x:v>Pending</x:v>
      </x:c>
      <x:c r="K38" s="24" t="str"/>
      <x:c r="L38" s="24" t="str"/>
      <x:c r="M38" s="24" t="str"/>
      <x:c r="N38" s="24" t="str">
        <x:v>Un placement inválido explica causa</x:v>
      </x:c>
    </x:row>
    <x:row r="39" ht="38" customHeight="1">
      <x:c r="A39" s="24" t="str">
        <x:v>SC-TC-021</x:v>
      </x:c>
      <x:c r="B39" s="24" t="str">
        <x:v>Construcción</x:v>
      </x:c>
      <x:c r="C39" s="24" t="str">
        <x:v>BLD</x:v>
      </x:c>
      <x:c r="D39" s="24" t="str">
        <x:v>Un placement inválido no cobra ni ocupa.</x:v>
      </x:c>
      <x:c r="E39" s="24" t="str">
        <x:v>StoreInitial</x:v>
      </x:c>
      <x:c r="F39" s="24" t="str">
        <x:v>TC-UX-BLD-005</x:v>
      </x:c>
      <x:c r="G39" s="24" t="str">
        <x:v>P1</x:v>
      </x:c>
      <x:c r="H39" s="24" t="str">
        <x:v>S2</x:v>
      </x:c>
      <x:c r="I39" s="24" t="str">
        <x:v>VRM Games</x:v>
      </x:c>
      <x:c r="J39" s="24" t="str">
        <x:v>Pending</x:v>
      </x:c>
      <x:c r="K39" s="24" t="str"/>
      <x:c r="L39" s="24" t="str"/>
      <x:c r="M39" s="24" t="str"/>
      <x:c r="N39" s="24" t="str">
        <x:v>Un placement inválido no cobra ni ocupa</x:v>
      </x:c>
    </x:row>
    <x:row r="40" ht="38" customHeight="1">
      <x:c r="A40" s="24" t="str">
        <x:v>SC-TC-022</x:v>
      </x:c>
      <x:c r="B40" s="24" t="str">
        <x:v>Construcción</x:v>
      </x:c>
      <x:c r="C40" s="24" t="str">
        <x:v>BLD</x:v>
      </x:c>
      <x:c r="D40" s="24" t="str">
        <x:v>Cancelar movimiento restaura estado anterior.</x:v>
      </x:c>
      <x:c r="E40" s="24" t="str">
        <x:v>StoreInitial</x:v>
      </x:c>
      <x:c r="F40" s="24" t="str">
        <x:v>TC-UX-BLD-006</x:v>
      </x:c>
      <x:c r="G40" s="24" t="str">
        <x:v>P1</x:v>
      </x:c>
      <x:c r="H40" s="24" t="str">
        <x:v>S2</x:v>
      </x:c>
      <x:c r="I40" s="24" t="str">
        <x:v>VRM Games</x:v>
      </x:c>
      <x:c r="J40" s="24" t="str">
        <x:v>Pending</x:v>
      </x:c>
      <x:c r="K40" s="24" t="str"/>
      <x:c r="L40" s="24" t="str"/>
      <x:c r="M40" s="24" t="str"/>
      <x:c r="N40" s="24" t="str">
        <x:v>Cancelar movimiento restaura estado anterior</x:v>
      </x:c>
    </x:row>
    <x:row r="41" ht="38" customHeight="1">
      <x:c r="A41" s="24" t="str">
        <x:v>SC-TC-023</x:v>
      </x:c>
      <x:c r="B41" s="24" t="str">
        <x:v>Construcción</x:v>
      </x:c>
      <x:c r="C41" s="24" t="str">
        <x:v>BLD</x:v>
      </x:c>
      <x:c r="D41" s="24" t="str">
        <x:v>Retirar no destruye stock silenciosamente.</x:v>
      </x:c>
      <x:c r="E41" s="24" t="str">
        <x:v>StoreInitial</x:v>
      </x:c>
      <x:c r="F41" s="24" t="str">
        <x:v>TC-UX-BLD-007</x:v>
      </x:c>
      <x:c r="G41" s="24" t="str">
        <x:v>P1</x:v>
      </x:c>
      <x:c r="H41" s="24" t="str">
        <x:v>S2</x:v>
      </x:c>
      <x:c r="I41" s="24" t="str">
        <x:v>VRM Games</x:v>
      </x:c>
      <x:c r="J41" s="24" t="str">
        <x:v>Pending</x:v>
      </x:c>
      <x:c r="K41" s="24" t="str"/>
      <x:c r="L41" s="24" t="str"/>
      <x:c r="M41" s="24" t="str"/>
      <x:c r="N41" s="24" t="str">
        <x:v>Retirar no destruye stock silenciosamente</x:v>
      </x:c>
    </x:row>
    <x:row r="42" ht="38" customHeight="1">
      <x:c r="A42" s="24" t="str">
        <x:v>SC-TC-024</x:v>
      </x:c>
      <x:c r="B42" s="24" t="str">
        <x:v>Construcción</x:v>
      </x:c>
      <x:c r="C42" s="24" t="str">
        <x:v>BLD</x:v>
      </x:c>
      <x:c r="D42" s="24" t="str">
        <x:v>El feedback no depende solo del color.</x:v>
      </x:c>
      <x:c r="E42" s="24" t="str">
        <x:v>StoreInitial</x:v>
      </x:c>
      <x:c r="F42" s="24" t="str">
        <x:v>TC-UX-BLD-008</x:v>
      </x:c>
      <x:c r="G42" s="24" t="str">
        <x:v>P1</x:v>
      </x:c>
      <x:c r="H42" s="24" t="str">
        <x:v>S2</x:v>
      </x:c>
      <x:c r="I42" s="24" t="str">
        <x:v>VRM Games</x:v>
      </x:c>
      <x:c r="J42" s="24" t="str">
        <x:v>Pending</x:v>
      </x:c>
      <x:c r="K42" s="24" t="str"/>
      <x:c r="L42" s="24" t="str"/>
      <x:c r="M42" s="24" t="str"/>
      <x:c r="N42" s="24" t="str">
        <x:v>El feedback no depende solo del color</x:v>
      </x:c>
    </x:row>
    <x:row r="43" ht="38" customHeight="1">
      <x:c r="A43" s="24" t="str">
        <x:v>SC-TC-025</x:v>
      </x:c>
      <x:c r="B43" s="24" t="str">
        <x:v>Construcción</x:v>
      </x:c>
      <x:c r="C43" s="24" t="str">
        <x:v>BLD</x:v>
      </x:c>
      <x:c r="D43" s="24" t="str">
        <x:v>Cerrar BuildMode no produce clic de mundo.</x:v>
      </x:c>
      <x:c r="E43" s="24" t="str">
        <x:v>StoreInitial</x:v>
      </x:c>
      <x:c r="F43" s="24" t="str">
        <x:v>TC-UX-BLD-009</x:v>
      </x:c>
      <x:c r="G43" s="24" t="str">
        <x:v>P1</x:v>
      </x:c>
      <x:c r="H43" s="24" t="str">
        <x:v>S2</x:v>
      </x:c>
      <x:c r="I43" s="24" t="str">
        <x:v>VRM Games</x:v>
      </x:c>
      <x:c r="J43" s="24" t="str">
        <x:v>Pending</x:v>
      </x:c>
      <x:c r="K43" s="24" t="str"/>
      <x:c r="L43" s="24" t="str"/>
      <x:c r="M43" s="24" t="str"/>
      <x:c r="N43" s="24" t="str">
        <x:v>Cerrar BuildMode no produce clic de mundo</x:v>
      </x:c>
    </x:row>
    <x:row r="44" ht="38" customHeight="1">
      <x:c r="A44" s="24" t="str">
        <x:v>SC-TC-026</x:v>
      </x:c>
      <x:c r="B44" s="24" t="str">
        <x:v>Escena</x:v>
      </x:c>
      <x:c r="C44" s="24" t="str">
        <x:v>Referencias</x:v>
      </x:c>
      <x:c r="D44" s="24" t="str">
        <x:v>La escena falla de forma controlada y registra el campo faltante.</x:v>
      </x:c>
      <x:c r="E44" s="24" t="str">
        <x:v>StoreInitial / Build</x:v>
      </x:c>
      <x:c r="F44" s="24" t="str">
        <x:v>TC-FI-SCN-001</x:v>
      </x:c>
      <x:c r="G44" s="24" t="str">
        <x:v>P0</x:v>
      </x:c>
      <x:c r="H44" s="24" t="str">
        <x:v>S1</x:v>
      </x:c>
      <x:c r="I44" s="24" t="str">
        <x:v>VRM Games</x:v>
      </x:c>
      <x:c r="J44" s="24" t="str">
        <x:v>Pending</x:v>
      </x:c>
      <x:c r="K44" s="24" t="str"/>
      <x:c r="L44" s="24" t="str"/>
      <x:c r="M44" s="24" t="str"/>
      <x:c r="N44" s="24" t="str">
        <x:v>Eliminar una referencia obligatoria de StoreInitialSceneContext</x:v>
      </x:c>
    </x:row>
    <x:row r="45" ht="38" customHeight="1">
      <x:c r="A45" s="24" t="str">
        <x:v>SC-TC-027</x:v>
      </x:c>
      <x:c r="B45" s="24" t="str">
        <x:v>Audio</x:v>
      </x:c>
      <x:c r="C45" s="24" t="str">
        <x:v>Mezcla</x:v>
      </x:c>
      <x:c r="D45" s="24" t="str">
        <x:v>No hay clipping ni niveles excesivos.</x:v>
      </x:c>
      <x:c r="E45" s="24" t="str">
        <x:v>StoreInitial / Build</x:v>
      </x:c>
      <x:c r="F45" s="24" t="str">
        <x:v>TC-AUDIO-001</x:v>
      </x:c>
      <x:c r="G45" s="24" t="str">
        <x:v>P2</x:v>
      </x:c>
      <x:c r="H45" s="24" t="str">
        <x:v>S3</x:v>
      </x:c>
      <x:c r="I45" s="24" t="str">
        <x:v>VRM Games</x:v>
      </x:c>
      <x:c r="J45" s="24" t="str">
        <x:v>Pending</x:v>
      </x:c>
      <x:c r="K45" s="24" t="str"/>
      <x:c r="L45" s="24" t="str"/>
      <x:c r="M45" s="24" t="str"/>
      <x:c r="N45" s="24" t="str">
        <x:v>Ejecutar tienda con múltiples eventos simultáneos</x:v>
      </x:c>
    </x:row>
    <x:row r="46" ht="38" customHeight="1">
      <x:c r="A46" s="24" t="str">
        <x:v>SC-TC-028</x:v>
      </x:c>
      <x:c r="B46" s="24" t="str">
        <x:v>Audio</x:v>
      </x:c>
      <x:c r="C46" s="24" t="str">
        <x:v>Fallback</x:v>
      </x:c>
      <x:c r="D46" s="24" t="str">
        <x:v>Las alertas mantienen alternativa visual.</x:v>
      </x:c>
      <x:c r="E46" s="24" t="str">
        <x:v>StoreInitial / Build</x:v>
      </x:c>
      <x:c r="F46" s="24" t="str">
        <x:v>TC-AUDIO-002</x:v>
      </x:c>
      <x:c r="G46" s="24" t="str">
        <x:v>P1</x:v>
      </x:c>
      <x:c r="H46" s="24" t="str">
        <x:v>S2</x:v>
      </x:c>
      <x:c r="I46" s="24" t="str">
        <x:v>VRM Games</x:v>
      </x:c>
      <x:c r="J46" s="24" t="str">
        <x:v>Pending</x:v>
      </x:c>
      <x:c r="K46" s="24" t="str"/>
      <x:c r="L46" s="24" t="str"/>
      <x:c r="M46" s="24" t="str"/>
      <x:c r="N46" s="24" t="str">
        <x:v>Silenciar audio y completar alertas críticas</x:v>
      </x:c>
    </x:row>
    <x:row r="47" ht="38" customHeight="1">
      <x:c r="A47" s="24" t="str">
        <x:v>SC-TC-029</x:v>
      </x:c>
      <x:c r="B47" s="24" t="str">
        <x:v>Arte</x:v>
      </x:c>
      <x:c r="C47" s="24" t="str">
        <x:v>Placeholders</x:v>
      </x:c>
      <x:c r="D47" s="24" t="str">
        <x:v>No existen placeholders no exceptuados.</x:v>
      </x:c>
      <x:c r="E47" s="24" t="str">
        <x:v>StoreInitial / Build</x:v>
      </x:c>
      <x:c r="F47" s="24" t="str">
        <x:v>TC-VIS-001</x:v>
      </x:c>
      <x:c r="G47" s="24" t="str">
        <x:v>P1</x:v>
      </x:c>
      <x:c r="H47" s="24" t="str">
        <x:v>S2</x:v>
      </x:c>
      <x:c r="I47" s="24" t="str">
        <x:v>VRM Games</x:v>
      </x:c>
      <x:c r="J47" s="24" t="str">
        <x:v>Pending</x:v>
      </x:c>
      <x:c r="K47" s="24" t="str"/>
      <x:c r="L47" s="24" t="str"/>
      <x:c r="M47" s="24" t="str"/>
      <x:c r="N47" s="24" t="str">
        <x:v>Inspeccionar StoreInitial desde ángulos de juego</x:v>
      </x:c>
    </x:row>
    <x:row r="48" ht="38" customHeight="1">
      <x:c r="A48" s="24" t="str">
        <x:v>SC-TC-030</x:v>
      </x:c>
      <x:c r="B48" s="24" t="str">
        <x:v>Arte</x:v>
      </x:c>
      <x:c r="C48" s="24" t="str">
        <x:v>Colliders</x:v>
      </x:c>
      <x:c r="D48" s="24" t="str">
        <x:v>No hay contradicciones que bloqueen o engañen.</x:v>
      </x:c>
      <x:c r="E48" s="24" t="str">
        <x:v>StoreInitial / Build</x:v>
      </x:c>
      <x:c r="F48" s="24" t="str">
        <x:v>TC-VIS-002</x:v>
      </x:c>
      <x:c r="G48" s="24" t="str">
        <x:v>P0</x:v>
      </x:c>
      <x:c r="H48" s="24" t="str">
        <x:v>S1</x:v>
      </x:c>
      <x:c r="I48" s="24" t="str">
        <x:v>VRM Games</x:v>
      </x:c>
      <x:c r="J48" s="24" t="str">
        <x:v>Pending</x:v>
      </x:c>
      <x:c r="K48" s="24" t="str"/>
      <x:c r="L48" s="24" t="str"/>
      <x:c r="M48" s="24" t="str"/>
      <x:c r="N48" s="24" t="str">
        <x:v>Comparar silueta visual y colisión</x:v>
      </x:c>
    </x:row>
    <x:row r="49" ht="38" customHeight="1">
      <x:c r="A49" s="24" t="str">
        <x:v>SC-TC-031</x:v>
      </x:c>
      <x:c r="B49" s="24" t="str">
        <x:v>Arte</x:v>
      </x:c>
      <x:c r="C49" s="24" t="str">
        <x:v>Iluminación</x:v>
      </x:c>
      <x:c r="D49" s="24" t="str">
        <x:v>Zonas y objetos son legibles sin oscuridad crítica.</x:v>
      </x:c>
      <x:c r="E49" s="24" t="str">
        <x:v>StoreInitial / Build</x:v>
      </x:c>
      <x:c r="F49" s="24" t="str">
        <x:v>TC-VIS-003</x:v>
      </x:c>
      <x:c r="G49" s="24" t="str">
        <x:v>P1</x:v>
      </x:c>
      <x:c r="H49" s="24" t="str">
        <x:v>S2</x:v>
      </x:c>
      <x:c r="I49" s="24" t="str">
        <x:v>VRM Games</x:v>
      </x:c>
      <x:c r="J49" s="24" t="str">
        <x:v>Pending</x:v>
      </x:c>
      <x:c r="K49" s="24" t="str"/>
      <x:c r="L49" s="24" t="str"/>
      <x:c r="M49" s="24" t="str"/>
      <x:c r="N49" s="24" t="str">
        <x:v>Revisar entrada, displays, cola y almacén</x:v>
      </x:c>
    </x:row>
  </x:sheetData>
  <x:mergeCells>
    <x:mergeCell ref="A1:N1"/>
    <x:mergeCell ref="A2:N2"/>
  </x:mergeCells>
  <x:dataValidations count="1">
    <x:dataValidation type="list" sqref="J5:J49">
      <x:formula1>"Open,Pending,PASS,FAIL,N/A"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4cc5c74bb44f6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8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6" hidden="0" customWidth="1"/>
    <x:col min="16" max="16" width="14" hidden="0" customWidth="1"/>
    <x:col min="17" max="17" width="30" hidden="0" customWidth="1"/>
    <x:col min="18" max="18" width="38" hidden="0" customWidth="1"/>
  </x:cols>
  <x:sheetData>
    <x:row r="1" ht="28" customHeight="1">
      <x:c r="A1" s="36" t="str">
        <x:v>Rendimiento, estabilidad y compatibilidad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Perfiles de prueba en build; registrar hardware, configuración, objetivos y mediciones.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 ht="34" customHeight="1">
      <x:c r="A4" s="17" t="str">
        <x:v>Perf ID</x:v>
      </x:c>
      <x:c r="B4" s="17" t="str">
        <x:v>Test ID</x:v>
      </x:c>
      <x:c r="C4" s="17" t="str">
        <x:v>Escenario</x:v>
      </x:c>
      <x:c r="D4" s="17" t="str">
        <x:v>Build</x:v>
      </x:c>
      <x:c r="E4" s="17" t="str">
        <x:v>Hardware</x:v>
      </x:c>
      <x:c r="F4" s="17" t="str">
        <x:v>Resolución</x:v>
      </x:c>
      <x:c r="G4" s="17" t="str">
        <x:v>Calidad</x:v>
      </x:c>
      <x:c r="H4" s="17" t="str">
        <x:v>Duración min</x:v>
      </x:c>
      <x:c r="I4" s="17" t="str">
        <x:v>Objetivo FPS</x:v>
      </x:c>
      <x:c r="J4" s="17" t="str">
        <x:v>FPS medio</x:v>
      </x:c>
      <x:c r="K4" s="17" t="str">
        <x:v>1% low</x:v>
      </x:c>
      <x:c r="L4" s="17" t="str">
        <x:v>CPU ms</x:v>
      </x:c>
      <x:c r="M4" s="17" t="str">
        <x:v>GPU ms</x:v>
      </x:c>
      <x:c r="N4" s="17" t="str">
        <x:v>Memoria MB</x:v>
      </x:c>
      <x:c r="O4" s="17" t="str">
        <x:v>GC alloc/frame</x:v>
      </x:c>
      <x:c r="P4" s="17" t="str">
        <x:v>Resultado</x:v>
      </x:c>
      <x:c r="Q4" s="17" t="str">
        <x:v>Evidencia</x:v>
      </x:c>
      <x:c r="R4" s="17" t="str">
        <x:v>Notas</x:v>
      </x:c>
    </x:row>
    <x:row r="5">
      <x:c r="A5" s="24" t="str">
        <x:v>PERF-RUN-001</x:v>
      </x:c>
      <x:c r="B5" s="24" t="str">
        <x:v>TC-VS-BLD-001</x:v>
      </x:c>
      <x:c r="C5" s="24" t="str">
        <x:v>Preview coincide con posición, rotación y huella final</x:v>
      </x:c>
      <x:c r="D5" s="24" t="str"/>
      <x:c r="E5" s="24" t="str"/>
      <x:c r="F5" s="24" t="str">
        <x:v>1920×1080</x:v>
      </x:c>
      <x:c r="G5" s="24" t="str">
        <x:v>High/Target</x:v>
      </x:c>
      <x:c r="H5" s="24" t="n">
        <x:v>10</x:v>
      </x:c>
      <x:c r="I5" s="24" t="n">
        <x:v>60</x:v>
      </x:c>
      <x:c r="J5" s="24"/>
      <x:c r="K5" s="24"/>
      <x:c r="L5" s="24"/>
      <x:c r="M5" s="24"/>
      <x:c r="N5" s="24"/>
      <x:c r="O5" s="24"/>
      <x:c r="P5" s="24" t="str">
        <x:v>Not Run</x:v>
      </x:c>
      <x:c r="Q5" s="24" t="str"/>
      <x:c r="R5" s="24" t="str">
        <x:v>Preview coincide con posición, rotación y huella final.</x:v>
      </x:c>
    </x:row>
    <x:row r="6">
      <x:c r="A6" s="24" t="str">
        <x:v>PERF-RUN-002</x:v>
      </x:c>
      <x:c r="B6" s="24" t="str">
        <x:v>TC-VS-BLD-002</x:v>
      </x:c>
      <x:c r="C6" s="24" t="str">
        <x:v>No se confirma colocación fuera de límites o sobre celdas ocupadas</x:v>
      </x:c>
      <x:c r="D6" s="24" t="str"/>
      <x:c r="E6" s="24" t="str"/>
      <x:c r="F6" s="24" t="str">
        <x:v>1920×1080</x:v>
      </x:c>
      <x:c r="G6" s="24" t="str">
        <x:v>High/Target</x:v>
      </x:c>
      <x:c r="H6" s="24" t="n">
        <x:v>10</x:v>
      </x:c>
      <x:c r="I6" s="24" t="n">
        <x:v>60</x:v>
      </x:c>
      <x:c r="J6" s="24"/>
      <x:c r="K6" s="24"/>
      <x:c r="L6" s="24"/>
      <x:c r="M6" s="24"/>
      <x:c r="N6" s="24"/>
      <x:c r="O6" s="24"/>
      <x:c r="P6" s="24" t="str">
        <x:v>Not Run</x:v>
      </x:c>
      <x:c r="Q6" s="24" t="str"/>
      <x:c r="R6" s="24" t="str">
        <x:v>No se confirma colocación fuera de límites o sobre celdas ocupadas.</x:v>
      </x:c>
    </x:row>
    <x:row r="7">
      <x:c r="A7" s="24" t="str">
        <x:v>PERF-RUN-003</x:v>
      </x:c>
      <x:c r="B7" s="24" t="str">
        <x:v>TC-VS-BLD-003</x:v>
      </x:c>
      <x:c r="C7" s="24" t="str">
        <x:v>No se bloquean entrada, salida o puntos obligatorios</x:v>
      </x:c>
      <x:c r="D7" s="24" t="str"/>
      <x:c r="E7" s="24" t="str"/>
      <x:c r="F7" s="24" t="str">
        <x:v>1920×1080</x:v>
      </x:c>
      <x:c r="G7" s="24" t="str">
        <x:v>High/Target</x:v>
      </x:c>
      <x:c r="H7" s="24" t="n">
        <x:v>10</x:v>
      </x:c>
      <x:c r="I7" s="24" t="n">
        <x:v>60</x:v>
      </x:c>
      <x:c r="J7" s="24"/>
      <x:c r="K7" s="24"/>
      <x:c r="L7" s="24"/>
      <x:c r="M7" s="24"/>
      <x:c r="N7" s="24"/>
      <x:c r="O7" s="24"/>
      <x:c r="P7" s="24" t="str">
        <x:v>Not Run</x:v>
      </x:c>
      <x:c r="Q7" s="24" t="str"/>
      <x:c r="R7" s="24" t="str">
        <x:v>No se bloquean entrada, salida o puntos obligatorios.</x:v>
      </x:c>
    </x:row>
    <x:row r="8">
      <x:c r="A8" s="24" t="str">
        <x:v>PERF-RUN-004</x:v>
      </x:c>
      <x:c r="B8" s="24" t="str">
        <x:v>TC-VS-BLD-004</x:v>
      </x:c>
      <x:c r="C8" s="24" t="str">
        <x:v>Fallo de validación no consume dinero ni altera ocupación</x:v>
      </x:c>
      <x:c r="D8" s="24" t="str"/>
      <x:c r="E8" s="24" t="str"/>
      <x:c r="F8" s="24" t="str">
        <x:v>1920×1080</x:v>
      </x:c>
      <x:c r="G8" s="24" t="str">
        <x:v>High/Target</x:v>
      </x:c>
      <x:c r="H8" s="24" t="n">
        <x:v>10</x:v>
      </x:c>
      <x:c r="I8" s="24" t="n">
        <x:v>60</x:v>
      </x:c>
      <x:c r="J8" s="24"/>
      <x:c r="K8" s="24"/>
      <x:c r="L8" s="24"/>
      <x:c r="M8" s="24"/>
      <x:c r="N8" s="24"/>
      <x:c r="O8" s="24"/>
      <x:c r="P8" s="24" t="str">
        <x:v>Not Run</x:v>
      </x:c>
      <x:c r="Q8" s="24" t="str"/>
      <x:c r="R8" s="24" t="str">
        <x:v>Fallo de validación no consume dinero ni altera ocupación.</x:v>
      </x:c>
    </x:row>
    <x:row r="9">
      <x:c r="A9" s="24" t="str">
        <x:v>PERF-RUN-005</x:v>
      </x:c>
      <x:c r="B9" s="24" t="str">
        <x:v>TC-VS-BLD-005</x:v>
      </x:c>
      <x:c r="C9" s="24" t="str">
        <x:v>Mover o retirar libera exactamente las celdas ocupadas</x:v>
      </x:c>
      <x:c r="D9" s="24" t="str"/>
      <x:c r="E9" s="24" t="str"/>
      <x:c r="F9" s="24" t="str">
        <x:v>1920×1080</x:v>
      </x:c>
      <x:c r="G9" s="24" t="str">
        <x:v>High/Target</x:v>
      </x:c>
      <x:c r="H9" s="24" t="n">
        <x:v>10</x:v>
      </x:c>
      <x:c r="I9" s="24" t="n">
        <x:v>60</x:v>
      </x:c>
      <x:c r="J9" s="24"/>
      <x:c r="K9" s="24"/>
      <x:c r="L9" s="24"/>
      <x:c r="M9" s="24"/>
      <x:c r="N9" s="24"/>
      <x:c r="O9" s="24"/>
      <x:c r="P9" s="24" t="str">
        <x:v>Not Run</x:v>
      </x:c>
      <x:c r="Q9" s="24" t="str"/>
      <x:c r="R9" s="24" t="str">
        <x:v>Mover o retirar libera exactamente las celdas ocupadas.</x:v>
      </x:c>
    </x:row>
    <x:row r="10">
      <x:c r="A10" s="24" t="str">
        <x:v>PERF-RUN-006</x:v>
      </x:c>
      <x:c r="B10" s="24" t="str">
        <x:v>TC-VS-BLD-006</x:v>
      </x:c>
      <x:c r="C10" s="24" t="str">
        <x:v>Posición, rotación, tipo e ID persisten tras recarga</x:v>
      </x:c>
      <x:c r="D10" s="24" t="str"/>
      <x:c r="E10" s="24" t="str"/>
      <x:c r="F10" s="24" t="str">
        <x:v>1920×1080</x:v>
      </x:c>
      <x:c r="G10" s="24" t="str">
        <x:v>High/Target</x:v>
      </x:c>
      <x:c r="H10" s="24" t="n">
        <x:v>10</x:v>
      </x:c>
      <x:c r="I10" s="24" t="n">
        <x:v>60</x:v>
      </x:c>
      <x:c r="J10" s="24"/>
      <x:c r="K10" s="24"/>
      <x:c r="L10" s="24"/>
      <x:c r="M10" s="24"/>
      <x:c r="N10" s="24"/>
      <x:c r="O10" s="24"/>
      <x:c r="P10" s="24" t="str">
        <x:v>Not Run</x:v>
      </x:c>
      <x:c r="Q10" s="24" t="str"/>
      <x:c r="R10" s="24" t="str">
        <x:v>Posición, rotación, tipo e ID persisten tras recarga.</x:v>
      </x:c>
    </x:row>
    <x:row r="11">
      <x:c r="A11" s="24" t="str">
        <x:v>PERF-RUN-007</x:v>
      </x:c>
      <x:c r="B11" s="24" t="str">
        <x:v>TC-VS-RES-001</x:v>
      </x:c>
      <x:c r="C11" s="24" t="str">
        <x:v>Una unidad no puede reservarse para dos clientes</x:v>
      </x:c>
      <x:c r="D11" s="24" t="str"/>
      <x:c r="E11" s="24" t="str"/>
      <x:c r="F11" s="24" t="str">
        <x:v>1920×1080</x:v>
      </x:c>
      <x:c r="G11" s="24" t="str">
        <x:v>High/Target</x:v>
      </x:c>
      <x:c r="H11" s="24" t="n">
        <x:v>10</x:v>
      </x:c>
      <x:c r="I11" s="24" t="n">
        <x:v>60</x:v>
      </x:c>
      <x:c r="J11" s="24"/>
      <x:c r="K11" s="24"/>
      <x:c r="L11" s="24"/>
      <x:c r="M11" s="24"/>
      <x:c r="N11" s="24"/>
      <x:c r="O11" s="24"/>
      <x:c r="P11" s="24" t="str">
        <x:v>Not Run</x:v>
      </x:c>
      <x:c r="Q11" s="24" t="str"/>
      <x:c r="R11" s="24" t="str">
        <x:v>Una unidad no puede reservarse para dos clientes.</x:v>
      </x:c>
    </x:row>
    <x:row r="12">
      <x:c r="A12" s="24" t="str">
        <x:v>PERF-RUN-008</x:v>
      </x:c>
      <x:c r="B12" s="24" t="str">
        <x:v>TC-VS-RES-002</x:v>
      </x:c>
      <x:c r="C12" s="24" t="str">
        <x:v>Abandono, fallo o cierre liberan la reserva</x:v>
      </x:c>
      <x:c r="D12" s="24" t="str"/>
      <x:c r="E12" s="24" t="str"/>
      <x:c r="F12" s="24" t="str">
        <x:v>1920×1080</x:v>
      </x:c>
      <x:c r="G12" s="24" t="str">
        <x:v>High/Target</x:v>
      </x:c>
      <x:c r="H12" s="24" t="n">
        <x:v>10</x:v>
      </x:c>
      <x:c r="I12" s="24" t="n">
        <x:v>60</x:v>
      </x:c>
      <x:c r="J12" s="24"/>
      <x:c r="K12" s="24"/>
      <x:c r="L12" s="24"/>
      <x:c r="M12" s="24"/>
      <x:c r="N12" s="24"/>
      <x:c r="O12" s="24"/>
      <x:c r="P12" s="24" t="str">
        <x:v>Not Run</x:v>
      </x:c>
      <x:c r="Q12" s="24" t="str"/>
      <x:c r="R12" s="24" t="str">
        <x:v>Abandono, fallo o cierre liberan la reserva.</x:v>
      </x:c>
    </x:row>
    <x:row r="13">
      <x:c r="A13" s="24" t="str">
        <x:v>PERF-RUN-009</x:v>
      </x:c>
      <x:c r="B13" s="24" t="str">
        <x:v>TC-VS-RES-003</x:v>
      </x:c>
      <x:c r="C13" s="24" t="str">
        <x:v>Venta consume la reserva exactamente una vez</x:v>
      </x:c>
      <x:c r="D13" s="24" t="str"/>
      <x:c r="E13" s="24" t="str"/>
      <x:c r="F13" s="24" t="str">
        <x:v>1920×1080</x:v>
      </x:c>
      <x:c r="G13" s="24" t="str">
        <x:v>High/Target</x:v>
      </x:c>
      <x:c r="H13" s="24" t="n">
        <x:v>10</x:v>
      </x:c>
      <x:c r="I13" s="24" t="n">
        <x:v>60</x:v>
      </x:c>
      <x:c r="J13" s="24"/>
      <x:c r="K13" s="24"/>
      <x:c r="L13" s="24"/>
      <x:c r="M13" s="24"/>
      <x:c r="N13" s="24"/>
      <x:c r="O13" s="24"/>
      <x:c r="P13" s="24" t="str">
        <x:v>Not Run</x:v>
      </x:c>
      <x:c r="Q13" s="24" t="str"/>
      <x:c r="R13" s="24" t="str">
        <x:v>Venta consume la reserva exactamente una vez.</x:v>
      </x:c>
    </x:row>
    <x:row r="14">
      <x:c r="A14" s="24" t="str">
        <x:v>PERF-RUN-010</x:v>
      </x:c>
      <x:c r="B14" s="24" t="str">
        <x:v>TC-VS-PER-001</x:v>
      </x:c>
      <x:c r="C14" s="24" t="str">
        <x:v>Prueba objetivo registra 60 FPS/1080p o desviación justificada en perfil documentado</x:v>
      </x:c>
      <x:c r="D14" s="24" t="str"/>
      <x:c r="E14" s="24" t="str"/>
      <x:c r="F14" s="24" t="str">
        <x:v>1920×1080</x:v>
      </x:c>
      <x:c r="G14" s="24" t="str">
        <x:v>High/Target</x:v>
      </x:c>
      <x:c r="H14" s="24" t="n">
        <x:v>10</x:v>
      </x:c>
      <x:c r="I14" s="24" t="n">
        <x:v>60</x:v>
      </x:c>
      <x:c r="J14" s="24"/>
      <x:c r="K14" s="24"/>
      <x:c r="L14" s="24"/>
      <x:c r="M14" s="24"/>
      <x:c r="N14" s="24"/>
      <x:c r="O14" s="24"/>
      <x:c r="P14" s="24" t="str">
        <x:v>Not Run</x:v>
      </x:c>
      <x:c r="Q14" s="24" t="str"/>
      <x:c r="R14" s="24" t="str">
        <x:v>Prueba objetivo registra 60 FPS/1080p o desviación justificada en perfil documentado.</x:v>
      </x:c>
    </x:row>
    <x:row r="15">
      <x:c r="A15" s="24" t="str">
        <x:v>PERF-RUN-011</x:v>
      </x:c>
      <x:c r="B15" s="24" t="str">
        <x:v>TC-VS-PER-002</x:v>
      </x:c>
      <x:c r="C15" s="24" t="str">
        <x:v>No existe degradación acumulativa grave durante la sesión extensa</x:v>
      </x:c>
      <x:c r="D15" s="24" t="str"/>
      <x:c r="E15" s="24" t="str"/>
      <x:c r="F15" s="24" t="str">
        <x:v>1920×1080</x:v>
      </x:c>
      <x:c r="G15" s="24" t="str">
        <x:v>High/Target</x:v>
      </x:c>
      <x:c r="H15" s="24" t="n">
        <x:v>10</x:v>
      </x:c>
      <x:c r="I15" s="24" t="n">
        <x:v>60</x:v>
      </x:c>
      <x:c r="J15" s="24"/>
      <x:c r="K15" s="24"/>
      <x:c r="L15" s="24"/>
      <x:c r="M15" s="24"/>
      <x:c r="N15" s="24"/>
      <x:c r="O15" s="24"/>
      <x:c r="P15" s="24" t="str">
        <x:v>Not Run</x:v>
      </x:c>
      <x:c r="Q15" s="24" t="str"/>
      <x:c r="R15" s="24" t="str">
        <x:v>No existe degradación acumulativa grave durante la sesión extensa.</x:v>
      </x:c>
    </x:row>
    <x:row r="16">
      <x:c r="A16" s="24" t="str">
        <x:v>PERF-RUN-012</x:v>
      </x:c>
      <x:c r="B16" s="24" t="str">
        <x:v>TC-VS-BUILD-001</x:v>
      </x:c>
      <x:c r="C16" s="24" t="str">
        <x:v>Windows x64 Development Build se genera sin error</x:v>
      </x:c>
      <x:c r="D16" s="24" t="str"/>
      <x:c r="E16" s="24" t="str"/>
      <x:c r="F16" s="24" t="str">
        <x:v>1920×1080</x:v>
      </x:c>
      <x:c r="G16" s="24" t="str">
        <x:v>High/Target</x:v>
      </x:c>
      <x:c r="H16" s="24" t="n">
        <x:v>10</x:v>
      </x:c>
      <x:c r="I16" s="24" t="n">
        <x:v>60</x:v>
      </x:c>
      <x:c r="J16" s="24"/>
      <x:c r="K16" s="24"/>
      <x:c r="L16" s="24"/>
      <x:c r="M16" s="24"/>
      <x:c r="N16" s="24"/>
      <x:c r="O16" s="24"/>
      <x:c r="P16" s="24" t="str">
        <x:v>Not Run</x:v>
      </x:c>
      <x:c r="Q16" s="24" t="str"/>
      <x:c r="R16" s="24" t="str">
        <x:v>Windows x64 Development Build se genera sin error.</x:v>
      </x:c>
    </x:row>
    <x:row r="17">
      <x:c r="A17" s="24" t="str">
        <x:v>PERF-RUN-013</x:v>
      </x:c>
      <x:c r="B17" s="24" t="str">
        <x:v>TC-VS-BUILD-002</x:v>
      </x:c>
      <x:c r="C17" s="24" t="str">
        <x:v>Ejecutable arranca y completa Golden Path fuera del Editor</x:v>
      </x:c>
      <x:c r="D17" s="24" t="str"/>
      <x:c r="E17" s="24" t="str"/>
      <x:c r="F17" s="24" t="str">
        <x:v>1920×1080</x:v>
      </x:c>
      <x:c r="G17" s="24" t="str">
        <x:v>High/Target</x:v>
      </x:c>
      <x:c r="H17" s="24" t="n">
        <x:v>10</x:v>
      </x:c>
      <x:c r="I17" s="24" t="n">
        <x:v>60</x:v>
      </x:c>
      <x:c r="J17" s="24"/>
      <x:c r="K17" s="24"/>
      <x:c r="L17" s="24"/>
      <x:c r="M17" s="24"/>
      <x:c r="N17" s="24"/>
      <x:c r="O17" s="24"/>
      <x:c r="P17" s="24" t="str">
        <x:v>Not Run</x:v>
      </x:c>
      <x:c r="Q17" s="24" t="str"/>
      <x:c r="R17" s="24" t="str">
        <x:v>Ejecutable arranca y completa Golden Path fuera del Editor.</x:v>
      </x:c>
    </x:row>
    <x:row r="18">
      <x:c r="A18" s="24" t="str">
        <x:v>PERF-RUN-014</x:v>
      </x:c>
      <x:c r="B18" s="24" t="str">
        <x:v>TC-VS-BUILD-003</x:v>
      </x:c>
      <x:c r="C18" s="24" t="str">
        <x:v>`Player.log` no contiene errores bloqueantes o recurrentes</x:v>
      </x:c>
      <x:c r="D18" s="24" t="str"/>
      <x:c r="E18" s="24" t="str"/>
      <x:c r="F18" s="24" t="str">
        <x:v>1920×1080</x:v>
      </x:c>
      <x:c r="G18" s="24" t="str">
        <x:v>High/Target</x:v>
      </x:c>
      <x:c r="H18" s="24" t="n">
        <x:v>10</x:v>
      </x:c>
      <x:c r="I18" s="24" t="n">
        <x:v>60</x:v>
      </x:c>
      <x:c r="J18" s="24"/>
      <x:c r="K18" s="24"/>
      <x:c r="L18" s="24"/>
      <x:c r="M18" s="24"/>
      <x:c r="N18" s="24"/>
      <x:c r="O18" s="24"/>
      <x:c r="P18" s="24" t="str">
        <x:v>Not Run</x:v>
      </x:c>
      <x:c r="Q18" s="24" t="str"/>
      <x:c r="R18" s="24" t="str">
        <x:v>`Player.log` no contiene errores bloqueantes o recurrentes.</x:v>
      </x:c>
    </x:row>
    <x:row r="19">
      <x:c r="A19" s="24" t="str">
        <x:v>PERF-RUN-015</x:v>
      </x:c>
      <x:c r="B19" s="24" t="str">
        <x:v>TC-UX-BLD-001</x:v>
      </x:c>
      <x:c r="C19" s="24" t="str">
        <x:v>Entrar en BuildMode suprime movimiento</x:v>
      </x:c>
      <x:c r="D19" s="24" t="str"/>
      <x:c r="E19" s="24" t="str"/>
      <x:c r="F19" s="24" t="str">
        <x:v>1920×1080</x:v>
      </x:c>
      <x:c r="G19" s="24" t="str">
        <x:v>High/Target</x:v>
      </x:c>
      <x:c r="H19" s="24" t="n">
        <x:v>10</x:v>
      </x:c>
      <x:c r="I19" s="24" t="n">
        <x:v>60</x:v>
      </x:c>
      <x:c r="J19" s="24"/>
      <x:c r="K19" s="24"/>
      <x:c r="L19" s="24"/>
      <x:c r="M19" s="24"/>
      <x:c r="N19" s="24"/>
      <x:c r="O19" s="24"/>
      <x:c r="P19" s="24" t="str">
        <x:v>Not Run</x:v>
      </x:c>
      <x:c r="Q19" s="24" t="str"/>
      <x:c r="R19" s="24" t="str">
        <x:v>Entrar en BuildMode suprime movimiento.</x:v>
      </x:c>
    </x:row>
    <x:row r="20">
      <x:c r="A20" s="24" t="str">
        <x:v>PERF-RUN-016</x:v>
      </x:c>
      <x:c r="B20" s="24" t="str">
        <x:v>TC-UX-BLD-002</x:v>
      </x:c>
      <x:c r="C20" s="24" t="str">
        <x:v>Preview coincide con grid y huella</x:v>
      </x:c>
      <x:c r="D20" s="24" t="str"/>
      <x:c r="E20" s="24" t="str"/>
      <x:c r="F20" s="24" t="str">
        <x:v>1920×1080</x:v>
      </x:c>
      <x:c r="G20" s="24" t="str">
        <x:v>High/Target</x:v>
      </x:c>
      <x:c r="H20" s="24" t="n">
        <x:v>10</x:v>
      </x:c>
      <x:c r="I20" s="24" t="n">
        <x:v>60</x:v>
      </x:c>
      <x:c r="J20" s="24"/>
      <x:c r="K20" s="24"/>
      <x:c r="L20" s="24"/>
      <x:c r="M20" s="24"/>
      <x:c r="N20" s="24"/>
      <x:c r="O20" s="24"/>
      <x:c r="P20" s="24" t="str">
        <x:v>Not Run</x:v>
      </x:c>
      <x:c r="Q20" s="24" t="str"/>
      <x:c r="R20" s="24" t="str">
        <x:v>Preview coincide con grid y huella.</x:v>
      </x:c>
    </x:row>
    <x:row r="21">
      <x:c r="A21" s="24" t="str">
        <x:v>PERF-RUN-017</x:v>
      </x:c>
      <x:c r="B21" s="24" t="str">
        <x:v>TC-UX-BLD-003</x:v>
      </x:c>
      <x:c r="C21" s="24" t="str">
        <x:v>Q/E rota y revalida</x:v>
      </x:c>
      <x:c r="D21" s="24" t="str"/>
      <x:c r="E21" s="24" t="str"/>
      <x:c r="F21" s="24" t="str">
        <x:v>1920×1080</x:v>
      </x:c>
      <x:c r="G21" s="24" t="str">
        <x:v>High/Target</x:v>
      </x:c>
      <x:c r="H21" s="24" t="n">
        <x:v>10</x:v>
      </x:c>
      <x:c r="I21" s="24" t="n">
        <x:v>60</x:v>
      </x:c>
      <x:c r="J21" s="24"/>
      <x:c r="K21" s="24"/>
      <x:c r="L21" s="24"/>
      <x:c r="M21" s="24"/>
      <x:c r="N21" s="24"/>
      <x:c r="O21" s="24"/>
      <x:c r="P21" s="24" t="str">
        <x:v>Not Run</x:v>
      </x:c>
      <x:c r="Q21" s="24" t="str"/>
      <x:c r="R21" s="24" t="str">
        <x:v>Q/E rota y revalida.</x:v>
      </x:c>
    </x:row>
    <x:row r="22">
      <x:c r="A22" s="24" t="str">
        <x:v>PERF-RUN-018</x:v>
      </x:c>
      <x:c r="B22" s="24" t="str">
        <x:v>TC-UX-BLD-004</x:v>
      </x:c>
      <x:c r="C22" s="24" t="str">
        <x:v>Un placement inválido explica causa</x:v>
      </x:c>
      <x:c r="D22" s="24" t="str"/>
      <x:c r="E22" s="24" t="str"/>
      <x:c r="F22" s="24" t="str">
        <x:v>1920×1080</x:v>
      </x:c>
      <x:c r="G22" s="24" t="str">
        <x:v>High/Target</x:v>
      </x:c>
      <x:c r="H22" s="24" t="n">
        <x:v>10</x:v>
      </x:c>
      <x:c r="I22" s="24" t="n">
        <x:v>60</x:v>
      </x:c>
      <x:c r="J22" s="24"/>
      <x:c r="K22" s="24"/>
      <x:c r="L22" s="24"/>
      <x:c r="M22" s="24"/>
      <x:c r="N22" s="24"/>
      <x:c r="O22" s="24"/>
      <x:c r="P22" s="24" t="str">
        <x:v>Not Run</x:v>
      </x:c>
      <x:c r="Q22" s="24" t="str"/>
      <x:c r="R22" s="24" t="str">
        <x:v>Un placement inválido explica causa.</x:v>
      </x:c>
    </x:row>
    <x:row r="23">
      <x:c r="A23" s="24" t="str">
        <x:v>PERF-RUN-019</x:v>
      </x:c>
      <x:c r="B23" s="24" t="str">
        <x:v>TC-UX-BLD-005</x:v>
      </x:c>
      <x:c r="C23" s="24" t="str">
        <x:v>Un placement inválido no cobra ni ocupa</x:v>
      </x:c>
      <x:c r="D23" s="24" t="str"/>
      <x:c r="E23" s="24" t="str"/>
      <x:c r="F23" s="24" t="str">
        <x:v>1920×1080</x:v>
      </x:c>
      <x:c r="G23" s="24" t="str">
        <x:v>High/Target</x:v>
      </x:c>
      <x:c r="H23" s="24" t="n">
        <x:v>10</x:v>
      </x:c>
      <x:c r="I23" s="24" t="n">
        <x:v>60</x:v>
      </x:c>
      <x:c r="J23" s="24"/>
      <x:c r="K23" s="24"/>
      <x:c r="L23" s="24"/>
      <x:c r="M23" s="24"/>
      <x:c r="N23" s="24"/>
      <x:c r="O23" s="24"/>
      <x:c r="P23" s="24" t="str">
        <x:v>Not Run</x:v>
      </x:c>
      <x:c r="Q23" s="24" t="str"/>
      <x:c r="R23" s="24" t="str">
        <x:v>Un placement inválido no cobra ni ocupa.</x:v>
      </x:c>
    </x:row>
    <x:row r="24">
      <x:c r="A24" s="24" t="str">
        <x:v>PERF-RUN-020</x:v>
      </x:c>
      <x:c r="B24" s="24" t="str">
        <x:v>TC-UX-BLD-006</x:v>
      </x:c>
      <x:c r="C24" s="24" t="str">
        <x:v>Cancelar movimiento restaura estado anterior</x:v>
      </x:c>
      <x:c r="D24" s="24" t="str"/>
      <x:c r="E24" s="24" t="str"/>
      <x:c r="F24" s="24" t="str">
        <x:v>1920×1080</x:v>
      </x:c>
      <x:c r="G24" s="24" t="str">
        <x:v>High/Target</x:v>
      </x:c>
      <x:c r="H24" s="24" t="n">
        <x:v>10</x:v>
      </x:c>
      <x:c r="I24" s="24" t="n">
        <x:v>60</x:v>
      </x:c>
      <x:c r="J24" s="24"/>
      <x:c r="K24" s="24"/>
      <x:c r="L24" s="24"/>
      <x:c r="M24" s="24"/>
      <x:c r="N24" s="24"/>
      <x:c r="O24" s="24"/>
      <x:c r="P24" s="24" t="str">
        <x:v>Not Run</x:v>
      </x:c>
      <x:c r="Q24" s="24" t="str"/>
      <x:c r="R24" s="24" t="str">
        <x:v>Cancelar movimiento restaura estado anterior.</x:v>
      </x:c>
    </x:row>
    <x:row r="25">
      <x:c r="A25" s="24" t="str">
        <x:v>PERF-RUN-021</x:v>
      </x:c>
      <x:c r="B25" s="24" t="str">
        <x:v>TC-UX-BLD-007</x:v>
      </x:c>
      <x:c r="C25" s="24" t="str">
        <x:v>Retirar no destruye stock silenciosamente</x:v>
      </x:c>
      <x:c r="D25" s="24" t="str"/>
      <x:c r="E25" s="24" t="str"/>
      <x:c r="F25" s="24" t="str">
        <x:v>1920×1080</x:v>
      </x:c>
      <x:c r="G25" s="24" t="str">
        <x:v>High/Target</x:v>
      </x:c>
      <x:c r="H25" s="24" t="n">
        <x:v>10</x:v>
      </x:c>
      <x:c r="I25" s="24" t="n">
        <x:v>60</x:v>
      </x:c>
      <x:c r="J25" s="24"/>
      <x:c r="K25" s="24"/>
      <x:c r="L25" s="24"/>
      <x:c r="M25" s="24"/>
      <x:c r="N25" s="24"/>
      <x:c r="O25" s="24"/>
      <x:c r="P25" s="24" t="str">
        <x:v>Not Run</x:v>
      </x:c>
      <x:c r="Q25" s="24" t="str"/>
      <x:c r="R25" s="24" t="str">
        <x:v>Retirar no destruye stock silenciosamente.</x:v>
      </x:c>
    </x:row>
    <x:row r="26">
      <x:c r="A26" s="24" t="str">
        <x:v>PERF-RUN-022</x:v>
      </x:c>
      <x:c r="B26" s="24" t="str">
        <x:v>TC-UX-BLD-008</x:v>
      </x:c>
      <x:c r="C26" s="24" t="str">
        <x:v>El feedback no depende solo del color</x:v>
      </x:c>
      <x:c r="D26" s="24" t="str"/>
      <x:c r="E26" s="24" t="str"/>
      <x:c r="F26" s="24" t="str">
        <x:v>1920×1080</x:v>
      </x:c>
      <x:c r="G26" s="24" t="str">
        <x:v>High/Target</x:v>
      </x:c>
      <x:c r="H26" s="24" t="n">
        <x:v>10</x:v>
      </x:c>
      <x:c r="I26" s="24" t="n">
        <x:v>60</x:v>
      </x:c>
      <x:c r="J26" s="24"/>
      <x:c r="K26" s="24"/>
      <x:c r="L26" s="24"/>
      <x:c r="M26" s="24"/>
      <x:c r="N26" s="24"/>
      <x:c r="O26" s="24"/>
      <x:c r="P26" s="24" t="str">
        <x:v>Not Run</x:v>
      </x:c>
      <x:c r="Q26" s="24" t="str"/>
      <x:c r="R26" s="24" t="str">
        <x:v>El feedback no depende solo del color.</x:v>
      </x:c>
    </x:row>
    <x:row r="27">
      <x:c r="A27" s="24" t="str">
        <x:v>PERF-RUN-023</x:v>
      </x:c>
      <x:c r="B27" s="24" t="str">
        <x:v>TC-UX-BLD-009</x:v>
      </x:c>
      <x:c r="C27" s="24" t="str">
        <x:v>Cerrar BuildMode no produce clic de mundo</x:v>
      </x:c>
      <x:c r="D27" s="24" t="str"/>
      <x:c r="E27" s="24" t="str"/>
      <x:c r="F27" s="24" t="str">
        <x:v>1920×1080</x:v>
      </x:c>
      <x:c r="G27" s="24" t="str">
        <x:v>High/Target</x:v>
      </x:c>
      <x:c r="H27" s="24" t="n">
        <x:v>10</x:v>
      </x:c>
      <x:c r="I27" s="24" t="n">
        <x:v>60</x:v>
      </x:c>
      <x:c r="J27" s="24"/>
      <x:c r="K27" s="24"/>
      <x:c r="L27" s="24"/>
      <x:c r="M27" s="24"/>
      <x:c r="N27" s="24"/>
      <x:c r="O27" s="24"/>
      <x:c r="P27" s="24" t="str">
        <x:v>Not Run</x:v>
      </x:c>
      <x:c r="Q27" s="24" t="str"/>
      <x:c r="R27" s="24" t="str">
        <x:v>Cerrar BuildMode no produce clic de mundo.</x:v>
      </x:c>
    </x:row>
    <x:row r="28">
      <x:c r="A28" s="24" t="str">
        <x:v>PERF-RUN-024</x:v>
      </x:c>
      <x:c r="B28" s="24" t="str">
        <x:v>TC-FI-RES-001</x:v>
      </x:c>
      <x:c r="C28" s="24" t="str">
        <x:v>Destruir o desactivar cliente con reserva</x:v>
      </x:c>
      <x:c r="D28" s="24" t="str"/>
      <x:c r="E28" s="24" t="str"/>
      <x:c r="F28" s="24" t="str">
        <x:v>1920×1080</x:v>
      </x:c>
      <x:c r="G28" s="24" t="str">
        <x:v>High/Target</x:v>
      </x:c>
      <x:c r="H28" s="24" t="n">
        <x:v>10</x:v>
      </x:c>
      <x:c r="I28" s="24" t="n">
        <x:v>60</x:v>
      </x:c>
      <x:c r="J28" s="24"/>
      <x:c r="K28" s="24"/>
      <x:c r="L28" s="24"/>
      <x:c r="M28" s="24"/>
      <x:c r="N28" s="24"/>
      <x:c r="O28" s="24"/>
      <x:c r="P28" s="24" t="str">
        <x:v>Not Run</x:v>
      </x:c>
      <x:c r="Q28" s="24" t="str"/>
      <x:c r="R28" s="24" t="str">
        <x:v>La reserva se libera mediante recuperación segura.</x:v>
      </x:c>
    </x:row>
    <x:row r="29">
      <x:c r="A29" s="24" t="str">
        <x:v>PERF-RUN-025</x:v>
      </x:c>
      <x:c r="B29" s="24" t="str">
        <x:v>TC-PERF-001</x:v>
      </x:c>
      <x:c r="C29" s="24" t="str">
        <x:v>Medir StoreInitial vacía en build 1080p</x:v>
      </x:c>
      <x:c r="D29" s="24" t="str"/>
      <x:c r="E29" s="24" t="str"/>
      <x:c r="F29" s="24" t="str">
        <x:v>1920×1080</x:v>
      </x:c>
      <x:c r="G29" s="24" t="str">
        <x:v>High/Target</x:v>
      </x:c>
      <x:c r="H29" s="24" t="n">
        <x:v>10</x:v>
      </x:c>
      <x:c r="I29" s="24" t="n">
        <x:v>60</x:v>
      </x:c>
      <x:c r="J29" s="24"/>
      <x:c r="K29" s="24"/>
      <x:c r="L29" s="24"/>
      <x:c r="M29" s="24"/>
      <x:c r="N29" s="24"/>
      <x:c r="O29" s="24"/>
      <x:c r="P29" s="24" t="str">
        <x:v>Not Run</x:v>
      </x:c>
      <x:c r="Q29" s="24" t="str"/>
      <x:c r="R29" s="24" t="str">
        <x:v>Se registra FPS, CPU, GPU, memoria y hardware.</x:v>
      </x:c>
    </x:row>
    <x:row r="30">
      <x:c r="A30" s="24" t="str">
        <x:v>PERF-RUN-026</x:v>
      </x:c>
      <x:c r="B30" s="24" t="str">
        <x:v>TC-PERF-002</x:v>
      </x:c>
      <x:c r="C30" s="24" t="str">
        <x:v>Tienda equipada con ocho clientes</x:v>
      </x:c>
      <x:c r="D30" s="24" t="str"/>
      <x:c r="E30" s="24" t="str"/>
      <x:c r="F30" s="24" t="str">
        <x:v>1920×1080</x:v>
      </x:c>
      <x:c r="G30" s="24" t="str">
        <x:v>High/Target</x:v>
      </x:c>
      <x:c r="H30" s="24" t="n">
        <x:v>10</x:v>
      </x:c>
      <x:c r="I30" s="24" t="n">
        <x:v>60</x:v>
      </x:c>
      <x:c r="J30" s="24"/>
      <x:c r="K30" s="24"/>
      <x:c r="L30" s="24"/>
      <x:c r="M30" s="24"/>
      <x:c r="N30" s="24"/>
      <x:c r="O30" s="24"/>
      <x:c r="P30" s="24" t="str">
        <x:v>Not Run</x:v>
      </x:c>
      <x:c r="Q30" s="24" t="str"/>
      <x:c r="R30" s="24" t="str">
        <x:v>Se cumple el objetivo o se documenta desviación.</x:v>
      </x:c>
    </x:row>
    <x:row r="31">
      <x:c r="A31" s="24" t="str">
        <x:v>PERF-RUN-027</x:v>
      </x:c>
      <x:c r="B31" s="24" t="str">
        <x:v>TC-PERF-003</x:v>
      </x:c>
      <x:c r="C31" s="24" t="str">
        <x:v>Ejecutar siete días consecutivos</x:v>
      </x:c>
      <x:c r="D31" s="24" t="str"/>
      <x:c r="E31" s="24" t="str"/>
      <x:c r="F31" s="24" t="str">
        <x:v>1920×1080</x:v>
      </x:c>
      <x:c r="G31" s="24" t="str">
        <x:v>High/Target</x:v>
      </x:c>
      <x:c r="H31" s="24" t="n">
        <x:v>10</x:v>
      </x:c>
      <x:c r="I31" s="24" t="n">
        <x:v>60</x:v>
      </x:c>
      <x:c r="J31" s="24"/>
      <x:c r="K31" s="24"/>
      <x:c r="L31" s="24"/>
      <x:c r="M31" s="24"/>
      <x:c r="N31" s="24"/>
      <x:c r="O31" s="24"/>
      <x:c r="P31" s="24" t="str">
        <x:v>Not Run</x:v>
      </x:c>
      <x:c r="Q31" s="24" t="str"/>
      <x:c r="R31" s="24" t="str">
        <x:v>No existe degradación acumulativa grave.</x:v>
      </x:c>
    </x:row>
    <x:row r="32">
      <x:c r="A32" s="24" t="str">
        <x:v>PERF-RUN-028</x:v>
      </x:c>
      <x:c r="B32" s="24" t="str">
        <x:v>TC-PERF-004</x:v>
      </x:c>
      <x:c r="C32" s="24" t="str">
        <x:v>Perfilar checkout repetido</x:v>
      </x:c>
      <x:c r="D32" s="24" t="str"/>
      <x:c r="E32" s="24" t="str"/>
      <x:c r="F32" s="24" t="str">
        <x:v>1920×1080</x:v>
      </x:c>
      <x:c r="G32" s="24" t="str">
        <x:v>High/Target</x:v>
      </x:c>
      <x:c r="H32" s="24" t="n">
        <x:v>10</x:v>
      </x:c>
      <x:c r="I32" s="24" t="n">
        <x:v>60</x:v>
      </x:c>
      <x:c r="J32" s="24"/>
      <x:c r="K32" s="24"/>
      <x:c r="L32" s="24"/>
      <x:c r="M32" s="24"/>
      <x:c r="N32" s="24"/>
      <x:c r="O32" s="24"/>
      <x:c r="P32" s="24" t="str">
        <x:v>Not Run</x:v>
      </x:c>
      <x:c r="Q32" s="24" t="str"/>
      <x:c r="R32" s="24" t="str">
        <x:v>No hay allocations recurrentes graves en la ruta crítica.</x:v>
      </x:c>
    </x:row>
    <x:row r="33">
      <x:c r="A33" s="24" t="str">
        <x:v>PERF-RUN-029</x:v>
      </x:c>
      <x:c r="B33" s="24" t="str">
        <x:v>TC-PERF-005</x:v>
      </x:c>
      <x:c r="C33" s="24" t="str">
        <x:v>Medir guardado con estado representativo</x:v>
      </x:c>
      <x:c r="D33" s="24" t="str"/>
      <x:c r="E33" s="24" t="str"/>
      <x:c r="F33" s="24" t="str">
        <x:v>1920×1080</x:v>
      </x:c>
      <x:c r="G33" s="24" t="str">
        <x:v>High/Target</x:v>
      </x:c>
      <x:c r="H33" s="24" t="n">
        <x:v>10</x:v>
      </x:c>
      <x:c r="I33" s="24" t="n">
        <x:v>60</x:v>
      </x:c>
      <x:c r="J33" s="24"/>
      <x:c r="K33" s="24"/>
      <x:c r="L33" s="24"/>
      <x:c r="M33" s="24"/>
      <x:c r="N33" s="24"/>
      <x:c r="O33" s="24"/>
      <x:c r="P33" s="24" t="str">
        <x:v>Not Run</x:v>
      </x:c>
      <x:c r="Q33" s="24" t="str"/>
      <x:c r="R33" s="24" t="str">
        <x:v>Tiempo y pico de memoria quedan dentro de objetivo documentado.</x:v>
      </x:c>
    </x:row>
    <x:row r="34">
      <x:c r="A34" s="24" t="str">
        <x:v>PERF-RUN-030</x:v>
      </x:c>
      <x:c r="B34" s="24" t="str">
        <x:v>TC-PERF-006</x:v>
      </x:c>
      <x:c r="C34" s="24" t="str">
        <x:v>Medir carga y restauración de StoreInitial</x:v>
      </x:c>
      <x:c r="D34" s="24" t="str"/>
      <x:c r="E34" s="24" t="str"/>
      <x:c r="F34" s="24" t="str">
        <x:v>1920×1080</x:v>
      </x:c>
      <x:c r="G34" s="24" t="str">
        <x:v>High/Target</x:v>
      </x:c>
      <x:c r="H34" s="24" t="n">
        <x:v>10</x:v>
      </x:c>
      <x:c r="I34" s="24" t="n">
        <x:v>60</x:v>
      </x:c>
      <x:c r="J34" s="24"/>
      <x:c r="K34" s="24"/>
      <x:c r="L34" s="24"/>
      <x:c r="M34" s="24"/>
      <x:c r="N34" s="24"/>
      <x:c r="O34" s="24"/>
      <x:c r="P34" s="24" t="str">
        <x:v>Not Run</x:v>
      </x:c>
      <x:c r="Q34" s="24" t="str"/>
      <x:c r="R34" s="24" t="str">
        <x:v>No hay freeze inaceptable; la transición comunica progreso.</x:v>
      </x:c>
    </x:row>
    <x:row r="35">
      <x:c r="A35" s="24" t="str">
        <x:v>PERF-RUN-031</x:v>
      </x:c>
      <x:c r="B35" s="24" t="str">
        <x:v>TC-BLD-EXT-001</x:v>
      </x:c>
      <x:c r="C35" s="24" t="str">
        <x:v>Ejecutar EXE desde carpeta limpia</x:v>
      </x:c>
      <x:c r="D35" s="24" t="str"/>
      <x:c r="E35" s="24" t="str"/>
      <x:c r="F35" s="24" t="str">
        <x:v>1920×1080</x:v>
      </x:c>
      <x:c r="G35" s="24" t="str">
        <x:v>High/Target</x:v>
      </x:c>
      <x:c r="H35" s="24" t="n">
        <x:v>10</x:v>
      </x:c>
      <x:c r="I35" s="24" t="n">
        <x:v>60</x:v>
      </x:c>
      <x:c r="J35" s="24"/>
      <x:c r="K35" s="24"/>
      <x:c r="L35" s="24"/>
      <x:c r="M35" s="24"/>
      <x:c r="N35" s="24"/>
      <x:c r="O35" s="24"/>
      <x:c r="P35" s="24" t="str">
        <x:v>Not Run</x:v>
      </x:c>
      <x:c r="Q35" s="24" t="str"/>
      <x:c r="R35" s="24" t="str">
        <x:v>Bootstrap alcanza MainMenu sin dependencia del Editor.</x:v>
      </x:c>
    </x:row>
    <x:row r="36">
      <x:c r="A36" s="24" t="str">
        <x:v>PERF-RUN-032</x:v>
      </x:c>
      <x:c r="B36" s="24" t="str">
        <x:v>TC-BLD-EXT-002</x:v>
      </x:c>
      <x:c r="C36" s="24" t="str">
        <x:v>Crear nueva partida y entrar en StoreInitial</x:v>
      </x:c>
      <x:c r="D36" s="24" t="str"/>
      <x:c r="E36" s="24" t="str"/>
      <x:c r="F36" s="24" t="str">
        <x:v>1920×1080</x:v>
      </x:c>
      <x:c r="G36" s="24" t="str">
        <x:v>High/Target</x:v>
      </x:c>
      <x:c r="H36" s="24" t="n">
        <x:v>10</x:v>
      </x:c>
      <x:c r="I36" s="24" t="n">
        <x:v>60</x:v>
      </x:c>
      <x:c r="J36" s="24"/>
      <x:c r="K36" s="24"/>
      <x:c r="L36" s="24"/>
      <x:c r="M36" s="24"/>
      <x:c r="N36" s="24"/>
      <x:c r="O36" s="24"/>
      <x:c r="P36" s="24" t="str">
        <x:v>Not Run</x:v>
      </x:c>
      <x:c r="Q36" s="24" t="str"/>
      <x:c r="R36" s="24" t="str">
        <x:v>La escena correcta está incluida y conectada.</x:v>
      </x:c>
    </x:row>
    <x:row r="37">
      <x:c r="A37" s="24" t="str">
        <x:v>PERF-RUN-033</x:v>
      </x:c>
      <x:c r="B37" s="24" t="str">
        <x:v>TC-BLD-EXT-003</x:v>
      </x:c>
      <x:c r="C37" s="24" t="str">
        <x:v>Guardar, cerrar proceso y continuar</x:v>
      </x:c>
      <x:c r="D37" s="24" t="str"/>
      <x:c r="E37" s="24" t="str"/>
      <x:c r="F37" s="24" t="str">
        <x:v>1920×1080</x:v>
      </x:c>
      <x:c r="G37" s="24" t="str">
        <x:v>High/Target</x:v>
      </x:c>
      <x:c r="H37" s="24" t="n">
        <x:v>10</x:v>
      </x:c>
      <x:c r="I37" s="24" t="n">
        <x:v>60</x:v>
      </x:c>
      <x:c r="J37" s="24"/>
      <x:c r="K37" s="24"/>
      <x:c r="L37" s="24"/>
      <x:c r="M37" s="24"/>
      <x:c r="N37" s="24"/>
      <x:c r="O37" s="24"/>
      <x:c r="P37" s="24" t="str">
        <x:v>Not Run</x:v>
      </x:c>
      <x:c r="Q37" s="24" t="str"/>
      <x:c r="R37" s="24" t="str">
        <x:v>El slot se restaura correctamente.</x:v>
      </x:c>
    </x:row>
    <x:row r="38">
      <x:c r="A38" s="24" t="str">
        <x:v>PERF-RUN-034</x:v>
      </x:c>
      <x:c r="B38" s="24" t="str">
        <x:v>TC-BLD-EXT-004</x:v>
      </x:c>
      <x:c r="C38" s="24" t="str">
        <x:v>Revisar Player.log tras Golden Path</x:v>
      </x:c>
      <x:c r="D38" s="24" t="str"/>
      <x:c r="E38" s="24" t="str"/>
      <x:c r="F38" s="24" t="str">
        <x:v>1920×1080</x:v>
      </x:c>
      <x:c r="G38" s="24" t="str">
        <x:v>High/Target</x:v>
      </x:c>
      <x:c r="H38" s="24" t="n">
        <x:v>10</x:v>
      </x:c>
      <x:c r="I38" s="24" t="n">
        <x:v>60</x:v>
      </x:c>
      <x:c r="J38" s="24"/>
      <x:c r="K38" s="24"/>
      <x:c r="L38" s="24"/>
      <x:c r="M38" s="24"/>
      <x:c r="N38" s="24"/>
      <x:c r="O38" s="24"/>
      <x:c r="P38" s="24" t="str">
        <x:v>Not Run</x:v>
      </x:c>
      <x:c r="Q38" s="24" t="str"/>
      <x:c r="R38" s="24" t="str">
        <x:v>No contiene errores bloqueantes o recurrentes.</x:v>
      </x:c>
    </x:row>
    <x:row r="39">
      <x:c r="A39" s="24" t="str">
        <x:v>PERF-RUN-035</x:v>
      </x:c>
      <x:c r="B39" s="24" t="str">
        <x:v>TC-BLD-EXT-005</x:v>
      </x:c>
      <x:c r="C39" s="24" t="str">
        <x:v>Mover la carpeta de build a otra ruta</x:v>
      </x:c>
      <x:c r="D39" s="24" t="str"/>
      <x:c r="E39" s="24" t="str"/>
      <x:c r="F39" s="24" t="str">
        <x:v>1920×1080</x:v>
      </x:c>
      <x:c r="G39" s="24" t="str">
        <x:v>High/Target</x:v>
      </x:c>
      <x:c r="H39" s="24" t="n">
        <x:v>10</x:v>
      </x:c>
      <x:c r="I39" s="24" t="n">
        <x:v>60</x:v>
      </x:c>
      <x:c r="J39" s="24"/>
      <x:c r="K39" s="24"/>
      <x:c r="L39" s="24"/>
      <x:c r="M39" s="24"/>
      <x:c r="N39" s="24"/>
      <x:c r="O39" s="24"/>
      <x:c r="P39" s="24" t="str">
        <x:v>Not Run</x:v>
      </x:c>
      <x:c r="Q39" s="24" t="str"/>
      <x:c r="R39" s="24" t="str">
        <x:v>La build sigue arrancando y guardando.</x:v>
      </x:c>
    </x:row>
    <x:row r="40">
      <x:c r="A40" s="24" t="str">
        <x:v>PERF-RUN-036</x:v>
      </x:c>
      <x:c r="B40" s="24" t="str">
        <x:v>TC-RES-1080</x:v>
      </x:c>
      <x:c r="C40" s="24" t="str">
        <x:v>Probar 1920×1080</x:v>
      </x:c>
      <x:c r="D40" s="24" t="str"/>
      <x:c r="E40" s="24" t="str"/>
      <x:c r="F40" s="24" t="str">
        <x:v>1920×1080</x:v>
      </x:c>
      <x:c r="G40" s="24" t="str">
        <x:v>High/Target</x:v>
      </x:c>
      <x:c r="H40" s="24" t="n">
        <x:v>10</x:v>
      </x:c>
      <x:c r="I40" s="24" t="n">
        <x:v>60</x:v>
      </x:c>
      <x:c r="J40" s="24"/>
      <x:c r="K40" s="24"/>
      <x:c r="L40" s="24"/>
      <x:c r="M40" s="24"/>
      <x:c r="N40" s="24"/>
      <x:c r="O40" s="24"/>
      <x:c r="P40" s="24" t="str">
        <x:v>Not Run</x:v>
      </x:c>
      <x:c r="Q40" s="24" t="str"/>
      <x:c r="R40" s="24" t="str">
        <x:v>Golden Path legible y operable.</x:v>
      </x:c>
    </x:row>
    <x:row r="41">
      <x:c r="A41" s="24" t="str">
        <x:v>PERF-RUN-037</x:v>
      </x:c>
      <x:c r="B41" s="24" t="str">
        <x:v>TC-RES-1440</x:v>
      </x:c>
      <x:c r="C41" s="24" t="str">
        <x:v>Probar 2560×1440</x:v>
      </x:c>
      <x:c r="D41" s="24" t="str"/>
      <x:c r="E41" s="24" t="str"/>
      <x:c r="F41" s="24" t="str">
        <x:v>1920×1080</x:v>
      </x:c>
      <x:c r="G41" s="24" t="str">
        <x:v>High/Target</x:v>
      </x:c>
      <x:c r="H41" s="24" t="n">
        <x:v>10</x:v>
      </x:c>
      <x:c r="I41" s="24" t="n">
        <x:v>60</x:v>
      </x:c>
      <x:c r="J41" s="24"/>
      <x:c r="K41" s="24"/>
      <x:c r="L41" s="24"/>
      <x:c r="M41" s="24"/>
      <x:c r="N41" s="24"/>
      <x:c r="O41" s="24"/>
      <x:c r="P41" s="24" t="str">
        <x:v>Not Run</x:v>
      </x:c>
      <x:c r="Q41" s="24" t="str"/>
      <x:c r="R41" s="24" t="str">
        <x:v>UI y cámara conservan composición.</x:v>
      </x:c>
    </x:row>
    <x:row r="42">
      <x:c r="A42" s="24" t="str">
        <x:v>PERF-RUN-038</x:v>
      </x:c>
      <x:c r="B42" s="24" t="str">
        <x:v>TC-RES-720</x:v>
      </x:c>
      <x:c r="C42" s="24" t="str">
        <x:v>Probar 1280×720</x:v>
      </x:c>
      <x:c r="D42" s="24" t="str"/>
      <x:c r="E42" s="24" t="str"/>
      <x:c r="F42" s="24" t="str">
        <x:v>1920×1080</x:v>
      </x:c>
      <x:c r="G42" s="24" t="str">
        <x:v>High/Target</x:v>
      </x:c>
      <x:c r="H42" s="24" t="n">
        <x:v>10</x:v>
      </x:c>
      <x:c r="I42" s="24" t="n">
        <x:v>60</x:v>
      </x:c>
      <x:c r="J42" s="24"/>
      <x:c r="K42" s="24"/>
      <x:c r="L42" s="24"/>
      <x:c r="M42" s="24"/>
      <x:c r="N42" s="24"/>
      <x:c r="O42" s="24"/>
      <x:c r="P42" s="24" t="str">
        <x:v>Not Run</x:v>
      </x:c>
      <x:c r="Q42" s="24" t="str"/>
      <x:c r="R42" s="24" t="str">
        <x:v>Controles críticos visibles o resolución declarada no soportada.</x:v>
      </x:c>
    </x:row>
  </x:sheetData>
  <x:mergeCells>
    <x:mergeCell ref="A1:R1"/>
    <x:mergeCell ref="A2:R2"/>
  </x:mergeCells>
  <x:conditionalFormatting sqref="J5:J42">
    <x:cfRule type="cellIs" dxfId="7" priority="1" operator="lessThan">
      <x:formula>60</x:formula>
    </x:cfRule>
  </x:conditionalFormatting>
  <x:dataValidations count="1">
    <x:dataValidation type="list" sqref="P5:P42">
      <x:formula1>"Not Run,PASS,FAIL,BLOCKED,SKIPPED,Baseline PASS,PASS WITH OBSERVATION,N/A"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a181e68664f6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2" hidden="0" customWidth="1"/>
    <x:col min="4" max="4" width="16" hidden="0" customWidth="1"/>
    <x:col min="5" max="5" width="18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34" hidden="0" customWidth="1"/>
    <x:col min="11" max="11" width="14" hidden="0" customWidth="1"/>
  </x:cols>
  <x:sheetData>
    <x:row r="1" ht="28" customHeight="1">
      <x:c r="A1" s="36" t="str">
        <x:v>Registro de builds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Builds históricas y candidatas con versión, SHA, plataforma, Player.log y evidencia.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4" customHeight="1">
      <x:c r="A4" s="17" t="str">
        <x:v>Build ID</x:v>
      </x:c>
      <x:c r="B4" s="17" t="str">
        <x:v>Versión</x:v>
      </x:c>
      <x:c r="C4" s="17" t="str">
        <x:v>SHA/Commit</x:v>
      </x:c>
      <x:c r="D4" s="17" t="str">
        <x:v>Plataforma</x:v>
      </x:c>
      <x:c r="E4" s="17" t="str">
        <x:v>Tipo</x:v>
      </x:c>
      <x:c r="F4" s="17" t="str">
        <x:v>Sprint/Hito</x:v>
      </x:c>
      <x:c r="G4" s="17" t="str">
        <x:v>Resultado</x:v>
      </x:c>
      <x:c r="H4" s="17" t="str">
        <x:v>Alcance validado</x:v>
      </x:c>
      <x:c r="I4" s="17" t="str">
        <x:v>Player.log</x:v>
      </x:c>
      <x:c r="J4" s="17" t="str">
        <x:v>Evidencia</x:v>
      </x:c>
      <x:c r="K4" s="17" t="str">
        <x:v>Estado</x:v>
      </x:c>
    </x:row>
    <x:row r="5">
      <x:c r="A5" s="24" t="str">
        <x:v>BLD-000</x:v>
      </x:c>
      <x:c r="B5" s="24" t="str">
        <x:v>0.0.1</x:v>
      </x:c>
      <x:c r="C5" s="24" t="str"/>
      <x:c r="D5" s="24" t="str">
        <x:v>Windows x64</x:v>
      </x:c>
      <x:c r="E5" s="24" t="str">
        <x:v>Development</x:v>
      </x:c>
      <x:c r="F5" s="24" t="str">
        <x:v>Sprint 0</x:v>
      </x:c>
      <x:c r="G5" s="24" t="str">
        <x:v>PASS</x:v>
      </x:c>
      <x:c r="H5" s="24" t="str">
        <x:v>Foundation Build002</x:v>
      </x:c>
      <x:c r="I5" s="24" t="str">
        <x:v>Clean</x:v>
      </x:c>
      <x:c r="J5" s="24" t="str">
        <x:v>External execution</x:v>
      </x:c>
      <x:c r="K5" s="24" t="str">
        <x:v>Histórico</x:v>
      </x:c>
    </x:row>
    <x:row r="6">
      <x:c r="A6" s="24" t="str">
        <x:v>BLD-001</x:v>
      </x:c>
      <x:c r="B6" s="24" t="str">
        <x:v>0.0.2</x:v>
      </x:c>
      <x:c r="C6" s="24" t="str"/>
      <x:c r="D6" s="24" t="str">
        <x:v>Windows x64</x:v>
      </x:c>
      <x:c r="E6" s="24" t="str">
        <x:v>Development</x:v>
      </x:c>
      <x:c r="F6" s="24" t="str">
        <x:v>Sprint 1</x:v>
      </x:c>
      <x:c r="G6" s="24" t="str">
        <x:v>PASS</x:v>
      </x:c>
      <x:c r="H6" s="24" t="str">
        <x:v>Bootstrap/MainMenu/Store</x:v>
      </x:c>
      <x:c r="I6" s="24" t="str">
        <x:v>Clean</x:v>
      </x:c>
      <x:c r="J6" s="24" t="str">
        <x:v>Flow and Quit</x:v>
      </x:c>
      <x:c r="K6" s="24" t="str">
        <x:v>Histórico</x:v>
      </x:c>
    </x:row>
    <x:row r="7">
      <x:c r="A7" s="24" t="str">
        <x:v>BLD-003</x:v>
      </x:c>
      <x:c r="B7" s="24" t="str">
        <x:v>0.0.4</x:v>
      </x:c>
      <x:c r="C7" s="24" t="str"/>
      <x:c r="D7" s="24" t="str">
        <x:v>Windows x64</x:v>
      </x:c>
      <x:c r="E7" s="24" t="str">
        <x:v>Development</x:v>
      </x:c>
      <x:c r="F7" s="24" t="str">
        <x:v>Sprint 3</x:v>
      </x:c>
      <x:c r="G7" s="24" t="str">
        <x:v>PASS</x:v>
      </x:c>
      <x:c r="H7" s="24" t="str">
        <x:v>Movement/camera</x:v>
      </x:c>
      <x:c r="I7" s="24" t="str">
        <x:v>Reviewed</x:v>
      </x:c>
      <x:c r="J7" s="24" t="str">
        <x:v>Control/camera</x:v>
      </x:c>
      <x:c r="K7" s="24" t="str">
        <x:v>Histórico</x:v>
      </x:c>
    </x:row>
    <x:row r="8">
      <x:c r="A8" s="24" t="str">
        <x:v>BLD-004</x:v>
      </x:c>
      <x:c r="B8" s="24" t="str">
        <x:v>0.0.5</x:v>
      </x:c>
      <x:c r="C8" s="24" t="str"/>
      <x:c r="D8" s="24" t="str">
        <x:v>Windows x64</x:v>
      </x:c>
      <x:c r="E8" s="24" t="str">
        <x:v>Development</x:v>
      </x:c>
      <x:c r="F8" s="24" t="str">
        <x:v>Sprint 4</x:v>
      </x:c>
      <x:c r="G8" s="24" t="str">
        <x:v>PASS</x:v>
      </x:c>
      <x:c r="H8" s="24" t="str">
        <x:v>Placement TestLab</x:v>
      </x:c>
      <x:c r="I8" s="24" t="str">
        <x:v>Reviewed</x:v>
      </x:c>
      <x:c r="J8" s="24" t="str">
        <x:v>Placement gate</x:v>
      </x:c>
      <x:c r="K8" s="24" t="str">
        <x:v>Histórico</x:v>
      </x:c>
    </x:row>
    <x:row r="9">
      <x:c r="A9" s="24" t="str">
        <x:v>BLD-005</x:v>
      </x:c>
      <x:c r="B9" s="24" t="str">
        <x:v>0.0.6</x:v>
      </x:c>
      <x:c r="C9" s="24" t="str"/>
      <x:c r="D9" s="24" t="str">
        <x:v>Windows x64</x:v>
      </x:c>
      <x:c r="E9" s="24" t="str">
        <x:v>Development</x:v>
      </x:c>
      <x:c r="F9" s="24" t="str">
        <x:v>Sprint 5</x:v>
      </x:c>
      <x:c r="G9" s="24" t="str">
        <x:v>PASS</x:v>
      </x:c>
      <x:c r="H9" s="24" t="str">
        <x:v>Store shell/access</x:v>
      </x:c>
      <x:c r="I9" s="24" t="str">
        <x:v>Reviewed</x:v>
      </x:c>
      <x:c r="J9" s="24" t="str">
        <x:v>Store foundation gate</x:v>
      </x:c>
      <x:c r="K9" s="24" t="str">
        <x:v>Histórico</x:v>
      </x:c>
    </x:row>
    <x:row r="10">
      <x:c r="A10" s="24" t="str">
        <x:v>BLD-014</x:v>
      </x:c>
      <x:c r="B10" s="24" t="str">
        <x:v>0.0.15</x:v>
      </x:c>
      <x:c r="C10" s="24" t="str"/>
      <x:c r="D10" s="24" t="str">
        <x:v>Windows x64</x:v>
      </x:c>
      <x:c r="E10" s="24" t="str">
        <x:v>Development</x:v>
      </x:c>
      <x:c r="F10" s="24" t="str">
        <x:v>Sprint 14</x:v>
      </x:c>
      <x:c r="G10" s="24" t="str">
        <x:v>PASS</x:v>
      </x:c>
      <x:c r="H10" s="24" t="str">
        <x:v>Save/load complete slice</x:v>
      </x:c>
      <x:c r="I10" s="24" t="str">
        <x:v>Reviewed</x:v>
      </x:c>
      <x:c r="J10" s="24" t="str">
        <x:v>S14 record</x:v>
      </x:c>
      <x:c r="K10" s="24" t="str">
        <x:v>Histórico</x:v>
      </x:c>
    </x:row>
    <x:row r="11">
      <x:c r="A11" s="24" t="str">
        <x:v>BLD-015</x:v>
      </x:c>
      <x:c r="B11" s="24" t="str">
        <x:v>0.0.16</x:v>
      </x:c>
      <x:c r="C11" s="24" t="str"/>
      <x:c r="D11" s="24" t="str">
        <x:v>Windows x64</x:v>
      </x:c>
      <x:c r="E11" s="24" t="str">
        <x:v>Development</x:v>
      </x:c>
      <x:c r="F11" s="24" t="str">
        <x:v>Sprint 15</x:v>
      </x:c>
      <x:c r="G11" s="24" t="str">
        <x:v>PASS</x:v>
      </x:c>
      <x:c r="H11" s="24" t="str">
        <x:v>UI/UX integration</x:v>
      </x:c>
      <x:c r="I11" s="24" t="str">
        <x:v>Reviewed</x:v>
      </x:c>
      <x:c r="J11" s="24" t="str">
        <x:v>S15 record</x:v>
      </x:c>
      <x:c r="K11" s="24" t="str">
        <x:v>Histórico</x:v>
      </x:c>
    </x:row>
    <x:row r="12">
      <x:c r="A12" s="24" t="str">
        <x:v>BLD-016-PRE</x:v>
      </x:c>
      <x:c r="B12" s="24" t="str">
        <x:v>0.0.17</x:v>
      </x:c>
      <x:c r="C12" s="24" t="str">
        <x:v>091090c43855b0b26b09abe9335d18b978ac7eab</x:v>
      </x:c>
      <x:c r="D12" s="24" t="str">
        <x:v>Windows x64</x:v>
      </x:c>
      <x:c r="E12" s="24" t="str">
        <x:v>Development</x:v>
      </x:c>
      <x:c r="F12" s="24" t="str">
        <x:v>Sprint 16 pre-integración</x:v>
      </x:c>
      <x:c r="G12" s="24" t="str">
        <x:v>PASS</x:v>
      </x:c>
      <x:c r="H12" s="24" t="str">
        <x:v>Baseline previa</x:v>
      </x:c>
      <x:c r="I12" s="24" t="str">
        <x:v>Reviewed</x:v>
      </x:c>
      <x:c r="J12" s="24" t="str">
        <x:v>Baseline v0.6</x:v>
      </x:c>
      <x:c r="K12" s="24" t="str">
        <x:v>Histórico</x:v>
      </x:c>
    </x:row>
    <x:row r="13">
      <x:c r="A13" s="24" t="str">
        <x:v>BLD-016-POST</x:v>
      </x:c>
      <x:c r="B13" s="24" t="str">
        <x:v>0.0.17</x:v>
      </x:c>
      <x:c r="C13" s="24" t="str"/>
      <x:c r="D13" s="24" t="str">
        <x:v>Windows x64</x:v>
      </x:c>
      <x:c r="E13" s="24" t="str">
        <x:v>Development</x:v>
      </x:c>
      <x:c r="F13" s="24" t="str">
        <x:v>Sprint 16 post-integración</x:v>
      </x:c>
      <x:c r="G13" s="24" t="str">
        <x:v>PENDING</x:v>
      </x:c>
      <x:c r="H13" s="24" t="str">
        <x:v>StoreInitial Golden Path</x:v>
      </x:c>
      <x:c r="I13" s="24" t="str">
        <x:v>Pending</x:v>
      </x:c>
      <x:c r="J13" s="24" t="str">
        <x:v>Required for S16 closure</x:v>
      </x:c>
      <x:c r="K13" s="24" t="str">
        <x:v>Planificado</x:v>
      </x:c>
    </x:row>
    <x:row r="14">
      <x:c r="A14" s="24" t="str">
        <x:v>BLD-017-QA</x:v>
      </x:c>
      <x:c r="B14" s="24" t="str">
        <x:v>TBD</x:v>
      </x:c>
      <x:c r="C14" s="24" t="str"/>
      <x:c r="D14" s="24" t="str">
        <x:v>Windows x64</x:v>
      </x:c>
      <x:c r="E14" s="24" t="str">
        <x:v>QA</x:v>
      </x:c>
      <x:c r="F14" s="24" t="str">
        <x:v>Sprint 17</x:v>
      </x:c>
      <x:c r="G14" s="24" t="str">
        <x:v>PENDING</x:v>
      </x:c>
      <x:c r="H14" s="24" t="str">
        <x:v>Regression + performance</x:v>
      </x:c>
      <x:c r="I14" s="24" t="str">
        <x:v>Pending</x:v>
      </x:c>
      <x:c r="J14" s="24" t="str">
        <x:v>Required for H6</x:v>
      </x:c>
      <x:c r="K14" s="24" t="str">
        <x:v>Planificado</x:v>
      </x:c>
    </x:row>
    <x:row r="15">
      <x:c r="A15" s="24" t="str">
        <x:v>BLD-H6</x:v>
      </x:c>
      <x:c r="B15" s="24" t="str">
        <x:v>TBD</x:v>
      </x:c>
      <x:c r="C15" s="24" t="str"/>
      <x:c r="D15" s="24" t="str">
        <x:v>Windows x64</x:v>
      </x:c>
      <x:c r="E15" s="24" t="str">
        <x:v>H6 Candidate</x:v>
      </x:c>
      <x:c r="F15" s="24" t="str">
        <x:v>H6</x:v>
      </x:c>
      <x:c r="G15" s="24" t="str">
        <x:v>PENDING</x:v>
      </x:c>
      <x:c r="H15" s="24" t="str">
        <x:v>Golden Path + save/load + profiling</x:v>
      </x:c>
      <x:c r="I15" s="24" t="str">
        <x:v>Pending</x:v>
      </x:c>
      <x:c r="J15" s="24" t="str">
        <x:v>Candidate baseline</x:v>
      </x:c>
      <x:c r="K15" s="24" t="str">
        <x:v>Planificado</x:v>
      </x:c>
    </x:row>
  </x:sheetData>
  <x:mergeCells>
    <x:mergeCell ref="A1:K1"/>
    <x:mergeCell ref="A2:K2"/>
  </x:mergeCells>
  <x:dataValidations count="1">
    <x:dataValidation type="list" sqref="G5:G15">
      <x:formula1>"Not Run,PASS,FAIL,BLOCKED,SKIPPED,Baseline PASS,PASS WITH OBSERVATION,N/A"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e62c1c20784ce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22" hidden="0" customWidth="1"/>
    <x:col min="5" max="5" width="22" hidden="0" customWidth="1"/>
    <x:col min="6" max="6" width="18" hidden="0" customWidth="1"/>
    <x:col min="7" max="7" width="24" hidden="0" customWidth="1"/>
    <x:col min="8" max="8" width="32" hidden="0" customWidth="1"/>
    <x:col min="9" max="9" width="16" hidden="0" customWidth="1"/>
    <x:col min="10" max="10" width="16" hidden="0" customWidth="1"/>
    <x:col min="11" max="11" width="30" hidden="0" customWidth="1"/>
    <x:col min="12" max="12" width="18" hidden="0" customWidth="1"/>
    <x:col min="13" max="13" width="12" hidden="0" customWidth="1"/>
    <x:col min="14" max="14" width="36" hidden="0" customWidth="1"/>
  </x:cols>
  <x:sheetData>
    <x:row r="1" ht="28" customHeight="1">
      <x:c r="A1" s="36" t="str">
        <x:v>Registro de ejecuciones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Una fila por caso, suite o campaña. Completar build, resultado, defecto y evidencia.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4" customHeight="1">
      <x:c r="A4" s="17" t="str">
        <x:v>Execution ID</x:v>
      </x:c>
      <x:c r="B4" s="17" t="str">
        <x:v>Fecha</x:v>
      </x:c>
      <x:c r="C4" s="17" t="str">
        <x:v>Build ID</x:v>
      </x:c>
      <x:c r="D4" s="17" t="str">
        <x:v>Sprint/Campaña</x:v>
      </x:c>
      <x:c r="E4" s="17" t="str">
        <x:v>Test ID</x:v>
      </x:c>
      <x:c r="F4" s="17" t="str">
        <x:v>Requirement ID</x:v>
      </x:c>
      <x:c r="G4" s="17" t="str">
        <x:v>Nivel</x:v>
      </x:c>
      <x:c r="H4" s="17" t="str">
        <x:v>Entorno</x:v>
      </x:c>
      <x:c r="I4" s="17" t="str">
        <x:v>Resultado</x:v>
      </x:c>
      <x:c r="J4" s="17" t="str">
        <x:v>Defecto ID</x:v>
      </x:c>
      <x:c r="K4" s="17" t="str">
        <x:v>Evidencia</x:v>
      </x:c>
      <x:c r="L4" s="17" t="str">
        <x:v>Responsable</x:v>
      </x:c>
      <x:c r="M4" s="17" t="str">
        <x:v>Duración min</x:v>
      </x:c>
      <x:c r="N4" s="17" t="str">
        <x:v>Notas</x:v>
      </x:c>
    </x:row>
    <x:row r="5">
      <x:c r="A5" s="24" t="str">
        <x:v>EXE-0001</x:v>
      </x:c>
      <x:c r="B5" s="34"/>
      <x:c r="C5" s="24" t="str"/>
      <x:c r="D5" s="24" t="str">
        <x:v>H6 / Vertical Slice</x:v>
      </x:c>
      <x:c r="E5" s="24" t="str">
        <x:v>TC-VS-APP-001</x:v>
      </x:c>
      <x:c r="F5" s="24" t="str">
        <x:v>VS-APP-001</x:v>
      </x:c>
      <x:c r="G5" s="24" t="str">
        <x:v>PlayMode + Manual</x:v>
      </x:c>
      <x:c r="H5" s="24" t="str">
        <x:v>Unity 6000.3.18f1 / Windows x64</x:v>
      </x:c>
      <x:c r="I5" s="24" t="str">
        <x:v>Not Run</x:v>
      </x:c>
      <x:c r="J5" s="24" t="str"/>
      <x:c r="K5" s="24" t="str"/>
      <x:c r="L5" s="24" t="str">
        <x:v>VRM Games</x:v>
      </x:c>
      <x:c r="M5" s="24"/>
      <x:c r="N5" s="24" t="str">
        <x:v>Fila inicial; actualizar al ejecutar.</x:v>
      </x:c>
    </x:row>
    <x:row r="6">
      <x:c r="A6" s="24" t="str">
        <x:v>EXE-0002</x:v>
      </x:c>
      <x:c r="B6" s="34"/>
      <x:c r="C6" s="24" t="str"/>
      <x:c r="D6" s="24" t="str">
        <x:v>H6 / Vertical Slice</x:v>
      </x:c>
      <x:c r="E6" s="24" t="str">
        <x:v>TC-VS-APP-002</x:v>
      </x:c>
      <x:c r="F6" s="24" t="str">
        <x:v>VS-APP-002</x:v>
      </x:c>
      <x:c r="G6" s="24" t="str">
        <x:v>PlayMode + Manual</x:v>
      </x:c>
      <x:c r="H6" s="24" t="str">
        <x:v>Unity 6000.3.18f1 / Windows x64</x:v>
      </x:c>
      <x:c r="I6" s="24" t="str">
        <x:v>Not Run</x:v>
      </x:c>
      <x:c r="J6" s="24" t="str"/>
      <x:c r="K6" s="24" t="str"/>
      <x:c r="L6" s="24" t="str">
        <x:v>VRM Games</x:v>
      </x:c>
      <x:c r="M6" s="24"/>
      <x:c r="N6" s="24" t="str">
        <x:v>Fila inicial; actualizar al ejecutar.</x:v>
      </x:c>
    </x:row>
    <x:row r="7">
      <x:c r="A7" s="24" t="str">
        <x:v>EXE-0003</x:v>
      </x:c>
      <x:c r="B7" s="34"/>
      <x:c r="C7" s="24" t="str"/>
      <x:c r="D7" s="24" t="str">
        <x:v>H6 / Vertical Slice</x:v>
      </x:c>
      <x:c r="E7" s="24" t="str">
        <x:v>TC-VS-APP-003</x:v>
      </x:c>
      <x:c r="F7" s="24" t="str">
        <x:v>VS-APP-003</x:v>
      </x:c>
      <x:c r="G7" s="24" t="str">
        <x:v>PlayMode + Manual</x:v>
      </x:c>
      <x:c r="H7" s="24" t="str">
        <x:v>Unity 6000.3.18f1 / Windows x64</x:v>
      </x:c>
      <x:c r="I7" s="24" t="str">
        <x:v>Not Run</x:v>
      </x:c>
      <x:c r="J7" s="24" t="str"/>
      <x:c r="K7" s="24" t="str"/>
      <x:c r="L7" s="24" t="str">
        <x:v>VRM Games</x:v>
      </x:c>
      <x:c r="M7" s="24"/>
      <x:c r="N7" s="24" t="str">
        <x:v>Fila inicial; actualizar al ejecutar.</x:v>
      </x:c>
    </x:row>
    <x:row r="8">
      <x:c r="A8" s="24" t="str">
        <x:v>EXE-0004</x:v>
      </x:c>
      <x:c r="B8" s="34"/>
      <x:c r="C8" s="24" t="str"/>
      <x:c r="D8" s="24" t="str">
        <x:v>H6 / Vertical Slice</x:v>
      </x:c>
      <x:c r="E8" s="24" t="str">
        <x:v>TC-VS-APP-004</x:v>
      </x:c>
      <x:c r="F8" s="24" t="str">
        <x:v>VS-APP-004</x:v>
      </x:c>
      <x:c r="G8" s="24" t="str">
        <x:v>PlayMode + Manual</x:v>
      </x:c>
      <x:c r="H8" s="24" t="str">
        <x:v>Unity 6000.3.18f1 / Windows x64</x:v>
      </x:c>
      <x:c r="I8" s="24" t="str">
        <x:v>Not Run</x:v>
      </x:c>
      <x:c r="J8" s="24" t="str"/>
      <x:c r="K8" s="24" t="str"/>
      <x:c r="L8" s="24" t="str">
        <x:v>VRM Games</x:v>
      </x:c>
      <x:c r="M8" s="24"/>
      <x:c r="N8" s="24" t="str">
        <x:v>Fila inicial; actualizar al ejecutar.</x:v>
      </x:c>
    </x:row>
    <x:row r="9">
      <x:c r="A9" s="24" t="str">
        <x:v>EXE-0005</x:v>
      </x:c>
      <x:c r="B9" s="34"/>
      <x:c r="C9" s="24" t="str"/>
      <x:c r="D9" s="24" t="str">
        <x:v>H6 / Vertical Slice</x:v>
      </x:c>
      <x:c r="E9" s="24" t="str">
        <x:v>TC-VS-SCN-001</x:v>
      </x:c>
      <x:c r="F9" s="24" t="str">
        <x:v>VS-SCN-001</x:v>
      </x:c>
      <x:c r="G9" s="24" t="str">
        <x:v>PlayMode + Manual</x:v>
      </x:c>
      <x:c r="H9" s="24" t="str">
        <x:v>Unity 6000.3.18f1 / Windows x64</x:v>
      </x:c>
      <x:c r="I9" s="24" t="str">
        <x:v>Not Run</x:v>
      </x:c>
      <x:c r="J9" s="24" t="str"/>
      <x:c r="K9" s="24" t="str"/>
      <x:c r="L9" s="24" t="str">
        <x:v>VRM Games</x:v>
      </x:c>
      <x:c r="M9" s="24"/>
      <x:c r="N9" s="24" t="str">
        <x:v>Fila inicial; actualizar al ejecutar.</x:v>
      </x:c>
    </x:row>
    <x:row r="10">
      <x:c r="A10" s="24" t="str">
        <x:v>EXE-0006</x:v>
      </x:c>
      <x:c r="B10" s="34"/>
      <x:c r="C10" s="24" t="str"/>
      <x:c r="D10" s="24" t="str">
        <x:v>H6 / Vertical Slice</x:v>
      </x:c>
      <x:c r="E10" s="24" t="str">
        <x:v>TC-VS-SCN-002</x:v>
      </x:c>
      <x:c r="F10" s="24" t="str">
        <x:v>VS-SCN-002</x:v>
      </x:c>
      <x:c r="G10" s="24" t="str">
        <x:v>PlayMode + Manual</x:v>
      </x:c>
      <x:c r="H10" s="24" t="str">
        <x:v>Unity 6000.3.18f1 / Windows x64</x:v>
      </x:c>
      <x:c r="I10" s="24" t="str">
        <x:v>Not Run</x:v>
      </x:c>
      <x:c r="J10" s="24" t="str"/>
      <x:c r="K10" s="24" t="str"/>
      <x:c r="L10" s="24" t="str">
        <x:v>VRM Games</x:v>
      </x:c>
      <x:c r="M10" s="24"/>
      <x:c r="N10" s="24" t="str">
        <x:v>Fila inicial; actualizar al ejecutar.</x:v>
      </x:c>
    </x:row>
    <x:row r="11">
      <x:c r="A11" s="24" t="str">
        <x:v>EXE-0007</x:v>
      </x:c>
      <x:c r="B11" s="34"/>
      <x:c r="C11" s="24" t="str"/>
      <x:c r="D11" s="24" t="str">
        <x:v>H6 / Vertical Slice</x:v>
      </x:c>
      <x:c r="E11" s="24" t="str">
        <x:v>TC-VS-SCN-003</x:v>
      </x:c>
      <x:c r="F11" s="24" t="str">
        <x:v>VS-SCN-003</x:v>
      </x:c>
      <x:c r="G11" s="24" t="str">
        <x:v>PlayMode + Manual</x:v>
      </x:c>
      <x:c r="H11" s="24" t="str">
        <x:v>Unity 6000.3.18f1 / Windows x64</x:v>
      </x:c>
      <x:c r="I11" s="24" t="str">
        <x:v>Not Run</x:v>
      </x:c>
      <x:c r="J11" s="24" t="str"/>
      <x:c r="K11" s="24" t="str"/>
      <x:c r="L11" s="24" t="str">
        <x:v>VRM Games</x:v>
      </x:c>
      <x:c r="M11" s="24"/>
      <x:c r="N11" s="24" t="str">
        <x:v>Fila inicial; actualizar al ejecutar.</x:v>
      </x:c>
    </x:row>
    <x:row r="12">
      <x:c r="A12" s="24" t="str">
        <x:v>EXE-0008</x:v>
      </x:c>
      <x:c r="B12" s="34"/>
      <x:c r="C12" s="24" t="str"/>
      <x:c r="D12" s="24" t="str">
        <x:v>H6 / Vertical Slice</x:v>
      </x:c>
      <x:c r="E12" s="24" t="str">
        <x:v>TC-VS-SCN-004</x:v>
      </x:c>
      <x:c r="F12" s="24" t="str">
        <x:v>VS-SCN-004</x:v>
      </x:c>
      <x:c r="G12" s="24" t="str">
        <x:v>PlayMode + Manual</x:v>
      </x:c>
      <x:c r="H12" s="24" t="str">
        <x:v>Unity 6000.3.18f1 / Windows x64</x:v>
      </x:c>
      <x:c r="I12" s="24" t="str">
        <x:v>Not Run</x:v>
      </x:c>
      <x:c r="J12" s="24" t="str"/>
      <x:c r="K12" s="24" t="str"/>
      <x:c r="L12" s="24" t="str">
        <x:v>VRM Games</x:v>
      </x:c>
      <x:c r="M12" s="24"/>
      <x:c r="N12" s="24" t="str">
        <x:v>Fila inicial; actualizar al ejecutar.</x:v>
      </x:c>
    </x:row>
    <x:row r="13">
      <x:c r="A13" s="24" t="str">
        <x:v>EXE-0009</x:v>
      </x:c>
      <x:c r="B13" s="34"/>
      <x:c r="C13" s="24" t="str"/>
      <x:c r="D13" s="24" t="str">
        <x:v>H6 / Vertical Slice</x:v>
      </x:c>
      <x:c r="E13" s="24" t="str">
        <x:v>TC-VS-INP-001</x:v>
      </x:c>
      <x:c r="F13" s="24" t="str">
        <x:v>VS-INP-001</x:v>
      </x:c>
      <x:c r="G13" s="24" t="str">
        <x:v>PlayMode + Manual</x:v>
      </x:c>
      <x:c r="H13" s="24" t="str">
        <x:v>Unity 6000.3.18f1 / Windows x64</x:v>
      </x:c>
      <x:c r="I13" s="24" t="str">
        <x:v>Not Run</x:v>
      </x:c>
      <x:c r="J13" s="24" t="str"/>
      <x:c r="K13" s="24" t="str"/>
      <x:c r="L13" s="24" t="str">
        <x:v>VRM Games</x:v>
      </x:c>
      <x:c r="M13" s="24"/>
      <x:c r="N13" s="24" t="str">
        <x:v>Fila inicial; actualizar al ejecutar.</x:v>
      </x:c>
    </x:row>
    <x:row r="14">
      <x:c r="A14" s="24" t="str">
        <x:v>EXE-0010</x:v>
      </x:c>
      <x:c r="B14" s="34"/>
      <x:c r="C14" s="24" t="str"/>
      <x:c r="D14" s="24" t="str">
        <x:v>H6 / Vertical Slice</x:v>
      </x:c>
      <x:c r="E14" s="24" t="str">
        <x:v>TC-VS-INP-002</x:v>
      </x:c>
      <x:c r="F14" s="24" t="str">
        <x:v>VS-INP-002</x:v>
      </x:c>
      <x:c r="G14" s="24" t="str">
        <x:v>PlayMode + Manual</x:v>
      </x:c>
      <x:c r="H14" s="24" t="str">
        <x:v>Unity 6000.3.18f1 / Windows x64</x:v>
      </x:c>
      <x:c r="I14" s="24" t="str">
        <x:v>Not Run</x:v>
      </x:c>
      <x:c r="J14" s="24" t="str"/>
      <x:c r="K14" s="24" t="str"/>
      <x:c r="L14" s="24" t="str">
        <x:v>VRM Games</x:v>
      </x:c>
      <x:c r="M14" s="24"/>
      <x:c r="N14" s="24" t="str">
        <x:v>Fila inicial; actualizar al ejecutar.</x:v>
      </x:c>
    </x:row>
    <x:row r="15">
      <x:c r="A15" s="24" t="str">
        <x:v>EXE-0011</x:v>
      </x:c>
      <x:c r="B15" s="34"/>
      <x:c r="C15" s="24" t="str"/>
      <x:c r="D15" s="24" t="str">
        <x:v>H6 / Vertical Slice</x:v>
      </x:c>
      <x:c r="E15" s="24" t="str">
        <x:v>TC-VS-CAM-001</x:v>
      </x:c>
      <x:c r="F15" s="24" t="str">
        <x:v>VS-CAM-001</x:v>
      </x:c>
      <x:c r="G15" s="24" t="str">
        <x:v>PlayMode + Manual</x:v>
      </x:c>
      <x:c r="H15" s="24" t="str">
        <x:v>Unity 6000.3.18f1 / Windows x64</x:v>
      </x:c>
      <x:c r="I15" s="24" t="str">
        <x:v>Not Run</x:v>
      </x:c>
      <x:c r="J15" s="24" t="str"/>
      <x:c r="K15" s="24" t="str"/>
      <x:c r="L15" s="24" t="str">
        <x:v>VRM Games</x:v>
      </x:c>
      <x:c r="M15" s="24"/>
      <x:c r="N15" s="24" t="str">
        <x:v>Fila inicial; actualizar al ejecutar.</x:v>
      </x:c>
    </x:row>
    <x:row r="16">
      <x:c r="A16" s="24" t="str">
        <x:v>EXE-0012</x:v>
      </x:c>
      <x:c r="B16" s="34"/>
      <x:c r="C16" s="24" t="str"/>
      <x:c r="D16" s="24" t="str">
        <x:v>H6 / Vertical Slice</x:v>
      </x:c>
      <x:c r="E16" s="24" t="str">
        <x:v>TC-VS-CAM-002</x:v>
      </x:c>
      <x:c r="F16" s="24" t="str">
        <x:v>VS-CAM-002</x:v>
      </x:c>
      <x:c r="G16" s="24" t="str">
        <x:v>PlayMode + Manual</x:v>
      </x:c>
      <x:c r="H16" s="24" t="str">
        <x:v>Unity 6000.3.18f1 / Windows x64</x:v>
      </x:c>
      <x:c r="I16" s="24" t="str">
        <x:v>Not Run</x:v>
      </x:c>
      <x:c r="J16" s="24" t="str"/>
      <x:c r="K16" s="24" t="str"/>
      <x:c r="L16" s="24" t="str">
        <x:v>VRM Games</x:v>
      </x:c>
      <x:c r="M16" s="24"/>
      <x:c r="N16" s="24" t="str">
        <x:v>Fila inicial; actualizar al ejecutar.</x:v>
      </x:c>
    </x:row>
    <x:row r="17">
      <x:c r="A17" s="24" t="str">
        <x:v>EXE-0013</x:v>
      </x:c>
      <x:c r="B17" s="34"/>
      <x:c r="C17" s="24" t="str"/>
      <x:c r="D17" s="24" t="str">
        <x:v>H6 / Vertical Slice</x:v>
      </x:c>
      <x:c r="E17" s="24" t="str">
        <x:v>TC-VS-MOV-001</x:v>
      </x:c>
      <x:c r="F17" s="24" t="str">
        <x:v>VS-MOV-001</x:v>
      </x:c>
      <x:c r="G17" s="24" t="str">
        <x:v>PlayMode + Manual</x:v>
      </x:c>
      <x:c r="H17" s="24" t="str">
        <x:v>Unity 6000.3.18f1 / Windows x64</x:v>
      </x:c>
      <x:c r="I17" s="24" t="str">
        <x:v>Not Run</x:v>
      </x:c>
      <x:c r="J17" s="24" t="str"/>
      <x:c r="K17" s="24" t="str"/>
      <x:c r="L17" s="24" t="str">
        <x:v>VRM Games</x:v>
      </x:c>
      <x:c r="M17" s="24"/>
      <x:c r="N17" s="24" t="str">
        <x:v>Fila inicial; actualizar al ejecutar.</x:v>
      </x:c>
    </x:row>
    <x:row r="18">
      <x:c r="A18" s="24" t="str">
        <x:v>EXE-0014</x:v>
      </x:c>
      <x:c r="B18" s="34"/>
      <x:c r="C18" s="24" t="str"/>
      <x:c r="D18" s="24" t="str">
        <x:v>H6 / Vertical Slice</x:v>
      </x:c>
      <x:c r="E18" s="24" t="str">
        <x:v>TC-VS-MOV-002</x:v>
      </x:c>
      <x:c r="F18" s="24" t="str">
        <x:v>VS-MOV-002</x:v>
      </x:c>
      <x:c r="G18" s="24" t="str">
        <x:v>PlayMode + Manual</x:v>
      </x:c>
      <x:c r="H18" s="24" t="str">
        <x:v>Unity 6000.3.18f1 / Windows x64</x:v>
      </x:c>
      <x:c r="I18" s="24" t="str">
        <x:v>Not Run</x:v>
      </x:c>
      <x:c r="J18" s="24" t="str"/>
      <x:c r="K18" s="24" t="str"/>
      <x:c r="L18" s="24" t="str">
        <x:v>VRM Games</x:v>
      </x:c>
      <x:c r="M18" s="24"/>
      <x:c r="N18" s="24" t="str">
        <x:v>Fila inicial; actualizar al ejecutar.</x:v>
      </x:c>
    </x:row>
    <x:row r="19">
      <x:c r="A19" s="24" t="str">
        <x:v>EXE-0015</x:v>
      </x:c>
      <x:c r="B19" s="34"/>
      <x:c r="C19" s="24" t="str"/>
      <x:c r="D19" s="24" t="str">
        <x:v>H6 / Vertical Slice</x:v>
      </x:c>
      <x:c r="E19" s="24" t="str">
        <x:v>TC-VS-MOV-003</x:v>
      </x:c>
      <x:c r="F19" s="24" t="str">
        <x:v>VS-MOV-003</x:v>
      </x:c>
      <x:c r="G19" s="24" t="str">
        <x:v>PlayMode + Manual</x:v>
      </x:c>
      <x:c r="H19" s="24" t="str">
        <x:v>Unity 6000.3.18f1 / Windows x64</x:v>
      </x:c>
      <x:c r="I19" s="24" t="str">
        <x:v>Not Run</x:v>
      </x:c>
      <x:c r="J19" s="24" t="str"/>
      <x:c r="K19" s="24" t="str"/>
      <x:c r="L19" s="24" t="str">
        <x:v>VRM Games</x:v>
      </x:c>
      <x:c r="M19" s="24"/>
      <x:c r="N19" s="24" t="str">
        <x:v>Fila inicial; actualizar al ejecutar.</x:v>
      </x:c>
    </x:row>
    <x:row r="20">
      <x:c r="A20" s="24" t="str">
        <x:v>EXE-0016</x:v>
      </x:c>
      <x:c r="B20" s="34"/>
      <x:c r="C20" s="24" t="str"/>
      <x:c r="D20" s="24" t="str">
        <x:v>H6 / Vertical Slice</x:v>
      </x:c>
      <x:c r="E20" s="24" t="str">
        <x:v>TC-VS-BLD-001</x:v>
      </x:c>
      <x:c r="F20" s="24" t="str">
        <x:v>VS-BLD-001</x:v>
      </x:c>
      <x:c r="G20" s="24" t="str">
        <x:v>EditMode + Integración</x:v>
      </x:c>
      <x:c r="H20" s="24" t="str">
        <x:v>Unity 6000.3.18f1 / Windows x64</x:v>
      </x:c>
      <x:c r="I20" s="24" t="str">
        <x:v>Not Run</x:v>
      </x:c>
      <x:c r="J20" s="24" t="str"/>
      <x:c r="K20" s="24" t="str"/>
      <x:c r="L20" s="24" t="str">
        <x:v>VRM Games</x:v>
      </x:c>
      <x:c r="M20" s="24"/>
      <x:c r="N20" s="24" t="str">
        <x:v>Fila inicial; actualizar al ejecutar.</x:v>
      </x:c>
    </x:row>
    <x:row r="21">
      <x:c r="A21" s="24" t="str">
        <x:v>EXE-0017</x:v>
      </x:c>
      <x:c r="B21" s="34"/>
      <x:c r="C21" s="24" t="str"/>
      <x:c r="D21" s="24" t="str">
        <x:v>H6 / Vertical Slice</x:v>
      </x:c>
      <x:c r="E21" s="24" t="str">
        <x:v>TC-VS-BLD-002</x:v>
      </x:c>
      <x:c r="F21" s="24" t="str">
        <x:v>VS-BLD-002</x:v>
      </x:c>
      <x:c r="G21" s="24" t="str">
        <x:v>EditMode + Integración</x:v>
      </x:c>
      <x:c r="H21" s="24" t="str">
        <x:v>Unity 6000.3.18f1 / Windows x64</x:v>
      </x:c>
      <x:c r="I21" s="24" t="str">
        <x:v>Not Run</x:v>
      </x:c>
      <x:c r="J21" s="24" t="str"/>
      <x:c r="K21" s="24" t="str"/>
      <x:c r="L21" s="24" t="str">
        <x:v>VRM Games</x:v>
      </x:c>
      <x:c r="M21" s="24"/>
      <x:c r="N21" s="24" t="str">
        <x:v>Fila inicial; actualizar al ejecutar.</x:v>
      </x:c>
    </x:row>
    <x:row r="22">
      <x:c r="A22" s="24" t="str">
        <x:v>EXE-0018</x:v>
      </x:c>
      <x:c r="B22" s="34"/>
      <x:c r="C22" s="24" t="str"/>
      <x:c r="D22" s="24" t="str">
        <x:v>H6 / Vertical Slice</x:v>
      </x:c>
      <x:c r="E22" s="24" t="str">
        <x:v>TC-VS-BLD-003</x:v>
      </x:c>
      <x:c r="F22" s="24" t="str">
        <x:v>VS-BLD-003</x:v>
      </x:c>
      <x:c r="G22" s="24" t="str">
        <x:v>EditMode + Integración</x:v>
      </x:c>
      <x:c r="H22" s="24" t="str">
        <x:v>Unity 6000.3.18f1 / Windows x64</x:v>
      </x:c>
      <x:c r="I22" s="24" t="str">
        <x:v>Not Run</x:v>
      </x:c>
      <x:c r="J22" s="24" t="str"/>
      <x:c r="K22" s="24" t="str"/>
      <x:c r="L22" s="24" t="str">
        <x:v>VRM Games</x:v>
      </x:c>
      <x:c r="M22" s="24"/>
      <x:c r="N22" s="24" t="str">
        <x:v>Fila inicial; actualizar al ejecutar.</x:v>
      </x:c>
    </x:row>
    <x:row r="23">
      <x:c r="A23" s="24" t="str">
        <x:v>EXE-0019</x:v>
      </x:c>
      <x:c r="B23" s="34"/>
      <x:c r="C23" s="24" t="str"/>
      <x:c r="D23" s="24" t="str">
        <x:v>H6 / Vertical Slice</x:v>
      </x:c>
      <x:c r="E23" s="24" t="str">
        <x:v>TC-VS-BLD-004</x:v>
      </x:c>
      <x:c r="F23" s="24" t="str">
        <x:v>VS-BLD-004</x:v>
      </x:c>
      <x:c r="G23" s="24" t="str">
        <x:v>EditMode + Integración</x:v>
      </x:c>
      <x:c r="H23" s="24" t="str">
        <x:v>Unity 6000.3.18f1 / Windows x64</x:v>
      </x:c>
      <x:c r="I23" s="24" t="str">
        <x:v>Not Run</x:v>
      </x:c>
      <x:c r="J23" s="24" t="str"/>
      <x:c r="K23" s="24" t="str"/>
      <x:c r="L23" s="24" t="str">
        <x:v>VRM Games</x:v>
      </x:c>
      <x:c r="M23" s="24"/>
      <x:c r="N23" s="24" t="str">
        <x:v>Fila inicial; actualizar al ejecutar.</x:v>
      </x:c>
    </x:row>
    <x:row r="24">
      <x:c r="A24" s="24" t="str">
        <x:v>EXE-0020</x:v>
      </x:c>
      <x:c r="B24" s="34"/>
      <x:c r="C24" s="24" t="str"/>
      <x:c r="D24" s="24" t="str">
        <x:v>H6 / Vertical Slice</x:v>
      </x:c>
      <x:c r="E24" s="24" t="str">
        <x:v>TC-VS-BLD-005</x:v>
      </x:c>
      <x:c r="F24" s="24" t="str">
        <x:v>VS-BLD-005</x:v>
      </x:c>
      <x:c r="G24" s="24" t="str">
        <x:v>EditMode + Integración</x:v>
      </x:c>
      <x:c r="H24" s="24" t="str">
        <x:v>Unity 6000.3.18f1 / Windows x64</x:v>
      </x:c>
      <x:c r="I24" s="24" t="str">
        <x:v>Not Run</x:v>
      </x:c>
      <x:c r="J24" s="24" t="str"/>
      <x:c r="K24" s="24" t="str"/>
      <x:c r="L24" s="24" t="str">
        <x:v>VRM Games</x:v>
      </x:c>
      <x:c r="M24" s="24"/>
      <x:c r="N24" s="24" t="str">
        <x:v>Fila inicial; actualizar al ejecutar.</x:v>
      </x:c>
    </x:row>
    <x:row r="25">
      <x:c r="A25" s="24" t="str">
        <x:v>EXE-0021</x:v>
      </x:c>
      <x:c r="B25" s="34"/>
      <x:c r="C25" s="24" t="str"/>
      <x:c r="D25" s="24" t="str">
        <x:v>H6 / Vertical Slice</x:v>
      </x:c>
      <x:c r="E25" s="24" t="str">
        <x:v>TC-VS-BLD-006</x:v>
      </x:c>
      <x:c r="F25" s="24" t="str">
        <x:v>VS-BLD-006</x:v>
      </x:c>
      <x:c r="G25" s="24" t="str">
        <x:v>EditMode + Integración</x:v>
      </x:c>
      <x:c r="H25" s="24" t="str">
        <x:v>Unity 6000.3.18f1 / Windows x64</x:v>
      </x:c>
      <x:c r="I25" s="24" t="str">
        <x:v>Not Run</x:v>
      </x:c>
      <x:c r="J25" s="24" t="str"/>
      <x:c r="K25" s="24" t="str"/>
      <x:c r="L25" s="24" t="str">
        <x:v>VRM Games</x:v>
      </x:c>
      <x:c r="M25" s="24"/>
      <x:c r="N25" s="24" t="str">
        <x:v>Fila inicial; actualizar al ejecutar.</x:v>
      </x:c>
    </x:row>
    <x:row r="26">
      <x:c r="A26" s="24" t="str">
        <x:v>EXE-0022</x:v>
      </x:c>
      <x:c r="B26" s="34"/>
      <x:c r="C26" s="24" t="str"/>
      <x:c r="D26" s="24" t="str">
        <x:v>H6 / Vertical Slice</x:v>
      </x:c>
      <x:c r="E26" s="24" t="str">
        <x:v>TC-VS-INV-001</x:v>
      </x:c>
      <x:c r="F26" s="24" t="str">
        <x:v>VS-INV-001</x:v>
      </x:c>
      <x:c r="G26" s="24" t="str">
        <x:v>EditMode + Integración</x:v>
      </x:c>
      <x:c r="H26" s="24" t="str">
        <x:v>Unity 6000.3.18f1 / Windows x64</x:v>
      </x:c>
      <x:c r="I26" s="24" t="str">
        <x:v>Not Run</x:v>
      </x:c>
      <x:c r="J26" s="24" t="str"/>
      <x:c r="K26" s="24" t="str"/>
      <x:c r="L26" s="24" t="str">
        <x:v>VRM Games</x:v>
      </x:c>
      <x:c r="M26" s="24"/>
      <x:c r="N26" s="24" t="str">
        <x:v>Fila inicial; actualizar al ejecutar.</x:v>
      </x:c>
    </x:row>
    <x:row r="27">
      <x:c r="A27" s="24" t="str">
        <x:v>EXE-0023</x:v>
      </x:c>
      <x:c r="B27" s="34"/>
      <x:c r="C27" s="24" t="str"/>
      <x:c r="D27" s="24" t="str">
        <x:v>H6 / Vertical Slice</x:v>
      </x:c>
      <x:c r="E27" s="24" t="str">
        <x:v>TC-VS-INV-002</x:v>
      </x:c>
      <x:c r="F27" s="24" t="str">
        <x:v>VS-INV-002</x:v>
      </x:c>
      <x:c r="G27" s="24" t="str">
        <x:v>EditMode + Integración</x:v>
      </x:c>
      <x:c r="H27" s="24" t="str">
        <x:v>Unity 6000.3.18f1 / Windows x64</x:v>
      </x:c>
      <x:c r="I27" s="24" t="str">
        <x:v>Not Run</x:v>
      </x:c>
      <x:c r="J27" s="24" t="str"/>
      <x:c r="K27" s="24" t="str"/>
      <x:c r="L27" s="24" t="str">
        <x:v>VRM Games</x:v>
      </x:c>
      <x:c r="M27" s="24"/>
      <x:c r="N27" s="24" t="str">
        <x:v>Fila inicial; actualizar al ejecutar.</x:v>
      </x:c>
    </x:row>
    <x:row r="28">
      <x:c r="A28" s="24" t="str">
        <x:v>EXE-0024</x:v>
      </x:c>
      <x:c r="B28" s="34"/>
      <x:c r="C28" s="24" t="str"/>
      <x:c r="D28" s="24" t="str">
        <x:v>H6 / Vertical Slice</x:v>
      </x:c>
      <x:c r="E28" s="24" t="str">
        <x:v>TC-VS-INV-003</x:v>
      </x:c>
      <x:c r="F28" s="24" t="str">
        <x:v>VS-INV-003</x:v>
      </x:c>
      <x:c r="G28" s="24" t="str">
        <x:v>EditMode + Integración</x:v>
      </x:c>
      <x:c r="H28" s="24" t="str">
        <x:v>Unity 6000.3.18f1 / Windows x64</x:v>
      </x:c>
      <x:c r="I28" s="24" t="str">
        <x:v>Not Run</x:v>
      </x:c>
      <x:c r="J28" s="24" t="str"/>
      <x:c r="K28" s="24" t="str"/>
      <x:c r="L28" s="24" t="str">
        <x:v>VRM Games</x:v>
      </x:c>
      <x:c r="M28" s="24"/>
      <x:c r="N28" s="24" t="str">
        <x:v>Fila inicial; actualizar al ejecutar.</x:v>
      </x:c>
    </x:row>
    <x:row r="29">
      <x:c r="A29" s="24" t="str">
        <x:v>EXE-0025</x:v>
      </x:c>
      <x:c r="B29" s="34"/>
      <x:c r="C29" s="24" t="str"/>
      <x:c r="D29" s="24" t="str">
        <x:v>H6 / Vertical Slice</x:v>
      </x:c>
      <x:c r="E29" s="24" t="str">
        <x:v>TC-VS-INV-004</x:v>
      </x:c>
      <x:c r="F29" s="24" t="str">
        <x:v>VS-INV-004</x:v>
      </x:c>
      <x:c r="G29" s="24" t="str">
        <x:v>EditMode + Integración</x:v>
      </x:c>
      <x:c r="H29" s="24" t="str">
        <x:v>Unity 6000.3.18f1 / Windows x64</x:v>
      </x:c>
      <x:c r="I29" s="24" t="str">
        <x:v>Not Run</x:v>
      </x:c>
      <x:c r="J29" s="24" t="str"/>
      <x:c r="K29" s="24" t="str"/>
      <x:c r="L29" s="24" t="str">
        <x:v>VRM Games</x:v>
      </x:c>
      <x:c r="M29" s="24"/>
      <x:c r="N29" s="24" t="str">
        <x:v>Fila inicial; actualizar al ejecutar.</x:v>
      </x:c>
    </x:row>
    <x:row r="30">
      <x:c r="A30" s="24" t="str">
        <x:v>EXE-0026</x:v>
      </x:c>
      <x:c r="B30" s="34"/>
      <x:c r="C30" s="24" t="str"/>
      <x:c r="D30" s="24" t="str">
        <x:v>H6 / Vertical Slice</x:v>
      </x:c>
      <x:c r="E30" s="24" t="str">
        <x:v>TC-VS-INV-005</x:v>
      </x:c>
      <x:c r="F30" s="24" t="str">
        <x:v>VS-INV-005</x:v>
      </x:c>
      <x:c r="G30" s="24" t="str">
        <x:v>EditMode + Integración</x:v>
      </x:c>
      <x:c r="H30" s="24" t="str">
        <x:v>Unity 6000.3.18f1 / Windows x64</x:v>
      </x:c>
      <x:c r="I30" s="24" t="str">
        <x:v>Not Run</x:v>
      </x:c>
      <x:c r="J30" s="24" t="str"/>
      <x:c r="K30" s="24" t="str"/>
      <x:c r="L30" s="24" t="str">
        <x:v>VRM Games</x:v>
      </x:c>
      <x:c r="M30" s="24"/>
      <x:c r="N30" s="24" t="str">
        <x:v>Fila inicial; actualizar al ejecutar.</x:v>
      </x:c>
    </x:row>
    <x:row r="31">
      <x:c r="A31" s="24" t="str">
        <x:v>EXE-0027</x:v>
      </x:c>
      <x:c r="B31" s="34"/>
      <x:c r="C31" s="24" t="str"/>
      <x:c r="D31" s="24" t="str">
        <x:v>H6 / Vertical Slice</x:v>
      </x:c>
      <x:c r="E31" s="24" t="str">
        <x:v>TC-VS-ORD-001</x:v>
      </x:c>
      <x:c r="F31" s="24" t="str">
        <x:v>VS-ORD-001</x:v>
      </x:c>
      <x:c r="G31" s="24" t="str">
        <x:v>EditMode + Integración</x:v>
      </x:c>
      <x:c r="H31" s="24" t="str">
        <x:v>Unity 6000.3.18f1 / Windows x64</x:v>
      </x:c>
      <x:c r="I31" s="24" t="str">
        <x:v>Not Run</x:v>
      </x:c>
      <x:c r="J31" s="24" t="str"/>
      <x:c r="K31" s="24" t="str"/>
      <x:c r="L31" s="24" t="str">
        <x:v>VRM Games</x:v>
      </x:c>
      <x:c r="M31" s="24"/>
      <x:c r="N31" s="24" t="str">
        <x:v>Fila inicial; actualizar al ejecutar.</x:v>
      </x:c>
    </x:row>
    <x:row r="32">
      <x:c r="A32" s="24" t="str">
        <x:v>EXE-0028</x:v>
      </x:c>
      <x:c r="B32" s="34"/>
      <x:c r="C32" s="24" t="str"/>
      <x:c r="D32" s="24" t="str">
        <x:v>H6 / Vertical Slice</x:v>
      </x:c>
      <x:c r="E32" s="24" t="str">
        <x:v>TC-VS-ORD-002</x:v>
      </x:c>
      <x:c r="F32" s="24" t="str">
        <x:v>VS-ORD-002</x:v>
      </x:c>
      <x:c r="G32" s="24" t="str">
        <x:v>EditMode + Integración</x:v>
      </x:c>
      <x:c r="H32" s="24" t="str">
        <x:v>Unity 6000.3.18f1 / Windows x64</x:v>
      </x:c>
      <x:c r="I32" s="24" t="str">
        <x:v>Not Run</x:v>
      </x:c>
      <x:c r="J32" s="24" t="str"/>
      <x:c r="K32" s="24" t="str"/>
      <x:c r="L32" s="24" t="str">
        <x:v>VRM Games</x:v>
      </x:c>
      <x:c r="M32" s="24"/>
      <x:c r="N32" s="24" t="str">
        <x:v>Fila inicial; actualizar al ejecutar.</x:v>
      </x:c>
    </x:row>
    <x:row r="33">
      <x:c r="A33" s="24" t="str">
        <x:v>EXE-0029</x:v>
      </x:c>
      <x:c r="B33" s="34"/>
      <x:c r="C33" s="24" t="str"/>
      <x:c r="D33" s="24" t="str">
        <x:v>H6 / Vertical Slice</x:v>
      </x:c>
      <x:c r="E33" s="24" t="str">
        <x:v>TC-VS-ORD-003</x:v>
      </x:c>
      <x:c r="F33" s="24" t="str">
        <x:v>VS-ORD-003</x:v>
      </x:c>
      <x:c r="G33" s="24" t="str">
        <x:v>EditMode + Integración</x:v>
      </x:c>
      <x:c r="H33" s="24" t="str">
        <x:v>Unity 6000.3.18f1 / Windows x64</x:v>
      </x:c>
      <x:c r="I33" s="24" t="str">
        <x:v>Not Run</x:v>
      </x:c>
      <x:c r="J33" s="24" t="str"/>
      <x:c r="K33" s="24" t="str"/>
      <x:c r="L33" s="24" t="str">
        <x:v>VRM Games</x:v>
      </x:c>
      <x:c r="M33" s="24"/>
      <x:c r="N33" s="24" t="str">
        <x:v>Fila inicial; actualizar al ejecutar.</x:v>
      </x:c>
    </x:row>
    <x:row r="34">
      <x:c r="A34" s="24" t="str">
        <x:v>EXE-0030</x:v>
      </x:c>
      <x:c r="B34" s="34"/>
      <x:c r="C34" s="24" t="str"/>
      <x:c r="D34" s="24" t="str">
        <x:v>H6 / Vertical Slice</x:v>
      </x:c>
      <x:c r="E34" s="24" t="str">
        <x:v>TC-VS-ORD-004</x:v>
      </x:c>
      <x:c r="F34" s="24" t="str">
        <x:v>VS-ORD-004</x:v>
      </x:c>
      <x:c r="G34" s="24" t="str">
        <x:v>EditMode + Integración</x:v>
      </x:c>
      <x:c r="H34" s="24" t="str">
        <x:v>Unity 6000.3.18f1 / Windows x64</x:v>
      </x:c>
      <x:c r="I34" s="24" t="str">
        <x:v>Not Run</x:v>
      </x:c>
      <x:c r="J34" s="24" t="str"/>
      <x:c r="K34" s="24" t="str"/>
      <x:c r="L34" s="24" t="str">
        <x:v>VRM Games</x:v>
      </x:c>
      <x:c r="M34" s="24"/>
      <x:c r="N34" s="24" t="str">
        <x:v>Fila inicial; actualizar al ejecutar.</x:v>
      </x:c>
    </x:row>
    <x:row r="35">
      <x:c r="A35" s="24" t="str">
        <x:v>EXE-0031</x:v>
      </x:c>
      <x:c r="B35" s="34"/>
      <x:c r="C35" s="24" t="str"/>
      <x:c r="D35" s="24" t="str">
        <x:v>H6 / Vertical Slice</x:v>
      </x:c>
      <x:c r="E35" s="24" t="str">
        <x:v>TC-VS-ORD-005</x:v>
      </x:c>
      <x:c r="F35" s="24" t="str">
        <x:v>VS-ORD-005</x:v>
      </x:c>
      <x:c r="G35" s="24" t="str">
        <x:v>EditMode + Integración</x:v>
      </x:c>
      <x:c r="H35" s="24" t="str">
        <x:v>Unity 6000.3.18f1 / Windows x64</x:v>
      </x:c>
      <x:c r="I35" s="24" t="str">
        <x:v>Not Run</x:v>
      </x:c>
      <x:c r="J35" s="24" t="str"/>
      <x:c r="K35" s="24" t="str"/>
      <x:c r="L35" s="24" t="str">
        <x:v>VRM Games</x:v>
      </x:c>
      <x:c r="M35" s="24"/>
      <x:c r="N35" s="24" t="str">
        <x:v>Fila inicial; actualizar al ejecutar.</x:v>
      </x:c>
    </x:row>
    <x:row r="36">
      <x:c r="A36" s="24" t="str">
        <x:v>EXE-0032</x:v>
      </x:c>
      <x:c r="B36" s="34"/>
      <x:c r="C36" s="24" t="str"/>
      <x:c r="D36" s="24" t="str">
        <x:v>H6 / Vertical Slice</x:v>
      </x:c>
      <x:c r="E36" s="24" t="str">
        <x:v>TC-VS-DSP-001</x:v>
      </x:c>
      <x:c r="F36" s="24" t="str">
        <x:v>VS-DSP-001</x:v>
      </x:c>
      <x:c r="G36" s="24" t="str">
        <x:v>Revisión</x:v>
      </x:c>
      <x:c r="H36" s="24" t="str">
        <x:v>Unity 6000.3.18f1 / Windows x64</x:v>
      </x:c>
      <x:c r="I36" s="24" t="str">
        <x:v>Not Run</x:v>
      </x:c>
      <x:c r="J36" s="24" t="str"/>
      <x:c r="K36" s="24" t="str"/>
      <x:c r="L36" s="24" t="str">
        <x:v>VRM Games</x:v>
      </x:c>
      <x:c r="M36" s="24"/>
      <x:c r="N36" s="24" t="str">
        <x:v>Fila inicial; actualizar al ejecutar.</x:v>
      </x:c>
    </x:row>
    <x:row r="37">
      <x:c r="A37" s="24" t="str">
        <x:v>EXE-0033</x:v>
      </x:c>
      <x:c r="B37" s="34"/>
      <x:c r="C37" s="24" t="str"/>
      <x:c r="D37" s="24" t="str">
        <x:v>H6 / Vertical Slice</x:v>
      </x:c>
      <x:c r="E37" s="24" t="str">
        <x:v>TC-VS-DSP-002</x:v>
      </x:c>
      <x:c r="F37" s="24" t="str">
        <x:v>VS-DSP-002</x:v>
      </x:c>
      <x:c r="G37" s="24" t="str">
        <x:v>Revisión</x:v>
      </x:c>
      <x:c r="H37" s="24" t="str">
        <x:v>Unity 6000.3.18f1 / Windows x64</x:v>
      </x:c>
      <x:c r="I37" s="24" t="str">
        <x:v>Not Run</x:v>
      </x:c>
      <x:c r="J37" s="24" t="str"/>
      <x:c r="K37" s="24" t="str"/>
      <x:c r="L37" s="24" t="str">
        <x:v>VRM Games</x:v>
      </x:c>
      <x:c r="M37" s="24"/>
      <x:c r="N37" s="24" t="str">
        <x:v>Fila inicial; actualizar al ejecutar.</x:v>
      </x:c>
    </x:row>
    <x:row r="38">
      <x:c r="A38" s="24" t="str">
        <x:v>EXE-0034</x:v>
      </x:c>
      <x:c r="B38" s="34"/>
      <x:c r="C38" s="24" t="str"/>
      <x:c r="D38" s="24" t="str">
        <x:v>H6 / Vertical Slice</x:v>
      </x:c>
      <x:c r="E38" s="24" t="str">
        <x:v>TC-VS-DSP-003</x:v>
      </x:c>
      <x:c r="F38" s="24" t="str">
        <x:v>VS-DSP-003</x:v>
      </x:c>
      <x:c r="G38" s="24" t="str">
        <x:v>Revisión</x:v>
      </x:c>
      <x:c r="H38" s="24" t="str">
        <x:v>Unity 6000.3.18f1 / Windows x64</x:v>
      </x:c>
      <x:c r="I38" s="24" t="str">
        <x:v>Not Run</x:v>
      </x:c>
      <x:c r="J38" s="24" t="str"/>
      <x:c r="K38" s="24" t="str"/>
      <x:c r="L38" s="24" t="str">
        <x:v>VRM Games</x:v>
      </x:c>
      <x:c r="M38" s="24"/>
      <x:c r="N38" s="24" t="str">
        <x:v>Fila inicial; actualizar al ejecutar.</x:v>
      </x:c>
    </x:row>
    <x:row r="39">
      <x:c r="A39" s="24" t="str">
        <x:v>EXE-0035</x:v>
      </x:c>
      <x:c r="B39" s="34"/>
      <x:c r="C39" s="24" t="str"/>
      <x:c r="D39" s="24" t="str">
        <x:v>H6 / Vertical Slice</x:v>
      </x:c>
      <x:c r="E39" s="24" t="str">
        <x:v>TC-VS-DSP-004</x:v>
      </x:c>
      <x:c r="F39" s="24" t="str">
        <x:v>VS-DSP-004</x:v>
      </x:c>
      <x:c r="G39" s="24" t="str">
        <x:v>Revisión</x:v>
      </x:c>
      <x:c r="H39" s="24" t="str">
        <x:v>Unity 6000.3.18f1 / Windows x64</x:v>
      </x:c>
      <x:c r="I39" s="24" t="str">
        <x:v>Not Run</x:v>
      </x:c>
      <x:c r="J39" s="24" t="str"/>
      <x:c r="K39" s="24" t="str"/>
      <x:c r="L39" s="24" t="str">
        <x:v>VRM Games</x:v>
      </x:c>
      <x:c r="M39" s="24"/>
      <x:c r="N39" s="24" t="str">
        <x:v>Fila inicial; actualizar al ejecutar.</x:v>
      </x:c>
    </x:row>
    <x:row r="40">
      <x:c r="A40" s="24" t="str">
        <x:v>EXE-0036</x:v>
      </x:c>
      <x:c r="B40" s="34"/>
      <x:c r="C40" s="24" t="str"/>
      <x:c r="D40" s="24" t="str">
        <x:v>H6 / Vertical Slice</x:v>
      </x:c>
      <x:c r="E40" s="24" t="str">
        <x:v>TC-VS-DSP-005</x:v>
      </x:c>
      <x:c r="F40" s="24" t="str">
        <x:v>VS-DSP-005</x:v>
      </x:c>
      <x:c r="G40" s="24" t="str">
        <x:v>Revisión</x:v>
      </x:c>
      <x:c r="H40" s="24" t="str">
        <x:v>Unity 6000.3.18f1 / Windows x64</x:v>
      </x:c>
      <x:c r="I40" s="24" t="str">
        <x:v>Not Run</x:v>
      </x:c>
      <x:c r="J40" s="24" t="str"/>
      <x:c r="K40" s="24" t="str"/>
      <x:c r="L40" s="24" t="str">
        <x:v>VRM Games</x:v>
      </x:c>
      <x:c r="M40" s="24"/>
      <x:c r="N40" s="24" t="str">
        <x:v>Fila inicial; actualizar al ejecutar.</x:v>
      </x:c>
    </x:row>
    <x:row r="41">
      <x:c r="A41" s="24" t="str">
        <x:v>EXE-0037</x:v>
      </x:c>
      <x:c r="B41" s="34"/>
      <x:c r="C41" s="24" t="str"/>
      <x:c r="D41" s="24" t="str">
        <x:v>H6 / Vertical Slice</x:v>
      </x:c>
      <x:c r="E41" s="24" t="str">
        <x:v>TC-VS-PRC-001</x:v>
      </x:c>
      <x:c r="F41" s="24" t="str">
        <x:v>VS-PRC-001</x:v>
      </x:c>
      <x:c r="G41" s="24" t="str">
        <x:v>EditMode + Integración</x:v>
      </x:c>
      <x:c r="H41" s="24" t="str">
        <x:v>Unity 6000.3.18f1 / Windows x64</x:v>
      </x:c>
      <x:c r="I41" s="24" t="str">
        <x:v>Not Run</x:v>
      </x:c>
      <x:c r="J41" s="24" t="str"/>
      <x:c r="K41" s="24" t="str"/>
      <x:c r="L41" s="24" t="str">
        <x:v>VRM Games</x:v>
      </x:c>
      <x:c r="M41" s="24"/>
      <x:c r="N41" s="24" t="str">
        <x:v>Fila inicial; actualizar al ejecutar.</x:v>
      </x:c>
    </x:row>
    <x:row r="42">
      <x:c r="A42" s="24" t="str">
        <x:v>EXE-0038</x:v>
      </x:c>
      <x:c r="B42" s="34"/>
      <x:c r="C42" s="24" t="str"/>
      <x:c r="D42" s="24" t="str">
        <x:v>H6 / Vertical Slice</x:v>
      </x:c>
      <x:c r="E42" s="24" t="str">
        <x:v>TC-VS-PRC-002</x:v>
      </x:c>
      <x:c r="F42" s="24" t="str">
        <x:v>VS-PRC-002</x:v>
      </x:c>
      <x:c r="G42" s="24" t="str">
        <x:v>EditMode + Integración</x:v>
      </x:c>
      <x:c r="H42" s="24" t="str">
        <x:v>Unity 6000.3.18f1 / Windows x64</x:v>
      </x:c>
      <x:c r="I42" s="24" t="str">
        <x:v>Not Run</x:v>
      </x:c>
      <x:c r="J42" s="24" t="str"/>
      <x:c r="K42" s="24" t="str"/>
      <x:c r="L42" s="24" t="str">
        <x:v>VRM Games</x:v>
      </x:c>
      <x:c r="M42" s="24"/>
      <x:c r="N42" s="24" t="str">
        <x:v>Fila inicial; actualizar al ejecutar.</x:v>
      </x:c>
    </x:row>
    <x:row r="43">
      <x:c r="A43" s="24" t="str">
        <x:v>EXE-0039</x:v>
      </x:c>
      <x:c r="B43" s="34"/>
      <x:c r="C43" s="24" t="str"/>
      <x:c r="D43" s="24" t="str">
        <x:v>H6 / Vertical Slice</x:v>
      </x:c>
      <x:c r="E43" s="24" t="str">
        <x:v>TC-VS-PRC-003</x:v>
      </x:c>
      <x:c r="F43" s="24" t="str">
        <x:v>VS-PRC-003</x:v>
      </x:c>
      <x:c r="G43" s="24" t="str">
        <x:v>EditMode + Integración</x:v>
      </x:c>
      <x:c r="H43" s="24" t="str">
        <x:v>Unity 6000.3.18f1 / Windows x64</x:v>
      </x:c>
      <x:c r="I43" s="24" t="str">
        <x:v>Not Run</x:v>
      </x:c>
      <x:c r="J43" s="24" t="str"/>
      <x:c r="K43" s="24" t="str"/>
      <x:c r="L43" s="24" t="str">
        <x:v>VRM Games</x:v>
      </x:c>
      <x:c r="M43" s="24"/>
      <x:c r="N43" s="24" t="str">
        <x:v>Fila inicial; actualizar al ejecutar.</x:v>
      </x:c>
    </x:row>
    <x:row r="44">
      <x:c r="A44" s="24" t="str">
        <x:v>EXE-0040</x:v>
      </x:c>
      <x:c r="B44" s="34"/>
      <x:c r="C44" s="24" t="str"/>
      <x:c r="D44" s="24" t="str">
        <x:v>H6 / Vertical Slice</x:v>
      </x:c>
      <x:c r="E44" s="24" t="str">
        <x:v>TC-VS-CUS-001</x:v>
      </x:c>
      <x:c r="F44" s="24" t="str">
        <x:v>VS-CUS-001</x:v>
      </x:c>
      <x:c r="G44" s="24" t="str">
        <x:v>PlayMode + Manual</x:v>
      </x:c>
      <x:c r="H44" s="24" t="str">
        <x:v>Unity 6000.3.18f1 / Windows x64</x:v>
      </x:c>
      <x:c r="I44" s="24" t="str">
        <x:v>Not Run</x:v>
      </x:c>
      <x:c r="J44" s="24" t="str"/>
      <x:c r="K44" s="24" t="str"/>
      <x:c r="L44" s="24" t="str">
        <x:v>VRM Games</x:v>
      </x:c>
      <x:c r="M44" s="24"/>
      <x:c r="N44" s="24" t="str">
        <x:v>Fila inicial; actualizar al ejecutar.</x:v>
      </x:c>
    </x:row>
    <x:row r="45">
      <x:c r="A45" s="24" t="str">
        <x:v>EXE-0041</x:v>
      </x:c>
      <x:c r="B45" s="34"/>
      <x:c r="C45" s="24" t="str"/>
      <x:c r="D45" s="24" t="str">
        <x:v>H6 / Vertical Slice</x:v>
      </x:c>
      <x:c r="E45" s="24" t="str">
        <x:v>TC-VS-CUS-002</x:v>
      </x:c>
      <x:c r="F45" s="24" t="str">
        <x:v>VS-CUS-002</x:v>
      </x:c>
      <x:c r="G45" s="24" t="str">
        <x:v>PlayMode + Manual</x:v>
      </x:c>
      <x:c r="H45" s="24" t="str">
        <x:v>Unity 6000.3.18f1 / Windows x64</x:v>
      </x:c>
      <x:c r="I45" s="24" t="str">
        <x:v>Not Run</x:v>
      </x:c>
      <x:c r="J45" s="24" t="str"/>
      <x:c r="K45" s="24" t="str"/>
      <x:c r="L45" s="24" t="str">
        <x:v>VRM Games</x:v>
      </x:c>
      <x:c r="M45" s="24"/>
      <x:c r="N45" s="24" t="str">
        <x:v>Fila inicial; actualizar al ejecutar.</x:v>
      </x:c>
    </x:row>
    <x:row r="46">
      <x:c r="A46" s="24" t="str">
        <x:v>EXE-0042</x:v>
      </x:c>
      <x:c r="B46" s="34"/>
      <x:c r="C46" s="24" t="str"/>
      <x:c r="D46" s="24" t="str">
        <x:v>H6 / Vertical Slice</x:v>
      </x:c>
      <x:c r="E46" s="24" t="str">
        <x:v>TC-VS-CUS-003</x:v>
      </x:c>
      <x:c r="F46" s="24" t="str">
        <x:v>VS-CUS-003</x:v>
      </x:c>
      <x:c r="G46" s="24" t="str">
        <x:v>PlayMode + Manual</x:v>
      </x:c>
      <x:c r="H46" s="24" t="str">
        <x:v>Unity 6000.3.18f1 / Windows x64</x:v>
      </x:c>
      <x:c r="I46" s="24" t="str">
        <x:v>Not Run</x:v>
      </x:c>
      <x:c r="J46" s="24" t="str"/>
      <x:c r="K46" s="24" t="str"/>
      <x:c r="L46" s="24" t="str">
        <x:v>VRM Games</x:v>
      </x:c>
      <x:c r="M46" s="24"/>
      <x:c r="N46" s="24" t="str">
        <x:v>Fila inicial; actualizar al ejecutar.</x:v>
      </x:c>
    </x:row>
    <x:row r="47">
      <x:c r="A47" s="24" t="str">
        <x:v>EXE-0043</x:v>
      </x:c>
      <x:c r="B47" s="34"/>
      <x:c r="C47" s="24" t="str"/>
      <x:c r="D47" s="24" t="str">
        <x:v>H6 / Vertical Slice</x:v>
      </x:c>
      <x:c r="E47" s="24" t="str">
        <x:v>TC-VS-CUS-004</x:v>
      </x:c>
      <x:c r="F47" s="24" t="str">
        <x:v>VS-CUS-004</x:v>
      </x:c>
      <x:c r="G47" s="24" t="str">
        <x:v>PlayMode + Manual</x:v>
      </x:c>
      <x:c r="H47" s="24" t="str">
        <x:v>Unity 6000.3.18f1 / Windows x64</x:v>
      </x:c>
      <x:c r="I47" s="24" t="str">
        <x:v>Not Run</x:v>
      </x:c>
      <x:c r="J47" s="24" t="str"/>
      <x:c r="K47" s="24" t="str"/>
      <x:c r="L47" s="24" t="str">
        <x:v>VRM Games</x:v>
      </x:c>
      <x:c r="M47" s="24"/>
      <x:c r="N47" s="24" t="str">
        <x:v>Fila inicial; actualizar al ejecutar.</x:v>
      </x:c>
    </x:row>
    <x:row r="48">
      <x:c r="A48" s="24" t="str">
        <x:v>EXE-0044</x:v>
      </x:c>
      <x:c r="B48" s="34"/>
      <x:c r="C48" s="24" t="str"/>
      <x:c r="D48" s="24" t="str">
        <x:v>H6 / Vertical Slice</x:v>
      </x:c>
      <x:c r="E48" s="24" t="str">
        <x:v>TC-VS-RES-001</x:v>
      </x:c>
      <x:c r="F48" s="24" t="str">
        <x:v>VS-RES-001</x:v>
      </x:c>
      <x:c r="G48" s="24" t="str">
        <x:v>EditMode + Integración</x:v>
      </x:c>
      <x:c r="H48" s="24" t="str">
        <x:v>Unity 6000.3.18f1 / Windows x64</x:v>
      </x:c>
      <x:c r="I48" s="24" t="str">
        <x:v>Not Run</x:v>
      </x:c>
      <x:c r="J48" s="24" t="str"/>
      <x:c r="K48" s="24" t="str"/>
      <x:c r="L48" s="24" t="str">
        <x:v>VRM Games</x:v>
      </x:c>
      <x:c r="M48" s="24"/>
      <x:c r="N48" s="24" t="str">
        <x:v>Fila inicial; actualizar al ejecutar.</x:v>
      </x:c>
    </x:row>
    <x:row r="49">
      <x:c r="A49" s="24" t="str">
        <x:v>EXE-0045</x:v>
      </x:c>
      <x:c r="B49" s="34"/>
      <x:c r="C49" s="24" t="str"/>
      <x:c r="D49" s="24" t="str">
        <x:v>H6 / Vertical Slice</x:v>
      </x:c>
      <x:c r="E49" s="24" t="str">
        <x:v>TC-VS-RES-002</x:v>
      </x:c>
      <x:c r="F49" s="24" t="str">
        <x:v>VS-RES-002</x:v>
      </x:c>
      <x:c r="G49" s="24" t="str">
        <x:v>EditMode + Integración</x:v>
      </x:c>
      <x:c r="H49" s="24" t="str">
        <x:v>Unity 6000.3.18f1 / Windows x64</x:v>
      </x:c>
      <x:c r="I49" s="24" t="str">
        <x:v>Not Run</x:v>
      </x:c>
      <x:c r="J49" s="24" t="str"/>
      <x:c r="K49" s="24" t="str"/>
      <x:c r="L49" s="24" t="str">
        <x:v>VRM Games</x:v>
      </x:c>
      <x:c r="M49" s="24"/>
      <x:c r="N49" s="24" t="str">
        <x:v>Fila inicial; actualizar al ejecutar.</x:v>
      </x:c>
    </x:row>
    <x:row r="50">
      <x:c r="A50" s="24" t="str">
        <x:v>EXE-0046</x:v>
      </x:c>
      <x:c r="B50" s="34"/>
      <x:c r="C50" s="24" t="str"/>
      <x:c r="D50" s="24" t="str">
        <x:v>H6 / Vertical Slice</x:v>
      </x:c>
      <x:c r="E50" s="24" t="str">
        <x:v>TC-VS-RES-003</x:v>
      </x:c>
      <x:c r="F50" s="24" t="str">
        <x:v>VS-RES-003</x:v>
      </x:c>
      <x:c r="G50" s="24" t="str">
        <x:v>EditMode + Integración</x:v>
      </x:c>
      <x:c r="H50" s="24" t="str">
        <x:v>Unity 6000.3.18f1 / Windows x64</x:v>
      </x:c>
      <x:c r="I50" s="24" t="str">
        <x:v>Not Run</x:v>
      </x:c>
      <x:c r="J50" s="24" t="str"/>
      <x:c r="K50" s="24" t="str"/>
      <x:c r="L50" s="24" t="str">
        <x:v>VRM Games</x:v>
      </x:c>
      <x:c r="M50" s="24"/>
      <x:c r="N50" s="24" t="str">
        <x:v>Fila inicial; actualizar al ejecutar.</x:v>
      </x:c>
    </x:row>
    <x:row r="51">
      <x:c r="A51" s="24" t="str">
        <x:v>EXE-0047</x:v>
      </x:c>
      <x:c r="B51" s="34"/>
      <x:c r="C51" s="24" t="str"/>
      <x:c r="D51" s="24" t="str">
        <x:v>H6 / Vertical Slice</x:v>
      </x:c>
      <x:c r="E51" s="24" t="str">
        <x:v>TC-VS-QUE-001</x:v>
      </x:c>
      <x:c r="F51" s="24" t="str">
        <x:v>VS-QUE-001</x:v>
      </x:c>
      <x:c r="G51" s="24" t="str">
        <x:v>PlayMode + Manual</x:v>
      </x:c>
      <x:c r="H51" s="24" t="str">
        <x:v>Unity 6000.3.18f1 / Windows x64</x:v>
      </x:c>
      <x:c r="I51" s="24" t="str">
        <x:v>Not Run</x:v>
      </x:c>
      <x:c r="J51" s="24" t="str"/>
      <x:c r="K51" s="24" t="str"/>
      <x:c r="L51" s="24" t="str">
        <x:v>VRM Games</x:v>
      </x:c>
      <x:c r="M51" s="24"/>
      <x:c r="N51" s="24" t="str">
        <x:v>Fila inicial; actualizar al ejecutar.</x:v>
      </x:c>
    </x:row>
    <x:row r="52">
      <x:c r="A52" s="24" t="str">
        <x:v>EXE-0048</x:v>
      </x:c>
      <x:c r="B52" s="34"/>
      <x:c r="C52" s="24" t="str"/>
      <x:c r="D52" s="24" t="str">
        <x:v>H6 / Vertical Slice</x:v>
      </x:c>
      <x:c r="E52" s="24" t="str">
        <x:v>TC-VS-QUE-002</x:v>
      </x:c>
      <x:c r="F52" s="24" t="str">
        <x:v>VS-QUE-002</x:v>
      </x:c>
      <x:c r="G52" s="24" t="str">
        <x:v>PlayMode + Manual</x:v>
      </x:c>
      <x:c r="H52" s="24" t="str">
        <x:v>Unity 6000.3.18f1 / Windows x64</x:v>
      </x:c>
      <x:c r="I52" s="24" t="str">
        <x:v>Not Run</x:v>
      </x:c>
      <x:c r="J52" s="24" t="str"/>
      <x:c r="K52" s="24" t="str"/>
      <x:c r="L52" s="24" t="str">
        <x:v>VRM Games</x:v>
      </x:c>
      <x:c r="M52" s="24"/>
      <x:c r="N52" s="24" t="str">
        <x:v>Fila inicial; actualizar al ejecutar.</x:v>
      </x:c>
    </x:row>
    <x:row r="53">
      <x:c r="A53" s="24" t="str">
        <x:v>EXE-0049</x:v>
      </x:c>
      <x:c r="B53" s="34"/>
      <x:c r="C53" s="24" t="str"/>
      <x:c r="D53" s="24" t="str">
        <x:v>H6 / Vertical Slice</x:v>
      </x:c>
      <x:c r="E53" s="24" t="str">
        <x:v>TC-VS-QUE-003</x:v>
      </x:c>
      <x:c r="F53" s="24" t="str">
        <x:v>VS-QUE-003</x:v>
      </x:c>
      <x:c r="G53" s="24" t="str">
        <x:v>PlayMode + Manual</x:v>
      </x:c>
      <x:c r="H53" s="24" t="str">
        <x:v>Unity 6000.3.18f1 / Windows x64</x:v>
      </x:c>
      <x:c r="I53" s="24" t="str">
        <x:v>Not Run</x:v>
      </x:c>
      <x:c r="J53" s="24" t="str"/>
      <x:c r="K53" s="24" t="str"/>
      <x:c r="L53" s="24" t="str">
        <x:v>VRM Games</x:v>
      </x:c>
      <x:c r="M53" s="24"/>
      <x:c r="N53" s="24" t="str">
        <x:v>Fila inicial; actualizar al ejecutar.</x:v>
      </x:c>
    </x:row>
    <x:row r="54">
      <x:c r="A54" s="24" t="str">
        <x:v>EXE-0050</x:v>
      </x:c>
      <x:c r="B54" s="34"/>
      <x:c r="C54" s="24" t="str"/>
      <x:c r="D54" s="24" t="str">
        <x:v>H6 / Vertical Slice</x:v>
      </x:c>
      <x:c r="E54" s="24" t="str">
        <x:v>TC-VS-CHK-001</x:v>
      </x:c>
      <x:c r="F54" s="24" t="str">
        <x:v>VS-CHK-001</x:v>
      </x:c>
      <x:c r="G54" s="24" t="str">
        <x:v>EditMode + Integración</x:v>
      </x:c>
      <x:c r="H54" s="24" t="str">
        <x:v>Unity 6000.3.18f1 / Windows x64</x:v>
      </x:c>
      <x:c r="I54" s="24" t="str">
        <x:v>Not Run</x:v>
      </x:c>
      <x:c r="J54" s="24" t="str"/>
      <x:c r="K54" s="24" t="str"/>
      <x:c r="L54" s="24" t="str">
        <x:v>VRM Games</x:v>
      </x:c>
      <x:c r="M54" s="24"/>
      <x:c r="N54" s="24" t="str">
        <x:v>Fila inicial; actualizar al ejecutar.</x:v>
      </x:c>
    </x:row>
    <x:row r="55">
      <x:c r="A55" s="24" t="str">
        <x:v>EXE-0051</x:v>
      </x:c>
      <x:c r="B55" s="34"/>
      <x:c r="C55" s="24" t="str"/>
      <x:c r="D55" s="24" t="str">
        <x:v>H6 / Vertical Slice</x:v>
      </x:c>
      <x:c r="E55" s="24" t="str">
        <x:v>TC-VS-CHK-002</x:v>
      </x:c>
      <x:c r="F55" s="24" t="str">
        <x:v>VS-CHK-002</x:v>
      </x:c>
      <x:c r="G55" s="24" t="str">
        <x:v>EditMode + Integración</x:v>
      </x:c>
      <x:c r="H55" s="24" t="str">
        <x:v>Unity 6000.3.18f1 / Windows x64</x:v>
      </x:c>
      <x:c r="I55" s="24" t="str">
        <x:v>Not Run</x:v>
      </x:c>
      <x:c r="J55" s="24" t="str"/>
      <x:c r="K55" s="24" t="str"/>
      <x:c r="L55" s="24" t="str">
        <x:v>VRM Games</x:v>
      </x:c>
      <x:c r="M55" s="24"/>
      <x:c r="N55" s="24" t="str">
        <x:v>Fila inicial; actualizar al ejecutar.</x:v>
      </x:c>
    </x:row>
    <x:row r="56">
      <x:c r="A56" s="24" t="str">
        <x:v>EXE-0052</x:v>
      </x:c>
      <x:c r="B56" s="34"/>
      <x:c r="C56" s="24" t="str"/>
      <x:c r="D56" s="24" t="str">
        <x:v>H6 / Vertical Slice</x:v>
      </x:c>
      <x:c r="E56" s="24" t="str">
        <x:v>TC-VS-CHK-003</x:v>
      </x:c>
      <x:c r="F56" s="24" t="str">
        <x:v>VS-CHK-003</x:v>
      </x:c>
      <x:c r="G56" s="24" t="str">
        <x:v>EditMode + Integración</x:v>
      </x:c>
      <x:c r="H56" s="24" t="str">
        <x:v>Unity 6000.3.18f1 / Windows x64</x:v>
      </x:c>
      <x:c r="I56" s="24" t="str">
        <x:v>Not Run</x:v>
      </x:c>
      <x:c r="J56" s="24" t="str"/>
      <x:c r="K56" s="24" t="str"/>
      <x:c r="L56" s="24" t="str">
        <x:v>VRM Games</x:v>
      </x:c>
      <x:c r="M56" s="24"/>
      <x:c r="N56" s="24" t="str">
        <x:v>Fila inicial; actualizar al ejecutar.</x:v>
      </x:c>
    </x:row>
    <x:row r="57">
      <x:c r="A57" s="24" t="str">
        <x:v>EXE-0053</x:v>
      </x:c>
      <x:c r="B57" s="34"/>
      <x:c r="C57" s="24" t="str"/>
      <x:c r="D57" s="24" t="str">
        <x:v>H6 / Vertical Slice</x:v>
      </x:c>
      <x:c r="E57" s="24" t="str">
        <x:v>TC-VS-CHK-004</x:v>
      </x:c>
      <x:c r="F57" s="24" t="str">
        <x:v>VS-CHK-004</x:v>
      </x:c>
      <x:c r="G57" s="24" t="str">
        <x:v>EditMode + Integración</x:v>
      </x:c>
      <x:c r="H57" s="24" t="str">
        <x:v>Unity 6000.3.18f1 / Windows x64</x:v>
      </x:c>
      <x:c r="I57" s="24" t="str">
        <x:v>Not Run</x:v>
      </x:c>
      <x:c r="J57" s="24" t="str"/>
      <x:c r="K57" s="24" t="str"/>
      <x:c r="L57" s="24" t="str">
        <x:v>VRM Games</x:v>
      </x:c>
      <x:c r="M57" s="24"/>
      <x:c r="N57" s="24" t="str">
        <x:v>Fila inicial; actualizar al ejecutar.</x:v>
      </x:c>
    </x:row>
    <x:row r="58">
      <x:c r="A58" s="24" t="str">
        <x:v>EXE-0054</x:v>
      </x:c>
      <x:c r="B58" s="34"/>
      <x:c r="C58" s="24" t="str"/>
      <x:c r="D58" s="24" t="str">
        <x:v>H6 / Vertical Slice</x:v>
      </x:c>
      <x:c r="E58" s="24" t="str">
        <x:v>TC-VS-DAY-001</x:v>
      </x:c>
      <x:c r="F58" s="24" t="str">
        <x:v>VS-DAY-001</x:v>
      </x:c>
      <x:c r="G58" s="24" t="str">
        <x:v>EditMode + Integración</x:v>
      </x:c>
      <x:c r="H58" s="24" t="str">
        <x:v>Unity 6000.3.18f1 / Windows x64</x:v>
      </x:c>
      <x:c r="I58" s="24" t="str">
        <x:v>Not Run</x:v>
      </x:c>
      <x:c r="J58" s="24" t="str"/>
      <x:c r="K58" s="24" t="str"/>
      <x:c r="L58" s="24" t="str">
        <x:v>VRM Games</x:v>
      </x:c>
      <x:c r="M58" s="24"/>
      <x:c r="N58" s="24" t="str">
        <x:v>Fila inicial; actualizar al ejecutar.</x:v>
      </x:c>
    </x:row>
    <x:row r="59">
      <x:c r="A59" s="24" t="str">
        <x:v>EXE-0055</x:v>
      </x:c>
      <x:c r="B59" s="34"/>
      <x:c r="C59" s="24" t="str"/>
      <x:c r="D59" s="24" t="str">
        <x:v>H6 / Vertical Slice</x:v>
      </x:c>
      <x:c r="E59" s="24" t="str">
        <x:v>TC-VS-DAY-002</x:v>
      </x:c>
      <x:c r="F59" s="24" t="str">
        <x:v>VS-DAY-002</x:v>
      </x:c>
      <x:c r="G59" s="24" t="str">
        <x:v>EditMode + Integración</x:v>
      </x:c>
      <x:c r="H59" s="24" t="str">
        <x:v>Unity 6000.3.18f1 / Windows x64</x:v>
      </x:c>
      <x:c r="I59" s="24" t="str">
        <x:v>Not Run</x:v>
      </x:c>
      <x:c r="J59" s="24" t="str"/>
      <x:c r="K59" s="24" t="str"/>
      <x:c r="L59" s="24" t="str">
        <x:v>VRM Games</x:v>
      </x:c>
      <x:c r="M59" s="24"/>
      <x:c r="N59" s="24" t="str">
        <x:v>Fila inicial; actualizar al ejecutar.</x:v>
      </x:c>
    </x:row>
    <x:row r="60">
      <x:c r="A60" s="24" t="str">
        <x:v>EXE-0056</x:v>
      </x:c>
      <x:c r="B60" s="34"/>
      <x:c r="C60" s="24" t="str"/>
      <x:c r="D60" s="24" t="str">
        <x:v>H6 / Vertical Slice</x:v>
      </x:c>
      <x:c r="E60" s="24" t="str">
        <x:v>TC-VS-DAY-003</x:v>
      </x:c>
      <x:c r="F60" s="24" t="str">
        <x:v>VS-DAY-003</x:v>
      </x:c>
      <x:c r="G60" s="24" t="str">
        <x:v>EditMode + Integración</x:v>
      </x:c>
      <x:c r="H60" s="24" t="str">
        <x:v>Unity 6000.3.18f1 / Windows x64</x:v>
      </x:c>
      <x:c r="I60" s="24" t="str">
        <x:v>Not Run</x:v>
      </x:c>
      <x:c r="J60" s="24" t="str"/>
      <x:c r="K60" s="24" t="str"/>
      <x:c r="L60" s="24" t="str">
        <x:v>VRM Games</x:v>
      </x:c>
      <x:c r="M60" s="24"/>
      <x:c r="N60" s="24" t="str">
        <x:v>Fila inicial; actualizar al ejecutar.</x:v>
      </x:c>
    </x:row>
    <x:row r="61">
      <x:c r="A61" s="24" t="str">
        <x:v>EXE-0057</x:v>
      </x:c>
      <x:c r="B61" s="34"/>
      <x:c r="C61" s="24" t="str"/>
      <x:c r="D61" s="24" t="str">
        <x:v>H6 / Vertical Slice</x:v>
      </x:c>
      <x:c r="E61" s="24" t="str">
        <x:v>TC-VS-DAY-004</x:v>
      </x:c>
      <x:c r="F61" s="24" t="str">
        <x:v>VS-DAY-004</x:v>
      </x:c>
      <x:c r="G61" s="24" t="str">
        <x:v>EditMode + Integración</x:v>
      </x:c>
      <x:c r="H61" s="24" t="str">
        <x:v>Unity 6000.3.18f1 / Windows x64</x:v>
      </x:c>
      <x:c r="I61" s="24" t="str">
        <x:v>Not Run</x:v>
      </x:c>
      <x:c r="J61" s="24" t="str"/>
      <x:c r="K61" s="24" t="str"/>
      <x:c r="L61" s="24" t="str">
        <x:v>VRM Games</x:v>
      </x:c>
      <x:c r="M61" s="24"/>
      <x:c r="N61" s="24" t="str">
        <x:v>Fila inicial; actualizar al ejecutar.</x:v>
      </x:c>
    </x:row>
    <x:row r="62">
      <x:c r="A62" s="24" t="str">
        <x:v>EXE-0058</x:v>
      </x:c>
      <x:c r="B62" s="34"/>
      <x:c r="C62" s="24" t="str"/>
      <x:c r="D62" s="24" t="str">
        <x:v>H6 / Vertical Slice</x:v>
      </x:c>
      <x:c r="E62" s="24" t="str">
        <x:v>TC-VS-ECO-001</x:v>
      </x:c>
      <x:c r="F62" s="24" t="str">
        <x:v>VS-ECO-001</x:v>
      </x:c>
      <x:c r="G62" s="24" t="str">
        <x:v>EditMode + Integración</x:v>
      </x:c>
      <x:c r="H62" s="24" t="str">
        <x:v>Unity 6000.3.18f1 / Windows x64</x:v>
      </x:c>
      <x:c r="I62" s="24" t="str">
        <x:v>Not Run</x:v>
      </x:c>
      <x:c r="J62" s="24" t="str"/>
      <x:c r="K62" s="24" t="str"/>
      <x:c r="L62" s="24" t="str">
        <x:v>VRM Games</x:v>
      </x:c>
      <x:c r="M62" s="24"/>
      <x:c r="N62" s="24" t="str">
        <x:v>Fila inicial; actualizar al ejecutar.</x:v>
      </x:c>
    </x:row>
    <x:row r="63">
      <x:c r="A63" s="24" t="str">
        <x:v>EXE-0059</x:v>
      </x:c>
      <x:c r="B63" s="34"/>
      <x:c r="C63" s="24" t="str"/>
      <x:c r="D63" s="24" t="str">
        <x:v>H6 / Vertical Slice</x:v>
      </x:c>
      <x:c r="E63" s="24" t="str">
        <x:v>TC-VS-ECO-002</x:v>
      </x:c>
      <x:c r="F63" s="24" t="str">
        <x:v>VS-ECO-002</x:v>
      </x:c>
      <x:c r="G63" s="24" t="str">
        <x:v>EditMode + Integración</x:v>
      </x:c>
      <x:c r="H63" s="24" t="str">
        <x:v>Unity 6000.3.18f1 / Windows x64</x:v>
      </x:c>
      <x:c r="I63" s="24" t="str">
        <x:v>Not Run</x:v>
      </x:c>
      <x:c r="J63" s="24" t="str"/>
      <x:c r="K63" s="24" t="str"/>
      <x:c r="L63" s="24" t="str">
        <x:v>VRM Games</x:v>
      </x:c>
      <x:c r="M63" s="24"/>
      <x:c r="N63" s="24" t="str">
        <x:v>Fila inicial; actualizar al ejecutar.</x:v>
      </x:c>
    </x:row>
    <x:row r="64">
      <x:c r="A64" s="24" t="str">
        <x:v>EXE-0060</x:v>
      </x:c>
      <x:c r="B64" s="34"/>
      <x:c r="C64" s="24" t="str"/>
      <x:c r="D64" s="24" t="str">
        <x:v>H6 / Vertical Slice</x:v>
      </x:c>
      <x:c r="E64" s="24" t="str">
        <x:v>TC-VS-ECO-003</x:v>
      </x:c>
      <x:c r="F64" s="24" t="str">
        <x:v>VS-ECO-003</x:v>
      </x:c>
      <x:c r="G64" s="24" t="str">
        <x:v>EditMode + Integración</x:v>
      </x:c>
      <x:c r="H64" s="24" t="str">
        <x:v>Unity 6000.3.18f1 / Windows x64</x:v>
      </x:c>
      <x:c r="I64" s="24" t="str">
        <x:v>Not Run</x:v>
      </x:c>
      <x:c r="J64" s="24" t="str"/>
      <x:c r="K64" s="24" t="str"/>
      <x:c r="L64" s="24" t="str">
        <x:v>VRM Games</x:v>
      </x:c>
      <x:c r="M64" s="24"/>
      <x:c r="N64" s="24" t="str">
        <x:v>Fila inicial; actualizar al ejecutar.</x:v>
      </x:c>
    </x:row>
    <x:row r="65">
      <x:c r="A65" s="24" t="str">
        <x:v>EXE-0061</x:v>
      </x:c>
      <x:c r="B65" s="34"/>
      <x:c r="C65" s="24" t="str"/>
      <x:c r="D65" s="24" t="str">
        <x:v>H6 / Vertical Slice</x:v>
      </x:c>
      <x:c r="E65" s="24" t="str">
        <x:v>TC-VS-ECO-004</x:v>
      </x:c>
      <x:c r="F65" s="24" t="str">
        <x:v>VS-ECO-004</x:v>
      </x:c>
      <x:c r="G65" s="24" t="str">
        <x:v>EditMode + Integración</x:v>
      </x:c>
      <x:c r="H65" s="24" t="str">
        <x:v>Unity 6000.3.18f1 / Windows x64</x:v>
      </x:c>
      <x:c r="I65" s="24" t="str">
        <x:v>Not Run</x:v>
      </x:c>
      <x:c r="J65" s="24" t="str"/>
      <x:c r="K65" s="24" t="str"/>
      <x:c r="L65" s="24" t="str">
        <x:v>VRM Games</x:v>
      </x:c>
      <x:c r="M65" s="24"/>
      <x:c r="N65" s="24" t="str">
        <x:v>Fila inicial; actualizar al ejecutar.</x:v>
      </x:c>
    </x:row>
    <x:row r="66">
      <x:c r="A66" s="24" t="str">
        <x:v>EXE-0062</x:v>
      </x:c>
      <x:c r="B66" s="34"/>
      <x:c r="C66" s="24" t="str"/>
      <x:c r="D66" s="24" t="str">
        <x:v>H6 / Vertical Slice</x:v>
      </x:c>
      <x:c r="E66" s="24" t="str">
        <x:v>TC-VS-ECO-005</x:v>
      </x:c>
      <x:c r="F66" s="24" t="str">
        <x:v>VS-ECO-005</x:v>
      </x:c>
      <x:c r="G66" s="24" t="str">
        <x:v>EditMode + Integración</x:v>
      </x:c>
      <x:c r="H66" s="24" t="str">
        <x:v>Unity 6000.3.18f1 / Windows x64</x:v>
      </x:c>
      <x:c r="I66" s="24" t="str">
        <x:v>Not Run</x:v>
      </x:c>
      <x:c r="J66" s="24" t="str"/>
      <x:c r="K66" s="24" t="str"/>
      <x:c r="L66" s="24" t="str">
        <x:v>VRM Games</x:v>
      </x:c>
      <x:c r="M66" s="24"/>
      <x:c r="N66" s="24" t="str">
        <x:v>Fila inicial; actualizar al ejecutar.</x:v>
      </x:c>
    </x:row>
    <x:row r="67">
      <x:c r="A67" s="24" t="str">
        <x:v>EXE-0063</x:v>
      </x:c>
      <x:c r="B67" s="34"/>
      <x:c r="C67" s="24" t="str"/>
      <x:c r="D67" s="24" t="str">
        <x:v>H6 / Vertical Slice</x:v>
      </x:c>
      <x:c r="E67" s="24" t="str">
        <x:v>TC-VS-SAV-001</x:v>
      </x:c>
      <x:c r="F67" s="24" t="str">
        <x:v>VS-SAV-001</x:v>
      </x:c>
      <x:c r="G67" s="24" t="str">
        <x:v>EditMode + Integración</x:v>
      </x:c>
      <x:c r="H67" s="24" t="str">
        <x:v>Unity 6000.3.18f1 / Windows x64</x:v>
      </x:c>
      <x:c r="I67" s="24" t="str">
        <x:v>Not Run</x:v>
      </x:c>
      <x:c r="J67" s="24" t="str"/>
      <x:c r="K67" s="24" t="str"/>
      <x:c r="L67" s="24" t="str">
        <x:v>VRM Games</x:v>
      </x:c>
      <x:c r="M67" s="24"/>
      <x:c r="N67" s="24" t="str">
        <x:v>Fila inicial; actualizar al ejecutar.</x:v>
      </x:c>
    </x:row>
    <x:row r="68">
      <x:c r="A68" s="24" t="str">
        <x:v>EXE-0064</x:v>
      </x:c>
      <x:c r="B68" s="34"/>
      <x:c r="C68" s="24" t="str"/>
      <x:c r="D68" s="24" t="str">
        <x:v>H6 / Vertical Slice</x:v>
      </x:c>
      <x:c r="E68" s="24" t="str">
        <x:v>TC-VS-SAV-002</x:v>
      </x:c>
      <x:c r="F68" s="24" t="str">
        <x:v>VS-SAV-002</x:v>
      </x:c>
      <x:c r="G68" s="24" t="str">
        <x:v>EditMode + Integración</x:v>
      </x:c>
      <x:c r="H68" s="24" t="str">
        <x:v>Unity 6000.3.18f1 / Windows x64</x:v>
      </x:c>
      <x:c r="I68" s="24" t="str">
        <x:v>Not Run</x:v>
      </x:c>
      <x:c r="J68" s="24" t="str"/>
      <x:c r="K68" s="24" t="str"/>
      <x:c r="L68" s="24" t="str">
        <x:v>VRM Games</x:v>
      </x:c>
      <x:c r="M68" s="24"/>
      <x:c r="N68" s="24" t="str">
        <x:v>Fila inicial; actualizar al ejecutar.</x:v>
      </x:c>
    </x:row>
    <x:row r="69">
      <x:c r="A69" s="24" t="str">
        <x:v>EXE-0065</x:v>
      </x:c>
      <x:c r="B69" s="34"/>
      <x:c r="C69" s="24" t="str"/>
      <x:c r="D69" s="24" t="str">
        <x:v>H6 / Vertical Slice</x:v>
      </x:c>
      <x:c r="E69" s="24" t="str">
        <x:v>TC-VS-SAV-003</x:v>
      </x:c>
      <x:c r="F69" s="24" t="str">
        <x:v>VS-SAV-003</x:v>
      </x:c>
      <x:c r="G69" s="24" t="str">
        <x:v>EditMode + Integración</x:v>
      </x:c>
      <x:c r="H69" s="24" t="str">
        <x:v>Unity 6000.3.18f1 / Windows x64</x:v>
      </x:c>
      <x:c r="I69" s="24" t="str">
        <x:v>Not Run</x:v>
      </x:c>
      <x:c r="J69" s="24" t="str"/>
      <x:c r="K69" s="24" t="str"/>
      <x:c r="L69" s="24" t="str">
        <x:v>VRM Games</x:v>
      </x:c>
      <x:c r="M69" s="24"/>
      <x:c r="N69" s="24" t="str">
        <x:v>Fila inicial; actualizar al ejecutar.</x:v>
      </x:c>
    </x:row>
    <x:row r="70">
      <x:c r="A70" s="24" t="str">
        <x:v>EXE-0066</x:v>
      </x:c>
      <x:c r="B70" s="34"/>
      <x:c r="C70" s="24" t="str"/>
      <x:c r="D70" s="24" t="str">
        <x:v>H6 / Vertical Slice</x:v>
      </x:c>
      <x:c r="E70" s="24" t="str">
        <x:v>TC-VS-SAV-004</x:v>
      </x:c>
      <x:c r="F70" s="24" t="str">
        <x:v>VS-SAV-004</x:v>
      </x:c>
      <x:c r="G70" s="24" t="str">
        <x:v>EditMode + Integración</x:v>
      </x:c>
      <x:c r="H70" s="24" t="str">
        <x:v>Unity 6000.3.18f1 / Windows x64</x:v>
      </x:c>
      <x:c r="I70" s="24" t="str">
        <x:v>Not Run</x:v>
      </x:c>
      <x:c r="J70" s="24" t="str"/>
      <x:c r="K70" s="24" t="str"/>
      <x:c r="L70" s="24" t="str">
        <x:v>VRM Games</x:v>
      </x:c>
      <x:c r="M70" s="24"/>
      <x:c r="N70" s="24" t="str">
        <x:v>Fila inicial; actualizar al ejecutar.</x:v>
      </x:c>
    </x:row>
    <x:row r="71">
      <x:c r="A71" s="24" t="str">
        <x:v>EXE-0067</x:v>
      </x:c>
      <x:c r="B71" s="34"/>
      <x:c r="C71" s="24" t="str"/>
      <x:c r="D71" s="24" t="str">
        <x:v>H6 / Vertical Slice</x:v>
      </x:c>
      <x:c r="E71" s="24" t="str">
        <x:v>TC-VS-SAV-005</x:v>
      </x:c>
      <x:c r="F71" s="24" t="str">
        <x:v>VS-SAV-005</x:v>
      </x:c>
      <x:c r="G71" s="24" t="str">
        <x:v>EditMode + Integración</x:v>
      </x:c>
      <x:c r="H71" s="24" t="str">
        <x:v>Unity 6000.3.18f1 / Windows x64</x:v>
      </x:c>
      <x:c r="I71" s="24" t="str">
        <x:v>Not Run</x:v>
      </x:c>
      <x:c r="J71" s="24" t="str"/>
      <x:c r="K71" s="24" t="str"/>
      <x:c r="L71" s="24" t="str">
        <x:v>VRM Games</x:v>
      </x:c>
      <x:c r="M71" s="24"/>
      <x:c r="N71" s="24" t="str">
        <x:v>Fila inicial; actualizar al ejecutar.</x:v>
      </x:c>
    </x:row>
    <x:row r="72">
      <x:c r="A72" s="24" t="str">
        <x:v>EXE-0068</x:v>
      </x:c>
      <x:c r="B72" s="34"/>
      <x:c r="C72" s="24" t="str"/>
      <x:c r="D72" s="24" t="str">
        <x:v>H6 / Vertical Slice</x:v>
      </x:c>
      <x:c r="E72" s="24" t="str">
        <x:v>TC-VS-UI-001</x:v>
      </x:c>
      <x:c r="F72" s="24" t="str">
        <x:v>VS-UI-001</x:v>
      </x:c>
      <x:c r="G72" s="24" t="str">
        <x:v>PlayMode + Manual</x:v>
      </x:c>
      <x:c r="H72" s="24" t="str">
        <x:v>Unity 6000.3.18f1 / Windows x64</x:v>
      </x:c>
      <x:c r="I72" s="24" t="str">
        <x:v>Not Run</x:v>
      </x:c>
      <x:c r="J72" s="24" t="str"/>
      <x:c r="K72" s="24" t="str"/>
      <x:c r="L72" s="24" t="str">
        <x:v>VRM Games</x:v>
      </x:c>
      <x:c r="M72" s="24"/>
      <x:c r="N72" s="24" t="str">
        <x:v>Fila inicial; actualizar al ejecutar.</x:v>
      </x:c>
    </x:row>
    <x:row r="73">
      <x:c r="A73" s="24" t="str">
        <x:v>EXE-0069</x:v>
      </x:c>
      <x:c r="B73" s="34"/>
      <x:c r="C73" s="24" t="str"/>
      <x:c r="D73" s="24" t="str">
        <x:v>H6 / Vertical Slice</x:v>
      </x:c>
      <x:c r="E73" s="24" t="str">
        <x:v>TC-VS-UI-002</x:v>
      </x:c>
      <x:c r="F73" s="24" t="str">
        <x:v>VS-UI-002</x:v>
      </x:c>
      <x:c r="G73" s="24" t="str">
        <x:v>PlayMode + Manual</x:v>
      </x:c>
      <x:c r="H73" s="24" t="str">
        <x:v>Unity 6000.3.18f1 / Windows x64</x:v>
      </x:c>
      <x:c r="I73" s="24" t="str">
        <x:v>Not Run</x:v>
      </x:c>
      <x:c r="J73" s="24" t="str"/>
      <x:c r="K73" s="24" t="str"/>
      <x:c r="L73" s="24" t="str">
        <x:v>VRM Games</x:v>
      </x:c>
      <x:c r="M73" s="24"/>
      <x:c r="N73" s="24" t="str">
        <x:v>Fila inicial; actualizar al ejecutar.</x:v>
      </x:c>
    </x:row>
    <x:row r="74">
      <x:c r="A74" s="24" t="str">
        <x:v>EXE-0070</x:v>
      </x:c>
      <x:c r="B74" s="34"/>
      <x:c r="C74" s="24" t="str"/>
      <x:c r="D74" s="24" t="str">
        <x:v>H6 / Vertical Slice</x:v>
      </x:c>
      <x:c r="E74" s="24" t="str">
        <x:v>TC-VS-UI-003</x:v>
      </x:c>
      <x:c r="F74" s="24" t="str">
        <x:v>VS-UI-003</x:v>
      </x:c>
      <x:c r="G74" s="24" t="str">
        <x:v>PlayMode + Manual</x:v>
      </x:c>
      <x:c r="H74" s="24" t="str">
        <x:v>Unity 6000.3.18f1 / Windows x64</x:v>
      </x:c>
      <x:c r="I74" s="24" t="str">
        <x:v>Not Run</x:v>
      </x:c>
      <x:c r="J74" s="24" t="str"/>
      <x:c r="K74" s="24" t="str"/>
      <x:c r="L74" s="24" t="str">
        <x:v>VRM Games</x:v>
      </x:c>
      <x:c r="M74" s="24"/>
      <x:c r="N74" s="24" t="str">
        <x:v>Fila inicial; actualizar al ejecutar.</x:v>
      </x:c>
    </x:row>
    <x:row r="75">
      <x:c r="A75" s="24" t="str">
        <x:v>EXE-0071</x:v>
      </x:c>
      <x:c r="B75" s="34"/>
      <x:c r="C75" s="24" t="str"/>
      <x:c r="D75" s="24" t="str">
        <x:v>H6 / Vertical Slice</x:v>
      </x:c>
      <x:c r="E75" s="24" t="str">
        <x:v>TC-VS-UI-004</x:v>
      </x:c>
      <x:c r="F75" s="24" t="str">
        <x:v>VS-UI-004</x:v>
      </x:c>
      <x:c r="G75" s="24" t="str">
        <x:v>PlayMode + Manual</x:v>
      </x:c>
      <x:c r="H75" s="24" t="str">
        <x:v>Unity 6000.3.18f1 / Windows x64</x:v>
      </x:c>
      <x:c r="I75" s="24" t="str">
        <x:v>Not Run</x:v>
      </x:c>
      <x:c r="J75" s="24" t="str"/>
      <x:c r="K75" s="24" t="str"/>
      <x:c r="L75" s="24" t="str">
        <x:v>VRM Games</x:v>
      </x:c>
      <x:c r="M75" s="24"/>
      <x:c r="N75" s="24" t="str">
        <x:v>Fila inicial; actualizar al ejecutar.</x:v>
      </x:c>
    </x:row>
    <x:row r="76">
      <x:c r="A76" s="24" t="str">
        <x:v>EXE-0072</x:v>
      </x:c>
      <x:c r="B76" s="34"/>
      <x:c r="C76" s="24" t="str"/>
      <x:c r="D76" s="24" t="str">
        <x:v>H6 / Vertical Slice</x:v>
      </x:c>
      <x:c r="E76" s="24" t="str">
        <x:v>TC-VS-ART-001</x:v>
      </x:c>
      <x:c r="F76" s="24" t="str">
        <x:v>VS-ART-001</x:v>
      </x:c>
      <x:c r="G76" s="24" t="str">
        <x:v>PlayMode + Manual</x:v>
      </x:c>
      <x:c r="H76" s="24" t="str">
        <x:v>Unity 6000.3.18f1 / Windows x64</x:v>
      </x:c>
      <x:c r="I76" s="24" t="str">
        <x:v>Not Run</x:v>
      </x:c>
      <x:c r="J76" s="24" t="str"/>
      <x:c r="K76" s="24" t="str"/>
      <x:c r="L76" s="24" t="str">
        <x:v>VRM Games</x:v>
      </x:c>
      <x:c r="M76" s="24"/>
      <x:c r="N76" s="24" t="str">
        <x:v>Fila inicial; actualizar al ejecutar.</x:v>
      </x:c>
    </x:row>
    <x:row r="77">
      <x:c r="A77" s="24" t="str">
        <x:v>EXE-0073</x:v>
      </x:c>
      <x:c r="B77" s="34"/>
      <x:c r="C77" s="24" t="str"/>
      <x:c r="D77" s="24" t="str">
        <x:v>H6 / Vertical Slice</x:v>
      </x:c>
      <x:c r="E77" s="24" t="str">
        <x:v>TC-VS-ART-002</x:v>
      </x:c>
      <x:c r="F77" s="24" t="str">
        <x:v>VS-ART-002</x:v>
      </x:c>
      <x:c r="G77" s="24" t="str">
        <x:v>PlayMode + Manual</x:v>
      </x:c>
      <x:c r="H77" s="24" t="str">
        <x:v>Unity 6000.3.18f1 / Windows x64</x:v>
      </x:c>
      <x:c r="I77" s="24" t="str">
        <x:v>Not Run</x:v>
      </x:c>
      <x:c r="J77" s="24" t="str"/>
      <x:c r="K77" s="24" t="str"/>
      <x:c r="L77" s="24" t="str">
        <x:v>VRM Games</x:v>
      </x:c>
      <x:c r="M77" s="24"/>
      <x:c r="N77" s="24" t="str">
        <x:v>Fila inicial; actualizar al ejecutar.</x:v>
      </x:c>
    </x:row>
    <x:row r="78">
      <x:c r="A78" s="24" t="str">
        <x:v>EXE-0074</x:v>
      </x:c>
      <x:c r="B78" s="34"/>
      <x:c r="C78" s="24" t="str"/>
      <x:c r="D78" s="24" t="str">
        <x:v>H6 / Vertical Slice</x:v>
      </x:c>
      <x:c r="E78" s="24" t="str">
        <x:v>TC-VS-AUD-001</x:v>
      </x:c>
      <x:c r="F78" s="24" t="str">
        <x:v>VS-AUD-001</x:v>
      </x:c>
      <x:c r="G78" s="24" t="str">
        <x:v>PlayMode + Manual</x:v>
      </x:c>
      <x:c r="H78" s="24" t="str">
        <x:v>Unity 6000.3.18f1 / Windows x64</x:v>
      </x:c>
      <x:c r="I78" s="24" t="str">
        <x:v>Not Run</x:v>
      </x:c>
      <x:c r="J78" s="24" t="str"/>
      <x:c r="K78" s="24" t="str"/>
      <x:c r="L78" s="24" t="str">
        <x:v>VRM Games</x:v>
      </x:c>
      <x:c r="M78" s="24"/>
      <x:c r="N78" s="24" t="str">
        <x:v>Fila inicial; actualizar al ejecutar.</x:v>
      </x:c>
    </x:row>
    <x:row r="79">
      <x:c r="A79" s="24" t="str">
        <x:v>EXE-0075</x:v>
      </x:c>
      <x:c r="B79" s="34"/>
      <x:c r="C79" s="24" t="str"/>
      <x:c r="D79" s="24" t="str">
        <x:v>H6 / Vertical Slice</x:v>
      </x:c>
      <x:c r="E79" s="24" t="str">
        <x:v>TC-VS-PER-001</x:v>
      </x:c>
      <x:c r="F79" s="24" t="str">
        <x:v>VS-PER-001</x:v>
      </x:c>
      <x:c r="G79" s="24" t="str">
        <x:v>Build + Manual</x:v>
      </x:c>
      <x:c r="H79" s="24" t="str">
        <x:v>Unity 6000.3.18f1 / Windows x64</x:v>
      </x:c>
      <x:c r="I79" s="24" t="str">
        <x:v>Not Run</x:v>
      </x:c>
      <x:c r="J79" s="24" t="str"/>
      <x:c r="K79" s="24" t="str"/>
      <x:c r="L79" s="24" t="str">
        <x:v>VRM Games</x:v>
      </x:c>
      <x:c r="M79" s="24"/>
      <x:c r="N79" s="24" t="str">
        <x:v>Fila inicial; actualizar al ejecutar.</x:v>
      </x:c>
    </x:row>
    <x:row r="80">
      <x:c r="A80" s="24" t="str">
        <x:v>EXE-0076</x:v>
      </x:c>
      <x:c r="B80" s="34"/>
      <x:c r="C80" s="24" t="str"/>
      <x:c r="D80" s="24" t="str">
        <x:v>H6 / Vertical Slice</x:v>
      </x:c>
      <x:c r="E80" s="24" t="str">
        <x:v>TC-VS-PER-002</x:v>
      </x:c>
      <x:c r="F80" s="24" t="str">
        <x:v>VS-PER-002</x:v>
      </x:c>
      <x:c r="G80" s="24" t="str">
        <x:v>Build + Manual</x:v>
      </x:c>
      <x:c r="H80" s="24" t="str">
        <x:v>Unity 6000.3.18f1 / Windows x64</x:v>
      </x:c>
      <x:c r="I80" s="24" t="str">
        <x:v>Not Run</x:v>
      </x:c>
      <x:c r="J80" s="24" t="str"/>
      <x:c r="K80" s="24" t="str"/>
      <x:c r="L80" s="24" t="str">
        <x:v>VRM Games</x:v>
      </x:c>
      <x:c r="M80" s="24"/>
      <x:c r="N80" s="24" t="str">
        <x:v>Fila inicial; actualizar al ejecutar.</x:v>
      </x:c>
    </x:row>
    <x:row r="81">
      <x:c r="A81" s="24" t="str">
        <x:v>EXE-0077</x:v>
      </x:c>
      <x:c r="B81" s="34"/>
      <x:c r="C81" s="24" t="str"/>
      <x:c r="D81" s="24" t="str">
        <x:v>H6 / Vertical Slice</x:v>
      </x:c>
      <x:c r="E81" s="24" t="str">
        <x:v>TC-VS-QA-001</x:v>
      </x:c>
      <x:c r="F81" s="24" t="str">
        <x:v>VS-QA-001</x:v>
      </x:c>
      <x:c r="G81" s="24" t="str">
        <x:v>Revisión</x:v>
      </x:c>
      <x:c r="H81" s="24" t="str">
        <x:v>Unity 6000.3.18f1 / Windows x64</x:v>
      </x:c>
      <x:c r="I81" s="24" t="str">
        <x:v>Not Run</x:v>
      </x:c>
      <x:c r="J81" s="24" t="str"/>
      <x:c r="K81" s="24" t="str"/>
      <x:c r="L81" s="24" t="str">
        <x:v>VRM Games</x:v>
      </x:c>
      <x:c r="M81" s="24"/>
      <x:c r="N81" s="24" t="str">
        <x:v>Fila inicial; actualizar al ejecutar.</x:v>
      </x:c>
    </x:row>
    <x:row r="82">
      <x:c r="A82" s="24" t="str">
        <x:v>EXE-0078</x:v>
      </x:c>
      <x:c r="B82" s="34"/>
      <x:c r="C82" s="24" t="str"/>
      <x:c r="D82" s="24" t="str">
        <x:v>H6 / Vertical Slice</x:v>
      </x:c>
      <x:c r="E82" s="24" t="str">
        <x:v>TC-VS-QA-002</x:v>
      </x:c>
      <x:c r="F82" s="24" t="str">
        <x:v>VS-QA-002</x:v>
      </x:c>
      <x:c r="G82" s="24" t="str">
        <x:v>Revisión</x:v>
      </x:c>
      <x:c r="H82" s="24" t="str">
        <x:v>Unity 6000.3.18f1 / Windows x64</x:v>
      </x:c>
      <x:c r="I82" s="24" t="str">
        <x:v>Not Run</x:v>
      </x:c>
      <x:c r="J82" s="24" t="str"/>
      <x:c r="K82" s="24" t="str"/>
      <x:c r="L82" s="24" t="str">
        <x:v>VRM Games</x:v>
      </x:c>
      <x:c r="M82" s="24"/>
      <x:c r="N82" s="24" t="str">
        <x:v>Fila inicial; actualizar al ejecutar.</x:v>
      </x:c>
    </x:row>
    <x:row r="83">
      <x:c r="A83" s="24" t="str">
        <x:v>EXE-0079</x:v>
      </x:c>
      <x:c r="B83" s="34"/>
      <x:c r="C83" s="24" t="str"/>
      <x:c r="D83" s="24" t="str">
        <x:v>H6 / Vertical Slice</x:v>
      </x:c>
      <x:c r="E83" s="24" t="str">
        <x:v>TC-VS-BUILD-001</x:v>
      </x:c>
      <x:c r="F83" s="24" t="str">
        <x:v>VS-BUILD-001</x:v>
      </x:c>
      <x:c r="G83" s="24" t="str">
        <x:v>Build + Manual</x:v>
      </x:c>
      <x:c r="H83" s="24" t="str">
        <x:v>Unity 6000.3.18f1 / Windows x64</x:v>
      </x:c>
      <x:c r="I83" s="24" t="str">
        <x:v>Not Run</x:v>
      </x:c>
      <x:c r="J83" s="24" t="str"/>
      <x:c r="K83" s="24" t="str"/>
      <x:c r="L83" s="24" t="str">
        <x:v>VRM Games</x:v>
      </x:c>
      <x:c r="M83" s="24"/>
      <x:c r="N83" s="24" t="str">
        <x:v>Fila inicial; actualizar al ejecutar.</x:v>
      </x:c>
    </x:row>
    <x:row r="84">
      <x:c r="A84" s="24" t="str">
        <x:v>EXE-0080</x:v>
      </x:c>
      <x:c r="B84" s="34"/>
      <x:c r="C84" s="24" t="str"/>
      <x:c r="D84" s="24" t="str">
        <x:v>H6 / Vertical Slice</x:v>
      </x:c>
      <x:c r="E84" s="24" t="str">
        <x:v>TC-VS-BUILD-002</x:v>
      </x:c>
      <x:c r="F84" s="24" t="str">
        <x:v>VS-BUILD-002</x:v>
      </x:c>
      <x:c r="G84" s="24" t="str">
        <x:v>Build + Manual</x:v>
      </x:c>
      <x:c r="H84" s="24" t="str">
        <x:v>Unity 6000.3.18f1 / Windows x64</x:v>
      </x:c>
      <x:c r="I84" s="24" t="str">
        <x:v>Not Run</x:v>
      </x:c>
      <x:c r="J84" s="24" t="str"/>
      <x:c r="K84" s="24" t="str"/>
      <x:c r="L84" s="24" t="str">
        <x:v>VRM Games</x:v>
      </x:c>
      <x:c r="M84" s="24"/>
      <x:c r="N84" s="24" t="str">
        <x:v>Fila inicial; actualizar al ejecutar.</x:v>
      </x:c>
    </x:row>
    <x:row r="85">
      <x:c r="A85" s="24" t="str">
        <x:v>EXE-0081</x:v>
      </x:c>
      <x:c r="B85" s="34"/>
      <x:c r="C85" s="24" t="str"/>
      <x:c r="D85" s="24" t="str">
        <x:v>H6 / Vertical Slice</x:v>
      </x:c>
      <x:c r="E85" s="24" t="str">
        <x:v>TC-VS-BUILD-003</x:v>
      </x:c>
      <x:c r="F85" s="24" t="str">
        <x:v>VS-BUILD-003</x:v>
      </x:c>
      <x:c r="G85" s="24" t="str">
        <x:v>Build + Manual</x:v>
      </x:c>
      <x:c r="H85" s="24" t="str">
        <x:v>Unity 6000.3.18f1 / Windows x64</x:v>
      </x:c>
      <x:c r="I85" s="24" t="str">
        <x:v>Not Run</x:v>
      </x:c>
      <x:c r="J85" s="24" t="str"/>
      <x:c r="K85" s="24" t="str"/>
      <x:c r="L85" s="24" t="str">
        <x:v>VRM Games</x:v>
      </x:c>
      <x:c r="M85" s="24"/>
      <x:c r="N85" s="24" t="str">
        <x:v>Fila inicial; actualizar al ejecutar.</x:v>
      </x:c>
    </x:row>
    <x:row r="86">
      <x:c r="A86" s="24" t="str">
        <x:v>EXE-0082</x:v>
      </x:c>
      <x:c r="B86" s="34"/>
      <x:c r="C86" s="24" t="str"/>
      <x:c r="D86" s="24" t="str">
        <x:v>H6 / Vertical Slice</x:v>
      </x:c>
      <x:c r="E86" s="24" t="str">
        <x:v>TC-VS-DOC-001</x:v>
      </x:c>
      <x:c r="F86" s="24" t="str">
        <x:v>VS-DOC-001</x:v>
      </x:c>
      <x:c r="G86" s="24" t="str">
        <x:v>Revisión</x:v>
      </x:c>
      <x:c r="H86" s="24" t="str">
        <x:v>Unity 6000.3.18f1 / Windows x64</x:v>
      </x:c>
      <x:c r="I86" s="24" t="str">
        <x:v>Not Run</x:v>
      </x:c>
      <x:c r="J86" s="24" t="str"/>
      <x:c r="K86" s="24" t="str"/>
      <x:c r="L86" s="24" t="str">
        <x:v>VRM Games</x:v>
      </x:c>
      <x:c r="M86" s="24"/>
      <x:c r="N86" s="24" t="str">
        <x:v>Fila inicial; actualizar al ejecutar.</x:v>
      </x:c>
    </x:row>
    <x:row r="87">
      <x:c r="A87" s="24" t="str">
        <x:v>EXE-0083</x:v>
      </x:c>
      <x:c r="B87" s="34"/>
      <x:c r="C87" s="24" t="str"/>
      <x:c r="D87" s="24" t="str">
        <x:v>Sprint 17 / H6</x:v>
      </x:c>
      <x:c r="E87" s="24" t="str">
        <x:v>TC-UX-BOOT-001</x:v>
      </x:c>
      <x:c r="F87" s="24" t="str">
        <x:v>UX-BOOT-001</x:v>
      </x:c>
      <x:c r="G87" s="24" t="str">
        <x:v>PlayMode + Manual</x:v>
      </x:c>
      <x:c r="H87" s="24" t="str">
        <x:v>Unity 6000.3.18f1 / Windows x64</x:v>
      </x:c>
      <x:c r="I87" s="24" t="str">
        <x:v>Not Run</x:v>
      </x:c>
      <x:c r="J87" s="24" t="str"/>
      <x:c r="K87" s="24" t="str"/>
      <x:c r="L87" s="24" t="str">
        <x:v>VRM Games</x:v>
      </x:c>
      <x:c r="M87" s="24"/>
      <x:c r="N87" s="24" t="str">
        <x:v>Fila inicial; actualizar al ejecutar.</x:v>
      </x:c>
    </x:row>
    <x:row r="88">
      <x:c r="A88" s="24" t="str">
        <x:v>EXE-0084</x:v>
      </x:c>
      <x:c r="B88" s="34"/>
      <x:c r="C88" s="24" t="str"/>
      <x:c r="D88" s="24" t="str">
        <x:v>Sprint 17 / H6</x:v>
      </x:c>
      <x:c r="E88" s="24" t="str">
        <x:v>TC-UX-BOOT-002</x:v>
      </x:c>
      <x:c r="F88" s="24" t="str">
        <x:v>UX-BOOT-002</x:v>
      </x:c>
      <x:c r="G88" s="24" t="str">
        <x:v>PlayMode + Manual</x:v>
      </x:c>
      <x:c r="H88" s="24" t="str">
        <x:v>Unity 6000.3.18f1 / Windows x64</x:v>
      </x:c>
      <x:c r="I88" s="24" t="str">
        <x:v>Not Run</x:v>
      </x:c>
      <x:c r="J88" s="24" t="str"/>
      <x:c r="K88" s="24" t="str"/>
      <x:c r="L88" s="24" t="str">
        <x:v>VRM Games</x:v>
      </x:c>
      <x:c r="M88" s="24"/>
      <x:c r="N88" s="24" t="str">
        <x:v>Fila inicial; actualizar al ejecutar.</x:v>
      </x:c>
    </x:row>
    <x:row r="89">
      <x:c r="A89" s="24" t="str">
        <x:v>EXE-0085</x:v>
      </x:c>
      <x:c r="B89" s="34"/>
      <x:c r="C89" s="24" t="str"/>
      <x:c r="D89" s="24" t="str">
        <x:v>Sprint 17 / H6</x:v>
      </x:c>
      <x:c r="E89" s="24" t="str">
        <x:v>TC-UX-BOOT-003</x:v>
      </x:c>
      <x:c r="F89" s="24" t="str">
        <x:v>UX-BOOT-003</x:v>
      </x:c>
      <x:c r="G89" s="24" t="str">
        <x:v>PlayMode + Manual</x:v>
      </x:c>
      <x:c r="H89" s="24" t="str">
        <x:v>Unity 6000.3.18f1 / Windows x64</x:v>
      </x:c>
      <x:c r="I89" s="24" t="str">
        <x:v>Not Run</x:v>
      </x:c>
      <x:c r="J89" s="24" t="str"/>
      <x:c r="K89" s="24" t="str"/>
      <x:c r="L89" s="24" t="str">
        <x:v>VRM Games</x:v>
      </x:c>
      <x:c r="M89" s="24"/>
      <x:c r="N89" s="24" t="str">
        <x:v>Fila inicial; actualizar al ejecutar.</x:v>
      </x:c>
    </x:row>
    <x:row r="90">
      <x:c r="A90" s="24" t="str">
        <x:v>EXE-0086</x:v>
      </x:c>
      <x:c r="B90" s="34"/>
      <x:c r="C90" s="24" t="str"/>
      <x:c r="D90" s="24" t="str">
        <x:v>Sprint 17 / H6</x:v>
      </x:c>
      <x:c r="E90" s="24" t="str">
        <x:v>TC-UX-BOOT-004</x:v>
      </x:c>
      <x:c r="F90" s="24" t="str">
        <x:v>UX-BOOT-004</x:v>
      </x:c>
      <x:c r="G90" s="24" t="str">
        <x:v>PlayMode + Manual</x:v>
      </x:c>
      <x:c r="H90" s="24" t="str">
        <x:v>Unity 6000.3.18f1 / Windows x64</x:v>
      </x:c>
      <x:c r="I90" s="24" t="str">
        <x:v>Not Run</x:v>
      </x:c>
      <x:c r="J90" s="24" t="str"/>
      <x:c r="K90" s="24" t="str"/>
      <x:c r="L90" s="24" t="str">
        <x:v>VRM Games</x:v>
      </x:c>
      <x:c r="M90" s="24"/>
      <x:c r="N90" s="24" t="str">
        <x:v>Fila inicial; actualizar al ejecutar.</x:v>
      </x:c>
    </x:row>
    <x:row r="91">
      <x:c r="A91" s="24" t="str">
        <x:v>EXE-0087</x:v>
      </x:c>
      <x:c r="B91" s="34"/>
      <x:c r="C91" s="24" t="str"/>
      <x:c r="D91" s="24" t="str">
        <x:v>Sprint 17 / H6</x:v>
      </x:c>
      <x:c r="E91" s="24" t="str">
        <x:v>TC-UX-BOOT-005</x:v>
      </x:c>
      <x:c r="F91" s="24" t="str">
        <x:v>UX-BOOT-005</x:v>
      </x:c>
      <x:c r="G91" s="24" t="str">
        <x:v>PlayMode + Manual</x:v>
      </x:c>
      <x:c r="H91" s="24" t="str">
        <x:v>Unity 6000.3.18f1 / Windows x64</x:v>
      </x:c>
      <x:c r="I91" s="24" t="str">
        <x:v>Not Run</x:v>
      </x:c>
      <x:c r="J91" s="24" t="str"/>
      <x:c r="K91" s="24" t="str"/>
      <x:c r="L91" s="24" t="str">
        <x:v>VRM Games</x:v>
      </x:c>
      <x:c r="M91" s="24"/>
      <x:c r="N91" s="24" t="str">
        <x:v>Fila inicial; actualizar al ejecutar.</x:v>
      </x:c>
    </x:row>
    <x:row r="92">
      <x:c r="A92" s="24" t="str">
        <x:v>EXE-0088</x:v>
      </x:c>
      <x:c r="B92" s="34"/>
      <x:c r="C92" s="24" t="str"/>
      <x:c r="D92" s="24" t="str">
        <x:v>Sprint 17 / H6</x:v>
      </x:c>
      <x:c r="E92" s="24" t="str">
        <x:v>TC-UX-BOOT-006</x:v>
      </x:c>
      <x:c r="F92" s="24" t="str">
        <x:v>UX-BOOT-006</x:v>
      </x:c>
      <x:c r="G92" s="24" t="str">
        <x:v>PlayMode + Manual</x:v>
      </x:c>
      <x:c r="H92" s="24" t="str">
        <x:v>Unity 6000.3.18f1 / Windows x64</x:v>
      </x:c>
      <x:c r="I92" s="24" t="str">
        <x:v>Not Run</x:v>
      </x:c>
      <x:c r="J92" s="24" t="str"/>
      <x:c r="K92" s="24" t="str"/>
      <x:c r="L92" s="24" t="str">
        <x:v>VRM Games</x:v>
      </x:c>
      <x:c r="M92" s="24"/>
      <x:c r="N92" s="24" t="str">
        <x:v>Fila inicial; actualizar al ejecutar.</x:v>
      </x:c>
    </x:row>
    <x:row r="93">
      <x:c r="A93" s="24" t="str">
        <x:v>EXE-0089</x:v>
      </x:c>
      <x:c r="B93" s="34"/>
      <x:c r="C93" s="24" t="str"/>
      <x:c r="D93" s="24" t="str">
        <x:v>Sprint 17 / H6</x:v>
      </x:c>
      <x:c r="E93" s="24" t="str">
        <x:v>TC-UX-SLOT-001</x:v>
      </x:c>
      <x:c r="F93" s="24" t="str">
        <x:v>UX-SLOT-001</x:v>
      </x:c>
      <x:c r="G93" s="24" t="str">
        <x:v>PlayMode + Manual</x:v>
      </x:c>
      <x:c r="H93" s="24" t="str">
        <x:v>Unity 6000.3.18f1 / Windows x64</x:v>
      </x:c>
      <x:c r="I93" s="24" t="str">
        <x:v>Not Run</x:v>
      </x:c>
      <x:c r="J93" s="24" t="str"/>
      <x:c r="K93" s="24" t="str"/>
      <x:c r="L93" s="24" t="str">
        <x:v>VRM Games</x:v>
      </x:c>
      <x:c r="M93" s="24"/>
      <x:c r="N93" s="24" t="str">
        <x:v>Fila inicial; actualizar al ejecutar.</x:v>
      </x:c>
    </x:row>
    <x:row r="94">
      <x:c r="A94" s="24" t="str">
        <x:v>EXE-0090</x:v>
      </x:c>
      <x:c r="B94" s="34"/>
      <x:c r="C94" s="24" t="str"/>
      <x:c r="D94" s="24" t="str">
        <x:v>Sprint 17 / H6</x:v>
      </x:c>
      <x:c r="E94" s="24" t="str">
        <x:v>TC-UX-SLOT-002</x:v>
      </x:c>
      <x:c r="F94" s="24" t="str">
        <x:v>UX-SLOT-002</x:v>
      </x:c>
      <x:c r="G94" s="24" t="str">
        <x:v>PlayMode + Manual</x:v>
      </x:c>
      <x:c r="H94" s="24" t="str">
        <x:v>Unity 6000.3.18f1 / Windows x64</x:v>
      </x:c>
      <x:c r="I94" s="24" t="str">
        <x:v>Not Run</x:v>
      </x:c>
      <x:c r="J94" s="24" t="str"/>
      <x:c r="K94" s="24" t="str"/>
      <x:c r="L94" s="24" t="str">
        <x:v>VRM Games</x:v>
      </x:c>
      <x:c r="M94" s="24"/>
      <x:c r="N94" s="24" t="str">
        <x:v>Fila inicial; actualizar al ejecutar.</x:v>
      </x:c>
    </x:row>
    <x:row r="95">
      <x:c r="A95" s="24" t="str">
        <x:v>EXE-0091</x:v>
      </x:c>
      <x:c r="B95" s="34"/>
      <x:c r="C95" s="24" t="str"/>
      <x:c r="D95" s="24" t="str">
        <x:v>Sprint 17 / H6</x:v>
      </x:c>
      <x:c r="E95" s="24" t="str">
        <x:v>TC-UX-SLOT-003</x:v>
      </x:c>
      <x:c r="F95" s="24" t="str">
        <x:v>UX-SLOT-003</x:v>
      </x:c>
      <x:c r="G95" s="24" t="str">
        <x:v>PlayMode + Manual</x:v>
      </x:c>
      <x:c r="H95" s="24" t="str">
        <x:v>Unity 6000.3.18f1 / Windows x64</x:v>
      </x:c>
      <x:c r="I95" s="24" t="str">
        <x:v>Not Run</x:v>
      </x:c>
      <x:c r="J95" s="24" t="str"/>
      <x:c r="K95" s="24" t="str"/>
      <x:c r="L95" s="24" t="str">
        <x:v>VRM Games</x:v>
      </x:c>
      <x:c r="M95" s="24"/>
      <x:c r="N95" s="24" t="str">
        <x:v>Fila inicial; actualizar al ejecutar.</x:v>
      </x:c>
    </x:row>
    <x:row r="96">
      <x:c r="A96" s="24" t="str">
        <x:v>EXE-0092</x:v>
      </x:c>
      <x:c r="B96" s="34"/>
      <x:c r="C96" s="24" t="str"/>
      <x:c r="D96" s="24" t="str">
        <x:v>Sprint 17 / H6</x:v>
      </x:c>
      <x:c r="E96" s="24" t="str">
        <x:v>TC-UX-SLOT-004</x:v>
      </x:c>
      <x:c r="F96" s="24" t="str">
        <x:v>UX-SLOT-004</x:v>
      </x:c>
      <x:c r="G96" s="24" t="str">
        <x:v>PlayMode + Manual</x:v>
      </x:c>
      <x:c r="H96" s="24" t="str">
        <x:v>Unity 6000.3.18f1 / Windows x64</x:v>
      </x:c>
      <x:c r="I96" s="24" t="str">
        <x:v>Not Run</x:v>
      </x:c>
      <x:c r="J96" s="24" t="str"/>
      <x:c r="K96" s="24" t="str"/>
      <x:c r="L96" s="24" t="str">
        <x:v>VRM Games</x:v>
      </x:c>
      <x:c r="M96" s="24"/>
      <x:c r="N96" s="24" t="str">
        <x:v>Fila inicial; actualizar al ejecutar.</x:v>
      </x:c>
    </x:row>
    <x:row r="97">
      <x:c r="A97" s="24" t="str">
        <x:v>EXE-0093</x:v>
      </x:c>
      <x:c r="B97" s="34"/>
      <x:c r="C97" s="24" t="str"/>
      <x:c r="D97" s="24" t="str">
        <x:v>Sprint 17 / H6</x:v>
      </x:c>
      <x:c r="E97" s="24" t="str">
        <x:v>TC-UX-SLOT-005</x:v>
      </x:c>
      <x:c r="F97" s="24" t="str">
        <x:v>UX-SLOT-005</x:v>
      </x:c>
      <x:c r="G97" s="24" t="str">
        <x:v>PlayMode + Manual</x:v>
      </x:c>
      <x:c r="H97" s="24" t="str">
        <x:v>Unity 6000.3.18f1 / Windows x64</x:v>
      </x:c>
      <x:c r="I97" s="24" t="str">
        <x:v>Not Run</x:v>
      </x:c>
      <x:c r="J97" s="24" t="str"/>
      <x:c r="K97" s="24" t="str"/>
      <x:c r="L97" s="24" t="str">
        <x:v>VRM Games</x:v>
      </x:c>
      <x:c r="M97" s="24"/>
      <x:c r="N97" s="24" t="str">
        <x:v>Fila inicial; actualizar al ejecutar.</x:v>
      </x:c>
    </x:row>
    <x:row r="98">
      <x:c r="A98" s="24" t="str">
        <x:v>EXE-0094</x:v>
      </x:c>
      <x:c r="B98" s="34"/>
      <x:c r="C98" s="24" t="str"/>
      <x:c r="D98" s="24" t="str">
        <x:v>Sprint 17 / H6</x:v>
      </x:c>
      <x:c r="E98" s="24" t="str">
        <x:v>TC-UX-SLOT-006</x:v>
      </x:c>
      <x:c r="F98" s="24" t="str">
        <x:v>UX-SLOT-006</x:v>
      </x:c>
      <x:c r="G98" s="24" t="str">
        <x:v>PlayMode + Manual</x:v>
      </x:c>
      <x:c r="H98" s="24" t="str">
        <x:v>Unity 6000.3.18f1 / Windows x64</x:v>
      </x:c>
      <x:c r="I98" s="24" t="str">
        <x:v>Not Run</x:v>
      </x:c>
      <x:c r="J98" s="24" t="str"/>
      <x:c r="K98" s="24" t="str"/>
      <x:c r="L98" s="24" t="str">
        <x:v>VRM Games</x:v>
      </x:c>
      <x:c r="M98" s="24"/>
      <x:c r="N98" s="24" t="str">
        <x:v>Fila inicial; actualizar al ejecutar.</x:v>
      </x:c>
    </x:row>
    <x:row r="99">
      <x:c r="A99" s="24" t="str">
        <x:v>EXE-0095</x:v>
      </x:c>
      <x:c r="B99" s="34"/>
      <x:c r="C99" s="24" t="str"/>
      <x:c r="D99" s="24" t="str">
        <x:v>Sprint 17 / H6</x:v>
      </x:c>
      <x:c r="E99" s="24" t="str">
        <x:v>TC-UX-SLOT-007</x:v>
      </x:c>
      <x:c r="F99" s="24" t="str">
        <x:v>UX-SLOT-007</x:v>
      </x:c>
      <x:c r="G99" s="24" t="str">
        <x:v>PlayMode + Manual</x:v>
      </x:c>
      <x:c r="H99" s="24" t="str">
        <x:v>Unity 6000.3.18f1 / Windows x64</x:v>
      </x:c>
      <x:c r="I99" s="24" t="str">
        <x:v>Not Run</x:v>
      </x:c>
      <x:c r="J99" s="24" t="str"/>
      <x:c r="K99" s="24" t="str"/>
      <x:c r="L99" s="24" t="str">
        <x:v>VRM Games</x:v>
      </x:c>
      <x:c r="M99" s="24"/>
      <x:c r="N99" s="24" t="str">
        <x:v>Fila inicial; actualizar al ejecutar.</x:v>
      </x:c>
    </x:row>
    <x:row r="100">
      <x:c r="A100" s="24" t="str">
        <x:v>EXE-0096</x:v>
      </x:c>
      <x:c r="B100" s="34"/>
      <x:c r="C100" s="24" t="str"/>
      <x:c r="D100" s="24" t="str">
        <x:v>Sprint 17 / H6</x:v>
      </x:c>
      <x:c r="E100" s="24" t="str">
        <x:v>TC-UX-INP-001</x:v>
      </x:c>
      <x:c r="F100" s="24" t="str">
        <x:v>UX-INP-001</x:v>
      </x:c>
      <x:c r="G100" s="24" t="str">
        <x:v>PlayMode + Manual</x:v>
      </x:c>
      <x:c r="H100" s="24" t="str">
        <x:v>Unity 6000.3.18f1 / Windows x64</x:v>
      </x:c>
      <x:c r="I100" s="24" t="str">
        <x:v>Not Run</x:v>
      </x:c>
      <x:c r="J100" s="24" t="str"/>
      <x:c r="K100" s="24" t="str"/>
      <x:c r="L100" s="24" t="str">
        <x:v>VRM Games</x:v>
      </x:c>
      <x:c r="M100" s="24"/>
      <x:c r="N100" s="24" t="str">
        <x:v>Fila inicial; actualizar al ejecutar.</x:v>
      </x:c>
    </x:row>
    <x:row r="101">
      <x:c r="A101" s="24" t="str">
        <x:v>EXE-0097</x:v>
      </x:c>
      <x:c r="B101" s="34"/>
      <x:c r="C101" s="24" t="str"/>
      <x:c r="D101" s="24" t="str">
        <x:v>Sprint 17 / H6</x:v>
      </x:c>
      <x:c r="E101" s="24" t="str">
        <x:v>TC-UX-INP-002</x:v>
      </x:c>
      <x:c r="F101" s="24" t="str">
        <x:v>UX-INP-002</x:v>
      </x:c>
      <x:c r="G101" s="24" t="str">
        <x:v>PlayMode + Manual</x:v>
      </x:c>
      <x:c r="H101" s="24" t="str">
        <x:v>Unity 6000.3.18f1 / Windows x64</x:v>
      </x:c>
      <x:c r="I101" s="24" t="str">
        <x:v>Not Run</x:v>
      </x:c>
      <x:c r="J101" s="24" t="str"/>
      <x:c r="K101" s="24" t="str"/>
      <x:c r="L101" s="24" t="str">
        <x:v>VRM Games</x:v>
      </x:c>
      <x:c r="M101" s="24"/>
      <x:c r="N101" s="24" t="str">
        <x:v>Fila inicial; actualizar al ejecutar.</x:v>
      </x:c>
    </x:row>
    <x:row r="102">
      <x:c r="A102" s="24" t="str">
        <x:v>EXE-0098</x:v>
      </x:c>
      <x:c r="B102" s="34"/>
      <x:c r="C102" s="24" t="str"/>
      <x:c r="D102" s="24" t="str">
        <x:v>Sprint 17 / H6</x:v>
      </x:c>
      <x:c r="E102" s="24" t="str">
        <x:v>TC-UX-INP-003</x:v>
      </x:c>
      <x:c r="F102" s="24" t="str">
        <x:v>UX-INP-003</x:v>
      </x:c>
      <x:c r="G102" s="24" t="str">
        <x:v>PlayMode + Manual</x:v>
      </x:c>
      <x:c r="H102" s="24" t="str">
        <x:v>Unity 6000.3.18f1 / Windows x64</x:v>
      </x:c>
      <x:c r="I102" s="24" t="str">
        <x:v>Not Run</x:v>
      </x:c>
      <x:c r="J102" s="24" t="str"/>
      <x:c r="K102" s="24" t="str"/>
      <x:c r="L102" s="24" t="str">
        <x:v>VRM Games</x:v>
      </x:c>
      <x:c r="M102" s="24"/>
      <x:c r="N102" s="24" t="str">
        <x:v>Fila inicial; actualizar al ejecutar.</x:v>
      </x:c>
    </x:row>
    <x:row r="103">
      <x:c r="A103" s="24" t="str">
        <x:v>EXE-0099</x:v>
      </x:c>
      <x:c r="B103" s="34"/>
      <x:c r="C103" s="24" t="str"/>
      <x:c r="D103" s="24" t="str">
        <x:v>Sprint 17 / H6</x:v>
      </x:c>
      <x:c r="E103" s="24" t="str">
        <x:v>TC-UX-INP-004</x:v>
      </x:c>
      <x:c r="F103" s="24" t="str">
        <x:v>UX-INP-004</x:v>
      </x:c>
      <x:c r="G103" s="24" t="str">
        <x:v>PlayMode + Manual</x:v>
      </x:c>
      <x:c r="H103" s="24" t="str">
        <x:v>Unity 6000.3.18f1 / Windows x64</x:v>
      </x:c>
      <x:c r="I103" s="24" t="str">
        <x:v>Not Run</x:v>
      </x:c>
      <x:c r="J103" s="24" t="str"/>
      <x:c r="K103" s="24" t="str"/>
      <x:c r="L103" s="24" t="str">
        <x:v>VRM Games</x:v>
      </x:c>
      <x:c r="M103" s="24"/>
      <x:c r="N103" s="24" t="str">
        <x:v>Fila inicial; actualizar al ejecutar.</x:v>
      </x:c>
    </x:row>
    <x:row r="104">
      <x:c r="A104" s="24" t="str">
        <x:v>EXE-0100</x:v>
      </x:c>
      <x:c r="B104" s="34"/>
      <x:c r="C104" s="24" t="str"/>
      <x:c r="D104" s="24" t="str">
        <x:v>Sprint 17 / H6</x:v>
      </x:c>
      <x:c r="E104" s="24" t="str">
        <x:v>TC-UX-INP-005</x:v>
      </x:c>
      <x:c r="F104" s="24" t="str">
        <x:v>UX-INP-005</x:v>
      </x:c>
      <x:c r="G104" s="24" t="str">
        <x:v>PlayMode + Manual</x:v>
      </x:c>
      <x:c r="H104" s="24" t="str">
        <x:v>Unity 6000.3.18f1 / Windows x64</x:v>
      </x:c>
      <x:c r="I104" s="24" t="str">
        <x:v>Not Run</x:v>
      </x:c>
      <x:c r="J104" s="24" t="str"/>
      <x:c r="K104" s="24" t="str"/>
      <x:c r="L104" s="24" t="str">
        <x:v>VRM Games</x:v>
      </x:c>
      <x:c r="M104" s="24"/>
      <x:c r="N104" s="24" t="str">
        <x:v>Fila inicial; actualizar al ejecutar.</x:v>
      </x:c>
    </x:row>
    <x:row r="105">
      <x:c r="A105" s="24" t="str">
        <x:v>EXE-0101</x:v>
      </x:c>
      <x:c r="B105" s="34"/>
      <x:c r="C105" s="24" t="str"/>
      <x:c r="D105" s="24" t="str">
        <x:v>Sprint 17 / H6</x:v>
      </x:c>
      <x:c r="E105" s="24" t="str">
        <x:v>TC-UX-INP-006</x:v>
      </x:c>
      <x:c r="F105" s="24" t="str">
        <x:v>UX-INP-006</x:v>
      </x:c>
      <x:c r="G105" s="24" t="str">
        <x:v>PlayMode + Manual</x:v>
      </x:c>
      <x:c r="H105" s="24" t="str">
        <x:v>Unity 6000.3.18f1 / Windows x64</x:v>
      </x:c>
      <x:c r="I105" s="24" t="str">
        <x:v>Not Run</x:v>
      </x:c>
      <x:c r="J105" s="24" t="str"/>
      <x:c r="K105" s="24" t="str"/>
      <x:c r="L105" s="24" t="str">
        <x:v>VRM Games</x:v>
      </x:c>
      <x:c r="M105" s="24"/>
      <x:c r="N105" s="24" t="str">
        <x:v>Fila inicial; actualizar al ejecutar.</x:v>
      </x:c>
    </x:row>
    <x:row r="106">
      <x:c r="A106" s="24" t="str">
        <x:v>EXE-0102</x:v>
      </x:c>
      <x:c r="B106" s="34"/>
      <x:c r="C106" s="24" t="str"/>
      <x:c r="D106" s="24" t="str">
        <x:v>Sprint 17 / H6</x:v>
      </x:c>
      <x:c r="E106" s="24" t="str">
        <x:v>TC-UX-BLD-001</x:v>
      </x:c>
      <x:c r="F106" s="24" t="str">
        <x:v>UX-BLD-001</x:v>
      </x:c>
      <x:c r="G106" s="24" t="str">
        <x:v>EditMode + Integración</x:v>
      </x:c>
      <x:c r="H106" s="24" t="str">
        <x:v>Unity 6000.3.18f1 / Windows x64</x:v>
      </x:c>
      <x:c r="I106" s="24" t="str">
        <x:v>Not Run</x:v>
      </x:c>
      <x:c r="J106" s="24" t="str"/>
      <x:c r="K106" s="24" t="str"/>
      <x:c r="L106" s="24" t="str">
        <x:v>VRM Games</x:v>
      </x:c>
      <x:c r="M106" s="24"/>
      <x:c r="N106" s="24" t="str">
        <x:v>Fila inicial; actualizar al ejecutar.</x:v>
      </x:c>
    </x:row>
    <x:row r="107">
      <x:c r="A107" s="24" t="str">
        <x:v>EXE-0103</x:v>
      </x:c>
      <x:c r="B107" s="34"/>
      <x:c r="C107" s="24" t="str"/>
      <x:c r="D107" s="24" t="str">
        <x:v>Sprint 17 / H6</x:v>
      </x:c>
      <x:c r="E107" s="24" t="str">
        <x:v>TC-UX-BLD-002</x:v>
      </x:c>
      <x:c r="F107" s="24" t="str">
        <x:v>UX-BLD-002</x:v>
      </x:c>
      <x:c r="G107" s="24" t="str">
        <x:v>EditMode + Integración</x:v>
      </x:c>
      <x:c r="H107" s="24" t="str">
        <x:v>Unity 6000.3.18f1 / Windows x64</x:v>
      </x:c>
      <x:c r="I107" s="24" t="str">
        <x:v>Not Run</x:v>
      </x:c>
      <x:c r="J107" s="24" t="str"/>
      <x:c r="K107" s="24" t="str"/>
      <x:c r="L107" s="24" t="str">
        <x:v>VRM Games</x:v>
      </x:c>
      <x:c r="M107" s="24"/>
      <x:c r="N107" s="24" t="str">
        <x:v>Fila inicial; actualizar al ejecutar.</x:v>
      </x:c>
    </x:row>
    <x:row r="108">
      <x:c r="A108" s="24" t="str">
        <x:v>EXE-0104</x:v>
      </x:c>
      <x:c r="B108" s="34"/>
      <x:c r="C108" s="24" t="str"/>
      <x:c r="D108" s="24" t="str">
        <x:v>Sprint 17 / H6</x:v>
      </x:c>
      <x:c r="E108" s="24" t="str">
        <x:v>TC-UX-BLD-003</x:v>
      </x:c>
      <x:c r="F108" s="24" t="str">
        <x:v>UX-BLD-003</x:v>
      </x:c>
      <x:c r="G108" s="24" t="str">
        <x:v>EditMode + Integración</x:v>
      </x:c>
      <x:c r="H108" s="24" t="str">
        <x:v>Unity 6000.3.18f1 / Windows x64</x:v>
      </x:c>
      <x:c r="I108" s="24" t="str">
        <x:v>Not Run</x:v>
      </x:c>
      <x:c r="J108" s="24" t="str"/>
      <x:c r="K108" s="24" t="str"/>
      <x:c r="L108" s="24" t="str">
        <x:v>VRM Games</x:v>
      </x:c>
      <x:c r="M108" s="24"/>
      <x:c r="N108" s="24" t="str">
        <x:v>Fila inicial; actualizar al ejecutar.</x:v>
      </x:c>
    </x:row>
    <x:row r="109">
      <x:c r="A109" s="24" t="str">
        <x:v>EXE-0105</x:v>
      </x:c>
      <x:c r="B109" s="34"/>
      <x:c r="C109" s="24" t="str"/>
      <x:c r="D109" s="24" t="str">
        <x:v>Sprint 17 / H6</x:v>
      </x:c>
      <x:c r="E109" s="24" t="str">
        <x:v>TC-UX-BLD-004</x:v>
      </x:c>
      <x:c r="F109" s="24" t="str">
        <x:v>UX-BLD-004</x:v>
      </x:c>
      <x:c r="G109" s="24" t="str">
        <x:v>EditMode + Integración</x:v>
      </x:c>
      <x:c r="H109" s="24" t="str">
        <x:v>Unity 6000.3.18f1 / Windows x64</x:v>
      </x:c>
      <x:c r="I109" s="24" t="str">
        <x:v>Not Run</x:v>
      </x:c>
      <x:c r="J109" s="24" t="str"/>
      <x:c r="K109" s="24" t="str"/>
      <x:c r="L109" s="24" t="str">
        <x:v>VRM Games</x:v>
      </x:c>
      <x:c r="M109" s="24"/>
      <x:c r="N109" s="24" t="str">
        <x:v>Fila inicial; actualizar al ejecutar.</x:v>
      </x:c>
    </x:row>
    <x:row r="110">
      <x:c r="A110" s="24" t="str">
        <x:v>EXE-0106</x:v>
      </x:c>
      <x:c r="B110" s="34"/>
      <x:c r="C110" s="24" t="str"/>
      <x:c r="D110" s="24" t="str">
        <x:v>Sprint 17 / H6</x:v>
      </x:c>
      <x:c r="E110" s="24" t="str">
        <x:v>TC-UX-BLD-005</x:v>
      </x:c>
      <x:c r="F110" s="24" t="str">
        <x:v>UX-BLD-005</x:v>
      </x:c>
      <x:c r="G110" s="24" t="str">
        <x:v>EditMode + Integración</x:v>
      </x:c>
      <x:c r="H110" s="24" t="str">
        <x:v>Unity 6000.3.18f1 / Windows x64</x:v>
      </x:c>
      <x:c r="I110" s="24" t="str">
        <x:v>Not Run</x:v>
      </x:c>
      <x:c r="J110" s="24" t="str"/>
      <x:c r="K110" s="24" t="str"/>
      <x:c r="L110" s="24" t="str">
        <x:v>VRM Games</x:v>
      </x:c>
      <x:c r="M110" s="24"/>
      <x:c r="N110" s="24" t="str">
        <x:v>Fila inicial; actualizar al ejecutar.</x:v>
      </x:c>
    </x:row>
    <x:row r="111">
      <x:c r="A111" s="24" t="str">
        <x:v>EXE-0107</x:v>
      </x:c>
      <x:c r="B111" s="34"/>
      <x:c r="C111" s="24" t="str"/>
      <x:c r="D111" s="24" t="str">
        <x:v>Sprint 17 / H6</x:v>
      </x:c>
      <x:c r="E111" s="24" t="str">
        <x:v>TC-UX-BLD-006</x:v>
      </x:c>
      <x:c r="F111" s="24" t="str">
        <x:v>UX-BLD-006</x:v>
      </x:c>
      <x:c r="G111" s="24" t="str">
        <x:v>EditMode + Integración</x:v>
      </x:c>
      <x:c r="H111" s="24" t="str">
        <x:v>Unity 6000.3.18f1 / Windows x64</x:v>
      </x:c>
      <x:c r="I111" s="24" t="str">
        <x:v>Not Run</x:v>
      </x:c>
      <x:c r="J111" s="24" t="str"/>
      <x:c r="K111" s="24" t="str"/>
      <x:c r="L111" s="24" t="str">
        <x:v>VRM Games</x:v>
      </x:c>
      <x:c r="M111" s="24"/>
      <x:c r="N111" s="24" t="str">
        <x:v>Fila inicial; actualizar al ejecutar.</x:v>
      </x:c>
    </x:row>
    <x:row r="112">
      <x:c r="A112" s="24" t="str">
        <x:v>EXE-0108</x:v>
      </x:c>
      <x:c r="B112" s="34"/>
      <x:c r="C112" s="24" t="str"/>
      <x:c r="D112" s="24" t="str">
        <x:v>Sprint 17 / H6</x:v>
      </x:c>
      <x:c r="E112" s="24" t="str">
        <x:v>TC-UX-BLD-007</x:v>
      </x:c>
      <x:c r="F112" s="24" t="str">
        <x:v>UX-BLD-007</x:v>
      </x:c>
      <x:c r="G112" s="24" t="str">
        <x:v>EditMode + Integración</x:v>
      </x:c>
      <x:c r="H112" s="24" t="str">
        <x:v>Unity 6000.3.18f1 / Windows x64</x:v>
      </x:c>
      <x:c r="I112" s="24" t="str">
        <x:v>Not Run</x:v>
      </x:c>
      <x:c r="J112" s="24" t="str"/>
      <x:c r="K112" s="24" t="str"/>
      <x:c r="L112" s="24" t="str">
        <x:v>VRM Games</x:v>
      </x:c>
      <x:c r="M112" s="24"/>
      <x:c r="N112" s="24" t="str">
        <x:v>Fila inicial; actualizar al ejecutar.</x:v>
      </x:c>
    </x:row>
    <x:row r="113">
      <x:c r="A113" s="24" t="str">
        <x:v>EXE-0109</x:v>
      </x:c>
      <x:c r="B113" s="34"/>
      <x:c r="C113" s="24" t="str"/>
      <x:c r="D113" s="24" t="str">
        <x:v>Sprint 17 / H6</x:v>
      </x:c>
      <x:c r="E113" s="24" t="str">
        <x:v>TC-UX-BLD-008</x:v>
      </x:c>
      <x:c r="F113" s="24" t="str">
        <x:v>UX-BLD-008</x:v>
      </x:c>
      <x:c r="G113" s="24" t="str">
        <x:v>EditMode + Integración</x:v>
      </x:c>
      <x:c r="H113" s="24" t="str">
        <x:v>Unity 6000.3.18f1 / Windows x64</x:v>
      </x:c>
      <x:c r="I113" s="24" t="str">
        <x:v>Not Run</x:v>
      </x:c>
      <x:c r="J113" s="24" t="str"/>
      <x:c r="K113" s="24" t="str"/>
      <x:c r="L113" s="24" t="str">
        <x:v>VRM Games</x:v>
      </x:c>
      <x:c r="M113" s="24"/>
      <x:c r="N113" s="24" t="str">
        <x:v>Fila inicial; actualizar al ejecutar.</x:v>
      </x:c>
    </x:row>
    <x:row r="114">
      <x:c r="A114" s="24" t="str">
        <x:v>EXE-0110</x:v>
      </x:c>
      <x:c r="B114" s="34"/>
      <x:c r="C114" s="24" t="str"/>
      <x:c r="D114" s="24" t="str">
        <x:v>Sprint 17 / H6</x:v>
      </x:c>
      <x:c r="E114" s="24" t="str">
        <x:v>TC-UX-BLD-009</x:v>
      </x:c>
      <x:c r="F114" s="24" t="str">
        <x:v>UX-BLD-009</x:v>
      </x:c>
      <x:c r="G114" s="24" t="str">
        <x:v>EditMode + Integración</x:v>
      </x:c>
      <x:c r="H114" s="24" t="str">
        <x:v>Unity 6000.3.18f1 / Windows x64</x:v>
      </x:c>
      <x:c r="I114" s="24" t="str">
        <x:v>Not Run</x:v>
      </x:c>
      <x:c r="J114" s="24" t="str"/>
      <x:c r="K114" s="24" t="str"/>
      <x:c r="L114" s="24" t="str">
        <x:v>VRM Games</x:v>
      </x:c>
      <x:c r="M114" s="24"/>
      <x:c r="N114" s="24" t="str">
        <x:v>Fila inicial; actualizar al ejecutar.</x:v>
      </x:c>
    </x:row>
    <x:row r="115">
      <x:c r="A115" s="24" t="str">
        <x:v>EXE-0111</x:v>
      </x:c>
      <x:c r="B115" s="34"/>
      <x:c r="C115" s="24" t="str"/>
      <x:c r="D115" s="24" t="str">
        <x:v>Sprint 17 / H6</x:v>
      </x:c>
      <x:c r="E115" s="24" t="str">
        <x:v>TC-UX-ORD-001</x:v>
      </x:c>
      <x:c r="F115" s="24" t="str">
        <x:v>UX-ORD-001</x:v>
      </x:c>
      <x:c r="G115" s="24" t="str">
        <x:v>EditMode + Integración</x:v>
      </x:c>
      <x:c r="H115" s="24" t="str">
        <x:v>Unity 6000.3.18f1 / Windows x64</x:v>
      </x:c>
      <x:c r="I115" s="24" t="str">
        <x:v>Not Run</x:v>
      </x:c>
      <x:c r="J115" s="24" t="str"/>
      <x:c r="K115" s="24" t="str"/>
      <x:c r="L115" s="24" t="str">
        <x:v>VRM Games</x:v>
      </x:c>
      <x:c r="M115" s="24"/>
      <x:c r="N115" s="24" t="str">
        <x:v>Fila inicial; actualizar al ejecutar.</x:v>
      </x:c>
    </x:row>
    <x:row r="116">
      <x:c r="A116" s="24" t="str">
        <x:v>EXE-0112</x:v>
      </x:c>
      <x:c r="B116" s="34"/>
      <x:c r="C116" s="24" t="str"/>
      <x:c r="D116" s="24" t="str">
        <x:v>Sprint 17 / H6</x:v>
      </x:c>
      <x:c r="E116" s="24" t="str">
        <x:v>TC-UX-ORD-002</x:v>
      </x:c>
      <x:c r="F116" s="24" t="str">
        <x:v>UX-ORD-002</x:v>
      </x:c>
      <x:c r="G116" s="24" t="str">
        <x:v>EditMode + Integración</x:v>
      </x:c>
      <x:c r="H116" s="24" t="str">
        <x:v>Unity 6000.3.18f1 / Windows x64</x:v>
      </x:c>
      <x:c r="I116" s="24" t="str">
        <x:v>Not Run</x:v>
      </x:c>
      <x:c r="J116" s="24" t="str"/>
      <x:c r="K116" s="24" t="str"/>
      <x:c r="L116" s="24" t="str">
        <x:v>VRM Games</x:v>
      </x:c>
      <x:c r="M116" s="24"/>
      <x:c r="N116" s="24" t="str">
        <x:v>Fila inicial; actualizar al ejecutar.</x:v>
      </x:c>
    </x:row>
    <x:row r="117">
      <x:c r="A117" s="24" t="str">
        <x:v>EXE-0113</x:v>
      </x:c>
      <x:c r="B117" s="34"/>
      <x:c r="C117" s="24" t="str"/>
      <x:c r="D117" s="24" t="str">
        <x:v>Sprint 17 / H6</x:v>
      </x:c>
      <x:c r="E117" s="24" t="str">
        <x:v>TC-UX-ORD-003</x:v>
      </x:c>
      <x:c r="F117" s="24" t="str">
        <x:v>UX-ORD-003</x:v>
      </x:c>
      <x:c r="G117" s="24" t="str">
        <x:v>EditMode + Integración</x:v>
      </x:c>
      <x:c r="H117" s="24" t="str">
        <x:v>Unity 6000.3.18f1 / Windows x64</x:v>
      </x:c>
      <x:c r="I117" s="24" t="str">
        <x:v>Not Run</x:v>
      </x:c>
      <x:c r="J117" s="24" t="str"/>
      <x:c r="K117" s="24" t="str"/>
      <x:c r="L117" s="24" t="str">
        <x:v>VRM Games</x:v>
      </x:c>
      <x:c r="M117" s="24"/>
      <x:c r="N117" s="24" t="str">
        <x:v>Fila inicial; actualizar al ejecutar.</x:v>
      </x:c>
    </x:row>
    <x:row r="118">
      <x:c r="A118" s="24" t="str">
        <x:v>EXE-0114</x:v>
      </x:c>
      <x:c r="B118" s="34"/>
      <x:c r="C118" s="24" t="str"/>
      <x:c r="D118" s="24" t="str">
        <x:v>Sprint 17 / H6</x:v>
      </x:c>
      <x:c r="E118" s="24" t="str">
        <x:v>TC-UX-INV-001</x:v>
      </x:c>
      <x:c r="F118" s="24" t="str">
        <x:v>UX-INV-001</x:v>
      </x:c>
      <x:c r="G118" s="24" t="str">
        <x:v>EditMode + Integración</x:v>
      </x:c>
      <x:c r="H118" s="24" t="str">
        <x:v>Unity 6000.3.18f1 / Windows x64</x:v>
      </x:c>
      <x:c r="I118" s="24" t="str">
        <x:v>Not Run</x:v>
      </x:c>
      <x:c r="J118" s="24" t="str"/>
      <x:c r="K118" s="24" t="str"/>
      <x:c r="L118" s="24" t="str">
        <x:v>VRM Games</x:v>
      </x:c>
      <x:c r="M118" s="24"/>
      <x:c r="N118" s="24" t="str">
        <x:v>Fila inicial; actualizar al ejecutar.</x:v>
      </x:c>
    </x:row>
    <x:row r="119">
      <x:c r="A119" s="24" t="str">
        <x:v>EXE-0115</x:v>
      </x:c>
      <x:c r="B119" s="34"/>
      <x:c r="C119" s="24" t="str"/>
      <x:c r="D119" s="24" t="str">
        <x:v>Sprint 17 / H6</x:v>
      </x:c>
      <x:c r="E119" s="24" t="str">
        <x:v>TC-UX-INV-002</x:v>
      </x:c>
      <x:c r="F119" s="24" t="str">
        <x:v>UX-INV-002</x:v>
      </x:c>
      <x:c r="G119" s="24" t="str">
        <x:v>EditMode + Integración</x:v>
      </x:c>
      <x:c r="H119" s="24" t="str">
        <x:v>Unity 6000.3.18f1 / Windows x64</x:v>
      </x:c>
      <x:c r="I119" s="24" t="str">
        <x:v>Not Run</x:v>
      </x:c>
      <x:c r="J119" s="24" t="str"/>
      <x:c r="K119" s="24" t="str"/>
      <x:c r="L119" s="24" t="str">
        <x:v>VRM Games</x:v>
      </x:c>
      <x:c r="M119" s="24"/>
      <x:c r="N119" s="24" t="str">
        <x:v>Fila inicial; actualizar al ejecutar.</x:v>
      </x:c>
    </x:row>
    <x:row r="120">
      <x:c r="A120" s="24" t="str">
        <x:v>EXE-0116</x:v>
      </x:c>
      <x:c r="B120" s="34"/>
      <x:c r="C120" s="24" t="str"/>
      <x:c r="D120" s="24" t="str">
        <x:v>Sprint 17 / H6</x:v>
      </x:c>
      <x:c r="E120" s="24" t="str">
        <x:v>TC-UX-INV-003</x:v>
      </x:c>
      <x:c r="F120" s="24" t="str">
        <x:v>UX-INV-003</x:v>
      </x:c>
      <x:c r="G120" s="24" t="str">
        <x:v>EditMode + Integración</x:v>
      </x:c>
      <x:c r="H120" s="24" t="str">
        <x:v>Unity 6000.3.18f1 / Windows x64</x:v>
      </x:c>
      <x:c r="I120" s="24" t="str">
        <x:v>Not Run</x:v>
      </x:c>
      <x:c r="J120" s="24" t="str"/>
      <x:c r="K120" s="24" t="str"/>
      <x:c r="L120" s="24" t="str">
        <x:v>VRM Games</x:v>
      </x:c>
      <x:c r="M120" s="24"/>
      <x:c r="N120" s="24" t="str">
        <x:v>Fila inicial; actualizar al ejecutar.</x:v>
      </x:c>
    </x:row>
    <x:row r="121">
      <x:c r="A121" s="24" t="str">
        <x:v>EXE-0117</x:v>
      </x:c>
      <x:c r="B121" s="34"/>
      <x:c r="C121" s="24" t="str"/>
      <x:c r="D121" s="24" t="str">
        <x:v>Sprint 17 / H6</x:v>
      </x:c>
      <x:c r="E121" s="24" t="str">
        <x:v>TC-UX-INV-004</x:v>
      </x:c>
      <x:c r="F121" s="24" t="str">
        <x:v>UX-INV-004</x:v>
      </x:c>
      <x:c r="G121" s="24" t="str">
        <x:v>EditMode + Integración</x:v>
      </x:c>
      <x:c r="H121" s="24" t="str">
        <x:v>Unity 6000.3.18f1 / Windows x64</x:v>
      </x:c>
      <x:c r="I121" s="24" t="str">
        <x:v>Not Run</x:v>
      </x:c>
      <x:c r="J121" s="24" t="str"/>
      <x:c r="K121" s="24" t="str"/>
      <x:c r="L121" s="24" t="str">
        <x:v>VRM Games</x:v>
      </x:c>
      <x:c r="M121" s="24"/>
      <x:c r="N121" s="24" t="str">
        <x:v>Fila inicial; actualizar al ejecutar.</x:v>
      </x:c>
    </x:row>
    <x:row r="122">
      <x:c r="A122" s="24" t="str">
        <x:v>EXE-0118</x:v>
      </x:c>
      <x:c r="B122" s="34"/>
      <x:c r="C122" s="24" t="str"/>
      <x:c r="D122" s="24" t="str">
        <x:v>Sprint 17 / H6</x:v>
      </x:c>
      <x:c r="E122" s="24" t="str">
        <x:v>TC-UX-DSP-001</x:v>
      </x:c>
      <x:c r="F122" s="24" t="str">
        <x:v>UX-DSP-001</x:v>
      </x:c>
      <x:c r="G122" s="24" t="str">
        <x:v>Revisión</x:v>
      </x:c>
      <x:c r="H122" s="24" t="str">
        <x:v>Unity 6000.3.18f1 / Windows x64</x:v>
      </x:c>
      <x:c r="I122" s="24" t="str">
        <x:v>Not Run</x:v>
      </x:c>
      <x:c r="J122" s="24" t="str"/>
      <x:c r="K122" s="24" t="str"/>
      <x:c r="L122" s="24" t="str">
        <x:v>VRM Games</x:v>
      </x:c>
      <x:c r="M122" s="24"/>
      <x:c r="N122" s="24" t="str">
        <x:v>Fila inicial; actualizar al ejecutar.</x:v>
      </x:c>
    </x:row>
    <x:row r="123">
      <x:c r="A123" s="24" t="str">
        <x:v>EXE-0119</x:v>
      </x:c>
      <x:c r="B123" s="34"/>
      <x:c r="C123" s="24" t="str"/>
      <x:c r="D123" s="24" t="str">
        <x:v>Sprint 17 / H6</x:v>
      </x:c>
      <x:c r="E123" s="24" t="str">
        <x:v>TC-UX-DSP-002</x:v>
      </x:c>
      <x:c r="F123" s="24" t="str">
        <x:v>UX-DSP-002</x:v>
      </x:c>
      <x:c r="G123" s="24" t="str">
        <x:v>Revisión</x:v>
      </x:c>
      <x:c r="H123" s="24" t="str">
        <x:v>Unity 6000.3.18f1 / Windows x64</x:v>
      </x:c>
      <x:c r="I123" s="24" t="str">
        <x:v>Not Run</x:v>
      </x:c>
      <x:c r="J123" s="24" t="str"/>
      <x:c r="K123" s="24" t="str"/>
      <x:c r="L123" s="24" t="str">
        <x:v>VRM Games</x:v>
      </x:c>
      <x:c r="M123" s="24"/>
      <x:c r="N123" s="24" t="str">
        <x:v>Fila inicial; actualizar al ejecutar.</x:v>
      </x:c>
    </x:row>
    <x:row r="124">
      <x:c r="A124" s="24" t="str">
        <x:v>EXE-0120</x:v>
      </x:c>
      <x:c r="B124" s="34"/>
      <x:c r="C124" s="24" t="str"/>
      <x:c r="D124" s="24" t="str">
        <x:v>Sprint 17 / H6</x:v>
      </x:c>
      <x:c r="E124" s="24" t="str">
        <x:v>TC-UX-DSP-003</x:v>
      </x:c>
      <x:c r="F124" s="24" t="str">
        <x:v>UX-DSP-003</x:v>
      </x:c>
      <x:c r="G124" s="24" t="str">
        <x:v>Revisión</x:v>
      </x:c>
      <x:c r="H124" s="24" t="str">
        <x:v>Unity 6000.3.18f1 / Windows x64</x:v>
      </x:c>
      <x:c r="I124" s="24" t="str">
        <x:v>Not Run</x:v>
      </x:c>
      <x:c r="J124" s="24" t="str"/>
      <x:c r="K124" s="24" t="str"/>
      <x:c r="L124" s="24" t="str">
        <x:v>VRM Games</x:v>
      </x:c>
      <x:c r="M124" s="24"/>
      <x:c r="N124" s="24" t="str">
        <x:v>Fila inicial; actualizar al ejecutar.</x:v>
      </x:c>
    </x:row>
    <x:row r="125">
      <x:c r="A125" s="24" t="str">
        <x:v>EXE-0121</x:v>
      </x:c>
      <x:c r="B125" s="34"/>
      <x:c r="C125" s="24" t="str"/>
      <x:c r="D125" s="24" t="str">
        <x:v>Sprint 17 / H6</x:v>
      </x:c>
      <x:c r="E125" s="24" t="str">
        <x:v>TC-UX-DAY-001</x:v>
      </x:c>
      <x:c r="F125" s="24" t="str">
        <x:v>UX-DAY-001</x:v>
      </x:c>
      <x:c r="G125" s="24" t="str">
        <x:v>EditMode + Integración</x:v>
      </x:c>
      <x:c r="H125" s="24" t="str">
        <x:v>Unity 6000.3.18f1 / Windows x64</x:v>
      </x:c>
      <x:c r="I125" s="24" t="str">
        <x:v>Not Run</x:v>
      </x:c>
      <x:c r="J125" s="24" t="str"/>
      <x:c r="K125" s="24" t="str"/>
      <x:c r="L125" s="24" t="str">
        <x:v>VRM Games</x:v>
      </x:c>
      <x:c r="M125" s="24"/>
      <x:c r="N125" s="24" t="str">
        <x:v>Fila inicial; actualizar al ejecutar.</x:v>
      </x:c>
    </x:row>
    <x:row r="126">
      <x:c r="A126" s="24" t="str">
        <x:v>EXE-0122</x:v>
      </x:c>
      <x:c r="B126" s="34"/>
      <x:c r="C126" s="24" t="str"/>
      <x:c r="D126" s="24" t="str">
        <x:v>Sprint 17 / H6</x:v>
      </x:c>
      <x:c r="E126" s="24" t="str">
        <x:v>TC-UX-DAY-002</x:v>
      </x:c>
      <x:c r="F126" s="24" t="str">
        <x:v>UX-DAY-002</x:v>
      </x:c>
      <x:c r="G126" s="24" t="str">
        <x:v>EditMode + Integración</x:v>
      </x:c>
      <x:c r="H126" s="24" t="str">
        <x:v>Unity 6000.3.18f1 / Windows x64</x:v>
      </x:c>
      <x:c r="I126" s="24" t="str">
        <x:v>Not Run</x:v>
      </x:c>
      <x:c r="J126" s="24" t="str"/>
      <x:c r="K126" s="24" t="str"/>
      <x:c r="L126" s="24" t="str">
        <x:v>VRM Games</x:v>
      </x:c>
      <x:c r="M126" s="24"/>
      <x:c r="N126" s="24" t="str">
        <x:v>Fila inicial; actualizar al ejecutar.</x:v>
      </x:c>
    </x:row>
    <x:row r="127">
      <x:c r="A127" s="24" t="str">
        <x:v>EXE-0123</x:v>
      </x:c>
      <x:c r="B127" s="34"/>
      <x:c r="C127" s="24" t="str"/>
      <x:c r="D127" s="24" t="str">
        <x:v>Sprint 17 / H6</x:v>
      </x:c>
      <x:c r="E127" s="24" t="str">
        <x:v>TC-UX-DAY-003</x:v>
      </x:c>
      <x:c r="F127" s="24" t="str">
        <x:v>UX-DAY-003</x:v>
      </x:c>
      <x:c r="G127" s="24" t="str">
        <x:v>EditMode + Integración</x:v>
      </x:c>
      <x:c r="H127" s="24" t="str">
        <x:v>Unity 6000.3.18f1 / Windows x64</x:v>
      </x:c>
      <x:c r="I127" s="24" t="str">
        <x:v>Not Run</x:v>
      </x:c>
      <x:c r="J127" s="24" t="str"/>
      <x:c r="K127" s="24" t="str"/>
      <x:c r="L127" s="24" t="str">
        <x:v>VRM Games</x:v>
      </x:c>
      <x:c r="M127" s="24"/>
      <x:c r="N127" s="24" t="str">
        <x:v>Fila inicial; actualizar al ejecutar.</x:v>
      </x:c>
    </x:row>
    <x:row r="128">
      <x:c r="A128" s="24" t="str">
        <x:v>EXE-0124</x:v>
      </x:c>
      <x:c r="B128" s="34"/>
      <x:c r="C128" s="24" t="str"/>
      <x:c r="D128" s="24" t="str">
        <x:v>Sprint 17 / H6</x:v>
      </x:c>
      <x:c r="E128" s="24" t="str">
        <x:v>TC-UX-DAY-004</x:v>
      </x:c>
      <x:c r="F128" s="24" t="str">
        <x:v>UX-DAY-004</x:v>
      </x:c>
      <x:c r="G128" s="24" t="str">
        <x:v>EditMode + Integración</x:v>
      </x:c>
      <x:c r="H128" s="24" t="str">
        <x:v>Unity 6000.3.18f1 / Windows x64</x:v>
      </x:c>
      <x:c r="I128" s="24" t="str">
        <x:v>Not Run</x:v>
      </x:c>
      <x:c r="J128" s="24" t="str"/>
      <x:c r="K128" s="24" t="str"/>
      <x:c r="L128" s="24" t="str">
        <x:v>VRM Games</x:v>
      </x:c>
      <x:c r="M128" s="24"/>
      <x:c r="N128" s="24" t="str">
        <x:v>Fila inicial; actualizar al ejecutar.</x:v>
      </x:c>
    </x:row>
    <x:row r="129">
      <x:c r="A129" s="24" t="str">
        <x:v>EXE-0125</x:v>
      </x:c>
      <x:c r="B129" s="34"/>
      <x:c r="C129" s="24" t="str"/>
      <x:c r="D129" s="24" t="str">
        <x:v>Sprint 17 / H6</x:v>
      </x:c>
      <x:c r="E129" s="24" t="str">
        <x:v>TC-UX-CUS-001</x:v>
      </x:c>
      <x:c r="F129" s="24" t="str">
        <x:v>UX-CUS-001</x:v>
      </x:c>
      <x:c r="G129" s="24" t="str">
        <x:v>PlayMode + Manual</x:v>
      </x:c>
      <x:c r="H129" s="24" t="str">
        <x:v>Unity 6000.3.18f1 / Windows x64</x:v>
      </x:c>
      <x:c r="I129" s="24" t="str">
        <x:v>Not Run</x:v>
      </x:c>
      <x:c r="J129" s="24" t="str"/>
      <x:c r="K129" s="24" t="str"/>
      <x:c r="L129" s="24" t="str">
        <x:v>VRM Games</x:v>
      </x:c>
      <x:c r="M129" s="24"/>
      <x:c r="N129" s="24" t="str">
        <x:v>Fila inicial; actualizar al ejecutar.</x:v>
      </x:c>
    </x:row>
    <x:row r="130">
      <x:c r="A130" s="24" t="str">
        <x:v>EXE-0126</x:v>
      </x:c>
      <x:c r="B130" s="34"/>
      <x:c r="C130" s="24" t="str"/>
      <x:c r="D130" s="24" t="str">
        <x:v>Sprint 17 / H6</x:v>
      </x:c>
      <x:c r="E130" s="24" t="str">
        <x:v>TC-UX-CUS-002</x:v>
      </x:c>
      <x:c r="F130" s="24" t="str">
        <x:v>UX-CUS-002</x:v>
      </x:c>
      <x:c r="G130" s="24" t="str">
        <x:v>PlayMode + Manual</x:v>
      </x:c>
      <x:c r="H130" s="24" t="str">
        <x:v>Unity 6000.3.18f1 / Windows x64</x:v>
      </x:c>
      <x:c r="I130" s="24" t="str">
        <x:v>Not Run</x:v>
      </x:c>
      <x:c r="J130" s="24" t="str"/>
      <x:c r="K130" s="24" t="str"/>
      <x:c r="L130" s="24" t="str">
        <x:v>VRM Games</x:v>
      </x:c>
      <x:c r="M130" s="24"/>
      <x:c r="N130" s="24" t="str">
        <x:v>Fila inicial; actualizar al ejecutar.</x:v>
      </x:c>
    </x:row>
    <x:row r="131">
      <x:c r="A131" s="24" t="str">
        <x:v>EXE-0127</x:v>
      </x:c>
      <x:c r="B131" s="34"/>
      <x:c r="C131" s="24" t="str"/>
      <x:c r="D131" s="24" t="str">
        <x:v>Sprint 17 / H6</x:v>
      </x:c>
      <x:c r="E131" s="24" t="str">
        <x:v>TC-UX-CUS-003</x:v>
      </x:c>
      <x:c r="F131" s="24" t="str">
        <x:v>UX-CUS-003</x:v>
      </x:c>
      <x:c r="G131" s="24" t="str">
        <x:v>PlayMode + Manual</x:v>
      </x:c>
      <x:c r="H131" s="24" t="str">
        <x:v>Unity 6000.3.18f1 / Windows x64</x:v>
      </x:c>
      <x:c r="I131" s="24" t="str">
        <x:v>Not Run</x:v>
      </x:c>
      <x:c r="J131" s="24" t="str"/>
      <x:c r="K131" s="24" t="str"/>
      <x:c r="L131" s="24" t="str">
        <x:v>VRM Games</x:v>
      </x:c>
      <x:c r="M131" s="24"/>
      <x:c r="N131" s="24" t="str">
        <x:v>Fila inicial; actualizar al ejecutar.</x:v>
      </x:c>
    </x:row>
    <x:row r="132">
      <x:c r="A132" s="24" t="str">
        <x:v>EXE-0128</x:v>
      </x:c>
      <x:c r="B132" s="34"/>
      <x:c r="C132" s="24" t="str"/>
      <x:c r="D132" s="24" t="str">
        <x:v>Sprint 17 / H6</x:v>
      </x:c>
      <x:c r="E132" s="24" t="str">
        <x:v>TC-UX-CUS-004</x:v>
      </x:c>
      <x:c r="F132" s="24" t="str">
        <x:v>UX-CUS-004</x:v>
      </x:c>
      <x:c r="G132" s="24" t="str">
        <x:v>PlayMode + Manual</x:v>
      </x:c>
      <x:c r="H132" s="24" t="str">
        <x:v>Unity 6000.3.18f1 / Windows x64</x:v>
      </x:c>
      <x:c r="I132" s="24" t="str">
        <x:v>Not Run</x:v>
      </x:c>
      <x:c r="J132" s="24" t="str"/>
      <x:c r="K132" s="24" t="str"/>
      <x:c r="L132" s="24" t="str">
        <x:v>VRM Games</x:v>
      </x:c>
      <x:c r="M132" s="24"/>
      <x:c r="N132" s="24" t="str">
        <x:v>Fila inicial; actualizar al ejecutar.</x:v>
      </x:c>
    </x:row>
    <x:row r="133">
      <x:c r="A133" s="24" t="str">
        <x:v>EXE-0129</x:v>
      </x:c>
      <x:c r="B133" s="34"/>
      <x:c r="C133" s="24" t="str"/>
      <x:c r="D133" s="24" t="str">
        <x:v>Sprint 17 / H6</x:v>
      </x:c>
      <x:c r="E133" s="24" t="str">
        <x:v>TC-UX-CUS-005</x:v>
      </x:c>
      <x:c r="F133" s="24" t="str">
        <x:v>UX-CUS-005</x:v>
      </x:c>
      <x:c r="G133" s="24" t="str">
        <x:v>PlayMode + Manual</x:v>
      </x:c>
      <x:c r="H133" s="24" t="str">
        <x:v>Unity 6000.3.18f1 / Windows x64</x:v>
      </x:c>
      <x:c r="I133" s="24" t="str">
        <x:v>Not Run</x:v>
      </x:c>
      <x:c r="J133" s="24" t="str"/>
      <x:c r="K133" s="24" t="str"/>
      <x:c r="L133" s="24" t="str">
        <x:v>VRM Games</x:v>
      </x:c>
      <x:c r="M133" s="24"/>
      <x:c r="N133" s="24" t="str">
        <x:v>Fila inicial; actualizar al ejecutar.</x:v>
      </x:c>
    </x:row>
    <x:row r="134">
      <x:c r="A134" s="24" t="str">
        <x:v>EXE-0130</x:v>
      </x:c>
      <x:c r="B134" s="34"/>
      <x:c r="C134" s="24" t="str"/>
      <x:c r="D134" s="24" t="str">
        <x:v>Sprint 17 / H6</x:v>
      </x:c>
      <x:c r="E134" s="24" t="str">
        <x:v>TC-UX-CHK-001</x:v>
      </x:c>
      <x:c r="F134" s="24" t="str">
        <x:v>UX-CHK-001</x:v>
      </x:c>
      <x:c r="G134" s="24" t="str">
        <x:v>EditMode + Integración</x:v>
      </x:c>
      <x:c r="H134" s="24" t="str">
        <x:v>Unity 6000.3.18f1 / Windows x64</x:v>
      </x:c>
      <x:c r="I134" s="24" t="str">
        <x:v>Not Run</x:v>
      </x:c>
      <x:c r="J134" s="24" t="str"/>
      <x:c r="K134" s="24" t="str"/>
      <x:c r="L134" s="24" t="str">
        <x:v>VRM Games</x:v>
      </x:c>
      <x:c r="M134" s="24"/>
      <x:c r="N134" s="24" t="str">
        <x:v>Fila inicial; actualizar al ejecutar.</x:v>
      </x:c>
    </x:row>
    <x:row r="135">
      <x:c r="A135" s="24" t="str">
        <x:v>EXE-0131</x:v>
      </x:c>
      <x:c r="B135" s="34"/>
      <x:c r="C135" s="24" t="str"/>
      <x:c r="D135" s="24" t="str">
        <x:v>Sprint 17 / H6</x:v>
      </x:c>
      <x:c r="E135" s="24" t="str">
        <x:v>TC-UX-CHK-002</x:v>
      </x:c>
      <x:c r="F135" s="24" t="str">
        <x:v>UX-CHK-002</x:v>
      </x:c>
      <x:c r="G135" s="24" t="str">
        <x:v>EditMode + Integración</x:v>
      </x:c>
      <x:c r="H135" s="24" t="str">
        <x:v>Unity 6000.3.18f1 / Windows x64</x:v>
      </x:c>
      <x:c r="I135" s="24" t="str">
        <x:v>Not Run</x:v>
      </x:c>
      <x:c r="J135" s="24" t="str"/>
      <x:c r="K135" s="24" t="str"/>
      <x:c r="L135" s="24" t="str">
        <x:v>VRM Games</x:v>
      </x:c>
      <x:c r="M135" s="24"/>
      <x:c r="N135" s="24" t="str">
        <x:v>Fila inicial; actualizar al ejecutar.</x:v>
      </x:c>
    </x:row>
    <x:row r="136">
      <x:c r="A136" s="24" t="str">
        <x:v>EXE-0132</x:v>
      </x:c>
      <x:c r="B136" s="34"/>
      <x:c r="C136" s="24" t="str"/>
      <x:c r="D136" s="24" t="str">
        <x:v>Sprint 17 / H6</x:v>
      </x:c>
      <x:c r="E136" s="24" t="str">
        <x:v>TC-UX-CHK-003</x:v>
      </x:c>
      <x:c r="F136" s="24" t="str">
        <x:v>UX-CHK-003</x:v>
      </x:c>
      <x:c r="G136" s="24" t="str">
        <x:v>EditMode + Integración</x:v>
      </x:c>
      <x:c r="H136" s="24" t="str">
        <x:v>Unity 6000.3.18f1 / Windows x64</x:v>
      </x:c>
      <x:c r="I136" s="24" t="str">
        <x:v>Not Run</x:v>
      </x:c>
      <x:c r="J136" s="24" t="str"/>
      <x:c r="K136" s="24" t="str"/>
      <x:c r="L136" s="24" t="str">
        <x:v>VRM Games</x:v>
      </x:c>
      <x:c r="M136" s="24"/>
      <x:c r="N136" s="24" t="str">
        <x:v>Fila inicial; actualizar al ejecutar.</x:v>
      </x:c>
    </x:row>
    <x:row r="137">
      <x:c r="A137" s="24" t="str">
        <x:v>EXE-0133</x:v>
      </x:c>
      <x:c r="B137" s="34"/>
      <x:c r="C137" s="24" t="str"/>
      <x:c r="D137" s="24" t="str">
        <x:v>Sprint 17 / H6</x:v>
      </x:c>
      <x:c r="E137" s="24" t="str">
        <x:v>TC-UX-CHK-004</x:v>
      </x:c>
      <x:c r="F137" s="24" t="str">
        <x:v>UX-CHK-004</x:v>
      </x:c>
      <x:c r="G137" s="24" t="str">
        <x:v>EditMode + Integración</x:v>
      </x:c>
      <x:c r="H137" s="24" t="str">
        <x:v>Unity 6000.3.18f1 / Windows x64</x:v>
      </x:c>
      <x:c r="I137" s="24" t="str">
        <x:v>Not Run</x:v>
      </x:c>
      <x:c r="J137" s="24" t="str"/>
      <x:c r="K137" s="24" t="str"/>
      <x:c r="L137" s="24" t="str">
        <x:v>VRM Games</x:v>
      </x:c>
      <x:c r="M137" s="24"/>
      <x:c r="N137" s="24" t="str">
        <x:v>Fila inicial; actualizar al ejecutar.</x:v>
      </x:c>
    </x:row>
    <x:row r="138">
      <x:c r="A138" s="24" t="str">
        <x:v>EXE-0134</x:v>
      </x:c>
      <x:c r="B138" s="34"/>
      <x:c r="C138" s="24" t="str"/>
      <x:c r="D138" s="24" t="str">
        <x:v>Sprint 17 / H6</x:v>
      </x:c>
      <x:c r="E138" s="24" t="str">
        <x:v>TC-UX-CHK-005</x:v>
      </x:c>
      <x:c r="F138" s="24" t="str">
        <x:v>UX-CHK-005</x:v>
      </x:c>
      <x:c r="G138" s="24" t="str">
        <x:v>EditMode + Integración</x:v>
      </x:c>
      <x:c r="H138" s="24" t="str">
        <x:v>Unity 6000.3.18f1 / Windows x64</x:v>
      </x:c>
      <x:c r="I138" s="24" t="str">
        <x:v>Not Run</x:v>
      </x:c>
      <x:c r="J138" s="24" t="str"/>
      <x:c r="K138" s="24" t="str"/>
      <x:c r="L138" s="24" t="str">
        <x:v>VRM Games</x:v>
      </x:c>
      <x:c r="M138" s="24"/>
      <x:c r="N138" s="24" t="str">
        <x:v>Fila inicial; actualizar al ejecutar.</x:v>
      </x:c>
    </x:row>
    <x:row r="139">
      <x:c r="A139" s="24" t="str">
        <x:v>EXE-0135</x:v>
      </x:c>
      <x:c r="B139" s="34"/>
      <x:c r="C139" s="24" t="str"/>
      <x:c r="D139" s="24" t="str">
        <x:v>Sprint 17 / H6</x:v>
      </x:c>
      <x:c r="E139" s="24" t="str">
        <x:v>TC-UX-ECO-001</x:v>
      </x:c>
      <x:c r="F139" s="24" t="str">
        <x:v>UX-ECO-001</x:v>
      </x:c>
      <x:c r="G139" s="24" t="str">
        <x:v>EditMode + Integración</x:v>
      </x:c>
      <x:c r="H139" s="24" t="str">
        <x:v>Unity 6000.3.18f1 / Windows x64</x:v>
      </x:c>
      <x:c r="I139" s="24" t="str">
        <x:v>Not Run</x:v>
      </x:c>
      <x:c r="J139" s="24" t="str"/>
      <x:c r="K139" s="24" t="str"/>
      <x:c r="L139" s="24" t="str">
        <x:v>VRM Games</x:v>
      </x:c>
      <x:c r="M139" s="24"/>
      <x:c r="N139" s="24" t="str">
        <x:v>Fila inicial; actualizar al ejecutar.</x:v>
      </x:c>
    </x:row>
    <x:row r="140">
      <x:c r="A140" s="24" t="str">
        <x:v>EXE-0136</x:v>
      </x:c>
      <x:c r="B140" s="34"/>
      <x:c r="C140" s="24" t="str"/>
      <x:c r="D140" s="24" t="str">
        <x:v>Sprint 17 / H6</x:v>
      </x:c>
      <x:c r="E140" s="24" t="str">
        <x:v>TC-UX-ECO-002</x:v>
      </x:c>
      <x:c r="F140" s="24" t="str">
        <x:v>UX-ECO-002</x:v>
      </x:c>
      <x:c r="G140" s="24" t="str">
        <x:v>EditMode + Integración</x:v>
      </x:c>
      <x:c r="H140" s="24" t="str">
        <x:v>Unity 6000.3.18f1 / Windows x64</x:v>
      </x:c>
      <x:c r="I140" s="24" t="str">
        <x:v>Not Run</x:v>
      </x:c>
      <x:c r="J140" s="24" t="str"/>
      <x:c r="K140" s="24" t="str"/>
      <x:c r="L140" s="24" t="str">
        <x:v>VRM Games</x:v>
      </x:c>
      <x:c r="M140" s="24"/>
      <x:c r="N140" s="24" t="str">
        <x:v>Fila inicial; actualizar al ejecutar.</x:v>
      </x:c>
    </x:row>
    <x:row r="141">
      <x:c r="A141" s="24" t="str">
        <x:v>EXE-0137</x:v>
      </x:c>
      <x:c r="B141" s="34"/>
      <x:c r="C141" s="24" t="str"/>
      <x:c r="D141" s="24" t="str">
        <x:v>Sprint 17 / H6</x:v>
      </x:c>
      <x:c r="E141" s="24" t="str">
        <x:v>TC-UX-ECO-003</x:v>
      </x:c>
      <x:c r="F141" s="24" t="str">
        <x:v>UX-ECO-003</x:v>
      </x:c>
      <x:c r="G141" s="24" t="str">
        <x:v>EditMode + Integración</x:v>
      </x:c>
      <x:c r="H141" s="24" t="str">
        <x:v>Unity 6000.3.18f1 / Windows x64</x:v>
      </x:c>
      <x:c r="I141" s="24" t="str">
        <x:v>Not Run</x:v>
      </x:c>
      <x:c r="J141" s="24" t="str"/>
      <x:c r="K141" s="24" t="str"/>
      <x:c r="L141" s="24" t="str">
        <x:v>VRM Games</x:v>
      </x:c>
      <x:c r="M141" s="24"/>
      <x:c r="N141" s="24" t="str">
        <x:v>Fila inicial; actualizar al ejecutar.</x:v>
      </x:c>
    </x:row>
    <x:row r="142">
      <x:c r="A142" s="24" t="str">
        <x:v>EXE-0138</x:v>
      </x:c>
      <x:c r="B142" s="34"/>
      <x:c r="C142" s="24" t="str"/>
      <x:c r="D142" s="24" t="str">
        <x:v>Sprint 17 / H6</x:v>
      </x:c>
      <x:c r="E142" s="24" t="str">
        <x:v>TC-UX-SAV-001</x:v>
      </x:c>
      <x:c r="F142" s="24" t="str">
        <x:v>UX-SAV-001</x:v>
      </x:c>
      <x:c r="G142" s="24" t="str">
        <x:v>EditMode + Integración</x:v>
      </x:c>
      <x:c r="H142" s="24" t="str">
        <x:v>Unity 6000.3.18f1 / Windows x64</x:v>
      </x:c>
      <x:c r="I142" s="24" t="str">
        <x:v>Not Run</x:v>
      </x:c>
      <x:c r="J142" s="24" t="str"/>
      <x:c r="K142" s="24" t="str"/>
      <x:c r="L142" s="24" t="str">
        <x:v>VRM Games</x:v>
      </x:c>
      <x:c r="M142" s="24"/>
      <x:c r="N142" s="24" t="str">
        <x:v>Fila inicial; actualizar al ejecutar.</x:v>
      </x:c>
    </x:row>
    <x:row r="143">
      <x:c r="A143" s="24" t="str">
        <x:v>EXE-0139</x:v>
      </x:c>
      <x:c r="B143" s="34"/>
      <x:c r="C143" s="24" t="str"/>
      <x:c r="D143" s="24" t="str">
        <x:v>Sprint 17 / H6</x:v>
      </x:c>
      <x:c r="E143" s="24" t="str">
        <x:v>TC-UX-SAV-002</x:v>
      </x:c>
      <x:c r="F143" s="24" t="str">
        <x:v>UX-SAV-002</x:v>
      </x:c>
      <x:c r="G143" s="24" t="str">
        <x:v>EditMode + Integración</x:v>
      </x:c>
      <x:c r="H143" s="24" t="str">
        <x:v>Unity 6000.3.18f1 / Windows x64</x:v>
      </x:c>
      <x:c r="I143" s="24" t="str">
        <x:v>Not Run</x:v>
      </x:c>
      <x:c r="J143" s="24" t="str"/>
      <x:c r="K143" s="24" t="str"/>
      <x:c r="L143" s="24" t="str">
        <x:v>VRM Games</x:v>
      </x:c>
      <x:c r="M143" s="24"/>
      <x:c r="N143" s="24" t="str">
        <x:v>Fila inicial; actualizar al ejecutar.</x:v>
      </x:c>
    </x:row>
    <x:row r="144">
      <x:c r="A144" s="24" t="str">
        <x:v>EXE-0140</x:v>
      </x:c>
      <x:c r="B144" s="34"/>
      <x:c r="C144" s="24" t="str"/>
      <x:c r="D144" s="24" t="str">
        <x:v>Sprint 17 / H6</x:v>
      </x:c>
      <x:c r="E144" s="24" t="str">
        <x:v>TC-UX-SAV-003</x:v>
      </x:c>
      <x:c r="F144" s="24" t="str">
        <x:v>UX-SAV-003</x:v>
      </x:c>
      <x:c r="G144" s="24" t="str">
        <x:v>EditMode + Integración</x:v>
      </x:c>
      <x:c r="H144" s="24" t="str">
        <x:v>Unity 6000.3.18f1 / Windows x64</x:v>
      </x:c>
      <x:c r="I144" s="24" t="str">
        <x:v>Not Run</x:v>
      </x:c>
      <x:c r="J144" s="24" t="str"/>
      <x:c r="K144" s="24" t="str"/>
      <x:c r="L144" s="24" t="str">
        <x:v>VRM Games</x:v>
      </x:c>
      <x:c r="M144" s="24"/>
      <x:c r="N144" s="24" t="str">
        <x:v>Fila inicial; actualizar al ejecutar.</x:v>
      </x:c>
    </x:row>
    <x:row r="145">
      <x:c r="A145" s="24" t="str">
        <x:v>EXE-0141</x:v>
      </x:c>
      <x:c r="B145" s="34"/>
      <x:c r="C145" s="24" t="str"/>
      <x:c r="D145" s="24" t="str">
        <x:v>Sprint 17 / H6</x:v>
      </x:c>
      <x:c r="E145" s="24" t="str">
        <x:v>TC-UX-SAV-004</x:v>
      </x:c>
      <x:c r="F145" s="24" t="str">
        <x:v>UX-SAV-004</x:v>
      </x:c>
      <x:c r="G145" s="24" t="str">
        <x:v>EditMode + Integración</x:v>
      </x:c>
      <x:c r="H145" s="24" t="str">
        <x:v>Unity 6000.3.18f1 / Windows x64</x:v>
      </x:c>
      <x:c r="I145" s="24" t="str">
        <x:v>Not Run</x:v>
      </x:c>
      <x:c r="J145" s="24" t="str"/>
      <x:c r="K145" s="24" t="str"/>
      <x:c r="L145" s="24" t="str">
        <x:v>VRM Games</x:v>
      </x:c>
      <x:c r="M145" s="24"/>
      <x:c r="N145" s="24" t="str">
        <x:v>Fila inicial; actualizar al ejecutar.</x:v>
      </x:c>
    </x:row>
    <x:row r="146">
      <x:c r="A146" s="24" t="str">
        <x:v>EXE-0142</x:v>
      </x:c>
      <x:c r="B146" s="34"/>
      <x:c r="C146" s="24" t="str"/>
      <x:c r="D146" s="24" t="str">
        <x:v>Sprint 17 / H6</x:v>
      </x:c>
      <x:c r="E146" s="24" t="str">
        <x:v>TC-UX-ACC-001</x:v>
      </x:c>
      <x:c r="F146" s="24" t="str">
        <x:v>UX-ACC-001</x:v>
      </x:c>
      <x:c r="G146" s="24" t="str">
        <x:v>PlayMode + Manual</x:v>
      </x:c>
      <x:c r="H146" s="24" t="str">
        <x:v>Unity 6000.3.18f1 / Windows x64</x:v>
      </x:c>
      <x:c r="I146" s="24" t="str">
        <x:v>Not Run</x:v>
      </x:c>
      <x:c r="J146" s="24" t="str"/>
      <x:c r="K146" s="24" t="str"/>
      <x:c r="L146" s="24" t="str">
        <x:v>VRM Games</x:v>
      </x:c>
      <x:c r="M146" s="24"/>
      <x:c r="N146" s="24" t="str">
        <x:v>Fila inicial; actualizar al ejecutar.</x:v>
      </x:c>
    </x:row>
    <x:row r="147">
      <x:c r="A147" s="24" t="str">
        <x:v>EXE-0143</x:v>
      </x:c>
      <x:c r="B147" s="34"/>
      <x:c r="C147" s="24" t="str"/>
      <x:c r="D147" s="24" t="str">
        <x:v>Sprint 17 / H6</x:v>
      </x:c>
      <x:c r="E147" s="24" t="str">
        <x:v>TC-UX-ACC-002</x:v>
      </x:c>
      <x:c r="F147" s="24" t="str">
        <x:v>UX-ACC-002</x:v>
      </x:c>
      <x:c r="G147" s="24" t="str">
        <x:v>PlayMode + Manual</x:v>
      </x:c>
      <x:c r="H147" s="24" t="str">
        <x:v>Unity 6000.3.18f1 / Windows x64</x:v>
      </x:c>
      <x:c r="I147" s="24" t="str">
        <x:v>Not Run</x:v>
      </x:c>
      <x:c r="J147" s="24" t="str"/>
      <x:c r="K147" s="24" t="str"/>
      <x:c r="L147" s="24" t="str">
        <x:v>VRM Games</x:v>
      </x:c>
      <x:c r="M147" s="24"/>
      <x:c r="N147" s="24" t="str">
        <x:v>Fila inicial; actualizar al ejecutar.</x:v>
      </x:c>
    </x:row>
    <x:row r="148">
      <x:c r="A148" s="24" t="str">
        <x:v>EXE-0144</x:v>
      </x:c>
      <x:c r="B148" s="34"/>
      <x:c r="C148" s="24" t="str"/>
      <x:c r="D148" s="24" t="str">
        <x:v>Sprint 17 / H6</x:v>
      </x:c>
      <x:c r="E148" s="24" t="str">
        <x:v>TC-UX-ACC-003</x:v>
      </x:c>
      <x:c r="F148" s="24" t="str">
        <x:v>UX-ACC-003</x:v>
      </x:c>
      <x:c r="G148" s="24" t="str">
        <x:v>PlayMode + Manual</x:v>
      </x:c>
      <x:c r="H148" s="24" t="str">
        <x:v>Unity 6000.3.18f1 / Windows x64</x:v>
      </x:c>
      <x:c r="I148" s="24" t="str">
        <x:v>Not Run</x:v>
      </x:c>
      <x:c r="J148" s="24" t="str"/>
      <x:c r="K148" s="24" t="str"/>
      <x:c r="L148" s="24" t="str">
        <x:v>VRM Games</x:v>
      </x:c>
      <x:c r="M148" s="24"/>
      <x:c r="N148" s="24" t="str">
        <x:v>Fila inicial; actualizar al ejecutar.</x:v>
      </x:c>
    </x:row>
    <x:row r="149">
      <x:c r="A149" s="24" t="str">
        <x:v>EXE-0145</x:v>
      </x:c>
      <x:c r="B149" s="34"/>
      <x:c r="C149" s="24" t="str"/>
      <x:c r="D149" s="24" t="str">
        <x:v>Sprint 17 / H6</x:v>
      </x:c>
      <x:c r="E149" s="24" t="str">
        <x:v>TC-UX-ACC-004</x:v>
      </x:c>
      <x:c r="F149" s="24" t="str">
        <x:v>UX-ACC-004</x:v>
      </x:c>
      <x:c r="G149" s="24" t="str">
        <x:v>PlayMode + Manual</x:v>
      </x:c>
      <x:c r="H149" s="24" t="str">
        <x:v>Unity 6000.3.18f1 / Windows x64</x:v>
      </x:c>
      <x:c r="I149" s="24" t="str">
        <x:v>Not Run</x:v>
      </x:c>
      <x:c r="J149" s="24" t="str"/>
      <x:c r="K149" s="24" t="str"/>
      <x:c r="L149" s="24" t="str">
        <x:v>VRM Games</x:v>
      </x:c>
      <x:c r="M149" s="24"/>
      <x:c r="N149" s="24" t="str">
        <x:v>Fila inicial; actualizar al ejecutar.</x:v>
      </x:c>
    </x:row>
    <x:row r="150">
      <x:c r="A150" s="24" t="str">
        <x:v>EXE-0146</x:v>
      </x:c>
      <x:c r="B150" s="34"/>
      <x:c r="C150" s="24" t="str"/>
      <x:c r="D150" s="24" t="str">
        <x:v>Sprint 17 / H6</x:v>
      </x:c>
      <x:c r="E150" s="24" t="str">
        <x:v>TC-UX-ACC-005</x:v>
      </x:c>
      <x:c r="F150" s="24" t="str">
        <x:v>UX-ACC-005</x:v>
      </x:c>
      <x:c r="G150" s="24" t="str">
        <x:v>PlayMode + Manual</x:v>
      </x:c>
      <x:c r="H150" s="24" t="str">
        <x:v>Unity 6000.3.18f1 / Windows x64</x:v>
      </x:c>
      <x:c r="I150" s="24" t="str">
        <x:v>Not Run</x:v>
      </x:c>
      <x:c r="J150" s="24" t="str"/>
      <x:c r="K150" s="24" t="str"/>
      <x:c r="L150" s="24" t="str">
        <x:v>VRM Games</x:v>
      </x:c>
      <x:c r="M150" s="24"/>
      <x:c r="N150" s="24" t="str">
        <x:v>Fila inicial; actualizar al ejecutar.</x:v>
      </x:c>
    </x:row>
    <x:row r="151">
      <x:c r="A151" s="24" t="str">
        <x:v>EXE-0147</x:v>
      </x:c>
      <x:c r="B151" s="34"/>
      <x:c r="C151" s="24" t="str"/>
      <x:c r="D151" s="24" t="str">
        <x:v>Sprint 17 / H6</x:v>
      </x:c>
      <x:c r="E151" s="24" t="str">
        <x:v>TC-UX-LOC-001</x:v>
      </x:c>
      <x:c r="F151" s="24" t="str">
        <x:v>UX-LOC-001</x:v>
      </x:c>
      <x:c r="G151" s="24" t="str">
        <x:v>PlayMode + Manual</x:v>
      </x:c>
      <x:c r="H151" s="24" t="str">
        <x:v>Unity 6000.3.18f1 / Windows x64</x:v>
      </x:c>
      <x:c r="I151" s="24" t="str">
        <x:v>Not Run</x:v>
      </x:c>
      <x:c r="J151" s="24" t="str"/>
      <x:c r="K151" s="24" t="str"/>
      <x:c r="L151" s="24" t="str">
        <x:v>VRM Games</x:v>
      </x:c>
      <x:c r="M151" s="24"/>
      <x:c r="N151" s="24" t="str">
        <x:v>Fila inicial; actualizar al ejecutar.</x:v>
      </x:c>
    </x:row>
    <x:row r="152">
      <x:c r="A152" s="24" t="str">
        <x:v>EXE-0148</x:v>
      </x:c>
      <x:c r="B152" s="34"/>
      <x:c r="C152" s="24" t="str"/>
      <x:c r="D152" s="24" t="str">
        <x:v>Sprint 17 / H6</x:v>
      </x:c>
      <x:c r="E152" s="24" t="str">
        <x:v>TC-UX-GP-001</x:v>
      </x:c>
      <x:c r="F152" s="24" t="str">
        <x:v>UX-GP-001</x:v>
      </x:c>
      <x:c r="G152" s="24" t="str">
        <x:v>PlayMode + Manual</x:v>
      </x:c>
      <x:c r="H152" s="24" t="str">
        <x:v>Unity 6000.3.18f1 / Windows x64</x:v>
      </x:c>
      <x:c r="I152" s="24" t="str">
        <x:v>Not Run</x:v>
      </x:c>
      <x:c r="J152" s="24" t="str"/>
      <x:c r="K152" s="24" t="str"/>
      <x:c r="L152" s="24" t="str">
        <x:v>VRM Games</x:v>
      </x:c>
      <x:c r="M152" s="24"/>
      <x:c r="N152" s="24" t="str">
        <x:v>Fila inicial; actualizar al ejecutar.</x:v>
      </x:c>
    </x:row>
    <x:row r="153">
      <x:c r="A153" s="24" t="str">
        <x:v>EXE-0149</x:v>
      </x:c>
      <x:c r="B153" s="34"/>
      <x:c r="C153" s="24" t="str"/>
      <x:c r="D153" s="24" t="str">
        <x:v>Sprint 17 / H6</x:v>
      </x:c>
      <x:c r="E153" s="24" t="str">
        <x:v>TC-UX-GP-002</x:v>
      </x:c>
      <x:c r="F153" s="24" t="str">
        <x:v>UX-GP-002</x:v>
      </x:c>
      <x:c r="G153" s="24" t="str">
        <x:v>PlayMode + Manual</x:v>
      </x:c>
      <x:c r="H153" s="24" t="str">
        <x:v>Unity 6000.3.18f1 / Windows x64</x:v>
      </x:c>
      <x:c r="I153" s="24" t="str">
        <x:v>Not Run</x:v>
      </x:c>
      <x:c r="J153" s="24" t="str"/>
      <x:c r="K153" s="24" t="str"/>
      <x:c r="L153" s="24" t="str">
        <x:v>VRM Games</x:v>
      </x:c>
      <x:c r="M153" s="24"/>
      <x:c r="N153" s="24" t="str">
        <x:v>Fila inicial; actualizar al ejecutar.</x:v>
      </x:c>
    </x:row>
    <x:row r="154">
      <x:c r="A154" s="24" t="str">
        <x:v>EXE-0150</x:v>
      </x:c>
      <x:c r="B154" s="34"/>
      <x:c r="C154" s="24" t="str"/>
      <x:c r="D154" s="24" t="str">
        <x:v>Sprint 17 / H6</x:v>
      </x:c>
      <x:c r="E154" s="24" t="str">
        <x:v>TC-UX-GP-003</x:v>
      </x:c>
      <x:c r="F154" s="24" t="str">
        <x:v>UX-GP-003</x:v>
      </x:c>
      <x:c r="G154" s="24" t="str">
        <x:v>PlayMode + Manual</x:v>
      </x:c>
      <x:c r="H154" s="24" t="str">
        <x:v>Unity 6000.3.18f1 / Windows x64</x:v>
      </x:c>
      <x:c r="I154" s="24" t="str">
        <x:v>Not Run</x:v>
      </x:c>
      <x:c r="J154" s="24" t="str"/>
      <x:c r="K154" s="24" t="str"/>
      <x:c r="L154" s="24" t="str">
        <x:v>VRM Games</x:v>
      </x:c>
      <x:c r="M154" s="24"/>
      <x:c r="N154" s="24" t="str">
        <x:v>Fila inicial; actualizar al ejecutar.</x:v>
      </x:c>
    </x:row>
    <x:row r="155">
      <x:c r="A155" s="24" t="str">
        <x:v>EXE-0151</x:v>
      </x:c>
      <x:c r="B155" s="34"/>
      <x:c r="C155" s="24" t="str"/>
      <x:c r="D155" s="24" t="str">
        <x:v>Sprint 17 / H6</x:v>
      </x:c>
      <x:c r="E155" s="24" t="str">
        <x:v>TC-UX-GP-004</x:v>
      </x:c>
      <x:c r="F155" s="24" t="str">
        <x:v>UX-GP-004</x:v>
      </x:c>
      <x:c r="G155" s="24" t="str">
        <x:v>PlayMode + Manual</x:v>
      </x:c>
      <x:c r="H155" s="24" t="str">
        <x:v>Unity 6000.3.18f1 / Windows x64</x:v>
      </x:c>
      <x:c r="I155" s="24" t="str">
        <x:v>Not Run</x:v>
      </x:c>
      <x:c r="J155" s="24" t="str"/>
      <x:c r="K155" s="24" t="str"/>
      <x:c r="L155" s="24" t="str">
        <x:v>VRM Games</x:v>
      </x:c>
      <x:c r="M155" s="24"/>
      <x:c r="N155" s="24" t="str">
        <x:v>Fila inicial; actualizar al ejecutar.</x:v>
      </x:c>
    </x:row>
    <x:row r="156">
      <x:c r="A156" s="24" t="str">
        <x:v>EXE-0152</x:v>
      </x:c>
      <x:c r="B156" s="34"/>
      <x:c r="C156" s="24" t="str"/>
      <x:c r="D156" s="24" t="str">
        <x:v>Sprint 17 / H6</x:v>
      </x:c>
      <x:c r="E156" s="24" t="str">
        <x:v>TC-UX-GP-005</x:v>
      </x:c>
      <x:c r="F156" s="24" t="str">
        <x:v>UX-GP-005</x:v>
      </x:c>
      <x:c r="G156" s="24" t="str">
        <x:v>PlayMode + Manual</x:v>
      </x:c>
      <x:c r="H156" s="24" t="str">
        <x:v>Unity 6000.3.18f1 / Windows x64</x:v>
      </x:c>
      <x:c r="I156" s="24" t="str">
        <x:v>Not Run</x:v>
      </x:c>
      <x:c r="J156" s="24" t="str"/>
      <x:c r="K156" s="24" t="str"/>
      <x:c r="L156" s="24" t="str">
        <x:v>VRM Games</x:v>
      </x:c>
      <x:c r="M156" s="24"/>
      <x:c r="N156" s="24" t="str">
        <x:v>Fila inicial; actualizar al ejecutar.</x:v>
      </x:c>
    </x:row>
    <x:row r="157">
      <x:c r="A157" s="24" t="str">
        <x:v>EXE-0153</x:v>
      </x:c>
      <x:c r="B157" s="34"/>
      <x:c r="C157" s="24" t="str"/>
      <x:c r="D157" s="24" t="str">
        <x:v>Sprint 17 / H6</x:v>
      </x:c>
      <x:c r="E157" s="24" t="str">
        <x:v>TC-UX-GP-006</x:v>
      </x:c>
      <x:c r="F157" s="24" t="str">
        <x:v>UX-GP-006</x:v>
      </x:c>
      <x:c r="G157" s="24" t="str">
        <x:v>PlayMode + Manual</x:v>
      </x:c>
      <x:c r="H157" s="24" t="str">
        <x:v>Unity 6000.3.18f1 / Windows x64</x:v>
      </x:c>
      <x:c r="I157" s="24" t="str">
        <x:v>Not Run</x:v>
      </x:c>
      <x:c r="J157" s="24" t="str"/>
      <x:c r="K157" s="24" t="str"/>
      <x:c r="L157" s="24" t="str">
        <x:v>VRM Games</x:v>
      </x:c>
      <x:c r="M157" s="24"/>
      <x:c r="N157" s="24" t="str">
        <x:v>Fila inicial; actualizar al ejecutar.</x:v>
      </x:c>
    </x:row>
    <x:row r="158">
      <x:c r="A158" s="24" t="str">
        <x:v>EXE-0154</x:v>
      </x:c>
      <x:c r="B158" s="34"/>
      <x:c r="C158" s="24" t="str"/>
      <x:c r="D158" s="24" t="str">
        <x:v>Todos</x:v>
      </x:c>
      <x:c r="E158" s="24" t="str">
        <x:v>TC-QA-POL-001</x:v>
      </x:c>
      <x:c r="F158" s="24" t="str">
        <x:v>QA-POL-001</x:v>
      </x:c>
      <x:c r="G158" s="24" t="str">
        <x:v>Revisión</x:v>
      </x:c>
      <x:c r="H158" s="24" t="str">
        <x:v>Unity 6000.3.18f1 / Windows x64</x:v>
      </x:c>
      <x:c r="I158" s="24" t="str">
        <x:v>Not Run</x:v>
      </x:c>
      <x:c r="J158" s="24" t="str"/>
      <x:c r="K158" s="24" t="str"/>
      <x:c r="L158" s="24" t="str">
        <x:v>VRM Games</x:v>
      </x:c>
      <x:c r="M158" s="24"/>
      <x:c r="N158" s="24" t="str">
        <x:v>Fila inicial; actualizar al ejecutar.</x:v>
      </x:c>
    </x:row>
    <x:row r="159">
      <x:c r="A159" s="24" t="str">
        <x:v>EXE-0155</x:v>
      </x:c>
      <x:c r="B159" s="34"/>
      <x:c r="C159" s="24" t="str"/>
      <x:c r="D159" s="24" t="str">
        <x:v>Todos</x:v>
      </x:c>
      <x:c r="E159" s="24" t="str">
        <x:v>TC-QA-POL-002</x:v>
      </x:c>
      <x:c r="F159" s="24" t="str">
        <x:v>QA-POL-002</x:v>
      </x:c>
      <x:c r="G159" s="24" t="str">
        <x:v>Revisión</x:v>
      </x:c>
      <x:c r="H159" s="24" t="str">
        <x:v>Unity 6000.3.18f1 / Windows x64</x:v>
      </x:c>
      <x:c r="I159" s="24" t="str">
        <x:v>Not Run</x:v>
      </x:c>
      <x:c r="J159" s="24" t="str"/>
      <x:c r="K159" s="24" t="str"/>
      <x:c r="L159" s="24" t="str">
        <x:v>VRM Games</x:v>
      </x:c>
      <x:c r="M159" s="24"/>
      <x:c r="N159" s="24" t="str">
        <x:v>Fila inicial; actualizar al ejecutar.</x:v>
      </x:c>
    </x:row>
    <x:row r="160">
      <x:c r="A160" s="24" t="str">
        <x:v>EXE-0156</x:v>
      </x:c>
      <x:c r="B160" s="34"/>
      <x:c r="C160" s="24" t="str"/>
      <x:c r="D160" s="24" t="str">
        <x:v>Todos</x:v>
      </x:c>
      <x:c r="E160" s="24" t="str">
        <x:v>TC-QA-POL-003</x:v>
      </x:c>
      <x:c r="F160" s="24" t="str">
        <x:v>QA-POL-003</x:v>
      </x:c>
      <x:c r="G160" s="24" t="str">
        <x:v>Revisión</x:v>
      </x:c>
      <x:c r="H160" s="24" t="str">
        <x:v>Unity 6000.3.18f1 / Windows x64</x:v>
      </x:c>
      <x:c r="I160" s="24" t="str">
        <x:v>Not Run</x:v>
      </x:c>
      <x:c r="J160" s="24" t="str"/>
      <x:c r="K160" s="24" t="str"/>
      <x:c r="L160" s="24" t="str">
        <x:v>VRM Games</x:v>
      </x:c>
      <x:c r="M160" s="24"/>
      <x:c r="N160" s="24" t="str">
        <x:v>Fila inicial; actualizar al ejecutar.</x:v>
      </x:c>
    </x:row>
    <x:row r="161">
      <x:c r="A161" s="24" t="str">
        <x:v>EXE-0157</x:v>
      </x:c>
      <x:c r="B161" s="34"/>
      <x:c r="C161" s="24" t="str"/>
      <x:c r="D161" s="24" t="str">
        <x:v>Sprint 16/17</x:v>
      </x:c>
      <x:c r="E161" s="24" t="str">
        <x:v>TC-QA-POL-004</x:v>
      </x:c>
      <x:c r="F161" s="24" t="str">
        <x:v>QA-POL-004</x:v>
      </x:c>
      <x:c r="G161" s="24" t="str">
        <x:v>Revisión</x:v>
      </x:c>
      <x:c r="H161" s="24" t="str">
        <x:v>Unity 6000.3.18f1 / Windows x64</x:v>
      </x:c>
      <x:c r="I161" s="24" t="str">
        <x:v>Not Run</x:v>
      </x:c>
      <x:c r="J161" s="24" t="str"/>
      <x:c r="K161" s="24" t="str"/>
      <x:c r="L161" s="24" t="str">
        <x:v>VRM Games</x:v>
      </x:c>
      <x:c r="M161" s="24"/>
      <x:c r="N161" s="24" t="str">
        <x:v>Fila inicial; actualizar al ejecutar.</x:v>
      </x:c>
    </x:row>
    <x:row r="162">
      <x:c r="A162" s="24" t="str">
        <x:v>EXE-0158</x:v>
      </x:c>
      <x:c r="B162" s="34"/>
      <x:c r="C162" s="24" t="str"/>
      <x:c r="D162" s="24" t="str">
        <x:v>Sprint 17/H6</x:v>
      </x:c>
      <x:c r="E162" s="24" t="str">
        <x:v>TC-QA-POL-005</x:v>
      </x:c>
      <x:c r="F162" s="24" t="str">
        <x:v>QA-POL-005</x:v>
      </x:c>
      <x:c r="G162" s="24" t="str">
        <x:v>Revisión</x:v>
      </x:c>
      <x:c r="H162" s="24" t="str">
        <x:v>Unity 6000.3.18f1 / Windows x64</x:v>
      </x:c>
      <x:c r="I162" s="24" t="str">
        <x:v>Not Run</x:v>
      </x:c>
      <x:c r="J162" s="24" t="str"/>
      <x:c r="K162" s="24" t="str"/>
      <x:c r="L162" s="24" t="str">
        <x:v>VRM Games</x:v>
      </x:c>
      <x:c r="M162" s="24"/>
      <x:c r="N162" s="24" t="str">
        <x:v>Fila inicial; actualizar al ejecutar.</x:v>
      </x:c>
    </x:row>
    <x:row r="163">
      <x:c r="A163" s="24" t="str">
        <x:v>EXE-0159</x:v>
      </x:c>
      <x:c r="B163" s="34"/>
      <x:c r="C163" s="24" t="str"/>
      <x:c r="D163" s="24" t="str">
        <x:v>Todos</x:v>
      </x:c>
      <x:c r="E163" s="24" t="str">
        <x:v>TC-QA-POL-006</x:v>
      </x:c>
      <x:c r="F163" s="24" t="str">
        <x:v>QA-POL-006</x:v>
      </x:c>
      <x:c r="G163" s="24" t="str">
        <x:v>Revisión</x:v>
      </x:c>
      <x:c r="H163" s="24" t="str">
        <x:v>Unity 6000.3.18f1 / Windows x64</x:v>
      </x:c>
      <x:c r="I163" s="24" t="str">
        <x:v>Not Run</x:v>
      </x:c>
      <x:c r="J163" s="24" t="str"/>
      <x:c r="K163" s="24" t="str"/>
      <x:c r="L163" s="24" t="str">
        <x:v>VRM Games</x:v>
      </x:c>
      <x:c r="M163" s="24"/>
      <x:c r="N163" s="24" t="str">
        <x:v>Fila inicial; actualizar al ejecutar.</x:v>
      </x:c>
    </x:row>
    <x:row r="164">
      <x:c r="A164" s="24" t="str">
        <x:v>EXE-0160</x:v>
      </x:c>
      <x:c r="B164" s="34"/>
      <x:c r="C164" s="24" t="str"/>
      <x:c r="D164" s="24" t="str">
        <x:v>Todos</x:v>
      </x:c>
      <x:c r="E164" s="24" t="str">
        <x:v>TC-QA-POL-007</x:v>
      </x:c>
      <x:c r="F164" s="24" t="str">
        <x:v>QA-POL-007</x:v>
      </x:c>
      <x:c r="G164" s="24" t="str">
        <x:v>Revisión</x:v>
      </x:c>
      <x:c r="H164" s="24" t="str">
        <x:v>Unity 6000.3.18f1 / Windows x64</x:v>
      </x:c>
      <x:c r="I164" s="24" t="str">
        <x:v>Not Run</x:v>
      </x:c>
      <x:c r="J164" s="24" t="str"/>
      <x:c r="K164" s="24" t="str"/>
      <x:c r="L164" s="24" t="str">
        <x:v>VRM Games</x:v>
      </x:c>
      <x:c r="M164" s="24"/>
      <x:c r="N164" s="24" t="str">
        <x:v>Fila inicial; actualizar al ejecutar.</x:v>
      </x:c>
    </x:row>
    <x:row r="165">
      <x:c r="A165" s="24" t="str">
        <x:v>EXE-0161</x:v>
      </x:c>
      <x:c r="B165" s="34"/>
      <x:c r="C165" s="24" t="str"/>
      <x:c r="D165" s="24" t="str">
        <x:v>Todos</x:v>
      </x:c>
      <x:c r="E165" s="24" t="str">
        <x:v>TC-QA-POL-008</x:v>
      </x:c>
      <x:c r="F165" s="24" t="str">
        <x:v>QA-POL-008</x:v>
      </x:c>
      <x:c r="G165" s="24" t="str">
        <x:v>Revisión</x:v>
      </x:c>
      <x:c r="H165" s="24" t="str">
        <x:v>Unity 6000.3.18f1 / Windows x64</x:v>
      </x:c>
      <x:c r="I165" s="24" t="str">
        <x:v>Not Run</x:v>
      </x:c>
      <x:c r="J165" s="24" t="str"/>
      <x:c r="K165" s="24" t="str"/>
      <x:c r="L165" s="24" t="str">
        <x:v>VRM Games</x:v>
      </x:c>
      <x:c r="M165" s="24"/>
      <x:c r="N165" s="24" t="str">
        <x:v>Fila inicial; actualizar al ejecutar.</x:v>
      </x:c>
    </x:row>
    <x:row r="166">
      <x:c r="A166" s="24" t="str">
        <x:v>EXE-0162</x:v>
      </x:c>
      <x:c r="B166" s="34"/>
      <x:c r="C166" s="24" t="str"/>
      <x:c r="D166" s="24" t="str">
        <x:v>Sprint 17/H6</x:v>
      </x:c>
      <x:c r="E166" s="24" t="str">
        <x:v>TC-QA-POL-009</x:v>
      </x:c>
      <x:c r="F166" s="24" t="str">
        <x:v>QA-POL-009</x:v>
      </x:c>
      <x:c r="G166" s="24" t="str">
        <x:v>Revisión</x:v>
      </x:c>
      <x:c r="H166" s="24" t="str">
        <x:v>Unity 6000.3.18f1 / Windows x64</x:v>
      </x:c>
      <x:c r="I166" s="24" t="str">
        <x:v>Not Run</x:v>
      </x:c>
      <x:c r="J166" s="24" t="str"/>
      <x:c r="K166" s="24" t="str"/>
      <x:c r="L166" s="24" t="str">
        <x:v>VRM Games</x:v>
      </x:c>
      <x:c r="M166" s="24"/>
      <x:c r="N166" s="24" t="str">
        <x:v>Fila inicial; actualizar al ejecutar.</x:v>
      </x:c>
    </x:row>
    <x:row r="167">
      <x:c r="A167" s="24" t="str">
        <x:v>EXE-0163</x:v>
      </x:c>
      <x:c r="B167" s="34"/>
      <x:c r="C167" s="24" t="str"/>
      <x:c r="D167" s="24" t="str">
        <x:v>Sprint 17</x:v>
      </x:c>
      <x:c r="E167" s="24" t="str">
        <x:v>TC-QA-POL-010</x:v>
      </x:c>
      <x:c r="F167" s="24" t="str">
        <x:v>QA-POL-010</x:v>
      </x:c>
      <x:c r="G167" s="24" t="str">
        <x:v>Revisión</x:v>
      </x:c>
      <x:c r="H167" s="24" t="str">
        <x:v>Unity 6000.3.18f1 / Windows x64</x:v>
      </x:c>
      <x:c r="I167" s="24" t="str">
        <x:v>Not Run</x:v>
      </x:c>
      <x:c r="J167" s="24" t="str"/>
      <x:c r="K167" s="24" t="str"/>
      <x:c r="L167" s="24" t="str">
        <x:v>VRM Games</x:v>
      </x:c>
      <x:c r="M167" s="24"/>
      <x:c r="N167" s="24" t="str">
        <x:v>Fila inicial; actualizar al ejecutar.</x:v>
      </x:c>
    </x:row>
    <x:row r="168">
      <x:c r="A168" s="24" t="str">
        <x:v>EXE-0164</x:v>
      </x:c>
      <x:c r="B168" s="34"/>
      <x:c r="C168" s="24" t="str"/>
      <x:c r="D168" s="24" t="str">
        <x:v>H6</x:v>
      </x:c>
      <x:c r="E168" s="24" t="str">
        <x:v>TC-DATA-INV-001</x:v>
      </x:c>
      <x:c r="F168" s="24" t="str">
        <x:v>DATA-INV-001</x:v>
      </x:c>
      <x:c r="G168" s="24" t="str">
        <x:v>Revisión</x:v>
      </x:c>
      <x:c r="H168" s="24" t="str">
        <x:v>Unity 6000.3.18f1 / Windows x64</x:v>
      </x:c>
      <x:c r="I168" s="24" t="str">
        <x:v>Not Run</x:v>
      </x:c>
      <x:c r="J168" s="24" t="str"/>
      <x:c r="K168" s="24" t="str"/>
      <x:c r="L168" s="24" t="str">
        <x:v>VRM Games</x:v>
      </x:c>
      <x:c r="M168" s="24"/>
      <x:c r="N168" s="24" t="str">
        <x:v>Fila inicial; actualizar al ejecutar.</x:v>
      </x:c>
    </x:row>
    <x:row r="169">
      <x:c r="A169" s="24" t="str">
        <x:v>EXE-0165</x:v>
      </x:c>
      <x:c r="B169" s="34"/>
      <x:c r="C169" s="24" t="str"/>
      <x:c r="D169" s="24" t="str">
        <x:v>H6</x:v>
      </x:c>
      <x:c r="E169" s="24" t="str">
        <x:v>TC-DATA-INV-002</x:v>
      </x:c>
      <x:c r="F169" s="24" t="str">
        <x:v>DATA-INV-002</x:v>
      </x:c>
      <x:c r="G169" s="24" t="str">
        <x:v>Revisión</x:v>
      </x:c>
      <x:c r="H169" s="24" t="str">
        <x:v>Unity 6000.3.18f1 / Windows x64</x:v>
      </x:c>
      <x:c r="I169" s="24" t="str">
        <x:v>Not Run</x:v>
      </x:c>
      <x:c r="J169" s="24" t="str"/>
      <x:c r="K169" s="24" t="str"/>
      <x:c r="L169" s="24" t="str">
        <x:v>VRM Games</x:v>
      </x:c>
      <x:c r="M169" s="24"/>
      <x:c r="N169" s="24" t="str">
        <x:v>Fila inicial; actualizar al ejecutar.</x:v>
      </x:c>
    </x:row>
    <x:row r="170">
      <x:c r="A170" s="24" t="str">
        <x:v>EXE-0166</x:v>
      </x:c>
      <x:c r="B170" s="34"/>
      <x:c r="C170" s="24" t="str"/>
      <x:c r="D170" s="24" t="str">
        <x:v>H6</x:v>
      </x:c>
      <x:c r="E170" s="24" t="str">
        <x:v>TC-DATA-SAV-001</x:v>
      </x:c>
      <x:c r="F170" s="24" t="str">
        <x:v>DATA-SAV-001</x:v>
      </x:c>
      <x:c r="G170" s="24" t="str">
        <x:v>Revisión</x:v>
      </x:c>
      <x:c r="H170" s="24" t="str">
        <x:v>Unity 6000.3.18f1 / Windows x64</x:v>
      </x:c>
      <x:c r="I170" s="24" t="str">
        <x:v>Not Run</x:v>
      </x:c>
      <x:c r="J170" s="24" t="str"/>
      <x:c r="K170" s="24" t="str"/>
      <x:c r="L170" s="24" t="str">
        <x:v>VRM Games</x:v>
      </x:c>
      <x:c r="M170" s="24"/>
      <x:c r="N170" s="24" t="str">
        <x:v>Fila inicial; actualizar al ejecutar.</x:v>
      </x:c>
    </x:row>
    <x:row r="171">
      <x:c r="A171" s="24" t="str">
        <x:v>EXE-0167</x:v>
      </x:c>
      <x:c r="B171" s="34"/>
      <x:c r="C171" s="24" t="str"/>
      <x:c r="D171" s="24" t="str">
        <x:v>H6</x:v>
      </x:c>
      <x:c r="E171" s="24" t="str">
        <x:v>TC-DATA-SAV-002</x:v>
      </x:c>
      <x:c r="F171" s="24" t="str">
        <x:v>DATA-SAV-002</x:v>
      </x:c>
      <x:c r="G171" s="24" t="str">
        <x:v>Revisión</x:v>
      </x:c>
      <x:c r="H171" s="24" t="str">
        <x:v>Unity 6000.3.18f1 / Windows x64</x:v>
      </x:c>
      <x:c r="I171" s="24" t="str">
        <x:v>Not Run</x:v>
      </x:c>
      <x:c r="J171" s="24" t="str"/>
      <x:c r="K171" s="24" t="str"/>
      <x:c r="L171" s="24" t="str">
        <x:v>VRM Games</x:v>
      </x:c>
      <x:c r="M171" s="24"/>
      <x:c r="N171" s="24" t="str">
        <x:v>Fila inicial; actualizar al ejecutar.</x:v>
      </x:c>
    </x:row>
    <x:row r="172">
      <x:c r="A172" s="24" t="str">
        <x:v>EXE-0168</x:v>
      </x:c>
      <x:c r="B172" s="34"/>
      <x:c r="C172" s="24" t="str"/>
      <x:c r="D172" s="24" t="str">
        <x:v>H6</x:v>
      </x:c>
      <x:c r="E172" s="24" t="str">
        <x:v>TC-TDD-ARC-001</x:v>
      </x:c>
      <x:c r="F172" s="24" t="str">
        <x:v>TDD-ARC-001</x:v>
      </x:c>
      <x:c r="G172" s="24" t="str">
        <x:v>Revisión</x:v>
      </x:c>
      <x:c r="H172" s="24" t="str">
        <x:v>Unity 6000.3.18f1 / Windows x64</x:v>
      </x:c>
      <x:c r="I172" s="24" t="str">
        <x:v>Not Run</x:v>
      </x:c>
      <x:c r="J172" s="24" t="str"/>
      <x:c r="K172" s="24" t="str"/>
      <x:c r="L172" s="24" t="str">
        <x:v>VRM Games</x:v>
      </x:c>
      <x:c r="M172" s="24"/>
      <x:c r="N172" s="24" t="str">
        <x:v>Fila inicial; actualizar al ejecutar.</x:v>
      </x:c>
    </x:row>
    <x:row r="173">
      <x:c r="A173" s="24" t="str">
        <x:v>EXE-0169</x:v>
      </x:c>
      <x:c r="B173" s="34"/>
      <x:c r="C173" s="24" t="str"/>
      <x:c r="D173" s="24" t="str">
        <x:v>Sprint 16</x:v>
      </x:c>
      <x:c r="E173" s="24" t="str">
        <x:v>TC-TDD-ARC-002</x:v>
      </x:c>
      <x:c r="F173" s="24" t="str">
        <x:v>TDD-ARC-002</x:v>
      </x:c>
      <x:c r="G173" s="24" t="str">
        <x:v>Revisión</x:v>
      </x:c>
      <x:c r="H173" s="24" t="str">
        <x:v>Unity 6000.3.18f1 / Windows x64</x:v>
      </x:c>
      <x:c r="I173" s="24" t="str">
        <x:v>Not Run</x:v>
      </x:c>
      <x:c r="J173" s="24" t="str"/>
      <x:c r="K173" s="24" t="str"/>
      <x:c r="L173" s="24" t="str">
        <x:v>VRM Games</x:v>
      </x:c>
      <x:c r="M173" s="24"/>
      <x:c r="N173" s="24" t="str">
        <x:v>Fila inicial; actualizar al ejecutar.</x:v>
      </x:c>
    </x:row>
    <x:row r="174">
      <x:c r="A174" s="24" t="str">
        <x:v>EXE-0170</x:v>
      </x:c>
      <x:c r="B174" s="34"/>
      <x:c r="C174" s="24" t="str"/>
      <x:c r="D174" s="24" t="str">
        <x:v>Sprint 16</x:v>
      </x:c>
      <x:c r="E174" s="24" t="str">
        <x:v>TC-TDD-INP-001</x:v>
      </x:c>
      <x:c r="F174" s="24" t="str">
        <x:v>TDD-INP-001</x:v>
      </x:c>
      <x:c r="G174" s="24" t="str">
        <x:v>Revisión</x:v>
      </x:c>
      <x:c r="H174" s="24" t="str">
        <x:v>Unity 6000.3.18f1 / Windows x64</x:v>
      </x:c>
      <x:c r="I174" s="24" t="str">
        <x:v>Not Run</x:v>
      </x:c>
      <x:c r="J174" s="24" t="str"/>
      <x:c r="K174" s="24" t="str"/>
      <x:c r="L174" s="24" t="str">
        <x:v>VRM Games</x:v>
      </x:c>
      <x:c r="M174" s="24"/>
      <x:c r="N174" s="24" t="str">
        <x:v>Fila inicial; actualizar al ejecutar.</x:v>
      </x:c>
    </x:row>
    <x:row r="175">
      <x:c r="A175" s="24" t="str">
        <x:v>EXE-0171</x:v>
      </x:c>
      <x:c r="B175" s="34"/>
      <x:c r="C175" s="24" t="str"/>
      <x:c r="D175" s="24" t="str">
        <x:v>Sprint 16</x:v>
      </x:c>
      <x:c r="E175" s="24" t="str">
        <x:v>TC-RD-S16-001</x:v>
      </x:c>
      <x:c r="F175" s="24" t="str">
        <x:v>RD-S16-001</x:v>
      </x:c>
      <x:c r="G175" s="24" t="str">
        <x:v>Revisión</x:v>
      </x:c>
      <x:c r="H175" s="24" t="str">
        <x:v>Unity 6000.3.18f1 / Windows x64</x:v>
      </x:c>
      <x:c r="I175" s="24" t="str">
        <x:v>Not Run</x:v>
      </x:c>
      <x:c r="J175" s="24" t="str"/>
      <x:c r="K175" s="24" t="str"/>
      <x:c r="L175" s="24" t="str">
        <x:v>VRM Games</x:v>
      </x:c>
      <x:c r="M175" s="24"/>
      <x:c r="N175" s="24" t="str">
        <x:v>Fila inicial; actualizar al ejecutar.</x:v>
      </x:c>
    </x:row>
    <x:row r="176">
      <x:c r="A176" s="24" t="str">
        <x:v>EXE-0172</x:v>
      </x:c>
      <x:c r="B176" s="34"/>
      <x:c r="C176" s="24" t="str"/>
      <x:c r="D176" s="24" t="str">
        <x:v>Sprint 17</x:v>
      </x:c>
      <x:c r="E176" s="24" t="str">
        <x:v>TC-RD-S17-001</x:v>
      </x:c>
      <x:c r="F176" s="24" t="str">
        <x:v>RD-S17-001</x:v>
      </x:c>
      <x:c r="G176" s="24" t="str">
        <x:v>Revisión</x:v>
      </x:c>
      <x:c r="H176" s="24" t="str">
        <x:v>Unity 6000.3.18f1 / Windows x64</x:v>
      </x:c>
      <x:c r="I176" s="24" t="str">
        <x:v>Not Run</x:v>
      </x:c>
      <x:c r="J176" s="24" t="str"/>
      <x:c r="K176" s="24" t="str"/>
      <x:c r="L176" s="24" t="str">
        <x:v>VRM Games</x:v>
      </x:c>
      <x:c r="M176" s="24"/>
      <x:c r="N176" s="24" t="str">
        <x:v>Fila inicial; actualizar al ejecutar.</x:v>
      </x:c>
    </x:row>
    <x:row r="177">
      <x:c r="A177" s="24" t="str">
        <x:v>EXE-0173</x:v>
      </x:c>
      <x:c r="B177" s="34"/>
      <x:c r="C177" s="24" t="str"/>
      <x:c r="D177" s="24" t="str">
        <x:v>H6</x:v>
      </x:c>
      <x:c r="E177" s="24" t="str">
        <x:v>TC-RD-H6-001</x:v>
      </x:c>
      <x:c r="F177" s="24" t="str">
        <x:v>RD-H6-001</x:v>
      </x:c>
      <x:c r="G177" s="24" t="str">
        <x:v>Revisión</x:v>
      </x:c>
      <x:c r="H177" s="24" t="str">
        <x:v>Unity 6000.3.18f1 / Windows x64</x:v>
      </x:c>
      <x:c r="I177" s="24" t="str">
        <x:v>Not Run</x:v>
      </x:c>
      <x:c r="J177" s="24" t="str"/>
      <x:c r="K177" s="24" t="str"/>
      <x:c r="L177" s="24" t="str">
        <x:v>VRM Games</x:v>
      </x:c>
      <x:c r="M177" s="24"/>
      <x:c r="N177" s="24" t="str">
        <x:v>Fila inicial; actualizar al ejecutar.</x:v>
      </x:c>
    </x:row>
    <x:row r="178">
      <x:c r="A178" s="24" t="str">
        <x:v>EXE-0174</x:v>
      </x:c>
      <x:c r="B178" s="34"/>
      <x:c r="C178" s="24" t="str"/>
      <x:c r="D178" s="24" t="str">
        <x:v>Sprint 17 / H6</x:v>
      </x:c>
      <x:c r="E178" s="24" t="str">
        <x:v>TC-VS-TST-001</x:v>
      </x:c>
      <x:c r="F178" s="24" t="str">
        <x:v>VS-TST-001</x:v>
      </x:c>
      <x:c r="G178" s="24" t="str">
        <x:v>Manual + Integración + Build</x:v>
      </x:c>
      <x:c r="H178" s="24" t="str">
        <x:v>Unity 6000.3.18f1 / Windows x64</x:v>
      </x:c>
      <x:c r="I178" s="24" t="str">
        <x:v>Not Run</x:v>
      </x:c>
      <x:c r="J178" s="24" t="str"/>
      <x:c r="K178" s="24" t="str"/>
      <x:c r="L178" s="24" t="str">
        <x:v>VRM Games</x:v>
      </x:c>
      <x:c r="M178" s="24"/>
      <x:c r="N178" s="24" t="str">
        <x:v>Fila inicial; actualizar al ejecutar.</x:v>
      </x:c>
    </x:row>
    <x:row r="179">
      <x:c r="A179" s="24" t="str">
        <x:v>EXE-0175</x:v>
      </x:c>
      <x:c r="B179" s="34"/>
      <x:c r="C179" s="24" t="str"/>
      <x:c r="D179" s="24" t="str">
        <x:v>Sprint 17 / H6</x:v>
      </x:c>
      <x:c r="E179" s="24" t="str">
        <x:v>TC-VS-TST-002</x:v>
      </x:c>
      <x:c r="F179" s="24" t="str">
        <x:v>VS-TST-002</x:v>
      </x:c>
      <x:c r="G179" s="24" t="str">
        <x:v>Manual + Integración + Build</x:v>
      </x:c>
      <x:c r="H179" s="24" t="str">
        <x:v>Unity 6000.3.18f1 / Windows x64</x:v>
      </x:c>
      <x:c r="I179" s="24" t="str">
        <x:v>Not Run</x:v>
      </x:c>
      <x:c r="J179" s="24" t="str"/>
      <x:c r="K179" s="24" t="str"/>
      <x:c r="L179" s="24" t="str">
        <x:v>VRM Games</x:v>
      </x:c>
      <x:c r="M179" s="24"/>
      <x:c r="N179" s="24" t="str">
        <x:v>Fila inicial; actualizar al ejecutar.</x:v>
      </x:c>
    </x:row>
    <x:row r="180">
      <x:c r="A180" s="24" t="str">
        <x:v>EXE-0176</x:v>
      </x:c>
      <x:c r="B180" s="34"/>
      <x:c r="C180" s="24" t="str"/>
      <x:c r="D180" s="24" t="str">
        <x:v>Sprint 17 / H6</x:v>
      </x:c>
      <x:c r="E180" s="24" t="str">
        <x:v>TC-VS-TST-003</x:v>
      </x:c>
      <x:c r="F180" s="24" t="str">
        <x:v>VS-TST-003</x:v>
      </x:c>
      <x:c r="G180" s="24" t="str">
        <x:v>Manual + Integración + Build</x:v>
      </x:c>
      <x:c r="H180" s="24" t="str">
        <x:v>Unity 6000.3.18f1 / Windows x64</x:v>
      </x:c>
      <x:c r="I180" s="24" t="str">
        <x:v>Not Run</x:v>
      </x:c>
      <x:c r="J180" s="24" t="str"/>
      <x:c r="K180" s="24" t="str"/>
      <x:c r="L180" s="24" t="str">
        <x:v>VRM Games</x:v>
      </x:c>
      <x:c r="M180" s="24"/>
      <x:c r="N180" s="24" t="str">
        <x:v>Fila inicial; actualizar al ejecutar.</x:v>
      </x:c>
    </x:row>
    <x:row r="181">
      <x:c r="A181" s="24" t="str">
        <x:v>EXE-0177</x:v>
      </x:c>
      <x:c r="B181" s="34"/>
      <x:c r="C181" s="24" t="str"/>
      <x:c r="D181" s="24" t="str">
        <x:v>Sprint 17 / H6</x:v>
      </x:c>
      <x:c r="E181" s="24" t="str">
        <x:v>TC-VS-TST-004</x:v>
      </x:c>
      <x:c r="F181" s="24" t="str">
        <x:v>VS-TST-004</x:v>
      </x:c>
      <x:c r="G181" s="24" t="str">
        <x:v>Manual + Integración + Build</x:v>
      </x:c>
      <x:c r="H181" s="24" t="str">
        <x:v>Unity 6000.3.18f1 / Windows x64</x:v>
      </x:c>
      <x:c r="I181" s="24" t="str">
        <x:v>Not Run</x:v>
      </x:c>
      <x:c r="J181" s="24" t="str"/>
      <x:c r="K181" s="24" t="str"/>
      <x:c r="L181" s="24" t="str">
        <x:v>VRM Games</x:v>
      </x:c>
      <x:c r="M181" s="24"/>
      <x:c r="N181" s="24" t="str">
        <x:v>Fila inicial; actualizar al ejecutar.</x:v>
      </x:c>
    </x:row>
    <x:row r="182">
      <x:c r="A182" s="24" t="str">
        <x:v>EXE-0178</x:v>
      </x:c>
      <x:c r="B182" s="34"/>
      <x:c r="C182" s="24" t="str"/>
      <x:c r="D182" s="24" t="str">
        <x:v>Sprint 17 / H6</x:v>
      </x:c>
      <x:c r="E182" s="24" t="str">
        <x:v>TC-VS-TST-005</x:v>
      </x:c>
      <x:c r="F182" s="24" t="str">
        <x:v>VS-TST-005</x:v>
      </x:c>
      <x:c r="G182" s="24" t="str">
        <x:v>Manual + Integración + Build</x:v>
      </x:c>
      <x:c r="H182" s="24" t="str">
        <x:v>Unity 6000.3.18f1 / Windows x64</x:v>
      </x:c>
      <x:c r="I182" s="24" t="str">
        <x:v>Not Run</x:v>
      </x:c>
      <x:c r="J182" s="24" t="str"/>
      <x:c r="K182" s="24" t="str"/>
      <x:c r="L182" s="24" t="str">
        <x:v>VRM Games</x:v>
      </x:c>
      <x:c r="M182" s="24"/>
      <x:c r="N182" s="24" t="str">
        <x:v>Fila inicial; actualizar al ejecutar.</x:v>
      </x:c>
    </x:row>
    <x:row r="183">
      <x:c r="A183" s="24" t="str">
        <x:v>EXE-0179</x:v>
      </x:c>
      <x:c r="B183" s="34"/>
      <x:c r="C183" s="24" t="str"/>
      <x:c r="D183" s="24" t="str">
        <x:v>Sprint 17 / H6</x:v>
      </x:c>
      <x:c r="E183" s="24" t="str">
        <x:v>TC-VS-TST-006</x:v>
      </x:c>
      <x:c r="F183" s="24" t="str">
        <x:v>VS-TST-006</x:v>
      </x:c>
      <x:c r="G183" s="24" t="str">
        <x:v>Manual + Integración + Build</x:v>
      </x:c>
      <x:c r="H183" s="24" t="str">
        <x:v>Unity 6000.3.18f1 / Windows x64</x:v>
      </x:c>
      <x:c r="I183" s="24" t="str">
        <x:v>Not Run</x:v>
      </x:c>
      <x:c r="J183" s="24" t="str"/>
      <x:c r="K183" s="24" t="str"/>
      <x:c r="L183" s="24" t="str">
        <x:v>VRM Games</x:v>
      </x:c>
      <x:c r="M183" s="24"/>
      <x:c r="N183" s="24" t="str">
        <x:v>Fila inicial; actualizar al ejecutar.</x:v>
      </x:c>
    </x:row>
    <x:row r="184">
      <x:c r="A184" s="24" t="str">
        <x:v>EXE-0180</x:v>
      </x:c>
      <x:c r="B184" s="34"/>
      <x:c r="C184" s="24" t="str"/>
      <x:c r="D184" s="24" t="str">
        <x:v>Sprint 17 / H6</x:v>
      </x:c>
      <x:c r="E184" s="24" t="str">
        <x:v>TC-VS-TST-007</x:v>
      </x:c>
      <x:c r="F184" s="24" t="str">
        <x:v>VS-TST-007</x:v>
      </x:c>
      <x:c r="G184" s="24" t="str">
        <x:v>Manual + Integración + Build</x:v>
      </x:c>
      <x:c r="H184" s="24" t="str">
        <x:v>Unity 6000.3.18f1 / Windows x64</x:v>
      </x:c>
      <x:c r="I184" s="24" t="str">
        <x:v>Not Run</x:v>
      </x:c>
      <x:c r="J184" s="24" t="str"/>
      <x:c r="K184" s="24" t="str"/>
      <x:c r="L184" s="24" t="str">
        <x:v>VRM Games</x:v>
      </x:c>
      <x:c r="M184" s="24"/>
      <x:c r="N184" s="24" t="str">
        <x:v>Fila inicial; actualizar al ejecutar.</x:v>
      </x:c>
    </x:row>
    <x:row r="185">
      <x:c r="A185" s="24" t="str">
        <x:v>EXE-0181</x:v>
      </x:c>
      <x:c r="B185" s="34"/>
      <x:c r="C185" s="24" t="str"/>
      <x:c r="D185" s="24" t="str">
        <x:v>Sprint 17 / H6</x:v>
      </x:c>
      <x:c r="E185" s="24" t="str">
        <x:v>TC-VS-TST-008</x:v>
      </x:c>
      <x:c r="F185" s="24" t="str">
        <x:v>VS-TST-008</x:v>
      </x:c>
      <x:c r="G185" s="24" t="str">
        <x:v>Manual + Integración + Build</x:v>
      </x:c>
      <x:c r="H185" s="24" t="str">
        <x:v>Unity 6000.3.18f1 / Windows x64</x:v>
      </x:c>
      <x:c r="I185" s="24" t="str">
        <x:v>Not Run</x:v>
      </x:c>
      <x:c r="J185" s="24" t="str"/>
      <x:c r="K185" s="24" t="str"/>
      <x:c r="L185" s="24" t="str">
        <x:v>VRM Games</x:v>
      </x:c>
      <x:c r="M185" s="24"/>
      <x:c r="N185" s="24" t="str">
        <x:v>Fila inicial; actualizar al ejecutar.</x:v>
      </x:c>
    </x:row>
    <x:row r="186">
      <x:c r="A186" s="24" t="str">
        <x:v>EXE-0182</x:v>
      </x:c>
      <x:c r="B186" s="34"/>
      <x:c r="C186" s="24" t="str"/>
      <x:c r="D186" s="24" t="str">
        <x:v>Sprint 17 / H6</x:v>
      </x:c>
      <x:c r="E186" s="24" t="str">
        <x:v>TC-VS-TST-009</x:v>
      </x:c>
      <x:c r="F186" s="24" t="str">
        <x:v>VS-TST-009</x:v>
      </x:c>
      <x:c r="G186" s="24" t="str">
        <x:v>Manual + Integración + Build</x:v>
      </x:c>
      <x:c r="H186" s="24" t="str">
        <x:v>Unity 6000.3.18f1 / Windows x64</x:v>
      </x:c>
      <x:c r="I186" s="24" t="str">
        <x:v>Not Run</x:v>
      </x:c>
      <x:c r="J186" s="24" t="str"/>
      <x:c r="K186" s="24" t="str"/>
      <x:c r="L186" s="24" t="str">
        <x:v>VRM Games</x:v>
      </x:c>
      <x:c r="M186" s="24"/>
      <x:c r="N186" s="24" t="str">
        <x:v>Fila inicial; actualizar al ejecutar.</x:v>
      </x:c>
    </x:row>
    <x:row r="187">
      <x:c r="A187" s="24" t="str">
        <x:v>EXE-0183</x:v>
      </x:c>
      <x:c r="B187" s="34"/>
      <x:c r="C187" s="24" t="str"/>
      <x:c r="D187" s="24" t="str">
        <x:v>Sprint 17 / H6</x:v>
      </x:c>
      <x:c r="E187" s="24" t="str">
        <x:v>TC-VS-TST-010</x:v>
      </x:c>
      <x:c r="F187" s="24" t="str">
        <x:v>VS-TST-010</x:v>
      </x:c>
      <x:c r="G187" s="24" t="str">
        <x:v>Manual + Integración + Build</x:v>
      </x:c>
      <x:c r="H187" s="24" t="str">
        <x:v>Unity 6000.3.18f1 / Windows x64</x:v>
      </x:c>
      <x:c r="I187" s="24" t="str">
        <x:v>Not Run</x:v>
      </x:c>
      <x:c r="J187" s="24" t="str"/>
      <x:c r="K187" s="24" t="str"/>
      <x:c r="L187" s="24" t="str">
        <x:v>VRM Games</x:v>
      </x:c>
      <x:c r="M187" s="24"/>
      <x:c r="N187" s="24" t="str">
        <x:v>Fila inicial; actualizar al ejecutar.</x:v>
      </x:c>
    </x:row>
    <x:row r="188">
      <x:c r="A188" s="24" t="str">
        <x:v>EXE-0184</x:v>
      </x:c>
      <x:c r="B188" s="34"/>
      <x:c r="C188" s="24" t="str"/>
      <x:c r="D188" s="24" t="str">
        <x:v>Sprint 17 / H6</x:v>
      </x:c>
      <x:c r="E188" s="24" t="str">
        <x:v>TC-VS-TST-011</x:v>
      </x:c>
      <x:c r="F188" s="24" t="str">
        <x:v>VS-TST-011</x:v>
      </x:c>
      <x:c r="G188" s="24" t="str">
        <x:v>Manual + Integración + Build</x:v>
      </x:c>
      <x:c r="H188" s="24" t="str">
        <x:v>Unity 6000.3.18f1 / Windows x64</x:v>
      </x:c>
      <x:c r="I188" s="24" t="str">
        <x:v>Not Run</x:v>
      </x:c>
      <x:c r="J188" s="24" t="str"/>
      <x:c r="K188" s="24" t="str"/>
      <x:c r="L188" s="24" t="str">
        <x:v>VRM Games</x:v>
      </x:c>
      <x:c r="M188" s="24"/>
      <x:c r="N188" s="24" t="str">
        <x:v>Fila inicial; actualizar al ejecutar.</x:v>
      </x:c>
    </x:row>
    <x:row r="189">
      <x:c r="A189" s="24" t="str">
        <x:v>EXE-0185</x:v>
      </x:c>
      <x:c r="B189" s="34"/>
      <x:c r="C189" s="24" t="str"/>
      <x:c r="D189" s="24" t="str">
        <x:v>Sprint 17 / H6</x:v>
      </x:c>
      <x:c r="E189" s="24" t="str">
        <x:v>TC-VS-TST-012</x:v>
      </x:c>
      <x:c r="F189" s="24" t="str">
        <x:v>VS-TST-012</x:v>
      </x:c>
      <x:c r="G189" s="24" t="str">
        <x:v>Manual + Integración + Build</x:v>
      </x:c>
      <x:c r="H189" s="24" t="str">
        <x:v>Unity 6000.3.18f1 / Windows x64</x:v>
      </x:c>
      <x:c r="I189" s="24" t="str">
        <x:v>Not Run</x:v>
      </x:c>
      <x:c r="J189" s="24" t="str"/>
      <x:c r="K189" s="24" t="str"/>
      <x:c r="L189" s="24" t="str">
        <x:v>VRM Games</x:v>
      </x:c>
      <x:c r="M189" s="24"/>
      <x:c r="N189" s="24" t="str">
        <x:v>Fila inicial; actualizar al ejecutar.</x:v>
      </x:c>
    </x:row>
    <x:row r="190">
      <x:c r="A190" s="24" t="str">
        <x:v>EXE-0186</x:v>
      </x:c>
      <x:c r="B190" s="34"/>
      <x:c r="C190" s="24" t="str"/>
      <x:c r="D190" s="24" t="str">
        <x:v>Sprint 17 / H6</x:v>
      </x:c>
      <x:c r="E190" s="24" t="str">
        <x:v>TC-VS-TST-013</x:v>
      </x:c>
      <x:c r="F190" s="24" t="str">
        <x:v>VS-TST-013</x:v>
      </x:c>
      <x:c r="G190" s="24" t="str">
        <x:v>Manual + Integración + Build</x:v>
      </x:c>
      <x:c r="H190" s="24" t="str">
        <x:v>Unity 6000.3.18f1 / Windows x64</x:v>
      </x:c>
      <x:c r="I190" s="24" t="str">
        <x:v>Not Run</x:v>
      </x:c>
      <x:c r="J190" s="24" t="str"/>
      <x:c r="K190" s="24" t="str"/>
      <x:c r="L190" s="24" t="str">
        <x:v>VRM Games</x:v>
      </x:c>
      <x:c r="M190" s="24"/>
      <x:c r="N190" s="24" t="str">
        <x:v>Fila inicial; actualizar al ejecutar.</x:v>
      </x:c>
    </x:row>
    <x:row r="191">
      <x:c r="A191" s="24" t="str">
        <x:v>EXE-0187</x:v>
      </x:c>
      <x:c r="B191" s="34"/>
      <x:c r="C191" s="24" t="str"/>
      <x:c r="D191" s="24" t="str">
        <x:v>Sprint 17 / H6</x:v>
      </x:c>
      <x:c r="E191" s="24" t="str">
        <x:v>TC-VS-TST-014</x:v>
      </x:c>
      <x:c r="F191" s="24" t="str">
        <x:v>VS-TST-014</x:v>
      </x:c>
      <x:c r="G191" s="24" t="str">
        <x:v>Manual + Integración + Build</x:v>
      </x:c>
      <x:c r="H191" s="24" t="str">
        <x:v>Unity 6000.3.18f1 / Windows x64</x:v>
      </x:c>
      <x:c r="I191" s="24" t="str">
        <x:v>Not Run</x:v>
      </x:c>
      <x:c r="J191" s="24" t="str"/>
      <x:c r="K191" s="24" t="str"/>
      <x:c r="L191" s="24" t="str">
        <x:v>VRM Games</x:v>
      </x:c>
      <x:c r="M191" s="24"/>
      <x:c r="N191" s="24" t="str">
        <x:v>Fila inicial; actualizar al ejecutar.</x:v>
      </x:c>
    </x:row>
    <x:row r="192">
      <x:c r="A192" s="24" t="str">
        <x:v>EXE-0188</x:v>
      </x:c>
      <x:c r="B192" s="34"/>
      <x:c r="C192" s="24" t="str"/>
      <x:c r="D192" s="24" t="str">
        <x:v>Sprint 17 / H6</x:v>
      </x:c>
      <x:c r="E192" s="24" t="str">
        <x:v>TC-VS-TST-015</x:v>
      </x:c>
      <x:c r="F192" s="24" t="str">
        <x:v>VS-TST-015</x:v>
      </x:c>
      <x:c r="G192" s="24" t="str">
        <x:v>Manual + Integración + Build</x:v>
      </x:c>
      <x:c r="H192" s="24" t="str">
        <x:v>Unity 6000.3.18f1 / Windows x64</x:v>
      </x:c>
      <x:c r="I192" s="24" t="str">
        <x:v>Not Run</x:v>
      </x:c>
      <x:c r="J192" s="24" t="str"/>
      <x:c r="K192" s="24" t="str"/>
      <x:c r="L192" s="24" t="str">
        <x:v>VRM Games</x:v>
      </x:c>
      <x:c r="M192" s="24"/>
      <x:c r="N192" s="24" t="str">
        <x:v>Fila inicial; actualizar al ejecutar.</x:v>
      </x:c>
    </x:row>
    <x:row r="193">
      <x:c r="A193" s="24" t="str">
        <x:v>EXE-0189</x:v>
      </x:c>
      <x:c r="B193" s="34"/>
      <x:c r="C193" s="24" t="str"/>
      <x:c r="D193" s="24" t="str">
        <x:v>Sprint 17 / H6</x:v>
      </x:c>
      <x:c r="E193" s="24" t="str">
        <x:v>TC-VS-TST-016</x:v>
      </x:c>
      <x:c r="F193" s="24" t="str">
        <x:v>VS-TST-016</x:v>
      </x:c>
      <x:c r="G193" s="24" t="str">
        <x:v>Manual + Integración + Build</x:v>
      </x:c>
      <x:c r="H193" s="24" t="str">
        <x:v>Unity 6000.3.18f1 / Windows x64</x:v>
      </x:c>
      <x:c r="I193" s="24" t="str">
        <x:v>Not Run</x:v>
      </x:c>
      <x:c r="J193" s="24" t="str"/>
      <x:c r="K193" s="24" t="str"/>
      <x:c r="L193" s="24" t="str">
        <x:v>VRM Games</x:v>
      </x:c>
      <x:c r="M193" s="24"/>
      <x:c r="N193" s="24" t="str">
        <x:v>Fila inicial; actualizar al ejecutar.</x:v>
      </x:c>
    </x:row>
    <x:row r="194">
      <x:c r="A194" s="24" t="str">
        <x:v>EXE-0190</x:v>
      </x:c>
      <x:c r="B194" s="34"/>
      <x:c r="C194" s="24" t="str"/>
      <x:c r="D194" s="24" t="str">
        <x:v>Sprint 17 / H6</x:v>
      </x:c>
      <x:c r="E194" s="24" t="str">
        <x:v>TC-VS-TST-017</x:v>
      </x:c>
      <x:c r="F194" s="24" t="str">
        <x:v>VS-TST-017</x:v>
      </x:c>
      <x:c r="G194" s="24" t="str">
        <x:v>Manual + Integración + Build</x:v>
      </x:c>
      <x:c r="H194" s="24" t="str">
        <x:v>Unity 6000.3.18f1 / Windows x64</x:v>
      </x:c>
      <x:c r="I194" s="24" t="str">
        <x:v>Not Run</x:v>
      </x:c>
      <x:c r="J194" s="24" t="str"/>
      <x:c r="K194" s="24" t="str"/>
      <x:c r="L194" s="24" t="str">
        <x:v>VRM Games</x:v>
      </x:c>
      <x:c r="M194" s="24"/>
      <x:c r="N194" s="24" t="str">
        <x:v>Fila inicial; actualizar al ejecutar.</x:v>
      </x:c>
    </x:row>
    <x:row r="195">
      <x:c r="A195" s="24" t="str">
        <x:v>EXE-0191</x:v>
      </x:c>
      <x:c r="B195" s="34"/>
      <x:c r="C195" s="24" t="str"/>
      <x:c r="D195" s="24" t="str">
        <x:v>Sprint 17 / H6</x:v>
      </x:c>
      <x:c r="E195" s="24" t="str">
        <x:v>TC-VS-TST-018</x:v>
      </x:c>
      <x:c r="F195" s="24" t="str">
        <x:v>VS-TST-018</x:v>
      </x:c>
      <x:c r="G195" s="24" t="str">
        <x:v>Manual + Integración + Build</x:v>
      </x:c>
      <x:c r="H195" s="24" t="str">
        <x:v>Unity 6000.3.18f1 / Windows x64</x:v>
      </x:c>
      <x:c r="I195" s="24" t="str">
        <x:v>Not Run</x:v>
      </x:c>
      <x:c r="J195" s="24" t="str"/>
      <x:c r="K195" s="24" t="str"/>
      <x:c r="L195" s="24" t="str">
        <x:v>VRM Games</x:v>
      </x:c>
      <x:c r="M195" s="24"/>
      <x:c r="N195" s="24" t="str">
        <x:v>Fila inicial; actualizar al ejecutar.</x:v>
      </x:c>
    </x:row>
    <x:row r="196">
      <x:c r="A196" s="24" t="str">
        <x:v>EXE-0192</x:v>
      </x:c>
      <x:c r="B196" s="34"/>
      <x:c r="C196" s="24" t="str"/>
      <x:c r="D196" s="24" t="str">
        <x:v>Sprint 17 / H6</x:v>
      </x:c>
      <x:c r="E196" s="24" t="str">
        <x:v>TC-VS-TST-019</x:v>
      </x:c>
      <x:c r="F196" s="24" t="str">
        <x:v>VS-TST-019</x:v>
      </x:c>
      <x:c r="G196" s="24" t="str">
        <x:v>Manual + Integración + Build</x:v>
      </x:c>
      <x:c r="H196" s="24" t="str">
        <x:v>Unity 6000.3.18f1 / Windows x64</x:v>
      </x:c>
      <x:c r="I196" s="24" t="str">
        <x:v>Not Run</x:v>
      </x:c>
      <x:c r="J196" s="24" t="str"/>
      <x:c r="K196" s="24" t="str"/>
      <x:c r="L196" s="24" t="str">
        <x:v>VRM Games</x:v>
      </x:c>
      <x:c r="M196" s="24"/>
      <x:c r="N196" s="24" t="str">
        <x:v>Fila inicial; actualizar al ejecutar.</x:v>
      </x:c>
    </x:row>
    <x:row r="197">
      <x:c r="A197" s="24" t="str">
        <x:v>EXE-0193</x:v>
      </x:c>
      <x:c r="B197" s="34"/>
      <x:c r="C197" s="24" t="str"/>
      <x:c r="D197" s="24" t="str">
        <x:v>Sprint 17 / H6</x:v>
      </x:c>
      <x:c r="E197" s="24" t="str">
        <x:v>TC-VS-TST-020</x:v>
      </x:c>
      <x:c r="F197" s="24" t="str">
        <x:v>VS-TST-020</x:v>
      </x:c>
      <x:c r="G197" s="24" t="str">
        <x:v>Manual + Integración + Build</x:v>
      </x:c>
      <x:c r="H197" s="24" t="str">
        <x:v>Unity 6000.3.18f1 / Windows x64</x:v>
      </x:c>
      <x:c r="I197" s="24" t="str">
        <x:v>Not Run</x:v>
      </x:c>
      <x:c r="J197" s="24" t="str"/>
      <x:c r="K197" s="24" t="str"/>
      <x:c r="L197" s="24" t="str">
        <x:v>VRM Games</x:v>
      </x:c>
      <x:c r="M197" s="24"/>
      <x:c r="N197" s="24" t="str">
        <x:v>Fila inicial; actualizar al ejecutar.</x:v>
      </x:c>
    </x:row>
    <x:row r="198">
      <x:c r="A198" s="24" t="str">
        <x:v>EXE-0194</x:v>
      </x:c>
      <x:c r="B198" s="34"/>
      <x:c r="C198" s="24" t="str"/>
      <x:c r="D198" s="24" t="str">
        <x:v>Sprint 17 / H6</x:v>
      </x:c>
      <x:c r="E198" s="24" t="str">
        <x:v>TC-VS-TST-021</x:v>
      </x:c>
      <x:c r="F198" s="24" t="str">
        <x:v>VS-TST-021</x:v>
      </x:c>
      <x:c r="G198" s="24" t="str">
        <x:v>Manual + Integración + Build</x:v>
      </x:c>
      <x:c r="H198" s="24" t="str">
        <x:v>Unity 6000.3.18f1 / Windows x64</x:v>
      </x:c>
      <x:c r="I198" s="24" t="str">
        <x:v>Not Run</x:v>
      </x:c>
      <x:c r="J198" s="24" t="str"/>
      <x:c r="K198" s="24" t="str"/>
      <x:c r="L198" s="24" t="str">
        <x:v>VRM Games</x:v>
      </x:c>
      <x:c r="M198" s="24"/>
      <x:c r="N198" s="24" t="str">
        <x:v>Fila inicial; actualizar al ejecutar.</x:v>
      </x:c>
    </x:row>
    <x:row r="199">
      <x:c r="A199" s="24" t="str">
        <x:v>EXE-0195</x:v>
      </x:c>
      <x:c r="B199" s="34"/>
      <x:c r="C199" s="24" t="str"/>
      <x:c r="D199" s="24" t="str">
        <x:v>Sprint 17 / H6</x:v>
      </x:c>
      <x:c r="E199" s="24" t="str">
        <x:v>TC-VS-TST-022</x:v>
      </x:c>
      <x:c r="F199" s="24" t="str">
        <x:v>VS-TST-022</x:v>
      </x:c>
      <x:c r="G199" s="24" t="str">
        <x:v>Manual + Integración + Build</x:v>
      </x:c>
      <x:c r="H199" s="24" t="str">
        <x:v>Unity 6000.3.18f1 / Windows x64</x:v>
      </x:c>
      <x:c r="I199" s="24" t="str">
        <x:v>Not Run</x:v>
      </x:c>
      <x:c r="J199" s="24" t="str"/>
      <x:c r="K199" s="24" t="str"/>
      <x:c r="L199" s="24" t="str">
        <x:v>VRM Games</x:v>
      </x:c>
      <x:c r="M199" s="24"/>
      <x:c r="N199" s="24" t="str">
        <x:v>Fila inicial; actualizar al ejecutar.</x:v>
      </x:c>
    </x:row>
    <x:row r="200">
      <x:c r="A200" s="24" t="str">
        <x:v>EXE-0196</x:v>
      </x:c>
      <x:c r="B200" s="34"/>
      <x:c r="C200" s="24" t="str"/>
      <x:c r="D200" s="24" t="str">
        <x:v>Sprint 17 / H6</x:v>
      </x:c>
      <x:c r="E200" s="24" t="str">
        <x:v>TC-VS-TST-023</x:v>
      </x:c>
      <x:c r="F200" s="24" t="str">
        <x:v>VS-TST-023</x:v>
      </x:c>
      <x:c r="G200" s="24" t="str">
        <x:v>Manual + Integración + Build</x:v>
      </x:c>
      <x:c r="H200" s="24" t="str">
        <x:v>Unity 6000.3.18f1 / Windows x64</x:v>
      </x:c>
      <x:c r="I200" s="24" t="str">
        <x:v>Not Run</x:v>
      </x:c>
      <x:c r="J200" s="24" t="str"/>
      <x:c r="K200" s="24" t="str"/>
      <x:c r="L200" s="24" t="str">
        <x:v>VRM Games</x:v>
      </x:c>
      <x:c r="M200" s="24"/>
      <x:c r="N200" s="24" t="str">
        <x:v>Fila inicial; actualizar al ejecutar.</x:v>
      </x:c>
    </x:row>
    <x:row r="201">
      <x:c r="A201" s="24" t="str">
        <x:v>EXE-0197</x:v>
      </x:c>
      <x:c r="B201" s="34"/>
      <x:c r="C201" s="24" t="str"/>
      <x:c r="D201" s="24" t="str">
        <x:v>Sprint 17 / H6</x:v>
      </x:c>
      <x:c r="E201" s="24" t="str">
        <x:v>TC-VS-TST-024</x:v>
      </x:c>
      <x:c r="F201" s="24" t="str">
        <x:v>VS-TST-024</x:v>
      </x:c>
      <x:c r="G201" s="24" t="str">
        <x:v>Manual + Integración + Build</x:v>
      </x:c>
      <x:c r="H201" s="24" t="str">
        <x:v>Unity 6000.3.18f1 / Windows x64</x:v>
      </x:c>
      <x:c r="I201" s="24" t="str">
        <x:v>Not Run</x:v>
      </x:c>
      <x:c r="J201" s="24" t="str"/>
      <x:c r="K201" s="24" t="str"/>
      <x:c r="L201" s="24" t="str">
        <x:v>VRM Games</x:v>
      </x:c>
      <x:c r="M201" s="24"/>
      <x:c r="N201" s="24" t="str">
        <x:v>Fila inicial; actualizar al ejecutar.</x:v>
      </x:c>
    </x:row>
    <x:row r="202">
      <x:c r="A202" s="24" t="str">
        <x:v>EXE-0198</x:v>
      </x:c>
      <x:c r="B202" s="34"/>
      <x:c r="C202" s="24" t="str"/>
      <x:c r="D202" s="24" t="str">
        <x:v>Sprint 17 / H6</x:v>
      </x:c>
      <x:c r="E202" s="24" t="str">
        <x:v>TC-VS-TST-025</x:v>
      </x:c>
      <x:c r="F202" s="24" t="str">
        <x:v>VS-TST-025</x:v>
      </x:c>
      <x:c r="G202" s="24" t="str">
        <x:v>Manual + Integración + Build</x:v>
      </x:c>
      <x:c r="H202" s="24" t="str">
        <x:v>Unity 6000.3.18f1 / Windows x64</x:v>
      </x:c>
      <x:c r="I202" s="24" t="str">
        <x:v>Not Run</x:v>
      </x:c>
      <x:c r="J202" s="24" t="str"/>
      <x:c r="K202" s="24" t="str"/>
      <x:c r="L202" s="24" t="str">
        <x:v>VRM Games</x:v>
      </x:c>
      <x:c r="M202" s="24"/>
      <x:c r="N202" s="24" t="str">
        <x:v>Fila inicial; actualizar al ejecutar.</x:v>
      </x:c>
    </x:row>
    <x:row r="203">
      <x:c r="A203" s="24" t="str">
        <x:v>EXE-0199</x:v>
      </x:c>
      <x:c r="B203" s="34"/>
      <x:c r="C203" s="24" t="str"/>
      <x:c r="D203" s="24" t="str">
        <x:v>Sprint 17 / H6</x:v>
      </x:c>
      <x:c r="E203" s="24" t="str">
        <x:v>TC-VS-TST-026</x:v>
      </x:c>
      <x:c r="F203" s="24" t="str">
        <x:v>VS-TST-026</x:v>
      </x:c>
      <x:c r="G203" s="24" t="str">
        <x:v>Manual + Integración + Build</x:v>
      </x:c>
      <x:c r="H203" s="24" t="str">
        <x:v>Unity 6000.3.18f1 / Windows x64</x:v>
      </x:c>
      <x:c r="I203" s="24" t="str">
        <x:v>Not Run</x:v>
      </x:c>
      <x:c r="J203" s="24" t="str"/>
      <x:c r="K203" s="24" t="str"/>
      <x:c r="L203" s="24" t="str">
        <x:v>VRM Games</x:v>
      </x:c>
      <x:c r="M203" s="24"/>
      <x:c r="N203" s="24" t="str">
        <x:v>Fila inicial; actualizar al ejecutar.</x:v>
      </x:c>
    </x:row>
    <x:row r="204">
      <x:c r="A204" s="24" t="str">
        <x:v>EXE-0200</x:v>
      </x:c>
      <x:c r="B204" s="34"/>
      <x:c r="C204" s="24" t="str"/>
      <x:c r="D204" s="24" t="str">
        <x:v>Sprint 17 / H6</x:v>
      </x:c>
      <x:c r="E204" s="24" t="str">
        <x:v>TC-VS-TST-027</x:v>
      </x:c>
      <x:c r="F204" s="24" t="str">
        <x:v>VS-TST-027</x:v>
      </x:c>
      <x:c r="G204" s="24" t="str">
        <x:v>Manual + Integración + Build</x:v>
      </x:c>
      <x:c r="H204" s="24" t="str">
        <x:v>Unity 6000.3.18f1 / Windows x64</x:v>
      </x:c>
      <x:c r="I204" s="24" t="str">
        <x:v>Not Run</x:v>
      </x:c>
      <x:c r="J204" s="24" t="str"/>
      <x:c r="K204" s="24" t="str"/>
      <x:c r="L204" s="24" t="str">
        <x:v>VRM Games</x:v>
      </x:c>
      <x:c r="M204" s="24"/>
      <x:c r="N204" s="24" t="str">
        <x:v>Fila inicial; actualizar al ejecutar.</x:v>
      </x:c>
    </x:row>
    <x:row r="205">
      <x:c r="A205" s="24" t="str">
        <x:v>EXE-0201</x:v>
      </x:c>
      <x:c r="B205" s="34"/>
      <x:c r="C205" s="24" t="str"/>
      <x:c r="D205" s="24" t="str">
        <x:v>Sprint 17 / H6</x:v>
      </x:c>
      <x:c r="E205" s="24" t="str">
        <x:v>TC-VS-TST-028</x:v>
      </x:c>
      <x:c r="F205" s="24" t="str">
        <x:v>VS-TST-028</x:v>
      </x:c>
      <x:c r="G205" s="24" t="str">
        <x:v>Manual + Integración + Build</x:v>
      </x:c>
      <x:c r="H205" s="24" t="str">
        <x:v>Unity 6000.3.18f1 / Windows x64</x:v>
      </x:c>
      <x:c r="I205" s="24" t="str">
        <x:v>Not Run</x:v>
      </x:c>
      <x:c r="J205" s="24" t="str"/>
      <x:c r="K205" s="24" t="str"/>
      <x:c r="L205" s="24" t="str">
        <x:v>VRM Games</x:v>
      </x:c>
      <x:c r="M205" s="24"/>
      <x:c r="N205" s="24" t="str">
        <x:v>Fila inicial; actualizar al ejecutar.</x:v>
      </x:c>
    </x:row>
    <x:row r="206">
      <x:c r="A206" s="24" t="str">
        <x:v>EXE-0202</x:v>
      </x:c>
      <x:c r="B206" s="34"/>
      <x:c r="C206" s="24" t="str"/>
      <x:c r="D206" s="24" t="str">
        <x:v>Sprint 17 / H6</x:v>
      </x:c>
      <x:c r="E206" s="24" t="str">
        <x:v>TC-VS-TST-029</x:v>
      </x:c>
      <x:c r="F206" s="24" t="str">
        <x:v>VS-TST-029</x:v>
      </x:c>
      <x:c r="G206" s="24" t="str">
        <x:v>Manual + Integración + Build</x:v>
      </x:c>
      <x:c r="H206" s="24" t="str">
        <x:v>Unity 6000.3.18f1 / Windows x64</x:v>
      </x:c>
      <x:c r="I206" s="24" t="str">
        <x:v>Not Run</x:v>
      </x:c>
      <x:c r="J206" s="24" t="str"/>
      <x:c r="K206" s="24" t="str"/>
      <x:c r="L206" s="24" t="str">
        <x:v>VRM Games</x:v>
      </x:c>
      <x:c r="M206" s="24"/>
      <x:c r="N206" s="24" t="str">
        <x:v>Fila inicial; actualizar al ejecutar.</x:v>
      </x:c>
    </x:row>
    <x:row r="207">
      <x:c r="A207" s="24" t="str">
        <x:v>EXE-0203</x:v>
      </x:c>
      <x:c r="B207" s="34"/>
      <x:c r="C207" s="24" t="str"/>
      <x:c r="D207" s="24" t="str">
        <x:v>Sprint 17 / H6</x:v>
      </x:c>
      <x:c r="E207" s="24" t="str">
        <x:v>TC-VS-TST-030</x:v>
      </x:c>
      <x:c r="F207" s="24" t="str">
        <x:v>VS-TST-030</x:v>
      </x:c>
      <x:c r="G207" s="24" t="str">
        <x:v>Manual + Integración + Build</x:v>
      </x:c>
      <x:c r="H207" s="24" t="str">
        <x:v>Unity 6000.3.18f1 / Windows x64</x:v>
      </x:c>
      <x:c r="I207" s="24" t="str">
        <x:v>Not Run</x:v>
      </x:c>
      <x:c r="J207" s="24" t="str"/>
      <x:c r="K207" s="24" t="str"/>
      <x:c r="L207" s="24" t="str">
        <x:v>VRM Games</x:v>
      </x:c>
      <x:c r="M207" s="24"/>
      <x:c r="N207" s="24" t="str">
        <x:v>Fila inicial; actualizar al ejecutar.</x:v>
      </x:c>
    </x:row>
    <x:row r="208">
      <x:c r="A208" s="24" t="str">
        <x:v>EXE-0204</x:v>
      </x:c>
      <x:c r="B208" s="34"/>
      <x:c r="C208" s="24" t="str"/>
      <x:c r="D208" s="24" t="str">
        <x:v>Sprint 17 / H6</x:v>
      </x:c>
      <x:c r="E208" s="24" t="str">
        <x:v>TC-VS-TST-031</x:v>
      </x:c>
      <x:c r="F208" s="24" t="str">
        <x:v>VS-TST-031</x:v>
      </x:c>
      <x:c r="G208" s="24" t="str">
        <x:v>Manual + Integración + Build</x:v>
      </x:c>
      <x:c r="H208" s="24" t="str">
        <x:v>Unity 6000.3.18f1 / Windows x64</x:v>
      </x:c>
      <x:c r="I208" s="24" t="str">
        <x:v>Not Run</x:v>
      </x:c>
      <x:c r="J208" s="24" t="str"/>
      <x:c r="K208" s="24" t="str"/>
      <x:c r="L208" s="24" t="str">
        <x:v>VRM Games</x:v>
      </x:c>
      <x:c r="M208" s="24"/>
      <x:c r="N208" s="24" t="str">
        <x:v>Fila inicial; actualizar al ejecutar.</x:v>
      </x:c>
    </x:row>
    <x:row r="209">
      <x:c r="A209" s="24" t="str">
        <x:v>EXE-0205</x:v>
      </x:c>
      <x:c r="B209" s="34"/>
      <x:c r="C209" s="24" t="str"/>
      <x:c r="D209" s="24" t="str">
        <x:v>Sprint 17 / H6</x:v>
      </x:c>
      <x:c r="E209" s="24" t="str">
        <x:v>TC-VS-TST-032</x:v>
      </x:c>
      <x:c r="F209" s="24" t="str">
        <x:v>VS-TST-032</x:v>
      </x:c>
      <x:c r="G209" s="24" t="str">
        <x:v>Manual + Integración + Build</x:v>
      </x:c>
      <x:c r="H209" s="24" t="str">
        <x:v>Unity 6000.3.18f1 / Windows x64</x:v>
      </x:c>
      <x:c r="I209" s="24" t="str">
        <x:v>Not Run</x:v>
      </x:c>
      <x:c r="J209" s="24" t="str"/>
      <x:c r="K209" s="24" t="str"/>
      <x:c r="L209" s="24" t="str">
        <x:v>VRM Games</x:v>
      </x:c>
      <x:c r="M209" s="24"/>
      <x:c r="N209" s="24" t="str">
        <x:v>Fila inicial; actualizar al ejecutar.</x:v>
      </x:c>
    </x:row>
    <x:row r="210">
      <x:c r="A210" s="24" t="str">
        <x:v>EXE-0206</x:v>
      </x:c>
      <x:c r="B210" s="34"/>
      <x:c r="C210" s="24" t="str"/>
      <x:c r="D210" s="24" t="str">
        <x:v>Sprint 17 / H6</x:v>
      </x:c>
      <x:c r="E210" s="24" t="str">
        <x:v>TC-VS-TST-033</x:v>
      </x:c>
      <x:c r="F210" s="24" t="str">
        <x:v>VS-TST-033</x:v>
      </x:c>
      <x:c r="G210" s="24" t="str">
        <x:v>Manual + Integración + Build</x:v>
      </x:c>
      <x:c r="H210" s="24" t="str">
        <x:v>Unity 6000.3.18f1 / Windows x64</x:v>
      </x:c>
      <x:c r="I210" s="24" t="str">
        <x:v>Not Run</x:v>
      </x:c>
      <x:c r="J210" s="24" t="str"/>
      <x:c r="K210" s="24" t="str"/>
      <x:c r="L210" s="24" t="str">
        <x:v>VRM Games</x:v>
      </x:c>
      <x:c r="M210" s="24"/>
      <x:c r="N210" s="24" t="str">
        <x:v>Fila inicial; actualizar al ejecutar.</x:v>
      </x:c>
    </x:row>
    <x:row r="211">
      <x:c r="A211" s="24" t="str">
        <x:v>EXE-0207</x:v>
      </x:c>
      <x:c r="B211" s="34"/>
      <x:c r="C211" s="24" t="str"/>
      <x:c r="D211" s="24" t="str">
        <x:v>Sprint 17 / H6</x:v>
      </x:c>
      <x:c r="E211" s="24" t="str">
        <x:v>TC-VS-TST-034</x:v>
      </x:c>
      <x:c r="F211" s="24" t="str">
        <x:v>VS-TST-034</x:v>
      </x:c>
      <x:c r="G211" s="24" t="str">
        <x:v>Manual + Integración + Build</x:v>
      </x:c>
      <x:c r="H211" s="24" t="str">
        <x:v>Unity 6000.3.18f1 / Windows x64</x:v>
      </x:c>
      <x:c r="I211" s="24" t="str">
        <x:v>Not Run</x:v>
      </x:c>
      <x:c r="J211" s="24" t="str"/>
      <x:c r="K211" s="24" t="str"/>
      <x:c r="L211" s="24" t="str">
        <x:v>VRM Games</x:v>
      </x:c>
      <x:c r="M211" s="24"/>
      <x:c r="N211" s="24" t="str">
        <x:v>Fila inicial; actualizar al ejecutar.</x:v>
      </x:c>
    </x:row>
    <x:row r="212">
      <x:c r="A212" s="24" t="str">
        <x:v>EXE-0208</x:v>
      </x:c>
      <x:c r="B212" s="34"/>
      <x:c r="C212" s="24" t="str"/>
      <x:c r="D212" s="24" t="str">
        <x:v>Sprint 17 / H6</x:v>
      </x:c>
      <x:c r="E212" s="24" t="str">
        <x:v>TC-VS-TST-035</x:v>
      </x:c>
      <x:c r="F212" s="24" t="str">
        <x:v>VS-TST-035</x:v>
      </x:c>
      <x:c r="G212" s="24" t="str">
        <x:v>Manual + Integración + Build</x:v>
      </x:c>
      <x:c r="H212" s="24" t="str">
        <x:v>Unity 6000.3.18f1 / Windows x64</x:v>
      </x:c>
      <x:c r="I212" s="24" t="str">
        <x:v>Not Run</x:v>
      </x:c>
      <x:c r="J212" s="24" t="str"/>
      <x:c r="K212" s="24" t="str"/>
      <x:c r="L212" s="24" t="str">
        <x:v>VRM Games</x:v>
      </x:c>
      <x:c r="M212" s="24"/>
      <x:c r="N212" s="24" t="str">
        <x:v>Fila inicial; actualizar al ejecutar.</x:v>
      </x:c>
    </x:row>
    <x:row r="213">
      <x:c r="A213" s="24" t="str">
        <x:v>EXE-0209</x:v>
      </x:c>
      <x:c r="B213" s="34"/>
      <x:c r="C213" s="24" t="str"/>
      <x:c r="D213" s="24" t="str">
        <x:v>Sprint 17 / H6</x:v>
      </x:c>
      <x:c r="E213" s="24" t="str">
        <x:v>TC-VS-TST-036</x:v>
      </x:c>
      <x:c r="F213" s="24" t="str">
        <x:v>VS-TST-036</x:v>
      </x:c>
      <x:c r="G213" s="24" t="str">
        <x:v>Manual + Integración + Build</x:v>
      </x:c>
      <x:c r="H213" s="24" t="str">
        <x:v>Unity 6000.3.18f1 / Windows x64</x:v>
      </x:c>
      <x:c r="I213" s="24" t="str">
        <x:v>Not Run</x:v>
      </x:c>
      <x:c r="J213" s="24" t="str"/>
      <x:c r="K213" s="24" t="str"/>
      <x:c r="L213" s="24" t="str">
        <x:v>VRM Games</x:v>
      </x:c>
      <x:c r="M213" s="24"/>
      <x:c r="N213" s="24" t="str">
        <x:v>Fila inicial; actualizar al ejecutar.</x:v>
      </x:c>
    </x:row>
    <x:row r="214">
      <x:c r="A214" s="24" t="str">
        <x:v>EXE-0210</x:v>
      </x:c>
      <x:c r="B214" s="34"/>
      <x:c r="C214" s="24" t="str"/>
      <x:c r="D214" s="24" t="str">
        <x:v>Sprint 17 / H6</x:v>
      </x:c>
      <x:c r="E214" s="24" t="str">
        <x:v>TC-VS-TST-037</x:v>
      </x:c>
      <x:c r="F214" s="24" t="str">
        <x:v>VS-TST-037</x:v>
      </x:c>
      <x:c r="G214" s="24" t="str">
        <x:v>Manual + Integración + Build</x:v>
      </x:c>
      <x:c r="H214" s="24" t="str">
        <x:v>Unity 6000.3.18f1 / Windows x64</x:v>
      </x:c>
      <x:c r="I214" s="24" t="str">
        <x:v>Not Run</x:v>
      </x:c>
      <x:c r="J214" s="24" t="str"/>
      <x:c r="K214" s="24" t="str"/>
      <x:c r="L214" s="24" t="str">
        <x:v>VRM Games</x:v>
      </x:c>
      <x:c r="M214" s="24"/>
      <x:c r="N214" s="24" t="str">
        <x:v>Fila inicial; actualizar al ejecutar.</x:v>
      </x:c>
    </x:row>
    <x:row r="215">
      <x:c r="A215" s="24" t="str">
        <x:v>EXE-0211</x:v>
      </x:c>
      <x:c r="B215" s="34"/>
      <x:c r="C215" s="24" t="str"/>
      <x:c r="D215" s="24" t="str">
        <x:v>Sprint 17 / H6</x:v>
      </x:c>
      <x:c r="E215" s="24" t="str">
        <x:v>TC-VS-TST-038</x:v>
      </x:c>
      <x:c r="F215" s="24" t="str">
        <x:v>VS-TST-038</x:v>
      </x:c>
      <x:c r="G215" s="24" t="str">
        <x:v>Manual + Integración + Build</x:v>
      </x:c>
      <x:c r="H215" s="24" t="str">
        <x:v>Unity 6000.3.18f1 / Windows x64</x:v>
      </x:c>
      <x:c r="I215" s="24" t="str">
        <x:v>Not Run</x:v>
      </x:c>
      <x:c r="J215" s="24" t="str"/>
      <x:c r="K215" s="24" t="str"/>
      <x:c r="L215" s="24" t="str">
        <x:v>VRM Games</x:v>
      </x:c>
      <x:c r="M215" s="24"/>
      <x:c r="N215" s="24" t="str">
        <x:v>Fila inicial; actualizar al ejecutar.</x:v>
      </x:c>
    </x:row>
    <x:row r="216">
      <x:c r="A216" s="24" t="str">
        <x:v>EXE-0212</x:v>
      </x:c>
      <x:c r="B216" s="34"/>
      <x:c r="C216" s="24" t="str"/>
      <x:c r="D216" s="24" t="str">
        <x:v>Sprint 17 / H6</x:v>
      </x:c>
      <x:c r="E216" s="24" t="str">
        <x:v>TC-VS-TST-039</x:v>
      </x:c>
      <x:c r="F216" s="24" t="str">
        <x:v>VS-TST-039</x:v>
      </x:c>
      <x:c r="G216" s="24" t="str">
        <x:v>Manual + Integración + Build</x:v>
      </x:c>
      <x:c r="H216" s="24" t="str">
        <x:v>Unity 6000.3.18f1 / Windows x64</x:v>
      </x:c>
      <x:c r="I216" s="24" t="str">
        <x:v>Not Run</x:v>
      </x:c>
      <x:c r="J216" s="24" t="str"/>
      <x:c r="K216" s="24" t="str"/>
      <x:c r="L216" s="24" t="str">
        <x:v>VRM Games</x:v>
      </x:c>
      <x:c r="M216" s="24"/>
      <x:c r="N216" s="24" t="str">
        <x:v>Fila inicial; actualizar al ejecutar.</x:v>
      </x:c>
    </x:row>
    <x:row r="217">
      <x:c r="A217" s="24" t="str">
        <x:v>EXE-0213</x:v>
      </x:c>
      <x:c r="B217" s="34"/>
      <x:c r="C217" s="24" t="str"/>
      <x:c r="D217" s="24" t="str">
        <x:v>Sprint 17 / H6</x:v>
      </x:c>
      <x:c r="E217" s="24" t="str">
        <x:v>TC-VS-TST-040</x:v>
      </x:c>
      <x:c r="F217" s="24" t="str">
        <x:v>VS-TST-040</x:v>
      </x:c>
      <x:c r="G217" s="24" t="str">
        <x:v>Manual + Integración + Build</x:v>
      </x:c>
      <x:c r="H217" s="24" t="str">
        <x:v>Unity 6000.3.18f1 / Windows x64</x:v>
      </x:c>
      <x:c r="I217" s="24" t="str">
        <x:v>Not Run</x:v>
      </x:c>
      <x:c r="J217" s="24" t="str"/>
      <x:c r="K217" s="24" t="str"/>
      <x:c r="L217" s="24" t="str">
        <x:v>VRM Games</x:v>
      </x:c>
      <x:c r="M217" s="24"/>
      <x:c r="N217" s="24" t="str">
        <x:v>Fila inicial; actualizar al ejecutar.</x:v>
      </x:c>
    </x:row>
    <x:row r="218">
      <x:c r="A218" s="24" t="str">
        <x:v>EXE-0214</x:v>
      </x:c>
      <x:c r="B218" s="34"/>
      <x:c r="C218" s="24" t="str"/>
      <x:c r="D218" s="24" t="str">
        <x:v>Regresión histórica</x:v>
      </x:c>
      <x:c r="E218" s="24" t="str">
        <x:v>LEG-QA-S0-001</x:v>
      </x:c>
      <x:c r="F218" s="24" t="str"/>
      <x:c r="G218" s="24" t="str">
        <x:v>Revisión / Manual / Automatizada</x:v>
      </x:c>
      <x:c r="H218" s="24" t="str">
        <x:v>Unity 6000.3.18f1 / Windows x64</x:v>
      </x:c>
      <x:c r="I218" s="24" t="str">
        <x:v>Baseline PASS</x:v>
      </x:c>
      <x:c r="J218" s="24" t="str"/>
      <x:c r="K218" s="24" t="str"/>
      <x:c r="L218" s="24" t="str">
        <x:v>VRM Games</x:v>
      </x:c>
      <x:c r="M218" s="24"/>
      <x:c r="N218" s="24" t="str">
        <x:v>Fila inicial; actualizar al ejecutar.</x:v>
      </x:c>
    </x:row>
    <x:row r="219">
      <x:c r="A219" s="24" t="str">
        <x:v>EXE-0215</x:v>
      </x:c>
      <x:c r="B219" s="34"/>
      <x:c r="C219" s="24" t="str"/>
      <x:c r="D219" s="24" t="str">
        <x:v>Sprint 17 / H6</x:v>
      </x:c>
      <x:c r="E219" s="24" t="str">
        <x:v>TC-FI-SAV-001</x:v>
      </x:c>
      <x:c r="F219" s="24" t="str"/>
      <x:c r="G219" s="24" t="str">
        <x:v>Integración + Manual</x:v>
      </x:c>
      <x:c r="H219" s="24" t="str">
        <x:v>Unity 6000.3.18f1 / Windows x64</x:v>
      </x:c>
      <x:c r="I219" s="24" t="str">
        <x:v>Not Run</x:v>
      </x:c>
      <x:c r="J219" s="24" t="str"/>
      <x:c r="K219" s="24" t="str"/>
      <x:c r="L219" s="24" t="str">
        <x:v>VRM Games</x:v>
      </x:c>
      <x:c r="M219" s="24"/>
      <x:c r="N219" s="24" t="str">
        <x:v>Fila inicial; actualizar al ejecutar.</x:v>
      </x:c>
    </x:row>
    <x:row r="220">
      <x:c r="A220" s="24" t="str">
        <x:v>EXE-0216</x:v>
      </x:c>
      <x:c r="B220" s="34"/>
      <x:c r="C220" s="24" t="str"/>
      <x:c r="D220" s="24" t="str">
        <x:v>Sprint 17 / H6</x:v>
      </x:c>
      <x:c r="E220" s="24" t="str">
        <x:v>TC-FI-SAV-002</x:v>
      </x:c>
      <x:c r="F220" s="24" t="str"/>
      <x:c r="G220" s="24" t="str">
        <x:v>Integración + Manual</x:v>
      </x:c>
      <x:c r="H220" s="24" t="str">
        <x:v>Unity 6000.3.18f1 / Windows x64</x:v>
      </x:c>
      <x:c r="I220" s="24" t="str">
        <x:v>Not Run</x:v>
      </x:c>
      <x:c r="J220" s="24" t="str"/>
      <x:c r="K220" s="24" t="str"/>
      <x:c r="L220" s="24" t="str">
        <x:v>VRM Games</x:v>
      </x:c>
      <x:c r="M220" s="24"/>
      <x:c r="N220" s="24" t="str">
        <x:v>Fila inicial; actualizar al ejecutar.</x:v>
      </x:c>
    </x:row>
    <x:row r="221">
      <x:c r="A221" s="24" t="str">
        <x:v>EXE-0217</x:v>
      </x:c>
      <x:c r="B221" s="34"/>
      <x:c r="C221" s="24" t="str"/>
      <x:c r="D221" s="24" t="str">
        <x:v>Sprint 17 / H6</x:v>
      </x:c>
      <x:c r="E221" s="24" t="str">
        <x:v>TC-FI-SAV-003</x:v>
      </x:c>
      <x:c r="F221" s="24" t="str"/>
      <x:c r="G221" s="24" t="str">
        <x:v>Integración + Manual</x:v>
      </x:c>
      <x:c r="H221" s="24" t="str">
        <x:v>Unity 6000.3.18f1 / Windows x64</x:v>
      </x:c>
      <x:c r="I221" s="24" t="str">
        <x:v>Not Run</x:v>
      </x:c>
      <x:c r="J221" s="24" t="str"/>
      <x:c r="K221" s="24" t="str"/>
      <x:c r="L221" s="24" t="str">
        <x:v>VRM Games</x:v>
      </x:c>
      <x:c r="M221" s="24"/>
      <x:c r="N221" s="24" t="str">
        <x:v>Fila inicial; actualizar al ejecutar.</x:v>
      </x:c>
    </x:row>
    <x:row r="222">
      <x:c r="A222" s="24" t="str">
        <x:v>EXE-0218</x:v>
      </x:c>
      <x:c r="B222" s="34"/>
      <x:c r="C222" s="24" t="str"/>
      <x:c r="D222" s="24" t="str">
        <x:v>Sprint 17 / H6</x:v>
      </x:c>
      <x:c r="E222" s="24" t="str">
        <x:v>TC-FI-SAV-004</x:v>
      </x:c>
      <x:c r="F222" s="24" t="str"/>
      <x:c r="G222" s="24" t="str">
        <x:v>Integración + Manual</x:v>
      </x:c>
      <x:c r="H222" s="24" t="str">
        <x:v>Unity 6000.3.18f1 / Windows x64</x:v>
      </x:c>
      <x:c r="I222" s="24" t="str">
        <x:v>Not Run</x:v>
      </x:c>
      <x:c r="J222" s="24" t="str"/>
      <x:c r="K222" s="24" t="str"/>
      <x:c r="L222" s="24" t="str">
        <x:v>VRM Games</x:v>
      </x:c>
      <x:c r="M222" s="24"/>
      <x:c r="N222" s="24" t="str">
        <x:v>Fila inicial; actualizar al ejecutar.</x:v>
      </x:c>
    </x:row>
    <x:row r="223">
      <x:c r="A223" s="24" t="str">
        <x:v>EXE-0219</x:v>
      </x:c>
      <x:c r="B223" s="34"/>
      <x:c r="C223" s="24" t="str"/>
      <x:c r="D223" s="24" t="str">
        <x:v>Sprint 17 / H6</x:v>
      </x:c>
      <x:c r="E223" s="24" t="str">
        <x:v>TC-FI-SAV-005</x:v>
      </x:c>
      <x:c r="F223" s="24" t="str"/>
      <x:c r="G223" s="24" t="str">
        <x:v>Integración + Manual</x:v>
      </x:c>
      <x:c r="H223" s="24" t="str">
        <x:v>Unity 6000.3.18f1 / Windows x64</x:v>
      </x:c>
      <x:c r="I223" s="24" t="str">
        <x:v>Not Run</x:v>
      </x:c>
      <x:c r="J223" s="24" t="str"/>
      <x:c r="K223" s="24" t="str"/>
      <x:c r="L223" s="24" t="str">
        <x:v>VRM Games</x:v>
      </x:c>
      <x:c r="M223" s="24"/>
      <x:c r="N223" s="24" t="str">
        <x:v>Fila inicial; actualizar al ejecutar.</x:v>
      </x:c>
    </x:row>
    <x:row r="224">
      <x:c r="A224" s="24" t="str">
        <x:v>EXE-0220</x:v>
      </x:c>
      <x:c r="B224" s="34"/>
      <x:c r="C224" s="24" t="str"/>
      <x:c r="D224" s="24" t="str">
        <x:v>Sprint 17 / H6</x:v>
      </x:c>
      <x:c r="E224" s="24" t="str">
        <x:v>TC-FI-INV-001</x:v>
      </x:c>
      <x:c r="F224" s="24" t="str"/>
      <x:c r="G224" s="24" t="str">
        <x:v>Integración + Manual</x:v>
      </x:c>
      <x:c r="H224" s="24" t="str">
        <x:v>Unity 6000.3.18f1 / Windows x64</x:v>
      </x:c>
      <x:c r="I224" s="24" t="str">
        <x:v>Not Run</x:v>
      </x:c>
      <x:c r="J224" s="24" t="str"/>
      <x:c r="K224" s="24" t="str"/>
      <x:c r="L224" s="24" t="str">
        <x:v>VRM Games</x:v>
      </x:c>
      <x:c r="M224" s="24"/>
      <x:c r="N224" s="24" t="str">
        <x:v>Fila inicial; actualizar al ejecutar.</x:v>
      </x:c>
    </x:row>
    <x:row r="225">
      <x:c r="A225" s="24" t="str">
        <x:v>EXE-0221</x:v>
      </x:c>
      <x:c r="B225" s="34"/>
      <x:c r="C225" s="24" t="str"/>
      <x:c r="D225" s="24" t="str">
        <x:v>Sprint 17 / H6</x:v>
      </x:c>
      <x:c r="E225" s="24" t="str">
        <x:v>TC-FI-CHK-001</x:v>
      </x:c>
      <x:c r="F225" s="24" t="str"/>
      <x:c r="G225" s="24" t="str">
        <x:v>Integración + Manual</x:v>
      </x:c>
      <x:c r="H225" s="24" t="str">
        <x:v>Unity 6000.3.18f1 / Windows x64</x:v>
      </x:c>
      <x:c r="I225" s="24" t="str">
        <x:v>Not Run</x:v>
      </x:c>
      <x:c r="J225" s="24" t="str"/>
      <x:c r="K225" s="24" t="str"/>
      <x:c r="L225" s="24" t="str">
        <x:v>VRM Games</x:v>
      </x:c>
      <x:c r="M225" s="24"/>
      <x:c r="N225" s="24" t="str">
        <x:v>Fila inicial; actualizar al ejecutar.</x:v>
      </x:c>
    </x:row>
    <x:row r="226">
      <x:c r="A226" s="24" t="str">
        <x:v>EXE-0222</x:v>
      </x:c>
      <x:c r="B226" s="34"/>
      <x:c r="C226" s="24" t="str"/>
      <x:c r="D226" s="24" t="str">
        <x:v>Sprint 17 / H6</x:v>
      </x:c>
      <x:c r="E226" s="24" t="str">
        <x:v>TC-FI-RES-001</x:v>
      </x:c>
      <x:c r="F226" s="24" t="str"/>
      <x:c r="G226" s="24" t="str">
        <x:v>Integración + Manual</x:v>
      </x:c>
      <x:c r="H226" s="24" t="str">
        <x:v>Unity 6000.3.18f1 / Windows x64</x:v>
      </x:c>
      <x:c r="I226" s="24" t="str">
        <x:v>Not Run</x:v>
      </x:c>
      <x:c r="J226" s="24" t="str"/>
      <x:c r="K226" s="24" t="str"/>
      <x:c r="L226" s="24" t="str">
        <x:v>VRM Games</x:v>
      </x:c>
      <x:c r="M226" s="24"/>
      <x:c r="N226" s="24" t="str">
        <x:v>Fila inicial; actualizar al ejecutar.</x:v>
      </x:c>
    </x:row>
    <x:row r="227">
      <x:c r="A227" s="24" t="str">
        <x:v>EXE-0223</x:v>
      </x:c>
      <x:c r="B227" s="34"/>
      <x:c r="C227" s="24" t="str"/>
      <x:c r="D227" s="24" t="str">
        <x:v>Sprint 17 / H6</x:v>
      </x:c>
      <x:c r="E227" s="24" t="str">
        <x:v>TC-FI-DAY-001</x:v>
      </x:c>
      <x:c r="F227" s="24" t="str"/>
      <x:c r="G227" s="24" t="str">
        <x:v>Integración + Manual</x:v>
      </x:c>
      <x:c r="H227" s="24" t="str">
        <x:v>Unity 6000.3.18f1 / Windows x64</x:v>
      </x:c>
      <x:c r="I227" s="24" t="str">
        <x:v>Not Run</x:v>
      </x:c>
      <x:c r="J227" s="24" t="str"/>
      <x:c r="K227" s="24" t="str"/>
      <x:c r="L227" s="24" t="str">
        <x:v>VRM Games</x:v>
      </x:c>
      <x:c r="M227" s="24"/>
      <x:c r="N227" s="24" t="str">
        <x:v>Fila inicial; actualizar al ejecutar.</x:v>
      </x:c>
    </x:row>
    <x:row r="228">
      <x:c r="A228" s="24" t="str">
        <x:v>EXE-0224</x:v>
      </x:c>
      <x:c r="B228" s="34"/>
      <x:c r="C228" s="24" t="str"/>
      <x:c r="D228" s="24" t="str">
        <x:v>Sprint 17 / H6</x:v>
      </x:c>
      <x:c r="E228" s="24" t="str">
        <x:v>TC-FI-SCN-001</x:v>
      </x:c>
      <x:c r="F228" s="24" t="str"/>
      <x:c r="G228" s="24" t="str">
        <x:v>Integración + Manual</x:v>
      </x:c>
      <x:c r="H228" s="24" t="str">
        <x:v>Unity 6000.3.18f1 / Windows x64</x:v>
      </x:c>
      <x:c r="I228" s="24" t="str">
        <x:v>Not Run</x:v>
      </x:c>
      <x:c r="J228" s="24" t="str"/>
      <x:c r="K228" s="24" t="str"/>
      <x:c r="L228" s="24" t="str">
        <x:v>VRM Games</x:v>
      </x:c>
      <x:c r="M228" s="24"/>
      <x:c r="N228" s="24" t="str">
        <x:v>Fila inicial; actualizar al ejecutar.</x:v>
      </x:c>
    </x:row>
    <x:row r="229">
      <x:c r="A229" s="24" t="str">
        <x:v>EXE-0225</x:v>
      </x:c>
      <x:c r="B229" s="34"/>
      <x:c r="C229" s="24" t="str"/>
      <x:c r="D229" s="24" t="str">
        <x:v>Sprint 17 / H6</x:v>
      </x:c>
      <x:c r="E229" s="24" t="str">
        <x:v>TC-PERF-001</x:v>
      </x:c>
      <x:c r="F229" s="24" t="str"/>
      <x:c r="G229" s="24" t="str">
        <x:v>Build + Manual</x:v>
      </x:c>
      <x:c r="H229" s="24" t="str">
        <x:v>Unity 6000.3.18f1 / Windows x64</x:v>
      </x:c>
      <x:c r="I229" s="24" t="str">
        <x:v>Not Run</x:v>
      </x:c>
      <x:c r="J229" s="24" t="str"/>
      <x:c r="K229" s="24" t="str"/>
      <x:c r="L229" s="24" t="str">
        <x:v>VRM Games</x:v>
      </x:c>
      <x:c r="M229" s="24"/>
      <x:c r="N229" s="24" t="str">
        <x:v>Fila inicial; actualizar al ejecutar.</x:v>
      </x:c>
    </x:row>
    <x:row r="230">
      <x:c r="A230" s="24" t="str">
        <x:v>EXE-0226</x:v>
      </x:c>
      <x:c r="B230" s="34"/>
      <x:c r="C230" s="24" t="str"/>
      <x:c r="D230" s="24" t="str">
        <x:v>Sprint 17 / H6</x:v>
      </x:c>
      <x:c r="E230" s="24" t="str">
        <x:v>TC-PERF-002</x:v>
      </x:c>
      <x:c r="F230" s="24" t="str"/>
      <x:c r="G230" s="24" t="str">
        <x:v>Build + Manual</x:v>
      </x:c>
      <x:c r="H230" s="24" t="str">
        <x:v>Unity 6000.3.18f1 / Windows x64</x:v>
      </x:c>
      <x:c r="I230" s="24" t="str">
        <x:v>Not Run</x:v>
      </x:c>
      <x:c r="J230" s="24" t="str"/>
      <x:c r="K230" s="24" t="str"/>
      <x:c r="L230" s="24" t="str">
        <x:v>VRM Games</x:v>
      </x:c>
      <x:c r="M230" s="24"/>
      <x:c r="N230" s="24" t="str">
        <x:v>Fila inicial; actualizar al ejecutar.</x:v>
      </x:c>
    </x:row>
    <x:row r="231">
      <x:c r="A231" s="24" t="str">
        <x:v>EXE-0227</x:v>
      </x:c>
      <x:c r="B231" s="34"/>
      <x:c r="C231" s="24" t="str"/>
      <x:c r="D231" s="24" t="str">
        <x:v>Sprint 17 / H6</x:v>
      </x:c>
      <x:c r="E231" s="24" t="str">
        <x:v>TC-PERF-003</x:v>
      </x:c>
      <x:c r="F231" s="24" t="str"/>
      <x:c r="G231" s="24" t="str">
        <x:v>Build + Manual</x:v>
      </x:c>
      <x:c r="H231" s="24" t="str">
        <x:v>Unity 6000.3.18f1 / Windows x64</x:v>
      </x:c>
      <x:c r="I231" s="24" t="str">
        <x:v>Not Run</x:v>
      </x:c>
      <x:c r="J231" s="24" t="str"/>
      <x:c r="K231" s="24" t="str"/>
      <x:c r="L231" s="24" t="str">
        <x:v>VRM Games</x:v>
      </x:c>
      <x:c r="M231" s="24"/>
      <x:c r="N231" s="24" t="str">
        <x:v>Fila inicial; actualizar al ejecutar.</x:v>
      </x:c>
    </x:row>
    <x:row r="232">
      <x:c r="A232" s="24" t="str">
        <x:v>EXE-0228</x:v>
      </x:c>
      <x:c r="B232" s="34"/>
      <x:c r="C232" s="24" t="str"/>
      <x:c r="D232" s="24" t="str">
        <x:v>Sprint 17 / H6</x:v>
      </x:c>
      <x:c r="E232" s="24" t="str">
        <x:v>TC-PERF-004</x:v>
      </x:c>
      <x:c r="F232" s="24" t="str"/>
      <x:c r="G232" s="24" t="str">
        <x:v>Build + Manual</x:v>
      </x:c>
      <x:c r="H232" s="24" t="str">
        <x:v>Unity 6000.3.18f1 / Windows x64</x:v>
      </x:c>
      <x:c r="I232" s="24" t="str">
        <x:v>Not Run</x:v>
      </x:c>
      <x:c r="J232" s="24" t="str"/>
      <x:c r="K232" s="24" t="str"/>
      <x:c r="L232" s="24" t="str">
        <x:v>VRM Games</x:v>
      </x:c>
      <x:c r="M232" s="24"/>
      <x:c r="N232" s="24" t="str">
        <x:v>Fila inicial; actualizar al ejecutar.</x:v>
      </x:c>
    </x:row>
    <x:row r="233">
      <x:c r="A233" s="24" t="str">
        <x:v>EXE-0229</x:v>
      </x:c>
      <x:c r="B233" s="34"/>
      <x:c r="C233" s="24" t="str"/>
      <x:c r="D233" s="24" t="str">
        <x:v>Sprint 17 / H6</x:v>
      </x:c>
      <x:c r="E233" s="24" t="str">
        <x:v>TC-PERF-005</x:v>
      </x:c>
      <x:c r="F233" s="24" t="str"/>
      <x:c r="G233" s="24" t="str">
        <x:v>Build + Manual</x:v>
      </x:c>
      <x:c r="H233" s="24" t="str">
        <x:v>Unity 6000.3.18f1 / Windows x64</x:v>
      </x:c>
      <x:c r="I233" s="24" t="str">
        <x:v>Not Run</x:v>
      </x:c>
      <x:c r="J233" s="24" t="str"/>
      <x:c r="K233" s="24" t="str"/>
      <x:c r="L233" s="24" t="str">
        <x:v>VRM Games</x:v>
      </x:c>
      <x:c r="M233" s="24"/>
      <x:c r="N233" s="24" t="str">
        <x:v>Fila inicial; actualizar al ejecutar.</x:v>
      </x:c>
    </x:row>
    <x:row r="234">
      <x:c r="A234" s="24" t="str">
        <x:v>EXE-0230</x:v>
      </x:c>
      <x:c r="B234" s="34"/>
      <x:c r="C234" s="24" t="str"/>
      <x:c r="D234" s="24" t="str">
        <x:v>Sprint 17 / H6</x:v>
      </x:c>
      <x:c r="E234" s="24" t="str">
        <x:v>TC-PERF-006</x:v>
      </x:c>
      <x:c r="F234" s="24" t="str"/>
      <x:c r="G234" s="24" t="str">
        <x:v>Build + Manual</x:v>
      </x:c>
      <x:c r="H234" s="24" t="str">
        <x:v>Unity 6000.3.18f1 / Windows x64</x:v>
      </x:c>
      <x:c r="I234" s="24" t="str">
        <x:v>Not Run</x:v>
      </x:c>
      <x:c r="J234" s="24" t="str"/>
      <x:c r="K234" s="24" t="str"/>
      <x:c r="L234" s="24" t="str">
        <x:v>VRM Games</x:v>
      </x:c>
      <x:c r="M234" s="24"/>
      <x:c r="N234" s="24" t="str">
        <x:v>Fila inicial; actualizar al ejecutar.</x:v>
      </x:c>
    </x:row>
    <x:row r="235">
      <x:c r="A235" s="24" t="str">
        <x:v>EXE-0231</x:v>
      </x:c>
      <x:c r="B235" s="34"/>
      <x:c r="C235" s="24" t="str"/>
      <x:c r="D235" s="24" t="str">
        <x:v>Sprint 17 / H6</x:v>
      </x:c>
      <x:c r="E235" s="24" t="str">
        <x:v>TC-BLD-EXT-001</x:v>
      </x:c>
      <x:c r="F235" s="24" t="str"/>
      <x:c r="G235" s="24" t="str">
        <x:v>Build + Manual</x:v>
      </x:c>
      <x:c r="H235" s="24" t="str">
        <x:v>Unity 6000.3.18f1 / Windows x64</x:v>
      </x:c>
      <x:c r="I235" s="24" t="str">
        <x:v>Not Run</x:v>
      </x:c>
      <x:c r="J235" s="24" t="str"/>
      <x:c r="K235" s="24" t="str"/>
      <x:c r="L235" s="24" t="str">
        <x:v>VRM Games</x:v>
      </x:c>
      <x:c r="M235" s="24"/>
      <x:c r="N235" s="24" t="str">
        <x:v>Fila inicial; actualizar al ejecutar.</x:v>
      </x:c>
    </x:row>
    <x:row r="236">
      <x:c r="A236" s="24" t="str">
        <x:v>EXE-0232</x:v>
      </x:c>
      <x:c r="B236" s="34"/>
      <x:c r="C236" s="24" t="str"/>
      <x:c r="D236" s="24" t="str">
        <x:v>Sprint 17 / H6</x:v>
      </x:c>
      <x:c r="E236" s="24" t="str">
        <x:v>TC-BLD-EXT-002</x:v>
      </x:c>
      <x:c r="F236" s="24" t="str"/>
      <x:c r="G236" s="24" t="str">
        <x:v>Build + Manual</x:v>
      </x:c>
      <x:c r="H236" s="24" t="str">
        <x:v>Unity 6000.3.18f1 / Windows x64</x:v>
      </x:c>
      <x:c r="I236" s="24" t="str">
        <x:v>Not Run</x:v>
      </x:c>
      <x:c r="J236" s="24" t="str"/>
      <x:c r="K236" s="24" t="str"/>
      <x:c r="L236" s="24" t="str">
        <x:v>VRM Games</x:v>
      </x:c>
      <x:c r="M236" s="24"/>
      <x:c r="N236" s="24" t="str">
        <x:v>Fila inicial; actualizar al ejecutar.</x:v>
      </x:c>
    </x:row>
    <x:row r="237">
      <x:c r="A237" s="24" t="str">
        <x:v>EXE-0233</x:v>
      </x:c>
      <x:c r="B237" s="34"/>
      <x:c r="C237" s="24" t="str"/>
      <x:c r="D237" s="24" t="str">
        <x:v>Sprint 17 / H6</x:v>
      </x:c>
      <x:c r="E237" s="24" t="str">
        <x:v>TC-BLD-EXT-003</x:v>
      </x:c>
      <x:c r="F237" s="24" t="str"/>
      <x:c r="G237" s="24" t="str">
        <x:v>Build + Manual</x:v>
      </x:c>
      <x:c r="H237" s="24" t="str">
        <x:v>Unity 6000.3.18f1 / Windows x64</x:v>
      </x:c>
      <x:c r="I237" s="24" t="str">
        <x:v>Not Run</x:v>
      </x:c>
      <x:c r="J237" s="24" t="str"/>
      <x:c r="K237" s="24" t="str"/>
      <x:c r="L237" s="24" t="str">
        <x:v>VRM Games</x:v>
      </x:c>
      <x:c r="M237" s="24"/>
      <x:c r="N237" s="24" t="str">
        <x:v>Fila inicial; actualizar al ejecutar.</x:v>
      </x:c>
    </x:row>
    <x:row r="238">
      <x:c r="A238" s="24" t="str">
        <x:v>EXE-0234</x:v>
      </x:c>
      <x:c r="B238" s="34"/>
      <x:c r="C238" s="24" t="str"/>
      <x:c r="D238" s="24" t="str">
        <x:v>Sprint 17 / H6</x:v>
      </x:c>
      <x:c r="E238" s="24" t="str">
        <x:v>TC-BLD-EXT-004</x:v>
      </x:c>
      <x:c r="F238" s="24" t="str"/>
      <x:c r="G238" s="24" t="str">
        <x:v>Build + Manual</x:v>
      </x:c>
      <x:c r="H238" s="24" t="str">
        <x:v>Unity 6000.3.18f1 / Windows x64</x:v>
      </x:c>
      <x:c r="I238" s="24" t="str">
        <x:v>Not Run</x:v>
      </x:c>
      <x:c r="J238" s="24" t="str"/>
      <x:c r="K238" s="24" t="str"/>
      <x:c r="L238" s="24" t="str">
        <x:v>VRM Games</x:v>
      </x:c>
      <x:c r="M238" s="24"/>
      <x:c r="N238" s="24" t="str">
        <x:v>Fila inicial; actualizar al ejecutar.</x:v>
      </x:c>
    </x:row>
    <x:row r="239">
      <x:c r="A239" s="24" t="str">
        <x:v>EXE-0235</x:v>
      </x:c>
      <x:c r="B239" s="34"/>
      <x:c r="C239" s="24" t="str"/>
      <x:c r="D239" s="24" t="str">
        <x:v>Sprint 17 / H6</x:v>
      </x:c>
      <x:c r="E239" s="24" t="str">
        <x:v>TC-BLD-EXT-005</x:v>
      </x:c>
      <x:c r="F239" s="24" t="str"/>
      <x:c r="G239" s="24" t="str">
        <x:v>Build + Manual</x:v>
      </x:c>
      <x:c r="H239" s="24" t="str">
        <x:v>Unity 6000.3.18f1 / Windows x64</x:v>
      </x:c>
      <x:c r="I239" s="24" t="str">
        <x:v>Not Run</x:v>
      </x:c>
      <x:c r="J239" s="24" t="str"/>
      <x:c r="K239" s="24" t="str"/>
      <x:c r="L239" s="24" t="str">
        <x:v>VRM Games</x:v>
      </x:c>
      <x:c r="M239" s="24"/>
      <x:c r="N239" s="24" t="str">
        <x:v>Fila inicial; actualizar al ejecutar.</x:v>
      </x:c>
    </x:row>
    <x:row r="240">
      <x:c r="A240" s="24" t="str">
        <x:v>EXE-0236</x:v>
      </x:c>
      <x:c r="B240" s="34"/>
      <x:c r="C240" s="24" t="str"/>
      <x:c r="D240" s="24" t="str">
        <x:v>Sprint 17 / H6</x:v>
      </x:c>
      <x:c r="E240" s="24" t="str">
        <x:v>TC-ACC-001</x:v>
      </x:c>
      <x:c r="F240" s="24" t="str"/>
      <x:c r="G240" s="24" t="str">
        <x:v>Integración + Manual</x:v>
      </x:c>
      <x:c r="H240" s="24" t="str">
        <x:v>Unity 6000.3.18f1 / Windows x64</x:v>
      </x:c>
      <x:c r="I240" s="24" t="str">
        <x:v>Not Run</x:v>
      </x:c>
      <x:c r="J240" s="24" t="str"/>
      <x:c r="K240" s="24" t="str"/>
      <x:c r="L240" s="24" t="str">
        <x:v>VRM Games</x:v>
      </x:c>
      <x:c r="M240" s="24"/>
      <x:c r="N240" s="24" t="str">
        <x:v>Fila inicial; actualizar al ejecutar.</x:v>
      </x:c>
    </x:row>
    <x:row r="241">
      <x:c r="A241" s="24" t="str">
        <x:v>EXE-0237</x:v>
      </x:c>
      <x:c r="B241" s="34"/>
      <x:c r="C241" s="24" t="str"/>
      <x:c r="D241" s="24" t="str">
        <x:v>Sprint 17 / H6</x:v>
      </x:c>
      <x:c r="E241" s="24" t="str">
        <x:v>TC-ACC-002</x:v>
      </x:c>
      <x:c r="F241" s="24" t="str"/>
      <x:c r="G241" s="24" t="str">
        <x:v>Integración + Manual</x:v>
      </x:c>
      <x:c r="H241" s="24" t="str">
        <x:v>Unity 6000.3.18f1 / Windows x64</x:v>
      </x:c>
      <x:c r="I241" s="24" t="str">
        <x:v>Not Run</x:v>
      </x:c>
      <x:c r="J241" s="24" t="str"/>
      <x:c r="K241" s="24" t="str"/>
      <x:c r="L241" s="24" t="str">
        <x:v>VRM Games</x:v>
      </x:c>
      <x:c r="M241" s="24"/>
      <x:c r="N241" s="24" t="str">
        <x:v>Fila inicial; actualizar al ejecutar.</x:v>
      </x:c>
    </x:row>
    <x:row r="242">
      <x:c r="A242" s="24" t="str">
        <x:v>EXE-0238</x:v>
      </x:c>
      <x:c r="B242" s="34"/>
      <x:c r="C242" s="24" t="str"/>
      <x:c r="D242" s="24" t="str">
        <x:v>Sprint 17 / H6</x:v>
      </x:c>
      <x:c r="E242" s="24" t="str">
        <x:v>TC-ACC-003</x:v>
      </x:c>
      <x:c r="F242" s="24" t="str"/>
      <x:c r="G242" s="24" t="str">
        <x:v>Integración + Manual</x:v>
      </x:c>
      <x:c r="H242" s="24" t="str">
        <x:v>Unity 6000.3.18f1 / Windows x64</x:v>
      </x:c>
      <x:c r="I242" s="24" t="str">
        <x:v>Not Run</x:v>
      </x:c>
      <x:c r="J242" s="24" t="str"/>
      <x:c r="K242" s="24" t="str"/>
      <x:c r="L242" s="24" t="str">
        <x:v>VRM Games</x:v>
      </x:c>
      <x:c r="M242" s="24"/>
      <x:c r="N242" s="24" t="str">
        <x:v>Fila inicial; actualizar al ejecutar.</x:v>
      </x:c>
    </x:row>
    <x:row r="243">
      <x:c r="A243" s="24" t="str">
        <x:v>EXE-0239</x:v>
      </x:c>
      <x:c r="B243" s="34"/>
      <x:c r="C243" s="24" t="str"/>
      <x:c r="D243" s="24" t="str">
        <x:v>Sprint 17 / H6</x:v>
      </x:c>
      <x:c r="E243" s="24" t="str">
        <x:v>TC-LOC-001</x:v>
      </x:c>
      <x:c r="F243" s="24" t="str"/>
      <x:c r="G243" s="24" t="str">
        <x:v>Integración + Manual</x:v>
      </x:c>
      <x:c r="H243" s="24" t="str">
        <x:v>Unity 6000.3.18f1 / Windows x64</x:v>
      </x:c>
      <x:c r="I243" s="24" t="str">
        <x:v>Not Run</x:v>
      </x:c>
      <x:c r="J243" s="24" t="str"/>
      <x:c r="K243" s="24" t="str"/>
      <x:c r="L243" s="24" t="str">
        <x:v>VRM Games</x:v>
      </x:c>
      <x:c r="M243" s="24"/>
      <x:c r="N243" s="24" t="str">
        <x:v>Fila inicial; actualizar al ejecutar.</x:v>
      </x:c>
    </x:row>
    <x:row r="244">
      <x:c r="A244" s="24" t="str">
        <x:v>EXE-0240</x:v>
      </x:c>
      <x:c r="B244" s="34"/>
      <x:c r="C244" s="24" t="str"/>
      <x:c r="D244" s="24" t="str">
        <x:v>Sprint 17 / H6</x:v>
      </x:c>
      <x:c r="E244" s="24" t="str">
        <x:v>TC-LOC-002</x:v>
      </x:c>
      <x:c r="F244" s="24" t="str"/>
      <x:c r="G244" s="24" t="str">
        <x:v>Integración + Manual</x:v>
      </x:c>
      <x:c r="H244" s="24" t="str">
        <x:v>Unity 6000.3.18f1 / Windows x64</x:v>
      </x:c>
      <x:c r="I244" s="24" t="str">
        <x:v>Not Run</x:v>
      </x:c>
      <x:c r="J244" s="24" t="str"/>
      <x:c r="K244" s="24" t="str"/>
      <x:c r="L244" s="24" t="str">
        <x:v>VRM Games</x:v>
      </x:c>
      <x:c r="M244" s="24"/>
      <x:c r="N244" s="24" t="str">
        <x:v>Fila inicial; actualizar al ejecutar.</x:v>
      </x:c>
    </x:row>
    <x:row r="245">
      <x:c r="A245" s="24" t="str">
        <x:v>EXE-0241</x:v>
      </x:c>
      <x:c r="B245" s="34"/>
      <x:c r="C245" s="24" t="str"/>
      <x:c r="D245" s="24" t="str">
        <x:v>Sprint 17 / H6</x:v>
      </x:c>
      <x:c r="E245" s="24" t="str">
        <x:v>TC-RES-1080</x:v>
      </x:c>
      <x:c r="F245" s="24" t="str"/>
      <x:c r="G245" s="24" t="str">
        <x:v>Build + Manual</x:v>
      </x:c>
      <x:c r="H245" s="24" t="str">
        <x:v>Unity 6000.3.18f1 / Windows x64</x:v>
      </x:c>
      <x:c r="I245" s="24" t="str">
        <x:v>Not Run</x:v>
      </x:c>
      <x:c r="J245" s="24" t="str"/>
      <x:c r="K245" s="24" t="str"/>
      <x:c r="L245" s="24" t="str">
        <x:v>VRM Games</x:v>
      </x:c>
      <x:c r="M245" s="24"/>
      <x:c r="N245" s="24" t="str">
        <x:v>Fila inicial; actualizar al ejecutar.</x:v>
      </x:c>
    </x:row>
    <x:row r="246">
      <x:c r="A246" s="24" t="str">
        <x:v>EXE-0242</x:v>
      </x:c>
      <x:c r="B246" s="34"/>
      <x:c r="C246" s="24" t="str"/>
      <x:c r="D246" s="24" t="str">
        <x:v>Sprint 17 / H6</x:v>
      </x:c>
      <x:c r="E246" s="24" t="str">
        <x:v>TC-RES-1440</x:v>
      </x:c>
      <x:c r="F246" s="24" t="str"/>
      <x:c r="G246" s="24" t="str">
        <x:v>Build + Manual</x:v>
      </x:c>
      <x:c r="H246" s="24" t="str">
        <x:v>Unity 6000.3.18f1 / Windows x64</x:v>
      </x:c>
      <x:c r="I246" s="24" t="str">
        <x:v>Not Run</x:v>
      </x:c>
      <x:c r="J246" s="24" t="str"/>
      <x:c r="K246" s="24" t="str"/>
      <x:c r="L246" s="24" t="str">
        <x:v>VRM Games</x:v>
      </x:c>
      <x:c r="M246" s="24"/>
      <x:c r="N246" s="24" t="str">
        <x:v>Fila inicial; actualizar al ejecutar.</x:v>
      </x:c>
    </x:row>
    <x:row r="247">
      <x:c r="A247" s="24" t="str">
        <x:v>EXE-0243</x:v>
      </x:c>
      <x:c r="B247" s="34"/>
      <x:c r="C247" s="24" t="str"/>
      <x:c r="D247" s="24" t="str">
        <x:v>Sprint 17 / H6</x:v>
      </x:c>
      <x:c r="E247" s="24" t="str">
        <x:v>TC-RES-720</x:v>
      </x:c>
      <x:c r="F247" s="24" t="str"/>
      <x:c r="G247" s="24" t="str">
        <x:v>Build + Manual</x:v>
      </x:c>
      <x:c r="H247" s="24" t="str">
        <x:v>Unity 6000.3.18f1 / Windows x64</x:v>
      </x:c>
      <x:c r="I247" s="24" t="str">
        <x:v>Not Run</x:v>
      </x:c>
      <x:c r="J247" s="24" t="str"/>
      <x:c r="K247" s="24" t="str"/>
      <x:c r="L247" s="24" t="str">
        <x:v>VRM Games</x:v>
      </x:c>
      <x:c r="M247" s="24"/>
      <x:c r="N247" s="24" t="str">
        <x:v>Fila inicial; actualizar al ejecutar.</x:v>
      </x:c>
    </x:row>
    <x:row r="248">
      <x:c r="A248" s="24" t="str">
        <x:v>EXE-0244</x:v>
      </x:c>
      <x:c r="B248" s="34"/>
      <x:c r="C248" s="24" t="str"/>
      <x:c r="D248" s="24" t="str">
        <x:v>Sprint 17 / H6</x:v>
      </x:c>
      <x:c r="E248" s="24" t="str">
        <x:v>TC-INPUT-001</x:v>
      </x:c>
      <x:c r="F248" s="24" t="str"/>
      <x:c r="G248" s="24" t="str">
        <x:v>Integración + Manual</x:v>
      </x:c>
      <x:c r="H248" s="24" t="str">
        <x:v>Unity 6000.3.18f1 / Windows x64</x:v>
      </x:c>
      <x:c r="I248" s="24" t="str">
        <x:v>Not Run</x:v>
      </x:c>
      <x:c r="J248" s="24" t="str"/>
      <x:c r="K248" s="24" t="str"/>
      <x:c r="L248" s="24" t="str">
        <x:v>VRM Games</x:v>
      </x:c>
      <x:c r="M248" s="24"/>
      <x:c r="N248" s="24" t="str">
        <x:v>Fila inicial; actualizar al ejecutar.</x:v>
      </x:c>
    </x:row>
    <x:row r="249">
      <x:c r="A249" s="24" t="str">
        <x:v>EXE-0245</x:v>
      </x:c>
      <x:c r="B249" s="34"/>
      <x:c r="C249" s="24" t="str"/>
      <x:c r="D249" s="24" t="str">
        <x:v>Sprint 17 / H6</x:v>
      </x:c>
      <x:c r="E249" s="24" t="str">
        <x:v>TC-INPUT-002</x:v>
      </x:c>
      <x:c r="F249" s="24" t="str"/>
      <x:c r="G249" s="24" t="str">
        <x:v>Integración + Manual</x:v>
      </x:c>
      <x:c r="H249" s="24" t="str">
        <x:v>Unity 6000.3.18f1 / Windows x64</x:v>
      </x:c>
      <x:c r="I249" s="24" t="str">
        <x:v>Not Run</x:v>
      </x:c>
      <x:c r="J249" s="24" t="str"/>
      <x:c r="K249" s="24" t="str"/>
      <x:c r="L249" s="24" t="str">
        <x:v>VRM Games</x:v>
      </x:c>
      <x:c r="M249" s="24"/>
      <x:c r="N249" s="24" t="str">
        <x:v>Fila inicial; actualizar al ejecutar.</x:v>
      </x:c>
    </x:row>
    <x:row r="250">
      <x:c r="A250" s="24" t="str">
        <x:v>EXE-0246</x:v>
      </x:c>
      <x:c r="B250" s="34"/>
      <x:c r="C250" s="24" t="str"/>
      <x:c r="D250" s="24" t="str">
        <x:v>Sprint 17 / H6</x:v>
      </x:c>
      <x:c r="E250" s="24" t="str">
        <x:v>TC-AUDIO-001</x:v>
      </x:c>
      <x:c r="F250" s="24" t="str"/>
      <x:c r="G250" s="24" t="str">
        <x:v>Integración + Manual</x:v>
      </x:c>
      <x:c r="H250" s="24" t="str">
        <x:v>Unity 6000.3.18f1 / Windows x64</x:v>
      </x:c>
      <x:c r="I250" s="24" t="str">
        <x:v>Not Run</x:v>
      </x:c>
      <x:c r="J250" s="24" t="str"/>
      <x:c r="K250" s="24" t="str"/>
      <x:c r="L250" s="24" t="str">
        <x:v>VRM Games</x:v>
      </x:c>
      <x:c r="M250" s="24"/>
      <x:c r="N250" s="24" t="str">
        <x:v>Fila inicial; actualizar al ejecutar.</x:v>
      </x:c>
    </x:row>
    <x:row r="251">
      <x:c r="A251" s="24" t="str">
        <x:v>EXE-0247</x:v>
      </x:c>
      <x:c r="B251" s="34"/>
      <x:c r="C251" s="24" t="str"/>
      <x:c r="D251" s="24" t="str">
        <x:v>Sprint 17 / H6</x:v>
      </x:c>
      <x:c r="E251" s="24" t="str">
        <x:v>TC-AUDIO-002</x:v>
      </x:c>
      <x:c r="F251" s="24" t="str"/>
      <x:c r="G251" s="24" t="str">
        <x:v>Integración + Manual</x:v>
      </x:c>
      <x:c r="H251" s="24" t="str">
        <x:v>Unity 6000.3.18f1 / Windows x64</x:v>
      </x:c>
      <x:c r="I251" s="24" t="str">
        <x:v>Not Run</x:v>
      </x:c>
      <x:c r="J251" s="24" t="str"/>
      <x:c r="K251" s="24" t="str"/>
      <x:c r="L251" s="24" t="str">
        <x:v>VRM Games</x:v>
      </x:c>
      <x:c r="M251" s="24"/>
      <x:c r="N251" s="24" t="str">
        <x:v>Fila inicial; actualizar al ejecutar.</x:v>
      </x:c>
    </x:row>
    <x:row r="252">
      <x:c r="A252" s="24" t="str">
        <x:v>EXE-0248</x:v>
      </x:c>
      <x:c r="B252" s="34"/>
      <x:c r="C252" s="24" t="str"/>
      <x:c r="D252" s="24" t="str">
        <x:v>Sprint 17 / H6</x:v>
      </x:c>
      <x:c r="E252" s="24" t="str">
        <x:v>TC-VIS-001</x:v>
      </x:c>
      <x:c r="F252" s="24" t="str"/>
      <x:c r="G252" s="24" t="str">
        <x:v>Integración + Manual</x:v>
      </x:c>
      <x:c r="H252" s="24" t="str">
        <x:v>Unity 6000.3.18f1 / Windows x64</x:v>
      </x:c>
      <x:c r="I252" s="24" t="str">
        <x:v>Not Run</x:v>
      </x:c>
      <x:c r="J252" s="24" t="str"/>
      <x:c r="K252" s="24" t="str"/>
      <x:c r="L252" s="24" t="str">
        <x:v>VRM Games</x:v>
      </x:c>
      <x:c r="M252" s="24"/>
      <x:c r="N252" s="24" t="str">
        <x:v>Fila inicial; actualizar al ejecutar.</x:v>
      </x:c>
    </x:row>
    <x:row r="253">
      <x:c r="A253" s="24" t="str">
        <x:v>EXE-0249</x:v>
      </x:c>
      <x:c r="B253" s="34"/>
      <x:c r="C253" s="24" t="str"/>
      <x:c r="D253" s="24" t="str">
        <x:v>Sprint 17 / H6</x:v>
      </x:c>
      <x:c r="E253" s="24" t="str">
        <x:v>TC-VIS-002</x:v>
      </x:c>
      <x:c r="F253" s="24" t="str"/>
      <x:c r="G253" s="24" t="str">
        <x:v>Integración + Manual</x:v>
      </x:c>
      <x:c r="H253" s="24" t="str">
        <x:v>Unity 6000.3.18f1 / Windows x64</x:v>
      </x:c>
      <x:c r="I253" s="24" t="str">
        <x:v>Not Run</x:v>
      </x:c>
      <x:c r="J253" s="24" t="str"/>
      <x:c r="K253" s="24" t="str"/>
      <x:c r="L253" s="24" t="str">
        <x:v>VRM Games</x:v>
      </x:c>
      <x:c r="M253" s="24"/>
      <x:c r="N253" s="24" t="str">
        <x:v>Fila inicial; actualizar al ejecutar.</x:v>
      </x:c>
    </x:row>
    <x:row r="254">
      <x:c r="A254" s="24" t="str">
        <x:v>EXE-0250</x:v>
      </x:c>
      <x:c r="B254" s="34"/>
      <x:c r="C254" s="24" t="str"/>
      <x:c r="D254" s="24" t="str">
        <x:v>Sprint 17 / H6</x:v>
      </x:c>
      <x:c r="E254" s="24" t="str">
        <x:v>TC-VIS-003</x:v>
      </x:c>
      <x:c r="F254" s="24" t="str"/>
      <x:c r="G254" s="24" t="str">
        <x:v>Integración + Manual</x:v>
      </x:c>
      <x:c r="H254" s="24" t="str">
        <x:v>Unity 6000.3.18f1 / Windows x64</x:v>
      </x:c>
      <x:c r="I254" s="24" t="str">
        <x:v>Not Run</x:v>
      </x:c>
      <x:c r="J254" s="24" t="str"/>
      <x:c r="K254" s="24" t="str"/>
      <x:c r="L254" s="24" t="str">
        <x:v>VRM Games</x:v>
      </x:c>
      <x:c r="M254" s="24"/>
      <x:c r="N254" s="24" t="str">
        <x:v>Fila inicial; actualizar al ejecutar.</x:v>
      </x:c>
    </x:row>
    <x:row r="255">
      <x:c r="A255" s="24" t="str">
        <x:v>RUN-AUT-EDIT-001</x:v>
      </x:c>
      <x:c r="B255" s="34" t="n">
        <x:v>46204</x:v>
      </x:c>
      <x:c r="C255" s="24" t="str">
        <x:v>BLD-016-PRE</x:v>
      </x:c>
      <x:c r="D255" s="24" t="str">
        <x:v>Baseline v0.6</x:v>
      </x:c>
      <x:c r="E255" s="24" t="str">
        <x:v>SUITE-EDITMODE</x:v>
      </x:c>
      <x:c r="F255" s="24" t="str">
        <x:v>VS-QA-001</x:v>
      </x:c>
      <x:c r="G255" s="24" t="str">
        <x:v>EditMode</x:v>
      </x:c>
      <x:c r="H255" s="24" t="str">
        <x:v>Unity Test Runner</x:v>
      </x:c>
      <x:c r="I255" s="24" t="str">
        <x:v>PASS</x:v>
      </x:c>
      <x:c r="J255" s="24" t="str"/>
      <x:c r="K255" s="24" t="str">
        <x:v>1215/1215 PASS</x:v>
      </x:c>
      <x:c r="L255" s="24" t="str">
        <x:v>VRM Games</x:v>
      </x:c>
      <x:c r="M255" s="24"/>
      <x:c r="N255" s="24" t="str">
        <x:v>Baseline documentada</x:v>
      </x:c>
    </x:row>
    <x:row r="256">
      <x:c r="A256" s="24" t="str">
        <x:v>RUN-AUT-PLAY-001</x:v>
      </x:c>
      <x:c r="B256" s="34" t="n">
        <x:v>46204</x:v>
      </x:c>
      <x:c r="C256" s="24" t="str">
        <x:v>BLD-016-PRE</x:v>
      </x:c>
      <x:c r="D256" s="24" t="str">
        <x:v>Baseline v0.6</x:v>
      </x:c>
      <x:c r="E256" s="24" t="str">
        <x:v>SUITE-PLAYMODE</x:v>
      </x:c>
      <x:c r="F256" s="24" t="str">
        <x:v>VS-QA-001</x:v>
      </x:c>
      <x:c r="G256" s="24" t="str">
        <x:v>PlayMode</x:v>
      </x:c>
      <x:c r="H256" s="24" t="str">
        <x:v>Unity Test Runner</x:v>
      </x:c>
      <x:c r="I256" s="24" t="str">
        <x:v>PASS</x:v>
      </x:c>
      <x:c r="J256" s="24" t="str"/>
      <x:c r="K256" s="24" t="str">
        <x:v>70/70 PASS</x:v>
      </x:c>
      <x:c r="L256" s="24" t="str">
        <x:v>VRM Games</x:v>
      </x:c>
      <x:c r="M256" s="24"/>
      <x:c r="N256" s="24" t="str">
        <x:v>Baseline documentada</x:v>
      </x:c>
    </x:row>
    <x:row r="257">
      <x:c r="A257" s="24" t="str">
        <x:v>RUN-S16-P1-001</x:v>
      </x:c>
      <x:c r="B257" s="34" t="n">
        <x:v>46204</x:v>
      </x:c>
      <x:c r="C257" s="24" t="str">
        <x:v>BLD-016-PRE</x:v>
      </x:c>
      <x:c r="D257" s="24" t="str">
        <x:v>Sprint 16 Phase 1</x:v>
      </x:c>
      <x:c r="E257" s="24" t="str">
        <x:v>SUITE-S16-P1</x:v>
      </x:c>
      <x:c r="F257" s="24" t="str"/>
      <x:c r="G257" s="24" t="str">
        <x:v>PlayMode</x:v>
      </x:c>
      <x:c r="H257" s="24" t="str">
        <x:v>Unity Test Runner</x:v>
      </x:c>
      <x:c r="I257" s="24" t="str">
        <x:v>PASS</x:v>
      </x:c>
      <x:c r="J257" s="24" t="str"/>
      <x:c r="K257" s="24" t="str">
        <x:v>17/17 PASS</x:v>
      </x:c>
      <x:c r="L257" s="24" t="str">
        <x:v>VRM Games</x:v>
      </x:c>
      <x:c r="M257" s="24"/>
      <x:c r="N257" s="24" t="str">
        <x:v>Representative factory repaired</x:v>
      </x:c>
    </x:row>
    <x:row r="258">
      <x:c r="A258" s="24" t="str">
        <x:v>HIST-AC-01-0001</x:v>
      </x:c>
      <x:c r="B258" s="34"/>
      <x:c r="C258" s="24" t="str"/>
      <x:c r="D258" s="24" t="str">
        <x:v>Sprint 1 Acceptance</x:v>
      </x:c>
      <x:c r="E258" s="24" t="str">
        <x:v>AC-S1-01</x:v>
      </x:c>
      <x:c r="F258" s="24" t="str"/>
      <x:c r="G258" s="24" t="str">
        <x:v>Acceptance / Historical</x:v>
      </x:c>
      <x:c r="H258" s="24" t="str">
        <x:v>Baseline histórica</x:v>
      </x:c>
      <x:c r="I258" s="24" t="str">
        <x:v>Baseline PASS</x:v>
      </x:c>
      <x:c r="J258" s="24" t="str"/>
      <x:c r="K258" s="24" t="str">
        <x:v>Scene list + external run</x:v>
      </x:c>
      <x:c r="L258" s="24" t="str">
        <x:v>VRM Games</x:v>
      </x:c>
      <x:c r="M258" s="24"/>
      <x:c r="N258" s="24" t="str">
        <x:v>Player starts through Bootstrap index 0 — Documentation/00_Official_Baseline/v0.5/06_Development_Records/Sprints/Sprint_01/QA/S1_Acceptance_Matrix.md</x:v>
      </x:c>
    </x:row>
    <x:row r="259">
      <x:c r="A259" s="24" t="str">
        <x:v>HIST-AC-01-0002</x:v>
      </x:c>
      <x:c r="B259" s="34"/>
      <x:c r="C259" s="24" t="str"/>
      <x:c r="D259" s="24" t="str">
        <x:v>Sprint 1 Acceptance</x:v>
      </x:c>
      <x:c r="E259" s="24" t="str">
        <x:v>AC-S1-02</x:v>
      </x:c>
      <x:c r="F259" s="24" t="str"/>
      <x:c r="G259" s="24" t="str">
        <x:v>Acceptance / Historical</x:v>
      </x:c>
      <x:c r="H259" s="24" t="str">
        <x:v>Baseline histórica</x:v>
      </x:c>
      <x:c r="I259" s="24" t="str">
        <x:v>Baseline PASS</x:v>
      </x:c>
      <x:c r="J259" s="24" t="str"/>
      <x:c r="K259" s="24" t="str">
        <x:v>PlayMode/manual</x:v>
      </x:c>
      <x:c r="L259" s="24" t="str">
        <x:v>VRM Games</x:v>
      </x:c>
      <x:c r="M259" s="24"/>
      <x:c r="N259" s="24" t="str">
        <x:v>Bootstrap opens MainMenu automatically — Documentation/00_Official_Baseline/v0.5/06_Development_Records/Sprints/Sprint_01/QA/S1_Acceptance_Matrix.md</x:v>
      </x:c>
    </x:row>
    <x:row r="260">
      <x:c r="A260" s="24" t="str">
        <x:v>HIST-AC-01-0003</x:v>
      </x:c>
      <x:c r="B260" s="34"/>
      <x:c r="C260" s="24" t="str"/>
      <x:c r="D260" s="24" t="str">
        <x:v>Sprint 1 Acceptance</x:v>
      </x:c>
      <x:c r="E260" s="24" t="str">
        <x:v>AC-S1-03</x:v>
      </x:c>
      <x:c r="F260" s="24" t="str"/>
      <x:c r="G260" s="24" t="str">
        <x:v>Acceptance / Historical</x:v>
      </x:c>
      <x:c r="H260" s="24" t="str">
        <x:v>Baseline histórica</x:v>
      </x:c>
      <x:c r="I260" s="24" t="str">
        <x:v>Baseline PASS</x:v>
      </x:c>
      <x:c r="J260" s="24" t="str"/>
      <x:c r="K260" s="24" t="str">
        <x:v>PlayMode</x:v>
      </x:c>
      <x:c r="L260" s="24" t="str">
        <x:v>VRM Games</x:v>
      </x:c>
      <x:c r="M260" s="24"/>
      <x:c r="N260" s="24" t="str">
        <x:v>Exactly one ApplicationRoot persists — Documentation/00_Official_Baseline/v0.5/06_Development_Records/Sprints/Sprint_01/QA/S1_Acceptance_Matrix.md</x:v>
      </x:c>
    </x:row>
    <x:row r="261">
      <x:c r="A261" s="24" t="str">
        <x:v>HIST-AC-01-0004</x:v>
      </x:c>
      <x:c r="B261" s="34"/>
      <x:c r="C261" s="24" t="str"/>
      <x:c r="D261" s="24" t="str">
        <x:v>Sprint 1 Acceptance</x:v>
      </x:c>
      <x:c r="E261" s="24" t="str">
        <x:v>AC-S1-04</x:v>
      </x:c>
      <x:c r="F261" s="24" t="str"/>
      <x:c r="G261" s="24" t="str">
        <x:v>Acceptance / Historical</x:v>
      </x:c>
      <x:c r="H261" s="24" t="str">
        <x:v>Baseline histórica</x:v>
      </x:c>
      <x:c r="I261" s="24" t="str">
        <x:v>Baseline PASS</x:v>
      </x:c>
      <x:c r="J261" s="24" t="str"/>
      <x:c r="K261" s="24" t="str">
        <x:v>PlayMode/manual</x:v>
      </x:c>
      <x:c r="L261" s="24" t="str">
        <x:v>VRM Games</x:v>
      </x:c>
      <x:c r="M261" s="24"/>
      <x:c r="N261" s="24" t="str">
        <x:v>MainMenu enters Store — Documentation/00_Official_Baseline/v0.5/06_Development_Records/Sprints/Sprint_01/QA/S1_Acceptance_Matrix.md</x:v>
      </x:c>
    </x:row>
    <x:row r="262">
      <x:c r="A262" s="24" t="str">
        <x:v>HIST-AC-01-0005</x:v>
      </x:c>
      <x:c r="B262" s="34"/>
      <x:c r="C262" s="24" t="str"/>
      <x:c r="D262" s="24" t="str">
        <x:v>Sprint 1 Acceptance</x:v>
      </x:c>
      <x:c r="E262" s="24" t="str">
        <x:v>AC-S1-05</x:v>
      </x:c>
      <x:c r="F262" s="24" t="str"/>
      <x:c r="G262" s="24" t="str">
        <x:v>Acceptance / Historical</x:v>
      </x:c>
      <x:c r="H262" s="24" t="str">
        <x:v>Baseline histórica</x:v>
      </x:c>
      <x:c r="I262" s="24" t="str">
        <x:v>Baseline PASS</x:v>
      </x:c>
      <x:c r="J262" s="24" t="str"/>
      <x:c r="K262" s="24" t="str">
        <x:v>PlayMode/manual</x:v>
      </x:c>
      <x:c r="L262" s="24" t="str">
        <x:v>VRM Games</x:v>
      </x:c>
      <x:c r="M262" s="24"/>
      <x:c r="N262" s="24" t="str">
        <x:v>Store returns to MainMenu — Documentation/00_Official_Baseline/v0.5/06_Development_Records/Sprints/Sprint_01/QA/S1_Acceptance_Matrix.md</x:v>
      </x:c>
    </x:row>
    <x:row r="263">
      <x:c r="A263" s="24" t="str">
        <x:v>HIST-AC-01-0006</x:v>
      </x:c>
      <x:c r="B263" s="34"/>
      <x:c r="C263" s="24" t="str"/>
      <x:c r="D263" s="24" t="str">
        <x:v>Sprint 1 Acceptance</x:v>
      </x:c>
      <x:c r="E263" s="24" t="str">
        <x:v>AC-S1-06</x:v>
      </x:c>
      <x:c r="F263" s="24" t="str"/>
      <x:c r="G263" s="24" t="str">
        <x:v>Acceptance / Historical</x:v>
      </x:c>
      <x:c r="H263" s="24" t="str">
        <x:v>Baseline histórica</x:v>
      </x:c>
      <x:c r="I263" s="24" t="str">
        <x:v>Baseline PASS</x:v>
      </x:c>
      <x:c r="J263" s="24" t="str"/>
      <x:c r="K263" s="24" t="str">
        <x:v>EditMode/PlayMode</x:v>
      </x:c>
      <x:c r="L263" s="24" t="str">
        <x:v>VRM Games</x:v>
      </x:c>
      <x:c r="M263" s="24"/>
      <x:c r="N263" s="24" t="str">
        <x:v>Concurrent transitions are rejected — Documentation/00_Official_Baseline/v0.5/06_Development_Records/Sprints/Sprint_01/QA/S1_Acceptance_Matrix.md</x:v>
      </x:c>
    </x:row>
    <x:row r="264">
      <x:c r="A264" s="24" t="str">
        <x:v>HIST-AC-01-0007</x:v>
      </x:c>
      <x:c r="B264" s="34"/>
      <x:c r="C264" s="24" t="str"/>
      <x:c r="D264" s="24" t="str">
        <x:v>Sprint 1 Acceptance</x:v>
      </x:c>
      <x:c r="E264" s="24" t="str">
        <x:v>AC-S1-07</x:v>
      </x:c>
      <x:c r="F264" s="24" t="str"/>
      <x:c r="G264" s="24" t="str">
        <x:v>Acceptance / Historical</x:v>
      </x:c>
      <x:c r="H264" s="24" t="str">
        <x:v>Baseline histórica</x:v>
      </x:c>
      <x:c r="I264" s="24" t="str">
        <x:v>Baseline PASS</x:v>
      </x:c>
      <x:c r="J264" s="24" t="str"/>
      <x:c r="K264" s="24" t="str">
        <x:v>PlayMode</x:v>
      </x:c>
      <x:c r="L264" s="24" t="str">
        <x:v>VRM Games</x:v>
      </x:c>
      <x:c r="M264" s="24"/>
      <x:c r="N264" s="24" t="str">
        <x:v>TestLab remains loadable and outside user flow — Documentation/00_Official_Baseline/v0.5/06_Development_Records/Sprints/Sprint_01/QA/S1_Acceptance_Matrix.md</x:v>
      </x:c>
    </x:row>
    <x:row r="265">
      <x:c r="A265" s="24" t="str">
        <x:v>HIST-AC-01-0008</x:v>
      </x:c>
      <x:c r="B265" s="34"/>
      <x:c r="C265" s="24" t="str"/>
      <x:c r="D265" s="24" t="str">
        <x:v>Sprint 1 Acceptance</x:v>
      </x:c>
      <x:c r="E265" s="24" t="str">
        <x:v>AC-S1-08</x:v>
      </x:c>
      <x:c r="F265" s="24" t="str"/>
      <x:c r="G265" s="24" t="str">
        <x:v>Acceptance / Historical</x:v>
      </x:c>
      <x:c r="H265" s="24" t="str">
        <x:v>Baseline histórica</x:v>
      </x:c>
      <x:c r="I265" s="24" t="str">
        <x:v>Baseline PASS</x:v>
      </x:c>
      <x:c r="J265" s="24" t="str"/>
      <x:c r="K265" s="24" t="str">
        <x:v>EditMode</x:v>
      </x:c>
      <x:c r="L265" s="24" t="str">
        <x:v>VRM Games</x:v>
      </x:c>
      <x:c r="M265" s="24"/>
      <x:c r="N265" s="24" t="str">
        <x:v>Scene indexes remain 0–3 — Documentation/00_Official_Baseline/v0.5/06_Development_Records/Sprints/Sprint_01/QA/S1_Acceptance_Matrix.md</x:v>
      </x:c>
    </x:row>
    <x:row r="266">
      <x:c r="A266" s="24" t="str">
        <x:v>HIST-AC-01-0009</x:v>
      </x:c>
      <x:c r="B266" s="34"/>
      <x:c r="C266" s="24" t="str"/>
      <x:c r="D266" s="24" t="str">
        <x:v>Sprint 1 Acceptance</x:v>
      </x:c>
      <x:c r="E266" s="24" t="str">
        <x:v>AC-S1-09</x:v>
      </x:c>
      <x:c r="F266" s="24" t="str"/>
      <x:c r="G266" s="24" t="str">
        <x:v>Acceptance / Historical</x:v>
      </x:c>
      <x:c r="H266" s="24" t="str">
        <x:v>Baseline histórica</x:v>
      </x:c>
      <x:c r="I266" s="24" t="str">
        <x:v>Baseline PASS</x:v>
      </x:c>
      <x:c r="J266" s="24" t="str"/>
      <x:c r="K266" s="24" t="str">
        <x:v>EditMode/inspection</x:v>
      </x:c>
      <x:c r="L266" s="24" t="str">
        <x:v>VRM Games</x:v>
      </x:c>
      <x:c r="M266" s="24"/>
      <x:c r="N266" s="24" t="str">
        <x:v>No new asmdef or circular dependency — Documentation/00_Official_Baseline/v0.5/06_Development_Records/Sprints/Sprint_01/QA/S1_Acceptance_Matrix.md</x:v>
      </x:c>
    </x:row>
    <x:row r="267">
      <x:c r="A267" s="24" t="str">
        <x:v>HIST-AC-01-0010</x:v>
      </x:c>
      <x:c r="B267" s="34"/>
      <x:c r="C267" s="24" t="str"/>
      <x:c r="D267" s="24" t="str">
        <x:v>Sprint 1 Acceptance</x:v>
      </x:c>
      <x:c r="E267" s="24" t="str">
        <x:v>AC-S1-10</x:v>
      </x:c>
      <x:c r="F267" s="24" t="str"/>
      <x:c r="G267" s="24" t="str">
        <x:v>Acceptance / Historical</x:v>
      </x:c>
      <x:c r="H267" s="24" t="str">
        <x:v>Baseline histórica</x:v>
      </x:c>
      <x:c r="I267" s="24" t="str">
        <x:v>Baseline PASS</x:v>
      </x:c>
      <x:c r="J267" s="24" t="str"/>
      <x:c r="K267" s="24" t="str">
        <x:v>Code review</x:v>
      </x:c>
      <x:c r="L267" s="24" t="str">
        <x:v>VRM Games</x:v>
      </x:c>
      <x:c r="M267" s="24"/>
      <x:c r="N267" s="24" t="str">
        <x:v>Movement, camera gameplay, NavMesh and save remain out of scope — Documentation/00_Official_Baseline/v0.5/06_Development_Records/Sprints/Sprint_01/QA/S1_Acceptance_Matrix.md</x:v>
      </x:c>
    </x:row>
    <x:row r="268">
      <x:c r="A268" s="24" t="str">
        <x:v>HIST-AC-01-0011</x:v>
      </x:c>
      <x:c r="B268" s="34"/>
      <x:c r="C268" s="24" t="str"/>
      <x:c r="D268" s="24" t="str">
        <x:v>Sprint 1 Acceptance</x:v>
      </x:c>
      <x:c r="E268" s="24" t="str">
        <x:v>AC-S1-11</x:v>
      </x:c>
      <x:c r="F268" s="24" t="str"/>
      <x:c r="G268" s="24" t="str">
        <x:v>Acceptance / Historical</x:v>
      </x:c>
      <x:c r="H268" s="24" t="str">
        <x:v>Baseline histórica</x:v>
      </x:c>
      <x:c r="I268" s="24" t="str">
        <x:v>Baseline PASS</x:v>
      </x:c>
      <x:c r="J268" s="24" t="str"/>
      <x:c r="K268" s="24" t="str">
        <x:v>6 EditMode + 8 PlayMode</x:v>
      </x:c>
      <x:c r="L268" s="24" t="str">
        <x:v>VRM Games</x:v>
      </x:c>
      <x:c r="M268" s="24"/>
      <x:c r="N268" s="24" t="str">
        <x:v>Automatic suite passes in final implementation state — Documentation/00_Official_Baseline/v0.5/06_Development_Records/Sprints/Sprint_01/QA/S1_Acceptance_Matrix.md</x:v>
      </x:c>
    </x:row>
    <x:row r="269">
      <x:c r="A269" s="24" t="str">
        <x:v>HIST-AC-01-0012</x:v>
      </x:c>
      <x:c r="B269" s="34"/>
      <x:c r="C269" s="24" t="str"/>
      <x:c r="D269" s="24" t="str">
        <x:v>Sprint 1 Acceptance</x:v>
      </x:c>
      <x:c r="E269" s="24" t="str">
        <x:v>AC-S1-12</x:v>
      </x:c>
      <x:c r="F269" s="24" t="str"/>
      <x:c r="G269" s="24" t="str">
        <x:v>Acceptance / Historical</x:v>
      </x:c>
      <x:c r="H269" s="24" t="str">
        <x:v>Baseline histórica</x:v>
      </x:c>
      <x:c r="I269" s="24" t="str">
        <x:v>Baseline PASS</x:v>
      </x:c>
      <x:c r="J269" s="24" t="str"/>
      <x:c r="K269" s="24" t="str">
        <x:v>External build run</x:v>
      </x:c>
      <x:c r="L269" s="24" t="str">
        <x:v>VRM Games</x:v>
      </x:c>
      <x:c r="M269" s="24"/>
      <x:c r="N269" s="24" t="str">
        <x:v>Windows Player completes the round trip — Documentation/00_Official_Baseline/v0.5/06_Development_Records/Sprints/Sprint_01/QA/S1_Acceptance_Matrix.md</x:v>
      </x:c>
    </x:row>
    <x:row r="270">
      <x:c r="A270" s="24" t="str">
        <x:v>HIST-AC-01-0013</x:v>
      </x:c>
      <x:c r="B270" s="34"/>
      <x:c r="C270" s="24" t="str"/>
      <x:c r="D270" s="24" t="str">
        <x:v>Sprint 1 Acceptance</x:v>
      </x:c>
      <x:c r="E270" s="24" t="str">
        <x:v>AC-S1-13</x:v>
      </x:c>
      <x:c r="F270" s="24" t="str"/>
      <x:c r="G270" s="24" t="str">
        <x:v>Acceptance / Historical</x:v>
      </x:c>
      <x:c r="H270" s="24" t="str">
        <x:v>Baseline histórica</x:v>
      </x:c>
      <x:c r="I270" s="24" t="str">
        <x:v>Historical</x:v>
      </x:c>
      <x:c r="J270" s="24" t="str"/>
      <x:c r="K270" s="24" t="str">
        <x:v>Successful external run; log review not triggered under ADR-0010 | NOT REQUIRED</x:v>
      </x:c>
      <x:c r="L270" s="24" t="str">
        <x:v>VRM Games</x:v>
      </x:c>
      <x:c r="M270" s="24"/>
      <x:c r="N270" s="24" t="str">
        <x:v>Player diagnostics contain no known blocking failure — Documentation/00_Official_Baseline/v0.5/06_Development_Records/Sprints/Sprint_01/QA/S1_Acceptance_Matrix.md</x:v>
      </x:c>
    </x:row>
    <x:row r="271">
      <x:c r="A271" s="24" t="str">
        <x:v>HIST-AC-01-0014</x:v>
      </x:c>
      <x:c r="B271" s="34"/>
      <x:c r="C271" s="24" t="str"/>
      <x:c r="D271" s="24" t="str">
        <x:v>Sprint 1 Acceptance</x:v>
      </x:c>
      <x:c r="E271" s="24" t="str">
        <x:v>AC-S1-14</x:v>
      </x:c>
      <x:c r="F271" s="24" t="str"/>
      <x:c r="G271" s="24" t="str">
        <x:v>Acceptance / Historical</x:v>
      </x:c>
      <x:c r="H271" s="24" t="str">
        <x:v>Baseline histórica</x:v>
      </x:c>
      <x:c r="I271" s="24" t="str">
        <x:v>Baseline PASS</x:v>
      </x:c>
      <x:c r="J271" s="24" t="str"/>
      <x:c r="K271" s="24" t="str">
        <x:v>Closure review</x:v>
      </x:c>
      <x:c r="L271" s="24" t="str">
        <x:v>VRM Games</x:v>
      </x:c>
      <x:c r="M271" s="24"/>
      <x:c r="N271" s="24" t="str">
        <x:v>No open S0/S1 defect — Documentation/00_Official_Baseline/v0.5/06_Development_Records/Sprints/Sprint_01/QA/S1_Acceptance_Matrix.md</x:v>
      </x:c>
    </x:row>
    <x:row r="272">
      <x:c r="A272" s="24" t="str">
        <x:v>HIST-AC-01-0015</x:v>
      </x:c>
      <x:c r="B272" s="34"/>
      <x:c r="C272" s="24" t="str"/>
      <x:c r="D272" s="24" t="str">
        <x:v>Sprint 1 Acceptance</x:v>
      </x:c>
      <x:c r="E272" s="24" t="str">
        <x:v>AC-S1-15</x:v>
      </x:c>
      <x:c r="F272" s="24" t="str"/>
      <x:c r="G272" s="24" t="str">
        <x:v>Acceptance / Historical</x:v>
      </x:c>
      <x:c r="H272" s="24" t="str">
        <x:v>Baseline histórica</x:v>
      </x:c>
      <x:c r="I272" s="24" t="str">
        <x:v>Baseline PASS</x:v>
      </x:c>
      <x:c r="J272" s="24" t="str"/>
      <x:c r="K272" s="24" t="str">
        <x:v>Sprint 01 closure package</x:v>
      </x:c>
      <x:c r="L272" s="24" t="str">
        <x:v>VRM Games</x:v>
      </x:c>
      <x:c r="M272" s="24"/>
      <x:c r="N272" s="24" t="str">
        <x:v>QA, traceability, ADR and records updated — Documentation/00_Official_Baseline/v0.5/06_Development_Records/Sprints/Sprint_01/QA/S1_Acceptance_Matrix.md</x:v>
      </x:c>
    </x:row>
    <x:row r="273">
      <x:c r="A273" s="24" t="str">
        <x:v>HIST-AC-01-0016</x:v>
      </x:c>
      <x:c r="B273" s="34"/>
      <x:c r="C273" s="24" t="str"/>
      <x:c r="D273" s="24" t="str">
        <x:v>Sprint 1 Acceptance</x:v>
      </x:c>
      <x:c r="E273" s="24" t="str">
        <x:v>AC-S1-16</x:v>
      </x:c>
      <x:c r="F273" s="24" t="str"/>
      <x:c r="G273" s="24" t="str">
        <x:v>Acceptance / Historical</x:v>
      </x:c>
      <x:c r="H273" s="24" t="str">
        <x:v>Baseline histórica</x:v>
      </x:c>
      <x:c r="I273" s="24" t="str">
        <x:v>Baseline PASS</x:v>
      </x:c>
      <x:c r="J273" s="24" t="str"/>
      <x:c r="K273" s="24" t="str">
        <x:v>Repository review</x:v>
      </x:c>
      <x:c r="L273" s="24" t="str">
        <x:v>VRM Games</x:v>
      </x:c>
      <x:c r="M273" s="24"/>
      <x:c r="N273" s="24" t="str">
        <x:v>No build, cache or local log is versioned — Documentation/00_Official_Baseline/v0.5/06_Development_Records/Sprints/Sprint_01/QA/S1_Acceptance_Matrix.md</x:v>
      </x:c>
    </x:row>
    <x:row r="274">
      <x:c r="A274" s="24" t="str">
        <x:v>HIST-AC-02-0017</x:v>
      </x:c>
      <x:c r="B274" s="34"/>
      <x:c r="C274" s="24" t="str"/>
      <x:c r="D274" s="24" t="str">
        <x:v>Sprint 2 Acceptance</x:v>
      </x:c>
      <x:c r="E274" s="24" t="str">
        <x:v>AC-S2-01</x:v>
      </x:c>
      <x:c r="F274" s="24" t="str"/>
      <x:c r="G274" s="24" t="str">
        <x:v>Acceptance / Historical</x:v>
      </x:c>
      <x:c r="H274" s="24" t="str">
        <x:v>Baseline histórica</x:v>
      </x:c>
      <x:c r="I274" s="24" t="str">
        <x:v>Baseline PASS</x:v>
      </x:c>
      <x:c r="J274" s="24" t="str"/>
      <x:c r="K274" s="24" t="str">
        <x:v>EditMode</x:v>
      </x:c>
      <x:c r="L274" s="24" t="str">
        <x:v>VRM Games</x:v>
      </x:c>
      <x:c r="M274" s="24"/>
      <x:c r="N274" s="24" t="str">
        <x:v>Stable IDs reject malformed values — Documentation/00_Official_Baseline/v0.5/06_Development_Records/Sprints/Sprint_02/QA/S2_Acceptance_Matrix.md</x:v>
      </x:c>
    </x:row>
    <x:row r="275">
      <x:c r="A275" s="24" t="str">
        <x:v>HIST-AC-02-0018</x:v>
      </x:c>
      <x:c r="B275" s="34"/>
      <x:c r="C275" s="24" t="str"/>
      <x:c r="D275" s="24" t="str">
        <x:v>Sprint 2 Acceptance</x:v>
      </x:c>
      <x:c r="E275" s="24" t="str">
        <x:v>AC-S2-02</x:v>
      </x:c>
      <x:c r="F275" s="24" t="str"/>
      <x:c r="G275" s="24" t="str">
        <x:v>Acceptance / Historical</x:v>
      </x:c>
      <x:c r="H275" s="24" t="str">
        <x:v>Baseline histórica</x:v>
      </x:c>
      <x:c r="I275" s="24" t="str">
        <x:v>Baseline PASS</x:v>
      </x:c>
      <x:c r="J275" s="24" t="str"/>
      <x:c r="K275" s="24" t="str">
        <x:v>EditMode</x:v>
      </x:c>
      <x:c r="L275" s="24" t="str">
        <x:v>VRM Games</x:v>
      </x:c>
      <x:c r="M275" s="24"/>
      <x:c r="N275" s="24" t="str">
        <x:v>Slots are limited to 0–2 — Documentation/00_Official_Baseline/v0.5/06_Development_Records/Sprints/Sprint_02/QA/S2_Acceptance_Matrix.md</x:v>
      </x:c>
    </x:row>
    <x:row r="276">
      <x:c r="A276" s="24" t="str">
        <x:v>HIST-AC-02-0019</x:v>
      </x:c>
      <x:c r="B276" s="34"/>
      <x:c r="C276" s="24" t="str"/>
      <x:c r="D276" s="24" t="str">
        <x:v>Sprint 2 Acceptance</x:v>
      </x:c>
      <x:c r="E276" s="24" t="str">
        <x:v>AC-S2-03</x:v>
      </x:c>
      <x:c r="F276" s="24" t="str"/>
      <x:c r="G276" s="24" t="str">
        <x:v>Acceptance / Historical</x:v>
      </x:c>
      <x:c r="H276" s="24" t="str">
        <x:v>Baseline histórica</x:v>
      </x:c>
      <x:c r="I276" s="24" t="str">
        <x:v>Baseline PASS</x:v>
      </x:c>
      <x:c r="J276" s="24" t="str"/>
      <x:c r="K276" s="24" t="str">
        <x:v>EditMode</x:v>
      </x:c>
      <x:c r="L276" s="24" t="str">
        <x:v>VRM Games</x:v>
      </x:c>
      <x:c r="M276" s="24"/>
      <x:c r="N276" s="24" t="str">
        <x:v>New session has day 1 and zero cash — Documentation/00_Official_Baseline/v0.5/06_Development_Records/Sprints/Sprint_02/QA/S2_Acceptance_Matrix.md</x:v>
      </x:c>
    </x:row>
    <x:row r="277">
      <x:c r="A277" s="24" t="str">
        <x:v>HIST-AC-02-0020</x:v>
      </x:c>
      <x:c r="B277" s="34"/>
      <x:c r="C277" s="24" t="str"/>
      <x:c r="D277" s="24" t="str">
        <x:v>Sprint 2 Acceptance</x:v>
      </x:c>
      <x:c r="E277" s="24" t="str">
        <x:v>AC-S2-04</x:v>
      </x:c>
      <x:c r="F277" s="24" t="str"/>
      <x:c r="G277" s="24" t="str">
        <x:v>Acceptance / Historical</x:v>
      </x:c>
      <x:c r="H277" s="24" t="str">
        <x:v>Baseline histórica</x:v>
      </x:c>
      <x:c r="I277" s="24" t="str">
        <x:v>Baseline PASS</x:v>
      </x:c>
      <x:c r="J277" s="24" t="str"/>
      <x:c r="K277" s="24" t="str">
        <x:v>EditMode</x:v>
      </x:c>
      <x:c r="L277" s="24" t="str">
        <x:v>VRM Games</x:v>
      </x:c>
      <x:c r="M277" s="24"/>
      <x:c r="N277" s="24" t="str">
        <x:v>Snapshot round trip preserves state — Documentation/00_Official_Baseline/v0.5/06_Development_Records/Sprints/Sprint_02/QA/S2_Acceptance_Matrix.md</x:v>
      </x:c>
    </x:row>
    <x:row r="278">
      <x:c r="A278" s="24" t="str">
        <x:v>HIST-AC-02-0021</x:v>
      </x:c>
      <x:c r="B278" s="34"/>
      <x:c r="C278" s="24" t="str"/>
      <x:c r="D278" s="24" t="str">
        <x:v>Sprint 2 Acceptance</x:v>
      </x:c>
      <x:c r="E278" s="24" t="str">
        <x:v>AC-S2-05</x:v>
      </x:c>
      <x:c r="F278" s="24" t="str"/>
      <x:c r="G278" s="24" t="str">
        <x:v>Acceptance / Historical</x:v>
      </x:c>
      <x:c r="H278" s="24" t="str">
        <x:v>Baseline histórica</x:v>
      </x:c>
      <x:c r="I278" s="24" t="str">
        <x:v>Baseline PASS</x:v>
      </x:c>
      <x:c r="J278" s="24" t="str"/>
      <x:c r="K278" s="24" t="str">
        <x:v>EditMode</x:v>
      </x:c>
      <x:c r="L278" s="24" t="str">
        <x:v>VRM Games</x:v>
      </x:c>
      <x:c r="M278" s="24"/>
      <x:c r="N278" s="24" t="str">
        <x:v>Save/load/delete slot lifecycle works — Documentation/00_Official_Baseline/v0.5/06_Development_Records/Sprints/Sprint_02/QA/S2_Acceptance_Matrix.md</x:v>
      </x:c>
    </x:row>
    <x:row r="279">
      <x:c r="A279" s="24" t="str">
        <x:v>HIST-AC-02-0022</x:v>
      </x:c>
      <x:c r="B279" s="34"/>
      <x:c r="C279" s="24" t="str"/>
      <x:c r="D279" s="24" t="str">
        <x:v>Sprint 2 Acceptance</x:v>
      </x:c>
      <x:c r="E279" s="24" t="str">
        <x:v>AC-S2-06</x:v>
      </x:c>
      <x:c r="F279" s="24" t="str"/>
      <x:c r="G279" s="24" t="str">
        <x:v>Acceptance / Historical</x:v>
      </x:c>
      <x:c r="H279" s="24" t="str">
        <x:v>Baseline histórica</x:v>
      </x:c>
      <x:c r="I279" s="24" t="str">
        <x:v>Baseline PASS</x:v>
      </x:c>
      <x:c r="J279" s="24" t="str"/>
      <x:c r="K279" s="24" t="str">
        <x:v>EditMode</x:v>
      </x:c>
      <x:c r="L279" s="24" t="str">
        <x:v>VRM Games</x:v>
      </x:c>
      <x:c r="M279" s="24"/>
      <x:c r="N279" s="24" t="str">
        <x:v>JSON repository round trips a file — Documentation/00_Official_Baseline/v0.5/06_Development_Records/Sprints/Sprint_02/QA/S2_Acceptance_Matrix.md</x:v>
      </x:c>
    </x:row>
    <x:row r="280">
      <x:c r="A280" s="24" t="str">
        <x:v>HIST-AC-02-0023</x:v>
      </x:c>
      <x:c r="B280" s="34"/>
      <x:c r="C280" s="24" t="str"/>
      <x:c r="D280" s="24" t="str">
        <x:v>Sprint 2 Acceptance</x:v>
      </x:c>
      <x:c r="E280" s="24" t="str">
        <x:v>AC-S2-07</x:v>
      </x:c>
      <x:c r="F280" s="24" t="str"/>
      <x:c r="G280" s="24" t="str">
        <x:v>Acceptance / Historical</x:v>
      </x:c>
      <x:c r="H280" s="24" t="str">
        <x:v>Baseline histórica</x:v>
      </x:c>
      <x:c r="I280" s="24" t="str">
        <x:v>Baseline PASS</x:v>
      </x:c>
      <x:c r="J280" s="24" t="str"/>
      <x:c r="K280" s="24" t="str">
        <x:v>PlayMode</x:v>
      </x:c>
      <x:c r="L280" s="24" t="str">
        <x:v>VRM Games</x:v>
      </x:c>
      <x:c r="M280" s="24"/>
      <x:c r="N280" s="24" t="str">
        <x:v>Bootstrap creates one active session — Documentation/00_Official_Baseline/v0.5/06_Development_Records/Sprints/Sprint_02/QA/S2_Acceptance_Matrix.md</x:v>
      </x:c>
    </x:row>
    <x:row r="281">
      <x:c r="A281" s="24" t="str">
        <x:v>HIST-AC-02-0024</x:v>
      </x:c>
      <x:c r="B281" s="34"/>
      <x:c r="C281" s="24" t="str"/>
      <x:c r="D281" s="24" t="str">
        <x:v>Sprint 2 Acceptance</x:v>
      </x:c>
      <x:c r="E281" s="24" t="str">
        <x:v>AC-S2-08</x:v>
      </x:c>
      <x:c r="F281" s="24" t="str"/>
      <x:c r="G281" s="24" t="str">
        <x:v>Acceptance / Historical</x:v>
      </x:c>
      <x:c r="H281" s="24" t="str">
        <x:v>Baseline histórica</x:v>
      </x:c>
      <x:c r="I281" s="24" t="str">
        <x:v>Baseline PASS</x:v>
      </x:c>
      <x:c r="J281" s="24" t="str"/>
      <x:c r="K281" s="24" t="str">
        <x:v>PlayMode</x:v>
      </x:c>
      <x:c r="L281" s="24" t="str">
        <x:v>VRM Games</x:v>
      </x:c>
      <x:c r="M281" s="24"/>
      <x:c r="N281" s="24" t="str">
        <x:v>Session identity survives scene transition — Documentation/00_Official_Baseline/v0.5/06_Development_Records/Sprints/Sprint_02/QA/S2_Acceptance_Matrix.md</x:v>
      </x:c>
    </x:row>
    <x:row r="282">
      <x:c r="A282" s="24" t="str">
        <x:v>HIST-AC-02-0025</x:v>
      </x:c>
      <x:c r="B282" s="34"/>
      <x:c r="C282" s="24" t="str"/>
      <x:c r="D282" s="24" t="str">
        <x:v>Sprint 2 Acceptance</x:v>
      </x:c>
      <x:c r="E282" s="24" t="str">
        <x:v>AC-S2-09</x:v>
      </x:c>
      <x:c r="F282" s="24" t="str"/>
      <x:c r="G282" s="24" t="str">
        <x:v>Acceptance / Historical</x:v>
      </x:c>
      <x:c r="H282" s="24" t="str">
        <x:v>Baseline histórica</x:v>
      </x:c>
      <x:c r="I282" s="24" t="str">
        <x:v>Baseline PASS</x:v>
      </x:c>
      <x:c r="J282" s="24" t="str"/>
      <x:c r="K282" s="24" t="str">
        <x:v>Regression</x:v>
      </x:c>
      <x:c r="L282" s="24" t="str">
        <x:v>VRM Games</x:v>
      </x:c>
      <x:c r="M282" s="24"/>
      <x:c r="N282" s="24" t="str">
        <x:v>Existing Sprint 1 scene flow remains green — Documentation/00_Official_Baseline/v0.5/06_Development_Records/Sprints/Sprint_02/QA/S2_Acceptance_Matrix.md</x:v>
      </x:c>
    </x:row>
    <x:row r="283">
      <x:c r="A283" s="24" t="str">
        <x:v>HIST-AC-02-0026</x:v>
      </x:c>
      <x:c r="B283" s="34"/>
      <x:c r="C283" s="24" t="str"/>
      <x:c r="D283" s="24" t="str">
        <x:v>Sprint 2 Acceptance</x:v>
      </x:c>
      <x:c r="E283" s="24" t="str">
        <x:v>AC-S2-10</x:v>
      </x:c>
      <x:c r="F283" s="24" t="str"/>
      <x:c r="G283" s="24" t="str">
        <x:v>Acceptance / Historical</x:v>
      </x:c>
      <x:c r="H283" s="24" t="str">
        <x:v>Baseline histórica</x:v>
      </x:c>
      <x:c r="I283" s="24" t="str">
        <x:v>Baseline PASS</x:v>
      </x:c>
      <x:c r="J283" s="24" t="str"/>
      <x:c r="K283" s="24" t="str">
        <x:v>Inspection</x:v>
      </x:c>
      <x:c r="L283" s="24" t="str">
        <x:v>VRM Games</x:v>
      </x:c>
      <x:c r="M283" s="24"/>
      <x:c r="N283" s="24" t="str">
        <x:v>No save UI or out-of-scope gameplay added — Documentation/00_Official_Baseline/v0.5/06_Development_Records/Sprints/Sprint_02/QA/S2_Acceptance_Matrix.md</x:v>
      </x:c>
    </x:row>
    <x:row r="284">
      <x:c r="A284" s="24" t="str">
        <x:v>HIST-AC-02-0027</x:v>
      </x:c>
      <x:c r="B284" s="34"/>
      <x:c r="C284" s="24" t="str"/>
      <x:c r="D284" s="24" t="str">
        <x:v>Sprint 2 Acceptance</x:v>
      </x:c>
      <x:c r="E284" s="24" t="str">
        <x:v>AC-S2-11</x:v>
      </x:c>
      <x:c r="F284" s="24" t="str"/>
      <x:c r="G284" s="24" t="str">
        <x:v>Acceptance / Historical</x:v>
      </x:c>
      <x:c r="H284" s="24" t="str">
        <x:v>Baseline histórica</x:v>
      </x:c>
      <x:c r="I284" s="24" t="str">
        <x:v>Baseline PASS</x:v>
      </x:c>
      <x:c r="J284" s="24" t="str"/>
      <x:c r="K284" s="24" t="str">
        <x:v>Manual</x:v>
      </x:c>
      <x:c r="L284" s="24" t="str">
        <x:v>VRM Games</x:v>
      </x:c>
      <x:c r="M284" s="24"/>
      <x:c r="N284" s="24" t="str">
        <x:v>Windows build and external run pass — Documentation/00_Official_Baseline/v0.5/06_Development_Records/Sprints/Sprint_02/QA/S2_Acceptance_Matrix.md</x:v>
      </x:c>
    </x:row>
    <x:row r="285">
      <x:c r="A285" s="24" t="str">
        <x:v>HIST-AC-02-0028</x:v>
      </x:c>
      <x:c r="B285" s="34"/>
      <x:c r="C285" s="24" t="str"/>
      <x:c r="D285" s="24" t="str">
        <x:v>Sprint 2 Acceptance</x:v>
      </x:c>
      <x:c r="E285" s="24" t="str">
        <x:v>AC-S2-12</x:v>
      </x:c>
      <x:c r="F285" s="24" t="str"/>
      <x:c r="G285" s="24" t="str">
        <x:v>Acceptance / Historical</x:v>
      </x:c>
      <x:c r="H285" s="24" t="str">
        <x:v>Baseline histórica</x:v>
      </x:c>
      <x:c r="I285" s="24" t="str">
        <x:v>Baseline PASS</x:v>
      </x:c>
      <x:c r="J285" s="24" t="str"/>
      <x:c r="K285" s="24" t="str">
        <x:v>Document audit</x:v>
      </x:c>
      <x:c r="L285" s="24" t="str">
        <x:v>VRM Games</x:v>
      </x:c>
      <x:c r="M285" s="24"/>
      <x:c r="N285" s="24" t="str">
        <x:v>QA and traceability close in 2.4 — Documentation/00_Official_Baseline/v0.5/06_Development_Records/Sprints/Sprint_02/QA/S2_Acceptance_Matrix.md</x:v>
      </x:c>
    </x:row>
    <x:row r="286">
      <x:c r="A286" s="24" t="str">
        <x:v>HIST-AC-03-0029</x:v>
      </x:c>
      <x:c r="B286" s="34"/>
      <x:c r="C286" s="24" t="str"/>
      <x:c r="D286" s="24" t="str">
        <x:v>Sprint 3 Acceptance</x:v>
      </x:c>
      <x:c r="E286" s="24" t="str">
        <x:v>AC-S3-01</x:v>
      </x:c>
      <x:c r="F286" s="24" t="str"/>
      <x:c r="G286" s="24" t="str">
        <x:v>Acceptance / Historical</x:v>
      </x:c>
      <x:c r="H286" s="24" t="str">
        <x:v>Baseline histórica</x:v>
      </x:c>
      <x:c r="I286" s="24" t="str">
        <x:v>Baseline PASS</x:v>
      </x:c>
      <x:c r="J286" s="24" t="str"/>
      <x:c r="K286" s="24" t="str">
        <x:v>Service starts in None | EditMode</x:v>
      </x:c>
      <x:c r="L286" s="24" t="str">
        <x:v>VRM Games</x:v>
      </x:c>
      <x:c r="M286" s="24"/>
      <x:c r="N286" s="24" t="str">
        <x:v>S3.1 — Documentation/00_Official_Baseline/v0.5/06_Development_Records/Sprints/Sprint_03/QA/S3_Acceptance_Matrix.md</x:v>
      </x:c>
    </x:row>
    <x:row r="287">
      <x:c r="A287" s="24" t="str">
        <x:v>HIST-AC-03-0030</x:v>
      </x:c>
      <x:c r="B287" s="34"/>
      <x:c r="C287" s="24" t="str"/>
      <x:c r="D287" s="24" t="str">
        <x:v>Sprint 3 Acceptance</x:v>
      </x:c>
      <x:c r="E287" s="24" t="str">
        <x:v>AC-S3-02</x:v>
      </x:c>
      <x:c r="F287" s="24" t="str"/>
      <x:c r="G287" s="24" t="str">
        <x:v>Acceptance / Historical</x:v>
      </x:c>
      <x:c r="H287" s="24" t="str">
        <x:v>Baseline histórica</x:v>
      </x:c>
      <x:c r="I287" s="24" t="str">
        <x:v>Baseline PASS</x:v>
      </x:c>
      <x:c r="J287" s="24" t="str"/>
      <x:c r="K287" s="24" t="str">
        <x:v>Context changes emit one notification | EditMode</x:v>
      </x:c>
      <x:c r="L287" s="24" t="str">
        <x:v>VRM Games</x:v>
      </x:c>
      <x:c r="M287" s="24"/>
      <x:c r="N287" s="24" t="str">
        <x:v>S3.1 — Documentation/00_Official_Baseline/v0.5/06_Development_Records/Sprints/Sprint_03/QA/S3_Acceptance_Matrix.md</x:v>
      </x:c>
    </x:row>
    <x:row r="288">
      <x:c r="A288" s="24" t="str">
        <x:v>HIST-AC-03-0031</x:v>
      </x:c>
      <x:c r="B288" s="34"/>
      <x:c r="C288" s="24" t="str"/>
      <x:c r="D288" s="24" t="str">
        <x:v>Sprint 3 Acceptance</x:v>
      </x:c>
      <x:c r="E288" s="24" t="str">
        <x:v>AC-S3-03</x:v>
      </x:c>
      <x:c r="F288" s="24" t="str"/>
      <x:c r="G288" s="24" t="str">
        <x:v>Acceptance / Historical</x:v>
      </x:c>
      <x:c r="H288" s="24" t="str">
        <x:v>Baseline histórica</x:v>
      </x:c>
      <x:c r="I288" s="24" t="str">
        <x:v>Baseline PASS</x:v>
      </x:c>
      <x:c r="J288" s="24" t="str"/>
      <x:c r="K288" s="24" t="str">
        <x:v>Reapplying active context is idempotent | EditMode</x:v>
      </x:c>
      <x:c r="L288" s="24" t="str">
        <x:v>VRM Games</x:v>
      </x:c>
      <x:c r="M288" s="24"/>
      <x:c r="N288" s="24" t="str">
        <x:v>S3.1 — Documentation/00_Official_Baseline/v0.5/06_Development_Records/Sprints/Sprint_03/QA/S3_Acceptance_Matrix.md</x:v>
      </x:c>
    </x:row>
    <x:row r="289">
      <x:c r="A289" s="24" t="str">
        <x:v>HIST-AC-03-0032</x:v>
      </x:c>
      <x:c r="B289" s="34"/>
      <x:c r="C289" s="24" t="str"/>
      <x:c r="D289" s="24" t="str">
        <x:v>Sprint 3 Acceptance</x:v>
      </x:c>
      <x:c r="E289" s="24" t="str">
        <x:v>AC-S3-04</x:v>
      </x:c>
      <x:c r="F289" s="24" t="str"/>
      <x:c r="G289" s="24" t="str">
        <x:v>Acceptance / Historical</x:v>
      </x:c>
      <x:c r="H289" s="24" t="str">
        <x:v>Baseline histórica</x:v>
      </x:c>
      <x:c r="I289" s="24" t="str">
        <x:v>Baseline PASS</x:v>
      </x:c>
      <x:c r="J289" s="24" t="str"/>
      <x:c r="K289" s="24" t="str">
        <x:v>Undefined contexts are rejected | EditMode</x:v>
      </x:c>
      <x:c r="L289" s="24" t="str">
        <x:v>VRM Games</x:v>
      </x:c>
      <x:c r="M289" s="24"/>
      <x:c r="N289" s="24" t="str">
        <x:v>S3.1 — Documentation/00_Official_Baseline/v0.5/06_Development_Records/Sprints/Sprint_03/QA/S3_Acceptance_Matrix.md</x:v>
      </x:c>
    </x:row>
    <x:row r="290">
      <x:c r="A290" s="24" t="str">
        <x:v>HIST-AC-03-0033</x:v>
      </x:c>
      <x:c r="B290" s="34"/>
      <x:c r="C290" s="24" t="str"/>
      <x:c r="D290" s="24" t="str">
        <x:v>Sprint 3 Acceptance</x:v>
      </x:c>
      <x:c r="E290" s="24" t="str">
        <x:v>AC-S3-05</x:v>
      </x:c>
      <x:c r="F290" s="24" t="str"/>
      <x:c r="G290" s="24" t="str">
        <x:v>Acceptance / Historical</x:v>
      </x:c>
      <x:c r="H290" s="24" t="str">
        <x:v>Baseline histórica</x:v>
      </x:c>
      <x:c r="I290" s="24" t="str">
        <x:v>Baseline PASS</x:v>
      </x:c>
      <x:c r="J290" s="24" t="str"/>
      <x:c r="K290" s="24" t="str">
        <x:v>MainMenu activates UI context | PlayMode</x:v>
      </x:c>
      <x:c r="L290" s="24" t="str">
        <x:v>VRM Games</x:v>
      </x:c>
      <x:c r="M290" s="24"/>
      <x:c r="N290" s="24" t="str">
        <x:v>S3.1 — Documentation/00_Official_Baseline/v0.5/06_Development_Records/Sprints/Sprint_03/QA/S3_Acceptance_Matrix.md</x:v>
      </x:c>
    </x:row>
    <x:row r="291">
      <x:c r="A291" s="24" t="str">
        <x:v>HIST-AC-03-0034</x:v>
      </x:c>
      <x:c r="B291" s="34"/>
      <x:c r="C291" s="24" t="str"/>
      <x:c r="D291" s="24" t="str">
        <x:v>Sprint 3 Acceptance</x:v>
      </x:c>
      <x:c r="E291" s="24" t="str">
        <x:v>AC-S3-06</x:v>
      </x:c>
      <x:c r="F291" s="24" t="str"/>
      <x:c r="G291" s="24" t="str">
        <x:v>Acceptance / Historical</x:v>
      </x:c>
      <x:c r="H291" s="24" t="str">
        <x:v>Baseline histórica</x:v>
      </x:c>
      <x:c r="I291" s="24" t="str">
        <x:v>Baseline PASS</x:v>
      </x:c>
      <x:c r="J291" s="24" t="str"/>
      <x:c r="K291" s="24" t="str">
        <x:v>Store activates Gameplay context | PlayMode/manual</x:v>
      </x:c>
      <x:c r="L291" s="24" t="str">
        <x:v>VRM Games</x:v>
      </x:c>
      <x:c r="M291" s="24"/>
      <x:c r="N291" s="24" t="str">
        <x:v>S3.1 — Documentation/00_Official_Baseline/v0.5/06_Development_Records/Sprints/Sprint_03/QA/S3_Acceptance_Matrix.md</x:v>
      </x:c>
    </x:row>
    <x:row r="292">
      <x:c r="A292" s="24" t="str">
        <x:v>HIST-AC-03-0035</x:v>
      </x:c>
      <x:c r="B292" s="34"/>
      <x:c r="C292" s="24" t="str"/>
      <x:c r="D292" s="24" t="str">
        <x:v>Sprint 3 Acceptance</x:v>
      </x:c>
      <x:c r="E292" s="24" t="str">
        <x:v>AC-S3-07</x:v>
      </x:c>
      <x:c r="F292" s="24" t="str"/>
      <x:c r="G292" s="24" t="str">
        <x:v>Acceptance / Historical</x:v>
      </x:c>
      <x:c r="H292" s="24" t="str">
        <x:v>Baseline histórica</x:v>
      </x:c>
      <x:c r="I292" s="24" t="str">
        <x:v>Baseline PASS</x:v>
      </x:c>
      <x:c r="J292" s="24" t="str"/>
      <x:c r="K292" s="24" t="str">
        <x:v>Planar movement stops at configured radius | EditMode/PlayMode</x:v>
      </x:c>
      <x:c r="L292" s="24" t="str">
        <x:v>VRM Games</x:v>
      </x:c>
      <x:c r="M292" s="24"/>
      <x:c r="N292" s="24" t="str">
        <x:v>S3.2 — Documentation/00_Official_Baseline/v0.5/06_Development_Records/Sprints/Sprint_03/QA/S3_Acceptance_Matrix.md</x:v>
      </x:c>
    </x:row>
    <x:row r="293">
      <x:c r="A293" s="24" t="str">
        <x:v>HIST-AC-03-0036</x:v>
      </x:c>
      <x:c r="B293" s="34"/>
      <x:c r="C293" s="24" t="str"/>
      <x:c r="D293" s="24" t="str">
        <x:v>Sprint 3 Acceptance</x:v>
      </x:c>
      <x:c r="E293" s="24" t="str">
        <x:v>AC-S3-08</x:v>
      </x:c>
      <x:c r="F293" s="24" t="str"/>
      <x:c r="G293" s="24" t="str">
        <x:v>Acceptance / Historical</x:v>
      </x:c>
      <x:c r="H293" s="24" t="str">
        <x:v>Baseline histórica</x:v>
      </x:c>
      <x:c r="I293" s="24" t="str">
        <x:v>Baseline PASS</x:v>
      </x:c>
      <x:c r="J293" s="24" t="str"/>
      <x:c r="K293" s="24" t="str">
        <x:v>Valid floor click assigns and replaces destination | PlayMode/manual</x:v>
      </x:c>
      <x:c r="L293" s="24" t="str">
        <x:v>VRM Games</x:v>
      </x:c>
      <x:c r="M293" s="24"/>
      <x:c r="N293" s="24" t="str">
        <x:v>S3.2 — Documentation/00_Official_Baseline/v0.5/06_Development_Records/Sprints/Sprint_03/QA/S3_Acceptance_Matrix.md</x:v>
      </x:c>
    </x:row>
    <x:row r="294">
      <x:c r="A294" s="24" t="str">
        <x:v>HIST-AC-03-0037</x:v>
      </x:c>
      <x:c r="B294" s="34"/>
      <x:c r="C294" s="24" t="str"/>
      <x:c r="D294" s="24" t="str">
        <x:v>Sprint 3 Acceptance</x:v>
      </x:c>
      <x:c r="E294" s="24" t="str">
        <x:v>AC-S3-09</x:v>
      </x:c>
      <x:c r="F294" s="24" t="str"/>
      <x:c r="G294" s="24" t="str">
        <x:v>Acceptance / Historical</x:v>
      </x:c>
      <x:c r="H294" s="24" t="str">
        <x:v>Baseline histórica</x:v>
      </x:c>
      <x:c r="I294" s="24" t="str">
        <x:v>Baseline PASS</x:v>
      </x:c>
      <x:c r="J294" s="24" t="str"/>
      <x:c r="K294" s="24" t="str">
        <x:v>Technical player reaches selected destination | PlayMode/manual</x:v>
      </x:c>
      <x:c r="L294" s="24" t="str">
        <x:v>VRM Games</x:v>
      </x:c>
      <x:c r="M294" s="24"/>
      <x:c r="N294" s="24" t="str">
        <x:v>S3.2 — Documentation/00_Official_Baseline/v0.5/06_Development_Records/Sprints/Sprint_03/QA/S3_Acceptance_Matrix.md</x:v>
      </x:c>
    </x:row>
    <x:row r="295">
      <x:c r="A295" s="24" t="str">
        <x:v>HIST-AC-03-0038</x:v>
      </x:c>
      <x:c r="B295" s="34"/>
      <x:c r="C295" s="24" t="str"/>
      <x:c r="D295" s="24" t="str">
        <x:v>Sprint 3 Acceptance</x:v>
      </x:c>
      <x:c r="E295" s="24" t="str">
        <x:v>AC-S3-10</x:v>
      </x:c>
      <x:c r="F295" s="24" t="str"/>
      <x:c r="G295" s="24" t="str">
        <x:v>Acceptance / Historical</x:v>
      </x:c>
      <x:c r="H295" s="24" t="str">
        <x:v>Baseline histórica</x:v>
      </x:c>
      <x:c r="I295" s="24" t="str">
        <x:v>Baseline PASS</x:v>
      </x:c>
      <x:c r="J295" s="24" t="str"/>
      <x:c r="K295" s="24" t="str">
        <x:v>UI context rejects click-to-move | PlayMode</x:v>
      </x:c>
      <x:c r="L295" s="24" t="str">
        <x:v>VRM Games</x:v>
      </x:c>
      <x:c r="M295" s="24"/>
      <x:c r="N295" s="24" t="str">
        <x:v>S3.2 — Documentation/00_Official_Baseline/v0.5/06_Development_Records/Sprints/Sprint_03/QA/S3_Acceptance_Matrix.md</x:v>
      </x:c>
    </x:row>
    <x:row r="296">
      <x:c r="A296" s="24" t="str">
        <x:v>HIST-AC-03-0039</x:v>
      </x:c>
      <x:c r="B296" s="34"/>
      <x:c r="C296" s="24" t="str"/>
      <x:c r="D296" s="24" t="str">
        <x:v>Sprint 3 Acceptance</x:v>
      </x:c>
      <x:c r="E296" s="24" t="str">
        <x:v>AC-S3-11</x:v>
      </x:c>
      <x:c r="F296" s="24" t="str"/>
      <x:c r="G296" s="24" t="str">
        <x:v>Acceptance / Historical</x:v>
      </x:c>
      <x:c r="H296" s="24" t="str">
        <x:v>Baseline histórica</x:v>
      </x:c>
      <x:c r="I296" s="24" t="str">
        <x:v>Baseline PASS</x:v>
      </x:c>
      <x:c r="J296" s="24" t="str"/>
      <x:c r="K296" s="24" t="str">
        <x:v>Orbit state normalizes and clamps correctly | EditMode</x:v>
      </x:c>
      <x:c r="L296" s="24" t="str">
        <x:v>VRM Games</x:v>
      </x:c>
      <x:c r="M296" s="24"/>
      <x:c r="N296" s="24" t="str">
        <x:v>S3.3 — Documentation/00_Official_Baseline/v0.5/06_Development_Records/Sprints/Sprint_03/QA/S3_Acceptance_Matrix.md</x:v>
      </x:c>
    </x:row>
    <x:row r="297">
      <x:c r="A297" s="24" t="str">
        <x:v>HIST-AC-03-0040</x:v>
      </x:c>
      <x:c r="B297" s="34"/>
      <x:c r="C297" s="24" t="str"/>
      <x:c r="D297" s="24" t="str">
        <x:v>Sprint 3 Acceptance</x:v>
      </x:c>
      <x:c r="E297" s="24" t="str">
        <x:v>AC-S3-12</x:v>
      </x:c>
      <x:c r="F297" s="24" t="str"/>
      <x:c r="G297" s="24" t="str">
        <x:v>Acceptance / Historical</x:v>
      </x:c>
      <x:c r="H297" s="24" t="str">
        <x:v>Baseline histórica</x:v>
      </x:c>
      <x:c r="I297" s="24" t="str">
        <x:v>Baseline PASS</x:v>
      </x:c>
      <x:c r="J297" s="24" t="str"/>
      <x:c r="K297" s="24" t="str">
        <x:v>Camera follows and remains aimed at target | PlayMode/manual</x:v>
      </x:c>
      <x:c r="L297" s="24" t="str">
        <x:v>VRM Games</x:v>
      </x:c>
      <x:c r="M297" s="24"/>
      <x:c r="N297" s="24" t="str">
        <x:v>S3.3 — Documentation/00_Official_Baseline/v0.5/06_Development_Records/Sprints/Sprint_03/QA/S3_Acceptance_Matrix.md</x:v>
      </x:c>
    </x:row>
    <x:row r="298">
      <x:c r="A298" s="24" t="str">
        <x:v>HIST-AC-03-0041</x:v>
      </x:c>
      <x:c r="B298" s="34"/>
      <x:c r="C298" s="24" t="str"/>
      <x:c r="D298" s="24" t="str">
        <x:v>Sprint 3 Acceptance</x:v>
      </x:c>
      <x:c r="E298" s="24" t="str">
        <x:v>AC-S3-13</x:v>
      </x:c>
      <x:c r="F298" s="24" t="str"/>
      <x:c r="G298" s="24" t="str">
        <x:v>Acceptance / Historical</x:v>
      </x:c>
      <x:c r="H298" s="24" t="str">
        <x:v>Baseline histórica</x:v>
      </x:c>
      <x:c r="I298" s="24" t="str">
        <x:v>Baseline PASS</x:v>
      </x:c>
      <x:c r="J298" s="24" t="str"/>
      <x:c r="K298" s="24" t="str">
        <x:v>Orbit and zoom remain inside limits | EditMode/PlayMode/manual</x:v>
      </x:c>
      <x:c r="L298" s="24" t="str">
        <x:v>VRM Games</x:v>
      </x:c>
      <x:c r="M298" s="24"/>
      <x:c r="N298" s="24" t="str">
        <x:v>S3.3 — Documentation/00_Official_Baseline/v0.5/06_Development_Records/Sprints/Sprint_03/QA/S3_Acceptance_Matrix.md</x:v>
      </x:c>
    </x:row>
    <x:row r="299">
      <x:c r="A299" s="24" t="str">
        <x:v>HIST-AC-03-0042</x:v>
      </x:c>
      <x:c r="B299" s="34"/>
      <x:c r="C299" s="24" t="str"/>
      <x:c r="D299" s="24" t="str">
        <x:v>Sprint 3 Acceptance</x:v>
      </x:c>
      <x:c r="E299" s="24" t="str">
        <x:v>AC-S3-14</x:v>
      </x:c>
      <x:c r="F299" s="24" t="str"/>
      <x:c r="G299" s="24" t="str">
        <x:v>Acceptance / Historical</x:v>
      </x:c>
      <x:c r="H299" s="24" t="str">
        <x:v>Baseline histórica</x:v>
      </x:c>
      <x:c r="I299" s="24" t="str">
        <x:v>Baseline PASS</x:v>
      </x:c>
      <x:c r="J299" s="24" t="str"/>
      <x:c r="K299" s="24" t="str">
        <x:v>UI and Gameplay action maps are mutually exclusive | EditMode/PlayMode</x:v>
      </x:c>
      <x:c r="L299" s="24" t="str">
        <x:v>VRM Games</x:v>
      </x:c>
      <x:c r="M299" s="24"/>
      <x:c r="N299" s="24" t="str">
        <x:v>S3.4 — Documentation/00_Official_Baseline/v0.5/06_Development_Records/Sprints/Sprint_03/QA/S3_Acceptance_Matrix.md</x:v>
      </x:c>
    </x:row>
    <x:row r="300">
      <x:c r="A300" s="24" t="str">
        <x:v>HIST-AC-03-0043</x:v>
      </x:c>
      <x:c r="B300" s="34"/>
      <x:c r="C300" s="24" t="str"/>
      <x:c r="D300" s="24" t="str">
        <x:v>Sprint 3 Acceptance</x:v>
      </x:c>
      <x:c r="E300" s="24" t="str">
        <x:v>AC-S3-15</x:v>
      </x:c>
      <x:c r="F300" s="24" t="str"/>
      <x:c r="G300" s="24" t="str">
        <x:v>Acceptance / Historical</x:v>
      </x:c>
      <x:c r="H300" s="24" t="str">
        <x:v>Baseline histórica</x:v>
      </x:c>
      <x:c r="I300" s="24" t="str">
        <x:v>Baseline PASS</x:v>
      </x:c>
      <x:c r="J300" s="24" t="str"/>
      <x:c r="K300" s="24" t="str">
        <x:v>Active gameplay flow uses Input Actions | Inspection/PlayMode</x:v>
      </x:c>
      <x:c r="L300" s="24" t="str">
        <x:v>VRM Games</x:v>
      </x:c>
      <x:c r="M300" s="24"/>
      <x:c r="N300" s="24" t="str">
        <x:v>S3.4 — Documentation/00_Official_Baseline/v0.5/06_Development_Records/Sprints/Sprint_03/QA/S3_Acceptance_Matrix.md</x:v>
      </x:c>
    </x:row>
    <x:row r="301">
      <x:c r="A301" s="24" t="str">
        <x:v>HIST-AC-03-0044</x:v>
      </x:c>
      <x:c r="B301" s="34"/>
      <x:c r="C301" s="24" t="str"/>
      <x:c r="D301" s="24" t="str">
        <x:v>Sprint 3 Acceptance</x:v>
      </x:c>
      <x:c r="E301" s="24" t="str">
        <x:v>AC-S3-16</x:v>
      </x:c>
      <x:c r="F301" s="24" t="str"/>
      <x:c r="G301" s="24" t="str">
        <x:v>Acceptance / Historical</x:v>
      </x:c>
      <x:c r="H301" s="24" t="str">
        <x:v>Baseline histórica</x:v>
      </x:c>
      <x:c r="I301" s="24" t="str">
        <x:v>Baseline PASS</x:v>
      </x:c>
      <x:c r="J301" s="24" t="str"/>
      <x:c r="K301" s="24" t="str">
        <x:v>Application version is 0.0.4 | EditMode/build</x:v>
      </x:c>
      <x:c r="L301" s="24" t="str">
        <x:v>VRM Games</x:v>
      </x:c>
      <x:c r="M301" s="24"/>
      <x:c r="N301" s="24" t="str">
        <x:v>S3.4 — Documentation/00_Official_Baseline/v0.5/06_Development_Records/Sprints/Sprint_03/QA/S3_Acceptance_Matrix.md</x:v>
      </x:c>
    </x:row>
    <x:row r="302">
      <x:c r="A302" s="24" t="str">
        <x:v>HIST-AC-03-0045</x:v>
      </x:c>
      <x:c r="B302" s="34"/>
      <x:c r="C302" s="24" t="str"/>
      <x:c r="D302" s="24" t="str">
        <x:v>Sprint 3 Acceptance</x:v>
      </x:c>
      <x:c r="E302" s="24" t="str">
        <x:v>AC-S3-17</x:v>
      </x:c>
      <x:c r="F302" s="24" t="str"/>
      <x:c r="G302" s="24" t="str">
        <x:v>Acceptance / Historical</x:v>
      </x:c>
      <x:c r="H302" s="24" t="str">
        <x:v>Baseline histórica</x:v>
      </x:c>
      <x:c r="I302" s="24" t="str">
        <x:v>Baseline PASS</x:v>
      </x:c>
      <x:c r="J302" s="24" t="str"/>
      <x:c r="K302" s="24" t="str">
        <x:v>Complete automated regression passes | 66/66</x:v>
      </x:c>
      <x:c r="L302" s="24" t="str">
        <x:v>VRM Games</x:v>
      </x:c>
      <x:c r="M302" s="24"/>
      <x:c r="N302" s="24" t="str">
        <x:v>S3.4 — Documentation/00_Official_Baseline/v0.5/06_Development_Records/Sprints/Sprint_03/QA/S3_Acceptance_Matrix.md</x:v>
      </x:c>
    </x:row>
    <x:row r="303">
      <x:c r="A303" s="24" t="str">
        <x:v>HIST-AC-03-0046</x:v>
      </x:c>
      <x:c r="B303" s="34"/>
      <x:c r="C303" s="24" t="str"/>
      <x:c r="D303" s="24" t="str">
        <x:v>Sprint 3 Acceptance</x:v>
      </x:c>
      <x:c r="E303" s="24" t="str">
        <x:v>AC-S3-18</x:v>
      </x:c>
      <x:c r="F303" s="24" t="str"/>
      <x:c r="G303" s="24" t="str">
        <x:v>Acceptance / Historical</x:v>
      </x:c>
      <x:c r="H303" s="24" t="str">
        <x:v>Baseline histórica</x:v>
      </x:c>
      <x:c r="I303" s="24" t="str">
        <x:v>Baseline PASS</x:v>
      </x:c>
      <x:c r="J303" s="24" t="str"/>
      <x:c r="K303" s="24" t="str">
        <x:v>Windows build and external run pass | Manual</x:v>
      </x:c>
      <x:c r="L303" s="24" t="str">
        <x:v>VRM Games</x:v>
      </x:c>
      <x:c r="M303" s="24"/>
      <x:c r="N303" s="24" t="str">
        <x:v>S3.4 — Documentation/00_Official_Baseline/v0.5/06_Development_Records/Sprints/Sprint_03/QA/S3_Acceptance_Matrix.md</x:v>
      </x:c>
    </x:row>
    <x:row r="304">
      <x:c r="A304" s="24" t="str">
        <x:v>HIST-AC-04-0047</x:v>
      </x:c>
      <x:c r="B304" s="34"/>
      <x:c r="C304" s="24" t="str"/>
      <x:c r="D304" s="24" t="str">
        <x:v>Sprint 4 Acceptance</x:v>
      </x:c>
      <x:c r="E304" s="24" t="str">
        <x:v>AC-S4-01</x:v>
      </x:c>
      <x:c r="F304" s="24" t="str"/>
      <x:c r="G304" s="24" t="str">
        <x:v>Acceptance / Historical</x:v>
      </x:c>
      <x:c r="H304" s="24" t="str">
        <x:v>Baseline histórica</x:v>
      </x:c>
      <x:c r="I304" s="24" t="str">
        <x:v>Baseline PASS</x:v>
      </x:c>
      <x:c r="J304" s="24" t="str"/>
      <x:c r="K304" s="24" t="str">
        <x:v>Grid coordinate equality and hashing are deterministic | EditMode</x:v>
      </x:c>
      <x:c r="L304" s="24" t="str">
        <x:v>VRM Games</x:v>
      </x:c>
      <x:c r="M304" s="24"/>
      <x:c r="N304" s="24" t="str">
        <x:v>S4.1 — Documentation/00_Official_Baseline/v0.5/06_Development_Records/Sprints/Sprint_04/QA/S4_Acceptance_Matrix.md</x:v>
      </x:c>
    </x:row>
    <x:row r="305">
      <x:c r="A305" s="24" t="str">
        <x:v>HIST-AC-04-0048</x:v>
      </x:c>
      <x:c r="B305" s="34"/>
      <x:c r="C305" s="24" t="str"/>
      <x:c r="D305" s="24" t="str">
        <x:v>Sprint 4 Acceptance</x:v>
      </x:c>
      <x:c r="E305" s="24" t="str">
        <x:v>AC-S4-02</x:v>
      </x:c>
      <x:c r="F305" s="24" t="str"/>
      <x:c r="G305" s="24" t="str">
        <x:v>Acceptance / Historical</x:v>
      </x:c>
      <x:c r="H305" s="24" t="str">
        <x:v>Baseline histórica</x:v>
      </x:c>
      <x:c r="I305" s="24" t="str">
        <x:v>Baseline PASS</x:v>
      </x:c>
      <x:c r="J305" s="24" t="str"/>
      <x:c r="K305" s="24" t="str">
        <x:v>Cell size is positive and defaults to 0.5 metres | EditMode</x:v>
      </x:c>
      <x:c r="L305" s="24" t="str">
        <x:v>VRM Games</x:v>
      </x:c>
      <x:c r="M305" s="24"/>
      <x:c r="N305" s="24" t="str">
        <x:v>S4.1 — Documentation/00_Official_Baseline/v0.5/06_Development_Records/Sprints/Sprint_04/QA/S4_Acceptance_Matrix.md</x:v>
      </x:c>
    </x:row>
    <x:row r="306">
      <x:c r="A306" s="24" t="str">
        <x:v>HIST-AC-04-0049</x:v>
      </x:c>
      <x:c r="B306" s="34"/>
      <x:c r="C306" s="24" t="str"/>
      <x:c r="D306" s="24" t="str">
        <x:v>Sprint 4 Acceptance</x:v>
      </x:c>
      <x:c r="E306" s="24" t="str">
        <x:v>AC-S4-03</x:v>
      </x:c>
      <x:c r="F306" s="24" t="str"/>
      <x:c r="G306" s="24" t="str">
        <x:v>Acceptance / Historical</x:v>
      </x:c>
      <x:c r="H306" s="24" t="str">
        <x:v>Baseline histórica</x:v>
      </x:c>
      <x:c r="I306" s="24" t="str">
        <x:v>Baseline PASS</x:v>
      </x:c>
      <x:c r="J306" s="24" t="str"/>
      <x:c r="K306" s="24" t="str">
        <x:v>World-to-cell projection supports negative coordinates | EditMode</x:v>
      </x:c>
      <x:c r="L306" s="24" t="str">
        <x:v>VRM Games</x:v>
      </x:c>
      <x:c r="M306" s="24"/>
      <x:c r="N306" s="24" t="str">
        <x:v>S4.1 — Documentation/00_Official_Baseline/v0.5/06_Development_Records/Sprints/Sprint_04/QA/S4_Acceptance_Matrix.md</x:v>
      </x:c>
    </x:row>
    <x:row r="307">
      <x:c r="A307" s="24" t="str">
        <x:v>HIST-AC-04-0050</x:v>
      </x:c>
      <x:c r="B307" s="34"/>
      <x:c r="C307" s="24" t="str"/>
      <x:c r="D307" s="24" t="str">
        <x:v>Sprint 4 Acceptance</x:v>
      </x:c>
      <x:c r="E307" s="24" t="str">
        <x:v>AC-S4-04</x:v>
      </x:c>
      <x:c r="F307" s="24" t="str"/>
      <x:c r="G307" s="24" t="str">
        <x:v>Acceptance / Historical</x:v>
      </x:c>
      <x:c r="H307" s="24" t="str">
        <x:v>Baseline histórica</x:v>
      </x:c>
      <x:c r="I307" s="24" t="str">
        <x:v>Baseline PASS</x:v>
      </x:c>
      <x:c r="J307" s="24" t="str"/>
      <x:c r="K307" s="24" t="str">
        <x:v>90/270 degree rotation swaps rectangular footprint axes | EditMode</x:v>
      </x:c>
      <x:c r="L307" s="24" t="str">
        <x:v>VRM Games</x:v>
      </x:c>
      <x:c r="M307" s="24"/>
      <x:c r="N307" s="24" t="str">
        <x:v>S4.1 — Documentation/00_Official_Baseline/v0.5/06_Development_Records/Sprints/Sprint_04/QA/S4_Acceptance_Matrix.md</x:v>
      </x:c>
    </x:row>
    <x:row r="308">
      <x:c r="A308" s="24" t="str">
        <x:v>HIST-AC-04-0051</x:v>
      </x:c>
      <x:c r="B308" s="34"/>
      <x:c r="C308" s="24" t="str"/>
      <x:c r="D308" s="24" t="str">
        <x:v>Sprint 4 Acceptance</x:v>
      </x:c>
      <x:c r="E308" s="24" t="str">
        <x:v>AC-S4-05</x:v>
      </x:c>
      <x:c r="F308" s="24" t="str"/>
      <x:c r="G308" s="24" t="str">
        <x:v>Acceptance / Historical</x:v>
      </x:c>
      <x:c r="H308" s="24" t="str">
        <x:v>Baseline histórica</x:v>
      </x:c>
      <x:c r="I308" s="24" t="str">
        <x:v>Baseline PASS</x:v>
      </x:c>
      <x:c r="J308" s="24" t="str"/>
      <x:c r="K308" s="24" t="str">
        <x:v>Logical bounds use half-open regions | EditMode</x:v>
      </x:c>
      <x:c r="L308" s="24" t="str">
        <x:v>VRM Games</x:v>
      </x:c>
      <x:c r="M308" s="24"/>
      <x:c r="N308" s="24" t="str">
        <x:v>S4.1 — Documentation/00_Official_Baseline/v0.5/06_Development_Records/Sprints/Sprint_04/QA/S4_Acceptance_Matrix.md</x:v>
      </x:c>
    </x:row>
    <x:row r="309">
      <x:c r="A309" s="24" t="str">
        <x:v>HIST-AC-04-0052</x:v>
      </x:c>
      <x:c r="B309" s="34"/>
      <x:c r="C309" s="24" t="str"/>
      <x:c r="D309" s="24" t="str">
        <x:v>Sprint 4 Acceptance</x:v>
      </x:c>
      <x:c r="E309" s="24" t="str">
        <x:v>AC-S4-06</x:v>
      </x:c>
      <x:c r="F309" s="24" t="str"/>
      <x:c r="G309" s="24" t="str">
        <x:v>Acceptance / Historical</x:v>
      </x:c>
      <x:c r="H309" s="24" t="str">
        <x:v>Baseline histórica</x:v>
      </x:c>
      <x:c r="I309" s="24" t="str">
        <x:v>Baseline PASS</x:v>
      </x:c>
      <x:c r="J309" s="24" t="str"/>
      <x:c r="K309" s="24" t="str">
        <x:v>Preview follows the pointer on the placement surface | PlayMode/manual</x:v>
      </x:c>
      <x:c r="L309" s="24" t="str">
        <x:v>VRM Games</x:v>
      </x:c>
      <x:c r="M309" s="24"/>
      <x:c r="N309" s="24" t="str">
        <x:v>S4.2 — Documentation/00_Official_Baseline/v0.5/06_Development_Records/Sprints/Sprint_04/QA/S4_Acceptance_Matrix.md</x:v>
      </x:c>
    </x:row>
    <x:row r="310">
      <x:c r="A310" s="24" t="str">
        <x:v>HIST-AC-04-0053</x:v>
      </x:c>
      <x:c r="B310" s="34"/>
      <x:c r="C310" s="24" t="str"/>
      <x:c r="D310" s="24" t="str">
        <x:v>Sprint 4 Acceptance</x:v>
      </x:c>
      <x:c r="E310" s="24" t="str">
        <x:v>AC-S4-07</x:v>
      </x:c>
      <x:c r="F310" s="24" t="str"/>
      <x:c r="G310" s="24" t="str">
        <x:v>Acceptance / Historical</x:v>
      </x:c>
      <x:c r="H310" s="24" t="str">
        <x:v>Baseline histórica</x:v>
      </x:c>
      <x:c r="I310" s="24" t="str">
        <x:v>Baseline PASS</x:v>
      </x:c>
      <x:c r="J310" s="24" t="str"/>
      <x:c r="K310" s="24" t="str">
        <x:v>Preview snaps to 0.5-metre grid cells | PlayMode/manual</x:v>
      </x:c>
      <x:c r="L310" s="24" t="str">
        <x:v>VRM Games</x:v>
      </x:c>
      <x:c r="M310" s="24"/>
      <x:c r="N310" s="24" t="str">
        <x:v>S4.2 — Documentation/00_Official_Baseline/v0.5/06_Development_Records/Sprints/Sprint_04/QA/S4_Acceptance_Matrix.md</x:v>
      </x:c>
    </x:row>
    <x:row r="311">
      <x:c r="A311" s="24" t="str">
        <x:v>HIST-AC-04-0054</x:v>
      </x:c>
      <x:c r="B311" s="34"/>
      <x:c r="C311" s="24" t="str"/>
      <x:c r="D311" s="24" t="str">
        <x:v>Sprint 4 Acceptance</x:v>
      </x:c>
      <x:c r="E311" s="24" t="str">
        <x:v>AC-S4-08</x:v>
      </x:c>
      <x:c r="F311" s="24" t="str"/>
      <x:c r="G311" s="24" t="str">
        <x:v>Acceptance / Historical</x:v>
      </x:c>
      <x:c r="H311" s="24" t="str">
        <x:v>Baseline histórica</x:v>
      </x:c>
      <x:c r="I311" s="24" t="str">
        <x:v>Baseline PASS</x:v>
      </x:c>
      <x:c r="J311" s="24" t="str"/>
      <x:c r="K311" s="24" t="str">
        <x:v>Q/E rotate in quarter turns | Input/PlayMode/manual</x:v>
      </x:c>
      <x:c r="L311" s="24" t="str">
        <x:v>VRM Games</x:v>
      </x:c>
      <x:c r="M311" s="24"/>
      <x:c r="N311" s="24" t="str">
        <x:v>S4.2 — Documentation/00_Official_Baseline/v0.5/06_Development_Records/Sprints/Sprint_04/QA/S4_Acceptance_Matrix.md</x:v>
      </x:c>
    </x:row>
    <x:row r="312">
      <x:c r="A312" s="24" t="str">
        <x:v>HIST-AC-04-0055</x:v>
      </x:c>
      <x:c r="B312" s="34"/>
      <x:c r="C312" s="24" t="str"/>
      <x:c r="D312" s="24" t="str">
        <x:v>Sprint 4 Acceptance</x:v>
      </x:c>
      <x:c r="E312" s="24" t="str">
        <x:v>AC-S4-09</x:v>
      </x:c>
      <x:c r="F312" s="24" t="str"/>
      <x:c r="G312" s="24" t="str">
        <x:v>Acceptance / Historical</x:v>
      </x:c>
      <x:c r="H312" s="24" t="str">
        <x:v>Baseline histórica</x:v>
      </x:c>
      <x:c r="I312" s="24" t="str">
        <x:v>Baseline PASS</x:v>
      </x:c>
      <x:c r="J312" s="24" t="str"/>
      <x:c r="K312" s="24" t="str">
        <x:v>Preview displays valid and invalid feedback | PlayMode/manual</x:v>
      </x:c>
      <x:c r="L312" s="24" t="str">
        <x:v>VRM Games</x:v>
      </x:c>
      <x:c r="M312" s="24"/>
      <x:c r="N312" s="24" t="str">
        <x:v>S4.2 — Documentation/00_Official_Baseline/v0.5/06_Development_Records/Sprints/Sprint_04/QA/S4_Acceptance_Matrix.md</x:v>
      </x:c>
    </x:row>
    <x:row r="313">
      <x:c r="A313" s="24" t="str">
        <x:v>HIST-AC-04-0056</x:v>
      </x:c>
      <x:c r="B313" s="34"/>
      <x:c r="C313" s="24" t="str"/>
      <x:c r="D313" s="24" t="str">
        <x:v>Sprint 4 Acceptance</x:v>
      </x:c>
      <x:c r="E313" s="24" t="str">
        <x:v>AC-S4-10</x:v>
      </x:c>
      <x:c r="F313" s="24" t="str"/>
      <x:c r="G313" s="24" t="str">
        <x:v>Acceptance / Historical</x:v>
      </x:c>
      <x:c r="H313" s="24" t="str">
        <x:v>Baseline histórica</x:v>
      </x:c>
      <x:c r="I313" s="24" t="str">
        <x:v>Baseline PASS</x:v>
      </x:c>
      <x:c r="J313" s="24" t="str"/>
      <x:c r="K313" s="24" t="str">
        <x:v>Click-to-move, orbit and zoom remain green | Regression</x:v>
      </x:c>
      <x:c r="L313" s="24" t="str">
        <x:v>VRM Games</x:v>
      </x:c>
      <x:c r="M313" s="24"/>
      <x:c r="N313" s="24" t="str">
        <x:v>S4.2 — Documentation/00_Official_Baseline/v0.5/06_Development_Records/Sprints/Sprint_04/QA/S4_Acceptance_Matrix.md</x:v>
      </x:c>
    </x:row>
    <x:row r="314">
      <x:c r="A314" s="24" t="str">
        <x:v>HIST-AC-04-0057</x:v>
      </x:c>
      <x:c r="B314" s="34"/>
      <x:c r="C314" s="24" t="str"/>
      <x:c r="D314" s="24" t="str">
        <x:v>Sprint 4 Acceptance</x:v>
      </x:c>
      <x:c r="E314" s="24" t="str">
        <x:v>AC-S4-11</x:v>
      </x:c>
      <x:c r="F314" s="24" t="str"/>
      <x:c r="G314" s="24" t="str">
        <x:v>Acceptance / Historical</x:v>
      </x:c>
      <x:c r="H314" s="24" t="str">
        <x:v>Baseline histórica</x:v>
      </x:c>
      <x:c r="I314" s="24" t="str">
        <x:v>Baseline PASS</x:v>
      </x:c>
      <x:c r="J314" s="24" t="str"/>
      <x:c r="K314" s="24" t="str">
        <x:v>Placement mode has explicit activation and cancellation | Input/manual</x:v>
      </x:c>
      <x:c r="L314" s="24" t="str">
        <x:v>VRM Games</x:v>
      </x:c>
      <x:c r="M314" s="24"/>
      <x:c r="N314" s="24" t="str">
        <x:v>S4.3 — Documentation/00_Official_Baseline/v0.5/06_Development_Records/Sprints/Sprint_04/QA/S4_Acceptance_Matrix.md</x:v>
      </x:c>
    </x:row>
    <x:row r="315">
      <x:c r="A315" s="24" t="str">
        <x:v>HIST-AC-04-0058</x:v>
      </x:c>
      <x:c r="B315" s="34"/>
      <x:c r="C315" s="24" t="str"/>
      <x:c r="D315" s="24" t="str">
        <x:v>Sprint 4 Acceptance</x:v>
      </x:c>
      <x:c r="E315" s="24" t="str">
        <x:v>AC-S4-12</x:v>
      </x:c>
      <x:c r="F315" s="24" t="str"/>
      <x:c r="G315" s="24" t="str">
        <x:v>Acceptance / Historical</x:v>
      </x:c>
      <x:c r="H315" s="24" t="str">
        <x:v>Baseline histórica</x:v>
      </x:c>
      <x:c r="I315" s="24" t="str">
        <x:v>Baseline PASS</x:v>
      </x:c>
      <x:c r="J315" s="24" t="str"/>
      <x:c r="K315" s="24" t="str">
        <x:v>Valid confirmation occupies every footprint cell atomically | EditMode/PlayMode</x:v>
      </x:c>
      <x:c r="L315" s="24" t="str">
        <x:v>VRM Games</x:v>
      </x:c>
      <x:c r="M315" s="24"/>
      <x:c r="N315" s="24" t="str">
        <x:v>S4.3 — Documentation/00_Official_Baseline/v0.5/06_Development_Records/Sprints/Sprint_04/QA/S4_Acceptance_Matrix.md</x:v>
      </x:c>
    </x:row>
    <x:row r="316">
      <x:c r="A316" s="24" t="str">
        <x:v>HIST-AC-04-0059</x:v>
      </x:c>
      <x:c r="B316" s="34"/>
      <x:c r="C316" s="24" t="str"/>
      <x:c r="D316" s="24" t="str">
        <x:v>Sprint 4 Acceptance</x:v>
      </x:c>
      <x:c r="E316" s="24" t="str">
        <x:v>AC-S4-13</x:v>
      </x:c>
      <x:c r="F316" s="24" t="str"/>
      <x:c r="G316" s="24" t="str">
        <x:v>Acceptance / Historical</x:v>
      </x:c>
      <x:c r="H316" s="24" t="str">
        <x:v>Baseline histórica</x:v>
      </x:c>
      <x:c r="I316" s="24" t="str">
        <x:v>Baseline PASS</x:v>
      </x:c>
      <x:c r="J316" s="24" t="str"/>
      <x:c r="K316" s="24" t="str">
        <x:v>Out-of-bounds placement is rejected | EditMode/PlayMode</x:v>
      </x:c>
      <x:c r="L316" s="24" t="str">
        <x:v>VRM Games</x:v>
      </x:c>
      <x:c r="M316" s="24"/>
      <x:c r="N316" s="24" t="str">
        <x:v>S4.3 — Documentation/00_Official_Baseline/v0.5/06_Development_Records/Sprints/Sprint_04/QA/S4_Acceptance_Matrix.md</x:v>
      </x:c>
    </x:row>
    <x:row r="317">
      <x:c r="A317" s="24" t="str">
        <x:v>HIST-AC-04-0060</x:v>
      </x:c>
      <x:c r="B317" s="34"/>
      <x:c r="C317" s="24" t="str"/>
      <x:c r="D317" s="24" t="str">
        <x:v>Sprint 4 Acceptance</x:v>
      </x:c>
      <x:c r="E317" s="24" t="str">
        <x:v>AC-S4-14</x:v>
      </x:c>
      <x:c r="F317" s="24" t="str"/>
      <x:c r="G317" s="24" t="str">
        <x:v>Acceptance / Historical</x:v>
      </x:c>
      <x:c r="H317" s="24" t="str">
        <x:v>Baseline histórica</x:v>
      </x:c>
      <x:c r="I317" s="24" t="str">
        <x:v>Baseline PASS</x:v>
      </x:c>
      <x:c r="J317" s="24" t="str"/>
      <x:c r="K317" s="24" t="str">
        <x:v>Overlap is rejected without partial mutation | EditMode/PlayMode</x:v>
      </x:c>
      <x:c r="L317" s="24" t="str">
        <x:v>VRM Games</x:v>
      </x:c>
      <x:c r="M317" s="24"/>
      <x:c r="N317" s="24" t="str">
        <x:v>S4.3 — Documentation/00_Official_Baseline/v0.5/06_Development_Records/Sprints/Sprint_04/QA/S4_Acceptance_Matrix.md</x:v>
      </x:c>
    </x:row>
    <x:row r="318">
      <x:c r="A318" s="24" t="str">
        <x:v>HIST-AC-04-0061</x:v>
      </x:c>
      <x:c r="B318" s="34"/>
      <x:c r="C318" s="24" t="str"/>
      <x:c r="D318" s="24" t="str">
        <x:v>Sprint 4 Acceptance</x:v>
      </x:c>
      <x:c r="E318" s="24" t="str">
        <x:v>AC-S4-15</x:v>
      </x:c>
      <x:c r="F318" s="24" t="str"/>
      <x:c r="G318" s="24" t="str">
        <x:v>Acceptance / Historical</x:v>
      </x:c>
      <x:c r="H318" s="24" t="str">
        <x:v>Baseline histórica</x:v>
      </x:c>
      <x:c r="I318" s="24" t="str">
        <x:v>Baseline PASS</x:v>
      </x:c>
      <x:c r="J318" s="24" t="str"/>
      <x:c r="K318" s="24" t="str">
        <x:v>Runtime placement IDs are stable and unique | EditMode</x:v>
      </x:c>
      <x:c r="L318" s="24" t="str">
        <x:v>VRM Games</x:v>
      </x:c>
      <x:c r="M318" s="24"/>
      <x:c r="N318" s="24" t="str">
        <x:v>S4.3 — Documentation/00_Official_Baseline/v0.5/06_Development_Records/Sprints/Sprint_04/QA/S4_Acceptance_Matrix.md</x:v>
      </x:c>
    </x:row>
    <x:row r="319">
      <x:c r="A319" s="24" t="str">
        <x:v>HIST-AC-04-0062</x:v>
      </x:c>
      <x:c r="B319" s="34"/>
      <x:c r="C319" s="24" t="str"/>
      <x:c r="D319" s="24" t="str">
        <x:v>Sprint 4 Acceptance</x:v>
      </x:c>
      <x:c r="E319" s="24" t="str">
        <x:v>AC-S4-16</x:v>
      </x:c>
      <x:c r="F319" s="24" t="str"/>
      <x:c r="G319" s="24" t="str">
        <x:v>Acceptance / Historical</x:v>
      </x:c>
      <x:c r="H319" s="24" t="str">
        <x:v>Baseline histórica</x:v>
      </x:c>
      <x:c r="I319" s="24" t="str">
        <x:v>Baseline PASS</x:v>
      </x:c>
      <x:c r="J319" s="24" t="str"/>
      <x:c r="K319" s="24" t="str">
        <x:v>Delete/Backspace removal frees every occupied cell | PlayMode/manual</x:v>
      </x:c>
      <x:c r="L319" s="24" t="str">
        <x:v>VRM Games</x:v>
      </x:c>
      <x:c r="M319" s="24"/>
      <x:c r="N319" s="24" t="str">
        <x:v>S4.3 — Documentation/00_Official_Baseline/v0.5/06_Development_Records/Sprints/Sprint_04/QA/S4_Acceptance_Matrix.md</x:v>
      </x:c>
    </x:row>
    <x:row r="320">
      <x:c r="A320" s="24" t="str">
        <x:v>HIST-AC-04-0063</x:v>
      </x:c>
      <x:c r="B320" s="34"/>
      <x:c r="C320" s="24" t="str"/>
      <x:c r="D320" s="24" t="str">
        <x:v>Sprint 4 Acceptance</x:v>
      </x:c>
      <x:c r="E320" s="24" t="str">
        <x:v>AC-S4-17</x:v>
      </x:c>
      <x:c r="F320" s="24" t="str"/>
      <x:c r="G320" s="24" t="str">
        <x:v>Acceptance / Historical</x:v>
      </x:c>
      <x:c r="H320" s="24" t="str">
        <x:v>Baseline histórica</x:v>
      </x:c>
      <x:c r="I320" s="24" t="str">
        <x:v>Baseline PASS</x:v>
      </x:c>
      <x:c r="J320" s="24" t="str"/>
      <x:c r="K320" s="24" t="str">
        <x:v>Movement input is suppressed only during placement mode | EditMode/manual</x:v>
      </x:c>
      <x:c r="L320" s="24" t="str">
        <x:v>VRM Games</x:v>
      </x:c>
      <x:c r="M320" s="24"/>
      <x:c r="N320" s="24" t="str">
        <x:v>S4.3 — Documentation/00_Official_Baseline/v0.5/06_Development_Records/Sprints/Sprint_04/QA/S4_Acceptance_Matrix.md</x:v>
      </x:c>
    </x:row>
    <x:row r="321">
      <x:c r="A321" s="24" t="str">
        <x:v>HIST-AC-04-0064</x:v>
      </x:c>
      <x:c r="B321" s="34"/>
      <x:c r="C321" s="24" t="str"/>
      <x:c r="D321" s="24" t="str">
        <x:v>Sprint 4 Acceptance</x:v>
      </x:c>
      <x:c r="E321" s="24" t="str">
        <x:v>AC-S4-18</x:v>
      </x:c>
      <x:c r="F321" s="24" t="str"/>
      <x:c r="G321" s="24" t="str">
        <x:v>Acceptance / Historical</x:v>
      </x:c>
      <x:c r="H321" s="24" t="str">
        <x:v>Baseline histórica</x:v>
      </x:c>
      <x:c r="I321" s="24" t="str">
        <x:v>Baseline PASS</x:v>
      </x:c>
      <x:c r="J321" s="24" t="str"/>
      <x:c r="K321" s="24" t="str">
        <x:v>Application version is 0.0.5 | EditMode/build</x:v>
      </x:c>
      <x:c r="L321" s="24" t="str">
        <x:v>VRM Games</x:v>
      </x:c>
      <x:c r="M321" s="24"/>
      <x:c r="N321" s="24" t="str">
        <x:v>S4.4 — Documentation/00_Official_Baseline/v0.5/06_Development_Records/Sprints/Sprint_04/QA/S4_Acceptance_Matrix.md</x:v>
      </x:c>
    </x:row>
    <x:row r="322">
      <x:c r="A322" s="24" t="str">
        <x:v>HIST-AC-04-0065</x:v>
      </x:c>
      <x:c r="B322" s="34"/>
      <x:c r="C322" s="24" t="str"/>
      <x:c r="D322" s="24" t="str">
        <x:v>Sprint 4 Acceptance</x:v>
      </x:c>
      <x:c r="E322" s="24" t="str">
        <x:v>AC-S4-19</x:v>
      </x:c>
      <x:c r="F322" s="24" t="str"/>
      <x:c r="G322" s="24" t="str">
        <x:v>Acceptance / Historical</x:v>
      </x:c>
      <x:c r="H322" s="24" t="str">
        <x:v>Baseline histórica</x:v>
      </x:c>
      <x:c r="I322" s="24" t="str">
        <x:v>Baseline PASS</x:v>
      </x:c>
      <x:c r="J322" s="24" t="str"/>
      <x:c r="K322" s="24" t="str">
        <x:v>Complete automated regression passes | 118/118</x:v>
      </x:c>
      <x:c r="L322" s="24" t="str">
        <x:v>VRM Games</x:v>
      </x:c>
      <x:c r="M322" s="24"/>
      <x:c r="N322" s="24" t="str">
        <x:v>S4.4 — Documentation/00_Official_Baseline/v0.5/06_Development_Records/Sprints/Sprint_04/QA/S4_Acceptance_Matrix.md</x:v>
      </x:c>
    </x:row>
    <x:row r="323">
      <x:c r="A323" s="24" t="str">
        <x:v>HIST-AC-04-0066</x:v>
      </x:c>
      <x:c r="B323" s="34"/>
      <x:c r="C323" s="24" t="str"/>
      <x:c r="D323" s="24" t="str">
        <x:v>Sprint 4 Acceptance</x:v>
      </x:c>
      <x:c r="E323" s="24" t="str">
        <x:v>AC-S4-20</x:v>
      </x:c>
      <x:c r="F323" s="24" t="str"/>
      <x:c r="G323" s="24" t="str">
        <x:v>Acceptance / Historical</x:v>
      </x:c>
      <x:c r="H323" s="24" t="str">
        <x:v>Baseline histórica</x:v>
      </x:c>
      <x:c r="I323" s="24" t="str">
        <x:v>Baseline PASS</x:v>
      </x:c>
      <x:c r="J323" s="24" t="str"/>
      <x:c r="K323" s="24" t="str">
        <x:v>Final TestLab placement regression passes | Manual</x:v>
      </x:c>
      <x:c r="L323" s="24" t="str">
        <x:v>VRM Games</x:v>
      </x:c>
      <x:c r="M323" s="24"/>
      <x:c r="N323" s="24" t="str">
        <x:v>S4.4 — Documentation/00_Official_Baseline/v0.5/06_Development_Records/Sprints/Sprint_04/QA/S4_Acceptance_Matrix.md</x:v>
      </x:c>
    </x:row>
    <x:row r="324">
      <x:c r="A324" s="24" t="str">
        <x:v>HIST-AC-04-0067</x:v>
      </x:c>
      <x:c r="B324" s="34"/>
      <x:c r="C324" s="24" t="str"/>
      <x:c r="D324" s="24" t="str">
        <x:v>Sprint 4 Acceptance</x:v>
      </x:c>
      <x:c r="E324" s="24" t="str">
        <x:v>AC-S4-21</x:v>
      </x:c>
      <x:c r="F324" s="24" t="str"/>
      <x:c r="G324" s="24" t="str">
        <x:v>Acceptance / Historical</x:v>
      </x:c>
      <x:c r="H324" s="24" t="str">
        <x:v>Baseline histórica</x:v>
      </x:c>
      <x:c r="I324" s="24" t="str">
        <x:v>Baseline PASS</x:v>
      </x:c>
      <x:c r="J324" s="24" t="str"/>
      <x:c r="K324" s="24" t="str">
        <x:v>Bootstrap/MainMenu/Store regression passes | Manual</x:v>
      </x:c>
      <x:c r="L324" s="24" t="str">
        <x:v>VRM Games</x:v>
      </x:c>
      <x:c r="M324" s="24"/>
      <x:c r="N324" s="24" t="str">
        <x:v>S4.4 — Documentation/00_Official_Baseline/v0.5/06_Development_Records/Sprints/Sprint_04/QA/S4_Acceptance_Matrix.md</x:v>
      </x:c>
    </x:row>
    <x:row r="325">
      <x:c r="A325" s="24" t="str">
        <x:v>HIST-AC-04-0068</x:v>
      </x:c>
      <x:c r="B325" s="34"/>
      <x:c r="C325" s="24" t="str"/>
      <x:c r="D325" s="24" t="str">
        <x:v>Sprint 4 Acceptance</x:v>
      </x:c>
      <x:c r="E325" s="24" t="str">
        <x:v>AC-S4-22</x:v>
      </x:c>
      <x:c r="F325" s="24" t="str"/>
      <x:c r="G325" s="24" t="str">
        <x:v>Acceptance / Historical</x:v>
      </x:c>
      <x:c r="H325" s="24" t="str">
        <x:v>Baseline histórica</x:v>
      </x:c>
      <x:c r="I325" s="24" t="str">
        <x:v>Baseline PASS</x:v>
      </x:c>
      <x:c r="J325" s="24" t="str"/>
      <x:c r="K325" s="24" t="str">
        <x:v>Windows x64 build and external execution pass | Manual</x:v>
      </x:c>
      <x:c r="L325" s="24" t="str">
        <x:v>VRM Games</x:v>
      </x:c>
      <x:c r="M325" s="24"/>
      <x:c r="N325" s="24" t="str">
        <x:v>S4.4 — Documentation/00_Official_Baseline/v0.5/06_Development_Records/Sprints/Sprint_04/QA/S4_Acceptance_Matrix.md</x:v>
      </x:c>
    </x:row>
    <x:row r="326">
      <x:c r="A326" s="24" t="str">
        <x:v>HIST-AC-04-0069</x:v>
      </x:c>
      <x:c r="B326" s="34"/>
      <x:c r="C326" s="24" t="str"/>
      <x:c r="D326" s="24" t="str">
        <x:v>Sprint 4 Acceptance</x:v>
      </x:c>
      <x:c r="E326" s="24" t="str">
        <x:v>AC-S4-23</x:v>
      </x:c>
      <x:c r="F326" s="24" t="str"/>
      <x:c r="G326" s="24" t="str">
        <x:v>Acceptance / Historical</x:v>
      </x:c>
      <x:c r="H326" s="24" t="str">
        <x:v>Baseline histórica</x:v>
      </x:c>
      <x:c r="I326" s="24" t="str">
        <x:v>Baseline PASS</x:v>
      </x:c>
      <x:c r="J326" s="24" t="str"/>
      <x:c r="K326" s="24" t="str">
        <x:v>Final technical commit is published to main | GitHub</x:v>
      </x:c>
      <x:c r="L326" s="24" t="str">
        <x:v>VRM Games</x:v>
      </x:c>
      <x:c r="M326" s="24"/>
      <x:c r="N326" s="24" t="str">
        <x:v>S4.4 — Documentation/00_Official_Baseline/v0.5/06_Development_Records/Sprints/Sprint_04/QA/S4_Acceptance_Matrix.md</x:v>
      </x:c>
    </x:row>
    <x:row r="327">
      <x:c r="A327" s="24" t="str">
        <x:v>HIST-AC-05-0070</x:v>
      </x:c>
      <x:c r="B327" s="34"/>
      <x:c r="C327" s="24" t="str"/>
      <x:c r="D327" s="24" t="str">
        <x:v>Sprint 5 Acceptance</x:v>
      </x:c>
      <x:c r="E327" s="24" t="str">
        <x:v>AC-S5-01</x:v>
      </x:c>
      <x:c r="F327" s="24" t="str"/>
      <x:c r="G327" s="24" t="str">
        <x:v>Acceptance / Historical</x:v>
      </x:c>
      <x:c r="H327" s="24" t="str">
        <x:v>Baseline histórica</x:v>
      </x:c>
      <x:c r="I327" s="24" t="str">
        <x:v>Baseline PASS</x:v>
      </x:c>
      <x:c r="J327" s="24" t="str"/>
      <x:c r="K327" s="24" t="str">
        <x:v>Store shell measures 10 x 15 metres | Manual/validator</x:v>
      </x:c>
      <x:c r="L327" s="24" t="str">
        <x:v>VRM Games</x:v>
      </x:c>
      <x:c r="M327" s="24"/>
      <x:c r="N327" s="24" t="str">
        <x:v>S5.1 — Documentation/00_Official_Baseline/v0.5/06_Development_Records/Sprints/Sprint_05/QA/S5_Acceptance_Matrix.md</x:v>
      </x:c>
    </x:row>
    <x:row r="328">
      <x:c r="A328" s="24" t="str">
        <x:v>HIST-AC-05-0071</x:v>
      </x:c>
      <x:c r="B328" s="34"/>
      <x:c r="C328" s="24" t="str"/>
      <x:c r="D328" s="24" t="str">
        <x:v>Sprint 5 Acceptance</x:v>
      </x:c>
      <x:c r="E328" s="24" t="str">
        <x:v>AC-S5-02</x:v>
      </x:c>
      <x:c r="F328" s="24" t="str"/>
      <x:c r="G328" s="24" t="str">
        <x:v>Acceptance / Historical</x:v>
      </x:c>
      <x:c r="H328" s="24" t="str">
        <x:v>Baseline histórica</x:v>
      </x:c>
      <x:c r="I328" s="24" t="str">
        <x:v>Baseline PASS</x:v>
      </x:c>
      <x:c r="J328" s="24" t="str"/>
      <x:c r="K328" s="24" t="str">
        <x:v>Central entrance measures 2 metres | Manual/validator</x:v>
      </x:c>
      <x:c r="L328" s="24" t="str">
        <x:v>VRM Games</x:v>
      </x:c>
      <x:c r="M328" s="24"/>
      <x:c r="N328" s="24" t="str">
        <x:v>S5.1 — Documentation/00_Official_Baseline/v0.5/06_Development_Records/Sprints/Sprint_05/QA/S5_Acceptance_Matrix.md</x:v>
      </x:c>
    </x:row>
    <x:row r="329">
      <x:c r="A329" s="24" t="str">
        <x:v>HIST-AC-05-0072</x:v>
      </x:c>
      <x:c r="B329" s="34"/>
      <x:c r="C329" s="24" t="str"/>
      <x:c r="D329" s="24" t="str">
        <x:v>Sprint 5 Acceptance</x:v>
      </x:c>
      <x:c r="E329" s="24" t="str">
        <x:v>AC-S5-03</x:v>
      </x:c>
      <x:c r="F329" s="24" t="str"/>
      <x:c r="G329" s="24" t="str">
        <x:v>Acceptance / Historical</x:v>
      </x:c>
      <x:c r="H329" s="24" t="str">
        <x:v>Baseline histórica</x:v>
      </x:c>
      <x:c r="I329" s="24" t="str">
        <x:v>Baseline PASS</x:v>
      </x:c>
      <x:c r="J329" s="24" t="str"/>
      <x:c r="K329" s="24" t="str">
        <x:v>Technical player movement works in Store | Manual/PlayMode</x:v>
      </x:c>
      <x:c r="L329" s="24" t="str">
        <x:v>VRM Games</x:v>
      </x:c>
      <x:c r="M329" s="24"/>
      <x:c r="N329" s="24" t="str">
        <x:v>S5.1 — Documentation/00_Official_Baseline/v0.5/06_Development_Records/Sprints/Sprint_05/QA/S5_Acceptance_Matrix.md</x:v>
      </x:c>
    </x:row>
    <x:row r="330">
      <x:c r="A330" s="24" t="str">
        <x:v>HIST-AC-05-0073</x:v>
      </x:c>
      <x:c r="B330" s="34"/>
      <x:c r="C330" s="24" t="str"/>
      <x:c r="D330" s="24" t="str">
        <x:v>Sprint 5 Acceptance</x:v>
      </x:c>
      <x:c r="E330" s="24" t="str">
        <x:v>AC-S5-04</x:v>
      </x:c>
      <x:c r="F330" s="24" t="str"/>
      <x:c r="G330" s="24" t="str">
        <x:v>Acceptance / Historical</x:v>
      </x:c>
      <x:c r="H330" s="24" t="str">
        <x:v>Baseline histórica</x:v>
      </x:c>
      <x:c r="I330" s="24" t="str">
        <x:v>Baseline PASS</x:v>
      </x:c>
      <x:c r="J330" s="24" t="str"/>
      <x:c r="K330" s="24" t="str">
        <x:v>Orbit and zoom work in Store | Manual/PlayMode</x:v>
      </x:c>
      <x:c r="L330" s="24" t="str">
        <x:v>VRM Games</x:v>
      </x:c>
      <x:c r="M330" s="24"/>
      <x:c r="N330" s="24" t="str">
        <x:v>S5.1 — Documentation/00_Official_Baseline/v0.5/06_Development_Records/Sprints/Sprint_05/QA/S5_Acceptance_Matrix.md</x:v>
      </x:c>
    </x:row>
    <x:row r="331">
      <x:c r="A331" s="24" t="str">
        <x:v>HIST-AC-05-0074</x:v>
      </x:c>
      <x:c r="B331" s="34"/>
      <x:c r="C331" s="24" t="str"/>
      <x:c r="D331" s="24" t="str">
        <x:v>Sprint 5 Acceptance</x:v>
      </x:c>
      <x:c r="E331" s="24" t="str">
        <x:v>AC-S5-05</x:v>
      </x:c>
      <x:c r="F331" s="24" t="str"/>
      <x:c r="G331" s="24" t="str">
        <x:v>Acceptance / Historical</x:v>
      </x:c>
      <x:c r="H331" s="24" t="str">
        <x:v>Baseline histórica</x:v>
      </x:c>
      <x:c r="I331" s="24" t="str">
        <x:v>Baseline PASS</x:v>
      </x:c>
      <x:c r="J331" s="24" t="str"/>
      <x:c r="K331" s="24" t="str">
        <x:v>Normal and direct Store return flow works | Smoke/manual</x:v>
      </x:c>
      <x:c r="L331" s="24" t="str">
        <x:v>VRM Games</x:v>
      </x:c>
      <x:c r="M331" s="24"/>
      <x:c r="N331" s="24" t="str">
        <x:v>S5.1 — Documentation/00_Official_Baseline/v0.5/06_Development_Records/Sprints/Sprint_05/QA/S5_Acceptance_Matrix.md</x:v>
      </x:c>
    </x:row>
    <x:row r="332">
      <x:c r="A332" s="24" t="str">
        <x:v>HIST-AC-05-0075</x:v>
      </x:c>
      <x:c r="B332" s="34"/>
      <x:c r="C332" s="24" t="str"/>
      <x:c r="D332" s="24" t="str">
        <x:v>Sprint 5 Acceptance</x:v>
      </x:c>
      <x:c r="E332" s="24" t="str">
        <x:v>AC-S5-06</x:v>
      </x:c>
      <x:c r="F332" s="24" t="str"/>
      <x:c r="G332" s="24" t="str">
        <x:v>Acceptance / Historical</x:v>
      </x:c>
      <x:c r="H332" s="24" t="str">
        <x:v>Baseline histórica</x:v>
      </x:c>
      <x:c r="I332" s="24" t="str">
        <x:v>Baseline PASS</x:v>
      </x:c>
      <x:c r="J332" s="24" t="str"/>
      <x:c r="K332" s="24" t="str">
        <x:v>Logical Store layout is 20 x 30 cells | EditMode</x:v>
      </x:c>
      <x:c r="L332" s="24" t="str">
        <x:v>VRM Games</x:v>
      </x:c>
      <x:c r="M332" s="24"/>
      <x:c r="N332" s="24" t="str">
        <x:v>S5.2 — Documentation/00_Official_Baseline/v0.5/06_Development_Records/Sprints/Sprint_05/QA/S5_Acceptance_Matrix.md</x:v>
      </x:c>
    </x:row>
    <x:row r="333">
      <x:c r="A333" s="24" t="str">
        <x:v>HIST-AC-05-0076</x:v>
      </x:c>
      <x:c r="B333" s="34"/>
      <x:c r="C333" s="24" t="str"/>
      <x:c r="D333" s="24" t="str">
        <x:v>Sprint 5 Acceptance</x:v>
      </x:c>
      <x:c r="E333" s="24" t="str">
        <x:v>AC-S5-07</x:v>
      </x:c>
      <x:c r="F333" s="24" t="str"/>
      <x:c r="G333" s="24" t="str">
        <x:v>Acceptance / Historical</x:v>
      </x:c>
      <x:c r="H333" s="24" t="str">
        <x:v>Baseline histórica</x:v>
      </x:c>
      <x:c r="I333" s="24" t="str">
        <x:v>Baseline PASS</x:v>
      </x:c>
      <x:c r="J333" s="24" t="str"/>
      <x:c r="K333" s="24" t="str">
        <x:v>Entrance reserve contains four cells | EditMode</x:v>
      </x:c>
      <x:c r="L333" s="24" t="str">
        <x:v>VRM Games</x:v>
      </x:c>
      <x:c r="M333" s="24"/>
      <x:c r="N333" s="24" t="str">
        <x:v>S5.2 — Documentation/00_Official_Baseline/v0.5/06_Development_Records/Sprints/Sprint_05/QA/S5_Acceptance_Matrix.md</x:v>
      </x:c>
    </x:row>
    <x:row r="334">
      <x:c r="A334" s="24" t="str">
        <x:v>HIST-AC-05-0077</x:v>
      </x:c>
      <x:c r="B334" s="34"/>
      <x:c r="C334" s="24" t="str"/>
      <x:c r="D334" s="24" t="str">
        <x:v>Sprint 5 Acceptance</x:v>
      </x:c>
      <x:c r="E334" s="24" t="str">
        <x:v>AC-S5-08</x:v>
      </x:c>
      <x:c r="F334" s="24" t="str"/>
      <x:c r="G334" s="24" t="str">
        <x:v>Acceptance / Historical</x:v>
      </x:c>
      <x:c r="H334" s="24" t="str">
        <x:v>Baseline histórica</x:v>
      </x:c>
      <x:c r="I334" s="24" t="str">
        <x:v>Baseline PASS</x:v>
      </x:c>
      <x:c r="J334" s="24" t="str"/>
      <x:c r="K334" s="24" t="str">
        <x:v>Two adjacent entrance cells must remain open | EditMode</x:v>
      </x:c>
      <x:c r="L334" s="24" t="str">
        <x:v>VRM Games</x:v>
      </x:c>
      <x:c r="M334" s="24"/>
      <x:c r="N334" s="24" t="str">
        <x:v>S5.2 — Documentation/00_Official_Baseline/v0.5/06_Development_Records/Sprints/Sprint_05/QA/S5_Acceptance_Matrix.md</x:v>
      </x:c>
    </x:row>
    <x:row r="335">
      <x:c r="A335" s="24" t="str">
        <x:v>HIST-AC-05-0078</x:v>
      </x:c>
      <x:c r="B335" s="34"/>
      <x:c r="C335" s="24" t="str"/>
      <x:c r="D335" s="24" t="str">
        <x:v>Sprint 5 Acceptance</x:v>
      </x:c>
      <x:c r="E335" s="24" t="str">
        <x:v>AC-S5-09</x:v>
      </x:c>
      <x:c r="F335" s="24" t="str"/>
      <x:c r="G335" s="24" t="str">
        <x:v>Acceptance / Historical</x:v>
      </x:c>
      <x:c r="H335" s="24" t="str">
        <x:v>Baseline histórica</x:v>
      </x:c>
      <x:c r="I335" s="24" t="str">
        <x:v>Baseline PASS</x:v>
      </x:c>
      <x:c r="J335" s="24" t="str"/>
      <x:c r="K335" s="24" t="str">
        <x:v>Required anchors are validated | EditMode</x:v>
      </x:c>
      <x:c r="L335" s="24" t="str">
        <x:v>VRM Games</x:v>
      </x:c>
      <x:c r="M335" s="24"/>
      <x:c r="N335" s="24" t="str">
        <x:v>S5.2 — Documentation/00_Official_Baseline/v0.5/06_Development_Records/Sprints/Sprint_05/QA/S5_Acceptance_Matrix.md</x:v>
      </x:c>
    </x:row>
    <x:row r="336">
      <x:c r="A336" s="24" t="str">
        <x:v>HIST-AC-05-0079</x:v>
      </x:c>
      <x:c r="B336" s="34"/>
      <x:c r="C336" s="24" t="str"/>
      <x:c r="D336" s="24" t="str">
        <x:v>Sprint 5 Acceptance</x:v>
      </x:c>
      <x:c r="E336" s="24" t="str">
        <x:v>AC-S5-10</x:v>
      </x:c>
      <x:c r="F336" s="24" t="str"/>
      <x:c r="G336" s="24" t="str">
        <x:v>Acceptance / Historical</x:v>
      </x:c>
      <x:c r="H336" s="24" t="str">
        <x:v>Baseline histórica</x:v>
      </x:c>
      <x:c r="I336" s="24" t="str">
        <x:v>Baseline PASS</x:v>
      </x:c>
      <x:c r="J336" s="24" t="str"/>
      <x:c r="K336" s="24" t="str">
        <x:v>Four-direction connectivity is deterministic | EditMode</x:v>
      </x:c>
      <x:c r="L336" s="24" t="str">
        <x:v>VRM Games</x:v>
      </x:c>
      <x:c r="M336" s="24"/>
      <x:c r="N336" s="24" t="str">
        <x:v>S5.2 — Documentation/00_Official_Baseline/v0.5/06_Development_Records/Sprints/Sprint_05/QA/S5_Acceptance_Matrix.md</x:v>
      </x:c>
    </x:row>
    <x:row r="337">
      <x:c r="A337" s="24" t="str">
        <x:v>HIST-AC-05-0080</x:v>
      </x:c>
      <x:c r="B337" s="34"/>
      <x:c r="C337" s="24" t="str"/>
      <x:c r="D337" s="24" t="str">
        <x:v>Sprint 5 Acceptance</x:v>
      </x:c>
      <x:c r="E337" s="24" t="str">
        <x:v>AC-S5-11</x:v>
      </x:c>
      <x:c r="F337" s="24" t="str"/>
      <x:c r="G337" s="24" t="str">
        <x:v>Acceptance / Historical</x:v>
      </x:c>
      <x:c r="H337" s="24" t="str">
        <x:v>Baseline histórica</x:v>
      </x:c>
      <x:c r="I337" s="24" t="str">
        <x:v>Baseline PASS</x:v>
      </x:c>
      <x:c r="J337" s="24" t="str"/>
      <x:c r="K337" s="24" t="str">
        <x:v>Route-blocking candidates reject without mutation | EditMode</x:v>
      </x:c>
      <x:c r="L337" s="24" t="str">
        <x:v>VRM Games</x:v>
      </x:c>
      <x:c r="M337" s="24"/>
      <x:c r="N337" s="24" t="str">
        <x:v>S5.2 — Documentation/00_Official_Baseline/v0.5/06_Development_Records/Sprints/Sprint_05/QA/S5_Acceptance_Matrix.md</x:v>
      </x:c>
    </x:row>
    <x:row r="338">
      <x:c r="A338" s="24" t="str">
        <x:v>HIST-AC-05-0081</x:v>
      </x:c>
      <x:c r="B338" s="34"/>
      <x:c r="C338" s="24" t="str"/>
      <x:c r="D338" s="24" t="str">
        <x:v>Sprint 5 Acceptance</x:v>
      </x:c>
      <x:c r="E338" s="24" t="str">
        <x:v>AC-S5-12</x:v>
      </x:c>
      <x:c r="F338" s="24" t="str"/>
      <x:c r="G338" s="24" t="str">
        <x:v>Acceptance / Historical</x:v>
      </x:c>
      <x:c r="H338" s="24" t="str">
        <x:v>Baseline histórica</x:v>
      </x:c>
      <x:c r="I338" s="24" t="str">
        <x:v>Baseline PASS</x:v>
      </x:c>
      <x:c r="J338" s="24" t="str"/>
      <x:c r="K338" s="24" t="str">
        <x:v>Rotation changes access outcome deterministically | EditMode</x:v>
      </x:c>
      <x:c r="L338" s="24" t="str">
        <x:v>VRM Games</x:v>
      </x:c>
      <x:c r="M338" s="24"/>
      <x:c r="N338" s="24" t="str">
        <x:v>S5.2 — Documentation/00_Official_Baseline/v0.5/06_Development_Records/Sprints/Sprint_05/QA/S5_Acceptance_Matrix.md</x:v>
      </x:c>
    </x:row>
    <x:row r="339">
      <x:c r="A339" s="24" t="str">
        <x:v>HIST-AC-05-0082</x:v>
      </x:c>
      <x:c r="B339" s="34"/>
      <x:c r="C339" s="24" t="str"/>
      <x:c r="D339" s="24" t="str">
        <x:v>Sprint 5 Acceptance</x:v>
      </x:c>
      <x:c r="E339" s="24" t="str">
        <x:v>AC-S5-13</x:v>
      </x:c>
      <x:c r="F339" s="24" t="str"/>
      <x:c r="G339" s="24" t="str">
        <x:v>Acceptance / Historical</x:v>
      </x:c>
      <x:c r="H339" s="24" t="str">
        <x:v>Baseline histórica</x:v>
      </x:c>
      <x:c r="I339" s="24" t="str">
        <x:v>Baseline PASS</x:v>
      </x:c>
      <x:c r="J339" s="24" t="str"/>
      <x:c r="K339" s="24" t="str">
        <x:v>Store construction uses existing Input Actions | Input/manual</x:v>
      </x:c>
      <x:c r="L339" s="24" t="str">
        <x:v>VRM Games</x:v>
      </x:c>
      <x:c r="M339" s="24"/>
      <x:c r="N339" s="24" t="str">
        <x:v>S5.3 — Documentation/00_Official_Baseline/v0.5/06_Development_Records/Sprints/Sprint_05/QA/S5_Acceptance_Matrix.md</x:v>
      </x:c>
    </x:row>
    <x:row r="340">
      <x:c r="A340" s="24" t="str">
        <x:v>HIST-AC-05-0083</x:v>
      </x:c>
      <x:c r="B340" s="34"/>
      <x:c r="C340" s="24" t="str"/>
      <x:c r="D340" s="24" t="str">
        <x:v>Sprint 5 Acceptance</x:v>
      </x:c>
      <x:c r="E340" s="24" t="str">
        <x:v>AC-S5-14</x:v>
      </x:c>
      <x:c r="F340" s="24" t="str"/>
      <x:c r="G340" s="24" t="str">
        <x:v>Acceptance / Historical</x:v>
      </x:c>
      <x:c r="H340" s="24" t="str">
        <x:v>Baseline histórica</x:v>
      </x:c>
      <x:c r="I340" s="24" t="str">
        <x:v>Baseline PASS</x:v>
      </x:c>
      <x:c r="J340" s="24" t="str"/>
      <x:c r="K340" s="24" t="str">
        <x:v>Store preview snaps to 0.5-metre cells | PlayMode/manual</x:v>
      </x:c>
      <x:c r="L340" s="24" t="str">
        <x:v>VRM Games</x:v>
      </x:c>
      <x:c r="M340" s="24"/>
      <x:c r="N340" s="24" t="str">
        <x:v>S5.3 — Documentation/00_Official_Baseline/v0.5/06_Development_Records/Sprints/Sprint_05/QA/S5_Acceptance_Matrix.md</x:v>
      </x:c>
    </x:row>
    <x:row r="341">
      <x:c r="A341" s="24" t="str">
        <x:v>HIST-AC-05-0084</x:v>
      </x:c>
      <x:c r="B341" s="34"/>
      <x:c r="C341" s="24" t="str"/>
      <x:c r="D341" s="24" t="str">
        <x:v>Sprint 5 Acceptance</x:v>
      </x:c>
      <x:c r="E341" s="24" t="str">
        <x:v>AC-S5-15</x:v>
      </x:c>
      <x:c r="F341" s="24" t="str"/>
      <x:c r="G341" s="24" t="str">
        <x:v>Acceptance / Historical</x:v>
      </x:c>
      <x:c r="H341" s="24" t="str">
        <x:v>Baseline histórica</x:v>
      </x:c>
      <x:c r="I341" s="24" t="str">
        <x:v>Baseline PASS</x:v>
      </x:c>
      <x:c r="J341" s="24" t="str"/>
      <x:c r="K341" s="24" t="str">
        <x:v>Bounds and overlap remain atomic | EditMode/PlayMode</x:v>
      </x:c>
      <x:c r="L341" s="24" t="str">
        <x:v>VRM Games</x:v>
      </x:c>
      <x:c r="M341" s="24"/>
      <x:c r="N341" s="24" t="str">
        <x:v>S5.3 — Documentation/00_Official_Baseline/v0.5/06_Development_Records/Sprints/Sprint_05/QA/S5_Acceptance_Matrix.md</x:v>
      </x:c>
    </x:row>
    <x:row r="342">
      <x:c r="A342" s="24" t="str">
        <x:v>HIST-AC-05-0085</x:v>
      </x:c>
      <x:c r="B342" s="34"/>
      <x:c r="C342" s="24" t="str"/>
      <x:c r="D342" s="24" t="str">
        <x:v>Sprint 5 Acceptance</x:v>
      </x:c>
      <x:c r="E342" s="24" t="str">
        <x:v>AC-S5-16</x:v>
      </x:c>
      <x:c r="F342" s="24" t="str"/>
      <x:c r="G342" s="24" t="str">
        <x:v>Acceptance / Historical</x:v>
      </x:c>
      <x:c r="H342" s="24" t="str">
        <x:v>Baseline histórica</x:v>
      </x:c>
      <x:c r="I342" s="24" t="str">
        <x:v>Baseline PASS</x:v>
      </x:c>
      <x:c r="J342" s="24" t="str"/>
      <x:c r="K342" s="24" t="str">
        <x:v>Entrance-reserve placement is rejected | EditMode/PlayMode</x:v>
      </x:c>
      <x:c r="L342" s="24" t="str">
        <x:v>VRM Games</x:v>
      </x:c>
      <x:c r="M342" s="24"/>
      <x:c r="N342" s="24" t="str">
        <x:v>S5.3 — Documentation/00_Official_Baseline/v0.5/06_Development_Records/Sprints/Sprint_05/QA/S5_Acceptance_Matrix.md</x:v>
      </x:c>
    </x:row>
    <x:row r="343">
      <x:c r="A343" s="24" t="str">
        <x:v>HIST-AC-05-0086</x:v>
      </x:c>
      <x:c r="B343" s="34"/>
      <x:c r="C343" s="24" t="str"/>
      <x:c r="D343" s="24" t="str">
        <x:v>Sprint 5 Acceptance</x:v>
      </x:c>
      <x:c r="E343" s="24" t="str">
        <x:v>AC-S5-17</x:v>
      </x:c>
      <x:c r="F343" s="24" t="str"/>
      <x:c r="G343" s="24" t="str">
        <x:v>Acceptance / Historical</x:v>
      </x:c>
      <x:c r="H343" s="24" t="str">
        <x:v>Baseline histórica</x:v>
      </x:c>
      <x:c r="I343" s="24" t="str">
        <x:v>Baseline PASS</x:v>
      </x:c>
      <x:c r="J343" s="24" t="str"/>
      <x:c r="K343" s="24" t="str">
        <x:v>Required-route blockage is rejected | EditMode/PlayMode</x:v>
      </x:c>
      <x:c r="L343" s="24" t="str">
        <x:v>VRM Games</x:v>
      </x:c>
      <x:c r="M343" s="24"/>
      <x:c r="N343" s="24" t="str">
        <x:v>S5.3 — Documentation/00_Official_Baseline/v0.5/06_Development_Records/Sprints/Sprint_05/QA/S5_Acceptance_Matrix.md</x:v>
      </x:c>
    </x:row>
    <x:row r="344">
      <x:c r="A344" s="24" t="str">
        <x:v>HIST-AC-05-0087</x:v>
      </x:c>
      <x:c r="B344" s="34"/>
      <x:c r="C344" s="24" t="str"/>
      <x:c r="D344" s="24" t="str">
        <x:v>Sprint 5 Acceptance</x:v>
      </x:c>
      <x:c r="E344" s="24" t="str">
        <x:v>AC-S5-18</x:v>
      </x:c>
      <x:c r="F344" s="24" t="str"/>
      <x:c r="G344" s="24" t="str">
        <x:v>Acceptance / Historical</x:v>
      </x:c>
      <x:c r="H344" s="24" t="str">
        <x:v>Baseline histórica</x:v>
      </x:c>
      <x:c r="I344" s="24" t="str">
        <x:v>Baseline PASS</x:v>
      </x:c>
      <x:c r="J344" s="24" t="str"/>
      <x:c r="K344" s="24" t="str">
        <x:v>Valid placement confirms and creates a view | PlayMode/manual</x:v>
      </x:c>
      <x:c r="L344" s="24" t="str">
        <x:v>VRM Games</x:v>
      </x:c>
      <x:c r="M344" s="24"/>
      <x:c r="N344" s="24" t="str">
        <x:v>S5.3 — Documentation/00_Official_Baseline/v0.5/06_Development_Records/Sprints/Sprint_05/QA/S5_Acceptance_Matrix.md</x:v>
      </x:c>
    </x:row>
    <x:row r="345">
      <x:c r="A345" s="24" t="str">
        <x:v>HIST-AC-05-0088</x:v>
      </x:c>
      <x:c r="B345" s="34"/>
      <x:c r="C345" s="24" t="str"/>
      <x:c r="D345" s="24" t="str">
        <x:v>Sprint 5 Acceptance</x:v>
      </x:c>
      <x:c r="E345" s="24" t="str">
        <x:v>AC-S5-19</x:v>
      </x:c>
      <x:c r="F345" s="24" t="str"/>
      <x:c r="G345" s="24" t="str">
        <x:v>Acceptance / Historical</x:v>
      </x:c>
      <x:c r="H345" s="24" t="str">
        <x:v>Baseline histórica</x:v>
      </x:c>
      <x:c r="I345" s="24" t="str">
        <x:v>Baseline PASS</x:v>
      </x:c>
      <x:c r="J345" s="24" t="str"/>
      <x:c r="K345" s="24" t="str">
        <x:v>Escape cancellation works | PlayMode/manual</x:v>
      </x:c>
      <x:c r="L345" s="24" t="str">
        <x:v>VRM Games</x:v>
      </x:c>
      <x:c r="M345" s="24"/>
      <x:c r="N345" s="24" t="str">
        <x:v>S5.3 — Documentation/00_Official_Baseline/v0.5/06_Development_Records/Sprints/Sprint_05/QA/S5_Acceptance_Matrix.md</x:v>
      </x:c>
    </x:row>
    <x:row r="346">
      <x:c r="A346" s="24" t="str">
        <x:v>HIST-AC-05-0089</x:v>
      </x:c>
      <x:c r="B346" s="34"/>
      <x:c r="C346" s="24" t="str"/>
      <x:c r="D346" s="24" t="str">
        <x:v>Sprint 5 Acceptance</x:v>
      </x:c>
      <x:c r="E346" s="24" t="str">
        <x:v>AC-S5-20</x:v>
      </x:c>
      <x:c r="F346" s="24" t="str"/>
      <x:c r="G346" s="24" t="str">
        <x:v>Acceptance / Historical</x:v>
      </x:c>
      <x:c r="H346" s="24" t="str">
        <x:v>Baseline histórica</x:v>
      </x:c>
      <x:c r="I346" s="24" t="str">
        <x:v>Baseline PASS</x:v>
      </x:c>
      <x:c r="J346" s="24" t="str"/>
      <x:c r="K346" s="24" t="str">
        <x:v>Delete/Backspace removal frees occupancy | PlayMode/manual</x:v>
      </x:c>
      <x:c r="L346" s="24" t="str">
        <x:v>VRM Games</x:v>
      </x:c>
      <x:c r="M346" s="24"/>
      <x:c r="N346" s="24" t="str">
        <x:v>S5.3 — Documentation/00_Official_Baseline/v0.5/06_Development_Records/Sprints/Sprint_05/QA/S5_Acceptance_Matrix.md</x:v>
      </x:c>
    </x:row>
    <x:row r="347">
      <x:c r="A347" s="24" t="str">
        <x:v>HIST-AC-05-0090</x:v>
      </x:c>
      <x:c r="B347" s="34"/>
      <x:c r="C347" s="24" t="str"/>
      <x:c r="D347" s="24" t="str">
        <x:v>Sprint 5 Acceptance</x:v>
      </x:c>
      <x:c r="E347" s="24" t="str">
        <x:v>AC-S5-21</x:v>
      </x:c>
      <x:c r="F347" s="24" t="str"/>
      <x:c r="G347" s="24" t="str">
        <x:v>Acceptance / Historical</x:v>
      </x:c>
      <x:c r="H347" s="24" t="str">
        <x:v>Baseline histórica</x:v>
      </x:c>
      <x:c r="I347" s="24" t="str">
        <x:v>Baseline PASS</x:v>
      </x:c>
      <x:c r="J347" s="24" t="str"/>
      <x:c r="K347" s="24" t="str">
        <x:v>Movement is suppressed only during construction | Regression/manual</x:v>
      </x:c>
      <x:c r="L347" s="24" t="str">
        <x:v>VRM Games</x:v>
      </x:c>
      <x:c r="M347" s="24"/>
      <x:c r="N347" s="24" t="str">
        <x:v>S5.3 — Documentation/00_Official_Baseline/v0.5/06_Development_Records/Sprints/Sprint_05/QA/S5_Acceptance_Matrix.md</x:v>
      </x:c>
    </x:row>
    <x:row r="348">
      <x:c r="A348" s="24" t="str">
        <x:v>HIST-AC-05-0091</x:v>
      </x:c>
      <x:c r="B348" s="34"/>
      <x:c r="C348" s="24" t="str"/>
      <x:c r="D348" s="24" t="str">
        <x:v>Sprint 5 Acceptance</x:v>
      </x:c>
      <x:c r="E348" s="24" t="str">
        <x:v>AC-S5-22</x:v>
      </x:c>
      <x:c r="F348" s="24" t="str"/>
      <x:c r="G348" s="24" t="str">
        <x:v>Acceptance / Historical</x:v>
      </x:c>
      <x:c r="H348" s="24" t="str">
        <x:v>Baseline histórica</x:v>
      </x:c>
      <x:c r="I348" s="24" t="str">
        <x:v>Baseline PASS</x:v>
      </x:c>
      <x:c r="J348" s="24" t="str"/>
      <x:c r="K348" s="24" t="str">
        <x:v>Store maintains six approved roots | Validator/smoke</x:v>
      </x:c>
      <x:c r="L348" s="24" t="str">
        <x:v>VRM Games</x:v>
      </x:c>
      <x:c r="M348" s="24"/>
      <x:c r="N348" s="24" t="str">
        <x:v>S5.3 — Documentation/00_Official_Baseline/v0.5/06_Development_Records/Sprints/Sprint_05/QA/S5_Acceptance_Matrix.md</x:v>
      </x:c>
    </x:row>
    <x:row r="349">
      <x:c r="A349" s="24" t="str">
        <x:v>HIST-AC-05-0092</x:v>
      </x:c>
      <x:c r="B349" s="34"/>
      <x:c r="C349" s="24" t="str"/>
      <x:c r="D349" s="24" t="str">
        <x:v>Sprint 5 Acceptance</x:v>
      </x:c>
      <x:c r="E349" s="24" t="str">
        <x:v>AC-S5-23</x:v>
      </x:c>
      <x:c r="F349" s="24" t="str"/>
      <x:c r="G349" s="24" t="str">
        <x:v>Acceptance / Historical</x:v>
      </x:c>
      <x:c r="H349" s="24" t="str">
        <x:v>Baseline histórica</x:v>
      </x:c>
      <x:c r="I349" s="24" t="str">
        <x:v>Baseline PASS</x:v>
      </x:c>
      <x:c r="J349" s="24" t="str"/>
      <x:c r="K349" s="24" t="str">
        <x:v>Application version is 0.0.6 | EditMode/build</x:v>
      </x:c>
      <x:c r="L349" s="24" t="str">
        <x:v>VRM Games</x:v>
      </x:c>
      <x:c r="M349" s="24"/>
      <x:c r="N349" s="24" t="str">
        <x:v>S5.4 — Documentation/00_Official_Baseline/v0.5/06_Development_Records/Sprints/Sprint_05/QA/S5_Acceptance_Matrix.md</x:v>
      </x:c>
    </x:row>
    <x:row r="350">
      <x:c r="A350" s="24" t="str">
        <x:v>HIST-AC-05-0093</x:v>
      </x:c>
      <x:c r="B350" s="34"/>
      <x:c r="C350" s="24" t="str"/>
      <x:c r="D350" s="24" t="str">
        <x:v>Sprint 5 Acceptance</x:v>
      </x:c>
      <x:c r="E350" s="24" t="str">
        <x:v>AC-S5-24</x:v>
      </x:c>
      <x:c r="F350" s="24" t="str"/>
      <x:c r="G350" s="24" t="str">
        <x:v>Acceptance / Historical</x:v>
      </x:c>
      <x:c r="H350" s="24" t="str">
        <x:v>Baseline histórica</x:v>
      </x:c>
      <x:c r="I350" s="24" t="str">
        <x:v>Baseline PASS</x:v>
      </x:c>
      <x:c r="J350" s="24" t="str"/>
      <x:c r="K350" s="24" t="str">
        <x:v>Complete automated regression passes | 168/168</x:v>
      </x:c>
      <x:c r="L350" s="24" t="str">
        <x:v>VRM Games</x:v>
      </x:c>
      <x:c r="M350" s="24"/>
      <x:c r="N350" s="24" t="str">
        <x:v>S5.4 — Documentation/00_Official_Baseline/v0.5/06_Development_Records/Sprints/Sprint_05/QA/S5_Acceptance_Matrix.md</x:v>
      </x:c>
    </x:row>
    <x:row r="351">
      <x:c r="A351" s="24" t="str">
        <x:v>HIST-AC-05-0094</x:v>
      </x:c>
      <x:c r="B351" s="34"/>
      <x:c r="C351" s="24" t="str"/>
      <x:c r="D351" s="24" t="str">
        <x:v>Sprint 5 Acceptance</x:v>
      </x:c>
      <x:c r="E351" s="24" t="str">
        <x:v>AC-S5-25</x:v>
      </x:c>
      <x:c r="F351" s="24" t="str"/>
      <x:c r="G351" s="24" t="str">
        <x:v>Acceptance / Historical</x:v>
      </x:c>
      <x:c r="H351" s="24" t="str">
        <x:v>Baseline histórica</x:v>
      </x:c>
      <x:c r="I351" s="24" t="str">
        <x:v>Baseline PASS</x:v>
      </x:c>
      <x:c r="J351" s="24" t="str"/>
      <x:c r="K351" s="24" t="str">
        <x:v>Final Store and TestLab regression passes | Manual</x:v>
      </x:c>
      <x:c r="L351" s="24" t="str">
        <x:v>VRM Games</x:v>
      </x:c>
      <x:c r="M351" s="24"/>
      <x:c r="N351" s="24" t="str">
        <x:v>S5.4 — Documentation/00_Official_Baseline/v0.5/06_Development_Records/Sprints/Sprint_05/QA/S5_Acceptance_Matrix.md</x:v>
      </x:c>
    </x:row>
    <x:row r="352">
      <x:c r="A352" s="24" t="str">
        <x:v>HIST-AC-05-0095</x:v>
      </x:c>
      <x:c r="B352" s="34"/>
      <x:c r="C352" s="24" t="str"/>
      <x:c r="D352" s="24" t="str">
        <x:v>Sprint 5 Acceptance</x:v>
      </x:c>
      <x:c r="E352" s="24" t="str">
        <x:v>AC-S5-26</x:v>
      </x:c>
      <x:c r="F352" s="24" t="str"/>
      <x:c r="G352" s="24" t="str">
        <x:v>Acceptance / Historical</x:v>
      </x:c>
      <x:c r="H352" s="24" t="str">
        <x:v>Baseline histórica</x:v>
      </x:c>
      <x:c r="I352" s="24" t="str">
        <x:v>Baseline PASS</x:v>
      </x:c>
      <x:c r="J352" s="24" t="str"/>
      <x:c r="K352" s="24" t="str">
        <x:v>Bootstrap/MainMenu/Store regression passes | Manual</x:v>
      </x:c>
      <x:c r="L352" s="24" t="str">
        <x:v>VRM Games</x:v>
      </x:c>
      <x:c r="M352" s="24"/>
      <x:c r="N352" s="24" t="str">
        <x:v>S5.4 — Documentation/00_Official_Baseline/v0.5/06_Development_Records/Sprints/Sprint_05/QA/S5_Acceptance_Matrix.md</x:v>
      </x:c>
    </x:row>
    <x:row r="353">
      <x:c r="A353" s="24" t="str">
        <x:v>HIST-AC-05-0096</x:v>
      </x:c>
      <x:c r="B353" s="34"/>
      <x:c r="C353" s="24" t="str"/>
      <x:c r="D353" s="24" t="str">
        <x:v>Sprint 5 Acceptance</x:v>
      </x:c>
      <x:c r="E353" s="24" t="str">
        <x:v>AC-S5-27</x:v>
      </x:c>
      <x:c r="F353" s="24" t="str"/>
      <x:c r="G353" s="24" t="str">
        <x:v>Acceptance / Historical</x:v>
      </x:c>
      <x:c r="H353" s="24" t="str">
        <x:v>Baseline histórica</x:v>
      </x:c>
      <x:c r="I353" s="24" t="str">
        <x:v>Baseline PASS</x:v>
      </x:c>
      <x:c r="J353" s="24" t="str"/>
      <x:c r="K353" s="24" t="str">
        <x:v>Windows x64 build and external execution pass | Manual</x:v>
      </x:c>
      <x:c r="L353" s="24" t="str">
        <x:v>VRM Games</x:v>
      </x:c>
      <x:c r="M353" s="24"/>
      <x:c r="N353" s="24" t="str">
        <x:v>S5.4 — Documentation/00_Official_Baseline/v0.5/06_Development_Records/Sprints/Sprint_05/QA/S5_Acceptance_Matrix.md</x:v>
      </x:c>
    </x:row>
    <x:row r="354">
      <x:c r="A354" s="24" t="str">
        <x:v>HIST-AC-05-0097</x:v>
      </x:c>
      <x:c r="B354" s="34"/>
      <x:c r="C354" s="24" t="str"/>
      <x:c r="D354" s="24" t="str">
        <x:v>Sprint 5 Acceptance</x:v>
      </x:c>
      <x:c r="E354" s="24" t="str">
        <x:v>AC-S5-28</x:v>
      </x:c>
      <x:c r="F354" s="24" t="str"/>
      <x:c r="G354" s="24" t="str">
        <x:v>Acceptance / Historical</x:v>
      </x:c>
      <x:c r="H354" s="24" t="str">
        <x:v>Baseline histórica</x:v>
      </x:c>
      <x:c r="I354" s="24" t="str">
        <x:v>Baseline PASS</x:v>
      </x:c>
      <x:c r="J354" s="24" t="str"/>
      <x:c r="K354" s="24" t="str">
        <x:v>Final technical commit is published to main | GitHub</x:v>
      </x:c>
      <x:c r="L354" s="24" t="str">
        <x:v>VRM Games</x:v>
      </x:c>
      <x:c r="M354" s="24"/>
      <x:c r="N354" s="24" t="str">
        <x:v>S5.4 — Documentation/00_Official_Baseline/v0.5/06_Development_Records/Sprints/Sprint_05/QA/S5_Acceptance_Matrix.md</x:v>
      </x:c>
    </x:row>
    <x:row r="355">
      <x:c r="A355" s="24" t="str">
        <x:v>HIST-AC-06-0098</x:v>
      </x:c>
      <x:c r="B355" s="34"/>
      <x:c r="C355" s="24" t="str"/>
      <x:c r="D355" s="24" t="str">
        <x:v>Sprint 6 Acceptance</x:v>
      </x:c>
      <x:c r="E355" s="24" t="str">
        <x:v>AC-S6-01</x:v>
      </x:c>
      <x:c r="F355" s="24" t="str"/>
      <x:c r="G355" s="24" t="str">
        <x:v>Acceptance / Historical</x:v>
      </x:c>
      <x:c r="H355" s="24" t="str">
        <x:v>Baseline histórica</x:v>
      </x:c>
      <x:c r="I355" s="24" t="str">
        <x:v>Baseline PASS</x:v>
      </x:c>
      <x:c r="J355" s="24" t="str"/>
      <x:c r="K355" s="24" t="str">
        <x:v>Product IDs reject empty values and use ordinal equality | EditMode 60/60</x:v>
      </x:c>
      <x:c r="L355" s="24" t="str">
        <x:v>VRM Games</x:v>
      </x:c>
      <x:c r="M355" s="24"/>
      <x:c r="N355" s="24" t="str">
        <x:v>S6.1 — Documentation/10_Development_Records/Sprint_06/QA/S6_Acceptance_Matrix.md</x:v>
      </x:c>
    </x:row>
    <x:row r="356">
      <x:c r="A356" s="24" t="str">
        <x:v>HIST-AC-06-0099</x:v>
      </x:c>
      <x:c r="B356" s="34"/>
      <x:c r="C356" s="24" t="str"/>
      <x:c r="D356" s="24" t="str">
        <x:v>Sprint 6 Acceptance</x:v>
      </x:c>
      <x:c r="E356" s="24" t="str">
        <x:v>AC-S6-02</x:v>
      </x:c>
      <x:c r="F356" s="24" t="str"/>
      <x:c r="G356" s="24" t="str">
        <x:v>Acceptance / Historical</x:v>
      </x:c>
      <x:c r="H356" s="24" t="str">
        <x:v>Baseline histórica</x:v>
      </x:c>
      <x:c r="I356" s="24" t="str">
        <x:v>Baseline PASS</x:v>
      </x:c>
      <x:c r="J356" s="24" t="str"/>
      <x:c r="K356" s="24" t="str">
        <x:v>Product definitions are immutable and require valid identity data | EditMode 60/60</x:v>
      </x:c>
      <x:c r="L356" s="24" t="str">
        <x:v>VRM Games</x:v>
      </x:c>
      <x:c r="M356" s="24"/>
      <x:c r="N356" s="24" t="str">
        <x:v>S6.1 — Documentation/10_Development_Records/Sprint_06/QA/S6_Acceptance_Matrix.md</x:v>
      </x:c>
    </x:row>
    <x:row r="357">
      <x:c r="A357" s="24" t="str">
        <x:v>HIST-AC-06-0100</x:v>
      </x:c>
      <x:c r="B357" s="34"/>
      <x:c r="C357" s="24" t="str"/>
      <x:c r="D357" s="24" t="str">
        <x:v>Sprint 6 Acceptance</x:v>
      </x:c>
      <x:c r="E357" s="24" t="str">
        <x:v>AC-S6-03</x:v>
      </x:c>
      <x:c r="F357" s="24" t="str"/>
      <x:c r="G357" s="24" t="str">
        <x:v>Acceptance / Historical</x:v>
      </x:c>
      <x:c r="H357" s="24" t="str">
        <x:v>Baseline histórica</x:v>
      </x:c>
      <x:c r="I357" s="24" t="str">
        <x:v>Baseline PASS</x:v>
      </x:c>
      <x:c r="J357" s="24" t="str"/>
      <x:c r="K357" s="24" t="str">
        <x:v>Duplicate product tags are rejected | EditMode 60/60</x:v>
      </x:c>
      <x:c r="L357" s="24" t="str">
        <x:v>VRM Games</x:v>
      </x:c>
      <x:c r="M357" s="24"/>
      <x:c r="N357" s="24" t="str">
        <x:v>S6.1 — Documentation/10_Development_Records/Sprint_06/QA/S6_Acceptance_Matrix.md</x:v>
      </x:c>
    </x:row>
    <x:row r="358">
      <x:c r="A358" s="24" t="str">
        <x:v>HIST-AC-06-0101</x:v>
      </x:c>
      <x:c r="B358" s="34"/>
      <x:c r="C358" s="24" t="str"/>
      <x:c r="D358" s="24" t="str">
        <x:v>Sprint 6 Acceptance</x:v>
      </x:c>
      <x:c r="E358" s="24" t="str">
        <x:v>AC-S6-04</x:v>
      </x:c>
      <x:c r="F358" s="24" t="str"/>
      <x:c r="G358" s="24" t="str">
        <x:v>Acceptance / Historical</x:v>
      </x:c>
      <x:c r="H358" s="24" t="str">
        <x:v>Baseline histórica</x:v>
      </x:c>
      <x:c r="I358" s="24" t="str">
        <x:v>Baseline PASS</x:v>
      </x:c>
      <x:c r="J358" s="24" t="str"/>
      <x:c r="K358" s="24" t="str">
        <x:v>Registry rejects null and duplicate definitions | EditMode 60/60</x:v>
      </x:c>
      <x:c r="L358" s="24" t="str">
        <x:v>VRM Games</x:v>
      </x:c>
      <x:c r="M358" s="24"/>
      <x:c r="N358" s="24" t="str">
        <x:v>S6.1 — Documentation/10_Development_Records/Sprint_06/QA/S6_Acceptance_Matrix.md</x:v>
      </x:c>
    </x:row>
    <x:row r="359">
      <x:c r="A359" s="24" t="str">
        <x:v>HIST-AC-06-0102</x:v>
      </x:c>
      <x:c r="B359" s="34"/>
      <x:c r="C359" s="24" t="str"/>
      <x:c r="D359" s="24" t="str">
        <x:v>Sprint 6 Acceptance</x:v>
      </x:c>
      <x:c r="E359" s="24" t="str">
        <x:v>AC-S6-05</x:v>
      </x:c>
      <x:c r="F359" s="24" t="str"/>
      <x:c r="G359" s="24" t="str">
        <x:v>Acceptance / Historical</x:v>
      </x:c>
      <x:c r="H359" s="24" t="str">
        <x:v>Baseline histórica</x:v>
      </x:c>
      <x:c r="I359" s="24" t="str">
        <x:v>Baseline PASS</x:v>
      </x:c>
      <x:c r="J359" s="24" t="str"/>
      <x:c r="K359" s="24" t="str">
        <x:v>Registry lookup and deterministic ordering work | EditMode 60/60</x:v>
      </x:c>
      <x:c r="L359" s="24" t="str">
        <x:v>VRM Games</x:v>
      </x:c>
      <x:c r="M359" s="24"/>
      <x:c r="N359" s="24" t="str">
        <x:v>S6.1 — Documentation/10_Development_Records/Sprint_06/QA/S6_Acceptance_Matrix.md</x:v>
      </x:c>
    </x:row>
    <x:row r="360">
      <x:c r="A360" s="24" t="str">
        <x:v>HIST-AC-06-0103</x:v>
      </x:c>
      <x:c r="B360" s="34"/>
      <x:c r="C360" s="24" t="str"/>
      <x:c r="D360" s="24" t="str">
        <x:v>Sprint 6 Acceptance</x:v>
      </x:c>
      <x:c r="E360" s="24" t="str">
        <x:v>AC-S6-06</x:v>
      </x:c>
      <x:c r="F360" s="24" t="str"/>
      <x:c r="G360" s="24" t="str">
        <x:v>Acceptance / Historical</x:v>
      </x:c>
      <x:c r="H360" s="24" t="str">
        <x:v>Baseline histórica</x:v>
      </x:c>
      <x:c r="I360" s="24" t="str">
        <x:v>Baseline PASS</x:v>
      </x:c>
      <x:c r="J360" s="24" t="str"/>
      <x:c r="K360" s="24" t="str">
        <x:v>Quantity never accepts negative values | EditMode 60/60</x:v>
      </x:c>
      <x:c r="L360" s="24" t="str">
        <x:v>VRM Games</x:v>
      </x:c>
      <x:c r="M360" s="24"/>
      <x:c r="N360" s="24" t="str">
        <x:v>S6.2 — Documentation/10_Development_Records/Sprint_06/QA/S6_Acceptance_Matrix.md</x:v>
      </x:c>
    </x:row>
    <x:row r="361">
      <x:c r="A361" s="24" t="str">
        <x:v>HIST-AC-06-0104</x:v>
      </x:c>
      <x:c r="B361" s="34"/>
      <x:c r="C361" s="24" t="str"/>
      <x:c r="D361" s="24" t="str">
        <x:v>Sprint 6 Acceptance</x:v>
      </x:c>
      <x:c r="E361" s="24" t="str">
        <x:v>AC-S6-07</x:v>
      </x:c>
      <x:c r="F361" s="24" t="str"/>
      <x:c r="G361" s="24" t="str">
        <x:v>Acceptance / Historical</x:v>
      </x:c>
      <x:c r="H361" s="24" t="str">
        <x:v>Baseline histórica</x:v>
      </x:c>
      <x:c r="I361" s="24" t="str">
        <x:v>Baseline PASS</x:v>
      </x:c>
      <x:c r="J361" s="24" t="str"/>
      <x:c r="K361" s="24" t="str">
        <x:v>Capacity never accepts negative values | EditMode 60/60</x:v>
      </x:c>
      <x:c r="L361" s="24" t="str">
        <x:v>VRM Games</x:v>
      </x:c>
      <x:c r="M361" s="24"/>
      <x:c r="N361" s="24" t="str">
        <x:v>S6.2 — Documentation/10_Development_Records/Sprint_06/QA/S6_Acceptance_Matrix.md</x:v>
      </x:c>
    </x:row>
    <x:row r="362">
      <x:c r="A362" s="24" t="str">
        <x:v>HIST-AC-06-0105</x:v>
      </x:c>
      <x:c r="B362" s="34"/>
      <x:c r="C362" s="24" t="str"/>
      <x:c r="D362" s="24" t="str">
        <x:v>Sprint 6 Acceptance</x:v>
      </x:c>
      <x:c r="E362" s="24" t="str">
        <x:v>AC-S6-08</x:v>
      </x:c>
      <x:c r="F362" s="24" t="str"/>
      <x:c r="G362" s="24" t="str">
        <x:v>Acceptance / Historical</x:v>
      </x:c>
      <x:c r="H362" s="24" t="str">
        <x:v>Baseline histórica</x:v>
      </x:c>
      <x:c r="I362" s="24" t="str">
        <x:v>Baseline PASS</x:v>
      </x:c>
      <x:c r="J362" s="24" t="str"/>
      <x:c r="K362" s="24" t="str">
        <x:v>Container IDs and types must be valid | EditMode 60/60</x:v>
      </x:c>
      <x:c r="L362" s="24" t="str">
        <x:v>VRM Games</x:v>
      </x:c>
      <x:c r="M362" s="24"/>
      <x:c r="N362" s="24" t="str">
        <x:v>S6.2 — Documentation/10_Development_Records/Sprint_06/QA/S6_Acceptance_Matrix.md</x:v>
      </x:c>
    </x:row>
    <x:row r="363">
      <x:c r="A363" s="24" t="str">
        <x:v>HIST-AC-06-0106</x:v>
      </x:c>
      <x:c r="B363" s="34"/>
      <x:c r="C363" s="24" t="str"/>
      <x:c r="D363" s="24" t="str">
        <x:v>Sprint 6 Acceptance</x:v>
      </x:c>
      <x:c r="E363" s="24" t="str">
        <x:v>AC-S6-09</x:v>
      </x:c>
      <x:c r="F363" s="24" t="str"/>
      <x:c r="G363" s="24" t="str">
        <x:v>Acceptance / Historical</x:v>
      </x:c>
      <x:c r="H363" s="24" t="str">
        <x:v>Baseline histórica</x:v>
      </x:c>
      <x:c r="I363" s="24" t="str">
        <x:v>Baseline PASS</x:v>
      </x:c>
      <x:c r="J363" s="24" t="str"/>
      <x:c r="K363" s="24" t="str">
        <x:v>Zero-quantity stacks are rejected | EditMode 60/60</x:v>
      </x:c>
      <x:c r="L363" s="24" t="str">
        <x:v>VRM Games</x:v>
      </x:c>
      <x:c r="M363" s="24"/>
      <x:c r="N363" s="24" t="str">
        <x:v>S6.2 — Documentation/10_Development_Records/Sprint_06/QA/S6_Acceptance_Matrix.md</x:v>
      </x:c>
    </x:row>
    <x:row r="364">
      <x:c r="A364" s="24" t="str">
        <x:v>HIST-AC-06-0107</x:v>
      </x:c>
      <x:c r="B364" s="34"/>
      <x:c r="C364" s="24" t="str"/>
      <x:c r="D364" s="24" t="str">
        <x:v>Sprint 6 Acceptance</x:v>
      </x:c>
      <x:c r="E364" s="24" t="str">
        <x:v>AC-S6-10</x:v>
      </x:c>
      <x:c r="F364" s="24" t="str"/>
      <x:c r="G364" s="24" t="str">
        <x:v>Acceptance / Historical</x:v>
      </x:c>
      <x:c r="H364" s="24" t="str">
        <x:v>Baseline histórica</x:v>
      </x:c>
      <x:c r="I364" s="24" t="str">
        <x:v>Baseline PASS</x:v>
      </x:c>
      <x:c r="J364" s="24" t="str"/>
      <x:c r="K364" s="24" t="str">
        <x:v>Initial stacks cannot duplicate products or exceed capacity | EditMode 60/60</x:v>
      </x:c>
      <x:c r="L364" s="24" t="str">
        <x:v>VRM Games</x:v>
      </x:c>
      <x:c r="M364" s="24"/>
      <x:c r="N364" s="24" t="str">
        <x:v>S6.2 — Documentation/10_Development_Records/Sprint_06/QA/S6_Acceptance_Matrix.md</x:v>
      </x:c>
    </x:row>
    <x:row r="365">
      <x:c r="A365" s="24" t="str">
        <x:v>HIST-AC-06-0108</x:v>
      </x:c>
      <x:c r="B365" s="34"/>
      <x:c r="C365" s="24" t="str"/>
      <x:c r="D365" s="24" t="str">
        <x:v>Sprint 6 Acceptance</x:v>
      </x:c>
      <x:c r="E365" s="24" t="str">
        <x:v>AC-S6-11</x:v>
      </x:c>
      <x:c r="F365" s="24" t="str"/>
      <x:c r="G365" s="24" t="str">
        <x:v>Acceptance / Historical</x:v>
      </x:c>
      <x:c r="H365" s="24" t="str">
        <x:v>Baseline histórica</x:v>
      </x:c>
      <x:c r="I365" s="24" t="str">
        <x:v>Baseline PASS</x:v>
      </x:c>
      <x:c r="J365" s="24" t="str"/>
      <x:c r="K365" s="24" t="str">
        <x:v>Add merges one product stack and updates capacity | EditMode 60/60</x:v>
      </x:c>
      <x:c r="L365" s="24" t="str">
        <x:v>VRM Games</x:v>
      </x:c>
      <x:c r="M365" s="24"/>
      <x:c r="N365" s="24" t="str">
        <x:v>S6.2 — Documentation/10_Development_Records/Sprint_06/QA/S6_Acceptance_Matrix.md</x:v>
      </x:c>
    </x:row>
    <x:row r="366">
      <x:c r="A366" s="24" t="str">
        <x:v>HIST-AC-06-0109</x:v>
      </x:c>
      <x:c r="B366" s="34"/>
      <x:c r="C366" s="24" t="str"/>
      <x:c r="D366" s="24" t="str">
        <x:v>Sprint 6 Acceptance</x:v>
      </x:c>
      <x:c r="E366" s="24" t="str">
        <x:v>AC-S6-12</x:v>
      </x:c>
      <x:c r="F366" s="24" t="str"/>
      <x:c r="G366" s="24" t="str">
        <x:v>Acceptance / Historical</x:v>
      </x:c>
      <x:c r="H366" s="24" t="str">
        <x:v>Baseline histórica</x:v>
      </x:c>
      <x:c r="I366" s="24" t="str">
        <x:v>Baseline PASS</x:v>
      </x:c>
      <x:c r="J366" s="24" t="str"/>
      <x:c r="K366" s="24" t="str">
        <x:v>Remove preserves non-negative quantities and removes empty stacks | EditMode 60/60</x:v>
      </x:c>
      <x:c r="L366" s="24" t="str">
        <x:v>VRM Games</x:v>
      </x:c>
      <x:c r="M366" s="24"/>
      <x:c r="N366" s="24" t="str">
        <x:v>S6.2 — Documentation/10_Development_Records/Sprint_06/QA/S6_Acceptance_Matrix.md</x:v>
      </x:c>
    </x:row>
    <x:row r="367">
      <x:c r="A367" s="24" t="str">
        <x:v>HIST-AC-06-0110</x:v>
      </x:c>
      <x:c r="B367" s="34"/>
      <x:c r="C367" s="24" t="str"/>
      <x:c r="D367" s="24" t="str">
        <x:v>Sprint 6 Acceptance</x:v>
      </x:c>
      <x:c r="E367" s="24" t="str">
        <x:v>AC-S6-13</x:v>
      </x:c>
      <x:c r="F367" s="24" t="str"/>
      <x:c r="G367" s="24" t="str">
        <x:v>Acceptance / Historical</x:v>
      </x:c>
      <x:c r="H367" s="24" t="str">
        <x:v>Baseline histórica</x:v>
      </x:c>
      <x:c r="I367" s="24" t="str">
        <x:v>Baseline PASS</x:v>
      </x:c>
      <x:c r="J367" s="24" t="str"/>
      <x:c r="K367" s="24" t="str">
        <x:v>Failed add/remove operations do not mutate state | EditMode 60/60</x:v>
      </x:c>
      <x:c r="L367" s="24" t="str">
        <x:v>VRM Games</x:v>
      </x:c>
      <x:c r="M367" s="24"/>
      <x:c r="N367" s="24" t="str">
        <x:v>S6.2 — Documentation/10_Development_Records/Sprint_06/QA/S6_Acceptance_Matrix.md</x:v>
      </x:c>
    </x:row>
    <x:row r="368">
      <x:c r="A368" s="24" t="str">
        <x:v>HIST-AC-06-0111</x:v>
      </x:c>
      <x:c r="B368" s="34"/>
      <x:c r="C368" s="24" t="str"/>
      <x:c r="D368" s="24" t="str">
        <x:v>Sprint 6 Acceptance</x:v>
      </x:c>
      <x:c r="E368" s="24" t="str">
        <x:v>AC-S6-14</x:v>
      </x:c>
      <x:c r="F368" s="24" t="str"/>
      <x:c r="G368" s="24" t="str">
        <x:v>Acceptance / Historical</x:v>
      </x:c>
      <x:c r="H368" s="24" t="str">
        <x:v>Baseline histórica</x:v>
      </x:c>
      <x:c r="I368" s="24" t="str">
        <x:v>Baseline PASS</x:v>
      </x:c>
      <x:c r="J368" s="24" t="str"/>
      <x:c r="K368" s="24" t="str">
        <x:v>Stack snapshots are deterministic and detached | EditMode 60/60</x:v>
      </x:c>
      <x:c r="L368" s="24" t="str">
        <x:v>VRM Games</x:v>
      </x:c>
      <x:c r="M368" s="24"/>
      <x:c r="N368" s="24" t="str">
        <x:v>S6.2 — Documentation/10_Development_Records/Sprint_06/QA/S6_Acceptance_Matrix.md</x:v>
      </x:c>
    </x:row>
    <x:row r="369">
      <x:c r="A369" s="24" t="str">
        <x:v>HIST-AC-06-0112</x:v>
      </x:c>
      <x:c r="B369" s="34"/>
      <x:c r="C369" s="24" t="str"/>
      <x:c r="D369" s="24" t="str">
        <x:v>Sprint 6 Acceptance</x:v>
      </x:c>
      <x:c r="E369" s="24" t="str">
        <x:v>AC-S6-15</x:v>
      </x:c>
      <x:c r="F369" s="24" t="str"/>
      <x:c r="G369" s="24" t="str">
        <x:v>Acceptance / Historical</x:v>
      </x:c>
      <x:c r="H369" s="24" t="str">
        <x:v>Baseline histórica</x:v>
      </x:c>
      <x:c r="I369" s="24" t="str">
        <x:v>Baseline PASS</x:v>
      </x:c>
      <x:c r="J369" s="24" t="str"/>
      <x:c r="K369" s="24" t="str">
        <x:v>Valid transfer moves requested units | EditMode 60/60</x:v>
      </x:c>
      <x:c r="L369" s="24" t="str">
        <x:v>VRM Games</x:v>
      </x:c>
      <x:c r="M369" s="24"/>
      <x:c r="N369" s="24" t="str">
        <x:v>S6.3 — Documentation/10_Development_Records/Sprint_06/QA/S6_Acceptance_Matrix.md</x:v>
      </x:c>
    </x:row>
    <x:row r="370">
      <x:c r="A370" s="24" t="str">
        <x:v>HIST-AC-06-0113</x:v>
      </x:c>
      <x:c r="B370" s="34"/>
      <x:c r="C370" s="24" t="str"/>
      <x:c r="D370" s="24" t="str">
        <x:v>Sprint 6 Acceptance</x:v>
      </x:c>
      <x:c r="E370" s="24" t="str">
        <x:v>AC-S6-16</x:v>
      </x:c>
      <x:c r="F370" s="24" t="str"/>
      <x:c r="G370" s="24" t="str">
        <x:v>Acceptance / Historical</x:v>
      </x:c>
      <x:c r="H370" s="24" t="str">
        <x:v>Baseline histórica</x:v>
      </x:c>
      <x:c r="I370" s="24" t="str">
        <x:v>Baseline PASS</x:v>
      </x:c>
      <x:c r="J370" s="24" t="str"/>
      <x:c r="K370" s="24" t="str">
        <x:v>Valid transfer merges destination stack | EditMode 60/60</x:v>
      </x:c>
      <x:c r="L370" s="24" t="str">
        <x:v>VRM Games</x:v>
      </x:c>
      <x:c r="M370" s="24"/>
      <x:c r="N370" s="24" t="str">
        <x:v>S6.3 — Documentation/10_Development_Records/Sprint_06/QA/S6_Acceptance_Matrix.md</x:v>
      </x:c>
    </x:row>
    <x:row r="371">
      <x:c r="A371" s="24" t="str">
        <x:v>HIST-AC-06-0114</x:v>
      </x:c>
      <x:c r="B371" s="34"/>
      <x:c r="C371" s="24" t="str"/>
      <x:c r="D371" s="24" t="str">
        <x:v>Sprint 6 Acceptance</x:v>
      </x:c>
      <x:c r="E371" s="24" t="str">
        <x:v>AC-S6-17</x:v>
      </x:c>
      <x:c r="F371" s="24" t="str"/>
      <x:c r="G371" s="24" t="str">
        <x:v>Acceptance / Historical</x:v>
      </x:c>
      <x:c r="H371" s="24" t="str">
        <x:v>Baseline histórica</x:v>
      </x:c>
      <x:c r="I371" s="24" t="str">
        <x:v>Baseline PASS</x:v>
      </x:c>
      <x:c r="J371" s="24" t="str"/>
      <x:c r="K371" s="24" t="str">
        <x:v>Full source transfer removes empty source stack | EditMode 60/60</x:v>
      </x:c>
      <x:c r="L371" s="24" t="str">
        <x:v>VRM Games</x:v>
      </x:c>
      <x:c r="M371" s="24"/>
      <x:c r="N371" s="24" t="str">
        <x:v>S6.3 — Documentation/10_Development_Records/Sprint_06/QA/S6_Acceptance_Matrix.md</x:v>
      </x:c>
    </x:row>
    <x:row r="372">
      <x:c r="A372" s="24" t="str">
        <x:v>HIST-AC-06-0115</x:v>
      </x:c>
      <x:c r="B372" s="34"/>
      <x:c r="C372" s="24" t="str"/>
      <x:c r="D372" s="24" t="str">
        <x:v>Sprint 6 Acceptance</x:v>
      </x:c>
      <x:c r="E372" s="24" t="str">
        <x:v>AC-S6-18</x:v>
      </x:c>
      <x:c r="F372" s="24" t="str"/>
      <x:c r="G372" s="24" t="str">
        <x:v>Acceptance / Historical</x:v>
      </x:c>
      <x:c r="H372" s="24" t="str">
        <x:v>Baseline histórica</x:v>
      </x:c>
      <x:c r="I372" s="24" t="str">
        <x:v>Baseline PASS</x:v>
      </x:c>
      <x:c r="J372" s="24" t="str"/>
      <x:c r="K372" s="24" t="str">
        <x:v>Zero transfer is rejected atomically | EditMode 60/60</x:v>
      </x:c>
      <x:c r="L372" s="24" t="str">
        <x:v>VRM Games</x:v>
      </x:c>
      <x:c r="M372" s="24"/>
      <x:c r="N372" s="24" t="str">
        <x:v>S6.3 — Documentation/10_Development_Records/Sprint_06/QA/S6_Acceptance_Matrix.md</x:v>
      </x:c>
    </x:row>
    <x:row r="373">
      <x:c r="A373" s="24" t="str">
        <x:v>HIST-AC-06-0116</x:v>
      </x:c>
      <x:c r="B373" s="34"/>
      <x:c r="C373" s="24" t="str"/>
      <x:c r="D373" s="24" t="str">
        <x:v>Sprint 6 Acceptance</x:v>
      </x:c>
      <x:c r="E373" s="24" t="str">
        <x:v>AC-S6-19</x:v>
      </x:c>
      <x:c r="F373" s="24" t="str"/>
      <x:c r="G373" s="24" t="str">
        <x:v>Acceptance / Historical</x:v>
      </x:c>
      <x:c r="H373" s="24" t="str">
        <x:v>Baseline histórica</x:v>
      </x:c>
      <x:c r="I373" s="24" t="str">
        <x:v>Baseline PASS</x:v>
      </x:c>
      <x:c r="J373" s="24" t="str"/>
      <x:c r="K373" s="24" t="str">
        <x:v>Undefined product is rejected atomically | EditMode 60/60</x:v>
      </x:c>
      <x:c r="L373" s="24" t="str">
        <x:v>VRM Games</x:v>
      </x:c>
      <x:c r="M373" s="24"/>
      <x:c r="N373" s="24" t="str">
        <x:v>S6.3 — Documentation/10_Development_Records/Sprint_06/QA/S6_Acceptance_Matrix.md</x:v>
      </x:c>
    </x:row>
    <x:row r="374">
      <x:c r="A374" s="24" t="str">
        <x:v>HIST-AC-06-0117</x:v>
      </x:c>
      <x:c r="B374" s="34"/>
      <x:c r="C374" s="24" t="str"/>
      <x:c r="D374" s="24" t="str">
        <x:v>Sprint 6 Acceptance</x:v>
      </x:c>
      <x:c r="E374" s="24" t="str">
        <x:v>AC-S6-20</x:v>
      </x:c>
      <x:c r="F374" s="24" t="str"/>
      <x:c r="G374" s="24" t="str">
        <x:v>Acceptance / Historical</x:v>
      </x:c>
      <x:c r="H374" s="24" t="str">
        <x:v>Baseline histórica</x:v>
      </x:c>
      <x:c r="I374" s="24" t="str">
        <x:v>Baseline PASS</x:v>
      </x:c>
      <x:c r="J374" s="24" t="str"/>
      <x:c r="K374" s="24" t="str">
        <x:v>Missing or insufficient source quantity is rejected atomically | EditMode 60/60</x:v>
      </x:c>
      <x:c r="L374" s="24" t="str">
        <x:v>VRM Games</x:v>
      </x:c>
      <x:c r="M374" s="24"/>
      <x:c r="N374" s="24" t="str">
        <x:v>S6.3 — Documentation/10_Development_Records/Sprint_06/QA/S6_Acceptance_Matrix.md</x:v>
      </x:c>
    </x:row>
    <x:row r="375">
      <x:c r="A375" s="24" t="str">
        <x:v>HIST-AC-06-0118</x:v>
      </x:c>
      <x:c r="B375" s="34"/>
      <x:c r="C375" s="24" t="str"/>
      <x:c r="D375" s="24" t="str">
        <x:v>Sprint 6 Acceptance</x:v>
      </x:c>
      <x:c r="E375" s="24" t="str">
        <x:v>AC-S6-21</x:v>
      </x:c>
      <x:c r="F375" s="24" t="str"/>
      <x:c r="G375" s="24" t="str">
        <x:v>Acceptance / Historical</x:v>
      </x:c>
      <x:c r="H375" s="24" t="str">
        <x:v>Baseline histórica</x:v>
      </x:c>
      <x:c r="I375" s="24" t="str">
        <x:v>Baseline PASS</x:v>
      </x:c>
      <x:c r="J375" s="24" t="str"/>
      <x:c r="K375" s="24" t="str">
        <x:v>Destination capacity overflow is rejected atomically | EditMode 60/60</x:v>
      </x:c>
      <x:c r="L375" s="24" t="str">
        <x:v>VRM Games</x:v>
      </x:c>
      <x:c r="M375" s="24"/>
      <x:c r="N375" s="24" t="str">
        <x:v>S6.3 — Documentation/10_Development_Records/Sprint_06/QA/S6_Acceptance_Matrix.md</x:v>
      </x:c>
    </x:row>
    <x:row r="376">
      <x:c r="A376" s="24" t="str">
        <x:v>HIST-AC-06-0119</x:v>
      </x:c>
      <x:c r="B376" s="34"/>
      <x:c r="C376" s="24" t="str"/>
      <x:c r="D376" s="24" t="str">
        <x:v>Sprint 6 Acceptance</x:v>
      </x:c>
      <x:c r="E376" s="24" t="str">
        <x:v>AC-S6-22</x:v>
      </x:c>
      <x:c r="F376" s="24" t="str"/>
      <x:c r="G376" s="24" t="str">
        <x:v>Acceptance / Historical</x:v>
      </x:c>
      <x:c r="H376" s="24" t="str">
        <x:v>Baseline histórica</x:v>
      </x:c>
      <x:c r="I376" s="24" t="str">
        <x:v>Baseline PASS</x:v>
      </x:c>
      <x:c r="J376" s="24" t="str"/>
      <x:c r="K376" s="24" t="str">
        <x:v>Same logical container transfer is rejected atomically | EditMode 60/60</x:v>
      </x:c>
      <x:c r="L376" s="24" t="str">
        <x:v>VRM Games</x:v>
      </x:c>
      <x:c r="M376" s="24"/>
      <x:c r="N376" s="24" t="str">
        <x:v>S6.3 — Documentation/10_Development_Records/Sprint_06/QA/S6_Acceptance_Matrix.md</x:v>
      </x:c>
    </x:row>
    <x:row r="377">
      <x:c r="A377" s="24" t="str">
        <x:v>HIST-AC-06-0120</x:v>
      </x:c>
      <x:c r="B377" s="34"/>
      <x:c r="C377" s="24" t="str"/>
      <x:c r="D377" s="24" t="str">
        <x:v>Sprint 6 Acceptance</x:v>
      </x:c>
      <x:c r="E377" s="24" t="str">
        <x:v>AC-S6-23</x:v>
      </x:c>
      <x:c r="F377" s="24" t="str"/>
      <x:c r="G377" s="24" t="str">
        <x:v>Acceptance / Historical</x:v>
      </x:c>
      <x:c r="H377" s="24" t="str">
        <x:v>Baseline histórica</x:v>
      </x:c>
      <x:c r="I377" s="24" t="str">
        <x:v>Baseline PASS</x:v>
      </x:c>
      <x:c r="J377" s="24" t="str"/>
      <x:c r="K377" s="24" t="str">
        <x:v>Total units are conserved by successful transfers | EditMode 60/60</x:v>
      </x:c>
      <x:c r="L377" s="24" t="str">
        <x:v>VRM Games</x:v>
      </x:c>
      <x:c r="M377" s="24"/>
      <x:c r="N377" s="24" t="str">
        <x:v>S6.3 — Documentation/10_Development_Records/Sprint_06/QA/S6_Acceptance_Matrix.md</x:v>
      </x:c>
    </x:row>
    <x:row r="378">
      <x:c r="A378" s="24" t="str">
        <x:v>HIST-AC-06-0121</x:v>
      </x:c>
      <x:c r="B378" s="34"/>
      <x:c r="C378" s="24" t="str"/>
      <x:c r="D378" s="24" t="str">
        <x:v>Sprint 6 Acceptance</x:v>
      </x:c>
      <x:c r="E378" s="24" t="str">
        <x:v>AC-S6-24</x:v>
      </x:c>
      <x:c r="F378" s="24" t="str"/>
      <x:c r="G378" s="24" t="str">
        <x:v>Acceptance / Historical</x:v>
      </x:c>
      <x:c r="H378" s="24" t="str">
        <x:v>Baseline histórica</x:v>
      </x:c>
      <x:c r="I378" s="24" t="str">
        <x:v>Baseline PASS</x:v>
      </x:c>
      <x:c r="J378" s="24" t="str"/>
      <x:c r="K378" s="24" t="str">
        <x:v>Focused Sprint 6 suite passes | 60/60 PASS</x:v>
      </x:c>
      <x:c r="L378" s="24" t="str">
        <x:v>VRM Games</x:v>
      </x:c>
      <x:c r="M378" s="24"/>
      <x:c r="N378" s="24" t="str">
        <x:v>S6.4 — Documentation/10_Development_Records/Sprint_06/QA/S6_Acceptance_Matrix.md</x:v>
      </x:c>
    </x:row>
    <x:row r="379">
      <x:c r="A379" s="24" t="str">
        <x:v>HIST-AC-06-0122</x:v>
      </x:c>
      <x:c r="B379" s="34"/>
      <x:c r="C379" s="24" t="str"/>
      <x:c r="D379" s="24" t="str">
        <x:v>Sprint 6 Acceptance</x:v>
      </x:c>
      <x:c r="E379" s="24" t="str">
        <x:v>AC-S6-25</x:v>
      </x:c>
      <x:c r="F379" s="24" t="str"/>
      <x:c r="G379" s="24" t="str">
        <x:v>Acceptance / Historical</x:v>
      </x:c>
      <x:c r="H379" s="24" t="str">
        <x:v>Baseline histórica</x:v>
      </x:c>
      <x:c r="I379" s="24" t="str">
        <x:v>Baseline PASS</x:v>
      </x:c>
      <x:c r="J379" s="24" t="str"/>
      <x:c r="K379" s="24" t="str">
        <x:v>Complete automated regression passes after inherited assertion correction | Current 300/300 PASS</x:v>
      </x:c>
      <x:c r="L379" s="24" t="str">
        <x:v>VRM Games</x:v>
      </x:c>
      <x:c r="M379" s="24"/>
      <x:c r="N379" s="24" t="str">
        <x:v>S6.4 — Documentation/10_Development_Records/Sprint_06/QA/S6_Acceptance_Matrix.md</x:v>
      </x:c>
    </x:row>
    <x:row r="380">
      <x:c r="A380" s="24" t="str">
        <x:v>HIST-AC-06-0123</x:v>
      </x:c>
      <x:c r="B380" s="34"/>
      <x:c r="C380" s="24" t="str"/>
      <x:c r="D380" s="24" t="str">
        <x:v>Sprint 6 Acceptance</x:v>
      </x:c>
      <x:c r="E380" s="24" t="str">
        <x:v>AC-S6-26</x:v>
      </x:c>
      <x:c r="F380" s="24" t="str"/>
      <x:c r="G380" s="24" t="str">
        <x:v>Acceptance / Historical</x:v>
      </x:c>
      <x:c r="H380" s="24" t="str">
        <x:v>Baseline histórica</x:v>
      </x:c>
      <x:c r="I380" s="24" t="str">
        <x:v>Baseline PASS</x:v>
      </x:c>
      <x:c r="J380" s="24" t="str"/>
      <x:c r="K380" s="24" t="str">
        <x:v>Existing Store, TestLab and scene-flow regression passes | Manual validation</x:v>
      </x:c>
      <x:c r="L380" s="24" t="str">
        <x:v>VRM Games</x:v>
      </x:c>
      <x:c r="M380" s="24"/>
      <x:c r="N380" s="24" t="str">
        <x:v>S6.4 — Documentation/10_Development_Records/Sprint_06/QA/S6_Acceptance_Matrix.md</x:v>
      </x:c>
    </x:row>
    <x:row r="381">
      <x:c r="A381" s="24" t="str">
        <x:v>HIST-AC-06-0124</x:v>
      </x:c>
      <x:c r="B381" s="34"/>
      <x:c r="C381" s="24" t="str"/>
      <x:c r="D381" s="24" t="str">
        <x:v>Sprint 6 Acceptance</x:v>
      </x:c>
      <x:c r="E381" s="24" t="str">
        <x:v>AC-S6-27</x:v>
      </x:c>
      <x:c r="F381" s="24" t="str"/>
      <x:c r="G381" s="24" t="str">
        <x:v>Acceptance / Historical</x:v>
      </x:c>
      <x:c r="H381" s="24" t="str">
        <x:v>Baseline histórica</x:v>
      </x:c>
      <x:c r="I381" s="24" t="str">
        <x:v>Baseline PASS</x:v>
      </x:c>
      <x:c r="J381" s="24" t="str"/>
      <x:c r="K381" s="24" t="str">
        <x:v>Application version is 0.0.7 | Editor/build</x:v>
      </x:c>
      <x:c r="L381" s="24" t="str">
        <x:v>VRM Games</x:v>
      </x:c>
      <x:c r="M381" s="24"/>
      <x:c r="N381" s="24" t="str">
        <x:v>S6.4 — Documentation/10_Development_Records/Sprint_06/QA/S6_Acceptance_Matrix.md</x:v>
      </x:c>
    </x:row>
    <x:row r="382">
      <x:c r="A382" s="24" t="str">
        <x:v>HIST-AC-06-0125</x:v>
      </x:c>
      <x:c r="B382" s="34"/>
      <x:c r="C382" s="24" t="str"/>
      <x:c r="D382" s="24" t="str">
        <x:v>Sprint 6 Acceptance</x:v>
      </x:c>
      <x:c r="E382" s="24" t="str">
        <x:v>AC-S6-28</x:v>
      </x:c>
      <x:c r="F382" s="24" t="str"/>
      <x:c r="G382" s="24" t="str">
        <x:v>Acceptance / Historical</x:v>
      </x:c>
      <x:c r="H382" s="24" t="str">
        <x:v>Baseline histórica</x:v>
      </x:c>
      <x:c r="I382" s="24" t="str">
        <x:v>Baseline PASS</x:v>
      </x:c>
      <x:c r="J382" s="24" t="str"/>
      <x:c r="K382" s="24" t="str">
        <x:v>Windows x64 Development build and external execution pass | Build/manual</x:v>
      </x:c>
      <x:c r="L382" s="24" t="str">
        <x:v>VRM Games</x:v>
      </x:c>
      <x:c r="M382" s="24"/>
      <x:c r="N382" s="24" t="str">
        <x:v>S6.4 — Documentation/10_Development_Records/Sprint_06/QA/S6_Acceptance_Matrix.md</x:v>
      </x:c>
    </x:row>
    <x:row r="383">
      <x:c r="A383" s="24" t="str">
        <x:v>HIST-AC-06-0126</x:v>
      </x:c>
      <x:c r="B383" s="34"/>
      <x:c r="C383" s="24" t="str"/>
      <x:c r="D383" s="24" t="str">
        <x:v>Sprint 6 Acceptance</x:v>
      </x:c>
      <x:c r="E383" s="24" t="str">
        <x:v>AC-S6-29</x:v>
      </x:c>
      <x:c r="F383" s="24" t="str"/>
      <x:c r="G383" s="24" t="str">
        <x:v>Acceptance / Historical</x:v>
      </x:c>
      <x:c r="H383" s="24" t="str">
        <x:v>Baseline histórica</x:v>
      </x:c>
      <x:c r="I383" s="24" t="str">
        <x:v>Baseline PASS</x:v>
      </x:c>
      <x:c r="J383" s="24" t="str"/>
      <x:c r="K383" s="24" t="str">
        <x:v>No open S0/S1 defect remains | QA record</x:v>
      </x:c>
      <x:c r="L383" s="24" t="str">
        <x:v>VRM Games</x:v>
      </x:c>
      <x:c r="M383" s="24"/>
      <x:c r="N383" s="24" t="str">
        <x:v>S6.4 — Documentation/10_Development_Records/Sprint_06/QA/S6_Acceptance_Matrix.md</x:v>
      </x:c>
    </x:row>
    <x:row r="384">
      <x:c r="A384" s="24" t="str">
        <x:v>HIST-AC-06-0127</x:v>
      </x:c>
      <x:c r="B384" s="34"/>
      <x:c r="C384" s="24" t="str"/>
      <x:c r="D384" s="24" t="str">
        <x:v>Sprint 6 Acceptance</x:v>
      </x:c>
      <x:c r="E384" s="24" t="str">
        <x:v>AC-S6-30</x:v>
      </x:c>
      <x:c r="F384" s="24" t="str"/>
      <x:c r="G384" s="24" t="str">
        <x:v>Acceptance / Historical</x:v>
      </x:c>
      <x:c r="H384" s="24" t="str">
        <x:v>Baseline histórica</x:v>
      </x:c>
      <x:c r="I384" s="24" t="str">
        <x:v>Baseline PASS</x:v>
      </x:c>
      <x:c r="J384" s="24" t="str"/>
      <x:c r="K384" s="24" t="str">
        <x:v>Implementation and closure documentation are included in repository history | Git commit containing closure records</x:v>
      </x:c>
      <x:c r="L384" s="24" t="str">
        <x:v>VRM Games</x:v>
      </x:c>
      <x:c r="M384" s="24"/>
      <x:c r="N384" s="24" t="str">
        <x:v>S6.4 — Documentation/10_Development_Records/Sprint_06/QA/S6_Acceptance_Matrix.md</x:v>
      </x:c>
    </x:row>
    <x:row r="385">
      <x:c r="A385" s="24" t="str">
        <x:v>HIST-AC-07-0128</x:v>
      </x:c>
      <x:c r="B385" s="34"/>
      <x:c r="C385" s="24" t="str"/>
      <x:c r="D385" s="24" t="str">
        <x:v>Sprint 7 Acceptance</x:v>
      </x:c>
      <x:c r="E385" s="24" t="str">
        <x:v>AC-S7-001</x:v>
      </x:c>
      <x:c r="F385" s="24" t="str"/>
      <x:c r="G385" s="24" t="str">
        <x:v>Acceptance / Historical</x:v>
      </x:c>
      <x:c r="H385" s="24" t="str">
        <x:v>Baseline histórica</x:v>
      </x:c>
      <x:c r="I385" s="24" t="str">
        <x:v>Baseline PASS</x:v>
      </x:c>
      <x:c r="J385" s="24" t="str"/>
      <x:c r="K385" s="24" t="str">
        <x:v>ProductDefinitionAsset converts valid serialized data to ProductDefinition | EditMode + Inspector</x:v>
      </x:c>
      <x:c r="L385" s="24" t="str">
        <x:v>VRM Games</x:v>
      </x:c>
      <x:c r="M385" s="24"/>
      <x:c r="N385" s="24" t="str">
        <x:v>Product authoring — Documentation/10_Development_Records/Sprint_07/QA/S7_Acceptance_Matrix.md</x:v>
      </x:c>
    </x:row>
    <x:row r="386">
      <x:c r="A386" s="24" t="str">
        <x:v>HIST-AC-07-0129</x:v>
      </x:c>
      <x:c r="B386" s="34"/>
      <x:c r="C386" s="24" t="str"/>
      <x:c r="D386" s="24" t="str">
        <x:v>Sprint 7 Acceptance</x:v>
      </x:c>
      <x:c r="E386" s="24" t="str">
        <x:v>AC-S7-002</x:v>
      </x:c>
      <x:c r="F386" s="24" t="str"/>
      <x:c r="G386" s="24" t="str">
        <x:v>Acceptance / Historical</x:v>
      </x:c>
      <x:c r="H386" s="24" t="str">
        <x:v>Baseline histórica</x:v>
      </x:c>
      <x:c r="I386" s="24" t="str">
        <x:v>Baseline PASS</x:v>
      </x:c>
      <x:c r="J386" s="24" t="str"/>
      <x:c r="K386" s="24" t="str">
        <x:v>Product catalog rejects missing entries and duplicate product IDs | EditMode</x:v>
      </x:c>
      <x:c r="L386" s="24" t="str">
        <x:v>VRM Games</x:v>
      </x:c>
      <x:c r="M386" s="24"/>
      <x:c r="N386" s="24" t="str">
        <x:v>Product authoring — Documentation/10_Development_Records/Sprint_07/QA/S7_Acceptance_Matrix.md</x:v>
      </x:c>
    </x:row>
    <x:row r="387">
      <x:c r="A387" s="24" t="str">
        <x:v>HIST-AC-07-0130</x:v>
      </x:c>
      <x:c r="B387" s="34"/>
      <x:c r="C387" s="24" t="str"/>
      <x:c r="D387" s="24" t="str">
        <x:v>Sprint 7 Acceptance</x:v>
      </x:c>
      <x:c r="E387" s="24" t="str">
        <x:v>AC-S7-003</x:v>
      </x:c>
      <x:c r="F387" s="24" t="str"/>
      <x:c r="G387" s="24" t="str">
        <x:v>Acceptance / Historical</x:v>
      </x:c>
      <x:c r="H387" s="24" t="str">
        <x:v>Baseline histórica</x:v>
      </x:c>
      <x:c r="I387" s="24" t="str">
        <x:v>Baseline PASS</x:v>
      </x:c>
      <x:c r="J387" s="24" t="str"/>
      <x:c r="K387" s="24" t="str">
        <x:v>Six technical product assets are present and inspectable | Manual inspection</x:v>
      </x:c>
      <x:c r="L387" s="24" t="str">
        <x:v>VRM Games</x:v>
      </x:c>
      <x:c r="M387" s="24"/>
      <x:c r="N387" s="24" t="str">
        <x:v>Product content — Documentation/10_Development_Records/Sprint_07/QA/S7_Acceptance_Matrix.md</x:v>
      </x:c>
    </x:row>
    <x:row r="388">
      <x:c r="A388" s="24" t="str">
        <x:v>HIST-AC-07-0131</x:v>
      </x:c>
      <x:c r="B388" s="34"/>
      <x:c r="C388" s="24" t="str"/>
      <x:c r="D388" s="24" t="str">
        <x:v>Sprint 7 Acceptance</x:v>
      </x:c>
      <x:c r="E388" s="24" t="str">
        <x:v>AC-S7-004</x:v>
      </x:c>
      <x:c r="F388" s="24" t="str"/>
      <x:c r="G388" s="24" t="str">
        <x:v>Acceptance / Historical</x:v>
      </x:c>
      <x:c r="H388" s="24" t="str">
        <x:v>Baseline histórica</x:v>
      </x:c>
      <x:c r="I388" s="24" t="str">
        <x:v>Baseline PASS</x:v>
      </x:c>
      <x:c r="J388" s="24" t="str"/>
      <x:c r="K388" s="24" t="str">
        <x:v>Supplier IDs and catalog IDs reject empty values and compare ordinally | EditMode</x:v>
      </x:c>
      <x:c r="L388" s="24" t="str">
        <x:v>VRM Games</x:v>
      </x:c>
      <x:c r="M388" s="24"/>
      <x:c r="N388" s="24" t="str">
        <x:v>Supplier identity — Documentation/10_Development_Records/Sprint_07/QA/S7_Acceptance_Matrix.md</x:v>
      </x:c>
    </x:row>
    <x:row r="389">
      <x:c r="A389" s="24" t="str">
        <x:v>HIST-AC-07-0132</x:v>
      </x:c>
      <x:c r="B389" s="34"/>
      <x:c r="C389" s="24" t="str"/>
      <x:c r="D389" s="24" t="str">
        <x:v>Sprint 7 Acceptance</x:v>
      </x:c>
      <x:c r="E389" s="24" t="str">
        <x:v>AC-S7-005</x:v>
      </x:c>
      <x:c r="F389" s="24" t="str"/>
      <x:c r="G389" s="24" t="str">
        <x:v>Acceptance / Historical</x:v>
      </x:c>
      <x:c r="H389" s="24" t="str">
        <x:v>Baseline histórica</x:v>
      </x:c>
      <x:c r="I389" s="24" t="str">
        <x:v>Baseline PASS</x:v>
      </x:c>
      <x:c r="J389" s="24" t="str"/>
      <x:c r="K389" s="24" t="str">
        <x:v>Supplier definition exposes stable ID and display-name key | EditMode</x:v>
      </x:c>
      <x:c r="L389" s="24" t="str">
        <x:v>VRM Games</x:v>
      </x:c>
      <x:c r="M389" s="24"/>
      <x:c r="N389" s="24" t="str">
        <x:v>Supplier domain — Documentation/10_Development_Records/Sprint_07/QA/S7_Acceptance_Matrix.md</x:v>
      </x:c>
    </x:row>
    <x:row r="390">
      <x:c r="A390" s="24" t="str">
        <x:v>HIST-AC-07-0133</x:v>
      </x:c>
      <x:c r="B390" s="34"/>
      <x:c r="C390" s="24" t="str"/>
      <x:c r="D390" s="24" t="str">
        <x:v>Sprint 7 Acceptance</x:v>
      </x:c>
      <x:c r="E390" s="24" t="str">
        <x:v>AC-S7-006</x:v>
      </x:c>
      <x:c r="F390" s="24" t="str"/>
      <x:c r="G390" s="24" t="str">
        <x:v>Acceptance / Historical</x:v>
      </x:c>
      <x:c r="H390" s="24" t="str">
        <x:v>Baseline histórica</x:v>
      </x:c>
      <x:c r="I390" s="24" t="str">
        <x:v>Baseline PASS</x:v>
      </x:c>
      <x:c r="J390" s="24" t="str"/>
      <x:c r="K390" s="24" t="str">
        <x:v>Catalog entries require positive cost and units per box | EditMode</x:v>
      </x:c>
      <x:c r="L390" s="24" t="str">
        <x:v>VRM Games</x:v>
      </x:c>
      <x:c r="M390" s="24"/>
      <x:c r="N390" s="24" t="str">
        <x:v>Supplier catalog — Documentation/10_Development_Records/Sprint_07/QA/S7_Acceptance_Matrix.md</x:v>
      </x:c>
    </x:row>
    <x:row r="391">
      <x:c r="A391" s="24" t="str">
        <x:v>HIST-AC-07-0134</x:v>
      </x:c>
      <x:c r="B391" s="34"/>
      <x:c r="C391" s="24" t="str"/>
      <x:c r="D391" s="24" t="str">
        <x:v>Sprint 7 Acceptance</x:v>
      </x:c>
      <x:c r="E391" s="24" t="str">
        <x:v>AC-S7-007</x:v>
      </x:c>
      <x:c r="F391" s="24" t="str"/>
      <x:c r="G391" s="24" t="str">
        <x:v>Acceptance / Historical</x:v>
      </x:c>
      <x:c r="H391" s="24" t="str">
        <x:v>Baseline histórica</x:v>
      </x:c>
      <x:c r="I391" s="24" t="str">
        <x:v>Baseline PASS</x:v>
      </x:c>
      <x:c r="J391" s="24" t="str"/>
      <x:c r="K391" s="24" t="str">
        <x:v>Minimum and maximum box limits are enforced | EditMode</x:v>
      </x:c>
      <x:c r="L391" s="24" t="str">
        <x:v>VRM Games</x:v>
      </x:c>
      <x:c r="M391" s="24"/>
      <x:c r="N391" s="24" t="str">
        <x:v>Supplier catalog — Documentation/10_Development_Records/Sprint_07/QA/S7_Acceptance_Matrix.md</x:v>
      </x:c>
    </x:row>
    <x:row r="392">
      <x:c r="A392" s="24" t="str">
        <x:v>HIST-AC-07-0135</x:v>
      </x:c>
      <x:c r="B392" s="34"/>
      <x:c r="C392" s="24" t="str"/>
      <x:c r="D392" s="24" t="str">
        <x:v>Sprint 7 Acceptance</x:v>
      </x:c>
      <x:c r="E392" s="24" t="str">
        <x:v>AC-S7-008</x:v>
      </x:c>
      <x:c r="F392" s="24" t="str"/>
      <x:c r="G392" s="24" t="str">
        <x:v>Acceptance / Historical</x:v>
      </x:c>
      <x:c r="H392" s="24" t="str">
        <x:v>Baseline histórica</x:v>
      </x:c>
      <x:c r="I392" s="24" t="str">
        <x:v>Baseline PASS</x:v>
      </x:c>
      <x:c r="J392" s="24" t="str"/>
      <x:c r="K392" s="24" t="str">
        <x:v>Catalog rejects unknown or duplicate products | EditMode</x:v>
      </x:c>
      <x:c r="L392" s="24" t="str">
        <x:v>VRM Games</x:v>
      </x:c>
      <x:c r="M392" s="24"/>
      <x:c r="N392" s="24" t="str">
        <x:v>Supplier catalog — Documentation/10_Development_Records/Sprint_07/QA/S7_Acceptance_Matrix.md</x:v>
      </x:c>
    </x:row>
    <x:row r="393">
      <x:c r="A393" s="24" t="str">
        <x:v>HIST-AC-07-0136</x:v>
      </x:c>
      <x:c r="B393" s="34"/>
      <x:c r="C393" s="24" t="str"/>
      <x:c r="D393" s="24" t="str">
        <x:v>Sprint 7 Acceptance</x:v>
      </x:c>
      <x:c r="E393" s="24" t="str">
        <x:v>AC-S7-009</x:v>
      </x:c>
      <x:c r="F393" s="24" t="str"/>
      <x:c r="G393" s="24" t="str">
        <x:v>Acceptance / Historical</x:v>
      </x:c>
      <x:c r="H393" s="24" t="str">
        <x:v>Baseline histórica</x:v>
      </x:c>
      <x:c r="I393" s="24" t="str">
        <x:v>Baseline PASS</x:v>
      </x:c>
      <x:c r="J393" s="24" t="str"/>
      <x:c r="K393" s="24" t="str">
        <x:v>Supplier assets convert to valid domain catalogs | EditMode + Inspector</x:v>
      </x:c>
      <x:c r="L393" s="24" t="str">
        <x:v>VRM Games</x:v>
      </x:c>
      <x:c r="M393" s="24"/>
      <x:c r="N393" s="24" t="str">
        <x:v>Supplier authoring — Documentation/10_Development_Records/Sprint_07/QA/S7_Acceptance_Matrix.md</x:v>
      </x:c>
    </x:row>
    <x:row r="394">
      <x:c r="A394" s="24" t="str">
        <x:v>HIST-AC-07-0137</x:v>
      </x:c>
      <x:c r="B394" s="34"/>
      <x:c r="C394" s="24" t="str"/>
      <x:c r="D394" s="24" t="str">
        <x:v>Sprint 7 Acceptance</x:v>
      </x:c>
      <x:c r="E394" s="24" t="str">
        <x:v>AC-S7-010</x:v>
      </x:c>
      <x:c r="F394" s="24" t="str"/>
      <x:c r="G394" s="24" t="str">
        <x:v>Acceptance / Historical</x:v>
      </x:c>
      <x:c r="H394" s="24" t="str">
        <x:v>Baseline histórica</x:v>
      </x:c>
      <x:c r="I394" s="24" t="str">
        <x:v>Baseline PASS</x:v>
      </x:c>
      <x:c r="J394" s="24" t="str"/>
      <x:c r="K394" s="24" t="str">
        <x:v>Two technical suppliers and catalogs are present | Manual inspection</x:v>
      </x:c>
      <x:c r="L394" s="24" t="str">
        <x:v>VRM Games</x:v>
      </x:c>
      <x:c r="M394" s="24"/>
      <x:c r="N394" s="24" t="str">
        <x:v>Supplier content — Documentation/10_Development_Records/Sprint_07/QA/S7_Acceptance_Matrix.md</x:v>
      </x:c>
    </x:row>
    <x:row r="395">
      <x:c r="A395" s="24" t="str">
        <x:v>HIST-AC-07-0138</x:v>
      </x:c>
      <x:c r="B395" s="34"/>
      <x:c r="C395" s="24" t="str"/>
      <x:c r="D395" s="24" t="str">
        <x:v>Sprint 7 Acceptance</x:v>
      </x:c>
      <x:c r="E395" s="24" t="str">
        <x:v>AC-S7-011</x:v>
      </x:c>
      <x:c r="F395" s="24" t="str"/>
      <x:c r="G395" s="24" t="str">
        <x:v>Acceptance / Historical</x:v>
      </x:c>
      <x:c r="H395" s="24" t="str">
        <x:v>Baseline histórica</x:v>
      </x:c>
      <x:c r="I395" s="24" t="str">
        <x:v>Baseline PASS</x:v>
      </x:c>
      <x:c r="J395" s="24" t="str"/>
      <x:c r="K395" s="24" t="str">
        <x:v>Order request line requires a positive whole box count | EditMode</x:v>
      </x:c>
      <x:c r="L395" s="24" t="str">
        <x:v>VRM Games</x:v>
      </x:c>
      <x:c r="M395" s="24"/>
      <x:c r="N395" s="24" t="str">
        <x:v>Order request — Documentation/10_Development_Records/Sprint_07/QA/S7_Acceptance_Matrix.md</x:v>
      </x:c>
    </x:row>
    <x:row r="396">
      <x:c r="A396" s="24" t="str">
        <x:v>HIST-AC-07-0139</x:v>
      </x:c>
      <x:c r="B396" s="34"/>
      <x:c r="C396" s="24" t="str"/>
      <x:c r="D396" s="24" t="str">
        <x:v>Sprint 7 Acceptance</x:v>
      </x:c>
      <x:c r="E396" s="24" t="str">
        <x:v>AC-S7-012</x:v>
      </x:c>
      <x:c r="F396" s="24" t="str"/>
      <x:c r="G396" s="24" t="str">
        <x:v>Acceptance / Historical</x:v>
      </x:c>
      <x:c r="H396" s="24" t="str">
        <x:v>Baseline histórica</x:v>
      </x:c>
      <x:c r="I396" s="24" t="str">
        <x:v>Baseline PASS</x:v>
      </x:c>
      <x:c r="J396" s="24" t="str"/>
      <x:c r="K396" s="24" t="str">
        <x:v>Draft order is built from supplier terms | EditMode</x:v>
      </x:c>
      <x:c r="L396" s="24" t="str">
        <x:v>VRM Games</x:v>
      </x:c>
      <x:c r="M396" s="24"/>
      <x:c r="N396" s="24" t="str">
        <x:v>Order creation — Documentation/10_Development_Records/Sprint_07/QA/S7_Acceptance_Matrix.md</x:v>
      </x:c>
    </x:row>
    <x:row r="397">
      <x:c r="A397" s="24" t="str">
        <x:v>HIST-AC-07-0140</x:v>
      </x:c>
      <x:c r="B397" s="34"/>
      <x:c r="C397" s="24" t="str"/>
      <x:c r="D397" s="24" t="str">
        <x:v>Sprint 7 Acceptance</x:v>
      </x:c>
      <x:c r="E397" s="24" t="str">
        <x:v>AC-S7-013</x:v>
      </x:c>
      <x:c r="F397" s="24" t="str"/>
      <x:c r="G397" s="24" t="str">
        <x:v>Acceptance / Historical</x:v>
      </x:c>
      <x:c r="H397" s="24" t="str">
        <x:v>Baseline histórica</x:v>
      </x:c>
      <x:c r="I397" s="24" t="str">
        <x:v>Baseline PASS</x:v>
      </x:c>
      <x:c r="J397" s="24" t="str"/>
      <x:c r="K397" s="24" t="str">
        <x:v>Unknown supplier product is rejected without order creation | EditMode</x:v>
      </x:c>
      <x:c r="L397" s="24" t="str">
        <x:v>VRM Games</x:v>
      </x:c>
      <x:c r="M397" s="24"/>
      <x:c r="N397" s="24" t="str">
        <x:v>Order creation — Documentation/10_Development_Records/Sprint_07/QA/S7_Acceptance_Matrix.md</x:v>
      </x:c>
    </x:row>
    <x:row r="398">
      <x:c r="A398" s="24" t="str">
        <x:v>HIST-AC-07-0141</x:v>
      </x:c>
      <x:c r="B398" s="34"/>
      <x:c r="C398" s="24" t="str"/>
      <x:c r="D398" s="24" t="str">
        <x:v>Sprint 7 Acceptance</x:v>
      </x:c>
      <x:c r="E398" s="24" t="str">
        <x:v>AC-S7-014</x:v>
      </x:c>
      <x:c r="F398" s="24" t="str"/>
      <x:c r="G398" s="24" t="str">
        <x:v>Acceptance / Historical</x:v>
      </x:c>
      <x:c r="H398" s="24" t="str">
        <x:v>Baseline histórica</x:v>
      </x:c>
      <x:c r="I398" s="24" t="str">
        <x:v>Baseline PASS</x:v>
      </x:c>
      <x:c r="J398" s="24" t="str"/>
      <x:c r="K398" s="24" t="str">
        <x:v>Below-minimum and above-maximum box counts are rejected | EditMode</x:v>
      </x:c>
      <x:c r="L398" s="24" t="str">
        <x:v>VRM Games</x:v>
      </x:c>
      <x:c r="M398" s="24"/>
      <x:c r="N398" s="24" t="str">
        <x:v>Order creation — Documentation/10_Development_Records/Sprint_07/QA/S7_Acceptance_Matrix.md</x:v>
      </x:c>
    </x:row>
    <x:row r="399">
      <x:c r="A399" s="24" t="str">
        <x:v>HIST-AC-07-0142</x:v>
      </x:c>
      <x:c r="B399" s="34"/>
      <x:c r="C399" s="24" t="str"/>
      <x:c r="D399" s="24" t="str">
        <x:v>Sprint 7 Acceptance</x:v>
      </x:c>
      <x:c r="E399" s="24" t="str">
        <x:v>AC-S7-015</x:v>
      </x:c>
      <x:c r="F399" s="24" t="str"/>
      <x:c r="G399" s="24" t="str">
        <x:v>Acceptance / Historical</x:v>
      </x:c>
      <x:c r="H399" s="24" t="str">
        <x:v>Baseline histórica</x:v>
      </x:c>
      <x:c r="I399" s="24" t="str">
        <x:v>Baseline PASS</x:v>
      </x:c>
      <x:c r="J399" s="24" t="str"/>
      <x:c r="K399" s="24" t="str">
        <x:v>Box, unit and integer-cent totals are deterministic | EditMode</x:v>
      </x:c>
      <x:c r="L399" s="24" t="str">
        <x:v>VRM Games</x:v>
      </x:c>
      <x:c r="M399" s="24"/>
      <x:c r="N399" s="24" t="str">
        <x:v>Order totals — Documentation/10_Development_Records/Sprint_07/QA/S7_Acceptance_Matrix.md</x:v>
      </x:c>
    </x:row>
    <x:row r="400">
      <x:c r="A400" s="24" t="str">
        <x:v>HIST-AC-07-0143</x:v>
      </x:c>
      <x:c r="B400" s="34"/>
      <x:c r="C400" s="24" t="str"/>
      <x:c r="D400" s="24" t="str">
        <x:v>Sprint 7 Acceptance</x:v>
      </x:c>
      <x:c r="E400" s="24" t="str">
        <x:v>AC-S7-016</x:v>
      </x:c>
      <x:c r="F400" s="24" t="str"/>
      <x:c r="G400" s="24" t="str">
        <x:v>Acceptance / Historical</x:v>
      </x:c>
      <x:c r="H400" s="24" t="str">
        <x:v>Baseline histórica</x:v>
      </x:c>
      <x:c r="I400" s="24" t="str">
        <x:v>Baseline PASS</x:v>
      </x:c>
      <x:c r="J400" s="24" t="str"/>
      <x:c r="K400" s="24" t="str">
        <x:v>Duplicate product lines and empty orders are rejected | EditMode</x:v>
      </x:c>
      <x:c r="L400" s="24" t="str">
        <x:v>VRM Games</x:v>
      </x:c>
      <x:c r="M400" s="24"/>
      <x:c r="N400" s="24" t="str">
        <x:v>Order aggregate — Documentation/10_Development_Records/Sprint_07/QA/S7_Acceptance_Matrix.md</x:v>
      </x:c>
    </x:row>
    <x:row r="401">
      <x:c r="A401" s="24" t="str">
        <x:v>HIST-AC-07-0144</x:v>
      </x:c>
      <x:c r="B401" s="34"/>
      <x:c r="C401" s="24" t="str"/>
      <x:c r="D401" s="24" t="str">
        <x:v>Sprint 7 Acceptance</x:v>
      </x:c>
      <x:c r="E401" s="24" t="str">
        <x:v>AC-S7-017</x:v>
      </x:c>
      <x:c r="F401" s="24" t="str"/>
      <x:c r="G401" s="24" t="str">
        <x:v>Acceptance / Historical</x:v>
      </x:c>
      <x:c r="H401" s="24" t="str">
        <x:v>Baseline histórica</x:v>
      </x:c>
      <x:c r="I401" s="24" t="str">
        <x:v>Baseline PASS</x:v>
      </x:c>
      <x:c r="J401" s="24" t="str"/>
      <x:c r="K401" s="24" t="str">
        <x:v>Draft transitions to Submitted | EditMode</x:v>
      </x:c>
      <x:c r="L401" s="24" t="str">
        <x:v>VRM Games</x:v>
      </x:c>
      <x:c r="M401" s="24"/>
      <x:c r="N401" s="24" t="str">
        <x:v>Order lifecycle — Documentation/10_Development_Records/Sprint_07/QA/S7_Acceptance_Matrix.md</x:v>
      </x:c>
    </x:row>
    <x:row r="402">
      <x:c r="A402" s="24" t="str">
        <x:v>HIST-AC-07-0145</x:v>
      </x:c>
      <x:c r="B402" s="34"/>
      <x:c r="C402" s="24" t="str"/>
      <x:c r="D402" s="24" t="str">
        <x:v>Sprint 7 Acceptance</x:v>
      </x:c>
      <x:c r="E402" s="24" t="str">
        <x:v>AC-S7-018</x:v>
      </x:c>
      <x:c r="F402" s="24" t="str"/>
      <x:c r="G402" s="24" t="str">
        <x:v>Acceptance / Historical</x:v>
      </x:c>
      <x:c r="H402" s="24" t="str">
        <x:v>Baseline histórica</x:v>
      </x:c>
      <x:c r="I402" s="24" t="str">
        <x:v>Baseline PASS</x:v>
      </x:c>
      <x:c r="J402" s="24" t="str"/>
      <x:c r="K402" s="24" t="str">
        <x:v>Submitted transitions to Delivered | EditMode</x:v>
      </x:c>
      <x:c r="L402" s="24" t="str">
        <x:v>VRM Games</x:v>
      </x:c>
      <x:c r="M402" s="24"/>
      <x:c r="N402" s="24" t="str">
        <x:v>Order lifecycle — Documentation/10_Development_Records/Sprint_07/QA/S7_Acceptance_Matrix.md</x:v>
      </x:c>
    </x:row>
    <x:row r="403">
      <x:c r="A403" s="24" t="str">
        <x:v>HIST-AC-07-0146</x:v>
      </x:c>
      <x:c r="B403" s="34"/>
      <x:c r="C403" s="24" t="str"/>
      <x:c r="D403" s="24" t="str">
        <x:v>Sprint 7 Acceptance</x:v>
      </x:c>
      <x:c r="E403" s="24" t="str">
        <x:v>AC-S7-019</x:v>
      </x:c>
      <x:c r="F403" s="24" t="str"/>
      <x:c r="G403" s="24" t="str">
        <x:v>Acceptance / Historical</x:v>
      </x:c>
      <x:c r="H403" s="24" t="str">
        <x:v>Baseline histórica</x:v>
      </x:c>
      <x:c r="I403" s="24" t="str">
        <x:v>Baseline PASS</x:v>
      </x:c>
      <x:c r="J403" s="24" t="str"/>
      <x:c r="K403" s="24" t="str">
        <x:v>Delivered transitions to Received | EditMode</x:v>
      </x:c>
      <x:c r="L403" s="24" t="str">
        <x:v>VRM Games</x:v>
      </x:c>
      <x:c r="M403" s="24"/>
      <x:c r="N403" s="24" t="str">
        <x:v>Order lifecycle — Documentation/10_Development_Records/Sprint_07/QA/S7_Acceptance_Matrix.md</x:v>
      </x:c>
    </x:row>
    <x:row r="404">
      <x:c r="A404" s="24" t="str">
        <x:v>HIST-AC-07-0147</x:v>
      </x:c>
      <x:c r="B404" s="34"/>
      <x:c r="C404" s="24" t="str"/>
      <x:c r="D404" s="24" t="str">
        <x:v>Sprint 7 Acceptance</x:v>
      </x:c>
      <x:c r="E404" s="24" t="str">
        <x:v>AC-S7-020</x:v>
      </x:c>
      <x:c r="F404" s="24" t="str"/>
      <x:c r="G404" s="24" t="str">
        <x:v>Acceptance / Historical</x:v>
      </x:c>
      <x:c r="H404" s="24" t="str">
        <x:v>Baseline histórica</x:v>
      </x:c>
      <x:c r="I404" s="24" t="str">
        <x:v>Baseline PASS</x:v>
      </x:c>
      <x:c r="J404" s="24" t="str"/>
      <x:c r="K404" s="24" t="str">
        <x:v>Invalid transitions and invalid cancellations do not mutate status | EditMode</x:v>
      </x:c>
      <x:c r="L404" s="24" t="str">
        <x:v>VRM Games</x:v>
      </x:c>
      <x:c r="M404" s="24"/>
      <x:c r="N404" s="24" t="str">
        <x:v>Order lifecycle — Documentation/10_Development_Records/Sprint_07/QA/S7_Acceptance_Matrix.md</x:v>
      </x:c>
    </x:row>
    <x:row r="405">
      <x:c r="A405" s="24" t="str">
        <x:v>HIST-AC-07-0148</x:v>
      </x:c>
      <x:c r="B405" s="34"/>
      <x:c r="C405" s="24" t="str"/>
      <x:c r="D405" s="24" t="str">
        <x:v>Sprint 7 Acceptance</x:v>
      </x:c>
      <x:c r="E405" s="24" t="str">
        <x:v>AC-S7-021</x:v>
      </x:c>
      <x:c r="F405" s="24" t="str"/>
      <x:c r="G405" s="24" t="str">
        <x:v>Acceptance / Historical</x:v>
      </x:c>
      <x:c r="H405" s="24" t="str">
        <x:v>Baseline histórica</x:v>
      </x:c>
      <x:c r="I405" s="24" t="str">
        <x:v>Baseline PASS</x:v>
      </x:c>
      <x:c r="J405" s="24" t="str"/>
      <x:c r="K405" s="24" t="str">
        <x:v>Only Submitted orders can create a delivery | EditMode</x:v>
      </x:c>
      <x:c r="L405" s="24" t="str">
        <x:v>VRM Games</x:v>
      </x:c>
      <x:c r="M405" s="24"/>
      <x:c r="N405" s="24" t="str">
        <x:v>Delivery creation — Documentation/10_Development_Records/Sprint_07/QA/S7_Acceptance_Matrix.md</x:v>
      </x:c>
    </x:row>
    <x:row r="406">
      <x:c r="A406" s="24" t="str">
        <x:v>HIST-AC-07-0149</x:v>
      </x:c>
      <x:c r="B406" s="34"/>
      <x:c r="C406" s="24" t="str"/>
      <x:c r="D406" s="24" t="str">
        <x:v>Sprint 7 Acceptance</x:v>
      </x:c>
      <x:c r="E406" s="24" t="str">
        <x:v>AC-S7-022</x:v>
      </x:c>
      <x:c r="F406" s="24" t="str"/>
      <x:c r="G406" s="24" t="str">
        <x:v>Acceptance / Historical</x:v>
      </x:c>
      <x:c r="H406" s="24" t="str">
        <x:v>Baseline histórica</x:v>
      </x:c>
      <x:c r="I406" s="24" t="str">
        <x:v>Baseline PASS</x:v>
      </x:c>
      <x:c r="J406" s="24" t="str"/>
      <x:c r="K406" s="24" t="str">
        <x:v>One deterministic shipment box is created per ordered case | EditMode</x:v>
      </x:c>
      <x:c r="L406" s="24" t="str">
        <x:v>VRM Games</x:v>
      </x:c>
      <x:c r="M406" s="24"/>
      <x:c r="N406" s="24" t="str">
        <x:v>Delivery creation — Documentation/10_Development_Records/Sprint_07/QA/S7_Acceptance_Matrix.md</x:v>
      </x:c>
    </x:row>
    <x:row r="407">
      <x:c r="A407" s="24" t="str">
        <x:v>HIST-AC-07-0150</x:v>
      </x:c>
      <x:c r="B407" s="34"/>
      <x:c r="C407" s="24" t="str"/>
      <x:c r="D407" s="24" t="str">
        <x:v>Sprint 7 Acceptance</x:v>
      </x:c>
      <x:c r="E407" s="24" t="str">
        <x:v>AC-S7-023</x:v>
      </x:c>
      <x:c r="F407" s="24" t="str"/>
      <x:c r="G407" s="24" t="str">
        <x:v>Acceptance / Historical</x:v>
      </x:c>
      <x:c r="H407" s="24" t="str">
        <x:v>Baseline histórica</x:v>
      </x:c>
      <x:c r="I407" s="24" t="str">
        <x:v>Baseline PASS</x:v>
      </x:c>
      <x:c r="J407" s="24" t="str"/>
      <x:c r="K407" s="24" t="str">
        <x:v>Delivery, supplier and order relationships are preserved | EditMode</x:v>
      </x:c>
      <x:c r="L407" s="24" t="str">
        <x:v>VRM Games</x:v>
      </x:c>
      <x:c r="M407" s="24"/>
      <x:c r="N407" s="24" t="str">
        <x:v>Delivery identity — Documentation/10_Development_Records/Sprint_07/QA/S7_Acceptance_Matrix.md</x:v>
      </x:c>
    </x:row>
    <x:row r="408">
      <x:c r="A408" s="24" t="str">
        <x:v>HIST-AC-07-0151</x:v>
      </x:c>
      <x:c r="B408" s="34"/>
      <x:c r="C408" s="24" t="str"/>
      <x:c r="D408" s="24" t="str">
        <x:v>Sprint 7 Acceptance</x:v>
      </x:c>
      <x:c r="E408" s="24" t="str">
        <x:v>AC-S7-024</x:v>
      </x:c>
      <x:c r="F408" s="24" t="str"/>
      <x:c r="G408" s="24" t="str">
        <x:v>Acceptance / Historical</x:v>
      </x:c>
      <x:c r="H408" s="24" t="str">
        <x:v>Baseline histórica</x:v>
      </x:c>
      <x:c r="I408" s="24" t="str">
        <x:v>Baseline PASS</x:v>
      </x:c>
      <x:c r="J408" s="24" t="str"/>
      <x:c r="K408" s="24" t="str">
        <x:v>Valid box receipt adds the exact quantity to inventory | EditMode</x:v>
      </x:c>
      <x:c r="L408" s="24" t="str">
        <x:v>VRM Games</x:v>
      </x:c>
      <x:c r="M408" s="24"/>
      <x:c r="N408" s="24" t="str">
        <x:v>Receiving — Documentation/10_Development_Records/Sprint_07/QA/S7_Acceptance_Matrix.md</x:v>
      </x:c>
    </x:row>
    <x:row r="409">
      <x:c r="A409" s="24" t="str">
        <x:v>HIST-AC-07-0152</x:v>
      </x:c>
      <x:c r="B409" s="34"/>
      <x:c r="C409" s="24" t="str"/>
      <x:c r="D409" s="24" t="str">
        <x:v>Sprint 7 Acceptance</x:v>
      </x:c>
      <x:c r="E409" s="24" t="str">
        <x:v>AC-S7-025</x:v>
      </x:c>
      <x:c r="F409" s="24" t="str"/>
      <x:c r="G409" s="24" t="str">
        <x:v>Acceptance / Historical</x:v>
      </x:c>
      <x:c r="H409" s="24" t="str">
        <x:v>Baseline histórica</x:v>
      </x:c>
      <x:c r="I409" s="24" t="str">
        <x:v>Baseline PASS</x:v>
      </x:c>
      <x:c r="J409" s="24" t="str"/>
      <x:c r="K409" s="24" t="str">
        <x:v>Receipt updates box and delivery state | EditMode</x:v>
      </x:c>
      <x:c r="L409" s="24" t="str">
        <x:v>VRM Games</x:v>
      </x:c>
      <x:c r="M409" s="24"/>
      <x:c r="N409" s="24" t="str">
        <x:v>Receiving — Documentation/10_Development_Records/Sprint_07/QA/S7_Acceptance_Matrix.md</x:v>
      </x:c>
    </x:row>
    <x:row r="410">
      <x:c r="A410" s="24" t="str">
        <x:v>HIST-AC-07-0153</x:v>
      </x:c>
      <x:c r="B410" s="34"/>
      <x:c r="C410" s="24" t="str"/>
      <x:c r="D410" s="24" t="str">
        <x:v>Sprint 7 Acceptance</x:v>
      </x:c>
      <x:c r="E410" s="24" t="str">
        <x:v>AC-S7-026</x:v>
      </x:c>
      <x:c r="F410" s="24" t="str"/>
      <x:c r="G410" s="24" t="str">
        <x:v>Acceptance / Historical</x:v>
      </x:c>
      <x:c r="H410" s="24" t="str">
        <x:v>Baseline histórica</x:v>
      </x:c>
      <x:c r="I410" s="24" t="str">
        <x:v>Baseline PASS</x:v>
      </x:c>
      <x:c r="J410" s="24" t="str"/>
      <x:c r="K410" s="24" t="str">
        <x:v>Final box transitions the order to Received | EditMode</x:v>
      </x:c>
      <x:c r="L410" s="24" t="str">
        <x:v>VRM Games</x:v>
      </x:c>
      <x:c r="M410" s="24"/>
      <x:c r="N410" s="24" t="str">
        <x:v>Receiving — Documentation/10_Development_Records/Sprint_07/QA/S7_Acceptance_Matrix.md</x:v>
      </x:c>
    </x:row>
    <x:row r="411">
      <x:c r="A411" s="24" t="str">
        <x:v>HIST-AC-07-0154</x:v>
      </x:c>
      <x:c r="B411" s="34"/>
      <x:c r="C411" s="24" t="str"/>
      <x:c r="D411" s="24" t="str">
        <x:v>Sprint 7 Acceptance</x:v>
      </x:c>
      <x:c r="E411" s="24" t="str">
        <x:v>AC-S7-027</x:v>
      </x:c>
      <x:c r="F411" s="24" t="str"/>
      <x:c r="G411" s="24" t="str">
        <x:v>Acceptance / Historical</x:v>
      </x:c>
      <x:c r="H411" s="24" t="str">
        <x:v>Baseline histórica</x:v>
      </x:c>
      <x:c r="I411" s="24" t="str">
        <x:v>Baseline PASS</x:v>
      </x:c>
      <x:c r="J411" s="24" t="str"/>
      <x:c r="K411" s="24" t="str">
        <x:v>Unknown product, missing box or insufficient capacity causes no mutation | EditMode</x:v>
      </x:c>
      <x:c r="L411" s="24" t="str">
        <x:v>VRM Games</x:v>
      </x:c>
      <x:c r="M411" s="24"/>
      <x:c r="N411" s="24" t="str">
        <x:v>Receiving atomicity — Documentation/10_Development_Records/Sprint_07/QA/S7_Acceptance_Matrix.md</x:v>
      </x:c>
    </x:row>
    <x:row r="412">
      <x:c r="A412" s="24" t="str">
        <x:v>HIST-AC-07-0155</x:v>
      </x:c>
      <x:c r="B412" s="34"/>
      <x:c r="C412" s="24" t="str"/>
      <x:c r="D412" s="24" t="str">
        <x:v>Sprint 7 Acceptance</x:v>
      </x:c>
      <x:c r="E412" s="24" t="str">
        <x:v>AC-S7-028</x:v>
      </x:c>
      <x:c r="F412" s="24" t="str"/>
      <x:c r="G412" s="24" t="str">
        <x:v>Acceptance / Historical</x:v>
      </x:c>
      <x:c r="H412" s="24" t="str">
        <x:v>Baseline histórica</x:v>
      </x:c>
      <x:c r="I412" s="24" t="str">
        <x:v>Baseline PASS</x:v>
      </x:c>
      <x:c r="J412" s="24" t="str"/>
      <x:c r="K412" s="24" t="str">
        <x:v>An already received box cannot increase stock again | EditMode</x:v>
      </x:c>
      <x:c r="L412" s="24" t="str">
        <x:v>VRM Games</x:v>
      </x:c>
      <x:c r="M412" s="24"/>
      <x:c r="N412" s="24" t="str">
        <x:v>Receiving duplication — Documentation/10_Development_Records/Sprint_07/QA/S7_Acceptance_Matrix.md</x:v>
      </x:c>
    </x:row>
    <x:row r="413">
      <x:c r="A413" s="24" t="str">
        <x:v>HIST-AC-07-0156</x:v>
      </x:c>
      <x:c r="B413" s="34"/>
      <x:c r="C413" s="24" t="str"/>
      <x:c r="D413" s="24" t="str">
        <x:v>Sprint 7 Acceptance</x:v>
      </x:c>
      <x:c r="E413" s="24" t="str">
        <x:v>AC-S7-029</x:v>
      </x:c>
      <x:c r="F413" s="24" t="str"/>
      <x:c r="G413" s="24" t="str">
        <x:v>Acceptance / Historical</x:v>
      </x:c>
      <x:c r="H413" s="24" t="str">
        <x:v>Baseline histórica</x:v>
      </x:c>
      <x:c r="I413" s="24" t="str">
        <x:v>Baseline PASS</x:v>
      </x:c>
      <x:c r="J413" s="24" t="str"/>
      <x:c r="K413" s="24" t="str">
        <x:v>Full automated and manual regression passes | 300/300 + manual</x:v>
      </x:c>
      <x:c r="L413" s="24" t="str">
        <x:v>VRM Games</x:v>
      </x:c>
      <x:c r="M413" s="24"/>
      <x:c r="N413" s="24" t="str">
        <x:v>Regression — Documentation/10_Development_Records/Sprint_07/QA/S7_Acceptance_Matrix.md</x:v>
      </x:c>
    </x:row>
    <x:row r="414">
      <x:c r="A414" s="24" t="str">
        <x:v>HIST-AC-07-0157</x:v>
      </x:c>
      <x:c r="B414" s="34"/>
      <x:c r="C414" s="24" t="str"/>
      <x:c r="D414" s="24" t="str">
        <x:v>Sprint 7 Acceptance</x:v>
      </x:c>
      <x:c r="E414" s="24" t="str">
        <x:v>AC-S7-030</x:v>
      </x:c>
      <x:c r="F414" s="24" t="str"/>
      <x:c r="G414" s="24" t="str">
        <x:v>Acceptance / Historical</x:v>
      </x:c>
      <x:c r="H414" s="24" t="str">
        <x:v>Baseline histórica</x:v>
      </x:c>
      <x:c r="I414" s="24" t="str">
        <x:v>Baseline PASS</x:v>
      </x:c>
      <x:c r="J414" s="24" t="str"/>
      <x:c r="K414" s="24" t="str">
        <x:v>Version 0.0.8 and Windows x64 external build pass | Player Settings + build</x:v>
      </x:c>
      <x:c r="L414" s="24" t="str">
        <x:v>VRM Games</x:v>
      </x:c>
      <x:c r="M414" s="24"/>
      <x:c r="N414" s="24" t="str">
        <x:v>Build/version — Documentation/10_Development_Records/Sprint_07/QA/S7_Acceptance_Matrix.md</x:v>
      </x:c>
    </x:row>
    <x:row r="415">
      <x:c r="A415" s="24" t="str">
        <x:v>HIST-AC-08-0158</x:v>
      </x:c>
      <x:c r="B415" s="34"/>
      <x:c r="C415" s="24" t="str"/>
      <x:c r="D415" s="24" t="str">
        <x:v>Sprint 8 Acceptance</x:v>
      </x:c>
      <x:c r="E415" s="24" t="str">
        <x:v>AC-S8-01</x:v>
      </x:c>
      <x:c r="F415" s="24" t="str"/>
      <x:c r="G415" s="24" t="str">
        <x:v>Acceptance / Historical</x:v>
      </x:c>
      <x:c r="H415" s="24" t="str">
        <x:v>Baseline histórica</x:v>
      </x:c>
      <x:c r="I415" s="24" t="str">
        <x:v>Baseline PASS</x:v>
      </x:c>
      <x:c r="J415" s="24" t="str"/>
      <x:c r="K415" s="24" t="str">
        <x:v>EditMode</x:v>
      </x:c>
      <x:c r="L415" s="24" t="str">
        <x:v>VRM Games</x:v>
      </x:c>
      <x:c r="M415" s="24"/>
      <x:c r="N415" s="24" t="str">
        <x:v>Stable display identifiers — Documentation/10_Development_Records/Sprint_08/QA/S8_Acceptance_Matrix.md</x:v>
      </x:c>
    </x:row>
    <x:row r="416">
      <x:c r="A416" s="24" t="str">
        <x:v>HIST-AC-08-0159</x:v>
      </x:c>
      <x:c r="B416" s="34"/>
      <x:c r="C416" s="24" t="str"/>
      <x:c r="D416" s="24" t="str">
        <x:v>Sprint 8 Acceptance</x:v>
      </x:c>
      <x:c r="E416" s="24" t="str">
        <x:v>AC-S8-02</x:v>
      </x:c>
      <x:c r="F416" s="24" t="str"/>
      <x:c r="G416" s="24" t="str">
        <x:v>Acceptance / Historical</x:v>
      </x:c>
      <x:c r="H416" s="24" t="str">
        <x:v>Baseline histórica</x:v>
      </x:c>
      <x:c r="I416" s="24" t="str">
        <x:v>Baseline PASS</x:v>
      </x:c>
      <x:c r="J416" s="24" t="str"/>
      <x:c r="K416" s="24" t="str">
        <x:v>EditMode</x:v>
      </x:c>
      <x:c r="L416" s="24" t="str">
        <x:v>VRM Games</x:v>
      </x:c>
      <x:c r="M416" s="24"/>
      <x:c r="N416" s="24" t="str">
        <x:v>Positive capacity and valid visible limit — Documentation/10_Development_Records/Sprint_08/QA/S8_Acceptance_Matrix.md</x:v>
      </x:c>
    </x:row>
    <x:row r="417">
      <x:c r="A417" s="24" t="str">
        <x:v>HIST-AC-08-0160</x:v>
      </x:c>
      <x:c r="B417" s="34"/>
      <x:c r="C417" s="24" t="str"/>
      <x:c r="D417" s="24" t="str">
        <x:v>Sprint 8 Acceptance</x:v>
      </x:c>
      <x:c r="E417" s="24" t="str">
        <x:v>AC-S8-03</x:v>
      </x:c>
      <x:c r="F417" s="24" t="str"/>
      <x:c r="G417" s="24" t="str">
        <x:v>Acceptance / Historical</x:v>
      </x:c>
      <x:c r="H417" s="24" t="str">
        <x:v>Baseline histórica</x:v>
      </x:c>
      <x:c r="I417" s="24" t="str">
        <x:v>Baseline PASS</x:v>
      </x:c>
      <x:c r="J417" s="24" t="str"/>
      <x:c r="K417" s="24" t="str">
        <x:v>EditMode</x:v>
      </x:c>
      <x:c r="L417" s="24" t="str">
        <x:v>VRM Games</x:v>
      </x:c>
      <x:c r="M417" s="24"/>
      <x:c r="N417" s="24" t="str">
        <x:v>Category policy works — Documentation/10_Development_Records/Sprint_08/QA/S8_Acceptance_Matrix.md</x:v>
      </x:c>
    </x:row>
    <x:row r="418">
      <x:c r="A418" s="24" t="str">
        <x:v>HIST-AC-08-0161</x:v>
      </x:c>
      <x:c r="B418" s="34"/>
      <x:c r="C418" s="24" t="str"/>
      <x:c r="D418" s="24" t="str">
        <x:v>Sprint 8 Acceptance</x:v>
      </x:c>
      <x:c r="E418" s="24" t="str">
        <x:v>AC-S8-04</x:v>
      </x:c>
      <x:c r="F418" s="24" t="str"/>
      <x:c r="G418" s="24" t="str">
        <x:v>Acceptance / Historical</x:v>
      </x:c>
      <x:c r="H418" s="24" t="str">
        <x:v>Baseline histórica</x:v>
      </x:c>
      <x:c r="I418" s="24" t="str">
        <x:v>Baseline PASS</x:v>
      </x:c>
      <x:c r="J418" s="24" t="str"/>
      <x:c r="K418" s="24" t="str">
        <x:v>EditMode</x:v>
      </x:c>
      <x:c r="L418" s="24" t="str">
        <x:v>VRM Games</x:v>
      </x:c>
      <x:c r="M418" s="24"/>
      <x:c r="N418" s="24" t="str">
        <x:v>Definition registry rejects duplicates — Documentation/10_Development_Records/Sprint_08/QA/S8_Acceptance_Matrix.md</x:v>
      </x:c>
    </x:row>
    <x:row r="419">
      <x:c r="A419" s="24" t="str">
        <x:v>HIST-AC-08-0162</x:v>
      </x:c>
      <x:c r="B419" s="34"/>
      <x:c r="C419" s="24" t="str"/>
      <x:c r="D419" s="24" t="str">
        <x:v>Sprint 8 Acceptance</x:v>
      </x:c>
      <x:c r="E419" s="24" t="str">
        <x:v>AC-S8-05</x:v>
      </x:c>
      <x:c r="F419" s="24" t="str"/>
      <x:c r="G419" s="24" t="str">
        <x:v>Acceptance / Historical</x:v>
      </x:c>
      <x:c r="H419" s="24" t="str">
        <x:v>Baseline histórica</x:v>
      </x:c>
      <x:c r="I419" s="24" t="str">
        <x:v>Baseline PASS</x:v>
      </x:c>
      <x:c r="J419" s="24" t="str"/>
      <x:c r="K419" s="24" t="str">
        <x:v>EditMode</x:v>
      </x:c>
      <x:c r="L419" s="24" t="str">
        <x:v>VRM Games</x:v>
      </x:c>
      <x:c r="M419" s="24"/>
      <x:c r="N419" s="24" t="str">
        <x:v>Display owns Display inventory — Documentation/10_Development_Records/Sprint_08/QA/S8_Acceptance_Matrix.md</x:v>
      </x:c>
    </x:row>
    <x:row r="420">
      <x:c r="A420" s="24" t="str">
        <x:v>HIST-AC-08-0163</x:v>
      </x:c>
      <x:c r="B420" s="34"/>
      <x:c r="C420" s="24" t="str"/>
      <x:c r="D420" s="24" t="str">
        <x:v>Sprint 8 Acceptance</x:v>
      </x:c>
      <x:c r="E420" s="24" t="str">
        <x:v>AC-S8-06</x:v>
      </x:c>
      <x:c r="F420" s="24" t="str"/>
      <x:c r="G420" s="24" t="str">
        <x:v>Acceptance / Historical</x:v>
      </x:c>
      <x:c r="H420" s="24" t="str">
        <x:v>Baseline histórica</x:v>
      </x:c>
      <x:c r="I420" s="24" t="str">
        <x:v>Baseline PASS</x:v>
      </x:c>
      <x:c r="J420" s="24" t="str"/>
      <x:c r="K420" s="24" t="str">
        <x:v>EditMode</x:v>
      </x:c>
      <x:c r="L420" s="24" t="str">
        <x:v>VRM Games</x:v>
      </x:c>
      <x:c r="M420" s="24"/>
      <x:c r="N420" s="24" t="str">
        <x:v>One product assignment per display — Documentation/10_Development_Records/Sprint_08/QA/S8_Acceptance_Matrix.md</x:v>
      </x:c>
    </x:row>
    <x:row r="421">
      <x:c r="A421" s="24" t="str">
        <x:v>HIST-AC-08-0164</x:v>
      </x:c>
      <x:c r="B421" s="34"/>
      <x:c r="C421" s="24" t="str"/>
      <x:c r="D421" s="24" t="str">
        <x:v>Sprint 8 Acceptance</x:v>
      </x:c>
      <x:c r="E421" s="24" t="str">
        <x:v>AC-S8-07</x:v>
      </x:c>
      <x:c r="F421" s="24" t="str"/>
      <x:c r="G421" s="24" t="str">
        <x:v>Acceptance / Historical</x:v>
      </x:c>
      <x:c r="H421" s="24" t="str">
        <x:v>Baseline histórica</x:v>
      </x:c>
      <x:c r="I421" s="24" t="str">
        <x:v>Baseline PASS</x:v>
      </x:c>
      <x:c r="J421" s="24" t="str"/>
      <x:c r="K421" s="24" t="str">
        <x:v>EditMode</x:v>
      </x:c>
      <x:c r="L421" s="24" t="str">
        <x:v>VRM Games</x:v>
      </x:c>
      <x:c r="M421" s="24"/>
      <x:c r="N421" s="24" t="str">
        <x:v>Assignment cannot clear with stock — Documentation/10_Development_Records/Sprint_08/QA/S8_Acceptance_Matrix.md</x:v>
      </x:c>
    </x:row>
    <x:row r="422">
      <x:c r="A422" s="24" t="str">
        <x:v>HIST-AC-08-0165</x:v>
      </x:c>
      <x:c r="B422" s="34"/>
      <x:c r="C422" s="24" t="str"/>
      <x:c r="D422" s="24" t="str">
        <x:v>Sprint 8 Acceptance</x:v>
      </x:c>
      <x:c r="E422" s="24" t="str">
        <x:v>AC-S8-08</x:v>
      </x:c>
      <x:c r="F422" s="24" t="str"/>
      <x:c r="G422" s="24" t="str">
        <x:v>Acceptance / Historical</x:v>
      </x:c>
      <x:c r="H422" s="24" t="str">
        <x:v>Baseline histórica</x:v>
      </x:c>
      <x:c r="I422" s="24" t="str">
        <x:v>Baseline PASS</x:v>
      </x:c>
      <x:c r="J422" s="24" t="str"/>
      <x:c r="K422" s="24" t="str">
        <x:v>EditMode</x:v>
      </x:c>
      <x:c r="L422" s="24" t="str">
        <x:v>VRM Games</x:v>
      </x:c>
      <x:c r="M422" s="24"/>
      <x:c r="N422" s="24" t="str">
        <x:v>Visible units are capped — Documentation/10_Development_Records/Sprint_08/QA/S8_Acceptance_Matrix.md</x:v>
      </x:c>
    </x:row>
    <x:row r="423">
      <x:c r="A423" s="24" t="str">
        <x:v>HIST-AC-08-0166</x:v>
      </x:c>
      <x:c r="B423" s="34"/>
      <x:c r="C423" s="24" t="str"/>
      <x:c r="D423" s="24" t="str">
        <x:v>Sprint 8 Acceptance</x:v>
      </x:c>
      <x:c r="E423" s="24" t="str">
        <x:v>AC-S8-09</x:v>
      </x:c>
      <x:c r="F423" s="24" t="str"/>
      <x:c r="G423" s="24" t="str">
        <x:v>Acceptance / Historical</x:v>
      </x:c>
      <x:c r="H423" s="24" t="str">
        <x:v>Baseline histórica</x:v>
      </x:c>
      <x:c r="I423" s="24" t="str">
        <x:v>Baseline PASS</x:v>
      </x:c>
      <x:c r="J423" s="24" t="str"/>
      <x:c r="K423" s="24" t="str">
        <x:v>EditMode</x:v>
      </x:c>
      <x:c r="L423" s="24" t="str">
        <x:v>VRM Games</x:v>
      </x:c>
      <x:c r="M423" s="24"/>
      <x:c r="N423" s="24" t="str">
        <x:v>Instance registry rejects duplicates — Documentation/10_Development_Records/Sprint_08/QA/S8_Acceptance_Matrix.md</x:v>
      </x:c>
    </x:row>
    <x:row r="424">
      <x:c r="A424" s="24" t="str">
        <x:v>HIST-AC-08-0167</x:v>
      </x:c>
      <x:c r="B424" s="34"/>
      <x:c r="C424" s="24" t="str"/>
      <x:c r="D424" s="24" t="str">
        <x:v>Sprint 8 Acceptance</x:v>
      </x:c>
      <x:c r="E424" s="24" t="str">
        <x:v>AC-S8-10</x:v>
      </x:c>
      <x:c r="F424" s="24" t="str"/>
      <x:c r="G424" s="24" t="str">
        <x:v>Acceptance / Historical</x:v>
      </x:c>
      <x:c r="H424" s="24" t="str">
        <x:v>Baseline histórica</x:v>
      </x:c>
      <x:c r="I424" s="24" t="str">
        <x:v>Baseline PASS</x:v>
      </x:c>
      <x:c r="J424" s="24" t="str"/>
      <x:c r="K424" s="24" t="str">
        <x:v>EditMode</x:v>
      </x:c>
      <x:c r="L424" s="24" t="str">
        <x:v>VRM Games</x:v>
      </x:c>
      <x:c r="M424" s="24"/>
      <x:c r="N424" s="24" t="str">
        <x:v>Restock transfers exact units — Documentation/10_Development_Records/Sprint_08/QA/S8_Acceptance_Matrix.md</x:v>
      </x:c>
    </x:row>
    <x:row r="425">
      <x:c r="A425" s="24" t="str">
        <x:v>HIST-AC-08-0168</x:v>
      </x:c>
      <x:c r="B425" s="34"/>
      <x:c r="C425" s="24" t="str"/>
      <x:c r="D425" s="24" t="str">
        <x:v>Sprint 8 Acceptance</x:v>
      </x:c>
      <x:c r="E425" s="24" t="str">
        <x:v>AC-S8-11</x:v>
      </x:c>
      <x:c r="F425" s="24" t="str"/>
      <x:c r="G425" s="24" t="str">
        <x:v>Acceptance / Historical</x:v>
      </x:c>
      <x:c r="H425" s="24" t="str">
        <x:v>Baseline histórica</x:v>
      </x:c>
      <x:c r="I425" s="24" t="str">
        <x:v>Baseline PASS</x:v>
      </x:c>
      <x:c r="J425" s="24" t="str"/>
      <x:c r="K425" s="24" t="str">
        <x:v>EditMode</x:v>
      </x:c>
      <x:c r="L425" s="24" t="str">
        <x:v>VRM Games</x:v>
      </x:c>
      <x:c r="M425" s="24"/>
      <x:c r="N425" s="24" t="str">
        <x:v>Restock failures are non-mutating — Documentation/10_Development_Records/Sprint_08/QA/S8_Acceptance_Matrix.md</x:v>
      </x:c>
    </x:row>
    <x:row r="426">
      <x:c r="A426" s="24" t="str">
        <x:v>HIST-AC-08-0169</x:v>
      </x:c>
      <x:c r="B426" s="34"/>
      <x:c r="C426" s="24" t="str"/>
      <x:c r="D426" s="24" t="str">
        <x:v>Sprint 8 Acceptance</x:v>
      </x:c>
      <x:c r="E426" s="24" t="str">
        <x:v>AC-S8-12</x:v>
      </x:c>
      <x:c r="F426" s="24" t="str"/>
      <x:c r="G426" s="24" t="str">
        <x:v>Acceptance / Historical</x:v>
      </x:c>
      <x:c r="H426" s="24" t="str">
        <x:v>Baseline histórica</x:v>
      </x:c>
      <x:c r="I426" s="24" t="str">
        <x:v>Baseline PASS</x:v>
      </x:c>
      <x:c r="J426" s="24" t="str"/>
      <x:c r="K426" s="24" t="str">
        <x:v>EditMode</x:v>
      </x:c>
      <x:c r="L426" s="24" t="str">
        <x:v>VRM Games</x:v>
      </x:c>
      <x:c r="M426" s="24"/>
      <x:c r="N426" s="24" t="str">
        <x:v>Restock-to-capacity selects valid maximum — Documentation/10_Development_Records/Sprint_08/QA/S8_Acceptance_Matrix.md</x:v>
      </x:c>
    </x:row>
    <x:row r="427">
      <x:c r="A427" s="24" t="str">
        <x:v>HIST-AC-08-0170</x:v>
      </x:c>
      <x:c r="B427" s="34"/>
      <x:c r="C427" s="24" t="str"/>
      <x:c r="D427" s="24" t="str">
        <x:v>Sprint 8 Acceptance</x:v>
      </x:c>
      <x:c r="E427" s="24" t="str">
        <x:v>AC-S8-13</x:v>
      </x:c>
      <x:c r="F427" s="24" t="str"/>
      <x:c r="G427" s="24" t="str">
        <x:v>Acceptance / Historical</x:v>
      </x:c>
      <x:c r="H427" s="24" t="str">
        <x:v>Baseline histórica</x:v>
      </x:c>
      <x:c r="I427" s="24" t="str">
        <x:v>Baseline PASS</x:v>
      </x:c>
      <x:c r="J427" s="24" t="str"/>
      <x:c r="K427" s="24" t="str">
        <x:v>EditMode</x:v>
      </x:c>
      <x:c r="L427" s="24" t="str">
        <x:v>VRM Games</x:v>
      </x:c>
      <x:c r="M427" s="24"/>
      <x:c r="N427" s="24" t="str">
        <x:v>Only Storage/Transit source restock — Documentation/10_Development_Records/Sprint_08/QA/S8_Acceptance_Matrix.md</x:v>
      </x:c>
    </x:row>
    <x:row r="428">
      <x:c r="A428" s="24" t="str">
        <x:v>HIST-AC-08-0171</x:v>
      </x:c>
      <x:c r="B428" s="34"/>
      <x:c r="C428" s="24" t="str"/>
      <x:c r="D428" s="24" t="str">
        <x:v>Sprint 8 Acceptance</x:v>
      </x:c>
      <x:c r="E428" s="24" t="str">
        <x:v>AC-S8-14</x:v>
      </x:c>
      <x:c r="F428" s="24" t="str"/>
      <x:c r="G428" s="24" t="str">
        <x:v>Acceptance / Historical</x:v>
      </x:c>
      <x:c r="H428" s="24" t="str">
        <x:v>Baseline histórica</x:v>
      </x:c>
      <x:c r="I428" s="24" t="str">
        <x:v>Baseline PASS</x:v>
      </x:c>
      <x:c r="J428" s="24" t="str"/>
      <x:c r="K428" s="24" t="str">
        <x:v>EditMode</x:v>
      </x:c>
      <x:c r="L428" s="24" t="str">
        <x:v>VRM Games</x:v>
      </x:c>
      <x:c r="M428" s="24"/>
      <x:c r="N428" s="24" t="str">
        <x:v>Return stock is atomic — Documentation/10_Development_Records/Sprint_08/QA/S8_Acceptance_Matrix.md</x:v>
      </x:c>
    </x:row>
    <x:row r="429">
      <x:c r="A429" s="24" t="str">
        <x:v>HIST-AC-08-0172</x:v>
      </x:c>
      <x:c r="B429" s="34"/>
      <x:c r="C429" s="24" t="str"/>
      <x:c r="D429" s="24" t="str">
        <x:v>Sprint 8 Acceptance</x:v>
      </x:c>
      <x:c r="E429" s="24" t="str">
        <x:v>AC-S8-15</x:v>
      </x:c>
      <x:c r="F429" s="24" t="str"/>
      <x:c r="G429" s="24" t="str">
        <x:v>Acceptance / Historical</x:v>
      </x:c>
      <x:c r="H429" s="24" t="str">
        <x:v>Baseline histórica</x:v>
      </x:c>
      <x:c r="I429" s="24" t="str">
        <x:v>Baseline PASS</x:v>
      </x:c>
      <x:c r="J429" s="24" t="str"/>
      <x:c r="K429" s="24" t="str">
        <x:v>EditMode</x:v>
      </x:c>
      <x:c r="L429" s="24" t="str">
        <x:v>VRM Games</x:v>
      </x:c>
      <x:c r="M429" s="24"/>
      <x:c r="N429" s="24" t="str">
        <x:v>Return-all clears assignment after emptying — Documentation/10_Development_Records/Sprint_08/QA/S8_Acceptance_Matrix.md</x:v>
      </x:c>
    </x:row>
    <x:row r="430">
      <x:c r="A430" s="24" t="str">
        <x:v>HIST-AC-08-0173</x:v>
      </x:c>
      <x:c r="B430" s="34"/>
      <x:c r="C430" s="24" t="str"/>
      <x:c r="D430" s="24" t="str">
        <x:v>Sprint 8 Acceptance</x:v>
      </x:c>
      <x:c r="E430" s="24" t="str">
        <x:v>AC-S8-16</x:v>
      </x:c>
      <x:c r="F430" s="24" t="str"/>
      <x:c r="G430" s="24" t="str">
        <x:v>Acceptance / Historical</x:v>
      </x:c>
      <x:c r="H430" s="24" t="str">
        <x:v>Baseline histórica</x:v>
      </x:c>
      <x:c r="I430" s="24" t="str">
        <x:v>Baseline PASS</x:v>
      </x:c>
      <x:c r="J430" s="24" t="str"/>
      <x:c r="K430" s="24" t="str">
        <x:v>EditMode</x:v>
      </x:c>
      <x:c r="L430" s="24" t="str">
        <x:v>VRM Games</x:v>
      </x:c>
      <x:c r="M430" s="24"/>
      <x:c r="N430" s="24" t="str">
        <x:v>RestockTask lifecycle works — Documentation/10_Development_Records/Sprint_08/QA/S8_Acceptance_Matrix.md</x:v>
      </x:c>
    </x:row>
    <x:row r="431">
      <x:c r="A431" s="24" t="str">
        <x:v>HIST-AC-08-0174</x:v>
      </x:c>
      <x:c r="B431" s="34"/>
      <x:c r="C431" s="24" t="str"/>
      <x:c r="D431" s="24" t="str">
        <x:v>Sprint 8 Acceptance</x:v>
      </x:c>
      <x:c r="E431" s="24" t="str">
        <x:v>AC-S8-17</x:v>
      </x:c>
      <x:c r="F431" s="24" t="str"/>
      <x:c r="G431" s="24" t="str">
        <x:v>Acceptance / Historical</x:v>
      </x:c>
      <x:c r="H431" s="24" t="str">
        <x:v>Baseline histórica</x:v>
      </x:c>
      <x:c r="I431" s="24" t="str">
        <x:v>Baseline PASS</x:v>
      </x:c>
      <x:c r="J431" s="24" t="str"/>
      <x:c r="K431" s="24" t="str">
        <x:v>EditMode/manual</x:v>
      </x:c>
      <x:c r="L431" s="24" t="str">
        <x:v>VRM Games</x:v>
      </x:c>
      <x:c r="M431" s="24"/>
      <x:c r="N431" s="24" t="str">
        <x:v>Definition assets map to domain — Documentation/10_Development_Records/Sprint_08/QA/S8_Acceptance_Matrix.md</x:v>
      </x:c>
    </x:row>
    <x:row r="432">
      <x:c r="A432" s="24" t="str">
        <x:v>HIST-AC-08-0175</x:v>
      </x:c>
      <x:c r="B432" s="34"/>
      <x:c r="C432" s="24" t="str"/>
      <x:c r="D432" s="24" t="str">
        <x:v>Sprint 8 Acceptance</x:v>
      </x:c>
      <x:c r="E432" s="24" t="str">
        <x:v>AC-S8-18</x:v>
      </x:c>
      <x:c r="F432" s="24" t="str"/>
      <x:c r="G432" s="24" t="str">
        <x:v>Acceptance / Historical</x:v>
      </x:c>
      <x:c r="H432" s="24" t="str">
        <x:v>Baseline histórica</x:v>
      </x:c>
      <x:c r="I432" s="24" t="str">
        <x:v>Baseline PASS</x:v>
      </x:c>
      <x:c r="J432" s="24" t="str"/>
      <x:c r="K432" s="24" t="str">
        <x:v>EditMode/manual</x:v>
      </x:c>
      <x:c r="L432" s="24" t="str">
        <x:v>VRM Games</x:v>
      </x:c>
      <x:c r="M432" s="24"/>
      <x:c r="N432" s="24" t="str">
        <x:v>Catalog builds unique registry — Documentation/10_Development_Records/Sprint_08/QA/S8_Acceptance_Matrix.md</x:v>
      </x:c>
    </x:row>
    <x:row r="433">
      <x:c r="A433" s="24" t="str">
        <x:v>HIST-AC-08-0176</x:v>
      </x:c>
      <x:c r="B433" s="34"/>
      <x:c r="C433" s="24" t="str"/>
      <x:c r="D433" s="24" t="str">
        <x:v>Sprint 8 Acceptance</x:v>
      </x:c>
      <x:c r="E433" s="24" t="str">
        <x:v>AC-S8-19</x:v>
      </x:c>
      <x:c r="F433" s="24" t="str"/>
      <x:c r="G433" s="24" t="str">
        <x:v>Acceptance / Historical</x:v>
      </x:c>
      <x:c r="H433" s="24" t="str">
        <x:v>Baseline histórica</x:v>
      </x:c>
      <x:c r="I433" s="24" t="str">
        <x:v>Baseline PASS</x:v>
      </x:c>
      <x:c r="J433" s="24" t="str"/>
      <x:c r="K433" s="24" t="str">
        <x:v>EditMode/manual</x:v>
      </x:c>
      <x:c r="L433" s="24" t="str">
        <x:v>VRM Games</x:v>
      </x:c>
      <x:c r="M433" s="24"/>
      <x:c r="N433" s="24" t="str">
        <x:v>Runtime authoring builds domain instance — Documentation/10_Development_Records/Sprint_08/QA/S8_Acceptance_Matrix.md</x:v>
      </x:c>
    </x:row>
    <x:row r="434">
      <x:c r="A434" s="24" t="str">
        <x:v>HIST-AC-08-0177</x:v>
      </x:c>
      <x:c r="B434" s="34"/>
      <x:c r="C434" s="24" t="str"/>
      <x:c r="D434" s="24" t="str">
        <x:v>Sprint 8 Acceptance</x:v>
      </x:c>
      <x:c r="E434" s="24" t="str">
        <x:v>AC-S8-20</x:v>
      </x:c>
      <x:c r="F434" s="24" t="str"/>
      <x:c r="G434" s="24" t="str">
        <x:v>Acceptance / Historical</x:v>
      </x:c>
      <x:c r="H434" s="24" t="str">
        <x:v>Baseline histórica</x:v>
      </x:c>
      <x:c r="I434" s="24" t="str">
        <x:v>Baseline PASS</x:v>
      </x:c>
      <x:c r="J434" s="24" t="str"/>
      <x:c r="K434" s="24" t="str">
        <x:v>EditMode/manual</x:v>
      </x:c>
      <x:c r="L434" s="24" t="str">
        <x:v>VRM Games</x:v>
      </x:c>
      <x:c r="M434" s="24"/>
      <x:c r="N434" s="24" t="str">
        <x:v>No per-unit GameObjects are created — Documentation/10_Development_Records/Sprint_08/QA/S8_Acceptance_Matrix.md</x:v>
      </x:c>
    </x:row>
    <x:row r="435">
      <x:c r="A435" s="24" t="str">
        <x:v>HIST-AC-08-0178</x:v>
      </x:c>
      <x:c r="B435" s="34"/>
      <x:c r="C435" s="24" t="str"/>
      <x:c r="D435" s="24" t="str">
        <x:v>Sprint 8 Acceptance</x:v>
      </x:c>
      <x:c r="E435" s="24" t="str">
        <x:v>AC-S8-21</x:v>
      </x:c>
      <x:c r="F435" s="24" t="str"/>
      <x:c r="G435" s="24" t="str">
        <x:v>Acceptance / Historical</x:v>
      </x:c>
      <x:c r="H435" s="24" t="str">
        <x:v>Baseline histórica</x:v>
      </x:c>
      <x:c r="I435" s="24" t="str">
        <x:v>Baseline PASS</x:v>
      </x:c>
      <x:c r="J435" s="24" t="str"/>
      <x:c r="K435" s="24" t="str">
        <x:v>Manual</x:v>
      </x:c>
      <x:c r="L435" s="24" t="str">
        <x:v>VRM Games</x:v>
      </x:c>
      <x:c r="M435" s="24"/>
      <x:c r="N435" s="24" t="str">
        <x:v>Technical catalog contains three definitions — Documentation/10_Development_Records/Sprint_08/QA/S8_Acceptance_Matrix.md</x:v>
      </x:c>
    </x:row>
    <x:row r="436">
      <x:c r="A436" s="24" t="str">
        <x:v>HIST-AC-08-0179</x:v>
      </x:c>
      <x:c r="B436" s="34"/>
      <x:c r="C436" s="24" t="str"/>
      <x:c r="D436" s="24" t="str">
        <x:v>Sprint 8 Acceptance</x:v>
      </x:c>
      <x:c r="E436" s="24" t="str">
        <x:v>AC-S8-22</x:v>
      </x:c>
      <x:c r="F436" s="24" t="str"/>
      <x:c r="G436" s="24" t="str">
        <x:v>Acceptance / Historical</x:v>
      </x:c>
      <x:c r="H436" s="24" t="str">
        <x:v>Baseline histórica</x:v>
      </x:c>
      <x:c r="I436" s="24" t="str">
        <x:v>Baseline PASS</x:v>
      </x:c>
      <x:c r="J436" s="24" t="str"/>
      <x:c r="K436" s="24" t="str">
        <x:v>Manual</x:v>
      </x:c>
      <x:c r="L436" s="24" t="str">
        <x:v>VRM Games</x:v>
      </x:c>
      <x:c r="M436" s="24"/>
      <x:c r="N436" s="24" t="str">
        <x:v>Existing placement and access still work — Documentation/10_Development_Records/Sprint_08/QA/S8_Acceptance_Matrix.md</x:v>
      </x:c>
    </x:row>
    <x:row r="437">
      <x:c r="A437" s="24" t="str">
        <x:v>HIST-AC-08-0180</x:v>
      </x:c>
      <x:c r="B437" s="34"/>
      <x:c r="C437" s="24" t="str"/>
      <x:c r="D437" s="24" t="str">
        <x:v>Sprint 8 Acceptance</x:v>
      </x:c>
      <x:c r="E437" s="24" t="str">
        <x:v>AC-S8-23</x:v>
      </x:c>
      <x:c r="F437" s="24" t="str"/>
      <x:c r="G437" s="24" t="str">
        <x:v>Acceptance / Historical</x:v>
      </x:c>
      <x:c r="H437" s="24" t="str">
        <x:v>Baseline histórica</x:v>
      </x:c>
      <x:c r="I437" s="24" t="str">
        <x:v>Baseline PASS</x:v>
      </x:c>
      <x:c r="J437" s="24" t="str"/>
      <x:c r="K437" s="24" t="str">
        <x:v>`374/374` Test Runner</x:v>
      </x:c>
      <x:c r="L437" s="24" t="str">
        <x:v>VRM Games</x:v>
      </x:c>
      <x:c r="M437" s="24"/>
      <x:c r="N437" s="24" t="str">
        <x:v>Full automation passes — Documentation/10_Development_Records/Sprint_08/QA/S8_Acceptance_Matrix.md</x:v>
      </x:c>
    </x:row>
    <x:row r="438">
      <x:c r="A438" s="24" t="str">
        <x:v>HIST-AC-08-0181</x:v>
      </x:c>
      <x:c r="B438" s="34"/>
      <x:c r="C438" s="24" t="str"/>
      <x:c r="D438" s="24" t="str">
        <x:v>Sprint 8 Acceptance</x:v>
      </x:c>
      <x:c r="E438" s="24" t="str">
        <x:v>AC-S8-24</x:v>
      </x:c>
      <x:c r="F438" s="24" t="str"/>
      <x:c r="G438" s="24" t="str">
        <x:v>Acceptance / Historical</x:v>
      </x:c>
      <x:c r="H438" s="24" t="str">
        <x:v>Baseline histórica</x:v>
      </x:c>
      <x:c r="I438" s="24" t="str">
        <x:v>Baseline PASS</x:v>
      </x:c>
      <x:c r="J438" s="24" t="str"/>
      <x:c r="K438" s="24" t="str">
        <x:v>Build/manual</x:v>
      </x:c>
      <x:c r="L438" s="24" t="str">
        <x:v>VRM Games</x:v>
      </x:c>
      <x:c r="M438" s="24"/>
      <x:c r="N438" s="24" t="str">
        <x:v>Windows build and external run pass — Documentation/10_Development_Records/Sprint_08/QA/S8_Acceptance_Matrix.md</x:v>
      </x:c>
    </x:row>
    <x:row r="439">
      <x:c r="A439" s="24" t="str">
        <x:v>HIST-AC-09-0182</x:v>
      </x:c>
      <x:c r="B439" s="34"/>
      <x:c r="C439" s="24" t="str"/>
      <x:c r="D439" s="24" t="str">
        <x:v>Sprint 9 Acceptance</x:v>
      </x:c>
      <x:c r="E439" s="24" t="str">
        <x:v>S9-AC-01</x:v>
      </x:c>
      <x:c r="F439" s="24" t="str"/>
      <x:c r="G439" s="24" t="str">
        <x:v>Acceptance / Historical</x:v>
      </x:c>
      <x:c r="H439" s="24" t="str">
        <x:v>Baseline histórica</x:v>
      </x:c>
      <x:c r="I439" s="24" t="str">
        <x:v>Baseline PASS</x:v>
      </x:c>
      <x:c r="J439" s="24" t="str"/>
      <x:c r="K439" s="24" t="str">
        <x:v>Assets, catálogo y tests</x:v>
      </x:c>
      <x:c r="L439" s="24" t="str">
        <x:v>VRM Games</x:v>
      </x:c>
      <x:c r="M439" s="24"/>
      <x:c r="N439" s="24" t="str">
        <x:v>Perfiles autorables y registro determinista — Documentation/10_Development_Records/Sprint_09/QA/S9_Acceptance_Matrix.md</x:v>
      </x:c>
    </x:row>
    <x:row r="440">
      <x:c r="A440" s="24" t="str">
        <x:v>HIST-AC-09-0183</x:v>
      </x:c>
      <x:c r="B440" s="34"/>
      <x:c r="C440" s="24" t="str"/>
      <x:c r="D440" s="24" t="str">
        <x:v>Sprint 9 Acceptance</x:v>
      </x:c>
      <x:c r="E440" s="24" t="str">
        <x:v>S9-AC-02</x:v>
      </x:c>
      <x:c r="F440" s="24" t="str"/>
      <x:c r="G440" s="24" t="str">
        <x:v>Acceptance / Historical</x:v>
      </x:c>
      <x:c r="H440" s="24" t="str">
        <x:v>Baseline histórica</x:v>
      </x:c>
      <x:c r="I440" s="24" t="str">
        <x:v>Baseline PASS</x:v>
      </x:c>
      <x:c r="J440" s="24" t="str"/>
      <x:c r="K440" s="24" t="str">
        <x:v>Tests Customers</x:v>
      </x:c>
      <x:c r="L440" s="24" t="str">
        <x:v>VRM Games</x:v>
      </x:c>
      <x:c r="M440" s="24"/>
      <x:c r="N440" s="24" t="str">
        <x:v>Selección ponderada reproducible — Documentation/10_Development_Records/Sprint_09/QA/S9_Acceptance_Matrix.md</x:v>
      </x:c>
    </x:row>
    <x:row r="441">
      <x:c r="A441" s="24" t="str">
        <x:v>HIST-AC-09-0184</x:v>
      </x:c>
      <x:c r="B441" s="34"/>
      <x:c r="C441" s="24" t="str"/>
      <x:c r="D441" s="24" t="str">
        <x:v>Sprint 9 Acceptance</x:v>
      </x:c>
      <x:c r="E441" s="24" t="str">
        <x:v>S9-AC-03</x:v>
      </x:c>
      <x:c r="F441" s="24" t="str"/>
      <x:c r="G441" s="24" t="str">
        <x:v>Acceptance / Historical</x:v>
      </x:c>
      <x:c r="H441" s="24" t="str">
        <x:v>Baseline histórica</x:v>
      </x:c>
      <x:c r="I441" s="24" t="str">
        <x:v>Baseline PASS</x:v>
      </x:c>
      <x:c r="J441" s="24" t="str"/>
      <x:c r="K441" s="24" t="str">
        <x:v>Tests Customers</x:v>
      </x:c>
      <x:c r="L441" s="24" t="str">
        <x:v>VRM Games</x:v>
      </x:c>
      <x:c r="M441" s="24"/>
      <x:c r="N441" s="24" t="str">
        <x:v>Cola FIFO sin duplicados — Documentation/10_Development_Records/Sprint_09/QA/S9_Acceptance_Matrix.md</x:v>
      </x:c>
    </x:row>
    <x:row r="442">
      <x:c r="A442" s="24" t="str">
        <x:v>HIST-AC-09-0185</x:v>
      </x:c>
      <x:c r="B442" s="34"/>
      <x:c r="C442" s="24" t="str"/>
      <x:c r="D442" s="24" t="str">
        <x:v>Sprint 9 Acceptance</x:v>
      </x:c>
      <x:c r="E442" s="24" t="str">
        <x:v>S9-AC-04</x:v>
      </x:c>
      <x:c r="F442" s="24" t="str"/>
      <x:c r="G442" s="24" t="str">
        <x:v>Acceptance / Historical</x:v>
      </x:c>
      <x:c r="H442" s="24" t="str">
        <x:v>Baseline histórica</x:v>
      </x:c>
      <x:c r="I442" s="24" t="str">
        <x:v>Baseline PASS</x:v>
      </x:c>
      <x:c r="J442" s="24" t="str"/>
      <x:c r="K442" s="24" t="str">
        <x:v>Tests y validación manual</x:v>
      </x:c>
      <x:c r="L442" s="24" t="str">
        <x:v>VRM Games</x:v>
      </x:c>
      <x:c r="M442" s="24"/>
      <x:c r="N442" s="24" t="str">
        <x:v>Cap de población preserva solicitudes — Documentation/10_Development_Records/Sprint_09/QA/S9_Acceptance_Matrix.md</x:v>
      </x:c>
    </x:row>
    <x:row r="443">
      <x:c r="A443" s="24" t="str">
        <x:v>HIST-AC-09-0186</x:v>
      </x:c>
      <x:c r="B443" s="34"/>
      <x:c r="C443" s="24" t="str"/>
      <x:c r="D443" s="24" t="str">
        <x:v>Sprint 9 Acceptance</x:v>
      </x:c>
      <x:c r="E443" s="24" t="str">
        <x:v>S9-AC-05</x:v>
      </x:c>
      <x:c r="F443" s="24" t="str"/>
      <x:c r="G443" s="24" t="str">
        <x:v>Acceptance / Historical</x:v>
      </x:c>
      <x:c r="H443" s="24" t="str">
        <x:v>Baseline histórica</x:v>
      </x:c>
      <x:c r="I443" s="24" t="str">
        <x:v>Baseline PASS</x:v>
      </x:c>
      <x:c r="J443" s="24" t="str"/>
      <x:c r="K443" s="24" t="str">
        <x:v>Tests y runtime técnico</x:v>
      </x:c>
      <x:c r="L443" s="24" t="str">
        <x:v>VRM Games</x:v>
      </x:c>
      <x:c r="M443" s="24"/>
      <x:c r="N443" s="24" t="str">
        <x:v>Ciclo Entry/Browse/Exit y paciencia — Documentation/10_Development_Records/Sprint_09/QA/S9_Acceptance_Matrix.md</x:v>
      </x:c>
    </x:row>
    <x:row r="444">
      <x:c r="A444" s="24" t="str">
        <x:v>HIST-AC-09-0187</x:v>
      </x:c>
      <x:c r="B444" s="34"/>
      <x:c r="C444" s="24" t="str"/>
      <x:c r="D444" s="24" t="str">
        <x:v>Sprint 9 Acceptance</x:v>
      </x:c>
      <x:c r="E444" s="24" t="str">
        <x:v>S9-AC-06</x:v>
      </x:c>
      <x:c r="F444" s="24" t="str"/>
      <x:c r="G444" s="24" t="str">
        <x:v>Acceptance / Historical</x:v>
      </x:c>
      <x:c r="H444" s="24" t="str">
        <x:v>Baseline histórica</x:v>
      </x:c>
      <x:c r="I444" s="24" t="str">
        <x:v>Baseline PASS</x:v>
      </x:c>
      <x:c r="J444" s="24" t="str"/>
      <x:c r="K444" s="24" t="str">
        <x:v>TestLab/Store manual</x:v>
      </x:c>
      <x:c r="L444" s="24" t="str">
        <x:v>VRM Games</x:v>
      </x:c>
      <x:c r="M444" s="24"/>
      <x:c r="N444" s="24" t="str">
        <x:v>Runtime técnico observable — Documentation/10_Development_Records/Sprint_09/QA/S9_Acceptance_Matrix.md</x:v>
      </x:c>
    </x:row>
    <x:row r="445">
      <x:c r="A445" s="24" t="str">
        <x:v>HIST-AC-09-0188</x:v>
      </x:c>
      <x:c r="B445" s="34"/>
      <x:c r="C445" s="24" t="str"/>
      <x:c r="D445" s="24" t="str">
        <x:v>Sprint 9 Acceptance</x:v>
      </x:c>
      <x:c r="E445" s="24" t="str">
        <x:v>S9-AC-07</x:v>
      </x:c>
      <x:c r="F445" s="24" t="str"/>
      <x:c r="G445" s="24" t="str">
        <x:v>Acceptance / Historical</x:v>
      </x:c>
      <x:c r="H445" s="24" t="str">
        <x:v>Baseline histórica</x:v>
      </x:c>
      <x:c r="I445" s="24" t="str">
        <x:v>Baseline PASS</x:v>
      </x:c>
      <x:c r="J445" s="24" t="str"/>
      <x:c r="K445" s="24" t="str">
        <x:v>`470/470 PASS`</x:v>
      </x:c>
      <x:c r="L445" s="24" t="str">
        <x:v>VRM Games</x:v>
      </x:c>
      <x:c r="M445" s="24"/>
      <x:c r="N445" s="24" t="str">
        <x:v>Suite completa verde — Documentation/10_Development_Records/Sprint_09/QA/S9_Acceptance_Matrix.md</x:v>
      </x:c>
    </x:row>
    <x:row r="446">
      <x:c r="A446" s="24" t="str">
        <x:v>HIST-AC-09-0189</x:v>
      </x:c>
      <x:c r="B446" s="34"/>
      <x:c r="C446" s="24" t="str"/>
      <x:c r="D446" s="24" t="str">
        <x:v>Sprint 9 Acceptance</x:v>
      </x:c>
      <x:c r="E446" s="24" t="str">
        <x:v>S9-AC-08</x:v>
      </x:c>
      <x:c r="F446" s="24" t="str"/>
      <x:c r="G446" s="24" t="str">
        <x:v>Acceptance / Historical</x:v>
      </x:c>
      <x:c r="H446" s="24" t="str">
        <x:v>Baseline histórica</x:v>
      </x:c>
      <x:c r="I446" s="24" t="str">
        <x:v>Baseline PASS</x:v>
      </x:c>
      <x:c r="J446" s="24" t="str"/>
      <x:c r="K446" s="24" t="str">
        <x:v>Windows x64 Development</x:v>
      </x:c>
      <x:c r="L446" s="24" t="str">
        <x:v>VRM Games</x:v>
      </x:c>
      <x:c r="M446" s="24"/>
      <x:c r="N446" s="24" t="str">
        <x:v>Build y ejecución externa — Documentation/10_Development_Records/Sprint_09/QA/S9_Acceptance_Matrix.md</x:v>
      </x:c>
    </x:row>
    <x:row r="447">
      <x:c r="A447" s="24" t="str">
        <x:v>HIST-AC-10-0190</x:v>
      </x:c>
      <x:c r="B447" s="34"/>
      <x:c r="C447" s="24" t="str"/>
      <x:c r="D447" s="24" t="str">
        <x:v>Sprint 10 Acceptance</x:v>
      </x:c>
      <x:c r="E447" s="24" t="str">
        <x:v>S10-AC-01</x:v>
      </x:c>
      <x:c r="F447" s="24" t="str"/>
      <x:c r="G447" s="24" t="str">
        <x:v>Acceptance / Historical</x:v>
      </x:c>
      <x:c r="H447" s="24" t="str">
        <x:v>Baseline histórica</x:v>
      </x:c>
      <x:c r="I447" s="24" t="str">
        <x:v>Baseline PASS</x:v>
      </x:c>
      <x:c r="J447" s="24" t="str"/>
      <x:c r="K447" s="24" t="str">
        <x:v>Tests Shopping</x:v>
      </x:c>
      <x:c r="L447" s="24" t="str">
        <x:v>VRM Games</x:v>
      </x:c>
      <x:c r="M447" s="24"/>
      <x:c r="N447" s="24" t="str">
        <x:v>Búsqueda determinista — Documentation/10_Development_Records/Sprint_10/QA/S10_Acceptance_Matrix.md</x:v>
      </x:c>
    </x:row>
    <x:row r="448">
      <x:c r="A448" s="24" t="str">
        <x:v>HIST-AC-10-0191</x:v>
      </x:c>
      <x:c r="B448" s="34"/>
      <x:c r="C448" s="24" t="str"/>
      <x:c r="D448" s="24" t="str">
        <x:v>Sprint 10 Acceptance</x:v>
      </x:c>
      <x:c r="E448" s="24" t="str">
        <x:v>S10-AC-02</x:v>
      </x:c>
      <x:c r="F448" s="24" t="str"/>
      <x:c r="G448" s="24" t="str">
        <x:v>Acceptance / Historical</x:v>
      </x:c>
      <x:c r="H448" s="24" t="str">
        <x:v>Baseline histórica</x:v>
      </x:c>
      <x:c r="I448" s="24" t="str">
        <x:v>Baseline PASS</x:v>
      </x:c>
      <x:c r="J448" s="24" t="str"/>
      <x:c r="K448" s="24" t="str">
        <x:v>Tests de reservation</x:v>
      </x:c>
      <x:c r="L448" s="24" t="str">
        <x:v>VRM Games</x:v>
      </x:c>
      <x:c r="M448" s="24"/>
      <x:c r="N448" s="24" t="str">
        <x:v>Reserva evita sobreventa — Documentation/10_Development_Records/Sprint_10/QA/S10_Acceptance_Matrix.md</x:v>
      </x:c>
    </x:row>
    <x:row r="449">
      <x:c r="A449" s="24" t="str">
        <x:v>HIST-AC-10-0192</x:v>
      </x:c>
      <x:c r="B449" s="34"/>
      <x:c r="C449" s="24" t="str"/>
      <x:c r="D449" s="24" t="str">
        <x:v>Sprint 10 Acceptance</x:v>
      </x:c>
      <x:c r="E449" s="24" t="str">
        <x:v>S10-AC-03</x:v>
      </x:c>
      <x:c r="F449" s="24" t="str"/>
      <x:c r="G449" s="24" t="str">
        <x:v>Acceptance / Historical</x:v>
      </x:c>
      <x:c r="H449" s="24" t="str">
        <x:v>Baseline histórica</x:v>
      </x:c>
      <x:c r="I449" s="24" t="str">
        <x:v>Baseline PASS</x:v>
      </x:c>
      <x:c r="J449" s="24" t="str"/>
      <x:c r="K449" s="24" t="str">
        <x:v>Tests cart/consistency</x:v>
      </x:c>
      <x:c r="L449" s="24" t="str">
        <x:v>VRM Games</x:v>
      </x:c>
      <x:c r="M449" s="24"/>
      <x:c r="N449" s="24" t="str">
        <x:v>Carrito respaldado por reservas — Documentation/10_Development_Records/Sprint_10/QA/S10_Acceptance_Matrix.md</x:v>
      </x:c>
    </x:row>
    <x:row r="450">
      <x:c r="A450" s="24" t="str">
        <x:v>HIST-AC-10-0193</x:v>
      </x:c>
      <x:c r="B450" s="34"/>
      <x:c r="C450" s="24" t="str"/>
      <x:c r="D450" s="24" t="str">
        <x:v>Sprint 10 Acceptance</x:v>
      </x:c>
      <x:c r="E450" s="24" t="str">
        <x:v>S10-AC-04</x:v>
      </x:c>
      <x:c r="F450" s="24" t="str"/>
      <x:c r="G450" s="24" t="str">
        <x:v>Acceptance / Historical</x:v>
      </x:c>
      <x:c r="H450" s="24" t="str">
        <x:v>Baseline histórica</x:v>
      </x:c>
      <x:c r="I450" s="24" t="str">
        <x:v>Baseline PASS</x:v>
      </x:c>
      <x:c r="J450" s="24" t="str"/>
      <x:c r="K450" s="24" t="str">
        <x:v>Tests y escenario técnico</x:v>
      </x:c>
      <x:c r="L450" s="24" t="str">
        <x:v>VRM Games</x:v>
      </x:c>
      <x:c r="M450" s="24"/>
      <x:c r="N450" s="24" t="str">
        <x:v>Abandono restaura disponibilidad — Documentation/10_Development_Records/Sprint_10/QA/S10_Acceptance_Matrix.md</x:v>
      </x:c>
    </x:row>
    <x:row r="451">
      <x:c r="A451" s="24" t="str">
        <x:v>HIST-AC-10-0194</x:v>
      </x:c>
      <x:c r="B451" s="34"/>
      <x:c r="C451" s="24" t="str"/>
      <x:c r="D451" s="24" t="str">
        <x:v>Sprint 10 Acceptance</x:v>
      </x:c>
      <x:c r="E451" s="24" t="str">
        <x:v>S10-AC-05</x:v>
      </x:c>
      <x:c r="F451" s="24" t="str"/>
      <x:c r="G451" s="24" t="str">
        <x:v>Acceptance / Historical</x:v>
      </x:c>
      <x:c r="H451" s="24" t="str">
        <x:v>Baseline histórica</x:v>
      </x:c>
      <x:c r="I451" s="24" t="str">
        <x:v>Baseline PASS</x:v>
      </x:c>
      <x:c r="J451" s="24" t="str"/>
      <x:c r="K451" s="24" t="str">
        <x:v>Invariante 3/1/2</x:v>
      </x:c>
      <x:c r="L451" s="24" t="str">
        <x:v>VRM Games</x:v>
      </x:c>
      <x:c r="M451" s="24"/>
      <x:c r="N451" s="24" t="str">
        <x:v>Conservación física — Documentation/10_Development_Records/Sprint_10/QA/S10_Acceptance_Matrix.md</x:v>
      </x:c>
    </x:row>
    <x:row r="452">
      <x:c r="A452" s="24" t="str">
        <x:v>HIST-AC-10-0195</x:v>
      </x:c>
      <x:c r="B452" s="34"/>
      <x:c r="C452" s="24" t="str"/>
      <x:c r="D452" s="24" t="str">
        <x:v>Sprint 10 Acceptance</x:v>
      </x:c>
      <x:c r="E452" s="24" t="str">
        <x:v>S10-AC-06</x:v>
      </x:c>
      <x:c r="F452" s="24" t="str"/>
      <x:c r="G452" s="24" t="str">
        <x:v>Acceptance / Historical</x:v>
      </x:c>
      <x:c r="H452" s="24" t="str">
        <x:v>Baseline histórica</x:v>
      </x:c>
      <x:c r="I452" s="24" t="str">
        <x:v>Baseline PASS</x:v>
      </x:c>
      <x:c r="J452" s="24" t="str"/>
      <x:c r="K452" s="24" t="str">
        <x:v>Asset y runner</x:v>
      </x:c>
      <x:c r="L452" s="24" t="str">
        <x:v>VRM Games</x:v>
      </x:c>
      <x:c r="M452" s="24"/>
      <x:c r="N452" s="24" t="str">
        <x:v>Autoría técnica válida — Documentation/10_Development_Records/Sprint_10/QA/S10_Acceptance_Matrix.md</x:v>
      </x:c>
    </x:row>
    <x:row r="453">
      <x:c r="A453" s="24" t="str">
        <x:v>HIST-AC-10-0196</x:v>
      </x:c>
      <x:c r="B453" s="34"/>
      <x:c r="C453" s="24" t="str"/>
      <x:c r="D453" s="24" t="str">
        <x:v>Sprint 10 Acceptance</x:v>
      </x:c>
      <x:c r="E453" s="24" t="str">
        <x:v>S10-AC-07</x:v>
      </x:c>
      <x:c r="F453" s="24" t="str"/>
      <x:c r="G453" s="24" t="str">
        <x:v>Acceptance / Historical</x:v>
      </x:c>
      <x:c r="H453" s="24" t="str">
        <x:v>Baseline histórica</x:v>
      </x:c>
      <x:c r="I453" s="24" t="str">
        <x:v>Baseline PASS</x:v>
      </x:c>
      <x:c r="J453" s="24" t="str"/>
      <x:c r="K453" s="24" t="str">
        <x:v>`549/549 PASS`</x:v>
      </x:c>
      <x:c r="L453" s="24" t="str">
        <x:v>VRM Games</x:v>
      </x:c>
      <x:c r="M453" s="24"/>
      <x:c r="N453" s="24" t="str">
        <x:v>Suite completa verde — Documentation/10_Development_Records/Sprint_10/QA/S10_Acceptance_Matrix.md</x:v>
      </x:c>
    </x:row>
    <x:row r="454">
      <x:c r="A454" s="24" t="str">
        <x:v>HIST-AC-10-0197</x:v>
      </x:c>
      <x:c r="B454" s="34"/>
      <x:c r="C454" s="24" t="str"/>
      <x:c r="D454" s="24" t="str">
        <x:v>Sprint 10 Acceptance</x:v>
      </x:c>
      <x:c r="E454" s="24" t="str">
        <x:v>S10-AC-08</x:v>
      </x:c>
      <x:c r="F454" s="24" t="str"/>
      <x:c r="G454" s="24" t="str">
        <x:v>Acceptance / Historical</x:v>
      </x:c>
      <x:c r="H454" s="24" t="str">
        <x:v>Baseline histórica</x:v>
      </x:c>
      <x:c r="I454" s="24" t="str">
        <x:v>Baseline PASS</x:v>
      </x:c>
      <x:c r="J454" s="24" t="str"/>
      <x:c r="K454" s="24" t="str">
        <x:v>Windows x64 Development</x:v>
      </x:c>
      <x:c r="L454" s="24" t="str">
        <x:v>VRM Games</x:v>
      </x:c>
      <x:c r="M454" s="24"/>
      <x:c r="N454" s="24" t="str">
        <x:v>Build externa — Documentation/10_Development_Records/Sprint_10/QA/S10_Acceptance_Matrix.md</x:v>
      </x:c>
    </x:row>
    <x:row r="455">
      <x:c r="A455" s="24" t="str">
        <x:v>HIST-AC-11-0198</x:v>
      </x:c>
      <x:c r="B455" s="34"/>
      <x:c r="C455" s="24" t="str"/>
      <x:c r="D455" s="24" t="str">
        <x:v>Sprint 11 Acceptance</x:v>
      </x:c>
      <x:c r="E455" s="24" t="str">
        <x:v>S11-AC-01</x:v>
      </x:c>
      <x:c r="F455" s="24" t="str"/>
      <x:c r="G455" s="24" t="str">
        <x:v>Acceptance / Historical</x:v>
      </x:c>
      <x:c r="H455" s="24" t="str">
        <x:v>Baseline histórica</x:v>
      </x:c>
      <x:c r="I455" s="24" t="str">
        <x:v>Baseline PASS</x:v>
      </x:c>
      <x:c r="J455" s="24" t="str"/>
      <x:c r="K455" s="24" t="str">
        <x:v>Queue tests</x:v>
      </x:c>
      <x:c r="L455" s="24" t="str">
        <x:v>VRM Games</x:v>
      </x:c>
      <x:c r="M455" s="24"/>
      <x:c r="N455" s="24" t="str">
        <x:v>Cola FIFO y posiciones — Documentation/10_Development_Records/Sprint_11/QA/S11_Acceptance_Matrix.md</x:v>
      </x:c>
    </x:row>
    <x:row r="456">
      <x:c r="A456" s="24" t="str">
        <x:v>HIST-AC-11-0199</x:v>
      </x:c>
      <x:c r="B456" s="34"/>
      <x:c r="C456" s="24" t="str"/>
      <x:c r="D456" s="24" t="str">
        <x:v>Sprint 11 Acceptance</x:v>
      </x:c>
      <x:c r="E456" s="24" t="str">
        <x:v>S11-AC-02</x:v>
      </x:c>
      <x:c r="F456" s="24" t="str"/>
      <x:c r="G456" s="24" t="str">
        <x:v>Acceptance / Historical</x:v>
      </x:c>
      <x:c r="H456" s="24" t="str">
        <x:v>Baseline histórica</x:v>
      </x:c>
      <x:c r="I456" s="24" t="str">
        <x:v>Baseline PASS</x:v>
      </x:c>
      <x:c r="J456" s="24" t="str"/>
      <x:c r="K456" s="24" t="str">
        <x:v>Station tests</x:v>
      </x:c>
      <x:c r="L456" s="24" t="str">
        <x:v>VRM Games</x:v>
      </x:c>
      <x:c r="M456" s="24"/>
      <x:c r="N456" s="24" t="str">
        <x:v>Estación procesa una entrada — Documentation/10_Development_Records/Sprint_11/QA/S11_Acceptance_Matrix.md</x:v>
      </x:c>
    </x:row>
    <x:row r="457">
      <x:c r="A457" s="24" t="str">
        <x:v>HIST-AC-11-0200</x:v>
      </x:c>
      <x:c r="B457" s="34"/>
      <x:c r="C457" s="24" t="str"/>
      <x:c r="D457" s="24" t="str">
        <x:v>Sprint 11 Acceptance</x:v>
      </x:c>
      <x:c r="E457" s="24" t="str">
        <x:v>S11-AC-03</x:v>
      </x:c>
      <x:c r="F457" s="24" t="str"/>
      <x:c r="G457" s="24" t="str">
        <x:v>Acceptance / Historical</x:v>
      </x:c>
      <x:c r="H457" s="24" t="str">
        <x:v>Baseline histórica</x:v>
      </x:c>
      <x:c r="I457" s="24" t="str">
        <x:v>Baseline PASS</x:v>
      </x:c>
      <x:c r="J457" s="24" t="str"/>
      <x:c r="K457" s="24" t="str">
        <x:v>Success tests</x:v>
      </x:c>
      <x:c r="L457" s="24" t="str">
        <x:v>VRM Games</x:v>
      </x:c>
      <x:c r="M457" s="24"/>
      <x:c r="N457" s="24" t="str">
        <x:v>Checkout consume stock y reservas — Documentation/10_Development_Records/Sprint_11/QA/S11_Acceptance_Matrix.md</x:v>
      </x:c>
    </x:row>
    <x:row r="458">
      <x:c r="A458" s="24" t="str">
        <x:v>HIST-AC-11-0201</x:v>
      </x:c>
      <x:c r="B458" s="34"/>
      <x:c r="C458" s="24" t="str"/>
      <x:c r="D458" s="24" t="str">
        <x:v>Sprint 11 Acceptance</x:v>
      </x:c>
      <x:c r="E458" s="24" t="str">
        <x:v>S11-AC-04</x:v>
      </x:c>
      <x:c r="F458" s="24" t="str"/>
      <x:c r="G458" s="24" t="str">
        <x:v>Acceptance / Historical</x:v>
      </x:c>
      <x:c r="H458" s="24" t="str">
        <x:v>Baseline histórica</x:v>
      </x:c>
      <x:c r="I458" s="24" t="str">
        <x:v>Baseline PASS</x:v>
      </x:c>
      <x:c r="J458" s="24" t="str"/>
      <x:c r="K458" s="24" t="str">
        <x:v>Validation tests</x:v>
      </x:c>
      <x:c r="L458" s="24" t="str">
        <x:v>VRM Games</x:v>
      </x:c>
      <x:c r="M458" s="24"/>
      <x:c r="N458" s="24" t="str">
        <x:v>Fallo de validación no muta — Documentation/10_Development_Records/Sprint_11/QA/S11_Acceptance_Matrix.md</x:v>
      </x:c>
    </x:row>
    <x:row r="459">
      <x:c r="A459" s="24" t="str">
        <x:v>HIST-AC-11-0202</x:v>
      </x:c>
      <x:c r="B459" s="34"/>
      <x:c r="C459" s="24" t="str"/>
      <x:c r="D459" s="24" t="str">
        <x:v>Sprint 11 Acceptance</x:v>
      </x:c>
      <x:c r="E459" s="24" t="str">
        <x:v>S11-AC-05</x:v>
      </x:c>
      <x:c r="F459" s="24" t="str"/>
      <x:c r="G459" s="24" t="str">
        <x:v>Acceptance / Historical</x:v>
      </x:c>
      <x:c r="H459" s="24" t="str">
        <x:v>Baseline histórica</x:v>
      </x:c>
      <x:c r="I459" s="24" t="str">
        <x:v>Baseline PASS</x:v>
      </x:c>
      <x:c r="J459" s="24" t="str"/>
      <x:c r="K459" s="24" t="str">
        <x:v>Transaction tests</x:v>
      </x:c>
      <x:c r="L459" s="24" t="str">
        <x:v>VRM Games</x:v>
      </x:c>
      <x:c r="M459" s="24"/>
      <x:c r="N459" s="24" t="str">
        <x:v>Doble checkout bloqueado — Documentation/10_Development_Records/Sprint_11/QA/S11_Acceptance_Matrix.md</x:v>
      </x:c>
    </x:row>
    <x:row r="460">
      <x:c r="A460" s="24" t="str">
        <x:v>HIST-AC-11-0203</x:v>
      </x:c>
      <x:c r="B460" s="34"/>
      <x:c r="C460" s="24" t="str"/>
      <x:c r="D460" s="24" t="str">
        <x:v>Sprint 11 Acceptance</x:v>
      </x:c>
      <x:c r="E460" s="24" t="str">
        <x:v>S11-AC-06</x:v>
      </x:c>
      <x:c r="F460" s="24" t="str"/>
      <x:c r="G460" s="24" t="str">
        <x:v>Acceptance / Historical</x:v>
      </x:c>
      <x:c r="H460" s="24" t="str">
        <x:v>Baseline histórica</x:v>
      </x:c>
      <x:c r="I460" s="24" t="str">
        <x:v>Baseline PASS</x:v>
      </x:c>
      <x:c r="J460" s="24" t="str"/>
      <x:c r="K460" s="24" t="str">
        <x:v>Cancellation tests</x:v>
      </x:c>
      <x:c r="L460" s="24" t="str">
        <x:v>VRM Games</x:v>
      </x:c>
      <x:c r="M460" s="24"/>
      <x:c r="N460" s="24" t="str">
        <x:v>Cancelación libera reservas — Documentation/10_Development_Records/Sprint_11/QA/S11_Acceptance_Matrix.md</x:v>
      </x:c>
    </x:row>
    <x:row r="461">
      <x:c r="A461" s="24" t="str">
        <x:v>HIST-AC-11-0204</x:v>
      </x:c>
      <x:c r="B461" s="34"/>
      <x:c r="C461" s="24" t="str"/>
      <x:c r="D461" s="24" t="str">
        <x:v>Sprint 11 Acceptance</x:v>
      </x:c>
      <x:c r="E461" s="24" t="str">
        <x:v>S11-AC-07</x:v>
      </x:c>
      <x:c r="F461" s="24" t="str"/>
      <x:c r="G461" s="24" t="str">
        <x:v>Acceptance / Historical</x:v>
      </x:c>
      <x:c r="H461" s="24" t="str">
        <x:v>Baseline histórica</x:v>
      </x:c>
      <x:c r="I461" s="24" t="str">
        <x:v>Baseline PASS</x:v>
      </x:c>
      <x:c r="J461" s="24" t="str"/>
      <x:c r="K461" s="24" t="str">
        <x:v>`654/654 PASS`</x:v>
      </x:c>
      <x:c r="L461" s="24" t="str">
        <x:v>VRM Games</x:v>
      </x:c>
      <x:c r="M461" s="24"/>
      <x:c r="N461" s="24" t="str">
        <x:v>Suite completa verde — Documentation/10_Development_Records/Sprint_11/QA/S11_Acceptance_Matrix.md</x:v>
      </x:c>
    </x:row>
    <x:row r="462">
      <x:c r="A462" s="24" t="str">
        <x:v>HIST-AC-11-0205</x:v>
      </x:c>
      <x:c r="B462" s="34"/>
      <x:c r="C462" s="24" t="str"/>
      <x:c r="D462" s="24" t="str">
        <x:v>Sprint 11 Acceptance</x:v>
      </x:c>
      <x:c r="E462" s="24" t="str">
        <x:v>S11-AC-08</x:v>
      </x:c>
      <x:c r="F462" s="24" t="str"/>
      <x:c r="G462" s="24" t="str">
        <x:v>Acceptance / Historical</x:v>
      </x:c>
      <x:c r="H462" s="24" t="str">
        <x:v>Baseline histórica</x:v>
      </x:c>
      <x:c r="I462" s="24" t="str">
        <x:v>Baseline PASS</x:v>
      </x:c>
      <x:c r="J462" s="24" t="str"/>
      <x:c r="K462" s="24" t="str">
        <x:v>Windows x64 Development</x:v>
      </x:c>
      <x:c r="L462" s="24" t="str">
        <x:v>VRM Games</x:v>
      </x:c>
      <x:c r="M462" s="24"/>
      <x:c r="N462" s="24" t="str">
        <x:v>Build externa — Documentation/10_Development_Records/Sprint_11/QA/S11_Acceptance_Matrix.md</x:v>
      </x:c>
    </x:row>
    <x:row r="463">
      <x:c r="A463" s="24" t="str">
        <x:v>HIST-AC-12-0206</x:v>
      </x:c>
      <x:c r="B463" s="34"/>
      <x:c r="C463" s="24" t="str"/>
      <x:c r="D463" s="24" t="str">
        <x:v>Sprint 12 Acceptance</x:v>
      </x:c>
      <x:c r="E463" s="24" t="str">
        <x:v>S12-AC-01</x:v>
      </x:c>
      <x:c r="F463" s="24" t="str"/>
      <x:c r="G463" s="24" t="str">
        <x:v>Acceptance / Historical</x:v>
      </x:c>
      <x:c r="H463" s="24" t="str">
        <x:v>Baseline histórica</x:v>
      </x:c>
      <x:c r="I463" s="24" t="str">
        <x:v>Baseline PASS</x:v>
      </x:c>
      <x:c r="J463" s="24" t="str"/>
      <x:c r="K463" s="24" t="str">
        <x:v>Transition tests</x:v>
      </x:c>
      <x:c r="L463" s="24" t="str">
        <x:v>VRM Games</x:v>
      </x:c>
      <x:c r="M463" s="24"/>
      <x:c r="N463" s="24" t="str">
        <x:v>Reloj y estados deterministas — Documentation/10_Development_Records/Sprint_12/QA/S12_Acceptance_Matrix.md</x:v>
      </x:c>
    </x:row>
    <x:row r="464">
      <x:c r="A464" s="24" t="str">
        <x:v>HIST-AC-12-0207</x:v>
      </x:c>
      <x:c r="B464" s="34"/>
      <x:c r="C464" s="24" t="str"/>
      <x:c r="D464" s="24" t="str">
        <x:v>Sprint 12 Acceptance</x:v>
      </x:c>
      <x:c r="E464" s="24" t="str">
        <x:v>S12-AC-02</x:v>
      </x:c>
      <x:c r="F464" s="24" t="str"/>
      <x:c r="G464" s="24" t="str">
        <x:v>Acceptance / Historical</x:v>
      </x:c>
      <x:c r="H464" s="24" t="str">
        <x:v>Baseline histórica</x:v>
      </x:c>
      <x:c r="I464" s="24" t="str">
        <x:v>Baseline PASS</x:v>
      </x:c>
      <x:c r="J464" s="24" t="str"/>
      <x:c r="K464" s="24" t="str">
        <x:v>Runtime y seal tests</x:v>
      </x:c>
      <x:c r="L464" s="24" t="str">
        <x:v>VRM Games</x:v>
      </x:c>
      <x:c r="M464" s="24"/>
      <x:c r="N464" s="24" t="str">
        <x:v>Closing bloquea spawns y cola — Documentation/10_Development_Records/Sprint_12/QA/S12_Acceptance_Matrix.md</x:v>
      </x:c>
    </x:row>
    <x:row r="465">
      <x:c r="A465" s="24" t="str">
        <x:v>HIST-AC-12-0208</x:v>
      </x:c>
      <x:c r="B465" s="34"/>
      <x:c r="C465" s="24" t="str"/>
      <x:c r="D465" s="24" t="str">
        <x:v>Sprint 12 Acceptance</x:v>
      </x:c>
      <x:c r="E465" s="24" t="str">
        <x:v>S12-AC-03</x:v>
      </x:c>
      <x:c r="F465" s="24" t="str"/>
      <x:c r="G465" s="24" t="str">
        <x:v>Acceptance / Historical</x:v>
      </x:c>
      <x:c r="H465" s="24" t="str">
        <x:v>Baseline histórica</x:v>
      </x:c>
      <x:c r="I465" s="24" t="str">
        <x:v>Baseline PASS</x:v>
      </x:c>
      <x:c r="J465" s="24" t="str"/>
      <x:c r="K465" s="24" t="str">
        <x:v>Drain tests</x:v>
      </x:c>
      <x:c r="L465" s="24" t="str">
        <x:v>VRM Games</x:v>
      </x:c>
      <x:c r="M465" s="24"/>
      <x:c r="N465" s="24" t="str">
        <x:v>Clientes se drenan a Exit — Documentation/10_Development_Records/Sprint_12/QA/S12_Acceptance_Matrix.md</x:v>
      </x:c>
    </x:row>
    <x:row r="466">
      <x:c r="A466" s="24" t="str">
        <x:v>HIST-AC-12-0209</x:v>
      </x:c>
      <x:c r="B466" s="34"/>
      <x:c r="C466" s="24" t="str"/>
      <x:c r="D466" s="24" t="str">
        <x:v>Sprint 12 Acceptance</x:v>
      </x:c>
      <x:c r="E466" s="24" t="str">
        <x:v>S12-AC-04</x:v>
      </x:c>
      <x:c r="F466" s="24" t="str"/>
      <x:c r="G466" s="24" t="str">
        <x:v>Acceptance / Historical</x:v>
      </x:c>
      <x:c r="H466" s="24" t="str">
        <x:v>Baseline histórica</x:v>
      </x:c>
      <x:c r="I466" s="24" t="str">
        <x:v>Baseline PASS</x:v>
      </x:c>
      <x:c r="J466" s="24" t="str"/>
      <x:c r="K466" s="24" t="str">
        <x:v>Coordinator tests</x:v>
      </x:c>
      <x:c r="L466" s="24" t="str">
        <x:v>VRM Games</x:v>
      </x:c>
      <x:c r="M466" s="24"/>
      <x:c r="N466" s="24" t="str">
        <x:v>Reservas y carritos se resuelven — Documentation/10_Development_Records/Sprint_12/QA/S12_Acceptance_Matrix.md</x:v>
      </x:c>
    </x:row>
    <x:row r="467">
      <x:c r="A467" s="24" t="str">
        <x:v>HIST-AC-12-0210</x:v>
      </x:c>
      <x:c r="B467" s="34"/>
      <x:c r="C467" s="24" t="str"/>
      <x:c r="D467" s="24" t="str">
        <x:v>Sprint 12 Acceptance</x:v>
      </x:c>
      <x:c r="E467" s="24" t="str">
        <x:v>S12-AC-05</x:v>
      </x:c>
      <x:c r="F467" s="24" t="str"/>
      <x:c r="G467" s="24" t="str">
        <x:v>Acceptance / Historical</x:v>
      </x:c>
      <x:c r="H467" s="24" t="str">
        <x:v>Baseline histórica</x:v>
      </x:c>
      <x:c r="I467" s="24" t="str">
        <x:v>Baseline PASS</x:v>
      </x:c>
      <x:c r="J467" s="24" t="str"/>
      <x:c r="K467" s="24" t="str">
        <x:v>Processing tests</x:v>
      </x:c>
      <x:c r="L467" s="24" t="str">
        <x:v>VRM Games</x:v>
      </x:c>
      <x:c r="M467" s="24"/>
      <x:c r="N467" s="24" t="str">
        <x:v>Processing puede finalizar — Documentation/10_Development_Records/Sprint_12/QA/S12_Acceptance_Matrix.md</x:v>
      </x:c>
    </x:row>
    <x:row r="468">
      <x:c r="A468" s="24" t="str">
        <x:v>HIST-AC-12-0211</x:v>
      </x:c>
      <x:c r="B468" s="34"/>
      <x:c r="C468" s="24" t="str"/>
      <x:c r="D468" s="24" t="str">
        <x:v>Sprint 12 Acceptance</x:v>
      </x:c>
      <x:c r="E468" s="24" t="str">
        <x:v>S12-AC-06</x:v>
      </x:c>
      <x:c r="F468" s="24" t="str"/>
      <x:c r="G468" s="24" t="str">
        <x:v>Acceptance / Historical</x:v>
      </x:c>
      <x:c r="H468" s="24" t="str">
        <x:v>Baseline histórica</x:v>
      </x:c>
      <x:c r="I468" s="24" t="str">
        <x:v>Baseline PASS</x:v>
      </x:c>
      <x:c r="J468" s="24" t="str"/>
      <x:c r="K468" s="24" t="str">
        <x:v>Snapshot tests</x:v>
      </x:c>
      <x:c r="L468" s="24" t="str">
        <x:v>VRM Games</x:v>
      </x:c>
      <x:c r="M468" s="24"/>
      <x:c r="N468" s="24" t="str">
        <x:v>Closed exige snapshot vacío — Documentation/10_Development_Records/Sprint_12/QA/S12_Acceptance_Matrix.md</x:v>
      </x:c>
    </x:row>
    <x:row r="469">
      <x:c r="A469" s="24" t="str">
        <x:v>HIST-AC-12-0212</x:v>
      </x:c>
      <x:c r="B469" s="34"/>
      <x:c r="C469" s="24" t="str"/>
      <x:c r="D469" s="24" t="str">
        <x:v>Sprint 12 Acceptance</x:v>
      </x:c>
      <x:c r="E469" s="24" t="str">
        <x:v>S12-AC-07</x:v>
      </x:c>
      <x:c r="F469" s="24" t="str"/>
      <x:c r="G469" s="24" t="str">
        <x:v>Acceptance / Historical</x:v>
      </x:c>
      <x:c r="H469" s="24" t="str">
        <x:v>Baseline histórica</x:v>
      </x:c>
      <x:c r="I469" s="24" t="str">
        <x:v>Baseline PASS</x:v>
      </x:c>
      <x:c r="J469" s="24" t="str"/>
      <x:c r="K469" s="24" t="str">
        <x:v>`797/797 PASS`</x:v>
      </x:c>
      <x:c r="L469" s="24" t="str">
        <x:v>VRM Games</x:v>
      </x:c>
      <x:c r="M469" s="24"/>
      <x:c r="N469" s="24" t="str">
        <x:v>Suite completa verde — Documentation/10_Development_Records/Sprint_12/QA/S12_Acceptance_Matrix.md</x:v>
      </x:c>
    </x:row>
    <x:row r="470">
      <x:c r="A470" s="24" t="str">
        <x:v>HIST-AC-12-0213</x:v>
      </x:c>
      <x:c r="B470" s="34"/>
      <x:c r="C470" s="24" t="str"/>
      <x:c r="D470" s="24" t="str">
        <x:v>Sprint 12 Acceptance</x:v>
      </x:c>
      <x:c r="E470" s="24" t="str">
        <x:v>S12-AC-08</x:v>
      </x:c>
      <x:c r="F470" s="24" t="str"/>
      <x:c r="G470" s="24" t="str">
        <x:v>Acceptance / Historical</x:v>
      </x:c>
      <x:c r="H470" s="24" t="str">
        <x:v>Baseline histórica</x:v>
      </x:c>
      <x:c r="I470" s="24" t="str">
        <x:v>Baseline PASS</x:v>
      </x:c>
      <x:c r="J470" s="24" t="str"/>
      <x:c r="K470" s="24" t="str">
        <x:v>Windows x64 Development</x:v>
      </x:c>
      <x:c r="L470" s="24" t="str">
        <x:v>VRM Games</x:v>
      </x:c>
      <x:c r="M470" s="24"/>
      <x:c r="N470" s="24" t="str">
        <x:v>Build externa — Documentation/10_Development_Records/Sprint_12/QA/S12_Acceptance_Matrix.md</x:v>
      </x:c>
    </x:row>
    <x:row r="471">
      <x:c r="A471" s="24" t="str">
        <x:v>HIST-AC-13-0214</x:v>
      </x:c>
      <x:c r="B471" s="34"/>
      <x:c r="C471" s="24" t="str"/>
      <x:c r="D471" s="24" t="str">
        <x:v>Sprint 13 Acceptance</x:v>
      </x:c>
      <x:c r="E471" s="24" t="str">
        <x:v>S13-AC-01</x:v>
      </x:c>
      <x:c r="F471" s="24" t="str"/>
      <x:c r="G471" s="24" t="str">
        <x:v>Acceptance / Historical</x:v>
      </x:c>
      <x:c r="H471" s="24" t="str">
        <x:v>Baseline histórica</x:v>
      </x:c>
      <x:c r="I471" s="24" t="str">
        <x:v>Baseline PASS</x:v>
      </x:c>
      <x:c r="J471" s="24" t="str"/>
      <x:c r="K471" s="24" t="str">
        <x:v>Money tests</x:v>
      </x:c>
      <x:c r="L471" s="24" t="str">
        <x:v>VRM Games</x:v>
      </x:c>
      <x:c r="M471" s="24"/>
      <x:c r="N471" s="24" t="str">
        <x:v>Dinero exacto sin punto flotante — Documentation/10_Development_Records/Sprint_13/QA/S13_Acceptance_Matrix.md</x:v>
      </x:c>
    </x:row>
    <x:row r="472">
      <x:c r="A472" s="24" t="str">
        <x:v>HIST-AC-13-0215</x:v>
      </x:c>
      <x:c r="B472" s="34"/>
      <x:c r="C472" s="24" t="str"/>
      <x:c r="D472" s="24" t="str">
        <x:v>Sprint 13 Acceptance</x:v>
      </x:c>
      <x:c r="E472" s="24" t="str">
        <x:v>S13-AC-02</x:v>
      </x:c>
      <x:c r="F472" s="24" t="str"/>
      <x:c r="G472" s="24" t="str">
        <x:v>Acceptance / Historical</x:v>
      </x:c>
      <x:c r="H472" s="24" t="str">
        <x:v>Baseline histórica</x:v>
      </x:c>
      <x:c r="I472" s="24" t="str">
        <x:v>Baseline PASS</x:v>
      </x:c>
      <x:c r="J472" s="24" t="str"/>
      <x:c r="K472" s="24" t="str">
        <x:v>Quote tests</x:v>
      </x:c>
      <x:c r="L472" s="24" t="str">
        <x:v>VRM Games</x:v>
      </x:c>
      <x:c r="M472" s="24"/>
      <x:c r="N472" s="24" t="str">
        <x:v>Venta cotizada antes de checkout — Documentation/10_Development_Records/Sprint_13/QA/S13_Acceptance_Matrix.md</x:v>
      </x:c>
    </x:row>
    <x:row r="473">
      <x:c r="A473" s="24" t="str">
        <x:v>HIST-AC-13-0216</x:v>
      </x:c>
      <x:c r="B473" s="34"/>
      <x:c r="C473" s="24" t="str"/>
      <x:c r="D473" s="24" t="str">
        <x:v>Sprint 13 Acceptance</x:v>
      </x:c>
      <x:c r="E473" s="24" t="str">
        <x:v>S13-AC-03</x:v>
      </x:c>
      <x:c r="F473" s="24" t="str"/>
      <x:c r="G473" s="24" t="str">
        <x:v>Acceptance / Historical</x:v>
      </x:c>
      <x:c r="H473" s="24" t="str">
        <x:v>Baseline histórica</x:v>
      </x:c>
      <x:c r="I473" s="24" t="str">
        <x:v>Baseline PASS</x:v>
      </x:c>
      <x:c r="J473" s="24" t="str"/>
      <x:c r="K473" s="24" t="str">
        <x:v>Economic checkout tests</x:v>
      </x:c>
      <x:c r="L473" s="24" t="str">
        <x:v>VRM Games</x:v>
      </x:c>
      <x:c r="M473" s="24"/>
      <x:c r="N473" s="24" t="str">
        <x:v>Checkout registra un ingreso — Documentation/10_Development_Records/Sprint_13/QA/S13_Acceptance_Matrix.md</x:v>
      </x:c>
    </x:row>
    <x:row r="474">
      <x:c r="A474" s="24" t="str">
        <x:v>HIST-AC-13-0217</x:v>
      </x:c>
      <x:c r="B474" s="34"/>
      <x:c r="C474" s="24" t="str"/>
      <x:c r="D474" s="24" t="str">
        <x:v>Sprint 13 Acceptance</x:v>
      </x:c>
      <x:c r="E474" s="24" t="str">
        <x:v>S13-AC-04</x:v>
      </x:c>
      <x:c r="F474" s="24" t="str"/>
      <x:c r="G474" s="24" t="str">
        <x:v>Acceptance / Historical</x:v>
      </x:c>
      <x:c r="H474" s="24" t="str">
        <x:v>Baseline histórica</x:v>
      </x:c>
      <x:c r="I474" s="24" t="str">
        <x:v>Baseline PASS</x:v>
      </x:c>
      <x:c r="J474" s="24" t="str"/>
      <x:c r="K474" s="24" t="str">
        <x:v>Receiving economy tests</x:v>
      </x:c>
      <x:c r="L474" s="24" t="str">
        <x:v>VRM Games</x:v>
      </x:c>
      <x:c r="M474" s="24"/>
      <x:c r="N474" s="24" t="str">
        <x:v>Recepción registra un coste — Documentation/10_Development_Records/Sprint_13/QA/S13_Acceptance_Matrix.md</x:v>
      </x:c>
    </x:row>
    <x:row r="475">
      <x:c r="A475" s="24" t="str">
        <x:v>HIST-AC-13-0218</x:v>
      </x:c>
      <x:c r="B475" s="34"/>
      <x:c r="C475" s="24" t="str"/>
      <x:c r="D475" s="24" t="str">
        <x:v>Sprint 13 Acceptance</x:v>
      </x:c>
      <x:c r="E475" s="24" t="str">
        <x:v>S13-AC-05</x:v>
      </x:c>
      <x:c r="F475" s="24" t="str"/>
      <x:c r="G475" s="24" t="str">
        <x:v>Acceptance / Historical</x:v>
      </x:c>
      <x:c r="H475" s="24" t="str">
        <x:v>Baseline histórica</x:v>
      </x:c>
      <x:c r="I475" s="24" t="str">
        <x:v>Baseline PASS</x:v>
      </x:c>
      <x:c r="J475" s="24" t="str"/>
      <x:c r="K475" s="24" t="str">
        <x:v>Ledger/idempotency tests</x:v>
      </x:c>
      <x:c r="L475" s="24" t="str">
        <x:v>VRM Games</x:v>
      </x:c>
      <x:c r="M475" s="24"/>
      <x:c r="N475" s="24" t="str">
        <x:v>Duplicados no alteran totales — Documentation/10_Development_Records/Sprint_13/QA/S13_Acceptance_Matrix.md</x:v>
      </x:c>
    </x:row>
    <x:row r="476">
      <x:c r="A476" s="24" t="str">
        <x:v>HIST-AC-13-0219</x:v>
      </x:c>
      <x:c r="B476" s="34"/>
      <x:c r="C476" s="24" t="str"/>
      <x:c r="D476" s="24" t="str">
        <x:v>Sprint 13 Acceptance</x:v>
      </x:c>
      <x:c r="E476" s="24" t="str">
        <x:v>S13-AC-06</x:v>
      </x:c>
      <x:c r="F476" s="24" t="str"/>
      <x:c r="G476" s="24" t="str">
        <x:v>Acceptance / Historical</x:v>
      </x:c>
      <x:c r="H476" s="24" t="str">
        <x:v>Baseline histórica</x:v>
      </x:c>
      <x:c r="I476" s="24" t="str">
        <x:v>Baseline PASS</x:v>
      </x:c>
      <x:c r="J476" s="24" t="str"/>
      <x:c r="K476" s="24" t="str">
        <x:v>Daily results tests</x:v>
      </x:c>
      <x:c r="L476" s="24" t="str">
        <x:v>VRM Games</x:v>
      </x:c>
      <x:c r="M476" s="24"/>
      <x:c r="N476" s="24" t="str">
        <x:v>Día Closed produce resultado bruto — Documentation/10_Development_Records/Sprint_13/QA/S13_Acceptance_Matrix.md</x:v>
      </x:c>
    </x:row>
    <x:row r="477">
      <x:c r="A477" s="24" t="str">
        <x:v>HIST-AC-13-0220</x:v>
      </x:c>
      <x:c r="B477" s="34"/>
      <x:c r="C477" s="24" t="str"/>
      <x:c r="D477" s="24" t="str">
        <x:v>Sprint 13 Acceptance</x:v>
      </x:c>
      <x:c r="E477" s="24" t="str">
        <x:v>S13-AC-07</x:v>
      </x:c>
      <x:c r="F477" s="24" t="str"/>
      <x:c r="G477" s="24" t="str">
        <x:v>Acceptance / Historical</x:v>
      </x:c>
      <x:c r="H477" s="24" t="str">
        <x:v>Baseline histórica</x:v>
      </x:c>
      <x:c r="I477" s="24" t="str">
        <x:v>Baseline PASS</x:v>
      </x:c>
      <x:c r="J477" s="24" t="str"/>
      <x:c r="K477" s="24" t="str">
        <x:v>`897/897 PASS`</x:v>
      </x:c>
      <x:c r="L477" s="24" t="str">
        <x:v>VRM Games</x:v>
      </x:c>
      <x:c r="M477" s="24"/>
      <x:c r="N477" s="24" t="str">
        <x:v>Suite completa verde — Documentation/10_Development_Records/Sprint_13/QA/S13_Acceptance_Matrix.md</x:v>
      </x:c>
    </x:row>
    <x:row r="478">
      <x:c r="A478" s="24" t="str">
        <x:v>HIST-AC-13-0221</x:v>
      </x:c>
      <x:c r="B478" s="34"/>
      <x:c r="C478" s="24" t="str"/>
      <x:c r="D478" s="24" t="str">
        <x:v>Sprint 13 Acceptance</x:v>
      </x:c>
      <x:c r="E478" s="24" t="str">
        <x:v>S13-AC-08</x:v>
      </x:c>
      <x:c r="F478" s="24" t="str"/>
      <x:c r="G478" s="24" t="str">
        <x:v>Acceptance / Historical</x:v>
      </x:c>
      <x:c r="H478" s="24" t="str">
        <x:v>Baseline histórica</x:v>
      </x:c>
      <x:c r="I478" s="24" t="str">
        <x:v>Baseline PASS</x:v>
      </x:c>
      <x:c r="J478" s="24" t="str"/>
      <x:c r="K478" s="24" t="str">
        <x:v>Windows x64 Development</x:v>
      </x:c>
      <x:c r="L478" s="24" t="str">
        <x:v>VRM Games</x:v>
      </x:c>
      <x:c r="M478" s="24"/>
      <x:c r="N478" s="24" t="str">
        <x:v>Build externa — Documentation/10_Development_Records/Sprint_13/QA/S13_Acceptance_Matrix.md</x:v>
      </x:c>
    </x:row>
    <x:row r="479">
      <x:c r="A479" s="24" t="str">
        <x:v>HIST-AC-14-0222</x:v>
      </x:c>
      <x:c r="B479" s="34"/>
      <x:c r="C479" s="24" t="str"/>
      <x:c r="D479" s="24" t="str">
        <x:v>Sprint 14 Acceptance</x:v>
      </x:c>
      <x:c r="E479" s="24" t="str">
        <x:v>S14-AC-01</x:v>
      </x:c>
      <x:c r="F479" s="24" t="str"/>
      <x:c r="G479" s="24" t="str">
        <x:v>Acceptance / Historical</x:v>
      </x:c>
      <x:c r="H479" s="24" t="str">
        <x:v>Baseline histórica</x:v>
      </x:c>
      <x:c r="I479" s="24" t="str">
        <x:v>Baseline PASS</x:v>
      </x:c>
      <x:c r="J479" s="24" t="str"/>
      <x:c r="K479" s="24" t="str">
        <x:v>Snapshot tests</x:v>
      </x:c>
      <x:c r="L479" s="24" t="str">
        <x:v>VRM Games</x:v>
      </x:c>
      <x:c r="M479" s="24"/>
      <x:c r="N479" s="24" t="str">
        <x:v>Snapshot integra todos los subsistemas — Documentation/10_Development_Records/Sprint_14/QA/S14_Acceptance_Matrix.md</x:v>
      </x:c>
    </x:row>
    <x:row r="480">
      <x:c r="A480" s="24" t="str">
        <x:v>HIST-AC-14-0223</x:v>
      </x:c>
      <x:c r="B480" s="34"/>
      <x:c r="C480" s="24" t="str"/>
      <x:c r="D480" s="24" t="str">
        <x:v>Sprint 14 Acceptance</x:v>
      </x:c>
      <x:c r="E480" s="24" t="str">
        <x:v>S14-AC-02</x:v>
      </x:c>
      <x:c r="F480" s="24" t="str"/>
      <x:c r="G480" s="24" t="str">
        <x:v>Acceptance / Historical</x:v>
      </x:c>
      <x:c r="H480" s="24" t="str">
        <x:v>Baseline histórica</x:v>
      </x:c>
      <x:c r="I480" s="24" t="str">
        <x:v>Baseline PASS</x:v>
      </x:c>
      <x:c r="J480" s="24" t="str"/>
      <x:c r="K480" s="24" t="str">
        <x:v>Repository tests</x:v>
      </x:c>
      <x:c r="L480" s="24" t="str">
        <x:v>VRM Games</x:v>
      </x:c>
      <x:c r="M480" s="24"/>
      <x:c r="N480" s="24" t="str">
        <x:v>Temporal validado antes de reemplazar — Documentation/10_Development_Records/Sprint_14/QA/S14_Acceptance_Matrix.md</x:v>
      </x:c>
    </x:row>
    <x:row r="481">
      <x:c r="A481" s="24" t="str">
        <x:v>HIST-AC-14-0224</x:v>
      </x:c>
      <x:c r="B481" s="34"/>
      <x:c r="C481" s="24" t="str"/>
      <x:c r="D481" s="24" t="str">
        <x:v>Sprint 14 Acceptance</x:v>
      </x:c>
      <x:c r="E481" s="24" t="str">
        <x:v>S14-AC-03</x:v>
      </x:c>
      <x:c r="F481" s="24" t="str"/>
      <x:c r="G481" s="24" t="str">
        <x:v>Acceptance / Historical</x:v>
      </x:c>
      <x:c r="H481" s="24" t="str">
        <x:v>Baseline histórica</x:v>
      </x:c>
      <x:c r="I481" s="24" t="str">
        <x:v>Baseline PASS</x:v>
      </x:c>
      <x:c r="J481" s="24" t="str"/>
      <x:c r="K481" s="24" t="str">
        <x:v>Codec tests</x:v>
      </x:c>
      <x:c r="L481" s="24" t="str">
        <x:v>VRM Games</x:v>
      </x:c>
      <x:c r="M481" s="24"/>
      <x:c r="N481" s="24" t="str">
        <x:v>Checksum detecta corrupción — Documentation/10_Development_Records/Sprint_14/QA/S14_Acceptance_Matrix.md</x:v>
      </x:c>
    </x:row>
    <x:row r="482">
      <x:c r="A482" s="24" t="str">
        <x:v>HIST-AC-14-0225</x:v>
      </x:c>
      <x:c r="B482" s="34"/>
      <x:c r="C482" s="24" t="str"/>
      <x:c r="D482" s="24" t="str">
        <x:v>Sprint 14 Acceptance</x:v>
      </x:c>
      <x:c r="E482" s="24" t="str">
        <x:v>S14-AC-04</x:v>
      </x:c>
      <x:c r="F482" s="24" t="str"/>
      <x:c r="G482" s="24" t="str">
        <x:v>Acceptance / Historical</x:v>
      </x:c>
      <x:c r="H482" s="24" t="str">
        <x:v>Baseline histórica</x:v>
      </x:c>
      <x:c r="I482" s="24" t="str">
        <x:v>Baseline PASS</x:v>
      </x:c>
      <x:c r="J482" s="24" t="str"/>
      <x:c r="K482" s="24" t="str">
        <x:v>Recovery tests</x:v>
      </x:c>
      <x:c r="L482" s="24" t="str">
        <x:v>VRM Games</x:v>
      </x:c>
      <x:c r="M482" s="24"/>
      <x:c r="N482" s="24" t="str">
        <x:v>Backup válido recupera y repara — Documentation/10_Development_Records/Sprint_14/QA/S14_Acceptance_Matrix.md</x:v>
      </x:c>
    </x:row>
    <x:row r="483">
      <x:c r="A483" s="24" t="str">
        <x:v>HIST-AC-14-0226</x:v>
      </x:c>
      <x:c r="B483" s="34"/>
      <x:c r="C483" s="24" t="str"/>
      <x:c r="D483" s="24" t="str">
        <x:v>Sprint 14 Acceptance</x:v>
      </x:c>
      <x:c r="E483" s="24" t="str">
        <x:v>S14-AC-05</x:v>
      </x:c>
      <x:c r="F483" s="24" t="str"/>
      <x:c r="G483" s="24" t="str">
        <x:v>Acceptance / Historical</x:v>
      </x:c>
      <x:c r="H483" s="24" t="str">
        <x:v>Baseline histórica</x:v>
      </x:c>
      <x:c r="I483" s="24" t="str">
        <x:v>Baseline PASS</x:v>
      </x:c>
      <x:c r="J483" s="24" t="str"/>
      <x:c r="K483" s="24" t="str">
        <x:v>Recovery tests</x:v>
      </x:c>
      <x:c r="L483" s="24" t="str">
        <x:v>VRM Games</x:v>
      </x:c>
      <x:c r="M483" s="24"/>
      <x:c r="N483" s="24" t="str">
        <x:v>Ambas copias dañadas no restauran — Documentation/10_Development_Records/Sprint_14/QA/S14_Acceptance_Matrix.md</x:v>
      </x:c>
    </x:row>
    <x:row r="484">
      <x:c r="A484" s="24" t="str">
        <x:v>HIST-AC-14-0227</x:v>
      </x:c>
      <x:c r="B484" s="34"/>
      <x:c r="C484" s="24" t="str"/>
      <x:c r="D484" s="24" t="str">
        <x:v>Sprint 14 Acceptance</x:v>
      </x:c>
      <x:c r="E484" s="24" t="str">
        <x:v>S14-AC-06</x:v>
      </x:c>
      <x:c r="F484" s="24" t="str"/>
      <x:c r="G484" s="24" t="str">
        <x:v>Acceptance / Historical</x:v>
      </x:c>
      <x:c r="H484" s="24" t="str">
        <x:v>Baseline histórica</x:v>
      </x:c>
      <x:c r="I484" s="24" t="str">
        <x:v>Baseline PASS</x:v>
      </x:c>
      <x:c r="J484" s="24" t="str"/>
      <x:c r="K484" s="24" t="str">
        <x:v>Legacy tests</x:v>
      </x:c>
      <x:c r="L484" s="24" t="str">
        <x:v>VRM Games</x:v>
      </x:c>
      <x:c r="M484" s="24"/>
      <x:c r="N484" s="24" t="str">
        <x:v>Schema v1 mantiene compatibilidad — Documentation/10_Development_Records/Sprint_14/QA/S14_Acceptance_Matrix.md</x:v>
      </x:c>
    </x:row>
    <x:row r="485">
      <x:c r="A485" s="24" t="str">
        <x:v>HIST-AC-14-0228</x:v>
      </x:c>
      <x:c r="B485" s="34"/>
      <x:c r="C485" s="24" t="str"/>
      <x:c r="D485" s="24" t="str">
        <x:v>Sprint 14 Acceptance</x:v>
      </x:c>
      <x:c r="E485" s="24" t="str">
        <x:v>S14-AC-07</x:v>
      </x:c>
      <x:c r="F485" s="24" t="str"/>
      <x:c r="G485" s="24" t="str">
        <x:v>Acceptance / Historical</x:v>
      </x:c>
      <x:c r="H485" s="24" t="str">
        <x:v>Baseline histórica</x:v>
      </x:c>
      <x:c r="I485" s="24" t="str">
        <x:v>Baseline PASS</x:v>
      </x:c>
      <x:c r="J485" s="24" t="str"/>
      <x:c r="K485" s="24" t="str">
        <x:v>Service tests</x:v>
      </x:c>
      <x:c r="L485" s="24" t="str">
        <x:v>VRM Games</x:v>
      </x:c>
      <x:c r="M485" s="24"/>
      <x:c r="N485" s="24" t="str">
        <x:v>Restauración no aplica estado parcial — Documentation/10_Development_Records/Sprint_14/QA/S14_Acceptance_Matrix.md</x:v>
      </x:c>
    </x:row>
    <x:row r="486">
      <x:c r="A486" s="24" t="str">
        <x:v>HIST-AC-14-0229</x:v>
      </x:c>
      <x:c r="B486" s="34"/>
      <x:c r="C486" s="24" t="str"/>
      <x:c r="D486" s="24" t="str">
        <x:v>Sprint 14 Acceptance</x:v>
      </x:c>
      <x:c r="E486" s="24" t="str">
        <x:v>S14-AC-08</x:v>
      </x:c>
      <x:c r="F486" s="24" t="str"/>
      <x:c r="G486" s="24" t="str">
        <x:v>Acceptance / Historical</x:v>
      </x:c>
      <x:c r="H486" s="24" t="str">
        <x:v>Baseline histórica</x:v>
      </x:c>
      <x:c r="I486" s="24" t="str">
        <x:v>Baseline PASS</x:v>
      </x:c>
      <x:c r="J486" s="24" t="str"/>
      <x:c r="K486" s="24" t="str">
        <x:v>`1002/1002 PASS`</x:v>
      </x:c>
      <x:c r="L486" s="24" t="str">
        <x:v>VRM Games</x:v>
      </x:c>
      <x:c r="M486" s="24"/>
      <x:c r="N486" s="24" t="str">
        <x:v>Suite completa verde — Documentation/10_Development_Records/Sprint_14/QA/S14_Acceptance_Matrix.md</x:v>
      </x:c>
    </x:row>
    <x:row r="487">
      <x:c r="A487" s="24" t="str">
        <x:v>HIST-AC-14-0230</x:v>
      </x:c>
      <x:c r="B487" s="34"/>
      <x:c r="C487" s="24" t="str"/>
      <x:c r="D487" s="24" t="str">
        <x:v>Sprint 14 Acceptance</x:v>
      </x:c>
      <x:c r="E487" s="24" t="str">
        <x:v>S14-AC-09</x:v>
      </x:c>
      <x:c r="F487" s="24" t="str"/>
      <x:c r="G487" s="24" t="str">
        <x:v>Acceptance / Historical</x:v>
      </x:c>
      <x:c r="H487" s="24" t="str">
        <x:v>Baseline histórica</x:v>
      </x:c>
      <x:c r="I487" s="24" t="str">
        <x:v>Baseline PASS</x:v>
      </x:c>
      <x:c r="J487" s="24" t="str"/>
      <x:c r="K487" s="24" t="str">
        <x:v>Windows x64 Development</x:v>
      </x:c>
      <x:c r="L487" s="24" t="str">
        <x:v>VRM Games</x:v>
      </x:c>
      <x:c r="M487" s="24"/>
      <x:c r="N487" s="24" t="str">
        <x:v>Build externa — Documentation/10_Development_Records/Sprint_14/QA/S14_Acceptance_Matrix.md</x:v>
      </x:c>
    </x:row>
    <x:row r="488">
      <x:c r="A488" s="24" t="str">
        <x:v>HIST-AC-15-0231</x:v>
      </x:c>
      <x:c r="B488" s="34"/>
      <x:c r="C488" s="24" t="str"/>
      <x:c r="D488" s="24" t="str">
        <x:v>Sprint 15 Acceptance</x:v>
      </x:c>
      <x:c r="E488" s="24" t="str">
        <x:v>S15-AC-01</x:v>
      </x:c>
      <x:c r="F488" s="24" t="str"/>
      <x:c r="G488" s="24" t="str">
        <x:v>Acceptance / Historical</x:v>
      </x:c>
      <x:c r="H488" s="24" t="str">
        <x:v>Baseline histórica</x:v>
      </x:c>
      <x:c r="I488" s="24" t="str">
        <x:v>Baseline PASS</x:v>
      </x:c>
      <x:c r="J488" s="24" t="str"/>
      <x:c r="K488" s="24" t="str"/>
      <x:c r="L488" s="24" t="str">
        <x:v>VRM Games</x:v>
      </x:c>
      <x:c r="M488" s="24"/>
      <x:c r="N488" s="24" t="str">
        <x:v>Tres slots visibles e independientes — Documentation/10_Development_Records/Sprint_15/QA/S15_Acceptance_Matrix.md</x:v>
      </x:c>
    </x:row>
    <x:row r="489">
      <x:c r="A489" s="24" t="str">
        <x:v>HIST-AC-15-0232</x:v>
      </x:c>
      <x:c r="B489" s="34"/>
      <x:c r="C489" s="24" t="str"/>
      <x:c r="D489" s="24" t="str">
        <x:v>Sprint 15 Acceptance</x:v>
      </x:c>
      <x:c r="E489" s="24" t="str">
        <x:v>S15-AC-02</x:v>
      </x:c>
      <x:c r="F489" s="24" t="str"/>
      <x:c r="G489" s="24" t="str">
        <x:v>Acceptance / Historical</x:v>
      </x:c>
      <x:c r="H489" s="24" t="str">
        <x:v>Baseline histórica</x:v>
      </x:c>
      <x:c r="I489" s="24" t="str">
        <x:v>Baseline PASS</x:v>
      </x:c>
      <x:c r="J489" s="24" t="str"/>
      <x:c r="K489" s="24" t="str"/>
      <x:c r="L489" s="24" t="str">
        <x:v>VRM Games</x:v>
      </x:c>
      <x:c r="M489" s="24"/>
      <x:c r="N489" s="24" t="str">
        <x:v>New/Continue/Replace/Delete — Documentation/10_Development_Records/Sprint_15/QA/S15_Acceptance_Matrix.md</x:v>
      </x:c>
    </x:row>
    <x:row r="490">
      <x:c r="A490" s="24" t="str">
        <x:v>HIST-AC-15-0233</x:v>
      </x:c>
      <x:c r="B490" s="34"/>
      <x:c r="C490" s="24" t="str"/>
      <x:c r="D490" s="24" t="str">
        <x:v>Sprint 15 Acceptance</x:v>
      </x:c>
      <x:c r="E490" s="24" t="str">
        <x:v>S15-AC-03</x:v>
      </x:c>
      <x:c r="F490" s="24" t="str"/>
      <x:c r="G490" s="24" t="str">
        <x:v>Acceptance / Historical</x:v>
      </x:c>
      <x:c r="H490" s="24" t="str">
        <x:v>Baseline histórica</x:v>
      </x:c>
      <x:c r="I490" s="24" t="str">
        <x:v>Baseline PASS</x:v>
      </x:c>
      <x:c r="J490" s="24" t="str"/>
      <x:c r="K490" s="24" t="str"/>
      <x:c r="L490" s="24" t="str">
        <x:v>VRM Games</x:v>
      </x:c>
      <x:c r="M490" s="24"/>
      <x:c r="N490" s="24" t="str">
        <x:v>Recovery y errores visibles — Documentation/10_Development_Records/Sprint_15/QA/S15_Acceptance_Matrix.md</x:v>
      </x:c>
    </x:row>
    <x:row r="491">
      <x:c r="A491" s="24" t="str">
        <x:v>HIST-AC-15-0234</x:v>
      </x:c>
      <x:c r="B491" s="34"/>
      <x:c r="C491" s="24" t="str"/>
      <x:c r="D491" s="24" t="str">
        <x:v>Sprint 15 Acceptance</x:v>
      </x:c>
      <x:c r="E491" s="24" t="str">
        <x:v>S15-AC-04</x:v>
      </x:c>
      <x:c r="F491" s="24" t="str"/>
      <x:c r="G491" s="24" t="str">
        <x:v>Acceptance / Historical</x:v>
      </x:c>
      <x:c r="H491" s="24" t="str">
        <x:v>Baseline histórica</x:v>
      </x:c>
      <x:c r="I491" s="24" t="str">
        <x:v>Baseline PASS</x:v>
      </x:c>
      <x:c r="J491" s="24" t="str"/>
      <x:c r="K491" s="24" t="str"/>
      <x:c r="L491" s="24" t="str">
        <x:v>VRM Games</x:v>
      </x:c>
      <x:c r="M491" s="24"/>
      <x:c r="N491" s="24" t="str">
        <x:v>HUD completo — Documentation/10_Development_Records/Sprint_15/QA/S15_Acceptance_Matrix.md</x:v>
      </x:c>
    </x:row>
    <x:row r="492">
      <x:c r="A492" s="24" t="str">
        <x:v>HIST-AC-15-0235</x:v>
      </x:c>
      <x:c r="B492" s="34"/>
      <x:c r="C492" s="24" t="str"/>
      <x:c r="D492" s="24" t="str">
        <x:v>Sprint 15 Acceptance</x:v>
      </x:c>
      <x:c r="E492" s="24" t="str">
        <x:v>S15-AC-05</x:v>
      </x:c>
      <x:c r="F492" s="24" t="str"/>
      <x:c r="G492" s="24" t="str">
        <x:v>Acceptance / Historical</x:v>
      </x:c>
      <x:c r="H492" s="24" t="str">
        <x:v>Baseline histórica</x:v>
      </x:c>
      <x:c r="I492" s="24" t="str">
        <x:v>Baseline PASS</x:v>
      </x:c>
      <x:c r="J492" s="24" t="str"/>
      <x:c r="K492" s="24" t="str"/>
      <x:c r="L492" s="24" t="str">
        <x:v>VRM Games</x:v>
      </x:c>
      <x:c r="M492" s="24"/>
      <x:c r="N492" s="24" t="str">
        <x:v>Diez paneles funcionales — Documentation/10_Development_Records/Sprint_15/QA/S15_Acceptance_Matrix.md</x:v>
      </x:c>
    </x:row>
    <x:row r="493">
      <x:c r="A493" s="24" t="str">
        <x:v>HIST-AC-15-0236</x:v>
      </x:c>
      <x:c r="B493" s="34"/>
      <x:c r="C493" s="24" t="str"/>
      <x:c r="D493" s="24" t="str">
        <x:v>Sprint 15 Acceptance</x:v>
      </x:c>
      <x:c r="E493" s="24" t="str">
        <x:v>S15-AC-06</x:v>
      </x:c>
      <x:c r="F493" s="24" t="str"/>
      <x:c r="G493" s="24" t="str">
        <x:v>Acceptance / Historical</x:v>
      </x:c>
      <x:c r="H493" s="24" t="str">
        <x:v>Baseline histórica</x:v>
      </x:c>
      <x:c r="I493" s="24" t="str">
        <x:v>Baseline PASS</x:v>
      </x:c>
      <x:c r="J493" s="24" t="str"/>
      <x:c r="K493" s="24" t="str"/>
      <x:c r="L493" s="24" t="str">
        <x:v>VRM Games</x:v>
      </x:c>
      <x:c r="M493" s="24"/>
      <x:c r="N493" s="24" t="str">
        <x:v>Closed produce un autosave — Documentation/10_Development_Records/Sprint_15/QA/S15_Acceptance_Matrix.md</x:v>
      </x:c>
    </x:row>
    <x:row r="494">
      <x:c r="A494" s="24" t="str">
        <x:v>HIST-AC-15-0237</x:v>
      </x:c>
      <x:c r="B494" s="34"/>
      <x:c r="C494" s="24" t="str"/>
      <x:c r="D494" s="24" t="str">
        <x:v>Sprint 15 Acceptance</x:v>
      </x:c>
      <x:c r="E494" s="24" t="str">
        <x:v>S15-AC-07</x:v>
      </x:c>
      <x:c r="F494" s="24" t="str"/>
      <x:c r="G494" s="24" t="str">
        <x:v>Acceptance / Historical</x:v>
      </x:c>
      <x:c r="H494" s="24" t="str">
        <x:v>Baseline histórica</x:v>
      </x:c>
      <x:c r="I494" s="24" t="str">
        <x:v>Baseline PASS</x:v>
      </x:c>
      <x:c r="J494" s="24" t="str"/>
      <x:c r="K494" s="24" t="str"/>
      <x:c r="L494" s="24" t="str">
        <x:v>VRM Games</x:v>
      </x:c>
      <x:c r="M494" s="24"/>
      <x:c r="N494" s="24" t="str">
        <x:v>Señal duplicada no duplica save — Documentation/10_Development_Records/Sprint_15/QA/S15_Acceptance_Matrix.md</x:v>
      </x:c>
    </x:row>
    <x:row r="495">
      <x:c r="A495" s="24" t="str">
        <x:v>HIST-AC-15-0238</x:v>
      </x:c>
      <x:c r="B495" s="34"/>
      <x:c r="C495" s="24" t="str"/>
      <x:c r="D495" s="24" t="str">
        <x:v>Sprint 15 Acceptance</x:v>
      </x:c>
      <x:c r="E495" s="24" t="str">
        <x:v>S15-AC-08</x:v>
      </x:c>
      <x:c r="F495" s="24" t="str"/>
      <x:c r="G495" s="24" t="str">
        <x:v>Acceptance / Historical</x:v>
      </x:c>
      <x:c r="H495" s="24" t="str">
        <x:v>Baseline histórica</x:v>
      </x:c>
      <x:c r="I495" s="24" t="str">
        <x:v>Baseline PASS</x:v>
      </x:c>
      <x:c r="J495" s="24" t="str"/>
      <x:c r="K495" s="24" t="str"/>
      <x:c r="L495" s="24" t="str">
        <x:v>VRM Games</x:v>
      </x:c>
      <x:c r="M495" s="24"/>
      <x:c r="N495" s="24" t="str">
        <x:v>Tutorial persiste por slot — Documentation/10_Development_Records/Sprint_15/QA/S15_Acceptance_Matrix.md</x:v>
      </x:c>
    </x:row>
    <x:row r="496">
      <x:c r="A496" s="24" t="str">
        <x:v>HIST-AC-15-0239</x:v>
      </x:c>
      <x:c r="B496" s="34"/>
      <x:c r="C496" s="24" t="str"/>
      <x:c r="D496" s="24" t="str">
        <x:v>Sprint 15 Acceptance</x:v>
      </x:c>
      <x:c r="E496" s="24" t="str">
        <x:v>S15-AC-09</x:v>
      </x:c>
      <x:c r="F496" s="24" t="str"/>
      <x:c r="G496" s="24" t="str">
        <x:v>Acceptance / Historical</x:v>
      </x:c>
      <x:c r="H496" s="24" t="str">
        <x:v>Baseline histórica</x:v>
      </x:c>
      <x:c r="I496" s="24" t="str">
        <x:v>Baseline PASS</x:v>
      </x:c>
      <x:c r="J496" s="24" t="str"/>
      <x:c r="K496" s="24" t="str"/>
      <x:c r="L496" s="24" t="str">
        <x:v>VRM Games</x:v>
      </x:c>
      <x:c r="M496" s="24"/>
      <x:c r="N496" s="24" t="str">
        <x:v>Tutorial skip/restart — Documentation/10_Development_Records/Sprint_15/QA/S15_Acceptance_Matrix.md</x:v>
      </x:c>
    </x:row>
    <x:row r="497">
      <x:c r="A497" s="24" t="str">
        <x:v>HIST-AC-15-0240</x:v>
      </x:c>
      <x:c r="B497" s="34"/>
      <x:c r="C497" s="24" t="str"/>
      <x:c r="D497" s="24" t="str">
        <x:v>Sprint 15 Acceptance</x:v>
      </x:c>
      <x:c r="E497" s="24" t="str">
        <x:v>S15-AC-10</x:v>
      </x:c>
      <x:c r="F497" s="24" t="str"/>
      <x:c r="G497" s="24" t="str">
        <x:v>Acceptance / Historical</x:v>
      </x:c>
      <x:c r="H497" s="24" t="str">
        <x:v>Baseline histórica</x:v>
      </x:c>
      <x:c r="I497" s="24" t="str">
        <x:v>Baseline PASS</x:v>
      </x:c>
      <x:c r="J497" s="24" t="str"/>
      <x:c r="K497" s="24" t="str"/>
      <x:c r="L497" s="24" t="str">
        <x:v>VRM Games</x:v>
      </x:c>
      <x:c r="M497" s="24"/>
      <x:c r="N497" s="24" t="str">
        <x:v>Accesibilidad persiste — Documentation/10_Development_Records/Sprint_15/QA/S15_Acceptance_Matrix.md</x:v>
      </x:c>
    </x:row>
    <x:row r="498">
      <x:c r="A498" s="24" t="str">
        <x:v>HIST-AC-15-0241</x:v>
      </x:c>
      <x:c r="B498" s="34"/>
      <x:c r="C498" s="24" t="str"/>
      <x:c r="D498" s="24" t="str">
        <x:v>Sprint 15 Acceptance</x:v>
      </x:c>
      <x:c r="E498" s="24" t="str">
        <x:v>S15-AC-11</x:v>
      </x:c>
      <x:c r="F498" s="24" t="str"/>
      <x:c r="G498" s="24" t="str">
        <x:v>Acceptance / Historical</x:v>
      </x:c>
      <x:c r="H498" s="24" t="str">
        <x:v>Baseline histórica</x:v>
      </x:c>
      <x:c r="I498" s="24" t="str">
        <x:v>Baseline PASS</x:v>
      </x:c>
      <x:c r="J498" s="24" t="str"/>
      <x:c r="K498" s="24" t="str"/>
      <x:c r="L498" s="24" t="str">
        <x:v>VRM Games</x:v>
      </x:c>
      <x:c r="M498" s="24"/>
      <x:c r="N498" s="24" t="str">
        <x:v>Ratón y teclado completos — Documentation/10_Development_Records/Sprint_15/QA/S15_Acceptance_Matrix.md</x:v>
      </x:c>
    </x:row>
    <x:row r="499">
      <x:c r="A499" s="24" t="str">
        <x:v>HIST-AC-15-0242</x:v>
      </x:c>
      <x:c r="B499" s="34"/>
      <x:c r="C499" s="24" t="str"/>
      <x:c r="D499" s="24" t="str">
        <x:v>Sprint 15 Acceptance</x:v>
      </x:c>
      <x:c r="E499" s="24" t="str">
        <x:v>S15-AC-12</x:v>
      </x:c>
      <x:c r="F499" s="24" t="str"/>
      <x:c r="G499" s="24" t="str">
        <x:v>Acceptance / Historical</x:v>
      </x:c>
      <x:c r="H499" s="24" t="str">
        <x:v>Baseline histórica</x:v>
      </x:c>
      <x:c r="I499" s="24" t="str">
        <x:v>Baseline PASS</x:v>
      </x:c>
      <x:c r="J499" s="24" t="str"/>
      <x:c r="K499" s="24" t="str"/>
      <x:c r="L499" s="24" t="str">
        <x:v>VRM Games</x:v>
      </x:c>
      <x:c r="M499" s="24"/>
      <x:c r="N499" s="24" t="str">
        <x:v>UI bloquea Gameplay — Documentation/10_Development_Records/Sprint_15/QA/S15_Acceptance_Matrix.md</x:v>
      </x:c>
    </x:row>
    <x:row r="500">
      <x:c r="A500" s="24" t="str">
        <x:v>HIST-AC-15-0243</x:v>
      </x:c>
      <x:c r="B500" s="34"/>
      <x:c r="C500" s="24" t="str"/>
      <x:c r="D500" s="24" t="str">
        <x:v>Sprint 15 Acceptance</x:v>
      </x:c>
      <x:c r="E500" s="24" t="str">
        <x:v>S15-AC-13</x:v>
      </x:c>
      <x:c r="F500" s="24" t="str"/>
      <x:c r="G500" s="24" t="str">
        <x:v>Acceptance / Historical</x:v>
      </x:c>
      <x:c r="H500" s="24" t="str">
        <x:v>Baseline histórica</x:v>
      </x:c>
      <x:c r="I500" s="24" t="str">
        <x:v>Baseline PASS</x:v>
      </x:c>
      <x:c r="J500" s="24" t="str"/>
      <x:c r="K500" s="24" t="str"/>
      <x:c r="L500" s="24" t="str">
        <x:v>VRM Games</x:v>
      </x:c>
      <x:c r="M500" s="24"/>
      <x:c r="N500" s="24" t="str">
        <x:v>Regresión S0–S14 — Documentation/10_Development_Records/Sprint_15/QA/S15_Acceptance_Matrix.md</x:v>
      </x:c>
    </x:row>
    <x:row r="501">
      <x:c r="A501" s="24" t="str">
        <x:v>HIST-AC-15-0244</x:v>
      </x:c>
      <x:c r="B501" s="34"/>
      <x:c r="C501" s="24" t="str"/>
      <x:c r="D501" s="24" t="str">
        <x:v>Sprint 15 Acceptance</x:v>
      </x:c>
      <x:c r="E501" s="24" t="str">
        <x:v>S15-AC-14</x:v>
      </x:c>
      <x:c r="F501" s="24" t="str"/>
      <x:c r="G501" s="24" t="str">
        <x:v>Acceptance / Historical</x:v>
      </x:c>
      <x:c r="H501" s="24" t="str">
        <x:v>Baseline histórica</x:v>
      </x:c>
      <x:c r="I501" s="24" t="str">
        <x:v>Baseline PASS</x:v>
      </x:c>
      <x:c r="J501" s="24" t="str"/>
      <x:c r="K501" s="24" t="str"/>
      <x:c r="L501" s="24" t="str">
        <x:v>VRM Games</x:v>
      </x:c>
      <x:c r="M501" s="24"/>
      <x:c r="N501" s="24" t="str">
        <x:v>Build Windows x64 externa — Documentation/10_Development_Records/Sprint_15/QA/S15_Acceptance_Matrix.md</x:v>
      </x:c>
    </x:row>
    <x:row r="502">
      <x:c r="A502" s="24" t="str">
        <x:v>HIST-AC-16-0245</x:v>
      </x:c>
      <x:c r="B502" s="34"/>
      <x:c r="C502" s="24" t="str"/>
      <x:c r="D502" s="24" t="str">
        <x:v>Sprint 16 Acceptance</x:v>
      </x:c>
      <x:c r="E502" s="24" t="str">
        <x:v>S16P1-AC-01</x:v>
      </x:c>
      <x:c r="F502" s="24" t="str"/>
      <x:c r="G502" s="24" t="str">
        <x:v>Acceptance / Historical</x:v>
      </x:c>
      <x:c r="H502" s="24" t="str">
        <x:v>Baseline histórica</x:v>
      </x:c>
      <x:c r="I502" s="24" t="str">
        <x:v>Pending</x:v>
      </x:c>
      <x:c r="J502" s="24" t="str"/>
      <x:c r="K502" s="24" t="str"/>
      <x:c r="L502" s="24" t="str">
        <x:v>VRM Games</x:v>
      </x:c>
      <x:c r="M502" s="24"/>
      <x:c r="N502" s="24" t="str">
        <x:v>Complete shell blockout — Documentation/10_Development_Records/Sprint_16/Phase_1/QA/S16_P1_Acceptance_Matrix.md</x:v>
      </x:c>
    </x:row>
    <x:row r="503">
      <x:c r="A503" s="24" t="str">
        <x:v>HIST-AC-16-0246</x:v>
      </x:c>
      <x:c r="B503" s="34"/>
      <x:c r="C503" s="24" t="str"/>
      <x:c r="D503" s="24" t="str">
        <x:v>Sprint 16 Acceptance</x:v>
      </x:c>
      <x:c r="E503" s="24" t="str">
        <x:v>S16P1-AC-02</x:v>
      </x:c>
      <x:c r="F503" s="24" t="str"/>
      <x:c r="G503" s="24" t="str">
        <x:v>Acceptance / Historical</x:v>
      </x:c>
      <x:c r="H503" s="24" t="str">
        <x:v>Baseline histórica</x:v>
      </x:c>
      <x:c r="I503" s="24" t="str">
        <x:v>Pending</x:v>
      </x:c>
      <x:c r="J503" s="24" t="str"/>
      <x:c r="K503" s="24" t="str"/>
      <x:c r="L503" s="24" t="str">
        <x:v>VRM Games</x:v>
      </x:c>
      <x:c r="M503" s="24"/>
      <x:c r="N503" s="24" t="str">
        <x:v>Wall occlusion setting — Documentation/10_Development_Records/Sprint_16/Phase_1/QA/S16_P1_Acceptance_Matrix.md</x:v>
      </x:c>
    </x:row>
    <x:row r="504">
      <x:c r="A504" s="24" t="str">
        <x:v>HIST-AC-16-0247</x:v>
      </x:c>
      <x:c r="B504" s="34"/>
      <x:c r="C504" s="24" t="str"/>
      <x:c r="D504" s="24" t="str">
        <x:v>Sprint 16 Acceptance</x:v>
      </x:c>
      <x:c r="E504" s="24" t="str">
        <x:v>S16P1-AC-03</x:v>
      </x:c>
      <x:c r="F504" s="24" t="str"/>
      <x:c r="G504" s="24" t="str">
        <x:v>Acceptance / Historical</x:v>
      </x:c>
      <x:c r="H504" s="24" t="str">
        <x:v>Baseline histórica</x:v>
      </x:c>
      <x:c r="I504" s="24" t="str">
        <x:v>Pending</x:v>
      </x:c>
      <x:c r="J504" s="24" t="str"/>
      <x:c r="K504" s="24" t="str"/>
      <x:c r="L504" s="24" t="str">
        <x:v>VRM Games</x:v>
      </x:c>
      <x:c r="M504" s="24"/>
      <x:c r="N504" s="24" t="str">
        <x:v>Automatic sliding door — Documentation/10_Development_Records/Sprint_16/Phase_1/QA/S16_P1_Acceptance_Matrix.md</x:v>
      </x:c>
    </x:row>
    <x:row r="505">
      <x:c r="A505" s="24" t="str">
        <x:v>HIST-AC-16-0248</x:v>
      </x:c>
      <x:c r="B505" s="34"/>
      <x:c r="C505" s="24" t="str"/>
      <x:c r="D505" s="24" t="str">
        <x:v>Sprint 16 Acceptance</x:v>
      </x:c>
      <x:c r="E505" s="24" t="str">
        <x:v>S16P1-AC-04</x:v>
      </x:c>
      <x:c r="F505" s="24" t="str"/>
      <x:c r="G505" s="24" t="str">
        <x:v>Acceptance / Historical</x:v>
      </x:c>
      <x:c r="H505" s="24" t="str">
        <x:v>Baseline histórica</x:v>
      </x:c>
      <x:c r="I505" s="24" t="str">
        <x:v>Pending</x:v>
      </x:c>
      <x:c r="J505" s="24" t="str"/>
      <x:c r="K505" s="24" t="str"/>
      <x:c r="L505" s="24" t="str">
        <x:v>VRM Games</x:v>
      </x:c>
      <x:c r="M505" s="24"/>
      <x:c r="N505" s="24" t="str">
        <x:v>Operational zones and lighting — Documentation/10_Development_Records/Sprint_16/Phase_1/QA/S16_P1_Acceptance_Matrix.md</x:v>
      </x:c>
    </x:row>
    <x:row r="506">
      <x:c r="A506" s="24" t="str">
        <x:v>HIST-AC-16-0249</x:v>
      </x:c>
      <x:c r="B506" s="34"/>
      <x:c r="C506" s="24" t="str"/>
      <x:c r="D506" s="24" t="str">
        <x:v>Sprint 16 Acceptance</x:v>
      </x:c>
      <x:c r="E506" s="24" t="str">
        <x:v>S16P1-AC-05</x:v>
      </x:c>
      <x:c r="F506" s="24" t="str"/>
      <x:c r="G506" s="24" t="str">
        <x:v>Acceptance / Historical</x:v>
      </x:c>
      <x:c r="H506" s="24" t="str">
        <x:v>Baseline histórica</x:v>
      </x:c>
      <x:c r="I506" s="24" t="str">
        <x:v>Pending</x:v>
      </x:c>
      <x:c r="J506" s="24" t="str"/>
      <x:c r="K506" s="24" t="str"/>
      <x:c r="L506" s="24" t="str">
        <x:v>VRM Games</x:v>
      </x:c>
      <x:c r="M506" s="24"/>
      <x:c r="N506" s="24" t="str">
        <x:v>Five purchasable furniture types — Documentation/10_Development_Records/Sprint_16/Phase_1/QA/S16_P1_Acceptance_Matrix.md</x:v>
      </x:c>
    </x:row>
    <x:row r="507">
      <x:c r="A507" s="24" t="str">
        <x:v>HIST-AC-16-0250</x:v>
      </x:c>
      <x:c r="B507" s="34"/>
      <x:c r="C507" s="24" t="str"/>
      <x:c r="D507" s="24" t="str">
        <x:v>Sprint 16 Acceptance</x:v>
      </x:c>
      <x:c r="E507" s="24" t="str">
        <x:v>S16P1-AC-06</x:v>
      </x:c>
      <x:c r="F507" s="24" t="str"/>
      <x:c r="G507" s="24" t="str">
        <x:v>Acceptance / Historical</x:v>
      </x:c>
      <x:c r="H507" s="24" t="str">
        <x:v>Baseline histórica</x:v>
      </x:c>
      <x:c r="I507" s="24" t="str">
        <x:v>Pending</x:v>
      </x:c>
      <x:c r="J507" s="24" t="str"/>
      <x:c r="K507" s="24" t="str"/>
      <x:c r="L507" s="24" t="str">
        <x:v>VRM Games</x:v>
      </x:c>
      <x:c r="M507" s="24"/>
      <x:c r="N507" s="24" t="str">
        <x:v>Furniture delivery and placement — Documentation/10_Development_Records/Sprint_16/Phase_1/QA/S16_P1_Acceptance_Matrix.md</x:v>
      </x:c>
    </x:row>
    <x:row r="508">
      <x:c r="A508" s="24" t="str">
        <x:v>HIST-AC-16-0251</x:v>
      </x:c>
      <x:c r="B508" s="34"/>
      <x:c r="C508" s="24" t="str"/>
      <x:c r="D508" s="24" t="str">
        <x:v>Sprint 16 Acceptance</x:v>
      </x:c>
      <x:c r="E508" s="24" t="str">
        <x:v>S16P1-AC-07</x:v>
      </x:c>
      <x:c r="F508" s="24" t="str"/>
      <x:c r="G508" s="24" t="str">
        <x:v>Acceptance / Historical</x:v>
      </x:c>
      <x:c r="H508" s="24" t="str">
        <x:v>Baseline histórica</x:v>
      </x:c>
      <x:c r="I508" s="24" t="str">
        <x:v>Pending</x:v>
      </x:c>
      <x:c r="J508" s="24" t="str"/>
      <x:c r="K508" s="24" t="str"/>
      <x:c r="L508" s="24" t="str">
        <x:v>VRM Games</x:v>
      </x:c>
      <x:c r="M508" s="24"/>
      <x:c r="N508" s="24" t="str">
        <x:v>Six merchandise families — Documentation/10_Development_Records/Sprint_16/Phase_1/QA/S16_P1_Acceptance_Matrix.md</x:v>
      </x:c>
    </x:row>
    <x:row r="509">
      <x:c r="A509" s="24" t="str">
        <x:v>HIST-AC-16-0252</x:v>
      </x:c>
      <x:c r="B509" s="34"/>
      <x:c r="C509" s="24" t="str"/>
      <x:c r="D509" s="24" t="str">
        <x:v>Sprint 16 Acceptance</x:v>
      </x:c>
      <x:c r="E509" s="24" t="str">
        <x:v>S16P1-AC-08</x:v>
      </x:c>
      <x:c r="F509" s="24" t="str"/>
      <x:c r="G509" s="24" t="str">
        <x:v>Acceptance / Historical</x:v>
      </x:c>
      <x:c r="H509" s="24" t="str">
        <x:v>Baseline histórica</x:v>
      </x:c>
      <x:c r="I509" s="24" t="str">
        <x:v>Pending</x:v>
      </x:c>
      <x:c r="J509" s="24" t="str"/>
      <x:c r="K509" s="24" t="str"/>
      <x:c r="L509" s="24" t="str">
        <x:v>VRM Games</x:v>
      </x:c>
      <x:c r="M509" s="24"/>
      <x:c r="N509" s="24" t="str">
        <x:v>Product delivery and backroom stock — Documentation/10_Development_Records/Sprint_16/Phase_1/QA/S16_P1_Acceptance_Matrix.md</x:v>
      </x:c>
    </x:row>
    <x:row r="510">
      <x:c r="A510" s="24" t="str">
        <x:v>HIST-AC-16-0253</x:v>
      </x:c>
      <x:c r="B510" s="34"/>
      <x:c r="C510" s="24" t="str"/>
      <x:c r="D510" s="24" t="str">
        <x:v>Sprint 16 Acceptance</x:v>
      </x:c>
      <x:c r="E510" s="24" t="str">
        <x:v>S16P1-AC-09</x:v>
      </x:c>
      <x:c r="F510" s="24" t="str"/>
      <x:c r="G510" s="24" t="str">
        <x:v>Acceptance / Historical</x:v>
      </x:c>
      <x:c r="H510" s="24" t="str">
        <x:v>Baseline histórica</x:v>
      </x:c>
      <x:c r="I510" s="24" t="str">
        <x:v>Pending</x:v>
      </x:c>
      <x:c r="J510" s="24" t="str"/>
      <x:c r="K510" s="24" t="str"/>
      <x:c r="L510" s="24" t="str">
        <x:v>VRM Games</x:v>
      </x:c>
      <x:c r="M510" s="24"/>
      <x:c r="N510" s="24" t="str">
        <x:v>Assignment and restocking — Documentation/10_Development_Records/Sprint_16/Phase_1/QA/S16_P1_Acceptance_Matrix.md</x:v>
      </x:c>
    </x:row>
    <x:row r="511">
      <x:c r="A511" s="24" t="str">
        <x:v>HIST-AC-16-0254</x:v>
      </x:c>
      <x:c r="B511" s="34"/>
      <x:c r="C511" s="24" t="str"/>
      <x:c r="D511" s="24" t="str">
        <x:v>Sprint 16 Acceptance</x:v>
      </x:c>
      <x:c r="E511" s="24" t="str">
        <x:v>S16P1-AC-10</x:v>
      </x:c>
      <x:c r="F511" s="24" t="str"/>
      <x:c r="G511" s="24" t="str">
        <x:v>Acceptance / Historical</x:v>
      </x:c>
      <x:c r="H511" s="24" t="str">
        <x:v>Baseline histórica</x:v>
      </x:c>
      <x:c r="I511" s="24" t="str">
        <x:v>Pending</x:v>
      </x:c>
      <x:c r="J511" s="24" t="str"/>
      <x:c r="K511" s="24" t="str"/>
      <x:c r="L511" s="24" t="str">
        <x:v>VRM Games</x:v>
      </x:c>
      <x:c r="M511" s="24"/>
      <x:c r="N511" s="24" t="str">
        <x:v>Customer purchase and checkout — Documentation/10_Development_Records/Sprint_16/Phase_1/QA/S16_P1_Acceptance_Matrix.md</x:v>
      </x:c>
    </x:row>
    <x:row r="512">
      <x:c r="A512" s="24" t="str">
        <x:v>HIST-AC-16-0255</x:v>
      </x:c>
      <x:c r="B512" s="34"/>
      <x:c r="C512" s="24" t="str"/>
      <x:c r="D512" s="24" t="str">
        <x:v>Sprint 16 Acceptance</x:v>
      </x:c>
      <x:c r="E512" s="24" t="str">
        <x:v>S16P1-AC-11</x:v>
      </x:c>
      <x:c r="F512" s="24" t="str"/>
      <x:c r="G512" s="24" t="str">
        <x:v>Acceptance / Historical</x:v>
      </x:c>
      <x:c r="H512" s="24" t="str">
        <x:v>Baseline histórica</x:v>
      </x:c>
      <x:c r="I512" s="24" t="str">
        <x:v>Pending</x:v>
      </x:c>
      <x:c r="J512" s="24" t="str"/>
      <x:c r="K512" s="24" t="str"/>
      <x:c r="L512" s="24" t="str">
        <x:v>VRM Games</x:v>
      </x:c>
      <x:c r="M512" s="24"/>
      <x:c r="N512" s="24" t="str">
        <x:v>Cash and ledger exact — Documentation/10_Development_Records/Sprint_16/Phase_1/QA/S16_P1_Acceptance_Matrix.md</x:v>
      </x:c>
    </x:row>
    <x:row r="513">
      <x:c r="A513" s="24" t="str">
        <x:v>HIST-AC-16-0256</x:v>
      </x:c>
      <x:c r="B513" s="34"/>
      <x:c r="C513" s="24" t="str"/>
      <x:c r="D513" s="24" t="str">
        <x:v>Sprint 16 Acceptance</x:v>
      </x:c>
      <x:c r="E513" s="24" t="str">
        <x:v>S16P1-AC-12</x:v>
      </x:c>
      <x:c r="F513" s="24" t="str"/>
      <x:c r="G513" s="24" t="str">
        <x:v>Acceptance / Historical</x:v>
      </x:c>
      <x:c r="H513" s="24" t="str">
        <x:v>Baseline histórica</x:v>
      </x:c>
      <x:c r="I513" s="24" t="str">
        <x:v>Pending</x:v>
      </x:c>
      <x:c r="J513" s="24" t="str"/>
      <x:c r="K513" s="24" t="str"/>
      <x:c r="L513" s="24" t="str">
        <x:v>VRM Games</x:v>
      </x:c>
      <x:c r="M513" s="24"/>
      <x:c r="N513" s="24" t="str">
        <x:v>Removal returns stock — Documentation/10_Development_Records/Sprint_16/Phase_1/QA/S16_P1_Acceptance_Matrix.md</x:v>
      </x:c>
    </x:row>
    <x:row r="514">
      <x:c r="A514" s="24" t="str">
        <x:v>HIST-AC-16-0257</x:v>
      </x:c>
      <x:c r="B514" s="34"/>
      <x:c r="C514" s="24" t="str"/>
      <x:c r="D514" s="24" t="str">
        <x:v>Sprint 16 Acceptance</x:v>
      </x:c>
      <x:c r="E514" s="24" t="str">
        <x:v>S16P1-AC-13</x:v>
      </x:c>
      <x:c r="F514" s="24" t="str"/>
      <x:c r="G514" s="24" t="str">
        <x:v>Acceptance / Historical</x:v>
      </x:c>
      <x:c r="H514" s="24" t="str">
        <x:v>Baseline histórica</x:v>
      </x:c>
      <x:c r="I514" s="24" t="str">
        <x:v>Pending</x:v>
      </x:c>
      <x:c r="J514" s="24" t="str"/>
      <x:c r="K514" s="24" t="str"/>
      <x:c r="L514" s="24" t="str">
        <x:v>VRM Games</x:v>
      </x:c>
      <x:c r="M514" s="24"/>
      <x:c r="N514" s="24" t="str">
        <x:v>Feedback set complete — Documentation/10_Development_Records/Sprint_16/Phase_1/QA/S16_P1_Acceptance_Matrix.md</x:v>
      </x:c>
    </x:row>
    <x:row r="515">
      <x:c r="A515" s="24" t="str">
        <x:v>HIST-AC-16-0258</x:v>
      </x:c>
      <x:c r="B515" s="34"/>
      <x:c r="C515" s="24" t="str"/>
      <x:c r="D515" s="24" t="str">
        <x:v>Sprint 16 Acceptance</x:v>
      </x:c>
      <x:c r="E515" s="24" t="str">
        <x:v>S16P1-AC-14</x:v>
      </x:c>
      <x:c r="F515" s="24" t="str"/>
      <x:c r="G515" s="24" t="str">
        <x:v>Acceptance / Historical</x:v>
      </x:c>
      <x:c r="H515" s="24" t="str">
        <x:v>Baseline histórica</x:v>
      </x:c>
      <x:c r="I515" s="24" t="str">
        <x:v>Pending</x:v>
      </x:c>
      <x:c r="J515" s="24" t="str"/>
      <x:c r="K515" s="24" t="str"/>
      <x:c r="L515" s="24" t="str">
        <x:v>VRM Games</x:v>
      </x:c>
      <x:c r="M515" s="24"/>
      <x:c r="N515" s="24" t="str">
        <x:v>Audio/VFX optional — Documentation/10_Development_Records/Sprint_16/Phase_1/QA/S16_P1_Acceptance_Matrix.md</x:v>
      </x:c>
    </x:row>
    <x:row r="516">
      <x:c r="A516" s="24" t="str">
        <x:v>HIST-AC-16-0259</x:v>
      </x:c>
      <x:c r="B516" s="34"/>
      <x:c r="C516" s="24" t="str"/>
      <x:c r="D516" s="24" t="str">
        <x:v>Sprint 16 Acceptance</x:v>
      </x:c>
      <x:c r="E516" s="24" t="str">
        <x:v>S16P1-AC-15</x:v>
      </x:c>
      <x:c r="F516" s="24" t="str"/>
      <x:c r="G516" s="24" t="str">
        <x:v>Acceptance / Historical</x:v>
      </x:c>
      <x:c r="H516" s="24" t="str">
        <x:v>Baseline histórica</x:v>
      </x:c>
      <x:c r="I516" s="24" t="str">
        <x:v>Pending</x:v>
      </x:c>
      <x:c r="J516" s="24" t="str"/>
      <x:c r="K516" s="24" t="str"/>
      <x:c r="L516" s="24" t="str">
        <x:v>VRM Games</x:v>
      </x:c>
      <x:c r="M516" s="24"/>
      <x:c r="N516" s="24" t="str">
        <x:v>Save/load restores Phase 1 — Documentation/10_Development_Records/Sprint_16/Phase_1/QA/S16_P1_Acceptance_Matrix.md</x:v>
      </x:c>
    </x:row>
    <x:row r="517">
      <x:c r="A517" s="24" t="str">
        <x:v>HIST-AC-16-0260</x:v>
      </x:c>
      <x:c r="B517" s="34"/>
      <x:c r="C517" s="24" t="str"/>
      <x:c r="D517" s="24" t="str">
        <x:v>Sprint 16 Acceptance</x:v>
      </x:c>
      <x:c r="E517" s="24" t="str">
        <x:v>S16P1-AC-16</x:v>
      </x:c>
      <x:c r="F517" s="24" t="str"/>
      <x:c r="G517" s="24" t="str">
        <x:v>Acceptance / Historical</x:v>
      </x:c>
      <x:c r="H517" s="24" t="str">
        <x:v>Baseline histórica</x:v>
      </x:c>
      <x:c r="I517" s="24" t="str">
        <x:v>Pending</x:v>
      </x:c>
      <x:c r="J517" s="24" t="str"/>
      <x:c r="K517" s="24" t="str"/>
      <x:c r="L517" s="24" t="str">
        <x:v>VRM Games</x:v>
      </x:c>
      <x:c r="M517" s="24"/>
      <x:c r="N517" s="24" t="str">
        <x:v>Golden Path complete — Documentation/10_Development_Records/Sprint_16/Phase_1/QA/S16_P1_Acceptance_Matrix.md</x:v>
      </x:c>
    </x:row>
    <x:row r="518">
      <x:c r="A518" s="24" t="str">
        <x:v>HIST-AC-16-0261</x:v>
      </x:c>
      <x:c r="B518" s="34"/>
      <x:c r="C518" s="24" t="str"/>
      <x:c r="D518" s="24" t="str">
        <x:v>Sprint 16 Acceptance</x:v>
      </x:c>
      <x:c r="E518" s="24" t="str">
        <x:v>S16P1-AC-17</x:v>
      </x:c>
      <x:c r="F518" s="24" t="str"/>
      <x:c r="G518" s="24" t="str">
        <x:v>Acceptance / Historical</x:v>
      </x:c>
      <x:c r="H518" s="24" t="str">
        <x:v>Baseline histórica</x:v>
      </x:c>
      <x:c r="I518" s="24" t="str">
        <x:v>Pending</x:v>
      </x:c>
      <x:c r="J518" s="24" t="str"/>
      <x:c r="K518" s="24" t="str"/>
      <x:c r="L518" s="24" t="str">
        <x:v>VRM Games</x:v>
      </x:c>
      <x:c r="M518" s="24"/>
      <x:c r="N518" s="24" t="str">
        <x:v>Regression S0–S15 — Documentation/10_Development_Records/Sprint_16/Phase_1/QA/S16_P1_Acceptance_Matrix.md</x:v>
      </x:c>
    </x:row>
    <x:row r="519">
      <x:c r="A519" s="24" t="str">
        <x:v>HIST-AC-16-0262</x:v>
      </x:c>
      <x:c r="B519" s="34"/>
      <x:c r="C519" s="24" t="str"/>
      <x:c r="D519" s="24" t="str">
        <x:v>Sprint 16 Acceptance</x:v>
      </x:c>
      <x:c r="E519" s="24" t="str">
        <x:v>S16P1-AC-18</x:v>
      </x:c>
      <x:c r="F519" s="24" t="str"/>
      <x:c r="G519" s="24" t="str">
        <x:v>Acceptance / Historical</x:v>
      </x:c>
      <x:c r="H519" s="24" t="str">
        <x:v>Baseline histórica</x:v>
      </x:c>
      <x:c r="I519" s="24" t="str">
        <x:v>Pending</x:v>
      </x:c>
      <x:c r="J519" s="24" t="str"/>
      <x:c r="K519" s="24" t="str"/>
      <x:c r="L519" s="24" t="str">
        <x:v>VRM Games</x:v>
      </x:c>
      <x:c r="M519" s="24"/>
      <x:c r="N519" s="24" t="str">
        <x:v>Build and external Player — Documentation/10_Development_Records/Sprint_16/Phase_1/QA/S16_P1_Acceptance_Matrix.md</x:v>
      </x:c>
    </x:row>
    <x:row r="520">
      <x:c r="A520" s="24" t="str">
        <x:v>HIST-AC-16-0263</x:v>
      </x:c>
      <x:c r="B520" s="34"/>
      <x:c r="C520" s="24" t="str"/>
      <x:c r="D520" s="24" t="str">
        <x:v>Sprint 16 Acceptance</x:v>
      </x:c>
      <x:c r="E520" s="24" t="str">
        <x:v>S16P1-AC-19</x:v>
      </x:c>
      <x:c r="F520" s="24" t="str"/>
      <x:c r="G520" s="24" t="str">
        <x:v>Acceptance / Historical</x:v>
      </x:c>
      <x:c r="H520" s="24" t="str">
        <x:v>Baseline histórica</x:v>
      </x:c>
      <x:c r="I520" s="24" t="str">
        <x:v>Pending</x:v>
      </x:c>
      <x:c r="J520" s="24" t="str"/>
      <x:c r="K520" s="24" t="str"/>
      <x:c r="L520" s="24" t="str">
        <x:v>VRM Games</x:v>
      </x:c>
      <x:c r="M520" s="24"/>
      <x:c r="N520" s="24" t="str">
        <x:v>No S0/S1 — Documentation/10_Development_Records/Sprint_16/Phase_1/QA/S16_P1_Acceptance_Matrix.md</x:v>
      </x:c>
    </x:row>
    <x:row r="521">
      <x:c r="A521" s="24" t="str">
        <x:v>HIST-AC-16-0264</x:v>
      </x:c>
      <x:c r="B521" s="34"/>
      <x:c r="C521" s="24" t="str"/>
      <x:c r="D521" s="24" t="str">
        <x:v>Sprint 16 Acceptance</x:v>
      </x:c>
      <x:c r="E521" s="24" t="str">
        <x:v>S16P1-AC-20</x:v>
      </x:c>
      <x:c r="F521" s="24" t="str"/>
      <x:c r="G521" s="24" t="str">
        <x:v>Acceptance / Historical</x:v>
      </x:c>
      <x:c r="H521" s="24" t="str">
        <x:v>Baseline histórica</x:v>
      </x:c>
      <x:c r="I521" s="24" t="str">
        <x:v>Pending</x:v>
      </x:c>
      <x:c r="J521" s="24" t="str"/>
      <x:c r="K521" s="24" t="str"/>
      <x:c r="L521" s="24" t="str">
        <x:v>VRM Games</x:v>
      </x:c>
      <x:c r="M521" s="24"/>
      <x:c r="N521" s="24" t="str">
        <x:v>Phase 2 gate approved — Documentation/10_Development_Records/Sprint_16/Phase_1/QA/S16_P1_Acceptance_Matrix.md</x:v>
      </x:c>
    </x:row>
    <x:row r="522">
      <x:c r="A522" t="str">
        <x:v>EXE-W0-001</x:v>
      </x:c>
      <x:c r="B522"/>
      <x:c r="C522"/>
      <x:c r="D522" t="str">
        <x:v>Sprint17_Phase1 Characterization</x:v>
      </x:c>
      <x:c r="E522" t="str">
        <x:v>CHAR-TIM-001</x:v>
      </x:c>
      <x:c r="F522" t="str">
        <x:v>ADR-0074;ADR-0075</x:v>
      </x:c>
      <x:c r="G522" t="str">
        <x:v>PlayMode + Manual</x:v>
      </x:c>
      <x:c r="H522" t="str">
        <x:v>Unity 6000.3.18f1 / Windows x64</x:v>
      </x:c>
      <x:c r="I522" t="str">
        <x:v>Not Run</x:v>
      </x:c>
      <x:c r="J522"/>
      <x:c r="K522"/>
      <x:c r="L522" t="str">
        <x:v>VRM Games</x:v>
      </x:c>
      <x:c r="M522"/>
      <x:c r="N522" t="str">
        <x:v>Definida en W0; ejecutar antes de la ola indicada.</x:v>
      </x:c>
    </x:row>
    <x:row r="523">
      <x:c r="A523" t="str">
        <x:v>EXE-W0-002</x:v>
      </x:c>
      <x:c r="B523"/>
      <x:c r="C523"/>
      <x:c r="D523" t="str">
        <x:v>Sprint17_Phase1 Characterization</x:v>
      </x:c>
      <x:c r="E523" t="str">
        <x:v>CHAR-TIM-002</x:v>
      </x:c>
      <x:c r="F523" t="str">
        <x:v>ADR-0074</x:v>
      </x:c>
      <x:c r="G523" t="str">
        <x:v>PlayMode + Manual</x:v>
      </x:c>
      <x:c r="H523" t="str">
        <x:v>Unity 6000.3.18f1 / Windows x64</x:v>
      </x:c>
      <x:c r="I523" t="str">
        <x:v>Not Run</x:v>
      </x:c>
      <x:c r="J523"/>
      <x:c r="K523"/>
      <x:c r="L523" t="str">
        <x:v>VRM Games</x:v>
      </x:c>
      <x:c r="M523"/>
      <x:c r="N523" t="str">
        <x:v>Definida en W0; ejecutar antes de la ola indicada.</x:v>
      </x:c>
    </x:row>
    <x:row r="524">
      <x:c r="A524" t="str">
        <x:v>EXE-W0-003</x:v>
      </x:c>
      <x:c r="B524"/>
      <x:c r="C524"/>
      <x:c r="D524" t="str">
        <x:v>Sprint17_Phase1 Characterization</x:v>
      </x:c>
      <x:c r="E524" t="str">
        <x:v>CHAR-TIM-003</x:v>
      </x:c>
      <x:c r="F524" t="str">
        <x:v>ADR-0074</x:v>
      </x:c>
      <x:c r="G524" t="str">
        <x:v>PlayMode + Manual</x:v>
      </x:c>
      <x:c r="H524" t="str">
        <x:v>Unity 6000.3.18f1 / Windows x64</x:v>
      </x:c>
      <x:c r="I524" t="str">
        <x:v>Not Run</x:v>
      </x:c>
      <x:c r="J524"/>
      <x:c r="K524"/>
      <x:c r="L524" t="str">
        <x:v>VRM Games</x:v>
      </x:c>
      <x:c r="M524"/>
      <x:c r="N524" t="str">
        <x:v>Definida en W0; ejecutar antes de la ola indicada.</x:v>
      </x:c>
    </x:row>
    <x:row r="525">
      <x:c r="A525" t="str">
        <x:v>EXE-W0-004</x:v>
      </x:c>
      <x:c r="B525"/>
      <x:c r="C525"/>
      <x:c r="D525" t="str">
        <x:v>Sprint17_Phase1 Characterization</x:v>
      </x:c>
      <x:c r="E525" t="str">
        <x:v>CHAR-TIM-004</x:v>
      </x:c>
      <x:c r="F525" t="str">
        <x:v>ADR-0074</x:v>
      </x:c>
      <x:c r="G525" t="str">
        <x:v>Build + Manual</x:v>
      </x:c>
      <x:c r="H525" t="str">
        <x:v>Unity 6000.3.18f1 / Windows x64</x:v>
      </x:c>
      <x:c r="I525" t="str">
        <x:v>Not Run</x:v>
      </x:c>
      <x:c r="J525"/>
      <x:c r="K525"/>
      <x:c r="L525" t="str">
        <x:v>VRM Games</x:v>
      </x:c>
      <x:c r="M525"/>
      <x:c r="N525" t="str">
        <x:v>Definida en W0; ejecutar antes de la ola indicada.</x:v>
      </x:c>
    </x:row>
    <x:row r="526">
      <x:c r="A526" t="str">
        <x:v>EXE-W0-005</x:v>
      </x:c>
      <x:c r="B526"/>
      <x:c r="C526"/>
      <x:c r="D526" t="str">
        <x:v>Sprint17_Phase1 Characterization</x:v>
      </x:c>
      <x:c r="E526" t="str">
        <x:v>CHAR-TIM-005</x:v>
      </x:c>
      <x:c r="F526" t="str">
        <x:v>ADR-0074;ADR-0075</x:v>
      </x:c>
      <x:c r="G526" t="str">
        <x:v>PlayMode + Manual</x:v>
      </x:c>
      <x:c r="H526" t="str">
        <x:v>Unity 6000.3.18f1 / Windows x64</x:v>
      </x:c>
      <x:c r="I526" t="str">
        <x:v>Not Run</x:v>
      </x:c>
      <x:c r="J526"/>
      <x:c r="K526"/>
      <x:c r="L526" t="str">
        <x:v>VRM Games</x:v>
      </x:c>
      <x:c r="M526"/>
      <x:c r="N526" t="str">
        <x:v>Definida en W0; ejecutar antes de la ola indicada.</x:v>
      </x:c>
    </x:row>
    <x:row r="527">
      <x:c r="A527" t="str">
        <x:v>EXE-W0-006</x:v>
      </x:c>
      <x:c r="B527"/>
      <x:c r="C527"/>
      <x:c r="D527" t="str">
        <x:v>Sprint17_Phase1 Characterization</x:v>
      </x:c>
      <x:c r="E527" t="str">
        <x:v>CHAR-TIM-006</x:v>
      </x:c>
      <x:c r="F527" t="str">
        <x:v>ADR-0074</x:v>
      </x:c>
      <x:c r="G527" t="str">
        <x:v>EditMode + PlayMode</x:v>
      </x:c>
      <x:c r="H527" t="str">
        <x:v>Unity 6000.3.18f1 / Windows x64</x:v>
      </x:c>
      <x:c r="I527" t="str">
        <x:v>Not Run</x:v>
      </x:c>
      <x:c r="J527"/>
      <x:c r="K527"/>
      <x:c r="L527" t="str">
        <x:v>VRM Games</x:v>
      </x:c>
      <x:c r="M527"/>
      <x:c r="N527" t="str">
        <x:v>Definida en W0; ejecutar antes de la ola indicada.</x:v>
      </x:c>
    </x:row>
    <x:row r="528">
      <x:c r="A528" t="str">
        <x:v>EXE-W0-007</x:v>
      </x:c>
      <x:c r="B528"/>
      <x:c r="C528"/>
      <x:c r="D528" t="str">
        <x:v>Sprint17_Phase1 Characterization</x:v>
      </x:c>
      <x:c r="E528" t="str">
        <x:v>CHAR-TIM-007</x:v>
      </x:c>
      <x:c r="F528" t="str">
        <x:v>ADR-0075</x:v>
      </x:c>
      <x:c r="G528" t="str">
        <x:v>EditMode + PlayMode</x:v>
      </x:c>
      <x:c r="H528" t="str">
        <x:v>Unity 6000.3.18f1 / Windows x64</x:v>
      </x:c>
      <x:c r="I528" t="str">
        <x:v>Not Run</x:v>
      </x:c>
      <x:c r="J528"/>
      <x:c r="K528"/>
      <x:c r="L528" t="str">
        <x:v>VRM Games</x:v>
      </x:c>
      <x:c r="M528"/>
      <x:c r="N528" t="str">
        <x:v>Definida en W0; ejecutar antes de la ola indicada.</x:v>
      </x:c>
    </x:row>
    <x:row r="529">
      <x:c r="A529" t="str">
        <x:v>EXE-W0-008</x:v>
      </x:c>
      <x:c r="B529"/>
      <x:c r="C529"/>
      <x:c r="D529" t="str">
        <x:v>Sprint17_Phase1 Characterization</x:v>
      </x:c>
      <x:c r="E529" t="str">
        <x:v>CHAR-TIM-008</x:v>
      </x:c>
      <x:c r="F529" t="str">
        <x:v>ADR-0074;ADR-0075</x:v>
      </x:c>
      <x:c r="G529" t="str">
        <x:v>PlayMode + Manual</x:v>
      </x:c>
      <x:c r="H529" t="str">
        <x:v>Unity 6000.3.18f1 / Windows x64</x:v>
      </x:c>
      <x:c r="I529" t="str">
        <x:v>Not Run</x:v>
      </x:c>
      <x:c r="J529"/>
      <x:c r="K529"/>
      <x:c r="L529" t="str">
        <x:v>VRM Games</x:v>
      </x:c>
      <x:c r="M529"/>
      <x:c r="N529" t="str">
        <x:v>Definida en W0; ejecutar antes de la ola indicada.</x:v>
      </x:c>
    </x:row>
    <x:row r="530">
      <x:c r="A530" t="str">
        <x:v>EXE-W0-009</x:v>
      </x:c>
      <x:c r="B530"/>
      <x:c r="C530"/>
      <x:c r="D530" t="str">
        <x:v>Sprint17_Phase1 Characterization</x:v>
      </x:c>
      <x:c r="E530" t="str">
        <x:v>CHAR-CUS-001</x:v>
      </x:c>
      <x:c r="F530" t="str">
        <x:v>ADR-0077</x:v>
      </x:c>
      <x:c r="G530" t="str">
        <x:v>PlayMode + Manual</x:v>
      </x:c>
      <x:c r="H530" t="str">
        <x:v>Unity 6000.3.18f1 / Windows x64</x:v>
      </x:c>
      <x:c r="I530" t="str">
        <x:v>Not Run</x:v>
      </x:c>
      <x:c r="J530"/>
      <x:c r="K530"/>
      <x:c r="L530" t="str">
        <x:v>VRM Games</x:v>
      </x:c>
      <x:c r="M530"/>
      <x:c r="N530" t="str">
        <x:v>Definida en W0; ejecutar antes de la ola indicada.</x:v>
      </x:c>
    </x:row>
    <x:row r="531">
      <x:c r="A531" t="str">
        <x:v>EXE-W0-010</x:v>
      </x:c>
      <x:c r="B531"/>
      <x:c r="C531"/>
      <x:c r="D531" t="str">
        <x:v>Sprint17_Phase1 Characterization</x:v>
      </x:c>
      <x:c r="E531" t="str">
        <x:v>CHAR-CUS-002</x:v>
      </x:c>
      <x:c r="F531" t="str">
        <x:v>ADR-0077</x:v>
      </x:c>
      <x:c r="G531" t="str">
        <x:v>PlayMode + Manual</x:v>
      </x:c>
      <x:c r="H531" t="str">
        <x:v>Unity 6000.3.18f1 / Windows x64</x:v>
      </x:c>
      <x:c r="I531" t="str">
        <x:v>Not Run</x:v>
      </x:c>
      <x:c r="J531"/>
      <x:c r="K531"/>
      <x:c r="L531" t="str">
        <x:v>VRM Games</x:v>
      </x:c>
      <x:c r="M531"/>
      <x:c r="N531" t="str">
        <x:v>Definida en W0; ejecutar antes de la ola indicada.</x:v>
      </x:c>
    </x:row>
    <x:row r="532">
      <x:c r="A532" t="str">
        <x:v>EXE-W0-011</x:v>
      </x:c>
      <x:c r="B532"/>
      <x:c r="C532"/>
      <x:c r="D532" t="str">
        <x:v>Sprint17_Phase1 Characterization</x:v>
      </x:c>
      <x:c r="E532" t="str">
        <x:v>CHAR-CUS-003</x:v>
      </x:c>
      <x:c r="F532" t="str">
        <x:v>ADR-0077</x:v>
      </x:c>
      <x:c r="G532" t="str">
        <x:v>PlayMode + Manual</x:v>
      </x:c>
      <x:c r="H532" t="str">
        <x:v>Unity 6000.3.18f1 / Windows x64</x:v>
      </x:c>
      <x:c r="I532" t="str">
        <x:v>Not Run</x:v>
      </x:c>
      <x:c r="J532"/>
      <x:c r="K532"/>
      <x:c r="L532" t="str">
        <x:v>VRM Games</x:v>
      </x:c>
      <x:c r="M532"/>
      <x:c r="N532" t="str">
        <x:v>Definida en W0; ejecutar antes de la ola indicada.</x:v>
      </x:c>
    </x:row>
    <x:row r="533">
      <x:c r="A533" t="str">
        <x:v>EXE-W0-012</x:v>
      </x:c>
      <x:c r="B533"/>
      <x:c r="C533"/>
      <x:c r="D533" t="str">
        <x:v>Sprint17_Phase1 Characterization</x:v>
      </x:c>
      <x:c r="E533" t="str">
        <x:v>CHAR-CUS-004</x:v>
      </x:c>
      <x:c r="F533" t="str">
        <x:v>ADR-0077</x:v>
      </x:c>
      <x:c r="G533" t="str">
        <x:v>PlayMode + Manual</x:v>
      </x:c>
      <x:c r="H533" t="str">
        <x:v>Unity 6000.3.18f1 / Windows x64</x:v>
      </x:c>
      <x:c r="I533" t="str">
        <x:v>Not Run</x:v>
      </x:c>
      <x:c r="J533"/>
      <x:c r="K533"/>
      <x:c r="L533" t="str">
        <x:v>VRM Games</x:v>
      </x:c>
      <x:c r="M533"/>
      <x:c r="N533" t="str">
        <x:v>Definida en W0; ejecutar antes de la ola indicada.</x:v>
      </x:c>
    </x:row>
    <x:row r="534">
      <x:c r="A534" t="str">
        <x:v>EXE-W0-013</x:v>
      </x:c>
      <x:c r="B534"/>
      <x:c r="C534"/>
      <x:c r="D534" t="str">
        <x:v>Sprint17_Phase1 Characterization</x:v>
      </x:c>
      <x:c r="E534" t="str">
        <x:v>CHAR-CUS-005</x:v>
      </x:c>
      <x:c r="F534" t="str">
        <x:v>ADR-0077</x:v>
      </x:c>
      <x:c r="G534" t="str">
        <x:v>PlayMode + Manual</x:v>
      </x:c>
      <x:c r="H534" t="str">
        <x:v>Unity 6000.3.18f1 / Windows x64</x:v>
      </x:c>
      <x:c r="I534" t="str">
        <x:v>Not Run</x:v>
      </x:c>
      <x:c r="J534"/>
      <x:c r="K534"/>
      <x:c r="L534" t="str">
        <x:v>VRM Games</x:v>
      </x:c>
      <x:c r="M534"/>
      <x:c r="N534" t="str">
        <x:v>Definida en W0; ejecutar antes de la ola indicada.</x:v>
      </x:c>
    </x:row>
    <x:row r="535">
      <x:c r="A535" t="str">
        <x:v>EXE-W0-014</x:v>
      </x:c>
      <x:c r="B535"/>
      <x:c r="C535"/>
      <x:c r="D535" t="str">
        <x:v>Sprint17_Phase1 Characterization</x:v>
      </x:c>
      <x:c r="E535" t="str">
        <x:v>CHAR-CUS-006</x:v>
      </x:c>
      <x:c r="F535" t="str">
        <x:v>ADR-0078</x:v>
      </x:c>
      <x:c r="G535" t="str">
        <x:v>Build + Manual</x:v>
      </x:c>
      <x:c r="H535" t="str">
        <x:v>Unity 6000.3.18f1 / Windows x64</x:v>
      </x:c>
      <x:c r="I535" t="str">
        <x:v>Not Run</x:v>
      </x:c>
      <x:c r="J535"/>
      <x:c r="K535"/>
      <x:c r="L535" t="str">
        <x:v>VRM Games</x:v>
      </x:c>
      <x:c r="M535"/>
      <x:c r="N535" t="str">
        <x:v>Definida en W0; ejecutar antes de la ola indicada.</x:v>
      </x:c>
    </x:row>
    <x:row r="536">
      <x:c r="A536" t="str">
        <x:v>EXE-W0-015</x:v>
      </x:c>
      <x:c r="B536"/>
      <x:c r="C536"/>
      <x:c r="D536" t="str">
        <x:v>Sprint17_Phase1 Characterization</x:v>
      </x:c>
      <x:c r="E536" t="str">
        <x:v>CHAR-CUS-007</x:v>
      </x:c>
      <x:c r="F536" t="str">
        <x:v>ADR-0078</x:v>
      </x:c>
      <x:c r="G536" t="str">
        <x:v>EditMode + PlayMode</x:v>
      </x:c>
      <x:c r="H536" t="str">
        <x:v>Unity 6000.3.18f1 / Windows x64</x:v>
      </x:c>
      <x:c r="I536" t="str">
        <x:v>Not Run</x:v>
      </x:c>
      <x:c r="J536"/>
      <x:c r="K536"/>
      <x:c r="L536" t="str">
        <x:v>VRM Games</x:v>
      </x:c>
      <x:c r="M536"/>
      <x:c r="N536" t="str">
        <x:v>Definida en W0; ejecutar antes de la ola indicada.</x:v>
      </x:c>
    </x:row>
    <x:row r="537">
      <x:c r="A537" t="str">
        <x:v>EXE-W0-016</x:v>
      </x:c>
      <x:c r="B537"/>
      <x:c r="C537"/>
      <x:c r="D537" t="str">
        <x:v>Sprint17_Phase1 Characterization</x:v>
      </x:c>
      <x:c r="E537" t="str">
        <x:v>CHAR-CUS-008</x:v>
      </x:c>
      <x:c r="F537" t="str">
        <x:v>ADR-0077;ADR-0078</x:v>
      </x:c>
      <x:c r="G537" t="str">
        <x:v>Build + Manual</x:v>
      </x:c>
      <x:c r="H537" t="str">
        <x:v>Unity 6000.3.18f1 / Windows x64</x:v>
      </x:c>
      <x:c r="I537" t="str">
        <x:v>Not Run</x:v>
      </x:c>
      <x:c r="J537"/>
      <x:c r="K537"/>
      <x:c r="L537" t="str">
        <x:v>VRM Games</x:v>
      </x:c>
      <x:c r="M537"/>
      <x:c r="N537" t="str">
        <x:v>Definida en W0; ejecutar antes de la ola indicada.</x:v>
      </x:c>
    </x:row>
    <x:row r="538">
      <x:c r="A538" t="str">
        <x:v>EXE-W0-017</x:v>
      </x:c>
      <x:c r="B538"/>
      <x:c r="C538"/>
      <x:c r="D538" t="str">
        <x:v>Sprint17_Phase1 Characterization</x:v>
      </x:c>
      <x:c r="E538" t="str">
        <x:v>CHAR-CUS-009</x:v>
      </x:c>
      <x:c r="F538" t="str">
        <x:v>ADR-0078</x:v>
      </x:c>
      <x:c r="G538" t="str">
        <x:v>EditMode + PlayMode</x:v>
      </x:c>
      <x:c r="H538" t="str">
        <x:v>Unity 6000.3.18f1 / Windows x64</x:v>
      </x:c>
      <x:c r="I538" t="str">
        <x:v>Not Run</x:v>
      </x:c>
      <x:c r="J538"/>
      <x:c r="K538"/>
      <x:c r="L538" t="str">
        <x:v>VRM Games</x:v>
      </x:c>
      <x:c r="M538"/>
      <x:c r="N538" t="str">
        <x:v>Definida en W0; ejecutar antes de la ola indicada.</x:v>
      </x:c>
    </x:row>
    <x:row r="539">
      <x:c r="A539" t="str">
        <x:v>EXE-W0-018</x:v>
      </x:c>
      <x:c r="B539"/>
      <x:c r="C539"/>
      <x:c r="D539" t="str">
        <x:v>Sprint17_Phase1 Characterization</x:v>
      </x:c>
      <x:c r="E539" t="str">
        <x:v>CHAR-ODR-001</x:v>
      </x:c>
      <x:c r="F539" t="str">
        <x:v>ADR-0079</x:v>
      </x:c>
      <x:c r="G539" t="str">
        <x:v>EditMode + PlayMode</x:v>
      </x:c>
      <x:c r="H539" t="str">
        <x:v>Unity 6000.3.18f1 / Windows x64</x:v>
      </x:c>
      <x:c r="I539" t="str">
        <x:v>Not Run</x:v>
      </x:c>
      <x:c r="J539"/>
      <x:c r="K539"/>
      <x:c r="L539" t="str">
        <x:v>VRM Games</x:v>
      </x:c>
      <x:c r="M539"/>
      <x:c r="N539" t="str">
        <x:v>Definida en W0; ejecutar antes de la ola indicada.</x:v>
      </x:c>
    </x:row>
    <x:row r="540">
      <x:c r="A540" t="str">
        <x:v>EXE-W0-019</x:v>
      </x:c>
      <x:c r="B540"/>
      <x:c r="C540"/>
      <x:c r="D540" t="str">
        <x:v>Sprint17_Phase1 Characterization</x:v>
      </x:c>
      <x:c r="E540" t="str">
        <x:v>CHAR-ODR-002</x:v>
      </x:c>
      <x:c r="F540" t="str">
        <x:v>ADR-0079</x:v>
      </x:c>
      <x:c r="G540" t="str">
        <x:v>EditMode + PlayMode</x:v>
      </x:c>
      <x:c r="H540" t="str">
        <x:v>Unity 6000.3.18f1 / Windows x64</x:v>
      </x:c>
      <x:c r="I540" t="str">
        <x:v>Not Run</x:v>
      </x:c>
      <x:c r="J540"/>
      <x:c r="K540"/>
      <x:c r="L540" t="str">
        <x:v>VRM Games</x:v>
      </x:c>
      <x:c r="M540"/>
      <x:c r="N540" t="str">
        <x:v>Definida en W0; ejecutar antes de la ola indicada.</x:v>
      </x:c>
    </x:row>
    <x:row r="541">
      <x:c r="A541" t="str">
        <x:v>EXE-W0-020</x:v>
      </x:c>
      <x:c r="B541"/>
      <x:c r="C541"/>
      <x:c r="D541" t="str">
        <x:v>Sprint17_Phase1 Characterization</x:v>
      </x:c>
      <x:c r="E541" t="str">
        <x:v>CHAR-ODR-003</x:v>
      </x:c>
      <x:c r="F541" t="str">
        <x:v>ADR-0079</x:v>
      </x:c>
      <x:c r="G541" t="str">
        <x:v>PlayMode + Manual</x:v>
      </x:c>
      <x:c r="H541" t="str">
        <x:v>Unity 6000.3.18f1 / Windows x64</x:v>
      </x:c>
      <x:c r="I541" t="str">
        <x:v>Not Run</x:v>
      </x:c>
      <x:c r="J541"/>
      <x:c r="K541"/>
      <x:c r="L541" t="str">
        <x:v>VRM Games</x:v>
      </x:c>
      <x:c r="M541"/>
      <x:c r="N541" t="str">
        <x:v>Definida en W0; ejecutar antes de la ola indicada.</x:v>
      </x:c>
    </x:row>
    <x:row r="542">
      <x:c r="A542" t="str">
        <x:v>EXE-W0-021</x:v>
      </x:c>
      <x:c r="B542"/>
      <x:c r="C542"/>
      <x:c r="D542" t="str">
        <x:v>Sprint17_Phase1 Characterization</x:v>
      </x:c>
      <x:c r="E542" t="str">
        <x:v>CHAR-ODR-004</x:v>
      </x:c>
      <x:c r="F542" t="str">
        <x:v>ADR-0079</x:v>
      </x:c>
      <x:c r="G542" t="str">
        <x:v>EditMode + PlayMode</x:v>
      </x:c>
      <x:c r="H542" t="str">
        <x:v>Unity 6000.3.18f1 / Windows x64</x:v>
      </x:c>
      <x:c r="I542" t="str">
        <x:v>Not Run</x:v>
      </x:c>
      <x:c r="J542"/>
      <x:c r="K542"/>
      <x:c r="L542" t="str">
        <x:v>VRM Games</x:v>
      </x:c>
      <x:c r="M542"/>
      <x:c r="N542" t="str">
        <x:v>Definida en W0; ejecutar antes de la ola indicada.</x:v>
      </x:c>
    </x:row>
    <x:row r="543">
      <x:c r="A543" t="str">
        <x:v>EXE-W0-022</x:v>
      </x:c>
      <x:c r="B543"/>
      <x:c r="C543"/>
      <x:c r="D543" t="str">
        <x:v>Sprint17_Phase1 Characterization</x:v>
      </x:c>
      <x:c r="E543" t="str">
        <x:v>CHAR-ODR-005</x:v>
      </x:c>
      <x:c r="F543" t="str">
        <x:v>ADR-0079</x:v>
      </x:c>
      <x:c r="G543" t="str">
        <x:v>EditMode + PlayMode</x:v>
      </x:c>
      <x:c r="H543" t="str">
        <x:v>Unity 6000.3.18f1 / Windows x64</x:v>
      </x:c>
      <x:c r="I543" t="str">
        <x:v>Not Run</x:v>
      </x:c>
      <x:c r="J543"/>
      <x:c r="K543"/>
      <x:c r="L543" t="str">
        <x:v>VRM Games</x:v>
      </x:c>
      <x:c r="M543"/>
      <x:c r="N543" t="str">
        <x:v>Definida en W0; ejecutar antes de la ola indicada.</x:v>
      </x:c>
    </x:row>
    <x:row r="544">
      <x:c r="A544" t="str">
        <x:v>EXE-W0-023</x:v>
      </x:c>
      <x:c r="B544"/>
      <x:c r="C544"/>
      <x:c r="D544" t="str">
        <x:v>Sprint17_Phase1 Characterization</x:v>
      </x:c>
      <x:c r="E544" t="str">
        <x:v>CHAR-ODR-006</x:v>
      </x:c>
      <x:c r="F544" t="str">
        <x:v>ADR-0080</x:v>
      </x:c>
      <x:c r="G544" t="str">
        <x:v>PlayMode + Manual</x:v>
      </x:c>
      <x:c r="H544" t="str">
        <x:v>Unity 6000.3.18f1 / Windows x64</x:v>
      </x:c>
      <x:c r="I544" t="str">
        <x:v>Not Run</x:v>
      </x:c>
      <x:c r="J544"/>
      <x:c r="K544"/>
      <x:c r="L544" t="str">
        <x:v>VRM Games</x:v>
      </x:c>
      <x:c r="M544"/>
      <x:c r="N544" t="str">
        <x:v>Definida en W0; ejecutar antes de la ola indicada.</x:v>
      </x:c>
    </x:row>
    <x:row r="545">
      <x:c r="A545" t="str">
        <x:v>EXE-W0-024</x:v>
      </x:c>
      <x:c r="B545"/>
      <x:c r="C545"/>
      <x:c r="D545" t="str">
        <x:v>Sprint17_Phase1 Characterization</x:v>
      </x:c>
      <x:c r="E545" t="str">
        <x:v>CHAR-ODR-007</x:v>
      </x:c>
      <x:c r="F545" t="str">
        <x:v>ADR-0080</x:v>
      </x:c>
      <x:c r="G545" t="str">
        <x:v>EditMode + PlayMode</x:v>
      </x:c>
      <x:c r="H545" t="str">
        <x:v>Unity 6000.3.18f1 / Windows x64</x:v>
      </x:c>
      <x:c r="I545" t="str">
        <x:v>Not Run</x:v>
      </x:c>
      <x:c r="J545"/>
      <x:c r="K545"/>
      <x:c r="L545" t="str">
        <x:v>VRM Games</x:v>
      </x:c>
      <x:c r="M545"/>
      <x:c r="N545" t="str">
        <x:v>Definida en W0; ejecutar antes de la ola indicada.</x:v>
      </x:c>
    </x:row>
    <x:row r="546">
      <x:c r="A546" t="str">
        <x:v>EXE-W0-025</x:v>
      </x:c>
      <x:c r="B546"/>
      <x:c r="C546"/>
      <x:c r="D546" t="str">
        <x:v>Sprint17_Phase1 Characterization</x:v>
      </x:c>
      <x:c r="E546" t="str">
        <x:v>CHAR-ODR-008</x:v>
      </x:c>
      <x:c r="F546" t="str">
        <x:v>ADR-0080</x:v>
      </x:c>
      <x:c r="G546" t="str">
        <x:v>EditMode + PlayMode</x:v>
      </x:c>
      <x:c r="H546" t="str">
        <x:v>Unity 6000.3.18f1 / Windows x64</x:v>
      </x:c>
      <x:c r="I546" t="str">
        <x:v>Not Run</x:v>
      </x:c>
      <x:c r="J546"/>
      <x:c r="K546"/>
      <x:c r="L546" t="str">
        <x:v>VRM Games</x:v>
      </x:c>
      <x:c r="M546"/>
      <x:c r="N546" t="str">
        <x:v>Definida en W0; ejecutar antes de la ola indicada.</x:v>
      </x:c>
    </x:row>
    <x:row r="547">
      <x:c r="A547" t="str">
        <x:v>EXE-W0-026</x:v>
      </x:c>
      <x:c r="B547"/>
      <x:c r="C547"/>
      <x:c r="D547" t="str">
        <x:v>Sprint17_Phase1 Characterization</x:v>
      </x:c>
      <x:c r="E547" t="str">
        <x:v>CHAR-ODR-009</x:v>
      </x:c>
      <x:c r="F547" t="str">
        <x:v>ADR-0083</x:v>
      </x:c>
      <x:c r="G547" t="str">
        <x:v>EditMode + PlayMode</x:v>
      </x:c>
      <x:c r="H547" t="str">
        <x:v>Unity 6000.3.18f1 / Windows x64</x:v>
      </x:c>
      <x:c r="I547" t="str">
        <x:v>Not Run</x:v>
      </x:c>
      <x:c r="J547"/>
      <x:c r="K547"/>
      <x:c r="L547" t="str">
        <x:v>VRM Games</x:v>
      </x:c>
      <x:c r="M547"/>
      <x:c r="N547" t="str">
        <x:v>Definida en W0; ejecutar antes de la ola indicada.</x:v>
      </x:c>
    </x:row>
    <x:row r="548">
      <x:c r="A548" t="str">
        <x:v>EXE-W0-027</x:v>
      </x:c>
      <x:c r="B548"/>
      <x:c r="C548"/>
      <x:c r="D548" t="str">
        <x:v>Sprint17_Phase1 Characterization</x:v>
      </x:c>
      <x:c r="E548" t="str">
        <x:v>CHAR-ODR-010</x:v>
      </x:c>
      <x:c r="F548" t="str">
        <x:v>ADR-0083</x:v>
      </x:c>
      <x:c r="G548" t="str">
        <x:v>EditMode + PlayMode</x:v>
      </x:c>
      <x:c r="H548" t="str">
        <x:v>Unity 6000.3.18f1 / Windows x64</x:v>
      </x:c>
      <x:c r="I548" t="str">
        <x:v>Not Run</x:v>
      </x:c>
      <x:c r="J548"/>
      <x:c r="K548"/>
      <x:c r="L548" t="str">
        <x:v>VRM Games</x:v>
      </x:c>
      <x:c r="M548"/>
      <x:c r="N548" t="str">
        <x:v>Definida en W0; ejecutar antes de la ola indicada.</x:v>
      </x:c>
    </x:row>
    <x:row r="549">
      <x:c r="A549" t="str">
        <x:v>EXE-W0-028</x:v>
      </x:c>
      <x:c r="B549"/>
      <x:c r="C549"/>
      <x:c r="D549" t="str">
        <x:v>Sprint17_Phase1 Characterization</x:v>
      </x:c>
      <x:c r="E549" t="str">
        <x:v>CHAR-DSP-001</x:v>
      </x:c>
      <x:c r="F549" t="str">
        <x:v>ADR-0081</x:v>
      </x:c>
      <x:c r="G549" t="str">
        <x:v>PlayMode + Manual</x:v>
      </x:c>
      <x:c r="H549" t="str">
        <x:v>Unity 6000.3.18f1 / Windows x64</x:v>
      </x:c>
      <x:c r="I549" t="str">
        <x:v>Not Run</x:v>
      </x:c>
      <x:c r="J549"/>
      <x:c r="K549"/>
      <x:c r="L549" t="str">
        <x:v>VRM Games</x:v>
      </x:c>
      <x:c r="M549"/>
      <x:c r="N549" t="str">
        <x:v>Definida en W0; ejecutar antes de la ola indicada.</x:v>
      </x:c>
    </x:row>
    <x:row r="550">
      <x:c r="A550" t="str">
        <x:v>EXE-W0-029</x:v>
      </x:c>
      <x:c r="B550"/>
      <x:c r="C550"/>
      <x:c r="D550" t="str">
        <x:v>Sprint17_Phase1 Characterization</x:v>
      </x:c>
      <x:c r="E550" t="str">
        <x:v>CHAR-DSP-002</x:v>
      </x:c>
      <x:c r="F550" t="str">
        <x:v>ADR-0081</x:v>
      </x:c>
      <x:c r="G550" t="str">
        <x:v>EditMode + PlayMode</x:v>
      </x:c>
      <x:c r="H550" t="str">
        <x:v>Unity 6000.3.18f1 / Windows x64</x:v>
      </x:c>
      <x:c r="I550" t="str">
        <x:v>Not Run</x:v>
      </x:c>
      <x:c r="J550"/>
      <x:c r="K550"/>
      <x:c r="L550" t="str">
        <x:v>VRM Games</x:v>
      </x:c>
      <x:c r="M550"/>
      <x:c r="N550" t="str">
        <x:v>Definida en W0; ejecutar antes de la ola indicada.</x:v>
      </x:c>
    </x:row>
    <x:row r="551">
      <x:c r="A551" t="str">
        <x:v>EXE-W0-030</x:v>
      </x:c>
      <x:c r="B551"/>
      <x:c r="C551"/>
      <x:c r="D551" t="str">
        <x:v>Sprint17_Phase1 Characterization</x:v>
      </x:c>
      <x:c r="E551" t="str">
        <x:v>CHAR-DSP-003</x:v>
      </x:c>
      <x:c r="F551" t="str">
        <x:v>ADR-0081</x:v>
      </x:c>
      <x:c r="G551" t="str">
        <x:v>EditMode + PlayMode</x:v>
      </x:c>
      <x:c r="H551" t="str">
        <x:v>Unity 6000.3.18f1 / Windows x64</x:v>
      </x:c>
      <x:c r="I551" t="str">
        <x:v>Not Run</x:v>
      </x:c>
      <x:c r="J551"/>
      <x:c r="K551"/>
      <x:c r="L551" t="str">
        <x:v>VRM Games</x:v>
      </x:c>
      <x:c r="M551"/>
      <x:c r="N551" t="str">
        <x:v>Definida en W0; ejecutar antes de la ola indicada.</x:v>
      </x:c>
    </x:row>
    <x:row r="552">
      <x:c r="A552" t="str">
        <x:v>EXE-W0-031</x:v>
      </x:c>
      <x:c r="B552"/>
      <x:c r="C552"/>
      <x:c r="D552" t="str">
        <x:v>Sprint17_Phase1 Characterization</x:v>
      </x:c>
      <x:c r="E552" t="str">
        <x:v>CHAR-DSP-004</x:v>
      </x:c>
      <x:c r="F552" t="str">
        <x:v>ADR-0081</x:v>
      </x:c>
      <x:c r="G552" t="str">
        <x:v>EditMode + PlayMode</x:v>
      </x:c>
      <x:c r="H552" t="str">
        <x:v>Unity 6000.3.18f1 / Windows x64</x:v>
      </x:c>
      <x:c r="I552" t="str">
        <x:v>Not Run</x:v>
      </x:c>
      <x:c r="J552"/>
      <x:c r="K552"/>
      <x:c r="L552" t="str">
        <x:v>VRM Games</x:v>
      </x:c>
      <x:c r="M552"/>
      <x:c r="N552" t="str">
        <x:v>Definida en W0; ejecutar antes de la ola indicada.</x:v>
      </x:c>
    </x:row>
    <x:row r="553">
      <x:c r="A553" t="str">
        <x:v>EXE-W0-032</x:v>
      </x:c>
      <x:c r="B553"/>
      <x:c r="C553"/>
      <x:c r="D553" t="str">
        <x:v>Sprint17_Phase1 Characterization</x:v>
      </x:c>
      <x:c r="E553" t="str">
        <x:v>CHAR-DSP-005</x:v>
      </x:c>
      <x:c r="F553" t="str">
        <x:v>ADR-0081</x:v>
      </x:c>
      <x:c r="G553" t="str">
        <x:v>PlayMode + Manual</x:v>
      </x:c>
      <x:c r="H553" t="str">
        <x:v>Unity 6000.3.18f1 / Windows x64</x:v>
      </x:c>
      <x:c r="I553" t="str">
        <x:v>Not Run</x:v>
      </x:c>
      <x:c r="J553"/>
      <x:c r="K553"/>
      <x:c r="L553" t="str">
        <x:v>VRM Games</x:v>
      </x:c>
      <x:c r="M553"/>
      <x:c r="N553" t="str">
        <x:v>Definida en W0; ejecutar antes de la ola indicada.</x:v>
      </x:c>
    </x:row>
    <x:row r="554">
      <x:c r="A554" t="str">
        <x:v>EXE-W0-033</x:v>
      </x:c>
      <x:c r="B554"/>
      <x:c r="C554"/>
      <x:c r="D554" t="str">
        <x:v>Sprint17_Phase1 Characterization</x:v>
      </x:c>
      <x:c r="E554" t="str">
        <x:v>CHAR-DSP-006</x:v>
      </x:c>
      <x:c r="F554" t="str">
        <x:v>ADR-0081</x:v>
      </x:c>
      <x:c r="G554" t="str">
        <x:v>PlayMode + Manual</x:v>
      </x:c>
      <x:c r="H554" t="str">
        <x:v>Unity 6000.3.18f1 / Windows x64</x:v>
      </x:c>
      <x:c r="I554" t="str">
        <x:v>Not Run</x:v>
      </x:c>
      <x:c r="J554"/>
      <x:c r="K554"/>
      <x:c r="L554" t="str">
        <x:v>VRM Games</x:v>
      </x:c>
      <x:c r="M554"/>
      <x:c r="N554" t="str">
        <x:v>Definida en W0; ejecutar antes de la ola indicada.</x:v>
      </x:c>
    </x:row>
    <x:row r="555">
      <x:c r="A555" t="str">
        <x:v>EXE-W0-034</x:v>
      </x:c>
      <x:c r="B555"/>
      <x:c r="C555"/>
      <x:c r="D555" t="str">
        <x:v>Sprint17_Phase1 Characterization</x:v>
      </x:c>
      <x:c r="E555" t="str">
        <x:v>CHAR-SAV-001</x:v>
      </x:c>
      <x:c r="F555" t="str">
        <x:v>ADR-0076</x:v>
      </x:c>
      <x:c r="G555" t="str">
        <x:v>Manual</x:v>
      </x:c>
      <x:c r="H555" t="str">
        <x:v>Unity 6000.3.18f1 / Windows x64</x:v>
      </x:c>
      <x:c r="I555" t="str">
        <x:v>Not Run</x:v>
      </x:c>
      <x:c r="J555"/>
      <x:c r="K555"/>
      <x:c r="L555" t="str">
        <x:v>VRM Games</x:v>
      </x:c>
      <x:c r="M555"/>
      <x:c r="N555" t="str">
        <x:v>Definida en W0; ejecutar antes de la ola indicada.</x:v>
      </x:c>
    </x:row>
    <x:row r="556">
      <x:c r="A556" t="str">
        <x:v>EXE-W0-035</x:v>
      </x:c>
      <x:c r="B556"/>
      <x:c r="C556"/>
      <x:c r="D556" t="str">
        <x:v>Sprint17_Phase1 Characterization</x:v>
      </x:c>
      <x:c r="E556" t="str">
        <x:v>CHAR-SAV-002</x:v>
      </x:c>
      <x:c r="F556" t="str">
        <x:v>ADR-0076</x:v>
      </x:c>
      <x:c r="G556" t="str">
        <x:v>PlayMode + Manual</x:v>
      </x:c>
      <x:c r="H556" t="str">
        <x:v>Unity 6000.3.18f1 / Windows x64</x:v>
      </x:c>
      <x:c r="I556" t="str">
        <x:v>Not Run</x:v>
      </x:c>
      <x:c r="J556"/>
      <x:c r="K556"/>
      <x:c r="L556" t="str">
        <x:v>VRM Games</x:v>
      </x:c>
      <x:c r="M556"/>
      <x:c r="N556" t="str">
        <x:v>Definida en W0; ejecutar antes de la ola indicada.</x:v>
      </x:c>
    </x:row>
    <x:row r="557">
      <x:c r="A557" t="str">
        <x:v>EXE-W0-036</x:v>
      </x:c>
      <x:c r="B557"/>
      <x:c r="C557"/>
      <x:c r="D557" t="str">
        <x:v>Sprint17_Phase1 Characterization</x:v>
      </x:c>
      <x:c r="E557" t="str">
        <x:v>CHAR-SAV-003</x:v>
      </x:c>
      <x:c r="F557" t="str">
        <x:v>ADR-0076</x:v>
      </x:c>
      <x:c r="G557" t="str">
        <x:v>PlayMode + Manual</x:v>
      </x:c>
      <x:c r="H557" t="str">
        <x:v>Unity 6000.3.18f1 / Windows x64</x:v>
      </x:c>
      <x:c r="I557" t="str">
        <x:v>Not Run</x:v>
      </x:c>
      <x:c r="J557"/>
      <x:c r="K557"/>
      <x:c r="L557" t="str">
        <x:v>VRM Games</x:v>
      </x:c>
      <x:c r="M557"/>
      <x:c r="N557" t="str">
        <x:v>Definida en W0; ejecutar antes de la ola indicada.</x:v>
      </x:c>
    </x:row>
    <x:row r="558">
      <x:c r="A558" t="str">
        <x:v>EXE-W0-037</x:v>
      </x:c>
      <x:c r="B558"/>
      <x:c r="C558"/>
      <x:c r="D558" t="str">
        <x:v>Sprint17_Phase1 Characterization</x:v>
      </x:c>
      <x:c r="E558" t="str">
        <x:v>CHAR-SAV-004</x:v>
      </x:c>
      <x:c r="F558" t="str">
        <x:v>ADR-0076</x:v>
      </x:c>
      <x:c r="G558" t="str">
        <x:v>PlayMode + Manual</x:v>
      </x:c>
      <x:c r="H558" t="str">
        <x:v>Unity 6000.3.18f1 / Windows x64</x:v>
      </x:c>
      <x:c r="I558" t="str">
        <x:v>Not Run</x:v>
      </x:c>
      <x:c r="J558"/>
      <x:c r="K558"/>
      <x:c r="L558" t="str">
        <x:v>VRM Games</x:v>
      </x:c>
      <x:c r="M558"/>
      <x:c r="N558" t="str">
        <x:v>Definida en W0; ejecutar antes de la ola indicada.</x:v>
      </x:c>
    </x:row>
    <x:row r="559">
      <x:c r="A559" t="str">
        <x:v>EXE-W0-038</x:v>
      </x:c>
      <x:c r="B559"/>
      <x:c r="C559"/>
      <x:c r="D559" t="str">
        <x:v>Sprint17_Phase1 Characterization</x:v>
      </x:c>
      <x:c r="E559" t="str">
        <x:v>CHAR-SAV-005</x:v>
      </x:c>
      <x:c r="F559" t="str">
        <x:v>ADR-0076</x:v>
      </x:c>
      <x:c r="G559" t="str">
        <x:v>PlayMode + Manual</x:v>
      </x:c>
      <x:c r="H559" t="str">
        <x:v>Unity 6000.3.18f1 / Windows x64</x:v>
      </x:c>
      <x:c r="I559" t="str">
        <x:v>Not Run</x:v>
      </x:c>
      <x:c r="J559"/>
      <x:c r="K559"/>
      <x:c r="L559" t="str">
        <x:v>VRM Games</x:v>
      </x:c>
      <x:c r="M559"/>
      <x:c r="N559" t="str">
        <x:v>Definida en W0; ejecutar antes de la ola indicada.</x:v>
      </x:c>
    </x:row>
    <x:row r="560">
      <x:c r="A560" t="str">
        <x:v>EXE-W0-039</x:v>
      </x:c>
      <x:c r="B560"/>
      <x:c r="C560"/>
      <x:c r="D560" t="str">
        <x:v>Sprint17_Phase1 Characterization</x:v>
      </x:c>
      <x:c r="E560" t="str">
        <x:v>CHAR-SAV-006</x:v>
      </x:c>
      <x:c r="F560" t="str">
        <x:v>ADR-0076</x:v>
      </x:c>
      <x:c r="G560" t="str">
        <x:v>EditMode + PlayMode</x:v>
      </x:c>
      <x:c r="H560" t="str">
        <x:v>Unity 6000.3.18f1 / Windows x64</x:v>
      </x:c>
      <x:c r="I560" t="str">
        <x:v>Not Run</x:v>
      </x:c>
      <x:c r="J560"/>
      <x:c r="K560"/>
      <x:c r="L560" t="str">
        <x:v>VRM Games</x:v>
      </x:c>
      <x:c r="M560"/>
      <x:c r="N560" t="str">
        <x:v>Definida en W0; ejecutar antes de la ola indicada.</x:v>
      </x:c>
    </x:row>
    <x:row r="561">
      <x:c r="A561" t="str">
        <x:v>EXE-W0-040</x:v>
      </x:c>
      <x:c r="B561"/>
      <x:c r="C561"/>
      <x:c r="D561" t="str">
        <x:v>Sprint17_Phase1 Characterization</x:v>
      </x:c>
      <x:c r="E561" t="str">
        <x:v>CHAR-SAV-007</x:v>
      </x:c>
      <x:c r="F561" t="str">
        <x:v>ADR-0076</x:v>
      </x:c>
      <x:c r="G561" t="str">
        <x:v>PlayMode + Manual</x:v>
      </x:c>
      <x:c r="H561" t="str">
        <x:v>Unity 6000.3.18f1 / Windows x64</x:v>
      </x:c>
      <x:c r="I561" t="str">
        <x:v>Not Run</x:v>
      </x:c>
      <x:c r="J561"/>
      <x:c r="K561"/>
      <x:c r="L561" t="str">
        <x:v>VRM Games</x:v>
      </x:c>
      <x:c r="M561"/>
      <x:c r="N561" t="str">
        <x:v>Definida en W0; ejecutar antes de la ola indicada.</x:v>
      </x:c>
    </x:row>
    <x:row r="562">
      <x:c r="A562" t="str">
        <x:v>EXE-W0-041</x:v>
      </x:c>
      <x:c r="B562"/>
      <x:c r="C562"/>
      <x:c r="D562" t="str">
        <x:v>Sprint17_Phase1 Characterization</x:v>
      </x:c>
      <x:c r="E562" t="str">
        <x:v>CHAR-SAV-008</x:v>
      </x:c>
      <x:c r="F562" t="str">
        <x:v>ADR-0076</x:v>
      </x:c>
      <x:c r="G562" t="str">
        <x:v>PlayMode + Manual</x:v>
      </x:c>
      <x:c r="H562" t="str">
        <x:v>Unity 6000.3.18f1 / Windows x64</x:v>
      </x:c>
      <x:c r="I562" t="str">
        <x:v>Not Run</x:v>
      </x:c>
      <x:c r="J562"/>
      <x:c r="K562"/>
      <x:c r="L562" t="str">
        <x:v>VRM Games</x:v>
      </x:c>
      <x:c r="M562"/>
      <x:c r="N562" t="str">
        <x:v>Definida en W0; ejecutar antes de la ola indicada.</x:v>
      </x:c>
    </x:row>
    <x:row r="563">
      <x:c r="A563" t="str">
        <x:v>EXE-W0-042</x:v>
      </x:c>
      <x:c r="B563"/>
      <x:c r="C563"/>
      <x:c r="D563" t="str">
        <x:v>Sprint17_Phase1 Characterization</x:v>
      </x:c>
      <x:c r="E563" t="str">
        <x:v>CHAR-MGT-001</x:v>
      </x:c>
      <x:c r="F563" t="str">
        <x:v>ADR-0082</x:v>
      </x:c>
      <x:c r="G563" t="str">
        <x:v>Manual</x:v>
      </x:c>
      <x:c r="H563" t="str">
        <x:v>Unity 6000.3.18f1 / Windows x64</x:v>
      </x:c>
      <x:c r="I563" t="str">
        <x:v>Not Run</x:v>
      </x:c>
      <x:c r="J563"/>
      <x:c r="K563"/>
      <x:c r="L563" t="str">
        <x:v>VRM Games</x:v>
      </x:c>
      <x:c r="M563"/>
      <x:c r="N563" t="str">
        <x:v>Definida en W0; ejecutar antes de la ola indicada.</x:v>
      </x:c>
    </x:row>
    <x:row r="564">
      <x:c r="A564" t="str">
        <x:v>EXE-W0-043</x:v>
      </x:c>
      <x:c r="B564"/>
      <x:c r="C564"/>
      <x:c r="D564" t="str">
        <x:v>Sprint17_Phase1 Characterization</x:v>
      </x:c>
      <x:c r="E564" t="str">
        <x:v>CHAR-MGT-002</x:v>
      </x:c>
      <x:c r="F564" t="str">
        <x:v>ADR-0082</x:v>
      </x:c>
      <x:c r="G564" t="str">
        <x:v>PlayMode + Manual</x:v>
      </x:c>
      <x:c r="H564" t="str">
        <x:v>Unity 6000.3.18f1 / Windows x64</x:v>
      </x:c>
      <x:c r="I564" t="str">
        <x:v>Not Run</x:v>
      </x:c>
      <x:c r="J564"/>
      <x:c r="K564"/>
      <x:c r="L564" t="str">
        <x:v>VRM Games</x:v>
      </x:c>
      <x:c r="M564"/>
      <x:c r="N564" t="str">
        <x:v>Definida en W0; ejecutar antes de la ola indicada.</x:v>
      </x:c>
    </x:row>
    <x:row r="565">
      <x:c r="A565" t="str">
        <x:v>EXE-W0-044</x:v>
      </x:c>
      <x:c r="B565"/>
      <x:c r="C565"/>
      <x:c r="D565" t="str">
        <x:v>Sprint17_Phase1 Characterization</x:v>
      </x:c>
      <x:c r="E565" t="str">
        <x:v>CHAR-MGT-003</x:v>
      </x:c>
      <x:c r="F565" t="str">
        <x:v>ADR-0082</x:v>
      </x:c>
      <x:c r="G565" t="str">
        <x:v>PlayMode + Manual</x:v>
      </x:c>
      <x:c r="H565" t="str">
        <x:v>Unity 6000.3.18f1 / Windows x64</x:v>
      </x:c>
      <x:c r="I565" t="str">
        <x:v>Not Run</x:v>
      </x:c>
      <x:c r="J565"/>
      <x:c r="K565"/>
      <x:c r="L565" t="str">
        <x:v>VRM Games</x:v>
      </x:c>
      <x:c r="M565"/>
      <x:c r="N565" t="str">
        <x:v>Definida en W0; ejecutar antes de la ola indicada.</x:v>
      </x:c>
    </x:row>
    <x:row r="566">
      <x:c r="A566" t="str">
        <x:v>EXE-W0-045</x:v>
      </x:c>
      <x:c r="B566"/>
      <x:c r="C566"/>
      <x:c r="D566" t="str">
        <x:v>Sprint17_Phase1 Characterization</x:v>
      </x:c>
      <x:c r="E566" t="str">
        <x:v>CHAR-MGT-004</x:v>
      </x:c>
      <x:c r="F566" t="str">
        <x:v>ADR-0082</x:v>
      </x:c>
      <x:c r="G566" t="str">
        <x:v>PlayMode + Manual</x:v>
      </x:c>
      <x:c r="H566" t="str">
        <x:v>Unity 6000.3.18f1 / Windows x64</x:v>
      </x:c>
      <x:c r="I566" t="str">
        <x:v>Not Run</x:v>
      </x:c>
      <x:c r="J566"/>
      <x:c r="K566"/>
      <x:c r="L566" t="str">
        <x:v>VRM Games</x:v>
      </x:c>
      <x:c r="M566"/>
      <x:c r="N566" t="str">
        <x:v>Definida en W0; ejecutar antes de la ola indicada.</x:v>
      </x:c>
    </x:row>
    <x:row r="567">
      <x:c r="A567" t="str">
        <x:v>EXE-W0-046</x:v>
      </x:c>
      <x:c r="B567"/>
      <x:c r="C567"/>
      <x:c r="D567" t="str">
        <x:v>Sprint17_Phase1 Characterization</x:v>
      </x:c>
      <x:c r="E567" t="str">
        <x:v>CHAR-MGT-005</x:v>
      </x:c>
      <x:c r="F567" t="str">
        <x:v>ADR-0082</x:v>
      </x:c>
      <x:c r="G567" t="str">
        <x:v>EditMode + PlayMode</x:v>
      </x:c>
      <x:c r="H567" t="str">
        <x:v>Unity 6000.3.18f1 / Windows x64</x:v>
      </x:c>
      <x:c r="I567" t="str">
        <x:v>Not Run</x:v>
      </x:c>
      <x:c r="J567"/>
      <x:c r="K567"/>
      <x:c r="L567" t="str">
        <x:v>VRM Games</x:v>
      </x:c>
      <x:c r="M567"/>
      <x:c r="N567" t="str">
        <x:v>Definida en W0; ejecutar antes de la ola indicada.</x:v>
      </x:c>
    </x:row>
    <x:row r="568">
      <x:c r="A568" t="str">
        <x:v>EXE-W0-047</x:v>
      </x:c>
      <x:c r="B568"/>
      <x:c r="C568"/>
      <x:c r="D568" t="str">
        <x:v>Sprint17_Phase1 Characterization</x:v>
      </x:c>
      <x:c r="E568" t="str">
        <x:v>CHAR-MGT-006</x:v>
      </x:c>
      <x:c r="F568" t="str">
        <x:v>ADR-0082</x:v>
      </x:c>
      <x:c r="G568" t="str">
        <x:v>PlayMode + Manual</x:v>
      </x:c>
      <x:c r="H568" t="str">
        <x:v>Unity 6000.3.18f1 / Windows x64</x:v>
      </x:c>
      <x:c r="I568" t="str">
        <x:v>Not Run</x:v>
      </x:c>
      <x:c r="J568"/>
      <x:c r="K568"/>
      <x:c r="L568" t="str">
        <x:v>VRM Games</x:v>
      </x:c>
      <x:c r="M568"/>
      <x:c r="N568" t="str">
        <x:v>Definida en W0; ejecutar antes de la ola indicada.</x:v>
      </x:c>
    </x:row>
    <x:row r="569">
      <x:c r="A569" t="str">
        <x:v>EXE-W0-048</x:v>
      </x:c>
      <x:c r="B569"/>
      <x:c r="C569"/>
      <x:c r="D569" t="str">
        <x:v>Sprint17_Phase1 Characterization</x:v>
      </x:c>
      <x:c r="E569" t="str">
        <x:v>CHAR-MGT-007</x:v>
      </x:c>
      <x:c r="F569" t="str">
        <x:v>ADR-0082</x:v>
      </x:c>
      <x:c r="G569" t="str">
        <x:v>Build + Manual</x:v>
      </x:c>
      <x:c r="H569" t="str">
        <x:v>Unity 6000.3.18f1 / Windows x64</x:v>
      </x:c>
      <x:c r="I569" t="str">
        <x:v>Not Run</x:v>
      </x:c>
      <x:c r="J569"/>
      <x:c r="K569"/>
      <x:c r="L569" t="str">
        <x:v>VRM Games</x:v>
      </x:c>
      <x:c r="M569"/>
      <x:c r="N569" t="str">
        <x:v>Definida en W0; ejecutar antes de la ola indicada.</x:v>
      </x:c>
    </x:row>
    <x:row r="570">
      <x:c r="A570" t="str">
        <x:v>EXE-W0-049</x:v>
      </x:c>
      <x:c r="B570"/>
      <x:c r="C570"/>
      <x:c r="D570" t="str">
        <x:v>Sprint17_Phase1 Characterization</x:v>
      </x:c>
      <x:c r="E570" t="str">
        <x:v>CHAR-MGT-008</x:v>
      </x:c>
      <x:c r="F570" t="str">
        <x:v>ADR-0082</x:v>
      </x:c>
      <x:c r="G570" t="str">
        <x:v>Build + Manual</x:v>
      </x:c>
      <x:c r="H570" t="str">
        <x:v>Unity 6000.3.18f1 / Windows x64</x:v>
      </x:c>
      <x:c r="I570" t="str">
        <x:v>Not Run</x:v>
      </x:c>
      <x:c r="J570"/>
      <x:c r="K570"/>
      <x:c r="L570" t="str">
        <x:v>VRM Games</x:v>
      </x:c>
      <x:c r="M570"/>
      <x:c r="N570" t="str">
        <x:v>Definida en W0; ejecutar antes de la ola indicada.</x:v>
      </x:c>
    </x:row>
    <x:row r="571">
      <x:c r="A571" t="str">
        <x:v>EXE-W0-050</x:v>
      </x:c>
      <x:c r="B571"/>
      <x:c r="C571"/>
      <x:c r="D571" t="str">
        <x:v>Sprint17_Phase1 Characterization</x:v>
      </x:c>
      <x:c r="E571" t="str">
        <x:v>CHAR-ART-001</x:v>
      </x:c>
      <x:c r="F571" t="str">
        <x:v>ADR-0084</x:v>
      </x:c>
      <x:c r="G571" t="str">
        <x:v>PlayMode + Manual</x:v>
      </x:c>
      <x:c r="H571" t="str">
        <x:v>Unity 6000.3.18f1 / Windows x64</x:v>
      </x:c>
      <x:c r="I571" t="str">
        <x:v>Not Run</x:v>
      </x:c>
      <x:c r="J571"/>
      <x:c r="K571"/>
      <x:c r="L571" t="str">
        <x:v>VRM Games</x:v>
      </x:c>
      <x:c r="M571"/>
      <x:c r="N571" t="str">
        <x:v>Definida en W0; ejecutar antes de la ola indicada.</x:v>
      </x:c>
    </x:row>
    <x:row r="572">
      <x:c r="A572" t="str">
        <x:v>EXE-W0-051</x:v>
      </x:c>
      <x:c r="B572"/>
      <x:c r="C572"/>
      <x:c r="D572" t="str">
        <x:v>Sprint17_Phase1 Characterization</x:v>
      </x:c>
      <x:c r="E572" t="str">
        <x:v>CHAR-ART-002</x:v>
      </x:c>
      <x:c r="F572" t="str">
        <x:v>ADR-0084</x:v>
      </x:c>
      <x:c r="G572" t="str">
        <x:v>PlayMode + Manual</x:v>
      </x:c>
      <x:c r="H572" t="str">
        <x:v>Unity 6000.3.18f1 / Windows x64</x:v>
      </x:c>
      <x:c r="I572" t="str">
        <x:v>Not Run</x:v>
      </x:c>
      <x:c r="J572"/>
      <x:c r="K572"/>
      <x:c r="L572" t="str">
        <x:v>VRM Games</x:v>
      </x:c>
      <x:c r="M572"/>
      <x:c r="N572" t="str">
        <x:v>Definida en W0; ejecutar antes de la ola indicada.</x:v>
      </x:c>
    </x:row>
    <x:row r="573">
      <x:c r="A573" t="str">
        <x:v>EXE-W0-052</x:v>
      </x:c>
      <x:c r="B573"/>
      <x:c r="C573"/>
      <x:c r="D573" t="str">
        <x:v>Sprint17_Phase1 Characterization</x:v>
      </x:c>
      <x:c r="E573" t="str">
        <x:v>CHAR-ART-003</x:v>
      </x:c>
      <x:c r="F573" t="str">
        <x:v>ADR-0084</x:v>
      </x:c>
      <x:c r="G573" t="str">
        <x:v>Manual</x:v>
      </x:c>
      <x:c r="H573" t="str">
        <x:v>Unity 6000.3.18f1 / Windows x64</x:v>
      </x:c>
      <x:c r="I573" t="str">
        <x:v>Not Run</x:v>
      </x:c>
      <x:c r="J573"/>
      <x:c r="K573"/>
      <x:c r="L573" t="str">
        <x:v>VRM Games</x:v>
      </x:c>
      <x:c r="M573"/>
      <x:c r="N573" t="str">
        <x:v>Definida en W0; ejecutar antes de la ola indicada.</x:v>
      </x:c>
    </x:row>
    <x:row r="574">
      <x:c r="A574" t="str">
        <x:v>EXE-W0-053</x:v>
      </x:c>
      <x:c r="B574"/>
      <x:c r="C574"/>
      <x:c r="D574" t="str">
        <x:v>Sprint17_Phase1 Characterization</x:v>
      </x:c>
      <x:c r="E574" t="str">
        <x:v>CHAR-ART-004</x:v>
      </x:c>
      <x:c r="F574" t="str">
        <x:v>ADR-0085</x:v>
      </x:c>
      <x:c r="G574" t="str">
        <x:v>EditMode + Manual</x:v>
      </x:c>
      <x:c r="H574" t="str">
        <x:v>Unity 6000.3.18f1 / Windows x64</x:v>
      </x:c>
      <x:c r="I574" t="str">
        <x:v>Not Run</x:v>
      </x:c>
      <x:c r="J574"/>
      <x:c r="K574"/>
      <x:c r="L574" t="str">
        <x:v>VRM Games</x:v>
      </x:c>
      <x:c r="M574"/>
      <x:c r="N574" t="str">
        <x:v>Definida en W0; ejecutar antes de la ola indicada.</x:v>
      </x:c>
    </x:row>
    <x:row r="575">
      <x:c r="A575" t="str">
        <x:v>EXE-W0-054</x:v>
      </x:c>
      <x:c r="B575"/>
      <x:c r="C575"/>
      <x:c r="D575" t="str">
        <x:v>Sprint17_Phase1 Characterization</x:v>
      </x:c>
      <x:c r="E575" t="str">
        <x:v>CHAR-ART-005</x:v>
      </x:c>
      <x:c r="F575" t="str">
        <x:v>ADR-0085</x:v>
      </x:c>
      <x:c r="G575" t="str">
        <x:v>EditMode + PlayMode</x:v>
      </x:c>
      <x:c r="H575" t="str">
        <x:v>Unity 6000.3.18f1 / Windows x64</x:v>
      </x:c>
      <x:c r="I575" t="str">
        <x:v>Not Run</x:v>
      </x:c>
      <x:c r="J575"/>
      <x:c r="K575"/>
      <x:c r="L575" t="str">
        <x:v>VRM Games</x:v>
      </x:c>
      <x:c r="M575"/>
      <x:c r="N575" t="str">
        <x:v>Definida en W0; ejecutar antes de la ola indicada.</x:v>
      </x:c>
    </x:row>
    <x:row r="576">
      <x:c r="A576" t="str">
        <x:v>EXE-W0-055</x:v>
      </x:c>
      <x:c r="B576"/>
      <x:c r="C576"/>
      <x:c r="D576" t="str">
        <x:v>Sprint17_Phase1 Characterization</x:v>
      </x:c>
      <x:c r="E576" t="str">
        <x:v>CHAR-ART-006</x:v>
      </x:c>
      <x:c r="F576" t="str">
        <x:v>ADR-0085</x:v>
      </x:c>
      <x:c r="G576" t="str">
        <x:v>PlayMode + Manual</x:v>
      </x:c>
      <x:c r="H576" t="str">
        <x:v>Unity 6000.3.18f1 / Windows x64</x:v>
      </x:c>
      <x:c r="I576" t="str">
        <x:v>Not Run</x:v>
      </x:c>
      <x:c r="J576"/>
      <x:c r="K576"/>
      <x:c r="L576" t="str">
        <x:v>VRM Games</x:v>
      </x:c>
      <x:c r="M576"/>
      <x:c r="N576" t="str">
        <x:v>Definida en W0; ejecutar antes de la ola indicada.</x:v>
      </x:c>
    </x:row>
    <x:row r="577">
      <x:c r="A577" t="str">
        <x:v>EXE-W0-056</x:v>
      </x:c>
      <x:c r="B577"/>
      <x:c r="C577"/>
      <x:c r="D577" t="str">
        <x:v>Sprint17_Phase1 Characterization</x:v>
      </x:c>
      <x:c r="E577" t="str">
        <x:v>CHAR-ART-007</x:v>
      </x:c>
      <x:c r="F577" t="str">
        <x:v>ADR-0085</x:v>
      </x:c>
      <x:c r="G577" t="str">
        <x:v>Build + Manual</x:v>
      </x:c>
      <x:c r="H577" t="str">
        <x:v>Unity 6000.3.18f1 / Windows x64</x:v>
      </x:c>
      <x:c r="I577" t="str">
        <x:v>Not Run</x:v>
      </x:c>
      <x:c r="J577"/>
      <x:c r="K577"/>
      <x:c r="L577" t="str">
        <x:v>VRM Games</x:v>
      </x:c>
      <x:c r="M577"/>
      <x:c r="N577" t="str">
        <x:v>Definida en W0; ejecutar antes de la ola indicada.</x:v>
      </x:c>
    </x:row>
    <x:row r="578">
      <x:c r="A578" t="str">
        <x:v>EXE-W0-057</x:v>
      </x:c>
      <x:c r="B578"/>
      <x:c r="C578"/>
      <x:c r="D578" t="str">
        <x:v>Sprint17_Phase1 Characterization</x:v>
      </x:c>
      <x:c r="E578" t="str">
        <x:v>CHAR-REG-001</x:v>
      </x:c>
      <x:c r="F578" t="str">
        <x:v>ADR-0074…ADR-0085</x:v>
      </x:c>
      <x:c r="G578" t="str">
        <x:v>Build + Manual</x:v>
      </x:c>
      <x:c r="H578" t="str">
        <x:v>Unity 6000.3.18f1 / Windows x64</x:v>
      </x:c>
      <x:c r="I578" t="str">
        <x:v>Not Run</x:v>
      </x:c>
      <x:c r="J578"/>
      <x:c r="K578"/>
      <x:c r="L578" t="str">
        <x:v>VRM Games</x:v>
      </x:c>
      <x:c r="M578"/>
      <x:c r="N578" t="str">
        <x:v>Definida en W0; ejecutar antes de la ola indicada.</x:v>
      </x:c>
    </x:row>
    <x:row r="579">
      <x:c r="A579" t="str">
        <x:v>EXE-W0-058</x:v>
      </x:c>
      <x:c r="B579"/>
      <x:c r="C579"/>
      <x:c r="D579" t="str">
        <x:v>Sprint17_Phase1 Characterization</x:v>
      </x:c>
      <x:c r="E579" t="str">
        <x:v>CHAR-REG-002</x:v>
      </x:c>
      <x:c r="F579" t="str">
        <x:v>ADR-0082;ADR-0083</x:v>
      </x:c>
      <x:c r="G579" t="str">
        <x:v>Build + Manual</x:v>
      </x:c>
      <x:c r="H579" t="str">
        <x:v>Unity 6000.3.18f1 / Windows x64</x:v>
      </x:c>
      <x:c r="I579" t="str">
        <x:v>Not Run</x:v>
      </x:c>
      <x:c r="J579"/>
      <x:c r="K579"/>
      <x:c r="L579" t="str">
        <x:v>VRM Games</x:v>
      </x:c>
      <x:c r="M579"/>
      <x:c r="N579" t="str">
        <x:v>Definida en W0; ejecutar antes de la ola indicada.</x:v>
      </x:c>
    </x:row>
    <x:row r="580">
      <x:c r="A580" t="str">
        <x:v>EXE-W0-059</x:v>
      </x:c>
      <x:c r="B580"/>
      <x:c r="C580"/>
      <x:c r="D580" t="str">
        <x:v>Sprint17_Phase1 Characterization</x:v>
      </x:c>
      <x:c r="E580" t="str">
        <x:v>CHAR-REG-003</x:v>
      </x:c>
      <x:c r="F580" t="str">
        <x:v>ADR-0076;ADR-0079;ADR-0082</x:v>
      </x:c>
      <x:c r="G580" t="str">
        <x:v>Build + Manual</x:v>
      </x:c>
      <x:c r="H580" t="str">
        <x:v>Unity 6000.3.18f1 / Windows x64</x:v>
      </x:c>
      <x:c r="I580" t="str">
        <x:v>Not Run</x:v>
      </x:c>
      <x:c r="J580"/>
      <x:c r="K580"/>
      <x:c r="L580" t="str">
        <x:v>VRM Games</x:v>
      </x:c>
      <x:c r="M580"/>
      <x:c r="N580" t="str">
        <x:v>Definida en W0; ejecutar antes de la ola indicada.</x:v>
      </x:c>
    </x:row>
    <x:row r="581">
      <x:c r="A581" t="str">
        <x:v>EXE-W0-060</x:v>
      </x:c>
      <x:c r="B581"/>
      <x:c r="C581"/>
      <x:c r="D581" t="str">
        <x:v>Sprint17_Phase1 Characterization</x:v>
      </x:c>
      <x:c r="E581" t="str">
        <x:v>CHAR-REG-004</x:v>
      </x:c>
      <x:c r="F581" t="str">
        <x:v>ADR-0079;ADR-0080;ADR-0083</x:v>
      </x:c>
      <x:c r="G581" t="str">
        <x:v>EditMode + Build</x:v>
      </x:c>
      <x:c r="H581" t="str">
        <x:v>Unity 6000.3.18f1 / Windows x64</x:v>
      </x:c>
      <x:c r="I581" t="str">
        <x:v>Not Run</x:v>
      </x:c>
      <x:c r="J581"/>
      <x:c r="K581"/>
      <x:c r="L581" t="str">
        <x:v>VRM Games</x:v>
      </x:c>
      <x:c r="M581"/>
      <x:c r="N581" t="str">
        <x:v>Definida en W0; ejecutar antes de la ola indicada.</x:v>
      </x:c>
    </x:row>
    <x:row r="582">
      <x:c r="A582" t="str">
        <x:v>EXE-W0-061</x:v>
      </x:c>
      <x:c r="B582"/>
      <x:c r="C582"/>
      <x:c r="D582" t="str">
        <x:v>Sprint17_Phase1 Characterization</x:v>
      </x:c>
      <x:c r="E582" t="str">
        <x:v>CHAR-REG-005</x:v>
      </x:c>
      <x:c r="F582" t="str">
        <x:v>ADR-0081</x:v>
      </x:c>
      <x:c r="G582" t="str">
        <x:v>EditMode + Build</x:v>
      </x:c>
      <x:c r="H582" t="str">
        <x:v>Unity 6000.3.18f1 / Windows x64</x:v>
      </x:c>
      <x:c r="I582" t="str">
        <x:v>Not Run</x:v>
      </x:c>
      <x:c r="J582"/>
      <x:c r="K582"/>
      <x:c r="L582" t="str">
        <x:v>VRM Games</x:v>
      </x:c>
      <x:c r="M582"/>
      <x:c r="N582" t="str">
        <x:v>Definida en W0; ejecutar antes de la ola indicada.</x:v>
      </x:c>
    </x:row>
    <x:row r="583">
      <x:c r="A583" t="str">
        <x:v>EXE-W0-062</x:v>
      </x:c>
      <x:c r="B583"/>
      <x:c r="C583"/>
      <x:c r="D583" t="str">
        <x:v>Sprint17_Phase1 Characterization</x:v>
      </x:c>
      <x:c r="E583" t="str">
        <x:v>CHAR-REG-006</x:v>
      </x:c>
      <x:c r="F583" t="str">
        <x:v>ADR-0077;ADR-0078</x:v>
      </x:c>
      <x:c r="G583" t="str">
        <x:v>Build + Manual</x:v>
      </x:c>
      <x:c r="H583" t="str">
        <x:v>Unity 6000.3.18f1 / Windows x64</x:v>
      </x:c>
      <x:c r="I583" t="str">
        <x:v>Not Run</x:v>
      </x:c>
      <x:c r="J583"/>
      <x:c r="K583"/>
      <x:c r="L583" t="str">
        <x:v>VRM Games</x:v>
      </x:c>
      <x:c r="M583"/>
      <x:c r="N583" t="str">
        <x:v>Definida en W0; ejecutar antes de la ola indicada.</x:v>
      </x:c>
    </x:row>
    <x:row r="584">
      <x:c r="A584" t="str">
        <x:v>EXE-W0-063</x:v>
      </x:c>
      <x:c r="B584"/>
      <x:c r="C584"/>
      <x:c r="D584" t="str">
        <x:v>Sprint17_Phase1 Characterization</x:v>
      </x:c>
      <x:c r="E584" t="str">
        <x:v>CHAR-REG-007</x:v>
      </x:c>
      <x:c r="F584" t="str">
        <x:v>ADR-0074;ADR-0082;ADR-0084</x:v>
      </x:c>
      <x:c r="G584" t="str">
        <x:v>Build + Manual</x:v>
      </x:c>
      <x:c r="H584" t="str">
        <x:v>Unity 6000.3.18f1 / Windows x64</x:v>
      </x:c>
      <x:c r="I584" t="str">
        <x:v>Not Run</x:v>
      </x:c>
      <x:c r="J584"/>
      <x:c r="K584"/>
      <x:c r="L584" t="str">
        <x:v>VRM Games</x:v>
      </x:c>
      <x:c r="M584"/>
      <x:c r="N584" t="str">
        <x:v>Definida en W0; ejecutar antes de la ola indicada.</x:v>
      </x:c>
    </x:row>
    <x:row r="585">
      <x:c r="A585" t="str">
        <x:v>EXE-W0-064</x:v>
      </x:c>
      <x:c r="B585"/>
      <x:c r="C585"/>
      <x:c r="D585" t="str">
        <x:v>Sprint17_Phase1 Characterization</x:v>
      </x:c>
      <x:c r="E585" t="str">
        <x:v>CHAR-REG-008</x:v>
      </x:c>
      <x:c r="F585" t="str">
        <x:v>ADR-0074;ADR-0078</x:v>
      </x:c>
      <x:c r="G585" t="str">
        <x:v>Build + Manual</x:v>
      </x:c>
      <x:c r="H585" t="str">
        <x:v>Unity 6000.3.18f1 / Windows x64</x:v>
      </x:c>
      <x:c r="I585" t="str">
        <x:v>Not Run</x:v>
      </x:c>
      <x:c r="J585"/>
      <x:c r="K585"/>
      <x:c r="L585" t="str">
        <x:v>VRM Games</x:v>
      </x:c>
      <x:c r="M585"/>
      <x:c r="N585" t="str">
        <x:v>Definida en W0; ejecutar antes de la ola indicada.</x:v>
      </x:c>
    </x:row>
    <x:row r="586">
      <x:c r="A586" t="str">
        <x:v>EXE-W0-065</x:v>
      </x:c>
      <x:c r="B586"/>
      <x:c r="C586"/>
      <x:c r="D586" t="str">
        <x:v>Sprint17_Phase1 Characterization</x:v>
      </x:c>
      <x:c r="E586" t="str">
        <x:v>CHAR-REG-009</x:v>
      </x:c>
      <x:c r="F586" t="str">
        <x:v>ADR-0074…ADR-0085</x:v>
      </x:c>
      <x:c r="G586" t="str">
        <x:v>Build + Manual</x:v>
      </x:c>
      <x:c r="H586" t="str">
        <x:v>Unity 6000.3.18f1 / Windows x64</x:v>
      </x:c>
      <x:c r="I586" t="str">
        <x:v>Not Run</x:v>
      </x:c>
      <x:c r="J586"/>
      <x:c r="K586"/>
      <x:c r="L586" t="str">
        <x:v>VRM Games</x:v>
      </x:c>
      <x:c r="M586"/>
      <x:c r="N586" t="str">
        <x:v>Definida en W0; ejecutar antes de la ola indicada.</x:v>
      </x:c>
    </x:row>
    <x:row r="587">
      <x:c r="A587" t="str">
        <x:v>EXE-W0-066</x:v>
      </x:c>
      <x:c r="B587"/>
      <x:c r="C587"/>
      <x:c r="D587" t="str">
        <x:v>Sprint17_Phase1 Characterization</x:v>
      </x:c>
      <x:c r="E587" t="str">
        <x:v>CHAR-REG-010</x:v>
      </x:c>
      <x:c r="F587" t="str">
        <x:v>ADR-0084;ADR-0085</x:v>
      </x:c>
      <x:c r="G587" t="str">
        <x:v>Build + Manual</x:v>
      </x:c>
      <x:c r="H587" t="str">
        <x:v>Unity 6000.3.18f1 / Windows x64</x:v>
      </x:c>
      <x:c r="I587" t="str">
        <x:v>Not Run</x:v>
      </x:c>
      <x:c r="J587"/>
      <x:c r="K587"/>
      <x:c r="L587" t="str">
        <x:v>VRM Games</x:v>
      </x:c>
      <x:c r="M587"/>
      <x:c r="N587" t="str">
        <x:v>Definida en W0; ejecutar antes de la ola indicada.</x:v>
      </x:c>
    </x:row>
  </x:sheetData>
  <x:mergeCells>
    <x:mergeCell ref="A1:N1"/>
    <x:mergeCell ref="A2:N2"/>
  </x:mergeCells>
  <x:conditionalFormatting sqref="I5:I257">
    <x:cfRule type="expression" dxfId="8" priority="1">
      <x:formula>I5="PASS"</x:formula>
    </x:cfRule>
    <x:cfRule type="expression" dxfId="9" priority="2">
      <x:formula>I5="FAIL"</x:formula>
    </x:cfRule>
    <x:cfRule type="expression" dxfId="10" priority="3">
      <x:formula>I5="BLOCKED"</x:formula>
    </x:cfRule>
  </x:conditionalFormatting>
  <x:conditionalFormatting sqref="I258:I521">
    <x:cfRule type="expression" dxfId="18" priority="4">
      <x:formula>I258="PASS"</x:formula>
    </x:cfRule>
    <x:cfRule type="expression" dxfId="19" priority="5">
      <x:formula>I258="FAIL"</x:formula>
    </x:cfRule>
  </x:conditionalFormatting>
  <x:dataValidations count="2">
    <x:dataValidation type="list" sqref="I5:I257">
      <x:formula1>"Not Run,PASS,FAIL,BLOCKED,SKIPPED,Baseline PASS,PASS WITH OBSERVATION,N/A"</x:formula1>
    </x:dataValidation>
    <x:dataValidation type="list" sqref="I258:I521">
      <x:formula1>"Not Run,PASS,FAIL,BLOCKED,SKIPPED,Baseline PASS,PASS WITH OBSERVATION,N/A"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973d1ef0c5425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52" hidden="0" customWidth="1"/>
    <x:col min="5" max="5" width="16" hidden="0" customWidth="1"/>
    <x:col min="6" max="6" width="46" hidden="0" customWidth="1"/>
    <x:col min="7" max="7" width="18" hidden="0" customWidth="1"/>
    <x:col min="8" max="8" width="18" hidden="0" customWidth="1"/>
    <x:col min="9" max="9" width="22" hidden="0" customWidth="1"/>
    <x:col min="10" max="10" width="34" hidden="0" customWidth="1"/>
  </x:cols>
  <x:sheetData>
    <x:row r="1" ht="28" customHeight="1">
      <x:c r="A1" s="36" t="str">
        <x:v>Registro de defectos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Defectos actuales, históricos y plantilla de triage con severidad S0–S4.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4" customHeight="1">
      <x:c r="A4" s="17" t="str">
        <x:v>Defect ID</x:v>
      </x:c>
      <x:c r="B4" s="17" t="str">
        <x:v>Severidad</x:v>
      </x:c>
      <x:c r="C4" s="17" t="str">
        <x:v>Sistema</x:v>
      </x:c>
      <x:c r="D4" s="17" t="str">
        <x:v>Descripción</x:v>
      </x:c>
      <x:c r="E4" s="17" t="str">
        <x:v>Estado</x:v>
      </x:c>
      <x:c r="F4" s="17" t="str">
        <x:v>Resolución/Acción</x:v>
      </x:c>
      <x:c r="G4" s="17" t="str">
        <x:v>Sprint objetivo</x:v>
      </x:c>
      <x:c r="H4" s="17" t="str">
        <x:v>Owner</x:v>
      </x:c>
      <x:c r="I4" s="17" t="str">
        <x:v>SHA/Build</x:v>
      </x:c>
      <x:c r="J4" s="17" t="str">
        <x:v>Notas</x:v>
      </x:c>
    </x:row>
    <x:row r="5" ht="38" customHeight="1">
      <x:c r="A5" s="24" t="str">
        <x:v>KI-016-01</x:v>
      </x:c>
      <x:c r="B5" s="24" t="str">
        <x:v>S1</x:v>
      </x:c>
      <x:c r="C5" s="24" t="str">
        <x:v>Escena</x:v>
      </x:c>
      <x:c r="D5" s="24" t="str">
        <x:v>Representative walls misplaced/scaled</x:v>
      </x:c>
      <x:c r="E5" s="24" t="str">
        <x:v>Open</x:v>
      </x:c>
      <x:c r="F5" s="24" t="str">
        <x:v>StoreInitial manual authoring</x:v>
      </x:c>
      <x:c r="G5" s="24" t="str">
        <x:v>Sprint 16</x:v>
      </x:c>
      <x:c r="H5" s="24" t="str">
        <x:v>VRM Games</x:v>
      </x:c>
      <x:c r="I5" s="24" t="str"/>
      <x:c r="J5" s="24" t="str">
        <x:v>Bloquea aprobación visual</x:v>
      </x:c>
    </x:row>
    <x:row r="6" ht="38" customHeight="1">
      <x:c r="A6" s="24" t="str">
        <x:v>KI-016-02</x:v>
      </x:c>
      <x:c r="B6" s="24" t="str">
        <x:v>S1</x:v>
      </x:c>
      <x:c r="C6" s="24" t="str">
        <x:v>Escena</x:v>
      </x:c>
      <x:c r="D6" s="24" t="str">
        <x:v>Door leaves orientation/direction wrong</x:v>
      </x:c>
      <x:c r="E6" s="24" t="str">
        <x:v>Open</x:v>
      </x:c>
      <x:c r="F6" s="24" t="str">
        <x:v>Explicit scene references and closed/open positions</x:v>
      </x:c>
      <x:c r="G6" s="24" t="str">
        <x:v>Sprint 16</x:v>
      </x:c>
      <x:c r="H6" s="24" t="str">
        <x:v>VRM Games</x:v>
      </x:c>
      <x:c r="I6" s="24" t="str"/>
      <x:c r="J6" s="24" t="str">
        <x:v>Bloquea navegación/visual</x:v>
      </x:c>
    </x:row>
    <x:row r="7" ht="38" customHeight="1">
      <x:c r="A7" s="24" t="str">
        <x:v>KI-016-03</x:v>
      </x:c>
      <x:c r="B7" s="24" t="str">
        <x:v>S1</x:v>
      </x:c>
      <x:c r="C7" s="24" t="str">
        <x:v>Escena</x:v>
      </x:c>
      <x:c r="D7" s="24" t="str">
        <x:v>Warehouse shelf appears at wrong location</x:v>
      </x:c>
      <x:c r="E7" s="24" t="str">
        <x:v>Open</x:v>
      </x:c>
      <x:c r="F7" s="24" t="str">
        <x:v>InitialFurniture authored/registered explicitly</x:v>
      </x:c>
      <x:c r="G7" s="24" t="str">
        <x:v>Sprint 16</x:v>
      </x:c>
      <x:c r="H7" s="24" t="str">
        <x:v>VRM Games</x:v>
      </x:c>
      <x:c r="I7" s="24" t="str"/>
      <x:c r="J7" s="24" t="str">
        <x:v>Bloquea composición</x:v>
      </x:c>
    </x:row>
    <x:row r="8" ht="38" customHeight="1">
      <x:c r="A8" s="24" t="str">
        <x:v>KI-016-04</x:v>
      </x:c>
      <x:c r="B8" s="24" t="str">
        <x:v>S2</x:v>
      </x:c>
      <x:c r="C8" s="24" t="str">
        <x:v>Input</x:v>
      </x:c>
      <x:c r="D8" s="24" t="str">
        <x:v>Operations button click also moves player</x:v>
      </x:c>
      <x:c r="E8" s="24" t="str">
        <x:v>Open</x:v>
      </x:c>
      <x:c r="F8" s="24" t="str">
        <x:v>EventSystem pointer-over-UI guard</x:v>
      </x:c>
      <x:c r="G8" s="24" t="str">
        <x:v>Sprint 16</x:v>
      </x:c>
      <x:c r="H8" s="24" t="str">
        <x:v>VRM Games</x:v>
      </x:c>
      <x:c r="I8" s="24" t="str"/>
      <x:c r="J8" s="24" t="str">
        <x:v>Debe corregirse antes de H6</x:v>
      </x:c>
    </x:row>
    <x:row r="9" ht="38" customHeight="1">
      <x:c r="A9" s="24" t="str">
        <x:v>KI-016-05</x:v>
      </x:c>
      <x:c r="B9" s="24" t="str">
        <x:v>S2</x:v>
      </x:c>
      <x:c r="C9" s="24" t="str">
        <x:v>Escena</x:v>
      </x:c>
      <x:c r="D9" s="24" t="str">
        <x:v>Procedural and authored visuals can coexist</x:v>
      </x:c>
      <x:c r="E9" s="24" t="str">
        <x:v>Open</x:v>
      </x:c>
      <x:c r="F9" s="24" t="str">
        <x:v>Feature flag and duplicate validation</x:v>
      </x:c>
      <x:c r="G9" s="24" t="str">
        <x:v>Sprint 16</x:v>
      </x:c>
      <x:c r="H9" s="24" t="str">
        <x:v>VRM Games</x:v>
      </x:c>
      <x:c r="I9" s="24" t="str"/>
      <x:c r="J9" s="24" t="str">
        <x:v>Riesgo de doble shell</x:v>
      </x:c>
    </x:row>
    <x:row r="10" ht="38" customHeight="1">
      <x:c r="A10" s="24" t="str">
        <x:v>ISS-S0-006</x:v>
      </x:c>
      <x:c r="B10" s="24" t="str">
        <x:v>S2</x:v>
      </x:c>
      <x:c r="C10" s="24" t="str">
        <x:v>Gobernanza</x:v>
      </x:c>
      <x:c r="D10" s="24" t="str">
        <x:v>Operational Excel and traceability were absent</x:v>
      </x:c>
      <x:c r="E10" s="24" t="str">
        <x:v>Closed</x:v>
      </x:c>
      <x:c r="F10" s="24" t="str">
        <x:v>Resolved by historical baseline</x:v>
      </x:c>
      <x:c r="G10" s="24" t="str">
        <x:v>Sprint 0</x:v>
      </x:c>
      <x:c r="H10" s="24" t="str">
        <x:v>VRM Games</x:v>
      </x:c>
      <x:c r="I10" s="24" t="str">
        <x:v>31a77be</x:v>
      </x:c>
      <x:c r="J10" s="24" t="str">
        <x:v>Histórico</x:v>
      </x:c>
    </x:row>
    <x:row r="11" ht="38" customHeight="1">
      <x:c r="A11" s="24" t="str">
        <x:v>ISS-S07-001</x:v>
      </x:c>
      <x:c r="B11" s="24" t="str">
        <x:v>S1</x:v>
      </x:c>
      <x:c r="C11" s="24" t="str">
        <x:v>Build</x:v>
      </x:c>
      <x:c r="D11" s="24" t="str">
        <x:v>Stale SampleScene reference in Scene List</x:v>
      </x:c>
      <x:c r="E11" s="24" t="str">
        <x:v>Closed</x:v>
      </x:c>
      <x:c r="F11" s="24" t="str">
        <x:v>Removed through Build Profiles</x:v>
      </x:c>
      <x:c r="G11" s="24" t="str">
        <x:v>Sprint 0</x:v>
      </x:c>
      <x:c r="H11" s="24" t="str">
        <x:v>VRM Games</x:v>
      </x:c>
      <x:c r="I11" s="24" t="str">
        <x:v>6416ca107509</x:v>
      </x:c>
      <x:c r="J11" s="24" t="str">
        <x:v>Histórico</x:v>
      </x:c>
    </x:row>
    <x:row r="12" ht="38" customHeight="1">
      <x:c r="A12" s="24" t="str">
        <x:v>ISS-S09-002</x:v>
      </x:c>
      <x:c r="B12" s="24" t="str">
        <x:v>S1</x:v>
      </x:c>
      <x:c r="C12" s="24" t="str">
        <x:v>Build</x:v>
      </x:c>
      <x:c r="D12" s="24" t="str">
        <x:v>PlayMode tests compiled into Player</x:v>
      </x:c>
      <x:c r="E12" s="24" t="str">
        <x:v>Closed</x:v>
      </x:c>
      <x:c r="F12" s="24" t="str">
        <x:v>UNITY_INCLUDE_TESTS in asmdef</x:v>
      </x:c>
      <x:c r="G12" s="24" t="str">
        <x:v>Sprint 0</x:v>
      </x:c>
      <x:c r="H12" s="24" t="str">
        <x:v>VRM Games</x:v>
      </x:c>
      <x:c r="I12" s="24" t="str">
        <x:v>e1998dffe52d</x:v>
      </x:c>
      <x:c r="J12" s="24" t="str">
        <x:v>Histórico</x:v>
      </x:c>
    </x:row>
    <x:row r="13" ht="38" customHeight="1">
      <x:c r="A13" s="24" t="str">
        <x:v>DEF-TEMPLATE-001</x:v>
      </x:c>
      <x:c r="B13" s="24" t="str">
        <x:v>S3</x:v>
      </x:c>
      <x:c r="C13" s="24" t="str">
        <x:v>General</x:v>
      </x:c>
      <x:c r="D13" s="24" t="str">
        <x:v>Plantilla para nuevo defecto</x:v>
      </x:c>
      <x:c r="E13" s="24" t="str">
        <x:v>Draft</x:v>
      </x:c>
      <x:c r="F13" s="24" t="str">
        <x:v>Pendiente de triage</x:v>
      </x:c>
      <x:c r="G13" s="24" t="str">
        <x:v>Backlog</x:v>
      </x:c>
      <x:c r="H13" s="24" t="str">
        <x:v>VRM Games</x:v>
      </x:c>
      <x:c r="I13" s="24" t="str"/>
      <x:c r="J13" s="24" t="str">
        <x:v>Duplicar fila y completar</x:v>
      </x:c>
    </x:row>
  </x:sheetData>
  <x:mergeCells>
    <x:mergeCell ref="A1:J1"/>
    <x:mergeCell ref="A2:J2"/>
  </x:mergeCells>
  <x:conditionalFormatting sqref="B5:B13">
    <x:cfRule type="expression" dxfId="11" priority="1">
      <x:formula>B5="S0"</x:formula>
    </x:cfRule>
    <x:cfRule type="expression" dxfId="12" priority="2">
      <x:formula>B5="S1"</x:formula>
    </x:cfRule>
  </x:conditionalFormatting>
  <x:conditionalFormatting sqref="E5:E13">
    <x:cfRule type="expression" dxfId="13" priority="3">
      <x:formula>E5="Closed"</x:formula>
    </x:cfRule>
  </x:conditionalFormatting>
  <x:dataValidations count="2">
    <x:dataValidation type="list" sqref="B5:B13">
      <x:formula1>"S0,S1,S2,S3,S4"</x:formula1>
    </x:dataValidation>
    <x:dataValidation type="list" sqref="E5:E13">
      <x:formula1>"Draft,Open,In Progress,Resolved,Closed,Accepted Debt,Duplicate,Won't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909986313444d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20" hidden="0" customWidth="1"/>
    <x:col min="5" max="5" width="5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6" hidden="0" customWidth="1"/>
    <x:col min="11" max="11" width="14" hidden="0" customWidth="1"/>
    <x:col min="12" max="12" width="34" hidden="0" customWidth="1"/>
  </x:cols>
  <x:sheetData>
    <x:row r="1" ht="28" customHeight="1">
      <x:c r="A1" s="36" t="str">
        <x:v>Cobertura requisito → caso → ejecución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Fórmulas para detectar requisitos sin pruebas, pruebas no ejecutadas y defectos vinculados.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4" customHeight="1">
      <x:c r="A4" s="17" t="str">
        <x:v>Requirement ID</x:v>
      </x:c>
      <x:c r="B4" s="17" t="str">
        <x:v>Sistema</x:v>
      </x:c>
      <x:c r="C4" s="17" t="str">
        <x:v>Prioridad</x:v>
      </x:c>
      <x:c r="D4" s="17" t="str">
        <x:v>Gate</x:v>
      </x:c>
      <x:c r="E4" s="17" t="str">
        <x:v>Requisito</x:v>
      </x:c>
      <x:c r="F4" s="17" t="str">
        <x:v>Casos vinculados</x:v>
      </x:c>
      <x:c r="G4" s="17" t="str">
        <x:v>Casos Ready</x:v>
      </x:c>
      <x:c r="H4" s="17" t="str">
        <x:v>Ejecuciones</x:v>
      </x:c>
      <x:c r="I4" s="17" t="str">
        <x:v>PASS</x:v>
      </x:c>
      <x:c r="J4" s="17" t="str">
        <x:v>FAIL/BLOCKED</x:v>
      </x:c>
      <x:c r="K4" s="17" t="str">
        <x:v>Cobertura</x:v>
      </x:c>
      <x:c r="L4" s="17" t="str">
        <x:v>Observación</x:v>
      </x:c>
    </x:row>
    <x:row r="5">
      <x:c r="A5" s="24" t="str">
        <x:v>VS-APP-001</x:v>
      </x:c>
      <x:c r="B5" s="24" t="str">
        <x:v>Aplicación y sesión</x:v>
      </x:c>
      <x:c r="C5" s="24" t="str">
        <x:v>P0</x:v>
      </x:c>
      <x:c r="D5" s="24" t="str">
        <x:v>H6 / Vertical Slice</x:v>
      </x:c>
      <x:c r="E5" s="24" t="str">
        <x:v>Bootstrap inicia y alcanza menú sin excepción bloqueante.</x:v>
      </x:c>
      <x:c r="F5" s="24" t="n">
        <x:f>COUNTIF('03_Casos_Prueba'!$D$5:$D$254,A5)</x:f>
        <x:v>1</x:v>
      </x:c>
      <x:c r="G5" s="24" t="n">
        <x:f>COUNTIFS('03_Casos_Prueba'!$D$5:$D$254,A5,'03_Casos_Prueba'!$R$5:$R$254,"Ready")</x:f>
        <x:v>1</x:v>
      </x:c>
      <x:c r="H5" s="24" t="n">
        <x:f>COUNTIF('11_Ejecuciones'!$F$5:$F$521,A5)</x:f>
        <x:v>1</x:v>
      </x:c>
      <x:c r="I5" s="24" t="n">
        <x:f>COUNTIFS('11_Ejecuciones'!$F$5:$F$521,A5,'11_Ejecuciones'!$I$5:$I$521,"PASS")+COUNTIFS('11_Ejecuciones'!$F$5:$F$521,A5,'11_Ejecuciones'!$I$5:$I$521,"Baseline PASS")</x:f>
        <x:v>0</x:v>
      </x:c>
      <x:c r="J5" s="24" t="n">
        <x:f>COUNTIFS('11_Ejecuciones'!$F$5:$F$521,A5,'11_Ejecuciones'!$I$5:$I$521,"FAIL")+COUNTIFS('11_Ejecuciones'!$F$5:$F$521,A5,'11_Ejecuciones'!$I$5:$I$521,"BLOCKED")</x:f>
        <x:v>0</x:v>
      </x:c>
      <x:c r="K5" s="32" t="n">
        <x:f>IF(F5=0,0,MIN(1,G5/F5))</x:f>
        <x:v>1</x:v>
      </x:c>
      <x:c r="L5" s="24" t="str">
        <x:f>IF(F5=0,"SIN CASO",IF(J5&gt;0,"FALLO/BLOQUEO",IF(I5&gt;0,"EJECUTADO","PENDIENTE")))</x:f>
        <x:v>PENDIENTE</x:v>
      </x:c>
    </x:row>
    <x:row r="6">
      <x:c r="A6" s="24" t="str">
        <x:v>VS-APP-002</x:v>
      </x:c>
      <x:c r="B6" s="24" t="str">
        <x:v>Aplicación y sesión</x:v>
      </x:c>
      <x:c r="C6" s="24" t="str">
        <x:v>P0</x:v>
      </x:c>
      <x:c r="D6" s="24" t="str">
        <x:v>H6 / Vertical Slice</x:v>
      </x:c>
      <x:c r="E6" s="24" t="str">
        <x:v>Nueva partida crea un slot válido una sola vez.</x:v>
      </x:c>
      <x:c r="F6" s="24" t="n">
        <x:f>COUNTIF('03_Casos_Prueba'!$D$5:$D$254,A6)</x:f>
        <x:v>1</x:v>
      </x:c>
      <x:c r="G6" s="24" t="n">
        <x:f>COUNTIFS('03_Casos_Prueba'!$D$5:$D$254,A6,'03_Casos_Prueba'!$R$5:$R$254,"Ready")</x:f>
        <x:v>1</x:v>
      </x:c>
      <x:c r="H6" s="24" t="n">
        <x:f>COUNTIF('11_Ejecuciones'!$F$5:$F$521,A6)</x:f>
        <x:v>1</x:v>
      </x:c>
      <x:c r="I6" s="24" t="n">
        <x:f>COUNTIFS('11_Ejecuciones'!$F$5:$F$521,A6,'11_Ejecuciones'!$I$5:$I$521,"PASS")+COUNTIFS('11_Ejecuciones'!$F$5:$F$521,A6,'11_Ejecuciones'!$I$5:$I$521,"Baseline PASS")</x:f>
        <x:v>0</x:v>
      </x:c>
      <x:c r="J6" s="24" t="n">
        <x:f>COUNTIFS('11_Ejecuciones'!$F$5:$F$521,A6,'11_Ejecuciones'!$I$5:$I$521,"FAIL")+COUNTIFS('11_Ejecuciones'!$F$5:$F$521,A6,'11_Ejecuciones'!$I$5:$I$521,"BLOCKED")</x:f>
        <x:v>0</x:v>
      </x:c>
      <x:c r="K6" s="32" t="n">
        <x:f>IF(F6=0,0,MIN(1,G6/F6))</x:f>
        <x:v>1</x:v>
      </x:c>
      <x:c r="L6" s="24" t="str">
        <x:f>IF(F6=0,"SIN CASO",IF(J6&gt;0,"FALLO/BLOQUEO",IF(I6&gt;0,"EJECUTADO","PENDIENTE")))</x:f>
        <x:v>PENDIENTE</x:v>
      </x:c>
    </x:row>
    <x:row r="7">
      <x:c r="A7" s="24" t="str">
        <x:v>VS-APP-003</x:v>
      </x:c>
      <x:c r="B7" s="24" t="str">
        <x:v>Aplicación y sesión</x:v>
      </x:c>
      <x:c r="C7" s="24" t="str">
        <x:v>P0</x:v>
      </x:c>
      <x:c r="D7" s="24" t="str">
        <x:v>H6 / Vertical Slice</x:v>
      </x:c>
      <x:c r="E7" s="24" t="str">
        <x:v>Carga de slot entra en la sesión correcta sin duplicar inicialización.</x:v>
      </x:c>
      <x:c r="F7" s="24" t="n">
        <x:f>COUNTIF('03_Casos_Prueba'!$D$5:$D$254,A7)</x:f>
        <x:v>1</x:v>
      </x:c>
      <x:c r="G7" s="24" t="n">
        <x:f>COUNTIFS('03_Casos_Prueba'!$D$5:$D$254,A7,'03_Casos_Prueba'!$R$5:$R$254,"Ready")</x:f>
        <x:v>1</x:v>
      </x:c>
      <x:c r="H7" s="24" t="n">
        <x:f>COUNTIF('11_Ejecuciones'!$F$5:$F$521,A7)</x:f>
        <x:v>1</x:v>
      </x:c>
      <x:c r="I7" s="24" t="n">
        <x:f>COUNTIFS('11_Ejecuciones'!$F$5:$F$521,A7,'11_Ejecuciones'!$I$5:$I$521,"PASS")+COUNTIFS('11_Ejecuciones'!$F$5:$F$521,A7,'11_Ejecuciones'!$I$5:$I$521,"Baseline PASS")</x:f>
        <x:v>0</x:v>
      </x:c>
      <x:c r="J7" s="24" t="n">
        <x:f>COUNTIFS('11_Ejecuciones'!$F$5:$F$521,A7,'11_Ejecuciones'!$I$5:$I$521,"FAIL")+COUNTIFS('11_Ejecuciones'!$F$5:$F$521,A7,'11_Ejecuciones'!$I$5:$I$521,"BLOCKED")</x:f>
        <x:v>0</x:v>
      </x:c>
      <x:c r="K7" s="32" t="n">
        <x:f>IF(F7=0,0,MIN(1,G7/F7))</x:f>
        <x:v>1</x:v>
      </x:c>
      <x:c r="L7" s="24" t="str">
        <x:f>IF(F7=0,"SIN CASO",IF(J7&gt;0,"FALLO/BLOQUEO",IF(I7&gt;0,"EJECUTADO","PENDIENTE")))</x:f>
        <x:v>PENDIENTE</x:v>
      </x:c>
    </x:row>
    <x:row r="8">
      <x:c r="A8" s="24" t="str">
        <x:v>VS-APP-004</x:v>
      </x:c>
      <x:c r="B8" s="24" t="str">
        <x:v>Aplicación y sesión</x:v>
      </x:c>
      <x:c r="C8" s="24" t="str">
        <x:v>P0</x:v>
      </x:c>
      <x:c r="D8" s="24" t="str">
        <x:v>H6 / Vertical Slice</x:v>
      </x:c>
      <x:c r="E8" s="24" t="str">
        <x:v>Volver al menú o salir no pierde un guardado confirmado.</x:v>
      </x:c>
      <x:c r="F8" s="24" t="n">
        <x:f>COUNTIF('03_Casos_Prueba'!$D$5:$D$254,A8)</x:f>
        <x:v>1</x:v>
      </x:c>
      <x:c r="G8" s="24" t="n">
        <x:f>COUNTIFS('03_Casos_Prueba'!$D$5:$D$254,A8,'03_Casos_Prueba'!$R$5:$R$254,"Ready")</x:f>
        <x:v>1</x:v>
      </x:c>
      <x:c r="H8" s="24" t="n">
        <x:f>COUNTIF('11_Ejecuciones'!$F$5:$F$521,A8)</x:f>
        <x:v>1</x:v>
      </x:c>
      <x:c r="I8" s="24" t="n">
        <x:f>COUNTIFS('11_Ejecuciones'!$F$5:$F$521,A8,'11_Ejecuciones'!$I$5:$I$521,"PASS")+COUNTIFS('11_Ejecuciones'!$F$5:$F$521,A8,'11_Ejecuciones'!$I$5:$I$521,"Baseline PASS")</x:f>
        <x:v>0</x:v>
      </x:c>
      <x:c r="J8" s="24" t="n">
        <x:f>COUNTIFS('11_Ejecuciones'!$F$5:$F$521,A8,'11_Ejecuciones'!$I$5:$I$521,"FAIL")+COUNTIFS('11_Ejecuciones'!$F$5:$F$521,A8,'11_Ejecuciones'!$I$5:$I$521,"BLOCKED")</x:f>
        <x:v>0</x:v>
      </x:c>
      <x:c r="K8" s="32" t="n">
        <x:f>IF(F8=0,0,MIN(1,G8/F8))</x:f>
        <x:v>1</x:v>
      </x:c>
      <x:c r="L8" s="24" t="str">
        <x:f>IF(F8=0,"SIN CASO",IF(J8&gt;0,"FALLO/BLOQUEO",IF(I8&gt;0,"EJECUTADO","PENDIENTE")))</x:f>
        <x:v>PENDIENTE</x:v>
      </x:c>
    </x:row>
    <x:row r="9">
      <x:c r="A9" s="24" t="str">
        <x:v>VS-SCN-001</x:v>
      </x:c>
      <x:c r="B9" s="24" t="str">
        <x:v>Escena y composición</x:v>
      </x:c>
      <x:c r="C9" s="24" t="str">
        <x:v>P0</x:v>
      </x:c>
      <x:c r="D9" s="24" t="str">
        <x:v>H6 / Vertical Slice</x:v>
      </x:c>
      <x:c r="E9" s="24" t="str">
        <x:v>`StoreInitial.unity` carga con referencias obligatorias válidas.</x:v>
      </x:c>
      <x:c r="F9" s="24" t="n">
        <x:f>COUNTIF('03_Casos_Prueba'!$D$5:$D$254,A9)</x:f>
        <x:v>1</x:v>
      </x:c>
      <x:c r="G9" s="24" t="n">
        <x:f>COUNTIFS('03_Casos_Prueba'!$D$5:$D$254,A9,'03_Casos_Prueba'!$R$5:$R$254,"Ready")</x:f>
        <x:v>1</x:v>
      </x:c>
      <x:c r="H9" s="24" t="n">
        <x:f>COUNTIF('11_Ejecuciones'!$F$5:$F$521,A9)</x:f>
        <x:v>1</x:v>
      </x:c>
      <x:c r="I9" s="24" t="n">
        <x:f>COUNTIFS('11_Ejecuciones'!$F$5:$F$521,A9,'11_Ejecuciones'!$I$5:$I$521,"PASS")+COUNTIFS('11_Ejecuciones'!$F$5:$F$521,A9,'11_Ejecuciones'!$I$5:$I$521,"Baseline PASS")</x:f>
        <x:v>0</x:v>
      </x:c>
      <x:c r="J9" s="24" t="n">
        <x:f>COUNTIFS('11_Ejecuciones'!$F$5:$F$521,A9,'11_Ejecuciones'!$I$5:$I$521,"FAIL")+COUNTIFS('11_Ejecuciones'!$F$5:$F$521,A9,'11_Ejecuciones'!$I$5:$I$521,"BLOCKED")</x:f>
        <x:v>0</x:v>
      </x:c>
      <x:c r="K9" s="32" t="n">
        <x:f>IF(F9=0,0,MIN(1,G9/F9))</x:f>
        <x:v>1</x:v>
      </x:c>
      <x:c r="L9" s="24" t="str">
        <x:f>IF(F9=0,"SIN CASO",IF(J9&gt;0,"FALLO/BLOQUEO",IF(I9&gt;0,"EJECUTADO","PENDIENTE")))</x:f>
        <x:v>PENDIENTE</x:v>
      </x:c>
    </x:row>
    <x:row r="10">
      <x:c r="A10" s="24" t="str">
        <x:v>VS-SCN-002</x:v>
      </x:c>
      <x:c r="B10" s="24" t="str">
        <x:v>Escena y composición</x:v>
      </x:c>
      <x:c r="C10" s="24" t="str">
        <x:v>P0</x:v>
      </x:c>
      <x:c r="D10" s="24" t="str">
        <x:v>H6 / Vertical Slice</x:v>
      </x:c>
      <x:c r="E10" s="24" t="str">
        <x:v>Arquitectura, puerta, zonas y mobiliario están colocados conforme al layout aprobado.</x:v>
      </x:c>
      <x:c r="F10" s="24" t="n">
        <x:f>COUNTIF('03_Casos_Prueba'!$D$5:$D$254,A10)</x:f>
        <x:v>1</x:v>
      </x:c>
      <x:c r="G10" s="24" t="n">
        <x:f>COUNTIFS('03_Casos_Prueba'!$D$5:$D$254,A10,'03_Casos_Prueba'!$R$5:$R$254,"Ready")</x:f>
        <x:v>1</x:v>
      </x:c>
      <x:c r="H10" s="24" t="n">
        <x:f>COUNTIF('11_Ejecuciones'!$F$5:$F$521,A10)</x:f>
        <x:v>1</x:v>
      </x:c>
      <x:c r="I10" s="24" t="n">
        <x:f>COUNTIFS('11_Ejecuciones'!$F$5:$F$521,A10,'11_Ejecuciones'!$I$5:$I$521,"PASS")+COUNTIFS('11_Ejecuciones'!$F$5:$F$521,A10,'11_Ejecuciones'!$I$5:$I$521,"Baseline PASS")</x:f>
        <x:v>0</x:v>
      </x:c>
      <x:c r="J10" s="24" t="n">
        <x:f>COUNTIFS('11_Ejecuciones'!$F$5:$F$521,A10,'11_Ejecuciones'!$I$5:$I$521,"FAIL")+COUNTIFS('11_Ejecuciones'!$F$5:$F$521,A10,'11_Ejecuciones'!$I$5:$I$521,"BLOCKED")</x:f>
        <x:v>0</x:v>
      </x:c>
      <x:c r="K10" s="32" t="n">
        <x:f>IF(F10=0,0,MIN(1,G10/F10))</x:f>
        <x:v>1</x:v>
      </x:c>
      <x:c r="L10" s="24" t="str">
        <x:f>IF(F10=0,"SIN CASO",IF(J10&gt;0,"FALLO/BLOQUEO",IF(I10&gt;0,"EJECUTADO","PENDIENTE")))</x:f>
        <x:v>PENDIENTE</x:v>
      </x:c>
    </x:row>
    <x:row r="11">
      <x:c r="A11" s="24" t="str">
        <x:v>VS-SCN-003</x:v>
      </x:c>
      <x:c r="B11" s="24" t="str">
        <x:v>Escena y composición</x:v>
      </x:c>
      <x:c r="C11" s="24" t="str">
        <x:v>P0</x:v>
      </x:c>
      <x:c r="D11" s="24" t="str">
        <x:v>H6 / Vertical Slice</x:v>
      </x:c>
      <x:c r="E11" s="24" t="str">
        <x:v>No existen placeholders visibles no exceptuados.</x:v>
      </x:c>
      <x:c r="F11" s="24" t="n">
        <x:f>COUNTIF('03_Casos_Prueba'!$D$5:$D$254,A11)</x:f>
        <x:v>1</x:v>
      </x:c>
      <x:c r="G11" s="24" t="n">
        <x:f>COUNTIFS('03_Casos_Prueba'!$D$5:$D$254,A11,'03_Casos_Prueba'!$R$5:$R$254,"Ready")</x:f>
        <x:v>1</x:v>
      </x:c>
      <x:c r="H11" s="24" t="n">
        <x:f>COUNTIF('11_Ejecuciones'!$F$5:$F$521,A11)</x:f>
        <x:v>1</x:v>
      </x:c>
      <x:c r="I11" s="24" t="n">
        <x:f>COUNTIFS('11_Ejecuciones'!$F$5:$F$521,A11,'11_Ejecuciones'!$I$5:$I$521,"PASS")+COUNTIFS('11_Ejecuciones'!$F$5:$F$521,A11,'11_Ejecuciones'!$I$5:$I$521,"Baseline PASS")</x:f>
        <x:v>0</x:v>
      </x:c>
      <x:c r="J11" s="24" t="n">
        <x:f>COUNTIFS('11_Ejecuciones'!$F$5:$F$521,A11,'11_Ejecuciones'!$I$5:$I$521,"FAIL")+COUNTIFS('11_Ejecuciones'!$F$5:$F$521,A11,'11_Ejecuciones'!$I$5:$I$521,"BLOCKED")</x:f>
        <x:v>0</x:v>
      </x:c>
      <x:c r="K11" s="32" t="n">
        <x:f>IF(F11=0,0,MIN(1,G11/F11))</x:f>
        <x:v>1</x:v>
      </x:c>
      <x:c r="L11" s="24" t="str">
        <x:f>IF(F11=0,"SIN CASO",IF(J11&gt;0,"FALLO/BLOQUEO",IF(I11&gt;0,"EJECUTADO","PENDIENTE")))</x:f>
        <x:v>PENDIENTE</x:v>
      </x:c>
    </x:row>
    <x:row r="12">
      <x:c r="A12" s="24" t="str">
        <x:v>VS-SCN-004</x:v>
      </x:c>
      <x:c r="B12" s="24" t="str">
        <x:v>Escena y composición</x:v>
      </x:c>
      <x:c r="C12" s="24" t="str">
        <x:v>P0</x:v>
      </x:c>
      <x:c r="D12" s="24" t="str">
        <x:v>H6 / Vertical Slice</x:v>
      </x:c>
      <x:c r="E12" s="24" t="str">
        <x:v>Visuales, colliders, navegación y puntos funcionales no se contradicen.</x:v>
      </x:c>
      <x:c r="F12" s="24" t="n">
        <x:f>COUNTIF('03_Casos_Prueba'!$D$5:$D$254,A12)</x:f>
        <x:v>1</x:v>
      </x:c>
      <x:c r="G12" s="24" t="n">
        <x:f>COUNTIFS('03_Casos_Prueba'!$D$5:$D$254,A12,'03_Casos_Prueba'!$R$5:$R$254,"Ready")</x:f>
        <x:v>1</x:v>
      </x:c>
      <x:c r="H12" s="24" t="n">
        <x:f>COUNTIF('11_Ejecuciones'!$F$5:$F$521,A12)</x:f>
        <x:v>1</x:v>
      </x:c>
      <x:c r="I12" s="24" t="n">
        <x:f>COUNTIFS('11_Ejecuciones'!$F$5:$F$521,A12,'11_Ejecuciones'!$I$5:$I$521,"PASS")+COUNTIFS('11_Ejecuciones'!$F$5:$F$521,A12,'11_Ejecuciones'!$I$5:$I$521,"Baseline PASS")</x:f>
        <x:v>0</x:v>
      </x:c>
      <x:c r="J12" s="24" t="n">
        <x:f>COUNTIFS('11_Ejecuciones'!$F$5:$F$521,A12,'11_Ejecuciones'!$I$5:$I$521,"FAIL")+COUNTIFS('11_Ejecuciones'!$F$5:$F$521,A12,'11_Ejecuciones'!$I$5:$I$521,"BLOCKED")</x:f>
        <x:v>0</x:v>
      </x:c>
      <x:c r="K12" s="32" t="n">
        <x:f>IF(F12=0,0,MIN(1,G12/F12))</x:f>
        <x:v>1</x:v>
      </x:c>
      <x:c r="L12" s="24" t="str">
        <x:f>IF(F12=0,"SIN CASO",IF(J12&gt;0,"FALLO/BLOQUEO",IF(I12&gt;0,"EJECUTADO","PENDIENTE")))</x:f>
        <x:v>PENDIENTE</x:v>
      </x:c>
    </x:row>
    <x:row r="13">
      <x:c r="A13" s="24" t="str">
        <x:v>VS-INP-001</x:v>
      </x:c>
      <x:c r="B13" s="24" t="str">
        <x:v>Input</x:v>
      </x:c>
      <x:c r="C13" s="24" t="str">
        <x:v>P1</x:v>
      </x:c>
      <x:c r="D13" s="24" t="str">
        <x:v>H6 / Vertical Slice</x:v>
      </x:c>
      <x:c r="E13" s="24" t="str">
        <x:v>Un evento consumido por UI no dispara movimiento, colocación o interacción de mundo.</x:v>
      </x:c>
      <x:c r="F13" s="24" t="n">
        <x:f>COUNTIF('03_Casos_Prueba'!$D$5:$D$254,A13)</x:f>
        <x:v>1</x:v>
      </x:c>
      <x:c r="G13" s="24" t="n">
        <x:f>COUNTIFS('03_Casos_Prueba'!$D$5:$D$254,A13,'03_Casos_Prueba'!$R$5:$R$254,"Ready")</x:f>
        <x:v>1</x:v>
      </x:c>
      <x:c r="H13" s="24" t="n">
        <x:f>COUNTIF('11_Ejecuciones'!$F$5:$F$521,A13)</x:f>
        <x:v>1</x:v>
      </x:c>
      <x:c r="I13" s="24" t="n">
        <x:f>COUNTIFS('11_Ejecuciones'!$F$5:$F$521,A13,'11_Ejecuciones'!$I$5:$I$521,"PASS")+COUNTIFS('11_Ejecuciones'!$F$5:$F$521,A13,'11_Ejecuciones'!$I$5:$I$521,"Baseline PASS")</x:f>
        <x:v>0</x:v>
      </x:c>
      <x:c r="J13" s="24" t="n">
        <x:f>COUNTIFS('11_Ejecuciones'!$F$5:$F$521,A13,'11_Ejecuciones'!$I$5:$I$521,"FAIL")+COUNTIFS('11_Ejecuciones'!$F$5:$F$521,A13,'11_Ejecuciones'!$I$5:$I$521,"BLOCKED")</x:f>
        <x:v>0</x:v>
      </x:c>
      <x:c r="K13" s="32" t="n">
        <x:f>IF(F13=0,0,MIN(1,G13/F13))</x:f>
        <x:v>1</x:v>
      </x:c>
      <x:c r="L13" s="24" t="str">
        <x:f>IF(F13=0,"SIN CASO",IF(J13&gt;0,"FALLO/BLOQUEO",IF(I13&gt;0,"EJECUTADO","PENDIENTE")))</x:f>
        <x:v>PENDIENTE</x:v>
      </x:c>
    </x:row>
    <x:row r="14">
      <x:c r="A14" s="24" t="str">
        <x:v>VS-INP-002</x:v>
      </x:c>
      <x:c r="B14" s="24" t="str">
        <x:v>Input</x:v>
      </x:c>
      <x:c r="C14" s="24" t="str">
        <x:v>P1</x:v>
      </x:c>
      <x:c r="D14" s="24" t="str">
        <x:v>H6 / Vertical Slice</x:v>
      </x:c>
      <x:c r="E14" s="24" t="str">
        <x:v>Clic de mundo produce destino válido o feedback de rechazo.</x:v>
      </x:c>
      <x:c r="F14" s="24" t="n">
        <x:f>COUNTIF('03_Casos_Prueba'!$D$5:$D$254,A14)</x:f>
        <x:v>1</x:v>
      </x:c>
      <x:c r="G14" s="24" t="n">
        <x:f>COUNTIFS('03_Casos_Prueba'!$D$5:$D$254,A14,'03_Casos_Prueba'!$R$5:$R$254,"Ready")</x:f>
        <x:v>1</x:v>
      </x:c>
      <x:c r="H14" s="24" t="n">
        <x:f>COUNTIF('11_Ejecuciones'!$F$5:$F$521,A14)</x:f>
        <x:v>1</x:v>
      </x:c>
      <x:c r="I14" s="24" t="n">
        <x:f>COUNTIFS('11_Ejecuciones'!$F$5:$F$521,A14,'11_Ejecuciones'!$I$5:$I$521,"PASS")+COUNTIFS('11_Ejecuciones'!$F$5:$F$521,A14,'11_Ejecuciones'!$I$5:$I$521,"Baseline PASS")</x:f>
        <x:v>0</x:v>
      </x:c>
      <x:c r="J14" s="24" t="n">
        <x:f>COUNTIFS('11_Ejecuciones'!$F$5:$F$521,A14,'11_Ejecuciones'!$I$5:$I$521,"FAIL")+COUNTIFS('11_Ejecuciones'!$F$5:$F$521,A14,'11_Ejecuciones'!$I$5:$I$521,"BLOCKED")</x:f>
        <x:v>0</x:v>
      </x:c>
      <x:c r="K14" s="32" t="n">
        <x:f>IF(F14=0,0,MIN(1,G14/F14))</x:f>
        <x:v>1</x:v>
      </x:c>
      <x:c r="L14" s="24" t="str">
        <x:f>IF(F14=0,"SIN CASO",IF(J14&gt;0,"FALLO/BLOQUEO",IF(I14&gt;0,"EJECUTADO","PENDIENTE")))</x:f>
        <x:v>PENDIENTE</x:v>
      </x:c>
    </x:row>
    <x:row r="15">
      <x:c r="A15" s="24" t="str">
        <x:v>VS-CAM-001</x:v>
      </x:c>
      <x:c r="B15" s="24" t="str">
        <x:v>Cámara</x:v>
      </x:c>
      <x:c r="C15" s="24" t="str">
        <x:v>P0</x:v>
      </x:c>
      <x:c r="D15" s="24" t="str">
        <x:v>H6 / Vertical Slice</x:v>
      </x:c>
      <x:c r="E15" s="24" t="str">
        <x:v>Órbita y zoom permanecen dentro de límites y no bloquean el flujo.</x:v>
      </x:c>
      <x:c r="F15" s="24" t="n">
        <x:f>COUNTIF('03_Casos_Prueba'!$D$5:$D$254,A15)</x:f>
        <x:v>1</x:v>
      </x:c>
      <x:c r="G15" s="24" t="n">
        <x:f>COUNTIFS('03_Casos_Prueba'!$D$5:$D$254,A15,'03_Casos_Prueba'!$R$5:$R$254,"Ready")</x:f>
        <x:v>1</x:v>
      </x:c>
      <x:c r="H15" s="24" t="n">
        <x:f>COUNTIF('11_Ejecuciones'!$F$5:$F$521,A15)</x:f>
        <x:v>1</x:v>
      </x:c>
      <x:c r="I15" s="24" t="n">
        <x:f>COUNTIFS('11_Ejecuciones'!$F$5:$F$521,A15,'11_Ejecuciones'!$I$5:$I$521,"PASS")+COUNTIFS('11_Ejecuciones'!$F$5:$F$521,A15,'11_Ejecuciones'!$I$5:$I$521,"Baseline PASS")</x:f>
        <x:v>0</x:v>
      </x:c>
      <x:c r="J15" s="24" t="n">
        <x:f>COUNTIFS('11_Ejecuciones'!$F$5:$F$521,A15,'11_Ejecuciones'!$I$5:$I$521,"FAIL")+COUNTIFS('11_Ejecuciones'!$F$5:$F$521,A15,'11_Ejecuciones'!$I$5:$I$521,"BLOCKED")</x:f>
        <x:v>0</x:v>
      </x:c>
      <x:c r="K15" s="32" t="n">
        <x:f>IF(F15=0,0,MIN(1,G15/F15))</x:f>
        <x:v>1</x:v>
      </x:c>
      <x:c r="L15" s="24" t="str">
        <x:f>IF(F15=0,"SIN CASO",IF(J15&gt;0,"FALLO/BLOQUEO",IF(I15&gt;0,"EJECUTADO","PENDIENTE")))</x:f>
        <x:v>PENDIENTE</x:v>
      </x:c>
    </x:row>
    <x:row r="16">
      <x:c r="A16" s="24" t="str">
        <x:v>VS-CAM-002</x:v>
      </x:c>
      <x:c r="B16" s="24" t="str">
        <x:v>Cámara</x:v>
      </x:c>
      <x:c r="C16" s="24" t="str">
        <x:v>P2</x:v>
      </x:c>
      <x:c r="D16" s="24" t="str">
        <x:v>H6 / Vertical Slice</x:v>
      </x:c>
      <x:c r="E16" s="24" t="str">
        <x:v>La cámara mantiene legibles entrada, displays, cola y checkout.</x:v>
      </x:c>
      <x:c r="F16" s="24" t="n">
        <x:f>COUNTIF('03_Casos_Prueba'!$D$5:$D$254,A16)</x:f>
        <x:v>1</x:v>
      </x:c>
      <x:c r="G16" s="24" t="n">
        <x:f>COUNTIFS('03_Casos_Prueba'!$D$5:$D$254,A16,'03_Casos_Prueba'!$R$5:$R$254,"Ready")</x:f>
        <x:v>1</x:v>
      </x:c>
      <x:c r="H16" s="24" t="n">
        <x:f>COUNTIF('11_Ejecuciones'!$F$5:$F$521,A16)</x:f>
        <x:v>1</x:v>
      </x:c>
      <x:c r="I16" s="24" t="n">
        <x:f>COUNTIFS('11_Ejecuciones'!$F$5:$F$521,A16,'11_Ejecuciones'!$I$5:$I$521,"PASS")+COUNTIFS('11_Ejecuciones'!$F$5:$F$521,A16,'11_Ejecuciones'!$I$5:$I$521,"Baseline PASS")</x:f>
        <x:v>0</x:v>
      </x:c>
      <x:c r="J16" s="24" t="n">
        <x:f>COUNTIFS('11_Ejecuciones'!$F$5:$F$521,A16,'11_Ejecuciones'!$I$5:$I$521,"FAIL")+COUNTIFS('11_Ejecuciones'!$F$5:$F$521,A16,'11_Ejecuciones'!$I$5:$I$521,"BLOCKED")</x:f>
        <x:v>0</x:v>
      </x:c>
      <x:c r="K16" s="32" t="n">
        <x:f>IF(F16=0,0,MIN(1,G16/F16))</x:f>
        <x:v>1</x:v>
      </x:c>
      <x:c r="L16" s="24" t="str">
        <x:f>IF(F16=0,"SIN CASO",IF(J16&gt;0,"FALLO/BLOQUEO",IF(I16&gt;0,"EJECUTADO","PENDIENTE")))</x:f>
        <x:v>PENDIENTE</x:v>
      </x:c>
    </x:row>
    <x:row r="17">
      <x:c r="A17" s="24" t="str">
        <x:v>VS-MOV-001</x:v>
      </x:c>
      <x:c r="B17" s="24" t="str">
        <x:v>Movimiento y navegación</x:v>
      </x:c>
      <x:c r="C17" s="24" t="str">
        <x:v>P1</x:v>
      </x:c>
      <x:c r="D17" s="24" t="str">
        <x:v>H6 / Vertical Slice</x:v>
      </x:c>
      <x:c r="E17" s="24" t="str">
        <x:v>El jugador alcanza todos los puntos accesibles obligatorios.</x:v>
      </x:c>
      <x:c r="F17" s="24" t="n">
        <x:f>COUNTIF('03_Casos_Prueba'!$D$5:$D$254,A17)</x:f>
        <x:v>1</x:v>
      </x:c>
      <x:c r="G17" s="24" t="n">
        <x:f>COUNTIFS('03_Casos_Prueba'!$D$5:$D$254,A17,'03_Casos_Prueba'!$R$5:$R$254,"Ready")</x:f>
        <x:v>1</x:v>
      </x:c>
      <x:c r="H17" s="24" t="n">
        <x:f>COUNTIF('11_Ejecuciones'!$F$5:$F$521,A17)</x:f>
        <x:v>1</x:v>
      </x:c>
      <x:c r="I17" s="24" t="n">
        <x:f>COUNTIFS('11_Ejecuciones'!$F$5:$F$521,A17,'11_Ejecuciones'!$I$5:$I$521,"PASS")+COUNTIFS('11_Ejecuciones'!$F$5:$F$521,A17,'11_Ejecuciones'!$I$5:$I$521,"Baseline PASS")</x:f>
        <x:v>0</x:v>
      </x:c>
      <x:c r="J17" s="24" t="n">
        <x:f>COUNTIFS('11_Ejecuciones'!$F$5:$F$521,A17,'11_Ejecuciones'!$I$5:$I$521,"FAIL")+COUNTIFS('11_Ejecuciones'!$F$5:$F$521,A17,'11_Ejecuciones'!$I$5:$I$521,"BLOCKED")</x:f>
        <x:v>0</x:v>
      </x:c>
      <x:c r="K17" s="32" t="n">
        <x:f>IF(F17=0,0,MIN(1,G17/F17))</x:f>
        <x:v>1</x:v>
      </x:c>
      <x:c r="L17" s="24" t="str">
        <x:f>IF(F17=0,"SIN CASO",IF(J17&gt;0,"FALLO/BLOQUEO",IF(I17&gt;0,"EJECUTADO","PENDIENTE")))</x:f>
        <x:v>PENDIENTE</x:v>
      </x:c>
    </x:row>
    <x:row r="18">
      <x:c r="A18" s="24" t="str">
        <x:v>VS-MOV-002</x:v>
      </x:c>
      <x:c r="B18" s="24" t="str">
        <x:v>Movimiento y navegación</x:v>
      </x:c>
      <x:c r="C18" s="24" t="str">
        <x:v>P1</x:v>
      </x:c>
      <x:c r="D18" s="24" t="str">
        <x:v>H6 / Vertical Slice</x:v>
      </x:c>
      <x:c r="E18" s="24" t="str">
        <x:v>El jugador no atraviesa arquitectura ni mobiliario.</x:v>
      </x:c>
      <x:c r="F18" s="24" t="n">
        <x:f>COUNTIF('03_Casos_Prueba'!$D$5:$D$254,A18)</x:f>
        <x:v>1</x:v>
      </x:c>
      <x:c r="G18" s="24" t="n">
        <x:f>COUNTIFS('03_Casos_Prueba'!$D$5:$D$254,A18,'03_Casos_Prueba'!$R$5:$R$254,"Ready")</x:f>
        <x:v>1</x:v>
      </x:c>
      <x:c r="H18" s="24" t="n">
        <x:f>COUNTIF('11_Ejecuciones'!$F$5:$F$521,A18)</x:f>
        <x:v>1</x:v>
      </x:c>
      <x:c r="I18" s="24" t="n">
        <x:f>COUNTIFS('11_Ejecuciones'!$F$5:$F$521,A18,'11_Ejecuciones'!$I$5:$I$521,"PASS")+COUNTIFS('11_Ejecuciones'!$F$5:$F$521,A18,'11_Ejecuciones'!$I$5:$I$521,"Baseline PASS")</x:f>
        <x:v>0</x:v>
      </x:c>
      <x:c r="J18" s="24" t="n">
        <x:f>COUNTIFS('11_Ejecuciones'!$F$5:$F$521,A18,'11_Ejecuciones'!$I$5:$I$521,"FAIL")+COUNTIFS('11_Ejecuciones'!$F$5:$F$521,A18,'11_Ejecuciones'!$I$5:$I$521,"BLOCKED")</x:f>
        <x:v>0</x:v>
      </x:c>
      <x:c r="K18" s="32" t="n">
        <x:f>IF(F18=0,0,MIN(1,G18/F18))</x:f>
        <x:v>1</x:v>
      </x:c>
      <x:c r="L18" s="24" t="str">
        <x:f>IF(F18=0,"SIN CASO",IF(J18&gt;0,"FALLO/BLOQUEO",IF(I18&gt;0,"EJECUTADO","PENDIENTE")))</x:f>
        <x:v>PENDIENTE</x:v>
      </x:c>
    </x:row>
    <x:row r="19">
      <x:c r="A19" s="24" t="str">
        <x:v>VS-MOV-003</x:v>
      </x:c>
      <x:c r="B19" s="24" t="str">
        <x:v>Movimiento y navegación</x:v>
      </x:c>
      <x:c r="C19" s="24" t="str">
        <x:v>P1</x:v>
      </x:c>
      <x:c r="D19" s="24" t="str">
        <x:v>H6 / Vertical Slice</x:v>
      </x:c>
      <x:c r="E19" s="24" t="str">
        <x:v>Un destino inaccesible no deja al jugador en estado indefinido.</x:v>
      </x:c>
      <x:c r="F19" s="24" t="n">
        <x:f>COUNTIF('03_Casos_Prueba'!$D$5:$D$254,A19)</x:f>
        <x:v>1</x:v>
      </x:c>
      <x:c r="G19" s="24" t="n">
        <x:f>COUNTIFS('03_Casos_Prueba'!$D$5:$D$254,A19,'03_Casos_Prueba'!$R$5:$R$254,"Ready")</x:f>
        <x:v>1</x:v>
      </x:c>
      <x:c r="H19" s="24" t="n">
        <x:f>COUNTIF('11_Ejecuciones'!$F$5:$F$521,A19)</x:f>
        <x:v>1</x:v>
      </x:c>
      <x:c r="I19" s="24" t="n">
        <x:f>COUNTIFS('11_Ejecuciones'!$F$5:$F$521,A19,'11_Ejecuciones'!$I$5:$I$521,"PASS")+COUNTIFS('11_Ejecuciones'!$F$5:$F$521,A19,'11_Ejecuciones'!$I$5:$I$521,"Baseline PASS")</x:f>
        <x:v>0</x:v>
      </x:c>
      <x:c r="J19" s="24" t="n">
        <x:f>COUNTIFS('11_Ejecuciones'!$F$5:$F$521,A19,'11_Ejecuciones'!$I$5:$I$521,"FAIL")+COUNTIFS('11_Ejecuciones'!$F$5:$F$521,A19,'11_Ejecuciones'!$I$5:$I$521,"BLOCKED")</x:f>
        <x:v>0</x:v>
      </x:c>
      <x:c r="K19" s="32" t="n">
        <x:f>IF(F19=0,0,MIN(1,G19/F19))</x:f>
        <x:v>1</x:v>
      </x:c>
      <x:c r="L19" s="24" t="str">
        <x:f>IF(F19=0,"SIN CASO",IF(J19&gt;0,"FALLO/BLOQUEO",IF(I19&gt;0,"EJECUTADO","PENDIENTE")))</x:f>
        <x:v>PENDIENTE</x:v>
      </x:c>
    </x:row>
    <x:row r="20">
      <x:c r="A20" s="24" t="str">
        <x:v>VS-BLD-001</x:v>
      </x:c>
      <x:c r="B20" s="24" t="str">
        <x:v>Construcción</x:v>
      </x:c>
      <x:c r="C20" s="24" t="str">
        <x:v>P1</x:v>
      </x:c>
      <x:c r="D20" s="24" t="str">
        <x:v>H6 / Vertical Slice</x:v>
      </x:c>
      <x:c r="E20" s="24" t="str">
        <x:v>Preview coincide con posición, rotación y huella final.</x:v>
      </x:c>
      <x:c r="F20" s="24" t="n">
        <x:f>COUNTIF('03_Casos_Prueba'!$D$5:$D$254,A20)</x:f>
        <x:v>1</x:v>
      </x:c>
      <x:c r="G20" s="24" t="n">
        <x:f>COUNTIFS('03_Casos_Prueba'!$D$5:$D$254,A20,'03_Casos_Prueba'!$R$5:$R$254,"Ready")</x:f>
        <x:v>1</x:v>
      </x:c>
      <x:c r="H20" s="24" t="n">
        <x:f>COUNTIF('11_Ejecuciones'!$F$5:$F$521,A20)</x:f>
        <x:v>1</x:v>
      </x:c>
      <x:c r="I20" s="24" t="n">
        <x:f>COUNTIFS('11_Ejecuciones'!$F$5:$F$521,A20,'11_Ejecuciones'!$I$5:$I$521,"PASS")+COUNTIFS('11_Ejecuciones'!$F$5:$F$521,A20,'11_Ejecuciones'!$I$5:$I$521,"Baseline PASS")</x:f>
        <x:v>0</x:v>
      </x:c>
      <x:c r="J20" s="24" t="n">
        <x:f>COUNTIFS('11_Ejecuciones'!$F$5:$F$521,A20,'11_Ejecuciones'!$I$5:$I$521,"FAIL")+COUNTIFS('11_Ejecuciones'!$F$5:$F$521,A20,'11_Ejecuciones'!$I$5:$I$521,"BLOCKED")</x:f>
        <x:v>0</x:v>
      </x:c>
      <x:c r="K20" s="32" t="n">
        <x:f>IF(F20=0,0,MIN(1,G20/F20))</x:f>
        <x:v>1</x:v>
      </x:c>
      <x:c r="L20" s="24" t="str">
        <x:f>IF(F20=0,"SIN CASO",IF(J20&gt;0,"FALLO/BLOQUEO",IF(I20&gt;0,"EJECUTADO","PENDIENTE")))</x:f>
        <x:v>PENDIENTE</x:v>
      </x:c>
    </x:row>
    <x:row r="21">
      <x:c r="A21" s="24" t="str">
        <x:v>VS-BLD-002</x:v>
      </x:c>
      <x:c r="B21" s="24" t="str">
        <x:v>Construcción</x:v>
      </x:c>
      <x:c r="C21" s="24" t="str">
        <x:v>P1</x:v>
      </x:c>
      <x:c r="D21" s="24" t="str">
        <x:v>H6 / Vertical Slice</x:v>
      </x:c>
      <x:c r="E21" s="24" t="str">
        <x:v>No se confirma colocación fuera de límites o sobre celdas ocupadas.</x:v>
      </x:c>
      <x:c r="F21" s="24" t="n">
        <x:f>COUNTIF('03_Casos_Prueba'!$D$5:$D$254,A21)</x:f>
        <x:v>1</x:v>
      </x:c>
      <x:c r="G21" s="24" t="n">
        <x:f>COUNTIFS('03_Casos_Prueba'!$D$5:$D$254,A21,'03_Casos_Prueba'!$R$5:$R$254,"Ready")</x:f>
        <x:v>1</x:v>
      </x:c>
      <x:c r="H21" s="24" t="n">
        <x:f>COUNTIF('11_Ejecuciones'!$F$5:$F$521,A21)</x:f>
        <x:v>1</x:v>
      </x:c>
      <x:c r="I21" s="24" t="n">
        <x:f>COUNTIFS('11_Ejecuciones'!$F$5:$F$521,A21,'11_Ejecuciones'!$I$5:$I$521,"PASS")+COUNTIFS('11_Ejecuciones'!$F$5:$F$521,A21,'11_Ejecuciones'!$I$5:$I$521,"Baseline PASS")</x:f>
        <x:v>0</x:v>
      </x:c>
      <x:c r="J21" s="24" t="n">
        <x:f>COUNTIFS('11_Ejecuciones'!$F$5:$F$521,A21,'11_Ejecuciones'!$I$5:$I$521,"FAIL")+COUNTIFS('11_Ejecuciones'!$F$5:$F$521,A21,'11_Ejecuciones'!$I$5:$I$521,"BLOCKED")</x:f>
        <x:v>0</x:v>
      </x:c>
      <x:c r="K21" s="32" t="n">
        <x:f>IF(F21=0,0,MIN(1,G21/F21))</x:f>
        <x:v>1</x:v>
      </x:c>
      <x:c r="L21" s="24" t="str">
        <x:f>IF(F21=0,"SIN CASO",IF(J21&gt;0,"FALLO/BLOQUEO",IF(I21&gt;0,"EJECUTADO","PENDIENTE")))</x:f>
        <x:v>PENDIENTE</x:v>
      </x:c>
    </x:row>
    <x:row r="22">
      <x:c r="A22" s="24" t="str">
        <x:v>VS-BLD-003</x:v>
      </x:c>
      <x:c r="B22" s="24" t="str">
        <x:v>Construcción</x:v>
      </x:c>
      <x:c r="C22" s="24" t="str">
        <x:v>P0</x:v>
      </x:c>
      <x:c r="D22" s="24" t="str">
        <x:v>H6 / Vertical Slice</x:v>
      </x:c>
      <x:c r="E22" s="24" t="str">
        <x:v>No se bloquean entrada, salida o puntos obligatorios.</x:v>
      </x:c>
      <x:c r="F22" s="24" t="n">
        <x:f>COUNTIF('03_Casos_Prueba'!$D$5:$D$254,A22)</x:f>
        <x:v>1</x:v>
      </x:c>
      <x:c r="G22" s="24" t="n">
        <x:f>COUNTIFS('03_Casos_Prueba'!$D$5:$D$254,A22,'03_Casos_Prueba'!$R$5:$R$254,"Ready")</x:f>
        <x:v>1</x:v>
      </x:c>
      <x:c r="H22" s="24" t="n">
        <x:f>COUNTIF('11_Ejecuciones'!$F$5:$F$521,A22)</x:f>
        <x:v>1</x:v>
      </x:c>
      <x:c r="I22" s="24" t="n">
        <x:f>COUNTIFS('11_Ejecuciones'!$F$5:$F$521,A22,'11_Ejecuciones'!$I$5:$I$521,"PASS")+COUNTIFS('11_Ejecuciones'!$F$5:$F$521,A22,'11_Ejecuciones'!$I$5:$I$521,"Baseline PASS")</x:f>
        <x:v>0</x:v>
      </x:c>
      <x:c r="J22" s="24" t="n">
        <x:f>COUNTIFS('11_Ejecuciones'!$F$5:$F$521,A22,'11_Ejecuciones'!$I$5:$I$521,"FAIL")+COUNTIFS('11_Ejecuciones'!$F$5:$F$521,A22,'11_Ejecuciones'!$I$5:$I$521,"BLOCKED")</x:f>
        <x:v>0</x:v>
      </x:c>
      <x:c r="K22" s="32" t="n">
        <x:f>IF(F22=0,0,MIN(1,G22/F22))</x:f>
        <x:v>1</x:v>
      </x:c>
      <x:c r="L22" s="24" t="str">
        <x:f>IF(F22=0,"SIN CASO",IF(J22&gt;0,"FALLO/BLOQUEO",IF(I22&gt;0,"EJECUTADO","PENDIENTE")))</x:f>
        <x:v>PENDIENTE</x:v>
      </x:c>
    </x:row>
    <x:row r="23">
      <x:c r="A23" s="24" t="str">
        <x:v>VS-BLD-004</x:v>
      </x:c>
      <x:c r="B23" s="24" t="str">
        <x:v>Construcción</x:v>
      </x:c>
      <x:c r="C23" s="24" t="str">
        <x:v>P1</x:v>
      </x:c>
      <x:c r="D23" s="24" t="str">
        <x:v>H6 / Vertical Slice</x:v>
      </x:c>
      <x:c r="E23" s="24" t="str">
        <x:v>Fallo de validación no consume dinero ni altera ocupación.</x:v>
      </x:c>
      <x:c r="F23" s="24" t="n">
        <x:f>COUNTIF('03_Casos_Prueba'!$D$5:$D$254,A23)</x:f>
        <x:v>1</x:v>
      </x:c>
      <x:c r="G23" s="24" t="n">
        <x:f>COUNTIFS('03_Casos_Prueba'!$D$5:$D$254,A23,'03_Casos_Prueba'!$R$5:$R$254,"Ready")</x:f>
        <x:v>1</x:v>
      </x:c>
      <x:c r="H23" s="24" t="n">
        <x:f>COUNTIF('11_Ejecuciones'!$F$5:$F$521,A23)</x:f>
        <x:v>1</x:v>
      </x:c>
      <x:c r="I23" s="24" t="n">
        <x:f>COUNTIFS('11_Ejecuciones'!$F$5:$F$521,A23,'11_Ejecuciones'!$I$5:$I$521,"PASS")+COUNTIFS('11_Ejecuciones'!$F$5:$F$521,A23,'11_Ejecuciones'!$I$5:$I$521,"Baseline PASS")</x:f>
        <x:v>0</x:v>
      </x:c>
      <x:c r="J23" s="24" t="n">
        <x:f>COUNTIFS('11_Ejecuciones'!$F$5:$F$521,A23,'11_Ejecuciones'!$I$5:$I$521,"FAIL")+COUNTIFS('11_Ejecuciones'!$F$5:$F$521,A23,'11_Ejecuciones'!$I$5:$I$521,"BLOCKED")</x:f>
        <x:v>0</x:v>
      </x:c>
      <x:c r="K23" s="32" t="n">
        <x:f>IF(F23=0,0,MIN(1,G23/F23))</x:f>
        <x:v>1</x:v>
      </x:c>
      <x:c r="L23" s="24" t="str">
        <x:f>IF(F23=0,"SIN CASO",IF(J23&gt;0,"FALLO/BLOQUEO",IF(I23&gt;0,"EJECUTADO","PENDIENTE")))</x:f>
        <x:v>PENDIENTE</x:v>
      </x:c>
    </x:row>
    <x:row r="24">
      <x:c r="A24" s="24" t="str">
        <x:v>VS-BLD-005</x:v>
      </x:c>
      <x:c r="B24" s="24" t="str">
        <x:v>Construcción</x:v>
      </x:c>
      <x:c r="C24" s="24" t="str">
        <x:v>P1</x:v>
      </x:c>
      <x:c r="D24" s="24" t="str">
        <x:v>H6 / Vertical Slice</x:v>
      </x:c>
      <x:c r="E24" s="24" t="str">
        <x:v>Mover o retirar libera exactamente las celdas ocupadas.</x:v>
      </x:c>
      <x:c r="F24" s="24" t="n">
        <x:f>COUNTIF('03_Casos_Prueba'!$D$5:$D$254,A24)</x:f>
        <x:v>1</x:v>
      </x:c>
      <x:c r="G24" s="24" t="n">
        <x:f>COUNTIFS('03_Casos_Prueba'!$D$5:$D$254,A24,'03_Casos_Prueba'!$R$5:$R$254,"Ready")</x:f>
        <x:v>1</x:v>
      </x:c>
      <x:c r="H24" s="24" t="n">
        <x:f>COUNTIF('11_Ejecuciones'!$F$5:$F$521,A24)</x:f>
        <x:v>1</x:v>
      </x:c>
      <x:c r="I24" s="24" t="n">
        <x:f>COUNTIFS('11_Ejecuciones'!$F$5:$F$521,A24,'11_Ejecuciones'!$I$5:$I$521,"PASS")+COUNTIFS('11_Ejecuciones'!$F$5:$F$521,A24,'11_Ejecuciones'!$I$5:$I$521,"Baseline PASS")</x:f>
        <x:v>0</x:v>
      </x:c>
      <x:c r="J24" s="24" t="n">
        <x:f>COUNTIFS('11_Ejecuciones'!$F$5:$F$521,A24,'11_Ejecuciones'!$I$5:$I$521,"FAIL")+COUNTIFS('11_Ejecuciones'!$F$5:$F$521,A24,'11_Ejecuciones'!$I$5:$I$521,"BLOCKED")</x:f>
        <x:v>0</x:v>
      </x:c>
      <x:c r="K24" s="32" t="n">
        <x:f>IF(F24=0,0,MIN(1,G24/F24))</x:f>
        <x:v>1</x:v>
      </x:c>
      <x:c r="L24" s="24" t="str">
        <x:f>IF(F24=0,"SIN CASO",IF(J24&gt;0,"FALLO/BLOQUEO",IF(I24&gt;0,"EJECUTADO","PENDIENTE")))</x:f>
        <x:v>PENDIENTE</x:v>
      </x:c>
    </x:row>
    <x:row r="25">
      <x:c r="A25" s="24" t="str">
        <x:v>VS-BLD-006</x:v>
      </x:c>
      <x:c r="B25" s="24" t="str">
        <x:v>Construcción</x:v>
      </x:c>
      <x:c r="C25" s="24" t="str">
        <x:v>P1</x:v>
      </x:c>
      <x:c r="D25" s="24" t="str">
        <x:v>H6 / Vertical Slice</x:v>
      </x:c>
      <x:c r="E25" s="24" t="str">
        <x:v>Posición, rotación, tipo e ID persisten tras recarga.</x:v>
      </x:c>
      <x:c r="F25" s="24" t="n">
        <x:f>COUNTIF('03_Casos_Prueba'!$D$5:$D$254,A25)</x:f>
        <x:v>1</x:v>
      </x:c>
      <x:c r="G25" s="24" t="n">
        <x:f>COUNTIFS('03_Casos_Prueba'!$D$5:$D$254,A25,'03_Casos_Prueba'!$R$5:$R$254,"Ready")</x:f>
        <x:v>1</x:v>
      </x:c>
      <x:c r="H25" s="24" t="n">
        <x:f>COUNTIF('11_Ejecuciones'!$F$5:$F$521,A25)</x:f>
        <x:v>1</x:v>
      </x:c>
      <x:c r="I25" s="24" t="n">
        <x:f>COUNTIFS('11_Ejecuciones'!$F$5:$F$521,A25,'11_Ejecuciones'!$I$5:$I$521,"PASS")+COUNTIFS('11_Ejecuciones'!$F$5:$F$521,A25,'11_Ejecuciones'!$I$5:$I$521,"Baseline PASS")</x:f>
        <x:v>0</x:v>
      </x:c>
      <x:c r="J25" s="24" t="n">
        <x:f>COUNTIFS('11_Ejecuciones'!$F$5:$F$521,A25,'11_Ejecuciones'!$I$5:$I$521,"FAIL")+COUNTIFS('11_Ejecuciones'!$F$5:$F$521,A25,'11_Ejecuciones'!$I$5:$I$521,"BLOCKED")</x:f>
        <x:v>0</x:v>
      </x:c>
      <x:c r="K25" s="32" t="n">
        <x:f>IF(F25=0,0,MIN(1,G25/F25))</x:f>
        <x:v>1</x:v>
      </x:c>
      <x:c r="L25" s="24" t="str">
        <x:f>IF(F25=0,"SIN CASO",IF(J25&gt;0,"FALLO/BLOQUEO",IF(I25&gt;0,"EJECUTADO","PENDIENTE")))</x:f>
        <x:v>PENDIENTE</x:v>
      </x:c>
    </x:row>
    <x:row r="26">
      <x:c r="A26" s="24" t="str">
        <x:v>VS-INV-001</x:v>
      </x:c>
      <x:c r="B26" s="24" t="str">
        <x:v>Inventario</x:v>
      </x:c>
      <x:c r="C26" s="24" t="str">
        <x:v>P0</x:v>
      </x:c>
      <x:c r="D26" s="24" t="str">
        <x:v>H6 / Vertical Slice</x:v>
      </x:c>
      <x:c r="E26" s="24" t="str">
        <x:v>La suma de ubicaciones coincide con el stock registrado.</x:v>
      </x:c>
      <x:c r="F26" s="24" t="n">
        <x:f>COUNTIF('03_Casos_Prueba'!$D$5:$D$254,A26)</x:f>
        <x:v>1</x:v>
      </x:c>
      <x:c r="G26" s="24" t="n">
        <x:f>COUNTIFS('03_Casos_Prueba'!$D$5:$D$254,A26,'03_Casos_Prueba'!$R$5:$R$254,"Ready")</x:f>
        <x:v>1</x:v>
      </x:c>
      <x:c r="H26" s="24" t="n">
        <x:f>COUNTIF('11_Ejecuciones'!$F$5:$F$521,A26)</x:f>
        <x:v>1</x:v>
      </x:c>
      <x:c r="I26" s="24" t="n">
        <x:f>COUNTIFS('11_Ejecuciones'!$F$5:$F$521,A26,'11_Ejecuciones'!$I$5:$I$521,"PASS")+COUNTIFS('11_Ejecuciones'!$F$5:$F$521,A26,'11_Ejecuciones'!$I$5:$I$521,"Baseline PASS")</x:f>
        <x:v>0</x:v>
      </x:c>
      <x:c r="J26" s="24" t="n">
        <x:f>COUNTIFS('11_Ejecuciones'!$F$5:$F$521,A26,'11_Ejecuciones'!$I$5:$I$521,"FAIL")+COUNTIFS('11_Ejecuciones'!$F$5:$F$521,A26,'11_Ejecuciones'!$I$5:$I$521,"BLOCKED")</x:f>
        <x:v>0</x:v>
      </x:c>
      <x:c r="K26" s="32" t="n">
        <x:f>IF(F26=0,0,MIN(1,G26/F26))</x:f>
        <x:v>1</x:v>
      </x:c>
      <x:c r="L26" s="24" t="str">
        <x:f>IF(F26=0,"SIN CASO",IF(J26&gt;0,"FALLO/BLOQUEO",IF(I26&gt;0,"EJECUTADO","PENDIENTE")))</x:f>
        <x:v>PENDIENTE</x:v>
      </x:c>
    </x:row>
    <x:row r="27">
      <x:c r="A27" s="24" t="str">
        <x:v>VS-INV-002</x:v>
      </x:c>
      <x:c r="B27" s="24" t="str">
        <x:v>Inventario</x:v>
      </x:c>
      <x:c r="C27" s="24" t="str">
        <x:v>P0</x:v>
      </x:c>
      <x:c r="D27" s="24" t="str">
        <x:v>H6 / Vertical Slice</x:v>
      </x:c>
      <x:c r="E27" s="24" t="str">
        <x:v>Una unidad solo ocupa una ubicación lógica.</x:v>
      </x:c>
      <x:c r="F27" s="24" t="n">
        <x:f>COUNTIF('03_Casos_Prueba'!$D$5:$D$254,A27)</x:f>
        <x:v>1</x:v>
      </x:c>
      <x:c r="G27" s="24" t="n">
        <x:f>COUNTIFS('03_Casos_Prueba'!$D$5:$D$254,A27,'03_Casos_Prueba'!$R$5:$R$254,"Ready")</x:f>
        <x:v>1</x:v>
      </x:c>
      <x:c r="H27" s="24" t="n">
        <x:f>COUNTIF('11_Ejecuciones'!$F$5:$F$521,A27)</x:f>
        <x:v>1</x:v>
      </x:c>
      <x:c r="I27" s="24" t="n">
        <x:f>COUNTIFS('11_Ejecuciones'!$F$5:$F$521,A27,'11_Ejecuciones'!$I$5:$I$521,"PASS")+COUNTIFS('11_Ejecuciones'!$F$5:$F$521,A27,'11_Ejecuciones'!$I$5:$I$521,"Baseline PASS")</x:f>
        <x:v>0</x:v>
      </x:c>
      <x:c r="J27" s="24" t="n">
        <x:f>COUNTIFS('11_Ejecuciones'!$F$5:$F$521,A27,'11_Ejecuciones'!$I$5:$I$521,"FAIL")+COUNTIFS('11_Ejecuciones'!$F$5:$F$521,A27,'11_Ejecuciones'!$I$5:$I$521,"BLOCKED")</x:f>
        <x:v>0</x:v>
      </x:c>
      <x:c r="K27" s="32" t="n">
        <x:f>IF(F27=0,0,MIN(1,G27/F27))</x:f>
        <x:v>1</x:v>
      </x:c>
      <x:c r="L27" s="24" t="str">
        <x:f>IF(F27=0,"SIN CASO",IF(J27&gt;0,"FALLO/BLOQUEO",IF(I27&gt;0,"EJECUTADO","PENDIENTE")))</x:f>
        <x:v>PENDIENTE</x:v>
      </x:c>
    </x:row>
    <x:row r="28">
      <x:c r="A28" s="24" t="str">
        <x:v>VS-INV-003</x:v>
      </x:c>
      <x:c r="B28" s="24" t="str">
        <x:v>Inventario</x:v>
      </x:c>
      <x:c r="C28" s="24" t="str">
        <x:v>P0</x:v>
      </x:c>
      <x:c r="D28" s="24" t="str">
        <x:v>H6 / Vertical Slice</x:v>
      </x:c>
      <x:c r="E28" s="24" t="str">
        <x:v>Transferencia inválida no modifica origen ni destino.</x:v>
      </x:c>
      <x:c r="F28" s="24" t="n">
        <x:f>COUNTIF('03_Casos_Prueba'!$D$5:$D$254,A28)</x:f>
        <x:v>1</x:v>
      </x:c>
      <x:c r="G28" s="24" t="n">
        <x:f>COUNTIFS('03_Casos_Prueba'!$D$5:$D$254,A28,'03_Casos_Prueba'!$R$5:$R$254,"Ready")</x:f>
        <x:v>1</x:v>
      </x:c>
      <x:c r="H28" s="24" t="n">
        <x:f>COUNTIF('11_Ejecuciones'!$F$5:$F$521,A28)</x:f>
        <x:v>1</x:v>
      </x:c>
      <x:c r="I28" s="24" t="n">
        <x:f>COUNTIFS('11_Ejecuciones'!$F$5:$F$521,A28,'11_Ejecuciones'!$I$5:$I$521,"PASS")+COUNTIFS('11_Ejecuciones'!$F$5:$F$521,A28,'11_Ejecuciones'!$I$5:$I$521,"Baseline PASS")</x:f>
        <x:v>0</x:v>
      </x:c>
      <x:c r="J28" s="24" t="n">
        <x:f>COUNTIFS('11_Ejecuciones'!$F$5:$F$521,A28,'11_Ejecuciones'!$I$5:$I$521,"FAIL")+COUNTIFS('11_Ejecuciones'!$F$5:$F$521,A28,'11_Ejecuciones'!$I$5:$I$521,"BLOCKED")</x:f>
        <x:v>0</x:v>
      </x:c>
      <x:c r="K28" s="32" t="n">
        <x:f>IF(F28=0,0,MIN(1,G28/F28))</x:f>
        <x:v>1</x:v>
      </x:c>
      <x:c r="L28" s="24" t="str">
        <x:f>IF(F28=0,"SIN CASO",IF(J28&gt;0,"FALLO/BLOQUEO",IF(I28&gt;0,"EJECUTADO","PENDIENTE")))</x:f>
        <x:v>PENDIENTE</x:v>
      </x:c>
    </x:row>
    <x:row r="29">
      <x:c r="A29" s="24" t="str">
        <x:v>VS-INV-004</x:v>
      </x:c>
      <x:c r="B29" s="24" t="str">
        <x:v>Inventario</x:v>
      </x:c>
      <x:c r="C29" s="24" t="str">
        <x:v>P0</x:v>
      </x:c>
      <x:c r="D29" s="24" t="str">
        <x:v>H6 / Vertical Slice</x:v>
      </x:c>
      <x:c r="E29" s="24" t="str">
        <x:v>Transferencia válida conserva cantidad total.</x:v>
      </x:c>
      <x:c r="F29" s="24" t="n">
        <x:f>COUNTIF('03_Casos_Prueba'!$D$5:$D$254,A29)</x:f>
        <x:v>1</x:v>
      </x:c>
      <x:c r="G29" s="24" t="n">
        <x:f>COUNTIFS('03_Casos_Prueba'!$D$5:$D$254,A29,'03_Casos_Prueba'!$R$5:$R$254,"Ready")</x:f>
        <x:v>1</x:v>
      </x:c>
      <x:c r="H29" s="24" t="n">
        <x:f>COUNTIF('11_Ejecuciones'!$F$5:$F$521,A29)</x:f>
        <x:v>1</x:v>
      </x:c>
      <x:c r="I29" s="24" t="n">
        <x:f>COUNTIFS('11_Ejecuciones'!$F$5:$F$521,A29,'11_Ejecuciones'!$I$5:$I$521,"PASS")+COUNTIFS('11_Ejecuciones'!$F$5:$F$521,A29,'11_Ejecuciones'!$I$5:$I$521,"Baseline PASS")</x:f>
        <x:v>0</x:v>
      </x:c>
      <x:c r="J29" s="24" t="n">
        <x:f>COUNTIFS('11_Ejecuciones'!$F$5:$F$521,A29,'11_Ejecuciones'!$I$5:$I$521,"FAIL")+COUNTIFS('11_Ejecuciones'!$F$5:$F$521,A29,'11_Ejecuciones'!$I$5:$I$521,"BLOCKED")</x:f>
        <x:v>0</x:v>
      </x:c>
      <x:c r="K29" s="32" t="n">
        <x:f>IF(F29=0,0,MIN(1,G29/F29))</x:f>
        <x:v>1</x:v>
      </x:c>
      <x:c r="L29" s="24" t="str">
        <x:f>IF(F29=0,"SIN CASO",IF(J29&gt;0,"FALLO/BLOQUEO",IF(I29&gt;0,"EJECUTADO","PENDIENTE")))</x:f>
        <x:v>PENDIENTE</x:v>
      </x:c>
    </x:row>
    <x:row r="30">
      <x:c r="A30" s="24" t="str">
        <x:v>VS-INV-005</x:v>
      </x:c>
      <x:c r="B30" s="24" t="str">
        <x:v>Inventario</x:v>
      </x:c>
      <x:c r="C30" s="24" t="str">
        <x:v>P0</x:v>
      </x:c>
      <x:c r="D30" s="24" t="str">
        <x:v>H6 / Vertical Slice</x:v>
      </x:c>
      <x:c r="E30" s="24" t="str">
        <x:v>No existen pérdidas o duplicaciones tras siete días.</x:v>
      </x:c>
      <x:c r="F30" s="24" t="n">
        <x:f>COUNTIF('03_Casos_Prueba'!$D$5:$D$254,A30)</x:f>
        <x:v>1</x:v>
      </x:c>
      <x:c r="G30" s="24" t="n">
        <x:f>COUNTIFS('03_Casos_Prueba'!$D$5:$D$254,A30,'03_Casos_Prueba'!$R$5:$R$254,"Ready")</x:f>
        <x:v>1</x:v>
      </x:c>
      <x:c r="H30" s="24" t="n">
        <x:f>COUNTIF('11_Ejecuciones'!$F$5:$F$521,A30)</x:f>
        <x:v>1</x:v>
      </x:c>
      <x:c r="I30" s="24" t="n">
        <x:f>COUNTIFS('11_Ejecuciones'!$F$5:$F$521,A30,'11_Ejecuciones'!$I$5:$I$521,"PASS")+COUNTIFS('11_Ejecuciones'!$F$5:$F$521,A30,'11_Ejecuciones'!$I$5:$I$521,"Baseline PASS")</x:f>
        <x:v>0</x:v>
      </x:c>
      <x:c r="J30" s="24" t="n">
        <x:f>COUNTIFS('11_Ejecuciones'!$F$5:$F$521,A30,'11_Ejecuciones'!$I$5:$I$521,"FAIL")+COUNTIFS('11_Ejecuciones'!$F$5:$F$521,A30,'11_Ejecuciones'!$I$5:$I$521,"BLOCKED")</x:f>
        <x:v>0</x:v>
      </x:c>
      <x:c r="K30" s="32" t="n">
        <x:f>IF(F30=0,0,MIN(1,G30/F30))</x:f>
        <x:v>1</x:v>
      </x:c>
      <x:c r="L30" s="24" t="str">
        <x:f>IF(F30=0,"SIN CASO",IF(J30&gt;0,"FALLO/BLOQUEO",IF(I30&gt;0,"EJECUTADO","PENDIENTE")))</x:f>
        <x:v>PENDIENTE</x:v>
      </x:c>
    </x:row>
    <x:row r="31">
      <x:c r="A31" s="24" t="str">
        <x:v>VS-ORD-001</x:v>
      </x:c>
      <x:c r="B31" s="24" t="str">
        <x:v>Pedidos y entregas</x:v>
      </x:c>
      <x:c r="C31" s="24" t="str">
        <x:v>P2</x:v>
      </x:c>
      <x:c r="D31" s="24" t="str">
        <x:v>H6 / Vertical Slice</x:v>
      </x:c>
      <x:c r="E31" s="24" t="str">
        <x:v>Pedido inválido se rechaza sin coste.</x:v>
      </x:c>
      <x:c r="F31" s="24" t="n">
        <x:f>COUNTIF('03_Casos_Prueba'!$D$5:$D$254,A31)</x:f>
        <x:v>1</x:v>
      </x:c>
      <x:c r="G31" s="24" t="n">
        <x:f>COUNTIFS('03_Casos_Prueba'!$D$5:$D$254,A31,'03_Casos_Prueba'!$R$5:$R$254,"Ready")</x:f>
        <x:v>1</x:v>
      </x:c>
      <x:c r="H31" s="24" t="n">
        <x:f>COUNTIF('11_Ejecuciones'!$F$5:$F$521,A31)</x:f>
        <x:v>1</x:v>
      </x:c>
      <x:c r="I31" s="24" t="n">
        <x:f>COUNTIFS('11_Ejecuciones'!$F$5:$F$521,A31,'11_Ejecuciones'!$I$5:$I$521,"PASS")+COUNTIFS('11_Ejecuciones'!$F$5:$F$521,A31,'11_Ejecuciones'!$I$5:$I$521,"Baseline PASS")</x:f>
        <x:v>0</x:v>
      </x:c>
      <x:c r="J31" s="24" t="n">
        <x:f>COUNTIFS('11_Ejecuciones'!$F$5:$F$521,A31,'11_Ejecuciones'!$I$5:$I$521,"FAIL")+COUNTIFS('11_Ejecuciones'!$F$5:$F$521,A31,'11_Ejecuciones'!$I$5:$I$521,"BLOCKED")</x:f>
        <x:v>0</x:v>
      </x:c>
      <x:c r="K31" s="32" t="n">
        <x:f>IF(F31=0,0,MIN(1,G31/F31))</x:f>
        <x:v>1</x:v>
      </x:c>
      <x:c r="L31" s="24" t="str">
        <x:f>IF(F31=0,"SIN CASO",IF(J31&gt;0,"FALLO/BLOQUEO",IF(I31&gt;0,"EJECUTADO","PENDIENTE")))</x:f>
        <x:v>PENDIENTE</x:v>
      </x:c>
    </x:row>
    <x:row r="32">
      <x:c r="A32" s="24" t="str">
        <x:v>VS-ORD-002</x:v>
      </x:c>
      <x:c r="B32" s="24" t="str">
        <x:v>Pedidos y entregas</x:v>
      </x:c>
      <x:c r="C32" s="24" t="str">
        <x:v>P2</x:v>
      </x:c>
      <x:c r="D32" s="24" t="str">
        <x:v>H6 / Vertical Slice</x:v>
      </x:c>
      <x:c r="E32" s="24" t="str">
        <x:v>Pedido válido registra proveedor, producto, cantidad, coste e ID.</x:v>
      </x:c>
      <x:c r="F32" s="24" t="n">
        <x:f>COUNTIF('03_Casos_Prueba'!$D$5:$D$254,A32)</x:f>
        <x:v>1</x:v>
      </x:c>
      <x:c r="G32" s="24" t="n">
        <x:f>COUNTIFS('03_Casos_Prueba'!$D$5:$D$254,A32,'03_Casos_Prueba'!$R$5:$R$254,"Ready")</x:f>
        <x:v>1</x:v>
      </x:c>
      <x:c r="H32" s="24" t="n">
        <x:f>COUNTIF('11_Ejecuciones'!$F$5:$F$521,A32)</x:f>
        <x:v>1</x:v>
      </x:c>
      <x:c r="I32" s="24" t="n">
        <x:f>COUNTIFS('11_Ejecuciones'!$F$5:$F$521,A32,'11_Ejecuciones'!$I$5:$I$521,"PASS")+COUNTIFS('11_Ejecuciones'!$F$5:$F$521,A32,'11_Ejecuciones'!$I$5:$I$521,"Baseline PASS")</x:f>
        <x:v>0</x:v>
      </x:c>
      <x:c r="J32" s="24" t="n">
        <x:f>COUNTIFS('11_Ejecuciones'!$F$5:$F$521,A32,'11_Ejecuciones'!$I$5:$I$521,"FAIL")+COUNTIFS('11_Ejecuciones'!$F$5:$F$521,A32,'11_Ejecuciones'!$I$5:$I$521,"BLOCKED")</x:f>
        <x:v>0</x:v>
      </x:c>
      <x:c r="K32" s="32" t="n">
        <x:f>IF(F32=0,0,MIN(1,G32/F32))</x:f>
        <x:v>1</x:v>
      </x:c>
      <x:c r="L32" s="24" t="str">
        <x:f>IF(F32=0,"SIN CASO",IF(J32&gt;0,"FALLO/BLOQUEO",IF(I32&gt;0,"EJECUTADO","PENDIENTE")))</x:f>
        <x:v>PENDIENTE</x:v>
      </x:c>
    </x:row>
    <x:row r="33">
      <x:c r="A33" s="24" t="str">
        <x:v>VS-ORD-003</x:v>
      </x:c>
      <x:c r="B33" s="24" t="str">
        <x:v>Pedidos y entregas</x:v>
      </x:c>
      <x:c r="C33" s="24" t="str">
        <x:v>P0</x:v>
      </x:c>
      <x:c r="D33" s="24" t="str">
        <x:v>H6 / Vertical Slice</x:v>
      </x:c>
      <x:c r="E33" s="24" t="str">
        <x:v>Cada pedido se entrega una sola vez.</x:v>
      </x:c>
      <x:c r="F33" s="24" t="n">
        <x:f>COUNTIF('03_Casos_Prueba'!$D$5:$D$254,A33)</x:f>
        <x:v>1</x:v>
      </x:c>
      <x:c r="G33" s="24" t="n">
        <x:f>COUNTIFS('03_Casos_Prueba'!$D$5:$D$254,A33,'03_Casos_Prueba'!$R$5:$R$254,"Ready")</x:f>
        <x:v>1</x:v>
      </x:c>
      <x:c r="H33" s="24" t="n">
        <x:f>COUNTIF('11_Ejecuciones'!$F$5:$F$521,A33)</x:f>
        <x:v>1</x:v>
      </x:c>
      <x:c r="I33" s="24" t="n">
        <x:f>COUNTIFS('11_Ejecuciones'!$F$5:$F$521,A33,'11_Ejecuciones'!$I$5:$I$521,"PASS")+COUNTIFS('11_Ejecuciones'!$F$5:$F$521,A33,'11_Ejecuciones'!$I$5:$I$521,"Baseline PASS")</x:f>
        <x:v>0</x:v>
      </x:c>
      <x:c r="J33" s="24" t="n">
        <x:f>COUNTIFS('11_Ejecuciones'!$F$5:$F$521,A33,'11_Ejecuciones'!$I$5:$I$521,"FAIL")+COUNTIFS('11_Ejecuciones'!$F$5:$F$521,A33,'11_Ejecuciones'!$I$5:$I$521,"BLOCKED")</x:f>
        <x:v>0</x:v>
      </x:c>
      <x:c r="K33" s="32" t="n">
        <x:f>IF(F33=0,0,MIN(1,G33/F33))</x:f>
        <x:v>1</x:v>
      </x:c>
      <x:c r="L33" s="24" t="str">
        <x:f>IF(F33=0,"SIN CASO",IF(J33&gt;0,"FALLO/BLOQUEO",IF(I33&gt;0,"EJECUTADO","PENDIENTE")))</x:f>
        <x:v>PENDIENTE</x:v>
      </x:c>
    </x:row>
    <x:row r="34">
      <x:c r="A34" s="24" t="str">
        <x:v>VS-ORD-004</x:v>
      </x:c>
      <x:c r="B34" s="24" t="str">
        <x:v>Pedidos y entregas</x:v>
      </x:c>
      <x:c r="C34" s="24" t="str">
        <x:v>P2</x:v>
      </x:c>
      <x:c r="D34" s="24" t="str">
        <x:v>H6 / Vertical Slice</x:v>
      </x:c>
      <x:c r="E34" s="24" t="str">
        <x:v>La entrega contiene exactamente las cantidades confirmadas.</x:v>
      </x:c>
      <x:c r="F34" s="24" t="n">
        <x:f>COUNTIF('03_Casos_Prueba'!$D$5:$D$254,A34)</x:f>
        <x:v>1</x:v>
      </x:c>
      <x:c r="G34" s="24" t="n">
        <x:f>COUNTIFS('03_Casos_Prueba'!$D$5:$D$254,A34,'03_Casos_Prueba'!$R$5:$R$254,"Ready")</x:f>
        <x:v>1</x:v>
      </x:c>
      <x:c r="H34" s="24" t="n">
        <x:f>COUNTIF('11_Ejecuciones'!$F$5:$F$521,A34)</x:f>
        <x:v>1</x:v>
      </x:c>
      <x:c r="I34" s="24" t="n">
        <x:f>COUNTIFS('11_Ejecuciones'!$F$5:$F$521,A34,'11_Ejecuciones'!$I$5:$I$521,"PASS")+COUNTIFS('11_Ejecuciones'!$F$5:$F$521,A34,'11_Ejecuciones'!$I$5:$I$521,"Baseline PASS")</x:f>
        <x:v>0</x:v>
      </x:c>
      <x:c r="J34" s="24" t="n">
        <x:f>COUNTIFS('11_Ejecuciones'!$F$5:$F$521,A34,'11_Ejecuciones'!$I$5:$I$521,"FAIL")+COUNTIFS('11_Ejecuciones'!$F$5:$F$521,A34,'11_Ejecuciones'!$I$5:$I$521,"BLOCKED")</x:f>
        <x:v>0</x:v>
      </x:c>
      <x:c r="K34" s="32" t="n">
        <x:f>IF(F34=0,0,MIN(1,G34/F34))</x:f>
        <x:v>1</x:v>
      </x:c>
      <x:c r="L34" s="24" t="str">
        <x:f>IF(F34=0,"SIN CASO",IF(J34&gt;0,"FALLO/BLOQUEO",IF(I34&gt;0,"EJECUTADO","PENDIENTE")))</x:f>
        <x:v>PENDIENTE</x:v>
      </x:c>
    </x:row>
    <x:row r="35">
      <x:c r="A35" s="24" t="str">
        <x:v>VS-ORD-005</x:v>
      </x:c>
      <x:c r="B35" s="24" t="str">
        <x:v>Pedidos y entregas</x:v>
      </x:c>
      <x:c r="C35" s="24" t="str">
        <x:v>P2</x:v>
      </x:c>
      <x:c r="D35" s="24" t="str">
        <x:v>H6 / Vertical Slice</x:v>
      </x:c>
      <x:c r="E35" s="24" t="str">
        <x:v>Pedido pendiente persiste y reanuda correctamente.</x:v>
      </x:c>
      <x:c r="F35" s="24" t="n">
        <x:f>COUNTIF('03_Casos_Prueba'!$D$5:$D$254,A35)</x:f>
        <x:v>1</x:v>
      </x:c>
      <x:c r="G35" s="24" t="n">
        <x:f>COUNTIFS('03_Casos_Prueba'!$D$5:$D$254,A35,'03_Casos_Prueba'!$R$5:$R$254,"Ready")</x:f>
        <x:v>1</x:v>
      </x:c>
      <x:c r="H35" s="24" t="n">
        <x:f>COUNTIF('11_Ejecuciones'!$F$5:$F$521,A35)</x:f>
        <x:v>1</x:v>
      </x:c>
      <x:c r="I35" s="24" t="n">
        <x:f>COUNTIFS('11_Ejecuciones'!$F$5:$F$521,A35,'11_Ejecuciones'!$I$5:$I$521,"PASS")+COUNTIFS('11_Ejecuciones'!$F$5:$F$521,A35,'11_Ejecuciones'!$I$5:$I$521,"Baseline PASS")</x:f>
        <x:v>0</x:v>
      </x:c>
      <x:c r="J35" s="24" t="n">
        <x:f>COUNTIFS('11_Ejecuciones'!$F$5:$F$521,A35,'11_Ejecuciones'!$I$5:$I$521,"FAIL")+COUNTIFS('11_Ejecuciones'!$F$5:$F$521,A35,'11_Ejecuciones'!$I$5:$I$521,"BLOCKED")</x:f>
        <x:v>0</x:v>
      </x:c>
      <x:c r="K35" s="32" t="n">
        <x:f>IF(F35=0,0,MIN(1,G35/F35))</x:f>
        <x:v>1</x:v>
      </x:c>
      <x:c r="L35" s="24" t="str">
        <x:f>IF(F35=0,"SIN CASO",IF(J35&gt;0,"FALLO/BLOQUEO",IF(I35&gt;0,"EJECUTADO","PENDIENTE")))</x:f>
        <x:v>PENDIENTE</x:v>
      </x:c>
    </x:row>
    <x:row r="36">
      <x:c r="A36" s="24" t="str">
        <x:v>VS-DSP-001</x:v>
      </x:c>
      <x:c r="B36" s="24" t="str">
        <x:v>Displays y reposición</x:v>
      </x:c>
      <x:c r="C36" s="24" t="str">
        <x:v>P2</x:v>
      </x:c>
      <x:c r="D36" s="24" t="str">
        <x:v>H6 / Vertical Slice</x:v>
      </x:c>
      <x:c r="E36" s="24" t="str">
        <x:v>Asignación incompatible se rechaza con feedback.</x:v>
      </x:c>
      <x:c r="F36" s="24" t="n">
        <x:f>COUNTIF('03_Casos_Prueba'!$D$5:$D$254,A36)</x:f>
        <x:v>1</x:v>
      </x:c>
      <x:c r="G36" s="24" t="n">
        <x:f>COUNTIFS('03_Casos_Prueba'!$D$5:$D$254,A36,'03_Casos_Prueba'!$R$5:$R$254,"Ready")</x:f>
        <x:v>1</x:v>
      </x:c>
      <x:c r="H36" s="24" t="n">
        <x:f>COUNTIF('11_Ejecuciones'!$F$5:$F$521,A36)</x:f>
        <x:v>1</x:v>
      </x:c>
      <x:c r="I36" s="24" t="n">
        <x:f>COUNTIFS('11_Ejecuciones'!$F$5:$F$521,A36,'11_Ejecuciones'!$I$5:$I$521,"PASS")+COUNTIFS('11_Ejecuciones'!$F$5:$F$521,A36,'11_Ejecuciones'!$I$5:$I$521,"Baseline PASS")</x:f>
        <x:v>0</x:v>
      </x:c>
      <x:c r="J36" s="24" t="n">
        <x:f>COUNTIFS('11_Ejecuciones'!$F$5:$F$521,A36,'11_Ejecuciones'!$I$5:$I$521,"FAIL")+COUNTIFS('11_Ejecuciones'!$F$5:$F$521,A36,'11_Ejecuciones'!$I$5:$I$521,"BLOCKED")</x:f>
        <x:v>0</x:v>
      </x:c>
      <x:c r="K36" s="32" t="n">
        <x:f>IF(F36=0,0,MIN(1,G36/F36))</x:f>
        <x:v>1</x:v>
      </x:c>
      <x:c r="L36" s="24" t="str">
        <x:f>IF(F36=0,"SIN CASO",IF(J36&gt;0,"FALLO/BLOQUEO",IF(I36&gt;0,"EJECUTADO","PENDIENTE")))</x:f>
        <x:v>PENDIENTE</x:v>
      </x:c>
    </x:row>
    <x:row r="37">
      <x:c r="A37" s="24" t="str">
        <x:v>VS-DSP-002</x:v>
      </x:c>
      <x:c r="B37" s="24" t="str">
        <x:v>Displays y reposición</x:v>
      </x:c>
      <x:c r="C37" s="24" t="str">
        <x:v>P2</x:v>
      </x:c>
      <x:c r="D37" s="24" t="str">
        <x:v>H6 / Vertical Slice</x:v>
      </x:c>
      <x:c r="E37" s="24" t="str">
        <x:v>Capacidad impide sobrellenado.</x:v>
      </x:c>
      <x:c r="F37" s="24" t="n">
        <x:f>COUNTIF('03_Casos_Prueba'!$D$5:$D$254,A37)</x:f>
        <x:v>1</x:v>
      </x:c>
      <x:c r="G37" s="24" t="n">
        <x:f>COUNTIFS('03_Casos_Prueba'!$D$5:$D$254,A37,'03_Casos_Prueba'!$R$5:$R$254,"Ready")</x:f>
        <x:v>1</x:v>
      </x:c>
      <x:c r="H37" s="24" t="n">
        <x:f>COUNTIF('11_Ejecuciones'!$F$5:$F$521,A37)</x:f>
        <x:v>1</x:v>
      </x:c>
      <x:c r="I37" s="24" t="n">
        <x:f>COUNTIFS('11_Ejecuciones'!$F$5:$F$521,A37,'11_Ejecuciones'!$I$5:$I$521,"PASS")+COUNTIFS('11_Ejecuciones'!$F$5:$F$521,A37,'11_Ejecuciones'!$I$5:$I$521,"Baseline PASS")</x:f>
        <x:v>0</x:v>
      </x:c>
      <x:c r="J37" s="24" t="n">
        <x:f>COUNTIFS('11_Ejecuciones'!$F$5:$F$521,A37,'11_Ejecuciones'!$I$5:$I$521,"FAIL")+COUNTIFS('11_Ejecuciones'!$F$5:$F$521,A37,'11_Ejecuciones'!$I$5:$I$521,"BLOCKED")</x:f>
        <x:v>0</x:v>
      </x:c>
      <x:c r="K37" s="32" t="n">
        <x:f>IF(F37=0,0,MIN(1,G37/F37))</x:f>
        <x:v>1</x:v>
      </x:c>
      <x:c r="L37" s="24" t="str">
        <x:f>IF(F37=0,"SIN CASO",IF(J37&gt;0,"FALLO/BLOQUEO",IF(I37&gt;0,"EJECUTADO","PENDIENTE")))</x:f>
        <x:v>PENDIENTE</x:v>
      </x:c>
    </x:row>
    <x:row r="38">
      <x:c r="A38" s="24" t="str">
        <x:v>VS-DSP-003</x:v>
      </x:c>
      <x:c r="B38" s="24" t="str">
        <x:v>Displays y reposición</x:v>
      </x:c>
      <x:c r="C38" s="24" t="str">
        <x:v>P0</x:v>
      </x:c>
      <x:c r="D38" s="24" t="str">
        <x:v>H6 / Vertical Slice</x:v>
      </x:c>
      <x:c r="E38" s="24" t="str">
        <x:v>Reposición consume origen y aumenta destino de forma atómica.</x:v>
      </x:c>
      <x:c r="F38" s="24" t="n">
        <x:f>COUNTIF('03_Casos_Prueba'!$D$5:$D$254,A38)</x:f>
        <x:v>1</x:v>
      </x:c>
      <x:c r="G38" s="24" t="n">
        <x:f>COUNTIFS('03_Casos_Prueba'!$D$5:$D$254,A38,'03_Casos_Prueba'!$R$5:$R$254,"Ready")</x:f>
        <x:v>1</x:v>
      </x:c>
      <x:c r="H38" s="24" t="n">
        <x:f>COUNTIF('11_Ejecuciones'!$F$5:$F$521,A38)</x:f>
        <x:v>1</x:v>
      </x:c>
      <x:c r="I38" s="24" t="n">
        <x:f>COUNTIFS('11_Ejecuciones'!$F$5:$F$521,A38,'11_Ejecuciones'!$I$5:$I$521,"PASS")+COUNTIFS('11_Ejecuciones'!$F$5:$F$521,A38,'11_Ejecuciones'!$I$5:$I$521,"Baseline PASS")</x:f>
        <x:v>0</x:v>
      </x:c>
      <x:c r="J38" s="24" t="n">
        <x:f>COUNTIFS('11_Ejecuciones'!$F$5:$F$521,A38,'11_Ejecuciones'!$I$5:$I$521,"FAIL")+COUNTIFS('11_Ejecuciones'!$F$5:$F$521,A38,'11_Ejecuciones'!$I$5:$I$521,"BLOCKED")</x:f>
        <x:v>0</x:v>
      </x:c>
      <x:c r="K38" s="32" t="n">
        <x:f>IF(F38=0,0,MIN(1,G38/F38))</x:f>
        <x:v>1</x:v>
      </x:c>
      <x:c r="L38" s="24" t="str">
        <x:f>IF(F38=0,"SIN CASO",IF(J38&gt;0,"FALLO/BLOQUEO",IF(I38&gt;0,"EJECUTADO","PENDIENTE")))</x:f>
        <x:v>PENDIENTE</x:v>
      </x:c>
    </x:row>
    <x:row r="39">
      <x:c r="A39" s="24" t="str">
        <x:v>VS-DSP-004</x:v>
      </x:c>
      <x:c r="B39" s="24" t="str">
        <x:v>Displays y reposición</x:v>
      </x:c>
      <x:c r="C39" s="24" t="str">
        <x:v>P2</x:v>
      </x:c>
      <x:c r="D39" s="24" t="str">
        <x:v>H6 / Vertical Slice</x:v>
      </x:c>
      <x:c r="E39" s="24" t="str">
        <x:v>Visual de producto coincide con asignación y cantidad representada.</x:v>
      </x:c>
      <x:c r="F39" s="24" t="n">
        <x:f>COUNTIF('03_Casos_Prueba'!$D$5:$D$254,A39)</x:f>
        <x:v>1</x:v>
      </x:c>
      <x:c r="G39" s="24" t="n">
        <x:f>COUNTIFS('03_Casos_Prueba'!$D$5:$D$254,A39,'03_Casos_Prueba'!$R$5:$R$254,"Ready")</x:f>
        <x:v>1</x:v>
      </x:c>
      <x:c r="H39" s="24" t="n">
        <x:f>COUNTIF('11_Ejecuciones'!$F$5:$F$521,A39)</x:f>
        <x:v>1</x:v>
      </x:c>
      <x:c r="I39" s="24" t="n">
        <x:f>COUNTIFS('11_Ejecuciones'!$F$5:$F$521,A39,'11_Ejecuciones'!$I$5:$I$521,"PASS")+COUNTIFS('11_Ejecuciones'!$F$5:$F$521,A39,'11_Ejecuciones'!$I$5:$I$521,"Baseline PASS")</x:f>
        <x:v>0</x:v>
      </x:c>
      <x:c r="J39" s="24" t="n">
        <x:f>COUNTIFS('11_Ejecuciones'!$F$5:$F$521,A39,'11_Ejecuciones'!$I$5:$I$521,"FAIL")+COUNTIFS('11_Ejecuciones'!$F$5:$F$521,A39,'11_Ejecuciones'!$I$5:$I$521,"BLOCKED")</x:f>
        <x:v>0</x:v>
      </x:c>
      <x:c r="K39" s="32" t="n">
        <x:f>IF(F39=0,0,MIN(1,G39/F39))</x:f>
        <x:v>1</x:v>
      </x:c>
      <x:c r="L39" s="24" t="str">
        <x:f>IF(F39=0,"SIN CASO",IF(J39&gt;0,"FALLO/BLOQUEO",IF(I39&gt;0,"EJECUTADO","PENDIENTE")))</x:f>
        <x:v>PENDIENTE</x:v>
      </x:c>
    </x:row>
    <x:row r="40">
      <x:c r="A40" s="24" t="str">
        <x:v>VS-DSP-005</x:v>
      </x:c>
      <x:c r="B40" s="24" t="str">
        <x:v>Displays y reposición</x:v>
      </x:c>
      <x:c r="C40" s="24" t="str">
        <x:v>P2</x:v>
      </x:c>
      <x:c r="D40" s="24" t="str">
        <x:v>H6 / Vertical Slice</x:v>
      </x:c>
      <x:c r="E40" s="24" t="str">
        <x:v>Asignación y stock visible persisten.</x:v>
      </x:c>
      <x:c r="F40" s="24" t="n">
        <x:f>COUNTIF('03_Casos_Prueba'!$D$5:$D$254,A40)</x:f>
        <x:v>1</x:v>
      </x:c>
      <x:c r="G40" s="24" t="n">
        <x:f>COUNTIFS('03_Casos_Prueba'!$D$5:$D$254,A40,'03_Casos_Prueba'!$R$5:$R$254,"Ready")</x:f>
        <x:v>1</x:v>
      </x:c>
      <x:c r="H40" s="24" t="n">
        <x:f>COUNTIF('11_Ejecuciones'!$F$5:$F$521,A40)</x:f>
        <x:v>1</x:v>
      </x:c>
      <x:c r="I40" s="24" t="n">
        <x:f>COUNTIFS('11_Ejecuciones'!$F$5:$F$521,A40,'11_Ejecuciones'!$I$5:$I$521,"PASS")+COUNTIFS('11_Ejecuciones'!$F$5:$F$521,A40,'11_Ejecuciones'!$I$5:$I$521,"Baseline PASS")</x:f>
        <x:v>0</x:v>
      </x:c>
      <x:c r="J40" s="24" t="n">
        <x:f>COUNTIFS('11_Ejecuciones'!$F$5:$F$521,A40,'11_Ejecuciones'!$I$5:$I$521,"FAIL")+COUNTIFS('11_Ejecuciones'!$F$5:$F$521,A40,'11_Ejecuciones'!$I$5:$I$521,"BLOCKED")</x:f>
        <x:v>0</x:v>
      </x:c>
      <x:c r="K40" s="32" t="n">
        <x:f>IF(F40=0,0,MIN(1,G40/F40))</x:f>
        <x:v>1</x:v>
      </x:c>
      <x:c r="L40" s="24" t="str">
        <x:f>IF(F40=0,"SIN CASO",IF(J40&gt;0,"FALLO/BLOQUEO",IF(I40&gt;0,"EJECUTADO","PENDIENTE")))</x:f>
        <x:v>PENDIENTE</x:v>
      </x:c>
    </x:row>
    <x:row r="41">
      <x:c r="A41" s="24" t="str">
        <x:v>VS-PRC-001</x:v>
      </x:c>
      <x:c r="B41" s="24" t="str">
        <x:v>Precios</x:v>
      </x:c>
      <x:c r="C41" s="24" t="str">
        <x:v>P2</x:v>
      </x:c>
      <x:c r="D41" s="24" t="str">
        <x:v>H6 / Vertical Slice</x:v>
      </x:c>
      <x:c r="E41" s="24" t="str">
        <x:v>Precio inválido se rechaza.</x:v>
      </x:c>
      <x:c r="F41" s="24" t="n">
        <x:f>COUNTIF('03_Casos_Prueba'!$D$5:$D$254,A41)</x:f>
        <x:v>1</x:v>
      </x:c>
      <x:c r="G41" s="24" t="n">
        <x:f>COUNTIFS('03_Casos_Prueba'!$D$5:$D$254,A41,'03_Casos_Prueba'!$R$5:$R$254,"Ready")</x:f>
        <x:v>1</x:v>
      </x:c>
      <x:c r="H41" s="24" t="n">
        <x:f>COUNTIF('11_Ejecuciones'!$F$5:$F$521,A41)</x:f>
        <x:v>1</x:v>
      </x:c>
      <x:c r="I41" s="24" t="n">
        <x:f>COUNTIFS('11_Ejecuciones'!$F$5:$F$521,A41,'11_Ejecuciones'!$I$5:$I$521,"PASS")+COUNTIFS('11_Ejecuciones'!$F$5:$F$521,A41,'11_Ejecuciones'!$I$5:$I$521,"Baseline PASS")</x:f>
        <x:v>0</x:v>
      </x:c>
      <x:c r="J41" s="24" t="n">
        <x:f>COUNTIFS('11_Ejecuciones'!$F$5:$F$521,A41,'11_Ejecuciones'!$I$5:$I$521,"FAIL")+COUNTIFS('11_Ejecuciones'!$F$5:$F$521,A41,'11_Ejecuciones'!$I$5:$I$521,"BLOCKED")</x:f>
        <x:v>0</x:v>
      </x:c>
      <x:c r="K41" s="32" t="n">
        <x:f>IF(F41=0,0,MIN(1,G41/F41))</x:f>
        <x:v>1</x:v>
      </x:c>
      <x:c r="L41" s="24" t="str">
        <x:f>IF(F41=0,"SIN CASO",IF(J41&gt;0,"FALLO/BLOQUEO",IF(I41&gt;0,"EJECUTADO","PENDIENTE")))</x:f>
        <x:v>PENDIENTE</x:v>
      </x:c>
    </x:row>
    <x:row r="42">
      <x:c r="A42" s="24" t="str">
        <x:v>VS-PRC-002</x:v>
      </x:c>
      <x:c r="B42" s="24" t="str">
        <x:v>Precios</x:v>
      </x:c>
      <x:c r="C42" s="24" t="str">
        <x:v>P2</x:v>
      </x:c>
      <x:c r="D42" s="24" t="str">
        <x:v>H6 / Vertical Slice</x:v>
      </x:c>
      <x:c r="E42" s="24" t="str">
        <x:v>Precio confirmado persiste y se utiliza en la venta.</x:v>
      </x:c>
      <x:c r="F42" s="24" t="n">
        <x:f>COUNTIF('03_Casos_Prueba'!$D$5:$D$254,A42)</x:f>
        <x:v>1</x:v>
      </x:c>
      <x:c r="G42" s="24" t="n">
        <x:f>COUNTIFS('03_Casos_Prueba'!$D$5:$D$254,A42,'03_Casos_Prueba'!$R$5:$R$254,"Ready")</x:f>
        <x:v>1</x:v>
      </x:c>
      <x:c r="H42" s="24" t="n">
        <x:f>COUNTIF('11_Ejecuciones'!$F$5:$F$521,A42)</x:f>
        <x:v>1</x:v>
      </x:c>
      <x:c r="I42" s="24" t="n">
        <x:f>COUNTIFS('11_Ejecuciones'!$F$5:$F$521,A42,'11_Ejecuciones'!$I$5:$I$521,"PASS")+COUNTIFS('11_Ejecuciones'!$F$5:$F$521,A42,'11_Ejecuciones'!$I$5:$I$521,"Baseline PASS")</x:f>
        <x:v>0</x:v>
      </x:c>
      <x:c r="J42" s="24" t="n">
        <x:f>COUNTIFS('11_Ejecuciones'!$F$5:$F$521,A42,'11_Ejecuciones'!$I$5:$I$521,"FAIL")+COUNTIFS('11_Ejecuciones'!$F$5:$F$521,A42,'11_Ejecuciones'!$I$5:$I$521,"BLOCKED")</x:f>
        <x:v>0</x:v>
      </x:c>
      <x:c r="K42" s="32" t="n">
        <x:f>IF(F42=0,0,MIN(1,G42/F42))</x:f>
        <x:v>1</x:v>
      </x:c>
      <x:c r="L42" s="24" t="str">
        <x:f>IF(F42=0,"SIN CASO",IF(J42&gt;0,"FALLO/BLOQUEO",IF(I42&gt;0,"EJECUTADO","PENDIENTE")))</x:f>
        <x:v>PENDIENTE</x:v>
      </x:c>
    </x:row>
    <x:row r="43">
      <x:c r="A43" s="24" t="str">
        <x:v>VS-PRC-003</x:v>
      </x:c>
      <x:c r="B43" s="24" t="str">
        <x:v>Precios</x:v>
      </x:c>
      <x:c r="C43" s="24" t="str">
        <x:v>P2</x:v>
      </x:c>
      <x:c r="D43" s="24" t="str">
        <x:v>H6 / Vertical Slice</x:v>
      </x:c>
      <x:c r="E43" s="24" t="str">
        <x:v>Cambiar precio afecta interés según regla determinista/configurada.</x:v>
      </x:c>
      <x:c r="F43" s="24" t="n">
        <x:f>COUNTIF('03_Casos_Prueba'!$D$5:$D$254,A43)</x:f>
        <x:v>1</x:v>
      </x:c>
      <x:c r="G43" s="24" t="n">
        <x:f>COUNTIFS('03_Casos_Prueba'!$D$5:$D$254,A43,'03_Casos_Prueba'!$R$5:$R$254,"Ready")</x:f>
        <x:v>1</x:v>
      </x:c>
      <x:c r="H43" s="24" t="n">
        <x:f>COUNTIF('11_Ejecuciones'!$F$5:$F$521,A43)</x:f>
        <x:v>1</x:v>
      </x:c>
      <x:c r="I43" s="24" t="n">
        <x:f>COUNTIFS('11_Ejecuciones'!$F$5:$F$521,A43,'11_Ejecuciones'!$I$5:$I$521,"PASS")+COUNTIFS('11_Ejecuciones'!$F$5:$F$521,A43,'11_Ejecuciones'!$I$5:$I$521,"Baseline PASS")</x:f>
        <x:v>0</x:v>
      </x:c>
      <x:c r="J43" s="24" t="n">
        <x:f>COUNTIFS('11_Ejecuciones'!$F$5:$F$521,A43,'11_Ejecuciones'!$I$5:$I$521,"FAIL")+COUNTIFS('11_Ejecuciones'!$F$5:$F$521,A43,'11_Ejecuciones'!$I$5:$I$521,"BLOCKED")</x:f>
        <x:v>0</x:v>
      </x:c>
      <x:c r="K43" s="32" t="n">
        <x:f>IF(F43=0,0,MIN(1,G43/F43))</x:f>
        <x:v>1</x:v>
      </x:c>
      <x:c r="L43" s="24" t="str">
        <x:f>IF(F43=0,"SIN CASO",IF(J43&gt;0,"FALLO/BLOQUEO",IF(I43&gt;0,"EJECUTADO","PENDIENTE")))</x:f>
        <x:v>PENDIENTE</x:v>
      </x:c>
    </x:row>
    <x:row r="44">
      <x:c r="A44" s="24" t="str">
        <x:v>VS-CUS-001</x:v>
      </x:c>
      <x:c r="B44" s="24" t="str">
        <x:v>Clientes</x:v>
      </x:c>
      <x:c r="C44" s="24" t="str">
        <x:v>P1</x:v>
      </x:c>
      <x:c r="D44" s="24" t="str">
        <x:v>H6 / Vertical Slice</x:v>
      </x:c>
      <x:c r="E44" s="24" t="str">
        <x:v>Clientes solo aparecen durante estados permitidos.</x:v>
      </x:c>
      <x:c r="F44" s="24" t="n">
        <x:f>COUNTIF('03_Casos_Prueba'!$D$5:$D$254,A44)</x:f>
        <x:v>1</x:v>
      </x:c>
      <x:c r="G44" s="24" t="n">
        <x:f>COUNTIFS('03_Casos_Prueba'!$D$5:$D$254,A44,'03_Casos_Prueba'!$R$5:$R$254,"Ready")</x:f>
        <x:v>1</x:v>
      </x:c>
      <x:c r="H44" s="24" t="n">
        <x:f>COUNTIF('11_Ejecuciones'!$F$5:$F$521,A44)</x:f>
        <x:v>1</x:v>
      </x:c>
      <x:c r="I44" s="24" t="n">
        <x:f>COUNTIFS('11_Ejecuciones'!$F$5:$F$521,A44,'11_Ejecuciones'!$I$5:$I$521,"PASS")+COUNTIFS('11_Ejecuciones'!$F$5:$F$521,A44,'11_Ejecuciones'!$I$5:$I$521,"Baseline PASS")</x:f>
        <x:v>0</x:v>
      </x:c>
      <x:c r="J44" s="24" t="n">
        <x:f>COUNTIFS('11_Ejecuciones'!$F$5:$F$521,A44,'11_Ejecuciones'!$I$5:$I$521,"FAIL")+COUNTIFS('11_Ejecuciones'!$F$5:$F$521,A44,'11_Ejecuciones'!$I$5:$I$521,"BLOCKED")</x:f>
        <x:v>0</x:v>
      </x:c>
      <x:c r="K44" s="32" t="n">
        <x:f>IF(F44=0,0,MIN(1,G44/F44))</x:f>
        <x:v>1</x:v>
      </x:c>
      <x:c r="L44" s="24" t="str">
        <x:f>IF(F44=0,"SIN CASO",IF(J44&gt;0,"FALLO/BLOQUEO",IF(I44&gt;0,"EJECUTADO","PENDIENTE")))</x:f>
        <x:v>PENDIENTE</x:v>
      </x:c>
    </x:row>
    <x:row r="45">
      <x:c r="A45" s="24" t="str">
        <x:v>VS-CUS-002</x:v>
      </x:c>
      <x:c r="B45" s="24" t="str">
        <x:v>Clientes</x:v>
      </x:c>
      <x:c r="C45" s="24" t="str">
        <x:v>P1</x:v>
      </x:c>
      <x:c r="D45" s="24" t="str">
        <x:v>H6 / Vertical Slice</x:v>
      </x:c>
      <x:c r="E45" s="24" t="str">
        <x:v>Cliente selecciona objetivo compatible o abandona con causa.</x:v>
      </x:c>
      <x:c r="F45" s="24" t="n">
        <x:f>COUNTIF('03_Casos_Prueba'!$D$5:$D$254,A45)</x:f>
        <x:v>1</x:v>
      </x:c>
      <x:c r="G45" s="24" t="n">
        <x:f>COUNTIFS('03_Casos_Prueba'!$D$5:$D$254,A45,'03_Casos_Prueba'!$R$5:$R$254,"Ready")</x:f>
        <x:v>1</x:v>
      </x:c>
      <x:c r="H45" s="24" t="n">
        <x:f>COUNTIF('11_Ejecuciones'!$F$5:$F$521,A45)</x:f>
        <x:v>1</x:v>
      </x:c>
      <x:c r="I45" s="24" t="n">
        <x:f>COUNTIFS('11_Ejecuciones'!$F$5:$F$521,A45,'11_Ejecuciones'!$I$5:$I$521,"PASS")+COUNTIFS('11_Ejecuciones'!$F$5:$F$521,A45,'11_Ejecuciones'!$I$5:$I$521,"Baseline PASS")</x:f>
        <x:v>0</x:v>
      </x:c>
      <x:c r="J45" s="24" t="n">
        <x:f>COUNTIFS('11_Ejecuciones'!$F$5:$F$521,A45,'11_Ejecuciones'!$I$5:$I$521,"FAIL")+COUNTIFS('11_Ejecuciones'!$F$5:$F$521,A45,'11_Ejecuciones'!$I$5:$I$521,"BLOCKED")</x:f>
        <x:v>0</x:v>
      </x:c>
      <x:c r="K45" s="32" t="n">
        <x:f>IF(F45=0,0,MIN(1,G45/F45))</x:f>
        <x:v>1</x:v>
      </x:c>
      <x:c r="L45" s="24" t="str">
        <x:f>IF(F45=0,"SIN CASO",IF(J45&gt;0,"FALLO/BLOQUEO",IF(I45&gt;0,"EJECUTADO","PENDIENTE")))</x:f>
        <x:v>PENDIENTE</x:v>
      </x:c>
    </x:row>
    <x:row r="46">
      <x:c r="A46" s="24" t="str">
        <x:v>VS-CUS-003</x:v>
      </x:c>
      <x:c r="B46" s="24" t="str">
        <x:v>Clientes</x:v>
      </x:c>
      <x:c r="C46" s="24" t="str">
        <x:v>P0</x:v>
      </x:c>
      <x:c r="D46" s="24" t="str">
        <x:v>H6 / Vertical Slice</x:v>
      </x:c>
      <x:c r="E46" s="24" t="str">
        <x:v>Cliente navega sin atravesar obstáculos ni quedar bloqueado indefinidamente.</x:v>
      </x:c>
      <x:c r="F46" s="24" t="n">
        <x:f>COUNTIF('03_Casos_Prueba'!$D$5:$D$254,A46)</x:f>
        <x:v>1</x:v>
      </x:c>
      <x:c r="G46" s="24" t="n">
        <x:f>COUNTIFS('03_Casos_Prueba'!$D$5:$D$254,A46,'03_Casos_Prueba'!$R$5:$R$254,"Ready")</x:f>
        <x:v>1</x:v>
      </x:c>
      <x:c r="H46" s="24" t="n">
        <x:f>COUNTIF('11_Ejecuciones'!$F$5:$F$521,A46)</x:f>
        <x:v>1</x:v>
      </x:c>
      <x:c r="I46" s="24" t="n">
        <x:f>COUNTIFS('11_Ejecuciones'!$F$5:$F$521,A46,'11_Ejecuciones'!$I$5:$I$521,"PASS")+COUNTIFS('11_Ejecuciones'!$F$5:$F$521,A46,'11_Ejecuciones'!$I$5:$I$521,"Baseline PASS")</x:f>
        <x:v>0</x:v>
      </x:c>
      <x:c r="J46" s="24" t="n">
        <x:f>COUNTIFS('11_Ejecuciones'!$F$5:$F$521,A46,'11_Ejecuciones'!$I$5:$I$521,"FAIL")+COUNTIFS('11_Ejecuciones'!$F$5:$F$521,A46,'11_Ejecuciones'!$I$5:$I$521,"BLOCKED")</x:f>
        <x:v>0</x:v>
      </x:c>
      <x:c r="K46" s="32" t="n">
        <x:f>IF(F46=0,0,MIN(1,G46/F46))</x:f>
        <x:v>1</x:v>
      </x:c>
      <x:c r="L46" s="24" t="str">
        <x:f>IF(F46=0,"SIN CASO",IF(J46&gt;0,"FALLO/BLOQUEO",IF(I46&gt;0,"EJECUTADO","PENDIENTE")))</x:f>
        <x:v>PENDIENTE</x:v>
      </x:c>
    </x:row>
    <x:row r="47">
      <x:c r="A47" s="24" t="str">
        <x:v>VS-CUS-004</x:v>
      </x:c>
      <x:c r="B47" s="24" t="str">
        <x:v>Clientes</x:v>
      </x:c>
      <x:c r="C47" s="24" t="str">
        <x:v>P1</x:v>
      </x:c>
      <x:c r="D47" s="24" t="str">
        <x:v>H6 / Vertical Slice</x:v>
      </x:c>
      <x:c r="E47" s="24" t="str">
        <x:v>Falta de stock, precio o espera producen reacción legible.</x:v>
      </x:c>
      <x:c r="F47" s="24" t="n">
        <x:f>COUNTIF('03_Casos_Prueba'!$D$5:$D$254,A47)</x:f>
        <x:v>1</x:v>
      </x:c>
      <x:c r="G47" s="24" t="n">
        <x:f>COUNTIFS('03_Casos_Prueba'!$D$5:$D$254,A47,'03_Casos_Prueba'!$R$5:$R$254,"Ready")</x:f>
        <x:v>1</x:v>
      </x:c>
      <x:c r="H47" s="24" t="n">
        <x:f>COUNTIF('11_Ejecuciones'!$F$5:$F$521,A47)</x:f>
        <x:v>1</x:v>
      </x:c>
      <x:c r="I47" s="24" t="n">
        <x:f>COUNTIFS('11_Ejecuciones'!$F$5:$F$521,A47,'11_Ejecuciones'!$I$5:$I$521,"PASS")+COUNTIFS('11_Ejecuciones'!$F$5:$F$521,A47,'11_Ejecuciones'!$I$5:$I$521,"Baseline PASS")</x:f>
        <x:v>0</x:v>
      </x:c>
      <x:c r="J47" s="24" t="n">
        <x:f>COUNTIFS('11_Ejecuciones'!$F$5:$F$521,A47,'11_Ejecuciones'!$I$5:$I$521,"FAIL")+COUNTIFS('11_Ejecuciones'!$F$5:$F$521,A47,'11_Ejecuciones'!$I$5:$I$521,"BLOCKED")</x:f>
        <x:v>0</x:v>
      </x:c>
      <x:c r="K47" s="32" t="n">
        <x:f>IF(F47=0,0,MIN(1,G47/F47))</x:f>
        <x:v>1</x:v>
      </x:c>
      <x:c r="L47" s="24" t="str">
        <x:f>IF(F47=0,"SIN CASO",IF(J47&gt;0,"FALLO/BLOQUEO",IF(I47&gt;0,"EJECUTADO","PENDIENTE")))</x:f>
        <x:v>PENDIENTE</x:v>
      </x:c>
    </x:row>
    <x:row r="48">
      <x:c r="A48" s="24" t="str">
        <x:v>VS-RES-001</x:v>
      </x:c>
      <x:c r="B48" s="24" t="str">
        <x:v>Reservas</x:v>
      </x:c>
      <x:c r="C48" s="24" t="str">
        <x:v>P0</x:v>
      </x:c>
      <x:c r="D48" s="24" t="str">
        <x:v>H6 / Vertical Slice</x:v>
      </x:c>
      <x:c r="E48" s="24" t="str">
        <x:v>Una unidad no puede reservarse para dos clientes.</x:v>
      </x:c>
      <x:c r="F48" s="24" t="n">
        <x:f>COUNTIF('03_Casos_Prueba'!$D$5:$D$254,A48)</x:f>
        <x:v>1</x:v>
      </x:c>
      <x:c r="G48" s="24" t="n">
        <x:f>COUNTIFS('03_Casos_Prueba'!$D$5:$D$254,A48,'03_Casos_Prueba'!$R$5:$R$254,"Ready")</x:f>
        <x:v>1</x:v>
      </x:c>
      <x:c r="H48" s="24" t="n">
        <x:f>COUNTIF('11_Ejecuciones'!$F$5:$F$521,A48)</x:f>
        <x:v>1</x:v>
      </x:c>
      <x:c r="I48" s="24" t="n">
        <x:f>COUNTIFS('11_Ejecuciones'!$F$5:$F$521,A48,'11_Ejecuciones'!$I$5:$I$521,"PASS")+COUNTIFS('11_Ejecuciones'!$F$5:$F$521,A48,'11_Ejecuciones'!$I$5:$I$521,"Baseline PASS")</x:f>
        <x:v>0</x:v>
      </x:c>
      <x:c r="J48" s="24" t="n">
        <x:f>COUNTIFS('11_Ejecuciones'!$F$5:$F$521,A48,'11_Ejecuciones'!$I$5:$I$521,"FAIL")+COUNTIFS('11_Ejecuciones'!$F$5:$F$521,A48,'11_Ejecuciones'!$I$5:$I$521,"BLOCKED")</x:f>
        <x:v>0</x:v>
      </x:c>
      <x:c r="K48" s="32" t="n">
        <x:f>IF(F48=0,0,MIN(1,G48/F48))</x:f>
        <x:v>1</x:v>
      </x:c>
      <x:c r="L48" s="24" t="str">
        <x:f>IF(F48=0,"SIN CASO",IF(J48&gt;0,"FALLO/BLOQUEO",IF(I48&gt;0,"EJECUTADO","PENDIENTE")))</x:f>
        <x:v>PENDIENTE</x:v>
      </x:c>
    </x:row>
    <x:row r="49">
      <x:c r="A49" s="24" t="str">
        <x:v>VS-RES-002</x:v>
      </x:c>
      <x:c r="B49" s="24" t="str">
        <x:v>Reservas</x:v>
      </x:c>
      <x:c r="C49" s="24" t="str">
        <x:v>P0</x:v>
      </x:c>
      <x:c r="D49" s="24" t="str">
        <x:v>H6 / Vertical Slice</x:v>
      </x:c>
      <x:c r="E49" s="24" t="str">
        <x:v>Abandono, fallo o cierre liberan la reserva.</x:v>
      </x:c>
      <x:c r="F49" s="24" t="n">
        <x:f>COUNTIF('03_Casos_Prueba'!$D$5:$D$254,A49)</x:f>
        <x:v>1</x:v>
      </x:c>
      <x:c r="G49" s="24" t="n">
        <x:f>COUNTIFS('03_Casos_Prueba'!$D$5:$D$254,A49,'03_Casos_Prueba'!$R$5:$R$254,"Ready")</x:f>
        <x:v>1</x:v>
      </x:c>
      <x:c r="H49" s="24" t="n">
        <x:f>COUNTIF('11_Ejecuciones'!$F$5:$F$521,A49)</x:f>
        <x:v>1</x:v>
      </x:c>
      <x:c r="I49" s="24" t="n">
        <x:f>COUNTIFS('11_Ejecuciones'!$F$5:$F$521,A49,'11_Ejecuciones'!$I$5:$I$521,"PASS")+COUNTIFS('11_Ejecuciones'!$F$5:$F$521,A49,'11_Ejecuciones'!$I$5:$I$521,"Baseline PASS")</x:f>
        <x:v>0</x:v>
      </x:c>
      <x:c r="J49" s="24" t="n">
        <x:f>COUNTIFS('11_Ejecuciones'!$F$5:$F$521,A49,'11_Ejecuciones'!$I$5:$I$521,"FAIL")+COUNTIFS('11_Ejecuciones'!$F$5:$F$521,A49,'11_Ejecuciones'!$I$5:$I$521,"BLOCKED")</x:f>
        <x:v>0</x:v>
      </x:c>
      <x:c r="K49" s="32" t="n">
        <x:f>IF(F49=0,0,MIN(1,G49/F49))</x:f>
        <x:v>1</x:v>
      </x:c>
      <x:c r="L49" s="24" t="str">
        <x:f>IF(F49=0,"SIN CASO",IF(J49&gt;0,"FALLO/BLOQUEO",IF(I49&gt;0,"EJECUTADO","PENDIENTE")))</x:f>
        <x:v>PENDIENTE</x:v>
      </x:c>
    </x:row>
    <x:row r="50">
      <x:c r="A50" s="24" t="str">
        <x:v>VS-RES-003</x:v>
      </x:c>
      <x:c r="B50" s="24" t="str">
        <x:v>Reservas</x:v>
      </x:c>
      <x:c r="C50" s="24" t="str">
        <x:v>P0</x:v>
      </x:c>
      <x:c r="D50" s="24" t="str">
        <x:v>H6 / Vertical Slice</x:v>
      </x:c>
      <x:c r="E50" s="24" t="str">
        <x:v>Venta consume la reserva exactamente una vez.</x:v>
      </x:c>
      <x:c r="F50" s="24" t="n">
        <x:f>COUNTIF('03_Casos_Prueba'!$D$5:$D$254,A50)</x:f>
        <x:v>1</x:v>
      </x:c>
      <x:c r="G50" s="24" t="n">
        <x:f>COUNTIFS('03_Casos_Prueba'!$D$5:$D$254,A50,'03_Casos_Prueba'!$R$5:$R$254,"Ready")</x:f>
        <x:v>1</x:v>
      </x:c>
      <x:c r="H50" s="24" t="n">
        <x:f>COUNTIF('11_Ejecuciones'!$F$5:$F$521,A50)</x:f>
        <x:v>1</x:v>
      </x:c>
      <x:c r="I50" s="24" t="n">
        <x:f>COUNTIFS('11_Ejecuciones'!$F$5:$F$521,A50,'11_Ejecuciones'!$I$5:$I$521,"PASS")+COUNTIFS('11_Ejecuciones'!$F$5:$F$521,A50,'11_Ejecuciones'!$I$5:$I$521,"Baseline PASS")</x:f>
        <x:v>0</x:v>
      </x:c>
      <x:c r="J50" s="24" t="n">
        <x:f>COUNTIFS('11_Ejecuciones'!$F$5:$F$521,A50,'11_Ejecuciones'!$I$5:$I$521,"FAIL")+COUNTIFS('11_Ejecuciones'!$F$5:$F$521,A50,'11_Ejecuciones'!$I$5:$I$521,"BLOCKED")</x:f>
        <x:v>0</x:v>
      </x:c>
      <x:c r="K50" s="32" t="n">
        <x:f>IF(F50=0,0,MIN(1,G50/F50))</x:f>
        <x:v>1</x:v>
      </x:c>
      <x:c r="L50" s="24" t="str">
        <x:f>IF(F50=0,"SIN CASO",IF(J50&gt;0,"FALLO/BLOQUEO",IF(I50&gt;0,"EJECUTADO","PENDIENTE")))</x:f>
        <x:v>PENDIENTE</x:v>
      </x:c>
    </x:row>
    <x:row r="51">
      <x:c r="A51" s="24" t="str">
        <x:v>VS-QUE-001</x:v>
      </x:c>
      <x:c r="B51" s="24" t="str">
        <x:v>Cola</x:v>
      </x:c>
      <x:c r="C51" s="24" t="str">
        <x:v>P1</x:v>
      </x:c>
      <x:c r="D51" s="24" t="str">
        <x:v>H6 / Vertical Slice</x:v>
      </x:c>
      <x:c r="E51" s="24" t="str">
        <x:v>El orden de atención es determinista.</x:v>
      </x:c>
      <x:c r="F51" s="24" t="n">
        <x:f>COUNTIF('03_Casos_Prueba'!$D$5:$D$254,A51)</x:f>
        <x:v>1</x:v>
      </x:c>
      <x:c r="G51" s="24" t="n">
        <x:f>COUNTIFS('03_Casos_Prueba'!$D$5:$D$254,A51,'03_Casos_Prueba'!$R$5:$R$254,"Ready")</x:f>
        <x:v>1</x:v>
      </x:c>
      <x:c r="H51" s="24" t="n">
        <x:f>COUNTIF('11_Ejecuciones'!$F$5:$F$521,A51)</x:f>
        <x:v>1</x:v>
      </x:c>
      <x:c r="I51" s="24" t="n">
        <x:f>COUNTIFS('11_Ejecuciones'!$F$5:$F$521,A51,'11_Ejecuciones'!$I$5:$I$521,"PASS")+COUNTIFS('11_Ejecuciones'!$F$5:$F$521,A51,'11_Ejecuciones'!$I$5:$I$521,"Baseline PASS")</x:f>
        <x:v>0</x:v>
      </x:c>
      <x:c r="J51" s="24" t="n">
        <x:f>COUNTIFS('11_Ejecuciones'!$F$5:$F$521,A51,'11_Ejecuciones'!$I$5:$I$521,"FAIL")+COUNTIFS('11_Ejecuciones'!$F$5:$F$521,A51,'11_Ejecuciones'!$I$5:$I$521,"BLOCKED")</x:f>
        <x:v>0</x:v>
      </x:c>
      <x:c r="K51" s="32" t="n">
        <x:f>IF(F51=0,0,MIN(1,G51/F51))</x:f>
        <x:v>1</x:v>
      </x:c>
      <x:c r="L51" s="24" t="str">
        <x:f>IF(F51=0,"SIN CASO",IF(J51&gt;0,"FALLO/BLOQUEO",IF(I51&gt;0,"EJECUTADO","PENDIENTE")))</x:f>
        <x:v>PENDIENTE</x:v>
      </x:c>
    </x:row>
    <x:row r="52">
      <x:c r="A52" s="24" t="str">
        <x:v>VS-QUE-002</x:v>
      </x:c>
      <x:c r="B52" s="24" t="str">
        <x:v>Cola</x:v>
      </x:c>
      <x:c r="C52" s="24" t="str">
        <x:v>P1</x:v>
      </x:c>
      <x:c r="D52" s="24" t="str">
        <x:v>H6 / Vertical Slice</x:v>
      </x:c>
      <x:c r="E52" s="24" t="str">
        <x:v>Posiciones se liberan y avanzan correctamente.</x:v>
      </x:c>
      <x:c r="F52" s="24" t="n">
        <x:f>COUNTIF('03_Casos_Prueba'!$D$5:$D$254,A52)</x:f>
        <x:v>1</x:v>
      </x:c>
      <x:c r="G52" s="24" t="n">
        <x:f>COUNTIFS('03_Casos_Prueba'!$D$5:$D$254,A52,'03_Casos_Prueba'!$R$5:$R$254,"Ready")</x:f>
        <x:v>1</x:v>
      </x:c>
      <x:c r="H52" s="24" t="n">
        <x:f>COUNTIF('11_Ejecuciones'!$F$5:$F$521,A52)</x:f>
        <x:v>1</x:v>
      </x:c>
      <x:c r="I52" s="24" t="n">
        <x:f>COUNTIFS('11_Ejecuciones'!$F$5:$F$521,A52,'11_Ejecuciones'!$I$5:$I$521,"PASS")+COUNTIFS('11_Ejecuciones'!$F$5:$F$521,A52,'11_Ejecuciones'!$I$5:$I$521,"Baseline PASS")</x:f>
        <x:v>0</x:v>
      </x:c>
      <x:c r="J52" s="24" t="n">
        <x:f>COUNTIFS('11_Ejecuciones'!$F$5:$F$521,A52,'11_Ejecuciones'!$I$5:$I$521,"FAIL")+COUNTIFS('11_Ejecuciones'!$F$5:$F$521,A52,'11_Ejecuciones'!$I$5:$I$521,"BLOCKED")</x:f>
        <x:v>0</x:v>
      </x:c>
      <x:c r="K52" s="32" t="n">
        <x:f>IF(F52=0,0,MIN(1,G52/F52))</x:f>
        <x:v>1</x:v>
      </x:c>
      <x:c r="L52" s="24" t="str">
        <x:f>IF(F52=0,"SIN CASO",IF(J52&gt;0,"FALLO/BLOQUEO",IF(I52&gt;0,"EJECUTADO","PENDIENTE")))</x:f>
        <x:v>PENDIENTE</x:v>
      </x:c>
    </x:row>
    <x:row r="53">
      <x:c r="A53" s="24" t="str">
        <x:v>VS-QUE-003</x:v>
      </x:c>
      <x:c r="B53" s="24" t="str">
        <x:v>Cola</x:v>
      </x:c>
      <x:c r="C53" s="24" t="str">
        <x:v>P0</x:v>
      </x:c>
      <x:c r="D53" s="24" t="str">
        <x:v>H6 / Vertical Slice</x:v>
      </x:c>
      <x:c r="E53" s="24" t="str">
        <x:v>Saturación no produce bloqueo permanente.</x:v>
      </x:c>
      <x:c r="F53" s="24" t="n">
        <x:f>COUNTIF('03_Casos_Prueba'!$D$5:$D$254,A53)</x:f>
        <x:v>1</x:v>
      </x:c>
      <x:c r="G53" s="24" t="n">
        <x:f>COUNTIFS('03_Casos_Prueba'!$D$5:$D$254,A53,'03_Casos_Prueba'!$R$5:$R$254,"Ready")</x:f>
        <x:v>1</x:v>
      </x:c>
      <x:c r="H53" s="24" t="n">
        <x:f>COUNTIF('11_Ejecuciones'!$F$5:$F$521,A53)</x:f>
        <x:v>1</x:v>
      </x:c>
      <x:c r="I53" s="24" t="n">
        <x:f>COUNTIFS('11_Ejecuciones'!$F$5:$F$521,A53,'11_Ejecuciones'!$I$5:$I$521,"PASS")+COUNTIFS('11_Ejecuciones'!$F$5:$F$521,A53,'11_Ejecuciones'!$I$5:$I$521,"Baseline PASS")</x:f>
        <x:v>0</x:v>
      </x:c>
      <x:c r="J53" s="24" t="n">
        <x:f>COUNTIFS('11_Ejecuciones'!$F$5:$F$521,A53,'11_Ejecuciones'!$I$5:$I$521,"FAIL")+COUNTIFS('11_Ejecuciones'!$F$5:$F$521,A53,'11_Ejecuciones'!$I$5:$I$521,"BLOCKED")</x:f>
        <x:v>0</x:v>
      </x:c>
      <x:c r="K53" s="32" t="n">
        <x:f>IF(F53=0,0,MIN(1,G53/F53))</x:f>
        <x:v>1</x:v>
      </x:c>
      <x:c r="L53" s="24" t="str">
        <x:f>IF(F53=0,"SIN CASO",IF(J53&gt;0,"FALLO/BLOQUEO",IF(I53&gt;0,"EJECUTADO","PENDIENTE")))</x:f>
        <x:v>PENDIENTE</x:v>
      </x:c>
    </x:row>
    <x:row r="54">
      <x:c r="A54" s="24" t="str">
        <x:v>VS-CHK-001</x:v>
      </x:c>
      <x:c r="B54" s="24" t="str">
        <x:v>Checkout</x:v>
      </x:c>
      <x:c r="C54" s="24" t="str">
        <x:v>P0</x:v>
      </x:c>
      <x:c r="D54" s="24" t="str">
        <x:v>H6 / Vertical Slice</x:v>
      </x:c>
      <x:c r="E54" s="24" t="str">
        <x:v>Preflight rechaza transacción inválida sin mutación.</x:v>
      </x:c>
      <x:c r="F54" s="24" t="n">
        <x:f>COUNTIF('03_Casos_Prueba'!$D$5:$D$254,A54)</x:f>
        <x:v>1</x:v>
      </x:c>
      <x:c r="G54" s="24" t="n">
        <x:f>COUNTIFS('03_Casos_Prueba'!$D$5:$D$254,A54,'03_Casos_Prueba'!$R$5:$R$254,"Ready")</x:f>
        <x:v>1</x:v>
      </x:c>
      <x:c r="H54" s="24" t="n">
        <x:f>COUNTIF('11_Ejecuciones'!$F$5:$F$521,A54)</x:f>
        <x:v>1</x:v>
      </x:c>
      <x:c r="I54" s="24" t="n">
        <x:f>COUNTIFS('11_Ejecuciones'!$F$5:$F$521,A54,'11_Ejecuciones'!$I$5:$I$521,"PASS")+COUNTIFS('11_Ejecuciones'!$F$5:$F$521,A54,'11_Ejecuciones'!$I$5:$I$521,"Baseline PASS")</x:f>
        <x:v>0</x:v>
      </x:c>
      <x:c r="J54" s="24" t="n">
        <x:f>COUNTIFS('11_Ejecuciones'!$F$5:$F$521,A54,'11_Ejecuciones'!$I$5:$I$521,"FAIL")+COUNTIFS('11_Ejecuciones'!$F$5:$F$521,A54,'11_Ejecuciones'!$I$5:$I$521,"BLOCKED")</x:f>
        <x:v>0</x:v>
      </x:c>
      <x:c r="K54" s="32" t="n">
        <x:f>IF(F54=0,0,MIN(1,G54/F54))</x:f>
        <x:v>1</x:v>
      </x:c>
      <x:c r="L54" s="24" t="str">
        <x:f>IF(F54=0,"SIN CASO",IF(J54&gt;0,"FALLO/BLOQUEO",IF(I54&gt;0,"EJECUTADO","PENDIENTE")))</x:f>
        <x:v>PENDIENTE</x:v>
      </x:c>
    </x:row>
    <x:row r="55">
      <x:c r="A55" s="24" t="str">
        <x:v>VS-CHK-002</x:v>
      </x:c>
      <x:c r="B55" s="24" t="str">
        <x:v>Checkout</x:v>
      </x:c>
      <x:c r="C55" s="24" t="str">
        <x:v>P0</x:v>
      </x:c>
      <x:c r="D55" s="24" t="str">
        <x:v>H6 / Vertical Slice</x:v>
      </x:c>
      <x:c r="E55" s="24" t="str">
        <x:v>Venta válida consume una unidad y registra un ingreso.</x:v>
      </x:c>
      <x:c r="F55" s="24" t="n">
        <x:f>COUNTIF('03_Casos_Prueba'!$D$5:$D$254,A55)</x:f>
        <x:v>1</x:v>
      </x:c>
      <x:c r="G55" s="24" t="n">
        <x:f>COUNTIFS('03_Casos_Prueba'!$D$5:$D$254,A55,'03_Casos_Prueba'!$R$5:$R$254,"Ready")</x:f>
        <x:v>1</x:v>
      </x:c>
      <x:c r="H55" s="24" t="n">
        <x:f>COUNTIF('11_Ejecuciones'!$F$5:$F$521,A55)</x:f>
        <x:v>1</x:v>
      </x:c>
      <x:c r="I55" s="24" t="n">
        <x:f>COUNTIFS('11_Ejecuciones'!$F$5:$F$521,A55,'11_Ejecuciones'!$I$5:$I$521,"PASS")+COUNTIFS('11_Ejecuciones'!$F$5:$F$521,A55,'11_Ejecuciones'!$I$5:$I$521,"Baseline PASS")</x:f>
        <x:v>0</x:v>
      </x:c>
      <x:c r="J55" s="24" t="n">
        <x:f>COUNTIFS('11_Ejecuciones'!$F$5:$F$521,A55,'11_Ejecuciones'!$I$5:$I$521,"FAIL")+COUNTIFS('11_Ejecuciones'!$F$5:$F$521,A55,'11_Ejecuciones'!$I$5:$I$521,"BLOCKED")</x:f>
        <x:v>0</x:v>
      </x:c>
      <x:c r="K55" s="32" t="n">
        <x:f>IF(F55=0,0,MIN(1,G55/F55))</x:f>
        <x:v>1</x:v>
      </x:c>
      <x:c r="L55" s="24" t="str">
        <x:f>IF(F55=0,"SIN CASO",IF(J55&gt;0,"FALLO/BLOQUEO",IF(I55&gt;0,"EJECUTADO","PENDIENTE")))</x:f>
        <x:v>PENDIENTE</x:v>
      </x:c>
    </x:row>
    <x:row r="56">
      <x:c r="A56" s="24" t="str">
        <x:v>VS-CHK-003</x:v>
      </x:c>
      <x:c r="B56" s="24" t="str">
        <x:v>Checkout</x:v>
      </x:c>
      <x:c r="C56" s="24" t="str">
        <x:v>P0</x:v>
      </x:c>
      <x:c r="D56" s="24" t="str">
        <x:v>H6 / Vertical Slice</x:v>
      </x:c>
      <x:c r="E56" s="24" t="str">
        <x:v>La misma venta no puede confirmarse dos veces.</x:v>
      </x:c>
      <x:c r="F56" s="24" t="n">
        <x:f>COUNTIF('03_Casos_Prueba'!$D$5:$D$254,A56)</x:f>
        <x:v>1</x:v>
      </x:c>
      <x:c r="G56" s="24" t="n">
        <x:f>COUNTIFS('03_Casos_Prueba'!$D$5:$D$254,A56,'03_Casos_Prueba'!$R$5:$R$254,"Ready")</x:f>
        <x:v>1</x:v>
      </x:c>
      <x:c r="H56" s="24" t="n">
        <x:f>COUNTIF('11_Ejecuciones'!$F$5:$F$521,A56)</x:f>
        <x:v>1</x:v>
      </x:c>
      <x:c r="I56" s="24" t="n">
        <x:f>COUNTIFS('11_Ejecuciones'!$F$5:$F$521,A56,'11_Ejecuciones'!$I$5:$I$521,"PASS")+COUNTIFS('11_Ejecuciones'!$F$5:$F$521,A56,'11_Ejecuciones'!$I$5:$I$521,"Baseline PASS")</x:f>
        <x:v>0</x:v>
      </x:c>
      <x:c r="J56" s="24" t="n">
        <x:f>COUNTIFS('11_Ejecuciones'!$F$5:$F$521,A56,'11_Ejecuciones'!$I$5:$I$521,"FAIL")+COUNTIFS('11_Ejecuciones'!$F$5:$F$521,A56,'11_Ejecuciones'!$I$5:$I$521,"BLOCKED")</x:f>
        <x:v>0</x:v>
      </x:c>
      <x:c r="K56" s="32" t="n">
        <x:f>IF(F56=0,0,MIN(1,G56/F56))</x:f>
        <x:v>1</x:v>
      </x:c>
      <x:c r="L56" s="24" t="str">
        <x:f>IF(F56=0,"SIN CASO",IF(J56&gt;0,"FALLO/BLOQUEO",IF(I56&gt;0,"EJECUTADO","PENDIENTE")))</x:f>
        <x:v>PENDIENTE</x:v>
      </x:c>
    </x:row>
    <x:row r="57">
      <x:c r="A57" s="24" t="str">
        <x:v>VS-CHK-004</x:v>
      </x:c>
      <x:c r="B57" s="24" t="str">
        <x:v>Checkout</x:v>
      </x:c>
      <x:c r="C57" s="24" t="str">
        <x:v>P0</x:v>
      </x:c>
      <x:c r="D57" s="24" t="str">
        <x:v>H6 / Vertical Slice</x:v>
      </x:c>
      <x:c r="E57" s="24" t="str">
        <x:v>Cliente, reserva, cola y métricas quedan resueltos tras vender.</x:v>
      </x:c>
      <x:c r="F57" s="24" t="n">
        <x:f>COUNTIF('03_Casos_Prueba'!$D$5:$D$254,A57)</x:f>
        <x:v>1</x:v>
      </x:c>
      <x:c r="G57" s="24" t="n">
        <x:f>COUNTIFS('03_Casos_Prueba'!$D$5:$D$254,A57,'03_Casos_Prueba'!$R$5:$R$254,"Ready")</x:f>
        <x:v>1</x:v>
      </x:c>
      <x:c r="H57" s="24" t="n">
        <x:f>COUNTIF('11_Ejecuciones'!$F$5:$F$521,A57)</x:f>
        <x:v>1</x:v>
      </x:c>
      <x:c r="I57" s="24" t="n">
        <x:f>COUNTIFS('11_Ejecuciones'!$F$5:$F$521,A57,'11_Ejecuciones'!$I$5:$I$521,"PASS")+COUNTIFS('11_Ejecuciones'!$F$5:$F$521,A57,'11_Ejecuciones'!$I$5:$I$521,"Baseline PASS")</x:f>
        <x:v>0</x:v>
      </x:c>
      <x:c r="J57" s="24" t="n">
        <x:f>COUNTIFS('11_Ejecuciones'!$F$5:$F$521,A57,'11_Ejecuciones'!$I$5:$I$521,"FAIL")+COUNTIFS('11_Ejecuciones'!$F$5:$F$521,A57,'11_Ejecuciones'!$I$5:$I$521,"BLOCKED")</x:f>
        <x:v>0</x:v>
      </x:c>
      <x:c r="K57" s="32" t="n">
        <x:f>IF(F57=0,0,MIN(1,G57/F57))</x:f>
        <x:v>1</x:v>
      </x:c>
      <x:c r="L57" s="24" t="str">
        <x:f>IF(F57=0,"SIN CASO",IF(J57&gt;0,"FALLO/BLOQUEO",IF(I57&gt;0,"EJECUTADO","PENDIENTE")))</x:f>
        <x:v>PENDIENTE</x:v>
      </x:c>
    </x:row>
    <x:row r="58">
      <x:c r="A58" s="24" t="str">
        <x:v>VS-DAY-001</x:v>
      </x:c>
      <x:c r="B58" s="24" t="str">
        <x:v>Ciclo diario</x:v>
      </x:c>
      <x:c r="C58" s="24" t="str">
        <x:v>P1</x:v>
      </x:c>
      <x:c r="D58" s="24" t="str">
        <x:v>H6 / Vertical Slice</x:v>
      </x:c>
      <x:c r="E58" s="24" t="str">
        <x:v>Transiciones entre estados siguen el orden permitido.</x:v>
      </x:c>
      <x:c r="F58" s="24" t="n">
        <x:f>COUNTIF('03_Casos_Prueba'!$D$5:$D$254,A58)</x:f>
        <x:v>1</x:v>
      </x:c>
      <x:c r="G58" s="24" t="n">
        <x:f>COUNTIFS('03_Casos_Prueba'!$D$5:$D$254,A58,'03_Casos_Prueba'!$R$5:$R$254,"Ready")</x:f>
        <x:v>1</x:v>
      </x:c>
      <x:c r="H58" s="24" t="n">
        <x:f>COUNTIF('11_Ejecuciones'!$F$5:$F$521,A58)</x:f>
        <x:v>1</x:v>
      </x:c>
      <x:c r="I58" s="24" t="n">
        <x:f>COUNTIFS('11_Ejecuciones'!$F$5:$F$521,A58,'11_Ejecuciones'!$I$5:$I$521,"PASS")+COUNTIFS('11_Ejecuciones'!$F$5:$F$521,A58,'11_Ejecuciones'!$I$5:$I$521,"Baseline PASS")</x:f>
        <x:v>0</x:v>
      </x:c>
      <x:c r="J58" s="24" t="n">
        <x:f>COUNTIFS('11_Ejecuciones'!$F$5:$F$521,A58,'11_Ejecuciones'!$I$5:$I$521,"FAIL")+COUNTIFS('11_Ejecuciones'!$F$5:$F$521,A58,'11_Ejecuciones'!$I$5:$I$521,"BLOCKED")</x:f>
        <x:v>0</x:v>
      </x:c>
      <x:c r="K58" s="32" t="n">
        <x:f>IF(F58=0,0,MIN(1,G58/F58))</x:f>
        <x:v>1</x:v>
      </x:c>
      <x:c r="L58" s="24" t="str">
        <x:f>IF(F58=0,"SIN CASO",IF(J58&gt;0,"FALLO/BLOQUEO",IF(I58&gt;0,"EJECUTADO","PENDIENTE")))</x:f>
        <x:v>PENDIENTE</x:v>
      </x:c>
    </x:row>
    <x:row r="59">
      <x:c r="A59" s="24" t="str">
        <x:v>VS-DAY-002</x:v>
      </x:c>
      <x:c r="B59" s="24" t="str">
        <x:v>Ciclo diario</x:v>
      </x:c>
      <x:c r="C59" s="24" t="str">
        <x:v>P0</x:v>
      </x:c>
      <x:c r="D59" s="24" t="str">
        <x:v>H6 / Vertical Slice</x:v>
      </x:c>
      <x:c r="E59" s="24" t="str">
        <x:v>Abrir habilita clientes una sola vez.</x:v>
      </x:c>
      <x:c r="F59" s="24" t="n">
        <x:f>COUNTIF('03_Casos_Prueba'!$D$5:$D$254,A59)</x:f>
        <x:v>1</x:v>
      </x:c>
      <x:c r="G59" s="24" t="n">
        <x:f>COUNTIFS('03_Casos_Prueba'!$D$5:$D$254,A59,'03_Casos_Prueba'!$R$5:$R$254,"Ready")</x:f>
        <x:v>1</x:v>
      </x:c>
      <x:c r="H59" s="24" t="n">
        <x:f>COUNTIF('11_Ejecuciones'!$F$5:$F$521,A59)</x:f>
        <x:v>1</x:v>
      </x:c>
      <x:c r="I59" s="24" t="n">
        <x:f>COUNTIFS('11_Ejecuciones'!$F$5:$F$521,A59,'11_Ejecuciones'!$I$5:$I$521,"PASS")+COUNTIFS('11_Ejecuciones'!$F$5:$F$521,A59,'11_Ejecuciones'!$I$5:$I$521,"Baseline PASS")</x:f>
        <x:v>0</x:v>
      </x:c>
      <x:c r="J59" s="24" t="n">
        <x:f>COUNTIFS('11_Ejecuciones'!$F$5:$F$521,A59,'11_Ejecuciones'!$I$5:$I$521,"FAIL")+COUNTIFS('11_Ejecuciones'!$F$5:$F$521,A59,'11_Ejecuciones'!$I$5:$I$521,"BLOCKED")</x:f>
        <x:v>0</x:v>
      </x:c>
      <x:c r="K59" s="32" t="n">
        <x:f>IF(F59=0,0,MIN(1,G59/F59))</x:f>
        <x:v>1</x:v>
      </x:c>
      <x:c r="L59" s="24" t="str">
        <x:f>IF(F59=0,"SIN CASO",IF(J59&gt;0,"FALLO/BLOQUEO",IF(I59&gt;0,"EJECUTADO","PENDIENTE")))</x:f>
        <x:v>PENDIENTE</x:v>
      </x:c>
    </x:row>
    <x:row r="60">
      <x:c r="A60" s="24" t="str">
        <x:v>VS-DAY-003</x:v>
      </x:c>
      <x:c r="B60" s="24" t="str">
        <x:v>Ciclo diario</x:v>
      </x:c>
      <x:c r="C60" s="24" t="str">
        <x:v>P1</x:v>
      </x:c>
      <x:c r="D60" s="24" t="str">
        <x:v>H6 / Vertical Slice</x:v>
      </x:c>
      <x:c r="E60" s="24" t="str">
        <x:v>Cerrar impide nuevas entradas y resuelve activos.</x:v>
      </x:c>
      <x:c r="F60" s="24" t="n">
        <x:f>COUNTIF('03_Casos_Prueba'!$D$5:$D$254,A60)</x:f>
        <x:v>1</x:v>
      </x:c>
      <x:c r="G60" s="24" t="n">
        <x:f>COUNTIFS('03_Casos_Prueba'!$D$5:$D$254,A60,'03_Casos_Prueba'!$R$5:$R$254,"Ready")</x:f>
        <x:v>1</x:v>
      </x:c>
      <x:c r="H60" s="24" t="n">
        <x:f>COUNTIF('11_Ejecuciones'!$F$5:$F$521,A60)</x:f>
        <x:v>1</x:v>
      </x:c>
      <x:c r="I60" s="24" t="n">
        <x:f>COUNTIFS('11_Ejecuciones'!$F$5:$F$521,A60,'11_Ejecuciones'!$I$5:$I$521,"PASS")+COUNTIFS('11_Ejecuciones'!$F$5:$F$521,A60,'11_Ejecuciones'!$I$5:$I$521,"Baseline PASS")</x:f>
        <x:v>0</x:v>
      </x:c>
      <x:c r="J60" s="24" t="n">
        <x:f>COUNTIFS('11_Ejecuciones'!$F$5:$F$521,A60,'11_Ejecuciones'!$I$5:$I$521,"FAIL")+COUNTIFS('11_Ejecuciones'!$F$5:$F$521,A60,'11_Ejecuciones'!$I$5:$I$521,"BLOCKED")</x:f>
        <x:v>0</x:v>
      </x:c>
      <x:c r="K60" s="32" t="n">
        <x:f>IF(F60=0,0,MIN(1,G60/F60))</x:f>
        <x:v>1</x:v>
      </x:c>
      <x:c r="L60" s="24" t="str">
        <x:f>IF(F60=0,"SIN CASO",IF(J60&gt;0,"FALLO/BLOQUEO",IF(I60&gt;0,"EJECUTADO","PENDIENTE")))</x:f>
        <x:v>PENDIENTE</x:v>
      </x:c>
    </x:row>
    <x:row r="61">
      <x:c r="A61" s="24" t="str">
        <x:v>VS-DAY-004</x:v>
      </x:c>
      <x:c r="B61" s="24" t="str">
        <x:v>Ciclo diario</x:v>
      </x:c>
      <x:c r="C61" s="24" t="str">
        <x:v>P0</x:v>
      </x:c>
      <x:c r="D61" s="24" t="str">
        <x:v>H6 / Vertical Slice</x:v>
      </x:c>
      <x:c r="E61" s="24" t="str">
        <x:v>Resumen y avance se generan una sola vez.</x:v>
      </x:c>
      <x:c r="F61" s="24" t="n">
        <x:f>COUNTIF('03_Casos_Prueba'!$D$5:$D$254,A61)</x:f>
        <x:v>1</x:v>
      </x:c>
      <x:c r="G61" s="24" t="n">
        <x:f>COUNTIFS('03_Casos_Prueba'!$D$5:$D$254,A61,'03_Casos_Prueba'!$R$5:$R$254,"Ready")</x:f>
        <x:v>1</x:v>
      </x:c>
      <x:c r="H61" s="24" t="n">
        <x:f>COUNTIF('11_Ejecuciones'!$F$5:$F$521,A61)</x:f>
        <x:v>1</x:v>
      </x:c>
      <x:c r="I61" s="24" t="n">
        <x:f>COUNTIFS('11_Ejecuciones'!$F$5:$F$521,A61,'11_Ejecuciones'!$I$5:$I$521,"PASS")+COUNTIFS('11_Ejecuciones'!$F$5:$F$521,A61,'11_Ejecuciones'!$I$5:$I$521,"Baseline PASS")</x:f>
        <x:v>0</x:v>
      </x:c>
      <x:c r="J61" s="24" t="n">
        <x:f>COUNTIFS('11_Ejecuciones'!$F$5:$F$521,A61,'11_Ejecuciones'!$I$5:$I$521,"FAIL")+COUNTIFS('11_Ejecuciones'!$F$5:$F$521,A61,'11_Ejecuciones'!$I$5:$I$521,"BLOCKED")</x:f>
        <x:v>0</x:v>
      </x:c>
      <x:c r="K61" s="32" t="n">
        <x:f>IF(F61=0,0,MIN(1,G61/F61))</x:f>
        <x:v>1</x:v>
      </x:c>
      <x:c r="L61" s="24" t="str">
        <x:f>IF(F61=0,"SIN CASO",IF(J61&gt;0,"FALLO/BLOQUEO",IF(I61&gt;0,"EJECUTADO","PENDIENTE")))</x:f>
        <x:v>PENDIENTE</x:v>
      </x:c>
    </x:row>
    <x:row r="62">
      <x:c r="A62" s="24" t="str">
        <x:v>VS-ECO-001</x:v>
      </x:c>
      <x:c r="B62" s="24" t="str">
        <x:v>Economía</x:v>
      </x:c>
      <x:c r="C62" s="24" t="str">
        <x:v>P1</x:v>
      </x:c>
      <x:c r="D62" s="24" t="str">
        <x:v>H6 / Vertical Slice</x:v>
      </x:c>
      <x:c r="E62" s="24" t="str">
        <x:v>Todo cambio de saldo tiene movimiento registrado.</x:v>
      </x:c>
      <x:c r="F62" s="24" t="n">
        <x:f>COUNTIF('03_Casos_Prueba'!$D$5:$D$254,A62)</x:f>
        <x:v>1</x:v>
      </x:c>
      <x:c r="G62" s="24" t="n">
        <x:f>COUNTIFS('03_Casos_Prueba'!$D$5:$D$254,A62,'03_Casos_Prueba'!$R$5:$R$254,"Ready")</x:f>
        <x:v>1</x:v>
      </x:c>
      <x:c r="H62" s="24" t="n">
        <x:f>COUNTIF('11_Ejecuciones'!$F$5:$F$521,A62)</x:f>
        <x:v>1</x:v>
      </x:c>
      <x:c r="I62" s="24" t="n">
        <x:f>COUNTIFS('11_Ejecuciones'!$F$5:$F$521,A62,'11_Ejecuciones'!$I$5:$I$521,"PASS")+COUNTIFS('11_Ejecuciones'!$F$5:$F$521,A62,'11_Ejecuciones'!$I$5:$I$521,"Baseline PASS")</x:f>
        <x:v>0</x:v>
      </x:c>
      <x:c r="J62" s="24" t="n">
        <x:f>COUNTIFS('11_Ejecuciones'!$F$5:$F$521,A62,'11_Ejecuciones'!$I$5:$I$521,"FAIL")+COUNTIFS('11_Ejecuciones'!$F$5:$F$521,A62,'11_Ejecuciones'!$I$5:$I$521,"BLOCKED")</x:f>
        <x:v>0</x:v>
      </x:c>
      <x:c r="K62" s="32" t="n">
        <x:f>IF(F62=0,0,MIN(1,G62/F62))</x:f>
        <x:v>1</x:v>
      </x:c>
      <x:c r="L62" s="24" t="str">
        <x:f>IF(F62=0,"SIN CASO",IF(J62&gt;0,"FALLO/BLOQUEO",IF(I62&gt;0,"EJECUTADO","PENDIENTE")))</x:f>
        <x:v>PENDIENTE</x:v>
      </x:c>
    </x:row>
    <x:row r="63">
      <x:c r="A63" s="24" t="str">
        <x:v>VS-ECO-002</x:v>
      </x:c>
      <x:c r="B63" s="24" t="str">
        <x:v>Economía</x:v>
      </x:c>
      <x:c r="C63" s="24" t="str">
        <x:v>P1</x:v>
      </x:c>
      <x:c r="D63" s="24" t="str">
        <x:v>H6 / Vertical Slice</x:v>
      </x:c>
      <x:c r="E63" s="24" t="str">
        <x:v>Venta genera un único ingreso con precio correcto.</x:v>
      </x:c>
      <x:c r="F63" s="24" t="n">
        <x:f>COUNTIF('03_Casos_Prueba'!$D$5:$D$254,A63)</x:f>
        <x:v>1</x:v>
      </x:c>
      <x:c r="G63" s="24" t="n">
        <x:f>COUNTIFS('03_Casos_Prueba'!$D$5:$D$254,A63,'03_Casos_Prueba'!$R$5:$R$254,"Ready")</x:f>
        <x:v>1</x:v>
      </x:c>
      <x:c r="H63" s="24" t="n">
        <x:f>COUNTIF('11_Ejecuciones'!$F$5:$F$521,A63)</x:f>
        <x:v>1</x:v>
      </x:c>
      <x:c r="I63" s="24" t="n">
        <x:f>COUNTIFS('11_Ejecuciones'!$F$5:$F$521,A63,'11_Ejecuciones'!$I$5:$I$521,"PASS")+COUNTIFS('11_Ejecuciones'!$F$5:$F$521,A63,'11_Ejecuciones'!$I$5:$I$521,"Baseline PASS")</x:f>
        <x:v>0</x:v>
      </x:c>
      <x:c r="J63" s="24" t="n">
        <x:f>COUNTIFS('11_Ejecuciones'!$F$5:$F$521,A63,'11_Ejecuciones'!$I$5:$I$521,"FAIL")+COUNTIFS('11_Ejecuciones'!$F$5:$F$521,A63,'11_Ejecuciones'!$I$5:$I$521,"BLOCKED")</x:f>
        <x:v>0</x:v>
      </x:c>
      <x:c r="K63" s="32" t="n">
        <x:f>IF(F63=0,0,MIN(1,G63/F63))</x:f>
        <x:v>1</x:v>
      </x:c>
      <x:c r="L63" s="24" t="str">
        <x:f>IF(F63=0,"SIN CASO",IF(J63&gt;0,"FALLO/BLOQUEO",IF(I63&gt;0,"EJECUTADO","PENDIENTE")))</x:f>
        <x:v>PENDIENTE</x:v>
      </x:c>
    </x:row>
    <x:row r="64">
      <x:c r="A64" s="24" t="str">
        <x:v>VS-ECO-003</x:v>
      </x:c>
      <x:c r="B64" s="24" t="str">
        <x:v>Economía</x:v>
      </x:c>
      <x:c r="C64" s="24" t="str">
        <x:v>P1</x:v>
      </x:c>
      <x:c r="D64" s="24" t="str">
        <x:v>H6 / Vertical Slice</x:v>
      </x:c>
      <x:c r="E64" s="24" t="str">
        <x:v>Pedido rechazado no cambia saldo.</x:v>
      </x:c>
      <x:c r="F64" s="24" t="n">
        <x:f>COUNTIF('03_Casos_Prueba'!$D$5:$D$254,A64)</x:f>
        <x:v>1</x:v>
      </x:c>
      <x:c r="G64" s="24" t="n">
        <x:f>COUNTIFS('03_Casos_Prueba'!$D$5:$D$254,A64,'03_Casos_Prueba'!$R$5:$R$254,"Ready")</x:f>
        <x:v>1</x:v>
      </x:c>
      <x:c r="H64" s="24" t="n">
        <x:f>COUNTIF('11_Ejecuciones'!$F$5:$F$521,A64)</x:f>
        <x:v>1</x:v>
      </x:c>
      <x:c r="I64" s="24" t="n">
        <x:f>COUNTIFS('11_Ejecuciones'!$F$5:$F$521,A64,'11_Ejecuciones'!$I$5:$I$521,"PASS")+COUNTIFS('11_Ejecuciones'!$F$5:$F$521,A64,'11_Ejecuciones'!$I$5:$I$521,"Baseline PASS")</x:f>
        <x:v>0</x:v>
      </x:c>
      <x:c r="J64" s="24" t="n">
        <x:f>COUNTIFS('11_Ejecuciones'!$F$5:$F$521,A64,'11_Ejecuciones'!$I$5:$I$521,"FAIL")+COUNTIFS('11_Ejecuciones'!$F$5:$F$521,A64,'11_Ejecuciones'!$I$5:$I$521,"BLOCKED")</x:f>
        <x:v>0</x:v>
      </x:c>
      <x:c r="K64" s="32" t="n">
        <x:f>IF(F64=0,0,MIN(1,G64/F64))</x:f>
        <x:v>1</x:v>
      </x:c>
      <x:c r="L64" s="24" t="str">
        <x:f>IF(F64=0,"SIN CASO",IF(J64&gt;0,"FALLO/BLOQUEO",IF(I64&gt;0,"EJECUTADO","PENDIENTE")))</x:f>
        <x:v>PENDIENTE</x:v>
      </x:c>
    </x:row>
    <x:row r="65">
      <x:c r="A65" s="24" t="str">
        <x:v>VS-ECO-004</x:v>
      </x:c>
      <x:c r="B65" s="24" t="str">
        <x:v>Economía</x:v>
      </x:c>
      <x:c r="C65" s="24" t="str">
        <x:v>P1</x:v>
      </x:c>
      <x:c r="D65" s="24" t="str">
        <x:v>H6 / Vertical Slice</x:v>
      </x:c>
      <x:c r="E65" s="24" t="str">
        <x:v>Impuesto solo se aplica a beneficio semanal positivo.</x:v>
      </x:c>
      <x:c r="F65" s="24" t="n">
        <x:f>COUNTIF('03_Casos_Prueba'!$D$5:$D$254,A65)</x:f>
        <x:v>1</x:v>
      </x:c>
      <x:c r="G65" s="24" t="n">
        <x:f>COUNTIFS('03_Casos_Prueba'!$D$5:$D$254,A65,'03_Casos_Prueba'!$R$5:$R$254,"Ready")</x:f>
        <x:v>1</x:v>
      </x:c>
      <x:c r="H65" s="24" t="n">
        <x:f>COUNTIF('11_Ejecuciones'!$F$5:$F$521,A65)</x:f>
        <x:v>1</x:v>
      </x:c>
      <x:c r="I65" s="24" t="n">
        <x:f>COUNTIFS('11_Ejecuciones'!$F$5:$F$521,A65,'11_Ejecuciones'!$I$5:$I$521,"PASS")+COUNTIFS('11_Ejecuciones'!$F$5:$F$521,A65,'11_Ejecuciones'!$I$5:$I$521,"Baseline PASS")</x:f>
        <x:v>0</x:v>
      </x:c>
      <x:c r="J65" s="24" t="n">
        <x:f>COUNTIFS('11_Ejecuciones'!$F$5:$F$521,A65,'11_Ejecuciones'!$I$5:$I$521,"FAIL")+COUNTIFS('11_Ejecuciones'!$F$5:$F$521,A65,'11_Ejecuciones'!$I$5:$I$521,"BLOCKED")</x:f>
        <x:v>0</x:v>
      </x:c>
      <x:c r="K65" s="32" t="n">
        <x:f>IF(F65=0,0,MIN(1,G65/F65))</x:f>
        <x:v>1</x:v>
      </x:c>
      <x:c r="L65" s="24" t="str">
        <x:f>IF(F65=0,"SIN CASO",IF(J65&gt;0,"FALLO/BLOQUEO",IF(I65&gt;0,"EJECUTADO","PENDIENTE")))</x:f>
        <x:v>PENDIENTE</x:v>
      </x:c>
    </x:row>
    <x:row r="66">
      <x:c r="A66" s="24" t="str">
        <x:v>VS-ECO-005</x:v>
      </x:c>
      <x:c r="B66" s="24" t="str">
        <x:v>Economía</x:v>
      </x:c>
      <x:c r="C66" s="24" t="str">
        <x:v>P1</x:v>
      </x:c>
      <x:c r="D66" s="24" t="str">
        <x:v>H6 / Vertical Slice</x:v>
      </x:c>
      <x:c r="E66" s="24" t="str">
        <x:v>Resumen diario/semanal reconcilia movimientos.</x:v>
      </x:c>
      <x:c r="F66" s="24" t="n">
        <x:f>COUNTIF('03_Casos_Prueba'!$D$5:$D$254,A66)</x:f>
        <x:v>1</x:v>
      </x:c>
      <x:c r="G66" s="24" t="n">
        <x:f>COUNTIFS('03_Casos_Prueba'!$D$5:$D$254,A66,'03_Casos_Prueba'!$R$5:$R$254,"Ready")</x:f>
        <x:v>1</x:v>
      </x:c>
      <x:c r="H66" s="24" t="n">
        <x:f>COUNTIF('11_Ejecuciones'!$F$5:$F$521,A66)</x:f>
        <x:v>1</x:v>
      </x:c>
      <x:c r="I66" s="24" t="n">
        <x:f>COUNTIFS('11_Ejecuciones'!$F$5:$F$521,A66,'11_Ejecuciones'!$I$5:$I$521,"PASS")+COUNTIFS('11_Ejecuciones'!$F$5:$F$521,A66,'11_Ejecuciones'!$I$5:$I$521,"Baseline PASS")</x:f>
        <x:v>0</x:v>
      </x:c>
      <x:c r="J66" s="24" t="n">
        <x:f>COUNTIFS('11_Ejecuciones'!$F$5:$F$521,A66,'11_Ejecuciones'!$I$5:$I$521,"FAIL")+COUNTIFS('11_Ejecuciones'!$F$5:$F$521,A66,'11_Ejecuciones'!$I$5:$I$521,"BLOCKED")</x:f>
        <x:v>0</x:v>
      </x:c>
      <x:c r="K66" s="32" t="n">
        <x:f>IF(F66=0,0,MIN(1,G66/F66))</x:f>
        <x:v>1</x:v>
      </x:c>
      <x:c r="L66" s="24" t="str">
        <x:f>IF(F66=0,"SIN CASO",IF(J66&gt;0,"FALLO/BLOQUEO",IF(I66&gt;0,"EJECUTADO","PENDIENTE")))</x:f>
        <x:v>PENDIENTE</x:v>
      </x:c>
    </x:row>
    <x:row r="67">
      <x:c r="A67" s="24" t="str">
        <x:v>VS-SAV-001</x:v>
      </x:c>
      <x:c r="B67" s="24" t="str">
        <x:v>Persistencia</x:v>
      </x:c>
      <x:c r="C67" s="24" t="str">
        <x:v>P0</x:v>
      </x:c>
      <x:c r="D67" s="24" t="str">
        <x:v>H6 / Vertical Slice</x:v>
      </x:c>
      <x:c r="E67" s="24" t="str">
        <x:v>Guardado conserva todos los campos obligatorios.</x:v>
      </x:c>
      <x:c r="F67" s="24" t="n">
        <x:f>COUNTIF('03_Casos_Prueba'!$D$5:$D$254,A67)</x:f>
        <x:v>1</x:v>
      </x:c>
      <x:c r="G67" s="24" t="n">
        <x:f>COUNTIFS('03_Casos_Prueba'!$D$5:$D$254,A67,'03_Casos_Prueba'!$R$5:$R$254,"Ready")</x:f>
        <x:v>1</x:v>
      </x:c>
      <x:c r="H67" s="24" t="n">
        <x:f>COUNTIF('11_Ejecuciones'!$F$5:$F$521,A67)</x:f>
        <x:v>1</x:v>
      </x:c>
      <x:c r="I67" s="24" t="n">
        <x:f>COUNTIFS('11_Ejecuciones'!$F$5:$F$521,A67,'11_Ejecuciones'!$I$5:$I$521,"PASS")+COUNTIFS('11_Ejecuciones'!$F$5:$F$521,A67,'11_Ejecuciones'!$I$5:$I$521,"Baseline PASS")</x:f>
        <x:v>0</x:v>
      </x:c>
      <x:c r="J67" s="24" t="n">
        <x:f>COUNTIFS('11_Ejecuciones'!$F$5:$F$521,A67,'11_Ejecuciones'!$I$5:$I$521,"FAIL")+COUNTIFS('11_Ejecuciones'!$F$5:$F$521,A67,'11_Ejecuciones'!$I$5:$I$521,"BLOCKED")</x:f>
        <x:v>0</x:v>
      </x:c>
      <x:c r="K67" s="32" t="n">
        <x:f>IF(F67=0,0,MIN(1,G67/F67))</x:f>
        <x:v>1</x:v>
      </x:c>
      <x:c r="L67" s="24" t="str">
        <x:f>IF(F67=0,"SIN CASO",IF(J67&gt;0,"FALLO/BLOQUEO",IF(I67&gt;0,"EJECUTADO","PENDIENTE")))</x:f>
        <x:v>PENDIENTE</x:v>
      </x:c>
    </x:row>
    <x:row r="68">
      <x:c r="A68" s="24" t="str">
        <x:v>VS-SAV-002</x:v>
      </x:c>
      <x:c r="B68" s="24" t="str">
        <x:v>Persistencia</x:v>
      </x:c>
      <x:c r="C68" s="24" t="str">
        <x:v>P0</x:v>
      </x:c>
      <x:c r="D68" s="24" t="str">
        <x:v>H6 / Vertical Slice</x:v>
      </x:c>
      <x:c r="E68" s="24" t="str">
        <x:v>Carga reconstruye un estado equivalente.</x:v>
      </x:c>
      <x:c r="F68" s="24" t="n">
        <x:f>COUNTIF('03_Casos_Prueba'!$D$5:$D$254,A68)</x:f>
        <x:v>1</x:v>
      </x:c>
      <x:c r="G68" s="24" t="n">
        <x:f>COUNTIFS('03_Casos_Prueba'!$D$5:$D$254,A68,'03_Casos_Prueba'!$R$5:$R$254,"Ready")</x:f>
        <x:v>1</x:v>
      </x:c>
      <x:c r="H68" s="24" t="n">
        <x:f>COUNTIF('11_Ejecuciones'!$F$5:$F$521,A68)</x:f>
        <x:v>1</x:v>
      </x:c>
      <x:c r="I68" s="24" t="n">
        <x:f>COUNTIFS('11_Ejecuciones'!$F$5:$F$521,A68,'11_Ejecuciones'!$I$5:$I$521,"PASS")+COUNTIFS('11_Ejecuciones'!$F$5:$F$521,A68,'11_Ejecuciones'!$I$5:$I$521,"Baseline PASS")</x:f>
        <x:v>0</x:v>
      </x:c>
      <x:c r="J68" s="24" t="n">
        <x:f>COUNTIFS('11_Ejecuciones'!$F$5:$F$521,A68,'11_Ejecuciones'!$I$5:$I$521,"FAIL")+COUNTIFS('11_Ejecuciones'!$F$5:$F$521,A68,'11_Ejecuciones'!$I$5:$I$521,"BLOCKED")</x:f>
        <x:v>0</x:v>
      </x:c>
      <x:c r="K68" s="32" t="n">
        <x:f>IF(F68=0,0,MIN(1,G68/F68))</x:f>
        <x:v>1</x:v>
      </x:c>
      <x:c r="L68" s="24" t="str">
        <x:f>IF(F68=0,"SIN CASO",IF(J68&gt;0,"FALLO/BLOQUEO",IF(I68&gt;0,"EJECUTADO","PENDIENTE")))</x:f>
        <x:v>PENDIENTE</x:v>
      </x:c>
    </x:row>
    <x:row r="69">
      <x:c r="A69" s="24" t="str">
        <x:v>VS-SAV-003</x:v>
      </x:c>
      <x:c r="B69" s="24" t="str">
        <x:v>Persistencia</x:v>
      </x:c>
      <x:c r="C69" s="24" t="str">
        <x:v>P0</x:v>
      </x:c>
      <x:c r="D69" s="24" t="str">
        <x:v>H6 / Vertical Slice</x:v>
      </x:c>
      <x:c r="E69" s="24" t="str">
        <x:v>Cargar no duplica pedidos, muebles, stock, clientes o ingresos.</x:v>
      </x:c>
      <x:c r="F69" s="24" t="n">
        <x:f>COUNTIF('03_Casos_Prueba'!$D$5:$D$254,A69)</x:f>
        <x:v>1</x:v>
      </x:c>
      <x:c r="G69" s="24" t="n">
        <x:f>COUNTIFS('03_Casos_Prueba'!$D$5:$D$254,A69,'03_Casos_Prueba'!$R$5:$R$254,"Ready")</x:f>
        <x:v>1</x:v>
      </x:c>
      <x:c r="H69" s="24" t="n">
        <x:f>COUNTIF('11_Ejecuciones'!$F$5:$F$521,A69)</x:f>
        <x:v>1</x:v>
      </x:c>
      <x:c r="I69" s="24" t="n">
        <x:f>COUNTIFS('11_Ejecuciones'!$F$5:$F$521,A69,'11_Ejecuciones'!$I$5:$I$521,"PASS")+COUNTIFS('11_Ejecuciones'!$F$5:$F$521,A69,'11_Ejecuciones'!$I$5:$I$521,"Baseline PASS")</x:f>
        <x:v>0</x:v>
      </x:c>
      <x:c r="J69" s="24" t="n">
        <x:f>COUNTIFS('11_Ejecuciones'!$F$5:$F$521,A69,'11_Ejecuciones'!$I$5:$I$521,"FAIL")+COUNTIFS('11_Ejecuciones'!$F$5:$F$521,A69,'11_Ejecuciones'!$I$5:$I$521,"BLOCKED")</x:f>
        <x:v>0</x:v>
      </x:c>
      <x:c r="K69" s="32" t="n">
        <x:f>IF(F69=0,0,MIN(1,G69/F69))</x:f>
        <x:v>1</x:v>
      </x:c>
      <x:c r="L69" s="24" t="str">
        <x:f>IF(F69=0,"SIN CASO",IF(J69&gt;0,"FALLO/BLOQUEO",IF(I69&gt;0,"EJECUTADO","PENDIENTE")))</x:f>
        <x:v>PENDIENTE</x:v>
      </x:c>
    </x:row>
    <x:row r="70">
      <x:c r="A70" s="24" t="str">
        <x:v>VS-SAV-004</x:v>
      </x:c>
      <x:c r="B70" s="24" t="str">
        <x:v>Persistencia</x:v>
      </x:c>
      <x:c r="C70" s="24" t="str">
        <x:v>P0</x:v>
      </x:c>
      <x:c r="D70" s="24" t="str">
        <x:v>H6 / Vertical Slice</x:v>
      </x:c>
      <x:c r="E70" s="24" t="str">
        <x:v>Archivo ausente o corrupto se maneja de forma controlada.</x:v>
      </x:c>
      <x:c r="F70" s="24" t="n">
        <x:f>COUNTIF('03_Casos_Prueba'!$D$5:$D$254,A70)</x:f>
        <x:v>1</x:v>
      </x:c>
      <x:c r="G70" s="24" t="n">
        <x:f>COUNTIFS('03_Casos_Prueba'!$D$5:$D$254,A70,'03_Casos_Prueba'!$R$5:$R$254,"Ready")</x:f>
        <x:v>1</x:v>
      </x:c>
      <x:c r="H70" s="24" t="n">
        <x:f>COUNTIF('11_Ejecuciones'!$F$5:$F$521,A70)</x:f>
        <x:v>1</x:v>
      </x:c>
      <x:c r="I70" s="24" t="n">
        <x:f>COUNTIFS('11_Ejecuciones'!$F$5:$F$521,A70,'11_Ejecuciones'!$I$5:$I$521,"PASS")+COUNTIFS('11_Ejecuciones'!$F$5:$F$521,A70,'11_Ejecuciones'!$I$5:$I$521,"Baseline PASS")</x:f>
        <x:v>0</x:v>
      </x:c>
      <x:c r="J70" s="24" t="n">
        <x:f>COUNTIFS('11_Ejecuciones'!$F$5:$F$521,A70,'11_Ejecuciones'!$I$5:$I$521,"FAIL")+COUNTIFS('11_Ejecuciones'!$F$5:$F$521,A70,'11_Ejecuciones'!$I$5:$I$521,"BLOCKED")</x:f>
        <x:v>0</x:v>
      </x:c>
      <x:c r="K70" s="32" t="n">
        <x:f>IF(F70=0,0,MIN(1,G70/F70))</x:f>
        <x:v>1</x:v>
      </x:c>
      <x:c r="L70" s="24" t="str">
        <x:f>IF(F70=0,"SIN CASO",IF(J70&gt;0,"FALLO/BLOQUEO",IF(I70&gt;0,"EJECUTADO","PENDIENTE")))</x:f>
        <x:v>PENDIENTE</x:v>
      </x:c>
    </x:row>
    <x:row r="71">
      <x:c r="A71" s="24" t="str">
        <x:v>VS-SAV-005</x:v>
      </x:c>
      <x:c r="B71" s="24" t="str">
        <x:v>Persistencia</x:v>
      </x:c>
      <x:c r="C71" s="24" t="str">
        <x:v>P0</x:v>
      </x:c>
      <x:c r="D71" s="24" t="str">
        <x:v>H6 / Vertical Slice</x:v>
      </x:c>
      <x:c r="E71" s="24" t="str">
        <x:v>Tres slots son independientes.</x:v>
      </x:c>
      <x:c r="F71" s="24" t="n">
        <x:f>COUNTIF('03_Casos_Prueba'!$D$5:$D$254,A71)</x:f>
        <x:v>1</x:v>
      </x:c>
      <x:c r="G71" s="24" t="n">
        <x:f>COUNTIFS('03_Casos_Prueba'!$D$5:$D$254,A71,'03_Casos_Prueba'!$R$5:$R$254,"Ready")</x:f>
        <x:v>1</x:v>
      </x:c>
      <x:c r="H71" s="24" t="n">
        <x:f>COUNTIF('11_Ejecuciones'!$F$5:$F$521,A71)</x:f>
        <x:v>1</x:v>
      </x:c>
      <x:c r="I71" s="24" t="n">
        <x:f>COUNTIFS('11_Ejecuciones'!$F$5:$F$521,A71,'11_Ejecuciones'!$I$5:$I$521,"PASS")+COUNTIFS('11_Ejecuciones'!$F$5:$F$521,A71,'11_Ejecuciones'!$I$5:$I$521,"Baseline PASS")</x:f>
        <x:v>0</x:v>
      </x:c>
      <x:c r="J71" s="24" t="n">
        <x:f>COUNTIFS('11_Ejecuciones'!$F$5:$F$521,A71,'11_Ejecuciones'!$I$5:$I$521,"FAIL")+COUNTIFS('11_Ejecuciones'!$F$5:$F$521,A71,'11_Ejecuciones'!$I$5:$I$521,"BLOCKED")</x:f>
        <x:v>0</x:v>
      </x:c>
      <x:c r="K71" s="32" t="n">
        <x:f>IF(F71=0,0,MIN(1,G71/F71))</x:f>
        <x:v>1</x:v>
      </x:c>
      <x:c r="L71" s="24" t="str">
        <x:f>IF(F71=0,"SIN CASO",IF(J71&gt;0,"FALLO/BLOQUEO",IF(I71&gt;0,"EJECUTADO","PENDIENTE")))</x:f>
        <x:v>PENDIENTE</x:v>
      </x:c>
    </x:row>
    <x:row r="72">
      <x:c r="A72" s="24" t="str">
        <x:v>VS-UI-001</x:v>
      </x:c>
      <x:c r="B72" s="24" t="str">
        <x:v>UI/UX</x:v>
      </x:c>
      <x:c r="C72" s="24" t="str">
        <x:v>P2</x:v>
      </x:c>
      <x:c r="D72" s="24" t="str">
        <x:v>H6 / Vertical Slice</x:v>
      </x:c>
      <x:c r="E72" s="24" t="str">
        <x:v>Golden Path puede completarse sin herramientas de debug.</x:v>
      </x:c>
      <x:c r="F72" s="24" t="n">
        <x:f>COUNTIF('03_Casos_Prueba'!$D$5:$D$254,A72)</x:f>
        <x:v>1</x:v>
      </x:c>
      <x:c r="G72" s="24" t="n">
        <x:f>COUNTIFS('03_Casos_Prueba'!$D$5:$D$254,A72,'03_Casos_Prueba'!$R$5:$R$254,"Ready")</x:f>
        <x:v>1</x:v>
      </x:c>
      <x:c r="H72" s="24" t="n">
        <x:f>COUNTIF('11_Ejecuciones'!$F$5:$F$521,A72)</x:f>
        <x:v>1</x:v>
      </x:c>
      <x:c r="I72" s="24" t="n">
        <x:f>COUNTIFS('11_Ejecuciones'!$F$5:$F$521,A72,'11_Ejecuciones'!$I$5:$I$521,"PASS")+COUNTIFS('11_Ejecuciones'!$F$5:$F$521,A72,'11_Ejecuciones'!$I$5:$I$521,"Baseline PASS")</x:f>
        <x:v>0</x:v>
      </x:c>
      <x:c r="J72" s="24" t="n">
        <x:f>COUNTIFS('11_Ejecuciones'!$F$5:$F$521,A72,'11_Ejecuciones'!$I$5:$I$521,"FAIL")+COUNTIFS('11_Ejecuciones'!$F$5:$F$521,A72,'11_Ejecuciones'!$I$5:$I$521,"BLOCKED")</x:f>
        <x:v>0</x:v>
      </x:c>
      <x:c r="K72" s="32" t="n">
        <x:f>IF(F72=0,0,MIN(1,G72/F72))</x:f>
        <x:v>1</x:v>
      </x:c>
      <x:c r="L72" s="24" t="str">
        <x:f>IF(F72=0,"SIN CASO",IF(J72&gt;0,"FALLO/BLOQUEO",IF(I72&gt;0,"EJECUTADO","PENDIENTE")))</x:f>
        <x:v>PENDIENTE</x:v>
      </x:c>
    </x:row>
    <x:row r="73">
      <x:c r="A73" s="24" t="str">
        <x:v>VS-UI-002</x:v>
      </x:c>
      <x:c r="B73" s="24" t="str">
        <x:v>UI/UX</x:v>
      </x:c>
      <x:c r="C73" s="24" t="str">
        <x:v>P2</x:v>
      </x:c>
      <x:c r="D73" s="24" t="str">
        <x:v>H6 / Vertical Slice</x:v>
      </x:c>
      <x:c r="E73" s="24" t="str">
        <x:v>Errores y estados inválidos muestran causa comprensible.</x:v>
      </x:c>
      <x:c r="F73" s="24" t="n">
        <x:f>COUNTIF('03_Casos_Prueba'!$D$5:$D$254,A73)</x:f>
        <x:v>1</x:v>
      </x:c>
      <x:c r="G73" s="24" t="n">
        <x:f>COUNTIFS('03_Casos_Prueba'!$D$5:$D$254,A73,'03_Casos_Prueba'!$R$5:$R$254,"Ready")</x:f>
        <x:v>1</x:v>
      </x:c>
      <x:c r="H73" s="24" t="n">
        <x:f>COUNTIF('11_Ejecuciones'!$F$5:$F$521,A73)</x:f>
        <x:v>1</x:v>
      </x:c>
      <x:c r="I73" s="24" t="n">
        <x:f>COUNTIFS('11_Ejecuciones'!$F$5:$F$521,A73,'11_Ejecuciones'!$I$5:$I$521,"PASS")+COUNTIFS('11_Ejecuciones'!$F$5:$F$521,A73,'11_Ejecuciones'!$I$5:$I$521,"Baseline PASS")</x:f>
        <x:v>0</x:v>
      </x:c>
      <x:c r="J73" s="24" t="n">
        <x:f>COUNTIFS('11_Ejecuciones'!$F$5:$F$521,A73,'11_Ejecuciones'!$I$5:$I$521,"FAIL")+COUNTIFS('11_Ejecuciones'!$F$5:$F$521,A73,'11_Ejecuciones'!$I$5:$I$521,"BLOCKED")</x:f>
        <x:v>0</x:v>
      </x:c>
      <x:c r="K73" s="32" t="n">
        <x:f>IF(F73=0,0,MIN(1,G73/F73))</x:f>
        <x:v>1</x:v>
      </x:c>
      <x:c r="L73" s="24" t="str">
        <x:f>IF(F73=0,"SIN CASO",IF(J73&gt;0,"FALLO/BLOQUEO",IF(I73&gt;0,"EJECUTADO","PENDIENTE")))</x:f>
        <x:v>PENDIENTE</x:v>
      </x:c>
    </x:row>
    <x:row r="74">
      <x:c r="A74" s="24" t="str">
        <x:v>VS-UI-003</x:v>
      </x:c>
      <x:c r="B74" s="24" t="str">
        <x:v>UI/UX</x:v>
      </x:c>
      <x:c r="C74" s="24" t="str">
        <x:v>P2</x:v>
      </x:c>
      <x:c r="D74" s="24" t="str">
        <x:v>H6 / Vertical Slice</x:v>
      </x:c>
      <x:c r="E74" s="24" t="str">
        <x:v>Controles críticos no dependen solo del color.</x:v>
      </x:c>
      <x:c r="F74" s="24" t="n">
        <x:f>COUNTIF('03_Casos_Prueba'!$D$5:$D$254,A74)</x:f>
        <x:v>1</x:v>
      </x:c>
      <x:c r="G74" s="24" t="n">
        <x:f>COUNTIFS('03_Casos_Prueba'!$D$5:$D$254,A74,'03_Casos_Prueba'!$R$5:$R$254,"Ready")</x:f>
        <x:v>1</x:v>
      </x:c>
      <x:c r="H74" s="24" t="n">
        <x:f>COUNTIF('11_Ejecuciones'!$F$5:$F$521,A74)</x:f>
        <x:v>1</x:v>
      </x:c>
      <x:c r="I74" s="24" t="n">
        <x:f>COUNTIFS('11_Ejecuciones'!$F$5:$F$521,A74,'11_Ejecuciones'!$I$5:$I$521,"PASS")+COUNTIFS('11_Ejecuciones'!$F$5:$F$521,A74,'11_Ejecuciones'!$I$5:$I$521,"Baseline PASS")</x:f>
        <x:v>0</x:v>
      </x:c>
      <x:c r="J74" s="24" t="n">
        <x:f>COUNTIFS('11_Ejecuciones'!$F$5:$F$521,A74,'11_Ejecuciones'!$I$5:$I$521,"FAIL")+COUNTIFS('11_Ejecuciones'!$F$5:$F$521,A74,'11_Ejecuciones'!$I$5:$I$521,"BLOCKED")</x:f>
        <x:v>0</x:v>
      </x:c>
      <x:c r="K74" s="32" t="n">
        <x:f>IF(F74=0,0,MIN(1,G74/F74))</x:f>
        <x:v>1</x:v>
      </x:c>
      <x:c r="L74" s="24" t="str">
        <x:f>IF(F74=0,"SIN CASO",IF(J74&gt;0,"FALLO/BLOQUEO",IF(I74&gt;0,"EJECUTADO","PENDIENTE")))</x:f>
        <x:v>PENDIENTE</x:v>
      </x:c>
    </x:row>
    <x:row r="75">
      <x:c r="A75" s="24" t="str">
        <x:v>VS-UI-004</x:v>
      </x:c>
      <x:c r="B75" s="24" t="str">
        <x:v>UI/UX</x:v>
      </x:c>
      <x:c r="C75" s="24" t="str">
        <x:v>P0</x:v>
      </x:c>
      <x:c r="D75" s="24" t="str">
        <x:v>H6 / Vertical Slice</x:v>
      </x:c>
      <x:c r="E75" s="24" t="str">
        <x:v>Textos incluidos están preparados para ES/EN sin desbordes bloqueantes.</x:v>
      </x:c>
      <x:c r="F75" s="24" t="n">
        <x:f>COUNTIF('03_Casos_Prueba'!$D$5:$D$254,A75)</x:f>
        <x:v>1</x:v>
      </x:c>
      <x:c r="G75" s="24" t="n">
        <x:f>COUNTIFS('03_Casos_Prueba'!$D$5:$D$254,A75,'03_Casos_Prueba'!$R$5:$R$254,"Ready")</x:f>
        <x:v>1</x:v>
      </x:c>
      <x:c r="H75" s="24" t="n">
        <x:f>COUNTIF('11_Ejecuciones'!$F$5:$F$521,A75)</x:f>
        <x:v>1</x:v>
      </x:c>
      <x:c r="I75" s="24" t="n">
        <x:f>COUNTIFS('11_Ejecuciones'!$F$5:$F$521,A75,'11_Ejecuciones'!$I$5:$I$521,"PASS")+COUNTIFS('11_Ejecuciones'!$F$5:$F$521,A75,'11_Ejecuciones'!$I$5:$I$521,"Baseline PASS")</x:f>
        <x:v>0</x:v>
      </x:c>
      <x:c r="J75" s="24" t="n">
        <x:f>COUNTIFS('11_Ejecuciones'!$F$5:$F$521,A75,'11_Ejecuciones'!$I$5:$I$521,"FAIL")+COUNTIFS('11_Ejecuciones'!$F$5:$F$521,A75,'11_Ejecuciones'!$I$5:$I$521,"BLOCKED")</x:f>
        <x:v>0</x:v>
      </x:c>
      <x:c r="K75" s="32" t="n">
        <x:f>IF(F75=0,0,MIN(1,G75/F75))</x:f>
        <x:v>1</x:v>
      </x:c>
      <x:c r="L75" s="24" t="str">
        <x:f>IF(F75=0,"SIN CASO",IF(J75&gt;0,"FALLO/BLOQUEO",IF(I75&gt;0,"EJECUTADO","PENDIENTE")))</x:f>
        <x:v>PENDIENTE</x:v>
      </x:c>
    </x:row>
    <x:row r="76">
      <x:c r="A76" s="24" t="str">
        <x:v>VS-ART-001</x:v>
      </x:c>
      <x:c r="B76" s="24" t="str">
        <x:v>Arte y representación</x:v>
      </x:c>
      <x:c r="C76" s="24" t="str">
        <x:v>P2</x:v>
      </x:c>
      <x:c r="D76" s="24" t="str">
        <x:v>H6 / Vertical Slice</x:v>
      </x:c>
      <x:c r="E76" s="24" t="str">
        <x:v>Escena cumple layout, escala y silueta aprobados.</x:v>
      </x:c>
      <x:c r="F76" s="24" t="n">
        <x:f>COUNTIF('03_Casos_Prueba'!$D$5:$D$254,A76)</x:f>
        <x:v>1</x:v>
      </x:c>
      <x:c r="G76" s="24" t="n">
        <x:f>COUNTIFS('03_Casos_Prueba'!$D$5:$D$254,A76,'03_Casos_Prueba'!$R$5:$R$254,"Ready")</x:f>
        <x:v>1</x:v>
      </x:c>
      <x:c r="H76" s="24" t="n">
        <x:f>COUNTIF('11_Ejecuciones'!$F$5:$F$521,A76)</x:f>
        <x:v>1</x:v>
      </x:c>
      <x:c r="I76" s="24" t="n">
        <x:f>COUNTIFS('11_Ejecuciones'!$F$5:$F$521,A76,'11_Ejecuciones'!$I$5:$I$521,"PASS")+COUNTIFS('11_Ejecuciones'!$F$5:$F$521,A76,'11_Ejecuciones'!$I$5:$I$521,"Baseline PASS")</x:f>
        <x:v>0</x:v>
      </x:c>
      <x:c r="J76" s="24" t="n">
        <x:f>COUNTIFS('11_Ejecuciones'!$F$5:$F$521,A76,'11_Ejecuciones'!$I$5:$I$521,"FAIL")+COUNTIFS('11_Ejecuciones'!$F$5:$F$521,A76,'11_Ejecuciones'!$I$5:$I$521,"BLOCKED")</x:f>
        <x:v>0</x:v>
      </x:c>
      <x:c r="K76" s="32" t="n">
        <x:f>IF(F76=0,0,MIN(1,G76/F76))</x:f>
        <x:v>1</x:v>
      </x:c>
      <x:c r="L76" s="24" t="str">
        <x:f>IF(F76=0,"SIN CASO",IF(J76&gt;0,"FALLO/BLOQUEO",IF(I76&gt;0,"EJECUTADO","PENDIENTE")))</x:f>
        <x:v>PENDIENTE</x:v>
      </x:c>
    </x:row>
    <x:row r="77">
      <x:c r="A77" s="24" t="str">
        <x:v>VS-ART-002</x:v>
      </x:c>
      <x:c r="B77" s="24" t="str">
        <x:v>Arte y representación</x:v>
      </x:c>
      <x:c r="C77" s="24" t="str">
        <x:v>P2</x:v>
      </x:c>
      <x:c r="D77" s="24" t="str">
        <x:v>H6 / Vertical Slice</x:v>
      </x:c>
      <x:c r="E77" s="24" t="str">
        <x:v>Iluminación permite leer zonas, productos, clientes y cola.</x:v>
      </x:c>
      <x:c r="F77" s="24" t="n">
        <x:f>COUNTIF('03_Casos_Prueba'!$D$5:$D$254,A77)</x:f>
        <x:v>1</x:v>
      </x:c>
      <x:c r="G77" s="24" t="n">
        <x:f>COUNTIFS('03_Casos_Prueba'!$D$5:$D$254,A77,'03_Casos_Prueba'!$R$5:$R$254,"Ready")</x:f>
        <x:v>1</x:v>
      </x:c>
      <x:c r="H77" s="24" t="n">
        <x:f>COUNTIF('11_Ejecuciones'!$F$5:$F$521,A77)</x:f>
        <x:v>1</x:v>
      </x:c>
      <x:c r="I77" s="24" t="n">
        <x:f>COUNTIFS('11_Ejecuciones'!$F$5:$F$521,A77,'11_Ejecuciones'!$I$5:$I$521,"PASS")+COUNTIFS('11_Ejecuciones'!$F$5:$F$521,A77,'11_Ejecuciones'!$I$5:$I$521,"Baseline PASS")</x:f>
        <x:v>0</x:v>
      </x:c>
      <x:c r="J77" s="24" t="n">
        <x:f>COUNTIFS('11_Ejecuciones'!$F$5:$F$521,A77,'11_Ejecuciones'!$I$5:$I$521,"FAIL")+COUNTIFS('11_Ejecuciones'!$F$5:$F$521,A77,'11_Ejecuciones'!$I$5:$I$521,"BLOCKED")</x:f>
        <x:v>0</x:v>
      </x:c>
      <x:c r="K77" s="32" t="n">
        <x:f>IF(F77=0,0,MIN(1,G77/F77))</x:f>
        <x:v>1</x:v>
      </x:c>
      <x:c r="L77" s="24" t="str">
        <x:f>IF(F77=0,"SIN CASO",IF(J77&gt;0,"FALLO/BLOQUEO",IF(I77&gt;0,"EJECUTADO","PENDIENTE")))</x:f>
        <x:v>PENDIENTE</x:v>
      </x:c>
    </x:row>
    <x:row r="78">
      <x:c r="A78" s="24" t="str">
        <x:v>VS-AUD-001</x:v>
      </x:c>
      <x:c r="B78" s="24" t="str">
        <x:v>Audio</x:v>
      </x:c>
      <x:c r="C78" s="24" t="str">
        <x:v>P2</x:v>
      </x:c>
      <x:c r="D78" s="24" t="str">
        <x:v>H6 / Vertical Slice</x:v>
      </x:c>
      <x:c r="E78" s="24" t="str">
        <x:v>Acciones críticas incluidas tienen feedback sonoro o alternativa aprobada.</x:v>
      </x:c>
      <x:c r="F78" s="24" t="n">
        <x:f>COUNTIF('03_Casos_Prueba'!$D$5:$D$254,A78)</x:f>
        <x:v>1</x:v>
      </x:c>
      <x:c r="G78" s="24" t="n">
        <x:f>COUNTIFS('03_Casos_Prueba'!$D$5:$D$254,A78,'03_Casos_Prueba'!$R$5:$R$254,"Ready")</x:f>
        <x:v>1</x:v>
      </x:c>
      <x:c r="H78" s="24" t="n">
        <x:f>COUNTIF('11_Ejecuciones'!$F$5:$F$521,A78)</x:f>
        <x:v>1</x:v>
      </x:c>
      <x:c r="I78" s="24" t="n">
        <x:f>COUNTIFS('11_Ejecuciones'!$F$5:$F$521,A78,'11_Ejecuciones'!$I$5:$I$521,"PASS")+COUNTIFS('11_Ejecuciones'!$F$5:$F$521,A78,'11_Ejecuciones'!$I$5:$I$521,"Baseline PASS")</x:f>
        <x:v>0</x:v>
      </x:c>
      <x:c r="J78" s="24" t="n">
        <x:f>COUNTIFS('11_Ejecuciones'!$F$5:$F$521,A78,'11_Ejecuciones'!$I$5:$I$521,"FAIL")+COUNTIFS('11_Ejecuciones'!$F$5:$F$521,A78,'11_Ejecuciones'!$I$5:$I$521,"BLOCKED")</x:f>
        <x:v>0</x:v>
      </x:c>
      <x:c r="K78" s="32" t="n">
        <x:f>IF(F78=0,0,MIN(1,G78/F78))</x:f>
        <x:v>1</x:v>
      </x:c>
      <x:c r="L78" s="24" t="str">
        <x:f>IF(F78=0,"SIN CASO",IF(J78&gt;0,"FALLO/BLOQUEO",IF(I78&gt;0,"EJECUTADO","PENDIENTE")))</x:f>
        <x:v>PENDIENTE</x:v>
      </x:c>
    </x:row>
    <x:row r="79">
      <x:c r="A79" s="24" t="str">
        <x:v>VS-PER-001</x:v>
      </x:c>
      <x:c r="B79" s="24" t="str">
        <x:v>Rendimiento</x:v>
      </x:c>
      <x:c r="C79" s="24" t="str">
        <x:v>P2</x:v>
      </x:c>
      <x:c r="D79" s="24" t="str">
        <x:v>H6 / Vertical Slice</x:v>
      </x:c>
      <x:c r="E79" s="24" t="str">
        <x:v>Prueba objetivo registra 60 FPS/1080p o desviación justificada en perfil documentado.</x:v>
      </x:c>
      <x:c r="F79" s="24" t="n">
        <x:f>COUNTIF('03_Casos_Prueba'!$D$5:$D$254,A79)</x:f>
        <x:v>1</x:v>
      </x:c>
      <x:c r="G79" s="24" t="n">
        <x:f>COUNTIFS('03_Casos_Prueba'!$D$5:$D$254,A79,'03_Casos_Prueba'!$R$5:$R$254,"Ready")</x:f>
        <x:v>1</x:v>
      </x:c>
      <x:c r="H79" s="24" t="n">
        <x:f>COUNTIF('11_Ejecuciones'!$F$5:$F$521,A79)</x:f>
        <x:v>1</x:v>
      </x:c>
      <x:c r="I79" s="24" t="n">
        <x:f>COUNTIFS('11_Ejecuciones'!$F$5:$F$521,A79,'11_Ejecuciones'!$I$5:$I$521,"PASS")+COUNTIFS('11_Ejecuciones'!$F$5:$F$521,A79,'11_Ejecuciones'!$I$5:$I$521,"Baseline PASS")</x:f>
        <x:v>0</x:v>
      </x:c>
      <x:c r="J79" s="24" t="n">
        <x:f>COUNTIFS('11_Ejecuciones'!$F$5:$F$521,A79,'11_Ejecuciones'!$I$5:$I$521,"FAIL")+COUNTIFS('11_Ejecuciones'!$F$5:$F$521,A79,'11_Ejecuciones'!$I$5:$I$521,"BLOCKED")</x:f>
        <x:v>0</x:v>
      </x:c>
      <x:c r="K79" s="32" t="n">
        <x:f>IF(F79=0,0,MIN(1,G79/F79))</x:f>
        <x:v>1</x:v>
      </x:c>
      <x:c r="L79" s="24" t="str">
        <x:f>IF(F79=0,"SIN CASO",IF(J79&gt;0,"FALLO/BLOQUEO",IF(I79&gt;0,"EJECUTADO","PENDIENTE")))</x:f>
        <x:v>PENDIENTE</x:v>
      </x:c>
    </x:row>
    <x:row r="80">
      <x:c r="A80" s="24" t="str">
        <x:v>VS-PER-002</x:v>
      </x:c>
      <x:c r="B80" s="24" t="str">
        <x:v>Rendimiento</x:v>
      </x:c>
      <x:c r="C80" s="24" t="str">
        <x:v>P2</x:v>
      </x:c>
      <x:c r="D80" s="24" t="str">
        <x:v>H6 / Vertical Slice</x:v>
      </x:c>
      <x:c r="E80" s="24" t="str">
        <x:v>No existe degradación acumulativa grave durante la sesión extensa.</x:v>
      </x:c>
      <x:c r="F80" s="24" t="n">
        <x:f>COUNTIF('03_Casos_Prueba'!$D$5:$D$254,A80)</x:f>
        <x:v>1</x:v>
      </x:c>
      <x:c r="G80" s="24" t="n">
        <x:f>COUNTIFS('03_Casos_Prueba'!$D$5:$D$254,A80,'03_Casos_Prueba'!$R$5:$R$254,"Ready")</x:f>
        <x:v>1</x:v>
      </x:c>
      <x:c r="H80" s="24" t="n">
        <x:f>COUNTIF('11_Ejecuciones'!$F$5:$F$521,A80)</x:f>
        <x:v>1</x:v>
      </x:c>
      <x:c r="I80" s="24" t="n">
        <x:f>COUNTIFS('11_Ejecuciones'!$F$5:$F$521,A80,'11_Ejecuciones'!$I$5:$I$521,"PASS")+COUNTIFS('11_Ejecuciones'!$F$5:$F$521,A80,'11_Ejecuciones'!$I$5:$I$521,"Baseline PASS")</x:f>
        <x:v>0</x:v>
      </x:c>
      <x:c r="J80" s="24" t="n">
        <x:f>COUNTIFS('11_Ejecuciones'!$F$5:$F$521,A80,'11_Ejecuciones'!$I$5:$I$521,"FAIL")+COUNTIFS('11_Ejecuciones'!$F$5:$F$521,A80,'11_Ejecuciones'!$I$5:$I$521,"BLOCKED")</x:f>
        <x:v>0</x:v>
      </x:c>
      <x:c r="K80" s="32" t="n">
        <x:f>IF(F80=0,0,MIN(1,G80/F80))</x:f>
        <x:v>1</x:v>
      </x:c>
      <x:c r="L80" s="24" t="str">
        <x:f>IF(F80=0,"SIN CASO",IF(J80&gt;0,"FALLO/BLOQUEO",IF(I80&gt;0,"EJECUTADO","PENDIENTE")))</x:f>
        <x:v>PENDIENTE</x:v>
      </x:c>
    </x:row>
    <x:row r="81">
      <x:c r="A81" s="24" t="str">
        <x:v>VS-QA-001</x:v>
      </x:c>
      <x:c r="B81" s="24" t="str">
        <x:v>QA</x:v>
      </x:c>
      <x:c r="C81" s="24" t="str">
        <x:v>P0</x:v>
      </x:c>
      <x:c r="D81" s="24" t="str">
        <x:v>H6 / Vertical Slice</x:v>
      </x:c>
      <x:c r="E81" s="24" t="str">
        <x:v>Suite automatizada completa permanece verde.</x:v>
      </x:c>
      <x:c r="F81" s="24" t="n">
        <x:f>COUNTIF('03_Casos_Prueba'!$D$5:$D$254,A81)</x:f>
        <x:v>1</x:v>
      </x:c>
      <x:c r="G81" s="24" t="n">
        <x:f>COUNTIFS('03_Casos_Prueba'!$D$5:$D$254,A81,'03_Casos_Prueba'!$R$5:$R$254,"Ready")</x:f>
        <x:v>1</x:v>
      </x:c>
      <x:c r="H81" s="24" t="n">
        <x:f>COUNTIF('11_Ejecuciones'!$F$5:$F$521,A81)</x:f>
        <x:v>3</x:v>
      </x:c>
      <x:c r="I81" s="24" t="n">
        <x:f>COUNTIFS('11_Ejecuciones'!$F$5:$F$521,A81,'11_Ejecuciones'!$I$5:$I$521,"PASS")+COUNTIFS('11_Ejecuciones'!$F$5:$F$521,A81,'11_Ejecuciones'!$I$5:$I$521,"Baseline PASS")</x:f>
        <x:v>2</x:v>
      </x:c>
      <x:c r="J81" s="24" t="n">
        <x:f>COUNTIFS('11_Ejecuciones'!$F$5:$F$521,A81,'11_Ejecuciones'!$I$5:$I$521,"FAIL")+COUNTIFS('11_Ejecuciones'!$F$5:$F$521,A81,'11_Ejecuciones'!$I$5:$I$521,"BLOCKED")</x:f>
        <x:v>0</x:v>
      </x:c>
      <x:c r="K81" s="32" t="n">
        <x:f>IF(F81=0,0,MIN(1,G81/F81))</x:f>
        <x:v>1</x:v>
      </x:c>
      <x:c r="L81" s="24" t="str">
        <x:f>IF(F81=0,"SIN CASO",IF(J81&gt;0,"FALLO/BLOQUEO",IF(I81&gt;0,"EJECUTADO","PENDIENTE")))</x:f>
        <x:v>EJECUTADO</x:v>
      </x:c>
    </x:row>
    <x:row r="82">
      <x:c r="A82" s="24" t="str">
        <x:v>VS-QA-002</x:v>
      </x:c>
      <x:c r="B82" s="24" t="str">
        <x:v>QA</x:v>
      </x:c>
      <x:c r="C82" s="24" t="str">
        <x:v>P0</x:v>
      </x:c>
      <x:c r="D82" s="24" t="str">
        <x:v>H6 / Vertical Slice</x:v>
      </x:c>
      <x:c r="E82" s="24" t="str">
        <x:v>Golden Path manual obtiene PASS reproducible.</x:v>
      </x:c>
      <x:c r="F82" s="24" t="n">
        <x:f>COUNTIF('03_Casos_Prueba'!$D$5:$D$254,A82)</x:f>
        <x:v>1</x:v>
      </x:c>
      <x:c r="G82" s="24" t="n">
        <x:f>COUNTIFS('03_Casos_Prueba'!$D$5:$D$254,A82,'03_Casos_Prueba'!$R$5:$R$254,"Ready")</x:f>
        <x:v>1</x:v>
      </x:c>
      <x:c r="H82" s="24" t="n">
        <x:f>COUNTIF('11_Ejecuciones'!$F$5:$F$521,A82)</x:f>
        <x:v>1</x:v>
      </x:c>
      <x:c r="I82" s="24" t="n">
        <x:f>COUNTIFS('11_Ejecuciones'!$F$5:$F$521,A82,'11_Ejecuciones'!$I$5:$I$521,"PASS")+COUNTIFS('11_Ejecuciones'!$F$5:$F$521,A82,'11_Ejecuciones'!$I$5:$I$521,"Baseline PASS")</x:f>
        <x:v>0</x:v>
      </x:c>
      <x:c r="J82" s="24" t="n">
        <x:f>COUNTIFS('11_Ejecuciones'!$F$5:$F$521,A82,'11_Ejecuciones'!$I$5:$I$521,"FAIL")+COUNTIFS('11_Ejecuciones'!$F$5:$F$521,A82,'11_Ejecuciones'!$I$5:$I$521,"BLOCKED")</x:f>
        <x:v>0</x:v>
      </x:c>
      <x:c r="K82" s="32" t="n">
        <x:f>IF(F82=0,0,MIN(1,G82/F82))</x:f>
        <x:v>1</x:v>
      </x:c>
      <x:c r="L82" s="24" t="str">
        <x:f>IF(F82=0,"SIN CASO",IF(J82&gt;0,"FALLO/BLOQUEO",IF(I82&gt;0,"EJECUTADO","PENDIENTE")))</x:f>
        <x:v>PENDIENTE</x:v>
      </x:c>
    </x:row>
    <x:row r="83">
      <x:c r="A83" s="24" t="str">
        <x:v>VS-BUILD-001</x:v>
      </x:c>
      <x:c r="B83" s="24" t="str">
        <x:v>Build</x:v>
      </x:c>
      <x:c r="C83" s="24" t="str">
        <x:v>P0</x:v>
      </x:c>
      <x:c r="D83" s="24" t="str">
        <x:v>H6 / Vertical Slice</x:v>
      </x:c>
      <x:c r="E83" s="24" t="str">
        <x:v>Windows x64 Development Build se genera sin error.</x:v>
      </x:c>
      <x:c r="F83" s="24" t="n">
        <x:f>COUNTIF('03_Casos_Prueba'!$D$5:$D$254,A83)</x:f>
        <x:v>1</x:v>
      </x:c>
      <x:c r="G83" s="24" t="n">
        <x:f>COUNTIFS('03_Casos_Prueba'!$D$5:$D$254,A83,'03_Casos_Prueba'!$R$5:$R$254,"Ready")</x:f>
        <x:v>1</x:v>
      </x:c>
      <x:c r="H83" s="24" t="n">
        <x:f>COUNTIF('11_Ejecuciones'!$F$5:$F$521,A83)</x:f>
        <x:v>1</x:v>
      </x:c>
      <x:c r="I83" s="24" t="n">
        <x:f>COUNTIFS('11_Ejecuciones'!$F$5:$F$521,A83,'11_Ejecuciones'!$I$5:$I$521,"PASS")+COUNTIFS('11_Ejecuciones'!$F$5:$F$521,A83,'11_Ejecuciones'!$I$5:$I$521,"Baseline PASS")</x:f>
        <x:v>0</x:v>
      </x:c>
      <x:c r="J83" s="24" t="n">
        <x:f>COUNTIFS('11_Ejecuciones'!$F$5:$F$521,A83,'11_Ejecuciones'!$I$5:$I$521,"FAIL")+COUNTIFS('11_Ejecuciones'!$F$5:$F$521,A83,'11_Ejecuciones'!$I$5:$I$521,"BLOCKED")</x:f>
        <x:v>0</x:v>
      </x:c>
      <x:c r="K83" s="32" t="n">
        <x:f>IF(F83=0,0,MIN(1,G83/F83))</x:f>
        <x:v>1</x:v>
      </x:c>
      <x:c r="L83" s="24" t="str">
        <x:f>IF(F83=0,"SIN CASO",IF(J83&gt;0,"FALLO/BLOQUEO",IF(I83&gt;0,"EJECUTADO","PENDIENTE")))</x:f>
        <x:v>PENDIENTE</x:v>
      </x:c>
    </x:row>
    <x:row r="84">
      <x:c r="A84" s="24" t="str">
        <x:v>VS-BUILD-002</x:v>
      </x:c>
      <x:c r="B84" s="24" t="str">
        <x:v>Build</x:v>
      </x:c>
      <x:c r="C84" s="24" t="str">
        <x:v>P0</x:v>
      </x:c>
      <x:c r="D84" s="24" t="str">
        <x:v>H6 / Vertical Slice</x:v>
      </x:c>
      <x:c r="E84" s="24" t="str">
        <x:v>Ejecutable arranca y completa Golden Path fuera del Editor.</x:v>
      </x:c>
      <x:c r="F84" s="24" t="n">
        <x:f>COUNTIF('03_Casos_Prueba'!$D$5:$D$254,A84)</x:f>
        <x:v>1</x:v>
      </x:c>
      <x:c r="G84" s="24" t="n">
        <x:f>COUNTIFS('03_Casos_Prueba'!$D$5:$D$254,A84,'03_Casos_Prueba'!$R$5:$R$254,"Ready")</x:f>
        <x:v>1</x:v>
      </x:c>
      <x:c r="H84" s="24" t="n">
        <x:f>COUNTIF('11_Ejecuciones'!$F$5:$F$521,A84)</x:f>
        <x:v>1</x:v>
      </x:c>
      <x:c r="I84" s="24" t="n">
        <x:f>COUNTIFS('11_Ejecuciones'!$F$5:$F$521,A84,'11_Ejecuciones'!$I$5:$I$521,"PASS")+COUNTIFS('11_Ejecuciones'!$F$5:$F$521,A84,'11_Ejecuciones'!$I$5:$I$521,"Baseline PASS")</x:f>
        <x:v>0</x:v>
      </x:c>
      <x:c r="J84" s="24" t="n">
        <x:f>COUNTIFS('11_Ejecuciones'!$F$5:$F$521,A84,'11_Ejecuciones'!$I$5:$I$521,"FAIL")+COUNTIFS('11_Ejecuciones'!$F$5:$F$521,A84,'11_Ejecuciones'!$I$5:$I$521,"BLOCKED")</x:f>
        <x:v>0</x:v>
      </x:c>
      <x:c r="K84" s="32" t="n">
        <x:f>IF(F84=0,0,MIN(1,G84/F84))</x:f>
        <x:v>1</x:v>
      </x:c>
      <x:c r="L84" s="24" t="str">
        <x:f>IF(F84=0,"SIN CASO",IF(J84&gt;0,"FALLO/BLOQUEO",IF(I84&gt;0,"EJECUTADO","PENDIENTE")))</x:f>
        <x:v>PENDIENTE</x:v>
      </x:c>
    </x:row>
    <x:row r="85">
      <x:c r="A85" s="24" t="str">
        <x:v>VS-BUILD-003</x:v>
      </x:c>
      <x:c r="B85" s="24" t="str">
        <x:v>Build</x:v>
      </x:c>
      <x:c r="C85" s="24" t="str">
        <x:v>P0</x:v>
      </x:c>
      <x:c r="D85" s="24" t="str">
        <x:v>H6 / Vertical Slice</x:v>
      </x:c>
      <x:c r="E85" s="24" t="str">
        <x:v>`Player.log` no contiene errores bloqueantes o recurrentes.</x:v>
      </x:c>
      <x:c r="F85" s="24" t="n">
        <x:f>COUNTIF('03_Casos_Prueba'!$D$5:$D$254,A85)</x:f>
        <x:v>1</x:v>
      </x:c>
      <x:c r="G85" s="24" t="n">
        <x:f>COUNTIFS('03_Casos_Prueba'!$D$5:$D$254,A85,'03_Casos_Prueba'!$R$5:$R$254,"Ready")</x:f>
        <x:v>1</x:v>
      </x:c>
      <x:c r="H85" s="24" t="n">
        <x:f>COUNTIF('11_Ejecuciones'!$F$5:$F$521,A85)</x:f>
        <x:v>1</x:v>
      </x:c>
      <x:c r="I85" s="24" t="n">
        <x:f>COUNTIFS('11_Ejecuciones'!$F$5:$F$521,A85,'11_Ejecuciones'!$I$5:$I$521,"PASS")+COUNTIFS('11_Ejecuciones'!$F$5:$F$521,A85,'11_Ejecuciones'!$I$5:$I$521,"Baseline PASS")</x:f>
        <x:v>0</x:v>
      </x:c>
      <x:c r="J85" s="24" t="n">
        <x:f>COUNTIFS('11_Ejecuciones'!$F$5:$F$521,A85,'11_Ejecuciones'!$I$5:$I$521,"FAIL")+COUNTIFS('11_Ejecuciones'!$F$5:$F$521,A85,'11_Ejecuciones'!$I$5:$I$521,"BLOCKED")</x:f>
        <x:v>0</x:v>
      </x:c>
      <x:c r="K85" s="32" t="n">
        <x:f>IF(F85=0,0,MIN(1,G85/F85))</x:f>
        <x:v>1</x:v>
      </x:c>
      <x:c r="L85" s="24" t="str">
        <x:f>IF(F85=0,"SIN CASO",IF(J85&gt;0,"FALLO/BLOQUEO",IF(I85&gt;0,"EJECUTADO","PENDIENTE")))</x:f>
        <x:v>PENDIENTE</x:v>
      </x:c>
    </x:row>
    <x:row r="86">
      <x:c r="A86" s="24" t="str">
        <x:v>VS-DOC-001</x:v>
      </x:c>
      <x:c r="B86" s="24" t="str">
        <x:v>Documentación</x:v>
      </x:c>
      <x:c r="C86" s="24" t="str">
        <x:v>P2</x:v>
      </x:c>
      <x:c r="D86" s="24" t="str">
        <x:v>H6 / Vertical Slice</x:v>
      </x:c>
      <x:c r="E86" s="24" t="str">
        <x:v>Resultados, defectos, excepciones y decisiones están trazados.</x:v>
      </x:c>
      <x:c r="F86" s="24" t="n">
        <x:f>COUNTIF('03_Casos_Prueba'!$D$5:$D$254,A86)</x:f>
        <x:v>1</x:v>
      </x:c>
      <x:c r="G86" s="24" t="n">
        <x:f>COUNTIFS('03_Casos_Prueba'!$D$5:$D$254,A86,'03_Casos_Prueba'!$R$5:$R$254,"Ready")</x:f>
        <x:v>1</x:v>
      </x:c>
      <x:c r="H86" s="24" t="n">
        <x:f>COUNTIF('11_Ejecuciones'!$F$5:$F$521,A86)</x:f>
        <x:v>1</x:v>
      </x:c>
      <x:c r="I86" s="24" t="n">
        <x:f>COUNTIFS('11_Ejecuciones'!$F$5:$F$521,A86,'11_Ejecuciones'!$I$5:$I$521,"PASS")+COUNTIFS('11_Ejecuciones'!$F$5:$F$521,A86,'11_Ejecuciones'!$I$5:$I$521,"Baseline PASS")</x:f>
        <x:v>0</x:v>
      </x:c>
      <x:c r="J86" s="24" t="n">
        <x:f>COUNTIFS('11_Ejecuciones'!$F$5:$F$521,A86,'11_Ejecuciones'!$I$5:$I$521,"FAIL")+COUNTIFS('11_Ejecuciones'!$F$5:$F$521,A86,'11_Ejecuciones'!$I$5:$I$521,"BLOCKED")</x:f>
        <x:v>0</x:v>
      </x:c>
      <x:c r="K86" s="32" t="n">
        <x:f>IF(F86=0,0,MIN(1,G86/F86))</x:f>
        <x:v>1</x:v>
      </x:c>
      <x:c r="L86" s="24" t="str">
        <x:f>IF(F86=0,"SIN CASO",IF(J86&gt;0,"FALLO/BLOQUEO",IF(I86&gt;0,"EJECUTADO","PENDIENTE")))</x:f>
        <x:v>PENDIENTE</x:v>
      </x:c>
    </x:row>
    <x:row r="87">
      <x:c r="A87" s="24" t="str">
        <x:v>UX-BOOT-001</x:v>
      </x:c>
      <x:c r="B87" s="24" t="str">
        <x:v>Bootstrap y escenas</x:v>
      </x:c>
      <x:c r="C87" s="24" t="str">
        <x:v>P2</x:v>
      </x:c>
      <x:c r="D87" s="24" t="str">
        <x:v>Sprint 17 / H6</x:v>
      </x:c>
      <x:c r="E87" s="24" t="str">
        <x:v>La aplicación entra por Bootstrap.</x:v>
      </x:c>
      <x:c r="F87" s="24" t="n">
        <x:f>COUNTIF('03_Casos_Prueba'!$D$5:$D$254,A87)</x:f>
        <x:v>1</x:v>
      </x:c>
      <x:c r="G87" s="24" t="n">
        <x:f>COUNTIFS('03_Casos_Prueba'!$D$5:$D$254,A87,'03_Casos_Prueba'!$R$5:$R$254,"Ready")</x:f>
        <x:v>1</x:v>
      </x:c>
      <x:c r="H87" s="24" t="n">
        <x:f>COUNTIF('11_Ejecuciones'!$F$5:$F$521,A87)</x:f>
        <x:v>1</x:v>
      </x:c>
      <x:c r="I87" s="24" t="n">
        <x:f>COUNTIFS('11_Ejecuciones'!$F$5:$F$521,A87,'11_Ejecuciones'!$I$5:$I$521,"PASS")+COUNTIFS('11_Ejecuciones'!$F$5:$F$521,A87,'11_Ejecuciones'!$I$5:$I$521,"Baseline PASS")</x:f>
        <x:v>0</x:v>
      </x:c>
      <x:c r="J87" s="24" t="n">
        <x:f>COUNTIFS('11_Ejecuciones'!$F$5:$F$521,A87,'11_Ejecuciones'!$I$5:$I$521,"FAIL")+COUNTIFS('11_Ejecuciones'!$F$5:$F$521,A87,'11_Ejecuciones'!$I$5:$I$521,"BLOCKED")</x:f>
        <x:v>0</x:v>
      </x:c>
      <x:c r="K87" s="32" t="n">
        <x:f>IF(F87=0,0,MIN(1,G87/F87))</x:f>
        <x:v>1</x:v>
      </x:c>
      <x:c r="L87" s="24" t="str">
        <x:f>IF(F87=0,"SIN CASO",IF(J87&gt;0,"FALLO/BLOQUEO",IF(I87&gt;0,"EJECUTADO","PENDIENTE")))</x:f>
        <x:v>PENDIENTE</x:v>
      </x:c>
    </x:row>
    <x:row r="88">
      <x:c r="A88" s="24" t="str">
        <x:v>UX-BOOT-002</x:v>
      </x:c>
      <x:c r="B88" s="24" t="str">
        <x:v>Bootstrap y escenas</x:v>
      </x:c>
      <x:c r="C88" s="24" t="str">
        <x:v>P2</x:v>
      </x:c>
      <x:c r="D88" s="24" t="str">
        <x:v>Sprint 17 / H6</x:v>
      </x:c>
      <x:c r="E88" s="24" t="str">
        <x:v>MainMenu se carga mediante transición controlada.</x:v>
      </x:c>
      <x:c r="F88" s="24" t="n">
        <x:f>COUNTIF('03_Casos_Prueba'!$D$5:$D$254,A88)</x:f>
        <x:v>1</x:v>
      </x:c>
      <x:c r="G88" s="24" t="n">
        <x:f>COUNTIFS('03_Casos_Prueba'!$D$5:$D$254,A88,'03_Casos_Prueba'!$R$5:$R$254,"Ready")</x:f>
        <x:v>1</x:v>
      </x:c>
      <x:c r="H88" s="24" t="n">
        <x:f>COUNTIF('11_Ejecuciones'!$F$5:$F$521,A88)</x:f>
        <x:v>1</x:v>
      </x:c>
      <x:c r="I88" s="24" t="n">
        <x:f>COUNTIFS('11_Ejecuciones'!$F$5:$F$521,A88,'11_Ejecuciones'!$I$5:$I$521,"PASS")+COUNTIFS('11_Ejecuciones'!$F$5:$F$521,A88,'11_Ejecuciones'!$I$5:$I$521,"Baseline PASS")</x:f>
        <x:v>0</x:v>
      </x:c>
      <x:c r="J88" s="24" t="n">
        <x:f>COUNTIFS('11_Ejecuciones'!$F$5:$F$521,A88,'11_Ejecuciones'!$I$5:$I$521,"FAIL")+COUNTIFS('11_Ejecuciones'!$F$5:$F$521,A88,'11_Ejecuciones'!$I$5:$I$521,"BLOCKED")</x:f>
        <x:v>0</x:v>
      </x:c>
      <x:c r="K88" s="32" t="n">
        <x:f>IF(F88=0,0,MIN(1,G88/F88))</x:f>
        <x:v>1</x:v>
      </x:c>
      <x:c r="L88" s="24" t="str">
        <x:f>IF(F88=0,"SIN CASO",IF(J88&gt;0,"FALLO/BLOQUEO",IF(I88&gt;0,"EJECUTADO","PENDIENTE")))</x:f>
        <x:v>PENDIENTE</x:v>
      </x:c>
    </x:row>
    <x:row r="89">
      <x:c r="A89" s="24" t="str">
        <x:v>UX-BOOT-003</x:v>
      </x:c>
      <x:c r="B89" s="24" t="str">
        <x:v>Bootstrap y escenas</x:v>
      </x:c>
      <x:c r="C89" s="24" t="str">
        <x:v>P2</x:v>
      </x:c>
      <x:c r="D89" s="24" t="str">
        <x:v>Sprint 17 / H6</x:v>
      </x:c>
      <x:c r="E89" s="24" t="str">
        <x:v>No existen solicitudes concurrentes de escena.</x:v>
      </x:c>
      <x:c r="F89" s="24" t="n">
        <x:f>COUNTIF('03_Casos_Prueba'!$D$5:$D$254,A89)</x:f>
        <x:v>1</x:v>
      </x:c>
      <x:c r="G89" s="24" t="n">
        <x:f>COUNTIFS('03_Casos_Prueba'!$D$5:$D$254,A89,'03_Casos_Prueba'!$R$5:$R$254,"Ready")</x:f>
        <x:v>1</x:v>
      </x:c>
      <x:c r="H89" s="24" t="n">
        <x:f>COUNTIF('11_Ejecuciones'!$F$5:$F$521,A89)</x:f>
        <x:v>1</x:v>
      </x:c>
      <x:c r="I89" s="24" t="n">
        <x:f>COUNTIFS('11_Ejecuciones'!$F$5:$F$521,A89,'11_Ejecuciones'!$I$5:$I$521,"PASS")+COUNTIFS('11_Ejecuciones'!$F$5:$F$521,A89,'11_Ejecuciones'!$I$5:$I$521,"Baseline PASS")</x:f>
        <x:v>0</x:v>
      </x:c>
      <x:c r="J89" s="24" t="n">
        <x:f>COUNTIFS('11_Ejecuciones'!$F$5:$F$521,A89,'11_Ejecuciones'!$I$5:$I$521,"FAIL")+COUNTIFS('11_Ejecuciones'!$F$5:$F$521,A89,'11_Ejecuciones'!$I$5:$I$521,"BLOCKED")</x:f>
        <x:v>0</x:v>
      </x:c>
      <x:c r="K89" s="32" t="n">
        <x:f>IF(F89=0,0,MIN(1,G89/F89))</x:f>
        <x:v>1</x:v>
      </x:c>
      <x:c r="L89" s="24" t="str">
        <x:f>IF(F89=0,"SIN CASO",IF(J89&gt;0,"FALLO/BLOQUEO",IF(I89&gt;0,"EJECUTADO","PENDIENTE")))</x:f>
        <x:v>PENDIENTE</x:v>
      </x:c>
    </x:row>
    <x:row r="90">
      <x:c r="A90" s="24" t="str">
        <x:v>UX-BOOT-004</x:v>
      </x:c>
      <x:c r="B90" s="24" t="str">
        <x:v>Bootstrap y escenas</x:v>
      </x:c>
      <x:c r="C90" s="24" t="str">
        <x:v>P2</x:v>
      </x:c>
      <x:c r="D90" s="24" t="str">
        <x:v>Sprint 17 / H6</x:v>
      </x:c>
      <x:c r="E90" s="24" t="str">
        <x:v>TestLab no aparece en producción.</x:v>
      </x:c>
      <x:c r="F90" s="24" t="n">
        <x:f>COUNTIF('03_Casos_Prueba'!$D$5:$D$254,A90)</x:f>
        <x:v>1</x:v>
      </x:c>
      <x:c r="G90" s="24" t="n">
        <x:f>COUNTIFS('03_Casos_Prueba'!$D$5:$D$254,A90,'03_Casos_Prueba'!$R$5:$R$254,"Ready")</x:f>
        <x:v>1</x:v>
      </x:c>
      <x:c r="H90" s="24" t="n">
        <x:f>COUNTIF('11_Ejecuciones'!$F$5:$F$521,A90)</x:f>
        <x:v>1</x:v>
      </x:c>
      <x:c r="I90" s="24" t="n">
        <x:f>COUNTIFS('11_Ejecuciones'!$F$5:$F$521,A90,'11_Ejecuciones'!$I$5:$I$521,"PASS")+COUNTIFS('11_Ejecuciones'!$F$5:$F$521,A90,'11_Ejecuciones'!$I$5:$I$521,"Baseline PASS")</x:f>
        <x:v>0</x:v>
      </x:c>
      <x:c r="J90" s="24" t="n">
        <x:f>COUNTIFS('11_Ejecuciones'!$F$5:$F$521,A90,'11_Ejecuciones'!$I$5:$I$521,"FAIL")+COUNTIFS('11_Ejecuciones'!$F$5:$F$521,A90,'11_Ejecuciones'!$I$5:$I$521,"BLOCKED")</x:f>
        <x:v>0</x:v>
      </x:c>
      <x:c r="K90" s="32" t="n">
        <x:f>IF(F90=0,0,MIN(1,G90/F90))</x:f>
        <x:v>1</x:v>
      </x:c>
      <x:c r="L90" s="24" t="str">
        <x:f>IF(F90=0,"SIN CASO",IF(J90&gt;0,"FALLO/BLOQUEO",IF(I90&gt;0,"EJECUTADO","PENDIENTE")))</x:f>
        <x:v>PENDIENTE</x:v>
      </x:c>
    </x:row>
    <x:row r="91">
      <x:c r="A91" s="24" t="str">
        <x:v>UX-BOOT-005</x:v>
      </x:c>
      <x:c r="B91" s="24" t="str">
        <x:v>Bootstrap y escenas</x:v>
      </x:c>
      <x:c r="C91" s="24" t="str">
        <x:v>P2</x:v>
      </x:c>
      <x:c r="D91" s="24" t="str">
        <x:v>Sprint 17 / H6</x:v>
      </x:c>
      <x:c r="E91" s="24" t="str">
        <x:v>Un fallo de carga ofrece recuperación segura.</x:v>
      </x:c>
      <x:c r="F91" s="24" t="n">
        <x:f>COUNTIF('03_Casos_Prueba'!$D$5:$D$254,A91)</x:f>
        <x:v>1</x:v>
      </x:c>
      <x:c r="G91" s="24" t="n">
        <x:f>COUNTIFS('03_Casos_Prueba'!$D$5:$D$254,A91,'03_Casos_Prueba'!$R$5:$R$254,"Ready")</x:f>
        <x:v>1</x:v>
      </x:c>
      <x:c r="H91" s="24" t="n">
        <x:f>COUNTIF('11_Ejecuciones'!$F$5:$F$521,A91)</x:f>
        <x:v>1</x:v>
      </x:c>
      <x:c r="I91" s="24" t="n">
        <x:f>COUNTIFS('11_Ejecuciones'!$F$5:$F$521,A91,'11_Ejecuciones'!$I$5:$I$521,"PASS")+COUNTIFS('11_Ejecuciones'!$F$5:$F$521,A91,'11_Ejecuciones'!$I$5:$I$521,"Baseline PASS")</x:f>
        <x:v>0</x:v>
      </x:c>
      <x:c r="J91" s="24" t="n">
        <x:f>COUNTIFS('11_Ejecuciones'!$F$5:$F$521,A91,'11_Ejecuciones'!$I$5:$I$521,"FAIL")+COUNTIFS('11_Ejecuciones'!$F$5:$F$521,A91,'11_Ejecuciones'!$I$5:$I$521,"BLOCKED")</x:f>
        <x:v>0</x:v>
      </x:c>
      <x:c r="K91" s="32" t="n">
        <x:f>IF(F91=0,0,MIN(1,G91/F91))</x:f>
        <x:v>1</x:v>
      </x:c>
      <x:c r="L91" s="24" t="str">
        <x:f>IF(F91=0,"SIN CASO",IF(J91&gt;0,"FALLO/BLOQUEO",IF(I91&gt;0,"EJECUTADO","PENDIENTE")))</x:f>
        <x:v>PENDIENTE</x:v>
      </x:c>
    </x:row>
    <x:row r="92">
      <x:c r="A92" s="24" t="str">
        <x:v>UX-BOOT-006</x:v>
      </x:c>
      <x:c r="B92" s="24" t="str">
        <x:v>Bootstrap y escenas</x:v>
      </x:c>
      <x:c r="C92" s="24" t="str">
        <x:v>P2</x:v>
      </x:c>
      <x:c r="D92" s="24" t="str">
        <x:v>Sprint 17 / H6</x:v>
      </x:c>
      <x:c r="E92" s="24" t="str">
        <x:v>El clic de cierre de loading no mueve al jugador.</x:v>
      </x:c>
      <x:c r="F92" s="24" t="n">
        <x:f>COUNTIF('03_Casos_Prueba'!$D$5:$D$254,A92)</x:f>
        <x:v>1</x:v>
      </x:c>
      <x:c r="G92" s="24" t="n">
        <x:f>COUNTIFS('03_Casos_Prueba'!$D$5:$D$254,A92,'03_Casos_Prueba'!$R$5:$R$254,"Ready")</x:f>
        <x:v>1</x:v>
      </x:c>
      <x:c r="H92" s="24" t="n">
        <x:f>COUNTIF('11_Ejecuciones'!$F$5:$F$521,A92)</x:f>
        <x:v>1</x:v>
      </x:c>
      <x:c r="I92" s="24" t="n">
        <x:f>COUNTIFS('11_Ejecuciones'!$F$5:$F$521,A92,'11_Ejecuciones'!$I$5:$I$521,"PASS")+COUNTIFS('11_Ejecuciones'!$F$5:$F$521,A92,'11_Ejecuciones'!$I$5:$I$521,"Baseline PASS")</x:f>
        <x:v>0</x:v>
      </x:c>
      <x:c r="J92" s="24" t="n">
        <x:f>COUNTIFS('11_Ejecuciones'!$F$5:$F$521,A92,'11_Ejecuciones'!$I$5:$I$521,"FAIL")+COUNTIFS('11_Ejecuciones'!$F$5:$F$521,A92,'11_Ejecuciones'!$I$5:$I$521,"BLOCKED")</x:f>
        <x:v>0</x:v>
      </x:c>
      <x:c r="K92" s="32" t="n">
        <x:f>IF(F92=0,0,MIN(1,G92/F92))</x:f>
        <x:v>1</x:v>
      </x:c>
      <x:c r="L92" s="24" t="str">
        <x:f>IF(F92=0,"SIN CASO",IF(J92&gt;0,"FALLO/BLOQUEO",IF(I92&gt;0,"EJECUTADO","PENDIENTE")))</x:f>
        <x:v>PENDIENTE</x:v>
      </x:c>
    </x:row>
    <x:row r="93">
      <x:c r="A93" s="24" t="str">
        <x:v>UX-SLOT-001</x:v>
      </x:c>
      <x:c r="B93" s="24" t="str">
        <x:v>Slots y persistencia</x:v>
      </x:c>
      <x:c r="C93" s="24" t="str">
        <x:v>P2</x:v>
      </x:c>
      <x:c r="D93" s="24" t="str">
        <x:v>Sprint 17 / H6</x:v>
      </x:c>
      <x:c r="E93" s="24" t="str">
        <x:v>Un slot vacío ofrece nueva partida.</x:v>
      </x:c>
      <x:c r="F93" s="24" t="n">
        <x:f>COUNTIF('03_Casos_Prueba'!$D$5:$D$254,A93)</x:f>
        <x:v>1</x:v>
      </x:c>
      <x:c r="G93" s="24" t="n">
        <x:f>COUNTIFS('03_Casos_Prueba'!$D$5:$D$254,A93,'03_Casos_Prueba'!$R$5:$R$254,"Ready")</x:f>
        <x:v>1</x:v>
      </x:c>
      <x:c r="H93" s="24" t="n">
        <x:f>COUNTIF('11_Ejecuciones'!$F$5:$F$521,A93)</x:f>
        <x:v>1</x:v>
      </x:c>
      <x:c r="I93" s="24" t="n">
        <x:f>COUNTIFS('11_Ejecuciones'!$F$5:$F$521,A93,'11_Ejecuciones'!$I$5:$I$521,"PASS")+COUNTIFS('11_Ejecuciones'!$F$5:$F$521,A93,'11_Ejecuciones'!$I$5:$I$521,"Baseline PASS")</x:f>
        <x:v>0</x:v>
      </x:c>
      <x:c r="J93" s="24" t="n">
        <x:f>COUNTIFS('11_Ejecuciones'!$F$5:$F$521,A93,'11_Ejecuciones'!$I$5:$I$521,"FAIL")+COUNTIFS('11_Ejecuciones'!$F$5:$F$521,A93,'11_Ejecuciones'!$I$5:$I$521,"BLOCKED")</x:f>
        <x:v>0</x:v>
      </x:c>
      <x:c r="K93" s="32" t="n">
        <x:f>IF(F93=0,0,MIN(1,G93/F93))</x:f>
        <x:v>1</x:v>
      </x:c>
      <x:c r="L93" s="24" t="str">
        <x:f>IF(F93=0,"SIN CASO",IF(J93&gt;0,"FALLO/BLOQUEO",IF(I93&gt;0,"EJECUTADO","PENDIENTE")))</x:f>
        <x:v>PENDIENTE</x:v>
      </x:c>
    </x:row>
    <x:row r="94">
      <x:c r="A94" s="24" t="str">
        <x:v>UX-SLOT-002</x:v>
      </x:c>
      <x:c r="B94" s="24" t="str">
        <x:v>Slots y persistencia</x:v>
      </x:c>
      <x:c r="C94" s="24" t="str">
        <x:v>P2</x:v>
      </x:c>
      <x:c r="D94" s="24" t="str">
        <x:v>Sprint 17 / H6</x:v>
      </x:c>
      <x:c r="E94" s="24" t="str">
        <x:v>Un slot válido muestra información suficiente.</x:v>
      </x:c>
      <x:c r="F94" s="24" t="n">
        <x:f>COUNTIF('03_Casos_Prueba'!$D$5:$D$254,A94)</x:f>
        <x:v>1</x:v>
      </x:c>
      <x:c r="G94" s="24" t="n">
        <x:f>COUNTIFS('03_Casos_Prueba'!$D$5:$D$254,A94,'03_Casos_Prueba'!$R$5:$R$254,"Ready")</x:f>
        <x:v>1</x:v>
      </x:c>
      <x:c r="H94" s="24" t="n">
        <x:f>COUNTIF('11_Ejecuciones'!$F$5:$F$521,A94)</x:f>
        <x:v>1</x:v>
      </x:c>
      <x:c r="I94" s="24" t="n">
        <x:f>COUNTIFS('11_Ejecuciones'!$F$5:$F$521,A94,'11_Ejecuciones'!$I$5:$I$521,"PASS")+COUNTIFS('11_Ejecuciones'!$F$5:$F$521,A94,'11_Ejecuciones'!$I$5:$I$521,"Baseline PASS")</x:f>
        <x:v>0</x:v>
      </x:c>
      <x:c r="J94" s="24" t="n">
        <x:f>COUNTIFS('11_Ejecuciones'!$F$5:$F$521,A94,'11_Ejecuciones'!$I$5:$I$521,"FAIL")+COUNTIFS('11_Ejecuciones'!$F$5:$F$521,A94,'11_Ejecuciones'!$I$5:$I$521,"BLOCKED")</x:f>
        <x:v>0</x:v>
      </x:c>
      <x:c r="K94" s="32" t="n">
        <x:f>IF(F94=0,0,MIN(1,G94/F94))</x:f>
        <x:v>1</x:v>
      </x:c>
      <x:c r="L94" s="24" t="str">
        <x:f>IF(F94=0,"SIN CASO",IF(J94&gt;0,"FALLO/BLOQUEO",IF(I94&gt;0,"EJECUTADO","PENDIENTE")))</x:f>
        <x:v>PENDIENTE</x:v>
      </x:c>
    </x:row>
    <x:row r="95">
      <x:c r="A95" s="24" t="str">
        <x:v>UX-SLOT-003</x:v>
      </x:c>
      <x:c r="B95" s="24" t="str">
        <x:v>Slots y persistencia</x:v>
      </x:c>
      <x:c r="C95" s="24" t="str">
        <x:v>P2</x:v>
      </x:c>
      <x:c r="D95" s="24" t="str">
        <x:v>Sprint 17 / H6</x:v>
      </x:c>
      <x:c r="E95" s="24" t="str">
        <x:v>Reemplazar exige confirmación inequívoca.</x:v>
      </x:c>
      <x:c r="F95" s="24" t="n">
        <x:f>COUNTIF('03_Casos_Prueba'!$D$5:$D$254,A95)</x:f>
        <x:v>1</x:v>
      </x:c>
      <x:c r="G95" s="24" t="n">
        <x:f>COUNTIFS('03_Casos_Prueba'!$D$5:$D$254,A95,'03_Casos_Prueba'!$R$5:$R$254,"Ready")</x:f>
        <x:v>1</x:v>
      </x:c>
      <x:c r="H95" s="24" t="n">
        <x:f>COUNTIF('11_Ejecuciones'!$F$5:$F$521,A95)</x:f>
        <x:v>1</x:v>
      </x:c>
      <x:c r="I95" s="24" t="n">
        <x:f>COUNTIFS('11_Ejecuciones'!$F$5:$F$521,A95,'11_Ejecuciones'!$I$5:$I$521,"PASS")+COUNTIFS('11_Ejecuciones'!$F$5:$F$521,A95,'11_Ejecuciones'!$I$5:$I$521,"Baseline PASS")</x:f>
        <x:v>0</x:v>
      </x:c>
      <x:c r="J95" s="24" t="n">
        <x:f>COUNTIFS('11_Ejecuciones'!$F$5:$F$521,A95,'11_Ejecuciones'!$I$5:$I$521,"FAIL")+COUNTIFS('11_Ejecuciones'!$F$5:$F$521,A95,'11_Ejecuciones'!$I$5:$I$521,"BLOCKED")</x:f>
        <x:v>0</x:v>
      </x:c>
      <x:c r="K95" s="32" t="n">
        <x:f>IF(F95=0,0,MIN(1,G95/F95))</x:f>
        <x:v>1</x:v>
      </x:c>
      <x:c r="L95" s="24" t="str">
        <x:f>IF(F95=0,"SIN CASO",IF(J95&gt;0,"FALLO/BLOQUEO",IF(I95&gt;0,"EJECUTADO","PENDIENTE")))</x:f>
        <x:v>PENDIENTE</x:v>
      </x:c>
    </x:row>
    <x:row r="96">
      <x:c r="A96" s="24" t="str">
        <x:v>UX-SLOT-004</x:v>
      </x:c>
      <x:c r="B96" s="24" t="str">
        <x:v>Slots y persistencia</x:v>
      </x:c>
      <x:c r="C96" s="24" t="str">
        <x:v>P2</x:v>
      </x:c>
      <x:c r="D96" s="24" t="str">
        <x:v>Sprint 17 / H6</x:v>
      </x:c>
      <x:c r="E96" s="24" t="str">
        <x:v>Borrar exige confirmación.</x:v>
      </x:c>
      <x:c r="F96" s="24" t="n">
        <x:f>COUNTIF('03_Casos_Prueba'!$D$5:$D$254,A96)</x:f>
        <x:v>1</x:v>
      </x:c>
      <x:c r="G96" s="24" t="n">
        <x:f>COUNTIFS('03_Casos_Prueba'!$D$5:$D$254,A96,'03_Casos_Prueba'!$R$5:$R$254,"Ready")</x:f>
        <x:v>1</x:v>
      </x:c>
      <x:c r="H96" s="24" t="n">
        <x:f>COUNTIF('11_Ejecuciones'!$F$5:$F$521,A96)</x:f>
        <x:v>1</x:v>
      </x:c>
      <x:c r="I96" s="24" t="n">
        <x:f>COUNTIFS('11_Ejecuciones'!$F$5:$F$521,A96,'11_Ejecuciones'!$I$5:$I$521,"PASS")+COUNTIFS('11_Ejecuciones'!$F$5:$F$521,A96,'11_Ejecuciones'!$I$5:$I$521,"Baseline PASS")</x:f>
        <x:v>0</x:v>
      </x:c>
      <x:c r="J96" s="24" t="n">
        <x:f>COUNTIFS('11_Ejecuciones'!$F$5:$F$521,A96,'11_Ejecuciones'!$I$5:$I$521,"FAIL")+COUNTIFS('11_Ejecuciones'!$F$5:$F$521,A96,'11_Ejecuciones'!$I$5:$I$521,"BLOCKED")</x:f>
        <x:v>0</x:v>
      </x:c>
      <x:c r="K96" s="32" t="n">
        <x:f>IF(F96=0,0,MIN(1,G96/F96))</x:f>
        <x:v>1</x:v>
      </x:c>
      <x:c r="L96" s="24" t="str">
        <x:f>IF(F96=0,"SIN CASO",IF(J96&gt;0,"FALLO/BLOQUEO",IF(I96&gt;0,"EJECUTADO","PENDIENTE")))</x:f>
        <x:v>PENDIENTE</x:v>
      </x:c>
    </x:row>
    <x:row r="97">
      <x:c r="A97" s="24" t="str">
        <x:v>UX-SLOT-005</x:v>
      </x:c>
      <x:c r="B97" s="24" t="str">
        <x:v>Slots y persistencia</x:v>
      </x:c>
      <x:c r="C97" s="24" t="str">
        <x:v>P2</x:v>
      </x:c>
      <x:c r="D97" s="24" t="str">
        <x:v>Sprint 17 / H6</x:v>
      </x:c>
      <x:c r="E97" s="24" t="str">
        <x:v>El backup se ofrece cuando el primario falla.</x:v>
      </x:c>
      <x:c r="F97" s="24" t="n">
        <x:f>COUNTIF('03_Casos_Prueba'!$D$5:$D$254,A97)</x:f>
        <x:v>1</x:v>
      </x:c>
      <x:c r="G97" s="24" t="n">
        <x:f>COUNTIFS('03_Casos_Prueba'!$D$5:$D$254,A97,'03_Casos_Prueba'!$R$5:$R$254,"Ready")</x:f>
        <x:v>1</x:v>
      </x:c>
      <x:c r="H97" s="24" t="n">
        <x:f>COUNTIF('11_Ejecuciones'!$F$5:$F$521,A97)</x:f>
        <x:v>1</x:v>
      </x:c>
      <x:c r="I97" s="24" t="n">
        <x:f>COUNTIFS('11_Ejecuciones'!$F$5:$F$521,A97,'11_Ejecuciones'!$I$5:$I$521,"PASS")+COUNTIFS('11_Ejecuciones'!$F$5:$F$521,A97,'11_Ejecuciones'!$I$5:$I$521,"Baseline PASS")</x:f>
        <x:v>0</x:v>
      </x:c>
      <x:c r="J97" s="24" t="n">
        <x:f>COUNTIFS('11_Ejecuciones'!$F$5:$F$521,A97,'11_Ejecuciones'!$I$5:$I$521,"FAIL")+COUNTIFS('11_Ejecuciones'!$F$5:$F$521,A97,'11_Ejecuciones'!$I$5:$I$521,"BLOCKED")</x:f>
        <x:v>0</x:v>
      </x:c>
      <x:c r="K97" s="32" t="n">
        <x:f>IF(F97=0,0,MIN(1,G97/F97))</x:f>
        <x:v>1</x:v>
      </x:c>
      <x:c r="L97" s="24" t="str">
        <x:f>IF(F97=0,"SIN CASO",IF(J97&gt;0,"FALLO/BLOQUEO",IF(I97&gt;0,"EJECUTADO","PENDIENTE")))</x:f>
        <x:v>PENDIENTE</x:v>
      </x:c>
    </x:row>
    <x:row r="98">
      <x:c r="A98" s="24" t="str">
        <x:v>UX-SLOT-006</x:v>
      </x:c>
      <x:c r="B98" s="24" t="str">
        <x:v>Slots y persistencia</x:v>
      </x:c>
      <x:c r="C98" s="24" t="str">
        <x:v>P2</x:v>
      </x:c>
      <x:c r="D98" s="24" t="str">
        <x:v>Sprint 17 / H6</x:v>
      </x:c>
      <x:c r="E98" s="24" t="str">
        <x:v>Un error no sobrescribe el guardado existente.</x:v>
      </x:c>
      <x:c r="F98" s="24" t="n">
        <x:f>COUNTIF('03_Casos_Prueba'!$D$5:$D$254,A98)</x:f>
        <x:v>1</x:v>
      </x:c>
      <x:c r="G98" s="24" t="n">
        <x:f>COUNTIFS('03_Casos_Prueba'!$D$5:$D$254,A98,'03_Casos_Prueba'!$R$5:$R$254,"Ready")</x:f>
        <x:v>1</x:v>
      </x:c>
      <x:c r="H98" s="24" t="n">
        <x:f>COUNTIF('11_Ejecuciones'!$F$5:$F$521,A98)</x:f>
        <x:v>1</x:v>
      </x:c>
      <x:c r="I98" s="24" t="n">
        <x:f>COUNTIFS('11_Ejecuciones'!$F$5:$F$521,A98,'11_Ejecuciones'!$I$5:$I$521,"PASS")+COUNTIFS('11_Ejecuciones'!$F$5:$F$521,A98,'11_Ejecuciones'!$I$5:$I$521,"Baseline PASS")</x:f>
        <x:v>0</x:v>
      </x:c>
      <x:c r="J98" s="24" t="n">
        <x:f>COUNTIFS('11_Ejecuciones'!$F$5:$F$521,A98,'11_Ejecuciones'!$I$5:$I$521,"FAIL")+COUNTIFS('11_Ejecuciones'!$F$5:$F$521,A98,'11_Ejecuciones'!$I$5:$I$521,"BLOCKED")</x:f>
        <x:v>0</x:v>
      </x:c>
      <x:c r="K98" s="32" t="n">
        <x:f>IF(F98=0,0,MIN(1,G98/F98))</x:f>
        <x:v>1</x:v>
      </x:c>
      <x:c r="L98" s="24" t="str">
        <x:f>IF(F98=0,"SIN CASO",IF(J98&gt;0,"FALLO/BLOQUEO",IF(I98&gt;0,"EJECUTADO","PENDIENTE")))</x:f>
        <x:v>PENDIENTE</x:v>
      </x:c>
    </x:row>
    <x:row r="99">
      <x:c r="A99" s="24" t="str">
        <x:v>UX-SLOT-007</x:v>
      </x:c>
      <x:c r="B99" s="24" t="str">
        <x:v>Slots y persistencia</x:v>
      </x:c>
      <x:c r="C99" s="24" t="str">
        <x:v>P2</x:v>
      </x:c>
      <x:c r="D99" s="24" t="str">
        <x:v>Sprint 17 / H6</x:v>
      </x:c>
      <x:c r="E99" s="24" t="str">
        <x:v>La carga no finaliza antes de restaurar escena y estado.</x:v>
      </x:c>
      <x:c r="F99" s="24" t="n">
        <x:f>COUNTIF('03_Casos_Prueba'!$D$5:$D$254,A99)</x:f>
        <x:v>1</x:v>
      </x:c>
      <x:c r="G99" s="24" t="n">
        <x:f>COUNTIFS('03_Casos_Prueba'!$D$5:$D$254,A99,'03_Casos_Prueba'!$R$5:$R$254,"Ready")</x:f>
        <x:v>1</x:v>
      </x:c>
      <x:c r="H99" s="24" t="n">
        <x:f>COUNTIF('11_Ejecuciones'!$F$5:$F$521,A99)</x:f>
        <x:v>1</x:v>
      </x:c>
      <x:c r="I99" s="24" t="n">
        <x:f>COUNTIFS('11_Ejecuciones'!$F$5:$F$521,A99,'11_Ejecuciones'!$I$5:$I$521,"PASS")+COUNTIFS('11_Ejecuciones'!$F$5:$F$521,A99,'11_Ejecuciones'!$I$5:$I$521,"Baseline PASS")</x:f>
        <x:v>0</x:v>
      </x:c>
      <x:c r="J99" s="24" t="n">
        <x:f>COUNTIFS('11_Ejecuciones'!$F$5:$F$521,A99,'11_Ejecuciones'!$I$5:$I$521,"FAIL")+COUNTIFS('11_Ejecuciones'!$F$5:$F$521,A99,'11_Ejecuciones'!$I$5:$I$521,"BLOCKED")</x:f>
        <x:v>0</x:v>
      </x:c>
      <x:c r="K99" s="32" t="n">
        <x:f>IF(F99=0,0,MIN(1,G99/F99))</x:f>
        <x:v>1</x:v>
      </x:c>
      <x:c r="L99" s="24" t="str">
        <x:f>IF(F99=0,"SIN CASO",IF(J99&gt;0,"FALLO/BLOQUEO",IF(I99&gt;0,"EJECUTADO","PENDIENTE")))</x:f>
        <x:v>PENDIENTE</x:v>
      </x:c>
    </x:row>
    <x:row r="100">
      <x:c r="A100" s="24" t="str">
        <x:v>UX-INP-001</x:v>
      </x:c>
      <x:c r="B100" s="24" t="str">
        <x:v>Input</x:v>
      </x:c>
      <x:c r="C100" s="24" t="str">
        <x:v>P1</x:v>
      </x:c>
      <x:c r="D100" s="24" t="str">
        <x:v>Sprint 17 / H6</x:v>
      </x:c>
      <x:c r="E100" s="24" t="str">
        <x:v>UI y mundo no procesan el mismo clic.</x:v>
      </x:c>
      <x:c r="F100" s="24" t="n">
        <x:f>COUNTIF('03_Casos_Prueba'!$D$5:$D$254,A100)</x:f>
        <x:v>1</x:v>
      </x:c>
      <x:c r="G100" s="24" t="n">
        <x:f>COUNTIFS('03_Casos_Prueba'!$D$5:$D$254,A100,'03_Casos_Prueba'!$R$5:$R$254,"Ready")</x:f>
        <x:v>1</x:v>
      </x:c>
      <x:c r="H100" s="24" t="n">
        <x:f>COUNTIF('11_Ejecuciones'!$F$5:$F$521,A100)</x:f>
        <x:v>1</x:v>
      </x:c>
      <x:c r="I100" s="24" t="n">
        <x:f>COUNTIFS('11_Ejecuciones'!$F$5:$F$521,A100,'11_Ejecuciones'!$I$5:$I$521,"PASS")+COUNTIFS('11_Ejecuciones'!$F$5:$F$521,A100,'11_Ejecuciones'!$I$5:$I$521,"Baseline PASS")</x:f>
        <x:v>0</x:v>
      </x:c>
      <x:c r="J100" s="24" t="n">
        <x:f>COUNTIFS('11_Ejecuciones'!$F$5:$F$521,A100,'11_Ejecuciones'!$I$5:$I$521,"FAIL")+COUNTIFS('11_Ejecuciones'!$F$5:$F$521,A100,'11_Ejecuciones'!$I$5:$I$521,"BLOCKED")</x:f>
        <x:v>0</x:v>
      </x:c>
      <x:c r="K100" s="32" t="n">
        <x:f>IF(F100=0,0,MIN(1,G100/F100))</x:f>
        <x:v>1</x:v>
      </x:c>
      <x:c r="L100" s="24" t="str">
        <x:f>IF(F100=0,"SIN CASO",IF(J100&gt;0,"FALLO/BLOQUEO",IF(I100&gt;0,"EJECUTADO","PENDIENTE")))</x:f>
        <x:v>PENDIENTE</x:v>
      </x:c>
    </x:row>
    <x:row r="101">
      <x:c r="A101" s="24" t="str">
        <x:v>UX-INP-002</x:v>
      </x:c>
      <x:c r="B101" s="24" t="str">
        <x:v>Input</x:v>
      </x:c>
      <x:c r="C101" s="24" t="str">
        <x:v>P1</x:v>
      </x:c>
      <x:c r="D101" s="24" t="str">
        <x:v>Sprint 17 / H6</x:v>
      </x:c>
      <x:c r="E101" s="24" t="str">
        <x:v>Solo un contexto captura input principal.</x:v>
      </x:c>
      <x:c r="F101" s="24" t="n">
        <x:f>COUNTIF('03_Casos_Prueba'!$D$5:$D$254,A101)</x:f>
        <x:v>1</x:v>
      </x:c>
      <x:c r="G101" s="24" t="n">
        <x:f>COUNTIFS('03_Casos_Prueba'!$D$5:$D$254,A101,'03_Casos_Prueba'!$R$5:$R$254,"Ready")</x:f>
        <x:v>1</x:v>
      </x:c>
      <x:c r="H101" s="24" t="n">
        <x:f>COUNTIF('11_Ejecuciones'!$F$5:$F$521,A101)</x:f>
        <x:v>1</x:v>
      </x:c>
      <x:c r="I101" s="24" t="n">
        <x:f>COUNTIFS('11_Ejecuciones'!$F$5:$F$521,A101,'11_Ejecuciones'!$I$5:$I$521,"PASS")+COUNTIFS('11_Ejecuciones'!$F$5:$F$521,A101,'11_Ejecuciones'!$I$5:$I$521,"Baseline PASS")</x:f>
        <x:v>0</x:v>
      </x:c>
      <x:c r="J101" s="24" t="n">
        <x:f>COUNTIFS('11_Ejecuciones'!$F$5:$F$521,A101,'11_Ejecuciones'!$I$5:$I$521,"FAIL")+COUNTIFS('11_Ejecuciones'!$F$5:$F$521,A101,'11_Ejecuciones'!$I$5:$I$521,"BLOCKED")</x:f>
        <x:v>0</x:v>
      </x:c>
      <x:c r="K101" s="32" t="n">
        <x:f>IF(F101=0,0,MIN(1,G101/F101))</x:f>
        <x:v>1</x:v>
      </x:c>
      <x:c r="L101" s="24" t="str">
        <x:f>IF(F101=0,"SIN CASO",IF(J101&gt;0,"FALLO/BLOQUEO",IF(I101&gt;0,"EJECUTADO","PENDIENTE")))</x:f>
        <x:v>PENDIENTE</x:v>
      </x:c>
    </x:row>
    <x:row r="102">
      <x:c r="A102" s="24" t="str">
        <x:v>UX-INP-003</x:v>
      </x:c>
      <x:c r="B102" s="24" t="str">
        <x:v>Input</x:v>
      </x:c>
      <x:c r="C102" s="24" t="str">
        <x:v>P1</x:v>
      </x:c>
      <x:c r="D102" s="24" t="str">
        <x:v>Sprint 17 / H6</x:v>
      </x:c>
      <x:c r="E102" s="24" t="str">
        <x:v>Escape resuelve primero el contexto más profundo.</x:v>
      </x:c>
      <x:c r="F102" s="24" t="n">
        <x:f>COUNTIF('03_Casos_Prueba'!$D$5:$D$254,A102)</x:f>
        <x:v>1</x:v>
      </x:c>
      <x:c r="G102" s="24" t="n">
        <x:f>COUNTIFS('03_Casos_Prueba'!$D$5:$D$254,A102,'03_Casos_Prueba'!$R$5:$R$254,"Ready")</x:f>
        <x:v>1</x:v>
      </x:c>
      <x:c r="H102" s="24" t="n">
        <x:f>COUNTIF('11_Ejecuciones'!$F$5:$F$521,A102)</x:f>
        <x:v>1</x:v>
      </x:c>
      <x:c r="I102" s="24" t="n">
        <x:f>COUNTIFS('11_Ejecuciones'!$F$5:$F$521,A102,'11_Ejecuciones'!$I$5:$I$521,"PASS")+COUNTIFS('11_Ejecuciones'!$F$5:$F$521,A102,'11_Ejecuciones'!$I$5:$I$521,"Baseline PASS")</x:f>
        <x:v>0</x:v>
      </x:c>
      <x:c r="J102" s="24" t="n">
        <x:f>COUNTIFS('11_Ejecuciones'!$F$5:$F$521,A102,'11_Ejecuciones'!$I$5:$I$521,"FAIL")+COUNTIFS('11_Ejecuciones'!$F$5:$F$521,A102,'11_Ejecuciones'!$I$5:$I$521,"BLOCKED")</x:f>
        <x:v>0</x:v>
      </x:c>
      <x:c r="K102" s="32" t="n">
        <x:f>IF(F102=0,0,MIN(1,G102/F102))</x:f>
        <x:v>1</x:v>
      </x:c>
      <x:c r="L102" s="24" t="str">
        <x:f>IF(F102=0,"SIN CASO",IF(J102&gt;0,"FALLO/BLOQUEO",IF(I102&gt;0,"EJECUTADO","PENDIENTE")))</x:f>
        <x:v>PENDIENTE</x:v>
      </x:c>
    </x:row>
    <x:row r="103">
      <x:c r="A103" s="24" t="str">
        <x:v>UX-INP-004</x:v>
      </x:c>
      <x:c r="B103" s="24" t="str">
        <x:v>Input</x:v>
      </x:c>
      <x:c r="C103" s="24" t="str">
        <x:v>P1</x:v>
      </x:c>
      <x:c r="D103" s="24" t="str">
        <x:v>Sprint 17 / H6</x:v>
      </x:c>
      <x:c r="E103" s="24" t="str">
        <x:v>Pausa impide mutaciones de gameplay.</x:v>
      </x:c>
      <x:c r="F103" s="24" t="n">
        <x:f>COUNTIF('03_Casos_Prueba'!$D$5:$D$254,A103)</x:f>
        <x:v>1</x:v>
      </x:c>
      <x:c r="G103" s="24" t="n">
        <x:f>COUNTIFS('03_Casos_Prueba'!$D$5:$D$254,A103,'03_Casos_Prueba'!$R$5:$R$254,"Ready")</x:f>
        <x:v>1</x:v>
      </x:c>
      <x:c r="H103" s="24" t="n">
        <x:f>COUNTIF('11_Ejecuciones'!$F$5:$F$521,A103)</x:f>
        <x:v>1</x:v>
      </x:c>
      <x:c r="I103" s="24" t="n">
        <x:f>COUNTIFS('11_Ejecuciones'!$F$5:$F$521,A103,'11_Ejecuciones'!$I$5:$I$521,"PASS")+COUNTIFS('11_Ejecuciones'!$F$5:$F$521,A103,'11_Ejecuciones'!$I$5:$I$521,"Baseline PASS")</x:f>
        <x:v>0</x:v>
      </x:c>
      <x:c r="J103" s="24" t="n">
        <x:f>COUNTIFS('11_Ejecuciones'!$F$5:$F$521,A103,'11_Ejecuciones'!$I$5:$I$521,"FAIL")+COUNTIFS('11_Ejecuciones'!$F$5:$F$521,A103,'11_Ejecuciones'!$I$5:$I$521,"BLOCKED")</x:f>
        <x:v>0</x:v>
      </x:c>
      <x:c r="K103" s="32" t="n">
        <x:f>IF(F103=0,0,MIN(1,G103/F103))</x:f>
        <x:v>1</x:v>
      </x:c>
      <x:c r="L103" s="24" t="str">
        <x:f>IF(F103=0,"SIN CASO",IF(J103&gt;0,"FALLO/BLOQUEO",IF(I103&gt;0,"EJECUTADO","PENDIENTE")))</x:f>
        <x:v>PENDIENTE</x:v>
      </x:c>
    </x:row>
    <x:row r="104">
      <x:c r="A104" s="24" t="str">
        <x:v>UX-INP-005</x:v>
      </x:c>
      <x:c r="B104" s="24" t="str">
        <x:v>Input</x:v>
      </x:c>
      <x:c r="C104" s="24" t="str">
        <x:v>P1</x:v>
      </x:c>
      <x:c r="D104" s="24" t="str">
        <x:v>Sprint 17 / H6</x:v>
      </x:c>
      <x:c r="E104" s="24" t="str">
        <x:v>Las instrucciones muestran bindings vigentes.</x:v>
      </x:c>
      <x:c r="F104" s="24" t="n">
        <x:f>COUNTIF('03_Casos_Prueba'!$D$5:$D$254,A104)</x:f>
        <x:v>1</x:v>
      </x:c>
      <x:c r="G104" s="24" t="n">
        <x:f>COUNTIFS('03_Casos_Prueba'!$D$5:$D$254,A104,'03_Casos_Prueba'!$R$5:$R$254,"Ready")</x:f>
        <x:v>1</x:v>
      </x:c>
      <x:c r="H104" s="24" t="n">
        <x:f>COUNTIF('11_Ejecuciones'!$F$5:$F$521,A104)</x:f>
        <x:v>1</x:v>
      </x:c>
      <x:c r="I104" s="24" t="n">
        <x:f>COUNTIFS('11_Ejecuciones'!$F$5:$F$521,A104,'11_Ejecuciones'!$I$5:$I$521,"PASS")+COUNTIFS('11_Ejecuciones'!$F$5:$F$521,A104,'11_Ejecuciones'!$I$5:$I$521,"Baseline PASS")</x:f>
        <x:v>0</x:v>
      </x:c>
      <x:c r="J104" s="24" t="n">
        <x:f>COUNTIFS('11_Ejecuciones'!$F$5:$F$521,A104,'11_Ejecuciones'!$I$5:$I$521,"FAIL")+COUNTIFS('11_Ejecuciones'!$F$5:$F$521,A104,'11_Ejecuciones'!$I$5:$I$521,"BLOCKED")</x:f>
        <x:v>0</x:v>
      </x:c>
      <x:c r="K104" s="32" t="n">
        <x:f>IF(F104=0,0,MIN(1,G104/F104))</x:f>
        <x:v>1</x:v>
      </x:c>
      <x:c r="L104" s="24" t="str">
        <x:f>IF(F104=0,"SIN CASO",IF(J104&gt;0,"FALLO/BLOQUEO",IF(I104&gt;0,"EJECUTADO","PENDIENTE")))</x:f>
        <x:v>PENDIENTE</x:v>
      </x:c>
    </x:row>
    <x:row r="105">
      <x:c r="A105" s="24" t="str">
        <x:v>UX-INP-006</x:v>
      </x:c>
      <x:c r="B105" s="24" t="str">
        <x:v>Input</x:v>
      </x:c>
      <x:c r="C105" s="24" t="str">
        <x:v>P1</x:v>
      </x:c>
      <x:c r="D105" s="24" t="str">
        <x:v>Sprint 17 / H6</x:v>
      </x:c>
      <x:c r="E105" s="24" t="str">
        <x:v>La cámara no activa interacciones.</x:v>
      </x:c>
      <x:c r="F105" s="24" t="n">
        <x:f>COUNTIF('03_Casos_Prueba'!$D$5:$D$254,A105)</x:f>
        <x:v>1</x:v>
      </x:c>
      <x:c r="G105" s="24" t="n">
        <x:f>COUNTIFS('03_Casos_Prueba'!$D$5:$D$254,A105,'03_Casos_Prueba'!$R$5:$R$254,"Ready")</x:f>
        <x:v>1</x:v>
      </x:c>
      <x:c r="H105" s="24" t="n">
        <x:f>COUNTIF('11_Ejecuciones'!$F$5:$F$521,A105)</x:f>
        <x:v>1</x:v>
      </x:c>
      <x:c r="I105" s="24" t="n">
        <x:f>COUNTIFS('11_Ejecuciones'!$F$5:$F$521,A105,'11_Ejecuciones'!$I$5:$I$521,"PASS")+COUNTIFS('11_Ejecuciones'!$F$5:$F$521,A105,'11_Ejecuciones'!$I$5:$I$521,"Baseline PASS")</x:f>
        <x:v>0</x:v>
      </x:c>
      <x:c r="J105" s="24" t="n">
        <x:f>COUNTIFS('11_Ejecuciones'!$F$5:$F$521,A105,'11_Ejecuciones'!$I$5:$I$521,"FAIL")+COUNTIFS('11_Ejecuciones'!$F$5:$F$521,A105,'11_Ejecuciones'!$I$5:$I$521,"BLOCKED")</x:f>
        <x:v>0</x:v>
      </x:c>
      <x:c r="K105" s="32" t="n">
        <x:f>IF(F105=0,0,MIN(1,G105/F105))</x:f>
        <x:v>1</x:v>
      </x:c>
      <x:c r="L105" s="24" t="str">
        <x:f>IF(F105=0,"SIN CASO",IF(J105&gt;0,"FALLO/BLOQUEO",IF(I105&gt;0,"EJECUTADO","PENDIENTE")))</x:f>
        <x:v>PENDIENTE</x:v>
      </x:c>
    </x:row>
    <x:row r="106">
      <x:c r="A106" s="24" t="str">
        <x:v>UX-BLD-001</x:v>
      </x:c>
      <x:c r="B106" s="24" t="str">
        <x:v>Construcción</x:v>
      </x:c>
      <x:c r="C106" s="24" t="str">
        <x:v>P1</x:v>
      </x:c>
      <x:c r="D106" s="24" t="str">
        <x:v>Sprint 17 / H6</x:v>
      </x:c>
      <x:c r="E106" s="24" t="str">
        <x:v>Entrar en BuildMode suprime movimiento.</x:v>
      </x:c>
      <x:c r="F106" s="24" t="n">
        <x:f>COUNTIF('03_Casos_Prueba'!$D$5:$D$254,A106)</x:f>
        <x:v>1</x:v>
      </x:c>
      <x:c r="G106" s="24" t="n">
        <x:f>COUNTIFS('03_Casos_Prueba'!$D$5:$D$254,A106,'03_Casos_Prueba'!$R$5:$R$254,"Ready")</x:f>
        <x:v>1</x:v>
      </x:c>
      <x:c r="H106" s="24" t="n">
        <x:f>COUNTIF('11_Ejecuciones'!$F$5:$F$521,A106)</x:f>
        <x:v>1</x:v>
      </x:c>
      <x:c r="I106" s="24" t="n">
        <x:f>COUNTIFS('11_Ejecuciones'!$F$5:$F$521,A106,'11_Ejecuciones'!$I$5:$I$521,"PASS")+COUNTIFS('11_Ejecuciones'!$F$5:$F$521,A106,'11_Ejecuciones'!$I$5:$I$521,"Baseline PASS")</x:f>
        <x:v>0</x:v>
      </x:c>
      <x:c r="J106" s="24" t="n">
        <x:f>COUNTIFS('11_Ejecuciones'!$F$5:$F$521,A106,'11_Ejecuciones'!$I$5:$I$521,"FAIL")+COUNTIFS('11_Ejecuciones'!$F$5:$F$521,A106,'11_Ejecuciones'!$I$5:$I$521,"BLOCKED")</x:f>
        <x:v>0</x:v>
      </x:c>
      <x:c r="K106" s="32" t="n">
        <x:f>IF(F106=0,0,MIN(1,G106/F106))</x:f>
        <x:v>1</x:v>
      </x:c>
      <x:c r="L106" s="24" t="str">
        <x:f>IF(F106=0,"SIN CASO",IF(J106&gt;0,"FALLO/BLOQUEO",IF(I106&gt;0,"EJECUTADO","PENDIENTE")))</x:f>
        <x:v>PENDIENTE</x:v>
      </x:c>
    </x:row>
    <x:row r="107">
      <x:c r="A107" s="24" t="str">
        <x:v>UX-BLD-002</x:v>
      </x:c>
      <x:c r="B107" s="24" t="str">
        <x:v>Construcción</x:v>
      </x:c>
      <x:c r="C107" s="24" t="str">
        <x:v>P1</x:v>
      </x:c>
      <x:c r="D107" s="24" t="str">
        <x:v>Sprint 17 / H6</x:v>
      </x:c>
      <x:c r="E107" s="24" t="str">
        <x:v>Preview coincide con grid y huella.</x:v>
      </x:c>
      <x:c r="F107" s="24" t="n">
        <x:f>COUNTIF('03_Casos_Prueba'!$D$5:$D$254,A107)</x:f>
        <x:v>1</x:v>
      </x:c>
      <x:c r="G107" s="24" t="n">
        <x:f>COUNTIFS('03_Casos_Prueba'!$D$5:$D$254,A107,'03_Casos_Prueba'!$R$5:$R$254,"Ready")</x:f>
        <x:v>1</x:v>
      </x:c>
      <x:c r="H107" s="24" t="n">
        <x:f>COUNTIF('11_Ejecuciones'!$F$5:$F$521,A107)</x:f>
        <x:v>1</x:v>
      </x:c>
      <x:c r="I107" s="24" t="n">
        <x:f>COUNTIFS('11_Ejecuciones'!$F$5:$F$521,A107,'11_Ejecuciones'!$I$5:$I$521,"PASS")+COUNTIFS('11_Ejecuciones'!$F$5:$F$521,A107,'11_Ejecuciones'!$I$5:$I$521,"Baseline PASS")</x:f>
        <x:v>0</x:v>
      </x:c>
      <x:c r="J107" s="24" t="n">
        <x:f>COUNTIFS('11_Ejecuciones'!$F$5:$F$521,A107,'11_Ejecuciones'!$I$5:$I$521,"FAIL")+COUNTIFS('11_Ejecuciones'!$F$5:$F$521,A107,'11_Ejecuciones'!$I$5:$I$521,"BLOCKED")</x:f>
        <x:v>0</x:v>
      </x:c>
      <x:c r="K107" s="32" t="n">
        <x:f>IF(F107=0,0,MIN(1,G107/F107))</x:f>
        <x:v>1</x:v>
      </x:c>
      <x:c r="L107" s="24" t="str">
        <x:f>IF(F107=0,"SIN CASO",IF(J107&gt;0,"FALLO/BLOQUEO",IF(I107&gt;0,"EJECUTADO","PENDIENTE")))</x:f>
        <x:v>PENDIENTE</x:v>
      </x:c>
    </x:row>
    <x:row r="108">
      <x:c r="A108" s="24" t="str">
        <x:v>UX-BLD-003</x:v>
      </x:c>
      <x:c r="B108" s="24" t="str">
        <x:v>Construcción</x:v>
      </x:c>
      <x:c r="C108" s="24" t="str">
        <x:v>P1</x:v>
      </x:c>
      <x:c r="D108" s="24" t="str">
        <x:v>Sprint 17 / H6</x:v>
      </x:c>
      <x:c r="E108" s="24" t="str">
        <x:v>Q/E rota y revalida.</x:v>
      </x:c>
      <x:c r="F108" s="24" t="n">
        <x:f>COUNTIF('03_Casos_Prueba'!$D$5:$D$254,A108)</x:f>
        <x:v>1</x:v>
      </x:c>
      <x:c r="G108" s="24" t="n">
        <x:f>COUNTIFS('03_Casos_Prueba'!$D$5:$D$254,A108,'03_Casos_Prueba'!$R$5:$R$254,"Ready")</x:f>
        <x:v>1</x:v>
      </x:c>
      <x:c r="H108" s="24" t="n">
        <x:f>COUNTIF('11_Ejecuciones'!$F$5:$F$521,A108)</x:f>
        <x:v>1</x:v>
      </x:c>
      <x:c r="I108" s="24" t="n">
        <x:f>COUNTIFS('11_Ejecuciones'!$F$5:$F$521,A108,'11_Ejecuciones'!$I$5:$I$521,"PASS")+COUNTIFS('11_Ejecuciones'!$F$5:$F$521,A108,'11_Ejecuciones'!$I$5:$I$521,"Baseline PASS")</x:f>
        <x:v>0</x:v>
      </x:c>
      <x:c r="J108" s="24" t="n">
        <x:f>COUNTIFS('11_Ejecuciones'!$F$5:$F$521,A108,'11_Ejecuciones'!$I$5:$I$521,"FAIL")+COUNTIFS('11_Ejecuciones'!$F$5:$F$521,A108,'11_Ejecuciones'!$I$5:$I$521,"BLOCKED")</x:f>
        <x:v>0</x:v>
      </x:c>
      <x:c r="K108" s="32" t="n">
        <x:f>IF(F108=0,0,MIN(1,G108/F108))</x:f>
        <x:v>1</x:v>
      </x:c>
      <x:c r="L108" s="24" t="str">
        <x:f>IF(F108=0,"SIN CASO",IF(J108&gt;0,"FALLO/BLOQUEO",IF(I108&gt;0,"EJECUTADO","PENDIENTE")))</x:f>
        <x:v>PENDIENTE</x:v>
      </x:c>
    </x:row>
    <x:row r="109">
      <x:c r="A109" s="24" t="str">
        <x:v>UX-BLD-004</x:v>
      </x:c>
      <x:c r="B109" s="24" t="str">
        <x:v>Construcción</x:v>
      </x:c>
      <x:c r="C109" s="24" t="str">
        <x:v>P1</x:v>
      </x:c>
      <x:c r="D109" s="24" t="str">
        <x:v>Sprint 17 / H6</x:v>
      </x:c>
      <x:c r="E109" s="24" t="str">
        <x:v>Un placement inválido explica causa.</x:v>
      </x:c>
      <x:c r="F109" s="24" t="n">
        <x:f>COUNTIF('03_Casos_Prueba'!$D$5:$D$254,A109)</x:f>
        <x:v>1</x:v>
      </x:c>
      <x:c r="G109" s="24" t="n">
        <x:f>COUNTIFS('03_Casos_Prueba'!$D$5:$D$254,A109,'03_Casos_Prueba'!$R$5:$R$254,"Ready")</x:f>
        <x:v>1</x:v>
      </x:c>
      <x:c r="H109" s="24" t="n">
        <x:f>COUNTIF('11_Ejecuciones'!$F$5:$F$521,A109)</x:f>
        <x:v>1</x:v>
      </x:c>
      <x:c r="I109" s="24" t="n">
        <x:f>COUNTIFS('11_Ejecuciones'!$F$5:$F$521,A109,'11_Ejecuciones'!$I$5:$I$521,"PASS")+COUNTIFS('11_Ejecuciones'!$F$5:$F$521,A109,'11_Ejecuciones'!$I$5:$I$521,"Baseline PASS")</x:f>
        <x:v>0</x:v>
      </x:c>
      <x:c r="J109" s="24" t="n">
        <x:f>COUNTIFS('11_Ejecuciones'!$F$5:$F$521,A109,'11_Ejecuciones'!$I$5:$I$521,"FAIL")+COUNTIFS('11_Ejecuciones'!$F$5:$F$521,A109,'11_Ejecuciones'!$I$5:$I$521,"BLOCKED")</x:f>
        <x:v>0</x:v>
      </x:c>
      <x:c r="K109" s="32" t="n">
        <x:f>IF(F109=0,0,MIN(1,G109/F109))</x:f>
        <x:v>1</x:v>
      </x:c>
      <x:c r="L109" s="24" t="str">
        <x:f>IF(F109=0,"SIN CASO",IF(J109&gt;0,"FALLO/BLOQUEO",IF(I109&gt;0,"EJECUTADO","PENDIENTE")))</x:f>
        <x:v>PENDIENTE</x:v>
      </x:c>
    </x:row>
    <x:row r="110">
      <x:c r="A110" s="24" t="str">
        <x:v>UX-BLD-005</x:v>
      </x:c>
      <x:c r="B110" s="24" t="str">
        <x:v>Construcción</x:v>
      </x:c>
      <x:c r="C110" s="24" t="str">
        <x:v>P1</x:v>
      </x:c>
      <x:c r="D110" s="24" t="str">
        <x:v>Sprint 17 / H6</x:v>
      </x:c>
      <x:c r="E110" s="24" t="str">
        <x:v>Un placement inválido no cobra ni ocupa.</x:v>
      </x:c>
      <x:c r="F110" s="24" t="n">
        <x:f>COUNTIF('03_Casos_Prueba'!$D$5:$D$254,A110)</x:f>
        <x:v>1</x:v>
      </x:c>
      <x:c r="G110" s="24" t="n">
        <x:f>COUNTIFS('03_Casos_Prueba'!$D$5:$D$254,A110,'03_Casos_Prueba'!$R$5:$R$254,"Ready")</x:f>
        <x:v>1</x:v>
      </x:c>
      <x:c r="H110" s="24" t="n">
        <x:f>COUNTIF('11_Ejecuciones'!$F$5:$F$521,A110)</x:f>
        <x:v>1</x:v>
      </x:c>
      <x:c r="I110" s="24" t="n">
        <x:f>COUNTIFS('11_Ejecuciones'!$F$5:$F$521,A110,'11_Ejecuciones'!$I$5:$I$521,"PASS")+COUNTIFS('11_Ejecuciones'!$F$5:$F$521,A110,'11_Ejecuciones'!$I$5:$I$521,"Baseline PASS")</x:f>
        <x:v>0</x:v>
      </x:c>
      <x:c r="J110" s="24" t="n">
        <x:f>COUNTIFS('11_Ejecuciones'!$F$5:$F$521,A110,'11_Ejecuciones'!$I$5:$I$521,"FAIL")+COUNTIFS('11_Ejecuciones'!$F$5:$F$521,A110,'11_Ejecuciones'!$I$5:$I$521,"BLOCKED")</x:f>
        <x:v>0</x:v>
      </x:c>
      <x:c r="K110" s="32" t="n">
        <x:f>IF(F110=0,0,MIN(1,G110/F110))</x:f>
        <x:v>1</x:v>
      </x:c>
      <x:c r="L110" s="24" t="str">
        <x:f>IF(F110=0,"SIN CASO",IF(J110&gt;0,"FALLO/BLOQUEO",IF(I110&gt;0,"EJECUTADO","PENDIENTE")))</x:f>
        <x:v>PENDIENTE</x:v>
      </x:c>
    </x:row>
    <x:row r="111">
      <x:c r="A111" s="24" t="str">
        <x:v>UX-BLD-006</x:v>
      </x:c>
      <x:c r="B111" s="24" t="str">
        <x:v>Construcción</x:v>
      </x:c>
      <x:c r="C111" s="24" t="str">
        <x:v>P1</x:v>
      </x:c>
      <x:c r="D111" s="24" t="str">
        <x:v>Sprint 17 / H6</x:v>
      </x:c>
      <x:c r="E111" s="24" t="str">
        <x:v>Cancelar movimiento restaura estado anterior.</x:v>
      </x:c>
      <x:c r="F111" s="24" t="n">
        <x:f>COUNTIF('03_Casos_Prueba'!$D$5:$D$254,A111)</x:f>
        <x:v>1</x:v>
      </x:c>
      <x:c r="G111" s="24" t="n">
        <x:f>COUNTIFS('03_Casos_Prueba'!$D$5:$D$254,A111,'03_Casos_Prueba'!$R$5:$R$254,"Ready")</x:f>
        <x:v>1</x:v>
      </x:c>
      <x:c r="H111" s="24" t="n">
        <x:f>COUNTIF('11_Ejecuciones'!$F$5:$F$521,A111)</x:f>
        <x:v>1</x:v>
      </x:c>
      <x:c r="I111" s="24" t="n">
        <x:f>COUNTIFS('11_Ejecuciones'!$F$5:$F$521,A111,'11_Ejecuciones'!$I$5:$I$521,"PASS")+COUNTIFS('11_Ejecuciones'!$F$5:$F$521,A111,'11_Ejecuciones'!$I$5:$I$521,"Baseline PASS")</x:f>
        <x:v>0</x:v>
      </x:c>
      <x:c r="J111" s="24" t="n">
        <x:f>COUNTIFS('11_Ejecuciones'!$F$5:$F$521,A111,'11_Ejecuciones'!$I$5:$I$521,"FAIL")+COUNTIFS('11_Ejecuciones'!$F$5:$F$521,A111,'11_Ejecuciones'!$I$5:$I$521,"BLOCKED")</x:f>
        <x:v>0</x:v>
      </x:c>
      <x:c r="K111" s="32" t="n">
        <x:f>IF(F111=0,0,MIN(1,G111/F111))</x:f>
        <x:v>1</x:v>
      </x:c>
      <x:c r="L111" s="24" t="str">
        <x:f>IF(F111=0,"SIN CASO",IF(J111&gt;0,"FALLO/BLOQUEO",IF(I111&gt;0,"EJECUTADO","PENDIENTE")))</x:f>
        <x:v>PENDIENTE</x:v>
      </x:c>
    </x:row>
    <x:row r="112">
      <x:c r="A112" s="24" t="str">
        <x:v>UX-BLD-007</x:v>
      </x:c>
      <x:c r="B112" s="24" t="str">
        <x:v>Construcción</x:v>
      </x:c>
      <x:c r="C112" s="24" t="str">
        <x:v>P1</x:v>
      </x:c>
      <x:c r="D112" s="24" t="str">
        <x:v>Sprint 17 / H6</x:v>
      </x:c>
      <x:c r="E112" s="24" t="str">
        <x:v>Retirar no destruye stock silenciosamente.</x:v>
      </x:c>
      <x:c r="F112" s="24" t="n">
        <x:f>COUNTIF('03_Casos_Prueba'!$D$5:$D$254,A112)</x:f>
        <x:v>1</x:v>
      </x:c>
      <x:c r="G112" s="24" t="n">
        <x:f>COUNTIFS('03_Casos_Prueba'!$D$5:$D$254,A112,'03_Casos_Prueba'!$R$5:$R$254,"Ready")</x:f>
        <x:v>1</x:v>
      </x:c>
      <x:c r="H112" s="24" t="n">
        <x:f>COUNTIF('11_Ejecuciones'!$F$5:$F$521,A112)</x:f>
        <x:v>1</x:v>
      </x:c>
      <x:c r="I112" s="24" t="n">
        <x:f>COUNTIFS('11_Ejecuciones'!$F$5:$F$521,A112,'11_Ejecuciones'!$I$5:$I$521,"PASS")+COUNTIFS('11_Ejecuciones'!$F$5:$F$521,A112,'11_Ejecuciones'!$I$5:$I$521,"Baseline PASS")</x:f>
        <x:v>0</x:v>
      </x:c>
      <x:c r="J112" s="24" t="n">
        <x:f>COUNTIFS('11_Ejecuciones'!$F$5:$F$521,A112,'11_Ejecuciones'!$I$5:$I$521,"FAIL")+COUNTIFS('11_Ejecuciones'!$F$5:$F$521,A112,'11_Ejecuciones'!$I$5:$I$521,"BLOCKED")</x:f>
        <x:v>0</x:v>
      </x:c>
      <x:c r="K112" s="32" t="n">
        <x:f>IF(F112=0,0,MIN(1,G112/F112))</x:f>
        <x:v>1</x:v>
      </x:c>
      <x:c r="L112" s="24" t="str">
        <x:f>IF(F112=0,"SIN CASO",IF(J112&gt;0,"FALLO/BLOQUEO",IF(I112&gt;0,"EJECUTADO","PENDIENTE")))</x:f>
        <x:v>PENDIENTE</x:v>
      </x:c>
    </x:row>
    <x:row r="113">
      <x:c r="A113" s="24" t="str">
        <x:v>UX-BLD-008</x:v>
      </x:c>
      <x:c r="B113" s="24" t="str">
        <x:v>Construcción</x:v>
      </x:c>
      <x:c r="C113" s="24" t="str">
        <x:v>P1</x:v>
      </x:c>
      <x:c r="D113" s="24" t="str">
        <x:v>Sprint 17 / H6</x:v>
      </x:c>
      <x:c r="E113" s="24" t="str">
        <x:v>El feedback no depende solo del color.</x:v>
      </x:c>
      <x:c r="F113" s="24" t="n">
        <x:f>COUNTIF('03_Casos_Prueba'!$D$5:$D$254,A113)</x:f>
        <x:v>1</x:v>
      </x:c>
      <x:c r="G113" s="24" t="n">
        <x:f>COUNTIFS('03_Casos_Prueba'!$D$5:$D$254,A113,'03_Casos_Prueba'!$R$5:$R$254,"Ready")</x:f>
        <x:v>1</x:v>
      </x:c>
      <x:c r="H113" s="24" t="n">
        <x:f>COUNTIF('11_Ejecuciones'!$F$5:$F$521,A113)</x:f>
        <x:v>1</x:v>
      </x:c>
      <x:c r="I113" s="24" t="n">
        <x:f>COUNTIFS('11_Ejecuciones'!$F$5:$F$521,A113,'11_Ejecuciones'!$I$5:$I$521,"PASS")+COUNTIFS('11_Ejecuciones'!$F$5:$F$521,A113,'11_Ejecuciones'!$I$5:$I$521,"Baseline PASS")</x:f>
        <x:v>0</x:v>
      </x:c>
      <x:c r="J113" s="24" t="n">
        <x:f>COUNTIFS('11_Ejecuciones'!$F$5:$F$521,A113,'11_Ejecuciones'!$I$5:$I$521,"FAIL")+COUNTIFS('11_Ejecuciones'!$F$5:$F$521,A113,'11_Ejecuciones'!$I$5:$I$521,"BLOCKED")</x:f>
        <x:v>0</x:v>
      </x:c>
      <x:c r="K113" s="32" t="n">
        <x:f>IF(F113=0,0,MIN(1,G113/F113))</x:f>
        <x:v>1</x:v>
      </x:c>
      <x:c r="L113" s="24" t="str">
        <x:f>IF(F113=0,"SIN CASO",IF(J113&gt;0,"FALLO/BLOQUEO",IF(I113&gt;0,"EJECUTADO","PENDIENTE")))</x:f>
        <x:v>PENDIENTE</x:v>
      </x:c>
    </x:row>
    <x:row r="114">
      <x:c r="A114" s="24" t="str">
        <x:v>UX-BLD-009</x:v>
      </x:c>
      <x:c r="B114" s="24" t="str">
        <x:v>Construcción</x:v>
      </x:c>
      <x:c r="C114" s="24" t="str">
        <x:v>P1</x:v>
      </x:c>
      <x:c r="D114" s="24" t="str">
        <x:v>Sprint 17 / H6</x:v>
      </x:c>
      <x:c r="E114" s="24" t="str">
        <x:v>Cerrar BuildMode no produce clic de mundo.</x:v>
      </x:c>
      <x:c r="F114" s="24" t="n">
        <x:f>COUNTIF('03_Casos_Prueba'!$D$5:$D$254,A114)</x:f>
        <x:v>1</x:v>
      </x:c>
      <x:c r="G114" s="24" t="n">
        <x:f>COUNTIFS('03_Casos_Prueba'!$D$5:$D$254,A114,'03_Casos_Prueba'!$R$5:$R$254,"Ready")</x:f>
        <x:v>1</x:v>
      </x:c>
      <x:c r="H114" s="24" t="n">
        <x:f>COUNTIF('11_Ejecuciones'!$F$5:$F$521,A114)</x:f>
        <x:v>1</x:v>
      </x:c>
      <x:c r="I114" s="24" t="n">
        <x:f>COUNTIFS('11_Ejecuciones'!$F$5:$F$521,A114,'11_Ejecuciones'!$I$5:$I$521,"PASS")+COUNTIFS('11_Ejecuciones'!$F$5:$F$521,A114,'11_Ejecuciones'!$I$5:$I$521,"Baseline PASS")</x:f>
        <x:v>0</x:v>
      </x:c>
      <x:c r="J114" s="24" t="n">
        <x:f>COUNTIFS('11_Ejecuciones'!$F$5:$F$521,A114,'11_Ejecuciones'!$I$5:$I$521,"FAIL")+COUNTIFS('11_Ejecuciones'!$F$5:$F$521,A114,'11_Ejecuciones'!$I$5:$I$521,"BLOCKED")</x:f>
        <x:v>0</x:v>
      </x:c>
      <x:c r="K114" s="32" t="n">
        <x:f>IF(F114=0,0,MIN(1,G114/F114))</x:f>
        <x:v>1</x:v>
      </x:c>
      <x:c r="L114" s="24" t="str">
        <x:f>IF(F114=0,"SIN CASO",IF(J114&gt;0,"FALLO/BLOQUEO",IF(I114&gt;0,"EJECUTADO","PENDIENTE")))</x:f>
        <x:v>PENDIENTE</x:v>
      </x:c>
    </x:row>
    <x:row r="115">
      <x:c r="A115" s="24" t="str">
        <x:v>UX-ORD-001</x:v>
      </x:c>
      <x:c r="B115" s="24" t="str">
        <x:v>Pedidos y entregas</x:v>
      </x:c>
      <x:c r="C115" s="24" t="str">
        <x:v>P2</x:v>
      </x:c>
      <x:c r="D115" s="24" t="str">
        <x:v>Sprint 17 / H6</x:v>
      </x:c>
      <x:c r="E115" s="24" t="str">
        <x:v>El pedido muestra total antes de confirmar.</x:v>
      </x:c>
      <x:c r="F115" s="24" t="n">
        <x:f>COUNTIF('03_Casos_Prueba'!$D$5:$D$254,A115)</x:f>
        <x:v>1</x:v>
      </x:c>
      <x:c r="G115" s="24" t="n">
        <x:f>COUNTIFS('03_Casos_Prueba'!$D$5:$D$254,A115,'03_Casos_Prueba'!$R$5:$R$254,"Ready")</x:f>
        <x:v>1</x:v>
      </x:c>
      <x:c r="H115" s="24" t="n">
        <x:f>COUNTIF('11_Ejecuciones'!$F$5:$F$521,A115)</x:f>
        <x:v>1</x:v>
      </x:c>
      <x:c r="I115" s="24" t="n">
        <x:f>COUNTIFS('11_Ejecuciones'!$F$5:$F$521,A115,'11_Ejecuciones'!$I$5:$I$521,"PASS")+COUNTIFS('11_Ejecuciones'!$F$5:$F$521,A115,'11_Ejecuciones'!$I$5:$I$521,"Baseline PASS")</x:f>
        <x:v>0</x:v>
      </x:c>
      <x:c r="J115" s="24" t="n">
        <x:f>COUNTIFS('11_Ejecuciones'!$F$5:$F$521,A115,'11_Ejecuciones'!$I$5:$I$521,"FAIL")+COUNTIFS('11_Ejecuciones'!$F$5:$F$521,A115,'11_Ejecuciones'!$I$5:$I$521,"BLOCKED")</x:f>
        <x:v>0</x:v>
      </x:c>
      <x:c r="K115" s="32" t="n">
        <x:f>IF(F115=0,0,MIN(1,G115/F115))</x:f>
        <x:v>1</x:v>
      </x:c>
      <x:c r="L115" s="24" t="str">
        <x:f>IF(F115=0,"SIN CASO",IF(J115&gt;0,"FALLO/BLOQUEO",IF(I115&gt;0,"EJECUTADO","PENDIENTE")))</x:f>
        <x:v>PENDIENTE</x:v>
      </x:c>
    </x:row>
    <x:row r="116">
      <x:c r="A116" s="24" t="str">
        <x:v>UX-ORD-002</x:v>
      </x:c>
      <x:c r="B116" s="24" t="str">
        <x:v>Pedidos y entregas</x:v>
      </x:c>
      <x:c r="C116" s="24" t="str">
        <x:v>P2</x:v>
      </x:c>
      <x:c r="D116" s="24" t="str">
        <x:v>Sprint 17 / H6</x:v>
      </x:c>
      <x:c r="E116" s="24" t="str">
        <x:v>Saldo insuficiente se explica.</x:v>
      </x:c>
      <x:c r="F116" s="24" t="n">
        <x:f>COUNTIF('03_Casos_Prueba'!$D$5:$D$254,A116)</x:f>
        <x:v>1</x:v>
      </x:c>
      <x:c r="G116" s="24" t="n">
        <x:f>COUNTIFS('03_Casos_Prueba'!$D$5:$D$254,A116,'03_Casos_Prueba'!$R$5:$R$254,"Ready")</x:f>
        <x:v>1</x:v>
      </x:c>
      <x:c r="H116" s="24" t="n">
        <x:f>COUNTIF('11_Ejecuciones'!$F$5:$F$521,A116)</x:f>
        <x:v>1</x:v>
      </x:c>
      <x:c r="I116" s="24" t="n">
        <x:f>COUNTIFS('11_Ejecuciones'!$F$5:$F$521,A116,'11_Ejecuciones'!$I$5:$I$521,"PASS")+COUNTIFS('11_Ejecuciones'!$F$5:$F$521,A116,'11_Ejecuciones'!$I$5:$I$521,"Baseline PASS")</x:f>
        <x:v>0</x:v>
      </x:c>
      <x:c r="J116" s="24" t="n">
        <x:f>COUNTIFS('11_Ejecuciones'!$F$5:$F$521,A116,'11_Ejecuciones'!$I$5:$I$521,"FAIL")+COUNTIFS('11_Ejecuciones'!$F$5:$F$521,A116,'11_Ejecuciones'!$I$5:$I$521,"BLOCKED")</x:f>
        <x:v>0</x:v>
      </x:c>
      <x:c r="K116" s="32" t="n">
        <x:f>IF(F116=0,0,MIN(1,G116/F116))</x:f>
        <x:v>1</x:v>
      </x:c>
      <x:c r="L116" s="24" t="str">
        <x:f>IF(F116=0,"SIN CASO",IF(J116&gt;0,"FALLO/BLOQUEO",IF(I116&gt;0,"EJECUTADO","PENDIENTE")))</x:f>
        <x:v>PENDIENTE</x:v>
      </x:c>
    </x:row>
    <x:row r="117">
      <x:c r="A117" s="24" t="str">
        <x:v>UX-ORD-003</x:v>
      </x:c>
      <x:c r="B117" s="24" t="str">
        <x:v>Pedidos y entregas</x:v>
      </x:c>
      <x:c r="C117" s="24" t="str">
        <x:v>P2</x:v>
      </x:c>
      <x:c r="D117" s="24" t="str">
        <x:v>Sprint 17 / H6</x:v>
      </x:c>
      <x:c r="E117" s="24" t="str">
        <x:v>La recepción no puede repetirse.</x:v>
      </x:c>
      <x:c r="F117" s="24" t="n">
        <x:f>COUNTIF('03_Casos_Prueba'!$D$5:$D$254,A117)</x:f>
        <x:v>1</x:v>
      </x:c>
      <x:c r="G117" s="24" t="n">
        <x:f>COUNTIFS('03_Casos_Prueba'!$D$5:$D$254,A117,'03_Casos_Prueba'!$R$5:$R$254,"Ready")</x:f>
        <x:v>1</x:v>
      </x:c>
      <x:c r="H117" s="24" t="n">
        <x:f>COUNTIF('11_Ejecuciones'!$F$5:$F$521,A117)</x:f>
        <x:v>1</x:v>
      </x:c>
      <x:c r="I117" s="24" t="n">
        <x:f>COUNTIFS('11_Ejecuciones'!$F$5:$F$521,A117,'11_Ejecuciones'!$I$5:$I$521,"PASS")+COUNTIFS('11_Ejecuciones'!$F$5:$F$521,A117,'11_Ejecuciones'!$I$5:$I$521,"Baseline PASS")</x:f>
        <x:v>0</x:v>
      </x:c>
      <x:c r="J117" s="24" t="n">
        <x:f>COUNTIFS('11_Ejecuciones'!$F$5:$F$521,A117,'11_Ejecuciones'!$I$5:$I$521,"FAIL")+COUNTIFS('11_Ejecuciones'!$F$5:$F$521,A117,'11_Ejecuciones'!$I$5:$I$521,"BLOCKED")</x:f>
        <x:v>0</x:v>
      </x:c>
      <x:c r="K117" s="32" t="n">
        <x:f>IF(F117=0,0,MIN(1,G117/F117))</x:f>
        <x:v>1</x:v>
      </x:c>
      <x:c r="L117" s="24" t="str">
        <x:f>IF(F117=0,"SIN CASO",IF(J117&gt;0,"FALLO/BLOQUEO",IF(I117&gt;0,"EJECUTADO","PENDIENTE")))</x:f>
        <x:v>PENDIENTE</x:v>
      </x:c>
    </x:row>
    <x:row r="118">
      <x:c r="A118" s="24" t="str">
        <x:v>UX-INV-001</x:v>
      </x:c>
      <x:c r="B118" s="24" t="str">
        <x:v>Inventario</x:v>
      </x:c>
      <x:c r="C118" s="24" t="str">
        <x:v>P0</x:v>
      </x:c>
      <x:c r="D118" s="24" t="str">
        <x:v>Sprint 17 / H6</x:v>
      </x:c>
      <x:c r="E118" s="24" t="str">
        <x:v>La UI distingue ubicaciones de stock.</x:v>
      </x:c>
      <x:c r="F118" s="24" t="n">
        <x:f>COUNTIF('03_Casos_Prueba'!$D$5:$D$254,A118)</x:f>
        <x:v>1</x:v>
      </x:c>
      <x:c r="G118" s="24" t="n">
        <x:f>COUNTIFS('03_Casos_Prueba'!$D$5:$D$254,A118,'03_Casos_Prueba'!$R$5:$R$254,"Ready")</x:f>
        <x:v>1</x:v>
      </x:c>
      <x:c r="H118" s="24" t="n">
        <x:f>COUNTIF('11_Ejecuciones'!$F$5:$F$521,A118)</x:f>
        <x:v>1</x:v>
      </x:c>
      <x:c r="I118" s="24" t="n">
        <x:f>COUNTIFS('11_Ejecuciones'!$F$5:$F$521,A118,'11_Ejecuciones'!$I$5:$I$521,"PASS")+COUNTIFS('11_Ejecuciones'!$F$5:$F$521,A118,'11_Ejecuciones'!$I$5:$I$521,"Baseline PASS")</x:f>
        <x:v>0</x:v>
      </x:c>
      <x:c r="J118" s="24" t="n">
        <x:f>COUNTIFS('11_Ejecuciones'!$F$5:$F$521,A118,'11_Ejecuciones'!$I$5:$I$521,"FAIL")+COUNTIFS('11_Ejecuciones'!$F$5:$F$521,A118,'11_Ejecuciones'!$I$5:$I$521,"BLOCKED")</x:f>
        <x:v>0</x:v>
      </x:c>
      <x:c r="K118" s="32" t="n">
        <x:f>IF(F118=0,0,MIN(1,G118/F118))</x:f>
        <x:v>1</x:v>
      </x:c>
      <x:c r="L118" s="24" t="str">
        <x:f>IF(F118=0,"SIN CASO",IF(J118&gt;0,"FALLO/BLOQUEO",IF(I118&gt;0,"EJECUTADO","PENDIENTE")))</x:f>
        <x:v>PENDIENTE</x:v>
      </x:c>
    </x:row>
    <x:row r="119">
      <x:c r="A119" s="24" t="str">
        <x:v>UX-INV-002</x:v>
      </x:c>
      <x:c r="B119" s="24" t="str">
        <x:v>Inventario</x:v>
      </x:c>
      <x:c r="C119" s="24" t="str">
        <x:v>P0</x:v>
      </x:c>
      <x:c r="D119" s="24" t="str">
        <x:v>Sprint 17 / H6</x:v>
      </x:c>
      <x:c r="E119" s="24" t="str">
        <x:v>Transferir valida origen, destino y cantidad.</x:v>
      </x:c>
      <x:c r="F119" s="24" t="n">
        <x:f>COUNTIF('03_Casos_Prueba'!$D$5:$D$254,A119)</x:f>
        <x:v>1</x:v>
      </x:c>
      <x:c r="G119" s="24" t="n">
        <x:f>COUNTIFS('03_Casos_Prueba'!$D$5:$D$254,A119,'03_Casos_Prueba'!$R$5:$R$254,"Ready")</x:f>
        <x:v>1</x:v>
      </x:c>
      <x:c r="H119" s="24" t="n">
        <x:f>COUNTIF('11_Ejecuciones'!$F$5:$F$521,A119)</x:f>
        <x:v>1</x:v>
      </x:c>
      <x:c r="I119" s="24" t="n">
        <x:f>COUNTIFS('11_Ejecuciones'!$F$5:$F$521,A119,'11_Ejecuciones'!$I$5:$I$521,"PASS")+COUNTIFS('11_Ejecuciones'!$F$5:$F$521,A119,'11_Ejecuciones'!$I$5:$I$521,"Baseline PASS")</x:f>
        <x:v>0</x:v>
      </x:c>
      <x:c r="J119" s="24" t="n">
        <x:f>COUNTIFS('11_Ejecuciones'!$F$5:$F$521,A119,'11_Ejecuciones'!$I$5:$I$521,"FAIL")+COUNTIFS('11_Ejecuciones'!$F$5:$F$521,A119,'11_Ejecuciones'!$I$5:$I$521,"BLOCKED")</x:f>
        <x:v>0</x:v>
      </x:c>
      <x:c r="K119" s="32" t="n">
        <x:f>IF(F119=0,0,MIN(1,G119/F119))</x:f>
        <x:v>1</x:v>
      </x:c>
      <x:c r="L119" s="24" t="str">
        <x:f>IF(F119=0,"SIN CASO",IF(J119&gt;0,"FALLO/BLOQUEO",IF(I119&gt;0,"EJECUTADO","PENDIENTE")))</x:f>
        <x:v>PENDIENTE</x:v>
      </x:c>
    </x:row>
    <x:row r="120">
      <x:c r="A120" s="24" t="str">
        <x:v>UX-INV-003</x:v>
      </x:c>
      <x:c r="B120" s="24" t="str">
        <x:v>Inventario</x:v>
      </x:c>
      <x:c r="C120" s="24" t="str">
        <x:v>P0</x:v>
      </x:c>
      <x:c r="D120" s="24" t="str">
        <x:v>Sprint 17 / H6</x:v>
      </x:c>
      <x:c r="E120" s="24" t="str">
        <x:v>Una transferencia falla sin estado parcial.</x:v>
      </x:c>
      <x:c r="F120" s="24" t="n">
        <x:f>COUNTIF('03_Casos_Prueba'!$D$5:$D$254,A120)</x:f>
        <x:v>1</x:v>
      </x:c>
      <x:c r="G120" s="24" t="n">
        <x:f>COUNTIFS('03_Casos_Prueba'!$D$5:$D$254,A120,'03_Casos_Prueba'!$R$5:$R$254,"Ready")</x:f>
        <x:v>1</x:v>
      </x:c>
      <x:c r="H120" s="24" t="n">
        <x:f>COUNTIF('11_Ejecuciones'!$F$5:$F$521,A120)</x:f>
        <x:v>1</x:v>
      </x:c>
      <x:c r="I120" s="24" t="n">
        <x:f>COUNTIFS('11_Ejecuciones'!$F$5:$F$521,A120,'11_Ejecuciones'!$I$5:$I$521,"PASS")+COUNTIFS('11_Ejecuciones'!$F$5:$F$521,A120,'11_Ejecuciones'!$I$5:$I$521,"Baseline PASS")</x:f>
        <x:v>0</x:v>
      </x:c>
      <x:c r="J120" s="24" t="n">
        <x:f>COUNTIFS('11_Ejecuciones'!$F$5:$F$521,A120,'11_Ejecuciones'!$I$5:$I$521,"FAIL")+COUNTIFS('11_Ejecuciones'!$F$5:$F$521,A120,'11_Ejecuciones'!$I$5:$I$521,"BLOCKED")</x:f>
        <x:v>0</x:v>
      </x:c>
      <x:c r="K120" s="32" t="n">
        <x:f>IF(F120=0,0,MIN(1,G120/F120))</x:f>
        <x:v>1</x:v>
      </x:c>
      <x:c r="L120" s="24" t="str">
        <x:f>IF(F120=0,"SIN CASO",IF(J120&gt;0,"FALLO/BLOQUEO",IF(I120&gt;0,"EJECUTADO","PENDIENTE")))</x:f>
        <x:v>PENDIENTE</x:v>
      </x:c>
    </x:row>
    <x:row r="121">
      <x:c r="A121" s="24" t="str">
        <x:v>UX-INV-004</x:v>
      </x:c>
      <x:c r="B121" s="24" t="str">
        <x:v>Inventario</x:v>
      </x:c>
      <x:c r="C121" s="24" t="str">
        <x:v>P0</x:v>
      </x:c>
      <x:c r="D121" s="24" t="str">
        <x:v>Sprint 17 / H6</x:v>
      </x:c>
      <x:c r="E121" s="24" t="str">
        <x:v>Los estados vacíos sugieren siguiente acción.</x:v>
      </x:c>
      <x:c r="F121" s="24" t="n">
        <x:f>COUNTIF('03_Casos_Prueba'!$D$5:$D$254,A121)</x:f>
        <x:v>1</x:v>
      </x:c>
      <x:c r="G121" s="24" t="n">
        <x:f>COUNTIFS('03_Casos_Prueba'!$D$5:$D$254,A121,'03_Casos_Prueba'!$R$5:$R$254,"Ready")</x:f>
        <x:v>1</x:v>
      </x:c>
      <x:c r="H121" s="24" t="n">
        <x:f>COUNTIF('11_Ejecuciones'!$F$5:$F$521,A121)</x:f>
        <x:v>1</x:v>
      </x:c>
      <x:c r="I121" s="24" t="n">
        <x:f>COUNTIFS('11_Ejecuciones'!$F$5:$F$521,A121,'11_Ejecuciones'!$I$5:$I$521,"PASS")+COUNTIFS('11_Ejecuciones'!$F$5:$F$521,A121,'11_Ejecuciones'!$I$5:$I$521,"Baseline PASS")</x:f>
        <x:v>0</x:v>
      </x:c>
      <x:c r="J121" s="24" t="n">
        <x:f>COUNTIFS('11_Ejecuciones'!$F$5:$F$521,A121,'11_Ejecuciones'!$I$5:$I$521,"FAIL")+COUNTIFS('11_Ejecuciones'!$F$5:$F$521,A121,'11_Ejecuciones'!$I$5:$I$521,"BLOCKED")</x:f>
        <x:v>0</x:v>
      </x:c>
      <x:c r="K121" s="32" t="n">
        <x:f>IF(F121=0,0,MIN(1,G121/F121))</x:f>
        <x:v>1</x:v>
      </x:c>
      <x:c r="L121" s="24" t="str">
        <x:f>IF(F121=0,"SIN CASO",IF(J121&gt;0,"FALLO/BLOQUEO",IF(I121&gt;0,"EJECUTADO","PENDIENTE")))</x:f>
        <x:v>PENDIENTE</x:v>
      </x:c>
    </x:row>
    <x:row r="122">
      <x:c r="A122" s="24" t="str">
        <x:v>UX-DSP-001</x:v>
      </x:c>
      <x:c r="B122" s="24" t="str">
        <x:v>Displays y reposición</x:v>
      </x:c>
      <x:c r="C122" s="24" t="str">
        <x:v>P2</x:v>
      </x:c>
      <x:c r="D122" s="24" t="str">
        <x:v>Sprint 17 / H6</x:v>
      </x:c>
      <x:c r="E122" s="24" t="str">
        <x:v>Asignar producto no crea stock.</x:v>
      </x:c>
      <x:c r="F122" s="24" t="n">
        <x:f>COUNTIF('03_Casos_Prueba'!$D$5:$D$254,A122)</x:f>
        <x:v>1</x:v>
      </x:c>
      <x:c r="G122" s="24" t="n">
        <x:f>COUNTIFS('03_Casos_Prueba'!$D$5:$D$254,A122,'03_Casos_Prueba'!$R$5:$R$254,"Ready")</x:f>
        <x:v>1</x:v>
      </x:c>
      <x:c r="H122" s="24" t="n">
        <x:f>COUNTIF('11_Ejecuciones'!$F$5:$F$521,A122)</x:f>
        <x:v>1</x:v>
      </x:c>
      <x:c r="I122" s="24" t="n">
        <x:f>COUNTIFS('11_Ejecuciones'!$F$5:$F$521,A122,'11_Ejecuciones'!$I$5:$I$521,"PASS")+COUNTIFS('11_Ejecuciones'!$F$5:$F$521,A122,'11_Ejecuciones'!$I$5:$I$521,"Baseline PASS")</x:f>
        <x:v>0</x:v>
      </x:c>
      <x:c r="J122" s="24" t="n">
        <x:f>COUNTIFS('11_Ejecuciones'!$F$5:$F$521,A122,'11_Ejecuciones'!$I$5:$I$521,"FAIL")+COUNTIFS('11_Ejecuciones'!$F$5:$F$521,A122,'11_Ejecuciones'!$I$5:$I$521,"BLOCKED")</x:f>
        <x:v>0</x:v>
      </x:c>
      <x:c r="K122" s="32" t="n">
        <x:f>IF(F122=0,0,MIN(1,G122/F122))</x:f>
        <x:v>1</x:v>
      </x:c>
      <x:c r="L122" s="24" t="str">
        <x:f>IF(F122=0,"SIN CASO",IF(J122&gt;0,"FALLO/BLOQUEO",IF(I122&gt;0,"EJECUTADO","PENDIENTE")))</x:f>
        <x:v>PENDIENTE</x:v>
      </x:c>
    </x:row>
    <x:row r="123">
      <x:c r="A123" s="24" t="str">
        <x:v>UX-DSP-002</x:v>
      </x:c>
      <x:c r="B123" s="24" t="str">
        <x:v>Displays y reposición</x:v>
      </x:c>
      <x:c r="C123" s="24" t="str">
        <x:v>P2</x:v>
      </x:c>
      <x:c r="D123" s="24" t="str">
        <x:v>Sprint 17 / H6</x:v>
      </x:c>
      <x:c r="E123" s="24" t="str">
        <x:v>Reasignar preserva unidades.</x:v>
      </x:c>
      <x:c r="F123" s="24" t="n">
        <x:f>COUNTIF('03_Casos_Prueba'!$D$5:$D$254,A123)</x:f>
        <x:v>1</x:v>
      </x:c>
      <x:c r="G123" s="24" t="n">
        <x:f>COUNTIFS('03_Casos_Prueba'!$D$5:$D$254,A123,'03_Casos_Prueba'!$R$5:$R$254,"Ready")</x:f>
        <x:v>1</x:v>
      </x:c>
      <x:c r="H123" s="24" t="n">
        <x:f>COUNTIF('11_Ejecuciones'!$F$5:$F$521,A123)</x:f>
        <x:v>1</x:v>
      </x:c>
      <x:c r="I123" s="24" t="n">
        <x:f>COUNTIFS('11_Ejecuciones'!$F$5:$F$521,A123,'11_Ejecuciones'!$I$5:$I$521,"PASS")+COUNTIFS('11_Ejecuciones'!$F$5:$F$521,A123,'11_Ejecuciones'!$I$5:$I$521,"Baseline PASS")</x:f>
        <x:v>0</x:v>
      </x:c>
      <x:c r="J123" s="24" t="n">
        <x:f>COUNTIFS('11_Ejecuciones'!$F$5:$F$521,A123,'11_Ejecuciones'!$I$5:$I$521,"FAIL")+COUNTIFS('11_Ejecuciones'!$F$5:$F$521,A123,'11_Ejecuciones'!$I$5:$I$521,"BLOCKED")</x:f>
        <x:v>0</x:v>
      </x:c>
      <x:c r="K123" s="32" t="n">
        <x:f>IF(F123=0,0,MIN(1,G123/F123))</x:f>
        <x:v>1</x:v>
      </x:c>
      <x:c r="L123" s="24" t="str">
        <x:f>IF(F123=0,"SIN CASO",IF(J123&gt;0,"FALLO/BLOQUEO",IF(I123&gt;0,"EJECUTADO","PENDIENTE")))</x:f>
        <x:v>PENDIENTE</x:v>
      </x:c>
    </x:row>
    <x:row r="124">
      <x:c r="A124" s="24" t="str">
        <x:v>UX-DSP-003</x:v>
      </x:c>
      <x:c r="B124" s="24" t="str">
        <x:v>Displays y reposición</x:v>
      </x:c>
      <x:c r="C124" s="24" t="str">
        <x:v>P2</x:v>
      </x:c>
      <x:c r="D124" s="24" t="str">
        <x:v>Sprint 17 / H6</x:v>
      </x:c>
      <x:c r="E124" s="24" t="str">
        <x:v>Reponer actualiza lógica y visual.</x:v>
      </x:c>
      <x:c r="F124" s="24" t="n">
        <x:f>COUNTIF('03_Casos_Prueba'!$D$5:$D$254,A124)</x:f>
        <x:v>1</x:v>
      </x:c>
      <x:c r="G124" s="24" t="n">
        <x:f>COUNTIFS('03_Casos_Prueba'!$D$5:$D$254,A124,'03_Casos_Prueba'!$R$5:$R$254,"Ready")</x:f>
        <x:v>1</x:v>
      </x:c>
      <x:c r="H124" s="24" t="n">
        <x:f>COUNTIF('11_Ejecuciones'!$F$5:$F$521,A124)</x:f>
        <x:v>1</x:v>
      </x:c>
      <x:c r="I124" s="24" t="n">
        <x:f>COUNTIFS('11_Ejecuciones'!$F$5:$F$521,A124,'11_Ejecuciones'!$I$5:$I$521,"PASS")+COUNTIFS('11_Ejecuciones'!$F$5:$F$521,A124,'11_Ejecuciones'!$I$5:$I$521,"Baseline PASS")</x:f>
        <x:v>0</x:v>
      </x:c>
      <x:c r="J124" s="24" t="n">
        <x:f>COUNTIFS('11_Ejecuciones'!$F$5:$F$521,A124,'11_Ejecuciones'!$I$5:$I$521,"FAIL")+COUNTIFS('11_Ejecuciones'!$F$5:$F$521,A124,'11_Ejecuciones'!$I$5:$I$521,"BLOCKED")</x:f>
        <x:v>0</x:v>
      </x:c>
      <x:c r="K124" s="32" t="n">
        <x:f>IF(F124=0,0,MIN(1,G124/F124))</x:f>
        <x:v>1</x:v>
      </x:c>
      <x:c r="L124" s="24" t="str">
        <x:f>IF(F124=0,"SIN CASO",IF(J124&gt;0,"FALLO/BLOQUEO",IF(I124&gt;0,"EJECUTADO","PENDIENTE")))</x:f>
        <x:v>PENDIENTE</x:v>
      </x:c>
    </x:row>
    <x:row r="125">
      <x:c r="A125" s="24" t="str">
        <x:v>UX-DAY-001</x:v>
      </x:c>
      <x:c r="B125" s="24" t="str">
        <x:v>Ciclo diario</x:v>
      </x:c>
      <x:c r="C125" s="24" t="str">
        <x:v>P1</x:v>
      </x:c>
      <x:c r="D125" s="24" t="str">
        <x:v>Sprint 17 / H6</x:v>
      </x:c>
      <x:c r="E125" s="24" t="str">
        <x:v>El estado de jornada siempre es visible.</x:v>
      </x:c>
      <x:c r="F125" s="24" t="n">
        <x:f>COUNTIF('03_Casos_Prueba'!$D$5:$D$254,A125)</x:f>
        <x:v>1</x:v>
      </x:c>
      <x:c r="G125" s="24" t="n">
        <x:f>COUNTIFS('03_Casos_Prueba'!$D$5:$D$254,A125,'03_Casos_Prueba'!$R$5:$R$254,"Ready")</x:f>
        <x:v>1</x:v>
      </x:c>
      <x:c r="H125" s="24" t="n">
        <x:f>COUNTIF('11_Ejecuciones'!$F$5:$F$521,A125)</x:f>
        <x:v>1</x:v>
      </x:c>
      <x:c r="I125" s="24" t="n">
        <x:f>COUNTIFS('11_Ejecuciones'!$F$5:$F$521,A125,'11_Ejecuciones'!$I$5:$I$521,"PASS")+COUNTIFS('11_Ejecuciones'!$F$5:$F$521,A125,'11_Ejecuciones'!$I$5:$I$521,"Baseline PASS")</x:f>
        <x:v>0</x:v>
      </x:c>
      <x:c r="J125" s="24" t="n">
        <x:f>COUNTIFS('11_Ejecuciones'!$F$5:$F$521,A125,'11_Ejecuciones'!$I$5:$I$521,"FAIL")+COUNTIFS('11_Ejecuciones'!$F$5:$F$521,A125,'11_Ejecuciones'!$I$5:$I$521,"BLOCKED")</x:f>
        <x:v>0</x:v>
      </x:c>
      <x:c r="K125" s="32" t="n">
        <x:f>IF(F125=0,0,MIN(1,G125/F125))</x:f>
        <x:v>1</x:v>
      </x:c>
      <x:c r="L125" s="24" t="str">
        <x:f>IF(F125=0,"SIN CASO",IF(J125&gt;0,"FALLO/BLOQUEO",IF(I125&gt;0,"EJECUTADO","PENDIENTE")))</x:f>
        <x:v>PENDIENTE</x:v>
      </x:c>
    </x:row>
    <x:row r="126">
      <x:c r="A126" s="24" t="str">
        <x:v>UX-DAY-002</x:v>
      </x:c>
      <x:c r="B126" s="24" t="str">
        <x:v>Ciclo diario</x:v>
      </x:c>
      <x:c r="C126" s="24" t="str">
        <x:v>P0</x:v>
      </x:c>
      <x:c r="D126" s="24" t="str">
        <x:v>Sprint 17 / H6</x:v>
      </x:c>
      <x:c r="E126" s="24" t="str">
        <x:v>Abrir valida bloqueos críticos.</x:v>
      </x:c>
      <x:c r="F126" s="24" t="n">
        <x:f>COUNTIF('03_Casos_Prueba'!$D$5:$D$254,A126)</x:f>
        <x:v>1</x:v>
      </x:c>
      <x:c r="G126" s="24" t="n">
        <x:f>COUNTIFS('03_Casos_Prueba'!$D$5:$D$254,A126,'03_Casos_Prueba'!$R$5:$R$254,"Ready")</x:f>
        <x:v>1</x:v>
      </x:c>
      <x:c r="H126" s="24" t="n">
        <x:f>COUNTIF('11_Ejecuciones'!$F$5:$F$521,A126)</x:f>
        <x:v>1</x:v>
      </x:c>
      <x:c r="I126" s="24" t="n">
        <x:f>COUNTIFS('11_Ejecuciones'!$F$5:$F$521,A126,'11_Ejecuciones'!$I$5:$I$521,"PASS")+COUNTIFS('11_Ejecuciones'!$F$5:$F$521,A126,'11_Ejecuciones'!$I$5:$I$521,"Baseline PASS")</x:f>
        <x:v>0</x:v>
      </x:c>
      <x:c r="J126" s="24" t="n">
        <x:f>COUNTIFS('11_Ejecuciones'!$F$5:$F$521,A126,'11_Ejecuciones'!$I$5:$I$521,"FAIL")+COUNTIFS('11_Ejecuciones'!$F$5:$F$521,A126,'11_Ejecuciones'!$I$5:$I$521,"BLOCKED")</x:f>
        <x:v>0</x:v>
      </x:c>
      <x:c r="K126" s="32" t="n">
        <x:f>IF(F126=0,0,MIN(1,G126/F126))</x:f>
        <x:v>1</x:v>
      </x:c>
      <x:c r="L126" s="24" t="str">
        <x:f>IF(F126=0,"SIN CASO",IF(J126&gt;0,"FALLO/BLOQUEO",IF(I126&gt;0,"EJECUTADO","PENDIENTE")))</x:f>
        <x:v>PENDIENTE</x:v>
      </x:c>
    </x:row>
    <x:row r="127">
      <x:c r="A127" s="24" t="str">
        <x:v>UX-DAY-003</x:v>
      </x:c>
      <x:c r="B127" s="24" t="str">
        <x:v>Ciclo diario</x:v>
      </x:c>
      <x:c r="C127" s="24" t="str">
        <x:v>P0</x:v>
      </x:c>
      <x:c r="D127" s="24" t="str">
        <x:v>Sprint 17 / H6</x:v>
      </x:c>
      <x:c r="E127" s="24" t="str">
        <x:v>Closing bloquea nuevos clientes.</x:v>
      </x:c>
      <x:c r="F127" s="24" t="n">
        <x:f>COUNTIF('03_Casos_Prueba'!$D$5:$D$254,A127)</x:f>
        <x:v>1</x:v>
      </x:c>
      <x:c r="G127" s="24" t="n">
        <x:f>COUNTIFS('03_Casos_Prueba'!$D$5:$D$254,A127,'03_Casos_Prueba'!$R$5:$R$254,"Ready")</x:f>
        <x:v>1</x:v>
      </x:c>
      <x:c r="H127" s="24" t="n">
        <x:f>COUNTIF('11_Ejecuciones'!$F$5:$F$521,A127)</x:f>
        <x:v>1</x:v>
      </x:c>
      <x:c r="I127" s="24" t="n">
        <x:f>COUNTIFS('11_Ejecuciones'!$F$5:$F$521,A127,'11_Ejecuciones'!$I$5:$I$521,"PASS")+COUNTIFS('11_Ejecuciones'!$F$5:$F$521,A127,'11_Ejecuciones'!$I$5:$I$521,"Baseline PASS")</x:f>
        <x:v>0</x:v>
      </x:c>
      <x:c r="J127" s="24" t="n">
        <x:f>COUNTIFS('11_Ejecuciones'!$F$5:$F$521,A127,'11_Ejecuciones'!$I$5:$I$521,"FAIL")+COUNTIFS('11_Ejecuciones'!$F$5:$F$521,A127,'11_Ejecuciones'!$I$5:$I$521,"BLOCKED")</x:f>
        <x:v>0</x:v>
      </x:c>
      <x:c r="K127" s="32" t="n">
        <x:f>IF(F127=0,0,MIN(1,G127/F127))</x:f>
        <x:v>1</x:v>
      </x:c>
      <x:c r="L127" s="24" t="str">
        <x:f>IF(F127=0,"SIN CASO",IF(J127&gt;0,"FALLO/BLOQUEO",IF(I127&gt;0,"EJECUTADO","PENDIENTE")))</x:f>
        <x:v>PENDIENTE</x:v>
      </x:c>
    </x:row>
    <x:row r="128">
      <x:c r="A128" s="24" t="str">
        <x:v>UX-DAY-004</x:v>
      </x:c>
      <x:c r="B128" s="24" t="str">
        <x:v>Ciclo diario</x:v>
      </x:c>
      <x:c r="C128" s="24" t="str">
        <x:v>P1</x:v>
      </x:c>
      <x:c r="D128" s="24" t="str">
        <x:v>Sprint 17 / H6</x:v>
      </x:c>
      <x:c r="E128" s="24" t="str">
        <x:v>Results espera resolución segura.</x:v>
      </x:c>
      <x:c r="F128" s="24" t="n">
        <x:f>COUNTIF('03_Casos_Prueba'!$D$5:$D$254,A128)</x:f>
        <x:v>1</x:v>
      </x:c>
      <x:c r="G128" s="24" t="n">
        <x:f>COUNTIFS('03_Casos_Prueba'!$D$5:$D$254,A128,'03_Casos_Prueba'!$R$5:$R$254,"Ready")</x:f>
        <x:v>1</x:v>
      </x:c>
      <x:c r="H128" s="24" t="n">
        <x:f>COUNTIF('11_Ejecuciones'!$F$5:$F$521,A128)</x:f>
        <x:v>1</x:v>
      </x:c>
      <x:c r="I128" s="24" t="n">
        <x:f>COUNTIFS('11_Ejecuciones'!$F$5:$F$521,A128,'11_Ejecuciones'!$I$5:$I$521,"PASS")+COUNTIFS('11_Ejecuciones'!$F$5:$F$521,A128,'11_Ejecuciones'!$I$5:$I$521,"Baseline PASS")</x:f>
        <x:v>0</x:v>
      </x:c>
      <x:c r="J128" s="24" t="n">
        <x:f>COUNTIFS('11_Ejecuciones'!$F$5:$F$521,A128,'11_Ejecuciones'!$I$5:$I$521,"FAIL")+COUNTIFS('11_Ejecuciones'!$F$5:$F$521,A128,'11_Ejecuciones'!$I$5:$I$521,"BLOCKED")</x:f>
        <x:v>0</x:v>
      </x:c>
      <x:c r="K128" s="32" t="n">
        <x:f>IF(F128=0,0,MIN(1,G128/F128))</x:f>
        <x:v>1</x:v>
      </x:c>
      <x:c r="L128" s="24" t="str">
        <x:f>IF(F128=0,"SIN CASO",IF(J128&gt;0,"FALLO/BLOQUEO",IF(I128&gt;0,"EJECUTADO","PENDIENTE")))</x:f>
        <x:v>PENDIENTE</x:v>
      </x:c>
    </x:row>
    <x:row r="129">
      <x:c r="A129" s="24" t="str">
        <x:v>UX-CUS-001</x:v>
      </x:c>
      <x:c r="B129" s="24" t="str">
        <x:v>Clientes</x:v>
      </x:c>
      <x:c r="C129" s="24" t="str">
        <x:v>P1</x:v>
      </x:c>
      <x:c r="D129" s="24" t="str">
        <x:v>Sprint 17 / H6</x:v>
      </x:c>
      <x:c r="E129" s="24" t="str">
        <x:v>El cliente comunica intención o problema.</x:v>
      </x:c>
      <x:c r="F129" s="24" t="n">
        <x:f>COUNTIF('03_Casos_Prueba'!$D$5:$D$254,A129)</x:f>
        <x:v>1</x:v>
      </x:c>
      <x:c r="G129" s="24" t="n">
        <x:f>COUNTIFS('03_Casos_Prueba'!$D$5:$D$254,A129,'03_Casos_Prueba'!$R$5:$R$254,"Ready")</x:f>
        <x:v>1</x:v>
      </x:c>
      <x:c r="H129" s="24" t="n">
        <x:f>COUNTIF('11_Ejecuciones'!$F$5:$F$521,A129)</x:f>
        <x:v>1</x:v>
      </x:c>
      <x:c r="I129" s="24" t="n">
        <x:f>COUNTIFS('11_Ejecuciones'!$F$5:$F$521,A129,'11_Ejecuciones'!$I$5:$I$521,"PASS")+COUNTIFS('11_Ejecuciones'!$F$5:$F$521,A129,'11_Ejecuciones'!$I$5:$I$521,"Baseline PASS")</x:f>
        <x:v>0</x:v>
      </x:c>
      <x:c r="J129" s="24" t="n">
        <x:f>COUNTIFS('11_Ejecuciones'!$F$5:$F$521,A129,'11_Ejecuciones'!$I$5:$I$521,"FAIL")+COUNTIFS('11_Ejecuciones'!$F$5:$F$521,A129,'11_Ejecuciones'!$I$5:$I$521,"BLOCKED")</x:f>
        <x:v>0</x:v>
      </x:c>
      <x:c r="K129" s="32" t="n">
        <x:f>IF(F129=0,0,MIN(1,G129/F129))</x:f>
        <x:v>1</x:v>
      </x:c>
      <x:c r="L129" s="24" t="str">
        <x:f>IF(F129=0,"SIN CASO",IF(J129&gt;0,"FALLO/BLOQUEO",IF(I129&gt;0,"EJECUTADO","PENDIENTE")))</x:f>
        <x:v>PENDIENTE</x:v>
      </x:c>
    </x:row>
    <x:row r="130">
      <x:c r="A130" s="24" t="str">
        <x:v>UX-CUS-002</x:v>
      </x:c>
      <x:c r="B130" s="24" t="str">
        <x:v>Clientes</x:v>
      </x:c>
      <x:c r="C130" s="24" t="str">
        <x:v>P1</x:v>
      </x:c>
      <x:c r="D130" s="24" t="str">
        <x:v>Sprint 17 / H6</x:v>
      </x:c>
      <x:c r="E130" s="24" t="str">
        <x:v>La paciencia se anticipa cuando es accionable.</x:v>
      </x:c>
      <x:c r="F130" s="24" t="n">
        <x:f>COUNTIF('03_Casos_Prueba'!$D$5:$D$254,A130)</x:f>
        <x:v>1</x:v>
      </x:c>
      <x:c r="G130" s="24" t="n">
        <x:f>COUNTIFS('03_Casos_Prueba'!$D$5:$D$254,A130,'03_Casos_Prueba'!$R$5:$R$254,"Ready")</x:f>
        <x:v>1</x:v>
      </x:c>
      <x:c r="H130" s="24" t="n">
        <x:f>COUNTIF('11_Ejecuciones'!$F$5:$F$521,A130)</x:f>
        <x:v>1</x:v>
      </x:c>
      <x:c r="I130" s="24" t="n">
        <x:f>COUNTIFS('11_Ejecuciones'!$F$5:$F$521,A130,'11_Ejecuciones'!$I$5:$I$521,"PASS")+COUNTIFS('11_Ejecuciones'!$F$5:$F$521,A130,'11_Ejecuciones'!$I$5:$I$521,"Baseline PASS")</x:f>
        <x:v>0</x:v>
      </x:c>
      <x:c r="J130" s="24" t="n">
        <x:f>COUNTIFS('11_Ejecuciones'!$F$5:$F$521,A130,'11_Ejecuciones'!$I$5:$I$521,"FAIL")+COUNTIFS('11_Ejecuciones'!$F$5:$F$521,A130,'11_Ejecuciones'!$I$5:$I$521,"BLOCKED")</x:f>
        <x:v>0</x:v>
      </x:c>
      <x:c r="K130" s="32" t="n">
        <x:f>IF(F130=0,0,MIN(1,G130/F130))</x:f>
        <x:v>1</x:v>
      </x:c>
      <x:c r="L130" s="24" t="str">
        <x:f>IF(F130=0,"SIN CASO",IF(J130&gt;0,"FALLO/BLOQUEO",IF(I130&gt;0,"EJECUTADO","PENDIENTE")))</x:f>
        <x:v>PENDIENTE</x:v>
      </x:c>
    </x:row>
    <x:row r="131">
      <x:c r="A131" s="24" t="str">
        <x:v>UX-CUS-003</x:v>
      </x:c>
      <x:c r="B131" s="24" t="str">
        <x:v>Clientes</x:v>
      </x:c>
      <x:c r="C131" s="24" t="str">
        <x:v>P1</x:v>
      </x:c>
      <x:c r="D131" s="24" t="str">
        <x:v>Sprint 17 / H6</x:v>
      </x:c>
      <x:c r="E131" s="24" t="str">
        <x:v>Abandono registra causa.</x:v>
      </x:c>
      <x:c r="F131" s="24" t="n">
        <x:f>COUNTIF('03_Casos_Prueba'!$D$5:$D$254,A131)</x:f>
        <x:v>1</x:v>
      </x:c>
      <x:c r="G131" s="24" t="n">
        <x:f>COUNTIFS('03_Casos_Prueba'!$D$5:$D$254,A131,'03_Casos_Prueba'!$R$5:$R$254,"Ready")</x:f>
        <x:v>1</x:v>
      </x:c>
      <x:c r="H131" s="24" t="n">
        <x:f>COUNTIF('11_Ejecuciones'!$F$5:$F$521,A131)</x:f>
        <x:v>1</x:v>
      </x:c>
      <x:c r="I131" s="24" t="n">
        <x:f>COUNTIFS('11_Ejecuciones'!$F$5:$F$521,A131,'11_Ejecuciones'!$I$5:$I$521,"PASS")+COUNTIFS('11_Ejecuciones'!$F$5:$F$521,A131,'11_Ejecuciones'!$I$5:$I$521,"Baseline PASS")</x:f>
        <x:v>0</x:v>
      </x:c>
      <x:c r="J131" s="24" t="n">
        <x:f>COUNTIFS('11_Ejecuciones'!$F$5:$F$521,A131,'11_Ejecuciones'!$I$5:$I$521,"FAIL")+COUNTIFS('11_Ejecuciones'!$F$5:$F$521,A131,'11_Ejecuciones'!$I$5:$I$521,"BLOCKED")</x:f>
        <x:v>0</x:v>
      </x:c>
      <x:c r="K131" s="32" t="n">
        <x:f>IF(F131=0,0,MIN(1,G131/F131))</x:f>
        <x:v>1</x:v>
      </x:c>
      <x:c r="L131" s="24" t="str">
        <x:f>IF(F131=0,"SIN CASO",IF(J131&gt;0,"FALLO/BLOQUEO",IF(I131&gt;0,"EJECUTADO","PENDIENTE")))</x:f>
        <x:v>PENDIENTE</x:v>
      </x:c>
    </x:row>
    <x:row r="132">
      <x:c r="A132" s="24" t="str">
        <x:v>UX-CUS-004</x:v>
      </x:c>
      <x:c r="B132" s="24" t="str">
        <x:v>Clientes</x:v>
      </x:c>
      <x:c r="C132" s="24" t="str">
        <x:v>P1</x:v>
      </x:c>
      <x:c r="D132" s="24" t="str">
        <x:v>Sprint 17 / H6</x:v>
      </x:c>
      <x:c r="E132" s="24" t="str">
        <x:v>Cierre libera reservas.</x:v>
      </x:c>
      <x:c r="F132" s="24" t="n">
        <x:f>COUNTIF('03_Casos_Prueba'!$D$5:$D$254,A132)</x:f>
        <x:v>1</x:v>
      </x:c>
      <x:c r="G132" s="24" t="n">
        <x:f>COUNTIFS('03_Casos_Prueba'!$D$5:$D$254,A132,'03_Casos_Prueba'!$R$5:$R$254,"Ready")</x:f>
        <x:v>1</x:v>
      </x:c>
      <x:c r="H132" s="24" t="n">
        <x:f>COUNTIF('11_Ejecuciones'!$F$5:$F$521,A132)</x:f>
        <x:v>1</x:v>
      </x:c>
      <x:c r="I132" s="24" t="n">
        <x:f>COUNTIFS('11_Ejecuciones'!$F$5:$F$521,A132,'11_Ejecuciones'!$I$5:$I$521,"PASS")+COUNTIFS('11_Ejecuciones'!$F$5:$F$521,A132,'11_Ejecuciones'!$I$5:$I$521,"Baseline PASS")</x:f>
        <x:v>0</x:v>
      </x:c>
      <x:c r="J132" s="24" t="n">
        <x:f>COUNTIFS('11_Ejecuciones'!$F$5:$F$521,A132,'11_Ejecuciones'!$I$5:$I$521,"FAIL")+COUNTIFS('11_Ejecuciones'!$F$5:$F$521,A132,'11_Ejecuciones'!$I$5:$I$521,"BLOCKED")</x:f>
        <x:v>0</x:v>
      </x:c>
      <x:c r="K132" s="32" t="n">
        <x:f>IF(F132=0,0,MIN(1,G132/F132))</x:f>
        <x:v>1</x:v>
      </x:c>
      <x:c r="L132" s="24" t="str">
        <x:f>IF(F132=0,"SIN CASO",IF(J132&gt;0,"FALLO/BLOQUEO",IF(I132&gt;0,"EJECUTADO","PENDIENTE")))</x:f>
        <x:v>PENDIENTE</x:v>
      </x:c>
    </x:row>
    <x:row r="133">
      <x:c r="A133" s="24" t="str">
        <x:v>UX-CUS-005</x:v>
      </x:c>
      <x:c r="B133" s="24" t="str">
        <x:v>Clientes</x:v>
      </x:c>
      <x:c r="C133" s="24" t="str">
        <x:v>P0</x:v>
      </x:c>
      <x:c r="D133" s="24" t="str">
        <x:v>Sprint 17 / H6</x:v>
      </x:c>
      <x:c r="E133" s="24" t="str">
        <x:v>Un cliente bloqueado no impide terminar jornada.</x:v>
      </x:c>
      <x:c r="F133" s="24" t="n">
        <x:f>COUNTIF('03_Casos_Prueba'!$D$5:$D$254,A133)</x:f>
        <x:v>1</x:v>
      </x:c>
      <x:c r="G133" s="24" t="n">
        <x:f>COUNTIFS('03_Casos_Prueba'!$D$5:$D$254,A133,'03_Casos_Prueba'!$R$5:$R$254,"Ready")</x:f>
        <x:v>1</x:v>
      </x:c>
      <x:c r="H133" s="24" t="n">
        <x:f>COUNTIF('11_Ejecuciones'!$F$5:$F$521,A133)</x:f>
        <x:v>1</x:v>
      </x:c>
      <x:c r="I133" s="24" t="n">
        <x:f>COUNTIFS('11_Ejecuciones'!$F$5:$F$521,A133,'11_Ejecuciones'!$I$5:$I$521,"PASS")+COUNTIFS('11_Ejecuciones'!$F$5:$F$521,A133,'11_Ejecuciones'!$I$5:$I$521,"Baseline PASS")</x:f>
        <x:v>0</x:v>
      </x:c>
      <x:c r="J133" s="24" t="n">
        <x:f>COUNTIFS('11_Ejecuciones'!$F$5:$F$521,A133,'11_Ejecuciones'!$I$5:$I$521,"FAIL")+COUNTIFS('11_Ejecuciones'!$F$5:$F$521,A133,'11_Ejecuciones'!$I$5:$I$521,"BLOCKED")</x:f>
        <x:v>0</x:v>
      </x:c>
      <x:c r="K133" s="32" t="n">
        <x:f>IF(F133=0,0,MIN(1,G133/F133))</x:f>
        <x:v>1</x:v>
      </x:c>
      <x:c r="L133" s="24" t="str">
        <x:f>IF(F133=0,"SIN CASO",IF(J133&gt;0,"FALLO/BLOQUEO",IF(I133&gt;0,"EJECUTADO","PENDIENTE")))</x:f>
        <x:v>PENDIENTE</x:v>
      </x:c>
    </x:row>
    <x:row r="134">
      <x:c r="A134" s="24" t="str">
        <x:v>UX-CHK-001</x:v>
      </x:c>
      <x:c r="B134" s="24" t="str">
        <x:v>Checkout</x:v>
      </x:c>
      <x:c r="C134" s="24" t="str">
        <x:v>P0</x:v>
      </x:c>
      <x:c r="D134" s="24" t="str">
        <x:v>Sprint 17 / H6</x:v>
      </x:c>
      <x:c r="E134" s="24" t="str">
        <x:v>Checkout muestra carrito y total.</x:v>
      </x:c>
      <x:c r="F134" s="24" t="n">
        <x:f>COUNTIF('03_Casos_Prueba'!$D$5:$D$254,A134)</x:f>
        <x:v>1</x:v>
      </x:c>
      <x:c r="G134" s="24" t="n">
        <x:f>COUNTIFS('03_Casos_Prueba'!$D$5:$D$254,A134,'03_Casos_Prueba'!$R$5:$R$254,"Ready")</x:f>
        <x:v>1</x:v>
      </x:c>
      <x:c r="H134" s="24" t="n">
        <x:f>COUNTIF('11_Ejecuciones'!$F$5:$F$521,A134)</x:f>
        <x:v>1</x:v>
      </x:c>
      <x:c r="I134" s="24" t="n">
        <x:f>COUNTIFS('11_Ejecuciones'!$F$5:$F$521,A134,'11_Ejecuciones'!$I$5:$I$521,"PASS")+COUNTIFS('11_Ejecuciones'!$F$5:$F$521,A134,'11_Ejecuciones'!$I$5:$I$521,"Baseline PASS")</x:f>
        <x:v>0</x:v>
      </x:c>
      <x:c r="J134" s="24" t="n">
        <x:f>COUNTIFS('11_Ejecuciones'!$F$5:$F$521,A134,'11_Ejecuciones'!$I$5:$I$521,"FAIL")+COUNTIFS('11_Ejecuciones'!$F$5:$F$521,A134,'11_Ejecuciones'!$I$5:$I$521,"BLOCKED")</x:f>
        <x:v>0</x:v>
      </x:c>
      <x:c r="K134" s="32" t="n">
        <x:f>IF(F134=0,0,MIN(1,G134/F134))</x:f>
        <x:v>1</x:v>
      </x:c>
      <x:c r="L134" s="24" t="str">
        <x:f>IF(F134=0,"SIN CASO",IF(J134&gt;0,"FALLO/BLOQUEO",IF(I134&gt;0,"EJECUTADO","PENDIENTE")))</x:f>
        <x:v>PENDIENTE</x:v>
      </x:c>
    </x:row>
    <x:row r="135">
      <x:c r="A135" s="24" t="str">
        <x:v>UX-CHK-002</x:v>
      </x:c>
      <x:c r="B135" s="24" t="str">
        <x:v>Checkout</x:v>
      </x:c>
      <x:c r="C135" s="24" t="str">
        <x:v>P0</x:v>
      </x:c>
      <x:c r="D135" s="24" t="str">
        <x:v>Sprint 17 / H6</x:v>
      </x:c>
      <x:c r="E135" s="24" t="str">
        <x:v>Preflight ocurre antes de mutar.</x:v>
      </x:c>
      <x:c r="F135" s="24" t="n">
        <x:f>COUNTIF('03_Casos_Prueba'!$D$5:$D$254,A135)</x:f>
        <x:v>1</x:v>
      </x:c>
      <x:c r="G135" s="24" t="n">
        <x:f>COUNTIFS('03_Casos_Prueba'!$D$5:$D$254,A135,'03_Casos_Prueba'!$R$5:$R$254,"Ready")</x:f>
        <x:v>1</x:v>
      </x:c>
      <x:c r="H135" s="24" t="n">
        <x:f>COUNTIF('11_Ejecuciones'!$F$5:$F$521,A135)</x:f>
        <x:v>1</x:v>
      </x:c>
      <x:c r="I135" s="24" t="n">
        <x:f>COUNTIFS('11_Ejecuciones'!$F$5:$F$521,A135,'11_Ejecuciones'!$I$5:$I$521,"PASS")+COUNTIFS('11_Ejecuciones'!$F$5:$F$521,A135,'11_Ejecuciones'!$I$5:$I$521,"Baseline PASS")</x:f>
        <x:v>0</x:v>
      </x:c>
      <x:c r="J135" s="24" t="n">
        <x:f>COUNTIFS('11_Ejecuciones'!$F$5:$F$521,A135,'11_Ejecuciones'!$I$5:$I$521,"FAIL")+COUNTIFS('11_Ejecuciones'!$F$5:$F$521,A135,'11_Ejecuciones'!$I$5:$I$521,"BLOCKED")</x:f>
        <x:v>0</x:v>
      </x:c>
      <x:c r="K135" s="32" t="n">
        <x:f>IF(F135=0,0,MIN(1,G135/F135))</x:f>
        <x:v>1</x:v>
      </x:c>
      <x:c r="L135" s="24" t="str">
        <x:f>IF(F135=0,"SIN CASO",IF(J135&gt;0,"FALLO/BLOQUEO",IF(I135&gt;0,"EJECUTADO","PENDIENTE")))</x:f>
        <x:v>PENDIENTE</x:v>
      </x:c>
    </x:row>
    <x:row r="136">
      <x:c r="A136" s="24" t="str">
        <x:v>UX-CHK-003</x:v>
      </x:c>
      <x:c r="B136" s="24" t="str">
        <x:v>Checkout</x:v>
      </x:c>
      <x:c r="C136" s="24" t="str">
        <x:v>P0</x:v>
      </x:c>
      <x:c r="D136" s="24" t="str">
        <x:v>Sprint 17 / H6</x:v>
      </x:c>
      <x:c r="E136" s="24" t="str">
        <x:v>Una venta se confirma una sola vez.</x:v>
      </x:c>
      <x:c r="F136" s="24" t="n">
        <x:f>COUNTIF('03_Casos_Prueba'!$D$5:$D$254,A136)</x:f>
        <x:v>1</x:v>
      </x:c>
      <x:c r="G136" s="24" t="n">
        <x:f>COUNTIFS('03_Casos_Prueba'!$D$5:$D$254,A136,'03_Casos_Prueba'!$R$5:$R$254,"Ready")</x:f>
        <x:v>1</x:v>
      </x:c>
      <x:c r="H136" s="24" t="n">
        <x:f>COUNTIF('11_Ejecuciones'!$F$5:$F$521,A136)</x:f>
        <x:v>1</x:v>
      </x:c>
      <x:c r="I136" s="24" t="n">
        <x:f>COUNTIFS('11_Ejecuciones'!$F$5:$F$521,A136,'11_Ejecuciones'!$I$5:$I$521,"PASS")+COUNTIFS('11_Ejecuciones'!$F$5:$F$521,A136,'11_Ejecuciones'!$I$5:$I$521,"Baseline PASS")</x:f>
        <x:v>0</x:v>
      </x:c>
      <x:c r="J136" s="24" t="n">
        <x:f>COUNTIFS('11_Ejecuciones'!$F$5:$F$521,A136,'11_Ejecuciones'!$I$5:$I$521,"FAIL")+COUNTIFS('11_Ejecuciones'!$F$5:$F$521,A136,'11_Ejecuciones'!$I$5:$I$521,"BLOCKED")</x:f>
        <x:v>0</x:v>
      </x:c>
      <x:c r="K136" s="32" t="n">
        <x:f>IF(F136=0,0,MIN(1,G136/F136))</x:f>
        <x:v>1</x:v>
      </x:c>
      <x:c r="L136" s="24" t="str">
        <x:f>IF(F136=0,"SIN CASO",IF(J136&gt;0,"FALLO/BLOQUEO",IF(I136&gt;0,"EJECUTADO","PENDIENTE")))</x:f>
        <x:v>PENDIENTE</x:v>
      </x:c>
    </x:row>
    <x:row r="137">
      <x:c r="A137" s="24" t="str">
        <x:v>UX-CHK-004</x:v>
      </x:c>
      <x:c r="B137" s="24" t="str">
        <x:v>Checkout</x:v>
      </x:c>
      <x:c r="C137" s="24" t="str">
        <x:v>P0</x:v>
      </x:c>
      <x:c r="D137" s="24" t="str">
        <x:v>Sprint 17 / H6</x:v>
      </x:c>
      <x:c r="E137" s="24" t="str">
        <x:v>Un fallo no mueve dinero ni stock.</x:v>
      </x:c>
      <x:c r="F137" s="24" t="n">
        <x:f>COUNTIF('03_Casos_Prueba'!$D$5:$D$254,A137)</x:f>
        <x:v>1</x:v>
      </x:c>
      <x:c r="G137" s="24" t="n">
        <x:f>COUNTIFS('03_Casos_Prueba'!$D$5:$D$254,A137,'03_Casos_Prueba'!$R$5:$R$254,"Ready")</x:f>
        <x:v>1</x:v>
      </x:c>
      <x:c r="H137" s="24" t="n">
        <x:f>COUNTIF('11_Ejecuciones'!$F$5:$F$521,A137)</x:f>
        <x:v>1</x:v>
      </x:c>
      <x:c r="I137" s="24" t="n">
        <x:f>COUNTIFS('11_Ejecuciones'!$F$5:$F$521,A137,'11_Ejecuciones'!$I$5:$I$521,"PASS")+COUNTIFS('11_Ejecuciones'!$F$5:$F$521,A137,'11_Ejecuciones'!$I$5:$I$521,"Baseline PASS")</x:f>
        <x:v>0</x:v>
      </x:c>
      <x:c r="J137" s="24" t="n">
        <x:f>COUNTIFS('11_Ejecuciones'!$F$5:$F$521,A137,'11_Ejecuciones'!$I$5:$I$521,"FAIL")+COUNTIFS('11_Ejecuciones'!$F$5:$F$521,A137,'11_Ejecuciones'!$I$5:$I$521,"BLOCKED")</x:f>
        <x:v>0</x:v>
      </x:c>
      <x:c r="K137" s="32" t="n">
        <x:f>IF(F137=0,0,MIN(1,G137/F137))</x:f>
        <x:v>1</x:v>
      </x:c>
      <x:c r="L137" s="24" t="str">
        <x:f>IF(F137=0,"SIN CASO",IF(J137&gt;0,"FALLO/BLOQUEO",IF(I137&gt;0,"EJECUTADO","PENDIENTE")))</x:f>
        <x:v>PENDIENTE</x:v>
      </x:c>
    </x:row>
    <x:row r="138">
      <x:c r="A138" s="24" t="str">
        <x:v>UX-CHK-005</x:v>
      </x:c>
      <x:c r="B138" s="24" t="str">
        <x:v>Checkout</x:v>
      </x:c>
      <x:c r="C138" s="24" t="str">
        <x:v>P0</x:v>
      </x:c>
      <x:c r="D138" s="24" t="str">
        <x:v>Sprint 17 / H6</x:v>
      </x:c>
      <x:c r="E138" s="24" t="str">
        <x:v>La cola avanza después de la venta.</x:v>
      </x:c>
      <x:c r="F138" s="24" t="n">
        <x:f>COUNTIF('03_Casos_Prueba'!$D$5:$D$254,A138)</x:f>
        <x:v>1</x:v>
      </x:c>
      <x:c r="G138" s="24" t="n">
        <x:f>COUNTIFS('03_Casos_Prueba'!$D$5:$D$254,A138,'03_Casos_Prueba'!$R$5:$R$254,"Ready")</x:f>
        <x:v>1</x:v>
      </x:c>
      <x:c r="H138" s="24" t="n">
        <x:f>COUNTIF('11_Ejecuciones'!$F$5:$F$521,A138)</x:f>
        <x:v>1</x:v>
      </x:c>
      <x:c r="I138" s="24" t="n">
        <x:f>COUNTIFS('11_Ejecuciones'!$F$5:$F$521,A138,'11_Ejecuciones'!$I$5:$I$521,"PASS")+COUNTIFS('11_Ejecuciones'!$F$5:$F$521,A138,'11_Ejecuciones'!$I$5:$I$521,"Baseline PASS")</x:f>
        <x:v>0</x:v>
      </x:c>
      <x:c r="J138" s="24" t="n">
        <x:f>COUNTIFS('11_Ejecuciones'!$F$5:$F$521,A138,'11_Ejecuciones'!$I$5:$I$521,"FAIL")+COUNTIFS('11_Ejecuciones'!$F$5:$F$521,A138,'11_Ejecuciones'!$I$5:$I$521,"BLOCKED")</x:f>
        <x:v>0</x:v>
      </x:c>
      <x:c r="K138" s="32" t="n">
        <x:f>IF(F138=0,0,MIN(1,G138/F138))</x:f>
        <x:v>1</x:v>
      </x:c>
      <x:c r="L138" s="24" t="str">
        <x:f>IF(F138=0,"SIN CASO",IF(J138&gt;0,"FALLO/BLOQUEO",IF(I138&gt;0,"EJECUTADO","PENDIENTE")))</x:f>
        <x:v>PENDIENTE</x:v>
      </x:c>
    </x:row>
    <x:row r="139">
      <x:c r="A139" s="24" t="str">
        <x:v>UX-ECO-001</x:v>
      </x:c>
      <x:c r="B139" s="24" t="str">
        <x:v>Economía</x:v>
      </x:c>
      <x:c r="C139" s="24" t="str">
        <x:v>P1</x:v>
      </x:c>
      <x:c r="D139" s="24" t="str">
        <x:v>Sprint 17 / H6</x:v>
      </x:c>
      <x:c r="E139" s="24" t="str">
        <x:v>El saldo se actualiza de forma comprensible.</x:v>
      </x:c>
      <x:c r="F139" s="24" t="n">
        <x:f>COUNTIF('03_Casos_Prueba'!$D$5:$D$254,A139)</x:f>
        <x:v>1</x:v>
      </x:c>
      <x:c r="G139" s="24" t="n">
        <x:f>COUNTIFS('03_Casos_Prueba'!$D$5:$D$254,A139,'03_Casos_Prueba'!$R$5:$R$254,"Ready")</x:f>
        <x:v>1</x:v>
      </x:c>
      <x:c r="H139" s="24" t="n">
        <x:f>COUNTIF('11_Ejecuciones'!$F$5:$F$521,A139)</x:f>
        <x:v>1</x:v>
      </x:c>
      <x:c r="I139" s="24" t="n">
        <x:f>COUNTIFS('11_Ejecuciones'!$F$5:$F$521,A139,'11_Ejecuciones'!$I$5:$I$521,"PASS")+COUNTIFS('11_Ejecuciones'!$F$5:$F$521,A139,'11_Ejecuciones'!$I$5:$I$521,"Baseline PASS")</x:f>
        <x:v>0</x:v>
      </x:c>
      <x:c r="J139" s="24" t="n">
        <x:f>COUNTIFS('11_Ejecuciones'!$F$5:$F$521,A139,'11_Ejecuciones'!$I$5:$I$521,"FAIL")+COUNTIFS('11_Ejecuciones'!$F$5:$F$521,A139,'11_Ejecuciones'!$I$5:$I$521,"BLOCKED")</x:f>
        <x:v>0</x:v>
      </x:c>
      <x:c r="K139" s="32" t="n">
        <x:f>IF(F139=0,0,MIN(1,G139/F139))</x:f>
        <x:v>1</x:v>
      </x:c>
      <x:c r="L139" s="24" t="str">
        <x:f>IF(F139=0,"SIN CASO",IF(J139&gt;0,"FALLO/BLOQUEO",IF(I139&gt;0,"EJECUTADO","PENDIENTE")))</x:f>
        <x:v>PENDIENTE</x:v>
      </x:c>
    </x:row>
    <x:row r="140">
      <x:c r="A140" s="24" t="str">
        <x:v>UX-ECO-002</x:v>
      </x:c>
      <x:c r="B140" s="24" t="str">
        <x:v>Economía</x:v>
      </x:c>
      <x:c r="C140" s="24" t="str">
        <x:v>P1</x:v>
      </x:c>
      <x:c r="D140" s="24" t="str">
        <x:v>Sprint 17 / H6</x:v>
      </x:c>
      <x:c r="E140" s="24" t="str">
        <x:v>Cada movimiento tiene causa consultable.</x:v>
      </x:c>
      <x:c r="F140" s="24" t="n">
        <x:f>COUNTIF('03_Casos_Prueba'!$D$5:$D$254,A140)</x:f>
        <x:v>1</x:v>
      </x:c>
      <x:c r="G140" s="24" t="n">
        <x:f>COUNTIFS('03_Casos_Prueba'!$D$5:$D$254,A140,'03_Casos_Prueba'!$R$5:$R$254,"Ready")</x:f>
        <x:v>1</x:v>
      </x:c>
      <x:c r="H140" s="24" t="n">
        <x:f>COUNTIF('11_Ejecuciones'!$F$5:$F$521,A140)</x:f>
        <x:v>1</x:v>
      </x:c>
      <x:c r="I140" s="24" t="n">
        <x:f>COUNTIFS('11_Ejecuciones'!$F$5:$F$521,A140,'11_Ejecuciones'!$I$5:$I$521,"PASS")+COUNTIFS('11_Ejecuciones'!$F$5:$F$521,A140,'11_Ejecuciones'!$I$5:$I$521,"Baseline PASS")</x:f>
        <x:v>0</x:v>
      </x:c>
      <x:c r="J140" s="24" t="n">
        <x:f>COUNTIFS('11_Ejecuciones'!$F$5:$F$521,A140,'11_Ejecuciones'!$I$5:$I$521,"FAIL")+COUNTIFS('11_Ejecuciones'!$F$5:$F$521,A140,'11_Ejecuciones'!$I$5:$I$521,"BLOCKED")</x:f>
        <x:v>0</x:v>
      </x:c>
      <x:c r="K140" s="32" t="n">
        <x:f>IF(F140=0,0,MIN(1,G140/F140))</x:f>
        <x:v>1</x:v>
      </x:c>
      <x:c r="L140" s="24" t="str">
        <x:f>IF(F140=0,"SIN CASO",IF(J140&gt;0,"FALLO/BLOQUEO",IF(I140&gt;0,"EJECUTADO","PENDIENTE")))</x:f>
        <x:v>PENDIENTE</x:v>
      </x:c>
    </x:row>
    <x:row r="141">
      <x:c r="A141" s="24" t="str">
        <x:v>UX-ECO-003</x:v>
      </x:c>
      <x:c r="B141" s="24" t="str">
        <x:v>Economía</x:v>
      </x:c>
      <x:c r="C141" s="24" t="str">
        <x:v>P1</x:v>
      </x:c>
      <x:c r="D141" s="24" t="str">
        <x:v>Sprint 17 / H6</x:v>
      </x:c>
      <x:c r="E141" s="24" t="str">
        <x:v>Results separa ingresos, costes y beneficio.</x:v>
      </x:c>
      <x:c r="F141" s="24" t="n">
        <x:f>COUNTIF('03_Casos_Prueba'!$D$5:$D$254,A141)</x:f>
        <x:v>1</x:v>
      </x:c>
      <x:c r="G141" s="24" t="n">
        <x:f>COUNTIFS('03_Casos_Prueba'!$D$5:$D$254,A141,'03_Casos_Prueba'!$R$5:$R$254,"Ready")</x:f>
        <x:v>1</x:v>
      </x:c>
      <x:c r="H141" s="24" t="n">
        <x:f>COUNTIF('11_Ejecuciones'!$F$5:$F$521,A141)</x:f>
        <x:v>1</x:v>
      </x:c>
      <x:c r="I141" s="24" t="n">
        <x:f>COUNTIFS('11_Ejecuciones'!$F$5:$F$521,A141,'11_Ejecuciones'!$I$5:$I$521,"PASS")+COUNTIFS('11_Ejecuciones'!$F$5:$F$521,A141,'11_Ejecuciones'!$I$5:$I$521,"Baseline PASS")</x:f>
        <x:v>0</x:v>
      </x:c>
      <x:c r="J141" s="24" t="n">
        <x:f>COUNTIFS('11_Ejecuciones'!$F$5:$F$521,A141,'11_Ejecuciones'!$I$5:$I$521,"FAIL")+COUNTIFS('11_Ejecuciones'!$F$5:$F$521,A141,'11_Ejecuciones'!$I$5:$I$521,"BLOCKED")</x:f>
        <x:v>0</x:v>
      </x:c>
      <x:c r="K141" s="32" t="n">
        <x:f>IF(F141=0,0,MIN(1,G141/F141))</x:f>
        <x:v>1</x:v>
      </x:c>
      <x:c r="L141" s="24" t="str">
        <x:f>IF(F141=0,"SIN CASO",IF(J141&gt;0,"FALLO/BLOQUEO",IF(I141&gt;0,"EJECUTADO","PENDIENTE")))</x:f>
        <x:v>PENDIENTE</x:v>
      </x:c>
    </x:row>
    <x:row r="142">
      <x:c r="A142" s="24" t="str">
        <x:v>UX-SAV-001</x:v>
      </x:c>
      <x:c r="B142" s="24" t="str">
        <x:v>Persistencia</x:v>
      </x:c>
      <x:c r="C142" s="24" t="str">
        <x:v>P0</x:v>
      </x:c>
      <x:c r="D142" s="24" t="str">
        <x:v>Sprint 17 / H6</x:v>
      </x:c>
      <x:c r="E142" s="24" t="str">
        <x:v>Guardar muestra progreso y resultado real.</x:v>
      </x:c>
      <x:c r="F142" s="24" t="n">
        <x:f>COUNTIF('03_Casos_Prueba'!$D$5:$D$254,A142)</x:f>
        <x:v>1</x:v>
      </x:c>
      <x:c r="G142" s="24" t="n">
        <x:f>COUNTIFS('03_Casos_Prueba'!$D$5:$D$254,A142,'03_Casos_Prueba'!$R$5:$R$254,"Ready")</x:f>
        <x:v>1</x:v>
      </x:c>
      <x:c r="H142" s="24" t="n">
        <x:f>COUNTIF('11_Ejecuciones'!$F$5:$F$521,A142)</x:f>
        <x:v>1</x:v>
      </x:c>
      <x:c r="I142" s="24" t="n">
        <x:f>COUNTIFS('11_Ejecuciones'!$F$5:$F$521,A142,'11_Ejecuciones'!$I$5:$I$521,"PASS")+COUNTIFS('11_Ejecuciones'!$F$5:$F$521,A142,'11_Ejecuciones'!$I$5:$I$521,"Baseline PASS")</x:f>
        <x:v>0</x:v>
      </x:c>
      <x:c r="J142" s="24" t="n">
        <x:f>COUNTIFS('11_Ejecuciones'!$F$5:$F$521,A142,'11_Ejecuciones'!$I$5:$I$521,"FAIL")+COUNTIFS('11_Ejecuciones'!$F$5:$F$521,A142,'11_Ejecuciones'!$I$5:$I$521,"BLOCKED")</x:f>
        <x:v>0</x:v>
      </x:c>
      <x:c r="K142" s="32" t="n">
        <x:f>IF(F142=0,0,MIN(1,G142/F142))</x:f>
        <x:v>1</x:v>
      </x:c>
      <x:c r="L142" s="24" t="str">
        <x:f>IF(F142=0,"SIN CASO",IF(J142&gt;0,"FALLO/BLOQUEO",IF(I142&gt;0,"EJECUTADO","PENDIENTE")))</x:f>
        <x:v>PENDIENTE</x:v>
      </x:c>
    </x:row>
    <x:row r="143">
      <x:c r="A143" s="24" t="str">
        <x:v>UX-SAV-002</x:v>
      </x:c>
      <x:c r="B143" s="24" t="str">
        <x:v>Persistencia</x:v>
      </x:c>
      <x:c r="C143" s="24" t="str">
        <x:v>P0</x:v>
      </x:c>
      <x:c r="D143" s="24" t="str">
        <x:v>Sprint 17 / H6</x:v>
      </x:c>
      <x:c r="E143" s="24" t="str">
        <x:v>Un error de guardado permanece visible.</x:v>
      </x:c>
      <x:c r="F143" s="24" t="n">
        <x:f>COUNTIF('03_Casos_Prueba'!$D$5:$D$254,A143)</x:f>
        <x:v>1</x:v>
      </x:c>
      <x:c r="G143" s="24" t="n">
        <x:f>COUNTIFS('03_Casos_Prueba'!$D$5:$D$254,A143,'03_Casos_Prueba'!$R$5:$R$254,"Ready")</x:f>
        <x:v>1</x:v>
      </x:c>
      <x:c r="H143" s="24" t="n">
        <x:f>COUNTIF('11_Ejecuciones'!$F$5:$F$521,A143)</x:f>
        <x:v>1</x:v>
      </x:c>
      <x:c r="I143" s="24" t="n">
        <x:f>COUNTIFS('11_Ejecuciones'!$F$5:$F$521,A143,'11_Ejecuciones'!$I$5:$I$521,"PASS")+COUNTIFS('11_Ejecuciones'!$F$5:$F$521,A143,'11_Ejecuciones'!$I$5:$I$521,"Baseline PASS")</x:f>
        <x:v>0</x:v>
      </x:c>
      <x:c r="J143" s="24" t="n">
        <x:f>COUNTIFS('11_Ejecuciones'!$F$5:$F$521,A143,'11_Ejecuciones'!$I$5:$I$521,"FAIL")+COUNTIFS('11_Ejecuciones'!$F$5:$F$521,A143,'11_Ejecuciones'!$I$5:$I$521,"BLOCKED")</x:f>
        <x:v>0</x:v>
      </x:c>
      <x:c r="K143" s="32" t="n">
        <x:f>IF(F143=0,0,MIN(1,G143/F143))</x:f>
        <x:v>1</x:v>
      </x:c>
      <x:c r="L143" s="24" t="str">
        <x:f>IF(F143=0,"SIN CASO",IF(J143&gt;0,"FALLO/BLOQUEO",IF(I143&gt;0,"EJECUTADO","PENDIENTE")))</x:f>
        <x:v>PENDIENTE</x:v>
      </x:c>
    </x:row>
    <x:row r="144">
      <x:c r="A144" s="24" t="str">
        <x:v>UX-SAV-003</x:v>
      </x:c>
      <x:c r="B144" s="24" t="str">
        <x:v>Persistencia</x:v>
      </x:c>
      <x:c r="C144" s="24" t="str">
        <x:v>P0</x:v>
      </x:c>
      <x:c r="D144" s="24" t="str">
        <x:v>Sprint 17 / H6</x:v>
      </x:c>
      <x:c r="E144" s="24" t="str">
        <x:v>Cargar conserva estado relevante.</x:v>
      </x:c>
      <x:c r="F144" s="24" t="n">
        <x:f>COUNTIF('03_Casos_Prueba'!$D$5:$D$254,A144)</x:f>
        <x:v>1</x:v>
      </x:c>
      <x:c r="G144" s="24" t="n">
        <x:f>COUNTIFS('03_Casos_Prueba'!$D$5:$D$254,A144,'03_Casos_Prueba'!$R$5:$R$254,"Ready")</x:f>
        <x:v>1</x:v>
      </x:c>
      <x:c r="H144" s="24" t="n">
        <x:f>COUNTIF('11_Ejecuciones'!$F$5:$F$521,A144)</x:f>
        <x:v>1</x:v>
      </x:c>
      <x:c r="I144" s="24" t="n">
        <x:f>COUNTIFS('11_Ejecuciones'!$F$5:$F$521,A144,'11_Ejecuciones'!$I$5:$I$521,"PASS")+COUNTIFS('11_Ejecuciones'!$F$5:$F$521,A144,'11_Ejecuciones'!$I$5:$I$521,"Baseline PASS")</x:f>
        <x:v>0</x:v>
      </x:c>
      <x:c r="J144" s="24" t="n">
        <x:f>COUNTIFS('11_Ejecuciones'!$F$5:$F$521,A144,'11_Ejecuciones'!$I$5:$I$521,"FAIL")+COUNTIFS('11_Ejecuciones'!$F$5:$F$521,A144,'11_Ejecuciones'!$I$5:$I$521,"BLOCKED")</x:f>
        <x:v>0</x:v>
      </x:c>
      <x:c r="K144" s="32" t="n">
        <x:f>IF(F144=0,0,MIN(1,G144/F144))</x:f>
        <x:v>1</x:v>
      </x:c>
      <x:c r="L144" s="24" t="str">
        <x:f>IF(F144=0,"SIN CASO",IF(J144&gt;0,"FALLO/BLOQUEO",IF(I144&gt;0,"EJECUTADO","PENDIENTE")))</x:f>
        <x:v>PENDIENTE</x:v>
      </x:c>
    </x:row>
    <x:row r="145">
      <x:c r="A145" s="24" t="str">
        <x:v>UX-SAV-004</x:v>
      </x:c>
      <x:c r="B145" s="24" t="str">
        <x:v>Persistencia</x:v>
      </x:c>
      <x:c r="C145" s="24" t="str">
        <x:v>P0</x:v>
      </x:c>
      <x:c r="D145" s="24" t="str">
        <x:v>Sprint 17 / H6</x:v>
      </x:c>
      <x:c r="E145" s="24" t="str">
        <x:v>Salir con cambios ofrece opciones claras.</x:v>
      </x:c>
      <x:c r="F145" s="24" t="n">
        <x:f>COUNTIF('03_Casos_Prueba'!$D$5:$D$254,A145)</x:f>
        <x:v>1</x:v>
      </x:c>
      <x:c r="G145" s="24" t="n">
        <x:f>COUNTIFS('03_Casos_Prueba'!$D$5:$D$254,A145,'03_Casos_Prueba'!$R$5:$R$254,"Ready")</x:f>
        <x:v>1</x:v>
      </x:c>
      <x:c r="H145" s="24" t="n">
        <x:f>COUNTIF('11_Ejecuciones'!$F$5:$F$521,A145)</x:f>
        <x:v>1</x:v>
      </x:c>
      <x:c r="I145" s="24" t="n">
        <x:f>COUNTIFS('11_Ejecuciones'!$F$5:$F$521,A145,'11_Ejecuciones'!$I$5:$I$521,"PASS")+COUNTIFS('11_Ejecuciones'!$F$5:$F$521,A145,'11_Ejecuciones'!$I$5:$I$521,"Baseline PASS")</x:f>
        <x:v>0</x:v>
      </x:c>
      <x:c r="J145" s="24" t="n">
        <x:f>COUNTIFS('11_Ejecuciones'!$F$5:$F$521,A145,'11_Ejecuciones'!$I$5:$I$521,"FAIL")+COUNTIFS('11_Ejecuciones'!$F$5:$F$521,A145,'11_Ejecuciones'!$I$5:$I$521,"BLOCKED")</x:f>
        <x:v>0</x:v>
      </x:c>
      <x:c r="K145" s="32" t="n">
        <x:f>IF(F145=0,0,MIN(1,G145/F145))</x:f>
        <x:v>1</x:v>
      </x:c>
      <x:c r="L145" s="24" t="str">
        <x:f>IF(F145=0,"SIN CASO",IF(J145&gt;0,"FALLO/BLOQUEO",IF(I145&gt;0,"EJECUTADO","PENDIENTE")))</x:f>
        <x:v>PENDIENTE</x:v>
      </x:c>
    </x:row>
    <x:row r="146">
      <x:c r="A146" s="24" t="str">
        <x:v>UX-ACC-001</x:v>
      </x:c>
      <x:c r="B146" s="24" t="str">
        <x:v>Accesibilidad</x:v>
      </x:c>
      <x:c r="C146" s="24" t="str">
        <x:v>P2</x:v>
      </x:c>
      <x:c r="D146" s="24" t="str">
        <x:v>Sprint 17 / H6</x:v>
      </x:c>
      <x:c r="E146" s="24" t="str">
        <x:v>Los estados críticos no dependen solo del color.</x:v>
      </x:c>
      <x:c r="F146" s="24" t="n">
        <x:f>COUNTIF('03_Casos_Prueba'!$D$5:$D$254,A146)</x:f>
        <x:v>1</x:v>
      </x:c>
      <x:c r="G146" s="24" t="n">
        <x:f>COUNTIFS('03_Casos_Prueba'!$D$5:$D$254,A146,'03_Casos_Prueba'!$R$5:$R$254,"Ready")</x:f>
        <x:v>1</x:v>
      </x:c>
      <x:c r="H146" s="24" t="n">
        <x:f>COUNTIF('11_Ejecuciones'!$F$5:$F$521,A146)</x:f>
        <x:v>1</x:v>
      </x:c>
      <x:c r="I146" s="24" t="n">
        <x:f>COUNTIFS('11_Ejecuciones'!$F$5:$F$521,A146,'11_Ejecuciones'!$I$5:$I$521,"PASS")+COUNTIFS('11_Ejecuciones'!$F$5:$F$521,A146,'11_Ejecuciones'!$I$5:$I$521,"Baseline PASS")</x:f>
        <x:v>0</x:v>
      </x:c>
      <x:c r="J146" s="24" t="n">
        <x:f>COUNTIFS('11_Ejecuciones'!$F$5:$F$521,A146,'11_Ejecuciones'!$I$5:$I$521,"FAIL")+COUNTIFS('11_Ejecuciones'!$F$5:$F$521,A146,'11_Ejecuciones'!$I$5:$I$521,"BLOCKED")</x:f>
        <x:v>0</x:v>
      </x:c>
      <x:c r="K146" s="32" t="n">
        <x:f>IF(F146=0,0,MIN(1,G146/F146))</x:f>
        <x:v>1</x:v>
      </x:c>
      <x:c r="L146" s="24" t="str">
        <x:f>IF(F146=0,"SIN CASO",IF(J146&gt;0,"FALLO/BLOQUEO",IF(I146&gt;0,"EJECUTADO","PENDIENTE")))</x:f>
        <x:v>PENDIENTE</x:v>
      </x:c>
    </x:row>
    <x:row r="147">
      <x:c r="A147" s="24" t="str">
        <x:v>UX-ACC-002</x:v>
      </x:c>
      <x:c r="B147" s="24" t="str">
        <x:v>Accesibilidad</x:v>
      </x:c>
      <x:c r="C147" s="24" t="str">
        <x:v>P2</x:v>
      </x:c>
      <x:c r="D147" s="24" t="str">
        <x:v>Sprint 17 / H6</x:v>
      </x:c>
      <x:c r="E147" s="24" t="str">
        <x:v>La escala de UI es configurable.</x:v>
      </x:c>
      <x:c r="F147" s="24" t="n">
        <x:f>COUNTIF('03_Casos_Prueba'!$D$5:$D$254,A147)</x:f>
        <x:v>1</x:v>
      </x:c>
      <x:c r="G147" s="24" t="n">
        <x:f>COUNTIFS('03_Casos_Prueba'!$D$5:$D$254,A147,'03_Casos_Prueba'!$R$5:$R$254,"Ready")</x:f>
        <x:v>1</x:v>
      </x:c>
      <x:c r="H147" s="24" t="n">
        <x:f>COUNTIF('11_Ejecuciones'!$F$5:$F$521,A147)</x:f>
        <x:v>1</x:v>
      </x:c>
      <x:c r="I147" s="24" t="n">
        <x:f>COUNTIFS('11_Ejecuciones'!$F$5:$F$521,A147,'11_Ejecuciones'!$I$5:$I$521,"PASS")+COUNTIFS('11_Ejecuciones'!$F$5:$F$521,A147,'11_Ejecuciones'!$I$5:$I$521,"Baseline PASS")</x:f>
        <x:v>0</x:v>
      </x:c>
      <x:c r="J147" s="24" t="n">
        <x:f>COUNTIFS('11_Ejecuciones'!$F$5:$F$521,A147,'11_Ejecuciones'!$I$5:$I$521,"FAIL")+COUNTIFS('11_Ejecuciones'!$F$5:$F$521,A147,'11_Ejecuciones'!$I$5:$I$521,"BLOCKED")</x:f>
        <x:v>0</x:v>
      </x:c>
      <x:c r="K147" s="32" t="n">
        <x:f>IF(F147=0,0,MIN(1,G147/F147))</x:f>
        <x:v>1</x:v>
      </x:c>
      <x:c r="L147" s="24" t="str">
        <x:f>IF(F147=0,"SIN CASO",IF(J147&gt;0,"FALLO/BLOQUEO",IF(I147&gt;0,"EJECUTADO","PENDIENTE")))</x:f>
        <x:v>PENDIENTE</x:v>
      </x:c>
    </x:row>
    <x:row r="148">
      <x:c r="A148" s="24" t="str">
        <x:v>UX-ACC-003</x:v>
      </x:c>
      <x:c r="B148" s="24" t="str">
        <x:v>Accesibilidad</x:v>
      </x:c>
      <x:c r="C148" s="24" t="str">
        <x:v>P2</x:v>
      </x:c>
      <x:c r="D148" s="24" t="str">
        <x:v>Sprint 17 / H6</x:v>
      </x:c>
      <x:c r="E148" s="24" t="str">
        <x:v>La velocidad de cámara es configurable.</x:v>
      </x:c>
      <x:c r="F148" s="24" t="n">
        <x:f>COUNTIF('03_Casos_Prueba'!$D$5:$D$254,A148)</x:f>
        <x:v>1</x:v>
      </x:c>
      <x:c r="G148" s="24" t="n">
        <x:f>COUNTIFS('03_Casos_Prueba'!$D$5:$D$254,A148,'03_Casos_Prueba'!$R$5:$R$254,"Ready")</x:f>
        <x:v>1</x:v>
      </x:c>
      <x:c r="H148" s="24" t="n">
        <x:f>COUNTIF('11_Ejecuciones'!$F$5:$F$521,A148)</x:f>
        <x:v>1</x:v>
      </x:c>
      <x:c r="I148" s="24" t="n">
        <x:f>COUNTIFS('11_Ejecuciones'!$F$5:$F$521,A148,'11_Ejecuciones'!$I$5:$I$521,"PASS")+COUNTIFS('11_Ejecuciones'!$F$5:$F$521,A148,'11_Ejecuciones'!$I$5:$I$521,"Baseline PASS")</x:f>
        <x:v>0</x:v>
      </x:c>
      <x:c r="J148" s="24" t="n">
        <x:f>COUNTIFS('11_Ejecuciones'!$F$5:$F$521,A148,'11_Ejecuciones'!$I$5:$I$521,"FAIL")+COUNTIFS('11_Ejecuciones'!$F$5:$F$521,A148,'11_Ejecuciones'!$I$5:$I$521,"BLOCKED")</x:f>
        <x:v>0</x:v>
      </x:c>
      <x:c r="K148" s="32" t="n">
        <x:f>IF(F148=0,0,MIN(1,G148/F148))</x:f>
        <x:v>1</x:v>
      </x:c>
      <x:c r="L148" s="24" t="str">
        <x:f>IF(F148=0,"SIN CASO",IF(J148&gt;0,"FALLO/BLOQUEO",IF(I148&gt;0,"EJECUTADO","PENDIENTE")))</x:f>
        <x:v>PENDIENTE</x:v>
      </x:c>
    </x:row>
    <x:row r="149">
      <x:c r="A149" s="24" t="str">
        <x:v>UX-ACC-004</x:v>
      </x:c>
      <x:c r="B149" s="24" t="str">
        <x:v>Accesibilidad</x:v>
      </x:c>
      <x:c r="C149" s="24" t="str">
        <x:v>P2</x:v>
      </x:c>
      <x:c r="D149" s="24" t="str">
        <x:v>Sprint 17 / H6</x:v>
      </x:c>
      <x:c r="E149" s="24" t="str">
        <x:v>Los avisos importantes tienen alternativa visual.</x:v>
      </x:c>
      <x:c r="F149" s="24" t="n">
        <x:f>COUNTIF('03_Casos_Prueba'!$D$5:$D$254,A149)</x:f>
        <x:v>1</x:v>
      </x:c>
      <x:c r="G149" s="24" t="n">
        <x:f>COUNTIFS('03_Casos_Prueba'!$D$5:$D$254,A149,'03_Casos_Prueba'!$R$5:$R$254,"Ready")</x:f>
        <x:v>1</x:v>
      </x:c>
      <x:c r="H149" s="24" t="n">
        <x:f>COUNTIF('11_Ejecuciones'!$F$5:$F$521,A149)</x:f>
        <x:v>1</x:v>
      </x:c>
      <x:c r="I149" s="24" t="n">
        <x:f>COUNTIFS('11_Ejecuciones'!$F$5:$F$521,A149,'11_Ejecuciones'!$I$5:$I$521,"PASS")+COUNTIFS('11_Ejecuciones'!$F$5:$F$521,A149,'11_Ejecuciones'!$I$5:$I$521,"Baseline PASS")</x:f>
        <x:v>0</x:v>
      </x:c>
      <x:c r="J149" s="24" t="n">
        <x:f>COUNTIFS('11_Ejecuciones'!$F$5:$F$521,A149,'11_Ejecuciones'!$I$5:$I$521,"FAIL")+COUNTIFS('11_Ejecuciones'!$F$5:$F$521,A149,'11_Ejecuciones'!$I$5:$I$521,"BLOCKED")</x:f>
        <x:v>0</x:v>
      </x:c>
      <x:c r="K149" s="32" t="n">
        <x:f>IF(F149=0,0,MIN(1,G149/F149))</x:f>
        <x:v>1</x:v>
      </x:c>
      <x:c r="L149" s="24" t="str">
        <x:f>IF(F149=0,"SIN CASO",IF(J149&gt;0,"FALLO/BLOQUEO",IF(I149&gt;0,"EJECUTADO","PENDIENTE")))</x:f>
        <x:v>PENDIENTE</x:v>
      </x:c>
    </x:row>
    <x:row r="150">
      <x:c r="A150" s="24" t="str">
        <x:v>UX-ACC-005</x:v>
      </x:c>
      <x:c r="B150" s="24" t="str">
        <x:v>Accesibilidad</x:v>
      </x:c>
      <x:c r="C150" s="24" t="str">
        <x:v>P2</x:v>
      </x:c>
      <x:c r="D150" s="24" t="str">
        <x:v>Sprint 17 / H6</x:v>
      </x:c>
      <x:c r="E150" s="24" t="str">
        <x:v>La lectura puede realizarse con simulación pausada.</x:v>
      </x:c>
      <x:c r="F150" s="24" t="n">
        <x:f>COUNTIF('03_Casos_Prueba'!$D$5:$D$254,A150)</x:f>
        <x:v>1</x:v>
      </x:c>
      <x:c r="G150" s="24" t="n">
        <x:f>COUNTIFS('03_Casos_Prueba'!$D$5:$D$254,A150,'03_Casos_Prueba'!$R$5:$R$254,"Ready")</x:f>
        <x:v>1</x:v>
      </x:c>
      <x:c r="H150" s="24" t="n">
        <x:f>COUNTIF('11_Ejecuciones'!$F$5:$F$521,A150)</x:f>
        <x:v>1</x:v>
      </x:c>
      <x:c r="I150" s="24" t="n">
        <x:f>COUNTIFS('11_Ejecuciones'!$F$5:$F$521,A150,'11_Ejecuciones'!$I$5:$I$521,"PASS")+COUNTIFS('11_Ejecuciones'!$F$5:$F$521,A150,'11_Ejecuciones'!$I$5:$I$521,"Baseline PASS")</x:f>
        <x:v>0</x:v>
      </x:c>
      <x:c r="J150" s="24" t="n">
        <x:f>COUNTIFS('11_Ejecuciones'!$F$5:$F$521,A150,'11_Ejecuciones'!$I$5:$I$521,"FAIL")+COUNTIFS('11_Ejecuciones'!$F$5:$F$521,A150,'11_Ejecuciones'!$I$5:$I$521,"BLOCKED")</x:f>
        <x:v>0</x:v>
      </x:c>
      <x:c r="K150" s="32" t="n">
        <x:f>IF(F150=0,0,MIN(1,G150/F150))</x:f>
        <x:v>1</x:v>
      </x:c>
      <x:c r="L150" s="24" t="str">
        <x:f>IF(F150=0,"SIN CASO",IF(J150&gt;0,"FALLO/BLOQUEO",IF(I150&gt;0,"EJECUTADO","PENDIENTE")))</x:f>
        <x:v>PENDIENTE</x:v>
      </x:c>
    </x:row>
    <x:row r="151">
      <x:c r="A151" s="24" t="str">
        <x:v>UX-LOC-001</x:v>
      </x:c>
      <x:c r="B151" s="24" t="str">
        <x:v>Localización</x:v>
      </x:c>
      <x:c r="C151" s="24" t="str">
        <x:v>P2</x:v>
      </x:c>
      <x:c r="D151" s="24" t="str">
        <x:v>Sprint 17 / H6</x:v>
      </x:c>
      <x:c r="E151" s="24" t="str">
        <x:v>ES y EN no presentan truncamientos críticos.</x:v>
      </x:c>
      <x:c r="F151" s="24" t="n">
        <x:f>COUNTIF('03_Casos_Prueba'!$D$5:$D$254,A151)</x:f>
        <x:v>1</x:v>
      </x:c>
      <x:c r="G151" s="24" t="n">
        <x:f>COUNTIFS('03_Casos_Prueba'!$D$5:$D$254,A151,'03_Casos_Prueba'!$R$5:$R$254,"Ready")</x:f>
        <x:v>1</x:v>
      </x:c>
      <x:c r="H151" s="24" t="n">
        <x:f>COUNTIF('11_Ejecuciones'!$F$5:$F$521,A151)</x:f>
        <x:v>1</x:v>
      </x:c>
      <x:c r="I151" s="24" t="n">
        <x:f>COUNTIFS('11_Ejecuciones'!$F$5:$F$521,A151,'11_Ejecuciones'!$I$5:$I$521,"PASS")+COUNTIFS('11_Ejecuciones'!$F$5:$F$521,A151,'11_Ejecuciones'!$I$5:$I$521,"Baseline PASS")</x:f>
        <x:v>0</x:v>
      </x:c>
      <x:c r="J151" s="24" t="n">
        <x:f>COUNTIFS('11_Ejecuciones'!$F$5:$F$521,A151,'11_Ejecuciones'!$I$5:$I$521,"FAIL")+COUNTIFS('11_Ejecuciones'!$F$5:$F$521,A151,'11_Ejecuciones'!$I$5:$I$521,"BLOCKED")</x:f>
        <x:v>0</x:v>
      </x:c>
      <x:c r="K151" s="32" t="n">
        <x:f>IF(F151=0,0,MIN(1,G151/F151))</x:f>
        <x:v>1</x:v>
      </x:c>
      <x:c r="L151" s="24" t="str">
        <x:f>IF(F151=0,"SIN CASO",IF(J151&gt;0,"FALLO/BLOQUEO",IF(I151&gt;0,"EJECUTADO","PENDIENTE")))</x:f>
        <x:v>PENDIENTE</x:v>
      </x:c>
    </x:row>
    <x:row r="152">
      <x:c r="A152" s="24" t="str">
        <x:v>UX-GP-001</x:v>
      </x:c>
      <x:c r="B152" s="24" t="str">
        <x:v>Golden Path</x:v>
      </x:c>
      <x:c r="C152" s="24" t="str">
        <x:v>P0</x:v>
      </x:c>
      <x:c r="D152" s="24" t="str">
        <x:v>Sprint 17 / H6</x:v>
      </x:c>
      <x:c r="E152" s="24" t="str">
        <x:v>El Golden Path se completa sin herramientas de Editor.</x:v>
      </x:c>
      <x:c r="F152" s="24" t="n">
        <x:f>COUNTIF('03_Casos_Prueba'!$D$5:$D$254,A152)</x:f>
        <x:v>1</x:v>
      </x:c>
      <x:c r="G152" s="24" t="n">
        <x:f>COUNTIFS('03_Casos_Prueba'!$D$5:$D$254,A152,'03_Casos_Prueba'!$R$5:$R$254,"Ready")</x:f>
        <x:v>1</x:v>
      </x:c>
      <x:c r="H152" s="24" t="n">
        <x:f>COUNTIF('11_Ejecuciones'!$F$5:$F$521,A152)</x:f>
        <x:v>1</x:v>
      </x:c>
      <x:c r="I152" s="24" t="n">
        <x:f>COUNTIFS('11_Ejecuciones'!$F$5:$F$521,A152,'11_Ejecuciones'!$I$5:$I$521,"PASS")+COUNTIFS('11_Ejecuciones'!$F$5:$F$521,A152,'11_Ejecuciones'!$I$5:$I$521,"Baseline PASS")</x:f>
        <x:v>0</x:v>
      </x:c>
      <x:c r="J152" s="24" t="n">
        <x:f>COUNTIFS('11_Ejecuciones'!$F$5:$F$521,A152,'11_Ejecuciones'!$I$5:$I$521,"FAIL")+COUNTIFS('11_Ejecuciones'!$F$5:$F$521,A152,'11_Ejecuciones'!$I$5:$I$521,"BLOCKED")</x:f>
        <x:v>0</x:v>
      </x:c>
      <x:c r="K152" s="32" t="n">
        <x:f>IF(F152=0,0,MIN(1,G152/F152))</x:f>
        <x:v>1</x:v>
      </x:c>
      <x:c r="L152" s="24" t="str">
        <x:f>IF(F152=0,"SIN CASO",IF(J152&gt;0,"FALLO/BLOQUEO",IF(I152&gt;0,"EJECUTADO","PENDIENTE")))</x:f>
        <x:v>PENDIENTE</x:v>
      </x:c>
    </x:row>
    <x:row r="153">
      <x:c r="A153" s="24" t="str">
        <x:v>UX-GP-002</x:v>
      </x:c>
      <x:c r="B153" s="24" t="str">
        <x:v>Golden Path</x:v>
      </x:c>
      <x:c r="C153" s="24" t="str">
        <x:v>P0</x:v>
      </x:c>
      <x:c r="D153" s="24" t="str">
        <x:v>Sprint 17 / H6</x:v>
      </x:c>
      <x:c r="E153" s="24" t="str">
        <x:v>El recorrido se completa en StoreInitial.</x:v>
      </x:c>
      <x:c r="F153" s="24" t="n">
        <x:f>COUNTIF('03_Casos_Prueba'!$D$5:$D$254,A153)</x:f>
        <x:v>1</x:v>
      </x:c>
      <x:c r="G153" s="24" t="n">
        <x:f>COUNTIFS('03_Casos_Prueba'!$D$5:$D$254,A153,'03_Casos_Prueba'!$R$5:$R$254,"Ready")</x:f>
        <x:v>1</x:v>
      </x:c>
      <x:c r="H153" s="24" t="n">
        <x:f>COUNTIF('11_Ejecuciones'!$F$5:$F$521,A153)</x:f>
        <x:v>1</x:v>
      </x:c>
      <x:c r="I153" s="24" t="n">
        <x:f>COUNTIFS('11_Ejecuciones'!$F$5:$F$521,A153,'11_Ejecuciones'!$I$5:$I$521,"PASS")+COUNTIFS('11_Ejecuciones'!$F$5:$F$521,A153,'11_Ejecuciones'!$I$5:$I$521,"Baseline PASS")</x:f>
        <x:v>0</x:v>
      </x:c>
      <x:c r="J153" s="24" t="n">
        <x:f>COUNTIFS('11_Ejecuciones'!$F$5:$F$521,A153,'11_Ejecuciones'!$I$5:$I$521,"FAIL")+COUNTIFS('11_Ejecuciones'!$F$5:$F$521,A153,'11_Ejecuciones'!$I$5:$I$521,"BLOCKED")</x:f>
        <x:v>0</x:v>
      </x:c>
      <x:c r="K153" s="32" t="n">
        <x:f>IF(F153=0,0,MIN(1,G153/F153))</x:f>
        <x:v>1</x:v>
      </x:c>
      <x:c r="L153" s="24" t="str">
        <x:f>IF(F153=0,"SIN CASO",IF(J153&gt;0,"FALLO/BLOQUEO",IF(I153&gt;0,"EJECUTADO","PENDIENTE")))</x:f>
        <x:v>PENDIENTE</x:v>
      </x:c>
    </x:row>
    <x:row r="154">
      <x:c r="A154" s="24" t="str">
        <x:v>UX-GP-003</x:v>
      </x:c>
      <x:c r="B154" s="24" t="str">
        <x:v>Golden Path</x:v>
      </x:c>
      <x:c r="C154" s="24" t="str">
        <x:v>P0</x:v>
      </x:c>
      <x:c r="D154" s="24" t="str">
        <x:v>Sprint 17 / H6</x:v>
      </x:c>
      <x:c r="E154" s="24" t="str">
        <x:v>Guardar y cargar conserva equivalencia observable.</x:v>
      </x:c>
      <x:c r="F154" s="24" t="n">
        <x:f>COUNTIF('03_Casos_Prueba'!$D$5:$D$254,A154)</x:f>
        <x:v>1</x:v>
      </x:c>
      <x:c r="G154" s="24" t="n">
        <x:f>COUNTIFS('03_Casos_Prueba'!$D$5:$D$254,A154,'03_Casos_Prueba'!$R$5:$R$254,"Ready")</x:f>
        <x:v>1</x:v>
      </x:c>
      <x:c r="H154" s="24" t="n">
        <x:f>COUNTIF('11_Ejecuciones'!$F$5:$F$521,A154)</x:f>
        <x:v>1</x:v>
      </x:c>
      <x:c r="I154" s="24" t="n">
        <x:f>COUNTIFS('11_Ejecuciones'!$F$5:$F$521,A154,'11_Ejecuciones'!$I$5:$I$521,"PASS")+COUNTIFS('11_Ejecuciones'!$F$5:$F$521,A154,'11_Ejecuciones'!$I$5:$I$521,"Baseline PASS")</x:f>
        <x:v>0</x:v>
      </x:c>
      <x:c r="J154" s="24" t="n">
        <x:f>COUNTIFS('11_Ejecuciones'!$F$5:$F$521,A154,'11_Ejecuciones'!$I$5:$I$521,"FAIL")+COUNTIFS('11_Ejecuciones'!$F$5:$F$521,A154,'11_Ejecuciones'!$I$5:$I$521,"BLOCKED")</x:f>
        <x:v>0</x:v>
      </x:c>
      <x:c r="K154" s="32" t="n">
        <x:f>IF(F154=0,0,MIN(1,G154/F154))</x:f>
        <x:v>1</x:v>
      </x:c>
      <x:c r="L154" s="24" t="str">
        <x:f>IF(F154=0,"SIN CASO",IF(J154&gt;0,"FALLO/BLOQUEO",IF(I154&gt;0,"EJECUTADO","PENDIENTE")))</x:f>
        <x:v>PENDIENTE</x:v>
      </x:c>
    </x:row>
    <x:row r="155">
      <x:c r="A155" s="24" t="str">
        <x:v>UX-GP-004</x:v>
      </x:c>
      <x:c r="B155" s="24" t="str">
        <x:v>Golden Path</x:v>
      </x:c>
      <x:c r="C155" s="24" t="str">
        <x:v>P0</x:v>
      </x:c>
      <x:c r="D155" s="24" t="str">
        <x:v>Sprint 17 / H6</x:v>
      </x:c>
      <x:c r="E155" s="24" t="str">
        <x:v>La build Windows x64 reproduce el recorrido.</x:v>
      </x:c>
      <x:c r="F155" s="24" t="n">
        <x:f>COUNTIF('03_Casos_Prueba'!$D$5:$D$254,A155)</x:f>
        <x:v>1</x:v>
      </x:c>
      <x:c r="G155" s="24" t="n">
        <x:f>COUNTIFS('03_Casos_Prueba'!$D$5:$D$254,A155,'03_Casos_Prueba'!$R$5:$R$254,"Ready")</x:f>
        <x:v>1</x:v>
      </x:c>
      <x:c r="H155" s="24" t="n">
        <x:f>COUNTIF('11_Ejecuciones'!$F$5:$F$521,A155)</x:f>
        <x:v>1</x:v>
      </x:c>
      <x:c r="I155" s="24" t="n">
        <x:f>COUNTIFS('11_Ejecuciones'!$F$5:$F$521,A155,'11_Ejecuciones'!$I$5:$I$521,"PASS")+COUNTIFS('11_Ejecuciones'!$F$5:$F$521,A155,'11_Ejecuciones'!$I$5:$I$521,"Baseline PASS")</x:f>
        <x:v>0</x:v>
      </x:c>
      <x:c r="J155" s="24" t="n">
        <x:f>COUNTIFS('11_Ejecuciones'!$F$5:$F$521,A155,'11_Ejecuciones'!$I$5:$I$521,"FAIL")+COUNTIFS('11_Ejecuciones'!$F$5:$F$521,A155,'11_Ejecuciones'!$I$5:$I$521,"BLOCKED")</x:f>
        <x:v>0</x:v>
      </x:c>
      <x:c r="K155" s="32" t="n">
        <x:f>IF(F155=0,0,MIN(1,G155/F155))</x:f>
        <x:v>1</x:v>
      </x:c>
      <x:c r="L155" s="24" t="str">
        <x:f>IF(F155=0,"SIN CASO",IF(J155&gt;0,"FALLO/BLOQUEO",IF(I155&gt;0,"EJECUTADO","PENDIENTE")))</x:f>
        <x:v>PENDIENTE</x:v>
      </x:c>
    </x:row>
    <x:row r="156">
      <x:c r="A156" s="24" t="str">
        <x:v>UX-GP-005</x:v>
      </x:c>
      <x:c r="B156" s="24" t="str">
        <x:v>Golden Path</x:v>
      </x:c>
      <x:c r="C156" s="24" t="str">
        <x:v>P0</x:v>
      </x:c>
      <x:c r="D156" s="24" t="str">
        <x:v>Sprint 17 / H6</x:v>
      </x:c>
      <x:c r="E156" s="24" t="str">
        <x:v>Player.log no contiene errores UX bloqueantes.</x:v>
      </x:c>
      <x:c r="F156" s="24" t="n">
        <x:f>COUNTIF('03_Casos_Prueba'!$D$5:$D$254,A156)</x:f>
        <x:v>1</x:v>
      </x:c>
      <x:c r="G156" s="24" t="n">
        <x:f>COUNTIFS('03_Casos_Prueba'!$D$5:$D$254,A156,'03_Casos_Prueba'!$R$5:$R$254,"Ready")</x:f>
        <x:v>1</x:v>
      </x:c>
      <x:c r="H156" s="24" t="n">
        <x:f>COUNTIF('11_Ejecuciones'!$F$5:$F$521,A156)</x:f>
        <x:v>1</x:v>
      </x:c>
      <x:c r="I156" s="24" t="n">
        <x:f>COUNTIFS('11_Ejecuciones'!$F$5:$F$521,A156,'11_Ejecuciones'!$I$5:$I$521,"PASS")+COUNTIFS('11_Ejecuciones'!$F$5:$F$521,A156,'11_Ejecuciones'!$I$5:$I$521,"Baseline PASS")</x:f>
        <x:v>0</x:v>
      </x:c>
      <x:c r="J156" s="24" t="n">
        <x:f>COUNTIFS('11_Ejecuciones'!$F$5:$F$521,A156,'11_Ejecuciones'!$I$5:$I$521,"FAIL")+COUNTIFS('11_Ejecuciones'!$F$5:$F$521,A156,'11_Ejecuciones'!$I$5:$I$521,"BLOCKED")</x:f>
        <x:v>0</x:v>
      </x:c>
      <x:c r="K156" s="32" t="n">
        <x:f>IF(F156=0,0,MIN(1,G156/F156))</x:f>
        <x:v>1</x:v>
      </x:c>
      <x:c r="L156" s="24" t="str">
        <x:f>IF(F156=0,"SIN CASO",IF(J156&gt;0,"FALLO/BLOQUEO",IF(I156&gt;0,"EJECUTADO","PENDIENTE")))</x:f>
        <x:v>PENDIENTE</x:v>
      </x:c>
    </x:row>
    <x:row r="157">
      <x:c r="A157" s="24" t="str">
        <x:v>UX-GP-006</x:v>
      </x:c>
      <x:c r="B157" s="24" t="str">
        <x:v>Golden Path</x:v>
      </x:c>
      <x:c r="C157" s="24" t="str">
        <x:v>P0</x:v>
      </x:c>
      <x:c r="D157" s="24" t="str">
        <x:v>Sprint 17 / H6</x:v>
      </x:c>
      <x:c r="E157" s="24" t="str">
        <x:v>No existen defectos S0 o S1 abiertos.</x:v>
      </x:c>
      <x:c r="F157" s="24" t="n">
        <x:f>COUNTIF('03_Casos_Prueba'!$D$5:$D$254,A157)</x:f>
        <x:v>1</x:v>
      </x:c>
      <x:c r="G157" s="24" t="n">
        <x:f>COUNTIFS('03_Casos_Prueba'!$D$5:$D$254,A157,'03_Casos_Prueba'!$R$5:$R$254,"Ready")</x:f>
        <x:v>1</x:v>
      </x:c>
      <x:c r="H157" s="24" t="n">
        <x:f>COUNTIF('11_Ejecuciones'!$F$5:$F$521,A157)</x:f>
        <x:v>1</x:v>
      </x:c>
      <x:c r="I157" s="24" t="n">
        <x:f>COUNTIFS('11_Ejecuciones'!$F$5:$F$521,A157,'11_Ejecuciones'!$I$5:$I$521,"PASS")+COUNTIFS('11_Ejecuciones'!$F$5:$F$521,A157,'11_Ejecuciones'!$I$5:$I$521,"Baseline PASS")</x:f>
        <x:v>0</x:v>
      </x:c>
      <x:c r="J157" s="24" t="n">
        <x:f>COUNTIFS('11_Ejecuciones'!$F$5:$F$521,A157,'11_Ejecuciones'!$I$5:$I$521,"FAIL")+COUNTIFS('11_Ejecuciones'!$F$5:$F$521,A157,'11_Ejecuciones'!$I$5:$I$521,"BLOCKED")</x:f>
        <x:v>0</x:v>
      </x:c>
      <x:c r="K157" s="32" t="n">
        <x:f>IF(F157=0,0,MIN(1,G157/F157))</x:f>
        <x:v>1</x:v>
      </x:c>
      <x:c r="L157" s="24" t="str">
        <x:f>IF(F157=0,"SIN CASO",IF(J157&gt;0,"FALLO/BLOQUEO",IF(I157&gt;0,"EJECUTADO","PENDIENTE")))</x:f>
        <x:v>PENDIENTE</x:v>
      </x:c>
    </x:row>
    <x:row r="158">
      <x:c r="A158" s="24" t="str">
        <x:v>QA-POL-001</x:v>
      </x:c>
      <x:c r="B158" s="24" t="str">
        <x:v>QA</x:v>
      </x:c>
      <x:c r="C158" s="24" t="str">
        <x:v>P0</x:v>
      </x:c>
      <x:c r="D158" s="24" t="str">
        <x:v>Todos</x:v>
      </x:c>
      <x:c r="E158" s="24" t="str">
        <x:v>Ningún gate se aprueba con defectos S0 o S1 abiertos.</x:v>
      </x:c>
      <x:c r="F158" s="24" t="n">
        <x:f>COUNTIF('03_Casos_Prueba'!$D$5:$D$254,A158)</x:f>
        <x:v>1</x:v>
      </x:c>
      <x:c r="G158" s="24" t="n">
        <x:f>COUNTIFS('03_Casos_Prueba'!$D$5:$D$254,A158,'03_Casos_Prueba'!$R$5:$R$254,"Ready")</x:f>
        <x:v>1</x:v>
      </x:c>
      <x:c r="H158" s="24" t="n">
        <x:f>COUNTIF('11_Ejecuciones'!$F$5:$F$521,A158)</x:f>
        <x:v>1</x:v>
      </x:c>
      <x:c r="I158" s="24" t="n">
        <x:f>COUNTIFS('11_Ejecuciones'!$F$5:$F$521,A158,'11_Ejecuciones'!$I$5:$I$521,"PASS")+COUNTIFS('11_Ejecuciones'!$F$5:$F$521,A158,'11_Ejecuciones'!$I$5:$I$521,"Baseline PASS")</x:f>
        <x:v>0</x:v>
      </x:c>
      <x:c r="J158" s="24" t="n">
        <x:f>COUNTIFS('11_Ejecuciones'!$F$5:$F$521,A158,'11_Ejecuciones'!$I$5:$I$521,"FAIL")+COUNTIFS('11_Ejecuciones'!$F$5:$F$521,A158,'11_Ejecuciones'!$I$5:$I$521,"BLOCKED")</x:f>
        <x:v>0</x:v>
      </x:c>
      <x:c r="K158" s="32" t="n">
        <x:f>IF(F158=0,0,MIN(1,G158/F158))</x:f>
        <x:v>1</x:v>
      </x:c>
      <x:c r="L158" s="24" t="str">
        <x:f>IF(F158=0,"SIN CASO",IF(J158&gt;0,"FALLO/BLOQUEO",IF(I158&gt;0,"EJECUTADO","PENDIENTE")))</x:f>
        <x:v>PENDIENTE</x:v>
      </x:c>
    </x:row>
    <x:row r="159">
      <x:c r="A159" s="24" t="str">
        <x:v>QA-POL-002</x:v>
      </x:c>
      <x:c r="B159" s="24" t="str">
        <x:v>QA</x:v>
      </x:c>
      <x:c r="C159" s="24" t="str">
        <x:v>P0</x:v>
      </x:c>
      <x:c r="D159" s="24" t="str">
        <x:v>Todos</x:v>
      </x:c>
      <x:c r="E159" s="24" t="str">
        <x:v>Todo resultado PASS debe asociarse a versión, SHA, entorno y evidencia.</x:v>
      </x:c>
      <x:c r="F159" s="24" t="n">
        <x:f>COUNTIF('03_Casos_Prueba'!$D$5:$D$254,A159)</x:f>
        <x:v>1</x:v>
      </x:c>
      <x:c r="G159" s="24" t="n">
        <x:f>COUNTIFS('03_Casos_Prueba'!$D$5:$D$254,A159,'03_Casos_Prueba'!$R$5:$R$254,"Ready")</x:f>
        <x:v>1</x:v>
      </x:c>
      <x:c r="H159" s="24" t="n">
        <x:f>COUNTIF('11_Ejecuciones'!$F$5:$F$521,A159)</x:f>
        <x:v>1</x:v>
      </x:c>
      <x:c r="I159" s="24" t="n">
        <x:f>COUNTIFS('11_Ejecuciones'!$F$5:$F$521,A159,'11_Ejecuciones'!$I$5:$I$521,"PASS")+COUNTIFS('11_Ejecuciones'!$F$5:$F$521,A159,'11_Ejecuciones'!$I$5:$I$521,"Baseline PASS")</x:f>
        <x:v>0</x:v>
      </x:c>
      <x:c r="J159" s="24" t="n">
        <x:f>COUNTIFS('11_Ejecuciones'!$F$5:$F$521,A159,'11_Ejecuciones'!$I$5:$I$521,"FAIL")+COUNTIFS('11_Ejecuciones'!$F$5:$F$521,A159,'11_Ejecuciones'!$I$5:$I$521,"BLOCKED")</x:f>
        <x:v>0</x:v>
      </x:c>
      <x:c r="K159" s="32" t="n">
        <x:f>IF(F159=0,0,MIN(1,G159/F159))</x:f>
        <x:v>1</x:v>
      </x:c>
      <x:c r="L159" s="24" t="str">
        <x:f>IF(F159=0,"SIN CASO",IF(J159&gt;0,"FALLO/BLOQUEO",IF(I159&gt;0,"EJECUTADO","PENDIENTE")))</x:f>
        <x:v>PENDIENTE</x:v>
      </x:c>
    </x:row>
    <x:row r="160">
      <x:c r="A160" s="24" t="str">
        <x:v>QA-POL-003</x:v>
      </x:c>
      <x:c r="B160" s="24" t="str">
        <x:v>QA</x:v>
      </x:c>
      <x:c r="C160" s="24" t="str">
        <x:v>P1</x:v>
      </x:c>
      <x:c r="D160" s="24" t="str">
        <x:v>Todos</x:v>
      </x:c>
      <x:c r="E160" s="24" t="str">
        <x:v>Los fallos automatizados se investigan antes de repetirse o ignorarse.</x:v>
      </x:c>
      <x:c r="F160" s="24" t="n">
        <x:f>COUNTIF('03_Casos_Prueba'!$D$5:$D$254,A160)</x:f>
        <x:v>1</x:v>
      </x:c>
      <x:c r="G160" s="24" t="n">
        <x:f>COUNTIFS('03_Casos_Prueba'!$D$5:$D$254,A160,'03_Casos_Prueba'!$R$5:$R$254,"Ready")</x:f>
        <x:v>1</x:v>
      </x:c>
      <x:c r="H160" s="24" t="n">
        <x:f>COUNTIF('11_Ejecuciones'!$F$5:$F$521,A160)</x:f>
        <x:v>1</x:v>
      </x:c>
      <x:c r="I160" s="24" t="n">
        <x:f>COUNTIFS('11_Ejecuciones'!$F$5:$F$521,A160,'11_Ejecuciones'!$I$5:$I$521,"PASS")+COUNTIFS('11_Ejecuciones'!$F$5:$F$521,A160,'11_Ejecuciones'!$I$5:$I$521,"Baseline PASS")</x:f>
        <x:v>0</x:v>
      </x:c>
      <x:c r="J160" s="24" t="n">
        <x:f>COUNTIFS('11_Ejecuciones'!$F$5:$F$521,A160,'11_Ejecuciones'!$I$5:$I$521,"FAIL")+COUNTIFS('11_Ejecuciones'!$F$5:$F$521,A160,'11_Ejecuciones'!$I$5:$I$521,"BLOCKED")</x:f>
        <x:v>0</x:v>
      </x:c>
      <x:c r="K160" s="32" t="n">
        <x:f>IF(F160=0,0,MIN(1,G160/F160))</x:f>
        <x:v>1</x:v>
      </x:c>
      <x:c r="L160" s="24" t="str">
        <x:f>IF(F160=0,"SIN CASO",IF(J160&gt;0,"FALLO/BLOQUEO",IF(I160&gt;0,"EJECUTADO","PENDIENTE")))</x:f>
        <x:v>PENDIENTE</x:v>
      </x:c>
    </x:row>
    <x:row r="161">
      <x:c r="A161" s="24" t="str">
        <x:v>QA-POL-004</x:v>
      </x:c>
      <x:c r="B161" s="24" t="str">
        <x:v>QA</x:v>
      </x:c>
      <x:c r="C161" s="24" t="str">
        <x:v>P0</x:v>
      </x:c>
      <x:c r="D161" s="24" t="str">
        <x:v>Sprint 16/17</x:v>
      </x:c>
      <x:c r="E161" s="24" t="str">
        <x:v>La build externa debe revisarse mediante Player.log.</x:v>
      </x:c>
      <x:c r="F161" s="24" t="n">
        <x:f>COUNTIF('03_Casos_Prueba'!$D$5:$D$254,A161)</x:f>
        <x:v>1</x:v>
      </x:c>
      <x:c r="G161" s="24" t="n">
        <x:f>COUNTIFS('03_Casos_Prueba'!$D$5:$D$254,A161,'03_Casos_Prueba'!$R$5:$R$254,"Ready")</x:f>
        <x:v>1</x:v>
      </x:c>
      <x:c r="H161" s="24" t="n">
        <x:f>COUNTIF('11_Ejecuciones'!$F$5:$F$521,A161)</x:f>
        <x:v>1</x:v>
      </x:c>
      <x:c r="I161" s="24" t="n">
        <x:f>COUNTIFS('11_Ejecuciones'!$F$5:$F$521,A161,'11_Ejecuciones'!$I$5:$I$521,"PASS")+COUNTIFS('11_Ejecuciones'!$F$5:$F$521,A161,'11_Ejecuciones'!$I$5:$I$521,"Baseline PASS")</x:f>
        <x:v>0</x:v>
      </x:c>
      <x:c r="J161" s="24" t="n">
        <x:f>COUNTIFS('11_Ejecuciones'!$F$5:$F$521,A161,'11_Ejecuciones'!$I$5:$I$521,"FAIL")+COUNTIFS('11_Ejecuciones'!$F$5:$F$521,A161,'11_Ejecuciones'!$I$5:$I$521,"BLOCKED")</x:f>
        <x:v>0</x:v>
      </x:c>
      <x:c r="K161" s="32" t="n">
        <x:f>IF(F161=0,0,MIN(1,G161/F161))</x:f>
        <x:v>1</x:v>
      </x:c>
      <x:c r="L161" s="24" t="str">
        <x:f>IF(F161=0,"SIN CASO",IF(J161&gt;0,"FALLO/BLOQUEO",IF(I161&gt;0,"EJECUTADO","PENDIENTE")))</x:f>
        <x:v>PENDIENTE</x:v>
      </x:c>
    </x:row>
    <x:row r="162">
      <x:c r="A162" s="24" t="str">
        <x:v>QA-POL-005</x:v>
      </x:c>
      <x:c r="B162" s="24" t="str">
        <x:v>QA</x:v>
      </x:c>
      <x:c r="C162" s="24" t="str">
        <x:v>P0</x:v>
      </x:c>
      <x:c r="D162" s="24" t="str">
        <x:v>Sprint 17/H6</x:v>
      </x:c>
      <x:c r="E162" s="24" t="str">
        <x:v>La regresión incluye EditMode, PlayMode, escena, Golden Path y build cuando aplica.</x:v>
      </x:c>
      <x:c r="F162" s="24" t="n">
        <x:f>COUNTIF('03_Casos_Prueba'!$D$5:$D$254,A162)</x:f>
        <x:v>1</x:v>
      </x:c>
      <x:c r="G162" s="24" t="n">
        <x:f>COUNTIFS('03_Casos_Prueba'!$D$5:$D$254,A162,'03_Casos_Prueba'!$R$5:$R$254,"Ready")</x:f>
        <x:v>1</x:v>
      </x:c>
      <x:c r="H162" s="24" t="n">
        <x:f>COUNTIF('11_Ejecuciones'!$F$5:$F$521,A162)</x:f>
        <x:v>1</x:v>
      </x:c>
      <x:c r="I162" s="24" t="n">
        <x:f>COUNTIFS('11_Ejecuciones'!$F$5:$F$521,A162,'11_Ejecuciones'!$I$5:$I$521,"PASS")+COUNTIFS('11_Ejecuciones'!$F$5:$F$521,A162,'11_Ejecuciones'!$I$5:$I$521,"Baseline PASS")</x:f>
        <x:v>0</x:v>
      </x:c>
      <x:c r="J162" s="24" t="n">
        <x:f>COUNTIFS('11_Ejecuciones'!$F$5:$F$521,A162,'11_Ejecuciones'!$I$5:$I$521,"FAIL")+COUNTIFS('11_Ejecuciones'!$F$5:$F$521,A162,'11_Ejecuciones'!$I$5:$I$521,"BLOCKED")</x:f>
        <x:v>0</x:v>
      </x:c>
      <x:c r="K162" s="32" t="n">
        <x:f>IF(F162=0,0,MIN(1,G162/F162))</x:f>
        <x:v>1</x:v>
      </x:c>
      <x:c r="L162" s="24" t="str">
        <x:f>IF(F162=0,"SIN CASO",IF(J162&gt;0,"FALLO/BLOQUEO",IF(I162&gt;0,"EJECUTADO","PENDIENTE")))</x:f>
        <x:v>PENDIENTE</x:v>
      </x:c>
    </x:row>
    <x:row r="163">
      <x:c r="A163" s="24" t="str">
        <x:v>QA-POL-006</x:v>
      </x:c>
      <x:c r="B163" s="24" t="str">
        <x:v>QA</x:v>
      </x:c>
      <x:c r="C163" s="24" t="str">
        <x:v>P1</x:v>
      </x:c>
      <x:c r="D163" s="24" t="str">
        <x:v>Todos</x:v>
      </x:c>
      <x:c r="E163" s="24" t="str">
        <x:v>Los datos de prueba son reproducibles mediante seed, fixture o estado documentado.</x:v>
      </x:c>
      <x:c r="F163" s="24" t="n">
        <x:f>COUNTIF('03_Casos_Prueba'!$D$5:$D$254,A163)</x:f>
        <x:v>1</x:v>
      </x:c>
      <x:c r="G163" s="24" t="n">
        <x:f>COUNTIFS('03_Casos_Prueba'!$D$5:$D$254,A163,'03_Casos_Prueba'!$R$5:$R$254,"Ready")</x:f>
        <x:v>1</x:v>
      </x:c>
      <x:c r="H163" s="24" t="n">
        <x:f>COUNTIF('11_Ejecuciones'!$F$5:$F$521,A163)</x:f>
        <x:v>1</x:v>
      </x:c>
      <x:c r="I163" s="24" t="n">
        <x:f>COUNTIFS('11_Ejecuciones'!$F$5:$F$521,A163,'11_Ejecuciones'!$I$5:$I$521,"PASS")+COUNTIFS('11_Ejecuciones'!$F$5:$F$521,A163,'11_Ejecuciones'!$I$5:$I$521,"Baseline PASS")</x:f>
        <x:v>0</x:v>
      </x:c>
      <x:c r="J163" s="24" t="n">
        <x:f>COUNTIFS('11_Ejecuciones'!$F$5:$F$521,A163,'11_Ejecuciones'!$I$5:$I$521,"FAIL")+COUNTIFS('11_Ejecuciones'!$F$5:$F$521,A163,'11_Ejecuciones'!$I$5:$I$521,"BLOCKED")</x:f>
        <x:v>0</x:v>
      </x:c>
      <x:c r="K163" s="32" t="n">
        <x:f>IF(F163=0,0,MIN(1,G163/F163))</x:f>
        <x:v>1</x:v>
      </x:c>
      <x:c r="L163" s="24" t="str">
        <x:f>IF(F163=0,"SIN CASO",IF(J163&gt;0,"FALLO/BLOQUEO",IF(I163&gt;0,"EJECUTADO","PENDIENTE")))</x:f>
        <x:v>PENDIENTE</x:v>
      </x:c>
    </x:row>
    <x:row r="164">
      <x:c r="A164" s="24" t="str">
        <x:v>QA-POL-007</x:v>
      </x:c>
      <x:c r="B164" s="24" t="str">
        <x:v>QA</x:v>
      </x:c>
      <x:c r="C164" s="24" t="str">
        <x:v>P1</x:v>
      </x:c>
      <x:c r="D164" s="24" t="str">
        <x:v>Todos</x:v>
      </x:c>
      <x:c r="E164" s="24" t="str">
        <x:v>Un caso bloqueado registra causa, owner y condición de desbloqueo.</x:v>
      </x:c>
      <x:c r="F164" s="24" t="n">
        <x:f>COUNTIF('03_Casos_Prueba'!$D$5:$D$254,A164)</x:f>
        <x:v>1</x:v>
      </x:c>
      <x:c r="G164" s="24" t="n">
        <x:f>COUNTIFS('03_Casos_Prueba'!$D$5:$D$254,A164,'03_Casos_Prueba'!$R$5:$R$254,"Ready")</x:f>
        <x:v>1</x:v>
      </x:c>
      <x:c r="H164" s="24" t="n">
        <x:f>COUNTIF('11_Ejecuciones'!$F$5:$F$521,A164)</x:f>
        <x:v>1</x:v>
      </x:c>
      <x:c r="I164" s="24" t="n">
        <x:f>COUNTIFS('11_Ejecuciones'!$F$5:$F$521,A164,'11_Ejecuciones'!$I$5:$I$521,"PASS")+COUNTIFS('11_Ejecuciones'!$F$5:$F$521,A164,'11_Ejecuciones'!$I$5:$I$521,"Baseline PASS")</x:f>
        <x:v>0</x:v>
      </x:c>
      <x:c r="J164" s="24" t="n">
        <x:f>COUNTIFS('11_Ejecuciones'!$F$5:$F$521,A164,'11_Ejecuciones'!$I$5:$I$521,"FAIL")+COUNTIFS('11_Ejecuciones'!$F$5:$F$521,A164,'11_Ejecuciones'!$I$5:$I$521,"BLOCKED")</x:f>
        <x:v>0</x:v>
      </x:c>
      <x:c r="K164" s="32" t="n">
        <x:f>IF(F164=0,0,MIN(1,G164/F164))</x:f>
        <x:v>1</x:v>
      </x:c>
      <x:c r="L164" s="24" t="str">
        <x:f>IF(F164=0,"SIN CASO",IF(J164&gt;0,"FALLO/BLOQUEO",IF(I164&gt;0,"EJECUTADO","PENDIENTE")))</x:f>
        <x:v>PENDIENTE</x:v>
      </x:c>
    </x:row>
    <x:row r="165">
      <x:c r="A165" s="24" t="str">
        <x:v>QA-POL-008</x:v>
      </x:c>
      <x:c r="B165" s="24" t="str">
        <x:v>QA</x:v>
      </x:c>
      <x:c r="C165" s="24" t="str">
        <x:v>P1</x:v>
      </x:c>
      <x:c r="D165" s="24" t="str">
        <x:v>Todos</x:v>
      </x:c>
      <x:c r="E165" s="24" t="str">
        <x:v>Las pruebas manuales críticas requieren evidencia reproducible.</x:v>
      </x:c>
      <x:c r="F165" s="24" t="n">
        <x:f>COUNTIF('03_Casos_Prueba'!$D$5:$D$254,A165)</x:f>
        <x:v>1</x:v>
      </x:c>
      <x:c r="G165" s="24" t="n">
        <x:f>COUNTIFS('03_Casos_Prueba'!$D$5:$D$254,A165,'03_Casos_Prueba'!$R$5:$R$254,"Ready")</x:f>
        <x:v>1</x:v>
      </x:c>
      <x:c r="H165" s="24" t="n">
        <x:f>COUNTIF('11_Ejecuciones'!$F$5:$F$521,A165)</x:f>
        <x:v>1</x:v>
      </x:c>
      <x:c r="I165" s="24" t="n">
        <x:f>COUNTIFS('11_Ejecuciones'!$F$5:$F$521,A165,'11_Ejecuciones'!$I$5:$I$521,"PASS")+COUNTIFS('11_Ejecuciones'!$F$5:$F$521,A165,'11_Ejecuciones'!$I$5:$I$521,"Baseline PASS")</x:f>
        <x:v>0</x:v>
      </x:c>
      <x:c r="J165" s="24" t="n">
        <x:f>COUNTIFS('11_Ejecuciones'!$F$5:$F$521,A165,'11_Ejecuciones'!$I$5:$I$521,"FAIL")+COUNTIFS('11_Ejecuciones'!$F$5:$F$521,A165,'11_Ejecuciones'!$I$5:$I$521,"BLOCKED")</x:f>
        <x:v>0</x:v>
      </x:c>
      <x:c r="K165" s="32" t="n">
        <x:f>IF(F165=0,0,MIN(1,G165/F165))</x:f>
        <x:v>1</x:v>
      </x:c>
      <x:c r="L165" s="24" t="str">
        <x:f>IF(F165=0,"SIN CASO",IF(J165&gt;0,"FALLO/BLOQUEO",IF(I165&gt;0,"EJECUTADO","PENDIENTE")))</x:f>
        <x:v>PENDIENTE</x:v>
      </x:c>
    </x:row>
    <x:row r="166">
      <x:c r="A166" s="24" t="str">
        <x:v>QA-POL-009</x:v>
      </x:c>
      <x:c r="B166" s="24" t="str">
        <x:v>QA</x:v>
      </x:c>
      <x:c r="C166" s="24" t="str">
        <x:v>P0</x:v>
      </x:c>
      <x:c r="D166" s="24" t="str">
        <x:v>Sprint 17/H6</x:v>
      </x:c>
      <x:c r="E166" s="24" t="str">
        <x:v>Persistencia verifica equivalencia y no solo ausencia de excepción.</x:v>
      </x:c>
      <x:c r="F166" s="24" t="n">
        <x:f>COUNTIF('03_Casos_Prueba'!$D$5:$D$254,A166)</x:f>
        <x:v>1</x:v>
      </x:c>
      <x:c r="G166" s="24" t="n">
        <x:f>COUNTIFS('03_Casos_Prueba'!$D$5:$D$254,A166,'03_Casos_Prueba'!$R$5:$R$254,"Ready")</x:f>
        <x:v>1</x:v>
      </x:c>
      <x:c r="H166" s="24" t="n">
        <x:f>COUNTIF('11_Ejecuciones'!$F$5:$F$521,A166)</x:f>
        <x:v>1</x:v>
      </x:c>
      <x:c r="I166" s="24" t="n">
        <x:f>COUNTIFS('11_Ejecuciones'!$F$5:$F$521,A166,'11_Ejecuciones'!$I$5:$I$521,"PASS")+COUNTIFS('11_Ejecuciones'!$F$5:$F$521,A166,'11_Ejecuciones'!$I$5:$I$521,"Baseline PASS")</x:f>
        <x:v>0</x:v>
      </x:c>
      <x:c r="J166" s="24" t="n">
        <x:f>COUNTIFS('11_Ejecuciones'!$F$5:$F$521,A166,'11_Ejecuciones'!$I$5:$I$521,"FAIL")+COUNTIFS('11_Ejecuciones'!$F$5:$F$521,A166,'11_Ejecuciones'!$I$5:$I$521,"BLOCKED")</x:f>
        <x:v>0</x:v>
      </x:c>
      <x:c r="K166" s="32" t="n">
        <x:f>IF(F166=0,0,MIN(1,G166/F166))</x:f>
        <x:v>1</x:v>
      </x:c>
      <x:c r="L166" s="24" t="str">
        <x:f>IF(F166=0,"SIN CASO",IF(J166&gt;0,"FALLO/BLOQUEO",IF(I166&gt;0,"EJECUTADO","PENDIENTE")))</x:f>
        <x:v>PENDIENTE</x:v>
      </x:c>
    </x:row>
    <x:row r="167">
      <x:c r="A167" s="24" t="str">
        <x:v>QA-POL-010</x:v>
      </x:c>
      <x:c r="B167" s="24" t="str">
        <x:v>QA</x:v>
      </x:c>
      <x:c r="C167" s="24" t="str">
        <x:v>P1</x:v>
      </x:c>
      <x:c r="D167" s="24" t="str">
        <x:v>Sprint 17</x:v>
      </x:c>
      <x:c r="E167" s="24" t="str">
        <x:v>El soak test busca degradación acumulativa, fugas y bloqueos.</x:v>
      </x:c>
      <x:c r="F167" s="24" t="n">
        <x:f>COUNTIF('03_Casos_Prueba'!$D$5:$D$254,A167)</x:f>
        <x:v>1</x:v>
      </x:c>
      <x:c r="G167" s="24" t="n">
        <x:f>COUNTIFS('03_Casos_Prueba'!$D$5:$D$254,A167,'03_Casos_Prueba'!$R$5:$R$254,"Ready")</x:f>
        <x:v>1</x:v>
      </x:c>
      <x:c r="H167" s="24" t="n">
        <x:f>COUNTIF('11_Ejecuciones'!$F$5:$F$521,A167)</x:f>
        <x:v>1</x:v>
      </x:c>
      <x:c r="I167" s="24" t="n">
        <x:f>COUNTIFS('11_Ejecuciones'!$F$5:$F$521,A167,'11_Ejecuciones'!$I$5:$I$521,"PASS")+COUNTIFS('11_Ejecuciones'!$F$5:$F$521,A167,'11_Ejecuciones'!$I$5:$I$521,"Baseline PASS")</x:f>
        <x:v>0</x:v>
      </x:c>
      <x:c r="J167" s="24" t="n">
        <x:f>COUNTIFS('11_Ejecuciones'!$F$5:$F$521,A167,'11_Ejecuciones'!$I$5:$I$521,"FAIL")+COUNTIFS('11_Ejecuciones'!$F$5:$F$521,A167,'11_Ejecuciones'!$I$5:$I$521,"BLOCKED")</x:f>
        <x:v>0</x:v>
      </x:c>
      <x:c r="K167" s="32" t="n">
        <x:f>IF(F167=0,0,MIN(1,G167/F167))</x:f>
        <x:v>1</x:v>
      </x:c>
      <x:c r="L167" s="24" t="str">
        <x:f>IF(F167=0,"SIN CASO",IF(J167&gt;0,"FALLO/BLOQUEO",IF(I167&gt;0,"EJECUTADO","PENDIENTE")))</x:f>
        <x:v>PENDIENTE</x:v>
      </x:c>
    </x:row>
    <x:row r="168">
      <x:c r="A168" s="24" t="str">
        <x:v>DATA-INV-001</x:v>
      </x:c>
      <x:c r="B168" s="24" t="str">
        <x:v>Datos</x:v>
      </x:c>
      <x:c r="C168" s="24" t="str">
        <x:v>P0</x:v>
      </x:c>
      <x:c r="D168" s="24" t="str">
        <x:v>H6</x:v>
      </x:c>
      <x:c r="E168" s="24" t="str">
        <x:v>Cada unidad de inventario pertenece a una única ubicación lógica.</x:v>
      </x:c>
      <x:c r="F168" s="24" t="n">
        <x:f>COUNTIF('03_Casos_Prueba'!$D$5:$D$254,A168)</x:f>
        <x:v>1</x:v>
      </x:c>
      <x:c r="G168" s="24" t="n">
        <x:f>COUNTIFS('03_Casos_Prueba'!$D$5:$D$254,A168,'03_Casos_Prueba'!$R$5:$R$254,"Ready")</x:f>
        <x:v>1</x:v>
      </x:c>
      <x:c r="H168" s="24" t="n">
        <x:f>COUNTIF('11_Ejecuciones'!$F$5:$F$521,A168)</x:f>
        <x:v>1</x:v>
      </x:c>
      <x:c r="I168" s="24" t="n">
        <x:f>COUNTIFS('11_Ejecuciones'!$F$5:$F$521,A168,'11_Ejecuciones'!$I$5:$I$521,"PASS")+COUNTIFS('11_Ejecuciones'!$F$5:$F$521,A168,'11_Ejecuciones'!$I$5:$I$521,"Baseline PASS")</x:f>
        <x:v>0</x:v>
      </x:c>
      <x:c r="J168" s="24" t="n">
        <x:f>COUNTIFS('11_Ejecuciones'!$F$5:$F$521,A168,'11_Ejecuciones'!$I$5:$I$521,"FAIL")+COUNTIFS('11_Ejecuciones'!$F$5:$F$521,A168,'11_Ejecuciones'!$I$5:$I$521,"BLOCKED")</x:f>
        <x:v>0</x:v>
      </x:c>
      <x:c r="K168" s="32" t="n">
        <x:f>IF(F168=0,0,MIN(1,G168/F168))</x:f>
        <x:v>1</x:v>
      </x:c>
      <x:c r="L168" s="24" t="str">
        <x:f>IF(F168=0,"SIN CASO",IF(J168&gt;0,"FALLO/BLOQUEO",IF(I168&gt;0,"EJECUTADO","PENDIENTE")))</x:f>
        <x:v>PENDIENTE</x:v>
      </x:c>
    </x:row>
    <x:row r="169">
      <x:c r="A169" s="24" t="str">
        <x:v>DATA-INV-002</x:v>
      </x:c>
      <x:c r="B169" s="24" t="str">
        <x:v>Datos</x:v>
      </x:c>
      <x:c r="C169" s="24" t="str">
        <x:v>P0</x:v>
      </x:c>
      <x:c r="D169" s="24" t="str">
        <x:v>H6</x:v>
      </x:c>
      <x:c r="E169" s="24" t="str">
        <x:v>Toda transferencia válida conserva la cantidad total.</x:v>
      </x:c>
      <x:c r="F169" s="24" t="n">
        <x:f>COUNTIF('03_Casos_Prueba'!$D$5:$D$254,A169)</x:f>
        <x:v>1</x:v>
      </x:c>
      <x:c r="G169" s="24" t="n">
        <x:f>COUNTIFS('03_Casos_Prueba'!$D$5:$D$254,A169,'03_Casos_Prueba'!$R$5:$R$254,"Ready")</x:f>
        <x:v>1</x:v>
      </x:c>
      <x:c r="H169" s="24" t="n">
        <x:f>COUNTIF('11_Ejecuciones'!$F$5:$F$521,A169)</x:f>
        <x:v>1</x:v>
      </x:c>
      <x:c r="I169" s="24" t="n">
        <x:f>COUNTIFS('11_Ejecuciones'!$F$5:$F$521,A169,'11_Ejecuciones'!$I$5:$I$521,"PASS")+COUNTIFS('11_Ejecuciones'!$F$5:$F$521,A169,'11_Ejecuciones'!$I$5:$I$521,"Baseline PASS")</x:f>
        <x:v>0</x:v>
      </x:c>
      <x:c r="J169" s="24" t="n">
        <x:f>COUNTIFS('11_Ejecuciones'!$F$5:$F$521,A169,'11_Ejecuciones'!$I$5:$I$521,"FAIL")+COUNTIFS('11_Ejecuciones'!$F$5:$F$521,A169,'11_Ejecuciones'!$I$5:$I$521,"BLOCKED")</x:f>
        <x:v>0</x:v>
      </x:c>
      <x:c r="K169" s="32" t="n">
        <x:f>IF(F169=0,0,MIN(1,G169/F169))</x:f>
        <x:v>1</x:v>
      </x:c>
      <x:c r="L169" s="24" t="str">
        <x:f>IF(F169=0,"SIN CASO",IF(J169&gt;0,"FALLO/BLOQUEO",IF(I169&gt;0,"EJECUTADO","PENDIENTE")))</x:f>
        <x:v>PENDIENTE</x:v>
      </x:c>
    </x:row>
    <x:row r="170">
      <x:c r="A170" s="24" t="str">
        <x:v>DATA-SAV-001</x:v>
      </x:c>
      <x:c r="B170" s="24" t="str">
        <x:v>Datos</x:v>
      </x:c>
      <x:c r="C170" s="24" t="str">
        <x:v>P0</x:v>
      </x:c>
      <x:c r="D170" s="24" t="str">
        <x:v>H6</x:v>
      </x:c>
      <x:c r="E170" s="24" t="str">
        <x:v>IntegratedGameStateSnapshot usa schema versionado y validado.</x:v>
      </x:c>
      <x:c r="F170" s="24" t="n">
        <x:f>COUNTIF('03_Casos_Prueba'!$D$5:$D$254,A170)</x:f>
        <x:v>1</x:v>
      </x:c>
      <x:c r="G170" s="24" t="n">
        <x:f>COUNTIFS('03_Casos_Prueba'!$D$5:$D$254,A170,'03_Casos_Prueba'!$R$5:$R$254,"Ready")</x:f>
        <x:v>1</x:v>
      </x:c>
      <x:c r="H170" s="24" t="n">
        <x:f>COUNTIF('11_Ejecuciones'!$F$5:$F$521,A170)</x:f>
        <x:v>1</x:v>
      </x:c>
      <x:c r="I170" s="24" t="n">
        <x:f>COUNTIFS('11_Ejecuciones'!$F$5:$F$521,A170,'11_Ejecuciones'!$I$5:$I$521,"PASS")+COUNTIFS('11_Ejecuciones'!$F$5:$F$521,A170,'11_Ejecuciones'!$I$5:$I$521,"Baseline PASS")</x:f>
        <x:v>0</x:v>
      </x:c>
      <x:c r="J170" s="24" t="n">
        <x:f>COUNTIFS('11_Ejecuciones'!$F$5:$F$521,A170,'11_Ejecuciones'!$I$5:$I$521,"FAIL")+COUNTIFS('11_Ejecuciones'!$F$5:$F$521,A170,'11_Ejecuciones'!$I$5:$I$521,"BLOCKED")</x:f>
        <x:v>0</x:v>
      </x:c>
      <x:c r="K170" s="32" t="n">
        <x:f>IF(F170=0,0,MIN(1,G170/F170))</x:f>
        <x:v>1</x:v>
      </x:c>
      <x:c r="L170" s="24" t="str">
        <x:f>IF(F170=0,"SIN CASO",IF(J170&gt;0,"FALLO/BLOQUEO",IF(I170&gt;0,"EJECUTADO","PENDIENTE")))</x:f>
        <x:v>PENDIENTE</x:v>
      </x:c>
    </x:row>
    <x:row r="171">
      <x:c r="A171" s="24" t="str">
        <x:v>DATA-SAV-002</x:v>
      </x:c>
      <x:c r="B171" s="24" t="str">
        <x:v>Datos</x:v>
      </x:c>
      <x:c r="C171" s="24" t="str">
        <x:v>P0</x:v>
      </x:c>
      <x:c r="D171" s="24" t="str">
        <x:v>H6</x:v>
      </x:c>
      <x:c r="E171" s="24" t="str">
        <x:v>El primario corrupto no destruye un backup válido.</x:v>
      </x:c>
      <x:c r="F171" s="24" t="n">
        <x:f>COUNTIF('03_Casos_Prueba'!$D$5:$D$254,A171)</x:f>
        <x:v>1</x:v>
      </x:c>
      <x:c r="G171" s="24" t="n">
        <x:f>COUNTIFS('03_Casos_Prueba'!$D$5:$D$254,A171,'03_Casos_Prueba'!$R$5:$R$254,"Ready")</x:f>
        <x:v>1</x:v>
      </x:c>
      <x:c r="H171" s="24" t="n">
        <x:f>COUNTIF('11_Ejecuciones'!$F$5:$F$521,A171)</x:f>
        <x:v>1</x:v>
      </x:c>
      <x:c r="I171" s="24" t="n">
        <x:f>COUNTIFS('11_Ejecuciones'!$F$5:$F$521,A171,'11_Ejecuciones'!$I$5:$I$521,"PASS")+COUNTIFS('11_Ejecuciones'!$F$5:$F$521,A171,'11_Ejecuciones'!$I$5:$I$521,"Baseline PASS")</x:f>
        <x:v>0</x:v>
      </x:c>
      <x:c r="J171" s="24" t="n">
        <x:f>COUNTIFS('11_Ejecuciones'!$F$5:$F$521,A171,'11_Ejecuciones'!$I$5:$I$521,"FAIL")+COUNTIFS('11_Ejecuciones'!$F$5:$F$521,A171,'11_Ejecuciones'!$I$5:$I$521,"BLOCKED")</x:f>
        <x:v>0</x:v>
      </x:c>
      <x:c r="K171" s="32" t="n">
        <x:f>IF(F171=0,0,MIN(1,G171/F171))</x:f>
        <x:v>1</x:v>
      </x:c>
      <x:c r="L171" s="24" t="str">
        <x:f>IF(F171=0,"SIN CASO",IF(J171&gt;0,"FALLO/BLOQUEO",IF(I171&gt;0,"EJECUTADO","PENDIENTE")))</x:f>
        <x:v>PENDIENTE</x:v>
      </x:c>
    </x:row>
    <x:row r="172">
      <x:c r="A172" s="24" t="str">
        <x:v>TDD-ARC-001</x:v>
      </x:c>
      <x:c r="B172" s="24" t="str">
        <x:v>Arquitectura</x:v>
      </x:c>
      <x:c r="C172" s="24" t="str">
        <x:v>P0</x:v>
      </x:c>
      <x:c r="D172" s="24" t="str">
        <x:v>H6</x:v>
      </x:c>
      <x:c r="E172" s="24" t="str">
        <x:v>ApplicationRoot no se duplica durante transiciones.</x:v>
      </x:c>
      <x:c r="F172" s="24" t="n">
        <x:f>COUNTIF('03_Casos_Prueba'!$D$5:$D$254,A172)</x:f>
        <x:v>1</x:v>
      </x:c>
      <x:c r="G172" s="24" t="n">
        <x:f>COUNTIFS('03_Casos_Prueba'!$D$5:$D$254,A172,'03_Casos_Prueba'!$R$5:$R$254,"Ready")</x:f>
        <x:v>1</x:v>
      </x:c>
      <x:c r="H172" s="24" t="n">
        <x:f>COUNTIF('11_Ejecuciones'!$F$5:$F$521,A172)</x:f>
        <x:v>1</x:v>
      </x:c>
      <x:c r="I172" s="24" t="n">
        <x:f>COUNTIFS('11_Ejecuciones'!$F$5:$F$521,A172,'11_Ejecuciones'!$I$5:$I$521,"PASS")+COUNTIFS('11_Ejecuciones'!$F$5:$F$521,A172,'11_Ejecuciones'!$I$5:$I$521,"Baseline PASS")</x:f>
        <x:v>0</x:v>
      </x:c>
      <x:c r="J172" s="24" t="n">
        <x:f>COUNTIFS('11_Ejecuciones'!$F$5:$F$521,A172,'11_Ejecuciones'!$I$5:$I$521,"FAIL")+COUNTIFS('11_Ejecuciones'!$F$5:$F$521,A172,'11_Ejecuciones'!$I$5:$I$521,"BLOCKED")</x:f>
        <x:v>0</x:v>
      </x:c>
      <x:c r="K172" s="32" t="n">
        <x:f>IF(F172=0,0,MIN(1,G172/F172))</x:f>
        <x:v>1</x:v>
      </x:c>
      <x:c r="L172" s="24" t="str">
        <x:f>IF(F172=0,"SIN CASO",IF(J172&gt;0,"FALLO/BLOQUEO",IF(I172&gt;0,"EJECUTADO","PENDIENTE")))</x:f>
        <x:v>PENDIENTE</x:v>
      </x:c>
    </x:row>
    <x:row r="173">
      <x:c r="A173" s="24" t="str">
        <x:v>TDD-ARC-002</x:v>
      </x:c>
      <x:c r="B173" s="24" t="str">
        <x:v>Arquitectura</x:v>
      </x:c>
      <x:c r="C173" s="24" t="str">
        <x:v>P0</x:v>
      </x:c>
      <x:c r="D173" s="24" t="str">
        <x:v>Sprint 16</x:v>
      </x:c>
      <x:c r="E173" s="24" t="str">
        <x:v>StoreInitialSceneContext resuelve referencias explícitas y falla de forma controlada.</x:v>
      </x:c>
      <x:c r="F173" s="24" t="n">
        <x:f>COUNTIF('03_Casos_Prueba'!$D$5:$D$254,A173)</x:f>
        <x:v>1</x:v>
      </x:c>
      <x:c r="G173" s="24" t="n">
        <x:f>COUNTIFS('03_Casos_Prueba'!$D$5:$D$254,A173,'03_Casos_Prueba'!$R$5:$R$254,"Ready")</x:f>
        <x:v>1</x:v>
      </x:c>
      <x:c r="H173" s="24" t="n">
        <x:f>COUNTIF('11_Ejecuciones'!$F$5:$F$521,A173)</x:f>
        <x:v>1</x:v>
      </x:c>
      <x:c r="I173" s="24" t="n">
        <x:f>COUNTIFS('11_Ejecuciones'!$F$5:$F$521,A173,'11_Ejecuciones'!$I$5:$I$521,"PASS")+COUNTIFS('11_Ejecuciones'!$F$5:$F$521,A173,'11_Ejecuciones'!$I$5:$I$521,"Baseline PASS")</x:f>
        <x:v>0</x:v>
      </x:c>
      <x:c r="J173" s="24" t="n">
        <x:f>COUNTIFS('11_Ejecuciones'!$F$5:$F$521,A173,'11_Ejecuciones'!$I$5:$I$521,"FAIL")+COUNTIFS('11_Ejecuciones'!$F$5:$F$521,A173,'11_Ejecuciones'!$I$5:$I$521,"BLOCKED")</x:f>
        <x:v>0</x:v>
      </x:c>
      <x:c r="K173" s="32" t="n">
        <x:f>IF(F173=0,0,MIN(1,G173/F173))</x:f>
        <x:v>1</x:v>
      </x:c>
      <x:c r="L173" s="24" t="str">
        <x:f>IF(F173=0,"SIN CASO",IF(J173&gt;0,"FALLO/BLOQUEO",IF(I173&gt;0,"EJECUTADO","PENDIENTE")))</x:f>
        <x:v>PENDIENTE</x:v>
      </x:c>
    </x:row>
    <x:row r="174">
      <x:c r="A174" s="24" t="str">
        <x:v>TDD-INP-001</x:v>
      </x:c>
      <x:c r="B174" s="24" t="str">
        <x:v>Input</x:v>
      </x:c>
      <x:c r="C174" s="24" t="str">
        <x:v>P0</x:v>
      </x:c>
      <x:c r="D174" s="24" t="str">
        <x:v>Sprint 16</x:v>
      </x:c>
      <x:c r="E174" s="24" t="str">
        <x:v>La UI consume input antes de gameplay.</x:v>
      </x:c>
      <x:c r="F174" s="24" t="n">
        <x:f>COUNTIF('03_Casos_Prueba'!$D$5:$D$254,A174)</x:f>
        <x:v>1</x:v>
      </x:c>
      <x:c r="G174" s="24" t="n">
        <x:f>COUNTIFS('03_Casos_Prueba'!$D$5:$D$254,A174,'03_Casos_Prueba'!$R$5:$R$254,"Ready")</x:f>
        <x:v>1</x:v>
      </x:c>
      <x:c r="H174" s="24" t="n">
        <x:f>COUNTIF('11_Ejecuciones'!$F$5:$F$521,A174)</x:f>
        <x:v>1</x:v>
      </x:c>
      <x:c r="I174" s="24" t="n">
        <x:f>COUNTIFS('11_Ejecuciones'!$F$5:$F$521,A174,'11_Ejecuciones'!$I$5:$I$521,"PASS")+COUNTIFS('11_Ejecuciones'!$F$5:$F$521,A174,'11_Ejecuciones'!$I$5:$I$521,"Baseline PASS")</x:f>
        <x:v>0</x:v>
      </x:c>
      <x:c r="J174" s="24" t="n">
        <x:f>COUNTIFS('11_Ejecuciones'!$F$5:$F$521,A174,'11_Ejecuciones'!$I$5:$I$521,"FAIL")+COUNTIFS('11_Ejecuciones'!$F$5:$F$521,A174,'11_Ejecuciones'!$I$5:$I$521,"BLOCKED")</x:f>
        <x:v>0</x:v>
      </x:c>
      <x:c r="K174" s="32" t="n">
        <x:f>IF(F174=0,0,MIN(1,G174/F174))</x:f>
        <x:v>1</x:v>
      </x:c>
      <x:c r="L174" s="24" t="str">
        <x:f>IF(F174=0,"SIN CASO",IF(J174&gt;0,"FALLO/BLOQUEO",IF(I174&gt;0,"EJECUTADO","PENDIENTE")))</x:f>
        <x:v>PENDIENTE</x:v>
      </x:c>
    </x:row>
    <x:row r="175">
      <x:c r="A175" s="24" t="str">
        <x:v>RD-S16-001</x:v>
      </x:c>
      <x:c r="B175" s="24" t="str">
        <x:v>Producción</x:v>
      </x:c>
      <x:c r="C175" s="24" t="str">
        <x:v>P0</x:v>
      </x:c>
      <x:c r="D175" s="24" t="str">
        <x:v>Sprint 16</x:v>
      </x:c>
      <x:c r="E175" s="24" t="str">
        <x:v>Sprint 16 exige aprobación visual manual además de pruebas verdes.</x:v>
      </x:c>
      <x:c r="F175" s="24" t="n">
        <x:f>COUNTIF('03_Casos_Prueba'!$D$5:$D$254,A175)</x:f>
        <x:v>1</x:v>
      </x:c>
      <x:c r="G175" s="24" t="n">
        <x:f>COUNTIFS('03_Casos_Prueba'!$D$5:$D$254,A175,'03_Casos_Prueba'!$R$5:$R$254,"Ready")</x:f>
        <x:v>1</x:v>
      </x:c>
      <x:c r="H175" s="24" t="n">
        <x:f>COUNTIF('11_Ejecuciones'!$F$5:$F$521,A175)</x:f>
        <x:v>1</x:v>
      </x:c>
      <x:c r="I175" s="24" t="n">
        <x:f>COUNTIFS('11_Ejecuciones'!$F$5:$F$521,A175,'11_Ejecuciones'!$I$5:$I$521,"PASS")+COUNTIFS('11_Ejecuciones'!$F$5:$F$521,A175,'11_Ejecuciones'!$I$5:$I$521,"Baseline PASS")</x:f>
        <x:v>0</x:v>
      </x:c>
      <x:c r="J175" s="24" t="n">
        <x:f>COUNTIFS('11_Ejecuciones'!$F$5:$F$521,A175,'11_Ejecuciones'!$I$5:$I$521,"FAIL")+COUNTIFS('11_Ejecuciones'!$F$5:$F$521,A175,'11_Ejecuciones'!$I$5:$I$521,"BLOCKED")</x:f>
        <x:v>0</x:v>
      </x:c>
      <x:c r="K175" s="32" t="n">
        <x:f>IF(F175=0,0,MIN(1,G175/F175))</x:f>
        <x:v>1</x:v>
      </x:c>
      <x:c r="L175" s="24" t="str">
        <x:f>IF(F175=0,"SIN CASO",IF(J175&gt;0,"FALLO/BLOQUEO",IF(I175&gt;0,"EJECUTADO","PENDIENTE")))</x:f>
        <x:v>PENDIENTE</x:v>
      </x:c>
    </x:row>
    <x:row r="176">
      <x:c r="A176" s="24" t="str">
        <x:v>RD-S17-001</x:v>
      </x:c>
      <x:c r="B176" s="24" t="str">
        <x:v>Producción</x:v>
      </x:c>
      <x:c r="C176" s="24" t="str">
        <x:v>P1</x:v>
      </x:c>
      <x:c r="D176" s="24" t="str">
        <x:v>Sprint 17</x:v>
      </x:c>
      <x:c r="E176" s="24" t="str">
        <x:v>Sprint 17 no incorpora sistemas mayores nuevos.</x:v>
      </x:c>
      <x:c r="F176" s="24" t="n">
        <x:f>COUNTIF('03_Casos_Prueba'!$D$5:$D$254,A176)</x:f>
        <x:v>1</x:v>
      </x:c>
      <x:c r="G176" s="24" t="n">
        <x:f>COUNTIFS('03_Casos_Prueba'!$D$5:$D$254,A176,'03_Casos_Prueba'!$R$5:$R$254,"Ready")</x:f>
        <x:v>1</x:v>
      </x:c>
      <x:c r="H176" s="24" t="n">
        <x:f>COUNTIF('11_Ejecuciones'!$F$5:$F$521,A176)</x:f>
        <x:v>1</x:v>
      </x:c>
      <x:c r="I176" s="24" t="n">
        <x:f>COUNTIFS('11_Ejecuciones'!$F$5:$F$521,A176,'11_Ejecuciones'!$I$5:$I$521,"PASS")+COUNTIFS('11_Ejecuciones'!$F$5:$F$521,A176,'11_Ejecuciones'!$I$5:$I$521,"Baseline PASS")</x:f>
        <x:v>0</x:v>
      </x:c>
      <x:c r="J176" s="24" t="n">
        <x:f>COUNTIFS('11_Ejecuciones'!$F$5:$F$521,A176,'11_Ejecuciones'!$I$5:$I$521,"FAIL")+COUNTIFS('11_Ejecuciones'!$F$5:$F$521,A176,'11_Ejecuciones'!$I$5:$I$521,"BLOCKED")</x:f>
        <x:v>0</x:v>
      </x:c>
      <x:c r="K176" s="32" t="n">
        <x:f>IF(F176=0,0,MIN(1,G176/F176))</x:f>
        <x:v>1</x:v>
      </x:c>
      <x:c r="L176" s="24" t="str">
        <x:f>IF(F176=0,"SIN CASO",IF(J176&gt;0,"FALLO/BLOQUEO",IF(I176&gt;0,"EJECUTADO","PENDIENTE")))</x:f>
        <x:v>PENDIENTE</x:v>
      </x:c>
    </x:row>
    <x:row r="177">
      <x:c r="A177" s="24" t="str">
        <x:v>RD-H6-001</x:v>
      </x:c>
      <x:c r="B177" s="24" t="str">
        <x:v>Producción</x:v>
      </x:c>
      <x:c r="C177" s="24" t="str">
        <x:v>P0</x:v>
      </x:c>
      <x:c r="D177" s="24" t="str">
        <x:v>H6</x:v>
      </x:c>
      <x:c r="E177" s="24" t="str">
        <x:v>H6 requiere build identificada, Golden Path, rendimiento, persistencia y defectos clasificados.</x:v>
      </x:c>
      <x:c r="F177" s="24" t="n">
        <x:f>COUNTIF('03_Casos_Prueba'!$D$5:$D$254,A177)</x:f>
        <x:v>1</x:v>
      </x:c>
      <x:c r="G177" s="24" t="n">
        <x:f>COUNTIFS('03_Casos_Prueba'!$D$5:$D$254,A177,'03_Casos_Prueba'!$R$5:$R$254,"Ready")</x:f>
        <x:v>1</x:v>
      </x:c>
      <x:c r="H177" s="24" t="n">
        <x:f>COUNTIF('11_Ejecuciones'!$F$5:$F$521,A177)</x:f>
        <x:v>1</x:v>
      </x:c>
      <x:c r="I177" s="24" t="n">
        <x:f>COUNTIFS('11_Ejecuciones'!$F$5:$F$521,A177,'11_Ejecuciones'!$I$5:$I$521,"PASS")+COUNTIFS('11_Ejecuciones'!$F$5:$F$521,A177,'11_Ejecuciones'!$I$5:$I$521,"Baseline PASS")</x:f>
        <x:v>0</x:v>
      </x:c>
      <x:c r="J177" s="24" t="n">
        <x:f>COUNTIFS('11_Ejecuciones'!$F$5:$F$521,A177,'11_Ejecuciones'!$I$5:$I$521,"FAIL")+COUNTIFS('11_Ejecuciones'!$F$5:$F$521,A177,'11_Ejecuciones'!$I$5:$I$521,"BLOCKED")</x:f>
        <x:v>0</x:v>
      </x:c>
      <x:c r="K177" s="32" t="n">
        <x:f>IF(F177=0,0,MIN(1,G177/F177))</x:f>
        <x:v>1</x:v>
      </x:c>
      <x:c r="L177" s="24" t="str">
        <x:f>IF(F177=0,"SIN CASO",IF(J177&gt;0,"FALLO/BLOQUEO",IF(I177&gt;0,"EJECUTADO","PENDIENTE")))</x:f>
        <x:v>PENDIENTE</x:v>
      </x:c>
    </x:row>
  </x:sheetData>
  <x:mergeCells>
    <x:mergeCell ref="A1:L1"/>
    <x:mergeCell ref="A2:L2"/>
  </x:mergeCells>
  <x:conditionalFormatting sqref="K5:K177">
    <x:cfRule type="colorScale" priority="1">
      <x:colorScale>
        <x:cfvo type="min"/>
        <x:cfvo type="percentile" val="50"/>
        <x:cfvo type="max"/>
        <x:color rgb="FFFDE2E4"/>
        <x:color rgb="FFFEF3C7"/>
        <x:color rgb="FFDCF7EB"/>
      </x:colorScale>
    </x:cfRule>
  </x:conditionalFormatting>
  <x:conditionalFormatting sqref="L5:L177">
    <x:cfRule type="expression" dxfId="14" priority="2">
      <x:formula>L5="SIN CASO"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efa2bde1bf4a0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52" hidden="0" customWidth="1"/>
    <x:col min="4" max="4" width="22" hidden="0" customWidth="1"/>
    <x:col min="5" max="5" width="20" hidden="0" customWidth="1"/>
    <x:col min="6" max="6" width="16" hidden="0" customWidth="1"/>
    <x:col min="7" max="7" width="28" hidden="0" customWidth="1"/>
    <x:col min="8" max="8" width="30" hidden="0" customWidth="1"/>
    <x:col min="9" max="9" width="18" hidden="0" customWidth="1"/>
    <x:col min="10" max="10" width="36" hidden="0" customWidth="1"/>
  </x:cols>
  <x:sheetData>
    <x:row r="1" ht="28" customHeight="1">
      <x:c r="A1" s="36" t="str">
        <x:v>Gates de calidad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Criterios de Sprint 16, Sprint 17, H6 y fases posteriores.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4" customHeight="1">
      <x:c r="A4" s="17" t="str">
        <x:v>Gate</x:v>
      </x:c>
      <x:c r="B4" s="17" t="str">
        <x:v>Criterion ID</x:v>
      </x:c>
      <x:c r="C4" s="17" t="str">
        <x:v>Criterio</x:v>
      </x:c>
      <x:c r="D4" s="17" t="str">
        <x:v>Requirement/Source</x:v>
      </x:c>
      <x:c r="E4" s="17" t="str">
        <x:v>Resultado requerido</x:v>
      </x:c>
      <x:c r="F4" s="17" t="str">
        <x:v>Estado actual</x:v>
      </x:c>
      <x:c r="G4" s="17" t="str">
        <x:v>Defectos bloqueantes</x:v>
      </x:c>
      <x:c r="H4" s="17" t="str">
        <x:v>Evidencia</x:v>
      </x:c>
      <x:c r="I4" s="17" t="str">
        <x:v>Owner</x:v>
      </x:c>
      <x:c r="J4" s="17" t="str">
        <x:v>Decisión/Notas</x:v>
      </x:c>
    </x:row>
    <x:row r="5">
      <x:c r="A5" s="24" t="str">
        <x:v>Sprint 16</x:v>
      </x:c>
      <x:c r="B5" s="24" t="str">
        <x:v>S16-G-001</x:v>
      </x:c>
      <x:c r="C5" s="24" t="str">
        <x:v>StoreInitial.unity autorada y conectada</x:v>
      </x:c>
      <x:c r="D5" s="24" t="str">
        <x:v>RD-S16-001</x:v>
      </x:c>
      <x:c r="E5" s="24" t="str">
        <x:v>PASS</x:v>
      </x:c>
      <x:c r="F5" s="24" t="str">
        <x:v>OPEN</x:v>
      </x:c>
      <x:c r="G5" s="24" t="str">
        <x:v>KI-016-01;KI-016-02;KI-016-03</x:v>
      </x:c>
      <x:c r="H5" s="24" t="str">
        <x:v>Acta visual y escena</x:v>
      </x:c>
      <x:c r="I5" s="24" t="str">
        <x:v>VRM Games</x:v>
      </x:c>
      <x:c r="J5" s="24" t="str"/>
    </x:row>
    <x:row r="6">
      <x:c r="A6" s="24" t="str">
        <x:v>Sprint 16</x:v>
      </x:c>
      <x:c r="B6" s="24" t="str">
        <x:v>S16-G-002</x:v>
      </x:c>
      <x:c r="C6" s="24" t="str">
        <x:v>StoreInitialSceneContext valida referencias</x:v>
      </x:c>
      <x:c r="D6" s="24" t="str">
        <x:v>TDD-ARC-002</x:v>
      </x:c>
      <x:c r="E6" s="24" t="str">
        <x:v>PASS</x:v>
      </x:c>
      <x:c r="F6" s="24" t="str">
        <x:v>PENDING</x:v>
      </x:c>
      <x:c r="G6" s="24" t="str"/>
      <x:c r="H6" s="24" t="str">
        <x:v>Test y log</x:v>
      </x:c>
      <x:c r="I6" s="24" t="str">
        <x:v>VRM Games</x:v>
      </x:c>
      <x:c r="J6" s="24" t="str"/>
    </x:row>
    <x:row r="7">
      <x:c r="A7" s="24" t="str">
        <x:v>Sprint 16</x:v>
      </x:c>
      <x:c r="B7" s="24" t="str">
        <x:v>S16-G-003</x:v>
      </x:c>
      <x:c r="C7" s="24" t="str">
        <x:v>Shell procedural desactivado sin duplicación</x:v>
      </x:c>
      <x:c r="D7" s="24" t="str">
        <x:v>VS-SCN-004</x:v>
      </x:c>
      <x:c r="E7" s="24" t="str">
        <x:v>PASS</x:v>
      </x:c>
      <x:c r="F7" s="24" t="str">
        <x:v>OPEN</x:v>
      </x:c>
      <x:c r="G7" s="24" t="str">
        <x:v>KI-016-05</x:v>
      </x:c>
      <x:c r="H7" s="24" t="str">
        <x:v>Captura y test</x:v>
      </x:c>
      <x:c r="I7" s="24" t="str">
        <x:v>VRM Games</x:v>
      </x:c>
      <x:c r="J7" s="24" t="str"/>
    </x:row>
    <x:row r="8">
      <x:c r="A8" s="24" t="str">
        <x:v>Sprint 16</x:v>
      </x:c>
      <x:c r="B8" s="24" t="str">
        <x:v>S16-G-004</x:v>
      </x:c>
      <x:c r="C8" s="24" t="str">
        <x:v>UI no propaga clic al mundo</x:v>
      </x:c>
      <x:c r="D8" s="24" t="str">
        <x:v>TDD-INP-001</x:v>
      </x:c>
      <x:c r="E8" s="24" t="str">
        <x:v>PASS</x:v>
      </x:c>
      <x:c r="F8" s="24" t="str">
        <x:v>OPEN</x:v>
      </x:c>
      <x:c r="G8" s="24" t="str">
        <x:v>KI-016-04</x:v>
      </x:c>
      <x:c r="H8" s="24" t="str">
        <x:v>PlayMode/manual</x:v>
      </x:c>
      <x:c r="I8" s="24" t="str">
        <x:v>VRM Games</x:v>
      </x:c>
      <x:c r="J8" s="24" t="str"/>
    </x:row>
    <x:row r="9">
      <x:c r="A9" s="24" t="str">
        <x:v>Sprint 16</x:v>
      </x:c>
      <x:c r="B9" s="24" t="str">
        <x:v>S16-G-005</x:v>
      </x:c>
      <x:c r="C9" s="24" t="str">
        <x:v>EditMode completo</x:v>
      </x:c>
      <x:c r="D9" s="24" t="str">
        <x:v>VS-QA-001</x:v>
      </x:c>
      <x:c r="E9" s="24" t="str">
        <x:v>1215 PASS</x:v>
      </x:c>
      <x:c r="F9" s="24" t="str">
        <x:v>PASS</x:v>
      </x:c>
      <x:c r="G9" s="24" t="str"/>
      <x:c r="H9" s="24" t="str">
        <x:v>Reporte Test Runner</x:v>
      </x:c>
      <x:c r="I9" s="24" t="str">
        <x:v>VRM Games</x:v>
      </x:c>
      <x:c r="J9" s="24" t="str"/>
    </x:row>
    <x:row r="10">
      <x:c r="A10" s="24" t="str">
        <x:v>Sprint 16</x:v>
      </x:c>
      <x:c r="B10" s="24" t="str">
        <x:v>S16-G-006</x:v>
      </x:c>
      <x:c r="C10" s="24" t="str">
        <x:v>PlayMode completo</x:v>
      </x:c>
      <x:c r="D10" s="24" t="str">
        <x:v>VS-QA-001</x:v>
      </x:c>
      <x:c r="E10" s="24" t="str">
        <x:v>70 PASS</x:v>
      </x:c>
      <x:c r="F10" s="24" t="str">
        <x:v>PASS</x:v>
      </x:c>
      <x:c r="G10" s="24" t="str"/>
      <x:c r="H10" s="24" t="str">
        <x:v>Reporte Test Runner</x:v>
      </x:c>
      <x:c r="I10" s="24" t="str">
        <x:v>VRM Games</x:v>
      </x:c>
      <x:c r="J10" s="24" t="str"/>
    </x:row>
    <x:row r="11">
      <x:c r="A11" s="24" t="str">
        <x:v>Sprint 16</x:v>
      </x:c>
      <x:c r="B11" s="24" t="str">
        <x:v>S16-G-007</x:v>
      </x:c>
      <x:c r="C11" s="24" t="str">
        <x:v>Golden Path post-integración</x:v>
      </x:c>
      <x:c r="D11" s="24" t="str">
        <x:v>VS-QA-002</x:v>
      </x:c>
      <x:c r="E11" s="24" t="str">
        <x:v>PASS</x:v>
      </x:c>
      <x:c r="F11" s="24" t="str">
        <x:v>PENDING</x:v>
      </x:c>
      <x:c r="G11" s="24" t="str"/>
      <x:c r="H11" s="24" t="str">
        <x:v>Acta de ejecución</x:v>
      </x:c>
      <x:c r="I11" s="24" t="str">
        <x:v>VRM Games</x:v>
      </x:c>
      <x:c r="J11" s="24" t="str"/>
    </x:row>
    <x:row r="12">
      <x:c r="A12" s="24" t="str">
        <x:v>Sprint 16</x:v>
      </x:c>
      <x:c r="B12" s="24" t="str">
        <x:v>S16-G-008</x:v>
      </x:c>
      <x:c r="C12" s="24" t="str">
        <x:v>Build post-integración y Player.log</x:v>
      </x:c>
      <x:c r="D12" s="24" t="str">
        <x:v>VS-BUILD-001</x:v>
      </x:c>
      <x:c r="E12" s="24" t="str">
        <x:v>PASS</x:v>
      </x:c>
      <x:c r="F12" s="24" t="str">
        <x:v>PENDING</x:v>
      </x:c>
      <x:c r="G12" s="24" t="str"/>
      <x:c r="H12" s="24" t="str">
        <x:v>Build record + log</x:v>
      </x:c>
      <x:c r="I12" s="24" t="str">
        <x:v>VRM Games</x:v>
      </x:c>
      <x:c r="J12" s="24" t="str"/>
    </x:row>
    <x:row r="13">
      <x:c r="A13" s="24" t="str">
        <x:v>Sprint 17</x:v>
      </x:c>
      <x:c r="B13" s="24" t="str">
        <x:v>S17-G-001</x:v>
      </x:c>
      <x:c r="C13" s="24" t="str">
        <x:v>Sprint 16 cerrado</x:v>
      </x:c>
      <x:c r="D13" s="24" t="str">
        <x:v>RD-S17-001</x:v>
      </x:c>
      <x:c r="E13" s="24" t="str">
        <x:v>PASS</x:v>
      </x:c>
      <x:c r="F13" s="24" t="str">
        <x:v>PENDING</x:v>
      </x:c>
      <x:c r="G13" s="24" t="str"/>
      <x:c r="H13" s="24" t="str">
        <x:v>Closure record</x:v>
      </x:c>
      <x:c r="I13" s="24" t="str">
        <x:v>VRM Games</x:v>
      </x:c>
      <x:c r="J13" s="24" t="str"/>
    </x:row>
    <x:row r="14">
      <x:c r="A14" s="24" t="str">
        <x:v>Sprint 17</x:v>
      </x:c>
      <x:c r="B14" s="24" t="str">
        <x:v>S17-G-002</x:v>
      </x:c>
      <x:c r="C14" s="24" t="str">
        <x:v>Balance de referencia registrado</x:v>
      </x:c>
      <x:c r="D14" s="24" t="str">
        <x:v>VS-DOC-001</x:v>
      </x:c>
      <x:c r="E14" s="24" t="str">
        <x:v>PASS</x:v>
      </x:c>
      <x:c r="F14" s="24" t="str">
        <x:v>PENDING</x:v>
      </x:c>
      <x:c r="G14" s="24" t="str"/>
      <x:c r="H14" s="24" t="str">
        <x:v>Métricas y decisión</x:v>
      </x:c>
      <x:c r="I14" s="24" t="str">
        <x:v>VRM Games</x:v>
      </x:c>
      <x:c r="J14" s="24" t="str"/>
    </x:row>
    <x:row r="15">
      <x:c r="A15" s="24" t="str">
        <x:v>Sprint 17</x:v>
      </x:c>
      <x:c r="B15" s="24" t="str">
        <x:v>S17-G-003</x:v>
      </x:c>
      <x:c r="C15" s="24" t="str">
        <x:v>Profiling en build</x:v>
      </x:c>
      <x:c r="D15" s="24" t="str">
        <x:v>VS-PER-001</x:v>
      </x:c>
      <x:c r="E15" s="24" t="str">
        <x:v>PASS</x:v>
      </x:c>
      <x:c r="F15" s="24" t="str">
        <x:v>PENDING</x:v>
      </x:c>
      <x:c r="G15" s="24" t="str"/>
      <x:c r="H15" s="24" t="str">
        <x:v>Profiler/CSV/captura</x:v>
      </x:c>
      <x:c r="I15" s="24" t="str">
        <x:v>VRM Games</x:v>
      </x:c>
      <x:c r="J15" s="24" t="str"/>
    </x:row>
    <x:row r="16">
      <x:c r="A16" s="24" t="str">
        <x:v>Sprint 17</x:v>
      </x:c>
      <x:c r="B16" s="24" t="str">
        <x:v>S17-G-004</x:v>
      </x:c>
      <x:c r="C16" s="24" t="str">
        <x:v>Soak sin degradación grave</x:v>
      </x:c>
      <x:c r="D16" s="24" t="str">
        <x:v>VS-PER-002</x:v>
      </x:c>
      <x:c r="E16" s="24" t="str">
        <x:v>PASS</x:v>
      </x:c>
      <x:c r="F16" s="24" t="str">
        <x:v>PENDING</x:v>
      </x:c>
      <x:c r="G16" s="24" t="str"/>
      <x:c r="H16" s="24" t="str">
        <x:v>Registro soak</x:v>
      </x:c>
      <x:c r="I16" s="24" t="str">
        <x:v>VRM Games</x:v>
      </x:c>
      <x:c r="J16" s="24" t="str"/>
    </x:row>
    <x:row r="17">
      <x:c r="A17" s="24" t="str">
        <x:v>Sprint 17</x:v>
      </x:c>
      <x:c r="B17" s="24" t="str">
        <x:v>S17-G-005</x:v>
      </x:c>
      <x:c r="C17" s="24" t="str">
        <x:v>Persistencia y recovery completos</x:v>
      </x:c>
      <x:c r="D17" s="24" t="str">
        <x:v>VS-SAV-001</x:v>
      </x:c>
      <x:c r="E17" s="24" t="str">
        <x:v>PASS</x:v>
      </x:c>
      <x:c r="F17" s="24" t="str">
        <x:v>PENDING</x:v>
      </x:c>
      <x:c r="G17" s="24" t="str"/>
      <x:c r="H17" s="24" t="str">
        <x:v>Campaña save/load</x:v>
      </x:c>
      <x:c r="I17" s="24" t="str">
        <x:v>VRM Games</x:v>
      </x:c>
      <x:c r="J17" s="24" t="str"/>
    </x:row>
    <x:row r="18">
      <x:c r="A18" s="24" t="str">
        <x:v>Sprint 17</x:v>
      </x:c>
      <x:c r="B18" s="24" t="str">
        <x:v>S17-G-006</x:v>
      </x:c>
      <x:c r="C18" s="24" t="str">
        <x:v>Accesibilidad y ES/EN</x:v>
      </x:c>
      <x:c r="D18" s="24" t="str">
        <x:v>UX-LOC-001</x:v>
      </x:c>
      <x:c r="E18" s="24" t="str">
        <x:v>PASS</x:v>
      </x:c>
      <x:c r="F18" s="24" t="str">
        <x:v>PENDING</x:v>
      </x:c>
      <x:c r="G18" s="24" t="str"/>
      <x:c r="H18" s="24" t="str">
        <x:v>Checklist y capturas</x:v>
      </x:c>
      <x:c r="I18" s="24" t="str">
        <x:v>VRM Games</x:v>
      </x:c>
      <x:c r="J18" s="24" t="str"/>
    </x:row>
    <x:row r="19">
      <x:c r="A19" s="24" t="str">
        <x:v>Sprint 17</x:v>
      </x:c>
      <x:c r="B19" s="24" t="str">
        <x:v>S17-G-007</x:v>
      </x:c>
      <x:c r="C19" s="24" t="str">
        <x:v>S0/S1 abiertos = 0</x:v>
      </x:c>
      <x:c r="D19" s="24" t="str">
        <x:v>QA-POL-001</x:v>
      </x:c>
      <x:c r="E19" s="24" t="str">
        <x:v>0</x:v>
      </x:c>
      <x:c r="F19" s="24" t="str">
        <x:f>IF(COUNTIFS('12_Defectos'!$B$5:$B$13,"S0",'12_Defectos'!$E$5:$E$13,"&lt;&gt;Closed")+COUNTIFS('12_Defectos'!$B$5:$B$13,"S1",'12_Defectos'!$E$5:$E$13,"&lt;&gt;Closed")=0,"PASS","FAIL")</x:f>
        <x:v>FAIL</x:v>
      </x:c>
      <x:c r="G19" s="24" t="str"/>
      <x:c r="H19" s="24" t="str">
        <x:v>Defectos</x:v>
      </x:c>
      <x:c r="I19" s="24" t="str">
        <x:v>VRM Games</x:v>
      </x:c>
      <x:c r="J19" s="24" t="str"/>
    </x:row>
    <x:row r="20">
      <x:c r="A20" s="24" t="str">
        <x:v>H6</x:v>
      </x:c>
      <x:c r="B20" s="24" t="str">
        <x:v>H6-G-001</x:v>
      </x:c>
      <x:c r="C20" s="24" t="str">
        <x:v>Golden Path en build externa</x:v>
      </x:c>
      <x:c r="D20" s="24" t="str">
        <x:v>VS-BUILD-002</x:v>
      </x:c>
      <x:c r="E20" s="24" t="str">
        <x:v>PASS</x:v>
      </x:c>
      <x:c r="F20" s="24" t="str">
        <x:v>PENDING</x:v>
      </x:c>
      <x:c r="G20" s="24" t="str"/>
      <x:c r="H20" s="24" t="str">
        <x:v>Acta externa</x:v>
      </x:c>
      <x:c r="I20" s="24" t="str">
        <x:v>VRM Games</x:v>
      </x:c>
      <x:c r="J20" s="24" t="str"/>
    </x:row>
    <x:row r="21">
      <x:c r="A21" s="24" t="str">
        <x:v>H6</x:v>
      </x:c>
      <x:c r="B21" s="24" t="str">
        <x:v>H6-G-002</x:v>
      </x:c>
      <x:c r="C21" s="24" t="str">
        <x:v>Player.log sin errores bloqueantes</x:v>
      </x:c>
      <x:c r="D21" s="24" t="str">
        <x:v>VS-BUILD-003</x:v>
      </x:c>
      <x:c r="E21" s="24" t="str">
        <x:v>PASS</x:v>
      </x:c>
      <x:c r="F21" s="24" t="str">
        <x:v>PENDING</x:v>
      </x:c>
      <x:c r="G21" s="24" t="str"/>
      <x:c r="H21" s="24" t="str">
        <x:v>Log archivado</x:v>
      </x:c>
      <x:c r="I21" s="24" t="str">
        <x:v>VRM Games</x:v>
      </x:c>
      <x:c r="J21" s="24" t="str"/>
    </x:row>
    <x:row r="22">
      <x:c r="A22" s="24" t="str">
        <x:v>H6</x:v>
      </x:c>
      <x:c r="B22" s="24" t="str">
        <x:v>H6-G-003</x:v>
      </x:c>
      <x:c r="C22" s="24" t="str">
        <x:v>Campaña de siete días</x:v>
      </x:c>
      <x:c r="D22" s="24" t="str">
        <x:v>VS-TST-004</x:v>
      </x:c>
      <x:c r="E22" s="24" t="str">
        <x:v>PASS</x:v>
      </x:c>
      <x:c r="F22" s="24" t="str">
        <x:v>PENDING</x:v>
      </x:c>
      <x:c r="G22" s="24" t="str"/>
      <x:c r="H22" s="24" t="str">
        <x:v>Snapshots y ledger</x:v>
      </x:c>
      <x:c r="I22" s="24" t="str">
        <x:v>VRM Games</x:v>
      </x:c>
      <x:c r="J22" s="24" t="str"/>
    </x:row>
    <x:row r="23">
      <x:c r="A23" s="24" t="str">
        <x:v>H6</x:v>
      </x:c>
      <x:c r="B23" s="24" t="str">
        <x:v>H6-G-004</x:v>
      </x:c>
      <x:c r="C23" s="24" t="str">
        <x:v>No S0/S1 abiertos</x:v>
      </x:c>
      <x:c r="D23" s="24" t="str">
        <x:v>QA-POL-001</x:v>
      </x:c>
      <x:c r="E23" s="24" t="str">
        <x:v>0</x:v>
      </x:c>
      <x:c r="F23" s="24" t="str">
        <x:f>IF(COUNTIFS('12_Defectos'!$B$5:$B$13,"S0",'12_Defectos'!$E$5:$E$13,"&lt;&gt;Closed")+COUNTIFS('12_Defectos'!$B$5:$B$13,"S1",'12_Defectos'!$E$5:$E$13,"&lt;&gt;Closed")=0,"PASS","FAIL")</x:f>
        <x:v>FAIL</x:v>
      </x:c>
      <x:c r="G23" s="24" t="str"/>
      <x:c r="H23" s="24" t="str">
        <x:v>Defectos</x:v>
      </x:c>
      <x:c r="I23" s="24" t="str">
        <x:v>VRM Games</x:v>
      </x:c>
      <x:c r="J23" s="24" t="str"/>
    </x:row>
    <x:row r="24">
      <x:c r="A24" s="24" t="str">
        <x:v>H6</x:v>
      </x:c>
      <x:c r="B24" s="24" t="str">
        <x:v>H6-G-005</x:v>
      </x:c>
      <x:c r="C24" s="24" t="str">
        <x:v>Documentación y evidencia cerradas</x:v>
      </x:c>
      <x:c r="D24" s="24" t="str">
        <x:v>VS-DOC-001</x:v>
      </x:c>
      <x:c r="E24" s="24" t="str">
        <x:v>PASS</x:v>
      </x:c>
      <x:c r="F24" s="24" t="str">
        <x:v>PENDING</x:v>
      </x:c>
      <x:c r="G24" s="24" t="str"/>
      <x:c r="H24" s="24" t="str">
        <x:v>Paquete H6</x:v>
      </x:c>
      <x:c r="I24" s="24" t="str">
        <x:v>VRM Games</x:v>
      </x:c>
      <x:c r="J24" s="24" t="str"/>
    </x:row>
    <x:row r="25">
      <x:c r="A25" s="24" t="str">
        <x:v>Alpha</x:v>
      </x:c>
      <x:c r="B25" s="24" t="str">
        <x:v>ALPHA-G-001</x:v>
      </x:c>
      <x:c r="C25" s="24" t="str">
        <x:v>Feature complete del alcance aprobado</x:v>
      </x:c>
      <x:c r="D25" s="24" t="str">
        <x:v>06 Roadmap</x:v>
      </x:c>
      <x:c r="E25" s="24" t="str">
        <x:v>PASS</x:v>
      </x:c>
      <x:c r="F25" s="24" t="str">
        <x:v>NOT OPEN</x:v>
      </x:c>
      <x:c r="G25" s="24" t="str"/>
      <x:c r="H25" s="24" t="str">
        <x:v>Baseline Alpha</x:v>
      </x:c>
      <x:c r="I25" s="24" t="str">
        <x:v>VRM Games</x:v>
      </x:c>
      <x:c r="J25" s="24" t="str"/>
    </x:row>
    <x:row r="26">
      <x:c r="A26" s="24" t="str">
        <x:v>Beta</x:v>
      </x:c>
      <x:c r="B26" s="24" t="str">
        <x:v>BETA-G-001</x:v>
      </x:c>
      <x:c r="C26" s="24" t="str">
        <x:v>Contenido casi completo y foco en estabilidad</x:v>
      </x:c>
      <x:c r="D26" s="24" t="str">
        <x:v>06 Roadmap</x:v>
      </x:c>
      <x:c r="E26" s="24" t="str">
        <x:v>PASS</x:v>
      </x:c>
      <x:c r="F26" s="24" t="str">
        <x:v>NOT OPEN</x:v>
      </x:c>
      <x:c r="G26" s="24" t="str"/>
      <x:c r="H26" s="24" t="str">
        <x:v>Baseline Beta</x:v>
      </x:c>
      <x:c r="I26" s="24" t="str">
        <x:v>VRM Games</x:v>
      </x:c>
      <x:c r="J26" s="24" t="str"/>
    </x:row>
    <x:row r="27">
      <x:c r="A27" s="24" t="str">
        <x:v>RC</x:v>
      </x:c>
      <x:c r="B27" s="24" t="str">
        <x:v>RC-G-001</x:v>
      </x:c>
      <x:c r="C27" s="24" t="str">
        <x:v>Sin S0/S1 y regresión completa</x:v>
      </x:c>
      <x:c r="D27" s="24" t="str">
        <x:v>06 Roadmap</x:v>
      </x:c>
      <x:c r="E27" s="24" t="str">
        <x:v>PASS</x:v>
      </x:c>
      <x:c r="F27" s="24" t="str">
        <x:v>NOT OPEN</x:v>
      </x:c>
      <x:c r="G27" s="24" t="str"/>
      <x:c r="H27" s="24" t="str">
        <x:v>RC record</x:v>
      </x:c>
      <x:c r="I27" s="24" t="str">
        <x:v>VRM Games</x:v>
      </x:c>
      <x:c r="J27" s="24" t="str"/>
    </x:row>
  </x:sheetData>
  <x:mergeCells>
    <x:mergeCell ref="A1:J1"/>
    <x:mergeCell ref="A2:J2"/>
  </x:mergeCells>
  <x:conditionalFormatting sqref="F5:F27">
    <x:cfRule type="expression" dxfId="15" priority="1">
      <x:formula>F5="PASS"</x:formula>
    </x:cfRule>
    <x:cfRule type="expression" dxfId="16" priority="2">
      <x:formula>F5="FAIL"</x:formula>
    </x:cfRule>
    <x:cfRule type="expression" dxfId="17" priority="3">
      <x:formula>F5="OPEN"</x:formula>
    </x:cfRule>
  </x:conditionalFormatting>
  <x:dataValidations count="1">
    <x:dataValidation type="list" sqref="F5:F27">
      <x:formula1>"PASS,OPEN,PENDING,FAIL,BLOCKED,NOT OPEN,FORMULA,PASS WITH ACCEPTED DEBT"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48ae728d3148e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8" customHeight="1">
      <x:c r="A1" s="36" t="str">
        <x:v>Catálogos controlados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Listas utilizadas por validaciones de datos; ampliar sin cambiar los valores existentes.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4" customHeight="1">
      <x:c r="A4" s="17" t="str">
        <x:v>Resultado</x:v>
      </x:c>
      <x:c r="B4" s="17" t="str">
        <x:v>Prioridad</x:v>
      </x:c>
      <x:c r="C4" s="17" t="str">
        <x:v>Severidad</x:v>
      </x:c>
      <x:c r="D4" s="17" t="str">
        <x:v>Estado requisito</x:v>
      </x:c>
      <x:c r="E4" s="17" t="str">
        <x:v>Estado diseño</x:v>
      </x:c>
      <x:c r="F4" s="17" t="str">
        <x:v>Automatización</x:v>
      </x:c>
      <x:c r="G4" s="17" t="str">
        <x:v>Estado defecto</x:v>
      </x:c>
      <x:c r="H4" s="17" t="str">
        <x:v>Estado gate</x:v>
      </x:c>
      <x:c r="I4" s="17" t="str">
        <x:v>Plataforma</x:v>
      </x:c>
      <x:c r="J4" s="17" t="str">
        <x:v>Build type</x:v>
      </x:c>
      <x:c r="K4" s="17" t="str">
        <x:v>Owner</x:v>
      </x:c>
      <x:c r="L4" s="17" t="str">
        <x:v>Evidencia</x:v>
      </x:c>
      <x:c r="M4" s="17" t="str">
        <x:v>Nivel</x:v>
      </x:c>
      <x:c r="N4" s="17" t="str">
        <x:v>Tipo</x:v>
      </x:c>
    </x:row>
    <x:row r="5">
      <x:c r="A5" s="24" t="str">
        <x:v>Not Run</x:v>
      </x:c>
      <x:c r="B5" s="24" t="str">
        <x:v>P0</x:v>
      </x:c>
      <x:c r="C5" s="24" t="str">
        <x:v>S0</x:v>
      </x:c>
      <x:c r="D5" s="24" t="str">
        <x:v>Activo</x:v>
      </x:c>
      <x:c r="E5" s="24" t="str">
        <x:v>Draft</x:v>
      </x:c>
      <x:c r="F5" s="24" t="str">
        <x:v>Sí</x:v>
      </x:c>
      <x:c r="G5" s="24" t="str">
        <x:v>Draft</x:v>
      </x:c>
      <x:c r="H5" s="24" t="str">
        <x:v>PASS</x:v>
      </x:c>
      <x:c r="I5" s="24" t="str">
        <x:v>Windows x64</x:v>
      </x:c>
      <x:c r="J5" s="24" t="str">
        <x:v>Development</x:v>
      </x:c>
      <x:c r="K5" s="24" t="str">
        <x:v>VRM Games</x:v>
      </x:c>
      <x:c r="L5" s="24" t="str">
        <x:v>Screenshot</x:v>
      </x:c>
      <x:c r="M5" s="24" t="str">
        <x:v>EditMode</x:v>
      </x:c>
      <x:c r="N5" s="24" t="str">
        <x:v>Funcional</x:v>
      </x:c>
    </x:row>
    <x:row r="6">
      <x:c r="A6" s="24" t="str">
        <x:v>PASS</x:v>
      </x:c>
      <x:c r="B6" s="24" t="str">
        <x:v>P1</x:v>
      </x:c>
      <x:c r="C6" s="24" t="str">
        <x:v>S1</x:v>
      </x:c>
      <x:c r="D6" s="24" t="str">
        <x:v>Diferido</x:v>
      </x:c>
      <x:c r="E6" s="24" t="str">
        <x:v>Ready</x:v>
      </x:c>
      <x:c r="F6" s="24" t="str">
        <x:v>No</x:v>
      </x:c>
      <x:c r="G6" s="24" t="str">
        <x:v>Open</x:v>
      </x:c>
      <x:c r="H6" s="24" t="str">
        <x:v>OPEN</x:v>
      </x:c>
      <x:c r="I6" s="24" t="str">
        <x:v>Editor</x:v>
      </x:c>
      <x:c r="J6" s="24" t="str">
        <x:v>QA</x:v>
      </x:c>
      <x:c r="K6" s="24" t="str">
        <x:v>Blas Luis Rocha González</x:v>
      </x:c>
      <x:c r="L6" s="24" t="str">
        <x:v>Video</x:v>
      </x:c>
      <x:c r="M6" s="24" t="str">
        <x:v>PlayMode</x:v>
      </x:c>
      <x:c r="N6" s="24" t="str">
        <x:v>Regresión</x:v>
      </x:c>
    </x:row>
    <x:row r="7">
      <x:c r="A7" s="24" t="str">
        <x:v>FAIL</x:v>
      </x:c>
      <x:c r="B7" s="24" t="str">
        <x:v>P2</x:v>
      </x:c>
      <x:c r="C7" s="24" t="str">
        <x:v>S2</x:v>
      </x:c>
      <x:c r="D7" s="24" t="str">
        <x:v>Sustituido</x:v>
      </x:c>
      <x:c r="E7" s="24" t="str">
        <x:v>Legacy</x:v>
      </x:c>
      <x:c r="F7" s="24" t="str">
        <x:v>Parcial</x:v>
      </x:c>
      <x:c r="G7" s="24" t="str">
        <x:v>In Progress</x:v>
      </x:c>
      <x:c r="H7" s="24" t="str">
        <x:v>PENDING</x:v>
      </x:c>
      <x:c r="I7" s="24" t="str">
        <x:v>Unity Test Runner</x:v>
      </x:c>
      <x:c r="J7" s="24" t="str">
        <x:v>H6 Candidate</x:v>
      </x:c>
      <x:c r="K7" s="24"/>
      <x:c r="L7" s="24" t="str">
        <x:v>Player.log</x:v>
      </x:c>
      <x:c r="M7" s="24" t="str">
        <x:v>EditMode + Integración</x:v>
      </x:c>
      <x:c r="N7" s="24" t="str">
        <x:v>Escenario end-to-end</x:v>
      </x:c>
    </x:row>
    <x:row r="8">
      <x:c r="A8" s="24" t="str">
        <x:v>BLOCKED</x:v>
      </x:c>
      <x:c r="B8" s="24" t="str">
        <x:v>P3</x:v>
      </x:c>
      <x:c r="C8" s="24" t="str">
        <x:v>S3</x:v>
      </x:c>
      <x:c r="D8" s="24" t="str">
        <x:v>Cerrado</x:v>
      </x:c>
      <x:c r="E8" s="24" t="str">
        <x:v>Deprecated</x:v>
      </x:c>
      <x:c r="F8" s="24" t="str">
        <x:v>Parcial/Alta</x:v>
      </x:c>
      <x:c r="G8" s="24" t="str">
        <x:v>Resolved</x:v>
      </x:c>
      <x:c r="H8" s="24" t="str">
        <x:v>FAIL</x:v>
      </x:c>
      <x:c r="I8" s="24"/>
      <x:c r="J8" s="24" t="str">
        <x:v>Demo</x:v>
      </x:c>
      <x:c r="K8" s="24"/>
      <x:c r="L8" s="24" t="str">
        <x:v>Test report</x:v>
      </x:c>
      <x:c r="M8" s="24" t="str">
        <x:v>PlayMode + Manual</x:v>
      </x:c>
      <x:c r="N8" s="24" t="str">
        <x:v>Fault injection / No funcional</x:v>
      </x:c>
    </x:row>
    <x:row r="9">
      <x:c r="A9" s="24" t="str">
        <x:v>SKIPPED</x:v>
      </x:c>
      <x:c r="B9" s="24" t="str">
        <x:v>P4</x:v>
      </x:c>
      <x:c r="C9" s="24" t="str">
        <x:v>S4</x:v>
      </x:c>
      <x:c r="D9" s="24"/>
      <x:c r="E9" s="24"/>
      <x:c r="F9" s="24" t="str">
        <x:v>Manual/Parcial</x:v>
      </x:c>
      <x:c r="G9" s="24" t="str">
        <x:v>Closed</x:v>
      </x:c>
      <x:c r="H9" s="24" t="str">
        <x:v>BLOCKED</x:v>
      </x:c>
      <x:c r="I9" s="24"/>
      <x:c r="J9" s="24" t="str">
        <x:v>Alpha</x:v>
      </x:c>
      <x:c r="K9" s="24"/>
      <x:c r="L9" s="24" t="str">
        <x:v>Profiler</x:v>
      </x:c>
      <x:c r="M9" s="24" t="str">
        <x:v>Build + Manual</x:v>
      </x:c>
      <x:c r="N9" s="24" t="str">
        <x:v>Funcional / Manual</x:v>
      </x:c>
    </x:row>
    <x:row r="10">
      <x:c r="A10" s="24" t="str">
        <x:v>Baseline PASS</x:v>
      </x:c>
      <x:c r="B10" s="24"/>
      <x:c r="C10" s="24"/>
      <x:c r="D10" s="24"/>
      <x:c r="E10" s="24"/>
      <x:c r="F10" s="24" t="str">
        <x:v>No/Parcial</x:v>
      </x:c>
      <x:c r="G10" s="24" t="str">
        <x:v>Accepted Debt</x:v>
      </x:c>
      <x:c r="H10" s="24" t="str">
        <x:v>NOT OPEN</x:v>
      </x:c>
      <x:c r="I10" s="24"/>
      <x:c r="J10" s="24" t="str">
        <x:v>Beta</x:v>
      </x:c>
      <x:c r="K10" s="24"/>
      <x:c r="L10" s="24" t="str">
        <x:v>Snapshot diff</x:v>
      </x:c>
      <x:c r="M10" s="24" t="str">
        <x:v>Manual + Integración + Build</x:v>
      </x:c>
      <x:c r="N10" s="24" t="str">
        <x:v>Review</x:v>
      </x:c>
    </x:row>
    <x:row r="11">
      <x:c r="A11" s="24" t="str">
        <x:v>PASS WITH OBSERVATION</x:v>
      </x:c>
      <x:c r="B11" s="24"/>
      <x:c r="C11" s="24"/>
      <x:c r="D11" s="24"/>
      <x:c r="E11" s="24"/>
      <x:c r="F11" s="24"/>
      <x:c r="G11" s="24" t="str">
        <x:v>Duplicate</x:v>
      </x:c>
      <x:c r="H11" s="24" t="str">
        <x:v>FORMULA</x:v>
      </x:c>
      <x:c r="I11" s="24"/>
      <x:c r="J11" s="24" t="str">
        <x:v>RC</x:v>
      </x:c>
      <x:c r="K11" s="24"/>
      <x:c r="L11" s="24" t="str">
        <x:v>Build record</x:v>
      </x:c>
      <x:c r="M11" s="24" t="str">
        <x:v>Revisión</x:v>
      </x:c>
      <x:c r="N11" s="24" t="str">
        <x:v>Automated</x:v>
      </x:c>
    </x:row>
    <x:row r="12">
      <x:c r="A12" s="24" t="str">
        <x:v>N/A</x:v>
      </x:c>
      <x:c r="B12" s="24"/>
      <x:c r="C12" s="24"/>
      <x:c r="D12" s="24"/>
      <x:c r="E12" s="24"/>
      <x:c r="F12" s="24"/>
      <x:c r="G12" s="24" t="str">
        <x:v>Won't Fix</x:v>
      </x:c>
      <x:c r="H12" s="24" t="str">
        <x:v>PASS WITH ACCEPTED DEBT</x:v>
      </x:c>
      <x:c r="I12" s="24"/>
      <x:c r="J12" s="24" t="str">
        <x:v>Release</x:v>
      </x:c>
      <x:c r="K12" s="24"/>
      <x:c r="L12" s="24" t="str">
        <x:v>Checklist</x:v>
      </x:c>
      <x:c r="M12" s="24" t="str">
        <x:v>Integración + Manual</x:v>
      </x:c>
      <x:c r="N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 t="str">
        <x:v>Commit/SHA</x:v>
      </x:c>
      <x:c r="M13" s="24"/>
      <x:c r="N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 t="str">
        <x:v>None</x:v>
      </x:c>
      <x:c r="M14" s="24"/>
      <x:c r="N14" s="2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007934824804ec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6" hidden="0" customWidth="1"/>
    <x:col min="3" max="3" width="20" hidden="0" customWidth="1"/>
    <x:col min="4" max="4" width="68" hidden="0" customWidth="1"/>
    <x:col min="5" max="5" width="26" hidden="0" customWidth="1"/>
    <x:col min="6" max="6" width="44" hidden="0" customWidth="1"/>
    <x:col min="7" max="7" width="24" hidden="0" customWidth="1"/>
  </x:cols>
  <x:sheetData>
    <x:row r="1" ht="28" customHeight="1">
      <x:c r="A1" s="36" t="str">
        <x:v>Trazabilidad de fuentes</x:v>
      </x:c>
      <x:c r="B1" s="36"/>
      <x:c r="C1" s="36"/>
      <x:c r="D1" s="36"/>
      <x:c r="E1" s="36"/>
      <x:c r="F1" s="36"/>
      <x:c r="G1" s="36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  <x:c r="AA1" s="37"/>
      <x:c r="AB1" s="37"/>
      <x:c r="AC1" s="37"/>
      <x:c r="AD1" s="37"/>
      <x:c r="AE1" s="37"/>
      <x:c r="AF1" s="37"/>
      <x:c r="AG1" s="37"/>
      <x:c r="AH1" s="37"/>
      <x:c r="AI1" s="37"/>
      <x:c r="AJ1" s="37"/>
      <x:c r="AK1" s="37"/>
      <x:c r="AL1" s="37"/>
      <x:c r="AM1" s="37"/>
      <x:c r="AN1" s="37"/>
      <x:c r="AO1" s="37"/>
      <x:c r="AP1" s="37"/>
      <x:c r="AQ1" s="37"/>
      <x:c r="AR1" s="37"/>
      <x:c r="AS1" s="37"/>
      <x:c r="AT1" s="37"/>
      <x:c r="AU1" s="37"/>
      <x:c r="AV1" s="37"/>
      <x:c r="AW1" s="37"/>
      <x:c r="AX1" s="37"/>
      <x:c r="AY1" s="37"/>
      <x:c r="AZ1" s="37"/>
    </x:row>
    <x:row r="2" ht="22" customHeight="1">
      <x:c r="A2" s="10" t="str">
        <x:v>Documentos consolidados, matrices históricas y registros QA utilizados.</x:v>
      </x:c>
      <x:c r="B2" s="10"/>
      <x:c r="C2" s="10"/>
      <x:c r="D2" s="10"/>
      <x:c r="E2" s="10"/>
      <x:c r="F2" s="10"/>
      <x:c r="G2" s="10"/>
    </x:row>
    <x:row r="4" ht="34" customHeight="1">
      <x:c r="A4" s="17" t="str">
        <x:v>Fuente</x:v>
      </x:c>
      <x:c r="B4" s="17" t="str">
        <x:v>Tipo</x:v>
      </x:c>
      <x:c r="C4" s="17" t="str">
        <x:v>Versión/Fecha</x:v>
      </x:c>
      <x:c r="D4" s="17" t="str">
        <x:v>SHA-256</x:v>
      </x:c>
      <x:c r="E4" s="17" t="str">
        <x:v>Autoridad</x:v>
      </x:c>
      <x:c r="F4" s="17" t="str">
        <x:v>Uso en la matriz</x:v>
      </x:c>
      <x:c r="G4" s="17" t="str">
        <x:v>Estado</x:v>
      </x:c>
    </x:row>
    <x:row r="5">
      <x:c r="A5" s="24" t="str">
        <x:v>00_Enfoque_y_Alcance.md</x:v>
      </x:c>
      <x:c r="B5" s="24" t="str">
        <x:v>Documento consolidado</x:v>
      </x:c>
      <x:c r="C5" s="24" t="str">
        <x:v>1.0 / 2026-07-01</x:v>
      </x:c>
      <x:c r="D5" s="24" t="str">
        <x:v>63dd6f0f1b9c2c80be2aec55718d18d9d031ce4acb14f677769d6e69ceaad21f</x:v>
      </x:c>
      <x:c r="E5" s="24" t="str">
        <x:v>Autoridad principal</x:v>
      </x:c>
      <x:c r="F5" s="24" t="str">
        <x:v>Requisitos, diseño y gates</x:v>
      </x:c>
      <x:c r="G5" s="24" t="str">
        <x:v>Vigente</x:v>
      </x:c>
    </x:row>
    <x:row r="6">
      <x:c r="A6" s="24" t="str">
        <x:v>01_Game_Design_Document.md</x:v>
      </x:c>
      <x:c r="B6" s="24" t="str">
        <x:v>Documento consolidado</x:v>
      </x:c>
      <x:c r="C6" s="24" t="str">
        <x:v>1.0 / 2026-07-01</x:v>
      </x:c>
      <x:c r="D6" s="24" t="str">
        <x:v>a9cd9e3203abc5269c25c59dc7f626b0771df4ec2d65e781109ff146bceb2177</x:v>
      </x:c>
      <x:c r="E6" s="24" t="str">
        <x:v>Autoridad principal</x:v>
      </x:c>
      <x:c r="F6" s="24" t="str">
        <x:v>Requisitos, diseño y gates</x:v>
      </x:c>
      <x:c r="G6" s="24" t="str">
        <x:v>Vigente</x:v>
      </x:c>
    </x:row>
    <x:row r="7">
      <x:c r="A7" s="24" t="str">
        <x:v>02_Vertical_Slice_Specification.md</x:v>
      </x:c>
      <x:c r="B7" s="24" t="str">
        <x:v>Documento consolidado</x:v>
      </x:c>
      <x:c r="C7" s="24" t="str">
        <x:v>1.0 / 2026-07-01</x:v>
      </x:c>
      <x:c r="D7" s="24" t="str">
        <x:v>75893f130116e88a08b8da5590dd81876a234581081eafaa8d08374c1a60513f</x:v>
      </x:c>
      <x:c r="E7" s="24" t="str">
        <x:v>Autoridad principal</x:v>
      </x:c>
      <x:c r="F7" s="24" t="str">
        <x:v>Requisitos, diseño y gates</x:v>
      </x:c>
      <x:c r="G7" s="24" t="str">
        <x:v>Vigente</x:v>
      </x:c>
    </x:row>
    <x:row r="8">
      <x:c r="A8" s="24" t="str">
        <x:v>03_Technical_Design_Document.md</x:v>
      </x:c>
      <x:c r="B8" s="24" t="str">
        <x:v>Documento consolidado</x:v>
      </x:c>
      <x:c r="C8" s="24" t="str">
        <x:v>1.0 / 2026-07-01</x:v>
      </x:c>
      <x:c r="D8" s="24" t="str">
        <x:v>66264703c5ff4959d03093690e9845a98ec0e5025e685b9a639ac8cbb616cd12</x:v>
      </x:c>
      <x:c r="E8" s="24" t="str">
        <x:v>Autoridad principal</x:v>
      </x:c>
      <x:c r="F8" s="24" t="str">
        <x:v>Requisitos, diseño y gates</x:v>
      </x:c>
      <x:c r="G8" s="24" t="str">
        <x:v>Vigente</x:v>
      </x:c>
    </x:row>
    <x:row r="9">
      <x:c r="A9" s="24" t="str">
        <x:v>04_Modelo_de_Datos.md</x:v>
      </x:c>
      <x:c r="B9" s="24" t="str">
        <x:v>Documento consolidado</x:v>
      </x:c>
      <x:c r="C9" s="24" t="str">
        <x:v>1.0 / 2026-07-01</x:v>
      </x:c>
      <x:c r="D9" s="24" t="str">
        <x:v>d851a72b55742c2c704cc7c002929bc5894e7142511c6af843440bb193fb19d4</x:v>
      </x:c>
      <x:c r="E9" s="24" t="str">
        <x:v>Autoridad principal</x:v>
      </x:c>
      <x:c r="F9" s="24" t="str">
        <x:v>Requisitos, diseño y gates</x:v>
      </x:c>
      <x:c r="G9" s="24" t="str">
        <x:v>Vigente</x:v>
      </x:c>
    </x:row>
    <x:row r="10">
      <x:c r="A10" s="24" t="str">
        <x:v>05_UX_Flow.md</x:v>
      </x:c>
      <x:c r="B10" s="24" t="str">
        <x:v>Documento consolidado</x:v>
      </x:c>
      <x:c r="C10" s="24" t="str">
        <x:v>1.0 / 2026-07-01</x:v>
      </x:c>
      <x:c r="D10" s="24" t="str">
        <x:v>e08da5ff67fb073a8b950babe325ae58ddb2e121513dc2f553acd4f2c14b867e</x:v>
      </x:c>
      <x:c r="E10" s="24" t="str">
        <x:v>Autoridad principal</x:v>
      </x:c>
      <x:c r="F10" s="24" t="str">
        <x:v>Requisitos, diseño y gates</x:v>
      </x:c>
      <x:c r="G10" s="24" t="str">
        <x:v>Vigente</x:v>
      </x:c>
    </x:row>
    <x:row r="11">
      <x:c r="A11" s="24" t="str">
        <x:v>06_Production_Roadmap_y_Sprint_Plan.md</x:v>
      </x:c>
      <x:c r="B11" s="24" t="str">
        <x:v>Documento consolidado</x:v>
      </x:c>
      <x:c r="C11" s="24" t="str">
        <x:v>1.0 / 2026-07-01</x:v>
      </x:c>
      <x:c r="D11" s="24" t="str">
        <x:v>d00b156c0ad1c66069278119c55f76c738a577a3e2835f770208d1a5f2faadff</x:v>
      </x:c>
      <x:c r="E11" s="24" t="str">
        <x:v>Autoridad principal</x:v>
      </x:c>
      <x:c r="F11" s="24" t="str">
        <x:v>Requisitos, diseño y gates</x:v>
      </x:c>
      <x:c r="G11" s="24" t="str">
        <x:v>Vigente</x:v>
      </x:c>
    </x:row>
    <x:row r="12">
      <x:c r="A12" s="24" t="str">
        <x:v>07_QA_Testing_Plan.md</x:v>
      </x:c>
      <x:c r="B12" s="24" t="str">
        <x:v>Documento consolidado</x:v>
      </x:c>
      <x:c r="C12" s="24" t="str">
        <x:v>1.0 / 2026-07-01</x:v>
      </x:c>
      <x:c r="D12" s="24" t="str">
        <x:v>bc9c05a3737e345546ef16e5390e034295ef35ad66c31647852aec81b4e7affe</x:v>
      </x:c>
      <x:c r="E12" s="24" t="str">
        <x:v>Autoridad principal</x:v>
      </x:c>
      <x:c r="F12" s="24" t="str">
        <x:v>Requisitos, diseño y gates</x:v>
      </x:c>
      <x:c r="G12" s="24" t="str">
        <x:v>Vigente</x:v>
      </x:c>
    </x:row>
    <x:row r="13">
      <x:c r="A13" s="24" t="str">
        <x:v>v03.xlsx</x:v>
      </x:c>
      <x:c r="B13" s="24" t="str">
        <x:v>QA Testing Matrix histórica</x:v>
      </x:c>
      <x:c r="C13" s="24" t="str">
        <x:v>v0.3</x:v>
      </x:c>
      <x:c r="D13" s="24" t="str">
        <x:v>f7d48e93b2ca3cc8e86b1dfc2164126d923af38ba0c76cb4dde566e6bc4da05d</x:v>
      </x:c>
      <x:c r="E13" s="24" t="str">
        <x:v>Histórica / complementaria</x:v>
      </x:c>
      <x:c r="F13" s="24" t="str">
        <x:v>Estructura, regresión y baseline</x:v>
      </x:c>
      <x:c r="G13" s="24" t="str">
        <x:v>Consolidada</x:v>
      </x:c>
    </x:row>
    <x:row r="14">
      <x:c r="A14" s="24" t="str">
        <x:v>v04.xlsx</x:v>
      </x:c>
      <x:c r="B14" s="24" t="str">
        <x:v>QA Testing Matrix histórica</x:v>
      </x:c>
      <x:c r="C14" s="24" t="str">
        <x:v>v0.4</x:v>
      </x:c>
      <x:c r="D14" s="24" t="str">
        <x:v>80d79fa25df8c4dfaf0e91ff3f0e519ffcd283d802cf9e418e06fa88fa01d4d4</x:v>
      </x:c>
      <x:c r="E14" s="24" t="str">
        <x:v>Histórica / complementaria</x:v>
      </x:c>
      <x:c r="F14" s="24" t="str">
        <x:v>Estructura, regresión y baseline</x:v>
      </x:c>
      <x:c r="G14" s="24" t="str">
        <x:v>Consolidada</x:v>
      </x:c>
    </x:row>
    <x:row r="15">
      <x:c r="A15" s="24" t="str">
        <x:v>v05.xlsx</x:v>
      </x:c>
      <x:c r="B15" s="24" t="str">
        <x:v>QA Testing Matrix histórica</x:v>
      </x:c>
      <x:c r="C15" s="24" t="str">
        <x:v>v0.5</x:v>
      </x:c>
      <x:c r="D15" s="24" t="str">
        <x:v>dbff9b69bb8edae19c2158fb4293aaf574a584a407cca672cf6f89dabae6690e</x:v>
      </x:c>
      <x:c r="E15" s="24" t="str">
        <x:v>Histórica / complementaria</x:v>
      </x:c>
      <x:c r="F15" s="24" t="str">
        <x:v>Estructura, regresión y baseline</x:v>
      </x:c>
      <x:c r="G15" s="24" t="str">
        <x:v>Consolidada</x:v>
      </x:c>
    </x:row>
    <x:row r="16">
      <x:c r="A16" s="24" t="str">
        <x:v>v06.xlsx</x:v>
      </x:c>
      <x:c r="B16" s="24" t="str">
        <x:v>QA Testing Matrix histórica</x:v>
      </x:c>
      <x:c r="C16" s="24" t="str">
        <x:v>v0.6</x:v>
      </x:c>
      <x:c r="D16" s="24" t="str">
        <x:v>96a6eb8272a2c9a42f718f71406a1b8d770e2d7cf0d96d2c3d0a0c418445d681</x:v>
      </x:c>
      <x:c r="E16" s="24" t="str">
        <x:v>Histórica / complementaria</x:v>
      </x:c>
      <x:c r="F16" s="24" t="str">
        <x:v>Estructura, regresión y baseline</x:v>
      </x:c>
      <x:c r="G16" s="24" t="str">
        <x:v>Consolidada</x:v>
      </x:c>
    </x:row>
    <x:row r="17">
      <x:c r="A17" s="24" t="str">
        <x:v>Documentation/00_Official_Baseline/v0.5/06_Development_Records/Sprints/Sprint_01/QA/S1_Acceptance_Matrix.md</x:v>
      </x:c>
      <x:c r="B17" s="24" t="str">
        <x:v>Registro QA Markdown</x:v>
      </x:c>
      <x:c r="C17" s="24" t="str">
        <x:v>v0.5</x:v>
      </x:c>
      <x:c r="D17" s="24" t="str">
        <x:v>a5a4e0a192fe33559c582efd9ee4d53170e26af9e07db63aae1e22b1f5c66f49</x:v>
      </x:c>
      <x:c r="E17" s="24" t="str">
        <x:v>Complementaria</x:v>
      </x:c>
      <x:c r="F17" s="24" t="str">
        <x:v>Evidencia operativa / aceptación / ejecución</x:v>
      </x:c>
      <x:c r="G17" s="24" t="str">
        <x:v>Histórico o vigente según ruta</x:v>
      </x:c>
    </x:row>
    <x:row r="18">
      <x:c r="A18" s="24" t="str">
        <x:v>Documentation/00_Official_Baseline/v0.5/06_Development_Records/Sprints/Sprint_01/QA/S1_QA_Execution_Record.md</x:v>
      </x:c>
      <x:c r="B18" s="24" t="str">
        <x:v>Registro QA Markdown</x:v>
      </x:c>
      <x:c r="C18" s="24" t="str">
        <x:v>v0.5</x:v>
      </x:c>
      <x:c r="D18" s="24" t="str">
        <x:v>f9ae3d8cb7bd112af8d518e93ccfe03fbce2309d555f3130b0325427ef68daad</x:v>
      </x:c>
      <x:c r="E18" s="24" t="str">
        <x:v>Complementaria</x:v>
      </x:c>
      <x:c r="F18" s="24" t="str">
        <x:v>Evidencia operativa / aceptación / ejecución</x:v>
      </x:c>
      <x:c r="G18" s="24" t="str">
        <x:v>Histórico o vigente según ruta</x:v>
      </x:c>
    </x:row>
    <x:row r="19">
      <x:c r="A19" s="24" t="str">
        <x:v>Documentation/00_Official_Baseline/v0.5/06_Development_Records/Sprints/Sprint_01/QA/S1_Validation_Checklist.md</x:v>
      </x:c>
      <x:c r="B19" s="24" t="str">
        <x:v>Registro QA Markdown</x:v>
      </x:c>
      <x:c r="C19" s="24" t="str">
        <x:v>v0.5</x:v>
      </x:c>
      <x:c r="D19" s="24" t="str">
        <x:v>a6538450622d348cafd5964a5af26d84ce9b5aa1890a06af6789b8bb4fd9dc9c</x:v>
      </x:c>
      <x:c r="E19" s="24" t="str">
        <x:v>Complementaria</x:v>
      </x:c>
      <x:c r="F19" s="24" t="str">
        <x:v>Evidencia operativa / aceptación / ejecución</x:v>
      </x:c>
      <x:c r="G19" s="24" t="str">
        <x:v>Histórico o vigente según ruta</x:v>
      </x:c>
    </x:row>
    <x:row r="20">
      <x:c r="A20" s="24" t="str">
        <x:v>Documentation/00_Official_Baseline/v0.5/06_Development_Records/Sprints/Sprint_02/QA/S2_Acceptance_Matrix.md</x:v>
      </x:c>
      <x:c r="B20" s="24" t="str">
        <x:v>Registro QA Markdown</x:v>
      </x:c>
      <x:c r="C20" s="24" t="str">
        <x:v>v0.5</x:v>
      </x:c>
      <x:c r="D20" s="24" t="str">
        <x:v>1c184fd5c44de6051e83614676a1571d4d49e7cd8b4d68c8ef85167b64e2692f</x:v>
      </x:c>
      <x:c r="E20" s="24" t="str">
        <x:v>Complementaria</x:v>
      </x:c>
      <x:c r="F20" s="24" t="str">
        <x:v>Evidencia operativa / aceptación / ejecución</x:v>
      </x:c>
      <x:c r="G20" s="24" t="str">
        <x:v>Histórico o vigente según ruta</x:v>
      </x:c>
    </x:row>
    <x:row r="21">
      <x:c r="A21" s="24" t="str">
        <x:v>Documentation/00_Official_Baseline/v0.5/06_Development_Records/Sprints/Sprint_02/QA/S2_QA_Execution_Record.md</x:v>
      </x:c>
      <x:c r="B21" s="24" t="str">
        <x:v>Registro QA Markdown</x:v>
      </x:c>
      <x:c r="C21" s="24" t="str">
        <x:v>v0.5</x:v>
      </x:c>
      <x:c r="D21" s="24" t="str">
        <x:v>70ad9d5ab6b32071b69fcbb35e7f76889b95b4d84ec6c6e6174ab2d793ccea4f</x:v>
      </x:c>
      <x:c r="E21" s="24" t="str">
        <x:v>Complementaria</x:v>
      </x:c>
      <x:c r="F21" s="24" t="str">
        <x:v>Evidencia operativa / aceptación / ejecución</x:v>
      </x:c>
      <x:c r="G21" s="24" t="str">
        <x:v>Histórico o vigente según ruta</x:v>
      </x:c>
    </x:row>
    <x:row r="22">
      <x:c r="A22" s="24" t="str">
        <x:v>Documentation/00_Official_Baseline/v0.5/06_Development_Records/Sprints/Sprint_02/QA/S2_Validation_Checklist.md</x:v>
      </x:c>
      <x:c r="B22" s="24" t="str">
        <x:v>Registro QA Markdown</x:v>
      </x:c>
      <x:c r="C22" s="24" t="str">
        <x:v>v0.5</x:v>
      </x:c>
      <x:c r="D22" s="24" t="str">
        <x:v>c0a872b546a633fd2774377e613690ce0b756b0acb22eecc799f2083cb294606</x:v>
      </x:c>
      <x:c r="E22" s="24" t="str">
        <x:v>Complementaria</x:v>
      </x:c>
      <x:c r="F22" s="24" t="str">
        <x:v>Evidencia operativa / aceptación / ejecución</x:v>
      </x:c>
      <x:c r="G22" s="24" t="str">
        <x:v>Histórico o vigente según ruta</x:v>
      </x:c>
    </x:row>
    <x:row r="23">
      <x:c r="A23" s="24" t="str">
        <x:v>Documentation/00_Official_Baseline/v0.5/06_Development_Records/Sprints/Sprint_03/QA/S3.1_Validation_Checklist.md</x:v>
      </x:c>
      <x:c r="B23" s="24" t="str">
        <x:v>Registro QA Markdown</x:v>
      </x:c>
      <x:c r="C23" s="24" t="str">
        <x:v>v0.5</x:v>
      </x:c>
      <x:c r="D23" s="24" t="str">
        <x:v>504a5c5285be528dd826475d48095d89f3e9ef702c59ebab2408debe90246aa7</x:v>
      </x:c>
      <x:c r="E23" s="24" t="str">
        <x:v>Complementaria</x:v>
      </x:c>
      <x:c r="F23" s="24" t="str">
        <x:v>Evidencia operativa / aceptación / ejecución</x:v>
      </x:c>
      <x:c r="G23" s="24" t="str">
        <x:v>Histórico o vigente según ruta</x:v>
      </x:c>
    </x:row>
    <x:row r="24">
      <x:c r="A24" s="24" t="str">
        <x:v>Documentation/00_Official_Baseline/v0.5/06_Development_Records/Sprints/Sprint_03/QA/S3.2_Validation_Checklist.md</x:v>
      </x:c>
      <x:c r="B24" s="24" t="str">
        <x:v>Registro QA Markdown</x:v>
      </x:c>
      <x:c r="C24" s="24" t="str">
        <x:v>v0.5</x:v>
      </x:c>
      <x:c r="D24" s="24" t="str">
        <x:v>40c1fcb0f866cbe4f549fdd6fb510200c537a172b368c89cb851be0e75d7d6ba</x:v>
      </x:c>
      <x:c r="E24" s="24" t="str">
        <x:v>Complementaria</x:v>
      </x:c>
      <x:c r="F24" s="24" t="str">
        <x:v>Evidencia operativa / aceptación / ejecución</x:v>
      </x:c>
      <x:c r="G24" s="24" t="str">
        <x:v>Histórico o vigente según ruta</x:v>
      </x:c>
    </x:row>
    <x:row r="25">
      <x:c r="A25" s="24" t="str">
        <x:v>Documentation/00_Official_Baseline/v0.5/06_Development_Records/Sprints/Sprint_03/QA/S3.3_Validation_Checklist.md</x:v>
      </x:c>
      <x:c r="B25" s="24" t="str">
        <x:v>Registro QA Markdown</x:v>
      </x:c>
      <x:c r="C25" s="24" t="str">
        <x:v>v0.5</x:v>
      </x:c>
      <x:c r="D25" s="24" t="str">
        <x:v>9ba60442d1b478ccf14f8185361528a5bedb267e7102ea8a963696dc6eee0123</x:v>
      </x:c>
      <x:c r="E25" s="24" t="str">
        <x:v>Complementaria</x:v>
      </x:c>
      <x:c r="F25" s="24" t="str">
        <x:v>Evidencia operativa / aceptación / ejecución</x:v>
      </x:c>
      <x:c r="G25" s="24" t="str">
        <x:v>Histórico o vigente según ruta</x:v>
      </x:c>
    </x:row>
    <x:row r="26">
      <x:c r="A26" s="24" t="str">
        <x:v>Documentation/00_Official_Baseline/v0.5/06_Development_Records/Sprints/Sprint_03/QA/S3.4_Build_Execution_Record.md</x:v>
      </x:c>
      <x:c r="B26" s="24" t="str">
        <x:v>Registro QA Markdown</x:v>
      </x:c>
      <x:c r="C26" s="24" t="str">
        <x:v>v0.5</x:v>
      </x:c>
      <x:c r="D26" s="24" t="str">
        <x:v>bdbcbe899c627a7abf1f302f7db42ce29de1f0809c8373a454e3bc070984ab7d</x:v>
      </x:c>
      <x:c r="E26" s="24" t="str">
        <x:v>Complementaria</x:v>
      </x:c>
      <x:c r="F26" s="24" t="str">
        <x:v>Evidencia operativa / aceptación / ejecución</x:v>
      </x:c>
      <x:c r="G26" s="24" t="str">
        <x:v>Histórico o vigente según ruta</x:v>
      </x:c>
    </x:row>
    <x:row r="27">
      <x:c r="A27" s="24" t="str">
        <x:v>Documentation/00_Official_Baseline/v0.5/06_Development_Records/Sprints/Sprint_03/QA/S3.4_Validation_Checklist.md</x:v>
      </x:c>
      <x:c r="B27" s="24" t="str">
        <x:v>Registro QA Markdown</x:v>
      </x:c>
      <x:c r="C27" s="24" t="str">
        <x:v>v0.5</x:v>
      </x:c>
      <x:c r="D27" s="24" t="str">
        <x:v>52fce0bcde72678d3b864e12c3ab0a0a39eef2f3d1c321d94d7c55c21ab65027</x:v>
      </x:c>
      <x:c r="E27" s="24" t="str">
        <x:v>Complementaria</x:v>
      </x:c>
      <x:c r="F27" s="24" t="str">
        <x:v>Evidencia operativa / aceptación / ejecución</x:v>
      </x:c>
      <x:c r="G27" s="24" t="str">
        <x:v>Histórico o vigente según ruta</x:v>
      </x:c>
    </x:row>
    <x:row r="28">
      <x:c r="A28" s="24" t="str">
        <x:v>Documentation/00_Official_Baseline/v0.5/06_Development_Records/Sprints/Sprint_03/QA/S3_Acceptance_Matrix.md</x:v>
      </x:c>
      <x:c r="B28" s="24" t="str">
        <x:v>Registro QA Markdown</x:v>
      </x:c>
      <x:c r="C28" s="24" t="str">
        <x:v>v0.5</x:v>
      </x:c>
      <x:c r="D28" s="24" t="str">
        <x:v>dcd3a753ec03bf462ed61fee96f551716970f05a54702fcec5ebdc271bda15b7</x:v>
      </x:c>
      <x:c r="E28" s="24" t="str">
        <x:v>Complementaria</x:v>
      </x:c>
      <x:c r="F28" s="24" t="str">
        <x:v>Evidencia operativa / aceptación / ejecución</x:v>
      </x:c>
      <x:c r="G28" s="24" t="str">
        <x:v>Histórico o vigente según ruta</x:v>
      </x:c>
    </x:row>
    <x:row r="29">
      <x:c r="A29" s="24" t="str">
        <x:v>Documentation/00_Official_Baseline/v0.5/06_Development_Records/Sprints/Sprint_03/QA/S3_QA_Execution_Record.md</x:v>
      </x:c>
      <x:c r="B29" s="24" t="str">
        <x:v>Registro QA Markdown</x:v>
      </x:c>
      <x:c r="C29" s="24" t="str">
        <x:v>v0.5</x:v>
      </x:c>
      <x:c r="D29" s="24" t="str">
        <x:v>c36caf9cccc1d762ab9f201d7eaedf2e07ae88f1787d7ed0df6bf13305850116</x:v>
      </x:c>
      <x:c r="E29" s="24" t="str">
        <x:v>Complementaria</x:v>
      </x:c>
      <x:c r="F29" s="24" t="str">
        <x:v>Evidencia operativa / aceptación / ejecución</x:v>
      </x:c>
      <x:c r="G29" s="24" t="str">
        <x:v>Histórico o vigente según ruta</x:v>
      </x:c>
    </x:row>
    <x:row r="30">
      <x:c r="A30" s="24" t="str">
        <x:v>Documentation/00_Official_Baseline/v0.5/06_Development_Records/Sprints/Sprint_04/QA/S4.1_Validation_Checklist.md</x:v>
      </x:c>
      <x:c r="B30" s="24" t="str">
        <x:v>Registro QA Markdown</x:v>
      </x:c>
      <x:c r="C30" s="24" t="str">
        <x:v>v0.5</x:v>
      </x:c>
      <x:c r="D30" s="24" t="str">
        <x:v>4daee65527260559801d1bcb435232c0c1f15966f4f45bde43628a95c577dbe8</x:v>
      </x:c>
      <x:c r="E30" s="24" t="str">
        <x:v>Complementaria</x:v>
      </x:c>
      <x:c r="F30" s="24" t="str">
        <x:v>Evidencia operativa / aceptación / ejecución</x:v>
      </x:c>
      <x:c r="G30" s="24" t="str">
        <x:v>Histórico o vigente según ruta</x:v>
      </x:c>
    </x:row>
    <x:row r="31">
      <x:c r="A31" s="24" t="str">
        <x:v>Documentation/00_Official_Baseline/v0.5/06_Development_Records/Sprints/Sprint_04/QA/S4.2_Validation_Checklist.md</x:v>
      </x:c>
      <x:c r="B31" s="24" t="str">
        <x:v>Registro QA Markdown</x:v>
      </x:c>
      <x:c r="C31" s="24" t="str">
        <x:v>v0.5</x:v>
      </x:c>
      <x:c r="D31" s="24" t="str">
        <x:v>7947d8708859cc6b5175331acf6e36cf44438788f243c179b53e6818cdb7f466</x:v>
      </x:c>
      <x:c r="E31" s="24" t="str">
        <x:v>Complementaria</x:v>
      </x:c>
      <x:c r="F31" s="24" t="str">
        <x:v>Evidencia operativa / aceptación / ejecución</x:v>
      </x:c>
      <x:c r="G31" s="24" t="str">
        <x:v>Histórico o vigente según ruta</x:v>
      </x:c>
    </x:row>
    <x:row r="32">
      <x:c r="A32" s="24" t="str">
        <x:v>Documentation/00_Official_Baseline/v0.5/06_Development_Records/Sprints/Sprint_04/QA/S4.3_Validation_Checklist.md</x:v>
      </x:c>
      <x:c r="B32" s="24" t="str">
        <x:v>Registro QA Markdown</x:v>
      </x:c>
      <x:c r="C32" s="24" t="str">
        <x:v>v0.5</x:v>
      </x:c>
      <x:c r="D32" s="24" t="str">
        <x:v>9d54905170c7ae7daffda84bc479882bd5b7a25667e30ce31dd4aadf38a1cdda</x:v>
      </x:c>
      <x:c r="E32" s="24" t="str">
        <x:v>Complementaria</x:v>
      </x:c>
      <x:c r="F32" s="24" t="str">
        <x:v>Evidencia operativa / aceptación / ejecución</x:v>
      </x:c>
      <x:c r="G32" s="24" t="str">
        <x:v>Histórico o vigente según ruta</x:v>
      </x:c>
    </x:row>
    <x:row r="33">
      <x:c r="A33" s="24" t="str">
        <x:v>Documentation/00_Official_Baseline/v0.5/06_Development_Records/Sprints/Sprint_04/QA/S4.4_Build_Execution_Record.md</x:v>
      </x:c>
      <x:c r="B33" s="24" t="str">
        <x:v>Registro QA Markdown</x:v>
      </x:c>
      <x:c r="C33" s="24" t="str">
        <x:v>v0.5</x:v>
      </x:c>
      <x:c r="D33" s="24" t="str">
        <x:v>6f662c5fe7ccef7a3080584798ccf51c720d4ade1dc50b1be2f8c4c107da529d</x:v>
      </x:c>
      <x:c r="E33" s="24" t="str">
        <x:v>Complementaria</x:v>
      </x:c>
      <x:c r="F33" s="24" t="str">
        <x:v>Evidencia operativa / aceptación / ejecución</x:v>
      </x:c>
      <x:c r="G33" s="24" t="str">
        <x:v>Histórico o vigente según ruta</x:v>
      </x:c>
    </x:row>
    <x:row r="34">
      <x:c r="A34" s="24" t="str">
        <x:v>Documentation/00_Official_Baseline/v0.5/06_Development_Records/Sprints/Sprint_04/QA/S4.4_Validation_Checklist.md</x:v>
      </x:c>
      <x:c r="B34" s="24" t="str">
        <x:v>Registro QA Markdown</x:v>
      </x:c>
      <x:c r="C34" s="24" t="str">
        <x:v>v0.5</x:v>
      </x:c>
      <x:c r="D34" s="24" t="str">
        <x:v>b24bd7794a9e1143df30f7930936e6e08dbd8e4a6614384b13e493fbd31972a7</x:v>
      </x:c>
      <x:c r="E34" s="24" t="str">
        <x:v>Complementaria</x:v>
      </x:c>
      <x:c r="F34" s="24" t="str">
        <x:v>Evidencia operativa / aceptación / ejecución</x:v>
      </x:c>
      <x:c r="G34" s="24" t="str">
        <x:v>Histórico o vigente según ruta</x:v>
      </x:c>
    </x:row>
    <x:row r="35">
      <x:c r="A35" s="24" t="str">
        <x:v>Documentation/00_Official_Baseline/v0.5/06_Development_Records/Sprints/Sprint_04/QA/S4_Acceptance_Matrix.md</x:v>
      </x:c>
      <x:c r="B35" s="24" t="str">
        <x:v>Registro QA Markdown</x:v>
      </x:c>
      <x:c r="C35" s="24" t="str">
        <x:v>v0.5</x:v>
      </x:c>
      <x:c r="D35" s="24" t="str">
        <x:v>30a86d51980351f806ef30aa6187ce90857bde474c163d47a6a3396b60522f89</x:v>
      </x:c>
      <x:c r="E35" s="24" t="str">
        <x:v>Complementaria</x:v>
      </x:c>
      <x:c r="F35" s="24" t="str">
        <x:v>Evidencia operativa / aceptación / ejecución</x:v>
      </x:c>
      <x:c r="G35" s="24" t="str">
        <x:v>Histórico o vigente según ruta</x:v>
      </x:c>
    </x:row>
    <x:row r="36">
      <x:c r="A36" s="24" t="str">
        <x:v>Documentation/00_Official_Baseline/v0.5/06_Development_Records/Sprints/Sprint_04/QA/S4_QA_Execution_Record.md</x:v>
      </x:c>
      <x:c r="B36" s="24" t="str">
        <x:v>Registro QA Markdown</x:v>
      </x:c>
      <x:c r="C36" s="24" t="str">
        <x:v>v0.5</x:v>
      </x:c>
      <x:c r="D36" s="24" t="str">
        <x:v>0c5ec51188fd94404436c7093e01ed0a0d0d75fc466da104e777fd7494aa0603</x:v>
      </x:c>
      <x:c r="E36" s="24" t="str">
        <x:v>Complementaria</x:v>
      </x:c>
      <x:c r="F36" s="24" t="str">
        <x:v>Evidencia operativa / aceptación / ejecución</x:v>
      </x:c>
      <x:c r="G36" s="24" t="str">
        <x:v>Histórico o vigente según ruta</x:v>
      </x:c>
    </x:row>
    <x:row r="37">
      <x:c r="A37" s="24" t="str">
        <x:v>Documentation/00_Official_Baseline/v0.5/06_Development_Records/Sprints/Sprint_05/QA/S5.1_Validation_Checklist.md</x:v>
      </x:c>
      <x:c r="B37" s="24" t="str">
        <x:v>Registro QA Markdown</x:v>
      </x:c>
      <x:c r="C37" s="24" t="str">
        <x:v>v0.5</x:v>
      </x:c>
      <x:c r="D37" s="24" t="str">
        <x:v>dba681ba566172cebf50f3be75fb1945018e196ebe93fcd9b4407267bb699c08</x:v>
      </x:c>
      <x:c r="E37" s="24" t="str">
        <x:v>Complementaria</x:v>
      </x:c>
      <x:c r="F37" s="24" t="str">
        <x:v>Evidencia operativa / aceptación / ejecución</x:v>
      </x:c>
      <x:c r="G37" s="24" t="str">
        <x:v>Histórico o vigente según ruta</x:v>
      </x:c>
    </x:row>
    <x:row r="38">
      <x:c r="A38" s="24" t="str">
        <x:v>Documentation/00_Official_Baseline/v0.5/06_Development_Records/Sprints/Sprint_05/QA/S5.2_Validation_Checklist.md</x:v>
      </x:c>
      <x:c r="B38" s="24" t="str">
        <x:v>Registro QA Markdown</x:v>
      </x:c>
      <x:c r="C38" s="24" t="str">
        <x:v>v0.5</x:v>
      </x:c>
      <x:c r="D38" s="24" t="str">
        <x:v>b5397d64a2dd02e76abf1c6a2a2f1b8be245c7b0993593de4d9d0147c22e39c0</x:v>
      </x:c>
      <x:c r="E38" s="24" t="str">
        <x:v>Complementaria</x:v>
      </x:c>
      <x:c r="F38" s="24" t="str">
        <x:v>Evidencia operativa / aceptación / ejecución</x:v>
      </x:c>
      <x:c r="G38" s="24" t="str">
        <x:v>Histórico o vigente según ruta</x:v>
      </x:c>
    </x:row>
    <x:row r="39">
      <x:c r="A39" s="24" t="str">
        <x:v>Documentation/00_Official_Baseline/v0.5/06_Development_Records/Sprints/Sprint_05/QA/S5.3_Validation_Checklist.md</x:v>
      </x:c>
      <x:c r="B39" s="24" t="str">
        <x:v>Registro QA Markdown</x:v>
      </x:c>
      <x:c r="C39" s="24" t="str">
        <x:v>v0.5</x:v>
      </x:c>
      <x:c r="D39" s="24" t="str">
        <x:v>e443533c5c2372eb4f308301e7b20c93c2c64f44c55738dda64bb5c7510ce209</x:v>
      </x:c>
      <x:c r="E39" s="24" t="str">
        <x:v>Complementaria</x:v>
      </x:c>
      <x:c r="F39" s="24" t="str">
        <x:v>Evidencia operativa / aceptación / ejecución</x:v>
      </x:c>
      <x:c r="G39" s="24" t="str">
        <x:v>Histórico o vigente según ruta</x:v>
      </x:c>
    </x:row>
    <x:row r="40">
      <x:c r="A40" s="24" t="str">
        <x:v>Documentation/00_Official_Baseline/v0.5/06_Development_Records/Sprints/Sprint_05/QA/S5.4_Build_Execution_Record.md</x:v>
      </x:c>
      <x:c r="B40" s="24" t="str">
        <x:v>Registro QA Markdown</x:v>
      </x:c>
      <x:c r="C40" s="24" t="str">
        <x:v>v0.5</x:v>
      </x:c>
      <x:c r="D40" s="24" t="str">
        <x:v>83700192228af99fb4487bdf4cdd1332d13a194be7cd5fb197278013952f8fe1</x:v>
      </x:c>
      <x:c r="E40" s="24" t="str">
        <x:v>Complementaria</x:v>
      </x:c>
      <x:c r="F40" s="24" t="str">
        <x:v>Evidencia operativa / aceptación / ejecución</x:v>
      </x:c>
      <x:c r="G40" s="24" t="str">
        <x:v>Histórico o vigente según ruta</x:v>
      </x:c>
    </x:row>
    <x:row r="41">
      <x:c r="A41" s="24" t="str">
        <x:v>Documentation/00_Official_Baseline/v0.5/06_Development_Records/Sprints/Sprint_05/QA/S5.4_Validation_Checklist.md</x:v>
      </x:c>
      <x:c r="B41" s="24" t="str">
        <x:v>Registro QA Markdown</x:v>
      </x:c>
      <x:c r="C41" s="24" t="str">
        <x:v>v0.5</x:v>
      </x:c>
      <x:c r="D41" s="24" t="str">
        <x:v>99d648322bc2b6f6ca1dff0fae525dae89f84c6726bf4ed749bb09bd1a1f155c</x:v>
      </x:c>
      <x:c r="E41" s="24" t="str">
        <x:v>Complementaria</x:v>
      </x:c>
      <x:c r="F41" s="24" t="str">
        <x:v>Evidencia operativa / aceptación / ejecución</x:v>
      </x:c>
      <x:c r="G41" s="24" t="str">
        <x:v>Histórico o vigente según ruta</x:v>
      </x:c>
    </x:row>
    <x:row r="42">
      <x:c r="A42" s="24" t="str">
        <x:v>Documentation/00_Official_Baseline/v0.5/06_Development_Records/Sprints/Sprint_05/QA/S5_Acceptance_Matrix.md</x:v>
      </x:c>
      <x:c r="B42" s="24" t="str">
        <x:v>Registro QA Markdown</x:v>
      </x:c>
      <x:c r="C42" s="24" t="str">
        <x:v>v0.5</x:v>
      </x:c>
      <x:c r="D42" s="24" t="str">
        <x:v>3c265e9509b133370788c1ea024e4de481f773b526a524f2ec880d60abe053b6</x:v>
      </x:c>
      <x:c r="E42" s="24" t="str">
        <x:v>Complementaria</x:v>
      </x:c>
      <x:c r="F42" s="24" t="str">
        <x:v>Evidencia operativa / aceptación / ejecución</x:v>
      </x:c>
      <x:c r="G42" s="24" t="str">
        <x:v>Histórico o vigente según ruta</x:v>
      </x:c>
    </x:row>
    <x:row r="43">
      <x:c r="A43" s="24" t="str">
        <x:v>Documentation/00_Official_Baseline/v0.5/06_Development_Records/Sprints/Sprint_05/QA/S5_QA_Execution_Record.md</x:v>
      </x:c>
      <x:c r="B43" s="24" t="str">
        <x:v>Registro QA Markdown</x:v>
      </x:c>
      <x:c r="C43" s="24" t="str">
        <x:v>v0.5</x:v>
      </x:c>
      <x:c r="D43" s="24" t="str">
        <x:v>28e52cfc1189efc63cafabf899b0b94924bf2fb3edb92a43973797fcb77616d4</x:v>
      </x:c>
      <x:c r="E43" s="24" t="str">
        <x:v>Complementaria</x:v>
      </x:c>
      <x:c r="F43" s="24" t="str">
        <x:v>Evidencia operativa / aceptación / ejecución</x:v>
      </x:c>
      <x:c r="G43" s="24" t="str">
        <x:v>Histórico o vigente según ruta</x:v>
      </x:c>
    </x:row>
    <x:row r="44">
      <x:c r="A44" s="24" t="str">
        <x:v>Documentation/00_Official_Baseline/v0.6/06_Development_Records/Sprints/Sprint_16/QA/S16_Acceptance_Matrix.md</x:v>
      </x:c>
      <x:c r="B44" s="24" t="str">
        <x:v>Registro QA Markdown</x:v>
      </x:c>
      <x:c r="C44" s="24" t="str">
        <x:v>v0.6</x:v>
      </x:c>
      <x:c r="D44" s="24" t="str">
        <x:v>4ad529aceeaf7e2ea87def0e0be2f8f3998d6218f6ac11a06b40f770e66c44fd</x:v>
      </x:c>
      <x:c r="E44" s="24" t="str">
        <x:v>Complementaria</x:v>
      </x:c>
      <x:c r="F44" s="24" t="str">
        <x:v>Evidencia operativa / aceptación / ejecución</x:v>
      </x:c>
      <x:c r="G44" s="24" t="str">
        <x:v>Histórico o vigente según ruta</x:v>
      </x:c>
    </x:row>
    <x:row r="45">
      <x:c r="A45" s="24" t="str">
        <x:v>Documentation/00_Official_Baseline/v0.6/06_Development_Records/Sprints/Sprint_16/QA/S16_QA_Execution_Record.md</x:v>
      </x:c>
      <x:c r="B45" s="24" t="str">
        <x:v>Registro QA Markdown</x:v>
      </x:c>
      <x:c r="C45" s="24" t="str">
        <x:v>v0.6</x:v>
      </x:c>
      <x:c r="D45" s="24" t="str">
        <x:v>40c6de3168db5dcf5c71afc166c0a3a2bf34f2dc3e71344c3ccea6176d573766</x:v>
      </x:c>
      <x:c r="E45" s="24" t="str">
        <x:v>Complementaria</x:v>
      </x:c>
      <x:c r="F45" s="24" t="str">
        <x:v>Evidencia operativa / aceptación / ejecución</x:v>
      </x:c>
      <x:c r="G45" s="24" t="str">
        <x:v>Histórico o vigente según ruta</x:v>
      </x:c>
    </x:row>
    <x:row r="46">
      <x:c r="A46" s="24" t="str">
        <x:v>Documentation/10_Development_Records/Sprint_01/QA/S1_Acceptance_Matrix.md</x:v>
      </x:c>
      <x:c r="B46" s="24" t="str">
        <x:v>Registro QA Markdown</x:v>
      </x:c>
      <x:c r="C46" s="24" t="str">
        <x:v>Sprint_01</x:v>
      </x:c>
      <x:c r="D46" s="24" t="str">
        <x:v>a5a4e0a192fe33559c582efd9ee4d53170e26af9e07db63aae1e22b1f5c66f49</x:v>
      </x:c>
      <x:c r="E46" s="24" t="str">
        <x:v>Complementaria</x:v>
      </x:c>
      <x:c r="F46" s="24" t="str">
        <x:v>Evidencia operativa / aceptación / ejecución</x:v>
      </x:c>
      <x:c r="G46" s="24" t="str">
        <x:v>Histórico o vigente según ruta</x:v>
      </x:c>
    </x:row>
    <x:row r="47">
      <x:c r="A47" s="24" t="str">
        <x:v>Documentation/10_Development_Records/Sprint_01/QA/S1_QA_Execution_Record.md</x:v>
      </x:c>
      <x:c r="B47" s="24" t="str">
        <x:v>Registro QA Markdown</x:v>
      </x:c>
      <x:c r="C47" s="24" t="str">
        <x:v>Sprint_01</x:v>
      </x:c>
      <x:c r="D47" s="24" t="str">
        <x:v>f9ae3d8cb7bd112af8d518e93ccfe03fbce2309d555f3130b0325427ef68daad</x:v>
      </x:c>
      <x:c r="E47" s="24" t="str">
        <x:v>Complementaria</x:v>
      </x:c>
      <x:c r="F47" s="24" t="str">
        <x:v>Evidencia operativa / aceptación / ejecución</x:v>
      </x:c>
      <x:c r="G47" s="24" t="str">
        <x:v>Histórico o vigente según ruta</x:v>
      </x:c>
    </x:row>
    <x:row r="48">
      <x:c r="A48" s="24" t="str">
        <x:v>Documentation/10_Development_Records/Sprint_01/QA/S1_Test_Plan.md</x:v>
      </x:c>
      <x:c r="B48" s="24" t="str">
        <x:v>Registro QA Markdown</x:v>
      </x:c>
      <x:c r="C48" s="24" t="str">
        <x:v>Sprint_01</x:v>
      </x:c>
      <x:c r="D48" s="24" t="str">
        <x:v>a56d1b7284d6d12babe25a9a564ecd4ef8d2ef68d3aa82829460e09ea4b64afd</x:v>
      </x:c>
      <x:c r="E48" s="24" t="str">
        <x:v>Complementaria</x:v>
      </x:c>
      <x:c r="F48" s="24" t="str">
        <x:v>Evidencia operativa / aceptación / ejecución</x:v>
      </x:c>
      <x:c r="G48" s="24" t="str">
        <x:v>Histórico o vigente según ruta</x:v>
      </x:c>
    </x:row>
    <x:row r="49">
      <x:c r="A49" s="24" t="str">
        <x:v>Documentation/10_Development_Records/Sprint_01/QA/S1_Validation_Checklist.md</x:v>
      </x:c>
      <x:c r="B49" s="24" t="str">
        <x:v>Registro QA Markdown</x:v>
      </x:c>
      <x:c r="C49" s="24" t="str">
        <x:v>Sprint_01</x:v>
      </x:c>
      <x:c r="D49" s="24" t="str">
        <x:v>a6538450622d348cafd5964a5af26d84ce9b5aa1890a06af6789b8bb4fd9dc9c</x:v>
      </x:c>
      <x:c r="E49" s="24" t="str">
        <x:v>Complementaria</x:v>
      </x:c>
      <x:c r="F49" s="24" t="str">
        <x:v>Evidencia operativa / aceptación / ejecución</x:v>
      </x:c>
      <x:c r="G49" s="24" t="str">
        <x:v>Histórico o vigente según ruta</x:v>
      </x:c>
    </x:row>
    <x:row r="50">
      <x:c r="A50" s="24" t="str">
        <x:v>Documentation/10_Development_Records/Sprint_02/QA/S2_Acceptance_Matrix.md</x:v>
      </x:c>
      <x:c r="B50" s="24" t="str">
        <x:v>Registro QA Markdown</x:v>
      </x:c>
      <x:c r="C50" s="24" t="str">
        <x:v>Sprint_02</x:v>
      </x:c>
      <x:c r="D50" s="24" t="str">
        <x:v>1c184fd5c44de6051e83614676a1571d4d49e7cd8b4d68c8ef85167b64e2692f</x:v>
      </x:c>
      <x:c r="E50" s="24" t="str">
        <x:v>Complementaria</x:v>
      </x:c>
      <x:c r="F50" s="24" t="str">
        <x:v>Evidencia operativa / aceptación / ejecución</x:v>
      </x:c>
      <x:c r="G50" s="24" t="str">
        <x:v>Histórico o vigente según ruta</x:v>
      </x:c>
    </x:row>
    <x:row r="51">
      <x:c r="A51" s="24" t="str">
        <x:v>Documentation/10_Development_Records/Sprint_02/QA/S2_QA_Execution_Record.md</x:v>
      </x:c>
      <x:c r="B51" s="24" t="str">
        <x:v>Registro QA Markdown</x:v>
      </x:c>
      <x:c r="C51" s="24" t="str">
        <x:v>Sprint_02</x:v>
      </x:c>
      <x:c r="D51" s="24" t="str">
        <x:v>70ad9d5ab6b32071b69fcbb35e7f76889b95b4d84ec6c6e6174ab2d793ccea4f</x:v>
      </x:c>
      <x:c r="E51" s="24" t="str">
        <x:v>Complementaria</x:v>
      </x:c>
      <x:c r="F51" s="24" t="str">
        <x:v>Evidencia operativa / aceptación / ejecución</x:v>
      </x:c>
      <x:c r="G51" s="24" t="str">
        <x:v>Histórico o vigente según ruta</x:v>
      </x:c>
    </x:row>
    <x:row r="52">
      <x:c r="A52" s="24" t="str">
        <x:v>Documentation/10_Development_Records/Sprint_02/QA/S2_Test_Plan.md</x:v>
      </x:c>
      <x:c r="B52" s="24" t="str">
        <x:v>Registro QA Markdown</x:v>
      </x:c>
      <x:c r="C52" s="24" t="str">
        <x:v>Sprint_02</x:v>
      </x:c>
      <x:c r="D52" s="24" t="str">
        <x:v>3f95a04a925fcad042d844730b40372f0f5704adb450918cbcf555f874f0c332</x:v>
      </x:c>
      <x:c r="E52" s="24" t="str">
        <x:v>Complementaria</x:v>
      </x:c>
      <x:c r="F52" s="24" t="str">
        <x:v>Evidencia operativa / aceptación / ejecución</x:v>
      </x:c>
      <x:c r="G52" s="24" t="str">
        <x:v>Histórico o vigente según ruta</x:v>
      </x:c>
    </x:row>
    <x:row r="53">
      <x:c r="A53" s="24" t="str">
        <x:v>Documentation/10_Development_Records/Sprint_02/QA/S2_Validation_Checklist.md</x:v>
      </x:c>
      <x:c r="B53" s="24" t="str">
        <x:v>Registro QA Markdown</x:v>
      </x:c>
      <x:c r="C53" s="24" t="str">
        <x:v>Sprint_02</x:v>
      </x:c>
      <x:c r="D53" s="24" t="str">
        <x:v>c0a872b546a633fd2774377e613690ce0b756b0acb22eecc799f2083cb294606</x:v>
      </x:c>
      <x:c r="E53" s="24" t="str">
        <x:v>Complementaria</x:v>
      </x:c>
      <x:c r="F53" s="24" t="str">
        <x:v>Evidencia operativa / aceptación / ejecución</x:v>
      </x:c>
      <x:c r="G53" s="24" t="str">
        <x:v>Histórico o vigente según ruta</x:v>
      </x:c>
    </x:row>
    <x:row r="54">
      <x:c r="A54" s="24" t="str">
        <x:v>Documentation/10_Development_Records/Sprint_03/QA/S3.1_Validation_Checklist.md</x:v>
      </x:c>
      <x:c r="B54" s="24" t="str">
        <x:v>Registro QA Markdown</x:v>
      </x:c>
      <x:c r="C54" s="24" t="str">
        <x:v>Sprint_03</x:v>
      </x:c>
      <x:c r="D54" s="24" t="str">
        <x:v>504a5c5285be528dd826475d48095d89f3e9ef702c59ebab2408debe90246aa7</x:v>
      </x:c>
      <x:c r="E54" s="24" t="str">
        <x:v>Complementaria</x:v>
      </x:c>
      <x:c r="F54" s="24" t="str">
        <x:v>Evidencia operativa / aceptación / ejecución</x:v>
      </x:c>
      <x:c r="G54" s="24" t="str">
        <x:v>Histórico o vigente según ruta</x:v>
      </x:c>
    </x:row>
    <x:row r="55">
      <x:c r="A55" s="24" t="str">
        <x:v>Documentation/10_Development_Records/Sprint_03/QA/S3.2_Validation_Checklist.md</x:v>
      </x:c>
      <x:c r="B55" s="24" t="str">
        <x:v>Registro QA Markdown</x:v>
      </x:c>
      <x:c r="C55" s="24" t="str">
        <x:v>Sprint_03</x:v>
      </x:c>
      <x:c r="D55" s="24" t="str">
        <x:v>40c1fcb0f866cbe4f549fdd6fb510200c537a172b368c89cb851be0e75d7d6ba</x:v>
      </x:c>
      <x:c r="E55" s="24" t="str">
        <x:v>Complementaria</x:v>
      </x:c>
      <x:c r="F55" s="24" t="str">
        <x:v>Evidencia operativa / aceptación / ejecución</x:v>
      </x:c>
      <x:c r="G55" s="24" t="str">
        <x:v>Histórico o vigente según ruta</x:v>
      </x:c>
    </x:row>
    <x:row r="56">
      <x:c r="A56" s="24" t="str">
        <x:v>Documentation/10_Development_Records/Sprint_03/QA/S3.3_Validation_Checklist.md</x:v>
      </x:c>
      <x:c r="B56" s="24" t="str">
        <x:v>Registro QA Markdown</x:v>
      </x:c>
      <x:c r="C56" s="24" t="str">
        <x:v>Sprint_03</x:v>
      </x:c>
      <x:c r="D56" s="24" t="str">
        <x:v>9ba60442d1b478ccf14f8185361528a5bedb267e7102ea8a963696dc6eee0123</x:v>
      </x:c>
      <x:c r="E56" s="24" t="str">
        <x:v>Complementaria</x:v>
      </x:c>
      <x:c r="F56" s="24" t="str">
        <x:v>Evidencia operativa / aceptación / ejecución</x:v>
      </x:c>
      <x:c r="G56" s="24" t="str">
        <x:v>Histórico o vigente según ruta</x:v>
      </x:c>
    </x:row>
    <x:row r="57">
      <x:c r="A57" s="24" t="str">
        <x:v>Documentation/10_Development_Records/Sprint_03/QA/S3.4_Build_Execution_Record.md</x:v>
      </x:c>
      <x:c r="B57" s="24" t="str">
        <x:v>Registro QA Markdown</x:v>
      </x:c>
      <x:c r="C57" s="24" t="str">
        <x:v>Sprint_03</x:v>
      </x:c>
      <x:c r="D57" s="24" t="str">
        <x:v>bdbcbe899c627a7abf1f302f7db42ce29de1f0809c8373a454e3bc070984ab7d</x:v>
      </x:c>
      <x:c r="E57" s="24" t="str">
        <x:v>Complementaria</x:v>
      </x:c>
      <x:c r="F57" s="24" t="str">
        <x:v>Evidencia operativa / aceptación / ejecución</x:v>
      </x:c>
      <x:c r="G57" s="24" t="str">
        <x:v>Histórico o vigente según ruta</x:v>
      </x:c>
    </x:row>
    <x:row r="58">
      <x:c r="A58" s="24" t="str">
        <x:v>Documentation/10_Development_Records/Sprint_03/QA/S3.4_Validation_Checklist.md</x:v>
      </x:c>
      <x:c r="B58" s="24" t="str">
        <x:v>Registro QA Markdown</x:v>
      </x:c>
      <x:c r="C58" s="24" t="str">
        <x:v>Sprint_03</x:v>
      </x:c>
      <x:c r="D58" s="24" t="str">
        <x:v>52fce0bcde72678d3b864e12c3ab0a0a39eef2f3d1c321d94d7c55c21ab65027</x:v>
      </x:c>
      <x:c r="E58" s="24" t="str">
        <x:v>Complementaria</x:v>
      </x:c>
      <x:c r="F58" s="24" t="str">
        <x:v>Evidencia operativa / aceptación / ejecución</x:v>
      </x:c>
      <x:c r="G58" s="24" t="str">
        <x:v>Histórico o vigente según ruta</x:v>
      </x:c>
    </x:row>
    <x:row r="59">
      <x:c r="A59" s="24" t="str">
        <x:v>Documentation/10_Development_Records/Sprint_03/QA/S3_Acceptance_Matrix.md</x:v>
      </x:c>
      <x:c r="B59" s="24" t="str">
        <x:v>Registro QA Markdown</x:v>
      </x:c>
      <x:c r="C59" s="24" t="str">
        <x:v>Sprint_03</x:v>
      </x:c>
      <x:c r="D59" s="24" t="str">
        <x:v>dcd3a753ec03bf462ed61fee96f551716970f05a54702fcec5ebdc271bda15b7</x:v>
      </x:c>
      <x:c r="E59" s="24" t="str">
        <x:v>Complementaria</x:v>
      </x:c>
      <x:c r="F59" s="24" t="str">
        <x:v>Evidencia operativa / aceptación / ejecución</x:v>
      </x:c>
      <x:c r="G59" s="24" t="str">
        <x:v>Histórico o vigente según ruta</x:v>
      </x:c>
    </x:row>
    <x:row r="60">
      <x:c r="A60" s="24" t="str">
        <x:v>Documentation/10_Development_Records/Sprint_03/QA/S3_QA_Execution_Record.md</x:v>
      </x:c>
      <x:c r="B60" s="24" t="str">
        <x:v>Registro QA Markdown</x:v>
      </x:c>
      <x:c r="C60" s="24" t="str">
        <x:v>Sprint_03</x:v>
      </x:c>
      <x:c r="D60" s="24" t="str">
        <x:v>c36caf9cccc1d762ab9f201d7eaedf2e07ae88f1787d7ed0df6bf13305850116</x:v>
      </x:c>
      <x:c r="E60" s="24" t="str">
        <x:v>Complementaria</x:v>
      </x:c>
      <x:c r="F60" s="24" t="str">
        <x:v>Evidencia operativa / aceptación / ejecución</x:v>
      </x:c>
      <x:c r="G60" s="24" t="str">
        <x:v>Histórico o vigente según ruta</x:v>
      </x:c>
    </x:row>
    <x:row r="61">
      <x:c r="A61" s="24" t="str">
        <x:v>Documentation/10_Development_Records/Sprint_04/QA/S4.1_Validation_Checklist.md</x:v>
      </x:c>
      <x:c r="B61" s="24" t="str">
        <x:v>Registro QA Markdown</x:v>
      </x:c>
      <x:c r="C61" s="24" t="str">
        <x:v>Sprint_04</x:v>
      </x:c>
      <x:c r="D61" s="24" t="str">
        <x:v>4daee65527260559801d1bcb435232c0c1f15966f4f45bde43628a95c577dbe8</x:v>
      </x:c>
      <x:c r="E61" s="24" t="str">
        <x:v>Complementaria</x:v>
      </x:c>
      <x:c r="F61" s="24" t="str">
        <x:v>Evidencia operativa / aceptación / ejecución</x:v>
      </x:c>
      <x:c r="G61" s="24" t="str">
        <x:v>Histórico o vigente según ruta</x:v>
      </x:c>
    </x:row>
    <x:row r="62">
      <x:c r="A62" s="24" t="str">
        <x:v>Documentation/10_Development_Records/Sprint_04/QA/S4.2_Validation_Checklist.md</x:v>
      </x:c>
      <x:c r="B62" s="24" t="str">
        <x:v>Registro QA Markdown</x:v>
      </x:c>
      <x:c r="C62" s="24" t="str">
        <x:v>Sprint_04</x:v>
      </x:c>
      <x:c r="D62" s="24" t="str">
        <x:v>7947d8708859cc6b5175331acf6e36cf44438788f243c179b53e6818cdb7f466</x:v>
      </x:c>
      <x:c r="E62" s="24" t="str">
        <x:v>Complementaria</x:v>
      </x:c>
      <x:c r="F62" s="24" t="str">
        <x:v>Evidencia operativa / aceptación / ejecución</x:v>
      </x:c>
      <x:c r="G62" s="24" t="str">
        <x:v>Histórico o vigente según ruta</x:v>
      </x:c>
    </x:row>
    <x:row r="63">
      <x:c r="A63" s="24" t="str">
        <x:v>Documentation/10_Development_Records/Sprint_04/QA/S4.3_Validation_Checklist.md</x:v>
      </x:c>
      <x:c r="B63" s="24" t="str">
        <x:v>Registro QA Markdown</x:v>
      </x:c>
      <x:c r="C63" s="24" t="str">
        <x:v>Sprint_04</x:v>
      </x:c>
      <x:c r="D63" s="24" t="str">
        <x:v>9d54905170c7ae7daffda84bc479882bd5b7a25667e30ce31dd4aadf38a1cdda</x:v>
      </x:c>
      <x:c r="E63" s="24" t="str">
        <x:v>Complementaria</x:v>
      </x:c>
      <x:c r="F63" s="24" t="str">
        <x:v>Evidencia operativa / aceptación / ejecución</x:v>
      </x:c>
      <x:c r="G63" s="24" t="str">
        <x:v>Histórico o vigente según ruta</x:v>
      </x:c>
    </x:row>
    <x:row r="64">
      <x:c r="A64" s="24" t="str">
        <x:v>Documentation/10_Development_Records/Sprint_04/QA/S4.4_Build_Execution_Record.md</x:v>
      </x:c>
      <x:c r="B64" s="24" t="str">
        <x:v>Registro QA Markdown</x:v>
      </x:c>
      <x:c r="C64" s="24" t="str">
        <x:v>Sprint_04</x:v>
      </x:c>
      <x:c r="D64" s="24" t="str">
        <x:v>6f662c5fe7ccef7a3080584798ccf51c720d4ade1dc50b1be2f8c4c107da529d</x:v>
      </x:c>
      <x:c r="E64" s="24" t="str">
        <x:v>Complementaria</x:v>
      </x:c>
      <x:c r="F64" s="24" t="str">
        <x:v>Evidencia operativa / aceptación / ejecución</x:v>
      </x:c>
      <x:c r="G64" s="24" t="str">
        <x:v>Histórico o vigente según ruta</x:v>
      </x:c>
    </x:row>
    <x:row r="65">
      <x:c r="A65" s="24" t="str">
        <x:v>Documentation/10_Development_Records/Sprint_04/QA/S4.4_Validation_Checklist.md</x:v>
      </x:c>
      <x:c r="B65" s="24" t="str">
        <x:v>Registro QA Markdown</x:v>
      </x:c>
      <x:c r="C65" s="24" t="str">
        <x:v>Sprint_04</x:v>
      </x:c>
      <x:c r="D65" s="24" t="str">
        <x:v>b24bd7794a9e1143df30f7930936e6e08dbd8e4a6614384b13e493fbd31972a7</x:v>
      </x:c>
      <x:c r="E65" s="24" t="str">
        <x:v>Complementaria</x:v>
      </x:c>
      <x:c r="F65" s="24" t="str">
        <x:v>Evidencia operativa / aceptación / ejecución</x:v>
      </x:c>
      <x:c r="G65" s="24" t="str">
        <x:v>Histórico o vigente según ruta</x:v>
      </x:c>
    </x:row>
    <x:row r="66">
      <x:c r="A66" s="24" t="str">
        <x:v>Documentation/10_Development_Records/Sprint_04/QA/S4_Acceptance_Matrix.md</x:v>
      </x:c>
      <x:c r="B66" s="24" t="str">
        <x:v>Registro QA Markdown</x:v>
      </x:c>
      <x:c r="C66" s="24" t="str">
        <x:v>Sprint_04</x:v>
      </x:c>
      <x:c r="D66" s="24" t="str">
        <x:v>30a86d51980351f806ef30aa6187ce90857bde474c163d47a6a3396b60522f89</x:v>
      </x:c>
      <x:c r="E66" s="24" t="str">
        <x:v>Complementaria</x:v>
      </x:c>
      <x:c r="F66" s="24" t="str">
        <x:v>Evidencia operativa / aceptación / ejecución</x:v>
      </x:c>
      <x:c r="G66" s="24" t="str">
        <x:v>Histórico o vigente según ruta</x:v>
      </x:c>
    </x:row>
    <x:row r="67">
      <x:c r="A67" s="24" t="str">
        <x:v>Documentation/10_Development_Records/Sprint_04/QA/S4_QA_Execution_Record.md</x:v>
      </x:c>
      <x:c r="B67" s="24" t="str">
        <x:v>Registro QA Markdown</x:v>
      </x:c>
      <x:c r="C67" s="24" t="str">
        <x:v>Sprint_04</x:v>
      </x:c>
      <x:c r="D67" s="24" t="str">
        <x:v>0c5ec51188fd94404436c7093e01ed0a0d0d75fc466da104e777fd7494aa0603</x:v>
      </x:c>
      <x:c r="E67" s="24" t="str">
        <x:v>Complementaria</x:v>
      </x:c>
      <x:c r="F67" s="24" t="str">
        <x:v>Evidencia operativa / aceptación / ejecución</x:v>
      </x:c>
      <x:c r="G67" s="24" t="str">
        <x:v>Histórico o vigente según ruta</x:v>
      </x:c>
    </x:row>
    <x:row r="68">
      <x:c r="A68" s="24" t="str">
        <x:v>Documentation/10_Development_Records/Sprint_05/QA/S5.1_Validation_Checklist.md</x:v>
      </x:c>
      <x:c r="B68" s="24" t="str">
        <x:v>Registro QA Markdown</x:v>
      </x:c>
      <x:c r="C68" s="24" t="str">
        <x:v>Sprint_05</x:v>
      </x:c>
      <x:c r="D68" s="24" t="str">
        <x:v>dba681ba566172cebf50f3be75fb1945018e196ebe93fcd9b4407267bb699c08</x:v>
      </x:c>
      <x:c r="E68" s="24" t="str">
        <x:v>Complementaria</x:v>
      </x:c>
      <x:c r="F68" s="24" t="str">
        <x:v>Evidencia operativa / aceptación / ejecución</x:v>
      </x:c>
      <x:c r="G68" s="24" t="str">
        <x:v>Histórico o vigente según ruta</x:v>
      </x:c>
    </x:row>
    <x:row r="69">
      <x:c r="A69" s="24" t="str">
        <x:v>Documentation/10_Development_Records/Sprint_05/QA/S5.2_Validation_Checklist.md</x:v>
      </x:c>
      <x:c r="B69" s="24" t="str">
        <x:v>Registro QA Markdown</x:v>
      </x:c>
      <x:c r="C69" s="24" t="str">
        <x:v>Sprint_05</x:v>
      </x:c>
      <x:c r="D69" s="24" t="str">
        <x:v>b5397d64a2dd02e76abf1c6a2a2f1b8be245c7b0993593de4d9d0147c22e39c0</x:v>
      </x:c>
      <x:c r="E69" s="24" t="str">
        <x:v>Complementaria</x:v>
      </x:c>
      <x:c r="F69" s="24" t="str">
        <x:v>Evidencia operativa / aceptación / ejecución</x:v>
      </x:c>
      <x:c r="G69" s="24" t="str">
        <x:v>Histórico o vigente según ruta</x:v>
      </x:c>
    </x:row>
    <x:row r="70">
      <x:c r="A70" s="24" t="str">
        <x:v>Documentation/10_Development_Records/Sprint_05/QA/S5.3_Validation_Checklist.md</x:v>
      </x:c>
      <x:c r="B70" s="24" t="str">
        <x:v>Registro QA Markdown</x:v>
      </x:c>
      <x:c r="C70" s="24" t="str">
        <x:v>Sprint_05</x:v>
      </x:c>
      <x:c r="D70" s="24" t="str">
        <x:v>e443533c5c2372eb4f308301e7b20c93c2c64f44c55738dda64bb5c7510ce209</x:v>
      </x:c>
      <x:c r="E70" s="24" t="str">
        <x:v>Complementaria</x:v>
      </x:c>
      <x:c r="F70" s="24" t="str">
        <x:v>Evidencia operativa / aceptación / ejecución</x:v>
      </x:c>
      <x:c r="G70" s="24" t="str">
        <x:v>Histórico o vigente según ruta</x:v>
      </x:c>
    </x:row>
    <x:row r="71">
      <x:c r="A71" s="24" t="str">
        <x:v>Documentation/10_Development_Records/Sprint_05/QA/S5.4_Build_Execution_Record.md</x:v>
      </x:c>
      <x:c r="B71" s="24" t="str">
        <x:v>Registro QA Markdown</x:v>
      </x:c>
      <x:c r="C71" s="24" t="str">
        <x:v>Sprint_05</x:v>
      </x:c>
      <x:c r="D71" s="24" t="str">
        <x:v>83700192228af99fb4487bdf4cdd1332d13a194be7cd5fb197278013952f8fe1</x:v>
      </x:c>
      <x:c r="E71" s="24" t="str">
        <x:v>Complementaria</x:v>
      </x:c>
      <x:c r="F71" s="24" t="str">
        <x:v>Evidencia operativa / aceptación / ejecución</x:v>
      </x:c>
      <x:c r="G71" s="24" t="str">
        <x:v>Histórico o vigente según ruta</x:v>
      </x:c>
    </x:row>
    <x:row r="72">
      <x:c r="A72" s="24" t="str">
        <x:v>Documentation/10_Development_Records/Sprint_05/QA/S5.4_Validation_Checklist.md</x:v>
      </x:c>
      <x:c r="B72" s="24" t="str">
        <x:v>Registro QA Markdown</x:v>
      </x:c>
      <x:c r="C72" s="24" t="str">
        <x:v>Sprint_05</x:v>
      </x:c>
      <x:c r="D72" s="24" t="str">
        <x:v>99d648322bc2b6f6ca1dff0fae525dae89f84c6726bf4ed749bb09bd1a1f155c</x:v>
      </x:c>
      <x:c r="E72" s="24" t="str">
        <x:v>Complementaria</x:v>
      </x:c>
      <x:c r="F72" s="24" t="str">
        <x:v>Evidencia operativa / aceptación / ejecución</x:v>
      </x:c>
      <x:c r="G72" s="24" t="str">
        <x:v>Histórico o vigente según ruta</x:v>
      </x:c>
    </x:row>
    <x:row r="73">
      <x:c r="A73" s="24" t="str">
        <x:v>Documentation/10_Development_Records/Sprint_05/QA/S5_Acceptance_Matrix.md</x:v>
      </x:c>
      <x:c r="B73" s="24" t="str">
        <x:v>Registro QA Markdown</x:v>
      </x:c>
      <x:c r="C73" s="24" t="str">
        <x:v>Sprint_05</x:v>
      </x:c>
      <x:c r="D73" s="24" t="str">
        <x:v>3c265e9509b133370788c1ea024e4de481f773b526a524f2ec880d60abe053b6</x:v>
      </x:c>
      <x:c r="E73" s="24" t="str">
        <x:v>Complementaria</x:v>
      </x:c>
      <x:c r="F73" s="24" t="str">
        <x:v>Evidencia operativa / aceptación / ejecución</x:v>
      </x:c>
      <x:c r="G73" s="24" t="str">
        <x:v>Histórico o vigente según ruta</x:v>
      </x:c>
    </x:row>
    <x:row r="74">
      <x:c r="A74" s="24" t="str">
        <x:v>Documentation/10_Development_Records/Sprint_05/QA/S5_QA_Execution_Record.md</x:v>
      </x:c>
      <x:c r="B74" s="24" t="str">
        <x:v>Registro QA Markdown</x:v>
      </x:c>
      <x:c r="C74" s="24" t="str">
        <x:v>Sprint_05</x:v>
      </x:c>
      <x:c r="D74" s="24" t="str">
        <x:v>28e52cfc1189efc63cafabf899b0b94924bf2fb3edb92a43973797fcb77616d4</x:v>
      </x:c>
      <x:c r="E74" s="24" t="str">
        <x:v>Complementaria</x:v>
      </x:c>
      <x:c r="F74" s="24" t="str">
        <x:v>Evidencia operativa / aceptación / ejecución</x:v>
      </x:c>
      <x:c r="G74" s="24" t="str">
        <x:v>Histórico o vigente según ruta</x:v>
      </x:c>
    </x:row>
    <x:row r="75">
      <x:c r="A75" s="24" t="str">
        <x:v>Documentation/10_Development_Records/Sprint_06/QA/S6_Acceptance_Matrix.md</x:v>
      </x:c>
      <x:c r="B75" s="24" t="str">
        <x:v>Registro QA Markdown</x:v>
      </x:c>
      <x:c r="C75" s="24" t="str">
        <x:v>Sprint_06</x:v>
      </x:c>
      <x:c r="D75" s="24" t="str">
        <x:v>b55fe039c6404ff22749ff07f20dc741ee277ece3a892d9d1a6a526eb61dab8e</x:v>
      </x:c>
      <x:c r="E75" s="24" t="str">
        <x:v>Complementaria</x:v>
      </x:c>
      <x:c r="F75" s="24" t="str">
        <x:v>Evidencia operativa / aceptación / ejecución</x:v>
      </x:c>
      <x:c r="G75" s="24" t="str">
        <x:v>Histórico o vigente según ruta</x:v>
      </x:c>
    </x:row>
    <x:row r="76">
      <x:c r="A76" s="24" t="str">
        <x:v>Documentation/10_Development_Records/Sprint_06/QA/S6_QA_Execution_Record.md</x:v>
      </x:c>
      <x:c r="B76" s="24" t="str">
        <x:v>Registro QA Markdown</x:v>
      </x:c>
      <x:c r="C76" s="24" t="str">
        <x:v>Sprint_06</x:v>
      </x:c>
      <x:c r="D76" s="24" t="str">
        <x:v>a7a14df3c2dc18a98c1354176d48502bafbd3309a651ea8bff3846db4c348e7c</x:v>
      </x:c>
      <x:c r="E76" s="24" t="str">
        <x:v>Complementaria</x:v>
      </x:c>
      <x:c r="F76" s="24" t="str">
        <x:v>Evidencia operativa / aceptación / ejecución</x:v>
      </x:c>
      <x:c r="G76" s="24" t="str">
        <x:v>Histórico o vigente según ruta</x:v>
      </x:c>
    </x:row>
    <x:row r="77">
      <x:c r="A77" s="24" t="str">
        <x:v>Documentation/10_Development_Records/Sprint_06/QA/S6_Test_Plan.md</x:v>
      </x:c>
      <x:c r="B77" s="24" t="str">
        <x:v>Registro QA Markdown</x:v>
      </x:c>
      <x:c r="C77" s="24" t="str">
        <x:v>Sprint_06</x:v>
      </x:c>
      <x:c r="D77" s="24" t="str">
        <x:v>5201945d6beb104bfe2297c7686805a78c84ba67bd51e8d6f4472d0bb762a8b0</x:v>
      </x:c>
      <x:c r="E77" s="24" t="str">
        <x:v>Complementaria</x:v>
      </x:c>
      <x:c r="F77" s="24" t="str">
        <x:v>Evidencia operativa / aceptación / ejecución</x:v>
      </x:c>
      <x:c r="G77" s="24" t="str">
        <x:v>Histórico o vigente según ruta</x:v>
      </x:c>
    </x:row>
    <x:row r="78">
      <x:c r="A78" s="24" t="str">
        <x:v>Documentation/10_Development_Records/Sprint_06/QA/S6_Validation_Checklist.md</x:v>
      </x:c>
      <x:c r="B78" s="24" t="str">
        <x:v>Registro QA Markdown</x:v>
      </x:c>
      <x:c r="C78" s="24" t="str">
        <x:v>Sprint_06</x:v>
      </x:c>
      <x:c r="D78" s="24" t="str">
        <x:v>723a177cac5edf16f6820ffc10dad91550e2da2eb918ddb59269ffcb0102f899</x:v>
      </x:c>
      <x:c r="E78" s="24" t="str">
        <x:v>Complementaria</x:v>
      </x:c>
      <x:c r="F78" s="24" t="str">
        <x:v>Evidencia operativa / aceptación / ejecución</x:v>
      </x:c>
      <x:c r="G78" s="24" t="str">
        <x:v>Histórico o vigente según ruta</x:v>
      </x:c>
    </x:row>
    <x:row r="79">
      <x:c r="A79" s="24" t="str">
        <x:v>Documentation/10_Development_Records/Sprint_07/QA/S7_Acceptance_Matrix.md</x:v>
      </x:c>
      <x:c r="B79" s="24" t="str">
        <x:v>Registro QA Markdown</x:v>
      </x:c>
      <x:c r="C79" s="24" t="str">
        <x:v>Sprint_07</x:v>
      </x:c>
      <x:c r="D79" s="24" t="str">
        <x:v>e5517ab2f2b047aacb634c1ee7e42ea6f4b1b0f3bb6477cc7a0fb595439546b2</x:v>
      </x:c>
      <x:c r="E79" s="24" t="str">
        <x:v>Complementaria</x:v>
      </x:c>
      <x:c r="F79" s="24" t="str">
        <x:v>Evidencia operativa / aceptación / ejecución</x:v>
      </x:c>
      <x:c r="G79" s="24" t="str">
        <x:v>Histórico o vigente según ruta</x:v>
      </x:c>
    </x:row>
    <x:row r="80">
      <x:c r="A80" s="24" t="str">
        <x:v>Documentation/10_Development_Records/Sprint_07/QA/S7_Build_And_Unity_Services_Record.md</x:v>
      </x:c>
      <x:c r="B80" s="24" t="str">
        <x:v>Registro QA Markdown</x:v>
      </x:c>
      <x:c r="C80" s="24" t="str">
        <x:v>Sprint_07</x:v>
      </x:c>
      <x:c r="D80" s="24" t="str">
        <x:v>fa7507ba60b575ad8ec8b6a5e5dc6fa9531436bf0f33822e9965edef6b15bd6d</x:v>
      </x:c>
      <x:c r="E80" s="24" t="str">
        <x:v>Complementaria</x:v>
      </x:c>
      <x:c r="F80" s="24" t="str">
        <x:v>Evidencia operativa / aceptación / ejecución</x:v>
      </x:c>
      <x:c r="G80" s="24" t="str">
        <x:v>Histórico o vigente según ruta</x:v>
      </x:c>
    </x:row>
    <x:row r="81">
      <x:c r="A81" s="24" t="str">
        <x:v>Documentation/10_Development_Records/Sprint_07/QA/S7_QA_Execution_Record.md</x:v>
      </x:c>
      <x:c r="B81" s="24" t="str">
        <x:v>Registro QA Markdown</x:v>
      </x:c>
      <x:c r="C81" s="24" t="str">
        <x:v>Sprint_07</x:v>
      </x:c>
      <x:c r="D81" s="24" t="str">
        <x:v>ed5696f59956c5341e66f5d4bd7c9ff10b1c2ae56c47f0e70f7acdf412d62626</x:v>
      </x:c>
      <x:c r="E81" s="24" t="str">
        <x:v>Complementaria</x:v>
      </x:c>
      <x:c r="F81" s="24" t="str">
        <x:v>Evidencia operativa / aceptación / ejecución</x:v>
      </x:c>
      <x:c r="G81" s="24" t="str">
        <x:v>Histórico o vigente según ruta</x:v>
      </x:c>
    </x:row>
    <x:row r="82">
      <x:c r="A82" s="24" t="str">
        <x:v>Documentation/10_Development_Records/Sprint_07/QA/S7_Test_Plan.md</x:v>
      </x:c>
      <x:c r="B82" s="24" t="str">
        <x:v>Registro QA Markdown</x:v>
      </x:c>
      <x:c r="C82" s="24" t="str">
        <x:v>Sprint_07</x:v>
      </x:c>
      <x:c r="D82" s="24" t="str">
        <x:v>0453ad65d4af260b590eb050e0d438566b48db60470c0cbfbad3110f224f6d8f</x:v>
      </x:c>
      <x:c r="E82" s="24" t="str">
        <x:v>Complementaria</x:v>
      </x:c>
      <x:c r="F82" s="24" t="str">
        <x:v>Evidencia operativa / aceptación / ejecución</x:v>
      </x:c>
      <x:c r="G82" s="24" t="str">
        <x:v>Histórico o vigente según ruta</x:v>
      </x:c>
    </x:row>
    <x:row r="83">
      <x:c r="A83" s="24" t="str">
        <x:v>Documentation/10_Development_Records/Sprint_07/QA/S7_Validation_Checklist.md</x:v>
      </x:c>
      <x:c r="B83" s="24" t="str">
        <x:v>Registro QA Markdown</x:v>
      </x:c>
      <x:c r="C83" s="24" t="str">
        <x:v>Sprint_07</x:v>
      </x:c>
      <x:c r="D83" s="24" t="str">
        <x:v>df553497f162dd3f8ad2e2e315b380fa06e2a3d8d489f675eb291fdf00c7d923</x:v>
      </x:c>
      <x:c r="E83" s="24" t="str">
        <x:v>Complementaria</x:v>
      </x:c>
      <x:c r="F83" s="24" t="str">
        <x:v>Evidencia operativa / aceptación / ejecución</x:v>
      </x:c>
      <x:c r="G83" s="24" t="str">
        <x:v>Histórico o vigente según ruta</x:v>
      </x:c>
    </x:row>
    <x:row r="84">
      <x:c r="A84" s="24" t="str">
        <x:v>Documentation/10_Development_Records/Sprint_08/QA/S8_Acceptance_Matrix.md</x:v>
      </x:c>
      <x:c r="B84" s="24" t="str">
        <x:v>Registro QA Markdown</x:v>
      </x:c>
      <x:c r="C84" s="24" t="str">
        <x:v>Sprint_08</x:v>
      </x:c>
      <x:c r="D84" s="24" t="str">
        <x:v>514b68f2839e76b1757df9d2d457dca9701cbe8f3de4169c6e38fe7e7c1e576c</x:v>
      </x:c>
      <x:c r="E84" s="24" t="str">
        <x:v>Complementaria</x:v>
      </x:c>
      <x:c r="F84" s="24" t="str">
        <x:v>Evidencia operativa / aceptación / ejecución</x:v>
      </x:c>
      <x:c r="G84" s="24" t="str">
        <x:v>Histórico o vigente según ruta</x:v>
      </x:c>
    </x:row>
    <x:row r="85">
      <x:c r="A85" s="24" t="str">
        <x:v>Documentation/10_Development_Records/Sprint_08/QA/S8_Build_Execution_Record.md</x:v>
      </x:c>
      <x:c r="B85" s="24" t="str">
        <x:v>Registro QA Markdown</x:v>
      </x:c>
      <x:c r="C85" s="24" t="str">
        <x:v>Sprint_08</x:v>
      </x:c>
      <x:c r="D85" s="24" t="str">
        <x:v>975e35974c3ac193dedc354ad39f652dccd31356a4d69ec241dddcfdd84f29c1</x:v>
      </x:c>
      <x:c r="E85" s="24" t="str">
        <x:v>Complementaria</x:v>
      </x:c>
      <x:c r="F85" s="24" t="str">
        <x:v>Evidencia operativa / aceptación / ejecución</x:v>
      </x:c>
      <x:c r="G85" s="24" t="str">
        <x:v>Histórico o vigente según ruta</x:v>
      </x:c>
    </x:row>
    <x:row r="86">
      <x:c r="A86" s="24" t="str">
        <x:v>Documentation/10_Development_Records/Sprint_08/QA/S8_Compilation_Incident_001_NUnit_Assert_Multiple.md</x:v>
      </x:c>
      <x:c r="B86" s="24" t="str">
        <x:v>Registro QA Markdown</x:v>
      </x:c>
      <x:c r="C86" s="24" t="str">
        <x:v>Sprint_08</x:v>
      </x:c>
      <x:c r="D86" s="24" t="str">
        <x:v>c3f9557dbe19d9326df55919c56712a4c7b57a77e3d1044708cbe974705cb69c</x:v>
      </x:c>
      <x:c r="E86" s="24" t="str">
        <x:v>Complementaria</x:v>
      </x:c>
      <x:c r="F86" s="24" t="str">
        <x:v>Evidencia operativa / aceptación / ejecución</x:v>
      </x:c>
      <x:c r="G86" s="24" t="str">
        <x:v>Histórico o vigente según ruta</x:v>
      </x:c>
    </x:row>
    <x:row r="87">
      <x:c r="A87" s="24" t="str">
        <x:v>Documentation/10_Development_Records/Sprint_08/QA/S8_Manual_Validation_Record.md</x:v>
      </x:c>
      <x:c r="B87" s="24" t="str">
        <x:v>Registro QA Markdown</x:v>
      </x:c>
      <x:c r="C87" s="24" t="str">
        <x:v>Sprint_08</x:v>
      </x:c>
      <x:c r="D87" s="24" t="str">
        <x:v>29369a792ec0f4c8d2ae2237c630eedda24f727c2c644ffcb6a2ff997927755d</x:v>
      </x:c>
      <x:c r="E87" s="24" t="str">
        <x:v>Complementaria</x:v>
      </x:c>
      <x:c r="F87" s="24" t="str">
        <x:v>Evidencia operativa / aceptación / ejecución</x:v>
      </x:c>
      <x:c r="G87" s="24" t="str">
        <x:v>Histórico o vigente según ruta</x:v>
      </x:c>
    </x:row>
    <x:row r="88">
      <x:c r="A88" s="24" t="str">
        <x:v>Documentation/10_Development_Records/Sprint_08/QA/S8_QA_Execution_Record.md</x:v>
      </x:c>
      <x:c r="B88" s="24" t="str">
        <x:v>Registro QA Markdown</x:v>
      </x:c>
      <x:c r="C88" s="24" t="str">
        <x:v>Sprint_08</x:v>
      </x:c>
      <x:c r="D88" s="24" t="str">
        <x:v>6b648c6839cb4cd0f249f4318624210896b63a393cd888a3b1ac2d9f70edc61b</x:v>
      </x:c>
      <x:c r="E88" s="24" t="str">
        <x:v>Complementaria</x:v>
      </x:c>
      <x:c r="F88" s="24" t="str">
        <x:v>Evidencia operativa / aceptación / ejecución</x:v>
      </x:c>
      <x:c r="G88" s="24" t="str">
        <x:v>Histórico o vigente según ruta</x:v>
      </x:c>
    </x:row>
    <x:row r="89">
      <x:c r="A89" s="24" t="str">
        <x:v>Documentation/10_Development_Records/Sprint_08/QA/S8_Test_Plan.md</x:v>
      </x:c>
      <x:c r="B89" s="24" t="str">
        <x:v>Registro QA Markdown</x:v>
      </x:c>
      <x:c r="C89" s="24" t="str">
        <x:v>Sprint_08</x:v>
      </x:c>
      <x:c r="D89" s="24" t="str">
        <x:v>700cbef3a75e066574ad7b1f0c97ae0a20be0bd2f4b6bb21012f83a665268b0f</x:v>
      </x:c>
      <x:c r="E89" s="24" t="str">
        <x:v>Complementaria</x:v>
      </x:c>
      <x:c r="F89" s="24" t="str">
        <x:v>Evidencia operativa / aceptación / ejecución</x:v>
      </x:c>
      <x:c r="G89" s="24" t="str">
        <x:v>Histórico o vigente según ruta</x:v>
      </x:c>
    </x:row>
    <x:row r="90">
      <x:c r="A90" s="24" t="str">
        <x:v>Documentation/10_Development_Records/Sprint_08/QA/S8_Validation_Checklist.md</x:v>
      </x:c>
      <x:c r="B90" s="24" t="str">
        <x:v>Registro QA Markdown</x:v>
      </x:c>
      <x:c r="C90" s="24" t="str">
        <x:v>Sprint_08</x:v>
      </x:c>
      <x:c r="D90" s="24" t="str">
        <x:v>e78968953305cb6dc030ececd164ea1e6ac7ca13a88385f2fcadb04e22c61e88</x:v>
      </x:c>
      <x:c r="E90" s="24" t="str">
        <x:v>Complementaria</x:v>
      </x:c>
      <x:c r="F90" s="24" t="str">
        <x:v>Evidencia operativa / aceptación / ejecución</x:v>
      </x:c>
      <x:c r="G90" s="24" t="str">
        <x:v>Histórico o vigente según ruta</x:v>
      </x:c>
    </x:row>
    <x:row r="91">
      <x:c r="A91" s="24" t="str">
        <x:v>Documentation/10_Development_Records/Sprint_09/QA/S9_Acceptance_Matrix.md</x:v>
      </x:c>
      <x:c r="B91" s="24" t="str">
        <x:v>Registro QA Markdown</x:v>
      </x:c>
      <x:c r="C91" s="24" t="str">
        <x:v>Sprint_09</x:v>
      </x:c>
      <x:c r="D91" s="24" t="str">
        <x:v>476e8342efea9323b73b46337890b795fe2b3bc500486fd08a9e9f5dbf6706ef</x:v>
      </x:c>
      <x:c r="E91" s="24" t="str">
        <x:v>Complementaria</x:v>
      </x:c>
      <x:c r="F91" s="24" t="str">
        <x:v>Evidencia operativa / aceptación / ejecución</x:v>
      </x:c>
      <x:c r="G91" s="24" t="str">
        <x:v>Histórico o vigente según ruta</x:v>
      </x:c>
    </x:row>
    <x:row r="92">
      <x:c r="A92" s="24" t="str">
        <x:v>Documentation/10_Development_Records/Sprint_09/QA/S9_Build_Execution_Record.md</x:v>
      </x:c>
      <x:c r="B92" s="24" t="str">
        <x:v>Registro QA Markdown</x:v>
      </x:c>
      <x:c r="C92" s="24" t="str">
        <x:v>Sprint_09</x:v>
      </x:c>
      <x:c r="D92" s="24" t="str">
        <x:v>743edb2e5421984273fb169aab3fbb16c48d6b0ac2e177c5e83ba01b51099304</x:v>
      </x:c>
      <x:c r="E92" s="24" t="str">
        <x:v>Complementaria</x:v>
      </x:c>
      <x:c r="F92" s="24" t="str">
        <x:v>Evidencia operativa / aceptación / ejecución</x:v>
      </x:c>
      <x:c r="G92" s="24" t="str">
        <x:v>Histórico o vigente según ruta</x:v>
      </x:c>
    </x:row>
    <x:row r="93">
      <x:c r="A93" s="24" t="str">
        <x:v>Documentation/10_Development_Records/Sprint_09/QA/S9_Manual_Validation_Record.md</x:v>
      </x:c>
      <x:c r="B93" s="24" t="str">
        <x:v>Registro QA Markdown</x:v>
      </x:c>
      <x:c r="C93" s="24" t="str">
        <x:v>Sprint_09</x:v>
      </x:c>
      <x:c r="D93" s="24" t="str">
        <x:v>93b6eaaed85d417f81eb41a37696d307efd7c0523b25d309a76ed453eff9b2fc</x:v>
      </x:c>
      <x:c r="E93" s="24" t="str">
        <x:v>Complementaria</x:v>
      </x:c>
      <x:c r="F93" s="24" t="str">
        <x:v>Evidencia operativa / aceptación / ejecución</x:v>
      </x:c>
      <x:c r="G93" s="24" t="str">
        <x:v>Histórico o vigente según ruta</x:v>
      </x:c>
    </x:row>
    <x:row r="94">
      <x:c r="A94" s="24" t="str">
        <x:v>Documentation/10_Development_Records/Sprint_09/QA/S9_QA_Execution_Record.md</x:v>
      </x:c>
      <x:c r="B94" s="24" t="str">
        <x:v>Registro QA Markdown</x:v>
      </x:c>
      <x:c r="C94" s="24" t="str">
        <x:v>Sprint_09</x:v>
      </x:c>
      <x:c r="D94" s="24" t="str">
        <x:v>ee2c2033cb369301abe3eb39bf1f0d3a71c241431b1889651e14a895437d114a</x:v>
      </x:c>
      <x:c r="E94" s="24" t="str">
        <x:v>Complementaria</x:v>
      </x:c>
      <x:c r="F94" s="24" t="str">
        <x:v>Evidencia operativa / aceptación / ejecución</x:v>
      </x:c>
      <x:c r="G94" s="24" t="str">
        <x:v>Histórico o vigente según ruta</x:v>
      </x:c>
    </x:row>
    <x:row r="95">
      <x:c r="A95" s="24" t="str">
        <x:v>Documentation/10_Development_Records/Sprint_09/QA/S9_Test_Plan.md</x:v>
      </x:c>
      <x:c r="B95" s="24" t="str">
        <x:v>Registro QA Markdown</x:v>
      </x:c>
      <x:c r="C95" s="24" t="str">
        <x:v>Sprint_09</x:v>
      </x:c>
      <x:c r="D95" s="24" t="str">
        <x:v>b293d94d423091b2c31d627993d7b88b2f479dc55ef3cf638085c45abe0411ef</x:v>
      </x:c>
      <x:c r="E95" s="24" t="str">
        <x:v>Complementaria</x:v>
      </x:c>
      <x:c r="F95" s="24" t="str">
        <x:v>Evidencia operativa / aceptación / ejecución</x:v>
      </x:c>
      <x:c r="G95" s="24" t="str">
        <x:v>Histórico o vigente según ruta</x:v>
      </x:c>
    </x:row>
    <x:row r="96">
      <x:c r="A96" s="24" t="str">
        <x:v>Documentation/10_Development_Records/Sprint_09/QA/S9_Validation_Checklist.md</x:v>
      </x:c>
      <x:c r="B96" s="24" t="str">
        <x:v>Registro QA Markdown</x:v>
      </x:c>
      <x:c r="C96" s="24" t="str">
        <x:v>Sprint_09</x:v>
      </x:c>
      <x:c r="D96" s="24" t="str">
        <x:v>07c2186f8993ca63a64d0b6c14bdff998f0b1a5e193bc1ce0d4944640a189d3c</x:v>
      </x:c>
      <x:c r="E96" s="24" t="str">
        <x:v>Complementaria</x:v>
      </x:c>
      <x:c r="F96" s="24" t="str">
        <x:v>Evidencia operativa / aceptación / ejecución</x:v>
      </x:c>
      <x:c r="G96" s="24" t="str">
        <x:v>Histórico o vigente según ruta</x:v>
      </x:c>
    </x:row>
    <x:row r="97">
      <x:c r="A97" s="24" t="str">
        <x:v>Documentation/10_Development_Records/Sprint_10/QA/S10_Acceptance_Matrix.md</x:v>
      </x:c>
      <x:c r="B97" s="24" t="str">
        <x:v>Registro QA Markdown</x:v>
      </x:c>
      <x:c r="C97" s="24" t="str">
        <x:v>Sprint_10</x:v>
      </x:c>
      <x:c r="D97" s="24" t="str">
        <x:v>8a3558314d7d868e3e2ce0dc33fe62e7b1b33eddf1e70b2d6eab43c9b3600d8c</x:v>
      </x:c>
      <x:c r="E97" s="24" t="str">
        <x:v>Complementaria</x:v>
      </x:c>
      <x:c r="F97" s="24" t="str">
        <x:v>Evidencia operativa / aceptación / ejecución</x:v>
      </x:c>
      <x:c r="G97" s="24" t="str">
        <x:v>Histórico o vigente según ruta</x:v>
      </x:c>
    </x:row>
    <x:row r="98">
      <x:c r="A98" s="24" t="str">
        <x:v>Documentation/10_Development_Records/Sprint_10/QA/S10_Build_Execution_Record.md</x:v>
      </x:c>
      <x:c r="B98" s="24" t="str">
        <x:v>Registro QA Markdown</x:v>
      </x:c>
      <x:c r="C98" s="24" t="str">
        <x:v>Sprint_10</x:v>
      </x:c>
      <x:c r="D98" s="24" t="str">
        <x:v>adea9b7fcdab6e319f0ded3171260cc0200e2ae3ab424916a8068a7175872369</x:v>
      </x:c>
      <x:c r="E98" s="24" t="str">
        <x:v>Complementaria</x:v>
      </x:c>
      <x:c r="F98" s="24" t="str">
        <x:v>Evidencia operativa / aceptación / ejecución</x:v>
      </x:c>
      <x:c r="G98" s="24" t="str">
        <x:v>Histórico o vigente según ruta</x:v>
      </x:c>
    </x:row>
    <x:row r="99">
      <x:c r="A99" s="24" t="str">
        <x:v>Documentation/10_Development_Records/Sprint_10/QA/S10_Manual_Validation_Record.md</x:v>
      </x:c>
      <x:c r="B99" s="24" t="str">
        <x:v>Registro QA Markdown</x:v>
      </x:c>
      <x:c r="C99" s="24" t="str">
        <x:v>Sprint_10</x:v>
      </x:c>
      <x:c r="D99" s="24" t="str">
        <x:v>35d91142c2f3c26612d93bdf77ed3d4211d1d08373d21fcb34960e5987457c19</x:v>
      </x:c>
      <x:c r="E99" s="24" t="str">
        <x:v>Complementaria</x:v>
      </x:c>
      <x:c r="F99" s="24" t="str">
        <x:v>Evidencia operativa / aceptación / ejecución</x:v>
      </x:c>
      <x:c r="G99" s="24" t="str">
        <x:v>Histórico o vigente según ruta</x:v>
      </x:c>
    </x:row>
    <x:row r="100">
      <x:c r="A100" s="24" t="str">
        <x:v>Documentation/10_Development_Records/Sprint_10/QA/S10_QA_Execution_Record.md</x:v>
      </x:c>
      <x:c r="B100" s="24" t="str">
        <x:v>Registro QA Markdown</x:v>
      </x:c>
      <x:c r="C100" s="24" t="str">
        <x:v>Sprint_10</x:v>
      </x:c>
      <x:c r="D100" s="24" t="str">
        <x:v>c45fb3dd29d4ec4dc67ad42f496932c94cbe384096c560c08d3d1c9615c6a5fe</x:v>
      </x:c>
      <x:c r="E100" s="24" t="str">
        <x:v>Complementaria</x:v>
      </x:c>
      <x:c r="F100" s="24" t="str">
        <x:v>Evidencia operativa / aceptación / ejecución</x:v>
      </x:c>
      <x:c r="G100" s="24" t="str">
        <x:v>Histórico o vigente según ruta</x:v>
      </x:c>
    </x:row>
    <x:row r="101">
      <x:c r="A101" s="24" t="str">
        <x:v>Documentation/10_Development_Records/Sprint_10/QA/S10_Test_Plan.md</x:v>
      </x:c>
      <x:c r="B101" s="24" t="str">
        <x:v>Registro QA Markdown</x:v>
      </x:c>
      <x:c r="C101" s="24" t="str">
        <x:v>Sprint_10</x:v>
      </x:c>
      <x:c r="D101" s="24" t="str">
        <x:v>55fc567ad4532a20b65b5c284c907e8a39d3498c598bee6533552780a5f10fa3</x:v>
      </x:c>
      <x:c r="E101" s="24" t="str">
        <x:v>Complementaria</x:v>
      </x:c>
      <x:c r="F101" s="24" t="str">
        <x:v>Evidencia operativa / aceptación / ejecución</x:v>
      </x:c>
      <x:c r="G101" s="24" t="str">
        <x:v>Histórico o vigente según ruta</x:v>
      </x:c>
    </x:row>
    <x:row r="102">
      <x:c r="A102" s="24" t="str">
        <x:v>Documentation/10_Development_Records/Sprint_10/QA/S10_Validation_Checklist.md</x:v>
      </x:c>
      <x:c r="B102" s="24" t="str">
        <x:v>Registro QA Markdown</x:v>
      </x:c>
      <x:c r="C102" s="24" t="str">
        <x:v>Sprint_10</x:v>
      </x:c>
      <x:c r="D102" s="24" t="str">
        <x:v>4ccd94ab6aeac432193d476585e83286bd5be87777256812814dd206ad2d5e55</x:v>
      </x:c>
      <x:c r="E102" s="24" t="str">
        <x:v>Complementaria</x:v>
      </x:c>
      <x:c r="F102" s="24" t="str">
        <x:v>Evidencia operativa / aceptación / ejecución</x:v>
      </x:c>
      <x:c r="G102" s="24" t="str">
        <x:v>Histórico o vigente según ruta</x:v>
      </x:c>
    </x:row>
    <x:row r="103">
      <x:c r="A103" s="24" t="str">
        <x:v>Documentation/10_Development_Records/Sprint_11/QA/S11_Acceptance_Matrix.md</x:v>
      </x:c>
      <x:c r="B103" s="24" t="str">
        <x:v>Registro QA Markdown</x:v>
      </x:c>
      <x:c r="C103" s="24" t="str">
        <x:v>Sprint_11</x:v>
      </x:c>
      <x:c r="D103" s="24" t="str">
        <x:v>a6f876fb02398be1ee466d2f9dde9613ad9c0fa2fc0088778b791ab9a3d00e8d</x:v>
      </x:c>
      <x:c r="E103" s="24" t="str">
        <x:v>Complementaria</x:v>
      </x:c>
      <x:c r="F103" s="24" t="str">
        <x:v>Evidencia operativa / aceptación / ejecución</x:v>
      </x:c>
      <x:c r="G103" s="24" t="str">
        <x:v>Histórico o vigente según ruta</x:v>
      </x:c>
    </x:row>
    <x:row r="104">
      <x:c r="A104" s="24" t="str">
        <x:v>Documentation/10_Development_Records/Sprint_11/QA/S11_Build_Execution_Record.md</x:v>
      </x:c>
      <x:c r="B104" s="24" t="str">
        <x:v>Registro QA Markdown</x:v>
      </x:c>
      <x:c r="C104" s="24" t="str">
        <x:v>Sprint_11</x:v>
      </x:c>
      <x:c r="D104" s="24" t="str">
        <x:v>6e5b3ee3b6b9a1a6d2f6c90fc07df567cfdd81126f6e2c06aa4c3307db206f24</x:v>
      </x:c>
      <x:c r="E104" s="24" t="str">
        <x:v>Complementaria</x:v>
      </x:c>
      <x:c r="F104" s="24" t="str">
        <x:v>Evidencia operativa / aceptación / ejecución</x:v>
      </x:c>
      <x:c r="G104" s="24" t="str">
        <x:v>Histórico o vigente según ruta</x:v>
      </x:c>
    </x:row>
    <x:row r="105">
      <x:c r="A105" s="24" t="str">
        <x:v>Documentation/10_Development_Records/Sprint_11/QA/S11_Manual_Validation_Record.md</x:v>
      </x:c>
      <x:c r="B105" s="24" t="str">
        <x:v>Registro QA Markdown</x:v>
      </x:c>
      <x:c r="C105" s="24" t="str">
        <x:v>Sprint_11</x:v>
      </x:c>
      <x:c r="D105" s="24" t="str">
        <x:v>4570258f61607a4d682668a55327dd21ba3c5358f213888de0b75dc7309f94f8</x:v>
      </x:c>
      <x:c r="E105" s="24" t="str">
        <x:v>Complementaria</x:v>
      </x:c>
      <x:c r="F105" s="24" t="str">
        <x:v>Evidencia operativa / aceptación / ejecución</x:v>
      </x:c>
      <x:c r="G105" s="24" t="str">
        <x:v>Histórico o vigente según ruta</x:v>
      </x:c>
    </x:row>
    <x:row r="106">
      <x:c r="A106" s="24" t="str">
        <x:v>Documentation/10_Development_Records/Sprint_11/QA/S11_QA_Execution_Record.md</x:v>
      </x:c>
      <x:c r="B106" s="24" t="str">
        <x:v>Registro QA Markdown</x:v>
      </x:c>
      <x:c r="C106" s="24" t="str">
        <x:v>Sprint_11</x:v>
      </x:c>
      <x:c r="D106" s="24" t="str">
        <x:v>e09346a52a005447f98244392575dce8bfe0e1c24395d87ef4efa9949582222d</x:v>
      </x:c>
      <x:c r="E106" s="24" t="str">
        <x:v>Complementaria</x:v>
      </x:c>
      <x:c r="F106" s="24" t="str">
        <x:v>Evidencia operativa / aceptación / ejecución</x:v>
      </x:c>
      <x:c r="G106" s="24" t="str">
        <x:v>Histórico o vigente según ruta</x:v>
      </x:c>
    </x:row>
    <x:row r="107">
      <x:c r="A107" s="24" t="str">
        <x:v>Documentation/10_Development_Records/Sprint_11/QA/S11_Test_Plan.md</x:v>
      </x:c>
      <x:c r="B107" s="24" t="str">
        <x:v>Registro QA Markdown</x:v>
      </x:c>
      <x:c r="C107" s="24" t="str">
        <x:v>Sprint_11</x:v>
      </x:c>
      <x:c r="D107" s="24" t="str">
        <x:v>75c9f46d3f588baa0e4942042264f3d5e62f609a38e975f604dce5645920b84e</x:v>
      </x:c>
      <x:c r="E107" s="24" t="str">
        <x:v>Complementaria</x:v>
      </x:c>
      <x:c r="F107" s="24" t="str">
        <x:v>Evidencia operativa / aceptación / ejecución</x:v>
      </x:c>
      <x:c r="G107" s="24" t="str">
        <x:v>Histórico o vigente según ruta</x:v>
      </x:c>
    </x:row>
    <x:row r="108">
      <x:c r="A108" s="24" t="str">
        <x:v>Documentation/10_Development_Records/Sprint_11/QA/S11_Validation_Checklist.md</x:v>
      </x:c>
      <x:c r="B108" s="24" t="str">
        <x:v>Registro QA Markdown</x:v>
      </x:c>
      <x:c r="C108" s="24" t="str">
        <x:v>Sprint_11</x:v>
      </x:c>
      <x:c r="D108" s="24" t="str">
        <x:v>6e6a1eaca9f8b962ef3092264ba1419f8dae3c1212518a64cb3ed738fa1b4b22</x:v>
      </x:c>
      <x:c r="E108" s="24" t="str">
        <x:v>Complementaria</x:v>
      </x:c>
      <x:c r="F108" s="24" t="str">
        <x:v>Evidencia operativa / aceptación / ejecución</x:v>
      </x:c>
      <x:c r="G108" s="24" t="str">
        <x:v>Histórico o vigente según ruta</x:v>
      </x:c>
    </x:row>
    <x:row r="109">
      <x:c r="A109" s="24" t="str">
        <x:v>Documentation/10_Development_Records/Sprint_12/QA/S12_Acceptance_Matrix.md</x:v>
      </x:c>
      <x:c r="B109" s="24" t="str">
        <x:v>Registro QA Markdown</x:v>
      </x:c>
      <x:c r="C109" s="24" t="str">
        <x:v>Sprint_12</x:v>
      </x:c>
      <x:c r="D109" s="24" t="str">
        <x:v>9b16fac6f71a8d05203d140a77a1b0c202a5f445556cc663208b04e5c45392b9</x:v>
      </x:c>
      <x:c r="E109" s="24" t="str">
        <x:v>Complementaria</x:v>
      </x:c>
      <x:c r="F109" s="24" t="str">
        <x:v>Evidencia operativa / aceptación / ejecución</x:v>
      </x:c>
      <x:c r="G109" s="24" t="str">
        <x:v>Histórico o vigente según ruta</x:v>
      </x:c>
    </x:row>
    <x:row r="110">
      <x:c r="A110" s="24" t="str">
        <x:v>Documentation/10_Development_Records/Sprint_12/QA/S12_Build_Execution_Record.md</x:v>
      </x:c>
      <x:c r="B110" s="24" t="str">
        <x:v>Registro QA Markdown</x:v>
      </x:c>
      <x:c r="C110" s="24" t="str">
        <x:v>Sprint_12</x:v>
      </x:c>
      <x:c r="D110" s="24" t="str">
        <x:v>e3531d9bc28665f33ed38c176188246308d38bd480be42c1758f848e433f69b4</x:v>
      </x:c>
      <x:c r="E110" s="24" t="str">
        <x:v>Complementaria</x:v>
      </x:c>
      <x:c r="F110" s="24" t="str">
        <x:v>Evidencia operativa / aceptación / ejecución</x:v>
      </x:c>
      <x:c r="G110" s="24" t="str">
        <x:v>Histórico o vigente según ruta</x:v>
      </x:c>
    </x:row>
    <x:row r="111">
      <x:c r="A111" s="24" t="str">
        <x:v>Documentation/10_Development_Records/Sprint_12/QA/S12_Manual_Validation_Record.md</x:v>
      </x:c>
      <x:c r="B111" s="24" t="str">
        <x:v>Registro QA Markdown</x:v>
      </x:c>
      <x:c r="C111" s="24" t="str">
        <x:v>Sprint_12</x:v>
      </x:c>
      <x:c r="D111" s="24" t="str">
        <x:v>e64f8e7b06c81b96a686a34d6165cf5cc6c2aaeb1114954e858f41f7cbd9cb40</x:v>
      </x:c>
      <x:c r="E111" s="24" t="str">
        <x:v>Complementaria</x:v>
      </x:c>
      <x:c r="F111" s="24" t="str">
        <x:v>Evidencia operativa / aceptación / ejecución</x:v>
      </x:c>
      <x:c r="G111" s="24" t="str">
        <x:v>Histórico o vigente según ruta</x:v>
      </x:c>
    </x:row>
    <x:row r="112">
      <x:c r="A112" s="24" t="str">
        <x:v>Documentation/10_Development_Records/Sprint_12/QA/S12_QA_Execution_Record.md</x:v>
      </x:c>
      <x:c r="B112" s="24" t="str">
        <x:v>Registro QA Markdown</x:v>
      </x:c>
      <x:c r="C112" s="24" t="str">
        <x:v>Sprint_12</x:v>
      </x:c>
      <x:c r="D112" s="24" t="str">
        <x:v>e53fa611bf41782ecb96b8d41010b2607f3e38223dad09898a92bdfec0f6ba9f</x:v>
      </x:c>
      <x:c r="E112" s="24" t="str">
        <x:v>Complementaria</x:v>
      </x:c>
      <x:c r="F112" s="24" t="str">
        <x:v>Evidencia operativa / aceptación / ejecución</x:v>
      </x:c>
      <x:c r="G112" s="24" t="str">
        <x:v>Histórico o vigente según ruta</x:v>
      </x:c>
    </x:row>
    <x:row r="113">
      <x:c r="A113" s="24" t="str">
        <x:v>Documentation/10_Development_Records/Sprint_12/QA/S12_Test_Plan.md</x:v>
      </x:c>
      <x:c r="B113" s="24" t="str">
        <x:v>Registro QA Markdown</x:v>
      </x:c>
      <x:c r="C113" s="24" t="str">
        <x:v>Sprint_12</x:v>
      </x:c>
      <x:c r="D113" s="24" t="str">
        <x:v>30bd7ced538009bf712a71eb200d7ac3646cce58b3ee09f0d6cb339ff83055e9</x:v>
      </x:c>
      <x:c r="E113" s="24" t="str">
        <x:v>Complementaria</x:v>
      </x:c>
      <x:c r="F113" s="24" t="str">
        <x:v>Evidencia operativa / aceptación / ejecución</x:v>
      </x:c>
      <x:c r="G113" s="24" t="str">
        <x:v>Histórico o vigente según ruta</x:v>
      </x:c>
    </x:row>
    <x:row r="114">
      <x:c r="A114" s="24" t="str">
        <x:v>Documentation/10_Development_Records/Sprint_12/QA/S12_Validation_Checklist.md</x:v>
      </x:c>
      <x:c r="B114" s="24" t="str">
        <x:v>Registro QA Markdown</x:v>
      </x:c>
      <x:c r="C114" s="24" t="str">
        <x:v>Sprint_12</x:v>
      </x:c>
      <x:c r="D114" s="24" t="str">
        <x:v>00cd5c9edcc23a93e48b68df03a8b85c659dae40a91b0523e840c6ca5d043720</x:v>
      </x:c>
      <x:c r="E114" s="24" t="str">
        <x:v>Complementaria</x:v>
      </x:c>
      <x:c r="F114" s="24" t="str">
        <x:v>Evidencia operativa / aceptación / ejecución</x:v>
      </x:c>
      <x:c r="G114" s="24" t="str">
        <x:v>Histórico o vigente según ruta</x:v>
      </x:c>
    </x:row>
    <x:row r="115">
      <x:c r="A115" s="24" t="str">
        <x:v>Documentation/10_Development_Records/Sprint_13/QA/S13_Acceptance_Matrix.md</x:v>
      </x:c>
      <x:c r="B115" s="24" t="str">
        <x:v>Registro QA Markdown</x:v>
      </x:c>
      <x:c r="C115" s="24" t="str">
        <x:v>Sprint_13</x:v>
      </x:c>
      <x:c r="D115" s="24" t="str">
        <x:v>e7f134005949b363e84fadb28d740ff268adb3c42de47070fbcc968862319f2b</x:v>
      </x:c>
      <x:c r="E115" s="24" t="str">
        <x:v>Complementaria</x:v>
      </x:c>
      <x:c r="F115" s="24" t="str">
        <x:v>Evidencia operativa / aceptación / ejecución</x:v>
      </x:c>
      <x:c r="G115" s="24" t="str">
        <x:v>Histórico o vigente según ruta</x:v>
      </x:c>
    </x:row>
    <x:row r="116">
      <x:c r="A116" s="24" t="str">
        <x:v>Documentation/10_Development_Records/Sprint_13/QA/S13_Build_Execution_Record.md</x:v>
      </x:c>
      <x:c r="B116" s="24" t="str">
        <x:v>Registro QA Markdown</x:v>
      </x:c>
      <x:c r="C116" s="24" t="str">
        <x:v>Sprint_13</x:v>
      </x:c>
      <x:c r="D116" s="24" t="str">
        <x:v>887232c7346268536f197fc6069ad7f518735c2f51c302f0d27e6c2625cd005b</x:v>
      </x:c>
      <x:c r="E116" s="24" t="str">
        <x:v>Complementaria</x:v>
      </x:c>
      <x:c r="F116" s="24" t="str">
        <x:v>Evidencia operativa / aceptación / ejecución</x:v>
      </x:c>
      <x:c r="G116" s="24" t="str">
        <x:v>Histórico o vigente según ruta</x:v>
      </x:c>
    </x:row>
    <x:row r="117">
      <x:c r="A117" s="24" t="str">
        <x:v>Documentation/10_Development_Records/Sprint_13/QA/S13_Manual_Validation_Record.md</x:v>
      </x:c>
      <x:c r="B117" s="24" t="str">
        <x:v>Registro QA Markdown</x:v>
      </x:c>
      <x:c r="C117" s="24" t="str">
        <x:v>Sprint_13</x:v>
      </x:c>
      <x:c r="D117" s="24" t="str">
        <x:v>debd552a2298fb05bf6cf48f5030ad4531e4ec02a2c030467e9d7fcb390cef99</x:v>
      </x:c>
      <x:c r="E117" s="24" t="str">
        <x:v>Complementaria</x:v>
      </x:c>
      <x:c r="F117" s="24" t="str">
        <x:v>Evidencia operativa / aceptación / ejecución</x:v>
      </x:c>
      <x:c r="G117" s="24" t="str">
        <x:v>Histórico o vigente según ruta</x:v>
      </x:c>
    </x:row>
    <x:row r="118">
      <x:c r="A118" s="24" t="str">
        <x:v>Documentation/10_Development_Records/Sprint_13/QA/S13_QA_Execution_Record.md</x:v>
      </x:c>
      <x:c r="B118" s="24" t="str">
        <x:v>Registro QA Markdown</x:v>
      </x:c>
      <x:c r="C118" s="24" t="str">
        <x:v>Sprint_13</x:v>
      </x:c>
      <x:c r="D118" s="24" t="str">
        <x:v>a0ecdfbd34ae6a3e96f2ff4b19602fcfdad3628da0f4647a96631aecce9bd9e0</x:v>
      </x:c>
      <x:c r="E118" s="24" t="str">
        <x:v>Complementaria</x:v>
      </x:c>
      <x:c r="F118" s="24" t="str">
        <x:v>Evidencia operativa / aceptación / ejecución</x:v>
      </x:c>
      <x:c r="G118" s="24" t="str">
        <x:v>Histórico o vigente según ruta</x:v>
      </x:c>
    </x:row>
    <x:row r="119">
      <x:c r="A119" s="24" t="str">
        <x:v>Documentation/10_Development_Records/Sprint_13/QA/S13_Test_Plan.md</x:v>
      </x:c>
      <x:c r="B119" s="24" t="str">
        <x:v>Registro QA Markdown</x:v>
      </x:c>
      <x:c r="C119" s="24" t="str">
        <x:v>Sprint_13</x:v>
      </x:c>
      <x:c r="D119" s="24" t="str">
        <x:v>ae9f583cfca7e51d7ba01a00dc335de7a5dd31b86e1532321b6a1888d30ada25</x:v>
      </x:c>
      <x:c r="E119" s="24" t="str">
        <x:v>Complementaria</x:v>
      </x:c>
      <x:c r="F119" s="24" t="str">
        <x:v>Evidencia operativa / aceptación / ejecución</x:v>
      </x:c>
      <x:c r="G119" s="24" t="str">
        <x:v>Histórico o vigente según ruta</x:v>
      </x:c>
    </x:row>
    <x:row r="120">
      <x:c r="A120" s="24" t="str">
        <x:v>Documentation/10_Development_Records/Sprint_13/QA/S13_Validation_Checklist.md</x:v>
      </x:c>
      <x:c r="B120" s="24" t="str">
        <x:v>Registro QA Markdown</x:v>
      </x:c>
      <x:c r="C120" s="24" t="str">
        <x:v>Sprint_13</x:v>
      </x:c>
      <x:c r="D120" s="24" t="str">
        <x:v>f758216e28d991ede9e414acc767c6a118c4c3e5960de13d4f8f7a42e35bcbc1</x:v>
      </x:c>
      <x:c r="E120" s="24" t="str">
        <x:v>Complementaria</x:v>
      </x:c>
      <x:c r="F120" s="24" t="str">
        <x:v>Evidencia operativa / aceptación / ejecución</x:v>
      </x:c>
      <x:c r="G120" s="24" t="str">
        <x:v>Histórico o vigente según ruta</x:v>
      </x:c>
    </x:row>
    <x:row r="121">
      <x:c r="A121" s="24" t="str">
        <x:v>Documentation/10_Development_Records/Sprint_14/QA/S14_Acceptance_Matrix.md</x:v>
      </x:c>
      <x:c r="B121" s="24" t="str">
        <x:v>Registro QA Markdown</x:v>
      </x:c>
      <x:c r="C121" s="24" t="str">
        <x:v>Sprint_14</x:v>
      </x:c>
      <x:c r="D121" s="24" t="str">
        <x:v>6abc7f9f6b1f199f797ede8e4610be0819c89c52ba763b09489f76e5b6d2b3e9</x:v>
      </x:c>
      <x:c r="E121" s="24" t="str">
        <x:v>Complementaria</x:v>
      </x:c>
      <x:c r="F121" s="24" t="str">
        <x:v>Evidencia operativa / aceptación / ejecución</x:v>
      </x:c>
      <x:c r="G121" s="24" t="str">
        <x:v>Histórico o vigente según ruta</x:v>
      </x:c>
    </x:row>
    <x:row r="122">
      <x:c r="A122" s="24" t="str">
        <x:v>Documentation/10_Development_Records/Sprint_14/QA/S14_Build_Execution_Record.md</x:v>
      </x:c>
      <x:c r="B122" s="24" t="str">
        <x:v>Registro QA Markdown</x:v>
      </x:c>
      <x:c r="C122" s="24" t="str">
        <x:v>Sprint_14</x:v>
      </x:c>
      <x:c r="D122" s="24" t="str">
        <x:v>758b82a0301e5f3de699b76365cf74c577377bcb6d88333c4b65a26e6065af33</x:v>
      </x:c>
      <x:c r="E122" s="24" t="str">
        <x:v>Complementaria</x:v>
      </x:c>
      <x:c r="F122" s="24" t="str">
        <x:v>Evidencia operativa / aceptación / ejecución</x:v>
      </x:c>
      <x:c r="G122" s="24" t="str">
        <x:v>Histórico o vigente según ruta</x:v>
      </x:c>
    </x:row>
    <x:row r="123">
      <x:c r="A123" s="24" t="str">
        <x:v>Documentation/10_Development_Records/Sprint_14/QA/S14_Manual_Validation_Record.md</x:v>
      </x:c>
      <x:c r="B123" s="24" t="str">
        <x:v>Registro QA Markdown</x:v>
      </x:c>
      <x:c r="C123" s="24" t="str">
        <x:v>Sprint_14</x:v>
      </x:c>
      <x:c r="D123" s="24" t="str">
        <x:v>142883a842fadfab456fd787b586363340a31cc0e90dbb33955858e3bc95e0ca</x:v>
      </x:c>
      <x:c r="E123" s="24" t="str">
        <x:v>Complementaria</x:v>
      </x:c>
      <x:c r="F123" s="24" t="str">
        <x:v>Evidencia operativa / aceptación / ejecución</x:v>
      </x:c>
      <x:c r="G123" s="24" t="str">
        <x:v>Histórico o vigente según ruta</x:v>
      </x:c>
    </x:row>
    <x:row r="124">
      <x:c r="A124" s="24" t="str">
        <x:v>Documentation/10_Development_Records/Sprint_14/QA/S14_QA_Execution_Record.md</x:v>
      </x:c>
      <x:c r="B124" s="24" t="str">
        <x:v>Registro QA Markdown</x:v>
      </x:c>
      <x:c r="C124" s="24" t="str">
        <x:v>Sprint_14</x:v>
      </x:c>
      <x:c r="D124" s="24" t="str">
        <x:v>61083207815690667077272760527c8529f70916831a1bd7d75cc58125663a7f</x:v>
      </x:c>
      <x:c r="E124" s="24" t="str">
        <x:v>Complementaria</x:v>
      </x:c>
      <x:c r="F124" s="24" t="str">
        <x:v>Evidencia operativa / aceptación / ejecución</x:v>
      </x:c>
      <x:c r="G124" s="24" t="str">
        <x:v>Histórico o vigente según ruta</x:v>
      </x:c>
    </x:row>
    <x:row r="125">
      <x:c r="A125" s="24" t="str">
        <x:v>Documentation/10_Development_Records/Sprint_14/QA/S14_Test_Plan.md</x:v>
      </x:c>
      <x:c r="B125" s="24" t="str">
        <x:v>Registro QA Markdown</x:v>
      </x:c>
      <x:c r="C125" s="24" t="str">
        <x:v>Sprint_14</x:v>
      </x:c>
      <x:c r="D125" s="24" t="str">
        <x:v>a11b98e2c724cf7fba9b59a75906073d352a8365df289169934ee798329c63bb</x:v>
      </x:c>
      <x:c r="E125" s="24" t="str">
        <x:v>Complementaria</x:v>
      </x:c>
      <x:c r="F125" s="24" t="str">
        <x:v>Evidencia operativa / aceptación / ejecución</x:v>
      </x:c>
      <x:c r="G125" s="24" t="str">
        <x:v>Histórico o vigente según ruta</x:v>
      </x:c>
    </x:row>
    <x:row r="126">
      <x:c r="A126" s="24" t="str">
        <x:v>Documentation/10_Development_Records/Sprint_14/QA/S14_Validation_Checklist.md</x:v>
      </x:c>
      <x:c r="B126" s="24" t="str">
        <x:v>Registro QA Markdown</x:v>
      </x:c>
      <x:c r="C126" s="24" t="str">
        <x:v>Sprint_14</x:v>
      </x:c>
      <x:c r="D126" s="24" t="str">
        <x:v>d309169ea50987bc6ecf0e9aa8739c80e72f34154e8e9f29ed5916b30ed63d9f</x:v>
      </x:c>
      <x:c r="E126" s="24" t="str">
        <x:v>Complementaria</x:v>
      </x:c>
      <x:c r="F126" s="24" t="str">
        <x:v>Evidencia operativa / aceptación / ejecución</x:v>
      </x:c>
      <x:c r="G126" s="24" t="str">
        <x:v>Histórico o vigente según ruta</x:v>
      </x:c>
    </x:row>
    <x:row r="127">
      <x:c r="A127" s="24" t="str">
        <x:v>Documentation/10_Development_Records/Sprint_15/QA/S15_Acceptance_Matrix.md</x:v>
      </x:c>
      <x:c r="B127" s="24" t="str">
        <x:v>Registro QA Markdown</x:v>
      </x:c>
      <x:c r="C127" s="24" t="str">
        <x:v>Sprint_15</x:v>
      </x:c>
      <x:c r="D127" s="24" t="str">
        <x:v>ef5c3d5a5d788d7a52965e858620ca76d260711f96e5132bb7938c765b6762da</x:v>
      </x:c>
      <x:c r="E127" s="24" t="str">
        <x:v>Complementaria</x:v>
      </x:c>
      <x:c r="F127" s="24" t="str">
        <x:v>Evidencia operativa / aceptación / ejecución</x:v>
      </x:c>
      <x:c r="G127" s="24" t="str">
        <x:v>Histórico o vigente según ruta</x:v>
      </x:c>
    </x:row>
    <x:row r="128">
      <x:c r="A128" s="24" t="str">
        <x:v>Documentation/10_Development_Records/Sprint_15/QA/S15_Build_Execution_Record.md</x:v>
      </x:c>
      <x:c r="B128" s="24" t="str">
        <x:v>Registro QA Markdown</x:v>
      </x:c>
      <x:c r="C128" s="24" t="str">
        <x:v>Sprint_15</x:v>
      </x:c>
      <x:c r="D128" s="24" t="str">
        <x:v>cb74c7605f9918b31b4f49ebbe0f63004b03886d5468bd258a3eb6f83ea9b61a</x:v>
      </x:c>
      <x:c r="E128" s="24" t="str">
        <x:v>Complementaria</x:v>
      </x:c>
      <x:c r="F128" s="24" t="str">
        <x:v>Evidencia operativa / aceptación / ejecución</x:v>
      </x:c>
      <x:c r="G128" s="24" t="str">
        <x:v>Histórico o vigente según ruta</x:v>
      </x:c>
    </x:row>
    <x:row r="129">
      <x:c r="A129" s="24" t="str">
        <x:v>Documentation/10_Development_Records/Sprint_15/QA/S15_Manual_Validation_Record.md</x:v>
      </x:c>
      <x:c r="B129" s="24" t="str">
        <x:v>Registro QA Markdown</x:v>
      </x:c>
      <x:c r="C129" s="24" t="str">
        <x:v>Sprint_15</x:v>
      </x:c>
      <x:c r="D129" s="24" t="str">
        <x:v>cf0bf9e50007e2211b0404ef541a9ba1b23c97b6eb7909403c16e601f77b655a</x:v>
      </x:c>
      <x:c r="E129" s="24" t="str">
        <x:v>Complementaria</x:v>
      </x:c>
      <x:c r="F129" s="24" t="str">
        <x:v>Evidencia operativa / aceptación / ejecución</x:v>
      </x:c>
      <x:c r="G129" s="24" t="str">
        <x:v>Histórico o vigente según ruta</x:v>
      </x:c>
    </x:row>
    <x:row r="130">
      <x:c r="A130" s="24" t="str">
        <x:v>Documentation/10_Development_Records/Sprint_15/QA/S15_QA_Execution_Record.md</x:v>
      </x:c>
      <x:c r="B130" s="24" t="str">
        <x:v>Registro QA Markdown</x:v>
      </x:c>
      <x:c r="C130" s="24" t="str">
        <x:v>Sprint_15</x:v>
      </x:c>
      <x:c r="D130" s="24" t="str">
        <x:v>317dd72193364df1dd104ef8be879fa22dbd4f8374e3e0bd454fef8f0881277d</x:v>
      </x:c>
      <x:c r="E130" s="24" t="str">
        <x:v>Complementaria</x:v>
      </x:c>
      <x:c r="F130" s="24" t="str">
        <x:v>Evidencia operativa / aceptación / ejecución</x:v>
      </x:c>
      <x:c r="G130" s="24" t="str">
        <x:v>Histórico o vigente según ruta</x:v>
      </x:c>
    </x:row>
    <x:row r="131">
      <x:c r="A131" s="24" t="str">
        <x:v>Documentation/10_Development_Records/Sprint_15/QA/S15_Test_Plan.md</x:v>
      </x:c>
      <x:c r="B131" s="24" t="str">
        <x:v>Registro QA Markdown</x:v>
      </x:c>
      <x:c r="C131" s="24" t="str">
        <x:v>Sprint_15</x:v>
      </x:c>
      <x:c r="D131" s="24" t="str">
        <x:v>d0d52d54433180bf3c4995a933def70b47ce5712a538d3abed7823f8a2dbc983</x:v>
      </x:c>
      <x:c r="E131" s="24" t="str">
        <x:v>Complementaria</x:v>
      </x:c>
      <x:c r="F131" s="24" t="str">
        <x:v>Evidencia operativa / aceptación / ejecución</x:v>
      </x:c>
      <x:c r="G131" s="24" t="str">
        <x:v>Histórico o vigente según ruta</x:v>
      </x:c>
    </x:row>
    <x:row r="132">
      <x:c r="A132" s="24" t="str">
        <x:v>Documentation/10_Development_Records/Sprint_15/QA/S15_Validation_Checklist.md</x:v>
      </x:c>
      <x:c r="B132" s="24" t="str">
        <x:v>Registro QA Markdown</x:v>
      </x:c>
      <x:c r="C132" s="24" t="str">
        <x:v>Sprint_15</x:v>
      </x:c>
      <x:c r="D132" s="24" t="str">
        <x:v>8af2c23ba1b2ae2eba5aa79c54c4c1af474773eae4814e2a1fb124f3611eaaff</x:v>
      </x:c>
      <x:c r="E132" s="24" t="str">
        <x:v>Complementaria</x:v>
      </x:c>
      <x:c r="F132" s="24" t="str">
        <x:v>Evidencia operativa / aceptación / ejecución</x:v>
      </x:c>
      <x:c r="G132" s="24" t="str">
        <x:v>Histórico o vigente según ruta</x:v>
      </x:c>
    </x:row>
    <x:row r="133">
      <x:c r="A133" s="24" t="str">
        <x:v>Documentation/10_Development_Records/Sprint_16/Phase_1/QA/S16_P1_Acceptance_Matrix.md</x:v>
      </x:c>
      <x:c r="B133" s="24" t="str">
        <x:v>Registro QA Markdown</x:v>
      </x:c>
      <x:c r="C133" s="24" t="str">
        <x:v>Sprint_16</x:v>
      </x:c>
      <x:c r="D133" s="24" t="str">
        <x:v>d6d2ca42287be0fced9c3d9da09df5db9729442157035a9a711e0ddbb9d91337</x:v>
      </x:c>
      <x:c r="E133" s="24" t="str">
        <x:v>Complementaria</x:v>
      </x:c>
      <x:c r="F133" s="24" t="str">
        <x:v>Evidencia operativa / aceptación / ejecución</x:v>
      </x:c>
      <x:c r="G133" s="24" t="str">
        <x:v>Histórico o vigente según ruta</x:v>
      </x:c>
    </x:row>
    <x:row r="134">
      <x:c r="A134" s="24" t="str">
        <x:v>Documentation/10_Development_Records/Sprint_16/Phase_1/QA/S16_P1_QA_Execution_Record.md</x:v>
      </x:c>
      <x:c r="B134" s="24" t="str">
        <x:v>Registro QA Markdown</x:v>
      </x:c>
      <x:c r="C134" s="24" t="str">
        <x:v>Sprint_16</x:v>
      </x:c>
      <x:c r="D134" s="24" t="str">
        <x:v>a044ba4e7ebb4af622c74397e2a8f0ff6e59ad7e9c1bf89ddb62f5b06bcacec7</x:v>
      </x:c>
      <x:c r="E134" s="24" t="str">
        <x:v>Complementaria</x:v>
      </x:c>
      <x:c r="F134" s="24" t="str">
        <x:v>Evidencia operativa / aceptación / ejecución</x:v>
      </x:c>
      <x:c r="G134" s="24" t="str">
        <x:v>Histórico o vigente según ruta</x:v>
      </x:c>
    </x:row>
    <x:row r="135">
      <x:c r="A135" s="24" t="str">
        <x:v>Documentation/10_Development_Records/Sprint_16/Phase_1/QA/S16_P1_Test_Plan.md</x:v>
      </x:c>
      <x:c r="B135" s="24" t="str">
        <x:v>Registro QA Markdown</x:v>
      </x:c>
      <x:c r="C135" s="24" t="str">
        <x:v>Sprint_16</x:v>
      </x:c>
      <x:c r="D135" s="24" t="str">
        <x:v>ff35438f414f45a152e04532664e348d0fed9bae380c9dc70bf520af5c7c04c8</x:v>
      </x:c>
      <x:c r="E135" s="24" t="str">
        <x:v>Complementaria</x:v>
      </x:c>
      <x:c r="F135" s="24" t="str">
        <x:v>Evidencia operativa / aceptación / ejecución</x:v>
      </x:c>
      <x:c r="G135" s="24" t="str">
        <x:v>Histórico o vigente según ruta</x:v>
      </x:c>
    </x:row>
    <x:row r="136">
      <x:c r="A136" s="24" t="str">
        <x:v>Documentation/10_Development_Records/Sprint_16/Phase_1/QA/S16_P1_Validation_Checklist.md</x:v>
      </x:c>
      <x:c r="B136" s="24" t="str">
        <x:v>Registro QA Markdown</x:v>
      </x:c>
      <x:c r="C136" s="24" t="str">
        <x:v>Sprint_16</x:v>
      </x:c>
      <x:c r="D136" s="24" t="str">
        <x:v>ac85fc7fe9c1e905ca5ea2eb245aa016acf8c611b2a3fe1a10fb3d0740e0198b</x:v>
      </x:c>
      <x:c r="E136" s="24" t="str">
        <x:v>Complementaria</x:v>
      </x:c>
      <x:c r="F136" s="24" t="str">
        <x:v>Evidencia operativa / aceptación / ejecución</x:v>
      </x:c>
      <x:c r="G136" s="24" t="str">
        <x:v>Histórico o vigente según ruta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c1e5af6cbb14bf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26" hidden="0" customWidth="1"/>
    <x:col min="5" max="5" width="62" hidden="0" customWidth="1"/>
    <x:col min="6" max="6" width="22" hidden="0" customWidth="1"/>
    <x:col min="7" max="7" width="12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8" hidden="0" customHeight="1">
      <x:c r="A1" s="47" t="str">
        <x:v>Sprint17_Phase1 - cierre documental W0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/>
    <x:row r="3" ht="15" hidden="0" customHeight="1">
      <x:c r="A3" s="49" t="str">
        <x:v>Campo</x:v>
      </x:c>
      <x:c r="B3" s="49" t="str">
        <x:v>Valor</x:v>
      </x:c>
    </x:row>
    <x:row r="4" ht="15" hidden="0" customHeight="1">
      <x:c r="A4" s="50" t="str">
        <x:v>Fecha</x:v>
      </x:c>
      <x:c r="B4" s="51" t="n">
        <x:v>46210</x:v>
      </x:c>
    </x:row>
    <x:row r="5" ht="15" hidden="0" customHeight="1">
      <x:c r="A5" s="50" t="str">
        <x:v>Baseline</x:v>
      </x:c>
      <x:c r="B5" t="str">
        <x:v>main@efbc1a885a1d6819f764ec8cff8a465ad1986661</x:v>
      </x:c>
    </x:row>
    <x:row r="6" ht="15" hidden="0" customHeight="1">
      <x:c r="A6" s="50" t="str">
        <x:v>Versión aplicación</x:v>
      </x:c>
      <x:c r="B6" t="str">
        <x:v>0.0.21</x:v>
      </x:c>
    </x:row>
    <x:row r="7" ht="15" hidden="0" customHeight="1">
      <x:c r="A7" s="50" t="str">
        <x:v>W0</x:v>
      </x:c>
      <x:c r="B7" t="str">
        <x:v>COMPLETED / DOCUMENTAL PASS</x:v>
      </x:c>
    </x:row>
    <x:row r="8" ht="15" hidden="0" customHeight="1">
      <x:c r="A8" s="50" t="str">
        <x:v>Sprint17_Phase1</x:v>
      </x:c>
      <x:c r="B8" t="str">
        <x:v>BLOCKED / REMEDIATION REQUIRED</x:v>
      </x:c>
    </x:row>
    <x:row r="9" ht="15" hidden="0" customHeight="1">
      <x:c r="A9" s="50" t="str">
        <x:v>H6</x:v>
      </x:c>
      <x:c r="B9" t="str">
        <x:v>BLOCKED / NOT RUN</x:v>
      </x:c>
    </x:row>
    <x:row r="10" ht="15" hidden="0" customHeight="1">
      <x:c r="A10" s="50" t="str">
        <x:v>Vertical Slice</x:v>
      </x:c>
      <x:c r="B10" t="str">
        <x:v>NOT ACCEPTED</x:v>
      </x:c>
    </x:row>
    <x:row r="11"/>
    <x:row r="12" ht="15" hidden="0" customHeight="1">
      <x:c r="A12" s="52" t="str">
        <x:v>ADR</x:v>
      </x:c>
      <x:c r="B12" s="52" t="str">
        <x:v>DEC</x:v>
      </x:c>
      <x:c r="C12" s="52" t="str">
        <x:v>Título</x:v>
      </x:c>
      <x:c r="D12" s="52" t="str">
        <x:v>Área</x:v>
      </x:c>
      <x:c r="E12" s="52" t="str">
        <x:v>Decisión</x:v>
      </x:c>
      <x:c r="F12" s="52" t="str">
        <x:v>Caracterización</x:v>
      </x:c>
      <x:c r="G12" s="52" t="str">
        <x:v>Ola</x:v>
      </x:c>
    </x:row>
    <x:row r="13" ht="26.399999618530273" hidden="0" customHeight="1">
      <x:c r="A13" s="41" t="str">
        <x:v>ADR-0074</x:v>
      </x:c>
      <x:c r="B13" s="41" t="str">
        <x:v>DEC-01</x:v>
      </x:c>
      <x:c r="C13" s="41" t="str">
        <x:v>Día H6 y velocidades</x:v>
      </x:c>
      <x:c r="D13" s="41" t="str">
        <x:v>Tiempo / UX</x:v>
      </x:c>
      <x:c r="E13" s="41" t="str">
        <x:v>Día H6 configurable de 300 s; velocidades x0,5, x1, x2 y x4; PauseService independiente.</x:v>
      </x:c>
      <x:c r="F13" s="41" t="str">
        <x:v>CHAR-TIM</x:v>
      </x:c>
      <x:c r="G13" s="41" t="str">
        <x:v>W1</x:v>
      </x:c>
    </x:row>
    <x:row r="14" ht="26.399999618530273" hidden="0" customHeight="1">
      <x:c r="A14" s="41" t="str">
        <x:v>ADR-0075</x:v>
      </x:c>
      <x:c r="B14" s="41" t="str">
        <x:v>DEC-02</x:v>
      </x:c>
      <x:c r="C14" s="41" t="str">
        <x:v>Autoridad temporal única</x:v>
      </x:c>
      <x:c r="D14" s="41" t="str">
        <x:v>Arquitectura / Tiempo</x:v>
      </x:c>
      <x:c r="E14" s="41" t="str">
        <x:v>SimulationClock / StoreDay es la única autoridad de tiempo de negocio; PauseService separado.</x:v>
      </x:c>
      <x:c r="F14" s="41" t="str">
        <x:v>CHAR-TIM</x:v>
      </x:c>
      <x:c r="G14" s="41" t="str">
        <x:v>W1</x:v>
      </x:c>
    </x:row>
    <x:row r="15" ht="26.399999618530273" hidden="0" customHeight="1">
      <x:c r="A15" s="41" t="str">
        <x:v>ADR-0076</x:v>
      </x:c>
      <x:c r="B15" s="41" t="str">
        <x:v>DEC-03</x:v>
      </x:c>
      <x:c r="C15" s="41" t="str">
        <x:v>Guardado manual seguro</x:v>
      </x:c>
      <x:c r="D15" s="41" t="str">
        <x:v>Persistencia / UX</x:v>
      </x:c>
      <x:c r="E15" s="41" t="str">
        <x:v>Guardado desde pausa solo en BeforeOpen, Closed o Results y sin mutaciones pendientes; mid-day exacto Post-H6.</x:v>
      </x:c>
      <x:c r="F15" s="41" t="str">
        <x:v>CHAR-SAV</x:v>
      </x:c>
      <x:c r="G15" s="41" t="str">
        <x:v>W5</x:v>
      </x:c>
    </x:row>
    <x:row r="16" ht="26.399999618530273" hidden="0" customHeight="1">
      <x:c r="A16" s="41" t="str">
        <x:v>ADR-0077</x:v>
      </x:c>
      <x:c r="B16" s="41" t="str">
        <x:v>DEC-04</x:v>
      </x:c>
      <x:c r="C16" s="41" t="str">
        <x:v>Checkout requerido para abrir</x:v>
      </x:c>
      <x:c r="D16" s="41" t="str">
        <x:v>Checkout / Día</x:v>
      </x:c>
      <x:c r="E16" s="41" t="str">
        <x:v>Checkout funcional obligatorio; no retirar el último durante Open; invalidación bloquea spawn y fuerza recuperación/cierre.</x:v>
      </x:c>
      <x:c r="F16" s="41" t="str">
        <x:v>CHAR-CUS</x:v>
      </x:c>
      <x:c r="G16" s="41" t="str">
        <x:v>W2</x:v>
      </x:c>
    </x:row>
    <x:row r="17" ht="26.399999618530273" hidden="0" customHeight="1">
      <x:c r="A17" s="41" t="str">
        <x:v>ADR-0078</x:v>
      </x:c>
      <x:c r="B17" s="41" t="str">
        <x:v>DEC-05</x:v>
      </x:c>
      <x:c r="C17" s="41" t="str">
        <x:v>Máximo de clientes H6</x:v>
      </x:c>
      <x:c r="D17" s="41" t="str">
        <x:v>Clientes / Rendimiento</x:v>
      </x:c>
      <x:c r="E17" s="41" t="str">
        <x:v>Máximo configurable de 8 clientes activos; activo significa estado distinto de Despawned.</x:v>
      </x:c>
      <x:c r="F17" s="41" t="str">
        <x:v>CHAR-CUS</x:v>
      </x:c>
      <x:c r="G17" s="41" t="str">
        <x:v>W2</x:v>
      </x:c>
    </x:row>
    <x:row r="18" ht="26.399999618530273" hidden="0" customHeight="1">
      <x:c r="A18" s="41" t="str">
        <x:v>ADR-0079</x:v>
      </x:c>
      <x:c r="B18" s="41" t="str">
        <x:v>DEC-06</x:v>
      </x:c>
      <x:c r="C18" s="41" t="str">
        <x:v>Reserva y coste de recepción</x:v>
      </x:c>
      <x:c r="D18" s="41" t="str">
        <x:v>Pedidos / Economía</x:v>
      </x:c>
      <x:c r="E18" s="41" t="str">
        <x:v>Solicitud reserva fondos; recepción descuenta caja, registra SupplierReceivingCost y añade stock exactamente una vez.</x:v>
      </x:c>
      <x:c r="F18" s="41" t="str">
        <x:v>CHAR-ODR</x:v>
      </x:c>
      <x:c r="G18" s="41" t="str">
        <x:v>W3</x:v>
      </x:c>
    </x:row>
    <x:row r="19" ht="26.399999618530273" hidden="0" customHeight="1">
      <x:c r="A19" s="41" t="str">
        <x:v>ADR-0080</x:v>
      </x:c>
      <x:c r="B19" s="41" t="str">
        <x:v>DEC-07</x:v>
      </x:c>
      <x:c r="C19" s="41" t="str">
        <x:v>Process All atómico</x:v>
      </x:c>
      <x:c r="D19" s="41" t="str">
        <x:v>Pedidos / Economía</x:v>
      </x:c>
      <x:c r="E19" s="41" t="str">
        <x:v>Process All es todo-o-nada, reserva el total, crea un DeliveryRun y mantiene órdenes independientes.</x:v>
      </x:c>
      <x:c r="F19" s="41" t="str">
        <x:v>CHAR-ODR</x:v>
      </x:c>
      <x:c r="G19" s="41" t="str">
        <x:v>W3</x:v>
      </x:c>
    </x:row>
    <x:row r="20" ht="26.399999618530273" hidden="0" customHeight="1">
      <x:c r="A20" s="41" t="str">
        <x:v>ADR-0081</x:v>
      </x:c>
      <x:c r="B20" s="41" t="str">
        <x:v>DEC-08</x:v>
      </x:c>
      <x:c r="C20" s="41" t="str">
        <x:v>Displays monoproducto H6</x:v>
      </x:c>
      <x:c r="D20" s="41" t="str">
        <x:v>Displays / Inventario</x:v>
      </x:c>
      <x:c r="E20" s="41" t="str">
        <x:v>Displays monoproducto hasta H6; cantidades, retirada, retorno y clear-empty obligatorios; multiproducto Post-H6.</x:v>
      </x:c>
      <x:c r="F20" s="41" t="str">
        <x:v>CHAR-DSP</x:v>
      </x:c>
      <x:c r="G20" s="41" t="str">
        <x:v>W4</x:v>
      </x:c>
    </x:row>
    <x:row r="21" ht="26.399999618530273" hidden="0" customHeight="1">
      <x:c r="A21" s="41" t="str">
        <x:v>ADR-0082</x:v>
      </x:c>
      <x:c r="B21" s="41" t="str">
        <x:v>DEC-09</x:v>
      </x:c>
      <x:c r="C21" s="41" t="str">
        <x:v>Histórico de Management</x:v>
      </x:c>
      <x:c r="D21" s="41" t="str">
        <x:v>Management / Datos</x:v>
      </x:c>
      <x:c r="E21" s="41" t="str">
        <x:v>Día actual + dos completados con detalle; DailySummary individual para días anteriores y acumulados lifetime.</x:v>
      </x:c>
      <x:c r="F21" s="41" t="str">
        <x:v>CHAR-MGT</x:v>
      </x:c>
      <x:c r="G21" s="41" t="str">
        <x:v>W6</x:v>
      </x:c>
    </x:row>
    <x:row r="22" ht="26.399999618530273" hidden="0" customHeight="1">
      <x:c r="A22" s="41" t="str">
        <x:v>ADR-0083</x:v>
      </x:c>
      <x:c r="B22" s="41" t="str">
        <x:v>DEC-10</x:v>
      </x:c>
      <x:c r="C22" s="41" t="str">
        <x:v>Impuesto semanal H6</x:v>
      </x:c>
      <x:c r="D22" s="41" t="str">
        <x:v>Economía / Ledger</x:v>
      </x:c>
      <x:c r="E22" s="41" t="str">
        <x:v>Al cierre del día 7: 10 % de max(0, resultado bruto técnico semanal), exactamente una vez; costes fijos Post-H6.</x:v>
      </x:c>
      <x:c r="F22" s="41" t="str">
        <x:v>CHAR-ODR</x:v>
      </x:c>
      <x:c r="G22" s="41" t="str">
        <x:v>W3</x:v>
      </x:c>
    </x:row>
    <x:row r="23" ht="26.399999618530273" hidden="0" customHeight="1">
      <x:c r="A23" s="41" t="str">
        <x:v>ADR-0084</x:v>
      </x:c>
      <x:c r="B23" s="41" t="str">
        <x:v>DEC-11</x:v>
      </x:c>
      <x:c r="C23" s="41" t="str">
        <x:v>Wall occlusion desactivada</x:v>
      </x:c>
      <x:c r="D23" s="41" t="str">
        <x:v>Cámara / Settings</x:v>
      </x:c>
      <x:c r="E23" s="41" t="str">
        <x:v>Feature flag prioritaria false; toggle oculto; valores antiguos migrados o ignorados; regresión de cámara.</x:v>
      </x:c>
      <x:c r="F23" s="41" t="str">
        <x:v>CHAR-ART</x:v>
      </x:c>
      <x:c r="G23" s="41" t="str">
        <x:v>W7</x:v>
      </x:c>
    </x:row>
    <x:row r="24" ht="26.399999618530273" hidden="0" customHeight="1">
      <x:c r="A24" s="41" t="str">
        <x:v>ADR-0085</x:v>
      </x:c>
      <x:c r="B24" s="41" t="str">
        <x:v>DEC-12</x:v>
      </x:c>
      <x:c r="C24" s="41" t="str">
        <x:v>Pivotes y GroundAnchor</x:v>
      </x:c>
      <x:c r="D24" s="41" t="str">
        <x:v>Arte / Placement</x:v>
      </x:c>
      <x:c r="E24" s="41" t="str">
        <x:v>Contrato base-centro con wrapper o GroundAnchor y migración/compensación única; preservar escenas y saves.</x:v>
      </x:c>
      <x:c r="F24" s="41" t="str">
        <x:v>CHAR-ART</x:v>
      </x:c>
      <x:c r="G24" s="41" t="str">
        <x:v>W7</x:v>
      </x:c>
    </x:row>
    <x:row r="25"/>
    <x:row r="26"/>
    <x:row r="27" ht="15" hidden="0" customHeight="1">
      <x:c r="A27" s="52" t="str">
        <x:v>Grupo</x:v>
      </x:c>
      <x:c r="B27" s="52" t="str">
        <x:v>IDs</x:v>
      </x:c>
      <x:c r="C27" s="52" t="str">
        <x:v>Ola</x:v>
      </x:c>
      <x:c r="D27" s="52" t="str">
        <x:v>Cobertura</x:v>
      </x:c>
      <x:c r="E27" s="52" t="str">
        <x:v>Estado</x:v>
      </x:c>
      <x:c r="F27" s="52" t="str">
        <x:v>Ejecución</x:v>
      </x:c>
      <x:c r="G27" s="52" t="str">
        <x:v>Bloquea H6</x:v>
      </x:c>
      <x:c r="H27" s="52" t="str">
        <x:v>Nota</x:v>
      </x:c>
    </x:row>
    <x:row r="28" ht="26.399999618530273" hidden="0" customHeight="1">
      <x:c r="A28" s="41" t="str">
        <x:v>Tiempo y pausa</x:v>
      </x:c>
      <x:c r="B28" s="41" t="str">
        <x:v>CHAR-TIM-001…008</x:v>
      </x:c>
      <x:c r="C28" s="41" t="str">
        <x:v>W1</x:v>
      </x:c>
      <x:c r="D28" s="41" t="str">
        <x:v>clock, velocidades, pausa, HUD, transiciones, persistencia</x:v>
      </x:c>
      <x:c r="E28" s="41" t="str">
        <x:v>DEFINED</x:v>
      </x:c>
      <x:c r="F28" s="41" t="str">
        <x:v>NOT RUN</x:v>
      </x:c>
      <x:c r="G28" s="41" t="str">
        <x:v>Sí</x:v>
      </x:c>
      <x:c r="H28" s="41" t="str">
        <x:v>Ejecutar antes de W1</x:v>
      </x:c>
    </x:row>
    <x:row r="29" ht="26.399999618530273" hidden="0" customHeight="1">
      <x:c r="A29" s="41" t="str">
        <x:v>Clientes y checkout</x:v>
      </x:c>
      <x:c r="B29" s="41" t="str">
        <x:v>CHAR-CUS-001…009</x:v>
      </x:c>
      <x:c r="C29" s="41" t="str">
        <x:v>W2</x:v>
      </x:c>
      <x:c r="D29" s="41" t="str">
        <x:v>checkout, ocho activos, cierre, recuperación</x:v>
      </x:c>
      <x:c r="E29" s="41" t="str">
        <x:v>DEFINED</x:v>
      </x:c>
      <x:c r="F29" s="41" t="str">
        <x:v>NOT RUN</x:v>
      </x:c>
      <x:c r="G29" s="41" t="str">
        <x:v>Sí</x:v>
      </x:c>
      <x:c r="H29" s="41" t="str">
        <x:v>Ejecutar antes de W2</x:v>
      </x:c>
    </x:row>
    <x:row r="30" ht="26.399999618530273" hidden="0" customHeight="1">
      <x:c r="A30" s="41" t="str">
        <x:v>Pedidos y economía</x:v>
      </x:c>
      <x:c r="B30" s="41" t="str">
        <x:v>CHAR-ODR-001…010</x:v>
      </x:c>
      <x:c r="C30" s="41" t="str">
        <x:v>W3</x:v>
      </x:c>
      <x:c r="D30" s="41" t="str">
        <x:v>reservas, receipt, Process All, impuesto</x:v>
      </x:c>
      <x:c r="E30" s="41" t="str">
        <x:v>DEFINED</x:v>
      </x:c>
      <x:c r="F30" s="41" t="str">
        <x:v>NOT RUN</x:v>
      </x:c>
      <x:c r="G30" s="41" t="str">
        <x:v>Sí</x:v>
      </x:c>
      <x:c r="H30" s="41" t="str">
        <x:v>Ejecutar antes de W3</x:v>
      </x:c>
    </x:row>
    <x:row r="31" ht="26.399999618530273" hidden="0" customHeight="1">
      <x:c r="A31" s="41" t="str">
        <x:v>Displays</x:v>
      </x:c>
      <x:c r="B31" s="41" t="str">
        <x:v>CHAR-DSP-001…006</x:v>
      </x:c>
      <x:c r="C31" s="41" t="str">
        <x:v>W4</x:v>
      </x:c>
      <x:c r="D31" s="41" t="str">
        <x:v>monoproducto, cantidad, retorno, clear-empty</x:v>
      </x:c>
      <x:c r="E31" s="41" t="str">
        <x:v>DEFINED</x:v>
      </x:c>
      <x:c r="F31" s="41" t="str">
        <x:v>NOT RUN</x:v>
      </x:c>
      <x:c r="G31" s="41" t="str">
        <x:v>Sí</x:v>
      </x:c>
      <x:c r="H31" s="41" t="str">
        <x:v>Ejecutar antes de W4</x:v>
      </x:c>
    </x:row>
    <x:row r="32" ht="26.399999618530273" hidden="0" customHeight="1">
      <x:c r="A32" s="41" t="str">
        <x:v>Guardado</x:v>
      </x:c>
      <x:c r="B32" s="41" t="str">
        <x:v>CHAR-SAV-001…008</x:v>
      </x:c>
      <x:c r="C32" s="41" t="str">
        <x:v>W5</x:v>
      </x:c>
      <x:c r="D32" s="41" t="str">
        <x:v>estados seguros, mutaciones, recovery, idempotencia</x:v>
      </x:c>
      <x:c r="E32" s="41" t="str">
        <x:v>DEFINED</x:v>
      </x:c>
      <x:c r="F32" s="41" t="str">
        <x:v>NOT RUN</x:v>
      </x:c>
      <x:c r="G32" s="41" t="str">
        <x:v>Sí</x:v>
      </x:c>
      <x:c r="H32" s="41" t="str">
        <x:v>Ejecutar antes de W5</x:v>
      </x:c>
    </x:row>
    <x:row r="33" ht="26.399999618530273" hidden="0" customHeight="1">
      <x:c r="A33" s="41" t="str">
        <x:v>Management</x:v>
      </x:c>
      <x:c r="B33" s="41" t="str">
        <x:v>CHAR-MGT-001…008</x:v>
      </x:c>
      <x:c r="C33" s="41" t="str">
        <x:v>W6</x:v>
      </x:c>
      <x:c r="D33" s="41" t="str">
        <x:v>detalle reciente, summaries, lifetime, ES/EN, resolución</x:v>
      </x:c>
      <x:c r="E33" s="41" t="str">
        <x:v>DEFINED</x:v>
      </x:c>
      <x:c r="F33" s="41" t="str">
        <x:v>NOT RUN</x:v>
      </x:c>
      <x:c r="G33" s="41" t="str">
        <x:v>Sí</x:v>
      </x:c>
      <x:c r="H33" s="41" t="str">
        <x:v>Ejecutar antes de W6</x:v>
      </x:c>
    </x:row>
    <x:row r="34" ht="26.399999618530273" hidden="0" customHeight="1">
      <x:c r="A34" s="41" t="str">
        <x:v>Autoría y settings</x:v>
      </x:c>
      <x:c r="B34" s="41" t="str">
        <x:v>CHAR-ART-001…007</x:v>
      </x:c>
      <x:c r="C34" s="41" t="str">
        <x:v>W7</x:v>
      </x:c>
      <x:c r="D34" s="41" t="str">
        <x:v>occlusion, preferences, pivotes, GroundAnchor, saves</x:v>
      </x:c>
      <x:c r="E34" s="41" t="str">
        <x:v>DEFINED</x:v>
      </x:c>
      <x:c r="F34" s="41" t="str">
        <x:v>NOT RUN</x:v>
      </x:c>
      <x:c r="G34" s="41" t="str">
        <x:v>Sí</x:v>
      </x:c>
      <x:c r="H34" s="41" t="str">
        <x:v>Ejecutar antes de W7</x:v>
      </x:c>
    </x:row>
    <x:row r="35" ht="26.399999618530273" hidden="0" customHeight="1">
      <x:c r="A35" s="41" t="str">
        <x:v>Regresión integral</x:v>
      </x:c>
      <x:c r="B35" s="41" t="str">
        <x:v>CHAR-REG-001…010</x:v>
      </x:c>
      <x:c r="C35" s="41" t="str">
        <x:v>W8</x:v>
      </x:c>
      <x:c r="D35" s="41" t="str">
        <x:v>siete días, build, logs, save/reload, reconciliación</x:v>
      </x:c>
      <x:c r="E35" s="41" t="str">
        <x:v>DEFINED</x:v>
      </x:c>
      <x:c r="F35" s="41" t="str">
        <x:v>NOT RUN</x:v>
      </x:c>
      <x:c r="G35" s="41" t="str">
        <x:v>Sí</x:v>
      </x:c>
      <x:c r="H35" s="41" t="str">
        <x:v>Solo tras W1-W7</x:v>
      </x:c>
    </x:row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K1"/>
  </x:mergeCells>
  <x:pageMargins left="0.7" right="0.7" top="0.75" bottom="0.75" header="0.3" footer="0.3"/>
</x:worksheet>
</file>