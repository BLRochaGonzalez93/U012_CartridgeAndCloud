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8d258f90a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765d3dc386ba4047"/>
    <x:sheet xmlns:r="http://schemas.openxmlformats.org/officeDocument/2006/relationships" name="01_Dashboard" sheetId="2" r:id="Rbfc110b953af4a1e"/>
    <x:sheet xmlns:r="http://schemas.openxmlformats.org/officeDocument/2006/relationships" name="02_Productos_Canonicos" sheetId="3" r:id="R4d88b3a9f2694183"/>
    <x:sheet xmlns:r="http://schemas.openxmlformats.org/officeDocument/2006/relationships" name="03_Productos_Tecnicos" sheetId="4" r:id="Rd890c79a5f48433e"/>
    <x:sheet xmlns:r="http://schemas.openxmlformats.org/officeDocument/2006/relationships" name="04_Mapeo_Productos" sheetId="5" r:id="R24182c32aae74088"/>
    <x:sheet xmlns:r="http://schemas.openxmlformats.org/officeDocument/2006/relationships" name="05_Mobiliario" sheetId="6" r:id="R811bdc08abd242fb"/>
    <x:sheet xmlns:r="http://schemas.openxmlformats.org/officeDocument/2006/relationships" name="06_Arquitectura" sheetId="7" r:id="R2b30726c61a9420f"/>
    <x:sheet xmlns:r="http://schemas.openxmlformats.org/officeDocument/2006/relationships" name="07_Personajes" sheetId="8" r:id="R2a35f89951434ed6"/>
    <x:sheet xmlns:r="http://schemas.openxmlformats.org/officeDocument/2006/relationships" name="08_Proveedores" sheetId="9" r:id="R5f6f86a365254a70"/>
    <x:sheet xmlns:r="http://schemas.openxmlformats.org/officeDocument/2006/relationships" name="09_Packaging_Marcas" sheetId="10" r:id="R8f63cb9ae414474e"/>
    <x:sheet xmlns:r="http://schemas.openxmlformats.org/officeDocument/2006/relationships" name="10_UI_Iconos_Fuentes" sheetId="11" r:id="Rcbc59c60c4a84d7e"/>
    <x:sheet xmlns:r="http://schemas.openxmlformats.org/officeDocument/2006/relationships" name="11_Audio" sheetId="12" r:id="R3e16742b1d9a4e67"/>
    <x:sheet xmlns:r="http://schemas.openxmlformats.org/officeDocument/2006/relationships" name="12_VFX_Animacion" sheetId="13" r:id="R69c67cdd83324f4f"/>
    <x:sheet xmlns:r="http://schemas.openxmlformats.org/officeDocument/2006/relationships" name="13_Materiales_Texturas" sheetId="14" r:id="Ra59ec560726d4238"/>
    <x:sheet xmlns:r="http://schemas.openxmlformats.org/officeDocument/2006/relationships" name="14_Prefabs" sheetId="15" r:id="Rf429ddc254cf4929"/>
    <x:sheet xmlns:r="http://schemas.openxmlformats.org/officeDocument/2006/relationships" name="15_Escenas_Zonas" sheetId="16" r:id="Ra4aed3addd644e0f"/>
    <x:sheet xmlns:r="http://schemas.openxmlformats.org/officeDocument/2006/relationships" name="16_Economia_Balance" sheetId="17" r:id="Rb76479d2d2bc4246"/>
    <x:sheet xmlns:r="http://schemas.openxmlformats.org/officeDocument/2006/relationships" name="17_Localizacion" sheetId="18" r:id="R27418e1d7e4e4f16"/>
    <x:sheet xmlns:r="http://schemas.openxmlformats.org/officeDocument/2006/relationships" name="18_Licencias_Procedencia" sheetId="19" r:id="R6d670d85fdbf4761"/>
    <x:sheet xmlns:r="http://schemas.openxmlformats.org/officeDocument/2006/relationships" name="19_QA_Evidencia" sheetId="20" r:id="Rdf119cad799b4b09"/>
    <x:sheet xmlns:r="http://schemas.openxmlformats.org/officeDocument/2006/relationships" name="20_Deuda_Placeholders" sheetId="21" r:id="R5b60229f8221480e"/>
    <x:sheet xmlns:r="http://schemas.openxmlformats.org/officeDocument/2006/relationships" name="21_Roadmap_Contenido" sheetId="22" r:id="Rd6f554d83a0c49ae"/>
    <x:sheet xmlns:r="http://schemas.openxmlformats.org/officeDocument/2006/relationships" name="22_Catalogos_Controlados" sheetId="23" r:id="R5c286770e5c24342"/>
    <x:sheet xmlns:r="http://schemas.openxmlformats.org/officeDocument/2006/relationships" name="23_Fuentes_Historicas" sheetId="24" r:id="R5c9037e197dd4c63"/>
    <x:sheet xmlns:r="http://schemas.openxmlformats.org/officeDocument/2006/relationships" name="24_Trazabilidad" sheetId="25" r:id="R5ba6e09568944742"/>
    <x:sheet xmlns:r="http://schemas.openxmlformats.org/officeDocument/2006/relationships" name="25_Integracion_00_34" sheetId="26" r:id="R79810c56f0ed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 #,##0.00"/>
    <x:numFmt numFmtId="201" formatCode="0.0%"/>
    <x:numFmt numFmtId="202" formatCode="0.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FFFFFF"/>
      <x:name val="Carlito"/>
    </x:font>
    <x:font>
      <x:b/>
      <x:sz val="10"/>
      <x:color rgb="FFFFFFFF"/>
      <x:name val="Carlito"/>
    </x:font>
    <x:font>
      <x:sz val="9"/>
      <x:color rgb="FF17201E"/>
      <x:name val="Carlito"/>
    </x:font>
    <x:font>
      <x:b/>
      <x:sz val="11"/>
      <x:color rgb="FF17352D"/>
      <x:name val="Carlito"/>
    </x:font>
    <x:font>
      <x:b/>
      <x:sz val="14"/>
      <x:color rgb="FF17352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  <x:font>
      <x:i/>
      <x:sz val="10"/>
      <x:color rgb="FF153F3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D1412"/>
      </x:patternFill>
    </x:fill>
    <x:fill>
      <x:patternFill patternType="solid">
        <x:fgColor rgb="FF17352D"/>
      </x:patternFill>
    </x:fill>
    <x:fill>
      <x:patternFill patternType="solid">
        <x:fgColor rgb="FFDDF8E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53F32"/>
      </x:patternFill>
    </x:fill>
    <x:fill>
      <x:patternFill patternType="solid">
        <x:fgColor rgb="FFD9F0E7"/>
      </x:patternFill>
    </x:fill>
  </x:fills>
  <x:borders count="10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201" fontId="6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left" wrapText="1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07"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8c5d0e6254c7c" /><Relationship Type="http://schemas.openxmlformats.org/officeDocument/2006/relationships/theme" Target="/xl/theme/theme1.xml" Id="R72b2c0eeb3e64b51" /><Relationship Type="http://schemas.microsoft.com/office/2022/11/relationships/FeaturePropertyBag" Target="/xl/featurePropertyBag/featurePropertyBag.xml" Id="R6524eeb243cc4bb1" /><Relationship Type="http://schemas.openxmlformats.org/officeDocument/2006/relationships/sharedStrings" Target="/xl/sharedStrings.xml" Id="R40712eefe18c46ac" /><Relationship Type="http://schemas.openxmlformats.org/officeDocument/2006/relationships/worksheet" Target="/xl/worksheets/sheet1.xml" Id="R765d3dc386ba4047" /><Relationship Type="http://schemas.openxmlformats.org/officeDocument/2006/relationships/worksheet" Target="/xl/worksheets/sheet2.xml" Id="Rbfc110b953af4a1e" /><Relationship Type="http://schemas.openxmlformats.org/officeDocument/2006/relationships/worksheet" Target="/xl/worksheets/sheet3.xml" Id="R4d88b3a9f2694183" /><Relationship Type="http://schemas.openxmlformats.org/officeDocument/2006/relationships/worksheet" Target="/xl/worksheets/sheet4.xml" Id="Rd890c79a5f48433e" /><Relationship Type="http://schemas.openxmlformats.org/officeDocument/2006/relationships/worksheet" Target="/xl/worksheets/sheet5.xml" Id="R24182c32aae74088" /><Relationship Type="http://schemas.openxmlformats.org/officeDocument/2006/relationships/worksheet" Target="/xl/worksheets/sheet6.xml" Id="R811bdc08abd242fb" /><Relationship Type="http://schemas.openxmlformats.org/officeDocument/2006/relationships/worksheet" Target="/xl/worksheets/sheet7.xml" Id="R2b30726c61a9420f" /><Relationship Type="http://schemas.openxmlformats.org/officeDocument/2006/relationships/worksheet" Target="/xl/worksheets/sheet8.xml" Id="R2a35f89951434ed6" /><Relationship Type="http://schemas.openxmlformats.org/officeDocument/2006/relationships/worksheet" Target="/xl/worksheets/sheet9.xml" Id="R5f6f86a365254a70" /><Relationship Type="http://schemas.openxmlformats.org/officeDocument/2006/relationships/worksheet" Target="/xl/worksheets/sheet10.xml" Id="R8f63cb9ae414474e" /><Relationship Type="http://schemas.openxmlformats.org/officeDocument/2006/relationships/worksheet" Target="/xl/worksheets/sheet11.xml" Id="Rcbc59c60c4a84d7e" /><Relationship Type="http://schemas.openxmlformats.org/officeDocument/2006/relationships/worksheet" Target="/xl/worksheets/sheet12.xml" Id="R3e16742b1d9a4e67" /><Relationship Type="http://schemas.openxmlformats.org/officeDocument/2006/relationships/worksheet" Target="/xl/worksheets/sheet13.xml" Id="R69c67cdd83324f4f" /><Relationship Type="http://schemas.openxmlformats.org/officeDocument/2006/relationships/worksheet" Target="/xl/worksheets/sheet14.xml" Id="Ra59ec560726d4238" /><Relationship Type="http://schemas.openxmlformats.org/officeDocument/2006/relationships/worksheet" Target="/xl/worksheets/sheet15.xml" Id="Rf429ddc254cf4929" /><Relationship Type="http://schemas.openxmlformats.org/officeDocument/2006/relationships/worksheet" Target="/xl/worksheets/sheet16.xml" Id="Ra4aed3addd644e0f" /><Relationship Type="http://schemas.openxmlformats.org/officeDocument/2006/relationships/worksheet" Target="/xl/worksheets/sheet17.xml" Id="Rb76479d2d2bc4246" /><Relationship Type="http://schemas.openxmlformats.org/officeDocument/2006/relationships/worksheet" Target="/xl/worksheets/sheet18.xml" Id="R27418e1d7e4e4f16" /><Relationship Type="http://schemas.openxmlformats.org/officeDocument/2006/relationships/worksheet" Target="/xl/worksheets/sheet19.xml" Id="R6d670d85fdbf4761" /><Relationship Type="http://schemas.openxmlformats.org/officeDocument/2006/relationships/worksheet" Target="/xl/worksheets/sheet20.xml" Id="Rdf119cad799b4b09" /><Relationship Type="http://schemas.openxmlformats.org/officeDocument/2006/relationships/worksheet" Target="/xl/worksheets/sheet21.xml" Id="R5b60229f8221480e" /><Relationship Type="http://schemas.openxmlformats.org/officeDocument/2006/relationships/worksheet" Target="/xl/worksheets/sheet22.xml" Id="Rd6f554d83a0c49ae" /><Relationship Type="http://schemas.openxmlformats.org/officeDocument/2006/relationships/worksheet" Target="/xl/worksheets/sheet23.xml" Id="R5c286770e5c24342" /><Relationship Type="http://schemas.openxmlformats.org/officeDocument/2006/relationships/worksheet" Target="/xl/worksheets/sheet24.xml" Id="R5c9037e197dd4c63" /><Relationship Type="http://schemas.openxmlformats.org/officeDocument/2006/relationships/worksheet" Target="/xl/worksheets/sheet25.xml" Id="R5ba6e09568944742" /><Relationship Type="http://schemas.openxmlformats.org/officeDocument/2006/relationships/worksheet" Target="/xl/worksheets/sheet26.xml" Id="R79810c56f0ed4d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04a585ae954885" /><Relationship Type="http://schemas.openxmlformats.org/officeDocument/2006/relationships/chart" Target="/xl/drawings/charts/chart2.xml" Id="R8b2205af87f3405d" /><Relationship Type="http://schemas.openxmlformats.org/officeDocument/2006/relationships/chart" Target="/xl/drawings/charts/chart3.xml" Id="Re2fc506f65154dc9" /><Relationship Type="http://schemas.openxmlformats.org/officeDocument/2006/relationships/chart" Target="/xl/drawings/charts/chart4.xml" Id="R5b335dbd58cf4973" /><Relationship Type="http://schemas.openxmlformats.org/officeDocument/2006/relationships/chart" Target="/xl/drawings/charts/chart5.xml" Id="R414aa463aaf14b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Contenido por categoría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'01_Dashboard'!$A$22:$A$33</c:f>
              <c:strCache>
                <c:ptCount val="0"/>
              </c:strCache>
            </c:strRef>
          </c:cat>
          <c:val>
            <c:numRef>
              <c:f>'01_Dashboard'!$B$22:$B$33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QA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'01_Dashboard'!$D$22:$D$26</c:f>
              <c:strCache>
                <c:ptCount val="0"/>
              </c:strCache>
            </c:strRef>
          </c:cat>
          <c:val>
            <c:numRef>
              <c:f>'01_Dashboard'!$E$22:$E$26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Deuda por severidad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'01_Dashboard'!$G$22:$G$26</c:f>
              <c:strCache>
                <c:ptCount val="0"/>
              </c:strCache>
            </c:strRef>
          </c:cat>
          <c:val>
            <c:numRef>
              <c:f>'01_Dashboard'!$H$22:$H$26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de trazabilidad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'01_Dashboard'!$J$22:$J$27</c:f>
              <c:strCache>
                <c:ptCount val="0"/>
              </c:strCache>
            </c:strRef>
          </c:cat>
          <c:val>
            <c:numRef>
              <c:f>'01_Dashboard'!$K$22:$K$27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Roadmap de contenido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'01_Dashboard'!$A$37:$A$43</c:f>
              <c:strCache>
                <c:ptCount val="0"/>
              </c:strCache>
            </c:strRef>
          </c:cat>
          <c:val>
            <c:numRef>
              <c:f>'01_Dashboard'!$B$37:$B$43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04a585ae954885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2205af87f3405d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20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fc506f65154dc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8</xdr:col>
      <xdr:colOff>0</xdr:colOff>
      <xdr:row>60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335dbd58cf4973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4aa463aaf14bc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CanonicalProductsTable" displayName="CanonicalProductsTable" ref="A4:AC10" headerRowCount="1">
  <x:tableColumns count="29">
    <x:tableColumn id="1" name="Content ID"/>
    <x:tableColumn id="2" name="Product ID"/>
    <x:tableColumn id="3" name="Nombre"/>
    <x:tableColumn id="4" name="Tipo/Kind"/>
    <x:tableColumn id="5" name="Familia"/>
    <x:tableColumn id="6" name="Estado canónico"/>
    <x:tableColumn id="7" name="Implementación"/>
    <x:tableColumn id="8" name="Validación"/>
    <x:tableColumn id="9" name="Coste €"/>
    <x:tableColumn id="10" name="Precio €"/>
    <x:tableColumn id="11" name="Margen €"/>
    <x:tableColumn id="12" name="Margen %"/>
    <x:tableColumn id="13" name="Unidades/caja"/>
    <x:tableColumn id="14" name="Material ID"/>
    <x:tableColumn id="15" name="Label ID"/>
    <x:tableColumn id="16" name="Prefab"/>
    <x:tableColumn id="17" name="Prefab GUID"/>
    <x:tableColumn id="18" name="Icono"/>
    <x:tableColumn id="19" name="Icono GUID"/>
    <x:tableColumn id="20" name="Cover"/>
    <x:tableColumn id="21" name="Cover GUID"/>
    <x:tableColumn id="22" name="Catálogo runtime"/>
    <x:tableColumn id="23" name="Sprint"/>
    <x:tableColumn id="24" name="Hito"/>
    <x:tableColumn id="25" name="Requisito"/>
    <x:tableColumn id="26" name="Test/Evidencia"/>
    <x:tableColumn id="27" name="Licencia"/>
    <x:tableColumn id="28" name="Fuente histórica"/>
    <x:tableColumn id="29" name="Notas"/>
  </x:tableColumns>
  <x:tableStyleInfo name="TableStyleMedium2" showRowStripes="1"/>
</x:table>
</file>

<file path=xl/tables/table2.xml><?xml version="1.0" encoding="utf-8"?>
<x:table xmlns:x="http://schemas.openxmlformats.org/spreadsheetml/2006/main" id="3" name="TechnicalProductsTable" displayName="TechnicalProductsTable" ref="A4:U10" headerRowCount="1">
  <x:tableColumns count="21">
    <x:tableColumn id="1" name="Content ID"/>
    <x:tableColumn id="2" name="Product ID"/>
    <x:tableColumn id="3" name="Display key"/>
    <x:tableColumn id="4" name="Categoría"/>
    <x:tableColumn id="5" name="Tags"/>
    <x:tableColumn id="6" name="Estado canónico"/>
    <x:tableColumn id="7" name="Implementación"/>
    <x:tableColumn id="8" name="Validación"/>
    <x:tableColumn id="9" name="Precio venta €"/>
    <x:tableColumn id="10" name="Mejor coste €"/>
    <x:tableColumn id="11" name="Margen teórico €"/>
    <x:tableColumn id="12" name="Proveedores"/>
    <x:tableColumn id="13" name="Asset"/>
    <x:tableColumn id="14" name="GUID"/>
    <x:tableColumn id="15" name="Icono"/>
    <x:tableColumn id="16" name="Prefab"/>
    <x:tableColumn id="17" name="Sprint origen"/>
    <x:tableColumn id="18" name="Requisito"/>
    <x:tableColumn id="19" name="Fuente histórica"/>
    <x:tableColumn id="20" name="Migración requerida"/>
    <x:tableColumn id="21" name="Notas"/>
  </x:tableColumns>
  <x:tableStyleInfo name="TableStyleMedium2" showRowStripes="1"/>
</x:table>
</file>

<file path=xl/tables/table3.xml><?xml version="1.0" encoding="utf-8"?>
<x:table xmlns:x="http://schemas.openxmlformats.org/spreadsheetml/2006/main" id="4" name="ProductMappingTable" displayName="ProductMappingTable" ref="A4:N11" headerRowCount="1">
  <x:tableColumns count="14">
    <x:tableColumn id="1" name="Mapping ID"/>
    <x:tableColumn id="2" name="Canonical ID"/>
    <x:tableColumn id="3" name="Technical ID"/>
    <x:tableColumn id="4" name="Relación"/>
    <x:tableColumn id="5" name="Estado"/>
    <x:tableColumn id="6" name="Alias autorizado"/>
    <x:tableColumn id="7" name="Migración save"/>
    <x:tableColumn id="8" name="Catálogo origen"/>
    <x:tableColumn id="9" name="Catálogo destino"/>
    <x:tableColumn id="10" name="Owner"/>
    <x:tableColumn id="11" name="Sprint objetivo"/>
    <x:tableColumn id="12" name="Gate"/>
    <x:tableColumn id="13" name="Criterio de cierre"/>
    <x:tableColumn id="14" name="Notas"/>
  </x:tableColumns>
  <x:tableStyleInfo name="TableStyleMedium2" showRowStripes="1"/>
</x:table>
</file>

<file path=xl/tables/table4.xml><?xml version="1.0" encoding="utf-8"?>
<x:table xmlns:x="http://schemas.openxmlformats.org/spreadsheetml/2006/main" id="5" name="FurnitureContentTable" displayName="FurnitureContentTable" ref="A4:W15" headerRowCount="1">
  <x:tableColumns count="23">
    <x:tableColumn id="1" name="Content ID"/>
    <x:tableColumn id="2" name="Furniture ID"/>
    <x:tableColumn id="3" name="Nombre"/>
    <x:tableColumn id="4" name="Kind"/>
    <x:tableColumn id="5" name="Estado canónico"/>
    <x:tableColumn id="6" name="Implementación"/>
    <x:tableColumn id="7" name="Validación"/>
    <x:tableColumn id="8" name="Ancho celdas"/>
    <x:tableColumn id="9" name="Profundidad celdas"/>
    <x:tableColumn id="10" name="Altura m"/>
    <x:tableColumn id="11" name="Capacidad"/>
    <x:tableColumn id="12" name="Coste €"/>
    <x:tableColumn id="13" name="Interactivo"/>
    <x:tableColumn id="14" name="Comprable"/>
    <x:tableColumn id="15" name="Soporta productos"/>
    <x:tableColumn id="16" name="Material ID"/>
    <x:tableColumn id="17" name="Prefab"/>
    <x:tableColumn id="18" name="GUID"/>
    <x:tableColumn id="19" name="Sprint"/>
    <x:tableColumn id="20" name="Requisito"/>
    <x:tableColumn id="21" name="Licencia"/>
    <x:tableColumn id="22" name="Deuda"/>
    <x:tableColumn id="23" name="Notas"/>
  </x:tableColumns>
  <x:tableStyleInfo name="TableStyleMedium2" showRowStripes="1"/>
</x:table>
</file>

<file path=xl/tables/table5.xml><?xml version="1.0" encoding="utf-8"?>
<x:table xmlns:x="http://schemas.openxmlformats.org/spreadsheetml/2006/main" id="6" name="ArchitectureContentTable" displayName="ArchitectureContentTable" ref="A4:U28" headerRowCount="1">
  <x:tableColumns count="21">
    <x:tableColumn id="1" name="Content ID"/>
    <x:tableColumn id="2" name="Nombre"/>
    <x:tableColumn id="3" name="Familia"/>
    <x:tableColumn id="4" name="Tipo"/>
    <x:tableColumn id="5" name="Estado canónico"/>
    <x:tableColumn id="6" name="Implementación"/>
    <x:tableColumn id="7" name="Validación"/>
    <x:tableColumn id="8" name="Ruta"/>
    <x:tableColumn id="9" name="GUID"/>
    <x:tableColumn id="10" name="Tamaño KiB"/>
    <x:tableColumn id="11" name="Escena objetivo"/>
    <x:tableColumn id="12" name="Fijo/Dinámico"/>
    <x:tableColumn id="13" name="Collider"/>
    <x:tableColumn id="14" name="NavMesh"/>
    <x:tableColumn id="15" name="Material"/>
    <x:tableColumn id="16" name="Sprint"/>
    <x:tableColumn id="17" name="Requisito"/>
    <x:tableColumn id="18" name="Licencia"/>
    <x:tableColumn id="19" name="Evidencia"/>
    <x:tableColumn id="20" name="Deuda"/>
    <x:tableColumn id="21" name="Notas"/>
  </x:tableColumns>
  <x:tableStyleInfo name="TableStyleMedium2" showRowStripes="1"/>
</x:table>
</file>

<file path=xl/tables/table6.xml><?xml version="1.0" encoding="utf-8"?>
<x:table xmlns:x="http://schemas.openxmlformats.org/spreadsheetml/2006/main" id="7" name="CharacterContentTable" displayName="CharacterContentTable" ref="A4:T19" headerRowCount="1">
  <x:tableColumns count="20">
    <x:tableColumn id="1" name="Content ID"/>
    <x:tableColumn id="2" name="ID/Perfil"/>
    <x:tableColumn id="3" name="Nombre"/>
    <x:tableColumn id="4" name="Tipo"/>
    <x:tableColumn id="5" name="Familia"/>
    <x:tableColumn id="6" name="Estado canónico"/>
    <x:tableColumn id="7" name="Implementación"/>
    <x:tableColumn id="8" name="Validación"/>
    <x:tableColumn id="9" name="Paleta/Uniforme"/>
    <x:tableColumn id="10" name="Diversidad"/>
    <x:tableColumn id="11" name="Animación"/>
    <x:tableColumn id="12" name="Prefab/Asset"/>
    <x:tableColumn id="13" name="GUID"/>
    <x:tableColumn id="14" name="Catálogo"/>
    <x:tableColumn id="15" name="Sprint"/>
    <x:tableColumn id="16" name="Requisito"/>
    <x:tableColumn id="17" name="Licencia"/>
    <x:tableColumn id="18" name="Placeholder"/>
    <x:tableColumn id="19" name="Sustituto previsto"/>
    <x:tableColumn id="20" name="Notas"/>
  </x:tableColumns>
  <x:tableStyleInfo name="TableStyleMedium2" showRowStripes="1"/>
</x:table>
</file>

<file path=xl/tables/table7.xml><?xml version="1.0" encoding="utf-8"?>
<x:table xmlns:x="http://schemas.openxmlformats.org/spreadsheetml/2006/main" id="8" name="SupplierContentTable" displayName="SupplierContentTable" ref="A4:O11" headerRowCount="1">
  <x:tableColumns count="15">
    <x:tableColumn id="1" name="Supplier ID"/>
    <x:tableColumn id="2" name="Nombre/Key"/>
    <x:tableColumn id="3" name="Tipo"/>
    <x:tableColumn id="4" name="Estado canónico"/>
    <x:tableColumn id="5" name="Disponibilidad"/>
    <x:tableColumn id="6" name="Entrega"/>
    <x:tableColumn id="7" name="Coste relativo"/>
    <x:tableColumn id="8" name="Catálogo ID"/>
    <x:tableColumn id="9" name="Asset"/>
    <x:tableColumn id="10" name="GUID"/>
    <x:tableColumn id="11" name="Identidad visual"/>
    <x:tableColumn id="12" name="Licencia"/>
    <x:tableColumn id="13" name="Sprint"/>
    <x:tableColumn id="14" name="Requisito"/>
    <x:tableColumn id="15" name="Notas"/>
  </x:tableColumns>
  <x:tableStyleInfo name="TableStyleMedium2" showRowStripes="1"/>
</x:table>
</file>

<file path=xl/tables/table8.xml><?xml version="1.0" encoding="utf-8"?>
<x:table xmlns:x="http://schemas.openxmlformats.org/spreadsheetml/2006/main" id="22" name="SupplierOffersTable" displayName="SupplierOffersTable" ref="A15:N23" headerRowCount="1">
  <x:tableColumns count="14">
    <x:tableColumn id="1" name="Offer ID"/>
    <x:tableColumn id="2" name="Supplier ID"/>
    <x:tableColumn id="3" name="Product ID"/>
    <x:tableColumn id="4" name="Coste unitario €"/>
    <x:tableColumn id="5" name="Precio venta técnico €"/>
    <x:tableColumn id="6" name="Margen €"/>
    <x:tableColumn id="7" name="Margen %"/>
    <x:tableColumn id="8" name="Unidades/caja"/>
    <x:tableColumn id="9" name="Mín cajas"/>
    <x:tableColumn id="10" name="Máx cajas"/>
    <x:tableColumn id="11" name="Coste caja €"/>
    <x:tableColumn id="12" name="Catálogo"/>
    <x:tableColumn id="13" name="Estado"/>
    <x:tableColumn id="14" name="Notas"/>
  </x:tableColumns>
  <x:tableStyleInfo name="TableStyleMedium2" showRowStripes="1"/>
</x:table>
</file>

<file path=xl/tables/table9.xml><?xml version="1.0" encoding="utf-8"?>
<x:table xmlns:x="http://schemas.openxmlformats.org/spreadsheetml/2006/main" id="9" name="PackagingBrandsTable" displayName="PackagingBrandsTable" ref="A4:P14" headerRowCount="1">
  <x:tableColumns count="16">
    <x:tableColumn id="1" name="Content ID"/>
    <x:tableColumn id="2" name="Nombre"/>
    <x:tableColumn id="3" name="Tipo"/>
    <x:tableColumn id="4" name="Marca/Familia"/>
    <x:tableColumn id="5" name="Producto asociado"/>
    <x:tableColumn id="6" name="Estado"/>
    <x:tableColumn id="7" name="Implementación"/>
    <x:tableColumn id="8" name="Validación"/>
    <x:tableColumn id="9" name="Ruta"/>
    <x:tableColumn id="10" name="GUID"/>
    <x:tableColumn id="11" name="Material/Texture"/>
    <x:tableColumn id="12" name="IP/Marca real"/>
    <x:tableColumn id="13" name="Licencia"/>
    <x:tableColumn id="14" name="Sprint"/>
    <x:tableColumn id="15" name="Requisito"/>
    <x:tableColumn id="16" name="Notas"/>
  </x:tableColumns>
  <x:tableStyleInfo name="TableStyleMedium2" showRowStripes="1"/>
</x:table>
</file>

<file path=xl/tables/table10.xml><?xml version="1.0" encoding="utf-8"?>
<x:table xmlns:x="http://schemas.openxmlformats.org/spreadsheetml/2006/main" id="10" name="UIContentTable" displayName="UIContentTable" ref="A4:Q14" headerRowCount="1">
  <x:tableColumns count="17">
    <x:tableColumn id="1" name="Content ID"/>
    <x:tableColumn id="2" name="Nombre"/>
    <x:tableColumn id="3" name="Tipo"/>
    <x:tableColumn id="4" name="Estado canónico"/>
    <x:tableColumn id="5" name="Implementación"/>
    <x:tableColumn id="6" name="Validación"/>
    <x:tableColumn id="7" name="Ruta"/>
    <x:tableColumn id="8" name="GUID"/>
    <x:tableColumn id="9" name="Fuente/License"/>
    <x:tableColumn id="10" name="Componente/ID"/>
    <x:tableColumn id="11" name="Framework"/>
    <x:tableColumn id="12" name="Localizable"/>
    <x:tableColumn id="13" name="Escala/Resolución"/>
    <x:tableColumn id="14" name="Sprint"/>
    <x:tableColumn id="15" name="Requisito"/>
    <x:tableColumn id="16" name="Deuda"/>
    <x:tableColumn id="17" name="Notas"/>
  </x:tableColumns>
  <x:tableStyleInfo name="TableStyleMedium2" showRowStripes="1"/>
</x:table>
</file>

<file path=xl/tables/table11.xml><?xml version="1.0" encoding="utf-8"?>
<x:table xmlns:x="http://schemas.openxmlformats.org/spreadsheetml/2006/main" id="23" name="AudioClipsContentTable" displayName="AudioClipsContentTable" ref="A4:T14" headerRowCount="1">
  <x:tableColumns count="20">
    <x:tableColumn id="1" name="Content ID"/>
    <x:tableColumn id="2" name="Nombre"/>
    <x:tableColumn id="3" name="Tipo"/>
    <x:tableColumn id="4" name="Familia/Canal"/>
    <x:tableColumn id="5" name="Estado canónico"/>
    <x:tableColumn id="6" name="Implementación"/>
    <x:tableColumn id="7" name="Validación"/>
    <x:tableColumn id="8" name="Ruta/Clip"/>
    <x:tableColumn id="9" name="GUID"/>
    <x:tableColumn id="10" name="Eventos"/>
    <x:tableColumn id="11" name="Volumen"/>
    <x:tableColumn id="12" name="Pitch"/>
    <x:tableColumn id="13" name="Loop"/>
    <x:tableColumn id="14" name="Spatial"/>
    <x:tableColumn id="15" name="Licencia"/>
    <x:tableColumn id="16" name="Sprint"/>
    <x:tableColumn id="17" name="Requisito"/>
    <x:tableColumn id="18" name="Deuda"/>
    <x:tableColumn id="19" name="Evidencia"/>
    <x:tableColumn id="20" name="Notas"/>
  </x:tableColumns>
  <x:tableStyleInfo name="TableStyleMedium2" showRowStripes="1"/>
</x:table>
</file>

<file path=xl/tables/table12.xml><?xml version="1.0" encoding="utf-8"?>
<x:table xmlns:x="http://schemas.openxmlformats.org/spreadsheetml/2006/main" id="24" name="AudioEventsContentTable" displayName="AudioEventsContentTable" ref="A18:T41" headerRowCount="1">
  <x:tableColumns count="20">
    <x:tableColumn id="1" name="Content ID"/>
    <x:tableColumn id="2" name="Nombre"/>
    <x:tableColumn id="3" name="Tipo"/>
    <x:tableColumn id="4" name="Familia/Canal"/>
    <x:tableColumn id="5" name="Estado canónico"/>
    <x:tableColumn id="6" name="Implementación"/>
    <x:tableColumn id="7" name="Validación"/>
    <x:tableColumn id="8" name="Ruta/Clip"/>
    <x:tableColumn id="9" name="GUID"/>
    <x:tableColumn id="10" name="Eventos"/>
    <x:tableColumn id="11" name="Volumen"/>
    <x:tableColumn id="12" name="Pitch"/>
    <x:tableColumn id="13" name="Loop"/>
    <x:tableColumn id="14" name="Spatial"/>
    <x:tableColumn id="15" name="Licencia"/>
    <x:tableColumn id="16" name="Sprint"/>
    <x:tableColumn id="17" name="Requisito"/>
    <x:tableColumn id="18" name="Deuda"/>
    <x:tableColumn id="19" name="Evidencia"/>
    <x:tableColumn id="20" name="Notas"/>
  </x:tableColumns>
  <x:tableStyleInfo name="TableStyleMedium2" showRowStripes="1"/>
</x:table>
</file>

<file path=xl/tables/table13.xml><?xml version="1.0" encoding="utf-8"?>
<x:table xmlns:x="http://schemas.openxmlformats.org/spreadsheetml/2006/main" id="11" name="VfxAnimationTable" displayName="VfxAnimationTable" ref="A4:Q19" headerRowCount="1">
  <x:tableColumns count="17">
    <x:tableColumn id="1" name="Content ID"/>
    <x:tableColumn id="2" name="Nombre"/>
    <x:tableColumn id="3" name="Tipo"/>
    <x:tableColumn id="4" name="Familia"/>
    <x:tableColumn id="5" name="Estado canónico"/>
    <x:tableColumn id="6" name="Implementación"/>
    <x:tableColumn id="7" name="Validación"/>
    <x:tableColumn id="8" name="Ruta"/>
    <x:tableColumn id="9" name="GUID"/>
    <x:tableColumn id="10" name="Prefab/Evento"/>
    <x:tableColumn id="11" name="Loop/Trigger"/>
    <x:tableColumn id="12" name="Licencia"/>
    <x:tableColumn id="13" name="Sprint"/>
    <x:tableColumn id="14" name="Requisito"/>
    <x:tableColumn id="15" name="Placeholder"/>
    <x:tableColumn id="16" name="Deuda"/>
    <x:tableColumn id="17" name="Notas"/>
  </x:tableColumns>
  <x:tableStyleInfo name="TableStyleMedium2" showRowStripes="1"/>
</x:table>
</file>

<file path=xl/tables/table14.xml><?xml version="1.0" encoding="utf-8"?>
<x:table xmlns:x="http://schemas.openxmlformats.org/spreadsheetml/2006/main" id="12" name="MaterialsTexturesTable" displayName="MaterialsTexturesTable" ref="A4:S68" headerRowCount="1">
  <x:tableColumns count="19">
    <x:tableColumn id="1" name="Content ID"/>
    <x:tableColumn id="2" name="Nombre"/>
    <x:tableColumn id="3" name="Tipo"/>
    <x:tableColumn id="4" name="Familia"/>
    <x:tableColumn id="5" name="Palette ID"/>
    <x:tableColumn id="6" name="Estado canónico"/>
    <x:tableColumn id="7" name="Implementación"/>
    <x:tableColumn id="8" name="Validación"/>
    <x:tableColumn id="9" name="Ruta"/>
    <x:tableColumn id="10" name="GUID"/>
    <x:tableColumn id="11" name="Tamaño KiB"/>
    <x:tableColumn id="12" name="Shader/Format"/>
    <x:tableColumn id="13" name="Uso"/>
    <x:tableColumn id="14" name="Licencia"/>
    <x:tableColumn id="15" name="Sprint"/>
    <x:tableColumn id="16" name="Requisito"/>
    <x:tableColumn id="17" name="Placeholder"/>
    <x:tableColumn id="18" name="Deuda"/>
    <x:tableColumn id="19" name="Notas"/>
  </x:tableColumns>
  <x:tableStyleInfo name="TableStyleMedium2" showRowStripes="1"/>
</x:table>
</file>

<file path=xl/tables/table15.xml><?xml version="1.0" encoding="utf-8"?>
<x:table xmlns:x="http://schemas.openxmlformats.org/spreadsheetml/2006/main" id="13" name="PrefabInventoryTable" displayName="PrefabInventoryTable" ref="A4:T68" headerRowCount="1">
  <x:tableColumns count="20">
    <x:tableColumn id="1" name="Content ID"/>
    <x:tableColumn id="2" name="Nombre"/>
    <x:tableColumn id="3" name="Familia"/>
    <x:tableColumn id="4" name="Subfamilia"/>
    <x:tableColumn id="5" name="Estado canónico"/>
    <x:tableColumn id="6" name="Implementación"/>
    <x:tableColumn id="7" name="Validación"/>
    <x:tableColumn id="8" name="Ruta"/>
    <x:tableColumn id="9" name="GUID"/>
    <x:tableColumn id="10" name="Tamaño KiB"/>
    <x:tableColumn id="11" name="Runtime catalog"/>
    <x:tableColumn id="12" name="Escena"/>
    <x:tableColumn id="13" name="Collider"/>
    <x:tableColumn id="14" name="LOD"/>
    <x:tableColumn id="15" name="Licencia"/>
    <x:tableColumn id="16" name="Sprint"/>
    <x:tableColumn id="17" name="Requisito"/>
    <x:tableColumn id="18" name="Placeholder"/>
    <x:tableColumn id="19" name="Deuda"/>
    <x:tableColumn id="20" name="Notas"/>
  </x:tableColumns>
  <x:tableStyleInfo name="TableStyleMedium2" showRowStripes="1"/>
</x:table>
</file>

<file path=xl/tables/table16.xml><?xml version="1.0" encoding="utf-8"?>
<x:table xmlns:x="http://schemas.openxmlformats.org/spreadsheetml/2006/main" id="14" name="ScenesZonesTable" displayName="ScenesZonesTable" ref="A4:O15" headerRowCount="1">
  <x:tableColumns count="15">
    <x:tableColumn id="1" name="Content ID"/>
    <x:tableColumn id="2" name="Nombre"/>
    <x:tableColumn id="3" name="Tipo"/>
    <x:tableColumn id="4" name="Estado canónico"/>
    <x:tableColumn id="5" name="Implementación"/>
    <x:tableColumn id="6" name="Validación"/>
    <x:tableColumn id="7" name="Ruta"/>
    <x:tableColumn id="8" name="GUID"/>
    <x:tableColumn id="9" name="Dimensión/Capacidad"/>
    <x:tableColumn id="10" name="Fijo/Dinámico"/>
    <x:tableColumn id="11" name="Runtime/Build"/>
    <x:tableColumn id="12" name="Sprint"/>
    <x:tableColumn id="13" name="Requisito"/>
    <x:tableColumn id="14" name="Deuda"/>
    <x:tableColumn id="15" name="Notas"/>
  </x:tableColumns>
  <x:tableStyleInfo name="TableStyleMedium2" showRowStripes="1"/>
</x:table>
</file>

<file path=xl/tables/table17.xml><?xml version="1.0" encoding="utf-8"?>
<x:table xmlns:x="http://schemas.openxmlformats.org/spreadsheetml/2006/main" id="15" name="ContentEconomyTable" displayName="ContentEconomyTable" ref="A4:P26" headerRowCount="1">
  <x:tableColumns count="16">
    <x:tableColumn id="1" name="Record ID"/>
    <x:tableColumn id="2" name="Tipo"/>
    <x:tableColumn id="3" name="Entity ID"/>
    <x:tableColumn id="4" name="Nombre"/>
    <x:tableColumn id="5" name="Coste €"/>
    <x:tableColumn id="6" name="Precio €"/>
    <x:tableColumn id="7" name="Margen €"/>
    <x:tableColumn id="8" name="Margen %"/>
    <x:tableColumn id="9" name="Caja/Capacidad"/>
    <x:tableColumn id="10" name="Proveedor"/>
    <x:tableColumn id="11" name="Estado"/>
    <x:tableColumn id="12" name="Autoridad"/>
    <x:tableColumn id="13" name="Sprint"/>
    <x:tableColumn id="14" name="Requisito"/>
    <x:tableColumn id="15" name="Tuning"/>
    <x:tableColumn id="16" name="Notas"/>
  </x:tableColumns>
  <x:tableStyleInfo name="TableStyleMedium2" showRowStripes="1"/>
</x:table>
</file>

<file path=xl/tables/table18.xml><?xml version="1.0" encoding="utf-8"?>
<x:table xmlns:x="http://schemas.openxmlformats.org/spreadsheetml/2006/main" id="16" name="LocalizationContentTable" displayName="LocalizationContentTable" ref="A4:Q28" headerRowCount="1">
  <x:tableColumns count="17">
    <x:tableColumn id="1" name="String ID"/>
    <x:tableColumn id="2" name="Key"/>
    <x:tableColumn id="3" name="Tipo"/>
    <x:tableColumn id="4" name="ES"/>
    <x:tableColumn id="5" name="EN"/>
    <x:tableColumn id="6" name="Estado"/>
    <x:tableColumn id="7" name="Fuente"/>
    <x:tableColumn id="8" name="Runtime"/>
    <x:tableColumn id="9" name="Fallback"/>
    <x:tableColumn id="10" name="Plural/Formato"/>
    <x:tableColumn id="11" name="Longitud/Wrap"/>
    <x:tableColumn id="12" name="Owner"/>
    <x:tableColumn id="13" name="Sprint"/>
    <x:tableColumn id="14" name="Requisito"/>
    <x:tableColumn id="15" name="Test"/>
    <x:tableColumn id="16" name="Deuda"/>
    <x:tableColumn id="17" name="Notas"/>
  </x:tableColumns>
  <x:tableStyleInfo name="TableStyleMedium2" showRowStripes="1"/>
</x:table>
</file>

<file path=xl/tables/table19.xml><?xml version="1.0" encoding="utf-8"?>
<x:table xmlns:x="http://schemas.openxmlformats.org/spreadsheetml/2006/main" id="17" name="LicensesProvenanceTable" displayName="LicensesProvenanceTable" ref="A4:O17" headerRowCount="1">
  <x:tableColumns count="15">
    <x:tableColumn id="1" name="License ID"/>
    <x:tableColumn id="2" name="Elemento/Familia"/>
    <x:tableColumn id="3" name="Tipo"/>
    <x:tableColumn id="4" name="Origen"/>
    <x:tableColumn id="5" name="Autor"/>
    <x:tableColumn id="6" name="Licencia"/>
    <x:tableColumn id="7" name="Prueba"/>
    <x:tableColumn id="8" name="Restricciones"/>
    <x:tableColumn id="9" name="Distribución"/>
    <x:tableColumn id="10" name="Estado"/>
    <x:tableColumn id="11" name="Ruta/Registro"/>
    <x:tableColumn id="12" name="Sprint"/>
    <x:tableColumn id="13" name="Gate"/>
    <x:tableColumn id="14" name="Acción"/>
    <x:tableColumn id="15" name="Notas"/>
  </x:tableColumns>
  <x:tableStyleInfo name="TableStyleMedium2" showRowStripes="1"/>
</x:table>
</file>

<file path=xl/tables/table20.xml><?xml version="1.0" encoding="utf-8"?>
<x:table xmlns:x="http://schemas.openxmlformats.org/spreadsheetml/2006/main" id="25" name="ContentQaEvidenceTable" displayName="ContentQaEvidenceTable" ref="A4:J20" headerRowCount="1">
  <x:tableColumns count="10">
    <x:tableColumn id="1" name="QA ID"/>
    <x:tableColumn id="2" name="Área"/>
    <x:tableColumn id="3" name="Criterio"/>
    <x:tableColumn id="4" name="Requisito"/>
    <x:tableColumn id="5" name="Método"/>
    <x:tableColumn id="6" name="Resultado"/>
    <x:tableColumn id="7" name="Campaña/Gate"/>
    <x:tableColumn id="8" name="Build"/>
    <x:tableColumn id="9" name="Evidencia"/>
    <x:tableColumn id="10" name="Acción"/>
  </x:tableColumns>
  <x:tableStyleInfo name="TableStyleMedium2" showRowStripes="1"/>
</x:table>
</file>

<file path=xl/tables/table21.xml><?xml version="1.0" encoding="utf-8"?>
<x:table xmlns:x="http://schemas.openxmlformats.org/spreadsheetml/2006/main" id="18" name="ContentDebtTable" displayName="ContentDebtTable" ref="A4:O36" headerRowCount="1">
  <x:tableColumns count="15">
    <x:tableColumn id="1" name="Debt ID"/>
    <x:tableColumn id="2" name="Tipo"/>
    <x:tableColumn id="3" name="Severidad"/>
    <x:tableColumn id="4" name="Área"/>
    <x:tableColumn id="5" name="Elemento"/>
    <x:tableColumn id="6" name="Estado"/>
    <x:tableColumn id="7" name="Placeholder"/>
    <x:tableColumn id="8" name="Sustituto/Acción"/>
    <x:tableColumn id="9" name="Sprint objetivo"/>
    <x:tableColumn id="10" name="Gate"/>
    <x:tableColumn id="11" name="Fuente"/>
    <x:tableColumn id="12" name="Requisito"/>
    <x:tableColumn id="13" name="Evidencia de cierre"/>
    <x:tableColumn id="14" name="Owner"/>
    <x:tableColumn id="15" name="Notas"/>
  </x:tableColumns>
  <x:tableStyleInfo name="TableStyleMedium2" showRowStripes="1"/>
</x:table>
</file>

<file path=xl/tables/table22.xml><?xml version="1.0" encoding="utf-8"?>
<x:table xmlns:x="http://schemas.openxmlformats.org/spreadsheetml/2006/main" id="19" name="ContentRoadmapTable" displayName="ContentRoadmapTable" ref="A4:M32" headerRowCount="1">
  <x:tableColumns count="13">
    <x:tableColumn id="1" name="Roadmap ID"/>
    <x:tableColumn id="2" name="Periodo"/>
    <x:tableColumn id="3" name="Categoría"/>
    <x:tableColumn id="4" name="Objetivo"/>
    <x:tableColumn id="5" name="Estado"/>
    <x:tableColumn id="6" name="Prioridad"/>
    <x:tableColumn id="7" name="Dependencia"/>
    <x:tableColumn id="8" name="Gate"/>
    <x:tableColumn id="9" name="Contenido"/>
    <x:tableColumn id="10" name="Exclusiones"/>
    <x:tableColumn id="11" name="Criterio de salida"/>
    <x:tableColumn id="12" name="Owner"/>
    <x:tableColumn id="13" name="Notas"/>
  </x:tableColumns>
  <x:tableStyleInfo name="TableStyleMedium2" showRowStripes="1"/>
</x:table>
</file>

<file path=xl/tables/table23.xml><?xml version="1.0" encoding="utf-8"?>
<x:table xmlns:x="http://schemas.openxmlformats.org/spreadsheetml/2006/main" id="1" name="ContentCatalogControlledTable" displayName="ContentCatalogControlledTable" ref="A4:L17" headerRowCount="1">
  <x:tableColumns count="12">
    <x:tableColumn id="1" name="Estado canónico"/>
    <x:tableColumn id="2" name="Implementación"/>
    <x:tableColumn id="3" name="Validación"/>
    <x:tableColumn id="4" name="Mapeo"/>
    <x:tableColumn id="5" name="Licencia"/>
    <x:tableColumn id="6" name="Placeholder"/>
    <x:tableColumn id="7" name="Severidad"/>
    <x:tableColumn id="8" name="Gate"/>
    <x:tableColumn id="9" name="Sprint"/>
    <x:tableColumn id="10" name="Cobertura"/>
    <x:tableColumn id="11" name="Estado QA"/>
    <x:tableColumn id="12" name="Estado Roadmap"/>
  </x:tableColumns>
  <x:tableStyleInfo name="TableStyleMedium2" showRowStripes="1"/>
</x:table>
</file>

<file path=xl/tables/table24.xml><?xml version="1.0" encoding="utf-8"?>
<x:table xmlns:x="http://schemas.openxmlformats.org/spreadsheetml/2006/main" id="20" name="HistoricalSourcesTable" displayName="HistoricalSourcesTable" ref="A4:L108" headerRowCount="1">
  <x:tableColumns count="12">
    <x:tableColumn id="1" name="Source ID"/>
    <x:tableColumn id="2" name="Fuente"/>
    <x:tableColumn id="3" name="Nombre"/>
    <x:tableColumn id="4" name="Tipo"/>
    <x:tableColumn id="5" name="Baseline/Versión"/>
    <x:tableColumn id="6" name="Autoridad"/>
    <x:tableColumn id="7" name="Estado"/>
    <x:tableColumn id="8" name="Tamaño KiB"/>
    <x:tableColumn id="9" name="SHA-256"/>
    <x:tableColumn id="10" name="Contenido aportado"/>
    <x:tableColumn id="11" name="Sustituido por"/>
    <x:tableColumn id="12" name="Notas"/>
  </x:tableColumns>
  <x:tableStyleInfo name="TableStyleMedium2" showRowStripes="1"/>
</x:table>
</file>

<file path=xl/tables/table25.xml><?xml version="1.0" encoding="utf-8"?>
<x:table xmlns:x="http://schemas.openxmlformats.org/spreadsheetml/2006/main" id="21" name="ContentTraceabilityTable" displayName="ContentTraceabilityTable" ref="A4:U273" headerRowCount="1">
  <x:tableColumns count="21">
    <x:tableColumn id="1" name="Trace ID"/>
    <x:tableColumn id="2" name="Content ID"/>
    <x:tableColumn id="3" name="Categoría"/>
    <x:tableColumn id="4" name="Nombre"/>
    <x:tableColumn id="5" name="Estado canónico"/>
    <x:tableColumn id="6" name="Implementación"/>
    <x:tableColumn id="7" name="Validación"/>
    <x:tableColumn id="8" name="Ruta/Asset"/>
    <x:tableColumn id="9" name="GUID"/>
    <x:tableColumn id="10" name="Catálogo/Sistema"/>
    <x:tableColumn id="11" name="Requisito"/>
    <x:tableColumn id="12" name="Sprint"/>
    <x:tableColumn id="13" name="Gate"/>
    <x:tableColumn id="14" name="Test/Evidencia"/>
    <x:tableColumn id="15" name="Build"/>
    <x:tableColumn id="16" name="Licencia"/>
    <x:tableColumn id="17" name="Deuda/Defecto"/>
    <x:tableColumn id="18" name="Fuente hoja"/>
    <x:tableColumn id="19" name="Cobertura"/>
    <x:tableColumn id="20" name="Owner"/>
    <x:tableColumn id="21" name="Notas"/>
  </x:tableColumns>
  <x:tableStyleInfo name="TableStyleMedium2" showRowStripes="1"/>
</x:table>
</file>

<file path=xl/tables/table26.xml><?xml version="1.0" encoding="utf-8"?>
<x:table xmlns:x="http://schemas.openxmlformats.org/spreadsheetml/2006/main" id="26" name="ContentGovernanceTable" displayName="ContentGovernanceTable" ref="A4:J21" headerRowCount="1">
  <x:tableColumns count="10">
    <x:tableColumn id="1" name="Control ID"/>
    <x:tableColumn id="2" name="Dominio"/>
    <x:tableColumn id="3" name="Requisito operativo"/>
    <x:tableColumn id="4" name="Documentos fuente"/>
    <x:tableColumn id="5" name="Hojas afectadas"/>
    <x:tableColumn id="6" name="Gate"/>
    <x:tableColumn id="7" name="Bloqueante"/>
    <x:tableColumn id="8" name="Estado"/>
    <x:tableColumn id="9" name="Evidencia requerida"/>
    <x:tableColumn id="10" name="Owner / 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4d2bbd7bd8e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e510508466a4b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ad7c9948eef4a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ae35527b1d347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87a0a8de95442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1d992d0da3442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fa21c559c294e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c977ed9e4474d13" /><Relationship Type="http://schemas.openxmlformats.org/officeDocument/2006/relationships/table" Target="/xl/tables/table8.xml" Id="Re0245b55710f4d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9de8cb06dd340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47cfdc295ee46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be776c6664a414b" /><Relationship Type="http://schemas.openxmlformats.org/officeDocument/2006/relationships/table" Target="/xl/tables/table12.xml" Id="Rb9e1d651a15a47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2e182a184674eb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6efa67673e64c4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958a33e0a9e4f0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8224ee56384487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531d0753458418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94f5620a8bf43c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70ca72c563443f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1dbdb423470453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f08fb48bd02473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1685bebf9d40407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8b0f41c9a2a402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3da350f12e54ba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56c3f709aab4d3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92d92a6dd220491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 ht="30" customHeight="1">
      <x:c r="A1" s="4" t="str">
        <x:v>21_Initial_Content_Catalog.xlsx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Inventario canónico, técnico, histórico y futuro de contenido, assets, licencias, QA y trazabilidad.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Campo</x:v>
      </x:c>
      <x:c r="B4" s="17" t="str">
        <x:v>Regla</x:v>
      </x:c>
    </x:row>
    <x:row r="5">
      <x:c r="A5" s="24" t="str">
        <x:v>Autoridad</x:v>
      </x:c>
      <x:c r="B5" s="24" t="str">
        <x:v>Este libro consolida los catálogos históricos, los assets observados y la baseline 00–34. No sustituye a las autoridades especializadas; las referencia y aplica al contenido.</x:v>
      </x:c>
    </x:row>
    <x:row r="6">
      <x:c r="A6" s="24" t="str">
        <x:v>Estados separados</x:v>
      </x:c>
      <x:c r="B6" s="24" t="str">
        <x:v>Estado canónico, implementación y validación son dimensiones distintas. Un asset importado no está necesariamente conectado ni aprobado.</x:v>
      </x:c>
    </x:row>
    <x:row r="7">
      <x:c r="A7" s="24" t="str">
        <x:v>Genealogía</x:v>
      </x:c>
      <x:c r="B7" s="24" t="str">
        <x:v>No eliminar filas históricas. Marcar HISTORICAL, SUPERSEDED, VISION o NOT OPEN y enlazar sustituto cuando exista.</x:v>
      </x:c>
    </x:row>
    <x:row r="8">
      <x:c r="A8" s="24" t="str">
        <x:v>IDs</x:v>
      </x:c>
      <x:c r="B8" s="24" t="str">
        <x:v>No asumir equivalencia por nombre. Los IDs Phase 1 y técnicos requieren mapeo explícito y, cuando afecte a save, migración versionada.</x:v>
      </x:c>
    </x:row>
    <x:row r="9">
      <x:c r="A9" s="24" t="str">
        <x:v>Assets</x:v>
      </x:c>
      <x:c r="B9" s="24" t="str">
        <x:v>Un asset se considera integrado cuando tiene ruta/GUID, prefab o definición, material, catálogo/sistema consumidor, QA y licencia.</x:v>
      </x:c>
    </x:row>
    <x:row r="10">
      <x:c r="A10" s="24" t="str">
        <x:v>Arquitectura</x:v>
      </x:c>
      <x:c r="B10" s="24" t="str">
        <x:v>La arquitectura fija de StoreInitial se autora en escena. El mobiliario dinámico mantiene definición, footprint y prefab separados.</x:v>
      </x:c>
    </x:row>
    <x:row r="11">
      <x:c r="A11" s="24" t="str">
        <x:v>Licencias</x:v>
      </x:c>
      <x:c r="B11" s="24" t="str">
        <x:v>Todo contenido distribuible requiere procedencia, uso permitido, créditos/notices y revisión en 23. Conceptos generados no son automáticamente assets runtime ni material público.</x:v>
      </x:c>
    </x:row>
    <x:row r="12">
      <x:c r="A12" s="24" t="str">
        <x:v>Placeholders</x:v>
      </x:c>
      <x:c r="B12" s="24" t="str">
        <x:v>Cada placeholder requiere owner, sustituto previsto, sprint/gate y evidencia de retirada.</x:v>
      </x:c>
    </x:row>
    <x:row r="13">
      <x:c r="A13" s="24" t="str">
        <x:v>QA</x:v>
      </x:c>
      <x:c r="B13" s="24" t="str">
        <x:v>PASS debe referirse a versión/build y evidencia reproducible registrada en 31. Tests técnicos verdes no equivalen a aprobación visual, sonora, legal, accesible, de rendimiento o comercial.</x:v>
      </x:c>
    </x:row>
    <x:row r="14">
      <x:c r="A14" s="24" t="str">
        <x:v>Scope</x:v>
      </x:c>
      <x:c r="B14" s="24" t="str">
        <x:v>Los prefabs de Expansions permanecen VISION / NOT OPEN hasta decisión formal.</x:v>
      </x:c>
    </x:row>
    <x:row r="15">
      <x:c r="A15" s="24" t="str">
        <x:v>Actualización</x:v>
      </x:c>
      <x:c r="B15" s="24" t="str">
        <x:v>Al añadir o sustituir contenido: actualizar la hoja especializada, 18 Licencias, 19 QA, 20 Deuda si aplica, 21 Roadmap, 24 Trazabilidad, 25 Integración 00–34, y registrar el cambio en 13.</x:v>
      </x:c>
    </x:row>
    <x:row r="16">
      <x:c r="A16" s="24" t="str">
        <x:v>Baseline actual</x:v>
      </x:c>
      <x:c r="B16" s="24" t="str">
        <x:v>Documentación RC1 00–34; aplicación 0.0.17; Sprints 0–15 cerrados; Sprint 16 en curso; Sprint 17/H6 sin ejecutar; release no abierto.</x:v>
      </x:c>
    </x:row>
    <x:row r="18">
      <x:c r="A18" s="29" t="str">
        <x:v>Flujo de alta o sustitución de contenido</x:v>
      </x:c>
      <x:c r="B18" s="29"/>
      <x:c r="C18" s="29"/>
      <x:c r="D18" s="29"/>
      <x:c r="E18" s="29"/>
      <x:c r="F18" s="29"/>
      <x:c r="G18" s="29"/>
      <x:c r="H18" s="29"/>
    </x:row>
    <x:row r="19">
      <x:c r="A19" s="24" t="str">
        <x:v>1</x:v>
      </x:c>
      <x:c r="B19" s="24" t="str">
        <x:v>Asignar Content ID estable y clasificar autoridad.</x:v>
      </x:c>
    </x:row>
    <x:row r="20">
      <x:c r="A20" s="24" t="str">
        <x:v>2</x:v>
      </x:c>
      <x:c r="B20" s="24" t="str">
        <x:v>Registrar fuente histórica, origen, licencia y restricciones.</x:v>
      </x:c>
    </x:row>
    <x:row r="21">
      <x:c r="A21" s="24" t="str">
        <x:v>3</x:v>
      </x:c>
      <x:c r="B21" s="24" t="str">
        <x:v>Importar asset y conservar GUID/ruta.</x:v>
      </x:c>
    </x:row>
    <x:row r="22">
      <x:c r="A22" s="24" t="str">
        <x:v>4</x:v>
      </x:c>
      <x:c r="B22" s="24" t="str">
        <x:v>Crear prefab/definición y asociar catálogo o consumidor.</x:v>
      </x:c>
    </x:row>
    <x:row r="23">
      <x:c r="A23" s="24" t="str">
        <x:v>5</x:v>
      </x:c>
      <x:c r="B23" s="24" t="str">
        <x:v>Configurar materiales, collider, LOD, audio/animación y localización aplicables.</x:v>
      </x:c>
    </x:row>
    <x:row r="24">
      <x:c r="A24" s="24" t="str">
        <x:v>6</x:v>
      </x:c>
      <x:c r="B24" s="24" t="str">
        <x:v>Ejecutar QA técnico y revisión especializada.</x:v>
      </x:c>
    </x:row>
    <x:row r="25">
      <x:c r="A25" s="24" t="str">
        <x:v>7</x:v>
      </x:c>
      <x:c r="B25" s="24" t="str">
        <x:v>Vincular requisito, sprint, build y evidencia.</x:v>
      </x:c>
    </x:row>
    <x:row r="26">
      <x:c r="A26" s="24" t="str">
        <x:v>8</x:v>
      </x:c>
      <x:c r="B26" s="24" t="str">
        <x:v>Cerrar placeholder/deuda y actualizar trazabilidad.</x:v>
      </x:c>
    </x:row>
    <x:row r="28" ht="34" customHeight="1">
      <x:c r="A28" s="62" t="str">
        <x:v>Integración documental 00–34</x:v>
      </x:c>
      <x:c r="B28" s="62"/>
    </x:row>
    <x:row r="29" ht="34" customHeight="1">
      <x:c r="A29" s="59" t="str">
        <x:v>Autoridad de contenido</x:v>
      </x:c>
      <x:c r="B29" s="58" t="str">
        <x:v>17–23 gobiernan arte, audio, UI, economía, catálogo, localización y licencias; 00–16 mantienen alcance, diseño, técnica, producción, QA y gobierno.</x:v>
      </x:c>
    </x:row>
    <x:row r="30" ht="34" customHeight="1">
      <x:c r="A30" s="59" t="str">
        <x:v>Publicación y comunicación</x:v>
      </x:c>
      <x:c r="B30" s="58" t="str">
        <x:v>24, 28 y 31 gobiernan Steam, medios, claims y autorización pública. Ningún asset catalogado implica autorización de publicación.</x:v>
      </x:c>
    </x:row>
    <x:row r="31" ht="34" customHeight="1">
      <x:c r="A31" s="59" t="str">
        <x:v>Accesibilidad</x:v>
      </x:c>
      <x:c r="B31" s="58" t="str">
        <x:v>29 exige alternativas al color/audio, legibilidad, escalado, reducción de movimiento y validación inclusiva cuando aplique al contenido.</x:v>
      </x:c>
    </x:row>
    <x:row r="32" ht="34" customHeight="1">
      <x:c r="A32" s="59" t="str">
        <x:v>Rendimiento</x:v>
      </x:c>
      <x:c r="B32" s="58" t="str">
        <x:v>30 exige medir prefabs, geometría, materiales, texturas, VFX, audio y escena representativa en Player y hardware documentado.</x:v>
      </x:c>
    </x:row>
    <x:row r="33" ht="34" customHeight="1">
      <x:c r="A33" s="59" t="str">
        <x:v>Seguridad y privacidad</x:v>
      </x:c>
      <x:c r="B33" s="58" t="str">
        <x:v>26–27 prohíben PII, secretos, credenciales o datos sensibles en assets, logs, metadatos, capturas y paquetes públicos.</x:v>
      </x:c>
    </x:row>
    <x:row r="34" ht="34" customHeight="1">
      <x:c r="A34" s="59" t="str">
        <x:v>Continuidad</x:v>
      </x:c>
      <x:c r="B34" s="58" t="str">
        <x:v>32–34 gobiernan hashes, backup, restauración, recuperación, handoff y operación sin depender del historial del chat.</x:v>
      </x:c>
    </x:row>
    <x:row r="35" ht="34" customHeight="1">
      <x:c r="A35" s="59" t="str">
        <x:v>Próxima consolidación</x:v>
      </x:c>
      <x:c r="B35" s="58" t="str">
        <x:v>Actualizar 23_Legal_Credits_and_Licenses_Register.xlsx y propagar los nuevos hashes mediante 13.</x:v>
      </x:c>
    </x:row>
  </x:sheetData>
  <x:mergeCells>
    <x:mergeCell ref="A1:H1"/>
    <x:mergeCell ref="A2:H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34" hidden="0" customWidth="1"/>
    <x:col min="5" max="5" width="22" hidden="0" customWidth="1"/>
    <x:col min="6" max="6" width="38" hidden="0" customWidth="1"/>
  </x:cols>
  <x:sheetData>
    <x:row r="1" ht="28" customHeight="1">
      <x:c r="A1" s="86" t="str">
        <x:v>Dashboard del catálogo inicial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90" t="str">
        <x:v>Baseline RC1 00–34: contenido canónico, assets, QA, licencias, accesibilidad, rendimiento, publicación, continuidad y trazabilidad.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10"/>
      <x:c r="M2" s="10"/>
      <x:c r="N2" s="10"/>
      <x:c r="O2" s="10"/>
      <x:c r="P2" s="10"/>
      <x:c r="Q2" s="10"/>
      <x:c r="R2" s="10"/>
      <x:c r="S2" s="10"/>
      <x:c r="T2" s="10"/>
    </x:row>
    <x:row r="4">
      <x:c r="A4" s="46" t="str">
        <x:v>Registros trazados</x:v>
      </x:c>
      <x:c r="B4" s="46"/>
      <x:c r="D4" s="46" t="str">
        <x:v>Productos canónicos</x:v>
      </x:c>
      <x:c r="E4" s="46"/>
      <x:c r="G4" s="46" t="str">
        <x:v>Productos técnicos</x:v>
      </x:c>
      <x:c r="H4" s="46"/>
      <x:c r="J4" s="46" t="str">
        <x:v>Prefabs inventariados</x:v>
      </x:c>
      <x:c r="K4" s="46"/>
    </x:row>
    <x:row r="5">
      <x:c r="A5" s="50" t="n">
        <x:f>COUNTA('24_Trazabilidad'!$A$5:$A$273)</x:f>
        <x:v>269</x:v>
      </x:c>
      <x:c r="B5" s="50"/>
      <x:c r="D5" s="50" t="n">
        <x:f>COUNTA('02_Productos_Canonicos'!$A$5:$A$10)</x:f>
        <x:v>6</x:v>
      </x:c>
      <x:c r="E5" s="50"/>
      <x:c r="G5" s="50" t="n">
        <x:f>COUNTA('03_Productos_Tecnicos'!$A$5:$A$10)</x:f>
        <x:v>6</x:v>
      </x:c>
      <x:c r="H5" s="50"/>
      <x:c r="J5" s="50" t="n">
        <x:f>COUNTA('14_Prefabs'!$A$5:$A$68)</x:f>
        <x:v>64</x:v>
      </x:c>
      <x:c r="K5" s="50"/>
    </x:row>
    <x:row r="7">
      <x:c r="A7" s="46" t="str">
        <x:v>Arquitectura modular</x:v>
      </x:c>
      <x:c r="B7" s="46"/>
      <x:c r="D7" s="46" t="str">
        <x:v>Materiales/texturas</x:v>
      </x:c>
      <x:c r="E7" s="46"/>
      <x:c r="G7" s="46" t="str">
        <x:v>Audio clips/eventos</x:v>
      </x:c>
      <x:c r="H7" s="46"/>
      <x:c r="J7" s="46" t="str">
        <x:v>Fuentes registradas</x:v>
      </x:c>
      <x:c r="K7" s="46"/>
    </x:row>
    <x:row r="8">
      <x:c r="A8" s="50" t="n">
        <x:f>COUNTA('06_Arquitectura'!$A$5:$A$28)</x:f>
        <x:v>24</x:v>
      </x:c>
      <x:c r="B8" s="50"/>
      <x:c r="D8" s="50" t="n">
        <x:f>COUNTA('13_Materiales_Texturas'!$A$5:$A$68)</x:f>
        <x:v>64</x:v>
      </x:c>
      <x:c r="E8" s="50"/>
      <x:c r="G8" s="50" t="n">
        <x:f>COUNTA('11_Audio'!$A$5:$A$14)+COUNTA('11_Audio'!$A$19:$A$41)</x:f>
        <x:v>33</x:v>
      </x:c>
      <x:c r="H8" s="50"/>
      <x:c r="J8" s="50" t="n">
        <x:f>COUNTA('23_Fuentes_Historicas'!$A$5:$A$108)</x:f>
        <x:v>104</x:v>
      </x:c>
      <x:c r="K8" s="50"/>
    </x:row>
    <x:row r="10">
      <x:c r="A10" s="46" t="str">
        <x:v>Cobertura T4+</x:v>
      </x:c>
      <x:c r="B10" s="46"/>
      <x:c r="D10" s="46" t="str">
        <x:v>Deuda S1 abierta</x:v>
      </x:c>
      <x:c r="E10" s="46"/>
      <x:c r="G10" s="46" t="str">
        <x:v>QA Not Run</x:v>
      </x:c>
      <x:c r="H10" s="46"/>
      <x:c r="J10" s="46" t="str">
        <x:v>Licencias Review/Partial</x:v>
      </x:c>
      <x:c r="K10" s="46"/>
    </x:row>
    <x:row r="11">
      <x:c r="A11" s="54" t="n">
        <x:f>(COUNTIF('24_Trazabilidad'!$S$5:$S$273,"T4")+COUNTIF('24_Trazabilidad'!$S$5:$S$273,"T5")+COUNTIF('24_Trazabilidad'!$S$5:$S$273,"T6"))/COUNTA('24_Trazabilidad'!$A$5:$A$273)</x:f>
        <x:v>0.9591078066914498</x:v>
      </x:c>
      <x:c r="B11" s="54"/>
      <x:c r="D11" s="50" t="n">
        <x:f>COUNTIFS('20_Deuda_Placeholders'!$C$5:$C$36,"S1",'20_Deuda_Placeholders'!$F$5:$F$36,"&lt;&gt;Closed")</x:f>
        <x:v>14</x:v>
      </x:c>
      <x:c r="E11" s="50"/>
      <x:c r="G11" s="50" t="n">
        <x:f>COUNTIF('19_QA_Evidencia'!$F$5:$F$20,"NOT RUN")+COUNTIF('19_QA_Evidencia'!$F$5:$F$20,"NOT OPEN")</x:f>
        <x:v>12</x:v>
      </x:c>
      <x:c r="H11" s="50"/>
      <x:c r="J11" s="50" t="n">
        <x:f>COUNTIF('18_Licencias_Procedencia'!$J$5:$J$17,"REVIEW")+COUNTIF('18_Licencias_Procedencia'!$J$5:$J$17,"PARTIAL")</x:f>
        <x:v>2</x:v>
      </x:c>
      <x:c r="K11" s="50"/>
    </x:row>
    <x:row r="14">
      <x:c r="A14" s="29" t="str">
        <x:v>Estado ejecutivo de contenido</x:v>
      </x:c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</x:row>
    <x:row r="15">
      <x:c r="A15" s="24" t="str">
        <x:v>Baseline de aplicación</x:v>
      </x:c>
      <x:c r="B15" s="24" t="str">
        <x:v>0.0.17</x:v>
      </x:c>
      <x:c r="C15" s="24" t="str">
        <x:v>Sprint 16</x:v>
      </x:c>
      <x:c r="D15" s="24" t="str">
        <x:v>IN PROGRESS</x:v>
      </x:c>
      <x:c r="E15" s="24" t="str">
        <x:v>Sprint 17</x:v>
      </x:c>
      <x:c r="F15" s="24" t="str">
        <x:v>PENDING</x:v>
      </x:c>
    </x:row>
    <x:row r="16">
      <x:c r="A16" s="24" t="str">
        <x:v>Escena objetivo</x:v>
      </x:c>
      <x:c r="B16" s="24" t="str">
        <x:v>StoreInitial</x:v>
      </x:c>
      <x:c r="C16" s="24" t="str">
        <x:v>Runtime actual</x:v>
      </x:c>
      <x:c r="D16" s="24" t="str">
        <x:v>Store + blockout</x:v>
      </x:c>
      <x:c r="E16" s="24" t="str">
        <x:v>Gate</x:v>
      </x:c>
      <x:c r="F16" s="24" t="str">
        <x:v>H6 BLOCKED / NOT RUN</x:v>
      </x:c>
    </x:row>
    <x:row r="17">
      <x:c r="A17" s="24" t="str">
        <x:v>Autoridad productos</x:v>
      </x:c>
      <x:c r="B17" s="24" t="str">
        <x:v>Dual layer pendiente de resolución</x:v>
      </x:c>
      <x:c r="C17" s="24" t="str">
        <x:v>Productos Phase 1</x:v>
      </x:c>
      <x:c r="D17" s="24" t="str">
        <x:v>6</x:v>
      </x:c>
      <x:c r="E17" s="24" t="str">
        <x:v>Productos técnicos</x:v>
      </x:c>
      <x:c r="F17" s="24" t="str">
        <x:v>6</x:v>
      </x:c>
    </x:row>
    <x:row r="18">
      <x:c r="A18" s="24" t="str">
        <x:v>Riesgo principal</x:v>
      </x:c>
      <x:c r="B18" s="24" t="str">
        <x:v>Integración visual/scene</x:v>
      </x:c>
      <x:c r="C18" s="24" t="str">
        <x:v>Deuda estructural</x:v>
      </x:c>
      <x:c r="D18" s="24" t="str">
        <x:v>Dual catalog</x:v>
      </x:c>
      <x:c r="E18" s="24" t="str">
        <x:v>Próxima consolidación</x:v>
      </x:c>
      <x:c r="F18" s="24" t="str">
        <x:v>23_Legal_Credits_and_Licenses_Register.xlsx</x:v>
      </x:c>
    </x:row>
    <x:row r="21">
      <x:c r="A21" s="17" t="str">
        <x:v>Categoría</x:v>
      </x:c>
      <x:c r="B21" s="17" t="str">
        <x:v>Cantidad</x:v>
      </x:c>
      <x:c r="D21" s="17" t="str">
        <x:v>QA</x:v>
      </x:c>
      <x:c r="E21" s="17" t="str">
        <x:v>Cantidad</x:v>
      </x:c>
      <x:c r="G21" s="17" t="str">
        <x:v>Severidad</x:v>
      </x:c>
      <x:c r="H21" s="17" t="str">
        <x:v>Cantidad</x:v>
      </x:c>
      <x:c r="J21" s="17" t="str">
        <x:v>Cobertura</x:v>
      </x:c>
      <x:c r="K21" s="17" t="str">
        <x:v>Cantidad</x:v>
      </x:c>
    </x:row>
    <x:row r="22">
      <x:c r="A22" t="str">
        <x:v>Product</x:v>
      </x:c>
      <x:c r="B22" t="n">
        <x:f>COUNTIF('24_Trazabilidad'!$C$5:$C$273,A22)</x:f>
        <x:v>6</x:v>
      </x:c>
      <x:c r="D22" t="str">
        <x:v>PASS</x:v>
      </x:c>
      <x:c r="E22" t="n">
        <x:f>COUNTIF('19_QA_Evidencia'!$F$5:$F$16,D22)</x:f>
        <x:v>1</x:v>
      </x:c>
      <x:c r="G22" t="str">
        <x:v>S0</x:v>
      </x:c>
      <x:c r="H22" t="n">
        <x:f>COUNTIF('20_Deuda_Placeholders'!$C$5:$C$32,G22)</x:f>
        <x:v>0</x:v>
      </x:c>
      <x:c r="J22" t="str">
        <x:v>T1</x:v>
      </x:c>
      <x:c r="K22" t="n">
        <x:f>COUNTIF('24_Trazabilidad'!$S$5:$S$273,J22)</x:f>
        <x:v>11</x:v>
      </x:c>
    </x:row>
    <x:row r="23">
      <x:c r="A23" t="str">
        <x:v>Product Technical</x:v>
      </x:c>
      <x:c r="B23" t="n">
        <x:f>COUNTIF('24_Trazabilidad'!$C$5:$C$273,A23)</x:f>
        <x:v>6</x:v>
      </x:c>
      <x:c r="D23" t="str">
        <x:v>PARTIAL</x:v>
      </x:c>
      <x:c r="E23" t="n">
        <x:f>COUNTIF('19_QA_Evidencia'!$F$5:$F$16,D23)</x:f>
        <x:v>3</x:v>
      </x:c>
      <x:c r="G23" t="str">
        <x:v>S1</x:v>
      </x:c>
      <x:c r="H23" t="n">
        <x:f>COUNTIF('20_Deuda_Placeholders'!$C$5:$C$32,G23)</x:f>
        <x:v>11</x:v>
      </x:c>
      <x:c r="J23" t="str">
        <x:v>T2</x:v>
      </x:c>
      <x:c r="K23" t="n">
        <x:f>COUNTIF('24_Trazabilidad'!$S$5:$S$273,J23)</x:f>
        <x:v>0</x:v>
      </x:c>
    </x:row>
    <x:row r="24">
      <x:c r="A24" t="str">
        <x:v>Furniture</x:v>
      </x:c>
      <x:c r="B24" t="n">
        <x:f>COUNTIF('24_Trazabilidad'!$C$5:$C$273,A24)</x:f>
        <x:v>11</x:v>
      </x:c>
      <x:c r="D24" t="str">
        <x:v>NOT RUN</x:v>
      </x:c>
      <x:c r="E24" t="n">
        <x:f>COUNTIF('19_QA_Evidencia'!$F$5:$F$16,D24)</x:f>
        <x:v>8</x:v>
      </x:c>
      <x:c r="G24" t="str">
        <x:v>S2</x:v>
      </x:c>
      <x:c r="H24" t="n">
        <x:f>COUNTIF('20_Deuda_Placeholders'!$C$5:$C$32,G24)</x:f>
        <x:v>17</x:v>
      </x:c>
      <x:c r="J24" t="str">
        <x:v>T3</x:v>
      </x:c>
      <x:c r="K24" t="n">
        <x:f>COUNTIF('24_Trazabilidad'!$S$5:$S$273,J24)</x:f>
        <x:v>0</x:v>
      </x:c>
    </x:row>
    <x:row r="25">
      <x:c r="A25" t="str">
        <x:v>Architecture</x:v>
      </x:c>
      <x:c r="B25" t="n">
        <x:f>COUNTIF('24_Trazabilidad'!$C$5:$C$273,A25)</x:f>
        <x:v>24</x:v>
      </x:c>
      <x:c r="D25" t="str">
        <x:v>FAIL</x:v>
      </x:c>
      <x:c r="E25" t="n">
        <x:f>COUNTIF('19_QA_Evidencia'!$F$5:$F$16,D25)</x:f>
        <x:v>0</x:v>
      </x:c>
      <x:c r="G25" t="str">
        <x:v>S3</x:v>
      </x:c>
      <x:c r="H25" t="n">
        <x:f>COUNTIF('20_Deuda_Placeholders'!$C$5:$C$32,G25)</x:f>
        <x:v>0</x:v>
      </x:c>
      <x:c r="J25" t="str">
        <x:v>T4</x:v>
      </x:c>
      <x:c r="K25" t="n">
        <x:f>COUNTIF('24_Trazabilidad'!$S$5:$S$273,J25)</x:f>
        <x:v>195</x:v>
      </x:c>
    </x:row>
    <x:row r="26">
      <x:c r="A26" t="str">
        <x:v>Character</x:v>
      </x:c>
      <x:c r="B26" t="n">
        <x:f>COUNTIF('24_Trazabilidad'!$C$5:$C$273,A26)</x:f>
        <x:v>15</x:v>
      </x:c>
      <x:c r="D26" t="str">
        <x:v>BLOCKED</x:v>
      </x:c>
      <x:c r="E26" t="n">
        <x:f>COUNTIF('19_QA_Evidencia'!$F$5:$F$16,D26)</x:f>
        <x:v>0</x:v>
      </x:c>
      <x:c r="G26" t="str">
        <x:v>S4</x:v>
      </x:c>
      <x:c r="H26" t="n">
        <x:f>COUNTIF('20_Deuda_Placeholders'!$C$5:$C$32,G26)</x:f>
        <x:v>0</x:v>
      </x:c>
      <x:c r="J26" t="str">
        <x:v>T5</x:v>
      </x:c>
      <x:c r="K26" t="n">
        <x:f>COUNTIF('24_Trazabilidad'!$S$5:$S$273,J26)</x:f>
        <x:v>63</x:v>
      </x:c>
    </x:row>
    <x:row r="27">
      <x:c r="A27" t="str">
        <x:v>Packaging/Brand</x:v>
      </x:c>
      <x:c r="B27" t="n">
        <x:f>COUNTIF('24_Trazabilidad'!$C$5:$C$273,A27)</x:f>
        <x:v>10</x:v>
      </x:c>
      <x:c r="J27" t="str">
        <x:v>T6</x:v>
      </x:c>
      <x:c r="K27" t="n">
        <x:f>COUNTIF('24_Trazabilidad'!$S$5:$S$273,J27)</x:f>
        <x:v>0</x:v>
      </x:c>
    </x:row>
    <x:row r="28">
      <x:c r="A28" t="str">
        <x:v>UI</x:v>
      </x:c>
      <x:c r="B28" t="n">
        <x:f>COUNTIF('24_Trazabilidad'!$C$5:$C$273,A28)</x:f>
        <x:v>10</x:v>
      </x:c>
    </x:row>
    <x:row r="29">
      <x:c r="A29" t="str">
        <x:v>Audio</x:v>
      </x:c>
      <x:c r="B29" t="n">
        <x:f>COUNTIF('24_Trazabilidad'!$C$5:$C$273,A29)</x:f>
        <x:v>33</x:v>
      </x:c>
    </x:row>
    <x:row r="30">
      <x:c r="A30" t="str">
        <x:v>VFX/Animation</x:v>
      </x:c>
      <x:c r="B30" t="n">
        <x:f>COUNTIF('24_Trazabilidad'!$C$5:$C$273,A30)</x:f>
        <x:v>15</x:v>
      </x:c>
    </x:row>
    <x:row r="31">
      <x:c r="A31" t="str">
        <x:v>Material/Texture</x:v>
      </x:c>
      <x:c r="B31" t="n">
        <x:f>COUNTIF('24_Trazabilidad'!$C$5:$C$273,A31)</x:f>
        <x:v>64</x:v>
      </x:c>
    </x:row>
    <x:row r="32">
      <x:c r="A32" t="str">
        <x:v>Prefab</x:v>
      </x:c>
      <x:c r="B32" t="n">
        <x:f>COUNTIF('24_Trazabilidad'!$C$5:$C$273,A32)</x:f>
        <x:v>64</x:v>
      </x:c>
    </x:row>
    <x:row r="33">
      <x:c r="A33" t="str">
        <x:v>Scene/Zone</x:v>
      </x:c>
      <x:c r="B33" t="n">
        <x:f>COUNTIF('24_Trazabilidad'!$C$5:$C$273,A33)</x:f>
        <x:v>11</x:v>
      </x:c>
    </x:row>
    <x:row r="36">
      <x:c r="A36" s="17" t="str">
        <x:v>Roadmap</x:v>
      </x:c>
      <x:c r="B36" s="17" t="str">
        <x:v>Cantidad</x:v>
      </x:c>
      <x:c r="D36" s="29" t="str">
        <x:v>Alertas de publicación / H6</x:v>
      </x:c>
      <x:c r="E36" s="29"/>
      <x:c r="F36" s="29"/>
      <x:c r="G36" s="29"/>
      <x:c r="H36" s="29"/>
      <x:c r="I36" s="29"/>
      <x:c r="J36" s="29"/>
      <x:c r="K36" s="29"/>
    </x:row>
    <x:row r="37">
      <x:c r="A37" t="str">
        <x:v>DONE</x:v>
      </x:c>
      <x:c r="B37" t="n">
        <x:f>COUNTIF('21_Roadmap_Contenido'!$E$5:$E$32,A37)</x:f>
        <x:v>0</x:v>
      </x:c>
      <x:c r="D37" s="17" t="str">
        <x:v>Alerta</x:v>
      </x:c>
      <x:c r="E37" s="17" t="str">
        <x:v>Estado</x:v>
      </x:c>
      <x:c r="F37" s="17" t="str">
        <x:v>Acción</x:v>
      </x:c>
      <x:c r="G37" s="17" t="str">
        <x:v>Gate</x:v>
      </x:c>
    </x:row>
    <x:row r="38">
      <x:c r="A38" t="str">
        <x:v>IN PROGRESS</x:v>
      </x:c>
      <x:c r="B38" t="n">
        <x:f>COUNTIF('21_Roadmap_Contenido'!$E$5:$E$32,A38)</x:f>
        <x:v>3</x:v>
      </x:c>
      <x:c r="D38" s="24" t="str">
        <x:v>Dual product catalog</x:v>
      </x:c>
      <x:c r="E38" s="24" t="str">
        <x:v>Open</x:v>
      </x:c>
      <x:c r="F38" s="24" t="str">
        <x:v>Choose authority and migrate aliases/save.</x:v>
      </x:c>
      <x:c r="G38" s="24" t="str">
        <x:v>Sprint 17 / H6</x:v>
      </x:c>
    </x:row>
    <x:row r="39">
      <x:c r="A39" t="str">
        <x:v>PENDING</x:v>
      </x:c>
      <x:c r="B39" t="n">
        <x:f>COUNTIF('21_Roadmap_Contenido'!$E$5:$E$32,A39)</x:f>
        <x:v>7</x:v>
      </x:c>
      <x:c r="D39" s="24" t="str">
        <x:v>StoreInitial runtime migration</x:v>
      </x:c>
      <x:c r="E39" s="24" t="str">
        <x:v>Open</x:v>
      </x:c>
      <x:c r="F39" s="24" t="str">
        <x:v>Build Profile, runtime setting, SceneContext and blockout.</x:v>
      </x:c>
      <x:c r="G39" s="24" t="str">
        <x:v>Sprint 16</x:v>
      </x:c>
    </x:row>
    <x:row r="40">
      <x:c r="A40" t="str">
        <x:v>NOT OPEN</x:v>
      </x:c>
      <x:c r="B40" t="n">
        <x:f>COUNTIF('21_Roadmap_Contenido'!$E$5:$E$32,A40)</x:f>
        <x:v>4</x:v>
      </x:c>
      <x:c r="D40" s="24" t="str">
        <x:v>ES/EN string tables</x:v>
      </x:c>
      <x:c r="E40" s="24" t="str">
        <x:v>Missing</x:v>
      </x:c>
      <x:c r="F40" s="24" t="str">
        <x:v>Create localization tables and layout tests.</x:v>
      </x:c>
      <x:c r="G40" s="24" t="str">
        <x:v>Sprint 17 / H6</x:v>
      </x:c>
    </x:row>
    <x:row r="41">
      <x:c r="A41" t="str">
        <x:v>BLOCKED</x:v>
      </x:c>
      <x:c r="B41" t="n">
        <x:f>COUNTIF('21_Roadmap_Contenido'!$E$5:$E$32,A41)</x:f>
        <x:v>0</x:v>
      </x:c>
      <x:c r="D41" s="24" t="str">
        <x:v>Dedicated VFX</x:v>
      </x:c>
      <x:c r="E41" s="24" t="str">
        <x:v>Missing/Placeholder</x:v>
      </x:c>
      <x:c r="F41" s="24" t="str">
        <x:v>Approve fallbacks or create critical assets.</x:v>
      </x:c>
      <x:c r="G41" s="24" t="str">
        <x:v>Sprint 17 / H6</x:v>
      </x:c>
    </x:row>
    <x:row r="42">
      <x:c r="A42" t="str">
        <x:v>DEFERRED</x:v>
      </x:c>
      <x:c r="B42" t="n">
        <x:f>COUNTIF('21_Roadmap_Contenido'!$E$5:$E$32,A42)</x:f>
        <x:v>0</x:v>
      </x:c>
      <x:c r="D42" s="24" t="str">
        <x:v>Audio mix/loops</x:v>
      </x:c>
      <x:c r="E42" s="24" t="str">
        <x:v>Representative</x:v>
      </x:c>
      <x:c r="F42" s="24" t="str">
        <x:v>Replace/approve loops, concurrency and listening QA.</x:v>
      </x:c>
      <x:c r="G42" s="24" t="str">
        <x:v>Sprint 17 / H6</x:v>
      </x:c>
    </x:row>
    <x:row r="43">
      <x:c r="A43" t="str">
        <x:v>VISION</x:v>
      </x:c>
      <x:c r="B43" t="n">
        <x:f>COUNTIF('21_Roadmap_Contenido'!$E$5:$E$32,A43)</x:f>
        <x:v>13</x:v>
      </x:c>
      <x:c r="D43" s="24" t="str">
        <x:v>Licensing provenance</x:v>
      </x:c>
      <x:c r="E43" s="24" t="str">
        <x:v>Partial</x:v>
      </x:c>
      <x:c r="F43" s="24" t="str">
        <x:v>Complete per-asset/clip/concept register.</x:v>
      </x:c>
      <x:c r="G43" s="24" t="str">
        <x:v>H6</x:v>
      </x:c>
    </x:row>
    <x:row r="45" ht="32" customHeight="1">
      <x:c r="A45" s="64" t="str">
        <x:v>Integración 00–34</x:v>
      </x:c>
      <x:c r="B45" s="64"/>
      <x:c r="C45" s="64"/>
      <x:c r="D45" s="64" t="str">
        <x:v>Área</x:v>
      </x:c>
      <x:c r="E45" s="64" t="str">
        <x:v>Estado</x:v>
      </x:c>
      <x:c r="F45" s="64" t="str">
        <x:v>Acción</x:v>
      </x:c>
      <x:c r="G45" s="64" t="str">
        <x:v>Gate</x:v>
      </x:c>
      <x:c r="H45" s="64"/>
      <x:c r="I45" s="64"/>
      <x:c r="J45" s="64"/>
      <x:c r="K45" s="64"/>
    </x:row>
    <x:row r="46" ht="32" customHeight="1">
      <x:c r="A46" s="58" t="str">
        <x:v>Controles vigentes</x:v>
      </x:c>
      <x:c r="B46" s="58" t="str">
        <x:v>17</x:v>
      </x:c>
      <x:c r="C46" s="58"/>
      <x:c r="D46" s="58" t="str">
        <x:v>Accesibilidad</x:v>
      </x:c>
      <x:c r="E46" s="58" t="str">
        <x:v>OPEN</x:v>
      </x:c>
      <x:c r="F46" s="58" t="str">
        <x:v>Validar contenido, cues, escalado y alternativas con 29/31</x:v>
      </x:c>
      <x:c r="G46" s="58" t="str">
        <x:v>H6</x:v>
      </x:c>
      <x:c r="H46" s="58"/>
      <x:c r="I46" s="58"/>
      <x:c r="J46" s="58"/>
      <x:c r="K46" s="58"/>
    </x:row>
    <x:row r="47" ht="32" customHeight="1">
      <x:c r="A47" s="58" t="str">
        <x:v>Documentos actuales</x:v>
      </x:c>
      <x:c r="B47" s="58" t="str">
        <x:v>35</x:v>
      </x:c>
      <x:c r="C47" s="58"/>
      <x:c r="D47" s="58" t="str">
        <x:v>Rendimiento</x:v>
      </x:c>
      <x:c r="E47" s="58" t="str">
        <x:v>OPEN</x:v>
      </x:c>
      <x:c r="F47" s="58" t="str">
        <x:v>Perfilar escena y assets con presupuestos de 30</x:v>
      </x:c>
      <x:c r="G47" s="58" t="str">
        <x:v>H6</x:v>
      </x:c>
      <x:c r="H47" s="58"/>
      <x:c r="I47" s="58"/>
      <x:c r="J47" s="58"/>
      <x:c r="K47" s="58"/>
    </x:row>
    <x:row r="48" ht="32" customHeight="1">
      <x:c r="A48" s="58" t="str">
        <x:v>Próximo documento</x:v>
      </x:c>
      <x:c r="B48" s="58" t="str">
        <x:v>23</x:v>
      </x:c>
      <x:c r="C48" s="58"/>
      <x:c r="D48" s="58" t="str">
        <x:v>Claims / medios públicos</x:v>
      </x:c>
      <x:c r="E48" s="58" t="str">
        <x:v>NOT OPEN</x:v>
      </x:c>
      <x:c r="F48" s="58" t="str">
        <x:v>Reconciliar licencias y autorizar mediante 23/28/31</x:v>
      </x:c>
      <x:c r="G48" s="58" t="str">
        <x:v>Premarketing</x:v>
      </x:c>
      <x:c r="H48" s="58"/>
      <x:c r="I48" s="58"/>
      <x:c r="J48" s="58"/>
      <x:c r="K48" s="58"/>
    </x:row>
    <x:row r="49" ht="32" customHeight="1">
      <x:c r="A49" s="58" t="str">
        <x:v>Baseline manifest</x:v>
      </x:c>
      <x:c r="B49" s="58" t="str">
        <x:v>CANDIDATE</x:v>
      </x:c>
      <x:c r="C49" s="58"/>
      <x:c r="D49" s="58" t="str">
        <x:v>Seguridad / privacidad</x:v>
      </x:c>
      <x:c r="E49" s="58" t="str">
        <x:v>OPEN</x:v>
      </x:c>
      <x:c r="F49" s="58" t="str">
        <x:v>Revisar paquetes, metadatos, logs y capturas con 26/27</x:v>
      </x:c>
      <x:c r="G49" s="58" t="str">
        <x:v>H6 / RC</x:v>
      </x:c>
      <x:c r="H49" s="58"/>
      <x:c r="I49" s="58"/>
      <x:c r="J49" s="58"/>
      <x:c r="K49" s="58"/>
    </x:row>
    <x:row r="50" ht="32" customHeight="1">
      <x:c r="A50" s="58" t="str">
        <x:v>Continuidad</x:v>
      </x:c>
      <x:c r="B50" s="58" t="str">
        <x:v>UNVERIFIED</x:v>
      </x:c>
      <x:c r="C50" s="58"/>
      <x:c r="D50" s="58" t="str">
        <x:v>Backup / restore de fuentes</x:v>
      </x:c>
      <x:c r="E50" s="58" t="str">
        <x:v>OPEN</x:v>
      </x:c>
      <x:c r="F50" s="58" t="str">
        <x:v>Ejecutar restauración y hashes con 32–34</x:v>
      </x:c>
      <x:c r="G50" s="58" t="str">
        <x:v>Final Baseline</x:v>
      </x:c>
      <x:c r="H50" s="58"/>
      <x:c r="I50" s="58"/>
      <x:c r="J50" s="58"/>
      <x:c r="K50" s="58"/>
    </x:row>
  </x:sheetData>
  <x:mergeCells>
    <x:mergeCell ref="A4:B4"/>
    <x:mergeCell ref="A5:B5"/>
    <x:mergeCell ref="D4:E4"/>
    <x:mergeCell ref="D5:E5"/>
    <x:mergeCell ref="G4:H4"/>
    <x:mergeCell ref="G5:H5"/>
    <x:mergeCell ref="J4:K4"/>
    <x:mergeCell ref="J5:K5"/>
    <x:mergeCell ref="A7:B7"/>
    <x:mergeCell ref="A8:B8"/>
    <x:mergeCell ref="D7:E7"/>
    <x:mergeCell ref="D8:E8"/>
    <x:mergeCell ref="G7:H7"/>
    <x:mergeCell ref="G8:H8"/>
    <x:mergeCell ref="J7:K7"/>
    <x:mergeCell ref="J8:K8"/>
    <x:mergeCell ref="A10:B10"/>
    <x:mergeCell ref="A11:B11"/>
    <x:mergeCell ref="D10:E10"/>
    <x:mergeCell ref="D11:E11"/>
    <x:mergeCell ref="G10:H10"/>
    <x:mergeCell ref="G11:H11"/>
    <x:mergeCell ref="J10:K10"/>
    <x:mergeCell ref="J11:K11"/>
    <x:mergeCell ref="A14:K14"/>
    <x:mergeCell ref="D36:K36"/>
    <x:mergeCell ref="A1:K1"/>
    <x:mergeCell ref="A2:K2"/>
  </x:mergeCells>
  <x:conditionalFormatting sqref="E38:E43">
    <x:cfRule type="expression" dxfId="200" priority="1">
      <x:formula>OR(ISNUMBER(SEARCH("PASS",E38)),ISNUMBER(SEARCH("CANONICAL",E38)),ISNUMBER(SEARCH("DONE",E38)))</x:formula>
    </x:cfRule>
    <x:cfRule type="expression" dxfId="201" priority="2">
      <x:formula>OR(ISNUMBER(SEARCH("BLOCK",E38)),ISNUMBER(SEARCH("FAIL",E38)),ISNUMBER(SEARCH("S1",E38)))</x:formula>
    </x:cfRule>
    <x:cfRule type="expression" dxfId="202" priority="3">
      <x:formula>OR(ISNUMBER(SEARCH("PENDING",E38)),ISNUMBER(SEARCH("PLANNED",E38)),ISNUMBER(SEARCH("PARTIAL",E38)),ISNUMBER(SEARCH("PLACEHOLDER",E38)))</x:formula>
    </x:cfRule>
    <x:cfRule type="expression" dxfId="203" priority="4">
      <x:formula>OR(ISNUMBER(SEARCH("VISION",E38)),ISNUMBER(SEARCH("HISTORICAL",E38)))</x:formula>
    </x:cfRule>
  </x:conditionalFormatting>
  <x:pageMargins left="0.7" right="0.7" top="0.75" bottom="0.75" header="0.3" footer="0.3"/>
  <x:drawing xmlns:r="http://schemas.openxmlformats.org/officeDocument/2006/relationships" r:id="R54d2bbd7bd8e4670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12" hidden="0" customWidth="1"/>
    <x:col min="5" max="5" width="18" hidden="0" customWidth="1"/>
    <x:col min="6" max="6" width="26" hidden="0" customWidth="1"/>
    <x:col min="7" max="7" width="28" hidden="0" customWidth="1"/>
    <x:col min="8" max="8" width="30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4" hidden="0" customWidth="1"/>
    <x:col min="14" max="14" width="20" hidden="0" customWidth="1"/>
    <x:col min="15" max="15" width="20" hidden="0" customWidth="1"/>
    <x:col min="16" max="16" width="50" hidden="0" customWidth="1"/>
    <x:col min="17" max="17" width="36" hidden="0" customWidth="1"/>
    <x:col min="18" max="18" width="50" hidden="0" customWidth="1"/>
    <x:col min="19" max="19" width="36" hidden="0" customWidth="1"/>
    <x:col min="20" max="20" width="50" hidden="0" customWidth="1"/>
    <x:col min="21" max="21" width="36" hidden="0" customWidth="1"/>
    <x:col min="22" max="22" width="42" hidden="0" customWidth="1"/>
    <x:col min="23" max="23" width="10" hidden="0" customWidth="1"/>
    <x:col min="24" max="24" width="12" hidden="0" customWidth="1"/>
    <x:col min="25" max="25" width="28" hidden="0" customWidth="1"/>
    <x:col min="26" max="26" width="38" hidden="0" customWidth="1"/>
    <x:col min="27" max="27" width="22" hidden="0" customWidth="1"/>
    <x:col min="28" max="28" width="30" hidden="0" customWidth="1"/>
    <x:col min="29" max="29" width="52" hidden="0" customWidth="1"/>
  </x:cols>
  <x:sheetData>
    <x:row r="1" ht="30" customHeight="1">
      <x:c r="A1" s="4" t="str">
        <x:v>Productos canónicos Phase 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2" ht="22" customHeight="1">
      <x:c r="A2" s="10" t="str">
        <x:v>Productos jugables vigentes de ContentCatalog.asset.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</x:row>
    <x:row r="4" ht="36" customHeight="1">
      <x:c r="A4" s="17" t="str">
        <x:v>Content ID</x:v>
      </x:c>
      <x:c r="B4" s="17" t="str">
        <x:v>Product ID</x:v>
      </x:c>
      <x:c r="C4" s="17" t="str">
        <x:v>Nombre</x:v>
      </x:c>
      <x:c r="D4" s="17" t="str">
        <x:v>Tipo/Kind</x:v>
      </x:c>
      <x:c r="E4" s="17" t="str">
        <x:v>Familia</x:v>
      </x:c>
      <x:c r="F4" s="17" t="str">
        <x:v>Estado canónico</x:v>
      </x:c>
      <x:c r="G4" s="17" t="str">
        <x:v>Implementación</x:v>
      </x:c>
      <x:c r="H4" s="17" t="str">
        <x:v>Validación</x:v>
      </x:c>
      <x:c r="I4" s="17" t="str">
        <x:v>Coste €</x:v>
      </x:c>
      <x:c r="J4" s="17" t="str">
        <x:v>Precio €</x:v>
      </x:c>
      <x:c r="K4" s="17" t="str">
        <x:v>Margen €</x:v>
      </x:c>
      <x:c r="L4" s="17" t="str">
        <x:v>Margen %</x:v>
      </x:c>
      <x:c r="M4" s="17" t="str">
        <x:v>Unidades/caja</x:v>
      </x:c>
      <x:c r="N4" s="17" t="str">
        <x:v>Material ID</x:v>
      </x:c>
      <x:c r="O4" s="17" t="str">
        <x:v>Label ID</x:v>
      </x:c>
      <x:c r="P4" s="17" t="str">
        <x:v>Prefab</x:v>
      </x:c>
      <x:c r="Q4" s="17" t="str">
        <x:v>Prefab GUID</x:v>
      </x:c>
      <x:c r="R4" s="17" t="str">
        <x:v>Icono</x:v>
      </x:c>
      <x:c r="S4" s="17" t="str">
        <x:v>Icono GUID</x:v>
      </x:c>
      <x:c r="T4" s="17" t="str">
        <x:v>Cover</x:v>
      </x:c>
      <x:c r="U4" s="17" t="str">
        <x:v>Cover GUID</x:v>
      </x:c>
      <x:c r="V4" s="17" t="str">
        <x:v>Catálogo runtime</x:v>
      </x:c>
      <x:c r="W4" s="17" t="str">
        <x:v>Sprint</x:v>
      </x:c>
      <x:c r="X4" s="17" t="str">
        <x:v>Hito</x:v>
      </x:c>
      <x:c r="Y4" s="17" t="str">
        <x:v>Requisito</x:v>
      </x:c>
      <x:c r="Z4" s="17" t="str">
        <x:v>Test/Evidencia</x:v>
      </x:c>
      <x:c r="AA4" s="17" t="str">
        <x:v>Licencia</x:v>
      </x:c>
      <x:c r="AB4" s="17" t="str">
        <x:v>Fuente histórica</x:v>
      </x:c>
      <x:c r="AC4" s="17" t="str">
        <x:v>Notas</x:v>
      </x:c>
    </x:row>
    <x:row r="5" ht="34" customHeight="1">
      <x:c r="A5" s="24" t="str">
        <x:v>PRD-CAN-001</x:v>
      </x:c>
      <x:c r="B5" s="24" t="str">
        <x:v>game-neon-drift</x:v>
      </x:c>
      <x:c r="C5" s="24" t="str">
        <x:v>Neon Drift</x:v>
      </x:c>
      <x:c r="D5" s="24" t="str">
        <x:v>0</x:v>
      </x:c>
      <x:c r="E5" s="24" t="str">
        <x:v>Videojuego</x:v>
      </x:c>
      <x:c r="F5" s="24" t="str">
        <x:v>CANONICAL / PHASE 1</x:v>
      </x:c>
      <x:c r="G5" s="24" t="str">
        <x:v>Runtime catalog linked</x:v>
      </x:c>
      <x:c r="H5" s="24" t="str">
        <x:v>Automated link PASS / Visual pending</x:v>
      </x:c>
      <x:c r="I5" s="32" t="n">
        <x:v>15</x:v>
      </x:c>
      <x:c r="J5" s="32" t="n">
        <x:v>29.99</x:v>
      </x:c>
      <x:c r="K5" s="32" t="n">
        <x:f>J5-I5</x:f>
        <x:v>14.989999999999998</x:v>
      </x:c>
      <x:c r="L5" s="34" t="n">
        <x:f>IF(J5=0,0,K5/J5)</x:f>
        <x:v>0.49983327775925307</x:v>
      </x:c>
      <x:c r="M5" s="24" t="n">
        <x:v>12</x:v>
      </x:c>
      <x:c r="N5" s="24" t="str">
        <x:v>product-game</x:v>
      </x:c>
      <x:c r="O5" s="24" t="str">
        <x:v>label-neon-drift</x:v>
      </x:c>
      <x:c r="P5" s="24" t="str">
        <x:v>Assets/_Project/Prefabs/Products/NeonDrift.prefab</x:v>
      </x:c>
      <x:c r="Q5" s="24" t="str">
        <x:v>5ff5d278aad9e48c26952b67e72c9405</x:v>
      </x:c>
      <x:c r="R5" s="24" t="str">
        <x:v>Assets/_Project/Art/Textures/Products/Icons/game-neon-drift_icon.png</x:v>
      </x:c>
      <x:c r="S5" s="24" t="str">
        <x:v>5446fc2e413d4c4501d24e5f36c02441</x:v>
      </x:c>
      <x:c r="T5" s="24" t="str">
        <x:v>Assets/_Project/Art/Textures/Products/Covers/game-neon-drift_cover.png</x:v>
      </x:c>
      <x:c r="U5" s="24" t="str">
        <x:v>95a08376e01a66e9fb8be705367e8e70</x:v>
      </x:c>
      <x:c r="V5" s="24" t="str">
        <x:v>Assets/_Project/Data/Catalogs/ContentCatalog.asset</x:v>
      </x:c>
      <x:c r="W5" s="24" t="n">
        <x:v>16</x:v>
      </x:c>
      <x:c r="X5" s="24" t="str">
        <x:v>H6</x:v>
      </x:c>
      <x:c r="Y5" s="24" t="str">
        <x:v>VS-ART-001;VS-ECO-001;VS-INV-001</x:v>
      </x:c>
      <x:c r="Z5" s="24" t="str">
        <x:v>Automated catalog/prefab link; authored-scene review pending</x:v>
      </x:c>
      <x:c r="AA5" s="24" t="str">
        <x:v>Internal/Approved</x:v>
      </x:c>
      <x:c r="AB5" s="24" t="str">
        <x:v>Initial Content Catalog v0.3</x:v>
      </x:c>
      <x:c r="AC5" s="24" t="str">
        <x:v>Producto Phase 1 vigente; no asumir equivalencia con IDs técnicos.</x:v>
      </x:c>
    </x:row>
    <x:row r="6" ht="34" customHeight="1">
      <x:c r="A6" s="24" t="str">
        <x:v>PRD-CAN-002</x:v>
      </x:c>
      <x:c r="B6" s="24" t="str">
        <x:v>case-cloud-runner</x:v>
      </x:c>
      <x:c r="C6" s="24" t="str">
        <x:v>Cloud Runner Case</x:v>
      </x:c>
      <x:c r="D6" s="24" t="str">
        <x:v>1</x:v>
      </x:c>
      <x:c r="E6" s="24" t="str">
        <x:v>Case/Juego</x:v>
      </x:c>
      <x:c r="F6" s="24" t="str">
        <x:v>CANONICAL / PHASE 1</x:v>
      </x:c>
      <x:c r="G6" s="24" t="str">
        <x:v>Runtime catalog linked</x:v>
      </x:c>
      <x:c r="H6" s="24" t="str">
        <x:v>Automated link PASS / Visual pending</x:v>
      </x:c>
      <x:c r="I6" s="32" t="n">
        <x:v>8</x:v>
      </x:c>
      <x:c r="J6" s="32" t="n">
        <x:v>14.99</x:v>
      </x:c>
      <x:c r="K6" s="32" t="n">
        <x:f>J6-I6</x:f>
        <x:v>6.99</x:v>
      </x:c>
      <x:c r="L6" s="34" t="n">
        <x:f>IF(J6=0,0,K6/J6)</x:f>
        <x:v>0.46631087391594395</x:v>
      </x:c>
      <x:c r="M6" s="24" t="n">
        <x:v>16</x:v>
      </x:c>
      <x:c r="N6" s="24" t="str">
        <x:v>product-case</x:v>
      </x:c>
      <x:c r="O6" s="24" t="str">
        <x:v>label-cloud-runner</x:v>
      </x:c>
      <x:c r="P6" s="24" t="str">
        <x:v>Assets/_Project/Prefabs/Products/CloudRunnerCase.prefab</x:v>
      </x:c>
      <x:c r="Q6" s="24" t="str">
        <x:v>a61666dd7120c6ca962105fa1a44ad89</x:v>
      </x:c>
      <x:c r="R6" s="24" t="str">
        <x:v>Assets/_Project/Art/Textures/Products/Icons/case-cloud-runner_icon.png</x:v>
      </x:c>
      <x:c r="S6" s="24" t="str">
        <x:v>8c0a1718ad8cc09611a641f822dd6876</x:v>
      </x:c>
      <x:c r="T6" s="24" t="str">
        <x:v>Assets/_Project/Art/Textures/Products/Covers/case-cloud-runner_cover.png</x:v>
      </x:c>
      <x:c r="U6" s="24" t="str">
        <x:v>02a2a492a281853daab6388d0ee18a34</x:v>
      </x:c>
      <x:c r="V6" s="24" t="str">
        <x:v>Assets/_Project/Data/Catalogs/ContentCatalog.asset</x:v>
      </x:c>
      <x:c r="W6" s="24" t="n">
        <x:v>16</x:v>
      </x:c>
      <x:c r="X6" s="24" t="str">
        <x:v>H6</x:v>
      </x:c>
      <x:c r="Y6" s="24" t="str">
        <x:v>VS-ART-001;VS-ECO-001;VS-INV-001</x:v>
      </x:c>
      <x:c r="Z6" s="24" t="str">
        <x:v>Automated catalog/prefab link; authored-scene review pending</x:v>
      </x:c>
      <x:c r="AA6" s="24" t="str">
        <x:v>Internal/Approved</x:v>
      </x:c>
      <x:c r="AB6" s="24" t="str">
        <x:v>Initial Content Catalog v0.3</x:v>
      </x:c>
      <x:c r="AC6" s="24" t="str">
        <x:v>Producto Phase 1 vigente; no asumir equivalencia con IDs técnicos.</x:v>
      </x:c>
    </x:row>
    <x:row r="7" ht="34" customHeight="1">
      <x:c r="A7" s="24" t="str">
        <x:v>PRD-CAN-003</x:v>
      </x:c>
      <x:c r="B7" s="24" t="str">
        <x:v>console-vertex-one</x:v>
      </x:c>
      <x:c r="C7" s="24" t="str">
        <x:v>Vertex One Console</x:v>
      </x:c>
      <x:c r="D7" s="24" t="str">
        <x:v>2</x:v>
      </x:c>
      <x:c r="E7" s="24" t="str">
        <x:v>Consola</x:v>
      </x:c>
      <x:c r="F7" s="24" t="str">
        <x:v>CANONICAL / PHASE 1</x:v>
      </x:c>
      <x:c r="G7" s="24" t="str">
        <x:v>Runtime catalog linked</x:v>
      </x:c>
      <x:c r="H7" s="24" t="str">
        <x:v>Automated link PASS / Visual pending</x:v>
      </x:c>
      <x:c r="I7" s="32" t="n">
        <x:v>180</x:v>
      </x:c>
      <x:c r="J7" s="32" t="n">
        <x:v>249.99</x:v>
      </x:c>
      <x:c r="K7" s="32" t="n">
        <x:f>J7-I7</x:f>
        <x:v>69.99000000000001</x:v>
      </x:c>
      <x:c r="L7" s="34" t="n">
        <x:f>IF(J7=0,0,K7/J7)</x:f>
        <x:v>0.27997119884795396</x:v>
      </x:c>
      <x:c r="M7" s="24" t="n">
        <x:v>2</x:v>
      </x:c>
      <x:c r="N7" s="24" t="str">
        <x:v>product-console</x:v>
      </x:c>
      <x:c r="O7" s="24" t="str">
        <x:v>label-vertex-one</x:v>
      </x:c>
      <x:c r="P7" s="24" t="str">
        <x:v>Assets/_Project/Prefabs/Products/VertexOneConsole.prefab</x:v>
      </x:c>
      <x:c r="Q7" s="24" t="str">
        <x:v>a13d977b9b4144699385c65def0e446a</x:v>
      </x:c>
      <x:c r="R7" s="24" t="str">
        <x:v>Assets/_Project/Art/Textures/Products/Icons/console-vertex-one_icon.png</x:v>
      </x:c>
      <x:c r="S7" s="24" t="str">
        <x:v>6aa6b1239ca9f6cdfd2bb6023eb4c1c4</x:v>
      </x:c>
      <x:c r="T7" s="24" t="str">
        <x:v>Assets/_Project/Art/Textures/Products/Covers/console-vertex-one_cover.png</x:v>
      </x:c>
      <x:c r="U7" s="24" t="str">
        <x:v>36c44215e08a5796632b24c7f3fd1ebd</x:v>
      </x:c>
      <x:c r="V7" s="24" t="str">
        <x:v>Assets/_Project/Data/Catalogs/ContentCatalog.asset</x:v>
      </x:c>
      <x:c r="W7" s="24" t="n">
        <x:v>16</x:v>
      </x:c>
      <x:c r="X7" s="24" t="str">
        <x:v>H6</x:v>
      </x:c>
      <x:c r="Y7" s="24" t="str">
        <x:v>VS-ART-001;VS-ECO-001;VS-INV-001</x:v>
      </x:c>
      <x:c r="Z7" s="24" t="str">
        <x:v>Automated catalog/prefab link; authored-scene review pending</x:v>
      </x:c>
      <x:c r="AA7" s="24" t="str">
        <x:v>Internal/Approved</x:v>
      </x:c>
      <x:c r="AB7" s="24" t="str">
        <x:v>Initial Content Catalog v0.3</x:v>
      </x:c>
      <x:c r="AC7" s="24" t="str">
        <x:v>Producto Phase 1 vigente; no asumir equivalencia con IDs técnicos.</x:v>
      </x:c>
    </x:row>
    <x:row r="8" ht="34" customHeight="1">
      <x:c r="A8" s="24" t="str">
        <x:v>PRD-CAN-004</x:v>
      </x:c>
      <x:c r="B8" s="24" t="str">
        <x:v>controller-orbit-pad</x:v>
      </x:c>
      <x:c r="C8" s="24" t="str">
        <x:v>Orbit Pad Controller</x:v>
      </x:c>
      <x:c r="D8" s="24" t="str">
        <x:v>3</x:v>
      </x:c>
      <x:c r="E8" s="24" t="str">
        <x:v>Mando</x:v>
      </x:c>
      <x:c r="F8" s="24" t="str">
        <x:v>CANONICAL / PHASE 1</x:v>
      </x:c>
      <x:c r="G8" s="24" t="str">
        <x:v>Runtime catalog linked</x:v>
      </x:c>
      <x:c r="H8" s="24" t="str">
        <x:v>Automated link PASS / Visual pending</x:v>
      </x:c>
      <x:c r="I8" s="32" t="n">
        <x:v>30</x:v>
      </x:c>
      <x:c r="J8" s="32" t="n">
        <x:v>49.99</x:v>
      </x:c>
      <x:c r="K8" s="32" t="n">
        <x:f>J8-I8</x:f>
        <x:v>19.990000000000002</x:v>
      </x:c>
      <x:c r="L8" s="34" t="n">
        <x:f>IF(J8=0,0,K8/J8)</x:f>
        <x:v>0.3998799759951991</x:v>
      </x:c>
      <x:c r="M8" s="24" t="n">
        <x:v>6</x:v>
      </x:c>
      <x:c r="N8" s="24" t="str">
        <x:v>product-controller</x:v>
      </x:c>
      <x:c r="O8" s="24" t="str">
        <x:v>label-orbit-pad</x:v>
      </x:c>
      <x:c r="P8" s="24" t="str">
        <x:v>Assets/_Project/Prefabs/Products/OrbitPadController.prefab</x:v>
      </x:c>
      <x:c r="Q8" s="24" t="str">
        <x:v>284a9c89ea04890133aedc074bfb9780</x:v>
      </x:c>
      <x:c r="R8" s="24" t="str">
        <x:v>Assets/_Project/Art/Textures/Products/Icons/controller-orbit-pad_icon.png</x:v>
      </x:c>
      <x:c r="S8" s="24" t="str">
        <x:v>a5a7682e0808b2d2d51bdf3ef57fe2a1</x:v>
      </x:c>
      <x:c r="T8" s="24" t="str">
        <x:v>Assets/_Project/Art/Textures/Products/Covers/controller-orbit-pad_cover.png</x:v>
      </x:c>
      <x:c r="U8" s="24" t="str">
        <x:v>1df6feaefb37bee2c723271f297c84fa</x:v>
      </x:c>
      <x:c r="V8" s="24" t="str">
        <x:v>Assets/_Project/Data/Catalogs/ContentCatalog.asset</x:v>
      </x:c>
      <x:c r="W8" s="24" t="n">
        <x:v>16</x:v>
      </x:c>
      <x:c r="X8" s="24" t="str">
        <x:v>H6</x:v>
      </x:c>
      <x:c r="Y8" s="24" t="str">
        <x:v>VS-ART-001;VS-ECO-001;VS-INV-001</x:v>
      </x:c>
      <x:c r="Z8" s="24" t="str">
        <x:v>Automated catalog/prefab link; authored-scene review pending</x:v>
      </x:c>
      <x:c r="AA8" s="24" t="str">
        <x:v>Internal/Approved</x:v>
      </x:c>
      <x:c r="AB8" s="24" t="str">
        <x:v>Initial Content Catalog v0.3</x:v>
      </x:c>
      <x:c r="AC8" s="24" t="str">
        <x:v>Producto Phase 1 vigente; no asumir equivalencia con IDs técnicos.</x:v>
      </x:c>
    </x:row>
    <x:row r="9" ht="34" customHeight="1">
      <x:c r="A9" s="24" t="str">
        <x:v>PRD-CAN-005</x:v>
      </x:c>
      <x:c r="B9" s="24" t="str">
        <x:v>headset-signal-pro</x:v>
      </x:c>
      <x:c r="C9" s="24" t="str">
        <x:v>Signal Pro Headset</x:v>
      </x:c>
      <x:c r="D9" s="24" t="str">
        <x:v>4</x:v>
      </x:c>
      <x:c r="E9" s="24" t="str">
        <x:v>Auriculares</x:v>
      </x:c>
      <x:c r="F9" s="24" t="str">
        <x:v>CANONICAL / PHASE 1</x:v>
      </x:c>
      <x:c r="G9" s="24" t="str">
        <x:v>Runtime catalog linked</x:v>
      </x:c>
      <x:c r="H9" s="24" t="str">
        <x:v>Automated link PASS / Visual pending</x:v>
      </x:c>
      <x:c r="I9" s="32" t="n">
        <x:v>45</x:v>
      </x:c>
      <x:c r="J9" s="32" t="n">
        <x:v>69.99</x:v>
      </x:c>
      <x:c r="K9" s="32" t="n">
        <x:f>J9-I9</x:f>
        <x:v>24.989999999999995</x:v>
      </x:c>
      <x:c r="L9" s="34" t="n">
        <x:f>IF(J9=0,0,K9/J9)</x:f>
        <x:v>0.3570510072867552</x:v>
      </x:c>
      <x:c r="M9" s="24" t="n">
        <x:v>4</x:v>
      </x:c>
      <x:c r="N9" s="24" t="str">
        <x:v>product-headset</x:v>
      </x:c>
      <x:c r="O9" s="24" t="str">
        <x:v>label-signal-pro</x:v>
      </x:c>
      <x:c r="P9" s="24" t="str">
        <x:v>Assets/_Project/Prefabs/Products/SignalProHeadset.prefab</x:v>
      </x:c>
      <x:c r="Q9" s="24" t="str">
        <x:v>2ef0238a34274b9d294281346ee99c23</x:v>
      </x:c>
      <x:c r="R9" s="24" t="str">
        <x:v>Assets/_Project/Art/Textures/Products/Icons/headset-signal-pro_icon.png</x:v>
      </x:c>
      <x:c r="S9" s="24" t="str">
        <x:v>c2eab608e2f22d55399d6e4ae9b1b706</x:v>
      </x:c>
      <x:c r="T9" s="24" t="str">
        <x:v>Assets/_Project/Art/Textures/Products/Covers/headset-signal-pro_cover.png</x:v>
      </x:c>
      <x:c r="U9" s="24" t="str">
        <x:v>555516fd940c23a935886572fcb5dbda</x:v>
      </x:c>
      <x:c r="V9" s="24" t="str">
        <x:v>Assets/_Project/Data/Catalogs/ContentCatalog.asset</x:v>
      </x:c>
      <x:c r="W9" s="24" t="n">
        <x:v>16</x:v>
      </x:c>
      <x:c r="X9" s="24" t="str">
        <x:v>H6</x:v>
      </x:c>
      <x:c r="Y9" s="24" t="str">
        <x:v>VS-ART-001;VS-ECO-001;VS-INV-001</x:v>
      </x:c>
      <x:c r="Z9" s="24" t="str">
        <x:v>Automated catalog/prefab link; authored-scene review pending</x:v>
      </x:c>
      <x:c r="AA9" s="24" t="str">
        <x:v>Internal/Approved</x:v>
      </x:c>
      <x:c r="AB9" s="24" t="str">
        <x:v>Initial Content Catalog v0.3</x:v>
      </x:c>
      <x:c r="AC9" s="24" t="str">
        <x:v>Producto Phase 1 vigente; no asumir equivalencia con IDs técnicos.</x:v>
      </x:c>
    </x:row>
    <x:row r="10" ht="34" customHeight="1">
      <x:c r="A10" s="24" t="str">
        <x:v>PRD-CAN-006</x:v>
      </x:c>
      <x:c r="B10" s="24" t="str">
        <x:v>accessory-memory-core</x:v>
      </x:c>
      <x:c r="C10" s="24" t="str">
        <x:v>Memory Core Accessory</x:v>
      </x:c>
      <x:c r="D10" s="24" t="str">
        <x:v>5</x:v>
      </x:c>
      <x:c r="E10" s="24" t="str">
        <x:v>Accesorio</x:v>
      </x:c>
      <x:c r="F10" s="24" t="str">
        <x:v>CANONICAL / PHASE 1</x:v>
      </x:c>
      <x:c r="G10" s="24" t="str">
        <x:v>Runtime catalog linked</x:v>
      </x:c>
      <x:c r="H10" s="24" t="str">
        <x:v>Automated link PASS / Visual pending</x:v>
      </x:c>
      <x:c r="I10" s="32" t="n">
        <x:v>9</x:v>
      </x:c>
      <x:c r="J10" s="32" t="n">
        <x:v>19.99</x:v>
      </x:c>
      <x:c r="K10" s="32" t="n">
        <x:f>J10-I10</x:f>
        <x:v>10.989999999999998</x:v>
      </x:c>
      <x:c r="L10" s="34" t="n">
        <x:f>IF(J10=0,0,K10/J10)</x:f>
        <x:v>0.5497748874437218</x:v>
      </x:c>
      <x:c r="M10" s="24" t="n">
        <x:v>10</x:v>
      </x:c>
      <x:c r="N10" s="24" t="str">
        <x:v>product-accessory</x:v>
      </x:c>
      <x:c r="O10" s="24" t="str">
        <x:v>label-memory-core</x:v>
      </x:c>
      <x:c r="P10" s="24" t="str">
        <x:v>Assets/_Project/Prefabs/Products/MemoryCoreAccessory.prefab</x:v>
      </x:c>
      <x:c r="Q10" s="24" t="str">
        <x:v>5ede70c331046392f8d66c885ebe2a1e</x:v>
      </x:c>
      <x:c r="R10" s="24" t="str">
        <x:v>Assets/_Project/Art/Textures/Products/Icons/accessory-memory-core_icon.png</x:v>
      </x:c>
      <x:c r="S10" s="24" t="str">
        <x:v>6d1ad708b4e4aafaed261b3d970bad30</x:v>
      </x:c>
      <x:c r="T10" s="24" t="str">
        <x:v>Assets/_Project/Art/Textures/Products/Covers/accessory-memory-core_cover.png</x:v>
      </x:c>
      <x:c r="U10" s="24" t="str">
        <x:v>99ad8e1cc769d203874d34b007d6b1fb</x:v>
      </x:c>
      <x:c r="V10" s="24" t="str">
        <x:v>Assets/_Project/Data/Catalogs/ContentCatalog.asset</x:v>
      </x:c>
      <x:c r="W10" s="24" t="n">
        <x:v>16</x:v>
      </x:c>
      <x:c r="X10" s="24" t="str">
        <x:v>H6</x:v>
      </x:c>
      <x:c r="Y10" s="24" t="str">
        <x:v>VS-ART-001;VS-ECO-001;VS-INV-001</x:v>
      </x:c>
      <x:c r="Z10" s="24" t="str">
        <x:v>Automated catalog/prefab link; authored-scene review pending</x:v>
      </x:c>
      <x:c r="AA10" s="24" t="str">
        <x:v>Internal/Approved</x:v>
      </x:c>
      <x:c r="AB10" s="24" t="str">
        <x:v>Initial Content Catalog v0.3</x:v>
      </x:c>
      <x:c r="AC10" s="24" t="str">
        <x:v>Producto Phase 1 vigente; no asumir equivalencia con IDs técnicos.</x:v>
      </x:c>
    </x:row>
  </x:sheetData>
  <x:mergeCells>
    <x:mergeCell ref="A1:AC1"/>
    <x:mergeCell ref="A2:AC2"/>
  </x:mergeCells>
  <x:conditionalFormatting sqref="F5:F10">
    <x:cfRule type="expression" dxfId="0" priority="1">
      <x:formula>OR(ISNUMBER(SEARCH("PASS",F5)),ISNUMBER(SEARCH("CANONICAL",F5)),ISNUMBER(SEARCH("DONE",F5)))</x:formula>
    </x:cfRule>
    <x:cfRule type="expression" dxfId="1" priority="2">
      <x:formula>OR(ISNUMBER(SEARCH("BLOCK",F5)),ISNUMBER(SEARCH("FAIL",F5)),ISNUMBER(SEARCH("S1",F5)))</x:formula>
    </x:cfRule>
    <x:cfRule type="expression" dxfId="2" priority="3">
      <x:formula>OR(ISNUMBER(SEARCH("PENDING",F5)),ISNUMBER(SEARCH("PLANNED",F5)),ISNUMBER(SEARCH("PARTIAL",F5)),ISNUMBER(SEARCH("PLACEHOLDER",F5)))</x:formula>
    </x:cfRule>
    <x:cfRule type="expression" dxfId="3" priority="4">
      <x:formula>OR(ISNUMBER(SEARCH("VISION",F5)),ISNUMBER(SEARCH("HISTORICAL",F5)))</x:formula>
    </x:cfRule>
  </x:conditionalFormatting>
  <x:conditionalFormatting sqref="H5:H10">
    <x:cfRule type="expression" dxfId="4" priority="5">
      <x:formula>OR(ISNUMBER(SEARCH("PASS",H5)),ISNUMBER(SEARCH("CANONICAL",H5)),ISNUMBER(SEARCH("DONE",H5)))</x:formula>
    </x:cfRule>
    <x:cfRule type="expression" dxfId="5" priority="6">
      <x:formula>OR(ISNUMBER(SEARCH("BLOCK",H5)),ISNUMBER(SEARCH("FAIL",H5)),ISNUMBER(SEARCH("S1",H5)))</x:formula>
    </x:cfRule>
    <x:cfRule type="expression" dxfId="6" priority="7">
      <x:formula>OR(ISNUMBER(SEARCH("PENDING",H5)),ISNUMBER(SEARCH("PLANNED",H5)),ISNUMBER(SEARCH("PARTIAL",H5)),ISNUMBER(SEARCH("PLACEHOLDER",H5)))</x:formula>
    </x:cfRule>
    <x:cfRule type="expression" dxfId="7" priority="8">
      <x:formula>OR(ISNUMBER(SEARCH("VISION",H5)),ISNUMBER(SEARCH("HISTORICAL",H5)))</x:formula>
    </x:cfRule>
  </x:conditionalFormatting>
  <x:conditionalFormatting sqref="G5:G10">
    <x:cfRule type="expression" dxfId="8" priority="9">
      <x:formula>OR(ISNUMBER(SEARCH("PASS",G5)),ISNUMBER(SEARCH("CANONICAL",G5)),ISNUMBER(SEARCH("DONE",G5)))</x:formula>
    </x:cfRule>
    <x:cfRule type="expression" dxfId="9" priority="10">
      <x:formula>OR(ISNUMBER(SEARCH("BLOCK",G5)),ISNUMBER(SEARCH("FAIL",G5)),ISNUMBER(SEARCH("S1",G5)))</x:formula>
    </x:cfRule>
    <x:cfRule type="expression" dxfId="10" priority="11">
      <x:formula>OR(ISNUMBER(SEARCH("PENDING",G5)),ISNUMBER(SEARCH("PLANNED",G5)),ISNUMBER(SEARCH("PARTIAL",G5)),ISNUMBER(SEARCH("PLACEHOLDER",G5)))</x:formula>
    </x:cfRule>
    <x:cfRule type="expression" dxfId="11" priority="12">
      <x:formula>OR(ISNUMBER(SEARCH("VISION",G5)),ISNUMBER(SEARCH("HISTORICAL",G5)))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510508466a4b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18" hidden="0" customWidth="1"/>
    <x:col min="5" max="5" width="26" hidden="0" customWidth="1"/>
    <x:col min="6" max="6" width="28" hidden="0" customWidth="1"/>
    <x:col min="7" max="7" width="26" hidden="0" customWidth="1"/>
    <x:col min="8" max="8" width="34" hidden="0" customWidth="1"/>
    <x:col min="9" max="9" width="15" hidden="0" customWidth="1"/>
    <x:col min="10" max="10" width="15" hidden="0" customWidth="1"/>
    <x:col min="11" max="11" width="16" hidden="0" customWidth="1"/>
    <x:col min="12" max="12" width="28" hidden="0" customWidth="1"/>
    <x:col min="13" max="13" width="64" hidden="0" customWidth="1"/>
    <x:col min="14" max="14" width="36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22" hidden="0" customWidth="1"/>
    <x:col min="20" max="20" width="52" hidden="0" customWidth="1"/>
  </x:cols>
  <x:sheetData>
    <x:row r="1" ht="30" customHeight="1">
      <x:c r="A1" s="4" t="str">
        <x:v>Productos técnicos e históricos activos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2" customHeight="1">
      <x:c r="A2" s="10" t="str">
        <x:v>Capa de datos de Sprints 6–14; requiere reconciliación con Phase 1.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 ht="36" customHeight="1">
      <x:c r="A4" s="17" t="str">
        <x:v>Content ID</x:v>
      </x:c>
      <x:c r="B4" s="17" t="str">
        <x:v>Product ID</x:v>
      </x:c>
      <x:c r="C4" s="17" t="str">
        <x:v>Display key</x:v>
      </x:c>
      <x:c r="D4" s="17" t="str">
        <x:v>Categoría</x:v>
      </x:c>
      <x:c r="E4" s="17" t="str">
        <x:v>Tags</x:v>
      </x:c>
      <x:c r="F4" s="17" t="str">
        <x:v>Estado canónico</x:v>
      </x:c>
      <x:c r="G4" s="17" t="str">
        <x:v>Implementación</x:v>
      </x:c>
      <x:c r="H4" s="17" t="str">
        <x:v>Validación</x:v>
      </x:c>
      <x:c r="I4" s="17" t="str">
        <x:v>Precio venta €</x:v>
      </x:c>
      <x:c r="J4" s="17" t="str">
        <x:v>Mejor coste €</x:v>
      </x:c>
      <x:c r="K4" s="17" t="str">
        <x:v>Margen teórico €</x:v>
      </x:c>
      <x:c r="L4" s="17" t="str">
        <x:v>Proveedores</x:v>
      </x:c>
      <x:c r="M4" s="17" t="str">
        <x:v>Asset</x:v>
      </x:c>
      <x:c r="N4" s="17" t="str">
        <x:v>GUID</x:v>
      </x:c>
      <x:c r="O4" s="17" t="str">
        <x:v>Icono</x:v>
      </x:c>
      <x:c r="P4" s="17" t="str">
        <x:v>Prefab</x:v>
      </x:c>
      <x:c r="Q4" s="17" t="str">
        <x:v>Sprint origen</x:v>
      </x:c>
      <x:c r="R4" s="17" t="str">
        <x:v>Requisito</x:v>
      </x:c>
      <x:c r="S4" s="17" t="str">
        <x:v>Fuente histórica</x:v>
      </x:c>
      <x:c r="T4" s="17" t="str">
        <x:v>Migración requerida</x:v>
      </x:c>
      <x:c r="U4" s="17" t="str">
        <x:v>Notas</x:v>
      </x:c>
    </x:row>
    <x:row r="5" ht="34" customHeight="1">
      <x:c r="A5" s="24" t="str">
        <x:v>PRD-TEC-001</x:v>
      </x:c>
      <x:c r="B5" s="24" t="str">
        <x:v>cartridge-cloud-racers</x:v>
      </x:c>
      <x:c r="C5" s="24" t="str">
        <x:v>products.cartridge_cloud_racers.name</x:v>
      </x:c>
      <x:c r="D5" s="24" t="str">
        <x:v>video-game</x:v>
      </x:c>
      <x:c r="E5" s="24" t="str">
        <x:v>cartridge; retro; racing</x:v>
      </x:c>
      <x:c r="F5" s="24" t="str">
        <x:v>TECHNICAL / LEGACY ACTIVE</x:v>
      </x:c>
      <x:c r="G5" s="24" t="str">
        <x:v>Domain/data integrated</x:v>
      </x:c>
      <x:c r="H5" s="24" t="str">
        <x:v>Technical tests PASS; visual asset missing</x:v>
      </x:c>
      <x:c r="I5" s="32" t="n">
        <x:v>27.99</x:v>
      </x:c>
      <x:c r="J5" s="32" t="n">
        <x:v>12.99</x:v>
      </x:c>
      <x:c r="K5" s="32" t="n">
        <x:f>IF(OR(I5="",J5=""),"",I5-J5)</x:f>
        <x:v>14.999999999999998</x:v>
      </x:c>
      <x:c r="L5" s="24" t="str">
        <x:v>supplier-nebula-distribution; supplier-pixel-parcel</x:v>
      </x:c>
      <x:c r="M5" s="24" t="str">
        <x:v>Assets/_Project/Data/Products/Technical/CC_Product_CloudRacers.asset</x:v>
      </x:c>
      <x:c r="N5" s="24" t="str">
        <x:v>5d7be371bd8a4bc48df30a4adc2a1a48</x:v>
      </x:c>
      <x:c r="O5" s="24" t="str">
        <x:v>None</x:v>
      </x:c>
      <x:c r="P5" s="24" t="str">
        <x:v>None</x:v>
      </x:c>
      <x:c r="Q5" s="24" t="str">
        <x:v>6–14</x:v>
      </x:c>
      <x:c r="R5" s="24" t="str">
        <x:v>VS-INV-001;VS-ORD-001;VS-CHK-001</x:v>
      </x:c>
      <x:c r="S5" s="24" t="str">
        <x:v>Technical catalogs / Sprints 6–14</x:v>
      </x:c>
      <x:c r="T5" s="24" t="str">
        <x:v>Sí</x:v>
      </x:c>
      <x:c r="U5" s="24" t="str">
        <x:v>No sustituir por nombre parecido sin alias y migración explícita.</x:v>
      </x:c>
    </x:row>
    <x:row r="6" ht="34" customHeight="1">
      <x:c r="A6" s="24" t="str">
        <x:v>PRD-TEC-002</x:v>
      </x:c>
      <x:c r="B6" s="24" t="str">
        <x:v>cartridge-pixel-quest</x:v>
      </x:c>
      <x:c r="C6" s="24" t="str">
        <x:v>products.cartridge_pixel_quest.name</x:v>
      </x:c>
      <x:c r="D6" s="24" t="str">
        <x:v>video-game</x:v>
      </x:c>
      <x:c r="E6" s="24" t="str">
        <x:v>cartridge; retro; adventure</x:v>
      </x:c>
      <x:c r="F6" s="24" t="str">
        <x:v>TECHNICAL / LEGACY ACTIVE</x:v>
      </x:c>
      <x:c r="G6" s="24" t="str">
        <x:v>Domain/data integrated</x:v>
      </x:c>
      <x:c r="H6" s="24" t="str">
        <x:v>Technical tests PASS; visual asset missing</x:v>
      </x:c>
      <x:c r="I6" s="32" t="n">
        <x:v>29.99</x:v>
      </x:c>
      <x:c r="J6" s="32" t="n">
        <x:v>10.99</x:v>
      </x:c>
      <x:c r="K6" s="32" t="n">
        <x:f>IF(OR(I6="",J6=""),"",I6-J6)</x:f>
        <x:v>19</x:v>
      </x:c>
      <x:c r="L6" s="24" t="str">
        <x:v>supplier-nebula-distribution; supplier-pixel-parcel</x:v>
      </x:c>
      <x:c r="M6" s="24" t="str">
        <x:v>Assets/_Project/Data/Products/Technical/CC_Product_PixelQuest.asset</x:v>
      </x:c>
      <x:c r="N6" s="24" t="str">
        <x:v>b43b3ab75c6e45c69fbb1fb70efa9bc8</x:v>
      </x:c>
      <x:c r="O6" s="24" t="str">
        <x:v>None</x:v>
      </x:c>
      <x:c r="P6" s="24" t="str">
        <x:v>None</x:v>
      </x:c>
      <x:c r="Q6" s="24" t="str">
        <x:v>6–14</x:v>
      </x:c>
      <x:c r="R6" s="24" t="str">
        <x:v>VS-INV-001;VS-ORD-001;VS-CHK-001</x:v>
      </x:c>
      <x:c r="S6" s="24" t="str">
        <x:v>Technical catalogs / Sprints 6–14</x:v>
      </x:c>
      <x:c r="T6" s="24" t="str">
        <x:v>Sí</x:v>
      </x:c>
      <x:c r="U6" s="24" t="str">
        <x:v>No sustituir por nombre parecido sin alias y migración explícita.</x:v>
      </x:c>
    </x:row>
    <x:row r="7" ht="34" customHeight="1">
      <x:c r="A7" s="24" t="str">
        <x:v>PRD-TEC-003</x:v>
      </x:c>
      <x:c r="B7" s="24" t="str">
        <x:v>collectible-cloud-hero</x:v>
      </x:c>
      <x:c r="C7" s="24" t="str">
        <x:v>products.collectible_cloud_hero.name</x:v>
      </x:c>
      <x:c r="D7" s="24" t="str">
        <x:v>collectible</x:v>
      </x:c>
      <x:c r="E7" s="24" t="str">
        <x:v>collectible; figure</x:v>
      </x:c>
      <x:c r="F7" s="24" t="str">
        <x:v>TECHNICAL / LEGACY ACTIVE</x:v>
      </x:c>
      <x:c r="G7" s="24" t="str">
        <x:v>Domain/data integrated</x:v>
      </x:c>
      <x:c r="H7" s="24" t="str">
        <x:v>Technical tests PASS; visual asset missing</x:v>
      </x:c>
      <x:c r="I7" s="32" t="n">
        <x:v>19.99</x:v>
      </x:c>
      <x:c r="J7" s="32" t="n">
        <x:v>15.99</x:v>
      </x:c>
      <x:c r="K7" s="32" t="n">
        <x:f>IF(OR(I7="",J7=""),"",I7-J7)</x:f>
        <x:v>3.9999999999999982</x:v>
      </x:c>
      <x:c r="L7" s="24" t="str">
        <x:v>supplier-pixel-parcel</x:v>
      </x:c>
      <x:c r="M7" s="24" t="str">
        <x:v>Assets/_Project/Data/Products/Technical/CC_Product_CloudHero.asset</x:v>
      </x:c>
      <x:c r="N7" s="24" t="str">
        <x:v>b9f100846f074d75ba09c52b44f28b3a</x:v>
      </x:c>
      <x:c r="O7" s="24" t="str">
        <x:v>None</x:v>
      </x:c>
      <x:c r="P7" s="24" t="str">
        <x:v>None</x:v>
      </x:c>
      <x:c r="Q7" s="24" t="str">
        <x:v>6–14</x:v>
      </x:c>
      <x:c r="R7" s="24" t="str">
        <x:v>VS-INV-001;VS-ORD-001;VS-CHK-001</x:v>
      </x:c>
      <x:c r="S7" s="24" t="str">
        <x:v>Technical catalogs / Sprints 6–14</x:v>
      </x:c>
      <x:c r="T7" s="24" t="str">
        <x:v>Sí</x:v>
      </x:c>
      <x:c r="U7" s="24" t="str">
        <x:v>No sustituir por nombre parecido sin alias y migración explícita.</x:v>
      </x:c>
    </x:row>
    <x:row r="8" ht="34" customHeight="1">
      <x:c r="A8" s="24" t="str">
        <x:v>PRD-TEC-004</x:v>
      </x:c>
      <x:c r="B8" s="24" t="str">
        <x:v>console-nebula-8</x:v>
      </x:c>
      <x:c r="C8" s="24" t="str">
        <x:v>products.console_nebula_8.name</x:v>
      </x:c>
      <x:c r="D8" s="24" t="str">
        <x:v>console</x:v>
      </x:c>
      <x:c r="E8" s="24" t="str">
        <x:v>hardware; retro; console</x:v>
      </x:c>
      <x:c r="F8" s="24" t="str">
        <x:v>TECHNICAL / LEGACY ACTIVE</x:v>
      </x:c>
      <x:c r="G8" s="24" t="str">
        <x:v>Domain/data integrated</x:v>
      </x:c>
      <x:c r="H8" s="24" t="str">
        <x:v>Technical tests PASS; visual asset missing</x:v>
      </x:c>
      <x:c r="I8" s="32" t="n">
        <x:v>89.99</x:v>
      </x:c>
      <x:c r="J8" s="32" t="n">
        <x:v>79.99</x:v>
      </x:c>
      <x:c r="K8" s="32" t="n">
        <x:f>IF(OR(I8="",J8=""),"",I8-J8)</x:f>
        <x:v>10</x:v>
      </x:c>
      <x:c r="L8" s="24" t="str">
        <x:v>supplier-nebula-distribution</x:v>
      </x:c>
      <x:c r="M8" s="24" t="str">
        <x:v>Assets/_Project/Data/Products/Technical/CC_Product_Nebula8.asset</x:v>
      </x:c>
      <x:c r="N8" s="24" t="str">
        <x:v>d91ff75141954b1589b244fa20228938</x:v>
      </x:c>
      <x:c r="O8" s="24" t="str">
        <x:v>None</x:v>
      </x:c>
      <x:c r="P8" s="24" t="str">
        <x:v>None</x:v>
      </x:c>
      <x:c r="Q8" s="24" t="str">
        <x:v>6–14</x:v>
      </x:c>
      <x:c r="R8" s="24" t="str">
        <x:v>VS-INV-001;VS-ORD-001;VS-CHK-001</x:v>
      </x:c>
      <x:c r="S8" s="24" t="str">
        <x:v>Technical catalogs / Sprints 6–14</x:v>
      </x:c>
      <x:c r="T8" s="24" t="str">
        <x:v>Sí</x:v>
      </x:c>
      <x:c r="U8" s="24" t="str">
        <x:v>No sustituir por nombre parecido sin alias y migración explícita.</x:v>
      </x:c>
    </x:row>
    <x:row r="9" ht="34" customHeight="1">
      <x:c r="A9" s="24" t="str">
        <x:v>PRD-TEC-005</x:v>
      </x:c>
      <x:c r="B9" s="24" t="str">
        <x:v>controller-orbit-pad</x:v>
      </x:c>
      <x:c r="C9" s="24" t="str">
        <x:v>products.controller_orbit_pad.name</x:v>
      </x:c>
      <x:c r="D9" s="24" t="str">
        <x:v>accessory</x:v>
      </x:c>
      <x:c r="E9" s="24" t="str">
        <x:v>hardware; controller</x:v>
      </x:c>
      <x:c r="F9" s="24" t="str">
        <x:v>TECHNICAL / LEGACY ACTIVE</x:v>
      </x:c>
      <x:c r="G9" s="24" t="str">
        <x:v>Domain/data integrated</x:v>
      </x:c>
      <x:c r="H9" s="24" t="str">
        <x:v>Technical tests PASS; visual asset missing</x:v>
      </x:c>
      <x:c r="I9" s="32" t="n">
        <x:v>34.99</x:v>
      </x:c>
      <x:c r="J9" s="32" t="n">
        <x:v>23.99</x:v>
      </x:c>
      <x:c r="K9" s="32" t="n">
        <x:f>IF(OR(I9="",J9=""),"",I9-J9)</x:f>
        <x:v>11.000000000000004</x:v>
      </x:c>
      <x:c r="L9" s="24" t="str">
        <x:v>supplier-nebula-distribution</x:v>
      </x:c>
      <x:c r="M9" s="24" t="str">
        <x:v>Assets/_Project/Data/Products/Technical/CC_Product_OrbitPad.asset</x:v>
      </x:c>
      <x:c r="N9" s="24" t="str">
        <x:v>8da4aa2a2154473a8ed3ed4cabd673c7</x:v>
      </x:c>
      <x:c r="O9" s="24" t="str">
        <x:v>None</x:v>
      </x:c>
      <x:c r="P9" s="24" t="str">
        <x:v>None</x:v>
      </x:c>
      <x:c r="Q9" s="24" t="str">
        <x:v>6–14</x:v>
      </x:c>
      <x:c r="R9" s="24" t="str">
        <x:v>VS-INV-001;VS-ORD-001;VS-CHK-001</x:v>
      </x:c>
      <x:c r="S9" s="24" t="str">
        <x:v>Technical catalogs / Sprints 6–14</x:v>
      </x:c>
      <x:c r="T9" s="24" t="str">
        <x:v>Sí</x:v>
      </x:c>
      <x:c r="U9" s="24" t="str">
        <x:v>No sustituir por nombre parecido sin alias y migración explícita.</x:v>
      </x:c>
    </x:row>
    <x:row r="10" ht="34" customHeight="1">
      <x:c r="A10" s="24" t="str">
        <x:v>PRD-TEC-006</x:v>
      </x:c>
      <x:c r="B10" s="24" t="str">
        <x:v>memory-card-64</x:v>
      </x:c>
      <x:c r="C10" s="24" t="str">
        <x:v>products.memory_card_64.name</x:v>
      </x:c>
      <x:c r="D10" s="24" t="str">
        <x:v>accessory</x:v>
      </x:c>
      <x:c r="E10" s="24" t="str">
        <x:v>hardware; storage</x:v>
      </x:c>
      <x:c r="F10" s="24" t="str">
        <x:v>TECHNICAL / LEGACY ACTIVE</x:v>
      </x:c>
      <x:c r="G10" s="24" t="str">
        <x:v>Domain/data integrated</x:v>
      </x:c>
      <x:c r="H10" s="24" t="str">
        <x:v>Technical tests PASS; visual asset missing</x:v>
      </x:c>
      <x:c r="I10" s="32" t="n">
        <x:v>24.99</x:v>
      </x:c>
      <x:c r="J10" s="32" t="n">
        <x:v>8.99</x:v>
      </x:c>
      <x:c r="K10" s="32" t="n">
        <x:f>IF(OR(I10="",J10=""),"",I10-J10)</x:f>
        <x:v>15.999999999999998</x:v>
      </x:c>
      <x:c r="L10" s="24" t="str">
        <x:v>supplier-nebula-distribution</x:v>
      </x:c>
      <x:c r="M10" s="24" t="str">
        <x:v>Assets/_Project/Data/Products/Technical/CC_Product_MemoryCard64.asset</x:v>
      </x:c>
      <x:c r="N10" s="24" t="str">
        <x:v>6c8ada0566d54a159b381be668324fc5</x:v>
      </x:c>
      <x:c r="O10" s="24" t="str">
        <x:v>None</x:v>
      </x:c>
      <x:c r="P10" s="24" t="str">
        <x:v>None</x:v>
      </x:c>
      <x:c r="Q10" s="24" t="str">
        <x:v>6–14</x:v>
      </x:c>
      <x:c r="R10" s="24" t="str">
        <x:v>VS-INV-001;VS-ORD-001;VS-CHK-001</x:v>
      </x:c>
      <x:c r="S10" s="24" t="str">
        <x:v>Technical catalogs / Sprints 6–14</x:v>
      </x:c>
      <x:c r="T10" s="24" t="str">
        <x:v>Sí</x:v>
      </x:c>
      <x:c r="U10" s="24" t="str">
        <x:v>No sustituir por nombre parecido sin alias y migración explícita.</x:v>
      </x:c>
    </x:row>
  </x:sheetData>
  <x:mergeCells>
    <x:mergeCell ref="A1:U1"/>
    <x:mergeCell ref="A2:U2"/>
  </x:mergeCells>
  <x:conditionalFormatting sqref="F5:F10">
    <x:cfRule type="expression" dxfId="12" priority="1">
      <x:formula>OR(ISNUMBER(SEARCH("PASS",F5)),ISNUMBER(SEARCH("CANONICAL",F5)),ISNUMBER(SEARCH("DONE",F5)))</x:formula>
    </x:cfRule>
    <x:cfRule type="expression" dxfId="13" priority="2">
      <x:formula>OR(ISNUMBER(SEARCH("BLOCK",F5)),ISNUMBER(SEARCH("FAIL",F5)),ISNUMBER(SEARCH("S1",F5)))</x:formula>
    </x:cfRule>
    <x:cfRule type="expression" dxfId="14" priority="3">
      <x:formula>OR(ISNUMBER(SEARCH("PENDING",F5)),ISNUMBER(SEARCH("PLANNED",F5)),ISNUMBER(SEARCH("PARTIAL",F5)),ISNUMBER(SEARCH("PLACEHOLDER",F5)))</x:formula>
    </x:cfRule>
    <x:cfRule type="expression" dxfId="15" priority="4">
      <x:formula>OR(ISNUMBER(SEARCH("VISION",F5)),ISNUMBER(SEARCH("HISTORICAL",F5)))</x:formula>
    </x:cfRule>
  </x:conditionalFormatting>
  <x:conditionalFormatting sqref="H5:H10">
    <x:cfRule type="expression" dxfId="16" priority="5">
      <x:formula>OR(ISNUMBER(SEARCH("PASS",H5)),ISNUMBER(SEARCH("CANONICAL",H5)),ISNUMBER(SEARCH("DONE",H5)))</x:formula>
    </x:cfRule>
    <x:cfRule type="expression" dxfId="17" priority="6">
      <x:formula>OR(ISNUMBER(SEARCH("BLOCK",H5)),ISNUMBER(SEARCH("FAIL",H5)),ISNUMBER(SEARCH("S1",H5)))</x:formula>
    </x:cfRule>
    <x:cfRule type="expression" dxfId="18" priority="7">
      <x:formula>OR(ISNUMBER(SEARCH("PENDING",H5)),ISNUMBER(SEARCH("PLANNED",H5)),ISNUMBER(SEARCH("PARTIAL",H5)),ISNUMBER(SEARCH("PLACEHOLDER",H5)))</x:formula>
    </x:cfRule>
    <x:cfRule type="expression" dxfId="19" priority="8">
      <x:formula>OR(ISNUMBER(SEARCH("VISION",H5)),ISNUMBER(SEARCH("HISTORICAL",H5)))</x:formula>
    </x:cfRule>
  </x:conditionalFormatting>
  <x:conditionalFormatting sqref="G5:G10">
    <x:cfRule type="expression" dxfId="20" priority="9">
      <x:formula>OR(ISNUMBER(SEARCH("PASS",G5)),ISNUMBER(SEARCH("CANONICAL",G5)),ISNUMBER(SEARCH("DONE",G5)))</x:formula>
    </x:cfRule>
    <x:cfRule type="expression" dxfId="21" priority="10">
      <x:formula>OR(ISNUMBER(SEARCH("BLOCK",G5)),ISNUMBER(SEARCH("FAIL",G5)),ISNUMBER(SEARCH("S1",G5)))</x:formula>
    </x:cfRule>
    <x:cfRule type="expression" dxfId="22" priority="11">
      <x:formula>OR(ISNUMBER(SEARCH("PENDING",G5)),ISNUMBER(SEARCH("PLANNED",G5)),ISNUMBER(SEARCH("PARTIAL",G5)),ISNUMBER(SEARCH("PLACEHOLDER",G5)))</x:formula>
    </x:cfRule>
    <x:cfRule type="expression" dxfId="23" priority="12">
      <x:formula>OR(ISNUMBER(SEARCH("VISION",G5)),ISNUMBER(SEARCH("HISTORICAL",G5)))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d7c9948eef4a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0" hidden="0" customWidth="1"/>
    <x:col min="5" max="5" width="16" hidden="0" customWidth="1"/>
    <x:col min="6" max="6" width="16" hidden="0" customWidth="1"/>
    <x:col min="7" max="7" width="20" hidden="0" customWidth="1"/>
    <x:col min="8" max="8" width="30" hidden="0" customWidth="1"/>
    <x:col min="9" max="9" width="34" hidden="0" customWidth="1"/>
    <x:col min="10" max="10" width="18" hidden="0" customWidth="1"/>
    <x:col min="11" max="11" width="14" hidden="0" customWidth="1"/>
    <x:col min="12" max="12" width="12" hidden="0" customWidth="1"/>
    <x:col min="13" max="13" width="58" hidden="0" customWidth="1"/>
    <x:col min="14" max="14" width="52" hidden="0" customWidth="1"/>
  </x:cols>
  <x:sheetData>
    <x:row r="1" ht="30" customHeight="1">
      <x:c r="A1" s="4" t="str">
        <x:v>Mapeo y migración de productos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10" t="str">
        <x:v>Equivalencias, aliases, no-equivalencias y condiciones de migración.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6" customHeight="1">
      <x:c r="A4" s="17" t="str">
        <x:v>Mapping ID</x:v>
      </x:c>
      <x:c r="B4" s="17" t="str">
        <x:v>Canonical ID</x:v>
      </x:c>
      <x:c r="C4" s="17" t="str">
        <x:v>Technical ID</x:v>
      </x:c>
      <x:c r="D4" s="17" t="str">
        <x:v>Relación</x:v>
      </x:c>
      <x:c r="E4" s="17" t="str">
        <x:v>Estado</x:v>
      </x:c>
      <x:c r="F4" s="17" t="str">
        <x:v>Alias autorizado</x:v>
      </x:c>
      <x:c r="G4" s="17" t="str">
        <x:v>Migración save</x:v>
      </x:c>
      <x:c r="H4" s="17" t="str">
        <x:v>Catálogo origen</x:v>
      </x:c>
      <x:c r="I4" s="17" t="str">
        <x:v>Catálogo destino</x:v>
      </x:c>
      <x:c r="J4" s="17" t="str">
        <x:v>Owner</x:v>
      </x:c>
      <x:c r="K4" s="17" t="str">
        <x:v>Sprint objetivo</x:v>
      </x:c>
      <x:c r="L4" s="17" t="str">
        <x:v>Gate</x:v>
      </x:c>
      <x:c r="M4" s="17" t="str">
        <x:v>Criterio de cierre</x:v>
      </x:c>
      <x:c r="N4" s="17" t="str">
        <x:v>Notas</x:v>
      </x:c>
    </x:row>
    <x:row r="5" ht="34" customHeight="1">
      <x:c r="A5" s="24" t="str">
        <x:v>MAP-PRD-001</x:v>
      </x:c>
      <x:c r="B5" s="24" t="str">
        <x:v>game-neon-drift</x:v>
      </x:c>
      <x:c r="C5" s="24" t="str">
        <x:v>cartridge-cloud-racers</x:v>
      </x:c>
      <x:c r="D5" s="24" t="str">
        <x:v>Conceptual/genre</x:v>
      </x:c>
      <x:c r="E5" s="24" t="str">
        <x:v>Proposed</x:v>
      </x:c>
      <x:c r="F5" s="24" t="str">
        <x:v>No</x:v>
      </x:c>
      <x:c r="G5" s="24" t="str">
        <x:v>Required</x:v>
      </x:c>
      <x:c r="H5" s="24" t="str">
        <x:v>ContentCatalog.asset</x:v>
      </x:c>
      <x:c r="I5" s="24" t="str">
        <x:v>CC_ProductCatalog_Technical.asset</x:v>
      </x:c>
      <x:c r="J5" s="24" t="str">
        <x:v>VRM Games</x:v>
      </x:c>
      <x:c r="K5" s="24" t="n">
        <x:v>17</x:v>
      </x:c>
      <x:c r="L5" s="24" t="str">
        <x:v>H6</x:v>
      </x:c>
      <x:c r="M5" s="24" t="str">
        <x:v>Autoridad canónica elegida, aliases versionados y pruebas de save/load.</x:v>
      </x:c>
      <x:c r="N5" s="24" t="str">
        <x:v>No equivalencia de ID; ambos son juegos físicos.</x:v>
      </x:c>
    </x:row>
    <x:row r="6" ht="34" customHeight="1">
      <x:c r="A6" s="24" t="str">
        <x:v>MAP-PRD-002</x:v>
      </x:c>
      <x:c r="B6" s="24" t="str">
        <x:v>case-cloud-runner</x:v>
      </x:c>
      <x:c r="C6" s="24" t="str">
        <x:v>cartridge-pixel-quest</x:v>
      </x:c>
      <x:c r="D6" s="24" t="str">
        <x:v>Conceptual/genre</x:v>
      </x:c>
      <x:c r="E6" s="24" t="str">
        <x:v>Proposed</x:v>
      </x:c>
      <x:c r="F6" s="24" t="str">
        <x:v>No</x:v>
      </x:c>
      <x:c r="G6" s="24" t="str">
        <x:v>Required</x:v>
      </x:c>
      <x:c r="H6" s="24" t="str">
        <x:v>ContentCatalog.asset</x:v>
      </x:c>
      <x:c r="I6" s="24" t="str">
        <x:v>CC_ProductCatalog_Technical.asset</x:v>
      </x:c>
      <x:c r="J6" s="24" t="str">
        <x:v>VRM Games</x:v>
      </x:c>
      <x:c r="K6" s="24" t="n">
        <x:v>17</x:v>
      </x:c>
      <x:c r="L6" s="24" t="str">
        <x:v>H6</x:v>
      </x:c>
      <x:c r="M6" s="24" t="str">
        <x:v>Autoridad canónica elegida, aliases versionados y pruebas de save/load.</x:v>
      </x:c>
      <x:c r="N6" s="24" t="str">
        <x:v>Case Phase 1 frente a cartucho técnico.</x:v>
      </x:c>
    </x:row>
    <x:row r="7" ht="34" customHeight="1">
      <x:c r="A7" s="24" t="str">
        <x:v>MAP-PRD-003</x:v>
      </x:c>
      <x:c r="B7" s="24" t="str">
        <x:v>console-vertex-one</x:v>
      </x:c>
      <x:c r="C7" s="24" t="str">
        <x:v>console-nebula-8</x:v>
      </x:c>
      <x:c r="D7" s="24" t="str">
        <x:v>Functional category</x:v>
      </x:c>
      <x:c r="E7" s="24" t="str">
        <x:v>Proposed</x:v>
      </x:c>
      <x:c r="F7" s="24" t="str">
        <x:v>No</x:v>
      </x:c>
      <x:c r="G7" s="24" t="str">
        <x:v>Required</x:v>
      </x:c>
      <x:c r="H7" s="24" t="str">
        <x:v>ContentCatalog.asset</x:v>
      </x:c>
      <x:c r="I7" s="24" t="str">
        <x:v>CC_ProductCatalog_Technical.asset</x:v>
      </x:c>
      <x:c r="J7" s="24" t="str">
        <x:v>VRM Games</x:v>
      </x:c>
      <x:c r="K7" s="24" t="n">
        <x:v>17</x:v>
      </x:c>
      <x:c r="L7" s="24" t="str">
        <x:v>H6</x:v>
      </x:c>
      <x:c r="M7" s="24" t="str">
        <x:v>Autoridad canónica elegida, aliases versionados y pruebas de save/load.</x:v>
      </x:c>
      <x:c r="N7" s="24" t="str">
        <x:v>Consolas distintas; posible alias funcional, no identidad.</x:v>
      </x:c>
    </x:row>
    <x:row r="8" ht="34" customHeight="1">
      <x:c r="A8" s="24" t="str">
        <x:v>MAP-PRD-004</x:v>
      </x:c>
      <x:c r="B8" s="24" t="str">
        <x:v>controller-orbit-pad</x:v>
      </x:c>
      <x:c r="C8" s="24" t="str">
        <x:v>controller-orbit-pad</x:v>
      </x:c>
      <x:c r="D8" s="24" t="str">
        <x:v>Exact ID</x:v>
      </x:c>
      <x:c r="E8" s="24" t="str">
        <x:v>Confirmed</x:v>
      </x:c>
      <x:c r="F8" s="24" t="str">
        <x:v>Sí</x:v>
      </x:c>
      <x:c r="G8" s="24" t="str">
        <x:v>Review</x:v>
      </x:c>
      <x:c r="H8" s="24" t="str">
        <x:v>ContentCatalog.asset</x:v>
      </x:c>
      <x:c r="I8" s="24" t="str">
        <x:v>CC_ProductCatalog_Technical.asset</x:v>
      </x:c>
      <x:c r="J8" s="24" t="str">
        <x:v>VRM Games</x:v>
      </x:c>
      <x:c r="K8" s="24" t="n">
        <x:v>17</x:v>
      </x:c>
      <x:c r="L8" s="24" t="str">
        <x:v>H6</x:v>
      </x:c>
      <x:c r="M8" s="24" t="str">
        <x:v>Autoridad canónica elegida, aliases versionados y pruebas de save/load.</x:v>
      </x:c>
      <x:c r="N8" s="24" t="str">
        <x:v>Único ID idéntico entre ambas capas.</x:v>
      </x:c>
    </x:row>
    <x:row r="9" ht="34" customHeight="1">
      <x:c r="A9" s="24" t="str">
        <x:v>MAP-PRD-005</x:v>
      </x:c>
      <x:c r="B9" s="24" t="str">
        <x:v>headset-signal-pro</x:v>
      </x:c>
      <x:c r="C9" s="24" t="str"/>
      <x:c r="D9" s="24" t="str">
        <x:v>No counterpart</x:v>
      </x:c>
      <x:c r="E9" s="24" t="str">
        <x:v>Open</x:v>
      </x:c>
      <x:c r="F9" s="24" t="str">
        <x:v>No</x:v>
      </x:c>
      <x:c r="G9" s="24" t="str">
        <x:v>Review</x:v>
      </x:c>
      <x:c r="H9" s="24" t="str">
        <x:v>ContentCatalog.asset</x:v>
      </x:c>
      <x:c r="I9" s="24" t="str">
        <x:v>CC_ProductCatalog_Technical.asset</x:v>
      </x:c>
      <x:c r="J9" s="24" t="str">
        <x:v>VRM Games</x:v>
      </x:c>
      <x:c r="K9" s="24" t="n">
        <x:v>17</x:v>
      </x:c>
      <x:c r="L9" s="24" t="str">
        <x:v>H6</x:v>
      </x:c>
      <x:c r="M9" s="24" t="str">
        <x:v>Autoridad canónica elegida, aliases versionados y pruebas de save/load.</x:v>
      </x:c>
      <x:c r="N9" s="24" t="str">
        <x:v>Crear producto técnico o retirar separación de capas.</x:v>
      </x:c>
    </x:row>
    <x:row r="10" ht="34" customHeight="1">
      <x:c r="A10" s="24" t="str">
        <x:v>MAP-PRD-006</x:v>
      </x:c>
      <x:c r="B10" s="24" t="str">
        <x:v>accessory-memory-core</x:v>
      </x:c>
      <x:c r="C10" s="24" t="str">
        <x:v>memory-card-64</x:v>
      </x:c>
      <x:c r="D10" s="24" t="str">
        <x:v>Functional category</x:v>
      </x:c>
      <x:c r="E10" s="24" t="str">
        <x:v>Proposed</x:v>
      </x:c>
      <x:c r="F10" s="24" t="str">
        <x:v>No</x:v>
      </x:c>
      <x:c r="G10" s="24" t="str">
        <x:v>Required</x:v>
      </x:c>
      <x:c r="H10" s="24" t="str">
        <x:v>ContentCatalog.asset</x:v>
      </x:c>
      <x:c r="I10" s="24" t="str">
        <x:v>CC_ProductCatalog_Technical.asset</x:v>
      </x:c>
      <x:c r="J10" s="24" t="str">
        <x:v>VRM Games</x:v>
      </x:c>
      <x:c r="K10" s="24" t="n">
        <x:v>17</x:v>
      </x:c>
      <x:c r="L10" s="24" t="str">
        <x:v>H6</x:v>
      </x:c>
      <x:c r="M10" s="24" t="str">
        <x:v>Autoridad canónica elegida, aliases versionados y pruebas de save/load.</x:v>
      </x:c>
      <x:c r="N10" s="24" t="str">
        <x:v>Accesorios de almacenamiento; no identidad demostrada.</x:v>
      </x:c>
    </x:row>
    <x:row r="11" ht="34" customHeight="1">
      <x:c r="A11" s="24" t="str">
        <x:v>MAP-PRD-007</x:v>
      </x:c>
      <x:c r="B11" s="24" t="str"/>
      <x:c r="C11" s="24" t="str">
        <x:v>collectible-cloud-hero</x:v>
      </x:c>
      <x:c r="D11" s="24" t="str">
        <x:v>No counterpart</x:v>
      </x:c>
      <x:c r="E11" s="24" t="str">
        <x:v>Open</x:v>
      </x:c>
      <x:c r="F11" s="24" t="str">
        <x:v>No</x:v>
      </x:c>
      <x:c r="G11" s="24" t="str">
        <x:v>Review</x:v>
      </x:c>
      <x:c r="H11" s="24" t="str">
        <x:v>ContentCatalog.asset</x:v>
      </x:c>
      <x:c r="I11" s="24" t="str">
        <x:v>CC_ProductCatalog_Technical.asset</x:v>
      </x:c>
      <x:c r="J11" s="24" t="str">
        <x:v>VRM Games</x:v>
      </x:c>
      <x:c r="K11" s="24" t="n">
        <x:v>17</x:v>
      </x:c>
      <x:c r="L11" s="24" t="str">
        <x:v>H6</x:v>
      </x:c>
      <x:c r="M11" s="24" t="str">
        <x:v>Autoridad canónica elegida, aliases versionados y pruebas de save/load.</x:v>
      </x:c>
      <x:c r="N11" s="24" t="str">
        <x:v>Producto técnico sin representación Phase 1.</x:v>
      </x:c>
    </x:row>
  </x:sheetData>
  <x:mergeCells>
    <x:mergeCell ref="A1:N1"/>
    <x:mergeCell ref="A2:N2"/>
  </x:mergeCells>
  <x:conditionalFormatting sqref="E5:E11">
    <x:cfRule type="expression" dxfId="24" priority="1">
      <x:formula>OR(ISNUMBER(SEARCH("PASS",E5)),ISNUMBER(SEARCH("CANONICAL",E5)),ISNUMBER(SEARCH("DONE",E5)))</x:formula>
    </x:cfRule>
    <x:cfRule type="expression" dxfId="25" priority="2">
      <x:formula>OR(ISNUMBER(SEARCH("BLOCK",E5)),ISNUMBER(SEARCH("FAIL",E5)),ISNUMBER(SEARCH("S1",E5)))</x:formula>
    </x:cfRule>
    <x:cfRule type="expression" dxfId="26" priority="3">
      <x:formula>OR(ISNUMBER(SEARCH("PENDING",E5)),ISNUMBER(SEARCH("PLANNED",E5)),ISNUMBER(SEARCH("PARTIAL",E5)),ISNUMBER(SEARCH("PLACEHOLDER",E5)))</x:formula>
    </x:cfRule>
    <x:cfRule type="expression" dxfId="27" priority="4">
      <x:formula>OR(ISNUMBER(SEARCH("VISION",E5)),ISNUMBER(SEARCH("HISTORICAL",E5)))</x:formula>
    </x:cfRule>
  </x:conditionalFormatting>
  <x:dataValidations count="1">
    <x:dataValidation type="list" sqref="E5:E11">
      <x:formula1>"Confirmed,Proposed,Open,Rejected,Superseded"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e35527b1d347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16" hidden="0" customWidth="1"/>
    <x:col min="5" max="5" width="28" hidden="0" customWidth="1"/>
    <x:col min="6" max="6" width="28" hidden="0" customWidth="1"/>
    <x:col min="7" max="7" width="3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  <x:col min="17" max="17" width="55" hidden="0" customWidth="1"/>
    <x:col min="18" max="18" width="36" hidden="0" customWidth="1"/>
    <x:col min="19" max="19" width="12" hidden="0" customWidth="1"/>
    <x:col min="20" max="20" width="26" hidden="0" customWidth="1"/>
    <x:col min="21" max="21" width="22" hidden="0" customWidth="1"/>
    <x:col min="22" max="22" width="22" hidden="0" customWidth="1"/>
    <x:col min="23" max="23" width="55" hidden="0" customWidth="1"/>
  </x:cols>
  <x:sheetData>
    <x:row r="1" ht="30" customHeight="1">
      <x:c r="A1" s="4" t="str">
        <x:v>Mobiliario y displays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22" customHeight="1">
      <x:c r="A2" s="10" t="str">
        <x:v>Definiciones Phase 1 y displays técnicos con economía, footprint y estado de integración.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4" ht="36" customHeight="1">
      <x:c r="A4" s="17" t="str">
        <x:v>Content ID</x:v>
      </x:c>
      <x:c r="B4" s="17" t="str">
        <x:v>Furniture ID</x:v>
      </x:c>
      <x:c r="C4" s="17" t="str">
        <x:v>Nombre</x:v>
      </x:c>
      <x:c r="D4" s="17" t="str">
        <x:v>Kind</x:v>
      </x:c>
      <x:c r="E4" s="17" t="str">
        <x:v>Estado canónico</x:v>
      </x:c>
      <x:c r="F4" s="17" t="str">
        <x:v>Implementación</x:v>
      </x:c>
      <x:c r="G4" s="17" t="str">
        <x:v>Validación</x:v>
      </x:c>
      <x:c r="H4" s="17" t="str">
        <x:v>Ancho celdas</x:v>
      </x:c>
      <x:c r="I4" s="17" t="str">
        <x:v>Profundidad celdas</x:v>
      </x:c>
      <x:c r="J4" s="17" t="str">
        <x:v>Altura m</x:v>
      </x:c>
      <x:c r="K4" s="17" t="str">
        <x:v>Capacidad</x:v>
      </x:c>
      <x:c r="L4" s="17" t="str">
        <x:v>Coste €</x:v>
      </x:c>
      <x:c r="M4" s="17" t="str">
        <x:v>Interactivo</x:v>
      </x:c>
      <x:c r="N4" s="17" t="str">
        <x:v>Comprable</x:v>
      </x:c>
      <x:c r="O4" s="17" t="str">
        <x:v>Soporta productos</x:v>
      </x:c>
      <x:c r="P4" s="17" t="str">
        <x:v>Material ID</x:v>
      </x:c>
      <x:c r="Q4" s="17" t="str">
        <x:v>Prefab</x:v>
      </x:c>
      <x:c r="R4" s="17" t="str">
        <x:v>GUID</x:v>
      </x:c>
      <x:c r="S4" s="17" t="str">
        <x:v>Sprint</x:v>
      </x:c>
      <x:c r="T4" s="17" t="str">
        <x:v>Requisito</x:v>
      </x:c>
      <x:c r="U4" s="17" t="str">
        <x:v>Licencia</x:v>
      </x:c>
      <x:c r="V4" s="17" t="str">
        <x:v>Deuda</x:v>
      </x:c>
      <x:c r="W4" s="17" t="str">
        <x:v>Notas</x:v>
      </x:c>
    </x:row>
    <x:row r="5" ht="34" customHeight="1">
      <x:c r="A5" s="24" t="str">
        <x:v>FUR-CAN-001</x:v>
      </x:c>
      <x:c r="B5" s="24" t="str">
        <x:v>checkout-counter</x:v>
      </x:c>
      <x:c r="C5" s="24" t="str">
        <x:v>Checkout Counter</x:v>
      </x:c>
      <x:c r="D5" s="24" t="str">
        <x:v>0</x:v>
      </x:c>
      <x:c r="E5" s="24" t="str">
        <x:v>CANONICAL / PHASE 1</x:v>
      </x:c>
      <x:c r="F5" s="24" t="str">
        <x:v>Imported + Runtime catalog linked</x:v>
      </x:c>
      <x:c r="G5" s="24" t="str">
        <x:v>Pending authored placement / H6</x:v>
      </x:c>
      <x:c r="H5" s="24" t="n">
        <x:v>4</x:v>
      </x:c>
      <x:c r="I5" s="24" t="n">
        <x:v>2</x:v>
      </x:c>
      <x:c r="J5" s="24" t="n">
        <x:v>1.1</x:v>
      </x:c>
      <x:c r="K5" s="24" t="n">
        <x:v>0</x:v>
      </x:c>
      <x:c r="L5" s="32" t="n">
        <x:v>450</x:v>
      </x:c>
      <x:c r="M5" s="40" t="b">
        <x:v>1</x:v>
      </x:c>
      <x:c r="N5" s="40" t="b">
        <x:v>1</x:v>
      </x:c>
      <x:c r="O5" s="40" t="b">
        <x:v>0</x:v>
      </x:c>
      <x:c r="P5" s="24" t="str">
        <x:v>furniture-checkout</x:v>
      </x:c>
      <x:c r="Q5" s="24" t="str">
        <x:v>Assets/_Project/Prefabs/Furniture/CheckoutCounter.prefab</x:v>
      </x:c>
      <x:c r="R5" s="24" t="str">
        <x:v>50cf0cf3c5cf40b6b6cb2622a64001d4</x:v>
      </x:c>
      <x:c r="S5" s="24" t="n">
        <x:v>16</x:v>
      </x:c>
      <x:c r="T5" s="24" t="str">
        <x:v>VS-BLD-001;VS-DSP-001;VS-SCN-002</x:v>
      </x:c>
      <x:c r="U5" s="24" t="str">
        <x:v>Internal/Approved</x:v>
      </x:c>
      <x:c r="V5" s="24" t="str"/>
      <x:c r="W5" s="24" t="str">
        <x:v>Arquitectura dinámica/interactiva; validar collider, navegación y footprint.</x:v>
      </x:c>
    </x:row>
    <x:row r="6" ht="34" customHeight="1">
      <x:c r="A6" s="24" t="str">
        <x:v>FUR-CAN-002</x:v>
      </x:c>
      <x:c r="B6" s="24" t="str">
        <x:v>wall-shelf</x:v>
      </x:c>
      <x:c r="C6" s="24" t="str">
        <x:v>Wall Shelf</x:v>
      </x:c>
      <x:c r="D6" s="24" t="str">
        <x:v>1</x:v>
      </x:c>
      <x:c r="E6" s="24" t="str">
        <x:v>CANONICAL / PHASE 1</x:v>
      </x:c>
      <x:c r="F6" s="24" t="str">
        <x:v>Imported + Runtime catalog linked</x:v>
      </x:c>
      <x:c r="G6" s="24" t="str">
        <x:v>Pending authored placement / H6</x:v>
      </x:c>
      <x:c r="H6" s="24" t="n">
        <x:v>4</x:v>
      </x:c>
      <x:c r="I6" s="24" t="n">
        <x:v>1</x:v>
      </x:c>
      <x:c r="J6" s="24" t="n">
        <x:v>2.2</x:v>
      </x:c>
      <x:c r="K6" s="24" t="n">
        <x:v>24</x:v>
      </x:c>
      <x:c r="L6" s="32" t="n">
        <x:v>180</x:v>
      </x:c>
      <x:c r="M6" s="40" t="b">
        <x:v>1</x:v>
      </x:c>
      <x:c r="N6" s="40" t="b">
        <x:v>1</x:v>
      </x:c>
      <x:c r="O6" s="40" t="b">
        <x:v>1</x:v>
      </x:c>
      <x:c r="P6" s="24" t="str">
        <x:v>furniture-wall-shelf</x:v>
      </x:c>
      <x:c r="Q6" s="24" t="str">
        <x:v>Assets/_Project/Prefabs/Furniture/WallShelf.prefab</x:v>
      </x:c>
      <x:c r="R6" s="24" t="str">
        <x:v>d85a9e733850c34695b6e866472e96ed</x:v>
      </x:c>
      <x:c r="S6" s="24" t="n">
        <x:v>16</x:v>
      </x:c>
      <x:c r="T6" s="24" t="str">
        <x:v>VS-BLD-001;VS-DSP-001;VS-SCN-002</x:v>
      </x:c>
      <x:c r="U6" s="24" t="str">
        <x:v>Internal/Approved</x:v>
      </x:c>
      <x:c r="V6" s="24" t="str"/>
      <x:c r="W6" s="24" t="str">
        <x:v>Arquitectura dinámica/interactiva; validar collider, navegación y footprint.</x:v>
      </x:c>
    </x:row>
    <x:row r="7" ht="34" customHeight="1">
      <x:c r="A7" s="24" t="str">
        <x:v>FUR-CAN-003</x:v>
      </x:c>
      <x:c r="B7" s="24" t="str">
        <x:v>central-shelf</x:v>
      </x:c>
      <x:c r="C7" s="24" t="str">
        <x:v>Central Shelf</x:v>
      </x:c>
      <x:c r="D7" s="24" t="str">
        <x:v>2</x:v>
      </x:c>
      <x:c r="E7" s="24" t="str">
        <x:v>CANONICAL / PHASE 1</x:v>
      </x:c>
      <x:c r="F7" s="24" t="str">
        <x:v>Imported + Runtime catalog linked</x:v>
      </x:c>
      <x:c r="G7" s="24" t="str">
        <x:v>Pending authored placement / H6</x:v>
      </x:c>
      <x:c r="H7" s="24" t="n">
        <x:v>4</x:v>
      </x:c>
      <x:c r="I7" s="24" t="n">
        <x:v>2</x:v>
      </x:c>
      <x:c r="J7" s="24" t="n">
        <x:v>1.6</x:v>
      </x:c>
      <x:c r="K7" s="24" t="n">
        <x:v>32</x:v>
      </x:c>
      <x:c r="L7" s="32" t="n">
        <x:v>260</x:v>
      </x:c>
      <x:c r="M7" s="40" t="b">
        <x:v>1</x:v>
      </x:c>
      <x:c r="N7" s="40" t="b">
        <x:v>1</x:v>
      </x:c>
      <x:c r="O7" s="40" t="b">
        <x:v>1</x:v>
      </x:c>
      <x:c r="P7" s="24" t="str">
        <x:v>furniture-central-shelf</x:v>
      </x:c>
      <x:c r="Q7" s="24" t="str">
        <x:v>Assets/_Project/Prefabs/Furniture/CentralShelf.prefab</x:v>
      </x:c>
      <x:c r="R7" s="24" t="str">
        <x:v>ee68430315c3ff624c8cb39e759e3362</x:v>
      </x:c>
      <x:c r="S7" s="24" t="n">
        <x:v>16</x:v>
      </x:c>
      <x:c r="T7" s="24" t="str">
        <x:v>VS-BLD-001;VS-DSP-001;VS-SCN-002</x:v>
      </x:c>
      <x:c r="U7" s="24" t="str">
        <x:v>Internal/Approved</x:v>
      </x:c>
      <x:c r="V7" s="24" t="str"/>
      <x:c r="W7" s="24" t="str">
        <x:v>Arquitectura dinámica/interactiva; validar collider, navegación y footprint.</x:v>
      </x:c>
    </x:row>
    <x:row r="8" ht="34" customHeight="1">
      <x:c r="A8" s="24" t="str">
        <x:v>FUR-CAN-004</x:v>
      </x:c>
      <x:c r="B8" s="24" t="str">
        <x:v>low-display</x:v>
      </x:c>
      <x:c r="C8" s="24" t="str">
        <x:v>Low Display</x:v>
      </x:c>
      <x:c r="D8" s="24" t="str">
        <x:v>3</x:v>
      </x:c>
      <x:c r="E8" s="24" t="str">
        <x:v>CANONICAL / PHASE 1</x:v>
      </x:c>
      <x:c r="F8" s="24" t="str">
        <x:v>Imported + Runtime catalog linked</x:v>
      </x:c>
      <x:c r="G8" s="24" t="str">
        <x:v>Pending authored placement / H6</x:v>
      </x:c>
      <x:c r="H8" s="24" t="n">
        <x:v>3</x:v>
      </x:c>
      <x:c r="I8" s="24" t="n">
        <x:v>2</x:v>
      </x:c>
      <x:c r="J8" s="24" t="n">
        <x:v>0.9</x:v>
      </x:c>
      <x:c r="K8" s="24" t="n">
        <x:v>12</x:v>
      </x:c>
      <x:c r="L8" s="32" t="n">
        <x:v>160</x:v>
      </x:c>
      <x:c r="M8" s="40" t="b">
        <x:v>1</x:v>
      </x:c>
      <x:c r="N8" s="40" t="b">
        <x:v>1</x:v>
      </x:c>
      <x:c r="O8" s="40" t="b">
        <x:v>1</x:v>
      </x:c>
      <x:c r="P8" s="24" t="str">
        <x:v>furniture-low-display</x:v>
      </x:c>
      <x:c r="Q8" s="24" t="str">
        <x:v>Assets/_Project/Prefabs/Furniture/LowDisplay.prefab</x:v>
      </x:c>
      <x:c r="R8" s="24" t="str">
        <x:v>a50740f86803ca60444851be2b42c02e</x:v>
      </x:c>
      <x:c r="S8" s="24" t="n">
        <x:v>16</x:v>
      </x:c>
      <x:c r="T8" s="24" t="str">
        <x:v>VS-BLD-001;VS-DSP-001;VS-SCN-002</x:v>
      </x:c>
      <x:c r="U8" s="24" t="str">
        <x:v>Internal/Approved</x:v>
      </x:c>
      <x:c r="V8" s="24" t="str"/>
      <x:c r="W8" s="24" t="str">
        <x:v>Arquitectura dinámica/interactiva; validar collider, navegación y footprint.</x:v>
      </x:c>
    </x:row>
    <x:row r="9" ht="34" customHeight="1">
      <x:c r="A9" s="24" t="str">
        <x:v>FUR-CAN-005</x:v>
      </x:c>
      <x:c r="B9" s="24" t="str">
        <x:v>featured-display</x:v>
      </x:c>
      <x:c r="C9" s="24" t="str">
        <x:v>Featured Display</x:v>
      </x:c>
      <x:c r="D9" s="24" t="str">
        <x:v>4</x:v>
      </x:c>
      <x:c r="E9" s="24" t="str">
        <x:v>CANONICAL / PHASE 1</x:v>
      </x:c>
      <x:c r="F9" s="24" t="str">
        <x:v>Imported + Runtime catalog linked</x:v>
      </x:c>
      <x:c r="G9" s="24" t="str">
        <x:v>Pending authored placement / H6</x:v>
      </x:c>
      <x:c r="H9" s="24" t="n">
        <x:v>2</x:v>
      </x:c>
      <x:c r="I9" s="24" t="n">
        <x:v>2</x:v>
      </x:c>
      <x:c r="J9" s="24" t="n">
        <x:v>1.1</x:v>
      </x:c>
      <x:c r="K9" s="24" t="n">
        <x:v>8</x:v>
      </x:c>
      <x:c r="L9" s="32" t="n">
        <x:v>240</x:v>
      </x:c>
      <x:c r="M9" s="40" t="b">
        <x:v>1</x:v>
      </x:c>
      <x:c r="N9" s="40" t="b">
        <x:v>1</x:v>
      </x:c>
      <x:c r="O9" s="40" t="b">
        <x:v>1</x:v>
      </x:c>
      <x:c r="P9" s="24" t="str">
        <x:v>furniture-featured</x:v>
      </x:c>
      <x:c r="Q9" s="24" t="str">
        <x:v>Assets/_Project/Prefabs/Furniture/FeaturedDisplay.prefab</x:v>
      </x:c>
      <x:c r="R9" s="24" t="str">
        <x:v>a220b490e14b7507c07ed1d5ebb45162</x:v>
      </x:c>
      <x:c r="S9" s="24" t="n">
        <x:v>16</x:v>
      </x:c>
      <x:c r="T9" s="24" t="str">
        <x:v>VS-BLD-001;VS-DSP-001;VS-SCN-002</x:v>
      </x:c>
      <x:c r="U9" s="24" t="str">
        <x:v>Internal/Approved</x:v>
      </x:c>
      <x:c r="V9" s="24" t="str"/>
      <x:c r="W9" s="24" t="str">
        <x:v>Arquitectura dinámica/interactiva; validar collider, navegación y footprint.</x:v>
      </x:c>
    </x:row>
    <x:row r="10" ht="34" customHeight="1">
      <x:c r="A10" s="24" t="str">
        <x:v>FUR-CAN-006</x:v>
      </x:c>
      <x:c r="B10" s="24" t="str">
        <x:v>backroom-storage</x:v>
      </x:c>
      <x:c r="C10" s="24" t="str">
        <x:v>Backroom Storage</x:v>
      </x:c>
      <x:c r="D10" s="24" t="str">
        <x:v>5</x:v>
      </x:c>
      <x:c r="E10" s="24" t="str">
        <x:v>CANONICAL / PHASE 1</x:v>
      </x:c>
      <x:c r="F10" s="24" t="str">
        <x:v>Imported + Runtime catalog linked</x:v>
      </x:c>
      <x:c r="G10" s="24" t="str">
        <x:v>Pending authored placement / H6</x:v>
      </x:c>
      <x:c r="H10" s="24" t="n">
        <x:v>5</x:v>
      </x:c>
      <x:c r="I10" s="24" t="n">
        <x:v>2</x:v>
      </x:c>
      <x:c r="J10" s="24" t="n">
        <x:v>2.4</x:v>
      </x:c>
      <x:c r="K10" s="24" t="n">
        <x:v>80</x:v>
      </x:c>
      <x:c r="L10" s="32" t="n">
        <x:v>220</x:v>
      </x:c>
      <x:c r="M10" s="40" t="b">
        <x:v>1</x:v>
      </x:c>
      <x:c r="N10" s="40" t="b">
        <x:v>0</x:v>
      </x:c>
      <x:c r="O10" s="40" t="b">
        <x:v>0</x:v>
      </x:c>
      <x:c r="P10" s="24" t="str">
        <x:v>furniture-storage</x:v>
      </x:c>
      <x:c r="Q10" s="24" t="str">
        <x:v>Assets/_Project/Prefabs/Furniture/BackroomStorage.prefab</x:v>
      </x:c>
      <x:c r="R10" s="24" t="str">
        <x:v>6a32d46b756131d355af34feb5ec815a</x:v>
      </x:c>
      <x:c r="S10" s="24" t="n">
        <x:v>16</x:v>
      </x:c>
      <x:c r="T10" s="24" t="str">
        <x:v>VS-BLD-001;VS-DSP-001;VS-SCN-002</x:v>
      </x:c>
      <x:c r="U10" s="24" t="str">
        <x:v>Internal/Approved</x:v>
      </x:c>
      <x:c r="V10" s="24" t="str">
        <x:v>KI-016-03</x:v>
      </x:c>
      <x:c r="W10" s="24" t="str">
        <x:v>Arquitectura dinámica/interactiva; validar collider, navegación y footprint.</x:v>
      </x:c>
    </x:row>
    <x:row r="11" ht="34" customHeight="1">
      <x:c r="A11" s="24" t="str">
        <x:v>FUR-CAN-007</x:v>
      </x:c>
      <x:c r="B11" s="24" t="str">
        <x:v>receiving-crate</x:v>
      </x:c>
      <x:c r="C11" s="24" t="str">
        <x:v>Receiving Crate</x:v>
      </x:c>
      <x:c r="D11" s="24" t="str">
        <x:v>6</x:v>
      </x:c>
      <x:c r="E11" s="24" t="str">
        <x:v>CANONICAL / PHASE 1</x:v>
      </x:c>
      <x:c r="F11" s="24" t="str">
        <x:v>Imported + Runtime catalog linked</x:v>
      </x:c>
      <x:c r="G11" s="24" t="str">
        <x:v>Pending authored placement / H6</x:v>
      </x:c>
      <x:c r="H11" s="24" t="n">
        <x:v>2</x:v>
      </x:c>
      <x:c r="I11" s="24" t="n">
        <x:v>2</x:v>
      </x:c>
      <x:c r="J11" s="24" t="n">
        <x:v>0.8</x:v>
      </x:c>
      <x:c r="K11" s="24" t="n">
        <x:v>24</x:v>
      </x:c>
      <x:c r="L11" s="32" t="n">
        <x:v>35</x:v>
      </x:c>
      <x:c r="M11" s="40" t="b">
        <x:v>1</x:v>
      </x:c>
      <x:c r="N11" s="40" t="b">
        <x:v>0</x:v>
      </x:c>
      <x:c r="O11" s="40" t="b">
        <x:v>0</x:v>
      </x:c>
      <x:c r="P11" s="24" t="str">
        <x:v>furniture-crate</x:v>
      </x:c>
      <x:c r="Q11" s="24" t="str">
        <x:v>Assets/_Project/Prefabs/Furniture/ReceivingCrate.prefab</x:v>
      </x:c>
      <x:c r="R11" s="24" t="str">
        <x:v>61dde0e295b6d720919f8fb896444331</x:v>
      </x:c>
      <x:c r="S11" s="24" t="n">
        <x:v>16</x:v>
      </x:c>
      <x:c r="T11" s="24" t="str">
        <x:v>VS-BLD-001;VS-DSP-001;VS-SCN-002</x:v>
      </x:c>
      <x:c r="U11" s="24" t="str">
        <x:v>Internal/Approved</x:v>
      </x:c>
      <x:c r="V11" s="24" t="str"/>
      <x:c r="W11" s="24" t="str">
        <x:v>Arquitectura dinámica/interactiva; validar collider, navegación y footprint.</x:v>
      </x:c>
    </x:row>
    <x:row r="12" ht="34" customHeight="1">
      <x:c r="A12" s="24" t="str">
        <x:v>FUR-CAN-008</x:v>
      </x:c>
      <x:c r="B12" s="24" t="str">
        <x:v>decoration-plant</x:v>
      </x:c>
      <x:c r="C12" s="24" t="str">
        <x:v>Decorative Plant</x:v>
      </x:c>
      <x:c r="D12" s="24" t="str">
        <x:v>7</x:v>
      </x:c>
      <x:c r="E12" s="24" t="str">
        <x:v>CANONICAL / PHASE 1</x:v>
      </x:c>
      <x:c r="F12" s="24" t="str">
        <x:v>Imported + Runtime catalog linked</x:v>
      </x:c>
      <x:c r="G12" s="24" t="str">
        <x:v>Pending authored placement / H6</x:v>
      </x:c>
      <x:c r="H12" s="24" t="n">
        <x:v>1</x:v>
      </x:c>
      <x:c r="I12" s="24" t="n">
        <x:v>1</x:v>
      </x:c>
      <x:c r="J12" s="24" t="n">
        <x:v>1.2</x:v>
      </x:c>
      <x:c r="K12" s="24" t="n">
        <x:v>0</x:v>
      </x:c>
      <x:c r="L12" s="32" t="n">
        <x:v>25</x:v>
      </x:c>
      <x:c r="M12" s="40" t="b">
        <x:v>0</x:v>
      </x:c>
      <x:c r="N12" s="40" t="b">
        <x:v>0</x:v>
      </x:c>
      <x:c r="O12" s="40" t="b">
        <x:v>0</x:v>
      </x:c>
      <x:c r="P12" s="24" t="str">
        <x:v>decoration</x:v>
      </x:c>
      <x:c r="Q12" s="24" t="str">
        <x:v>Assets/_Project/Prefabs/Furniture/DecorationPlant.prefab</x:v>
      </x:c>
      <x:c r="R12" s="24" t="str">
        <x:v>f75e2d3953fef002ae67aa64f5d7b9a5</x:v>
      </x:c>
      <x:c r="S12" s="24" t="n">
        <x:v>16</x:v>
      </x:c>
      <x:c r="T12" s="24" t="str">
        <x:v>VS-BLD-001;VS-DSP-001;VS-SCN-002</x:v>
      </x:c>
      <x:c r="U12" s="24" t="str">
        <x:v>Internal/Approved</x:v>
      </x:c>
      <x:c r="V12" s="24" t="str"/>
      <x:c r="W12" s="24" t="str">
        <x:v>Arquitectura dinámica/interactiva; validar collider, navegación y footprint.</x:v>
      </x:c>
    </x:row>
    <x:row r="13" ht="34" customHeight="1">
      <x:c r="A13" s="24" t="str">
        <x:v>DSP-TEC-001</x:v>
      </x:c>
      <x:c r="B13" s="24" t="str">
        <x:v>display-countertop-rack</x:v>
      </x:c>
      <x:c r="C13" s="24" t="str">
        <x:v>display.countertop_rack.name</x:v>
      </x:c>
      <x:c r="D13" s="24" t="str">
        <x:v>Technical display</x:v>
      </x:c>
      <x:c r="E13" s="24" t="str">
        <x:v>TECHNICAL / LEGACY ACTIVE</x:v>
      </x:c>
      <x:c r="F13" s="24" t="str">
        <x:v>Domain/data integrated</x:v>
      </x:c>
      <x:c r="G13" s="24" t="str">
        <x:v>Technical tests PASS</x:v>
      </x:c>
      <x:c r="H13" s="24"/>
      <x:c r="I13" s="24"/>
      <x:c r="J13" s="24"/>
      <x:c r="K13" s="24" t="n">
        <x:v>8</x:v>
      </x:c>
      <x:c r="L13" s="32"/>
      <x:c r="M13" s="40" t="b">
        <x:v>1</x:v>
      </x:c>
      <x:c r="N13" s="40" t="b">
        <x:v>0</x:v>
      </x:c>
      <x:c r="O13" s="40" t="b">
        <x:v>1</x:v>
      </x:c>
      <x:c r="P13" s="24" t="str"/>
      <x:c r="Q13" s="24" t="str">
        <x:v>None</x:v>
      </x:c>
      <x:c r="R13" s="24" t="str">
        <x:v>1f98f7b04dd74a48b73627285c1b01b6</x:v>
      </x:c>
      <x:c r="S13" s="24" t="n">
        <x:v>8</x:v>
      </x:c>
      <x:c r="T13" s="24" t="str">
        <x:v>VS-DSP-001;VS-DSP-002</x:v>
      </x:c>
      <x:c r="U13" s="24" t="str">
        <x:v>Internal</x:v>
      </x:c>
      <x:c r="V13" s="24" t="str">
        <x:v>Map to Phase 1 furniture</x:v>
      </x:c>
      <x:c r="W13" s="24" t="str">
        <x:v>Asset: Assets/_Project/Data/Displays/Technical/CC_Display_CountertopRack.asset; allowed categories: accessory; collectible</x:v>
      </x:c>
    </x:row>
    <x:row r="14" ht="34" customHeight="1">
      <x:c r="A14" s="24" t="str">
        <x:v>DSP-TEC-002</x:v>
      </x:c>
      <x:c r="B14" s="24" t="str">
        <x:v>display-floor-stand</x:v>
      </x:c>
      <x:c r="C14" s="24" t="str">
        <x:v>display.floor_stand.name</x:v>
      </x:c>
      <x:c r="D14" s="24" t="str">
        <x:v>Technical display</x:v>
      </x:c>
      <x:c r="E14" s="24" t="str">
        <x:v>TECHNICAL / LEGACY ACTIVE</x:v>
      </x:c>
      <x:c r="F14" s="24" t="str">
        <x:v>Domain/data integrated</x:v>
      </x:c>
      <x:c r="G14" s="24" t="str">
        <x:v>Technical tests PASS</x:v>
      </x:c>
      <x:c r="H14" s="24"/>
      <x:c r="I14" s="24"/>
      <x:c r="J14" s="24"/>
      <x:c r="K14" s="24" t="n">
        <x:v>24</x:v>
      </x:c>
      <x:c r="L14" s="32"/>
      <x:c r="M14" s="40" t="b">
        <x:v>1</x:v>
      </x:c>
      <x:c r="N14" s="40" t="b">
        <x:v>0</x:v>
      </x:c>
      <x:c r="O14" s="40" t="b">
        <x:v>1</x:v>
      </x:c>
      <x:c r="P14" s="24" t="str"/>
      <x:c r="Q14" s="24" t="str">
        <x:v>None</x:v>
      </x:c>
      <x:c r="R14" s="24" t="str">
        <x:v>9173e71110e34e659d9a23c6c946af94</x:v>
      </x:c>
      <x:c r="S14" s="24" t="n">
        <x:v>8</x:v>
      </x:c>
      <x:c r="T14" s="24" t="str">
        <x:v>VS-DSP-001;VS-DSP-002</x:v>
      </x:c>
      <x:c r="U14" s="24" t="str">
        <x:v>Internal</x:v>
      </x:c>
      <x:c r="V14" s="24" t="str">
        <x:v>Map to Phase 1 furniture</x:v>
      </x:c>
      <x:c r="W14" s="24" t="str">
        <x:v>Asset: Assets/_Project/Data/Displays/Technical/CC_Display_FloorStand.asset; allowed categories: console; video-game</x:v>
      </x:c>
    </x:row>
    <x:row r="15" ht="34" customHeight="1">
      <x:c r="A15" s="24" t="str">
        <x:v>DSP-TEC-003</x:v>
      </x:c>
      <x:c r="B15" s="24" t="str">
        <x:v>display-single-shelf</x:v>
      </x:c>
      <x:c r="C15" s="24" t="str">
        <x:v>display.single_shelf.name</x:v>
      </x:c>
      <x:c r="D15" s="24" t="str">
        <x:v>Technical display</x:v>
      </x:c>
      <x:c r="E15" s="24" t="str">
        <x:v>TECHNICAL / LEGACY ACTIVE</x:v>
      </x:c>
      <x:c r="F15" s="24" t="str">
        <x:v>Domain/data integrated</x:v>
      </x:c>
      <x:c r="G15" s="24" t="str">
        <x:v>Technical tests PASS</x:v>
      </x:c>
      <x:c r="H15" s="24"/>
      <x:c r="I15" s="24"/>
      <x:c r="J15" s="24"/>
      <x:c r="K15" s="24" t="n">
        <x:v>12</x:v>
      </x:c>
      <x:c r="L15" s="32"/>
      <x:c r="M15" s="40" t="b">
        <x:v>1</x:v>
      </x:c>
      <x:c r="N15" s="40" t="b">
        <x:v>0</x:v>
      </x:c>
      <x:c r="O15" s="40" t="b">
        <x:v>1</x:v>
      </x:c>
      <x:c r="P15" s="24" t="str"/>
      <x:c r="Q15" s="24" t="str">
        <x:v>None</x:v>
      </x:c>
      <x:c r="R15" s="24" t="str">
        <x:v>0039b71c7ee1483b8d905409b7f6841c</x:v>
      </x:c>
      <x:c r="S15" s="24" t="n">
        <x:v>8</x:v>
      </x:c>
      <x:c r="T15" s="24" t="str">
        <x:v>VS-DSP-001;VS-DSP-002</x:v>
      </x:c>
      <x:c r="U15" s="24" t="str">
        <x:v>Internal</x:v>
      </x:c>
      <x:c r="V15" s="24" t="str">
        <x:v>Map to Phase 1 furniture</x:v>
      </x:c>
      <x:c r="W15" s="24" t="str">
        <x:v>Asset: Assets/_Project/Data/Displays/Technical/CC_Display_SingleShelf.asset; allowed categories: video-game; accessory; collectible</x:v>
      </x:c>
    </x:row>
  </x:sheetData>
  <x:mergeCells>
    <x:mergeCell ref="A1:W1"/>
    <x:mergeCell ref="A2:W2"/>
  </x:mergeCells>
  <x:conditionalFormatting sqref="E5:E15">
    <x:cfRule type="expression" dxfId="28" priority="1">
      <x:formula>OR(ISNUMBER(SEARCH("PASS",E5)),ISNUMBER(SEARCH("CANONICAL",E5)),ISNUMBER(SEARCH("DONE",E5)))</x:formula>
    </x:cfRule>
    <x:cfRule type="expression" dxfId="29" priority="2">
      <x:formula>OR(ISNUMBER(SEARCH("BLOCK",E5)),ISNUMBER(SEARCH("FAIL",E5)),ISNUMBER(SEARCH("S1",E5)))</x:formula>
    </x:cfRule>
    <x:cfRule type="expression" dxfId="30" priority="3">
      <x:formula>OR(ISNUMBER(SEARCH("PENDING",E5)),ISNUMBER(SEARCH("PLANNED",E5)),ISNUMBER(SEARCH("PARTIAL",E5)),ISNUMBER(SEARCH("PLACEHOLDER",E5)))</x:formula>
    </x:cfRule>
    <x:cfRule type="expression" dxfId="31" priority="4">
      <x:formula>OR(ISNUMBER(SEARCH("VISION",E5)),ISNUMBER(SEARCH("HISTORICAL",E5)))</x:formula>
    </x:cfRule>
  </x:conditionalFormatting>
  <x:conditionalFormatting sqref="G5:G15">
    <x:cfRule type="expression" dxfId="32" priority="5">
      <x:formula>OR(ISNUMBER(SEARCH("PASS",G5)),ISNUMBER(SEARCH("CANONICAL",G5)),ISNUMBER(SEARCH("DONE",G5)))</x:formula>
    </x:cfRule>
    <x:cfRule type="expression" dxfId="33" priority="6">
      <x:formula>OR(ISNUMBER(SEARCH("BLOCK",G5)),ISNUMBER(SEARCH("FAIL",G5)),ISNUMBER(SEARCH("S1",G5)))</x:formula>
    </x:cfRule>
    <x:cfRule type="expression" dxfId="34" priority="7">
      <x:formula>OR(ISNUMBER(SEARCH("PENDING",G5)),ISNUMBER(SEARCH("PLANNED",G5)),ISNUMBER(SEARCH("PARTIAL",G5)),ISNUMBER(SEARCH("PLACEHOLDER",G5)))</x:formula>
    </x:cfRule>
    <x:cfRule type="expression" dxfId="35" priority="8">
      <x:formula>OR(ISNUMBER(SEARCH("VISION",G5)),ISNUMBER(SEARCH("HISTORICAL",G5)))</x:formula>
    </x:cfRule>
  </x:conditionalFormatting>
  <x:conditionalFormatting sqref="F5:F15">
    <x:cfRule type="expression" dxfId="36" priority="9">
      <x:formula>OR(ISNUMBER(SEARCH("PASS",F5)),ISNUMBER(SEARCH("CANONICAL",F5)),ISNUMBER(SEARCH("DONE",F5)))</x:formula>
    </x:cfRule>
    <x:cfRule type="expression" dxfId="37" priority="10">
      <x:formula>OR(ISNUMBER(SEARCH("BLOCK",F5)),ISNUMBER(SEARCH("FAIL",F5)),ISNUMBER(SEARCH("S1",F5)))</x:formula>
    </x:cfRule>
    <x:cfRule type="expression" dxfId="38" priority="11">
      <x:formula>OR(ISNUMBER(SEARCH("PENDING",F5)),ISNUMBER(SEARCH("PLANNED",F5)),ISNUMBER(SEARCH("PARTIAL",F5)),ISNUMBER(SEARCH("PLACEHOLDER",F5)))</x:formula>
    </x:cfRule>
    <x:cfRule type="expression" dxfId="39" priority="12">
      <x:formula>OR(ISNUMBER(SEARCH("VISION",F5)),ISNUMBER(SEARCH("HISTORICAL",F5)))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7a0a8de95442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26" hidden="0" customWidth="1"/>
    <x:col min="5" max="5" width="28" hidden="0" customWidth="1"/>
    <x:col min="6" max="6" width="24" hidden="0" customWidth="1"/>
    <x:col min="7" max="7" width="34" hidden="0" customWidth="1"/>
    <x:col min="8" max="8" width="70" hidden="0" customWidth="1"/>
    <x:col min="9" max="9" width="36" hidden="0" customWidth="1"/>
    <x:col min="10" max="10" width="12" hidden="0" customWidth="1"/>
    <x:col min="11" max="11" width="18" hidden="0" customWidth="1"/>
    <x:col min="12" max="12" width="14" hidden="0" customWidth="1"/>
    <x:col min="13" max="13" width="22" hidden="0" customWidth="1"/>
    <x:col min="14" max="14" width="22" hidden="0" customWidth="1"/>
    <x:col min="15" max="15" width="26" hidden="0" customWidth="1"/>
    <x:col min="16" max="16" width="12" hidden="0" customWidth="1"/>
    <x:col min="17" max="17" width="28" hidden="0" customWidth="1"/>
    <x:col min="18" max="18" width="22" hidden="0" customWidth="1"/>
    <x:col min="19" max="19" width="34" hidden="0" customWidth="1"/>
    <x:col min="20" max="20" width="22" hidden="0" customWidth="1"/>
    <x:col min="21" max="21" width="55" hidden="0" customWidth="1"/>
  </x:cols>
  <x:sheetData>
    <x:row r="1" ht="30" customHeight="1">
      <x:c r="A1" s="4" t="str">
        <x:v>Arquitectura modular y fija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2" customHeight="1">
      <x:c r="A2" s="10" t="str">
        <x:v>Kit modular real para StoreInitial, con GUID, validación y deuda.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 ht="36" customHeight="1">
      <x:c r="A4" s="17" t="str">
        <x:v>Content ID</x:v>
      </x:c>
      <x:c r="B4" s="17" t="str">
        <x:v>Nombre</x:v>
      </x:c>
      <x:c r="C4" s="17" t="str">
        <x:v>Familia</x:v>
      </x:c>
      <x:c r="D4" s="17" t="str">
        <x:v>Tipo</x:v>
      </x:c>
      <x:c r="E4" s="17" t="str">
        <x:v>Estado canónico</x:v>
      </x:c>
      <x:c r="F4" s="17" t="str">
        <x:v>Implementación</x:v>
      </x:c>
      <x:c r="G4" s="17" t="str">
        <x:v>Validación</x:v>
      </x:c>
      <x:c r="H4" s="17" t="str">
        <x:v>Ruta</x:v>
      </x:c>
      <x:c r="I4" s="17" t="str">
        <x:v>GUID</x:v>
      </x:c>
      <x:c r="J4" s="17" t="str">
        <x:v>Tamaño KiB</x:v>
      </x:c>
      <x:c r="K4" s="17" t="str">
        <x:v>Escena objetivo</x:v>
      </x:c>
      <x:c r="L4" s="17" t="str">
        <x:v>Fijo/Dinámico</x:v>
      </x:c>
      <x:c r="M4" s="17" t="str">
        <x:v>Collider</x:v>
      </x:c>
      <x:c r="N4" s="17" t="str">
        <x:v>NavMesh</x:v>
      </x:c>
      <x:c r="O4" s="17" t="str">
        <x:v>Material</x:v>
      </x:c>
      <x:c r="P4" s="17" t="str">
        <x:v>Sprint</x:v>
      </x:c>
      <x:c r="Q4" s="17" t="str">
        <x:v>Requisito</x:v>
      </x:c>
      <x:c r="R4" s="17" t="str">
        <x:v>Licencia</x:v>
      </x:c>
      <x:c r="S4" s="17" t="str">
        <x:v>Evidencia</x:v>
      </x:c>
      <x:c r="T4" s="17" t="str">
        <x:v>Deuda</x:v>
      </x:c>
      <x:c r="U4" s="17" t="str">
        <x:v>Notas</x:v>
      </x:c>
    </x:row>
    <x:row r="5" ht="34" customHeight="1">
      <x:c r="A5" s="24" t="str">
        <x:v>ARC-001</x:v>
      </x:c>
      <x:c r="B5" s="24" t="str">
        <x:v>AutomaticDoor</x:v>
      </x:c>
      <x:c r="C5" s="24" t="str">
        <x:v>Architecture</x:v>
      </x:c>
      <x:c r="D5" s="24" t="str">
        <x:v>Fixed architecture prefab</x:v>
      </x:c>
      <x:c r="E5" s="24" t="str">
        <x:v>CANONICAL / REPRESENTATIVE</x:v>
      </x:c>
      <x:c r="F5" s="24" t="str">
        <x:v>Prefab available</x:v>
      </x:c>
      <x:c r="G5" s="24" t="str">
        <x:v>Pending StoreInitial authored-scene review</x:v>
      </x:c>
      <x:c r="H5" s="24" t="str">
        <x:v>Assets/_Project/Prefabs/Architecture/AutomaticDoor.prefab</x:v>
      </x:c>
      <x:c r="I5" s="24" t="str">
        <x:v>902fae9f30573af4fb83f30c0eb15af6</x:v>
      </x:c>
      <x:c r="J5" s="44" t="n">
        <x:v>19.02</x:v>
      </x:c>
      <x:c r="K5" s="24" t="str">
        <x:v>StoreInitial</x:v>
      </x:c>
      <x:c r="L5" s="24" t="str">
        <x:v>Fixed</x:v>
      </x:c>
      <x:c r="M5" s="24" t="str">
        <x:v>Review serialized prefab</x:v>
      </x:c>
      <x:c r="N5" s="24" t="str">
        <x:v>Review in authored scene</x:v>
      </x:c>
      <x:c r="O5" s="24" t="str">
        <x:v>MaterialPalette / prefab refs</x:v>
      </x:c>
      <x:c r="P5" s="24" t="n">
        <x:v>16</x:v>
      </x:c>
      <x:c r="Q5" s="24" t="str">
        <x:v>VS-SCN-001;VS-SCN-002;VS-SCN-004</x:v>
      </x:c>
      <x:c r="R5" s="24" t="str">
        <x:v>Internal/Approved</x:v>
      </x:c>
      <x:c r="S5" s="24" t="str">
        <x:v>Scene capture + traversal + prefab validation</x:v>
      </x:c>
      <x:c r="T5" s="24" t="str">
        <x:v>Wall/door review</x:v>
      </x:c>
      <x:c r="U5" s="24" t="str">
        <x:v>La arquitectura fija se autora en escena y no se reconstruye por bounds/nombres.</x:v>
      </x:c>
    </x:row>
    <x:row r="6" ht="34" customHeight="1">
      <x:c r="A6" s="24" t="str">
        <x:v>ARC-002</x:v>
      </x:c>
      <x:c r="B6" s="24" t="str">
        <x:v>BackroomPartition</x:v>
      </x:c>
      <x:c r="C6" s="24" t="str">
        <x:v>Architecture</x:v>
      </x:c>
      <x:c r="D6" s="24" t="str">
        <x:v>Fixed architecture prefab</x:v>
      </x:c>
      <x:c r="E6" s="24" t="str">
        <x:v>CANONICAL / REPRESENTATIVE</x:v>
      </x:c>
      <x:c r="F6" s="24" t="str">
        <x:v>Prefab available</x:v>
      </x:c>
      <x:c r="G6" s="24" t="str">
        <x:v>Pending StoreInitial authored-scene review</x:v>
      </x:c>
      <x:c r="H6" s="24" t="str">
        <x:v>Assets/_Project/Prefabs/Architecture/BackroomPartition.prefab</x:v>
      </x:c>
      <x:c r="I6" s="24" t="str">
        <x:v>6afaabca3fc84ce43bce0d5a571f2141</x:v>
      </x:c>
      <x:c r="J6" s="44" t="n">
        <x:v>45.25</x:v>
      </x:c>
      <x:c r="K6" s="24" t="str">
        <x:v>StoreInitial</x:v>
      </x:c>
      <x:c r="L6" s="24" t="str">
        <x:v>Fixed</x:v>
      </x:c>
      <x:c r="M6" s="24" t="str">
        <x:v>Review serialized prefab</x:v>
      </x:c>
      <x:c r="N6" s="24" t="str">
        <x:v>Review in authored scene</x:v>
      </x:c>
      <x:c r="O6" s="24" t="str">
        <x:v>MaterialPalette / prefab refs</x:v>
      </x:c>
      <x:c r="P6" s="24" t="n">
        <x:v>16</x:v>
      </x:c>
      <x:c r="Q6" s="24" t="str">
        <x:v>VS-SCN-001;VS-SCN-002;VS-SCN-004</x:v>
      </x:c>
      <x:c r="R6" s="24" t="str">
        <x:v>Internal/Approved</x:v>
      </x:c>
      <x:c r="S6" s="24" t="str">
        <x:v>Scene capture + traversal + prefab validation</x:v>
      </x:c>
      <x:c r="T6" s="24" t="str"/>
      <x:c r="U6" s="24" t="str">
        <x:v>La arquitectura fija se autora en escena y no se reconstruye por bounds/nombres.</x:v>
      </x:c>
    </x:row>
    <x:row r="7" ht="34" customHeight="1">
      <x:c r="A7" s="24" t="str">
        <x:v>ARC-003</x:v>
      </x:c>
      <x:c r="B7" s="24" t="str">
        <x:v>CornerInner</x:v>
      </x:c>
      <x:c r="C7" s="24" t="str">
        <x:v>Architecture</x:v>
      </x:c>
      <x:c r="D7" s="24" t="str">
        <x:v>Fixed architecture prefab</x:v>
      </x:c>
      <x:c r="E7" s="24" t="str">
        <x:v>CANONICAL / REPRESENTATIVE</x:v>
      </x:c>
      <x:c r="F7" s="24" t="str">
        <x:v>Prefab available</x:v>
      </x:c>
      <x:c r="G7" s="24" t="str">
        <x:v>Pending StoreInitial authored-scene review</x:v>
      </x:c>
      <x:c r="H7" s="24" t="str">
        <x:v>Assets/_Project/Prefabs/Architecture/CornerInner.prefab</x:v>
      </x:c>
      <x:c r="I7" s="24" t="str">
        <x:v>8326de81cbe6b6c488aff3e01eab441a</x:v>
      </x:c>
      <x:c r="J7" s="44" t="n">
        <x:v>5.02</x:v>
      </x:c>
      <x:c r="K7" s="24" t="str">
        <x:v>StoreInitial</x:v>
      </x:c>
      <x:c r="L7" s="24" t="str">
        <x:v>Fixed</x:v>
      </x:c>
      <x:c r="M7" s="24" t="str">
        <x:v>Review serialized prefab</x:v>
      </x:c>
      <x:c r="N7" s="24" t="str">
        <x:v>Review in authored scene</x:v>
      </x:c>
      <x:c r="O7" s="24" t="str">
        <x:v>MaterialPalette / prefab refs</x:v>
      </x:c>
      <x:c r="P7" s="24" t="n">
        <x:v>16</x:v>
      </x:c>
      <x:c r="Q7" s="24" t="str">
        <x:v>VS-SCN-001;VS-SCN-002;VS-SCN-004</x:v>
      </x:c>
      <x:c r="R7" s="24" t="str">
        <x:v>Internal/Approved</x:v>
      </x:c>
      <x:c r="S7" s="24" t="str">
        <x:v>Scene capture + traversal + prefab validation</x:v>
      </x:c>
      <x:c r="T7" s="24" t="str"/>
      <x:c r="U7" s="24" t="str">
        <x:v>La arquitectura fija se autora en escena y no se reconstruye por bounds/nombres.</x:v>
      </x:c>
    </x:row>
    <x:row r="8" ht="34" customHeight="1">
      <x:c r="A8" s="24" t="str">
        <x:v>ARC-004</x:v>
      </x:c>
      <x:c r="B8" s="24" t="str">
        <x:v>CornerOuter</x:v>
      </x:c>
      <x:c r="C8" s="24" t="str">
        <x:v>Architecture</x:v>
      </x:c>
      <x:c r="D8" s="24" t="str">
        <x:v>Fixed architecture prefab</x:v>
      </x:c>
      <x:c r="E8" s="24" t="str">
        <x:v>CANONICAL / REPRESENTATIVE</x:v>
      </x:c>
      <x:c r="F8" s="24" t="str">
        <x:v>Prefab available</x:v>
      </x:c>
      <x:c r="G8" s="24" t="str">
        <x:v>Pending StoreInitial authored-scene review</x:v>
      </x:c>
      <x:c r="H8" s="24" t="str">
        <x:v>Assets/_Project/Prefabs/Architecture/CornerOuter.prefab</x:v>
      </x:c>
      <x:c r="I8" s="24" t="str">
        <x:v>86630f8bb9a3dd44eadcc3cb99d1c653</x:v>
      </x:c>
      <x:c r="J8" s="44" t="n">
        <x:v>5.03</x:v>
      </x:c>
      <x:c r="K8" s="24" t="str">
        <x:v>StoreInitial</x:v>
      </x:c>
      <x:c r="L8" s="24" t="str">
        <x:v>Fixed</x:v>
      </x:c>
      <x:c r="M8" s="24" t="str">
        <x:v>Review serialized prefab</x:v>
      </x:c>
      <x:c r="N8" s="24" t="str">
        <x:v>Review in authored scene</x:v>
      </x:c>
      <x:c r="O8" s="24" t="str">
        <x:v>MaterialPalette / prefab refs</x:v>
      </x:c>
      <x:c r="P8" s="24" t="n">
        <x:v>16</x:v>
      </x:c>
      <x:c r="Q8" s="24" t="str">
        <x:v>VS-SCN-001;VS-SCN-002;VS-SCN-004</x:v>
      </x:c>
      <x:c r="R8" s="24" t="str">
        <x:v>Internal/Approved</x:v>
      </x:c>
      <x:c r="S8" s="24" t="str">
        <x:v>Scene capture + traversal + prefab validation</x:v>
      </x:c>
      <x:c r="T8" s="24" t="str"/>
      <x:c r="U8" s="24" t="str">
        <x:v>La arquitectura fija se autora en escena y no se reconstruye por bounds/nombres.</x:v>
      </x:c>
    </x:row>
    <x:row r="9" ht="34" customHeight="1">
      <x:c r="A9" s="24" t="str">
        <x:v>ARC-005</x:v>
      </x:c>
      <x:c r="B9" s="24" t="str">
        <x:v>EndCap</x:v>
      </x:c>
      <x:c r="C9" s="24" t="str">
        <x:v>Architecture</x:v>
      </x:c>
      <x:c r="D9" s="24" t="str">
        <x:v>Fixed architecture prefab</x:v>
      </x:c>
      <x:c r="E9" s="24" t="str">
        <x:v>CANONICAL / REPRESENTATIVE</x:v>
      </x:c>
      <x:c r="F9" s="24" t="str">
        <x:v>Prefab available</x:v>
      </x:c>
      <x:c r="G9" s="24" t="str">
        <x:v>Pending StoreInitial authored-scene review</x:v>
      </x:c>
      <x:c r="H9" s="24" t="str">
        <x:v>Assets/_Project/Prefabs/Architecture/EndCap.prefab</x:v>
      </x:c>
      <x:c r="I9" s="24" t="str">
        <x:v>922447690a287bb40b0e0637e09b8d1c</x:v>
      </x:c>
      <x:c r="J9" s="44" t="n">
        <x:v>5.01</x:v>
      </x:c>
      <x:c r="K9" s="24" t="str">
        <x:v>StoreInitial</x:v>
      </x:c>
      <x:c r="L9" s="24" t="str">
        <x:v>Fixed</x:v>
      </x:c>
      <x:c r="M9" s="24" t="str">
        <x:v>Review serialized prefab</x:v>
      </x:c>
      <x:c r="N9" s="24" t="str">
        <x:v>Review in authored scene</x:v>
      </x:c>
      <x:c r="O9" s="24" t="str">
        <x:v>MaterialPalette / prefab refs</x:v>
      </x:c>
      <x:c r="P9" s="24" t="n">
        <x:v>16</x:v>
      </x:c>
      <x:c r="Q9" s="24" t="str">
        <x:v>VS-SCN-001;VS-SCN-002;VS-SCN-004</x:v>
      </x:c>
      <x:c r="R9" s="24" t="str">
        <x:v>Internal/Approved</x:v>
      </x:c>
      <x:c r="S9" s="24" t="str">
        <x:v>Scene capture + traversal + prefab validation</x:v>
      </x:c>
      <x:c r="T9" s="24" t="str"/>
      <x:c r="U9" s="24" t="str">
        <x:v>La arquitectura fija se autora en escena y no se reconstruye por bounds/nombres.</x:v>
      </x:c>
    </x:row>
    <x:row r="10" ht="34" customHeight="1">
      <x:c r="A10" s="24" t="str">
        <x:v>ARC-006</x:v>
      </x:c>
      <x:c r="B10" s="24" t="str">
        <x:v>EntranceThreshold</x:v>
      </x:c>
      <x:c r="C10" s="24" t="str">
        <x:v>Architecture</x:v>
      </x:c>
      <x:c r="D10" s="24" t="str">
        <x:v>Fixed architecture prefab</x:v>
      </x:c>
      <x:c r="E10" s="24" t="str">
        <x:v>CANONICAL / REPRESENTATIVE</x:v>
      </x:c>
      <x:c r="F10" s="24" t="str">
        <x:v>Prefab available</x:v>
      </x:c>
      <x:c r="G10" s="24" t="str">
        <x:v>Pending StoreInitial authored-scene review</x:v>
      </x:c>
      <x:c r="H10" s="24" t="str">
        <x:v>Assets/_Project/Prefabs/Architecture/EntranceThreshold.prefab</x:v>
      </x:c>
      <x:c r="I10" s="24" t="str">
        <x:v>b6fdade53717521498b183f5bae96305</x:v>
      </x:c>
      <x:c r="J10" s="44" t="n">
        <x:v>29.14</x:v>
      </x:c>
      <x:c r="K10" s="24" t="str">
        <x:v>StoreInitial</x:v>
      </x:c>
      <x:c r="L10" s="24" t="str">
        <x:v>Fixed</x:v>
      </x:c>
      <x:c r="M10" s="24" t="str">
        <x:v>Review serialized prefab</x:v>
      </x:c>
      <x:c r="N10" s="24" t="str">
        <x:v>Review in authored scene</x:v>
      </x:c>
      <x:c r="O10" s="24" t="str">
        <x:v>MaterialPalette / prefab refs</x:v>
      </x:c>
      <x:c r="P10" s="24" t="n">
        <x:v>16</x:v>
      </x:c>
      <x:c r="Q10" s="24" t="str">
        <x:v>VS-SCN-001;VS-SCN-002;VS-SCN-004</x:v>
      </x:c>
      <x:c r="R10" s="24" t="str">
        <x:v>Internal/Approved</x:v>
      </x:c>
      <x:c r="S10" s="24" t="str">
        <x:v>Scene capture + traversal + prefab validation</x:v>
      </x:c>
      <x:c r="T10" s="24" t="str"/>
      <x:c r="U10" s="24" t="str">
        <x:v>La arquitectura fija se autora en escena y no se reconstruye por bounds/nombres.</x:v>
      </x:c>
    </x:row>
    <x:row r="11" ht="34" customHeight="1">
      <x:c r="A11" s="24" t="str">
        <x:v>ARC-007</x:v>
      </x:c>
      <x:c r="B11" s="24" t="str">
        <x:v>Floor100</x:v>
      </x:c>
      <x:c r="C11" s="24" t="str">
        <x:v>Architecture</x:v>
      </x:c>
      <x:c r="D11" s="24" t="str">
        <x:v>Fixed architecture prefab</x:v>
      </x:c>
      <x:c r="E11" s="24" t="str">
        <x:v>CANONICAL / REPRESENTATIVE</x:v>
      </x:c>
      <x:c r="F11" s="24" t="str">
        <x:v>Prefab available</x:v>
      </x:c>
      <x:c r="G11" s="24" t="str">
        <x:v>Pending StoreInitial authored-scene review</x:v>
      </x:c>
      <x:c r="H11" s="24" t="str">
        <x:v>Assets/_Project/Prefabs/Architecture/Floor100.prefab</x:v>
      </x:c>
      <x:c r="I11" s="24" t="str">
        <x:v>94410c856fcbe9a44a4e0565b59a4810</x:v>
      </x:c>
      <x:c r="J11" s="44" t="n">
        <x:v>5</x:v>
      </x:c>
      <x:c r="K11" s="24" t="str">
        <x:v>StoreInitial</x:v>
      </x:c>
      <x:c r="L11" s="24" t="str">
        <x:v>Fixed</x:v>
      </x:c>
      <x:c r="M11" s="24" t="str">
        <x:v>Review serialized prefab</x:v>
      </x:c>
      <x:c r="N11" s="24" t="str">
        <x:v>Review in authored scene</x:v>
      </x:c>
      <x:c r="O11" s="24" t="str">
        <x:v>MaterialPalette / prefab refs</x:v>
      </x:c>
      <x:c r="P11" s="24" t="n">
        <x:v>16</x:v>
      </x:c>
      <x:c r="Q11" s="24" t="str">
        <x:v>VS-SCN-001;VS-SCN-002;VS-SCN-004</x:v>
      </x:c>
      <x:c r="R11" s="24" t="str">
        <x:v>Internal/Approved</x:v>
      </x:c>
      <x:c r="S11" s="24" t="str">
        <x:v>Scene capture + traversal + prefab validation</x:v>
      </x:c>
      <x:c r="T11" s="24" t="str"/>
      <x:c r="U11" s="24" t="str">
        <x:v>La arquitectura fija se autora en escena y no se reconstruye por bounds/nombres.</x:v>
      </x:c>
    </x:row>
    <x:row r="12" ht="34" customHeight="1">
      <x:c r="A12" s="24" t="str">
        <x:v>ARC-008</x:v>
      </x:c>
      <x:c r="B12" s="24" t="str">
        <x:v>Floor200</x:v>
      </x:c>
      <x:c r="C12" s="24" t="str">
        <x:v>Architecture</x:v>
      </x:c>
      <x:c r="D12" s="24" t="str">
        <x:v>Fixed architecture prefab</x:v>
      </x:c>
      <x:c r="E12" s="24" t="str">
        <x:v>CANONICAL / REPRESENTATIVE</x:v>
      </x:c>
      <x:c r="F12" s="24" t="str">
        <x:v>Prefab available</x:v>
      </x:c>
      <x:c r="G12" s="24" t="str">
        <x:v>Pending StoreInitial authored-scene review</x:v>
      </x:c>
      <x:c r="H12" s="24" t="str">
        <x:v>Assets/_Project/Prefabs/Architecture/Floor200.prefab</x:v>
      </x:c>
      <x:c r="I12" s="24" t="str">
        <x:v>07c25de10de27694080275bb6f53c0c5</x:v>
      </x:c>
      <x:c r="J12" s="44" t="n">
        <x:v>5.01</x:v>
      </x:c>
      <x:c r="K12" s="24" t="str">
        <x:v>StoreInitial</x:v>
      </x:c>
      <x:c r="L12" s="24" t="str">
        <x:v>Fixed</x:v>
      </x:c>
      <x:c r="M12" s="24" t="str">
        <x:v>Review serialized prefab</x:v>
      </x:c>
      <x:c r="N12" s="24" t="str">
        <x:v>Review in authored scene</x:v>
      </x:c>
      <x:c r="O12" s="24" t="str">
        <x:v>MaterialPalette / prefab refs</x:v>
      </x:c>
      <x:c r="P12" s="24" t="n">
        <x:v>16</x:v>
      </x:c>
      <x:c r="Q12" s="24" t="str">
        <x:v>VS-SCN-001;VS-SCN-002;VS-SCN-004</x:v>
      </x:c>
      <x:c r="R12" s="24" t="str">
        <x:v>Internal/Approved</x:v>
      </x:c>
      <x:c r="S12" s="24" t="str">
        <x:v>Scene capture + traversal + prefab validation</x:v>
      </x:c>
      <x:c r="T12" s="24" t="str"/>
      <x:c r="U12" s="24" t="str">
        <x:v>La arquitectura fija se autora en escena y no se reconstruye por bounds/nombres.</x:v>
      </x:c>
    </x:row>
    <x:row r="13" ht="34" customHeight="1">
      <x:c r="A13" s="24" t="str">
        <x:v>ARC-009</x:v>
      </x:c>
      <x:c r="B13" s="24" t="str">
        <x:v>FloorEdge100</x:v>
      </x:c>
      <x:c r="C13" s="24" t="str">
        <x:v>Architecture</x:v>
      </x:c>
      <x:c r="D13" s="24" t="str">
        <x:v>Fixed architecture prefab</x:v>
      </x:c>
      <x:c r="E13" s="24" t="str">
        <x:v>CANONICAL / REPRESENTATIVE</x:v>
      </x:c>
      <x:c r="F13" s="24" t="str">
        <x:v>Prefab available</x:v>
      </x:c>
      <x:c r="G13" s="24" t="str">
        <x:v>Pending StoreInitial authored-scene review</x:v>
      </x:c>
      <x:c r="H13" s="24" t="str">
        <x:v>Assets/_Project/Prefabs/Architecture/FloorEdge100.prefab</x:v>
      </x:c>
      <x:c r="I13" s="24" t="str">
        <x:v>a1632d5e73519f4448f13ec11c146a6e</x:v>
      </x:c>
      <x:c r="J13" s="44" t="n">
        <x:v>5.02</x:v>
      </x:c>
      <x:c r="K13" s="24" t="str">
        <x:v>StoreInitial</x:v>
      </x:c>
      <x:c r="L13" s="24" t="str">
        <x:v>Fixed</x:v>
      </x:c>
      <x:c r="M13" s="24" t="str">
        <x:v>Review serialized prefab</x:v>
      </x:c>
      <x:c r="N13" s="24" t="str">
        <x:v>Review in authored scene</x:v>
      </x:c>
      <x:c r="O13" s="24" t="str">
        <x:v>MaterialPalette / prefab refs</x:v>
      </x:c>
      <x:c r="P13" s="24" t="n">
        <x:v>16</x:v>
      </x:c>
      <x:c r="Q13" s="24" t="str">
        <x:v>VS-SCN-001;VS-SCN-002;VS-SCN-004</x:v>
      </x:c>
      <x:c r="R13" s="24" t="str">
        <x:v>Internal/Approved</x:v>
      </x:c>
      <x:c r="S13" s="24" t="str">
        <x:v>Scene capture + traversal + prefab validation</x:v>
      </x:c>
      <x:c r="T13" s="24" t="str"/>
      <x:c r="U13" s="24" t="str">
        <x:v>La arquitectura fija se autora en escena y no se reconstruye por bounds/nombres.</x:v>
      </x:c>
    </x:row>
    <x:row r="14" ht="34" customHeight="1">
      <x:c r="A14" s="24" t="str">
        <x:v>ARC-010</x:v>
      </x:c>
      <x:c r="B14" s="24" t="str">
        <x:v>FloorTransition100</x:v>
      </x:c>
      <x:c r="C14" s="24" t="str">
        <x:v>Architecture</x:v>
      </x:c>
      <x:c r="D14" s="24" t="str">
        <x:v>Fixed architecture prefab</x:v>
      </x:c>
      <x:c r="E14" s="24" t="str">
        <x:v>CANONICAL / REPRESENTATIVE</x:v>
      </x:c>
      <x:c r="F14" s="24" t="str">
        <x:v>Prefab available</x:v>
      </x:c>
      <x:c r="G14" s="24" t="str">
        <x:v>Pending StoreInitial authored-scene review</x:v>
      </x:c>
      <x:c r="H14" s="24" t="str">
        <x:v>Assets/_Project/Prefabs/Architecture/FloorTransition100.prefab</x:v>
      </x:c>
      <x:c r="I14" s="24" t="str">
        <x:v>e41ce63b6c5c01e4b9673778fd7f2336</x:v>
      </x:c>
      <x:c r="J14" s="44" t="n">
        <x:v>5.04</x:v>
      </x:c>
      <x:c r="K14" s="24" t="str">
        <x:v>StoreInitial</x:v>
      </x:c>
      <x:c r="L14" s="24" t="str">
        <x:v>Fixed</x:v>
      </x:c>
      <x:c r="M14" s="24" t="str">
        <x:v>Review serialized prefab</x:v>
      </x:c>
      <x:c r="N14" s="24" t="str">
        <x:v>Review in authored scene</x:v>
      </x:c>
      <x:c r="O14" s="24" t="str">
        <x:v>MaterialPalette / prefab refs</x:v>
      </x:c>
      <x:c r="P14" s="24" t="n">
        <x:v>16</x:v>
      </x:c>
      <x:c r="Q14" s="24" t="str">
        <x:v>VS-SCN-001;VS-SCN-002;VS-SCN-004</x:v>
      </x:c>
      <x:c r="R14" s="24" t="str">
        <x:v>Internal/Approved</x:v>
      </x:c>
      <x:c r="S14" s="24" t="str">
        <x:v>Scene capture + traversal + prefab validation</x:v>
      </x:c>
      <x:c r="T14" s="24" t="str"/>
      <x:c r="U14" s="24" t="str">
        <x:v>La arquitectura fija se autora en escena y no se reconstruye por bounds/nombres.</x:v>
      </x:c>
    </x:row>
    <x:row r="15" ht="34" customHeight="1">
      <x:c r="A15" s="24" t="str">
        <x:v>ARC-011</x:v>
      </x:c>
      <x:c r="B15" s="24" t="str">
        <x:v>LightRail100</x:v>
      </x:c>
      <x:c r="C15" s="24" t="str">
        <x:v>Architecture</x:v>
      </x:c>
      <x:c r="D15" s="24" t="str">
        <x:v>Fixed architecture prefab</x:v>
      </x:c>
      <x:c r="E15" s="24" t="str">
        <x:v>CANONICAL / REPRESENTATIVE</x:v>
      </x:c>
      <x:c r="F15" s="24" t="str">
        <x:v>Prefab available</x:v>
      </x:c>
      <x:c r="G15" s="24" t="str">
        <x:v>Pending StoreInitial authored-scene review</x:v>
      </x:c>
      <x:c r="H15" s="24" t="str">
        <x:v>Assets/_Project/Prefabs/Architecture/LightRail100.prefab</x:v>
      </x:c>
      <x:c r="I15" s="24" t="str">
        <x:v>071a65526166691439a82555489f480b</x:v>
      </x:c>
      <x:c r="J15" s="44" t="n">
        <x:v>5.02</x:v>
      </x:c>
      <x:c r="K15" s="24" t="str">
        <x:v>StoreInitial</x:v>
      </x:c>
      <x:c r="L15" s="24" t="str">
        <x:v>Fixed</x:v>
      </x:c>
      <x:c r="M15" s="24" t="str">
        <x:v>Review serialized prefab</x:v>
      </x:c>
      <x:c r="N15" s="24" t="str">
        <x:v>Review in authored scene</x:v>
      </x:c>
      <x:c r="O15" s="24" t="str">
        <x:v>MaterialPalette / prefab refs</x:v>
      </x:c>
      <x:c r="P15" s="24" t="n">
        <x:v>16</x:v>
      </x:c>
      <x:c r="Q15" s="24" t="str">
        <x:v>VS-SCN-001;VS-SCN-002;VS-SCN-004</x:v>
      </x:c>
      <x:c r="R15" s="24" t="str">
        <x:v>Internal/Approved</x:v>
      </x:c>
      <x:c r="S15" s="24" t="str">
        <x:v>Scene capture + traversal + prefab validation</x:v>
      </x:c>
      <x:c r="T15" s="24" t="str"/>
      <x:c r="U15" s="24" t="str">
        <x:v>La arquitectura fija se autora en escena y no se reconstruye por bounds/nombres.</x:v>
      </x:c>
    </x:row>
    <x:row r="16" ht="34" customHeight="1">
      <x:c r="A16" s="24" t="str">
        <x:v>ARC-012</x:v>
      </x:c>
      <x:c r="B16" s="24" t="str">
        <x:v>LightRail200</x:v>
      </x:c>
      <x:c r="C16" s="24" t="str">
        <x:v>Architecture</x:v>
      </x:c>
      <x:c r="D16" s="24" t="str">
        <x:v>Fixed architecture prefab</x:v>
      </x:c>
      <x:c r="E16" s="24" t="str">
        <x:v>CANONICAL / REPRESENTATIVE</x:v>
      </x:c>
      <x:c r="F16" s="24" t="str">
        <x:v>Prefab available</x:v>
      </x:c>
      <x:c r="G16" s="24" t="str">
        <x:v>Pending StoreInitial authored-scene review</x:v>
      </x:c>
      <x:c r="H16" s="24" t="str">
        <x:v>Assets/_Project/Prefabs/Architecture/LightRail200.prefab</x:v>
      </x:c>
      <x:c r="I16" s="24" t="str">
        <x:v>7166ef018508128479d9430b93d9f5fb</x:v>
      </x:c>
      <x:c r="J16" s="44" t="n">
        <x:v>5.02</x:v>
      </x:c>
      <x:c r="K16" s="24" t="str">
        <x:v>StoreInitial</x:v>
      </x:c>
      <x:c r="L16" s="24" t="str">
        <x:v>Fixed</x:v>
      </x:c>
      <x:c r="M16" s="24" t="str">
        <x:v>Review serialized prefab</x:v>
      </x:c>
      <x:c r="N16" s="24" t="str">
        <x:v>Review in authored scene</x:v>
      </x:c>
      <x:c r="O16" s="24" t="str">
        <x:v>MaterialPalette / prefab refs</x:v>
      </x:c>
      <x:c r="P16" s="24" t="n">
        <x:v>16</x:v>
      </x:c>
      <x:c r="Q16" s="24" t="str">
        <x:v>VS-SCN-001;VS-SCN-002;VS-SCN-004</x:v>
      </x:c>
      <x:c r="R16" s="24" t="str">
        <x:v>Internal/Approved</x:v>
      </x:c>
      <x:c r="S16" s="24" t="str">
        <x:v>Scene capture + traversal + prefab validation</x:v>
      </x:c>
      <x:c r="T16" s="24" t="str"/>
      <x:c r="U16" s="24" t="str">
        <x:v>La arquitectura fija se autora en escena y no se reconstruye por bounds/nombres.</x:v>
      </x:c>
    </x:row>
    <x:row r="17" ht="34" customHeight="1">
      <x:c r="A17" s="24" t="str">
        <x:v>ARC-013</x:v>
      </x:c>
      <x:c r="B17" s="24" t="str">
        <x:v>LinearPanel</x:v>
      </x:c>
      <x:c r="C17" s="24" t="str">
        <x:v>Architecture</x:v>
      </x:c>
      <x:c r="D17" s="24" t="str">
        <x:v>Fixed architecture prefab</x:v>
      </x:c>
      <x:c r="E17" s="24" t="str">
        <x:v>CANONICAL / REPRESENTATIVE</x:v>
      </x:c>
      <x:c r="F17" s="24" t="str">
        <x:v>Prefab available</x:v>
      </x:c>
      <x:c r="G17" s="24" t="str">
        <x:v>Pending StoreInitial authored-scene review</x:v>
      </x:c>
      <x:c r="H17" s="24" t="str">
        <x:v>Assets/_Project/Prefabs/Architecture/LinearPanel.prefab</x:v>
      </x:c>
      <x:c r="I17" s="24" t="str">
        <x:v>aa18e2f0d783d234c9e36dc461a8d40b</x:v>
      </x:c>
      <x:c r="J17" s="44" t="n">
        <x:v>5.01</x:v>
      </x:c>
      <x:c r="K17" s="24" t="str">
        <x:v>StoreInitial</x:v>
      </x:c>
      <x:c r="L17" s="24" t="str">
        <x:v>Fixed</x:v>
      </x:c>
      <x:c r="M17" s="24" t="str">
        <x:v>Review serialized prefab</x:v>
      </x:c>
      <x:c r="N17" s="24" t="str">
        <x:v>Review in authored scene</x:v>
      </x:c>
      <x:c r="O17" s="24" t="str">
        <x:v>MaterialPalette / prefab refs</x:v>
      </x:c>
      <x:c r="P17" s="24" t="n">
        <x:v>16</x:v>
      </x:c>
      <x:c r="Q17" s="24" t="str">
        <x:v>VS-SCN-001;VS-SCN-002;VS-SCN-004</x:v>
      </x:c>
      <x:c r="R17" s="24" t="str">
        <x:v>Internal/Approved</x:v>
      </x:c>
      <x:c r="S17" s="24" t="str">
        <x:v>Scene capture + traversal + prefab validation</x:v>
      </x:c>
      <x:c r="T17" s="24" t="str"/>
      <x:c r="U17" s="24" t="str">
        <x:v>La arquitectura fija se autora en escena y no se reconstruye por bounds/nombres.</x:v>
      </x:c>
    </x:row>
    <x:row r="18" ht="34" customHeight="1">
      <x:c r="A18" s="24" t="str">
        <x:v>ARC-014</x:v>
      </x:c>
      <x:c r="B18" s="24" t="str">
        <x:v>SpotLight</x:v>
      </x:c>
      <x:c r="C18" s="24" t="str">
        <x:v>Architecture</x:v>
      </x:c>
      <x:c r="D18" s="24" t="str">
        <x:v>Fixed architecture prefab</x:v>
      </x:c>
      <x:c r="E18" s="24" t="str">
        <x:v>CANONICAL / REPRESENTATIVE</x:v>
      </x:c>
      <x:c r="F18" s="24" t="str">
        <x:v>Prefab available</x:v>
      </x:c>
      <x:c r="G18" s="24" t="str">
        <x:v>Pending StoreInitial authored-scene review</x:v>
      </x:c>
      <x:c r="H18" s="24" t="str">
        <x:v>Assets/_Project/Prefabs/Architecture/SpotLight.prefab</x:v>
      </x:c>
      <x:c r="I18" s="24" t="str">
        <x:v>caf5768b2fea32a43917881247aac1bb</x:v>
      </x:c>
      <x:c r="J18" s="44" t="n">
        <x:v>29.11</x:v>
      </x:c>
      <x:c r="K18" s="24" t="str">
        <x:v>StoreInitial</x:v>
      </x:c>
      <x:c r="L18" s="24" t="str">
        <x:v>Fixed</x:v>
      </x:c>
      <x:c r="M18" s="24" t="str">
        <x:v>Review serialized prefab</x:v>
      </x:c>
      <x:c r="N18" s="24" t="str">
        <x:v>Review in authored scene</x:v>
      </x:c>
      <x:c r="O18" s="24" t="str">
        <x:v>MaterialPalette / prefab refs</x:v>
      </x:c>
      <x:c r="P18" s="24" t="n">
        <x:v>16</x:v>
      </x:c>
      <x:c r="Q18" s="24" t="str">
        <x:v>VS-SCN-001;VS-SCN-002;VS-SCN-004</x:v>
      </x:c>
      <x:c r="R18" s="24" t="str">
        <x:v>Internal/Approved</x:v>
      </x:c>
      <x:c r="S18" s="24" t="str">
        <x:v>Scene capture + traversal + prefab validation</x:v>
      </x:c>
      <x:c r="T18" s="24" t="str"/>
      <x:c r="U18" s="24" t="str">
        <x:v>La arquitectura fija se autora en escena y no se reconstruye por bounds/nombres.</x:v>
      </x:c>
    </x:row>
    <x:row r="19" ht="34" customHeight="1">
      <x:c r="A19" s="24" t="str">
        <x:v>ARC-015</x:v>
      </x:c>
      <x:c r="B19" s="24" t="str">
        <x:v>StoreGlassLeft</x:v>
      </x:c>
      <x:c r="C19" s="24" t="str">
        <x:v>Architecture</x:v>
      </x:c>
      <x:c r="D19" s="24" t="str">
        <x:v>Fixed architecture prefab</x:v>
      </x:c>
      <x:c r="E19" s="24" t="str">
        <x:v>CANONICAL / REPRESENTATIVE</x:v>
      </x:c>
      <x:c r="F19" s="24" t="str">
        <x:v>Prefab available</x:v>
      </x:c>
      <x:c r="G19" s="24" t="str">
        <x:v>Pending StoreInitial authored-scene review</x:v>
      </x:c>
      <x:c r="H19" s="24" t="str">
        <x:v>Assets/_Project/Prefabs/Architecture/StoreGlassLeft.prefab</x:v>
      </x:c>
      <x:c r="I19" s="24" t="str">
        <x:v>337b1f690a30fa94c8695ded302f762c</x:v>
      </x:c>
      <x:c r="J19" s="44" t="n">
        <x:v>5.02</x:v>
      </x:c>
      <x:c r="K19" s="24" t="str">
        <x:v>StoreInitial</x:v>
      </x:c>
      <x:c r="L19" s="24" t="str">
        <x:v>Fixed</x:v>
      </x:c>
      <x:c r="M19" s="24" t="str">
        <x:v>Review serialized prefab</x:v>
      </x:c>
      <x:c r="N19" s="24" t="str">
        <x:v>Review in authored scene</x:v>
      </x:c>
      <x:c r="O19" s="24" t="str">
        <x:v>MaterialPalette / prefab refs</x:v>
      </x:c>
      <x:c r="P19" s="24" t="n">
        <x:v>16</x:v>
      </x:c>
      <x:c r="Q19" s="24" t="str">
        <x:v>VS-SCN-001;VS-SCN-002;VS-SCN-004</x:v>
      </x:c>
      <x:c r="R19" s="24" t="str">
        <x:v>Internal/Approved</x:v>
      </x:c>
      <x:c r="S19" s="24" t="str">
        <x:v>Scene capture + traversal + prefab validation</x:v>
      </x:c>
      <x:c r="T19" s="24" t="str"/>
      <x:c r="U19" s="24" t="str">
        <x:v>La arquitectura fija se autora en escena y no se reconstruye por bounds/nombres.</x:v>
      </x:c>
    </x:row>
    <x:row r="20" ht="34" customHeight="1">
      <x:c r="A20" s="24" t="str">
        <x:v>ARC-016</x:v>
      </x:c>
      <x:c r="B20" s="24" t="str">
        <x:v>StoreGlassRight</x:v>
      </x:c>
      <x:c r="C20" s="24" t="str">
        <x:v>Architecture</x:v>
      </x:c>
      <x:c r="D20" s="24" t="str">
        <x:v>Fixed architecture prefab</x:v>
      </x:c>
      <x:c r="E20" s="24" t="str">
        <x:v>CANONICAL / REPRESENTATIVE</x:v>
      </x:c>
      <x:c r="F20" s="24" t="str">
        <x:v>Prefab available</x:v>
      </x:c>
      <x:c r="G20" s="24" t="str">
        <x:v>Pending StoreInitial authored-scene review</x:v>
      </x:c>
      <x:c r="H20" s="24" t="str">
        <x:v>Assets/_Project/Prefabs/Architecture/StoreGlassRight.prefab</x:v>
      </x:c>
      <x:c r="I20" s="24" t="str">
        <x:v>7ff16f46388b8294db98ef11934e85df</x:v>
      </x:c>
      <x:c r="J20" s="44" t="n">
        <x:v>5.03</x:v>
      </x:c>
      <x:c r="K20" s="24" t="str">
        <x:v>StoreInitial</x:v>
      </x:c>
      <x:c r="L20" s="24" t="str">
        <x:v>Fixed</x:v>
      </x:c>
      <x:c r="M20" s="24" t="str">
        <x:v>Review serialized prefab</x:v>
      </x:c>
      <x:c r="N20" s="24" t="str">
        <x:v>Review in authored scene</x:v>
      </x:c>
      <x:c r="O20" s="24" t="str">
        <x:v>MaterialPalette / prefab refs</x:v>
      </x:c>
      <x:c r="P20" s="24" t="n">
        <x:v>16</x:v>
      </x:c>
      <x:c r="Q20" s="24" t="str">
        <x:v>VS-SCN-001;VS-SCN-002;VS-SCN-004</x:v>
      </x:c>
      <x:c r="R20" s="24" t="str">
        <x:v>Internal/Approved</x:v>
      </x:c>
      <x:c r="S20" s="24" t="str">
        <x:v>Scene capture + traversal + prefab validation</x:v>
      </x:c>
      <x:c r="T20" s="24" t="str"/>
      <x:c r="U20" s="24" t="str">
        <x:v>La arquitectura fija se autora en escena y no se reconstruye por bounds/nombres.</x:v>
      </x:c>
    </x:row>
    <x:row r="21" ht="34" customHeight="1">
      <x:c r="A21" s="24" t="str">
        <x:v>ARC-017</x:v>
      </x:c>
      <x:c r="B21" s="24" t="str">
        <x:v>StoreSign</x:v>
      </x:c>
      <x:c r="C21" s="24" t="str">
        <x:v>Architecture</x:v>
      </x:c>
      <x:c r="D21" s="24" t="str">
        <x:v>Fixed architecture prefab</x:v>
      </x:c>
      <x:c r="E21" s="24" t="str">
        <x:v>CANONICAL / REPRESENTATIVE</x:v>
      </x:c>
      <x:c r="F21" s="24" t="str">
        <x:v>Prefab available</x:v>
      </x:c>
      <x:c r="G21" s="24" t="str">
        <x:v>Pending StoreInitial authored-scene review</x:v>
      </x:c>
      <x:c r="H21" s="24" t="str">
        <x:v>Assets/_Project/Prefabs/Architecture/StoreSign.prefab</x:v>
      </x:c>
      <x:c r="I21" s="24" t="str">
        <x:v>42a748f39d94c6944a776252ad5609d9</x:v>
      </x:c>
      <x:c r="J21" s="44" t="n">
        <x:v>21</x:v>
      </x:c>
      <x:c r="K21" s="24" t="str">
        <x:v>StoreInitial</x:v>
      </x:c>
      <x:c r="L21" s="24" t="str">
        <x:v>Fixed</x:v>
      </x:c>
      <x:c r="M21" s="24" t="str">
        <x:v>Review serialized prefab</x:v>
      </x:c>
      <x:c r="N21" s="24" t="str">
        <x:v>Review in authored scene</x:v>
      </x:c>
      <x:c r="O21" s="24" t="str">
        <x:v>MaterialPalette / prefab refs</x:v>
      </x:c>
      <x:c r="P21" s="24" t="n">
        <x:v>16</x:v>
      </x:c>
      <x:c r="Q21" s="24" t="str">
        <x:v>VS-SCN-001;VS-SCN-002;VS-SCN-004</x:v>
      </x:c>
      <x:c r="R21" s="24" t="str">
        <x:v>Internal/Approved</x:v>
      </x:c>
      <x:c r="S21" s="24" t="str">
        <x:v>Scene capture + traversal + prefab validation</x:v>
      </x:c>
      <x:c r="T21" s="24" t="str"/>
      <x:c r="U21" s="24" t="str">
        <x:v>La arquitectura fija se autora en escena y no se reconstruye por bounds/nombres.</x:v>
      </x:c>
    </x:row>
    <x:row r="22" ht="34" customHeight="1">
      <x:c r="A22" s="24" t="str">
        <x:v>ARC-018</x:v>
      </x:c>
      <x:c r="B22" s="24" t="str">
        <x:v>StorefrontFacade</x:v>
      </x:c>
      <x:c r="C22" s="24" t="str">
        <x:v>Architecture</x:v>
      </x:c>
      <x:c r="D22" s="24" t="str">
        <x:v>Fixed architecture prefab</x:v>
      </x:c>
      <x:c r="E22" s="24" t="str">
        <x:v>CANONICAL / REPRESENTATIVE</x:v>
      </x:c>
      <x:c r="F22" s="24" t="str">
        <x:v>Prefab available</x:v>
      </x:c>
      <x:c r="G22" s="24" t="str">
        <x:v>Pending StoreInitial authored-scene review</x:v>
      </x:c>
      <x:c r="H22" s="24" t="str">
        <x:v>Assets/_Project/Prefabs/Architecture/StorefrontFacade.prefab</x:v>
      </x:c>
      <x:c r="I22" s="24" t="str">
        <x:v>73650c15b9c87b74aadb4120a3ea7cb1</x:v>
      </x:c>
      <x:c r="J22" s="44" t="n">
        <x:v>45.16</x:v>
      </x:c>
      <x:c r="K22" s="24" t="str">
        <x:v>StoreInitial</x:v>
      </x:c>
      <x:c r="L22" s="24" t="str">
        <x:v>Fixed</x:v>
      </x:c>
      <x:c r="M22" s="24" t="str">
        <x:v>Review serialized prefab</x:v>
      </x:c>
      <x:c r="N22" s="24" t="str">
        <x:v>Review in authored scene</x:v>
      </x:c>
      <x:c r="O22" s="24" t="str">
        <x:v>MaterialPalette / prefab refs</x:v>
      </x:c>
      <x:c r="P22" s="24" t="n">
        <x:v>16</x:v>
      </x:c>
      <x:c r="Q22" s="24" t="str">
        <x:v>VS-SCN-001;VS-SCN-002;VS-SCN-004</x:v>
      </x:c>
      <x:c r="R22" s="24" t="str">
        <x:v>Internal/Approved</x:v>
      </x:c>
      <x:c r="S22" s="24" t="str">
        <x:v>Scene capture + traversal + prefab validation</x:v>
      </x:c>
      <x:c r="T22" s="24" t="str"/>
      <x:c r="U22" s="24" t="str">
        <x:v>La arquitectura fija se autora en escena y no se reconstruye por bounds/nombres.</x:v>
      </x:c>
    </x:row>
    <x:row r="23" ht="34" customHeight="1">
      <x:c r="A23" s="24" t="str">
        <x:v>ARC-019</x:v>
      </x:c>
      <x:c r="B23" s="24" t="str">
        <x:v>Wall100</x:v>
      </x:c>
      <x:c r="C23" s="24" t="str">
        <x:v>Architecture</x:v>
      </x:c>
      <x:c r="D23" s="24" t="str">
        <x:v>Fixed architecture prefab</x:v>
      </x:c>
      <x:c r="E23" s="24" t="str">
        <x:v>CANONICAL / REPRESENTATIVE</x:v>
      </x:c>
      <x:c r="F23" s="24" t="str">
        <x:v>Prefab available</x:v>
      </x:c>
      <x:c r="G23" s="24" t="str">
        <x:v>Pending StoreInitial authored-scene review</x:v>
      </x:c>
      <x:c r="H23" s="24" t="str">
        <x:v>Assets/_Project/Prefabs/Architecture/Wall100.prefab</x:v>
      </x:c>
      <x:c r="I23" s="24" t="str">
        <x:v>7b005cd40ae5fc64fbaed6ea5b1c53c6</x:v>
      </x:c>
      <x:c r="J23" s="44" t="n">
        <x:v>28.94</x:v>
      </x:c>
      <x:c r="K23" s="24" t="str">
        <x:v>StoreInitial</x:v>
      </x:c>
      <x:c r="L23" s="24" t="str">
        <x:v>Fixed</x:v>
      </x:c>
      <x:c r="M23" s="24" t="str">
        <x:v>Review serialized prefab</x:v>
      </x:c>
      <x:c r="N23" s="24" t="str">
        <x:v>Review in authored scene</x:v>
      </x:c>
      <x:c r="O23" s="24" t="str">
        <x:v>MaterialPalette / prefab refs</x:v>
      </x:c>
      <x:c r="P23" s="24" t="n">
        <x:v>16</x:v>
      </x:c>
      <x:c r="Q23" s="24" t="str">
        <x:v>VS-SCN-001;VS-SCN-002;VS-SCN-004</x:v>
      </x:c>
      <x:c r="R23" s="24" t="str">
        <x:v>Internal/Approved</x:v>
      </x:c>
      <x:c r="S23" s="24" t="str">
        <x:v>Scene capture + traversal + prefab validation</x:v>
      </x:c>
      <x:c r="T23" s="24" t="str">
        <x:v>Wall/door review</x:v>
      </x:c>
      <x:c r="U23" s="24" t="str">
        <x:v>La arquitectura fija se autora en escena y no se reconstruye por bounds/nombres.</x:v>
      </x:c>
    </x:row>
    <x:row r="24" ht="34" customHeight="1">
      <x:c r="A24" s="24" t="str">
        <x:v>ARC-020</x:v>
      </x:c>
      <x:c r="B24" s="24" t="str">
        <x:v>Wall200</x:v>
      </x:c>
      <x:c r="C24" s="24" t="str">
        <x:v>Architecture</x:v>
      </x:c>
      <x:c r="D24" s="24" t="str">
        <x:v>Fixed architecture prefab</x:v>
      </x:c>
      <x:c r="E24" s="24" t="str">
        <x:v>CANONICAL / REPRESENTATIVE</x:v>
      </x:c>
      <x:c r="F24" s="24" t="str">
        <x:v>Prefab available</x:v>
      </x:c>
      <x:c r="G24" s="24" t="str">
        <x:v>Pending StoreInitial authored-scene review</x:v>
      </x:c>
      <x:c r="H24" s="24" t="str">
        <x:v>Assets/_Project/Prefabs/Architecture/Wall200.prefab</x:v>
      </x:c>
      <x:c r="I24" s="24" t="str">
        <x:v>219f7c28a70241e45939b64cb1acf65e</x:v>
      </x:c>
      <x:c r="J24" s="44" t="n">
        <x:v>28.95</x:v>
      </x:c>
      <x:c r="K24" s="24" t="str">
        <x:v>StoreInitial</x:v>
      </x:c>
      <x:c r="L24" s="24" t="str">
        <x:v>Fixed</x:v>
      </x:c>
      <x:c r="M24" s="24" t="str">
        <x:v>Review serialized prefab</x:v>
      </x:c>
      <x:c r="N24" s="24" t="str">
        <x:v>Review in authored scene</x:v>
      </x:c>
      <x:c r="O24" s="24" t="str">
        <x:v>MaterialPalette / prefab refs</x:v>
      </x:c>
      <x:c r="P24" s="24" t="n">
        <x:v>16</x:v>
      </x:c>
      <x:c r="Q24" s="24" t="str">
        <x:v>VS-SCN-001;VS-SCN-002;VS-SCN-004</x:v>
      </x:c>
      <x:c r="R24" s="24" t="str">
        <x:v>Internal/Approved</x:v>
      </x:c>
      <x:c r="S24" s="24" t="str">
        <x:v>Scene capture + traversal + prefab validation</x:v>
      </x:c>
      <x:c r="T24" s="24" t="str">
        <x:v>Wall/door review</x:v>
      </x:c>
      <x:c r="U24" s="24" t="str">
        <x:v>La arquitectura fija se autora en escena y no se reconstruye por bounds/nombres.</x:v>
      </x:c>
    </x:row>
    <x:row r="25" ht="34" customHeight="1">
      <x:c r="A25" s="24" t="str">
        <x:v>ARC-021</x:v>
      </x:c>
      <x:c r="B25" s="24" t="str">
        <x:v>Wall400</x:v>
      </x:c>
      <x:c r="C25" s="24" t="str">
        <x:v>Architecture</x:v>
      </x:c>
      <x:c r="D25" s="24" t="str">
        <x:v>Fixed architecture prefab</x:v>
      </x:c>
      <x:c r="E25" s="24" t="str">
        <x:v>CANONICAL / REPRESENTATIVE</x:v>
      </x:c>
      <x:c r="F25" s="24" t="str">
        <x:v>Prefab available</x:v>
      </x:c>
      <x:c r="G25" s="24" t="str">
        <x:v>Pending StoreInitial authored-scene review</x:v>
      </x:c>
      <x:c r="H25" s="24" t="str">
        <x:v>Assets/_Project/Prefabs/Architecture/Wall400.prefab</x:v>
      </x:c>
      <x:c r="I25" s="24" t="str">
        <x:v>663f1a1d303a53e4eb6308dfc89a0bbf</x:v>
      </x:c>
      <x:c r="J25" s="44" t="n">
        <x:v>28.94</x:v>
      </x:c>
      <x:c r="K25" s="24" t="str">
        <x:v>StoreInitial</x:v>
      </x:c>
      <x:c r="L25" s="24" t="str">
        <x:v>Fixed</x:v>
      </x:c>
      <x:c r="M25" s="24" t="str">
        <x:v>Review serialized prefab</x:v>
      </x:c>
      <x:c r="N25" s="24" t="str">
        <x:v>Review in authored scene</x:v>
      </x:c>
      <x:c r="O25" s="24" t="str">
        <x:v>MaterialPalette / prefab refs</x:v>
      </x:c>
      <x:c r="P25" s="24" t="n">
        <x:v>16</x:v>
      </x:c>
      <x:c r="Q25" s="24" t="str">
        <x:v>VS-SCN-001;VS-SCN-002;VS-SCN-004</x:v>
      </x:c>
      <x:c r="R25" s="24" t="str">
        <x:v>Internal/Approved</x:v>
      </x:c>
      <x:c r="S25" s="24" t="str">
        <x:v>Scene capture + traversal + prefab validation</x:v>
      </x:c>
      <x:c r="T25" s="24" t="str">
        <x:v>Wall/door review</x:v>
      </x:c>
      <x:c r="U25" s="24" t="str">
        <x:v>La arquitectura fija se autora en escena y no se reconstruye por bounds/nombres.</x:v>
      </x:c>
    </x:row>
    <x:row r="26" ht="34" customHeight="1">
      <x:c r="A26" s="24" t="str">
        <x:v>ARC-022</x:v>
      </x:c>
      <x:c r="B26" s="24" t="str">
        <x:v>ZoneBackroom</x:v>
      </x:c>
      <x:c r="C26" s="24" t="str">
        <x:v>Architecture</x:v>
      </x:c>
      <x:c r="D26" s="24" t="str">
        <x:v>Fixed architecture prefab</x:v>
      </x:c>
      <x:c r="E26" s="24" t="str">
        <x:v>CANONICAL / REPRESENTATIVE</x:v>
      </x:c>
      <x:c r="F26" s="24" t="str">
        <x:v>Prefab available</x:v>
      </x:c>
      <x:c r="G26" s="24" t="str">
        <x:v>Pending StoreInitial authored-scene review</x:v>
      </x:c>
      <x:c r="H26" s="24" t="str">
        <x:v>Assets/_Project/Prefabs/Architecture/ZoneBackroom.prefab</x:v>
      </x:c>
      <x:c r="I26" s="24" t="str">
        <x:v>cdb9e17a4b7c43a4492d0ac23ae81da2</x:v>
      </x:c>
      <x:c r="J26" s="44" t="n">
        <x:v>37.07</x:v>
      </x:c>
      <x:c r="K26" s="24" t="str">
        <x:v>StoreInitial</x:v>
      </x:c>
      <x:c r="L26" s="24" t="str">
        <x:v>Fixed</x:v>
      </x:c>
      <x:c r="M26" s="24" t="str">
        <x:v>Review serialized prefab</x:v>
      </x:c>
      <x:c r="N26" s="24" t="str">
        <x:v>Review in authored scene</x:v>
      </x:c>
      <x:c r="O26" s="24" t="str">
        <x:v>MaterialPalette / prefab refs</x:v>
      </x:c>
      <x:c r="P26" s="24" t="n">
        <x:v>16</x:v>
      </x:c>
      <x:c r="Q26" s="24" t="str">
        <x:v>VS-SCN-001;VS-SCN-002;VS-SCN-004</x:v>
      </x:c>
      <x:c r="R26" s="24" t="str">
        <x:v>Internal/Approved</x:v>
      </x:c>
      <x:c r="S26" s="24" t="str">
        <x:v>Scene capture + traversal + prefab validation</x:v>
      </x:c>
      <x:c r="T26" s="24" t="str"/>
      <x:c r="U26" s="24" t="str">
        <x:v>La arquitectura fija se autora en escena y no se reconstruye por bounds/nombres.</x:v>
      </x:c>
    </x:row>
    <x:row r="27" ht="34" customHeight="1">
      <x:c r="A27" s="24" t="str">
        <x:v>ARC-023</x:v>
      </x:c>
      <x:c r="B27" s="24" t="str">
        <x:v>ZoneCheckout</x:v>
      </x:c>
      <x:c r="C27" s="24" t="str">
        <x:v>Architecture</x:v>
      </x:c>
      <x:c r="D27" s="24" t="str">
        <x:v>Fixed architecture prefab</x:v>
      </x:c>
      <x:c r="E27" s="24" t="str">
        <x:v>CANONICAL / REPRESENTATIVE</x:v>
      </x:c>
      <x:c r="F27" s="24" t="str">
        <x:v>Prefab available</x:v>
      </x:c>
      <x:c r="G27" s="24" t="str">
        <x:v>Pending StoreInitial authored-scene review</x:v>
      </x:c>
      <x:c r="H27" s="24" t="str">
        <x:v>Assets/_Project/Prefabs/Architecture/ZoneCheckout.prefab</x:v>
      </x:c>
      <x:c r="I27" s="24" t="str">
        <x:v>c974ec151bb118a408c386f9e8bbb4dd</x:v>
      </x:c>
      <x:c r="J27" s="44" t="n">
        <x:v>37.03</x:v>
      </x:c>
      <x:c r="K27" s="24" t="str">
        <x:v>StoreInitial</x:v>
      </x:c>
      <x:c r="L27" s="24" t="str">
        <x:v>Fixed</x:v>
      </x:c>
      <x:c r="M27" s="24" t="str">
        <x:v>Review serialized prefab</x:v>
      </x:c>
      <x:c r="N27" s="24" t="str">
        <x:v>Review in authored scene</x:v>
      </x:c>
      <x:c r="O27" s="24" t="str">
        <x:v>MaterialPalette / prefab refs</x:v>
      </x:c>
      <x:c r="P27" s="24" t="n">
        <x:v>16</x:v>
      </x:c>
      <x:c r="Q27" s="24" t="str">
        <x:v>VS-SCN-001;VS-SCN-002;VS-SCN-004</x:v>
      </x:c>
      <x:c r="R27" s="24" t="str">
        <x:v>Internal/Approved</x:v>
      </x:c>
      <x:c r="S27" s="24" t="str">
        <x:v>Scene capture + traversal + prefab validation</x:v>
      </x:c>
      <x:c r="T27" s="24" t="str"/>
      <x:c r="U27" s="24" t="str">
        <x:v>La arquitectura fija se autora en escena y no se reconstruye por bounds/nombres.</x:v>
      </x:c>
    </x:row>
    <x:row r="28" ht="34" customHeight="1">
      <x:c r="A28" s="24" t="str">
        <x:v>ARC-024</x:v>
      </x:c>
      <x:c r="B28" s="24" t="str">
        <x:v>ZoneReceiving</x:v>
      </x:c>
      <x:c r="C28" s="24" t="str">
        <x:v>Architecture</x:v>
      </x:c>
      <x:c r="D28" s="24" t="str">
        <x:v>Fixed architecture prefab</x:v>
      </x:c>
      <x:c r="E28" s="24" t="str">
        <x:v>CANONICAL / REPRESENTATIVE</x:v>
      </x:c>
      <x:c r="F28" s="24" t="str">
        <x:v>Prefab available</x:v>
      </x:c>
      <x:c r="G28" s="24" t="str">
        <x:v>Pending StoreInitial authored-scene review</x:v>
      </x:c>
      <x:c r="H28" s="24" t="str">
        <x:v>Assets/_Project/Prefabs/Architecture/ZoneReceiving.prefab</x:v>
      </x:c>
      <x:c r="I28" s="24" t="str">
        <x:v>c6b702ea4697f7244bb3c227e8531b22</x:v>
      </x:c>
      <x:c r="J28" s="44" t="n">
        <x:v>37.05</x:v>
      </x:c>
      <x:c r="K28" s="24" t="str">
        <x:v>StoreInitial</x:v>
      </x:c>
      <x:c r="L28" s="24" t="str">
        <x:v>Fixed</x:v>
      </x:c>
      <x:c r="M28" s="24" t="str">
        <x:v>Review serialized prefab</x:v>
      </x:c>
      <x:c r="N28" s="24" t="str">
        <x:v>Review in authored scene</x:v>
      </x:c>
      <x:c r="O28" s="24" t="str">
        <x:v>MaterialPalette / prefab refs</x:v>
      </x:c>
      <x:c r="P28" s="24" t="n">
        <x:v>16</x:v>
      </x:c>
      <x:c r="Q28" s="24" t="str">
        <x:v>VS-SCN-001;VS-SCN-002;VS-SCN-004</x:v>
      </x:c>
      <x:c r="R28" s="24" t="str">
        <x:v>Internal/Approved</x:v>
      </x:c>
      <x:c r="S28" s="24" t="str">
        <x:v>Scene capture + traversal + prefab validation</x:v>
      </x:c>
      <x:c r="T28" s="24" t="str"/>
      <x:c r="U28" s="24" t="str">
        <x:v>La arquitectura fija se autora en escena y no se reconstruye por bounds/nombres.</x:v>
      </x:c>
    </x:row>
  </x:sheetData>
  <x:mergeCells>
    <x:mergeCell ref="A1:U1"/>
    <x:mergeCell ref="A2:U2"/>
  </x:mergeCells>
  <x:conditionalFormatting sqref="E5:E28">
    <x:cfRule type="expression" dxfId="40" priority="1">
      <x:formula>OR(ISNUMBER(SEARCH("PASS",E5)),ISNUMBER(SEARCH("CANONICAL",E5)),ISNUMBER(SEARCH("DONE",E5)))</x:formula>
    </x:cfRule>
    <x:cfRule type="expression" dxfId="41" priority="2">
      <x:formula>OR(ISNUMBER(SEARCH("BLOCK",E5)),ISNUMBER(SEARCH("FAIL",E5)),ISNUMBER(SEARCH("S1",E5)))</x:formula>
    </x:cfRule>
    <x:cfRule type="expression" dxfId="42" priority="3">
      <x:formula>OR(ISNUMBER(SEARCH("PENDING",E5)),ISNUMBER(SEARCH("PLANNED",E5)),ISNUMBER(SEARCH("PARTIAL",E5)),ISNUMBER(SEARCH("PLACEHOLDER",E5)))</x:formula>
    </x:cfRule>
    <x:cfRule type="expression" dxfId="43" priority="4">
      <x:formula>OR(ISNUMBER(SEARCH("VISION",E5)),ISNUMBER(SEARCH("HISTORICAL",E5)))</x:formula>
    </x:cfRule>
  </x:conditionalFormatting>
  <x:conditionalFormatting sqref="G5:G28">
    <x:cfRule type="expression" dxfId="44" priority="5">
      <x:formula>OR(ISNUMBER(SEARCH("PASS",G5)),ISNUMBER(SEARCH("CANONICAL",G5)),ISNUMBER(SEARCH("DONE",G5)))</x:formula>
    </x:cfRule>
    <x:cfRule type="expression" dxfId="45" priority="6">
      <x:formula>OR(ISNUMBER(SEARCH("BLOCK",G5)),ISNUMBER(SEARCH("FAIL",G5)),ISNUMBER(SEARCH("S1",G5)))</x:formula>
    </x:cfRule>
    <x:cfRule type="expression" dxfId="46" priority="7">
      <x:formula>OR(ISNUMBER(SEARCH("PENDING",G5)),ISNUMBER(SEARCH("PLANNED",G5)),ISNUMBER(SEARCH("PARTIAL",G5)),ISNUMBER(SEARCH("PLACEHOLDER",G5)))</x:formula>
    </x:cfRule>
    <x:cfRule type="expression" dxfId="47" priority="8">
      <x:formula>OR(ISNUMBER(SEARCH("VISION",G5)),ISNUMBER(SEARCH("HISTORICAL",G5)))</x:formula>
    </x:cfRule>
  </x:conditionalFormatting>
  <x:conditionalFormatting sqref="F5:F28">
    <x:cfRule type="expression" dxfId="48" priority="9">
      <x:formula>OR(ISNUMBER(SEARCH("PASS",F5)),ISNUMBER(SEARCH("CANONICAL",F5)),ISNUMBER(SEARCH("DONE",F5)))</x:formula>
    </x:cfRule>
    <x:cfRule type="expression" dxfId="49" priority="10">
      <x:formula>OR(ISNUMBER(SEARCH("BLOCK",F5)),ISNUMBER(SEARCH("FAIL",F5)),ISNUMBER(SEARCH("S1",F5)))</x:formula>
    </x:cfRule>
    <x:cfRule type="expression" dxfId="50" priority="11">
      <x:formula>OR(ISNUMBER(SEARCH("PENDING",F5)),ISNUMBER(SEARCH("PLANNED",F5)),ISNUMBER(SEARCH("PARTIAL",F5)),ISNUMBER(SEARCH("PLACEHOLDER",F5)))</x:formula>
    </x:cfRule>
    <x:cfRule type="expression" dxfId="51" priority="12">
      <x:formula>OR(ISNUMBER(SEARCH("VISION",F5)),ISNUMBER(SEARCH("HISTORICAL",F5)))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d992d0da34422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4" hidden="0" customWidth="1"/>
    <x:col min="5" max="5" width="18" hidden="0" customWidth="1"/>
    <x:col min="6" max="6" width="28" hidden="0" customWidth="1"/>
    <x:col min="7" max="7" width="28" hidden="0" customWidth="1"/>
    <x:col min="8" max="8" width="32" hidden="0" customWidth="1"/>
    <x:col min="9" max="9" width="28" hidden="0" customWidth="1"/>
    <x:col min="10" max="10" width="24" hidden="0" customWidth="1"/>
    <x:col min="11" max="11" width="28" hidden="0" customWidth="1"/>
    <x:col min="12" max="12" width="62" hidden="0" customWidth="1"/>
    <x:col min="13" max="13" width="36" hidden="0" customWidth="1"/>
    <x:col min="14" max="14" width="32" hidden="0" customWidth="1"/>
    <x:col min="15" max="15" width="12" hidden="0" customWidth="1"/>
    <x:col min="16" max="16" width="28" hidden="0" customWidth="1"/>
    <x:col min="17" max="17" width="22" hidden="0" customWidth="1"/>
    <x:col min="18" max="18" width="14" hidden="0" customWidth="1"/>
    <x:col min="19" max="19" width="34" hidden="0" customWidth="1"/>
    <x:col min="20" max="20" width="55" hidden="0" customWidth="1"/>
  </x:cols>
  <x:sheetData>
    <x:row r="1" ht="30" customHeight="1">
      <x:c r="A1" s="4" t="str">
        <x:v>Personajes, perfiles y roles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2" customHeight="1">
      <x:c r="A2" s="10" t="str">
        <x:v>Prefabs representativos, perfiles técnicos y arquetipos históricos.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36" customHeight="1">
      <x:c r="A4" s="17" t="str">
        <x:v>Content ID</x:v>
      </x:c>
      <x:c r="B4" s="17" t="str">
        <x:v>ID/Perfil</x:v>
      </x:c>
      <x:c r="C4" s="17" t="str">
        <x:v>Nombre</x:v>
      </x:c>
      <x:c r="D4" s="17" t="str">
        <x:v>Tipo</x:v>
      </x:c>
      <x:c r="E4" s="17" t="str">
        <x:v>Familia</x:v>
      </x:c>
      <x:c r="F4" s="17" t="str">
        <x:v>Estado canónico</x:v>
      </x:c>
      <x:c r="G4" s="17" t="str">
        <x:v>Implementación</x:v>
      </x:c>
      <x:c r="H4" s="17" t="str">
        <x:v>Validación</x:v>
      </x:c>
      <x:c r="I4" s="17" t="str">
        <x:v>Paleta/Uniforme</x:v>
      </x:c>
      <x:c r="J4" s="17" t="str">
        <x:v>Diversidad</x:v>
      </x:c>
      <x:c r="K4" s="17" t="str">
        <x:v>Animación</x:v>
      </x:c>
      <x:c r="L4" s="17" t="str">
        <x:v>Prefab/Asset</x:v>
      </x:c>
      <x:c r="M4" s="17" t="str">
        <x:v>GUID</x:v>
      </x:c>
      <x:c r="N4" s="17" t="str">
        <x:v>Catálogo</x:v>
      </x:c>
      <x:c r="O4" s="17" t="str">
        <x:v>Sprint</x:v>
      </x:c>
      <x:c r="P4" s="17" t="str">
        <x:v>Requisito</x:v>
      </x:c>
      <x:c r="Q4" s="17" t="str">
        <x:v>Licencia</x:v>
      </x:c>
      <x:c r="R4" s="17" t="str">
        <x:v>Placeholder</x:v>
      </x:c>
      <x:c r="S4" s="17" t="str">
        <x:v>Sustituto previsto</x:v>
      </x:c>
      <x:c r="T4" s="17" t="str">
        <x:v>Notas</x:v>
      </x:c>
    </x:row>
    <x:row r="5" ht="34" customHeight="1">
      <x:c r="A5" s="24" t="str">
        <x:v>CHR-PFB-001</x:v>
      </x:c>
      <x:c r="B5" s="24" t="str">
        <x:v>customer</x:v>
      </x:c>
      <x:c r="C5" s="24" t="str">
        <x:v>Customer</x:v>
      </x:c>
      <x:c r="D5" s="24" t="str">
        <x:v>Representative prefab</x:v>
      </x:c>
      <x:c r="E5" s="24" t="str">
        <x:v>Customer</x:v>
      </x:c>
      <x:c r="F5" s="24" t="str">
        <x:v>REPRESENTATIVE / PHASE 1</x:v>
      </x:c>
      <x:c r="G5" s="24" t="str">
        <x:v>Prefab available</x:v>
      </x:c>
      <x:c r="H5" s="24" t="str">
        <x:v>Visual/runtime verification pending</x:v>
      </x:c>
      <x:c r="I5" s="24" t="str">
        <x:v>VRM black/green for Employee; varied for Customer/Supplier</x:v>
      </x:c>
      <x:c r="J5" s="24" t="str">
        <x:v>Pending variants</x:v>
      </x:c>
      <x:c r="K5" s="24" t="str">
        <x:v>Representative clips/controllers</x:v>
      </x:c>
      <x:c r="L5" s="24" t="str">
        <x:v>Assets/_Project/Prefabs/Characters/Customer.prefab</x:v>
      </x:c>
      <x:c r="M5" s="24" t="str">
        <x:v>4162f604c6cdaeb4b371b15c22db37d8</x:v>
      </x:c>
      <x:c r="N5" s="24" t="str">
        <x:v>RepresentativePrefabs / profile-dependent</x:v>
      </x:c>
      <x:c r="O5" s="24" t="n">
        <x:v>16</x:v>
      </x:c>
      <x:c r="P5" s="24" t="str">
        <x:v>VS-ART-001;VS-PER-001</x:v>
      </x:c>
      <x:c r="Q5" s="24" t="str">
        <x:v>Internal/Approved</x:v>
      </x:c>
      <x:c r="R5" s="24" t="str">
        <x:v>Sí</x:v>
      </x:c>
      <x:c r="S5" s="24" t="str">
        <x:v>Final character model/variants</x:v>
      </x:c>
      <x:c r="T5" s="24" t="str">
        <x:v>Prefab actual no demuestra representación final de lanzamiento.</x:v>
      </x:c>
    </x:row>
    <x:row r="6" ht="34" customHeight="1">
      <x:c r="A6" s="24" t="str">
        <x:v>CHR-PFB-002</x:v>
      </x:c>
      <x:c r="B6" s="24" t="str">
        <x:v>employee</x:v>
      </x:c>
      <x:c r="C6" s="24" t="str">
        <x:v>Employee</x:v>
      </x:c>
      <x:c r="D6" s="24" t="str">
        <x:v>Representative prefab</x:v>
      </x:c>
      <x:c r="E6" s="24" t="str">
        <x:v>Employee</x:v>
      </x:c>
      <x:c r="F6" s="24" t="str">
        <x:v>REPRESENTATIVE / PHASE 1</x:v>
      </x:c>
      <x:c r="G6" s="24" t="str">
        <x:v>Prefab available</x:v>
      </x:c>
      <x:c r="H6" s="24" t="str">
        <x:v>Visual/runtime verification pending</x:v>
      </x:c>
      <x:c r="I6" s="24" t="str">
        <x:v>VRM black/green for Employee; varied for Customer/Supplier</x:v>
      </x:c>
      <x:c r="J6" s="24" t="str">
        <x:v>Pending variants</x:v>
      </x:c>
      <x:c r="K6" s="24" t="str">
        <x:v>Representative clips/controllers</x:v>
      </x:c>
      <x:c r="L6" s="24" t="str">
        <x:v>Assets/_Project/Prefabs/Characters/Employee.prefab</x:v>
      </x:c>
      <x:c r="M6" s="24" t="str">
        <x:v>4b1411d15857a987fb399929287686ee</x:v>
      </x:c>
      <x:c r="N6" s="24" t="str">
        <x:v>RepresentativePrefabs / profile-dependent</x:v>
      </x:c>
      <x:c r="O6" s="24" t="n">
        <x:v>16</x:v>
      </x:c>
      <x:c r="P6" s="24" t="str">
        <x:v>VS-ART-001;VS-PER-001</x:v>
      </x:c>
      <x:c r="Q6" s="24" t="str">
        <x:v>Internal/Approved</x:v>
      </x:c>
      <x:c r="R6" s="24" t="str">
        <x:v>Sí</x:v>
      </x:c>
      <x:c r="S6" s="24" t="str">
        <x:v>Final character model/variants</x:v>
      </x:c>
      <x:c r="T6" s="24" t="str">
        <x:v>Prefab actual no demuestra representación final de lanzamiento.</x:v>
      </x:c>
    </x:row>
    <x:row r="7" ht="34" customHeight="1">
      <x:c r="A7" s="24" t="str">
        <x:v>CHR-PFB-003</x:v>
      </x:c>
      <x:c r="B7" s="24" t="str">
        <x:v>supplier</x:v>
      </x:c>
      <x:c r="C7" s="24" t="str">
        <x:v>Supplier</x:v>
      </x:c>
      <x:c r="D7" s="24" t="str">
        <x:v>Representative prefab</x:v>
      </x:c>
      <x:c r="E7" s="24" t="str">
        <x:v>Supplier</x:v>
      </x:c>
      <x:c r="F7" s="24" t="str">
        <x:v>REPRESENTATIVE / PHASE 1</x:v>
      </x:c>
      <x:c r="G7" s="24" t="str">
        <x:v>Prefab available</x:v>
      </x:c>
      <x:c r="H7" s="24" t="str">
        <x:v>Visual/runtime verification pending</x:v>
      </x:c>
      <x:c r="I7" s="24" t="str">
        <x:v>VRM black/green for Employee; varied for Customer/Supplier</x:v>
      </x:c>
      <x:c r="J7" s="24" t="str">
        <x:v>Pending variants</x:v>
      </x:c>
      <x:c r="K7" s="24" t="str">
        <x:v>Representative clips/controllers</x:v>
      </x:c>
      <x:c r="L7" s="24" t="str">
        <x:v>Assets/_Project/Prefabs/Characters/Supplier.prefab</x:v>
      </x:c>
      <x:c r="M7" s="24" t="str">
        <x:v>9b81dd090fe288d9a27264622bb20fa4</x:v>
      </x:c>
      <x:c r="N7" s="24" t="str">
        <x:v>RepresentativePrefabs / profile-dependent</x:v>
      </x:c>
      <x:c r="O7" s="24" t="n">
        <x:v>16</x:v>
      </x:c>
      <x:c r="P7" s="24" t="str">
        <x:v>VS-ART-001;VS-PER-001</x:v>
      </x:c>
      <x:c r="Q7" s="24" t="str">
        <x:v>Internal/Approved</x:v>
      </x:c>
      <x:c r="R7" s="24" t="str">
        <x:v>Sí</x:v>
      </x:c>
      <x:c r="S7" s="24" t="str">
        <x:v>Final character model/variants</x:v>
      </x:c>
      <x:c r="T7" s="24" t="str">
        <x:v>Prefab actual no demuestra representación final de lanzamiento.</x:v>
      </x:c>
    </x:row>
    <x:row r="8" ht="34" customHeight="1">
      <x:c r="A8" s="24" t="str">
        <x:v>CHR-PRF-001</x:v>
      </x:c>
      <x:c r="B8" s="24" t="str">
        <x:v>customer-casual-browser</x:v>
      </x:c>
      <x:c r="C8" s="24" t="str">
        <x:v>customer.casual_browser.name</x:v>
      </x:c>
      <x:c r="D8" s="24" t="str">
        <x:v>Customer profile</x:v>
      </x:c>
      <x:c r="E8" s="24" t="str">
        <x:v>Customer</x:v>
      </x:c>
      <x:c r="F8" s="24" t="str">
        <x:v>TECHNICAL / ACTIVE</x:v>
      </x:c>
      <x:c r="G8" s="24" t="str">
        <x:v>Data integrated</x:v>
      </x:c>
      <x:c r="H8" s="24" t="str">
        <x:v>Customer tests PASS</x:v>
      </x:c>
      <x:c r="I8" s="24" t="str">
        <x:v>Visual model not assigned</x:v>
      </x:c>
      <x:c r="J8" s="24" t="str">
        <x:v>video-game; accessory</x:v>
      </x:c>
      <x:c r="K8" s="24" t="str">
        <x:v>walkSpeed=1.8; browseStops=3</x:v>
      </x:c>
      <x:c r="L8" s="24" t="str">
        <x:v>Assets/_Project/Data/Customers/Technical/CC_CustomerProfile_CasualBrowser.asset</x:v>
      </x:c>
      <x:c r="M8" s="24" t="str">
        <x:v>e5261bc6a55b4ea59352e5f66b46bc29</x:v>
      </x:c>
      <x:c r="N8" s="24" t="str">
        <x:v>CC_CustomerProfileCatalog_Technical.asset</x:v>
      </x:c>
      <x:c r="O8" s="24" t="n">
        <x:v>9</x:v>
      </x:c>
      <x:c r="P8" s="24" t="str">
        <x:v>VS-CUS-001;VS-CUS-002</x:v>
      </x:c>
      <x:c r="Q8" s="24" t="str">
        <x:v>Internal</x:v>
      </x:c>
      <x:c r="R8" s="24" t="str">
        <x:v>Sí</x:v>
      </x:c>
      <x:c r="S8" s="24" t="str">
        <x:v>Mapped representative customer prefab</x:v>
      </x:c>
      <x:c r="T8" s="24" t="str">
        <x:v>weight=5; patience=45.0s</x:v>
      </x:c>
    </x:row>
    <x:row r="9" ht="34" customHeight="1">
      <x:c r="A9" s="24" t="str">
        <x:v>CHR-PRF-002</x:v>
      </x:c>
      <x:c r="B9" s="24" t="str">
        <x:v>customer-collector</x:v>
      </x:c>
      <x:c r="C9" s="24" t="str">
        <x:v>customer.collector.name</x:v>
      </x:c>
      <x:c r="D9" s="24" t="str">
        <x:v>Customer profile</x:v>
      </x:c>
      <x:c r="E9" s="24" t="str">
        <x:v>Customer</x:v>
      </x:c>
      <x:c r="F9" s="24" t="str">
        <x:v>TECHNICAL / ACTIVE</x:v>
      </x:c>
      <x:c r="G9" s="24" t="str">
        <x:v>Data integrated</x:v>
      </x:c>
      <x:c r="H9" s="24" t="str">
        <x:v>Customer tests PASS</x:v>
      </x:c>
      <x:c r="I9" s="24" t="str">
        <x:v>Visual model not assigned</x:v>
      </x:c>
      <x:c r="J9" s="24" t="str">
        <x:v>collectible; card-code</x:v>
      </x:c>
      <x:c r="K9" s="24" t="str">
        <x:v>walkSpeed=1.5; browseStops=4</x:v>
      </x:c>
      <x:c r="L9" s="24" t="str">
        <x:v>Assets/_Project/Data/Customers/Technical/CC_CustomerProfile_Collector.asset</x:v>
      </x:c>
      <x:c r="M9" s="24" t="str">
        <x:v>b7f01ec48a7f4583971ef1dc7af1b959</x:v>
      </x:c>
      <x:c r="N9" s="24" t="str">
        <x:v>CC_CustomerProfileCatalog_Technical.asset</x:v>
      </x:c>
      <x:c r="O9" s="24" t="n">
        <x:v>9</x:v>
      </x:c>
      <x:c r="P9" s="24" t="str">
        <x:v>VS-CUS-001;VS-CUS-002</x:v>
      </x:c>
      <x:c r="Q9" s="24" t="str">
        <x:v>Internal</x:v>
      </x:c>
      <x:c r="R9" s="24" t="str">
        <x:v>Sí</x:v>
      </x:c>
      <x:c r="S9" s="24" t="str">
        <x:v>Mapped representative customer prefab</x:v>
      </x:c>
      <x:c r="T9" s="24" t="str">
        <x:v>weight=2; patience=60.0s</x:v>
      </x:c>
    </x:row>
    <x:row r="10" ht="34" customHeight="1">
      <x:c r="A10" s="24" t="str">
        <x:v>CHR-PRF-003</x:v>
      </x:c>
      <x:c r="B10" s="24" t="str">
        <x:v>customer-focused-buyer</x:v>
      </x:c>
      <x:c r="C10" s="24" t="str">
        <x:v>customer.focused_buyer.name</x:v>
      </x:c>
      <x:c r="D10" s="24" t="str">
        <x:v>Customer profile</x:v>
      </x:c>
      <x:c r="E10" s="24" t="str">
        <x:v>Customer</x:v>
      </x:c>
      <x:c r="F10" s="24" t="str">
        <x:v>TECHNICAL / ACTIVE</x:v>
      </x:c>
      <x:c r="G10" s="24" t="str">
        <x:v>Data integrated</x:v>
      </x:c>
      <x:c r="H10" s="24" t="str">
        <x:v>Customer tests PASS</x:v>
      </x:c>
      <x:c r="I10" s="24" t="str">
        <x:v>Visual model not assigned</x:v>
      </x:c>
      <x:c r="J10" s="24" t="str">
        <x:v>console; video-game</x:v>
      </x:c>
      <x:c r="K10" s="24" t="str">
        <x:v>walkSpeed=2.1; browseStops=2</x:v>
      </x:c>
      <x:c r="L10" s="24" t="str">
        <x:v>Assets/_Project/Data/Customers/Technical/CC_CustomerProfile_FocusedBuyer.asset</x:v>
      </x:c>
      <x:c r="M10" s="24" t="str">
        <x:v>8cf292b4749a4552a94eeee32cd5e324</x:v>
      </x:c>
      <x:c r="N10" s="24" t="str">
        <x:v>CC_CustomerProfileCatalog_Technical.asset</x:v>
      </x:c>
      <x:c r="O10" s="24" t="n">
        <x:v>9</x:v>
      </x:c>
      <x:c r="P10" s="24" t="str">
        <x:v>VS-CUS-001;VS-CUS-002</x:v>
      </x:c>
      <x:c r="Q10" s="24" t="str">
        <x:v>Internal</x:v>
      </x:c>
      <x:c r="R10" s="24" t="str">
        <x:v>Sí</x:v>
      </x:c>
      <x:c r="S10" s="24" t="str">
        <x:v>Mapped representative customer prefab</x:v>
      </x:c>
      <x:c r="T10" s="24" t="str">
        <x:v>weight=4; patience=30.0s</x:v>
      </x:c>
    </x:row>
    <x:row r="11" ht="34" customHeight="1">
      <x:c r="A11" s="24" t="str">
        <x:v>CHR-PRF-004</x:v>
      </x:c>
      <x:c r="B11" s="24" t="str">
        <x:v>customer-impatient-visitor</x:v>
      </x:c>
      <x:c r="C11" s="24" t="str">
        <x:v>customer.impatient_visitor.name</x:v>
      </x:c>
      <x:c r="D11" s="24" t="str">
        <x:v>Customer profile</x:v>
      </x:c>
      <x:c r="E11" s="24" t="str">
        <x:v>Customer</x:v>
      </x:c>
      <x:c r="F11" s="24" t="str">
        <x:v>TECHNICAL / ACTIVE</x:v>
      </x:c>
      <x:c r="G11" s="24" t="str">
        <x:v>Data integrated</x:v>
      </x:c>
      <x:c r="H11" s="24" t="str">
        <x:v>Customer tests PASS</x:v>
      </x:c>
      <x:c r="I11" s="24" t="str">
        <x:v>Visual model not assigned</x:v>
      </x:c>
      <x:c r="J11" s="24" t="str">
        <x:v>accessory; video-game</x:v>
      </x:c>
      <x:c r="K11" s="24" t="str">
        <x:v>walkSpeed=2.4; browseStops=1</x:v>
      </x:c>
      <x:c r="L11" s="24" t="str">
        <x:v>Assets/_Project/Data/Customers/Technical/CC_CustomerProfile_ImpatientVisitor.asset</x:v>
      </x:c>
      <x:c r="M11" s="24" t="str">
        <x:v>bce2c4fc2afb44848fb74572ae1a2676</x:v>
      </x:c>
      <x:c r="N11" s="24" t="str">
        <x:v>CC_CustomerProfileCatalog_Technical.asset</x:v>
      </x:c>
      <x:c r="O11" s="24" t="n">
        <x:v>9</x:v>
      </x:c>
      <x:c r="P11" s="24" t="str">
        <x:v>VS-CUS-001;VS-CUS-002</x:v>
      </x:c>
      <x:c r="Q11" s="24" t="str">
        <x:v>Internal</x:v>
      </x:c>
      <x:c r="R11" s="24" t="str">
        <x:v>Sí</x:v>
      </x:c>
      <x:c r="S11" s="24" t="str">
        <x:v>Mapped representative customer prefab</x:v>
      </x:c>
      <x:c r="T11" s="24" t="str">
        <x:v>weight=3; patience=15.0s</x:v>
      </x:c>
    </x:row>
    <x:row r="12" ht="34" customHeight="1">
      <x:c r="A12" s="24" t="str">
        <x:v>CHR-HIS-001</x:v>
      </x:c>
      <x:c r="B12" s="24" t="str">
        <x:v>buyer-decided</x:v>
      </x:c>
      <x:c r="C12" s="24" t="str">
        <x:v>Comprador decidido</x:v>
      </x:c>
      <x:c r="D12" s="24" t="str">
        <x:v>Historical/concept role</x:v>
      </x:c>
      <x:c r="E12" s="24" t="str">
        <x:v>Customer</x:v>
      </x:c>
      <x:c r="F12" s="24" t="str">
        <x:v>HISTORICAL</x:v>
      </x:c>
      <x:c r="G12" s="24" t="str">
        <x:v>Not mapped</x:v>
      </x:c>
      <x:c r="H12" s="24" t="str">
        <x:v>N/A / pending</x:v>
      </x:c>
      <x:c r="I12" s="24" t="str">
        <x:v>See 17_Art_Bible.md</x:v>
      </x:c>
      <x:c r="J12" s="24" t="str">
        <x:v>Design target</x:v>
      </x:c>
      <x:c r="K12" s="24" t="str">
        <x:v>Not assigned</x:v>
      </x:c>
      <x:c r="L12" s="24" t="str"/>
      <x:c r="M12" s="24" t="str"/>
      <x:c r="N12" s="24" t="str"/>
      <x:c r="O12" s="24" t="str">
        <x:v>Future/16</x:v>
      </x:c>
      <x:c r="P12" s="24" t="str">
        <x:v>VS-ART-001</x:v>
      </x:c>
      <x:c r="Q12" s="24" t="str">
        <x:v>Internal concept</x:v>
      </x:c>
      <x:c r="R12" s="24" t="str">
        <x:v>Sí</x:v>
      </x:c>
      <x:c r="S12" s="24" t="str">
        <x:v>Canonical profile/prefab mapping</x:v>
      </x:c>
      <x:c r="T12" s="24" t="str">
        <x:v>Historical v0.1/v0.2</x:v>
      </x:c>
    </x:row>
    <x:row r="13" ht="34" customHeight="1">
      <x:c r="A13" s="24" t="str">
        <x:v>CHR-HIS-002</x:v>
      </x:c>
      <x:c r="B13" s="24" t="str">
        <x:v>price-sensitive-browser</x:v>
      </x:c>
      <x:c r="C13" s="24" t="str">
        <x:v>Explorador sensible al precio</x:v>
      </x:c>
      <x:c r="D13" s="24" t="str">
        <x:v>Historical/concept role</x:v>
      </x:c>
      <x:c r="E13" s="24" t="str">
        <x:v>Customer</x:v>
      </x:c>
      <x:c r="F13" s="24" t="str">
        <x:v>HISTORICAL</x:v>
      </x:c>
      <x:c r="G13" s="24" t="str">
        <x:v>Not mapped</x:v>
      </x:c>
      <x:c r="H13" s="24" t="str">
        <x:v>N/A / pending</x:v>
      </x:c>
      <x:c r="I13" s="24" t="str">
        <x:v>See 17_Art_Bible.md</x:v>
      </x:c>
      <x:c r="J13" s="24" t="str">
        <x:v>Design target</x:v>
      </x:c>
      <x:c r="K13" s="24" t="str">
        <x:v>Not assigned</x:v>
      </x:c>
      <x:c r="L13" s="24" t="str"/>
      <x:c r="M13" s="24" t="str"/>
      <x:c r="N13" s="24" t="str"/>
      <x:c r="O13" s="24" t="str">
        <x:v>Future/16</x:v>
      </x:c>
      <x:c r="P13" s="24" t="str">
        <x:v>VS-ART-001</x:v>
      </x:c>
      <x:c r="Q13" s="24" t="str">
        <x:v>Internal concept</x:v>
      </x:c>
      <x:c r="R13" s="24" t="str">
        <x:v>Sí</x:v>
      </x:c>
      <x:c r="S13" s="24" t="str">
        <x:v>Canonical profile/prefab mapping</x:v>
      </x:c>
      <x:c r="T13" s="24" t="str">
        <x:v>Historical v0.1/v0.2</x:v>
      </x:c>
    </x:row>
    <x:row r="14" ht="34" customHeight="1">
      <x:c r="A14" s="24" t="str">
        <x:v>CHR-HIS-003</x:v>
      </x:c>
      <x:c r="B14" s="24" t="str">
        <x:v>collector-historical</x:v>
      </x:c>
      <x:c r="C14" s="24" t="str">
        <x:v>Coleccionista</x:v>
      </x:c>
      <x:c r="D14" s="24" t="str">
        <x:v>Historical/concept role</x:v>
      </x:c>
      <x:c r="E14" s="24" t="str">
        <x:v>Customer</x:v>
      </x:c>
      <x:c r="F14" s="24" t="str">
        <x:v>HISTORICAL</x:v>
      </x:c>
      <x:c r="G14" s="24" t="str">
        <x:v>Not mapped</x:v>
      </x:c>
      <x:c r="H14" s="24" t="str">
        <x:v>N/A / pending</x:v>
      </x:c>
      <x:c r="I14" s="24" t="str">
        <x:v>See 17_Art_Bible.md</x:v>
      </x:c>
      <x:c r="J14" s="24" t="str">
        <x:v>Design target</x:v>
      </x:c>
      <x:c r="K14" s="24" t="str">
        <x:v>Not assigned</x:v>
      </x:c>
      <x:c r="L14" s="24" t="str"/>
      <x:c r="M14" s="24" t="str"/>
      <x:c r="N14" s="24" t="str"/>
      <x:c r="O14" s="24" t="str">
        <x:v>Future/16</x:v>
      </x:c>
      <x:c r="P14" s="24" t="str">
        <x:v>VS-ART-001</x:v>
      </x:c>
      <x:c r="Q14" s="24" t="str">
        <x:v>Internal concept</x:v>
      </x:c>
      <x:c r="R14" s="24" t="str">
        <x:v>Sí</x:v>
      </x:c>
      <x:c r="S14" s="24" t="str">
        <x:v>Canonical profile/prefab mapping</x:v>
      </x:c>
      <x:c r="T14" s="24" t="str">
        <x:v>Historical v0.1/v0.2</x:v>
      </x:c>
    </x:row>
    <x:row r="15" ht="34" customHeight="1">
      <x:c r="A15" s="24" t="str">
        <x:v>CHR-HIS-004</x:v>
      </x:c>
      <x:c r="B15" s="24" t="str">
        <x:v>gift-buyer</x:v>
      </x:c>
      <x:c r="C15" s="24" t="str">
        <x:v>Comprador de regalo</x:v>
      </x:c>
      <x:c r="D15" s="24" t="str">
        <x:v>Historical/concept role</x:v>
      </x:c>
      <x:c r="E15" s="24" t="str">
        <x:v>Customer</x:v>
      </x:c>
      <x:c r="F15" s="24" t="str">
        <x:v>HISTORICAL</x:v>
      </x:c>
      <x:c r="G15" s="24" t="str">
        <x:v>Not mapped</x:v>
      </x:c>
      <x:c r="H15" s="24" t="str">
        <x:v>N/A / pending</x:v>
      </x:c>
      <x:c r="I15" s="24" t="str">
        <x:v>See 17_Art_Bible.md</x:v>
      </x:c>
      <x:c r="J15" s="24" t="str">
        <x:v>Design target</x:v>
      </x:c>
      <x:c r="K15" s="24" t="str">
        <x:v>Not assigned</x:v>
      </x:c>
      <x:c r="L15" s="24" t="str"/>
      <x:c r="M15" s="24" t="str"/>
      <x:c r="N15" s="24" t="str"/>
      <x:c r="O15" s="24" t="str">
        <x:v>Future/16</x:v>
      </x:c>
      <x:c r="P15" s="24" t="str">
        <x:v>VS-ART-001</x:v>
      </x:c>
      <x:c r="Q15" s="24" t="str">
        <x:v>Internal concept</x:v>
      </x:c>
      <x:c r="R15" s="24" t="str">
        <x:v>Sí</x:v>
      </x:c>
      <x:c r="S15" s="24" t="str">
        <x:v>Canonical profile/prefab mapping</x:v>
      </x:c>
      <x:c r="T15" s="24" t="str">
        <x:v>Historical v0.2</x:v>
      </x:c>
    </x:row>
    <x:row r="16" ht="34" customHeight="1">
      <x:c r="A16" s="24" t="str">
        <x:v>CHR-HIS-005</x:v>
      </x:c>
      <x:c r="B16" s="24" t="str">
        <x:v>impatient-customer-historical</x:v>
      </x:c>
      <x:c r="C16" s="24" t="str">
        <x:v>Cliente impaciente</x:v>
      </x:c>
      <x:c r="D16" s="24" t="str">
        <x:v>Historical/concept role</x:v>
      </x:c>
      <x:c r="E16" s="24" t="str">
        <x:v>Customer</x:v>
      </x:c>
      <x:c r="F16" s="24" t="str">
        <x:v>HISTORICAL</x:v>
      </x:c>
      <x:c r="G16" s="24" t="str">
        <x:v>Not mapped</x:v>
      </x:c>
      <x:c r="H16" s="24" t="str">
        <x:v>N/A / pending</x:v>
      </x:c>
      <x:c r="I16" s="24" t="str">
        <x:v>See 17_Art_Bible.md</x:v>
      </x:c>
      <x:c r="J16" s="24" t="str">
        <x:v>Design target</x:v>
      </x:c>
      <x:c r="K16" s="24" t="str">
        <x:v>Not assigned</x:v>
      </x:c>
      <x:c r="L16" s="24" t="str"/>
      <x:c r="M16" s="24" t="str"/>
      <x:c r="N16" s="24" t="str"/>
      <x:c r="O16" s="24" t="str">
        <x:v>Future/16</x:v>
      </x:c>
      <x:c r="P16" s="24" t="str">
        <x:v>VS-ART-001</x:v>
      </x:c>
      <x:c r="Q16" s="24" t="str">
        <x:v>Internal concept</x:v>
      </x:c>
      <x:c r="R16" s="24" t="str">
        <x:v>Sí</x:v>
      </x:c>
      <x:c r="S16" s="24" t="str">
        <x:v>Canonical profile/prefab mapping</x:v>
      </x:c>
      <x:c r="T16" s="24" t="str">
        <x:v>Historical v0.2</x:v>
      </x:c>
    </x:row>
    <x:row r="17" ht="34" customHeight="1">
      <x:c r="A17" s="24" t="str">
        <x:v>CHR-HIS-006</x:v>
      </x:c>
      <x:c r="B17" s="24" t="str">
        <x:v>store-clerk</x:v>
      </x:c>
      <x:c r="C17" s="24" t="str">
        <x:v>Dependiente VRM</x:v>
      </x:c>
      <x:c r="D17" s="24" t="str">
        <x:v>Historical/concept role</x:v>
      </x:c>
      <x:c r="E17" s="24" t="str">
        <x:v>Employee</x:v>
      </x:c>
      <x:c r="F17" s="24" t="str">
        <x:v>CONCEPT</x:v>
      </x:c>
      <x:c r="G17" s="24" t="str">
        <x:v>Not mapped</x:v>
      </x:c>
      <x:c r="H17" s="24" t="str">
        <x:v>N/A / pending</x:v>
      </x:c>
      <x:c r="I17" s="24" t="str">
        <x:v>See 17_Art_Bible.md</x:v>
      </x:c>
      <x:c r="J17" s="24" t="str">
        <x:v>Design target</x:v>
      </x:c>
      <x:c r="K17" s="24" t="str">
        <x:v>Not assigned</x:v>
      </x:c>
      <x:c r="L17" s="24" t="str"/>
      <x:c r="M17" s="24" t="str"/>
      <x:c r="N17" s="24" t="str"/>
      <x:c r="O17" s="24" t="str">
        <x:v>Future/16</x:v>
      </x:c>
      <x:c r="P17" s="24" t="str">
        <x:v>VS-ART-001</x:v>
      </x:c>
      <x:c r="Q17" s="24" t="str">
        <x:v>Internal concept</x:v>
      </x:c>
      <x:c r="R17" s="24" t="str">
        <x:v>Sí</x:v>
      </x:c>
      <x:c r="S17" s="24" t="str">
        <x:v>Canonical profile/prefab mapping</x:v>
      </x:c>
      <x:c r="T17" s="24" t="str">
        <x:v>Art direction current</x:v>
      </x:c>
    </x:row>
    <x:row r="18" ht="34" customHeight="1">
      <x:c r="A18" s="24" t="str">
        <x:v>CHR-HIS-007</x:v>
      </x:c>
      <x:c r="B18" s="24" t="str">
        <x:v>supplier-representative</x:v>
      </x:c>
      <x:c r="C18" s="24" t="str">
        <x:v>Representante proveedor</x:v>
      </x:c>
      <x:c r="D18" s="24" t="str">
        <x:v>Historical/concept role</x:v>
      </x:c>
      <x:c r="E18" s="24" t="str">
        <x:v>Supplier</x:v>
      </x:c>
      <x:c r="F18" s="24" t="str">
        <x:v>CONCEPT</x:v>
      </x:c>
      <x:c r="G18" s="24" t="str">
        <x:v>Not mapped</x:v>
      </x:c>
      <x:c r="H18" s="24" t="str">
        <x:v>N/A / pending</x:v>
      </x:c>
      <x:c r="I18" s="24" t="str">
        <x:v>See 17_Art_Bible.md</x:v>
      </x:c>
      <x:c r="J18" s="24" t="str">
        <x:v>Design target</x:v>
      </x:c>
      <x:c r="K18" s="24" t="str">
        <x:v>Not assigned</x:v>
      </x:c>
      <x:c r="L18" s="24" t="str"/>
      <x:c r="M18" s="24" t="str"/>
      <x:c r="N18" s="24" t="str"/>
      <x:c r="O18" s="24" t="str">
        <x:v>Future/16</x:v>
      </x:c>
      <x:c r="P18" s="24" t="str">
        <x:v>VS-ART-001</x:v>
      </x:c>
      <x:c r="Q18" s="24" t="str">
        <x:v>Internal concept</x:v>
      </x:c>
      <x:c r="R18" s="24" t="str">
        <x:v>Sí</x:v>
      </x:c>
      <x:c r="S18" s="24" t="str">
        <x:v>Canonical profile/prefab mapping</x:v>
      </x:c>
      <x:c r="T18" s="24" t="str">
        <x:v>Art direction current</x:v>
      </x:c>
    </x:row>
    <x:row r="19" ht="34" customHeight="1">
      <x:c r="A19" s="24" t="str">
        <x:v>CHR-HIS-008</x:v>
      </x:c>
      <x:c r="B19" s="24" t="str">
        <x:v>logistics-worker</x:v>
      </x:c>
      <x:c r="C19" s="24" t="str">
        <x:v>Trabajador logístico</x:v>
      </x:c>
      <x:c r="D19" s="24" t="str">
        <x:v>Historical/concept role</x:v>
      </x:c>
      <x:c r="E19" s="24" t="str">
        <x:v>Logistics</x:v>
      </x:c>
      <x:c r="F19" s="24" t="str">
        <x:v>CONCEPT</x:v>
      </x:c>
      <x:c r="G19" s="24" t="str">
        <x:v>Not mapped</x:v>
      </x:c>
      <x:c r="H19" s="24" t="str">
        <x:v>N/A / pending</x:v>
      </x:c>
      <x:c r="I19" s="24" t="str">
        <x:v>See 17_Art_Bible.md</x:v>
      </x:c>
      <x:c r="J19" s="24" t="str">
        <x:v>Design target</x:v>
      </x:c>
      <x:c r="K19" s="24" t="str">
        <x:v>Not assigned</x:v>
      </x:c>
      <x:c r="L19" s="24" t="str"/>
      <x:c r="M19" s="24" t="str"/>
      <x:c r="N19" s="24" t="str"/>
      <x:c r="O19" s="24" t="str">
        <x:v>Future/16</x:v>
      </x:c>
      <x:c r="P19" s="24" t="str">
        <x:v>VS-ART-001</x:v>
      </x:c>
      <x:c r="Q19" s="24" t="str">
        <x:v>Internal concept</x:v>
      </x:c>
      <x:c r="R19" s="24" t="str">
        <x:v>Sí</x:v>
      </x:c>
      <x:c r="S19" s="24" t="str">
        <x:v>Canonical profile/prefab mapping</x:v>
      </x:c>
      <x:c r="T19" s="24" t="str">
        <x:v>Concept / future representative</x:v>
      </x:c>
    </x:row>
  </x:sheetData>
  <x:mergeCells>
    <x:mergeCell ref="A1:T1"/>
    <x:mergeCell ref="A2:T2"/>
  </x:mergeCells>
  <x:conditionalFormatting sqref="F5:F19">
    <x:cfRule type="expression" dxfId="52" priority="1">
      <x:formula>OR(ISNUMBER(SEARCH("PASS",F5)),ISNUMBER(SEARCH("CANONICAL",F5)),ISNUMBER(SEARCH("DONE",F5)))</x:formula>
    </x:cfRule>
    <x:cfRule type="expression" dxfId="53" priority="2">
      <x:formula>OR(ISNUMBER(SEARCH("BLOCK",F5)),ISNUMBER(SEARCH("FAIL",F5)),ISNUMBER(SEARCH("S1",F5)))</x:formula>
    </x:cfRule>
    <x:cfRule type="expression" dxfId="54" priority="3">
      <x:formula>OR(ISNUMBER(SEARCH("PENDING",F5)),ISNUMBER(SEARCH("PLANNED",F5)),ISNUMBER(SEARCH("PARTIAL",F5)),ISNUMBER(SEARCH("PLACEHOLDER",F5)))</x:formula>
    </x:cfRule>
    <x:cfRule type="expression" dxfId="55" priority="4">
      <x:formula>OR(ISNUMBER(SEARCH("VISION",F5)),ISNUMBER(SEARCH("HISTORICAL",F5)))</x:formula>
    </x:cfRule>
  </x:conditionalFormatting>
  <x:conditionalFormatting sqref="H5:H19">
    <x:cfRule type="expression" dxfId="56" priority="5">
      <x:formula>OR(ISNUMBER(SEARCH("PASS",H5)),ISNUMBER(SEARCH("CANONICAL",H5)),ISNUMBER(SEARCH("DONE",H5)))</x:formula>
    </x:cfRule>
    <x:cfRule type="expression" dxfId="57" priority="6">
      <x:formula>OR(ISNUMBER(SEARCH("BLOCK",H5)),ISNUMBER(SEARCH("FAIL",H5)),ISNUMBER(SEARCH("S1",H5)))</x:formula>
    </x:cfRule>
    <x:cfRule type="expression" dxfId="58" priority="7">
      <x:formula>OR(ISNUMBER(SEARCH("PENDING",H5)),ISNUMBER(SEARCH("PLANNED",H5)),ISNUMBER(SEARCH("PARTIAL",H5)),ISNUMBER(SEARCH("PLACEHOLDER",H5)))</x:formula>
    </x:cfRule>
    <x:cfRule type="expression" dxfId="59" priority="8">
      <x:formula>OR(ISNUMBER(SEARCH("VISION",H5)),ISNUMBER(SEARCH("HISTORICAL",H5)))</x:formula>
    </x:cfRule>
  </x:conditionalFormatting>
  <x:conditionalFormatting sqref="G5:G19">
    <x:cfRule type="expression" dxfId="60" priority="9">
      <x:formula>OR(ISNUMBER(SEARCH("PASS",G5)),ISNUMBER(SEARCH("CANONICAL",G5)),ISNUMBER(SEARCH("DONE",G5)))</x:formula>
    </x:cfRule>
    <x:cfRule type="expression" dxfId="61" priority="10">
      <x:formula>OR(ISNUMBER(SEARCH("BLOCK",G5)),ISNUMBER(SEARCH("FAIL",G5)),ISNUMBER(SEARCH("S1",G5)))</x:formula>
    </x:cfRule>
    <x:cfRule type="expression" dxfId="62" priority="11">
      <x:formula>OR(ISNUMBER(SEARCH("PENDING",G5)),ISNUMBER(SEARCH("PLANNED",G5)),ISNUMBER(SEARCH("PARTIAL",G5)),ISNUMBER(SEARCH("PLACEHOLDER",G5)))</x:formula>
    </x:cfRule>
    <x:cfRule type="expression" dxfId="63" priority="12">
      <x:formula>OR(ISNUMBER(SEARCH("VISION",G5)),ISNUMBER(SEARCH("HISTORICAL",G5)))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a21c559c294ed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6" hidden="0" customWidth="1"/>
    <x:col min="5" max="5" width="18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68" hidden="0" customWidth="1"/>
    <x:col min="13" max="13" width="24" hidden="0" customWidth="1"/>
    <x:col min="14" max="14" width="55" hidden="0" customWidth="1"/>
    <x:col min="15" max="15" width="55" hidden="0" customWidth="1"/>
  </x:cols>
  <x:sheetData>
    <x:row r="1" ht="30" customHeight="1">
      <x:c r="A1" s="4" t="str">
        <x:v>Proveedores y ofertas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Proveedores técnicos activos y arquetipos históricos conservados.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6" customHeight="1">
      <x:c r="A4" s="17" t="str">
        <x:v>Supplier ID</x:v>
      </x:c>
      <x:c r="B4" s="17" t="str">
        <x:v>Nombre/Key</x:v>
      </x:c>
      <x:c r="C4" s="17" t="str">
        <x:v>Tipo</x:v>
      </x:c>
      <x:c r="D4" s="17" t="str">
        <x:v>Estado canónico</x:v>
      </x:c>
      <x:c r="E4" s="17" t="str">
        <x:v>Disponibilidad</x:v>
      </x:c>
      <x:c r="F4" s="17" t="str">
        <x:v>Entrega</x:v>
      </x:c>
      <x:c r="G4" s="17" t="str">
        <x:v>Coste relativo</x:v>
      </x:c>
      <x:c r="H4" s="17" t="str">
        <x:v>Catálogo ID</x:v>
      </x:c>
      <x:c r="I4" s="17" t="str">
        <x:v>Asset</x:v>
      </x:c>
      <x:c r="J4" s="17" t="str">
        <x:v>GUID</x:v>
      </x:c>
      <x:c r="K4" s="17" t="str">
        <x:v>Identidad visual</x:v>
      </x:c>
      <x:c r="L4" s="17" t="str">
        <x:v>Licencia</x:v>
      </x:c>
      <x:c r="M4" s="17" t="str">
        <x:v>Sprint</x:v>
      </x:c>
      <x:c r="N4" s="17" t="str">
        <x:v>Requisito</x:v>
      </x:c>
      <x:c r="O4" s="17" t="str">
        <x:v>Notas</x:v>
      </x:c>
    </x:row>
    <x:row r="5" ht="34" customHeight="1">
      <x:c r="A5" s="24" t="str">
        <x:v>supplier-nebula-distribution</x:v>
      </x:c>
      <x:c r="B5" s="24" t="str">
        <x:v>suppliers.nebula_distribution.name</x:v>
      </x:c>
      <x:c r="C5" s="24" t="str">
        <x:v>Technical supplier</x:v>
      </x:c>
      <x:c r="D5" s="24" t="str">
        <x:v>TECHNICAL / ACTIVE</x:v>
      </x:c>
      <x:c r="E5" s="24" t="str">
        <x:v>Implemented</x:v>
      </x:c>
      <x:c r="F5" s="24" t="str">
        <x:v>Order/delivery services</x:v>
      </x:c>
      <x:c r="G5" s="24" t="str">
        <x:v>Per-offer</x:v>
      </x:c>
      <x:c r="H5" s="24" t="str">
        <x:v>catalog-nebula-distribution</x:v>
      </x:c>
      <x:c r="I5" s="24" t="str">
        <x:v>Assets/_Project/Data/Suppliers/Technical/CC_Supplier_NebulaDistribution.asset</x:v>
      </x:c>
      <x:c r="J5" s="24" t="str">
        <x:v>1cf16838a1df4081b0e95eac47a700c2</x:v>
      </x:c>
      <x:c r="K5" s="24" t="str">
        <x:v>Representative brand pending</x:v>
      </x:c>
      <x:c r="L5" s="24" t="str">
        <x:v>Internal</x:v>
      </x:c>
      <x:c r="M5" s="24" t="n">
        <x:v>7</x:v>
      </x:c>
      <x:c r="N5" s="24" t="str">
        <x:v>VS-ORD-001;VS-ORD-002</x:v>
      </x:c>
      <x:c r="O5" s="24" t="str">
        <x:v>Assets/_Project/Data/Suppliers/Technical/CC_SupplierCatalog_NebulaDistribution.asset</x:v>
      </x:c>
    </x:row>
    <x:row r="6" ht="34" customHeight="1">
      <x:c r="A6" s="24" t="str">
        <x:v>supplier-pixel-parcel</x:v>
      </x:c>
      <x:c r="B6" s="24" t="str">
        <x:v>suppliers.pixel_parcel.name</x:v>
      </x:c>
      <x:c r="C6" s="24" t="str">
        <x:v>Technical supplier</x:v>
      </x:c>
      <x:c r="D6" s="24" t="str">
        <x:v>TECHNICAL / ACTIVE</x:v>
      </x:c>
      <x:c r="E6" s="24" t="str">
        <x:v>Implemented</x:v>
      </x:c>
      <x:c r="F6" s="24" t="str">
        <x:v>Order/delivery services</x:v>
      </x:c>
      <x:c r="G6" s="24" t="str">
        <x:v>Per-offer</x:v>
      </x:c>
      <x:c r="H6" s="24" t="str">
        <x:v>catalog-pixel-parcel</x:v>
      </x:c>
      <x:c r="I6" s="24" t="str">
        <x:v>Assets/_Project/Data/Suppliers/Technical/CC_Supplier_PixelParcel.asset</x:v>
      </x:c>
      <x:c r="J6" s="24" t="str">
        <x:v>58adf7b912ac4984a21146cb7e7ccc72</x:v>
      </x:c>
      <x:c r="K6" s="24" t="str">
        <x:v>Representative brand pending</x:v>
      </x:c>
      <x:c r="L6" s="24" t="str">
        <x:v>Internal</x:v>
      </x:c>
      <x:c r="M6" s="24" t="n">
        <x:v>7</x:v>
      </x:c>
      <x:c r="N6" s="24" t="str">
        <x:v>VS-ORD-001;VS-ORD-002</x:v>
      </x:c>
      <x:c r="O6" s="24" t="str">
        <x:v>Assets/_Project/Data/Suppliers/Technical/CC_SupplierCatalog_PixelParcel.asset</x:v>
      </x:c>
    </x:row>
    <x:row r="7" ht="34" customHeight="1">
      <x:c r="A7" s="24" t="str">
        <x:v>supplier-generalist</x:v>
      </x:c>
      <x:c r="B7" s="24" t="str">
        <x:v>Distribuidor generalista</x:v>
      </x:c>
      <x:c r="C7" s="24" t="str">
        <x:v>Historical archetype</x:v>
      </x:c>
      <x:c r="D7" s="24" t="str">
        <x:v>HISTORICAL / NOT MAPPED</x:v>
      </x:c>
      <x:c r="E7" s="24" t="str">
        <x:v>Inicio</x:v>
      </x:c>
      <x:c r="F7" s="24" t="str">
        <x:v>1 día</x:v>
      </x:c>
      <x:c r="G7" s="24" t="str">
        <x:v>70–85 % PVP</x:v>
      </x:c>
      <x:c r="H7" s="24" t="str"/>
      <x:c r="I7" s="24" t="str"/>
      <x:c r="J7" s="24" t="str"/>
      <x:c r="K7" s="24" t="str">
        <x:v>Fictitious brand allowed</x:v>
      </x:c>
      <x:c r="L7" s="24" t="str">
        <x:v>Internal concept</x:v>
      </x:c>
      <x:c r="M7" s="24" t="str">
        <x:v>Future</x:v>
      </x:c>
      <x:c r="N7" s="24" t="str">
        <x:v>Scope-controlled</x:v>
      </x:c>
      <x:c r="O7" s="24" t="str">
        <x:v>Preservado desde Initial Content Catalog v0.1.</x:v>
      </x:c>
    </x:row>
    <x:row r="8" ht="34" customHeight="1">
      <x:c r="A8" s="24" t="str">
        <x:v>supplier-hardware</x:v>
      </x:c>
      <x:c r="B8" s="24" t="str">
        <x:v>Especialista en hardware</x:v>
      </x:c>
      <x:c r="C8" s="24" t="str">
        <x:v>Historical archetype</x:v>
      </x:c>
      <x:c r="D8" s="24" t="str">
        <x:v>HISTORICAL / NOT MAPPED</x:v>
      </x:c>
      <x:c r="E8" s="24" t="str">
        <x:v>Nivel 2</x:v>
      </x:c>
      <x:c r="F8" s="24" t="str">
        <x:v>2 días</x:v>
      </x:c>
      <x:c r="G8" s="24" t="str">
        <x:v>65–80 % PVP</x:v>
      </x:c>
      <x:c r="H8" s="24" t="str"/>
      <x:c r="I8" s="24" t="str"/>
      <x:c r="J8" s="24" t="str"/>
      <x:c r="K8" s="24" t="str">
        <x:v>Fictitious brand allowed</x:v>
      </x:c>
      <x:c r="L8" s="24" t="str">
        <x:v>Internal concept</x:v>
      </x:c>
      <x:c r="M8" s="24" t="str">
        <x:v>Future</x:v>
      </x:c>
      <x:c r="N8" s="24" t="str">
        <x:v>Scope-controlled</x:v>
      </x:c>
      <x:c r="O8" s="24" t="str">
        <x:v>Preservado desde Initial Content Catalog v0.1.</x:v>
      </x:c>
    </x:row>
    <x:row r="9" ht="34" customHeight="1">
      <x:c r="A9" s="24" t="str">
        <x:v>supplier-accessories</x:v>
      </x:c>
      <x:c r="B9" s="24" t="str">
        <x:v>Mayorista de accesorios</x:v>
      </x:c>
      <x:c r="C9" s="24" t="str">
        <x:v>Historical archetype</x:v>
      </x:c>
      <x:c r="D9" s="24" t="str">
        <x:v>HISTORICAL / NOT MAPPED</x:v>
      </x:c>
      <x:c r="E9" s="24" t="str">
        <x:v>Nivel 2</x:v>
      </x:c>
      <x:c r="F9" s="24" t="str">
        <x:v>1–2 días</x:v>
      </x:c>
      <x:c r="G9" s="24" t="str">
        <x:v>55–70 % PVP</x:v>
      </x:c>
      <x:c r="H9" s="24" t="str"/>
      <x:c r="I9" s="24" t="str"/>
      <x:c r="J9" s="24" t="str"/>
      <x:c r="K9" s="24" t="str">
        <x:v>Fictitious brand allowed</x:v>
      </x:c>
      <x:c r="L9" s="24" t="str">
        <x:v>Internal concept</x:v>
      </x:c>
      <x:c r="M9" s="24" t="str">
        <x:v>Future</x:v>
      </x:c>
      <x:c r="N9" s="24" t="str">
        <x:v>Scope-controlled</x:v>
      </x:c>
      <x:c r="O9" s="24" t="str">
        <x:v>Preservado desde Initial Content Catalog v0.1.</x:v>
      </x:c>
    </x:row>
    <x:row r="10" ht="34" customHeight="1">
      <x:c r="A10" s="24" t="str">
        <x:v>supplier-retro</x:v>
      </x:c>
      <x:c r="B10" s="24" t="str">
        <x:v>Proveedor retro</x:v>
      </x:c>
      <x:c r="C10" s="24" t="str">
        <x:v>Historical/future</x:v>
      </x:c>
      <x:c r="D10" s="24" t="str">
        <x:v>HISTORICAL / NOT MAPPED</x:v>
      </x:c>
      <x:c r="E10" s="24" t="str">
        <x:v>Investigación</x:v>
      </x:c>
      <x:c r="F10" s="24" t="str">
        <x:v>2–4 días</x:v>
      </x:c>
      <x:c r="G10" s="24" t="str">
        <x:v>40–70 % PVP</x:v>
      </x:c>
      <x:c r="H10" s="24" t="str"/>
      <x:c r="I10" s="24" t="str"/>
      <x:c r="J10" s="24" t="str"/>
      <x:c r="K10" s="24" t="str">
        <x:v>Fictitious brand allowed</x:v>
      </x:c>
      <x:c r="L10" s="24" t="str">
        <x:v>Internal concept</x:v>
      </x:c>
      <x:c r="M10" s="24" t="str">
        <x:v>Future</x:v>
      </x:c>
      <x:c r="N10" s="24" t="str">
        <x:v>Scope-controlled</x:v>
      </x:c>
      <x:c r="O10" s="24" t="str">
        <x:v>Preservado desde Initial Content Catalog v0.1.</x:v>
      </x:c>
    </x:row>
    <x:row r="11" ht="34" customHeight="1">
      <x:c r="A11" s="24" t="str">
        <x:v>supplier-collectibles</x:v>
      </x:c>
      <x:c r="B11" s="24" t="str">
        <x:v>Distribuidor de coleccionismo</x:v>
      </x:c>
      <x:c r="C11" s="24" t="str">
        <x:v>Historical/future</x:v>
      </x:c>
      <x:c r="D11" s="24" t="str">
        <x:v>HISTORICAL / NOT MAPPED</x:v>
      </x:c>
      <x:c r="E11" s="24" t="str">
        <x:v>Reputación media</x:v>
      </x:c>
      <x:c r="F11" s="24" t="str">
        <x:v>3–5 días</x:v>
      </x:c>
      <x:c r="G11" s="24" t="str">
        <x:v>50–75 % PVP</x:v>
      </x:c>
      <x:c r="H11" s="24" t="str"/>
      <x:c r="I11" s="24" t="str"/>
      <x:c r="J11" s="24" t="str"/>
      <x:c r="K11" s="24" t="str">
        <x:v>Fictitious brand allowed</x:v>
      </x:c>
      <x:c r="L11" s="24" t="str">
        <x:v>Internal concept</x:v>
      </x:c>
      <x:c r="M11" s="24" t="str">
        <x:v>Future</x:v>
      </x:c>
      <x:c r="N11" s="24" t="str">
        <x:v>Scope-controlled</x:v>
      </x:c>
      <x:c r="O11" s="24" t="str">
        <x:v>Preservado desde Initial Content Catalog v0.1.</x:v>
      </x:c>
    </x:row>
    <x:row r="14">
      <x:c r="A14" s="29" t="str">
        <x:v>Ofertas técnicas por proveedor</x:v>
      </x:c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</x:row>
    <x:row r="15" ht="36" customHeight="1">
      <x:c r="A15" s="17" t="str">
        <x:v>Offer ID</x:v>
      </x:c>
      <x:c r="B15" s="17" t="str">
        <x:v>Supplier ID</x:v>
      </x:c>
      <x:c r="C15" s="17" t="str">
        <x:v>Product ID</x:v>
      </x:c>
      <x:c r="D15" s="17" t="str">
        <x:v>Coste unitario €</x:v>
      </x:c>
      <x:c r="E15" s="17" t="str">
        <x:v>Precio venta técnico €</x:v>
      </x:c>
      <x:c r="F15" s="17" t="str">
        <x:v>Margen €</x:v>
      </x:c>
      <x:c r="G15" s="17" t="str">
        <x:v>Margen %</x:v>
      </x:c>
      <x:c r="H15" s="17" t="str">
        <x:v>Unidades/caja</x:v>
      </x:c>
      <x:c r="I15" s="17" t="str">
        <x:v>Mín cajas</x:v>
      </x:c>
      <x:c r="J15" s="17" t="str">
        <x:v>Máx cajas</x:v>
      </x:c>
      <x:c r="K15" s="17" t="str">
        <x:v>Coste caja €</x:v>
      </x:c>
      <x:c r="L15" s="17" t="str">
        <x:v>Catálogo</x:v>
      </x:c>
      <x:c r="M15" s="17" t="str">
        <x:v>Estado</x:v>
      </x:c>
      <x:c r="N15" s="17" t="str">
        <x:v>Notas</x:v>
      </x:c>
    </x:row>
    <x:row r="16" ht="34" customHeight="1">
      <x:c r="A16" s="24" t="str">
        <x:v>OFR-001</x:v>
      </x:c>
      <x:c r="B16" s="24" t="str">
        <x:v>supplier-nebula-distribution</x:v>
      </x:c>
      <x:c r="C16" s="24" t="str">
        <x:v>cartridge-cloud-racers</x:v>
      </x:c>
      <x:c r="D16" s="32" t="n">
        <x:v>12.99</x:v>
      </x:c>
      <x:c r="E16" s="32" t="n">
        <x:v>27.99</x:v>
      </x:c>
      <x:c r="F16" s="32" t="n">
        <x:f>E16-D16</x:f>
        <x:v>14.999999999999998</x:v>
      </x:c>
      <x:c r="G16" s="34" t="n">
        <x:f>IF(E16=0,0,F16/E16)</x:f>
        <x:v>0.5359056806002144</x:v>
      </x:c>
      <x:c r="H16" s="24" t="n">
        <x:v>6</x:v>
      </x:c>
      <x:c r="I16" s="24" t="n">
        <x:v>1</x:v>
      </x:c>
      <x:c r="J16" s="24" t="n">
        <x:v>12</x:v>
      </x:c>
      <x:c r="K16" s="32" t="n">
        <x:f>D16*H16</x:f>
        <x:v>77.94</x:v>
      </x:c>
      <x:c r="L16" s="24" t="str">
        <x:v>Assets/_Project/Data/Suppliers/Technical/CC_SupplierCatalog_NebulaDistribution.asset</x:v>
      </x:c>
      <x:c r="M16" s="24" t="str">
        <x:v>TECHNICAL ACTIVE</x:v>
      </x:c>
      <x:c r="N16" s="24" t="str">
        <x:v>No mezclar con coste Phase 1 sin decisión de autoridad.</x:v>
      </x:c>
    </x:row>
    <x:row r="17" ht="34" customHeight="1">
      <x:c r="A17" s="24" t="str">
        <x:v>OFR-002</x:v>
      </x:c>
      <x:c r="B17" s="24" t="str">
        <x:v>supplier-nebula-distribution</x:v>
      </x:c>
      <x:c r="C17" s="24" t="str">
        <x:v>cartridge-pixel-quest</x:v>
      </x:c>
      <x:c r="D17" s="32" t="n">
        <x:v>11.99</x:v>
      </x:c>
      <x:c r="E17" s="32" t="n">
        <x:v>29.99</x:v>
      </x:c>
      <x:c r="F17" s="32" t="n">
        <x:f>E17-D17</x:f>
        <x:v>18</x:v>
      </x:c>
      <x:c r="G17" s="34" t="n">
        <x:f>IF(E17=0,0,F17/E17)</x:f>
        <x:v>0.6002000666888964</x:v>
      </x:c>
      <x:c r="H17" s="24" t="n">
        <x:v>6</x:v>
      </x:c>
      <x:c r="I17" s="24" t="n">
        <x:v>1</x:v>
      </x:c>
      <x:c r="J17" s="24" t="n">
        <x:v>12</x:v>
      </x:c>
      <x:c r="K17" s="32" t="n">
        <x:f>D17*H17</x:f>
        <x:v>71.94</x:v>
      </x:c>
      <x:c r="L17" s="24" t="str">
        <x:v>Assets/_Project/Data/Suppliers/Technical/CC_SupplierCatalog_NebulaDistribution.asset</x:v>
      </x:c>
      <x:c r="M17" s="24" t="str">
        <x:v>TECHNICAL ACTIVE</x:v>
      </x:c>
      <x:c r="N17" s="24" t="str">
        <x:v>No mezclar con coste Phase 1 sin decisión de autoridad.</x:v>
      </x:c>
    </x:row>
    <x:row r="18" ht="34" customHeight="1">
      <x:c r="A18" s="24" t="str">
        <x:v>OFR-003</x:v>
      </x:c>
      <x:c r="B18" s="24" t="str">
        <x:v>supplier-nebula-distribution</x:v>
      </x:c>
      <x:c r="C18" s="24" t="str">
        <x:v>console-nebula-8</x:v>
      </x:c>
      <x:c r="D18" s="32" t="n">
        <x:v>79.99</x:v>
      </x:c>
      <x:c r="E18" s="32" t="n">
        <x:v>89.99</x:v>
      </x:c>
      <x:c r="F18" s="32" t="n">
        <x:f>E18-D18</x:f>
        <x:v>10</x:v>
      </x:c>
      <x:c r="G18" s="34" t="n">
        <x:f>IF(E18=0,0,F18/E18)</x:f>
        <x:v>0.111123458162018</x:v>
      </x:c>
      <x:c r="H18" s="24" t="n">
        <x:v>2</x:v>
      </x:c>
      <x:c r="I18" s="24" t="n">
        <x:v>1</x:v>
      </x:c>
      <x:c r="J18" s="24" t="n">
        <x:v>5</x:v>
      </x:c>
      <x:c r="K18" s="32" t="n">
        <x:f>D18*H18</x:f>
        <x:v>159.98</x:v>
      </x:c>
      <x:c r="L18" s="24" t="str">
        <x:v>Assets/_Project/Data/Suppliers/Technical/CC_SupplierCatalog_NebulaDistribution.asset</x:v>
      </x:c>
      <x:c r="M18" s="24" t="str">
        <x:v>TECHNICAL ACTIVE</x:v>
      </x:c>
      <x:c r="N18" s="24" t="str">
        <x:v>No mezclar con coste Phase 1 sin decisión de autoridad.</x:v>
      </x:c>
    </x:row>
    <x:row r="19" ht="34" customHeight="1">
      <x:c r="A19" s="24" t="str">
        <x:v>OFR-004</x:v>
      </x:c>
      <x:c r="B19" s="24" t="str">
        <x:v>supplier-nebula-distribution</x:v>
      </x:c>
      <x:c r="C19" s="24" t="str">
        <x:v>controller-orbit-pad</x:v>
      </x:c>
      <x:c r="D19" s="32" t="n">
        <x:v>23.99</x:v>
      </x:c>
      <x:c r="E19" s="32" t="n">
        <x:v>34.99</x:v>
      </x:c>
      <x:c r="F19" s="32" t="n">
        <x:f>E19-D19</x:f>
        <x:v>11.000000000000004</x:v>
      </x:c>
      <x:c r="G19" s="34" t="n">
        <x:f>IF(E19=0,0,F19/E19)</x:f>
        <x:v>0.31437553586739075</x:v>
      </x:c>
      <x:c r="H19" s="24" t="n">
        <x:v>4</x:v>
      </x:c>
      <x:c r="I19" s="24" t="n">
        <x:v>1</x:v>
      </x:c>
      <x:c r="J19" s="24" t="n">
        <x:v>8</x:v>
      </x:c>
      <x:c r="K19" s="32" t="n">
        <x:f>D19*H19</x:f>
        <x:v>95.96</x:v>
      </x:c>
      <x:c r="L19" s="24" t="str">
        <x:v>Assets/_Project/Data/Suppliers/Technical/CC_SupplierCatalog_NebulaDistribution.asset</x:v>
      </x:c>
      <x:c r="M19" s="24" t="str">
        <x:v>TECHNICAL ACTIVE</x:v>
      </x:c>
      <x:c r="N19" s="24" t="str">
        <x:v>No mezclar con coste Phase 1 sin decisión de autoridad.</x:v>
      </x:c>
    </x:row>
    <x:row r="20" ht="34" customHeight="1">
      <x:c r="A20" s="24" t="str">
        <x:v>OFR-005</x:v>
      </x:c>
      <x:c r="B20" s="24" t="str">
        <x:v>supplier-nebula-distribution</x:v>
      </x:c>
      <x:c r="C20" s="24" t="str">
        <x:v>memory-card-64</x:v>
      </x:c>
      <x:c r="D20" s="32" t="n">
        <x:v>8.99</x:v>
      </x:c>
      <x:c r="E20" s="32" t="n">
        <x:v>24.99</x:v>
      </x:c>
      <x:c r="F20" s="32" t="n">
        <x:f>E20-D20</x:f>
        <x:v>15.999999999999998</x:v>
      </x:c>
      <x:c r="G20" s="34" t="n">
        <x:f>IF(E20=0,0,F20/E20)</x:f>
        <x:v>0.6402561024409763</x:v>
      </x:c>
      <x:c r="H20" s="24" t="n">
        <x:v>8</x:v>
      </x:c>
      <x:c r="I20" s="24" t="n">
        <x:v>1</x:v>
      </x:c>
      <x:c r="J20" s="24" t="n">
        <x:v>10</x:v>
      </x:c>
      <x:c r="K20" s="32" t="n">
        <x:f>D20*H20</x:f>
        <x:v>71.92</x:v>
      </x:c>
      <x:c r="L20" s="24" t="str">
        <x:v>Assets/_Project/Data/Suppliers/Technical/CC_SupplierCatalog_NebulaDistribution.asset</x:v>
      </x:c>
      <x:c r="M20" s="24" t="str">
        <x:v>TECHNICAL ACTIVE</x:v>
      </x:c>
      <x:c r="N20" s="24" t="str">
        <x:v>No mezclar con coste Phase 1 sin decisión de autoridad.</x:v>
      </x:c>
    </x:row>
    <x:row r="21" ht="34" customHeight="1">
      <x:c r="A21" s="24" t="str">
        <x:v>OFR-006</x:v>
      </x:c>
      <x:c r="B21" s="24" t="str">
        <x:v>supplier-pixel-parcel</x:v>
      </x:c>
      <x:c r="C21" s="24" t="str">
        <x:v>cartridge-cloud-racers</x:v>
      </x:c>
      <x:c r="D21" s="32" t="n">
        <x:v>13.49</x:v>
      </x:c>
      <x:c r="E21" s="32" t="n">
        <x:v>27.99</x:v>
      </x:c>
      <x:c r="F21" s="32" t="n">
        <x:f>E21-D21</x:f>
        <x:v>14.499999999999998</x:v>
      </x:c>
      <x:c r="G21" s="34" t="n">
        <x:f>IF(E21=0,0,F21/E21)</x:f>
        <x:v>0.5180421579135405</x:v>
      </x:c>
      <x:c r="H21" s="24" t="n">
        <x:v>4</x:v>
      </x:c>
      <x:c r="I21" s="24" t="n">
        <x:v>1</x:v>
      </x:c>
      <x:c r="J21" s="24" t="n">
        <x:v>10</x:v>
      </x:c>
      <x:c r="K21" s="32" t="n">
        <x:f>D21*H21</x:f>
        <x:v>53.96</x:v>
      </x:c>
      <x:c r="L21" s="24" t="str">
        <x:v>Assets/_Project/Data/Suppliers/Technical/CC_SupplierCatalog_PixelParcel.asset</x:v>
      </x:c>
      <x:c r="M21" s="24" t="str">
        <x:v>TECHNICAL ACTIVE</x:v>
      </x:c>
      <x:c r="N21" s="24" t="str">
        <x:v>No mezclar con coste Phase 1 sin decisión de autoridad.</x:v>
      </x:c>
    </x:row>
    <x:row r="22" ht="34" customHeight="1">
      <x:c r="A22" s="24" t="str">
        <x:v>OFR-007</x:v>
      </x:c>
      <x:c r="B22" s="24" t="str">
        <x:v>supplier-pixel-parcel</x:v>
      </x:c>
      <x:c r="C22" s="24" t="str">
        <x:v>cartridge-pixel-quest</x:v>
      </x:c>
      <x:c r="D22" s="32" t="n">
        <x:v>10.99</x:v>
      </x:c>
      <x:c r="E22" s="32" t="n">
        <x:v>29.99</x:v>
      </x:c>
      <x:c r="F22" s="32" t="n">
        <x:f>E22-D22</x:f>
        <x:v>19</x:v>
      </x:c>
      <x:c r="G22" s="34" t="n">
        <x:f>IF(E22=0,0,F22/E22)</x:f>
        <x:v>0.6335445148382794</x:v>
      </x:c>
      <x:c r="H22" s="24" t="n">
        <x:v>4</x:v>
      </x:c>
      <x:c r="I22" s="24" t="n">
        <x:v>1</x:v>
      </x:c>
      <x:c r="J22" s="24" t="n">
        <x:v>10</x:v>
      </x:c>
      <x:c r="K22" s="32" t="n">
        <x:f>D22*H22</x:f>
        <x:v>43.96</x:v>
      </x:c>
      <x:c r="L22" s="24" t="str">
        <x:v>Assets/_Project/Data/Suppliers/Technical/CC_SupplierCatalog_PixelParcel.asset</x:v>
      </x:c>
      <x:c r="M22" s="24" t="str">
        <x:v>TECHNICAL ACTIVE</x:v>
      </x:c>
      <x:c r="N22" s="24" t="str">
        <x:v>No mezclar con coste Phase 1 sin decisión de autoridad.</x:v>
      </x:c>
    </x:row>
    <x:row r="23" ht="34" customHeight="1">
      <x:c r="A23" s="24" t="str">
        <x:v>OFR-008</x:v>
      </x:c>
      <x:c r="B23" s="24" t="str">
        <x:v>supplier-pixel-parcel</x:v>
      </x:c>
      <x:c r="C23" s="24" t="str">
        <x:v>collectible-cloud-hero</x:v>
      </x:c>
      <x:c r="D23" s="32" t="n">
        <x:v>15.99</x:v>
      </x:c>
      <x:c r="E23" s="32" t="n">
        <x:v>19.99</x:v>
      </x:c>
      <x:c r="F23" s="32" t="n">
        <x:f>E23-D23</x:f>
        <x:v>3.9999999999999982</x:v>
      </x:c>
      <x:c r="G23" s="34" t="n">
        <x:f>IF(E23=0,0,F23/E23)</x:f>
        <x:v>0.20010005002501244</x:v>
      </x:c>
      <x:c r="H23" s="24" t="n">
        <x:v>3</x:v>
      </x:c>
      <x:c r="I23" s="24" t="n">
        <x:v>1</x:v>
      </x:c>
      <x:c r="J23" s="24" t="n">
        <x:v>8</x:v>
      </x:c>
      <x:c r="K23" s="32" t="n">
        <x:f>D23*H23</x:f>
        <x:v>47.97</x:v>
      </x:c>
      <x:c r="L23" s="24" t="str">
        <x:v>Assets/_Project/Data/Suppliers/Technical/CC_SupplierCatalog_PixelParcel.asset</x:v>
      </x:c>
      <x:c r="M23" s="24" t="str">
        <x:v>TECHNICAL ACTIVE</x:v>
      </x:c>
      <x:c r="N23" s="24" t="str">
        <x:v>No mezclar con coste Phase 1 sin decisión de autoridad.</x:v>
      </x:c>
    </x:row>
  </x:sheetData>
  <x:mergeCells>
    <x:mergeCell ref="A1:O1"/>
    <x:mergeCell ref="A2:O2"/>
    <x:mergeCell ref="A14:N14"/>
  </x:mergeCells>
  <x:conditionalFormatting sqref="D5:D11">
    <x:cfRule type="expression" dxfId="64" priority="1">
      <x:formula>OR(ISNUMBER(SEARCH("PASS",D5)),ISNUMBER(SEARCH("CANONICAL",D5)),ISNUMBER(SEARCH("DONE",D5)))</x:formula>
    </x:cfRule>
    <x:cfRule type="expression" dxfId="65" priority="2">
      <x:formula>OR(ISNUMBER(SEARCH("BLOCK",D5)),ISNUMBER(SEARCH("FAIL",D5)),ISNUMBER(SEARCH("S1",D5)))</x:formula>
    </x:cfRule>
    <x:cfRule type="expression" dxfId="66" priority="3">
      <x:formula>OR(ISNUMBER(SEARCH("PENDING",D5)),ISNUMBER(SEARCH("PLANNED",D5)),ISNUMBER(SEARCH("PARTIAL",D5)),ISNUMBER(SEARCH("PLACEHOLDER",D5)))</x:formula>
    </x:cfRule>
    <x:cfRule type="expression" dxfId="67" priority="4">
      <x:formula>OR(ISNUMBER(SEARCH("VISION",D5)),ISNUMBER(SEARCH("HISTORICAL",D5)))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4c977ed9e4474d13"/>
    <x:tablePart xmlns:r="http://schemas.openxmlformats.org/officeDocument/2006/relationships" r:id="Re0245b55710f4de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26" hidden="0" customWidth="1"/>
    <x:col min="7" max="7" width="28" hidden="0" customWidth="1"/>
    <x:col min="8" max="8" width="30" hidden="0" customWidth="1"/>
    <x:col min="9" max="9" width="68" hidden="0" customWidth="1"/>
    <x:col min="10" max="10" width="36" hidden="0" customWidth="1"/>
    <x:col min="11" max="11" width="36" hidden="0" customWidth="1"/>
    <x:col min="12" max="12" width="22" hidden="0" customWidth="1"/>
    <x:col min="13" max="13" width="24" hidden="0" customWidth="1"/>
    <x:col min="14" max="14" width="12" hidden="0" customWidth="1"/>
    <x:col min="15" max="15" width="24" hidden="0" customWidth="1"/>
    <x:col min="16" max="16" width="55" hidden="0" customWidth="1"/>
  </x:cols>
  <x:sheetData>
    <x:row r="1" ht="30" customHeight="1">
      <x:c r="A1" s="4" t="str">
        <x:v>Packaging, marcas y naming ficticio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10" t="str">
        <x:v>Prefabs de packaging e identidades de producto originales.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6" customHeight="1">
      <x:c r="A4" s="17" t="str">
        <x:v>Content ID</x:v>
      </x:c>
      <x:c r="B4" s="17" t="str">
        <x:v>Nombre</x:v>
      </x:c>
      <x:c r="C4" s="17" t="str">
        <x:v>Tipo</x:v>
      </x:c>
      <x:c r="D4" s="17" t="str">
        <x:v>Marca/Familia</x:v>
      </x:c>
      <x:c r="E4" s="17" t="str">
        <x:v>Producto asociado</x:v>
      </x:c>
      <x:c r="F4" s="17" t="str">
        <x:v>Estado</x:v>
      </x:c>
      <x:c r="G4" s="17" t="str">
        <x:v>Implementación</x:v>
      </x:c>
      <x:c r="H4" s="17" t="str">
        <x:v>Validación</x:v>
      </x:c>
      <x:c r="I4" s="17" t="str">
        <x:v>Ruta</x:v>
      </x:c>
      <x:c r="J4" s="17" t="str">
        <x:v>GUID</x:v>
      </x:c>
      <x:c r="K4" s="17" t="str">
        <x:v>Material/Texture</x:v>
      </x:c>
      <x:c r="L4" s="17" t="str">
        <x:v>IP/Marca real</x:v>
      </x:c>
      <x:c r="M4" s="17" t="str">
        <x:v>Licencia</x:v>
      </x:c>
      <x:c r="N4" s="17" t="str">
        <x:v>Sprint</x:v>
      </x:c>
      <x:c r="O4" s="17" t="str">
        <x:v>Requisito</x:v>
      </x:c>
      <x:c r="P4" s="17" t="str">
        <x:v>Notas</x:v>
      </x:c>
    </x:row>
    <x:row r="5" ht="34" customHeight="1">
      <x:c r="A5" s="24" t="str">
        <x:v>PKG-001</x:v>
      </x:c>
      <x:c r="B5" s="24" t="str">
        <x:v>MemoryCoreBox</x:v>
      </x:c>
      <x:c r="C5" s="24" t="str">
        <x:v>Packaging prefab</x:v>
      </x:c>
      <x:c r="D5" s="24" t="str">
        <x:v>Fictitious product family</x:v>
      </x:c>
      <x:c r="E5" s="24" t="str">
        <x:v>accessory-memory-core</x:v>
      </x:c>
      <x:c r="F5" s="24" t="str">
        <x:v>Imported / representative</x:v>
      </x:c>
      <x:c r="G5" s="24" t="str">
        <x:v>Prefab available</x:v>
      </x:c>
      <x:c r="H5" s="24" t="str">
        <x:v>Visual/H6 pending</x:v>
      </x:c>
      <x:c r="I5" s="24" t="str">
        <x:v>Assets/_Project/Prefabs/Products/Packaging/MemoryCoreBox.prefab</x:v>
      </x:c>
      <x:c r="J5" s="24" t="str">
        <x:v>a811816a660cd244c8e7cdc35b3a6a29</x:v>
      </x:c>
      <x:c r="K5" s="24" t="str">
        <x:v>Product material palette; cover textures pending/partial</x:v>
      </x:c>
      <x:c r="L5" s="24" t="str">
        <x:v>Prohibited</x:v>
      </x:c>
      <x:c r="M5" s="24" t="str">
        <x:v>Internal/Approved</x:v>
      </x:c>
      <x:c r="N5" s="24" t="n">
        <x:v>16</x:v>
      </x:c>
      <x:c r="O5" s="24" t="str">
        <x:v>VS-ART-001</x:v>
      </x:c>
      <x:c r="P5" s="24" t="str">
        <x:v>No copiar packaging, logos o trade dress real.</x:v>
      </x:c>
    </x:row>
    <x:row r="6" ht="34" customHeight="1">
      <x:c r="A6" s="24" t="str">
        <x:v>PKG-002</x:v>
      </x:c>
      <x:c r="B6" s="24" t="str">
        <x:v>OrbitPadBox</x:v>
      </x:c>
      <x:c r="C6" s="24" t="str">
        <x:v>Packaging prefab</x:v>
      </x:c>
      <x:c r="D6" s="24" t="str">
        <x:v>Fictitious product family</x:v>
      </x:c>
      <x:c r="E6" s="24" t="str">
        <x:v>controller-orbit-pad</x:v>
      </x:c>
      <x:c r="F6" s="24" t="str">
        <x:v>Imported / representative</x:v>
      </x:c>
      <x:c r="G6" s="24" t="str">
        <x:v>Prefab available</x:v>
      </x:c>
      <x:c r="H6" s="24" t="str">
        <x:v>Visual/H6 pending</x:v>
      </x:c>
      <x:c r="I6" s="24" t="str">
        <x:v>Assets/_Project/Prefabs/Products/Packaging/OrbitPadBox.prefab</x:v>
      </x:c>
      <x:c r="J6" s="24" t="str">
        <x:v>deca8db8279a11b4c893b6e1db0b7d75</x:v>
      </x:c>
      <x:c r="K6" s="24" t="str">
        <x:v>Product material palette; cover textures pending/partial</x:v>
      </x:c>
      <x:c r="L6" s="24" t="str">
        <x:v>Prohibited</x:v>
      </x:c>
      <x:c r="M6" s="24" t="str">
        <x:v>Internal/Approved</x:v>
      </x:c>
      <x:c r="N6" s="24" t="n">
        <x:v>16</x:v>
      </x:c>
      <x:c r="O6" s="24" t="str">
        <x:v>VS-ART-001</x:v>
      </x:c>
      <x:c r="P6" s="24" t="str">
        <x:v>No copiar packaging, logos o trade dress real.</x:v>
      </x:c>
    </x:row>
    <x:row r="7" ht="34" customHeight="1">
      <x:c r="A7" s="24" t="str">
        <x:v>PKG-003</x:v>
      </x:c>
      <x:c r="B7" s="24" t="str">
        <x:v>SignalProBox</x:v>
      </x:c>
      <x:c r="C7" s="24" t="str">
        <x:v>Packaging prefab</x:v>
      </x:c>
      <x:c r="D7" s="24" t="str">
        <x:v>Fictitious product family</x:v>
      </x:c>
      <x:c r="E7" s="24" t="str">
        <x:v>headset-signal-pro</x:v>
      </x:c>
      <x:c r="F7" s="24" t="str">
        <x:v>Imported / representative</x:v>
      </x:c>
      <x:c r="G7" s="24" t="str">
        <x:v>Prefab available</x:v>
      </x:c>
      <x:c r="H7" s="24" t="str">
        <x:v>Visual/H6 pending</x:v>
      </x:c>
      <x:c r="I7" s="24" t="str">
        <x:v>Assets/_Project/Prefabs/Products/Packaging/SignalProBox.prefab</x:v>
      </x:c>
      <x:c r="J7" s="24" t="str">
        <x:v>9cbf9396578b87a4083154ce4c5c83b4</x:v>
      </x:c>
      <x:c r="K7" s="24" t="str">
        <x:v>Product material palette; cover textures pending/partial</x:v>
      </x:c>
      <x:c r="L7" s="24" t="str">
        <x:v>Prohibited</x:v>
      </x:c>
      <x:c r="M7" s="24" t="str">
        <x:v>Internal/Approved</x:v>
      </x:c>
      <x:c r="N7" s="24" t="n">
        <x:v>16</x:v>
      </x:c>
      <x:c r="O7" s="24" t="str">
        <x:v>VS-ART-001</x:v>
      </x:c>
      <x:c r="P7" s="24" t="str">
        <x:v>No copiar packaging, logos o trade dress real.</x:v>
      </x:c>
    </x:row>
    <x:row r="8" ht="34" customHeight="1">
      <x:c r="A8" s="24" t="str">
        <x:v>PKG-004</x:v>
      </x:c>
      <x:c r="B8" s="24" t="str">
        <x:v>VertexOneBox</x:v>
      </x:c>
      <x:c r="C8" s="24" t="str">
        <x:v>Packaging prefab</x:v>
      </x:c>
      <x:c r="D8" s="24" t="str">
        <x:v>Fictitious product family</x:v>
      </x:c>
      <x:c r="E8" s="24" t="str">
        <x:v>console-vertex-one</x:v>
      </x:c>
      <x:c r="F8" s="24" t="str">
        <x:v>Imported / representative</x:v>
      </x:c>
      <x:c r="G8" s="24" t="str">
        <x:v>Prefab available</x:v>
      </x:c>
      <x:c r="H8" s="24" t="str">
        <x:v>Visual/H6 pending</x:v>
      </x:c>
      <x:c r="I8" s="24" t="str">
        <x:v>Assets/_Project/Prefabs/Products/Packaging/VertexOneBox.prefab</x:v>
      </x:c>
      <x:c r="J8" s="24" t="str">
        <x:v>0be192659d3ef1d4cb8748114dfd2307</x:v>
      </x:c>
      <x:c r="K8" s="24" t="str">
        <x:v>Product material palette; cover textures pending/partial</x:v>
      </x:c>
      <x:c r="L8" s="24" t="str">
        <x:v>Prohibited</x:v>
      </x:c>
      <x:c r="M8" s="24" t="str">
        <x:v>Internal/Approved</x:v>
      </x:c>
      <x:c r="N8" s="24" t="n">
        <x:v>16</x:v>
      </x:c>
      <x:c r="O8" s="24" t="str">
        <x:v>VS-ART-001</x:v>
      </x:c>
      <x:c r="P8" s="24" t="str">
        <x:v>No copiar packaging, logos o trade dress real.</x:v>
      </x:c>
    </x:row>
    <x:row r="9" ht="34" customHeight="1">
      <x:c r="A9" s="24" t="str">
        <x:v>BRD-001</x:v>
      </x:c>
      <x:c r="B9" s="24" t="str">
        <x:v>Neon Drift</x:v>
      </x:c>
      <x:c r="C9" s="24" t="str">
        <x:v>Fictitious brand/product identity</x:v>
      </x:c>
      <x:c r="D9" s="24" t="str">
        <x:v>Videojuego</x:v>
      </x:c>
      <x:c r="E9" s="24" t="str">
        <x:v>game-neon-drift</x:v>
      </x:c>
      <x:c r="F9" s="24" t="str">
        <x:v>Canonical naming</x:v>
      </x:c>
      <x:c r="G9" s="24" t="str">
        <x:v>Catalog + labels/icons</x:v>
      </x:c>
      <x:c r="H9" s="24" t="str">
        <x:v>Visual review pending</x:v>
      </x:c>
      <x:c r="I9" s="24" t="str">
        <x:v>Assets/_Project/Art/Textures/Products/Icons/game-neon-drift_icon.png</x:v>
      </x:c>
      <x:c r="J9" s="24" t="str">
        <x:v>5446fc2e413d4c4501d24e5f36c02441</x:v>
      </x:c>
      <x:c r="K9" s="24" t="str">
        <x:v>product-game</x:v>
      </x:c>
      <x:c r="L9" s="24" t="str">
        <x:v>Original only</x:v>
      </x:c>
      <x:c r="M9" s="24" t="str">
        <x:v>Internal/Approved</x:v>
      </x:c>
      <x:c r="N9" s="24" t="n">
        <x:v>16</x:v>
      </x:c>
      <x:c r="O9" s="24" t="str">
        <x:v>VS-ART-001</x:v>
      </x:c>
      <x:c r="P9" s="24" t="str">
        <x:v>Nombre ficticio estable; verificar carátula/label final.</x:v>
      </x:c>
    </x:row>
    <x:row r="10" ht="34" customHeight="1">
      <x:c r="A10" s="24" t="str">
        <x:v>BRD-002</x:v>
      </x:c>
      <x:c r="B10" s="24" t="str">
        <x:v>Cloud Runner Case</x:v>
      </x:c>
      <x:c r="C10" s="24" t="str">
        <x:v>Fictitious brand/product identity</x:v>
      </x:c>
      <x:c r="D10" s="24" t="str">
        <x:v>Case/Juego</x:v>
      </x:c>
      <x:c r="E10" s="24" t="str">
        <x:v>case-cloud-runner</x:v>
      </x:c>
      <x:c r="F10" s="24" t="str">
        <x:v>Canonical naming</x:v>
      </x:c>
      <x:c r="G10" s="24" t="str">
        <x:v>Catalog + labels/icons</x:v>
      </x:c>
      <x:c r="H10" s="24" t="str">
        <x:v>Visual review pending</x:v>
      </x:c>
      <x:c r="I10" s="24" t="str">
        <x:v>Assets/_Project/Art/Textures/Products/Icons/case-cloud-runner_icon.png</x:v>
      </x:c>
      <x:c r="J10" s="24" t="str">
        <x:v>8c0a1718ad8cc09611a641f822dd6876</x:v>
      </x:c>
      <x:c r="K10" s="24" t="str">
        <x:v>product-case</x:v>
      </x:c>
      <x:c r="L10" s="24" t="str">
        <x:v>Original only</x:v>
      </x:c>
      <x:c r="M10" s="24" t="str">
        <x:v>Internal/Approved</x:v>
      </x:c>
      <x:c r="N10" s="24" t="n">
        <x:v>16</x:v>
      </x:c>
      <x:c r="O10" s="24" t="str">
        <x:v>VS-ART-001</x:v>
      </x:c>
      <x:c r="P10" s="24" t="str">
        <x:v>Nombre ficticio estable; verificar carátula/label final.</x:v>
      </x:c>
    </x:row>
    <x:row r="11" ht="34" customHeight="1">
      <x:c r="A11" s="24" t="str">
        <x:v>BRD-003</x:v>
      </x:c>
      <x:c r="B11" s="24" t="str">
        <x:v>Vertex One Console</x:v>
      </x:c>
      <x:c r="C11" s="24" t="str">
        <x:v>Fictitious brand/product identity</x:v>
      </x:c>
      <x:c r="D11" s="24" t="str">
        <x:v>Consola</x:v>
      </x:c>
      <x:c r="E11" s="24" t="str">
        <x:v>console-vertex-one</x:v>
      </x:c>
      <x:c r="F11" s="24" t="str">
        <x:v>Canonical naming</x:v>
      </x:c>
      <x:c r="G11" s="24" t="str">
        <x:v>Catalog + labels/icons</x:v>
      </x:c>
      <x:c r="H11" s="24" t="str">
        <x:v>Visual review pending</x:v>
      </x:c>
      <x:c r="I11" s="24" t="str">
        <x:v>Assets/_Project/Art/Textures/Products/Icons/console-vertex-one_icon.png</x:v>
      </x:c>
      <x:c r="J11" s="24" t="str">
        <x:v>6aa6b1239ca9f6cdfd2bb6023eb4c1c4</x:v>
      </x:c>
      <x:c r="K11" s="24" t="str">
        <x:v>product-console</x:v>
      </x:c>
      <x:c r="L11" s="24" t="str">
        <x:v>Original only</x:v>
      </x:c>
      <x:c r="M11" s="24" t="str">
        <x:v>Internal/Approved</x:v>
      </x:c>
      <x:c r="N11" s="24" t="n">
        <x:v>16</x:v>
      </x:c>
      <x:c r="O11" s="24" t="str">
        <x:v>VS-ART-001</x:v>
      </x:c>
      <x:c r="P11" s="24" t="str">
        <x:v>Nombre ficticio estable; verificar carátula/label final.</x:v>
      </x:c>
    </x:row>
    <x:row r="12" ht="34" customHeight="1">
      <x:c r="A12" s="24" t="str">
        <x:v>BRD-004</x:v>
      </x:c>
      <x:c r="B12" s="24" t="str">
        <x:v>Orbit Pad Controller</x:v>
      </x:c>
      <x:c r="C12" s="24" t="str">
        <x:v>Fictitious brand/product identity</x:v>
      </x:c>
      <x:c r="D12" s="24" t="str">
        <x:v>Mando</x:v>
      </x:c>
      <x:c r="E12" s="24" t="str">
        <x:v>controller-orbit-pad</x:v>
      </x:c>
      <x:c r="F12" s="24" t="str">
        <x:v>Canonical naming</x:v>
      </x:c>
      <x:c r="G12" s="24" t="str">
        <x:v>Catalog + labels/icons</x:v>
      </x:c>
      <x:c r="H12" s="24" t="str">
        <x:v>Visual review pending</x:v>
      </x:c>
      <x:c r="I12" s="24" t="str">
        <x:v>Assets/_Project/Art/Textures/Products/Icons/controller-orbit-pad_icon.png</x:v>
      </x:c>
      <x:c r="J12" s="24" t="str">
        <x:v>a5a7682e0808b2d2d51bdf3ef57fe2a1</x:v>
      </x:c>
      <x:c r="K12" s="24" t="str">
        <x:v>product-controller</x:v>
      </x:c>
      <x:c r="L12" s="24" t="str">
        <x:v>Original only</x:v>
      </x:c>
      <x:c r="M12" s="24" t="str">
        <x:v>Internal/Approved</x:v>
      </x:c>
      <x:c r="N12" s="24" t="n">
        <x:v>16</x:v>
      </x:c>
      <x:c r="O12" s="24" t="str">
        <x:v>VS-ART-001</x:v>
      </x:c>
      <x:c r="P12" s="24" t="str">
        <x:v>Nombre ficticio estable; verificar carátula/label final.</x:v>
      </x:c>
    </x:row>
    <x:row r="13" ht="34" customHeight="1">
      <x:c r="A13" s="24" t="str">
        <x:v>BRD-005</x:v>
      </x:c>
      <x:c r="B13" s="24" t="str">
        <x:v>Signal Pro Headset</x:v>
      </x:c>
      <x:c r="C13" s="24" t="str">
        <x:v>Fictitious brand/product identity</x:v>
      </x:c>
      <x:c r="D13" s="24" t="str">
        <x:v>Auriculares</x:v>
      </x:c>
      <x:c r="E13" s="24" t="str">
        <x:v>headset-signal-pro</x:v>
      </x:c>
      <x:c r="F13" s="24" t="str">
        <x:v>Canonical naming</x:v>
      </x:c>
      <x:c r="G13" s="24" t="str">
        <x:v>Catalog + labels/icons</x:v>
      </x:c>
      <x:c r="H13" s="24" t="str">
        <x:v>Visual review pending</x:v>
      </x:c>
      <x:c r="I13" s="24" t="str">
        <x:v>Assets/_Project/Art/Textures/Products/Icons/headset-signal-pro_icon.png</x:v>
      </x:c>
      <x:c r="J13" s="24" t="str">
        <x:v>c2eab608e2f22d55399d6e4ae9b1b706</x:v>
      </x:c>
      <x:c r="K13" s="24" t="str">
        <x:v>product-headset</x:v>
      </x:c>
      <x:c r="L13" s="24" t="str">
        <x:v>Original only</x:v>
      </x:c>
      <x:c r="M13" s="24" t="str">
        <x:v>Internal/Approved</x:v>
      </x:c>
      <x:c r="N13" s="24" t="n">
        <x:v>16</x:v>
      </x:c>
      <x:c r="O13" s="24" t="str">
        <x:v>VS-ART-001</x:v>
      </x:c>
      <x:c r="P13" s="24" t="str">
        <x:v>Nombre ficticio estable; verificar carátula/label final.</x:v>
      </x:c>
    </x:row>
    <x:row r="14" ht="34" customHeight="1">
      <x:c r="A14" s="24" t="str">
        <x:v>BRD-006</x:v>
      </x:c>
      <x:c r="B14" s="24" t="str">
        <x:v>Memory Core Accessory</x:v>
      </x:c>
      <x:c r="C14" s="24" t="str">
        <x:v>Fictitious brand/product identity</x:v>
      </x:c>
      <x:c r="D14" s="24" t="str">
        <x:v>Accesorio</x:v>
      </x:c>
      <x:c r="E14" s="24" t="str">
        <x:v>accessory-memory-core</x:v>
      </x:c>
      <x:c r="F14" s="24" t="str">
        <x:v>Canonical naming</x:v>
      </x:c>
      <x:c r="G14" s="24" t="str">
        <x:v>Catalog + labels/icons</x:v>
      </x:c>
      <x:c r="H14" s="24" t="str">
        <x:v>Visual review pending</x:v>
      </x:c>
      <x:c r="I14" s="24" t="str">
        <x:v>Assets/_Project/Art/Textures/Products/Icons/accessory-memory-core_icon.png</x:v>
      </x:c>
      <x:c r="J14" s="24" t="str">
        <x:v>6d1ad708b4e4aafaed261b3d970bad30</x:v>
      </x:c>
      <x:c r="K14" s="24" t="str">
        <x:v>product-accessory</x:v>
      </x:c>
      <x:c r="L14" s="24" t="str">
        <x:v>Original only</x:v>
      </x:c>
      <x:c r="M14" s="24" t="str">
        <x:v>Internal/Approved</x:v>
      </x:c>
      <x:c r="N14" s="24" t="n">
        <x:v>16</x:v>
      </x:c>
      <x:c r="O14" s="24" t="str">
        <x:v>VS-ART-001</x:v>
      </x:c>
      <x:c r="P14" s="24" t="str">
        <x:v>Nombre ficticio estable; verificar carátula/label final.</x:v>
      </x:c>
    </x:row>
  </x:sheetData>
  <x:mergeCells>
    <x:mergeCell ref="A1:P1"/>
    <x:mergeCell ref="A2:P2"/>
  </x:mergeCells>
  <x:conditionalFormatting sqref="F5:F14">
    <x:cfRule type="expression" dxfId="68" priority="1">
      <x:formula>OR(ISNUMBER(SEARCH("PASS",F5)),ISNUMBER(SEARCH("CANONICAL",F5)),ISNUMBER(SEARCH("DONE",F5)))</x:formula>
    </x:cfRule>
    <x:cfRule type="expression" dxfId="69" priority="2">
      <x:formula>OR(ISNUMBER(SEARCH("BLOCK",F5)),ISNUMBER(SEARCH("FAIL",F5)),ISNUMBER(SEARCH("S1",F5)))</x:formula>
    </x:cfRule>
    <x:cfRule type="expression" dxfId="70" priority="3">
      <x:formula>OR(ISNUMBER(SEARCH("PENDING",F5)),ISNUMBER(SEARCH("PLANNED",F5)),ISNUMBER(SEARCH("PARTIAL",F5)),ISNUMBER(SEARCH("PLACEHOLDER",F5)))</x:formula>
    </x:cfRule>
    <x:cfRule type="expression" dxfId="71" priority="4">
      <x:formula>OR(ISNUMBER(SEARCH("VISION",F5)),ISNUMBER(SEARCH("HISTORICAL",F5)))</x:formula>
    </x:cfRule>
  </x:conditionalFormatting>
  <x:conditionalFormatting sqref="H5:H14">
    <x:cfRule type="expression" dxfId="72" priority="5">
      <x:formula>OR(ISNUMBER(SEARCH("PASS",H5)),ISNUMBER(SEARCH("CANONICAL",H5)),ISNUMBER(SEARCH("DONE",H5)))</x:formula>
    </x:cfRule>
    <x:cfRule type="expression" dxfId="73" priority="6">
      <x:formula>OR(ISNUMBER(SEARCH("BLOCK",H5)),ISNUMBER(SEARCH("FAIL",H5)),ISNUMBER(SEARCH("S1",H5)))</x:formula>
    </x:cfRule>
    <x:cfRule type="expression" dxfId="74" priority="7">
      <x:formula>OR(ISNUMBER(SEARCH("PENDING",H5)),ISNUMBER(SEARCH("PLANNED",H5)),ISNUMBER(SEARCH("PARTIAL",H5)),ISNUMBER(SEARCH("PLACEHOLDER",H5)))</x:formula>
    </x:cfRule>
    <x:cfRule type="expression" dxfId="75" priority="8">
      <x:formula>OR(ISNUMBER(SEARCH("VISION",H5)),ISNUMBER(SEARCH("HISTORICAL",H5)))</x:formula>
    </x:cfRule>
  </x:conditionalFormatting>
  <x:conditionalFormatting sqref="G5:G14">
    <x:cfRule type="expression" dxfId="76" priority="9">
      <x:formula>OR(ISNUMBER(SEARCH("PASS",G5)),ISNUMBER(SEARCH("CANONICAL",G5)),ISNUMBER(SEARCH("DONE",G5)))</x:formula>
    </x:cfRule>
    <x:cfRule type="expression" dxfId="77" priority="10">
      <x:formula>OR(ISNUMBER(SEARCH("BLOCK",G5)),ISNUMBER(SEARCH("FAIL",G5)),ISNUMBER(SEARCH("S1",G5)))</x:formula>
    </x:cfRule>
    <x:cfRule type="expression" dxfId="78" priority="11">
      <x:formula>OR(ISNUMBER(SEARCH("PENDING",G5)),ISNUMBER(SEARCH("PLANNED",G5)),ISNUMBER(SEARCH("PARTIAL",G5)),ISNUMBER(SEARCH("PLACEHOLDER",G5)))</x:formula>
    </x:cfRule>
    <x:cfRule type="expression" dxfId="79" priority="12">
      <x:formula>OR(ISNUMBER(SEARCH("VISION",G5)),ISNUMBER(SEARCH("HISTORICAL",G5)))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de8cb06dd3403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8" hidden="0" customWidth="1"/>
    <x:col min="5" max="5" width="28" hidden="0" customWidth="1"/>
    <x:col min="6" max="6" width="34" hidden="0" customWidth="1"/>
    <x:col min="7" max="7" width="68" hidden="0" customWidth="1"/>
    <x:col min="8" max="8" width="36" hidden="0" customWidth="1"/>
    <x:col min="9" max="9" width="28" hidden="0" customWidth="1"/>
    <x:col min="10" max="10" width="26" hidden="0" customWidth="1"/>
    <x:col min="11" max="11" width="18" hidden="0" customWidth="1"/>
    <x:col min="12" max="12" width="18" hidden="0" customWidth="1"/>
    <x:col min="13" max="13" width="14" hidden="0" customWidth="1"/>
    <x:col min="14" max="14" width="24" hidden="0" customWidth="1"/>
    <x:col min="15" max="15" width="30" hidden="0" customWidth="1"/>
    <x:col min="16" max="16" width="55" hidden="0" customWidth="1"/>
  </x:cols>
  <x:sheetData>
    <x:row r="1" ht="30" customHeight="1">
      <x:c r="A1" s="4" t="str">
        <x:v>UI, iconos, fuentes y componentes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Assets de interfaz, fuentes fallback y deuda de sistema visual.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 ht="36" customHeight="1">
      <x:c r="A4" s="17" t="str">
        <x:v>Content ID</x:v>
      </x:c>
      <x:c r="B4" s="17" t="str">
        <x:v>Nombre</x:v>
      </x:c>
      <x:c r="C4" s="17" t="str">
        <x:v>Tipo</x:v>
      </x:c>
      <x:c r="D4" s="17" t="str">
        <x:v>Estado canónico</x:v>
      </x:c>
      <x:c r="E4" s="17" t="str">
        <x:v>Implementación</x:v>
      </x:c>
      <x:c r="F4" s="17" t="str">
        <x:v>Validación</x:v>
      </x:c>
      <x:c r="G4" s="17" t="str">
        <x:v>Ruta</x:v>
      </x:c>
      <x:c r="H4" s="17" t="str">
        <x:v>GUID</x:v>
      </x:c>
      <x:c r="I4" s="17" t="str">
        <x:v>Fuente/License</x:v>
      </x:c>
      <x:c r="J4" s="17" t="str">
        <x:v>Componente/ID</x:v>
      </x:c>
      <x:c r="K4" s="17" t="str">
        <x:v>Framework</x:v>
      </x:c>
      <x:c r="L4" s="17" t="str">
        <x:v>Localizable</x:v>
      </x:c>
      <x:c r="M4" s="17" t="str">
        <x:v>Escala/Resolución</x:v>
      </x:c>
      <x:c r="N4" s="17" t="str">
        <x:v>Sprint</x:v>
      </x:c>
      <x:c r="O4" s="17" t="str">
        <x:v>Requisito</x:v>
      </x:c>
      <x:c r="P4" s="17" t="str">
        <x:v>Deuda</x:v>
      </x:c>
      <x:c r="Q4" s="17" t="str">
        <x:v>Notas</x:v>
      </x:c>
    </x:row>
    <x:row r="5" ht="34" customHeight="1">
      <x:c r="A5" s="24" t="str">
        <x:v>UI-ICO-001</x:v>
      </x:c>
      <x:c r="B5" s="24" t="str">
        <x:v>accessory-memory-core_icon.png</x:v>
      </x:c>
      <x:c r="C5" s="24" t="str">
        <x:v>Product icon</x:v>
      </x:c>
      <x:c r="D5" s="24" t="str">
        <x:v>CANONICAL / PHASE 1</x:v>
      </x:c>
      <x:c r="E5" s="24" t="str">
        <x:v>Asset available</x:v>
      </x:c>
      <x:c r="F5" s="24" t="str">
        <x:v>Runtime/UI visual review pending</x:v>
      </x:c>
      <x:c r="G5" s="24" t="str">
        <x:v>Assets/_Project/Art/Textures/Products/Icons/accessory-memory-core_icon.png</x:v>
      </x:c>
      <x:c r="H5" s="24" t="str">
        <x:v>6d1ad708b4e4aafaed261b3d970bad30</x:v>
      </x:c>
      <x:c r="I5" s="24" t="str">
        <x:v>Internal/Approved</x:v>
      </x:c>
      <x:c r="J5" s="24" t="str">
        <x:v>accessory-memory-core_icon</x:v>
      </x:c>
      <x:c r="K5" s="24" t="str">
        <x:v>uGUI runtime</x:v>
      </x:c>
      <x:c r="L5" s="24" t="str">
        <x:v>N/A</x:v>
      </x:c>
      <x:c r="M5" s="24" t="str">
        <x:v>Review 80–150 %</x:v>
      </x:c>
      <x:c r="N5" s="24" t="n">
        <x:v>16</x:v>
      </x:c>
      <x:c r="O5" s="24" t="str">
        <x:v>VS-UI-001;UX-VIS</x:v>
      </x:c>
      <x:c r="P5" s="24" t="str"/>
      <x:c r="Q5" s="24" t="str"/>
    </x:row>
    <x:row r="6" ht="34" customHeight="1">
      <x:c r="A6" s="24" t="str">
        <x:v>UI-ICO-002</x:v>
      </x:c>
      <x:c r="B6" s="24" t="str">
        <x:v>case-cloud-runner_icon.png</x:v>
      </x:c>
      <x:c r="C6" s="24" t="str">
        <x:v>Product icon</x:v>
      </x:c>
      <x:c r="D6" s="24" t="str">
        <x:v>CANONICAL / PHASE 1</x:v>
      </x:c>
      <x:c r="E6" s="24" t="str">
        <x:v>Asset available</x:v>
      </x:c>
      <x:c r="F6" s="24" t="str">
        <x:v>Runtime/UI visual review pending</x:v>
      </x:c>
      <x:c r="G6" s="24" t="str">
        <x:v>Assets/_Project/Art/Textures/Products/Icons/case-cloud-runner_icon.png</x:v>
      </x:c>
      <x:c r="H6" s="24" t="str">
        <x:v>8c0a1718ad8cc09611a641f822dd6876</x:v>
      </x:c>
      <x:c r="I6" s="24" t="str">
        <x:v>Internal/Approved</x:v>
      </x:c>
      <x:c r="J6" s="24" t="str">
        <x:v>case-cloud-runner_icon</x:v>
      </x:c>
      <x:c r="K6" s="24" t="str">
        <x:v>uGUI runtime</x:v>
      </x:c>
      <x:c r="L6" s="24" t="str">
        <x:v>N/A</x:v>
      </x:c>
      <x:c r="M6" s="24" t="str">
        <x:v>Review 80–150 %</x:v>
      </x:c>
      <x:c r="N6" s="24" t="n">
        <x:v>16</x:v>
      </x:c>
      <x:c r="O6" s="24" t="str">
        <x:v>VS-UI-001;UX-VIS</x:v>
      </x:c>
      <x:c r="P6" s="24" t="str"/>
      <x:c r="Q6" s="24" t="str"/>
    </x:row>
    <x:row r="7" ht="34" customHeight="1">
      <x:c r="A7" s="24" t="str">
        <x:v>UI-ICO-003</x:v>
      </x:c>
      <x:c r="B7" s="24" t="str">
        <x:v>console-vertex-one_icon.png</x:v>
      </x:c>
      <x:c r="C7" s="24" t="str">
        <x:v>Product icon</x:v>
      </x:c>
      <x:c r="D7" s="24" t="str">
        <x:v>CANONICAL / PHASE 1</x:v>
      </x:c>
      <x:c r="E7" s="24" t="str">
        <x:v>Asset available</x:v>
      </x:c>
      <x:c r="F7" s="24" t="str">
        <x:v>Runtime/UI visual review pending</x:v>
      </x:c>
      <x:c r="G7" s="24" t="str">
        <x:v>Assets/_Project/Art/Textures/Products/Icons/console-vertex-one_icon.png</x:v>
      </x:c>
      <x:c r="H7" s="24" t="str">
        <x:v>6aa6b1239ca9f6cdfd2bb6023eb4c1c4</x:v>
      </x:c>
      <x:c r="I7" s="24" t="str">
        <x:v>Internal/Approved</x:v>
      </x:c>
      <x:c r="J7" s="24" t="str">
        <x:v>console-vertex-one_icon</x:v>
      </x:c>
      <x:c r="K7" s="24" t="str">
        <x:v>uGUI runtime</x:v>
      </x:c>
      <x:c r="L7" s="24" t="str">
        <x:v>N/A</x:v>
      </x:c>
      <x:c r="M7" s="24" t="str">
        <x:v>Review 80–150 %</x:v>
      </x:c>
      <x:c r="N7" s="24" t="n">
        <x:v>16</x:v>
      </x:c>
      <x:c r="O7" s="24" t="str">
        <x:v>VS-UI-001;UX-VIS</x:v>
      </x:c>
      <x:c r="P7" s="24" t="str"/>
      <x:c r="Q7" s="24" t="str"/>
    </x:row>
    <x:row r="8" ht="34" customHeight="1">
      <x:c r="A8" s="24" t="str">
        <x:v>UI-ICO-004</x:v>
      </x:c>
      <x:c r="B8" s="24" t="str">
        <x:v>controller-orbit-pad_icon.png</x:v>
      </x:c>
      <x:c r="C8" s="24" t="str">
        <x:v>Product icon</x:v>
      </x:c>
      <x:c r="D8" s="24" t="str">
        <x:v>CANONICAL / PHASE 1</x:v>
      </x:c>
      <x:c r="E8" s="24" t="str">
        <x:v>Asset available</x:v>
      </x:c>
      <x:c r="F8" s="24" t="str">
        <x:v>Runtime/UI visual review pending</x:v>
      </x:c>
      <x:c r="G8" s="24" t="str">
        <x:v>Assets/_Project/Art/Textures/Products/Icons/controller-orbit-pad_icon.png</x:v>
      </x:c>
      <x:c r="H8" s="24" t="str">
        <x:v>a5a7682e0808b2d2d51bdf3ef57fe2a1</x:v>
      </x:c>
      <x:c r="I8" s="24" t="str">
        <x:v>Internal/Approved</x:v>
      </x:c>
      <x:c r="J8" s="24" t="str">
        <x:v>controller-orbit-pad_icon</x:v>
      </x:c>
      <x:c r="K8" s="24" t="str">
        <x:v>uGUI runtime</x:v>
      </x:c>
      <x:c r="L8" s="24" t="str">
        <x:v>N/A</x:v>
      </x:c>
      <x:c r="M8" s="24" t="str">
        <x:v>Review 80–150 %</x:v>
      </x:c>
      <x:c r="N8" s="24" t="n">
        <x:v>16</x:v>
      </x:c>
      <x:c r="O8" s="24" t="str">
        <x:v>VS-UI-001;UX-VIS</x:v>
      </x:c>
      <x:c r="P8" s="24" t="str"/>
      <x:c r="Q8" s="24" t="str"/>
    </x:row>
    <x:row r="9" ht="34" customHeight="1">
      <x:c r="A9" s="24" t="str">
        <x:v>UI-ICO-005</x:v>
      </x:c>
      <x:c r="B9" s="24" t="str">
        <x:v>game-neon-drift_icon.png</x:v>
      </x:c>
      <x:c r="C9" s="24" t="str">
        <x:v>Product icon</x:v>
      </x:c>
      <x:c r="D9" s="24" t="str">
        <x:v>CANONICAL / PHASE 1</x:v>
      </x:c>
      <x:c r="E9" s="24" t="str">
        <x:v>Asset available</x:v>
      </x:c>
      <x:c r="F9" s="24" t="str">
        <x:v>Runtime/UI visual review pending</x:v>
      </x:c>
      <x:c r="G9" s="24" t="str">
        <x:v>Assets/_Project/Art/Textures/Products/Icons/game-neon-drift_icon.png</x:v>
      </x:c>
      <x:c r="H9" s="24" t="str">
        <x:v>5446fc2e413d4c4501d24e5f36c02441</x:v>
      </x:c>
      <x:c r="I9" s="24" t="str">
        <x:v>Internal/Approved</x:v>
      </x:c>
      <x:c r="J9" s="24" t="str">
        <x:v>game-neon-drift_icon</x:v>
      </x:c>
      <x:c r="K9" s="24" t="str">
        <x:v>uGUI runtime</x:v>
      </x:c>
      <x:c r="L9" s="24" t="str">
        <x:v>N/A</x:v>
      </x:c>
      <x:c r="M9" s="24" t="str">
        <x:v>Review 80–150 %</x:v>
      </x:c>
      <x:c r="N9" s="24" t="n">
        <x:v>16</x:v>
      </x:c>
      <x:c r="O9" s="24" t="str">
        <x:v>VS-UI-001;UX-VIS</x:v>
      </x:c>
      <x:c r="P9" s="24" t="str"/>
      <x:c r="Q9" s="24" t="str"/>
    </x:row>
    <x:row r="10" ht="34" customHeight="1">
      <x:c r="A10" s="24" t="str">
        <x:v>UI-ICO-006</x:v>
      </x:c>
      <x:c r="B10" s="24" t="str">
        <x:v>headset-signal-pro_icon.png</x:v>
      </x:c>
      <x:c r="C10" s="24" t="str">
        <x:v>Product icon</x:v>
      </x:c>
      <x:c r="D10" s="24" t="str">
        <x:v>CANONICAL / PHASE 1</x:v>
      </x:c>
      <x:c r="E10" s="24" t="str">
        <x:v>Asset available</x:v>
      </x:c>
      <x:c r="F10" s="24" t="str">
        <x:v>Runtime/UI visual review pending</x:v>
      </x:c>
      <x:c r="G10" s="24" t="str">
        <x:v>Assets/_Project/Art/Textures/Products/Icons/headset-signal-pro_icon.png</x:v>
      </x:c>
      <x:c r="H10" s="24" t="str">
        <x:v>c2eab608e2f22d55399d6e4ae9b1b706</x:v>
      </x:c>
      <x:c r="I10" s="24" t="str">
        <x:v>Internal/Approved</x:v>
      </x:c>
      <x:c r="J10" s="24" t="str">
        <x:v>headset-signal-pro_icon</x:v>
      </x:c>
      <x:c r="K10" s="24" t="str">
        <x:v>uGUI runtime</x:v>
      </x:c>
      <x:c r="L10" s="24" t="str">
        <x:v>N/A</x:v>
      </x:c>
      <x:c r="M10" s="24" t="str">
        <x:v>Review 80–150 %</x:v>
      </x:c>
      <x:c r="N10" s="24" t="n">
        <x:v>16</x:v>
      </x:c>
      <x:c r="O10" s="24" t="str">
        <x:v>VS-UI-001;UX-VIS</x:v>
      </x:c>
      <x:c r="P10" s="24" t="str"/>
      <x:c r="Q10" s="24" t="str"/>
    </x:row>
    <x:row r="11" ht="34" customHeight="1">
      <x:c r="A11" s="24" t="str">
        <x:v>UI-FNT-001</x:v>
      </x:c>
      <x:c r="B11" s="24" t="str">
        <x:v>LegacyRuntime.ttf</x:v>
      </x:c>
      <x:c r="C11" s="24" t="str">
        <x:v>Font fallback</x:v>
      </x:c>
      <x:c r="D11" s="24" t="str">
        <x:v>TECHNICAL FALLBACK</x:v>
      </x:c>
      <x:c r="E11" s="24" t="str">
        <x:v>Runtime fallback only</x:v>
      </x:c>
      <x:c r="F11" s="24" t="str">
        <x:v>No production font asset</x:v>
      </x:c>
      <x:c r="G11" s="24" t="str">
        <x:v>Built-in/runtime</x:v>
      </x:c>
      <x:c r="H11" s="24" t="str">
        <x:v>LegacyRuntime.ttf</x:v>
      </x:c>
      <x:c r="I11" s="24" t="str">
        <x:v>Internal</x:v>
      </x:c>
      <x:c r="J11" s="24" t="str">
        <x:v>LegacyRuntime.ttf</x:v>
      </x:c>
      <x:c r="K11" s="24" t="str">
        <x:v>uGUI</x:v>
      </x:c>
      <x:c r="L11" s="24" t="str">
        <x:v>N/A</x:v>
      </x:c>
      <x:c r="M11" s="24" t="str">
        <x:v>80–150 %</x:v>
      </x:c>
      <x:c r="N11" s="24" t="n">
        <x:v>15</x:v>
      </x:c>
      <x:c r="O11" s="24" t="str">
        <x:v>VS-UI-001</x:v>
      </x:c>
      <x:c r="P11" s="24" t="str">
        <x:v>Replace/approve font</x:v>
      </x:c>
      <x:c r="Q11" s="24" t="str">
        <x:v>No TTF/OTF production asset demonstrated.</x:v>
      </x:c>
    </x:row>
    <x:row r="12" ht="34" customHeight="1">
      <x:c r="A12" s="24" t="str">
        <x:v>UI-FNT-002</x:v>
      </x:c>
      <x:c r="B12" s="24" t="str">
        <x:v>Production font family</x:v>
      </x:c>
      <x:c r="C12" s="24" t="str">
        <x:v>Font target</x:v>
      </x:c>
      <x:c r="D12" s="24" t="str">
        <x:v>PLANNED</x:v>
      </x:c>
      <x:c r="E12" s="24" t="str">
        <x:v>Not imported</x:v>
      </x:c>
      <x:c r="F12" s="24" t="str">
        <x:v>License and glyph coverage pending</x:v>
      </x:c>
      <x:c r="G12" s="24" t="str"/>
      <x:c r="H12" s="24" t="str"/>
      <x:c r="I12" s="24" t="str">
        <x:v>Internal</x:v>
      </x:c>
      <x:c r="J12" s="24" t="str">
        <x:v>Production font family</x:v>
      </x:c>
      <x:c r="K12" s="24" t="str">
        <x:v>uGUI/TMP future</x:v>
      </x:c>
      <x:c r="L12" s="24" t="str">
        <x:v>ES/EN</x:v>
      </x:c>
      <x:c r="M12" s="24" t="str">
        <x:v>80–150 %</x:v>
      </x:c>
      <x:c r="N12" s="24" t="n">
        <x:v>17</x:v>
      </x:c>
      <x:c r="O12" s="24" t="str">
        <x:v>VS-UI-002</x:v>
      </x:c>
      <x:c r="P12" s="24" t="str">
        <x:v>Missing</x:v>
      </x:c>
      <x:c r="Q12" s="24" t="str">
        <x:v>Must support ES/EN and fallback.</x:v>
      </x:c>
    </x:row>
    <x:row r="13" ht="34" customHeight="1">
      <x:c r="A13" s="24" t="str">
        <x:v>UI-ICO-ACC</x:v>
      </x:c>
      <x:c r="B13" s="24" t="str">
        <x:v>Accessibility icon set</x:v>
      </x:c>
      <x:c r="C13" s="24" t="str">
        <x:v>Icon family</x:v>
      </x:c>
      <x:c r="D13" s="24" t="str">
        <x:v>PLANNED</x:v>
      </x:c>
      <x:c r="E13" s="24" t="str">
        <x:v>Not imported</x:v>
      </x:c>
      <x:c r="F13" s="24" t="str">
        <x:v>Pending H6</x:v>
      </x:c>
      <x:c r="G13" s="24" t="str"/>
      <x:c r="H13" s="24" t="str"/>
      <x:c r="I13" s="24" t="str">
        <x:v>Internal</x:v>
      </x:c>
      <x:c r="J13" s="24" t="str">
        <x:v>Accessibility icon set</x:v>
      </x:c>
      <x:c r="K13" s="24" t="str">
        <x:v>uGUI</x:v>
      </x:c>
      <x:c r="L13" s="24" t="str">
        <x:v>N/A</x:v>
      </x:c>
      <x:c r="M13" s="24" t="str">
        <x:v>Multiple scales</x:v>
      </x:c>
      <x:c r="N13" s="24" t="n">
        <x:v>17</x:v>
      </x:c>
      <x:c r="O13" s="24" t="str">
        <x:v>VS-UI-003</x:v>
      </x:c>
      <x:c r="P13" s="24" t="str">
        <x:v>Missing</x:v>
      </x:c>
      <x:c r="Q13" s="24" t="str">
        <x:v>Production tracker UI-007.</x:v>
      </x:c>
    </x:row>
    <x:row r="14" ht="34" customHeight="1">
      <x:c r="A14" s="24" t="str">
        <x:v>UI-CMP-001</x:v>
      </x:c>
      <x:c r="B14" s="24" t="str">
        <x:v>Shared UI component library</x:v>
      </x:c>
      <x:c r="C14" s="24" t="str">
        <x:v>Component system</x:v>
      </x:c>
      <x:c r="D14" s="24" t="str">
        <x:v>DEBT</x:v>
      </x:c>
      <x:c r="E14" s="24" t="str">
        <x:v>Two runtime factories</x:v>
      </x:c>
      <x:c r="F14" s="24" t="str">
        <x:v>QA pending</x:v>
      </x:c>
      <x:c r="G14" s="24" t="str"/>
      <x:c r="H14" s="24" t="str"/>
      <x:c r="I14" s="24" t="str">
        <x:v>Internal</x:v>
      </x:c>
      <x:c r="J14" s="24" t="str">
        <x:v>Shared UI component library</x:v>
      </x:c>
      <x:c r="K14" s="24" t="str">
        <x:v>uGUI</x:v>
      </x:c>
      <x:c r="L14" s="24" t="str">
        <x:v>Yes</x:v>
      </x:c>
      <x:c r="M14" s="24" t="str">
        <x:v>Responsive</x:v>
      </x:c>
      <x:c r="N14" s="24" t="n">
        <x:v>17</x:v>
      </x:c>
      <x:c r="O14" s="24" t="str">
        <x:v>VS-UI-001</x:v>
      </x:c>
      <x:c r="P14" s="24" t="str">
        <x:v>Duplicated styles</x:v>
      </x:c>
      <x:c r="Q14" s="24" t="str">
        <x:v>Unify tokens/factories after click-through fix.</x:v>
      </x:c>
    </x:row>
  </x:sheetData>
  <x:mergeCells>
    <x:mergeCell ref="A1:Q1"/>
    <x:mergeCell ref="A2:Q2"/>
  </x:mergeCells>
  <x:conditionalFormatting sqref="D5:D14">
    <x:cfRule type="expression" dxfId="80" priority="1">
      <x:formula>OR(ISNUMBER(SEARCH("PASS",D5)),ISNUMBER(SEARCH("CANONICAL",D5)),ISNUMBER(SEARCH("DONE",D5)))</x:formula>
    </x:cfRule>
    <x:cfRule type="expression" dxfId="81" priority="2">
      <x:formula>OR(ISNUMBER(SEARCH("BLOCK",D5)),ISNUMBER(SEARCH("FAIL",D5)),ISNUMBER(SEARCH("S1",D5)))</x:formula>
    </x:cfRule>
    <x:cfRule type="expression" dxfId="82" priority="3">
      <x:formula>OR(ISNUMBER(SEARCH("PENDING",D5)),ISNUMBER(SEARCH("PLANNED",D5)),ISNUMBER(SEARCH("PARTIAL",D5)),ISNUMBER(SEARCH("PLACEHOLDER",D5)))</x:formula>
    </x:cfRule>
    <x:cfRule type="expression" dxfId="83" priority="4">
      <x:formula>OR(ISNUMBER(SEARCH("VISION",D5)),ISNUMBER(SEARCH("HISTORICAL",D5)))</x:formula>
    </x:cfRule>
  </x:conditionalFormatting>
  <x:conditionalFormatting sqref="F5:F14">
    <x:cfRule type="expression" dxfId="84" priority="5">
      <x:formula>OR(ISNUMBER(SEARCH("PASS",F5)),ISNUMBER(SEARCH("CANONICAL",F5)),ISNUMBER(SEARCH("DONE",F5)))</x:formula>
    </x:cfRule>
    <x:cfRule type="expression" dxfId="85" priority="6">
      <x:formula>OR(ISNUMBER(SEARCH("BLOCK",F5)),ISNUMBER(SEARCH("FAIL",F5)),ISNUMBER(SEARCH("S1",F5)))</x:formula>
    </x:cfRule>
    <x:cfRule type="expression" dxfId="86" priority="7">
      <x:formula>OR(ISNUMBER(SEARCH("PENDING",F5)),ISNUMBER(SEARCH("PLANNED",F5)),ISNUMBER(SEARCH("PARTIAL",F5)),ISNUMBER(SEARCH("PLACEHOLDER",F5)))</x:formula>
    </x:cfRule>
    <x:cfRule type="expression" dxfId="87" priority="8">
      <x:formula>OR(ISNUMBER(SEARCH("VISION",F5)),ISNUMBER(SEARCH("HISTORICAL",F5)))</x:formula>
    </x:cfRule>
  </x:conditionalFormatting>
  <x:conditionalFormatting sqref="E5:E14">
    <x:cfRule type="expression" dxfId="88" priority="9">
      <x:formula>OR(ISNUMBER(SEARCH("PASS",E5)),ISNUMBER(SEARCH("CANONICAL",E5)),ISNUMBER(SEARCH("DONE",E5)))</x:formula>
    </x:cfRule>
    <x:cfRule type="expression" dxfId="89" priority="10">
      <x:formula>OR(ISNUMBER(SEARCH("BLOCK",E5)),ISNUMBER(SEARCH("FAIL",E5)),ISNUMBER(SEARCH("S1",E5)))</x:formula>
    </x:cfRule>
    <x:cfRule type="expression" dxfId="90" priority="11">
      <x:formula>OR(ISNUMBER(SEARCH("PENDING",E5)),ISNUMBER(SEARCH("PLANNED",E5)),ISNUMBER(SEARCH("PARTIAL",E5)),ISNUMBER(SEARCH("PLACEHOLDER",E5)))</x:formula>
    </x:cfRule>
    <x:cfRule type="expression" dxfId="91" priority="12">
      <x:formula>OR(ISNUMBER(SEARCH("VISION",E5)),ISNUMBER(SEARCH("HISTORICAL",E5)))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7cfdc295ee460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36" hidden="0" customWidth="1"/>
    <x:col min="8" max="8" width="70" hidden="0" customWidth="1"/>
    <x:col min="9" max="9" width="36" hidden="0" customWidth="1"/>
    <x:col min="10" max="10" width="3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4" hidden="0" customWidth="1"/>
    <x:col min="16" max="16" width="12" hidden="0" customWidth="1"/>
    <x:col min="17" max="17" width="24" hidden="0" customWidth="1"/>
    <x:col min="18" max="18" width="34" hidden="0" customWidth="1"/>
    <x:col min="19" max="19" width="55" hidden="0" customWidth="1"/>
  </x:cols>
  <x:sheetData>
    <x:row r="1" ht="30" customHeight="1">
      <x:c r="A1" s="4" t="str">
        <x:v>Audio: clips y eventos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2" customHeight="1">
      <x:c r="A2" s="10" t="str">
        <x:v>10 clips observados, 23 event IDs, canales, mapping, placeholders y deuda.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36" customHeight="1">
      <x:c r="A4" s="17" t="str">
        <x:v>Content ID</x:v>
      </x:c>
      <x:c r="B4" s="17" t="str">
        <x:v>Nombre</x:v>
      </x:c>
      <x:c r="C4" s="17" t="str">
        <x:v>Tipo</x:v>
      </x:c>
      <x:c r="D4" s="17" t="str">
        <x:v>Familia/Canal</x:v>
      </x:c>
      <x:c r="E4" s="17" t="str">
        <x:v>Estado canónico</x:v>
      </x:c>
      <x:c r="F4" s="17" t="str">
        <x:v>Implementación</x:v>
      </x:c>
      <x:c r="G4" s="17" t="str">
        <x:v>Validación</x:v>
      </x:c>
      <x:c r="H4" s="17" t="str">
        <x:v>Ruta/Clip</x:v>
      </x:c>
      <x:c r="I4" s="17" t="str">
        <x:v>GUID</x:v>
      </x:c>
      <x:c r="J4" s="17" t="str">
        <x:v>Eventos</x:v>
      </x:c>
      <x:c r="K4" s="17" t="str">
        <x:v>Volumen</x:v>
      </x:c>
      <x:c r="L4" s="17" t="str">
        <x:v>Pitch</x:v>
      </x:c>
      <x:c r="M4" s="17" t="str">
        <x:v>Loop</x:v>
      </x:c>
      <x:c r="N4" s="17" t="str">
        <x:v>Spatial</x:v>
      </x:c>
      <x:c r="O4" s="17" t="str">
        <x:v>Licencia</x:v>
      </x:c>
      <x:c r="P4" s="17" t="str">
        <x:v>Sprint</x:v>
      </x:c>
      <x:c r="Q4" s="17" t="str">
        <x:v>Requisito</x:v>
      </x:c>
      <x:c r="R4" s="17" t="str">
        <x:v>Deuda</x:v>
      </x:c>
      <x:c r="S4" s="17" t="str">
        <x:v>Evidencia</x:v>
      </x:c>
      <x:c r="T4" s="17" t="str">
        <x:v>Notas</x:v>
      </x:c>
    </x:row>
    <x:row r="5" ht="34" customHeight="1">
      <x:c r="A5" s="24" t="str">
        <x:v>AUD-CLP-001</x:v>
      </x:c>
      <x:c r="B5" s="24" t="str">
        <x:v>StoreAmbience.wav</x:v>
      </x:c>
      <x:c r="C5" s="24" t="str">
        <x:v>AudioClip</x:v>
      </x:c>
      <x:c r="D5" s="24" t="str">
        <x:v>Ambience</x:v>
      </x:c>
      <x:c r="E5" s="24" t="str">
        <x:v>REPRESENTATIVE / PLACEHOLDER</x:v>
      </x:c>
      <x:c r="F5" s="24" t="str">
        <x:v>Imported + catalog mapped</x:v>
      </x:c>
      <x:c r="G5" s="24" t="str">
        <x:v>Technical mapping PASS / mix pending</x:v>
      </x:c>
      <x:c r="H5" s="24" t="str">
        <x:v>Assets/_Project/Audio/Ambience/StoreAmbience.wav</x:v>
      </x:c>
      <x:c r="I5" s="24" t="str">
        <x:v>cb709afe7703b9cab572cc895a085ff2</x:v>
      </x:c>
      <x:c r="J5" s="24" t="str">
        <x:v>ambience.store</x:v>
      </x:c>
      <x:c r="K5" s="24"/>
      <x:c r="L5" s="24"/>
      <x:c r="M5" s="24" t="str">
        <x:v>Sí</x:v>
      </x:c>
      <x:c r="N5" s="24" t="str">
        <x:v>2D</x:v>
      </x:c>
      <x:c r="O5" s="24" t="str">
        <x:v>Internal/Approved pending register</x:v>
      </x:c>
      <x:c r="P5" s="24" t="n">
        <x:v>16</x:v>
      </x:c>
      <x:c r="Q5" s="24" t="str">
        <x:v>VS-AUD-001</x:v>
      </x:c>
      <x:c r="R5" s="24" t="str">
        <x:v>4s mono loop</x:v>
      </x:c>
      <x:c r="S5" s="24" t="str">
        <x:v>AudioCatalog + listening campaign pending</x:v>
      </x:c>
      <x:c r="T5" s="24" t="str"/>
    </x:row>
    <x:row r="6" ht="34" customHeight="1">
      <x:c r="A6" s="24" t="str">
        <x:v>AUD-CLP-002</x:v>
      </x:c>
      <x:c r="B6" s="24" t="str">
        <x:v>StoreMusic.wav</x:v>
      </x:c>
      <x:c r="C6" s="24" t="str">
        <x:v>AudioClip</x:v>
      </x:c>
      <x:c r="D6" s="24" t="str">
        <x:v>Music</x:v>
      </x:c>
      <x:c r="E6" s="24" t="str">
        <x:v>REPRESENTATIVE / PLACEHOLDER</x:v>
      </x:c>
      <x:c r="F6" s="24" t="str">
        <x:v>Imported + catalog mapped</x:v>
      </x:c>
      <x:c r="G6" s="24" t="str">
        <x:v>Technical mapping PASS / mix pending</x:v>
      </x:c>
      <x:c r="H6" s="24" t="str">
        <x:v>Assets/_Project/Audio/Music/StoreMusic.wav</x:v>
      </x:c>
      <x:c r="I6" s="24" t="str">
        <x:v>0690c7c8ed5fb2713089b8f9a4ac688f</x:v>
      </x:c>
      <x:c r="J6" s="24" t="str">
        <x:v>music.store</x:v>
      </x:c>
      <x:c r="K6" s="24"/>
      <x:c r="L6" s="24"/>
      <x:c r="M6" s="24" t="str">
        <x:v>Sí</x:v>
      </x:c>
      <x:c r="N6" s="24" t="str">
        <x:v>2D</x:v>
      </x:c>
      <x:c r="O6" s="24" t="str">
        <x:v>Internal/Approved pending register</x:v>
      </x:c>
      <x:c r="P6" s="24" t="n">
        <x:v>16</x:v>
      </x:c>
      <x:c r="Q6" s="24" t="str">
        <x:v>VS-AUD-001</x:v>
      </x:c>
      <x:c r="R6" s="24" t="str">
        <x:v>4s mono loop</x:v>
      </x:c>
      <x:c r="S6" s="24" t="str">
        <x:v>AudioCatalog + listening campaign pending</x:v>
      </x:c>
      <x:c r="T6" s="24" t="str"/>
    </x:row>
    <x:row r="7" ht="34" customHeight="1">
      <x:c r="A7" s="24" t="str">
        <x:v>AUD-CLP-003</x:v>
      </x:c>
      <x:c r="B7" s="24" t="str">
        <x:v>Checkout.wav</x:v>
      </x:c>
      <x:c r="C7" s="24" t="str">
        <x:v>AudioClip</x:v>
      </x:c>
      <x:c r="D7" s="24" t="str">
        <x:v>SFX</x:v>
      </x:c>
      <x:c r="E7" s="24" t="str">
        <x:v>REPRESENTATIVE / PLACEHOLDER</x:v>
      </x:c>
      <x:c r="F7" s="24" t="str">
        <x:v>Imported + catalog mapped</x:v>
      </x:c>
      <x:c r="G7" s="24" t="str">
        <x:v>Technical mapping PASS / mix pending</x:v>
      </x:c>
      <x:c r="H7" s="24" t="str">
        <x:v>Assets/_Project/Audio/SFX/Checkout.wav</x:v>
      </x:c>
      <x:c r="I7" s="24" t="str">
        <x:v>ba31e4719471578fa9cae09368b54822</x:v>
      </x:c>
      <x:c r="J7" s="24" t="str">
        <x:v>feedback.customersatisfied; feedback.queueentered; feedback.checkoutcompleted; feedback.revenue</x:v>
      </x:c>
      <x:c r="K7" s="24"/>
      <x:c r="L7" s="24"/>
      <x:c r="M7" s="24" t="str">
        <x:v>No</x:v>
      </x:c>
      <x:c r="N7" s="24" t="str">
        <x:v>2D</x:v>
      </x:c>
      <x:c r="O7" s="24" t="str">
        <x:v>Internal/Approved pending register</x:v>
      </x:c>
      <x:c r="P7" s="24" t="n">
        <x:v>16</x:v>
      </x:c>
      <x:c r="Q7" s="24" t="str">
        <x:v>VS-AUD-001</x:v>
      </x:c>
      <x:c r="R7" s="24" t="str">
        <x:v>Variation/concurrency missing</x:v>
      </x:c>
      <x:c r="S7" s="24" t="str">
        <x:v>AudioCatalog + listening campaign pending</x:v>
      </x:c>
      <x:c r="T7" s="24" t="str"/>
    </x:row>
    <x:row r="8" ht="34" customHeight="1">
      <x:c r="A8" s="24" t="str">
        <x:v>AUD-CLP-004</x:v>
      </x:c>
      <x:c r="B8" s="24" t="str">
        <x:v>DayClosed.wav</x:v>
      </x:c>
      <x:c r="C8" s="24" t="str">
        <x:v>AudioClip</x:v>
      </x:c>
      <x:c r="D8" s="24" t="str">
        <x:v>SFX</x:v>
      </x:c>
      <x:c r="E8" s="24" t="str">
        <x:v>REPRESENTATIVE / PLACEHOLDER</x:v>
      </x:c>
      <x:c r="F8" s="24" t="str">
        <x:v>Imported + catalog mapped</x:v>
      </x:c>
      <x:c r="G8" s="24" t="str">
        <x:v>Technical mapping PASS / mix pending</x:v>
      </x:c>
      <x:c r="H8" s="24" t="str">
        <x:v>Assets/_Project/Audio/SFX/DayClosed.wav</x:v>
      </x:c>
      <x:c r="I8" s="24" t="str">
        <x:v>afa05dd2e9a4ff3ace16f07967ef65c9</x:v>
      </x:c>
      <x:c r="J8" s="24" t="str">
        <x:v>feedback.closingwarning; feedback.dayclosed</x:v>
      </x:c>
      <x:c r="K8" s="24"/>
      <x:c r="L8" s="24"/>
      <x:c r="M8" s="24" t="str">
        <x:v>No</x:v>
      </x:c>
      <x:c r="N8" s="24" t="str">
        <x:v>2D</x:v>
      </x:c>
      <x:c r="O8" s="24" t="str">
        <x:v>Internal/Approved pending register</x:v>
      </x:c>
      <x:c r="P8" s="24" t="n">
        <x:v>16</x:v>
      </x:c>
      <x:c r="Q8" s="24" t="str">
        <x:v>VS-AUD-001</x:v>
      </x:c>
      <x:c r="R8" s="24" t="str">
        <x:v>Variation/concurrency missing</x:v>
      </x:c>
      <x:c r="S8" s="24" t="str">
        <x:v>AudioCatalog + listening campaign pending</x:v>
      </x:c>
      <x:c r="T8" s="24" t="str"/>
    </x:row>
    <x:row r="9" ht="34" customHeight="1">
      <x:c r="A9" s="24" t="str">
        <x:v>AUD-CLP-005</x:v>
      </x:c>
      <x:c r="B9" s="24" t="str">
        <x:v>Door.wav</x:v>
      </x:c>
      <x:c r="C9" s="24" t="str">
        <x:v>AudioClip</x:v>
      </x:c>
      <x:c r="D9" s="24" t="str">
        <x:v>SFX</x:v>
      </x:c>
      <x:c r="E9" s="24" t="str">
        <x:v>REPRESENTATIVE / PLACEHOLDER</x:v>
      </x:c>
      <x:c r="F9" s="24" t="str">
        <x:v>Imported + catalog mapped</x:v>
      </x:c>
      <x:c r="G9" s="24" t="str">
        <x:v>Technical mapping PASS / mix pending</x:v>
      </x:c>
      <x:c r="H9" s="24" t="str">
        <x:v>Assets/_Project/Audio/SFX/Door.wav</x:v>
      </x:c>
      <x:c r="I9" s="24" t="str">
        <x:v>2a3bd6d7753bf8508bed82d14fa64b9f</x:v>
      </x:c>
      <x:c r="J9" s="24" t="str">
        <x:v>feedback.dooropened; feedback.doorclosed</x:v>
      </x:c>
      <x:c r="K9" s="24"/>
      <x:c r="L9" s="24"/>
      <x:c r="M9" s="24" t="str">
        <x:v>No</x:v>
      </x:c>
      <x:c r="N9" s="24" t="str">
        <x:v>2D</x:v>
      </x:c>
      <x:c r="O9" s="24" t="str">
        <x:v>Internal/Approved pending register</x:v>
      </x:c>
      <x:c r="P9" s="24" t="n">
        <x:v>16</x:v>
      </x:c>
      <x:c r="Q9" s="24" t="str">
        <x:v>VS-AUD-001</x:v>
      </x:c>
      <x:c r="R9" s="24" t="str">
        <x:v>Variation/concurrency missing</x:v>
      </x:c>
      <x:c r="S9" s="24" t="str">
        <x:v>AudioCatalog + listening campaign pending</x:v>
      </x:c>
      <x:c r="T9" s="24" t="str"/>
    </x:row>
    <x:row r="10" ht="34" customHeight="1">
      <x:c r="A10" s="24" t="str">
        <x:v>AUD-CLP-006</x:v>
      </x:c>
      <x:c r="B10" s="24" t="str">
        <x:v>OrderReceived.wav</x:v>
      </x:c>
      <x:c r="C10" s="24" t="str">
        <x:v>AudioClip</x:v>
      </x:c>
      <x:c r="D10" s="24" t="str">
        <x:v>SFX</x:v>
      </x:c>
      <x:c r="E10" s="24" t="str">
        <x:v>REPRESENTATIVE / PLACEHOLDER</x:v>
      </x:c>
      <x:c r="F10" s="24" t="str">
        <x:v>Imported + catalog mapped</x:v>
      </x:c>
      <x:c r="G10" s="24" t="str">
        <x:v>Technical mapping PASS / mix pending</x:v>
      </x:c>
      <x:c r="H10" s="24" t="str">
        <x:v>Assets/_Project/Audio/SFX/OrderReceived.wav</x:v>
      </x:c>
      <x:c r="I10" s="24" t="str">
        <x:v>8e2b37d1127285ee1cc44a3d0a8a98c4</x:v>
      </x:c>
      <x:c r="J10" s="24" t="str">
        <x:v>feedback.restocked; feedback.orderreceived</x:v>
      </x:c>
      <x:c r="K10" s="24"/>
      <x:c r="L10" s="24"/>
      <x:c r="M10" s="24" t="str">
        <x:v>No</x:v>
      </x:c>
      <x:c r="N10" s="24" t="str">
        <x:v>2D</x:v>
      </x:c>
      <x:c r="O10" s="24" t="str">
        <x:v>Internal/Approved pending register</x:v>
      </x:c>
      <x:c r="P10" s="24" t="n">
        <x:v>16</x:v>
      </x:c>
      <x:c r="Q10" s="24" t="str">
        <x:v>VS-AUD-001</x:v>
      </x:c>
      <x:c r="R10" s="24" t="str">
        <x:v>Variation/concurrency missing</x:v>
      </x:c>
      <x:c r="S10" s="24" t="str">
        <x:v>AudioCatalog + listening campaign pending</x:v>
      </x:c>
      <x:c r="T10" s="24" t="str"/>
    </x:row>
    <x:row r="11" ht="34" customHeight="1">
      <x:c r="A11" s="24" t="str">
        <x:v>AUD-CLP-007</x:v>
      </x:c>
      <x:c r="B11" s="24" t="str">
        <x:v>PlacementInvalid.wav</x:v>
      </x:c>
      <x:c r="C11" s="24" t="str">
        <x:v>AudioClip</x:v>
      </x:c>
      <x:c r="D11" s="24" t="str">
        <x:v>SFX</x:v>
      </x:c>
      <x:c r="E11" s="24" t="str">
        <x:v>REPRESENTATIVE / PLACEHOLDER</x:v>
      </x:c>
      <x:c r="F11" s="24" t="str">
        <x:v>Imported + catalog mapped</x:v>
      </x:c>
      <x:c r="G11" s="24" t="str">
        <x:v>Technical mapping PASS / mix pending</x:v>
      </x:c>
      <x:c r="H11" s="24" t="str">
        <x:v>Assets/_Project/Audio/SFX/PlacementInvalid.wav</x:v>
      </x:c>
      <x:c r="I11" s="24" t="str">
        <x:v>ee743d39450d02dbca20e8ce90864804</x:v>
      </x:c>
      <x:c r="J11" s="24" t="str">
        <x:v>feedback.placementinvalid</x:v>
      </x:c>
      <x:c r="K11" s="24"/>
      <x:c r="L11" s="24"/>
      <x:c r="M11" s="24" t="str">
        <x:v>No</x:v>
      </x:c>
      <x:c r="N11" s="24" t="str">
        <x:v>2D</x:v>
      </x:c>
      <x:c r="O11" s="24" t="str">
        <x:v>Internal/Approved pending register</x:v>
      </x:c>
      <x:c r="P11" s="24" t="n">
        <x:v>16</x:v>
      </x:c>
      <x:c r="Q11" s="24" t="str">
        <x:v>VS-AUD-001</x:v>
      </x:c>
      <x:c r="R11" s="24" t="str">
        <x:v>Variation/concurrency missing</x:v>
      </x:c>
      <x:c r="S11" s="24" t="str">
        <x:v>AudioCatalog + listening campaign pending</x:v>
      </x:c>
      <x:c r="T11" s="24" t="str"/>
    </x:row>
    <x:row r="12" ht="34" customHeight="1">
      <x:c r="A12" s="24" t="str">
        <x:v>AUD-CLP-008</x:v>
      </x:c>
      <x:c r="B12" s="24" t="str">
        <x:v>PlacementValid.wav</x:v>
      </x:c>
      <x:c r="C12" s="24" t="str">
        <x:v>AudioClip</x:v>
      </x:c>
      <x:c r="D12" s="24" t="str">
        <x:v>SFX</x:v>
      </x:c>
      <x:c r="E12" s="24" t="str">
        <x:v>REPRESENTATIVE / PLACEHOLDER</x:v>
      </x:c>
      <x:c r="F12" s="24" t="str">
        <x:v>Imported + catalog mapped</x:v>
      </x:c>
      <x:c r="G12" s="24" t="str">
        <x:v>Technical mapping PASS / mix pending</x:v>
      </x:c>
      <x:c r="H12" s="24" t="str">
        <x:v>Assets/_Project/Audio/SFX/PlacementValid.wav</x:v>
      </x:c>
      <x:c r="I12" s="24" t="str">
        <x:v>7481deec07256d3dfc630e4a8f73719e</x:v>
      </x:c>
      <x:c r="J12" s="24" t="str">
        <x:v>feedback.placementvalid</x:v>
      </x:c>
      <x:c r="K12" s="24"/>
      <x:c r="L12" s="24"/>
      <x:c r="M12" s="24" t="str">
        <x:v>No</x:v>
      </x:c>
      <x:c r="N12" s="24" t="str">
        <x:v>2D</x:v>
      </x:c>
      <x:c r="O12" s="24" t="str">
        <x:v>Internal/Approved pending register</x:v>
      </x:c>
      <x:c r="P12" s="24" t="n">
        <x:v>16</x:v>
      </x:c>
      <x:c r="Q12" s="24" t="str">
        <x:v>VS-AUD-001</x:v>
      </x:c>
      <x:c r="R12" s="24" t="str">
        <x:v>Variation/concurrency missing</x:v>
      </x:c>
      <x:c r="S12" s="24" t="str">
        <x:v>AudioCatalog + listening campaign pending</x:v>
      </x:c>
      <x:c r="T12" s="24" t="str"/>
    </x:row>
    <x:row r="13" ht="34" customHeight="1">
      <x:c r="A13" s="24" t="str">
        <x:v>AUD-CLP-009</x:v>
      </x:c>
      <x:c r="B13" s="24" t="str">
        <x:v>UiConfirm.wav</x:v>
      </x:c>
      <x:c r="C13" s="24" t="str">
        <x:v>AudioClip</x:v>
      </x:c>
      <x:c r="D13" s="24" t="str">
        <x:v>UI</x:v>
      </x:c>
      <x:c r="E13" s="24" t="str">
        <x:v>REPRESENTATIVE / PLACEHOLDER</x:v>
      </x:c>
      <x:c r="F13" s="24" t="str">
        <x:v>Imported + catalog mapped</x:v>
      </x:c>
      <x:c r="G13" s="24" t="str">
        <x:v>Technical mapping PASS / mix pending</x:v>
      </x:c>
      <x:c r="H13" s="24" t="str">
        <x:v>Assets/_Project/Audio/UI/UiConfirm.wav</x:v>
      </x:c>
      <x:c r="I13" s="24" t="str">
        <x:v>d9bc385fea51b0ff5f60db1d28fe4650</x:v>
      </x:c>
      <x:c r="J13" s="24" t="str">
        <x:v>feedback.objectselected; feedback.objecthovered; feedback.productassigned; feedback.reserved; feedback.expense; feedback.autosavesucceeded</x:v>
      </x:c>
      <x:c r="K13" s="24"/>
      <x:c r="L13" s="24"/>
      <x:c r="M13" s="24" t="str">
        <x:v>No</x:v>
      </x:c>
      <x:c r="N13" s="24" t="str">
        <x:v>2D</x:v>
      </x:c>
      <x:c r="O13" s="24" t="str">
        <x:v>Internal/Approved pending register</x:v>
      </x:c>
      <x:c r="P13" s="24" t="n">
        <x:v>16</x:v>
      </x:c>
      <x:c r="Q13" s="24" t="str">
        <x:v>VS-AUD-001</x:v>
      </x:c>
      <x:c r="R13" s="24" t="str">
        <x:v>Variation/concurrency missing</x:v>
      </x:c>
      <x:c r="S13" s="24" t="str">
        <x:v>AudioCatalog + listening campaign pending</x:v>
      </x:c>
      <x:c r="T13" s="24" t="str"/>
    </x:row>
    <x:row r="14" ht="34" customHeight="1">
      <x:c r="A14" s="24" t="str">
        <x:v>AUD-CLP-010</x:v>
      </x:c>
      <x:c r="B14" s="24" t="str">
        <x:v>UiError.wav</x:v>
      </x:c>
      <x:c r="C14" s="24" t="str">
        <x:v>AudioClip</x:v>
      </x:c>
      <x:c r="D14" s="24" t="str">
        <x:v>UI</x:v>
      </x:c>
      <x:c r="E14" s="24" t="str">
        <x:v>REPRESENTATIVE / PLACEHOLDER</x:v>
      </x:c>
      <x:c r="F14" s="24" t="str">
        <x:v>Imported + catalog mapped</x:v>
      </x:c>
      <x:c r="G14" s="24" t="str">
        <x:v>Technical mapping PASS / mix pending</x:v>
      </x:c>
      <x:c r="H14" s="24" t="str">
        <x:v>Assets/_Project/Audio/UI/UiError.wav</x:v>
      </x:c>
      <x:c r="I14" s="24" t="str">
        <x:v>b2633481fff90cc387bf1bf6d7429bc1</x:v>
      </x:c>
      <x:c r="J14" s="24" t="str">
        <x:v>feedback.outofstock; feedback.customerfrustrated; feedback.autosavefailed</x:v>
      </x:c>
      <x:c r="K14" s="24"/>
      <x:c r="L14" s="24"/>
      <x:c r="M14" s="24" t="str">
        <x:v>No</x:v>
      </x:c>
      <x:c r="N14" s="24" t="str">
        <x:v>2D</x:v>
      </x:c>
      <x:c r="O14" s="24" t="str">
        <x:v>Internal/Approved pending register</x:v>
      </x:c>
      <x:c r="P14" s="24" t="n">
        <x:v>16</x:v>
      </x:c>
      <x:c r="Q14" s="24" t="str">
        <x:v>VS-AUD-001</x:v>
      </x:c>
      <x:c r="R14" s="24" t="str">
        <x:v>Variation/concurrency missing</x:v>
      </x:c>
      <x:c r="S14" s="24" t="str">
        <x:v>AudioCatalog + listening campaign pending</x:v>
      </x:c>
      <x:c r="T14" s="24" t="str"/>
    </x:row>
    <x:row r="17">
      <x:c r="A17" s="29" t="str">
        <x:v>Eventos de AudioCatalog.asset</x:v>
      </x:c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36" customHeight="1">
      <x:c r="A18" s="17" t="str">
        <x:v>Content ID</x:v>
      </x:c>
      <x:c r="B18" s="17" t="str">
        <x:v>Nombre</x:v>
      </x:c>
      <x:c r="C18" s="17" t="str">
        <x:v>Tipo</x:v>
      </x:c>
      <x:c r="D18" s="17" t="str">
        <x:v>Familia/Canal</x:v>
      </x:c>
      <x:c r="E18" s="17" t="str">
        <x:v>Estado canónico</x:v>
      </x:c>
      <x:c r="F18" s="17" t="str">
        <x:v>Implementación</x:v>
      </x:c>
      <x:c r="G18" s="17" t="str">
        <x:v>Validación</x:v>
      </x:c>
      <x:c r="H18" s="17" t="str">
        <x:v>Ruta/Clip</x:v>
      </x:c>
      <x:c r="I18" s="17" t="str">
        <x:v>GUID</x:v>
      </x:c>
      <x:c r="J18" s="17" t="str">
        <x:v>Eventos</x:v>
      </x:c>
      <x:c r="K18" s="17" t="str">
        <x:v>Volumen</x:v>
      </x:c>
      <x:c r="L18" s="17" t="str">
        <x:v>Pitch</x:v>
      </x:c>
      <x:c r="M18" s="17" t="str">
        <x:v>Loop</x:v>
      </x:c>
      <x:c r="N18" s="17" t="str">
        <x:v>Spatial</x:v>
      </x:c>
      <x:c r="O18" s="17" t="str">
        <x:v>Licencia</x:v>
      </x:c>
      <x:c r="P18" s="17" t="str">
        <x:v>Sprint</x:v>
      </x:c>
      <x:c r="Q18" s="17" t="str">
        <x:v>Requisito</x:v>
      </x:c>
      <x:c r="R18" s="17" t="str">
        <x:v>Deuda</x:v>
      </x:c>
      <x:c r="S18" s="17" t="str">
        <x:v>Evidencia</x:v>
      </x:c>
      <x:c r="T18" s="17" t="str">
        <x:v>Notas</x:v>
      </x:c>
    </x:row>
    <x:row r="19" ht="34" customHeight="1">
      <x:c r="A19" s="24" t="str">
        <x:v>AUD-EVT-001</x:v>
      </x:c>
      <x:c r="B19" s="24" t="str">
        <x:v>music.store</x:v>
      </x:c>
      <x:c r="C19" s="24" t="str">
        <x:v>Audio event</x:v>
      </x:c>
      <x:c r="D19" s="24" t="str">
        <x:v>Music</x:v>
      </x:c>
      <x:c r="E19" s="24" t="str">
        <x:v>CANONICAL EVENT ID</x:v>
      </x:c>
      <x:c r="F19" s="24" t="str">
        <x:v>AudioCatalog mapped</x:v>
      </x:c>
      <x:c r="G19" s="24" t="str">
        <x:v>Event mapping technical PASS / listening pending</x:v>
      </x:c>
      <x:c r="H19" s="24" t="str">
        <x:v>Assets/_Project/Audio/Music/StoreMusic.wav</x:v>
      </x:c>
      <x:c r="I19" s="24" t="str">
        <x:v>0690c7c8ed5fb2713089b8f9a4ac688f</x:v>
      </x:c>
      <x:c r="J19" s="24" t="str">
        <x:v>music.store</x:v>
      </x:c>
      <x:c r="K19" s="44" t="n">
        <x:v>0.45</x:v>
      </x:c>
      <x:c r="L19" s="44" t="n">
        <x:v>1</x:v>
      </x:c>
      <x:c r="M19" s="24" t="str">
        <x:v>Sí</x:v>
      </x:c>
      <x:c r="N19" s="24" t="str">
        <x:v>2D</x:v>
      </x:c>
      <x:c r="O19" s="24" t="str">
        <x:v>Inherits clip</x:v>
      </x:c>
      <x:c r="P19" s="24" t="n">
        <x:v>16</x:v>
      </x:c>
      <x:c r="Q19" s="24" t="str">
        <x:v>VS-AUD-001</x:v>
      </x:c>
      <x:c r="R19" s="24" t="str">
        <x:v>Shared clip / cooldown review</x:v>
      </x:c>
      <x:c r="S19" s="24" t="str">
        <x:v>Catalog inspection</x:v>
      </x:c>
      <x:c r="T19" s="24" t="str"/>
    </x:row>
    <x:row r="20" ht="34" customHeight="1">
      <x:c r="A20" s="24" t="str">
        <x:v>AUD-EVT-002</x:v>
      </x:c>
      <x:c r="B20" s="24" t="str">
        <x:v>ambience.store</x:v>
      </x:c>
      <x:c r="C20" s="24" t="str">
        <x:v>Audio event</x:v>
      </x:c>
      <x:c r="D20" s="24" t="str">
        <x:v>Ambience</x:v>
      </x:c>
      <x:c r="E20" s="24" t="str">
        <x:v>CANONICAL EVENT ID</x:v>
      </x:c>
      <x:c r="F20" s="24" t="str">
        <x:v>AudioCatalog mapped</x:v>
      </x:c>
      <x:c r="G20" s="24" t="str">
        <x:v>Event mapping technical PASS / listening pending</x:v>
      </x:c>
      <x:c r="H20" s="24" t="str">
        <x:v>Assets/_Project/Audio/Ambience/StoreAmbience.wav</x:v>
      </x:c>
      <x:c r="I20" s="24" t="str">
        <x:v>cb709afe7703b9cab572cc895a085ff2</x:v>
      </x:c>
      <x:c r="J20" s="24" t="str">
        <x:v>ambience.store</x:v>
      </x:c>
      <x:c r="K20" s="44" t="n">
        <x:v>0.45</x:v>
      </x:c>
      <x:c r="L20" s="44" t="n">
        <x:v>1</x:v>
      </x:c>
      <x:c r="M20" s="24" t="str">
        <x:v>Sí</x:v>
      </x:c>
      <x:c r="N20" s="24" t="str">
        <x:v>2D</x:v>
      </x:c>
      <x:c r="O20" s="24" t="str">
        <x:v>Inherits clip</x:v>
      </x:c>
      <x:c r="P20" s="24" t="n">
        <x:v>16</x:v>
      </x:c>
      <x:c r="Q20" s="24" t="str">
        <x:v>VS-AUD-001</x:v>
      </x:c>
      <x:c r="R20" s="24" t="str">
        <x:v>Shared clip / cooldown review</x:v>
      </x:c>
      <x:c r="S20" s="24" t="str">
        <x:v>Catalog inspection</x:v>
      </x:c>
      <x:c r="T20" s="24" t="str"/>
    </x:row>
    <x:row r="21" ht="34" customHeight="1">
      <x:c r="A21" s="24" t="str">
        <x:v>AUD-EVT-003</x:v>
      </x:c>
      <x:c r="B21" s="24" t="str">
        <x:v>feedback.placementvalid</x:v>
      </x:c>
      <x:c r="C21" s="24" t="str">
        <x:v>Audio event</x:v>
      </x:c>
      <x:c r="D21" s="24" t="str">
        <x:v>Effects</x:v>
      </x:c>
      <x:c r="E21" s="24" t="str">
        <x:v>CANONICAL EVENT ID</x:v>
      </x:c>
      <x:c r="F21" s="24" t="str">
        <x:v>AudioCatalog mapped</x:v>
      </x:c>
      <x:c r="G21" s="24" t="str">
        <x:v>Event mapping technical PASS / listening pending</x:v>
      </x:c>
      <x:c r="H21" s="24" t="str">
        <x:v>Assets/_Project/Audio/SFX/PlacementValid.wav</x:v>
      </x:c>
      <x:c r="I21" s="24" t="str">
        <x:v>7481deec07256d3dfc630e4a8f73719e</x:v>
      </x:c>
      <x:c r="J21" s="24" t="str">
        <x:v>feedback.placementvalid</x:v>
      </x:c>
      <x:c r="K21" s="44" t="n">
        <x:v>0.75</x:v>
      </x:c>
      <x:c r="L21" s="44" t="n">
        <x:v>1</x:v>
      </x:c>
      <x:c r="M21" s="24" t="str">
        <x:v>No</x:v>
      </x:c>
      <x:c r="N21" s="24" t="str">
        <x:v>2D</x:v>
      </x:c>
      <x:c r="O21" s="24" t="str">
        <x:v>Inherits clip</x:v>
      </x:c>
      <x:c r="P21" s="24" t="n">
        <x:v>16</x:v>
      </x:c>
      <x:c r="Q21" s="24" t="str">
        <x:v>VS-AUD-001</x:v>
      </x:c>
      <x:c r="R21" s="24" t="str">
        <x:v>Shared clip / cooldown review</x:v>
      </x:c>
      <x:c r="S21" s="24" t="str">
        <x:v>Catalog inspection</x:v>
      </x:c>
      <x:c r="T21" s="24" t="str"/>
    </x:row>
    <x:row r="22" ht="34" customHeight="1">
      <x:c r="A22" s="24" t="str">
        <x:v>AUD-EVT-004</x:v>
      </x:c>
      <x:c r="B22" s="24" t="str">
        <x:v>feedback.placementinvalid</x:v>
      </x:c>
      <x:c r="C22" s="24" t="str">
        <x:v>Audio event</x:v>
      </x:c>
      <x:c r="D22" s="24" t="str">
        <x:v>Effects</x:v>
      </x:c>
      <x:c r="E22" s="24" t="str">
        <x:v>CANONICAL EVENT ID</x:v>
      </x:c>
      <x:c r="F22" s="24" t="str">
        <x:v>AudioCatalog mapped</x:v>
      </x:c>
      <x:c r="G22" s="24" t="str">
        <x:v>Event mapping technical PASS / listening pending</x:v>
      </x:c>
      <x:c r="H22" s="24" t="str">
        <x:v>Assets/_Project/Audio/SFX/PlacementInvalid.wav</x:v>
      </x:c>
      <x:c r="I22" s="24" t="str">
        <x:v>ee743d39450d02dbca20e8ce90864804</x:v>
      </x:c>
      <x:c r="J22" s="24" t="str">
        <x:v>feedback.placementinvalid</x:v>
      </x:c>
      <x:c r="K22" s="44" t="n">
        <x:v>0.75</x:v>
      </x:c>
      <x:c r="L22" s="44" t="n">
        <x:v>1</x:v>
      </x:c>
      <x:c r="M22" s="24" t="str">
        <x:v>No</x:v>
      </x:c>
      <x:c r="N22" s="24" t="str">
        <x:v>2D</x:v>
      </x:c>
      <x:c r="O22" s="24" t="str">
        <x:v>Inherits clip</x:v>
      </x:c>
      <x:c r="P22" s="24" t="n">
        <x:v>16</x:v>
      </x:c>
      <x:c r="Q22" s="24" t="str">
        <x:v>VS-AUD-001</x:v>
      </x:c>
      <x:c r="R22" s="24" t="str">
        <x:v>Shared clip / cooldown review</x:v>
      </x:c>
      <x:c r="S22" s="24" t="str">
        <x:v>Catalog inspection</x:v>
      </x:c>
      <x:c r="T22" s="24" t="str"/>
    </x:row>
    <x:row r="23" ht="34" customHeight="1">
      <x:c r="A23" s="24" t="str">
        <x:v>AUD-EVT-005</x:v>
      </x:c>
      <x:c r="B23" s="24" t="str">
        <x:v>feedback.objectselected</x:v>
      </x:c>
      <x:c r="C23" s="24" t="str">
        <x:v>Audio event</x:v>
      </x:c>
      <x:c r="D23" s="24" t="str">
        <x:v>UI</x:v>
      </x:c>
      <x:c r="E23" s="24" t="str">
        <x:v>CANONICAL EVENT ID</x:v>
      </x:c>
      <x:c r="F23" s="24" t="str">
        <x:v>AudioCatalog mapped</x:v>
      </x:c>
      <x:c r="G23" s="24" t="str">
        <x:v>Event mapping technical PASS / listening pending</x:v>
      </x:c>
      <x:c r="H23" s="24" t="str">
        <x:v>Assets/_Project/Audio/UI/UiConfirm.wav</x:v>
      </x:c>
      <x:c r="I23" s="24" t="str">
        <x:v>d9bc385fea51b0ff5f60db1d28fe4650</x:v>
      </x:c>
      <x:c r="J23" s="24" t="str">
        <x:v>feedback.objectselected</x:v>
      </x:c>
      <x:c r="K23" s="44" t="n">
        <x:v>0.75</x:v>
      </x:c>
      <x:c r="L23" s="44" t="n">
        <x:v>1</x:v>
      </x:c>
      <x:c r="M23" s="24" t="str">
        <x:v>No</x:v>
      </x:c>
      <x:c r="N23" s="24" t="str">
        <x:v>2D</x:v>
      </x:c>
      <x:c r="O23" s="24" t="str">
        <x:v>Inherits clip</x:v>
      </x:c>
      <x:c r="P23" s="24" t="n">
        <x:v>16</x:v>
      </x:c>
      <x:c r="Q23" s="24" t="str">
        <x:v>VS-AUD-001</x:v>
      </x:c>
      <x:c r="R23" s="24" t="str">
        <x:v>Shared clip / cooldown review</x:v>
      </x:c>
      <x:c r="S23" s="24" t="str">
        <x:v>Catalog inspection</x:v>
      </x:c>
      <x:c r="T23" s="24" t="str"/>
    </x:row>
    <x:row r="24" ht="34" customHeight="1">
      <x:c r="A24" s="24" t="str">
        <x:v>AUD-EVT-006</x:v>
      </x:c>
      <x:c r="B24" s="24" t="str">
        <x:v>feedback.objecthovered</x:v>
      </x:c>
      <x:c r="C24" s="24" t="str">
        <x:v>Audio event</x:v>
      </x:c>
      <x:c r="D24" s="24" t="str">
        <x:v>UI</x:v>
      </x:c>
      <x:c r="E24" s="24" t="str">
        <x:v>CANONICAL EVENT ID</x:v>
      </x:c>
      <x:c r="F24" s="24" t="str">
        <x:v>AudioCatalog mapped</x:v>
      </x:c>
      <x:c r="G24" s="24" t="str">
        <x:v>Event mapping technical PASS / listening pending</x:v>
      </x:c>
      <x:c r="H24" s="24" t="str">
        <x:v>Assets/_Project/Audio/UI/UiConfirm.wav</x:v>
      </x:c>
      <x:c r="I24" s="24" t="str">
        <x:v>d9bc385fea51b0ff5f60db1d28fe4650</x:v>
      </x:c>
      <x:c r="J24" s="24" t="str">
        <x:v>feedback.objecthovered</x:v>
      </x:c>
      <x:c r="K24" s="44" t="n">
        <x:v>0.75</x:v>
      </x:c>
      <x:c r="L24" s="44" t="n">
        <x:v>1</x:v>
      </x:c>
      <x:c r="M24" s="24" t="str">
        <x:v>No</x:v>
      </x:c>
      <x:c r="N24" s="24" t="str">
        <x:v>2D</x:v>
      </x:c>
      <x:c r="O24" s="24" t="str">
        <x:v>Inherits clip</x:v>
      </x:c>
      <x:c r="P24" s="24" t="n">
        <x:v>16</x:v>
      </x:c>
      <x:c r="Q24" s="24" t="str">
        <x:v>VS-AUD-001</x:v>
      </x:c>
      <x:c r="R24" s="24" t="str">
        <x:v>Shared clip / cooldown review</x:v>
      </x:c>
      <x:c r="S24" s="24" t="str">
        <x:v>Catalog inspection</x:v>
      </x:c>
      <x:c r="T24" s="24" t="str"/>
    </x:row>
    <x:row r="25" ht="34" customHeight="1">
      <x:c r="A25" s="24" t="str">
        <x:v>AUD-EVT-007</x:v>
      </x:c>
      <x:c r="B25" s="24" t="str">
        <x:v>feedback.productassigned</x:v>
      </x:c>
      <x:c r="C25" s="24" t="str">
        <x:v>Audio event</x:v>
      </x:c>
      <x:c r="D25" s="24" t="str">
        <x:v>UI</x:v>
      </x:c>
      <x:c r="E25" s="24" t="str">
        <x:v>CANONICAL EVENT ID</x:v>
      </x:c>
      <x:c r="F25" s="24" t="str">
        <x:v>AudioCatalog mapped</x:v>
      </x:c>
      <x:c r="G25" s="24" t="str">
        <x:v>Event mapping technical PASS / listening pending</x:v>
      </x:c>
      <x:c r="H25" s="24" t="str">
        <x:v>Assets/_Project/Audio/UI/UiConfirm.wav</x:v>
      </x:c>
      <x:c r="I25" s="24" t="str">
        <x:v>d9bc385fea51b0ff5f60db1d28fe4650</x:v>
      </x:c>
      <x:c r="J25" s="24" t="str">
        <x:v>feedback.productassigned</x:v>
      </x:c>
      <x:c r="K25" s="44" t="n">
        <x:v>0.75</x:v>
      </x:c>
      <x:c r="L25" s="44" t="n">
        <x:v>1</x:v>
      </x:c>
      <x:c r="M25" s="24" t="str">
        <x:v>No</x:v>
      </x:c>
      <x:c r="N25" s="24" t="str">
        <x:v>2D</x:v>
      </x:c>
      <x:c r="O25" s="24" t="str">
        <x:v>Inherits clip</x:v>
      </x:c>
      <x:c r="P25" s="24" t="n">
        <x:v>16</x:v>
      </x:c>
      <x:c r="Q25" s="24" t="str">
        <x:v>VS-AUD-001</x:v>
      </x:c>
      <x:c r="R25" s="24" t="str">
        <x:v>Shared clip / cooldown review</x:v>
      </x:c>
      <x:c r="S25" s="24" t="str">
        <x:v>Catalog inspection</x:v>
      </x:c>
      <x:c r="T25" s="24" t="str"/>
    </x:row>
    <x:row r="26" ht="34" customHeight="1">
      <x:c r="A26" s="24" t="str">
        <x:v>AUD-EVT-008</x:v>
      </x:c>
      <x:c r="B26" s="24" t="str">
        <x:v>feedback.outofstock</x:v>
      </x:c>
      <x:c r="C26" s="24" t="str">
        <x:v>Audio event</x:v>
      </x:c>
      <x:c r="D26" s="24" t="str">
        <x:v>Effects</x:v>
      </x:c>
      <x:c r="E26" s="24" t="str">
        <x:v>CANONICAL EVENT ID</x:v>
      </x:c>
      <x:c r="F26" s="24" t="str">
        <x:v>AudioCatalog mapped</x:v>
      </x:c>
      <x:c r="G26" s="24" t="str">
        <x:v>Event mapping technical PASS / listening pending</x:v>
      </x:c>
      <x:c r="H26" s="24" t="str">
        <x:v>Assets/_Project/Audio/UI/UiError.wav</x:v>
      </x:c>
      <x:c r="I26" s="24" t="str">
        <x:v>b2633481fff90cc387bf1bf6d7429bc1</x:v>
      </x:c>
      <x:c r="J26" s="24" t="str">
        <x:v>feedback.outofstock</x:v>
      </x:c>
      <x:c r="K26" s="44" t="n">
        <x:v>0.75</x:v>
      </x:c>
      <x:c r="L26" s="44" t="n">
        <x:v>1</x:v>
      </x:c>
      <x:c r="M26" s="24" t="str">
        <x:v>No</x:v>
      </x:c>
      <x:c r="N26" s="24" t="str">
        <x:v>2D</x:v>
      </x:c>
      <x:c r="O26" s="24" t="str">
        <x:v>Inherits clip</x:v>
      </x:c>
      <x:c r="P26" s="24" t="n">
        <x:v>16</x:v>
      </x:c>
      <x:c r="Q26" s="24" t="str">
        <x:v>VS-AUD-001</x:v>
      </x:c>
      <x:c r="R26" s="24" t="str">
        <x:v>Shared clip / cooldown review</x:v>
      </x:c>
      <x:c r="S26" s="24" t="str">
        <x:v>Catalog inspection</x:v>
      </x:c>
      <x:c r="T26" s="24" t="str"/>
    </x:row>
    <x:row r="27" ht="34" customHeight="1">
      <x:c r="A27" s="24" t="str">
        <x:v>AUD-EVT-009</x:v>
      </x:c>
      <x:c r="B27" s="24" t="str">
        <x:v>feedback.reserved</x:v>
      </x:c>
      <x:c r="C27" s="24" t="str">
        <x:v>Audio event</x:v>
      </x:c>
      <x:c r="D27" s="24" t="str">
        <x:v>Effects</x:v>
      </x:c>
      <x:c r="E27" s="24" t="str">
        <x:v>CANONICAL EVENT ID</x:v>
      </x:c>
      <x:c r="F27" s="24" t="str">
        <x:v>AudioCatalog mapped</x:v>
      </x:c>
      <x:c r="G27" s="24" t="str">
        <x:v>Event mapping technical PASS / listening pending</x:v>
      </x:c>
      <x:c r="H27" s="24" t="str">
        <x:v>Assets/_Project/Audio/UI/UiConfirm.wav</x:v>
      </x:c>
      <x:c r="I27" s="24" t="str">
        <x:v>d9bc385fea51b0ff5f60db1d28fe4650</x:v>
      </x:c>
      <x:c r="J27" s="24" t="str">
        <x:v>feedback.reserved</x:v>
      </x:c>
      <x:c r="K27" s="44" t="n">
        <x:v>0.75</x:v>
      </x:c>
      <x:c r="L27" s="44" t="n">
        <x:v>1</x:v>
      </x:c>
      <x:c r="M27" s="24" t="str">
        <x:v>No</x:v>
      </x:c>
      <x:c r="N27" s="24" t="str">
        <x:v>2D</x:v>
      </x:c>
      <x:c r="O27" s="24" t="str">
        <x:v>Inherits clip</x:v>
      </x:c>
      <x:c r="P27" s="24" t="n">
        <x:v>16</x:v>
      </x:c>
      <x:c r="Q27" s="24" t="str">
        <x:v>VS-AUD-001</x:v>
      </x:c>
      <x:c r="R27" s="24" t="str">
        <x:v>Shared clip / cooldown review</x:v>
      </x:c>
      <x:c r="S27" s="24" t="str">
        <x:v>Catalog inspection</x:v>
      </x:c>
      <x:c r="T27" s="24" t="str"/>
    </x:row>
    <x:row r="28" ht="34" customHeight="1">
      <x:c r="A28" s="24" t="str">
        <x:v>AUD-EVT-010</x:v>
      </x:c>
      <x:c r="B28" s="24" t="str">
        <x:v>feedback.restocked</x:v>
      </x:c>
      <x:c r="C28" s="24" t="str">
        <x:v>Audio event</x:v>
      </x:c>
      <x:c r="D28" s="24" t="str">
        <x:v>Effects</x:v>
      </x:c>
      <x:c r="E28" s="24" t="str">
        <x:v>CANONICAL EVENT ID</x:v>
      </x:c>
      <x:c r="F28" s="24" t="str">
        <x:v>AudioCatalog mapped</x:v>
      </x:c>
      <x:c r="G28" s="24" t="str">
        <x:v>Event mapping technical PASS / listening pending</x:v>
      </x:c>
      <x:c r="H28" s="24" t="str">
        <x:v>Assets/_Project/Audio/SFX/OrderReceived.wav</x:v>
      </x:c>
      <x:c r="I28" s="24" t="str">
        <x:v>8e2b37d1127285ee1cc44a3d0a8a98c4</x:v>
      </x:c>
      <x:c r="J28" s="24" t="str">
        <x:v>feedback.restocked</x:v>
      </x:c>
      <x:c r="K28" s="44" t="n">
        <x:v>0.75</x:v>
      </x:c>
      <x:c r="L28" s="44" t="n">
        <x:v>1</x:v>
      </x:c>
      <x:c r="M28" s="24" t="str">
        <x:v>No</x:v>
      </x:c>
      <x:c r="N28" s="24" t="str">
        <x:v>2D</x:v>
      </x:c>
      <x:c r="O28" s="24" t="str">
        <x:v>Inherits clip</x:v>
      </x:c>
      <x:c r="P28" s="24" t="n">
        <x:v>16</x:v>
      </x:c>
      <x:c r="Q28" s="24" t="str">
        <x:v>VS-AUD-001</x:v>
      </x:c>
      <x:c r="R28" s="24" t="str">
        <x:v>Shared clip / cooldown review</x:v>
      </x:c>
      <x:c r="S28" s="24" t="str">
        <x:v>Catalog inspection</x:v>
      </x:c>
      <x:c r="T28" s="24" t="str"/>
    </x:row>
    <x:row r="29" ht="34" customHeight="1">
      <x:c r="A29" s="24" t="str">
        <x:v>AUD-EVT-011</x:v>
      </x:c>
      <x:c r="B29" s="24" t="str">
        <x:v>feedback.orderreceived</x:v>
      </x:c>
      <x:c r="C29" s="24" t="str">
        <x:v>Audio event</x:v>
      </x:c>
      <x:c r="D29" s="24" t="str">
        <x:v>Effects</x:v>
      </x:c>
      <x:c r="E29" s="24" t="str">
        <x:v>CANONICAL EVENT ID</x:v>
      </x:c>
      <x:c r="F29" s="24" t="str">
        <x:v>AudioCatalog mapped</x:v>
      </x:c>
      <x:c r="G29" s="24" t="str">
        <x:v>Event mapping technical PASS / listening pending</x:v>
      </x:c>
      <x:c r="H29" s="24" t="str">
        <x:v>Assets/_Project/Audio/SFX/OrderReceived.wav</x:v>
      </x:c>
      <x:c r="I29" s="24" t="str">
        <x:v>8e2b37d1127285ee1cc44a3d0a8a98c4</x:v>
      </x:c>
      <x:c r="J29" s="24" t="str">
        <x:v>feedback.orderreceived</x:v>
      </x:c>
      <x:c r="K29" s="44" t="n">
        <x:v>0.75</x:v>
      </x:c>
      <x:c r="L29" s="44" t="n">
        <x:v>1</x:v>
      </x:c>
      <x:c r="M29" s="24" t="str">
        <x:v>No</x:v>
      </x:c>
      <x:c r="N29" s="24" t="str">
        <x:v>2D</x:v>
      </x:c>
      <x:c r="O29" s="24" t="str">
        <x:v>Inherits clip</x:v>
      </x:c>
      <x:c r="P29" s="24" t="n">
        <x:v>16</x:v>
      </x:c>
      <x:c r="Q29" s="24" t="str">
        <x:v>VS-AUD-001</x:v>
      </x:c>
      <x:c r="R29" s="24" t="str">
        <x:v>Shared clip / cooldown review</x:v>
      </x:c>
      <x:c r="S29" s="24" t="str">
        <x:v>Catalog inspection</x:v>
      </x:c>
      <x:c r="T29" s="24" t="str"/>
    </x:row>
    <x:row r="30" ht="34" customHeight="1">
      <x:c r="A30" s="24" t="str">
        <x:v>AUD-EVT-012</x:v>
      </x:c>
      <x:c r="B30" s="24" t="str">
        <x:v>feedback.customersatisfied</x:v>
      </x:c>
      <x:c r="C30" s="24" t="str">
        <x:v>Audio event</x:v>
      </x:c>
      <x:c r="D30" s="24" t="str">
        <x:v>Effects</x:v>
      </x:c>
      <x:c r="E30" s="24" t="str">
        <x:v>CANONICAL EVENT ID</x:v>
      </x:c>
      <x:c r="F30" s="24" t="str">
        <x:v>AudioCatalog mapped</x:v>
      </x:c>
      <x:c r="G30" s="24" t="str">
        <x:v>Event mapping technical PASS / listening pending</x:v>
      </x:c>
      <x:c r="H30" s="24" t="str">
        <x:v>Assets/_Project/Audio/SFX/Checkout.wav</x:v>
      </x:c>
      <x:c r="I30" s="24" t="str">
        <x:v>ba31e4719471578fa9cae09368b54822</x:v>
      </x:c>
      <x:c r="J30" s="24" t="str">
        <x:v>feedback.customersatisfied</x:v>
      </x:c>
      <x:c r="K30" s="44" t="n">
        <x:v>0.75</x:v>
      </x:c>
      <x:c r="L30" s="44" t="n">
        <x:v>1</x:v>
      </x:c>
      <x:c r="M30" s="24" t="str">
        <x:v>No</x:v>
      </x:c>
      <x:c r="N30" s="24" t="str">
        <x:v>2D</x:v>
      </x:c>
      <x:c r="O30" s="24" t="str">
        <x:v>Inherits clip</x:v>
      </x:c>
      <x:c r="P30" s="24" t="n">
        <x:v>16</x:v>
      </x:c>
      <x:c r="Q30" s="24" t="str">
        <x:v>VS-AUD-001</x:v>
      </x:c>
      <x:c r="R30" s="24" t="str">
        <x:v>Shared clip / cooldown review</x:v>
      </x:c>
      <x:c r="S30" s="24" t="str">
        <x:v>Catalog inspection</x:v>
      </x:c>
      <x:c r="T30" s="24" t="str"/>
    </x:row>
    <x:row r="31" ht="34" customHeight="1">
      <x:c r="A31" s="24" t="str">
        <x:v>AUD-EVT-013</x:v>
      </x:c>
      <x:c r="B31" s="24" t="str">
        <x:v>feedback.customerfrustrated</x:v>
      </x:c>
      <x:c r="C31" s="24" t="str">
        <x:v>Audio event</x:v>
      </x:c>
      <x:c r="D31" s="24" t="str">
        <x:v>Effects</x:v>
      </x:c>
      <x:c r="E31" s="24" t="str">
        <x:v>CANONICAL EVENT ID</x:v>
      </x:c>
      <x:c r="F31" s="24" t="str">
        <x:v>AudioCatalog mapped</x:v>
      </x:c>
      <x:c r="G31" s="24" t="str">
        <x:v>Event mapping technical PASS / listening pending</x:v>
      </x:c>
      <x:c r="H31" s="24" t="str">
        <x:v>Assets/_Project/Audio/UI/UiError.wav</x:v>
      </x:c>
      <x:c r="I31" s="24" t="str">
        <x:v>b2633481fff90cc387bf1bf6d7429bc1</x:v>
      </x:c>
      <x:c r="J31" s="24" t="str">
        <x:v>feedback.customerfrustrated</x:v>
      </x:c>
      <x:c r="K31" s="44" t="n">
        <x:v>0.75</x:v>
      </x:c>
      <x:c r="L31" s="44" t="n">
        <x:v>1</x:v>
      </x:c>
      <x:c r="M31" s="24" t="str">
        <x:v>No</x:v>
      </x:c>
      <x:c r="N31" s="24" t="str">
        <x:v>2D</x:v>
      </x:c>
      <x:c r="O31" s="24" t="str">
        <x:v>Inherits clip</x:v>
      </x:c>
      <x:c r="P31" s="24" t="n">
        <x:v>16</x:v>
      </x:c>
      <x:c r="Q31" s="24" t="str">
        <x:v>VS-AUD-001</x:v>
      </x:c>
      <x:c r="R31" s="24" t="str">
        <x:v>Shared clip / cooldown review</x:v>
      </x:c>
      <x:c r="S31" s="24" t="str">
        <x:v>Catalog inspection</x:v>
      </x:c>
      <x:c r="T31" s="24" t="str"/>
    </x:row>
    <x:row r="32" ht="34" customHeight="1">
      <x:c r="A32" s="24" t="str">
        <x:v>AUD-EVT-014</x:v>
      </x:c>
      <x:c r="B32" s="24" t="str">
        <x:v>feedback.queueentered</x:v>
      </x:c>
      <x:c r="C32" s="24" t="str">
        <x:v>Audio event</x:v>
      </x:c>
      <x:c r="D32" s="24" t="str">
        <x:v>Effects</x:v>
      </x:c>
      <x:c r="E32" s="24" t="str">
        <x:v>CANONICAL EVENT ID</x:v>
      </x:c>
      <x:c r="F32" s="24" t="str">
        <x:v>AudioCatalog mapped</x:v>
      </x:c>
      <x:c r="G32" s="24" t="str">
        <x:v>Event mapping technical PASS / listening pending</x:v>
      </x:c>
      <x:c r="H32" s="24" t="str">
        <x:v>Assets/_Project/Audio/SFX/Checkout.wav</x:v>
      </x:c>
      <x:c r="I32" s="24" t="str">
        <x:v>ba31e4719471578fa9cae09368b54822</x:v>
      </x:c>
      <x:c r="J32" s="24" t="str">
        <x:v>feedback.queueentered</x:v>
      </x:c>
      <x:c r="K32" s="44" t="n">
        <x:v>0.75</x:v>
      </x:c>
      <x:c r="L32" s="44" t="n">
        <x:v>1</x:v>
      </x:c>
      <x:c r="M32" s="24" t="str">
        <x:v>No</x:v>
      </x:c>
      <x:c r="N32" s="24" t="str">
        <x:v>2D</x:v>
      </x:c>
      <x:c r="O32" s="24" t="str">
        <x:v>Inherits clip</x:v>
      </x:c>
      <x:c r="P32" s="24" t="n">
        <x:v>16</x:v>
      </x:c>
      <x:c r="Q32" s="24" t="str">
        <x:v>VS-AUD-001</x:v>
      </x:c>
      <x:c r="R32" s="24" t="str">
        <x:v>Shared clip / cooldown review</x:v>
      </x:c>
      <x:c r="S32" s="24" t="str">
        <x:v>Catalog inspection</x:v>
      </x:c>
      <x:c r="T32" s="24" t="str"/>
    </x:row>
    <x:row r="33" ht="34" customHeight="1">
      <x:c r="A33" s="24" t="str">
        <x:v>AUD-EVT-015</x:v>
      </x:c>
      <x:c r="B33" s="24" t="str">
        <x:v>feedback.checkoutcompleted</x:v>
      </x:c>
      <x:c r="C33" s="24" t="str">
        <x:v>Audio event</x:v>
      </x:c>
      <x:c r="D33" s="24" t="str">
        <x:v>Effects</x:v>
      </x:c>
      <x:c r="E33" s="24" t="str">
        <x:v>CANONICAL EVENT ID</x:v>
      </x:c>
      <x:c r="F33" s="24" t="str">
        <x:v>AudioCatalog mapped</x:v>
      </x:c>
      <x:c r="G33" s="24" t="str">
        <x:v>Event mapping technical PASS / listening pending</x:v>
      </x:c>
      <x:c r="H33" s="24" t="str">
        <x:v>Assets/_Project/Audio/SFX/Checkout.wav</x:v>
      </x:c>
      <x:c r="I33" s="24" t="str">
        <x:v>ba31e4719471578fa9cae09368b54822</x:v>
      </x:c>
      <x:c r="J33" s="24" t="str">
        <x:v>feedback.checkoutcompleted</x:v>
      </x:c>
      <x:c r="K33" s="44" t="n">
        <x:v>0.75</x:v>
      </x:c>
      <x:c r="L33" s="44" t="n">
        <x:v>1</x:v>
      </x:c>
      <x:c r="M33" s="24" t="str">
        <x:v>No</x:v>
      </x:c>
      <x:c r="N33" s="24" t="str">
        <x:v>2D</x:v>
      </x:c>
      <x:c r="O33" s="24" t="str">
        <x:v>Inherits clip</x:v>
      </x:c>
      <x:c r="P33" s="24" t="n">
        <x:v>16</x:v>
      </x:c>
      <x:c r="Q33" s="24" t="str">
        <x:v>VS-AUD-001</x:v>
      </x:c>
      <x:c r="R33" s="24" t="str">
        <x:v>Shared clip / cooldown review</x:v>
      </x:c>
      <x:c r="S33" s="24" t="str">
        <x:v>Catalog inspection</x:v>
      </x:c>
      <x:c r="T33" s="24" t="str"/>
    </x:row>
    <x:row r="34" ht="34" customHeight="1">
      <x:c r="A34" s="24" t="str">
        <x:v>AUD-EVT-016</x:v>
      </x:c>
      <x:c r="B34" s="24" t="str">
        <x:v>feedback.revenue</x:v>
      </x:c>
      <x:c r="C34" s="24" t="str">
        <x:v>Audio event</x:v>
      </x:c>
      <x:c r="D34" s="24" t="str">
        <x:v>Effects</x:v>
      </x:c>
      <x:c r="E34" s="24" t="str">
        <x:v>CANONICAL EVENT ID</x:v>
      </x:c>
      <x:c r="F34" s="24" t="str">
        <x:v>AudioCatalog mapped</x:v>
      </x:c>
      <x:c r="G34" s="24" t="str">
        <x:v>Event mapping technical PASS / listening pending</x:v>
      </x:c>
      <x:c r="H34" s="24" t="str">
        <x:v>Assets/_Project/Audio/SFX/Checkout.wav</x:v>
      </x:c>
      <x:c r="I34" s="24" t="str">
        <x:v>ba31e4719471578fa9cae09368b54822</x:v>
      </x:c>
      <x:c r="J34" s="24" t="str">
        <x:v>feedback.revenue</x:v>
      </x:c>
      <x:c r="K34" s="44" t="n">
        <x:v>0.75</x:v>
      </x:c>
      <x:c r="L34" s="44" t="n">
        <x:v>1</x:v>
      </x:c>
      <x:c r="M34" s="24" t="str">
        <x:v>No</x:v>
      </x:c>
      <x:c r="N34" s="24" t="str">
        <x:v>2D</x:v>
      </x:c>
      <x:c r="O34" s="24" t="str">
        <x:v>Inherits clip</x:v>
      </x:c>
      <x:c r="P34" s="24" t="n">
        <x:v>16</x:v>
      </x:c>
      <x:c r="Q34" s="24" t="str">
        <x:v>VS-AUD-001</x:v>
      </x:c>
      <x:c r="R34" s="24" t="str">
        <x:v>Shared clip / cooldown review</x:v>
      </x:c>
      <x:c r="S34" s="24" t="str">
        <x:v>Catalog inspection</x:v>
      </x:c>
      <x:c r="T34" s="24" t="str"/>
    </x:row>
    <x:row r="35" ht="34" customHeight="1">
      <x:c r="A35" s="24" t="str">
        <x:v>AUD-EVT-017</x:v>
      </x:c>
      <x:c r="B35" s="24" t="str">
        <x:v>feedback.expense</x:v>
      </x:c>
      <x:c r="C35" s="24" t="str">
        <x:v>Audio event</x:v>
      </x:c>
      <x:c r="D35" s="24" t="str">
        <x:v>Effects</x:v>
      </x:c>
      <x:c r="E35" s="24" t="str">
        <x:v>CANONICAL EVENT ID</x:v>
      </x:c>
      <x:c r="F35" s="24" t="str">
        <x:v>AudioCatalog mapped</x:v>
      </x:c>
      <x:c r="G35" s="24" t="str">
        <x:v>Event mapping technical PASS / listening pending</x:v>
      </x:c>
      <x:c r="H35" s="24" t="str">
        <x:v>Assets/_Project/Audio/UI/UiConfirm.wav</x:v>
      </x:c>
      <x:c r="I35" s="24" t="str">
        <x:v>d9bc385fea51b0ff5f60db1d28fe4650</x:v>
      </x:c>
      <x:c r="J35" s="24" t="str">
        <x:v>feedback.expense</x:v>
      </x:c>
      <x:c r="K35" s="44" t="n">
        <x:v>0.75</x:v>
      </x:c>
      <x:c r="L35" s="44" t="n">
        <x:v>1</x:v>
      </x:c>
      <x:c r="M35" s="24" t="str">
        <x:v>No</x:v>
      </x:c>
      <x:c r="N35" s="24" t="str">
        <x:v>2D</x:v>
      </x:c>
      <x:c r="O35" s="24" t="str">
        <x:v>Inherits clip</x:v>
      </x:c>
      <x:c r="P35" s="24" t="n">
        <x:v>16</x:v>
      </x:c>
      <x:c r="Q35" s="24" t="str">
        <x:v>VS-AUD-001</x:v>
      </x:c>
      <x:c r="R35" s="24" t="str">
        <x:v>Shared clip / cooldown review</x:v>
      </x:c>
      <x:c r="S35" s="24" t="str">
        <x:v>Catalog inspection</x:v>
      </x:c>
      <x:c r="T35" s="24" t="str"/>
    </x:row>
    <x:row r="36" ht="34" customHeight="1">
      <x:c r="A36" s="24" t="str">
        <x:v>AUD-EVT-018</x:v>
      </x:c>
      <x:c r="B36" s="24" t="str">
        <x:v>feedback.closingwarning</x:v>
      </x:c>
      <x:c r="C36" s="24" t="str">
        <x:v>Audio event</x:v>
      </x:c>
      <x:c r="D36" s="24" t="str">
        <x:v>Effects</x:v>
      </x:c>
      <x:c r="E36" s="24" t="str">
        <x:v>CANONICAL EVENT ID</x:v>
      </x:c>
      <x:c r="F36" s="24" t="str">
        <x:v>AudioCatalog mapped</x:v>
      </x:c>
      <x:c r="G36" s="24" t="str">
        <x:v>Event mapping technical PASS / listening pending</x:v>
      </x:c>
      <x:c r="H36" s="24" t="str">
        <x:v>Assets/_Project/Audio/SFX/DayClosed.wav</x:v>
      </x:c>
      <x:c r="I36" s="24" t="str">
        <x:v>afa05dd2e9a4ff3ace16f07967ef65c9</x:v>
      </x:c>
      <x:c r="J36" s="24" t="str">
        <x:v>feedback.closingwarning</x:v>
      </x:c>
      <x:c r="K36" s="44" t="n">
        <x:v>0.75</x:v>
      </x:c>
      <x:c r="L36" s="44" t="n">
        <x:v>1</x:v>
      </x:c>
      <x:c r="M36" s="24" t="str">
        <x:v>No</x:v>
      </x:c>
      <x:c r="N36" s="24" t="str">
        <x:v>2D</x:v>
      </x:c>
      <x:c r="O36" s="24" t="str">
        <x:v>Inherits clip</x:v>
      </x:c>
      <x:c r="P36" s="24" t="n">
        <x:v>16</x:v>
      </x:c>
      <x:c r="Q36" s="24" t="str">
        <x:v>VS-AUD-001</x:v>
      </x:c>
      <x:c r="R36" s="24" t="str">
        <x:v>Shared clip / cooldown review</x:v>
      </x:c>
      <x:c r="S36" s="24" t="str">
        <x:v>Catalog inspection</x:v>
      </x:c>
      <x:c r="T36" s="24" t="str"/>
    </x:row>
    <x:row r="37" ht="34" customHeight="1">
      <x:c r="A37" s="24" t="str">
        <x:v>AUD-EVT-019</x:v>
      </x:c>
      <x:c r="B37" s="24" t="str">
        <x:v>feedback.dayclosed</x:v>
      </x:c>
      <x:c r="C37" s="24" t="str">
        <x:v>Audio event</x:v>
      </x:c>
      <x:c r="D37" s="24" t="str">
        <x:v>Effects</x:v>
      </x:c>
      <x:c r="E37" s="24" t="str">
        <x:v>CANONICAL EVENT ID</x:v>
      </x:c>
      <x:c r="F37" s="24" t="str">
        <x:v>AudioCatalog mapped</x:v>
      </x:c>
      <x:c r="G37" s="24" t="str">
        <x:v>Event mapping technical PASS / listening pending</x:v>
      </x:c>
      <x:c r="H37" s="24" t="str">
        <x:v>Assets/_Project/Audio/SFX/DayClosed.wav</x:v>
      </x:c>
      <x:c r="I37" s="24" t="str">
        <x:v>afa05dd2e9a4ff3ace16f07967ef65c9</x:v>
      </x:c>
      <x:c r="J37" s="24" t="str">
        <x:v>feedback.dayclosed</x:v>
      </x:c>
      <x:c r="K37" s="44" t="n">
        <x:v>0.75</x:v>
      </x:c>
      <x:c r="L37" s="44" t="n">
        <x:v>1</x:v>
      </x:c>
      <x:c r="M37" s="24" t="str">
        <x:v>No</x:v>
      </x:c>
      <x:c r="N37" s="24" t="str">
        <x:v>2D</x:v>
      </x:c>
      <x:c r="O37" s="24" t="str">
        <x:v>Inherits clip</x:v>
      </x:c>
      <x:c r="P37" s="24" t="n">
        <x:v>16</x:v>
      </x:c>
      <x:c r="Q37" s="24" t="str">
        <x:v>VS-AUD-001</x:v>
      </x:c>
      <x:c r="R37" s="24" t="str">
        <x:v>Shared clip / cooldown review</x:v>
      </x:c>
      <x:c r="S37" s="24" t="str">
        <x:v>Catalog inspection</x:v>
      </x:c>
      <x:c r="T37" s="24" t="str"/>
    </x:row>
    <x:row r="38" ht="34" customHeight="1">
      <x:c r="A38" s="24" t="str">
        <x:v>AUD-EVT-020</x:v>
      </x:c>
      <x:c r="B38" s="24" t="str">
        <x:v>feedback.autosavesucceeded</x:v>
      </x:c>
      <x:c r="C38" s="24" t="str">
        <x:v>Audio event</x:v>
      </x:c>
      <x:c r="D38" s="24" t="str">
        <x:v>UI</x:v>
      </x:c>
      <x:c r="E38" s="24" t="str">
        <x:v>CANONICAL EVENT ID</x:v>
      </x:c>
      <x:c r="F38" s="24" t="str">
        <x:v>AudioCatalog mapped</x:v>
      </x:c>
      <x:c r="G38" s="24" t="str">
        <x:v>Event mapping technical PASS / listening pending</x:v>
      </x:c>
      <x:c r="H38" s="24" t="str">
        <x:v>Assets/_Project/Audio/UI/UiConfirm.wav</x:v>
      </x:c>
      <x:c r="I38" s="24" t="str">
        <x:v>d9bc385fea51b0ff5f60db1d28fe4650</x:v>
      </x:c>
      <x:c r="J38" s="24" t="str">
        <x:v>feedback.autosavesucceeded</x:v>
      </x:c>
      <x:c r="K38" s="44" t="n">
        <x:v>0.75</x:v>
      </x:c>
      <x:c r="L38" s="44" t="n">
        <x:v>1</x:v>
      </x:c>
      <x:c r="M38" s="24" t="str">
        <x:v>No</x:v>
      </x:c>
      <x:c r="N38" s="24" t="str">
        <x:v>2D</x:v>
      </x:c>
      <x:c r="O38" s="24" t="str">
        <x:v>Inherits clip</x:v>
      </x:c>
      <x:c r="P38" s="24" t="n">
        <x:v>16</x:v>
      </x:c>
      <x:c r="Q38" s="24" t="str">
        <x:v>VS-AUD-001</x:v>
      </x:c>
      <x:c r="R38" s="24" t="str">
        <x:v>Shared clip / cooldown review</x:v>
      </x:c>
      <x:c r="S38" s="24" t="str">
        <x:v>Catalog inspection</x:v>
      </x:c>
      <x:c r="T38" s="24" t="str"/>
    </x:row>
    <x:row r="39" ht="34" customHeight="1">
      <x:c r="A39" s="24" t="str">
        <x:v>AUD-EVT-021</x:v>
      </x:c>
      <x:c r="B39" s="24" t="str">
        <x:v>feedback.autosavefailed</x:v>
      </x:c>
      <x:c r="C39" s="24" t="str">
        <x:v>Audio event</x:v>
      </x:c>
      <x:c r="D39" s="24" t="str">
        <x:v>UI</x:v>
      </x:c>
      <x:c r="E39" s="24" t="str">
        <x:v>CANONICAL EVENT ID</x:v>
      </x:c>
      <x:c r="F39" s="24" t="str">
        <x:v>AudioCatalog mapped</x:v>
      </x:c>
      <x:c r="G39" s="24" t="str">
        <x:v>Event mapping technical PASS / listening pending</x:v>
      </x:c>
      <x:c r="H39" s="24" t="str">
        <x:v>Assets/_Project/Audio/UI/UiError.wav</x:v>
      </x:c>
      <x:c r="I39" s="24" t="str">
        <x:v>b2633481fff90cc387bf1bf6d7429bc1</x:v>
      </x:c>
      <x:c r="J39" s="24" t="str">
        <x:v>feedback.autosavefailed</x:v>
      </x:c>
      <x:c r="K39" s="44" t="n">
        <x:v>0.75</x:v>
      </x:c>
      <x:c r="L39" s="44" t="n">
        <x:v>1</x:v>
      </x:c>
      <x:c r="M39" s="24" t="str">
        <x:v>No</x:v>
      </x:c>
      <x:c r="N39" s="24" t="str">
        <x:v>2D</x:v>
      </x:c>
      <x:c r="O39" s="24" t="str">
        <x:v>Inherits clip</x:v>
      </x:c>
      <x:c r="P39" s="24" t="n">
        <x:v>16</x:v>
      </x:c>
      <x:c r="Q39" s="24" t="str">
        <x:v>VS-AUD-001</x:v>
      </x:c>
      <x:c r="R39" s="24" t="str">
        <x:v>Shared clip / cooldown review</x:v>
      </x:c>
      <x:c r="S39" s="24" t="str">
        <x:v>Catalog inspection</x:v>
      </x:c>
      <x:c r="T39" s="24" t="str"/>
    </x:row>
    <x:row r="40" ht="34" customHeight="1">
      <x:c r="A40" s="24" t="str">
        <x:v>AUD-EVT-022</x:v>
      </x:c>
      <x:c r="B40" s="24" t="str">
        <x:v>feedback.dooropened</x:v>
      </x:c>
      <x:c r="C40" s="24" t="str">
        <x:v>Audio event</x:v>
      </x:c>
      <x:c r="D40" s="24" t="str">
        <x:v>Effects</x:v>
      </x:c>
      <x:c r="E40" s="24" t="str">
        <x:v>CANONICAL EVENT ID</x:v>
      </x:c>
      <x:c r="F40" s="24" t="str">
        <x:v>AudioCatalog mapped</x:v>
      </x:c>
      <x:c r="G40" s="24" t="str">
        <x:v>Event mapping technical PASS / listening pending</x:v>
      </x:c>
      <x:c r="H40" s="24" t="str">
        <x:v>Assets/_Project/Audio/SFX/Door.wav</x:v>
      </x:c>
      <x:c r="I40" s="24" t="str">
        <x:v>2a3bd6d7753bf8508bed82d14fa64b9f</x:v>
      </x:c>
      <x:c r="J40" s="24" t="str">
        <x:v>feedback.dooropened</x:v>
      </x:c>
      <x:c r="K40" s="44" t="n">
        <x:v>0.75</x:v>
      </x:c>
      <x:c r="L40" s="44" t="n">
        <x:v>1</x:v>
      </x:c>
      <x:c r="M40" s="24" t="str">
        <x:v>No</x:v>
      </x:c>
      <x:c r="N40" s="24" t="str">
        <x:v>2D</x:v>
      </x:c>
      <x:c r="O40" s="24" t="str">
        <x:v>Inherits clip</x:v>
      </x:c>
      <x:c r="P40" s="24" t="n">
        <x:v>16</x:v>
      </x:c>
      <x:c r="Q40" s="24" t="str">
        <x:v>VS-AUD-001</x:v>
      </x:c>
      <x:c r="R40" s="24" t="str">
        <x:v>Shared clip / cooldown review</x:v>
      </x:c>
      <x:c r="S40" s="24" t="str">
        <x:v>Catalog inspection</x:v>
      </x:c>
      <x:c r="T40" s="24" t="str"/>
    </x:row>
    <x:row r="41" ht="34" customHeight="1">
      <x:c r="A41" s="24" t="str">
        <x:v>AUD-EVT-023</x:v>
      </x:c>
      <x:c r="B41" s="24" t="str">
        <x:v>feedback.doorclosed</x:v>
      </x:c>
      <x:c r="C41" s="24" t="str">
        <x:v>Audio event</x:v>
      </x:c>
      <x:c r="D41" s="24" t="str">
        <x:v>Effects</x:v>
      </x:c>
      <x:c r="E41" s="24" t="str">
        <x:v>CANONICAL EVENT ID</x:v>
      </x:c>
      <x:c r="F41" s="24" t="str">
        <x:v>AudioCatalog mapped</x:v>
      </x:c>
      <x:c r="G41" s="24" t="str">
        <x:v>Event mapping technical PASS / listening pending</x:v>
      </x:c>
      <x:c r="H41" s="24" t="str">
        <x:v>Assets/_Project/Audio/SFX/Door.wav</x:v>
      </x:c>
      <x:c r="I41" s="24" t="str">
        <x:v>2a3bd6d7753bf8508bed82d14fa64b9f</x:v>
      </x:c>
      <x:c r="J41" s="24" t="str">
        <x:v>feedback.doorclosed</x:v>
      </x:c>
      <x:c r="K41" s="44" t="n">
        <x:v>0.75</x:v>
      </x:c>
      <x:c r="L41" s="44" t="n">
        <x:v>1</x:v>
      </x:c>
      <x:c r="M41" s="24" t="str">
        <x:v>No</x:v>
      </x:c>
      <x:c r="N41" s="24" t="str">
        <x:v>2D</x:v>
      </x:c>
      <x:c r="O41" s="24" t="str">
        <x:v>Inherits clip</x:v>
      </x:c>
      <x:c r="P41" s="24" t="n">
        <x:v>16</x:v>
      </x:c>
      <x:c r="Q41" s="24" t="str">
        <x:v>VS-AUD-001</x:v>
      </x:c>
      <x:c r="R41" s="24" t="str">
        <x:v>Shared clip / cooldown review</x:v>
      </x:c>
      <x:c r="S41" s="24" t="str">
        <x:v>Catalog inspection</x:v>
      </x:c>
      <x:c r="T41" s="24" t="str"/>
    </x:row>
  </x:sheetData>
  <x:mergeCells>
    <x:mergeCell ref="A1:T1"/>
    <x:mergeCell ref="A2:T2"/>
    <x:mergeCell ref="A17:T17"/>
  </x:mergeCells>
  <x:conditionalFormatting sqref="E5:E14">
    <x:cfRule type="expression" dxfId="184" priority="1">
      <x:formula>OR(ISNUMBER(SEARCH("PASS",E5)),ISNUMBER(SEARCH("CANONICAL",E5)),ISNUMBER(SEARCH("DONE",E5)))</x:formula>
    </x:cfRule>
    <x:cfRule type="expression" dxfId="185" priority="2">
      <x:formula>OR(ISNUMBER(SEARCH("BLOCK",E5)),ISNUMBER(SEARCH("FAIL",E5)),ISNUMBER(SEARCH("S1",E5)))</x:formula>
    </x:cfRule>
    <x:cfRule type="expression" dxfId="186" priority="3">
      <x:formula>OR(ISNUMBER(SEARCH("PENDING",E5)),ISNUMBER(SEARCH("PLANNED",E5)),ISNUMBER(SEARCH("PARTIAL",E5)),ISNUMBER(SEARCH("PLACEHOLDER",E5)))</x:formula>
    </x:cfRule>
    <x:cfRule type="expression" dxfId="187" priority="4">
      <x:formula>OR(ISNUMBER(SEARCH("VISION",E5)),ISNUMBER(SEARCH("HISTORICAL",E5)))</x:formula>
    </x:cfRule>
  </x:conditionalFormatting>
  <x:conditionalFormatting sqref="E19:E41">
    <x:cfRule type="expression" dxfId="188" priority="5">
      <x:formula>OR(ISNUMBER(SEARCH("PASS",E19)),ISNUMBER(SEARCH("CANONICAL",E19)),ISNUMBER(SEARCH("DONE",E19)))</x:formula>
    </x:cfRule>
    <x:cfRule type="expression" dxfId="189" priority="6">
      <x:formula>OR(ISNUMBER(SEARCH("BLOCK",E19)),ISNUMBER(SEARCH("FAIL",E19)),ISNUMBER(SEARCH("S1",E19)))</x:formula>
    </x:cfRule>
    <x:cfRule type="expression" dxfId="190" priority="7">
      <x:formula>OR(ISNUMBER(SEARCH("PENDING",E19)),ISNUMBER(SEARCH("PLANNED",E19)),ISNUMBER(SEARCH("PARTIAL",E19)),ISNUMBER(SEARCH("PLACEHOLDER",E19)))</x:formula>
    </x:cfRule>
    <x:cfRule type="expression" dxfId="191" priority="8">
      <x:formula>OR(ISNUMBER(SEARCH("VISION",E19)),ISNUMBER(SEARCH("HISTORICAL",E19)))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6be776c6664a414b"/>
    <x:tablePart xmlns:r="http://schemas.openxmlformats.org/officeDocument/2006/relationships" r:id="Rb9e1d651a15a47e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24" hidden="0" customWidth="1"/>
    <x:col min="5" max="5" width="28" hidden="0" customWidth="1"/>
    <x:col min="6" max="6" width="30" hidden="0" customWidth="1"/>
    <x:col min="7" max="7" width="34" hidden="0" customWidth="1"/>
    <x:col min="8" max="8" width="68" hidden="0" customWidth="1"/>
    <x:col min="9" max="9" width="36" hidden="0" customWidth="1"/>
    <x:col min="10" max="10" width="32" hidden="0" customWidth="1"/>
    <x:col min="11" max="11" width="20" hidden="0" customWidth="1"/>
    <x:col min="12" max="12" width="24" hidden="0" customWidth="1"/>
    <x:col min="13" max="13" width="12" hidden="0" customWidth="1"/>
    <x:col min="14" max="14" width="24" hidden="0" customWidth="1"/>
    <x:col min="15" max="15" width="14" hidden="0" customWidth="1"/>
    <x:col min="16" max="16" width="34" hidden="0" customWidth="1"/>
    <x:col min="17" max="17" width="55" hidden="0" customWidth="1"/>
  </x:cols>
  <x:sheetData>
    <x:row r="1" ht="30" customHeight="1">
      <x:c r="A1" s="4" t="str">
        <x:v>VFX y animación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Animaciones reales y feedback VFX requerido o provisional.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 ht="36" customHeight="1">
      <x:c r="A4" s="17" t="str">
        <x:v>Content ID</x:v>
      </x:c>
      <x:c r="B4" s="17" t="str">
        <x:v>Nombre</x:v>
      </x:c>
      <x:c r="C4" s="17" t="str">
        <x:v>Tipo</x:v>
      </x:c>
      <x:c r="D4" s="17" t="str">
        <x:v>Familia</x:v>
      </x:c>
      <x:c r="E4" s="17" t="str">
        <x:v>Estado canónico</x:v>
      </x:c>
      <x:c r="F4" s="17" t="str">
        <x:v>Implementación</x:v>
      </x:c>
      <x:c r="G4" s="17" t="str">
        <x:v>Validación</x:v>
      </x:c>
      <x:c r="H4" s="17" t="str">
        <x:v>Ruta</x:v>
      </x:c>
      <x:c r="I4" s="17" t="str">
        <x:v>GUID</x:v>
      </x:c>
      <x:c r="J4" s="17" t="str">
        <x:v>Prefab/Evento</x:v>
      </x:c>
      <x:c r="K4" s="17" t="str">
        <x:v>Loop/Trigger</x:v>
      </x:c>
      <x:c r="L4" s="17" t="str">
        <x:v>Licencia</x:v>
      </x:c>
      <x:c r="M4" s="17" t="str">
        <x:v>Sprint</x:v>
      </x:c>
      <x:c r="N4" s="17" t="str">
        <x:v>Requisito</x:v>
      </x:c>
      <x:c r="O4" s="17" t="str">
        <x:v>Placeholder</x:v>
      </x:c>
      <x:c r="P4" s="17" t="str">
        <x:v>Deuda</x:v>
      </x:c>
      <x:c r="Q4" s="17" t="str">
        <x:v>Notas</x:v>
      </x:c>
    </x:row>
    <x:row r="5" ht="34" customHeight="1">
      <x:c r="A5" s="24" t="str">
        <x:v>ANM-001</x:v>
      </x:c>
      <x:c r="B5" s="24" t="str">
        <x:v>Checkout.anim</x:v>
      </x:c>
      <x:c r="C5" s="24" t="str">
        <x:v>Animation asset</x:v>
      </x:c>
      <x:c r="D5" s="24" t="str">
        <x:v>Characters</x:v>
      </x:c>
      <x:c r="E5" s="24" t="str">
        <x:v>REPRESENTATIVE</x:v>
      </x:c>
      <x:c r="F5" s="24" t="str">
        <x:v>Asset available</x:v>
      </x:c>
      <x:c r="G5" s="24" t="str">
        <x:v>Runtime/visual review pending</x:v>
      </x:c>
      <x:c r="H5" s="24" t="str">
        <x:v>Assets/_Project/Animations/Characters/Checkout.anim</x:v>
      </x:c>
      <x:c r="I5" s="24" t="str">
        <x:v>b3bb35a4ebf1741da87f244f45e51cbd</x:v>
      </x:c>
      <x:c r="J5" s="24" t="str">
        <x:v>Character representative</x:v>
      </x:c>
      <x:c r="K5" s="24" t="str">
        <x:v>Review</x:v>
      </x:c>
      <x:c r="L5" s="24" t="str">
        <x:v>Internal/Approved</x:v>
      </x:c>
      <x:c r="M5" s="24" t="n">
        <x:v>16</x:v>
      </x:c>
      <x:c r="N5" s="24" t="str">
        <x:v>VS-ART-001</x:v>
      </x:c>
      <x:c r="O5" s="24" t="str">
        <x:v>Sí</x:v>
      </x:c>
      <x:c r="P5" s="24" t="str">
        <x:v>Final rigs/variants not demonstrated</x:v>
      </x:c>
      <x:c r="Q5" s="24" t="str"/>
    </x:row>
    <x:row r="6" ht="34" customHeight="1">
      <x:c r="A6" s="24" t="str">
        <x:v>ANM-002</x:v>
      </x:c>
      <x:c r="B6" s="24" t="str">
        <x:v>Frustrated.anim</x:v>
      </x:c>
      <x:c r="C6" s="24" t="str">
        <x:v>Animation asset</x:v>
      </x:c>
      <x:c r="D6" s="24" t="str">
        <x:v>Characters</x:v>
      </x:c>
      <x:c r="E6" s="24" t="str">
        <x:v>REPRESENTATIVE</x:v>
      </x:c>
      <x:c r="F6" s="24" t="str">
        <x:v>Asset available</x:v>
      </x:c>
      <x:c r="G6" s="24" t="str">
        <x:v>Runtime/visual review pending</x:v>
      </x:c>
      <x:c r="H6" s="24" t="str">
        <x:v>Assets/_Project/Animations/Characters/Frustrated.anim</x:v>
      </x:c>
      <x:c r="I6" s="24" t="str">
        <x:v>3ac28672d02429830e5ec6c5e7d09d82</x:v>
      </x:c>
      <x:c r="J6" s="24" t="str">
        <x:v>Character representative</x:v>
      </x:c>
      <x:c r="K6" s="24" t="str">
        <x:v>Review</x:v>
      </x:c>
      <x:c r="L6" s="24" t="str">
        <x:v>Internal/Approved</x:v>
      </x:c>
      <x:c r="M6" s="24" t="n">
        <x:v>16</x:v>
      </x:c>
      <x:c r="N6" s="24" t="str">
        <x:v>VS-ART-001</x:v>
      </x:c>
      <x:c r="O6" s="24" t="str">
        <x:v>Sí</x:v>
      </x:c>
      <x:c r="P6" s="24" t="str">
        <x:v>Final rigs/variants not demonstrated</x:v>
      </x:c>
      <x:c r="Q6" s="24" t="str"/>
    </x:row>
    <x:row r="7" ht="34" customHeight="1">
      <x:c r="A7" s="24" t="str">
        <x:v>ANM-003</x:v>
      </x:c>
      <x:c r="B7" s="24" t="str">
        <x:v>Idle.anim</x:v>
      </x:c>
      <x:c r="C7" s="24" t="str">
        <x:v>Animation asset</x:v>
      </x:c>
      <x:c r="D7" s="24" t="str">
        <x:v>Characters</x:v>
      </x:c>
      <x:c r="E7" s="24" t="str">
        <x:v>REPRESENTATIVE</x:v>
      </x:c>
      <x:c r="F7" s="24" t="str">
        <x:v>Asset available</x:v>
      </x:c>
      <x:c r="G7" s="24" t="str">
        <x:v>Runtime/visual review pending</x:v>
      </x:c>
      <x:c r="H7" s="24" t="str">
        <x:v>Assets/_Project/Animations/Characters/Idle.anim</x:v>
      </x:c>
      <x:c r="I7" s="24" t="str">
        <x:v>00b8a0a5b29b4bd340b6c524f0a1137a</x:v>
      </x:c>
      <x:c r="J7" s="24" t="str">
        <x:v>Character representative</x:v>
      </x:c>
      <x:c r="K7" s="24" t="str">
        <x:v>Review</x:v>
      </x:c>
      <x:c r="L7" s="24" t="str">
        <x:v>Internal/Approved</x:v>
      </x:c>
      <x:c r="M7" s="24" t="n">
        <x:v>16</x:v>
      </x:c>
      <x:c r="N7" s="24" t="str">
        <x:v>VS-ART-001</x:v>
      </x:c>
      <x:c r="O7" s="24" t="str">
        <x:v>Sí</x:v>
      </x:c>
      <x:c r="P7" s="24" t="str">
        <x:v>Final rigs/variants not demonstrated</x:v>
      </x:c>
      <x:c r="Q7" s="24" t="str"/>
    </x:row>
    <x:row r="8" ht="34" customHeight="1">
      <x:c r="A8" s="24" t="str">
        <x:v>ANM-004</x:v>
      </x:c>
      <x:c r="B8" s="24" t="str">
        <x:v>MoveCrate.anim</x:v>
      </x:c>
      <x:c r="C8" s="24" t="str">
        <x:v>Animation asset</x:v>
      </x:c>
      <x:c r="D8" s="24" t="str">
        <x:v>Characters</x:v>
      </x:c>
      <x:c r="E8" s="24" t="str">
        <x:v>REPRESENTATIVE</x:v>
      </x:c>
      <x:c r="F8" s="24" t="str">
        <x:v>Asset available</x:v>
      </x:c>
      <x:c r="G8" s="24" t="str">
        <x:v>Runtime/visual review pending</x:v>
      </x:c>
      <x:c r="H8" s="24" t="str">
        <x:v>Assets/_Project/Animations/Characters/MoveCrate.anim</x:v>
      </x:c>
      <x:c r="I8" s="24" t="str">
        <x:v>f52ffcf3371527d29e26f3d0d549d19d</x:v>
      </x:c>
      <x:c r="J8" s="24" t="str">
        <x:v>Character representative</x:v>
      </x:c>
      <x:c r="K8" s="24" t="str">
        <x:v>Review</x:v>
      </x:c>
      <x:c r="L8" s="24" t="str">
        <x:v>Internal/Approved</x:v>
      </x:c>
      <x:c r="M8" s="24" t="n">
        <x:v>16</x:v>
      </x:c>
      <x:c r="N8" s="24" t="str">
        <x:v>VS-ART-001</x:v>
      </x:c>
      <x:c r="O8" s="24" t="str">
        <x:v>Sí</x:v>
      </x:c>
      <x:c r="P8" s="24" t="str">
        <x:v>Final rigs/variants not demonstrated</x:v>
      </x:c>
      <x:c r="Q8" s="24" t="str"/>
    </x:row>
    <x:row r="9" ht="34" customHeight="1">
      <x:c r="A9" s="24" t="str">
        <x:v>ANM-005</x:v>
      </x:c>
      <x:c r="B9" s="24" t="str">
        <x:v>Observe.anim</x:v>
      </x:c>
      <x:c r="C9" s="24" t="str">
        <x:v>Animation asset</x:v>
      </x:c>
      <x:c r="D9" s="24" t="str">
        <x:v>Characters</x:v>
      </x:c>
      <x:c r="E9" s="24" t="str">
        <x:v>REPRESENTATIVE</x:v>
      </x:c>
      <x:c r="F9" s="24" t="str">
        <x:v>Asset available</x:v>
      </x:c>
      <x:c r="G9" s="24" t="str">
        <x:v>Runtime/visual review pending</x:v>
      </x:c>
      <x:c r="H9" s="24" t="str">
        <x:v>Assets/_Project/Animations/Characters/Observe.anim</x:v>
      </x:c>
      <x:c r="I9" s="24" t="str">
        <x:v>7bbf91dbfdf8f766043333960b92fc7e</x:v>
      </x:c>
      <x:c r="J9" s="24" t="str">
        <x:v>Character representative</x:v>
      </x:c>
      <x:c r="K9" s="24" t="str">
        <x:v>Review</x:v>
      </x:c>
      <x:c r="L9" s="24" t="str">
        <x:v>Internal/Approved</x:v>
      </x:c>
      <x:c r="M9" s="24" t="n">
        <x:v>16</x:v>
      </x:c>
      <x:c r="N9" s="24" t="str">
        <x:v>VS-ART-001</x:v>
      </x:c>
      <x:c r="O9" s="24" t="str">
        <x:v>Sí</x:v>
      </x:c>
      <x:c r="P9" s="24" t="str">
        <x:v>Final rigs/variants not demonstrated</x:v>
      </x:c>
      <x:c r="Q9" s="24" t="str"/>
    </x:row>
    <x:row r="10" ht="34" customHeight="1">
      <x:c r="A10" s="24" t="str">
        <x:v>ANM-006</x:v>
      </x:c>
      <x:c r="B10" s="24" t="str">
        <x:v>PickProduct.anim</x:v>
      </x:c>
      <x:c r="C10" s="24" t="str">
        <x:v>Animation asset</x:v>
      </x:c>
      <x:c r="D10" s="24" t="str">
        <x:v>Characters</x:v>
      </x:c>
      <x:c r="E10" s="24" t="str">
        <x:v>REPRESENTATIVE</x:v>
      </x:c>
      <x:c r="F10" s="24" t="str">
        <x:v>Asset available</x:v>
      </x:c>
      <x:c r="G10" s="24" t="str">
        <x:v>Runtime/visual review pending</x:v>
      </x:c>
      <x:c r="H10" s="24" t="str">
        <x:v>Assets/_Project/Animations/Characters/PickProduct.anim</x:v>
      </x:c>
      <x:c r="I10" s="24" t="str">
        <x:v>df5fd4a5d0068ad75bd607aa764805bd</x:v>
      </x:c>
      <x:c r="J10" s="24" t="str">
        <x:v>Character representative</x:v>
      </x:c>
      <x:c r="K10" s="24" t="str">
        <x:v>Review</x:v>
      </x:c>
      <x:c r="L10" s="24" t="str">
        <x:v>Internal/Approved</x:v>
      </x:c>
      <x:c r="M10" s="24" t="n">
        <x:v>16</x:v>
      </x:c>
      <x:c r="N10" s="24" t="str">
        <x:v>VS-ART-001</x:v>
      </x:c>
      <x:c r="O10" s="24" t="str">
        <x:v>Sí</x:v>
      </x:c>
      <x:c r="P10" s="24" t="str">
        <x:v>Final rigs/variants not demonstrated</x:v>
      </x:c>
      <x:c r="Q10" s="24" t="str"/>
    </x:row>
    <x:row r="11" ht="34" customHeight="1">
      <x:c r="A11" s="24" t="str">
        <x:v>ANM-007</x:v>
      </x:c>
      <x:c r="B11" s="24" t="str">
        <x:v>PlayerPlace.anim</x:v>
      </x:c>
      <x:c r="C11" s="24" t="str">
        <x:v>Animation asset</x:v>
      </x:c>
      <x:c r="D11" s="24" t="str">
        <x:v>Characters</x:v>
      </x:c>
      <x:c r="E11" s="24" t="str">
        <x:v>REPRESENTATIVE</x:v>
      </x:c>
      <x:c r="F11" s="24" t="str">
        <x:v>Asset available</x:v>
      </x:c>
      <x:c r="G11" s="24" t="str">
        <x:v>Runtime/visual review pending</x:v>
      </x:c>
      <x:c r="H11" s="24" t="str">
        <x:v>Assets/_Project/Animations/Characters/PlayerPlace.anim</x:v>
      </x:c>
      <x:c r="I11" s="24" t="str">
        <x:v>d936bbd9c9cbae26a1c5dc0b58eb9437</x:v>
      </x:c>
      <x:c r="J11" s="24" t="str">
        <x:v>Character representative</x:v>
      </x:c>
      <x:c r="K11" s="24" t="str">
        <x:v>Review</x:v>
      </x:c>
      <x:c r="L11" s="24" t="str">
        <x:v>Internal/Approved</x:v>
      </x:c>
      <x:c r="M11" s="24" t="n">
        <x:v>16</x:v>
      </x:c>
      <x:c r="N11" s="24" t="str">
        <x:v>VS-ART-001</x:v>
      </x:c>
      <x:c r="O11" s="24" t="str">
        <x:v>Sí</x:v>
      </x:c>
      <x:c r="P11" s="24" t="str">
        <x:v>Final rigs/variants not demonstrated</x:v>
      </x:c>
      <x:c r="Q11" s="24" t="str"/>
    </x:row>
    <x:row r="12" ht="34" customHeight="1">
      <x:c r="A12" s="24" t="str">
        <x:v>ANM-008</x:v>
      </x:c>
      <x:c r="B12" s="24" t="str">
        <x:v>PlayerRemove.anim</x:v>
      </x:c>
      <x:c r="C12" s="24" t="str">
        <x:v>Animation asset</x:v>
      </x:c>
      <x:c r="D12" s="24" t="str">
        <x:v>Characters</x:v>
      </x:c>
      <x:c r="E12" s="24" t="str">
        <x:v>REPRESENTATIVE</x:v>
      </x:c>
      <x:c r="F12" s="24" t="str">
        <x:v>Asset available</x:v>
      </x:c>
      <x:c r="G12" s="24" t="str">
        <x:v>Runtime/visual review pending</x:v>
      </x:c>
      <x:c r="H12" s="24" t="str">
        <x:v>Assets/_Project/Animations/Characters/PlayerRemove.anim</x:v>
      </x:c>
      <x:c r="I12" s="24" t="str">
        <x:v>84c4837405aef34de6df41828111ba2e</x:v>
      </x:c>
      <x:c r="J12" s="24" t="str">
        <x:v>Character representative</x:v>
      </x:c>
      <x:c r="K12" s="24" t="str">
        <x:v>Review</x:v>
      </x:c>
      <x:c r="L12" s="24" t="str">
        <x:v>Internal/Approved</x:v>
      </x:c>
      <x:c r="M12" s="24" t="n">
        <x:v>16</x:v>
      </x:c>
      <x:c r="N12" s="24" t="str">
        <x:v>VS-ART-001</x:v>
      </x:c>
      <x:c r="O12" s="24" t="str">
        <x:v>Sí</x:v>
      </x:c>
      <x:c r="P12" s="24" t="str">
        <x:v>Final rigs/variants not demonstrated</x:v>
      </x:c>
      <x:c r="Q12" s="24" t="str"/>
    </x:row>
    <x:row r="13" ht="34" customHeight="1">
      <x:c r="A13" s="24" t="str">
        <x:v>ANM-009</x:v>
      </x:c>
      <x:c r="B13" s="24" t="str">
        <x:v>QueueWait.anim</x:v>
      </x:c>
      <x:c r="C13" s="24" t="str">
        <x:v>Animation asset</x:v>
      </x:c>
      <x:c r="D13" s="24" t="str">
        <x:v>Characters</x:v>
      </x:c>
      <x:c r="E13" s="24" t="str">
        <x:v>REPRESENTATIVE</x:v>
      </x:c>
      <x:c r="F13" s="24" t="str">
        <x:v>Asset available</x:v>
      </x:c>
      <x:c r="G13" s="24" t="str">
        <x:v>Runtime/visual review pending</x:v>
      </x:c>
      <x:c r="H13" s="24" t="str">
        <x:v>Assets/_Project/Animations/Characters/QueueWait.anim</x:v>
      </x:c>
      <x:c r="I13" s="24" t="str">
        <x:v>c6ebe55717d652582cbd7f1690e8d84c</x:v>
      </x:c>
      <x:c r="J13" s="24" t="str">
        <x:v>Character representative</x:v>
      </x:c>
      <x:c r="K13" s="24" t="str">
        <x:v>Review</x:v>
      </x:c>
      <x:c r="L13" s="24" t="str">
        <x:v>Internal/Approved</x:v>
      </x:c>
      <x:c r="M13" s="24" t="n">
        <x:v>16</x:v>
      </x:c>
      <x:c r="N13" s="24" t="str">
        <x:v>VS-ART-001</x:v>
      </x:c>
      <x:c r="O13" s="24" t="str">
        <x:v>Sí</x:v>
      </x:c>
      <x:c r="P13" s="24" t="str">
        <x:v>Final rigs/variants not demonstrated</x:v>
      </x:c>
      <x:c r="Q13" s="24" t="str"/>
    </x:row>
    <x:row r="14" ht="34" customHeight="1">
      <x:c r="A14" s="24" t="str">
        <x:v>ANM-010</x:v>
      </x:c>
      <x:c r="B14" s="24" t="str">
        <x:v>Satisfied.anim</x:v>
      </x:c>
      <x:c r="C14" s="24" t="str">
        <x:v>Animation asset</x:v>
      </x:c>
      <x:c r="D14" s="24" t="str">
        <x:v>Characters</x:v>
      </x:c>
      <x:c r="E14" s="24" t="str">
        <x:v>REPRESENTATIVE</x:v>
      </x:c>
      <x:c r="F14" s="24" t="str">
        <x:v>Asset available</x:v>
      </x:c>
      <x:c r="G14" s="24" t="str">
        <x:v>Runtime/visual review pending</x:v>
      </x:c>
      <x:c r="H14" s="24" t="str">
        <x:v>Assets/_Project/Animations/Characters/Satisfied.anim</x:v>
      </x:c>
      <x:c r="I14" s="24" t="str">
        <x:v>4b84f7b6061bcf8a6c324f4dc5f2f96d</x:v>
      </x:c>
      <x:c r="J14" s="24" t="str">
        <x:v>Character representative</x:v>
      </x:c>
      <x:c r="K14" s="24" t="str">
        <x:v>Review</x:v>
      </x:c>
      <x:c r="L14" s="24" t="str">
        <x:v>Internal/Approved</x:v>
      </x:c>
      <x:c r="M14" s="24" t="n">
        <x:v>16</x:v>
      </x:c>
      <x:c r="N14" s="24" t="str">
        <x:v>VS-ART-001</x:v>
      </x:c>
      <x:c r="O14" s="24" t="str">
        <x:v>Sí</x:v>
      </x:c>
      <x:c r="P14" s="24" t="str">
        <x:v>Final rigs/variants not demonstrated</x:v>
      </x:c>
      <x:c r="Q14" s="24" t="str"/>
    </x:row>
    <x:row r="15" ht="34" customHeight="1">
      <x:c r="A15" s="24" t="str">
        <x:v>ANM-011</x:v>
      </x:c>
      <x:c r="B15" s="24" t="str">
        <x:v>Walk.anim</x:v>
      </x:c>
      <x:c r="C15" s="24" t="str">
        <x:v>Animation asset</x:v>
      </x:c>
      <x:c r="D15" s="24" t="str">
        <x:v>Characters</x:v>
      </x:c>
      <x:c r="E15" s="24" t="str">
        <x:v>REPRESENTATIVE</x:v>
      </x:c>
      <x:c r="F15" s="24" t="str">
        <x:v>Asset available</x:v>
      </x:c>
      <x:c r="G15" s="24" t="str">
        <x:v>Runtime/visual review pending</x:v>
      </x:c>
      <x:c r="H15" s="24" t="str">
        <x:v>Assets/_Project/Animations/Characters/Walk.anim</x:v>
      </x:c>
      <x:c r="I15" s="24" t="str">
        <x:v>9ab8e0041fe30860d769d97c4cd5c961</x:v>
      </x:c>
      <x:c r="J15" s="24" t="str">
        <x:v>Character representative</x:v>
      </x:c>
      <x:c r="K15" s="24" t="str">
        <x:v>Review</x:v>
      </x:c>
      <x:c r="L15" s="24" t="str">
        <x:v>Internal/Approved</x:v>
      </x:c>
      <x:c r="M15" s="24" t="n">
        <x:v>16</x:v>
      </x:c>
      <x:c r="N15" s="24" t="str">
        <x:v>VS-ART-001</x:v>
      </x:c>
      <x:c r="O15" s="24" t="str">
        <x:v>Sí</x:v>
      </x:c>
      <x:c r="P15" s="24" t="str">
        <x:v>Final rigs/variants not demonstrated</x:v>
      </x:c>
      <x:c r="Q15" s="24" t="str"/>
    </x:row>
    <x:row r="16" ht="34" customHeight="1">
      <x:c r="A16" s="24" t="str">
        <x:v>VFX-001</x:v>
      </x:c>
      <x:c r="B16" s="24" t="str">
        <x:v>Placement valid feedback</x:v>
      </x:c>
      <x:c r="C16" s="24" t="str">
        <x:v>VFX</x:v>
      </x:c>
      <x:c r="D16" s="24" t="str">
        <x:v>placement-valid</x:v>
      </x:c>
      <x:c r="E16" s="24" t="str">
        <x:v>REQUIRED / PLACEHOLDER</x:v>
      </x:c>
      <x:c r="F16" s="24" t="str">
        <x:v>Representative via material/presentation fallback</x:v>
      </x:c>
      <x:c r="G16" s="24" t="str">
        <x:v>Visual/build review pending</x:v>
      </x:c>
      <x:c r="H16" s="24" t="str">
        <x:v>No dedicated VFX asset demonstrated</x:v>
      </x:c>
      <x:c r="I16" s="24" t="str"/>
      <x:c r="J16" s="24" t="str">
        <x:v>placement-valid</x:v>
      </x:c>
      <x:c r="K16" s="24" t="str">
        <x:v>Event-driven</x:v>
      </x:c>
      <x:c r="L16" s="24" t="str">
        <x:v>Internal</x:v>
      </x:c>
      <x:c r="M16" s="24" t="n">
        <x:v>16</x:v>
      </x:c>
      <x:c r="N16" s="24" t="str">
        <x:v>VS-ART-002</x:v>
      </x:c>
      <x:c r="O16" s="24" t="str">
        <x:v>Sí</x:v>
      </x:c>
      <x:c r="P16" s="24" t="str">
        <x:v>Dedicated VFX missing</x:v>
      </x:c>
      <x:c r="Q16" s="24" t="str"/>
    </x:row>
    <x:row r="17" ht="34" customHeight="1">
      <x:c r="A17" s="24" t="str">
        <x:v>VFX-002</x:v>
      </x:c>
      <x:c r="B17" s="24" t="str">
        <x:v>Placement invalid feedback</x:v>
      </x:c>
      <x:c r="C17" s="24" t="str">
        <x:v>VFX</x:v>
      </x:c>
      <x:c r="D17" s="24" t="str">
        <x:v>placement-invalid</x:v>
      </x:c>
      <x:c r="E17" s="24" t="str">
        <x:v>REQUIRED / PLACEHOLDER</x:v>
      </x:c>
      <x:c r="F17" s="24" t="str">
        <x:v>Representative via material/presentation fallback</x:v>
      </x:c>
      <x:c r="G17" s="24" t="str">
        <x:v>Visual/build review pending</x:v>
      </x:c>
      <x:c r="H17" s="24" t="str">
        <x:v>No dedicated VFX asset demonstrated</x:v>
      </x:c>
      <x:c r="I17" s="24" t="str"/>
      <x:c r="J17" s="24" t="str">
        <x:v>placement-invalid</x:v>
      </x:c>
      <x:c r="K17" s="24" t="str">
        <x:v>Event-driven</x:v>
      </x:c>
      <x:c r="L17" s="24" t="str">
        <x:v>Internal</x:v>
      </x:c>
      <x:c r="M17" s="24" t="n">
        <x:v>16</x:v>
      </x:c>
      <x:c r="N17" s="24" t="str">
        <x:v>VS-ART-002</x:v>
      </x:c>
      <x:c r="O17" s="24" t="str">
        <x:v>Sí</x:v>
      </x:c>
      <x:c r="P17" s="24" t="str">
        <x:v>Dedicated VFX missing</x:v>
      </x:c>
      <x:c r="Q17" s="24" t="str"/>
    </x:row>
    <x:row r="18" ht="34" customHeight="1">
      <x:c r="A18" s="24" t="str">
        <x:v>VFX-003</x:v>
      </x:c>
      <x:c r="B18" s="24" t="str">
        <x:v>Sale feedback</x:v>
      </x:c>
      <x:c r="C18" s="24" t="str">
        <x:v>VFX</x:v>
      </x:c>
      <x:c r="D18" s="24" t="str">
        <x:v>sale-feedback</x:v>
      </x:c>
      <x:c r="E18" s="24" t="str">
        <x:v>REQUIRED / PLACEHOLDER</x:v>
      </x:c>
      <x:c r="F18" s="24" t="str">
        <x:v>Representative/fallback</x:v>
      </x:c>
      <x:c r="G18" s="24" t="str">
        <x:v>Visual/build review pending</x:v>
      </x:c>
      <x:c r="H18" s="24" t="str">
        <x:v>No dedicated VFX asset demonstrated</x:v>
      </x:c>
      <x:c r="I18" s="24" t="str"/>
      <x:c r="J18" s="24" t="str">
        <x:v>sale-feedback</x:v>
      </x:c>
      <x:c r="K18" s="24" t="str">
        <x:v>Event-driven</x:v>
      </x:c>
      <x:c r="L18" s="24" t="str">
        <x:v>Internal</x:v>
      </x:c>
      <x:c r="M18" s="24" t="n">
        <x:v>16</x:v>
      </x:c>
      <x:c r="N18" s="24" t="str">
        <x:v>VS-ART-002</x:v>
      </x:c>
      <x:c r="O18" s="24" t="str">
        <x:v>Sí</x:v>
      </x:c>
      <x:c r="P18" s="24" t="str">
        <x:v>Dedicated VFX missing</x:v>
      </x:c>
      <x:c r="Q18" s="24" t="str"/>
    </x:row>
    <x:row r="19" ht="34" customHeight="1">
      <x:c r="A19" s="24" t="str">
        <x:v>VFX-004</x:v>
      </x:c>
      <x:c r="B19" s="24" t="str">
        <x:v>Warning/alert feedback</x:v>
      </x:c>
      <x:c r="C19" s="24" t="str">
        <x:v>VFX</x:v>
      </x:c>
      <x:c r="D19" s="24" t="str">
        <x:v>warning-alert</x:v>
      </x:c>
      <x:c r="E19" s="24" t="str">
        <x:v>REQUIRED / PLACEHOLDER</x:v>
      </x:c>
      <x:c r="F19" s="24" t="str">
        <x:v>Representative/fallback</x:v>
      </x:c>
      <x:c r="G19" s="24" t="str">
        <x:v>Visual/build review pending</x:v>
      </x:c>
      <x:c r="H19" s="24" t="str">
        <x:v>No dedicated VFX asset demonstrated</x:v>
      </x:c>
      <x:c r="I19" s="24" t="str"/>
      <x:c r="J19" s="24" t="str">
        <x:v>warning-alert</x:v>
      </x:c>
      <x:c r="K19" s="24" t="str">
        <x:v>Event-driven</x:v>
      </x:c>
      <x:c r="L19" s="24" t="str">
        <x:v>Internal</x:v>
      </x:c>
      <x:c r="M19" s="24" t="n">
        <x:v>16</x:v>
      </x:c>
      <x:c r="N19" s="24" t="str">
        <x:v>VS-ART-002</x:v>
      </x:c>
      <x:c r="O19" s="24" t="str">
        <x:v>Sí</x:v>
      </x:c>
      <x:c r="P19" s="24" t="str">
        <x:v>Dedicated VFX missing</x:v>
      </x:c>
      <x:c r="Q19" s="24" t="str"/>
    </x:row>
  </x:sheetData>
  <x:mergeCells>
    <x:mergeCell ref="A1:Q1"/>
    <x:mergeCell ref="A2:Q2"/>
  </x:mergeCells>
  <x:conditionalFormatting sqref="E5:E19">
    <x:cfRule type="expression" dxfId="92" priority="1">
      <x:formula>OR(ISNUMBER(SEARCH("PASS",E5)),ISNUMBER(SEARCH("CANONICAL",E5)),ISNUMBER(SEARCH("DONE",E5)))</x:formula>
    </x:cfRule>
    <x:cfRule type="expression" dxfId="93" priority="2">
      <x:formula>OR(ISNUMBER(SEARCH("BLOCK",E5)),ISNUMBER(SEARCH("FAIL",E5)),ISNUMBER(SEARCH("S1",E5)))</x:formula>
    </x:cfRule>
    <x:cfRule type="expression" dxfId="94" priority="3">
      <x:formula>OR(ISNUMBER(SEARCH("PENDING",E5)),ISNUMBER(SEARCH("PLANNED",E5)),ISNUMBER(SEARCH("PARTIAL",E5)),ISNUMBER(SEARCH("PLACEHOLDER",E5)))</x:formula>
    </x:cfRule>
    <x:cfRule type="expression" dxfId="95" priority="4">
      <x:formula>OR(ISNUMBER(SEARCH("VISION",E5)),ISNUMBER(SEARCH("HISTORICAL",E5)))</x:formula>
    </x:cfRule>
  </x:conditionalFormatting>
  <x:conditionalFormatting sqref="G5:G19">
    <x:cfRule type="expression" dxfId="96" priority="5">
      <x:formula>OR(ISNUMBER(SEARCH("PASS",G5)),ISNUMBER(SEARCH("CANONICAL",G5)),ISNUMBER(SEARCH("DONE",G5)))</x:formula>
    </x:cfRule>
    <x:cfRule type="expression" dxfId="97" priority="6">
      <x:formula>OR(ISNUMBER(SEARCH("BLOCK",G5)),ISNUMBER(SEARCH("FAIL",G5)),ISNUMBER(SEARCH("S1",G5)))</x:formula>
    </x:cfRule>
    <x:cfRule type="expression" dxfId="98" priority="7">
      <x:formula>OR(ISNUMBER(SEARCH("PENDING",G5)),ISNUMBER(SEARCH("PLANNED",G5)),ISNUMBER(SEARCH("PARTIAL",G5)),ISNUMBER(SEARCH("PLACEHOLDER",G5)))</x:formula>
    </x:cfRule>
    <x:cfRule type="expression" dxfId="99" priority="8">
      <x:formula>OR(ISNUMBER(SEARCH("VISION",G5)),ISNUMBER(SEARCH("HISTORICAL",G5)))</x:formula>
    </x:cfRule>
  </x:conditionalFormatting>
  <x:conditionalFormatting sqref="F5:F19">
    <x:cfRule type="expression" dxfId="100" priority="9">
      <x:formula>OR(ISNUMBER(SEARCH("PASS",F5)),ISNUMBER(SEARCH("CANONICAL",F5)),ISNUMBER(SEARCH("DONE",F5)))</x:formula>
    </x:cfRule>
    <x:cfRule type="expression" dxfId="101" priority="10">
      <x:formula>OR(ISNUMBER(SEARCH("BLOCK",F5)),ISNUMBER(SEARCH("FAIL",F5)),ISNUMBER(SEARCH("S1",F5)))</x:formula>
    </x:cfRule>
    <x:cfRule type="expression" dxfId="102" priority="11">
      <x:formula>OR(ISNUMBER(SEARCH("PENDING",F5)),ISNUMBER(SEARCH("PLANNED",F5)),ISNUMBER(SEARCH("PARTIAL",F5)),ISNUMBER(SEARCH("PLACEHOLDER",F5)))</x:formula>
    </x:cfRule>
    <x:cfRule type="expression" dxfId="103" priority="12">
      <x:formula>OR(ISNUMBER(SEARCH("VISION",F5)),ISNUMBER(SEARCH("HISTORICAL",F5)))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e182a184674eb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26" hidden="0" customWidth="1"/>
    <x:col min="5" max="5" width="24" hidden="0" customWidth="1"/>
    <x:col min="6" max="6" width="28" hidden="0" customWidth="1"/>
    <x:col min="7" max="7" width="24" hidden="0" customWidth="1"/>
    <x:col min="8" max="8" width="30" hidden="0" customWidth="1"/>
    <x:col min="9" max="9" width="70" hidden="0" customWidth="1"/>
    <x:col min="10" max="10" width="36" hidden="0" customWidth="1"/>
    <x:col min="11" max="11" width="14" hidden="0" customWidth="1"/>
    <x:col min="12" max="12" width="24" hidden="0" customWidth="1"/>
    <x:col min="13" max="13" width="30" hidden="0" customWidth="1"/>
    <x:col min="14" max="14" width="24" hidden="0" customWidth="1"/>
    <x:col min="15" max="15" width="12" hidden="0" customWidth="1"/>
    <x:col min="16" max="16" width="24" hidden="0" customWidth="1"/>
    <x:col min="17" max="17" width="20" hidden="0" customWidth="1"/>
    <x:col min="18" max="18" width="34" hidden="0" customWidth="1"/>
    <x:col min="19" max="19" width="55" hidden="0" customWidth="1"/>
  </x:cols>
  <x:sheetData>
    <x:row r="1" ht="30" customHeight="1">
      <x:c r="A1" s="4" t="str">
        <x:v>Materiales y texturas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2" customHeight="1">
      <x:c r="A2" s="10" t="str">
        <x:v>Materiales URP, paleta runtime, texturas e iconos/cover observados.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4" ht="36" customHeight="1">
      <x:c r="A4" s="17" t="str">
        <x:v>Content ID</x:v>
      </x:c>
      <x:c r="B4" s="17" t="str">
        <x:v>Nombre</x:v>
      </x:c>
      <x:c r="C4" s="17" t="str">
        <x:v>Tipo</x:v>
      </x:c>
      <x:c r="D4" s="17" t="str">
        <x:v>Familia</x:v>
      </x:c>
      <x:c r="E4" s="17" t="str">
        <x:v>Palette ID</x:v>
      </x:c>
      <x:c r="F4" s="17" t="str">
        <x:v>Estado canónico</x:v>
      </x:c>
      <x:c r="G4" s="17" t="str">
        <x:v>Implementación</x:v>
      </x:c>
      <x:c r="H4" s="17" t="str">
        <x:v>Validación</x:v>
      </x:c>
      <x:c r="I4" s="17" t="str">
        <x:v>Ruta</x:v>
      </x:c>
      <x:c r="J4" s="17" t="str">
        <x:v>GUID</x:v>
      </x:c>
      <x:c r="K4" s="17" t="str">
        <x:v>Tamaño KiB</x:v>
      </x:c>
      <x:c r="L4" s="17" t="str">
        <x:v>Shader/Format</x:v>
      </x:c>
      <x:c r="M4" s="17" t="str">
        <x:v>Uso</x:v>
      </x:c>
      <x:c r="N4" s="17" t="str">
        <x:v>Licencia</x:v>
      </x:c>
      <x:c r="O4" s="17" t="str">
        <x:v>Sprint</x:v>
      </x:c>
      <x:c r="P4" s="17" t="str">
        <x:v>Requisito</x:v>
      </x:c>
      <x:c r="Q4" s="17" t="str">
        <x:v>Placeholder</x:v>
      </x:c>
      <x:c r="R4" s="17" t="str">
        <x:v>Deuda</x:v>
      </x:c>
      <x:c r="S4" s="17" t="str">
        <x:v>Notas</x:v>
      </x:c>
    </x:row>
    <x:row r="5" ht="34" customHeight="1">
      <x:c r="A5" s="24" t="str">
        <x:v>MAT-001</x:v>
      </x:c>
      <x:c r="B5" s="24" t="str">
        <x:v>ShellFloor.mat</x:v>
      </x:c>
      <x:c r="C5" s="24" t="str">
        <x:v>Material</x:v>
      </x:c>
      <x:c r="D5" s="24" t="str">
        <x:v>Architecture</x:v>
      </x:c>
      <x:c r="E5" s="24" t="str">
        <x:v>shell-floor</x:v>
      </x:c>
      <x:c r="F5" s="24" t="str">
        <x:v>ACTIVE</x:v>
      </x:c>
      <x:c r="G5" s="24" t="str">
        <x:v>Imported</x:v>
      </x:c>
      <x:c r="H5" s="24" t="str">
        <x:v>URP/visual review pending</x:v>
      </x:c>
      <x:c r="I5" s="24" t="str">
        <x:v>Assets/_Project/Art/Materials/Architecture/ShellFloor.mat</x:v>
      </x:c>
      <x:c r="J5" s="24" t="str">
        <x:v>35787df586ad5129d27061d5e7aeea65</x:v>
      </x:c>
      <x:c r="K5" s="44" t="n">
        <x:v>3.73</x:v>
      </x:c>
      <x:c r="L5" s="24" t="str">
        <x:v>URP material</x:v>
      </x:c>
      <x:c r="M5" s="24" t="str">
        <x:v>shell-floor</x:v>
      </x:c>
      <x:c r="N5" s="24" t="str">
        <x:v>Internal/Approved</x:v>
      </x:c>
      <x:c r="O5" s="24" t="n">
        <x:v>16</x:v>
      </x:c>
      <x:c r="P5" s="24" t="str">
        <x:v>VS-ART-001</x:v>
      </x:c>
      <x:c r="Q5" s="24" t="str">
        <x:v>Representative</x:v>
      </x:c>
      <x:c r="R5" s="24" t="str">
        <x:v>Texture/outline final not demonstrated</x:v>
      </x:c>
      <x:c r="S5" s="24" t="str"/>
    </x:row>
    <x:row r="6" ht="34" customHeight="1">
      <x:c r="A6" s="24" t="str">
        <x:v>MAT-002</x:v>
      </x:c>
      <x:c r="B6" s="24" t="str">
        <x:v>ShellGlass.mat</x:v>
      </x:c>
      <x:c r="C6" s="24" t="str">
        <x:v>Material</x:v>
      </x:c>
      <x:c r="D6" s="24" t="str">
        <x:v>Architecture</x:v>
      </x:c>
      <x:c r="E6" s="24" t="str">
        <x:v>shell-glass</x:v>
      </x:c>
      <x:c r="F6" s="24" t="str">
        <x:v>ACTIVE</x:v>
      </x:c>
      <x:c r="G6" s="24" t="str">
        <x:v>Imported</x:v>
      </x:c>
      <x:c r="H6" s="24" t="str">
        <x:v>URP/visual review pending</x:v>
      </x:c>
      <x:c r="I6" s="24" t="str">
        <x:v>Assets/_Project/Art/Materials/Architecture/ShellGlass.mat</x:v>
      </x:c>
      <x:c r="J6" s="24" t="str">
        <x:v>1a9b44fd5329085763b0f345145d40c9</x:v>
      </x:c>
      <x:c r="K6" s="44" t="n">
        <x:v>3.81</x:v>
      </x:c>
      <x:c r="L6" s="24" t="str">
        <x:v>URP material</x:v>
      </x:c>
      <x:c r="M6" s="24" t="str">
        <x:v>shell-glass</x:v>
      </x:c>
      <x:c r="N6" s="24" t="str">
        <x:v>Internal/Approved</x:v>
      </x:c>
      <x:c r="O6" s="24" t="n">
        <x:v>16</x:v>
      </x:c>
      <x:c r="P6" s="24" t="str">
        <x:v>VS-ART-001</x:v>
      </x:c>
      <x:c r="Q6" s="24" t="str">
        <x:v>Representative</x:v>
      </x:c>
      <x:c r="R6" s="24" t="str">
        <x:v>Texture/outline final not demonstrated</x:v>
      </x:c>
      <x:c r="S6" s="24" t="str"/>
    </x:row>
    <x:row r="7" ht="34" customHeight="1">
      <x:c r="A7" s="24" t="str">
        <x:v>MAT-003</x:v>
      </x:c>
      <x:c r="B7" s="24" t="str">
        <x:v>ShellWall.mat</x:v>
      </x:c>
      <x:c r="C7" s="24" t="str">
        <x:v>Material</x:v>
      </x:c>
      <x:c r="D7" s="24" t="str">
        <x:v>Architecture</x:v>
      </x:c>
      <x:c r="E7" s="24" t="str">
        <x:v>shell-wall</x:v>
      </x:c>
      <x:c r="F7" s="24" t="str">
        <x:v>ACTIVE</x:v>
      </x:c>
      <x:c r="G7" s="24" t="str">
        <x:v>Imported</x:v>
      </x:c>
      <x:c r="H7" s="24" t="str">
        <x:v>URP/visual review pending</x:v>
      </x:c>
      <x:c r="I7" s="24" t="str">
        <x:v>Assets/_Project/Art/Materials/Architecture/ShellWall.mat</x:v>
      </x:c>
      <x:c r="J7" s="24" t="str">
        <x:v>99ceafb6c0982bae467daab3dfa2984c</x:v>
      </x:c>
      <x:c r="K7" s="44" t="n">
        <x:v>3.71</x:v>
      </x:c>
      <x:c r="L7" s="24" t="str">
        <x:v>URP material</x:v>
      </x:c>
      <x:c r="M7" s="24" t="str">
        <x:v>shell-wall</x:v>
      </x:c>
      <x:c r="N7" s="24" t="str">
        <x:v>Internal/Approved</x:v>
      </x:c>
      <x:c r="O7" s="24" t="n">
        <x:v>16</x:v>
      </x:c>
      <x:c r="P7" s="24" t="str">
        <x:v>VS-ART-001</x:v>
      </x:c>
      <x:c r="Q7" s="24" t="str">
        <x:v>Representative</x:v>
      </x:c>
      <x:c r="R7" s="24" t="str">
        <x:v>Texture/outline final not demonstrated</x:v>
      </x:c>
      <x:c r="S7" s="24" t="str"/>
    </x:row>
    <x:row r="8" ht="34" customHeight="1">
      <x:c r="A8" s="24" t="str">
        <x:v>MAT-004</x:v>
      </x:c>
      <x:c r="B8" s="24" t="str">
        <x:v>ZoneBackroom.mat</x:v>
      </x:c>
      <x:c r="C8" s="24" t="str">
        <x:v>Material</x:v>
      </x:c>
      <x:c r="D8" s="24" t="str">
        <x:v>Architecture</x:v>
      </x:c>
      <x:c r="E8" s="24" t="str">
        <x:v>zone-backroom</x:v>
      </x:c>
      <x:c r="F8" s="24" t="str">
        <x:v>ACTIVE</x:v>
      </x:c>
      <x:c r="G8" s="24" t="str">
        <x:v>Imported</x:v>
      </x:c>
      <x:c r="H8" s="24" t="str">
        <x:v>URP/visual review pending</x:v>
      </x:c>
      <x:c r="I8" s="24" t="str">
        <x:v>Assets/_Project/Art/Materials/Architecture/ZoneBackroom.mat</x:v>
      </x:c>
      <x:c r="J8" s="24" t="str">
        <x:v>c782c4414c516742462a774199fed352</x:v>
      </x:c>
      <x:c r="K8" s="44" t="n">
        <x:v>3.82</x:v>
      </x:c>
      <x:c r="L8" s="24" t="str">
        <x:v>URP material</x:v>
      </x:c>
      <x:c r="M8" s="24" t="str">
        <x:v>zone-backroom</x:v>
      </x:c>
      <x:c r="N8" s="24" t="str">
        <x:v>Internal/Approved</x:v>
      </x:c>
      <x:c r="O8" s="24" t="n">
        <x:v>16</x:v>
      </x:c>
      <x:c r="P8" s="24" t="str">
        <x:v>VS-ART-001</x:v>
      </x:c>
      <x:c r="Q8" s="24" t="str">
        <x:v>Representative</x:v>
      </x:c>
      <x:c r="R8" s="24" t="str">
        <x:v>Texture/outline final not demonstrated</x:v>
      </x:c>
      <x:c r="S8" s="24" t="str"/>
    </x:row>
    <x:row r="9" ht="34" customHeight="1">
      <x:c r="A9" s="24" t="str">
        <x:v>MAT-005</x:v>
      </x:c>
      <x:c r="B9" s="24" t="str">
        <x:v>ZoneCheckout.mat</x:v>
      </x:c>
      <x:c r="C9" s="24" t="str">
        <x:v>Material</x:v>
      </x:c>
      <x:c r="D9" s="24" t="str">
        <x:v>Architecture</x:v>
      </x:c>
      <x:c r="E9" s="24" t="str">
        <x:v>zone-checkout</x:v>
      </x:c>
      <x:c r="F9" s="24" t="str">
        <x:v>ACTIVE</x:v>
      </x:c>
      <x:c r="G9" s="24" t="str">
        <x:v>Imported</x:v>
      </x:c>
      <x:c r="H9" s="24" t="str">
        <x:v>URP/visual review pending</x:v>
      </x:c>
      <x:c r="I9" s="24" t="str">
        <x:v>Assets/_Project/Art/Materials/Architecture/ZoneCheckout.mat</x:v>
      </x:c>
      <x:c r="J9" s="24" t="str">
        <x:v>5a3312c0cbd9a8960940d3122e5329a6</x:v>
      </x:c>
      <x:c r="K9" s="44" t="n">
        <x:v>3.82</x:v>
      </x:c>
      <x:c r="L9" s="24" t="str">
        <x:v>URP material</x:v>
      </x:c>
      <x:c r="M9" s="24" t="str">
        <x:v>zone-checkout</x:v>
      </x:c>
      <x:c r="N9" s="24" t="str">
        <x:v>Internal/Approved</x:v>
      </x:c>
      <x:c r="O9" s="24" t="n">
        <x:v>16</x:v>
      </x:c>
      <x:c r="P9" s="24" t="str">
        <x:v>VS-ART-001</x:v>
      </x:c>
      <x:c r="Q9" s="24" t="str">
        <x:v>Representative</x:v>
      </x:c>
      <x:c r="R9" s="24" t="str">
        <x:v>Texture/outline final not demonstrated</x:v>
      </x:c>
      <x:c r="S9" s="24" t="str"/>
    </x:row>
    <x:row r="10" ht="34" customHeight="1">
      <x:c r="A10" s="24" t="str">
        <x:v>MAT-006</x:v>
      </x:c>
      <x:c r="B10" s="24" t="str">
        <x:v>ZoneMarker.mat</x:v>
      </x:c>
      <x:c r="C10" s="24" t="str">
        <x:v>Material</x:v>
      </x:c>
      <x:c r="D10" s="24" t="str">
        <x:v>Architecture</x:v>
      </x:c>
      <x:c r="E10" s="24" t="str">
        <x:v>zone-marker</x:v>
      </x:c>
      <x:c r="F10" s="24" t="str">
        <x:v>ACTIVE</x:v>
      </x:c>
      <x:c r="G10" s="24" t="str">
        <x:v>Imported</x:v>
      </x:c>
      <x:c r="H10" s="24" t="str">
        <x:v>URP/visual review pending</x:v>
      </x:c>
      <x:c r="I10" s="24" t="str">
        <x:v>Assets/_Project/Art/Materials/Architecture/ZoneMarker.mat</x:v>
      </x:c>
      <x:c r="J10" s="24" t="str">
        <x:v>193d039aa473c0a93826ea14a72c4680</x:v>
      </x:c>
      <x:c r="K10" s="44" t="n">
        <x:v>3.82</x:v>
      </x:c>
      <x:c r="L10" s="24" t="str">
        <x:v>URP material</x:v>
      </x:c>
      <x:c r="M10" s="24" t="str">
        <x:v>zone-marker</x:v>
      </x:c>
      <x:c r="N10" s="24" t="str">
        <x:v>Internal/Approved</x:v>
      </x:c>
      <x:c r="O10" s="24" t="n">
        <x:v>16</x:v>
      </x:c>
      <x:c r="P10" s="24" t="str">
        <x:v>VS-ART-001</x:v>
      </x:c>
      <x:c r="Q10" s="24" t="str">
        <x:v>Representative</x:v>
      </x:c>
      <x:c r="R10" s="24" t="str">
        <x:v>Texture/outline final not demonstrated</x:v>
      </x:c>
      <x:c r="S10" s="24" t="str"/>
    </x:row>
    <x:row r="11" ht="34" customHeight="1">
      <x:c r="A11" s="24" t="str">
        <x:v>MAT-007</x:v>
      </x:c>
      <x:c r="B11" s="24" t="str">
        <x:v>ZoneReceiving.mat</x:v>
      </x:c>
      <x:c r="C11" s="24" t="str">
        <x:v>Material</x:v>
      </x:c>
      <x:c r="D11" s="24" t="str">
        <x:v>Architecture</x:v>
      </x:c>
      <x:c r="E11" s="24" t="str">
        <x:v>zone-receiving</x:v>
      </x:c>
      <x:c r="F11" s="24" t="str">
        <x:v>ACTIVE</x:v>
      </x:c>
      <x:c r="G11" s="24" t="str">
        <x:v>Imported</x:v>
      </x:c>
      <x:c r="H11" s="24" t="str">
        <x:v>URP/visual review pending</x:v>
      </x:c>
      <x:c r="I11" s="24" t="str">
        <x:v>Assets/_Project/Art/Materials/Architecture/ZoneReceiving.mat</x:v>
      </x:c>
      <x:c r="J11" s="24" t="str">
        <x:v>b0e960507b1e1a1abd814dbed7612c7c</x:v>
      </x:c>
      <x:c r="K11" s="44" t="n">
        <x:v>3.82</x:v>
      </x:c>
      <x:c r="L11" s="24" t="str">
        <x:v>URP material</x:v>
      </x:c>
      <x:c r="M11" s="24" t="str">
        <x:v>zone-receiving</x:v>
      </x:c>
      <x:c r="N11" s="24" t="str">
        <x:v>Internal/Approved</x:v>
      </x:c>
      <x:c r="O11" s="24" t="n">
        <x:v>16</x:v>
      </x:c>
      <x:c r="P11" s="24" t="str">
        <x:v>VS-ART-001</x:v>
      </x:c>
      <x:c r="Q11" s="24" t="str">
        <x:v>Representative</x:v>
      </x:c>
      <x:c r="R11" s="24" t="str">
        <x:v>Texture/outline final not demonstrated</x:v>
      </x:c>
      <x:c r="S11" s="24" t="str"/>
    </x:row>
    <x:row r="12" ht="34" customHeight="1">
      <x:c r="A12" s="24" t="str">
        <x:v>MAT-008</x:v>
      </x:c>
      <x:c r="B12" s="24" t="str">
        <x:v>CharacterCustomer.mat</x:v>
      </x:c>
      <x:c r="C12" s="24" t="str">
        <x:v>Material</x:v>
      </x:c>
      <x:c r="D12" s="24" t="str">
        <x:v>Characters</x:v>
      </x:c>
      <x:c r="E12" s="24" t="str">
        <x:v>character-customer</x:v>
      </x:c>
      <x:c r="F12" s="24" t="str">
        <x:v>ACTIVE</x:v>
      </x:c>
      <x:c r="G12" s="24" t="str">
        <x:v>Imported</x:v>
      </x:c>
      <x:c r="H12" s="24" t="str">
        <x:v>URP/visual review pending</x:v>
      </x:c>
      <x:c r="I12" s="24" t="str">
        <x:v>Assets/_Project/Art/Materials/Characters/CharacterCustomer.mat</x:v>
      </x:c>
      <x:c r="J12" s="24" t="str">
        <x:v>450505c32f7e3e847f6347db0ac01057</x:v>
      </x:c>
      <x:c r="K12" s="44" t="n">
        <x:v>3.74</x:v>
      </x:c>
      <x:c r="L12" s="24" t="str">
        <x:v>URP material</x:v>
      </x:c>
      <x:c r="M12" s="24" t="str">
        <x:v>character-customer</x:v>
      </x:c>
      <x:c r="N12" s="24" t="str">
        <x:v>Internal/Approved</x:v>
      </x:c>
      <x:c r="O12" s="24" t="n">
        <x:v>16</x:v>
      </x:c>
      <x:c r="P12" s="24" t="str">
        <x:v>VS-ART-001</x:v>
      </x:c>
      <x:c r="Q12" s="24" t="str">
        <x:v>Representative</x:v>
      </x:c>
      <x:c r="R12" s="24" t="str">
        <x:v>Texture/outline final not demonstrated</x:v>
      </x:c>
      <x:c r="S12" s="24" t="str"/>
    </x:row>
    <x:row r="13" ht="34" customHeight="1">
      <x:c r="A13" s="24" t="str">
        <x:v>MAT-009</x:v>
      </x:c>
      <x:c r="B13" s="24" t="str">
        <x:v>CharacterEmployee.mat</x:v>
      </x:c>
      <x:c r="C13" s="24" t="str">
        <x:v>Material</x:v>
      </x:c>
      <x:c r="D13" s="24" t="str">
        <x:v>Characters</x:v>
      </x:c>
      <x:c r="E13" s="24" t="str">
        <x:v>character-employee</x:v>
      </x:c>
      <x:c r="F13" s="24" t="str">
        <x:v>ACTIVE</x:v>
      </x:c>
      <x:c r="G13" s="24" t="str">
        <x:v>Imported</x:v>
      </x:c>
      <x:c r="H13" s="24" t="str">
        <x:v>URP/visual review pending</x:v>
      </x:c>
      <x:c r="I13" s="24" t="str">
        <x:v>Assets/_Project/Art/Materials/Characters/CharacterEmployee.mat</x:v>
      </x:c>
      <x:c r="J13" s="24" t="str">
        <x:v>742683d58b0e90e474c01b05742063b0</x:v>
      </x:c>
      <x:c r="K13" s="44" t="n">
        <x:v>3.73</x:v>
      </x:c>
      <x:c r="L13" s="24" t="str">
        <x:v>URP material</x:v>
      </x:c>
      <x:c r="M13" s="24" t="str">
        <x:v>character-employee</x:v>
      </x:c>
      <x:c r="N13" s="24" t="str">
        <x:v>Internal/Approved</x:v>
      </x:c>
      <x:c r="O13" s="24" t="n">
        <x:v>16</x:v>
      </x:c>
      <x:c r="P13" s="24" t="str">
        <x:v>VS-ART-001</x:v>
      </x:c>
      <x:c r="Q13" s="24" t="str">
        <x:v>Representative</x:v>
      </x:c>
      <x:c r="R13" s="24" t="str">
        <x:v>Texture/outline final not demonstrated</x:v>
      </x:c>
      <x:c r="S13" s="24" t="str"/>
    </x:row>
    <x:row r="14" ht="34" customHeight="1">
      <x:c r="A14" s="24" t="str">
        <x:v>MAT-010</x:v>
      </x:c>
      <x:c r="B14" s="24" t="str">
        <x:v>CharacterSupplier.mat</x:v>
      </x:c>
      <x:c r="C14" s="24" t="str">
        <x:v>Material</x:v>
      </x:c>
      <x:c r="D14" s="24" t="str">
        <x:v>Characters</x:v>
      </x:c>
      <x:c r="E14" s="24" t="str">
        <x:v>character-supplier</x:v>
      </x:c>
      <x:c r="F14" s="24" t="str">
        <x:v>ACTIVE</x:v>
      </x:c>
      <x:c r="G14" s="24" t="str">
        <x:v>Imported</x:v>
      </x:c>
      <x:c r="H14" s="24" t="str">
        <x:v>URP/visual review pending</x:v>
      </x:c>
      <x:c r="I14" s="24" t="str">
        <x:v>Assets/_Project/Art/Materials/Characters/CharacterSupplier.mat</x:v>
      </x:c>
      <x:c r="J14" s="24" t="str">
        <x:v>3625b86ddf190a169cdb4f1f16066794</x:v>
      </x:c>
      <x:c r="K14" s="44" t="n">
        <x:v>3.74</x:v>
      </x:c>
      <x:c r="L14" s="24" t="str">
        <x:v>URP material</x:v>
      </x:c>
      <x:c r="M14" s="24" t="str">
        <x:v>character-supplier</x:v>
      </x:c>
      <x:c r="N14" s="24" t="str">
        <x:v>Internal/Approved</x:v>
      </x:c>
      <x:c r="O14" s="24" t="n">
        <x:v>16</x:v>
      </x:c>
      <x:c r="P14" s="24" t="str">
        <x:v>VS-ART-001</x:v>
      </x:c>
      <x:c r="Q14" s="24" t="str">
        <x:v>Representative</x:v>
      </x:c>
      <x:c r="R14" s="24" t="str">
        <x:v>Texture/outline final not demonstrated</x:v>
      </x:c>
      <x:c r="S14" s="24" t="str"/>
    </x:row>
    <x:row r="15" ht="34" customHeight="1">
      <x:c r="A15" s="24" t="str">
        <x:v>MAT-011</x:v>
      </x:c>
      <x:c r="B15" s="24" t="str">
        <x:v>FeedbackInvalid.mat</x:v>
      </x:c>
      <x:c r="C15" s="24" t="str">
        <x:v>Material</x:v>
      </x:c>
      <x:c r="D15" s="24" t="str">
        <x:v>Feedback</x:v>
      </x:c>
      <x:c r="E15" s="24" t="str">
        <x:v>feedback-invalid</x:v>
      </x:c>
      <x:c r="F15" s="24" t="str">
        <x:v>ACTIVE</x:v>
      </x:c>
      <x:c r="G15" s="24" t="str">
        <x:v>Imported</x:v>
      </x:c>
      <x:c r="H15" s="24" t="str">
        <x:v>URP/visual review pending</x:v>
      </x:c>
      <x:c r="I15" s="24" t="str">
        <x:v>Assets/_Project/Art/Materials/Feedback/FeedbackInvalid.mat</x:v>
      </x:c>
      <x:c r="J15" s="24" t="str">
        <x:v>b3fe4bf4ecc4e4728253176b4c0d4a5d</x:v>
      </x:c>
      <x:c r="K15" s="44" t="n">
        <x:v>3.82</x:v>
      </x:c>
      <x:c r="L15" s="24" t="str">
        <x:v>URP material</x:v>
      </x:c>
      <x:c r="M15" s="24" t="str">
        <x:v>feedback-invalid</x:v>
      </x:c>
      <x:c r="N15" s="24" t="str">
        <x:v>Internal/Approved</x:v>
      </x:c>
      <x:c r="O15" s="24" t="n">
        <x:v>16</x:v>
      </x:c>
      <x:c r="P15" s="24" t="str">
        <x:v>VS-ART-001</x:v>
      </x:c>
      <x:c r="Q15" s="24" t="str">
        <x:v>Representative</x:v>
      </x:c>
      <x:c r="R15" s="24" t="str">
        <x:v>Texture/outline final not demonstrated</x:v>
      </x:c>
      <x:c r="S15" s="24" t="str"/>
    </x:row>
    <x:row r="16" ht="34" customHeight="1">
      <x:c r="A16" s="24" t="str">
        <x:v>MAT-012</x:v>
      </x:c>
      <x:c r="B16" s="24" t="str">
        <x:v>FeedbackValid.mat</x:v>
      </x:c>
      <x:c r="C16" s="24" t="str">
        <x:v>Material</x:v>
      </x:c>
      <x:c r="D16" s="24" t="str">
        <x:v>Feedback</x:v>
      </x:c>
      <x:c r="E16" s="24" t="str">
        <x:v>feedback-valid</x:v>
      </x:c>
      <x:c r="F16" s="24" t="str">
        <x:v>ACTIVE</x:v>
      </x:c>
      <x:c r="G16" s="24" t="str">
        <x:v>Imported</x:v>
      </x:c>
      <x:c r="H16" s="24" t="str">
        <x:v>URP/visual review pending</x:v>
      </x:c>
      <x:c r="I16" s="24" t="str">
        <x:v>Assets/_Project/Art/Materials/Feedback/FeedbackValid.mat</x:v>
      </x:c>
      <x:c r="J16" s="24" t="str">
        <x:v>9634685bae2bcc88df5569bdd3f78957</x:v>
      </x:c>
      <x:c r="K16" s="44" t="n">
        <x:v>3.82</x:v>
      </x:c>
      <x:c r="L16" s="24" t="str">
        <x:v>URP material</x:v>
      </x:c>
      <x:c r="M16" s="24" t="str">
        <x:v>feedback-valid</x:v>
      </x:c>
      <x:c r="N16" s="24" t="str">
        <x:v>Internal/Approved</x:v>
      </x:c>
      <x:c r="O16" s="24" t="n">
        <x:v>16</x:v>
      </x:c>
      <x:c r="P16" s="24" t="str">
        <x:v>VS-ART-001</x:v>
      </x:c>
      <x:c r="Q16" s="24" t="str">
        <x:v>Representative</x:v>
      </x:c>
      <x:c r="R16" s="24" t="str">
        <x:v>Texture/outline final not demonstrated</x:v>
      </x:c>
      <x:c r="S16" s="24" t="str"/>
    </x:row>
    <x:row r="17" ht="34" customHeight="1">
      <x:c r="A17" s="24" t="str">
        <x:v>MAT-013</x:v>
      </x:c>
      <x:c r="B17" s="24" t="str">
        <x:v>FeedbackWarning.mat</x:v>
      </x:c>
      <x:c r="C17" s="24" t="str">
        <x:v>Material</x:v>
      </x:c>
      <x:c r="D17" s="24" t="str">
        <x:v>Feedback</x:v>
      </x:c>
      <x:c r="E17" s="24" t="str">
        <x:v>feedback-warning</x:v>
      </x:c>
      <x:c r="F17" s="24" t="str">
        <x:v>ACTIVE</x:v>
      </x:c>
      <x:c r="G17" s="24" t="str">
        <x:v>Imported</x:v>
      </x:c>
      <x:c r="H17" s="24" t="str">
        <x:v>URP/visual review pending</x:v>
      </x:c>
      <x:c r="I17" s="24" t="str">
        <x:v>Assets/_Project/Art/Materials/Feedback/FeedbackWarning.mat</x:v>
      </x:c>
      <x:c r="J17" s="24" t="str">
        <x:v>85fc7825d05ea003423e646cfeeedf70</x:v>
      </x:c>
      <x:c r="K17" s="44" t="n">
        <x:v>3.82</x:v>
      </x:c>
      <x:c r="L17" s="24" t="str">
        <x:v>URP material</x:v>
      </x:c>
      <x:c r="M17" s="24" t="str">
        <x:v>feedback-warning</x:v>
      </x:c>
      <x:c r="N17" s="24" t="str">
        <x:v>Internal/Approved</x:v>
      </x:c>
      <x:c r="O17" s="24" t="n">
        <x:v>16</x:v>
      </x:c>
      <x:c r="P17" s="24" t="str">
        <x:v>VS-ART-001</x:v>
      </x:c>
      <x:c r="Q17" s="24" t="str">
        <x:v>Representative</x:v>
      </x:c>
      <x:c r="R17" s="24" t="str">
        <x:v>Texture/outline final not demonstrated</x:v>
      </x:c>
      <x:c r="S17" s="24" t="str"/>
    </x:row>
    <x:row r="18" ht="34" customHeight="1">
      <x:c r="A18" s="24" t="str">
        <x:v>MAT-014</x:v>
      </x:c>
      <x:c r="B18" s="24" t="str">
        <x:v>Decoration.mat</x:v>
      </x:c>
      <x:c r="C18" s="24" t="str">
        <x:v>Material</x:v>
      </x:c>
      <x:c r="D18" s="24" t="str">
        <x:v>Furniture</x:v>
      </x:c>
      <x:c r="E18" s="24" t="str">
        <x:v>decoration</x:v>
      </x:c>
      <x:c r="F18" s="24" t="str">
        <x:v>ACTIVE</x:v>
      </x:c>
      <x:c r="G18" s="24" t="str">
        <x:v>Imported</x:v>
      </x:c>
      <x:c r="H18" s="24" t="str">
        <x:v>URP/visual review pending</x:v>
      </x:c>
      <x:c r="I18" s="24" t="str">
        <x:v>Assets/_Project/Art/Materials/Furniture/Decoration.mat</x:v>
      </x:c>
      <x:c r="J18" s="24" t="str">
        <x:v>f6b8ad1a77540220bcfd0341d169cf09</x:v>
      </x:c>
      <x:c r="K18" s="44" t="n">
        <x:v>3.73</x:v>
      </x:c>
      <x:c r="L18" s="24" t="str">
        <x:v>URP material</x:v>
      </x:c>
      <x:c r="M18" s="24" t="str">
        <x:v>decoration</x:v>
      </x:c>
      <x:c r="N18" s="24" t="str">
        <x:v>Internal/Approved</x:v>
      </x:c>
      <x:c r="O18" s="24" t="n">
        <x:v>16</x:v>
      </x:c>
      <x:c r="P18" s="24" t="str">
        <x:v>VS-ART-001</x:v>
      </x:c>
      <x:c r="Q18" s="24" t="str">
        <x:v>Representative</x:v>
      </x:c>
      <x:c r="R18" s="24" t="str">
        <x:v>Texture/outline final not demonstrated</x:v>
      </x:c>
      <x:c r="S18" s="24" t="str"/>
    </x:row>
    <x:row r="19" ht="34" customHeight="1">
      <x:c r="A19" s="24" t="str">
        <x:v>MAT-015</x:v>
      </x:c>
      <x:c r="B19" s="24" t="str">
        <x:v>FurnitureCentralShelf.mat</x:v>
      </x:c>
      <x:c r="C19" s="24" t="str">
        <x:v>Material</x:v>
      </x:c>
      <x:c r="D19" s="24" t="str">
        <x:v>Furniture</x:v>
      </x:c>
      <x:c r="E19" s="24" t="str">
        <x:v>furniture-central-shelf</x:v>
      </x:c>
      <x:c r="F19" s="24" t="str">
        <x:v>ACTIVE</x:v>
      </x:c>
      <x:c r="G19" s="24" t="str">
        <x:v>Imported</x:v>
      </x:c>
      <x:c r="H19" s="24" t="str">
        <x:v>URP/visual review pending</x:v>
      </x:c>
      <x:c r="I19" s="24" t="str">
        <x:v>Assets/_Project/Art/Materials/Furniture/FurnitureCentralShelf.mat</x:v>
      </x:c>
      <x:c r="J19" s="24" t="str">
        <x:v>c24be953a6037fcc6e90961127549a86</x:v>
      </x:c>
      <x:c r="K19" s="44" t="n">
        <x:v>3.73</x:v>
      </x:c>
      <x:c r="L19" s="24" t="str">
        <x:v>URP material</x:v>
      </x:c>
      <x:c r="M19" s="24" t="str">
        <x:v>furniture-central-shelf</x:v>
      </x:c>
      <x:c r="N19" s="24" t="str">
        <x:v>Internal/Approved</x:v>
      </x:c>
      <x:c r="O19" s="24" t="n">
        <x:v>16</x:v>
      </x:c>
      <x:c r="P19" s="24" t="str">
        <x:v>VS-ART-001</x:v>
      </x:c>
      <x:c r="Q19" s="24" t="str">
        <x:v>Representative</x:v>
      </x:c>
      <x:c r="R19" s="24" t="str">
        <x:v>Texture/outline final not demonstrated</x:v>
      </x:c>
      <x:c r="S19" s="24" t="str"/>
    </x:row>
    <x:row r="20" ht="34" customHeight="1">
      <x:c r="A20" s="24" t="str">
        <x:v>MAT-016</x:v>
      </x:c>
      <x:c r="B20" s="24" t="str">
        <x:v>FurnitureCheckout.mat</x:v>
      </x:c>
      <x:c r="C20" s="24" t="str">
        <x:v>Material</x:v>
      </x:c>
      <x:c r="D20" s="24" t="str">
        <x:v>Furniture</x:v>
      </x:c>
      <x:c r="E20" s="24" t="str">
        <x:v>furniture-checkout</x:v>
      </x:c>
      <x:c r="F20" s="24" t="str">
        <x:v>ACTIVE</x:v>
      </x:c>
      <x:c r="G20" s="24" t="str">
        <x:v>Imported</x:v>
      </x:c>
      <x:c r="H20" s="24" t="str">
        <x:v>URP/visual review pending</x:v>
      </x:c>
      <x:c r="I20" s="24" t="str">
        <x:v>Assets/_Project/Art/Materials/Furniture/FurnitureCheckout.mat</x:v>
      </x:c>
      <x:c r="J20" s="24" t="str">
        <x:v>774d28a5615ff64312780a0dd1cda67a</x:v>
      </x:c>
      <x:c r="K20" s="44" t="n">
        <x:v>3.73</x:v>
      </x:c>
      <x:c r="L20" s="24" t="str">
        <x:v>URP material</x:v>
      </x:c>
      <x:c r="M20" s="24" t="str">
        <x:v>furniture-checkout</x:v>
      </x:c>
      <x:c r="N20" s="24" t="str">
        <x:v>Internal/Approved</x:v>
      </x:c>
      <x:c r="O20" s="24" t="n">
        <x:v>16</x:v>
      </x:c>
      <x:c r="P20" s="24" t="str">
        <x:v>VS-ART-001</x:v>
      </x:c>
      <x:c r="Q20" s="24" t="str">
        <x:v>Representative</x:v>
      </x:c>
      <x:c r="R20" s="24" t="str">
        <x:v>Texture/outline final not demonstrated</x:v>
      </x:c>
      <x:c r="S20" s="24" t="str"/>
    </x:row>
    <x:row r="21" ht="34" customHeight="1">
      <x:c r="A21" s="24" t="str">
        <x:v>MAT-017</x:v>
      </x:c>
      <x:c r="B21" s="24" t="str">
        <x:v>FurnitureCrate.mat</x:v>
      </x:c>
      <x:c r="C21" s="24" t="str">
        <x:v>Material</x:v>
      </x:c>
      <x:c r="D21" s="24" t="str">
        <x:v>Furniture</x:v>
      </x:c>
      <x:c r="E21" s="24" t="str">
        <x:v>furniture-crate</x:v>
      </x:c>
      <x:c r="F21" s="24" t="str">
        <x:v>ACTIVE</x:v>
      </x:c>
      <x:c r="G21" s="24" t="str">
        <x:v>Imported</x:v>
      </x:c>
      <x:c r="H21" s="24" t="str">
        <x:v>URP/visual review pending</x:v>
      </x:c>
      <x:c r="I21" s="24" t="str">
        <x:v>Assets/_Project/Art/Materials/Furniture/FurnitureCrate.mat</x:v>
      </x:c>
      <x:c r="J21" s="24" t="str">
        <x:v>2056a1f3145d493024412a9453580fd1</x:v>
      </x:c>
      <x:c r="K21" s="44" t="n">
        <x:v>3.73</x:v>
      </x:c>
      <x:c r="L21" s="24" t="str">
        <x:v>URP material</x:v>
      </x:c>
      <x:c r="M21" s="24" t="str">
        <x:v>furniture-crate</x:v>
      </x:c>
      <x:c r="N21" s="24" t="str">
        <x:v>Internal/Approved</x:v>
      </x:c>
      <x:c r="O21" s="24" t="n">
        <x:v>16</x:v>
      </x:c>
      <x:c r="P21" s="24" t="str">
        <x:v>VS-ART-001</x:v>
      </x:c>
      <x:c r="Q21" s="24" t="str">
        <x:v>Representative</x:v>
      </x:c>
      <x:c r="R21" s="24" t="str">
        <x:v>Texture/outline final not demonstrated</x:v>
      </x:c>
      <x:c r="S21" s="24" t="str"/>
    </x:row>
    <x:row r="22" ht="34" customHeight="1">
      <x:c r="A22" s="24" t="str">
        <x:v>MAT-018</x:v>
      </x:c>
      <x:c r="B22" s="24" t="str">
        <x:v>FurnitureFeatured.mat</x:v>
      </x:c>
      <x:c r="C22" s="24" t="str">
        <x:v>Material</x:v>
      </x:c>
      <x:c r="D22" s="24" t="str">
        <x:v>Furniture</x:v>
      </x:c>
      <x:c r="E22" s="24" t="str">
        <x:v>furniture-featured</x:v>
      </x:c>
      <x:c r="F22" s="24" t="str">
        <x:v>ACTIVE</x:v>
      </x:c>
      <x:c r="G22" s="24" t="str">
        <x:v>Imported</x:v>
      </x:c>
      <x:c r="H22" s="24" t="str">
        <x:v>URP/visual review pending</x:v>
      </x:c>
      <x:c r="I22" s="24" t="str">
        <x:v>Assets/_Project/Art/Materials/Furniture/FurnitureFeatured.mat</x:v>
      </x:c>
      <x:c r="J22" s="24" t="str">
        <x:v>5fe21f7983022016f5221ddaa19189f1</x:v>
      </x:c>
      <x:c r="K22" s="44" t="n">
        <x:v>3.73</x:v>
      </x:c>
      <x:c r="L22" s="24" t="str">
        <x:v>URP material</x:v>
      </x:c>
      <x:c r="M22" s="24" t="str">
        <x:v>furniture-featured</x:v>
      </x:c>
      <x:c r="N22" s="24" t="str">
        <x:v>Internal/Approved</x:v>
      </x:c>
      <x:c r="O22" s="24" t="n">
        <x:v>16</x:v>
      </x:c>
      <x:c r="P22" s="24" t="str">
        <x:v>VS-ART-001</x:v>
      </x:c>
      <x:c r="Q22" s="24" t="str">
        <x:v>Representative</x:v>
      </x:c>
      <x:c r="R22" s="24" t="str">
        <x:v>Texture/outline final not demonstrated</x:v>
      </x:c>
      <x:c r="S22" s="24" t="str"/>
    </x:row>
    <x:row r="23" ht="34" customHeight="1">
      <x:c r="A23" s="24" t="str">
        <x:v>MAT-019</x:v>
      </x:c>
      <x:c r="B23" s="24" t="str">
        <x:v>FurnitureLowDisplay.mat</x:v>
      </x:c>
      <x:c r="C23" s="24" t="str">
        <x:v>Material</x:v>
      </x:c>
      <x:c r="D23" s="24" t="str">
        <x:v>Furniture</x:v>
      </x:c>
      <x:c r="E23" s="24" t="str">
        <x:v>furniture-low-display</x:v>
      </x:c>
      <x:c r="F23" s="24" t="str">
        <x:v>ACTIVE</x:v>
      </x:c>
      <x:c r="G23" s="24" t="str">
        <x:v>Imported</x:v>
      </x:c>
      <x:c r="H23" s="24" t="str">
        <x:v>URP/visual review pending</x:v>
      </x:c>
      <x:c r="I23" s="24" t="str">
        <x:v>Assets/_Project/Art/Materials/Furniture/FurnitureLowDisplay.mat</x:v>
      </x:c>
      <x:c r="J23" s="24" t="str">
        <x:v>3581cddeb260abc6af819d45d50d4088</x:v>
      </x:c>
      <x:c r="K23" s="44" t="n">
        <x:v>3.74</x:v>
      </x:c>
      <x:c r="L23" s="24" t="str">
        <x:v>URP material</x:v>
      </x:c>
      <x:c r="M23" s="24" t="str">
        <x:v>furniture-low-display</x:v>
      </x:c>
      <x:c r="N23" s="24" t="str">
        <x:v>Internal/Approved</x:v>
      </x:c>
      <x:c r="O23" s="24" t="n">
        <x:v>16</x:v>
      </x:c>
      <x:c r="P23" s="24" t="str">
        <x:v>VS-ART-001</x:v>
      </x:c>
      <x:c r="Q23" s="24" t="str">
        <x:v>Representative</x:v>
      </x:c>
      <x:c r="R23" s="24" t="str">
        <x:v>Texture/outline final not demonstrated</x:v>
      </x:c>
      <x:c r="S23" s="24" t="str"/>
    </x:row>
    <x:row r="24" ht="34" customHeight="1">
      <x:c r="A24" s="24" t="str">
        <x:v>MAT-020</x:v>
      </x:c>
      <x:c r="B24" s="24" t="str">
        <x:v>FurnitureStorage.mat</x:v>
      </x:c>
      <x:c r="C24" s="24" t="str">
        <x:v>Material</x:v>
      </x:c>
      <x:c r="D24" s="24" t="str">
        <x:v>Furniture</x:v>
      </x:c>
      <x:c r="E24" s="24" t="str">
        <x:v>furniture-storage</x:v>
      </x:c>
      <x:c r="F24" s="24" t="str">
        <x:v>ACTIVE</x:v>
      </x:c>
      <x:c r="G24" s="24" t="str">
        <x:v>Imported</x:v>
      </x:c>
      <x:c r="H24" s="24" t="str">
        <x:v>URP/visual review pending</x:v>
      </x:c>
      <x:c r="I24" s="24" t="str">
        <x:v>Assets/_Project/Art/Materials/Furniture/FurnitureStorage.mat</x:v>
      </x:c>
      <x:c r="J24" s="24" t="str">
        <x:v>8ac885c5b01be0dbc5dcb92550b137c3</x:v>
      </x:c>
      <x:c r="K24" s="44" t="n">
        <x:v>3.74</x:v>
      </x:c>
      <x:c r="L24" s="24" t="str">
        <x:v>URP material</x:v>
      </x:c>
      <x:c r="M24" s="24" t="str">
        <x:v>furniture-storage</x:v>
      </x:c>
      <x:c r="N24" s="24" t="str">
        <x:v>Internal/Approved</x:v>
      </x:c>
      <x:c r="O24" s="24" t="n">
        <x:v>16</x:v>
      </x:c>
      <x:c r="P24" s="24" t="str">
        <x:v>VS-ART-001</x:v>
      </x:c>
      <x:c r="Q24" s="24" t="str">
        <x:v>Representative</x:v>
      </x:c>
      <x:c r="R24" s="24" t="str">
        <x:v>Texture/outline final not demonstrated</x:v>
      </x:c>
      <x:c r="S24" s="24" t="str"/>
    </x:row>
    <x:row r="25" ht="34" customHeight="1">
      <x:c r="A25" s="24" t="str">
        <x:v>MAT-021</x:v>
      </x:c>
      <x:c r="B25" s="24" t="str">
        <x:v>FurnitureWallShelf.mat</x:v>
      </x:c>
      <x:c r="C25" s="24" t="str">
        <x:v>Material</x:v>
      </x:c>
      <x:c r="D25" s="24" t="str">
        <x:v>Furniture</x:v>
      </x:c>
      <x:c r="E25" s="24" t="str">
        <x:v>furniture-wall-shelf</x:v>
      </x:c>
      <x:c r="F25" s="24" t="str">
        <x:v>ACTIVE</x:v>
      </x:c>
      <x:c r="G25" s="24" t="str">
        <x:v>Imported</x:v>
      </x:c>
      <x:c r="H25" s="24" t="str">
        <x:v>URP/visual review pending</x:v>
      </x:c>
      <x:c r="I25" s="24" t="str">
        <x:v>Assets/_Project/Art/Materials/Furniture/FurnitureWallShelf.mat</x:v>
      </x:c>
      <x:c r="J25" s="24" t="str">
        <x:v>aa560f38bb0d79f36343458850d48646</x:v>
      </x:c>
      <x:c r="K25" s="44" t="n">
        <x:v>3.74</x:v>
      </x:c>
      <x:c r="L25" s="24" t="str">
        <x:v>URP material</x:v>
      </x:c>
      <x:c r="M25" s="24" t="str">
        <x:v>furniture-wall-shelf</x:v>
      </x:c>
      <x:c r="N25" s="24" t="str">
        <x:v>Internal/Approved</x:v>
      </x:c>
      <x:c r="O25" s="24" t="n">
        <x:v>16</x:v>
      </x:c>
      <x:c r="P25" s="24" t="str">
        <x:v>VS-ART-001</x:v>
      </x:c>
      <x:c r="Q25" s="24" t="str">
        <x:v>Representative</x:v>
      </x:c>
      <x:c r="R25" s="24" t="str">
        <x:v>Texture/outline final not demonstrated</x:v>
      </x:c>
      <x:c r="S25" s="24" t="str"/>
    </x:row>
    <x:row r="26" ht="34" customHeight="1">
      <x:c r="A26" s="24" t="str">
        <x:v>MAT-022</x:v>
      </x:c>
      <x:c r="B26" s="24" t="str">
        <x:v>ProductAccessory.mat</x:v>
      </x:c>
      <x:c r="C26" s="24" t="str">
        <x:v>Material</x:v>
      </x:c>
      <x:c r="D26" s="24" t="str">
        <x:v>Products</x:v>
      </x:c>
      <x:c r="E26" s="24" t="str">
        <x:v>product-accessory</x:v>
      </x:c>
      <x:c r="F26" s="24" t="str">
        <x:v>ACTIVE</x:v>
      </x:c>
      <x:c r="G26" s="24" t="str">
        <x:v>Imported</x:v>
      </x:c>
      <x:c r="H26" s="24" t="str">
        <x:v>URP/visual review pending</x:v>
      </x:c>
      <x:c r="I26" s="24" t="str">
        <x:v>Assets/_Project/Art/Materials/Products/ProductAccessory.mat</x:v>
      </x:c>
      <x:c r="J26" s="24" t="str">
        <x:v>08e87121591997032ca879eaaa356a07</x:v>
      </x:c>
      <x:c r="K26" s="44" t="n">
        <x:v>3.72</x:v>
      </x:c>
      <x:c r="L26" s="24" t="str">
        <x:v>URP material</x:v>
      </x:c>
      <x:c r="M26" s="24" t="str">
        <x:v>product-accessory</x:v>
      </x:c>
      <x:c r="N26" s="24" t="str">
        <x:v>Internal/Approved</x:v>
      </x:c>
      <x:c r="O26" s="24" t="n">
        <x:v>16</x:v>
      </x:c>
      <x:c r="P26" s="24" t="str">
        <x:v>VS-ART-001</x:v>
      </x:c>
      <x:c r="Q26" s="24" t="str">
        <x:v>Representative</x:v>
      </x:c>
      <x:c r="R26" s="24" t="str">
        <x:v>Texture/outline final not demonstrated</x:v>
      </x:c>
      <x:c r="S26" s="24" t="str"/>
    </x:row>
    <x:row r="27" ht="34" customHeight="1">
      <x:c r="A27" s="24" t="str">
        <x:v>MAT-023</x:v>
      </x:c>
      <x:c r="B27" s="24" t="str">
        <x:v>ProductCase.mat</x:v>
      </x:c>
      <x:c r="C27" s="24" t="str">
        <x:v>Material</x:v>
      </x:c>
      <x:c r="D27" s="24" t="str">
        <x:v>Products</x:v>
      </x:c>
      <x:c r="E27" s="24" t="str">
        <x:v>product-case</x:v>
      </x:c>
      <x:c r="F27" s="24" t="str">
        <x:v>ACTIVE</x:v>
      </x:c>
      <x:c r="G27" s="24" t="str">
        <x:v>Imported</x:v>
      </x:c>
      <x:c r="H27" s="24" t="str">
        <x:v>URP/visual review pending</x:v>
      </x:c>
      <x:c r="I27" s="24" t="str">
        <x:v>Assets/_Project/Art/Materials/Products/ProductCase.mat</x:v>
      </x:c>
      <x:c r="J27" s="24" t="str">
        <x:v>af1c448dfd8137fe79bd9438ff09be1b</x:v>
      </x:c>
      <x:c r="K27" s="44" t="n">
        <x:v>3.72</x:v>
      </x:c>
      <x:c r="L27" s="24" t="str">
        <x:v>URP material</x:v>
      </x:c>
      <x:c r="M27" s="24" t="str">
        <x:v>product-case</x:v>
      </x:c>
      <x:c r="N27" s="24" t="str">
        <x:v>Internal/Approved</x:v>
      </x:c>
      <x:c r="O27" s="24" t="n">
        <x:v>16</x:v>
      </x:c>
      <x:c r="P27" s="24" t="str">
        <x:v>VS-ART-001</x:v>
      </x:c>
      <x:c r="Q27" s="24" t="str">
        <x:v>Representative</x:v>
      </x:c>
      <x:c r="R27" s="24" t="str">
        <x:v>Texture/outline final not demonstrated</x:v>
      </x:c>
      <x:c r="S27" s="24" t="str"/>
    </x:row>
    <x:row r="28" ht="34" customHeight="1">
      <x:c r="A28" s="24" t="str">
        <x:v>MAT-024</x:v>
      </x:c>
      <x:c r="B28" s="24" t="str">
        <x:v>ProductConsole.mat</x:v>
      </x:c>
      <x:c r="C28" s="24" t="str">
        <x:v>Material</x:v>
      </x:c>
      <x:c r="D28" s="24" t="str">
        <x:v>Products</x:v>
      </x:c>
      <x:c r="E28" s="24" t="str">
        <x:v>product-console</x:v>
      </x:c>
      <x:c r="F28" s="24" t="str">
        <x:v>ACTIVE</x:v>
      </x:c>
      <x:c r="G28" s="24" t="str">
        <x:v>Imported</x:v>
      </x:c>
      <x:c r="H28" s="24" t="str">
        <x:v>URP/visual review pending</x:v>
      </x:c>
      <x:c r="I28" s="24" t="str">
        <x:v>Assets/_Project/Art/Materials/Products/ProductConsole.mat</x:v>
      </x:c>
      <x:c r="J28" s="24" t="str">
        <x:v>91fb5d72264906772aa10997a671c030</x:v>
      </x:c>
      <x:c r="K28" s="44" t="n">
        <x:v>3.73</x:v>
      </x:c>
      <x:c r="L28" s="24" t="str">
        <x:v>URP material</x:v>
      </x:c>
      <x:c r="M28" s="24" t="str">
        <x:v>product-console</x:v>
      </x:c>
      <x:c r="N28" s="24" t="str">
        <x:v>Internal/Approved</x:v>
      </x:c>
      <x:c r="O28" s="24" t="n">
        <x:v>16</x:v>
      </x:c>
      <x:c r="P28" s="24" t="str">
        <x:v>VS-ART-001</x:v>
      </x:c>
      <x:c r="Q28" s="24" t="str">
        <x:v>Representative</x:v>
      </x:c>
      <x:c r="R28" s="24" t="str">
        <x:v>Texture/outline final not demonstrated</x:v>
      </x:c>
      <x:c r="S28" s="24" t="str"/>
    </x:row>
    <x:row r="29" ht="34" customHeight="1">
      <x:c r="A29" s="24" t="str">
        <x:v>MAT-025</x:v>
      </x:c>
      <x:c r="B29" s="24" t="str">
        <x:v>ProductController.mat</x:v>
      </x:c>
      <x:c r="C29" s="24" t="str">
        <x:v>Material</x:v>
      </x:c>
      <x:c r="D29" s="24" t="str">
        <x:v>Products</x:v>
      </x:c>
      <x:c r="E29" s="24" t="str">
        <x:v>product-controller</x:v>
      </x:c>
      <x:c r="F29" s="24" t="str">
        <x:v>ACTIVE</x:v>
      </x:c>
      <x:c r="G29" s="24" t="str">
        <x:v>Imported</x:v>
      </x:c>
      <x:c r="H29" s="24" t="str">
        <x:v>URP/visual review pending</x:v>
      </x:c>
      <x:c r="I29" s="24" t="str">
        <x:v>Assets/_Project/Art/Materials/Products/ProductController.mat</x:v>
      </x:c>
      <x:c r="J29" s="24" t="str">
        <x:v>040fec7468929c920b836d7e60a9dbda</x:v>
      </x:c>
      <x:c r="K29" s="44" t="n">
        <x:v>3.73</x:v>
      </x:c>
      <x:c r="L29" s="24" t="str">
        <x:v>URP material</x:v>
      </x:c>
      <x:c r="M29" s="24" t="str">
        <x:v>product-controller</x:v>
      </x:c>
      <x:c r="N29" s="24" t="str">
        <x:v>Internal/Approved</x:v>
      </x:c>
      <x:c r="O29" s="24" t="n">
        <x:v>16</x:v>
      </x:c>
      <x:c r="P29" s="24" t="str">
        <x:v>VS-ART-001</x:v>
      </x:c>
      <x:c r="Q29" s="24" t="str">
        <x:v>Representative</x:v>
      </x:c>
      <x:c r="R29" s="24" t="str">
        <x:v>Texture/outline final not demonstrated</x:v>
      </x:c>
      <x:c r="S29" s="24" t="str"/>
    </x:row>
    <x:row r="30" ht="34" customHeight="1">
      <x:c r="A30" s="24" t="str">
        <x:v>MAT-026</x:v>
      </x:c>
      <x:c r="B30" s="24" t="str">
        <x:v>ProductGame.mat</x:v>
      </x:c>
      <x:c r="C30" s="24" t="str">
        <x:v>Material</x:v>
      </x:c>
      <x:c r="D30" s="24" t="str">
        <x:v>Products</x:v>
      </x:c>
      <x:c r="E30" s="24" t="str">
        <x:v>product-game</x:v>
      </x:c>
      <x:c r="F30" s="24" t="str">
        <x:v>ACTIVE</x:v>
      </x:c>
      <x:c r="G30" s="24" t="str">
        <x:v>Imported</x:v>
      </x:c>
      <x:c r="H30" s="24" t="str">
        <x:v>URP/visual review pending</x:v>
      </x:c>
      <x:c r="I30" s="24" t="str">
        <x:v>Assets/_Project/Art/Materials/Products/ProductGame.mat</x:v>
      </x:c>
      <x:c r="J30" s="24" t="str">
        <x:v>9cf2ce93cf9b7a3ced6951ffcf43df73</x:v>
      </x:c>
      <x:c r="K30" s="44" t="n">
        <x:v>3.72</x:v>
      </x:c>
      <x:c r="L30" s="24" t="str">
        <x:v>URP material</x:v>
      </x:c>
      <x:c r="M30" s="24" t="str">
        <x:v>product-game</x:v>
      </x:c>
      <x:c r="N30" s="24" t="str">
        <x:v>Internal/Approved</x:v>
      </x:c>
      <x:c r="O30" s="24" t="n">
        <x:v>16</x:v>
      </x:c>
      <x:c r="P30" s="24" t="str">
        <x:v>VS-ART-001</x:v>
      </x:c>
      <x:c r="Q30" s="24" t="str">
        <x:v>Representative</x:v>
      </x:c>
      <x:c r="R30" s="24" t="str">
        <x:v>Texture/outline final not demonstrated</x:v>
      </x:c>
      <x:c r="S30" s="24" t="str"/>
    </x:row>
    <x:row r="31" ht="34" customHeight="1">
      <x:c r="A31" s="24" t="str">
        <x:v>MAT-027</x:v>
      </x:c>
      <x:c r="B31" s="24" t="str">
        <x:v>ProductHeadset.mat</x:v>
      </x:c>
      <x:c r="C31" s="24" t="str">
        <x:v>Material</x:v>
      </x:c>
      <x:c r="D31" s="24" t="str">
        <x:v>Products</x:v>
      </x:c>
      <x:c r="E31" s="24" t="str">
        <x:v>product-headset</x:v>
      </x:c>
      <x:c r="F31" s="24" t="str">
        <x:v>ACTIVE</x:v>
      </x:c>
      <x:c r="G31" s="24" t="str">
        <x:v>Imported</x:v>
      </x:c>
      <x:c r="H31" s="24" t="str">
        <x:v>URP/visual review pending</x:v>
      </x:c>
      <x:c r="I31" s="24" t="str">
        <x:v>Assets/_Project/Art/Materials/Products/ProductHeadset.mat</x:v>
      </x:c>
      <x:c r="J31" s="24" t="str">
        <x:v>9353ad2fbbce45937735cde7a1cc2ea7</x:v>
      </x:c>
      <x:c r="K31" s="44" t="n">
        <x:v>3.73</x:v>
      </x:c>
      <x:c r="L31" s="24" t="str">
        <x:v>URP material</x:v>
      </x:c>
      <x:c r="M31" s="24" t="str">
        <x:v>product-headset</x:v>
      </x:c>
      <x:c r="N31" s="24" t="str">
        <x:v>Internal/Approved</x:v>
      </x:c>
      <x:c r="O31" s="24" t="n">
        <x:v>16</x:v>
      </x:c>
      <x:c r="P31" s="24" t="str">
        <x:v>VS-ART-001</x:v>
      </x:c>
      <x:c r="Q31" s="24" t="str">
        <x:v>Representative</x:v>
      </x:c>
      <x:c r="R31" s="24" t="str">
        <x:v>Texture/outline final not demonstrated</x:v>
      </x:c>
      <x:c r="S31" s="24" t="str"/>
    </x:row>
    <x:row r="32" ht="34" customHeight="1">
      <x:c r="A32" s="24" t="str">
        <x:v>MAT-028</x:v>
      </x:c>
      <x:c r="B32" s="24" t="str">
        <x:v>Amber.mat</x:v>
      </x:c>
      <x:c r="C32" s="24" t="str">
        <x:v>Material</x:v>
      </x:c>
      <x:c r="D32" s="24" t="str">
        <x:v>Representative</x:v>
      </x:c>
      <x:c r="E32" s="24" t="str"/>
      <x:c r="F32" s="24" t="str">
        <x:v>ASSET / REVIEW</x:v>
      </x:c>
      <x:c r="G32" s="24" t="str">
        <x:v>Imported</x:v>
      </x:c>
      <x:c r="H32" s="24" t="str">
        <x:v>URP/visual review pending</x:v>
      </x:c>
      <x:c r="I32" s="24" t="str">
        <x:v>Assets/_Project/Art/Materials/Representative/Amber.mat</x:v>
      </x:c>
      <x:c r="J32" s="24" t="str">
        <x:v>e9a7e6ead29c07a46837f46d7f45583f</x:v>
      </x:c>
      <x:c r="K32" s="44" t="n">
        <x:v>3.74</x:v>
      </x:c>
      <x:c r="L32" s="24" t="str">
        <x:v>URP material</x:v>
      </x:c>
      <x:c r="M32" s="24" t="str">
        <x:v>Prefab/reference</x:v>
      </x:c>
      <x:c r="N32" s="24" t="str">
        <x:v>Internal/Approved</x:v>
      </x:c>
      <x:c r="O32" s="24" t="n">
        <x:v>16</x:v>
      </x:c>
      <x:c r="P32" s="24" t="str">
        <x:v>VS-ART-001</x:v>
      </x:c>
      <x:c r="Q32" s="24" t="str">
        <x:v>Representative</x:v>
      </x:c>
      <x:c r="R32" s="24" t="str">
        <x:v>Texture/outline final not demonstrated</x:v>
      </x:c>
      <x:c r="S32" s="24" t="str"/>
    </x:row>
    <x:row r="33" ht="34" customHeight="1">
      <x:c r="A33" s="24" t="str">
        <x:v>MAT-029</x:v>
      </x:c>
      <x:c r="B33" s="24" t="str">
        <x:v>BlueGray.mat</x:v>
      </x:c>
      <x:c r="C33" s="24" t="str">
        <x:v>Material</x:v>
      </x:c>
      <x:c r="D33" s="24" t="str">
        <x:v>Representative</x:v>
      </x:c>
      <x:c r="E33" s="24" t="str"/>
      <x:c r="F33" s="24" t="str">
        <x:v>ASSET / REVIEW</x:v>
      </x:c>
      <x:c r="G33" s="24" t="str">
        <x:v>Imported</x:v>
      </x:c>
      <x:c r="H33" s="24" t="str">
        <x:v>URP/visual review pending</x:v>
      </x:c>
      <x:c r="I33" s="24" t="str">
        <x:v>Assets/_Project/Art/Materials/Representative/BlueGray.mat</x:v>
      </x:c>
      <x:c r="J33" s="24" t="str">
        <x:v>5aace571ca03cfa478e96975a7ee5667</x:v>
      </x:c>
      <x:c r="K33" s="44" t="n">
        <x:v>3.75</x:v>
      </x:c>
      <x:c r="L33" s="24" t="str">
        <x:v>URP material</x:v>
      </x:c>
      <x:c r="M33" s="24" t="str">
        <x:v>Prefab/reference</x:v>
      </x:c>
      <x:c r="N33" s="24" t="str">
        <x:v>Internal/Approved</x:v>
      </x:c>
      <x:c r="O33" s="24" t="n">
        <x:v>16</x:v>
      </x:c>
      <x:c r="P33" s="24" t="str">
        <x:v>VS-ART-001</x:v>
      </x:c>
      <x:c r="Q33" s="24" t="str">
        <x:v>Representative</x:v>
      </x:c>
      <x:c r="R33" s="24" t="str">
        <x:v>Texture/outline final not demonstrated</x:v>
      </x:c>
      <x:c r="S33" s="24" t="str"/>
    </x:row>
    <x:row r="34" ht="34" customHeight="1">
      <x:c r="A34" s="24" t="str">
        <x:v>MAT-030</x:v>
      </x:c>
      <x:c r="B34" s="24" t="str">
        <x:v>Cardboard.mat</x:v>
      </x:c>
      <x:c r="C34" s="24" t="str">
        <x:v>Material</x:v>
      </x:c>
      <x:c r="D34" s="24" t="str">
        <x:v>Representative</x:v>
      </x:c>
      <x:c r="E34" s="24" t="str"/>
      <x:c r="F34" s="24" t="str">
        <x:v>ASSET / REVIEW</x:v>
      </x:c>
      <x:c r="G34" s="24" t="str">
        <x:v>Imported</x:v>
      </x:c>
      <x:c r="H34" s="24" t="str">
        <x:v>URP/visual review pending</x:v>
      </x:c>
      <x:c r="I34" s="24" t="str">
        <x:v>Assets/_Project/Art/Materials/Representative/Cardboard.mat</x:v>
      </x:c>
      <x:c r="J34" s="24" t="str">
        <x:v>fabc9b019c8a2e0459d607e051183e8f</x:v>
      </x:c>
      <x:c r="K34" s="44" t="n">
        <x:v>3.75</x:v>
      </x:c>
      <x:c r="L34" s="24" t="str">
        <x:v>URP material</x:v>
      </x:c>
      <x:c r="M34" s="24" t="str">
        <x:v>Prefab/reference</x:v>
      </x:c>
      <x:c r="N34" s="24" t="str">
        <x:v>Internal/Approved</x:v>
      </x:c>
      <x:c r="O34" s="24" t="n">
        <x:v>16</x:v>
      </x:c>
      <x:c r="P34" s="24" t="str">
        <x:v>VS-ART-001</x:v>
      </x:c>
      <x:c r="Q34" s="24" t="str">
        <x:v>Representative</x:v>
      </x:c>
      <x:c r="R34" s="24" t="str">
        <x:v>Texture/outline final not demonstrated</x:v>
      </x:c>
      <x:c r="S34" s="24" t="str"/>
    </x:row>
    <x:row r="35" ht="34" customHeight="1">
      <x:c r="A35" s="24" t="str">
        <x:v>MAT-031</x:v>
      </x:c>
      <x:c r="B35" s="24" t="str">
        <x:v>Cyan.mat</x:v>
      </x:c>
      <x:c r="C35" s="24" t="str">
        <x:v>Material</x:v>
      </x:c>
      <x:c r="D35" s="24" t="str">
        <x:v>Representative</x:v>
      </x:c>
      <x:c r="E35" s="24" t="str"/>
      <x:c r="F35" s="24" t="str">
        <x:v>ASSET / REVIEW</x:v>
      </x:c>
      <x:c r="G35" s="24" t="str">
        <x:v>Imported</x:v>
      </x:c>
      <x:c r="H35" s="24" t="str">
        <x:v>URP/visual review pending</x:v>
      </x:c>
      <x:c r="I35" s="24" t="str">
        <x:v>Assets/_Project/Art/Materials/Representative/Cyan.mat</x:v>
      </x:c>
      <x:c r="J35" s="24" t="str">
        <x:v>bc3fad4479f8bb641a96ab3d7412ab6a</x:v>
      </x:c>
      <x:c r="K35" s="44" t="n">
        <x:v>3.74</x:v>
      </x:c>
      <x:c r="L35" s="24" t="str">
        <x:v>URP material</x:v>
      </x:c>
      <x:c r="M35" s="24" t="str">
        <x:v>Prefab/reference</x:v>
      </x:c>
      <x:c r="N35" s="24" t="str">
        <x:v>Internal/Approved</x:v>
      </x:c>
      <x:c r="O35" s="24" t="n">
        <x:v>16</x:v>
      </x:c>
      <x:c r="P35" s="24" t="str">
        <x:v>VS-ART-001</x:v>
      </x:c>
      <x:c r="Q35" s="24" t="str">
        <x:v>Representative</x:v>
      </x:c>
      <x:c r="R35" s="24" t="str">
        <x:v>Texture/outline final not demonstrated</x:v>
      </x:c>
      <x:c r="S35" s="24" t="str"/>
    </x:row>
    <x:row r="36" ht="34" customHeight="1">
      <x:c r="A36" s="24" t="str">
        <x:v>MAT-032</x:v>
      </x:c>
      <x:c r="B36" s="24" t="str">
        <x:v>CyanEmissive.mat</x:v>
      </x:c>
      <x:c r="C36" s="24" t="str">
        <x:v>Material</x:v>
      </x:c>
      <x:c r="D36" s="24" t="str">
        <x:v>Representative</x:v>
      </x:c>
      <x:c r="E36" s="24" t="str"/>
      <x:c r="F36" s="24" t="str">
        <x:v>ASSET / REVIEW</x:v>
      </x:c>
      <x:c r="G36" s="24" t="str">
        <x:v>Imported</x:v>
      </x:c>
      <x:c r="H36" s="24" t="str">
        <x:v>URP/visual review pending</x:v>
      </x:c>
      <x:c r="I36" s="24" t="str">
        <x:v>Assets/_Project/Art/Materials/Representative/CyanEmissive.mat</x:v>
      </x:c>
      <x:c r="J36" s="24" t="str">
        <x:v>5478184d5a9c7a847924b46f518809ab</x:v>
      </x:c>
      <x:c r="K36" s="44" t="n">
        <x:v>3.75</x:v>
      </x:c>
      <x:c r="L36" s="24" t="str">
        <x:v>URP material</x:v>
      </x:c>
      <x:c r="M36" s="24" t="str">
        <x:v>Prefab/reference</x:v>
      </x:c>
      <x:c r="N36" s="24" t="str">
        <x:v>Internal/Approved</x:v>
      </x:c>
      <x:c r="O36" s="24" t="n">
        <x:v>16</x:v>
      </x:c>
      <x:c r="P36" s="24" t="str">
        <x:v>VS-ART-001</x:v>
      </x:c>
      <x:c r="Q36" s="24" t="str">
        <x:v>Representative</x:v>
      </x:c>
      <x:c r="R36" s="24" t="str">
        <x:v>Texture/outline final not demonstrated</x:v>
      </x:c>
      <x:c r="S36" s="24" t="str"/>
    </x:row>
    <x:row r="37" ht="34" customHeight="1">
      <x:c r="A37" s="24" t="str">
        <x:v>MAT-033</x:v>
      </x:c>
      <x:c r="B37" s="24" t="str">
        <x:v>DarkSurface.mat</x:v>
      </x:c>
      <x:c r="C37" s="24" t="str">
        <x:v>Material</x:v>
      </x:c>
      <x:c r="D37" s="24" t="str">
        <x:v>Representative</x:v>
      </x:c>
      <x:c r="E37" s="24" t="str"/>
      <x:c r="F37" s="24" t="str">
        <x:v>ASSET / REVIEW</x:v>
      </x:c>
      <x:c r="G37" s="24" t="str">
        <x:v>Imported</x:v>
      </x:c>
      <x:c r="H37" s="24" t="str">
        <x:v>URP/visual review pending</x:v>
      </x:c>
      <x:c r="I37" s="24" t="str">
        <x:v>Assets/_Project/Art/Materials/Representative/DarkSurface.mat</x:v>
      </x:c>
      <x:c r="J37" s="24" t="str">
        <x:v>fd2d442dc1f37c54184a14e0f0ccff98</x:v>
      </x:c>
      <x:c r="K37" s="44" t="n">
        <x:v>3.76</x:v>
      </x:c>
      <x:c r="L37" s="24" t="str">
        <x:v>URP material</x:v>
      </x:c>
      <x:c r="M37" s="24" t="str">
        <x:v>Prefab/reference</x:v>
      </x:c>
      <x:c r="N37" s="24" t="str">
        <x:v>Internal/Approved</x:v>
      </x:c>
      <x:c r="O37" s="24" t="n">
        <x:v>16</x:v>
      </x:c>
      <x:c r="P37" s="24" t="str">
        <x:v>VS-ART-001</x:v>
      </x:c>
      <x:c r="Q37" s="24" t="str">
        <x:v>Representative</x:v>
      </x:c>
      <x:c r="R37" s="24" t="str">
        <x:v>Texture/outline final not demonstrated</x:v>
      </x:c>
      <x:c r="S37" s="24" t="str"/>
    </x:row>
    <x:row r="38" ht="34" customHeight="1">
      <x:c r="A38" s="24" t="str">
        <x:v>MAT-034</x:v>
      </x:c>
      <x:c r="B38" s="24" t="str">
        <x:v>Glass.mat</x:v>
      </x:c>
      <x:c r="C38" s="24" t="str">
        <x:v>Material</x:v>
      </x:c>
      <x:c r="D38" s="24" t="str">
        <x:v>Representative</x:v>
      </x:c>
      <x:c r="E38" s="24" t="str"/>
      <x:c r="F38" s="24" t="str">
        <x:v>ASSET / REVIEW</x:v>
      </x:c>
      <x:c r="G38" s="24" t="str">
        <x:v>Imported</x:v>
      </x:c>
      <x:c r="H38" s="24" t="str">
        <x:v>URP/visual review pending</x:v>
      </x:c>
      <x:c r="I38" s="24" t="str">
        <x:v>Assets/_Project/Art/Materials/Representative/Glass.mat</x:v>
      </x:c>
      <x:c r="J38" s="24" t="str">
        <x:v>c5ce338d6ad18e44898ebe940b4b9cd3</x:v>
      </x:c>
      <x:c r="K38" s="44" t="n">
        <x:v>3.84</x:v>
      </x:c>
      <x:c r="L38" s="24" t="str">
        <x:v>URP material</x:v>
      </x:c>
      <x:c r="M38" s="24" t="str">
        <x:v>Prefab/reference</x:v>
      </x:c>
      <x:c r="N38" s="24" t="str">
        <x:v>Internal/Approved</x:v>
      </x:c>
      <x:c r="O38" s="24" t="n">
        <x:v>16</x:v>
      </x:c>
      <x:c r="P38" s="24" t="str">
        <x:v>VS-ART-001</x:v>
      </x:c>
      <x:c r="Q38" s="24" t="str">
        <x:v>Representative</x:v>
      </x:c>
      <x:c r="R38" s="24" t="str">
        <x:v>Texture/outline final not demonstrated</x:v>
      </x:c>
      <x:c r="S38" s="24" t="str"/>
    </x:row>
    <x:row r="39" ht="34" customHeight="1">
      <x:c r="A39" s="24" t="str">
        <x:v>MAT-035</x:v>
      </x:c>
      <x:c r="B39" s="24" t="str">
        <x:v>Graphite.mat</x:v>
      </x:c>
      <x:c r="C39" s="24" t="str">
        <x:v>Material</x:v>
      </x:c>
      <x:c r="D39" s="24" t="str">
        <x:v>Representative</x:v>
      </x:c>
      <x:c r="E39" s="24" t="str"/>
      <x:c r="F39" s="24" t="str">
        <x:v>ASSET / REVIEW</x:v>
      </x:c>
      <x:c r="G39" s="24" t="str">
        <x:v>Imported</x:v>
      </x:c>
      <x:c r="H39" s="24" t="str">
        <x:v>URP/visual review pending</x:v>
      </x:c>
      <x:c r="I39" s="24" t="str">
        <x:v>Assets/_Project/Art/Materials/Representative/Graphite.mat</x:v>
      </x:c>
      <x:c r="J39" s="24" t="str">
        <x:v>c3ef741ec3b5b5144a95f70d7cf83b1a</x:v>
      </x:c>
      <x:c r="K39" s="44" t="n">
        <x:v>3.74</x:v>
      </x:c>
      <x:c r="L39" s="24" t="str">
        <x:v>URP material</x:v>
      </x:c>
      <x:c r="M39" s="24" t="str">
        <x:v>Prefab/reference</x:v>
      </x:c>
      <x:c r="N39" s="24" t="str">
        <x:v>Internal/Approved</x:v>
      </x:c>
      <x:c r="O39" s="24" t="n">
        <x:v>16</x:v>
      </x:c>
      <x:c r="P39" s="24" t="str">
        <x:v>VS-ART-001</x:v>
      </x:c>
      <x:c r="Q39" s="24" t="str">
        <x:v>Representative</x:v>
      </x:c>
      <x:c r="R39" s="24" t="str">
        <x:v>Texture/outline final not demonstrated</x:v>
      </x:c>
      <x:c r="S39" s="24" t="str"/>
    </x:row>
    <x:row r="40" ht="34" customHeight="1">
      <x:c r="A40" s="24" t="str">
        <x:v>MAT-036</x:v>
      </x:c>
      <x:c r="B40" s="24" t="str">
        <x:v>LightNeutral.mat</x:v>
      </x:c>
      <x:c r="C40" s="24" t="str">
        <x:v>Material</x:v>
      </x:c>
      <x:c r="D40" s="24" t="str">
        <x:v>Representative</x:v>
      </x:c>
      <x:c r="E40" s="24" t="str"/>
      <x:c r="F40" s="24" t="str">
        <x:v>ASSET / REVIEW</x:v>
      </x:c>
      <x:c r="G40" s="24" t="str">
        <x:v>Imported</x:v>
      </x:c>
      <x:c r="H40" s="24" t="str">
        <x:v>URP/visual review pending</x:v>
      </x:c>
      <x:c r="I40" s="24" t="str">
        <x:v>Assets/_Project/Art/Materials/Representative/LightNeutral.mat</x:v>
      </x:c>
      <x:c r="J40" s="24" t="str">
        <x:v>7825ba7dd6bdae94e9269af8b70ab14f</x:v>
      </x:c>
      <x:c r="K40" s="44" t="n">
        <x:v>3.74</x:v>
      </x:c>
      <x:c r="L40" s="24" t="str">
        <x:v>URP material</x:v>
      </x:c>
      <x:c r="M40" s="24" t="str">
        <x:v>Prefab/reference</x:v>
      </x:c>
      <x:c r="N40" s="24" t="str">
        <x:v>Internal/Approved</x:v>
      </x:c>
      <x:c r="O40" s="24" t="n">
        <x:v>16</x:v>
      </x:c>
      <x:c r="P40" s="24" t="str">
        <x:v>VS-ART-001</x:v>
      </x:c>
      <x:c r="Q40" s="24" t="str">
        <x:v>Representative</x:v>
      </x:c>
      <x:c r="R40" s="24" t="str">
        <x:v>Texture/outline final not demonstrated</x:v>
      </x:c>
      <x:c r="S40" s="24" t="str"/>
    </x:row>
    <x:row r="41" ht="34" customHeight="1">
      <x:c r="A41" s="24" t="str">
        <x:v>MAT-037</x:v>
      </x:c>
      <x:c r="B41" s="24" t="str">
        <x:v>Red.mat</x:v>
      </x:c>
      <x:c r="C41" s="24" t="str">
        <x:v>Material</x:v>
      </x:c>
      <x:c r="D41" s="24" t="str">
        <x:v>Representative</x:v>
      </x:c>
      <x:c r="E41" s="24" t="str"/>
      <x:c r="F41" s="24" t="str">
        <x:v>ASSET / REVIEW</x:v>
      </x:c>
      <x:c r="G41" s="24" t="str">
        <x:v>Imported</x:v>
      </x:c>
      <x:c r="H41" s="24" t="str">
        <x:v>URP/visual review pending</x:v>
      </x:c>
      <x:c r="I41" s="24" t="str">
        <x:v>Assets/_Project/Art/Materials/Representative/Red.mat</x:v>
      </x:c>
      <x:c r="J41" s="24" t="str">
        <x:v>66acee09c9b77a4448e19515fb417ec9</x:v>
      </x:c>
      <x:c r="K41" s="44" t="n">
        <x:v>3.74</x:v>
      </x:c>
      <x:c r="L41" s="24" t="str">
        <x:v>URP material</x:v>
      </x:c>
      <x:c r="M41" s="24" t="str">
        <x:v>Prefab/reference</x:v>
      </x:c>
      <x:c r="N41" s="24" t="str">
        <x:v>Internal/Approved</x:v>
      </x:c>
      <x:c r="O41" s="24" t="n">
        <x:v>16</x:v>
      </x:c>
      <x:c r="P41" s="24" t="str">
        <x:v>VS-ART-001</x:v>
      </x:c>
      <x:c r="Q41" s="24" t="str">
        <x:v>Representative</x:v>
      </x:c>
      <x:c r="R41" s="24" t="str">
        <x:v>Texture/outline final not demonstrated</x:v>
      </x:c>
      <x:c r="S41" s="24" t="str"/>
    </x:row>
    <x:row r="42" ht="34" customHeight="1">
      <x:c r="A42" s="24" t="str">
        <x:v>MAT-038</x:v>
      </x:c>
      <x:c r="B42" s="24" t="str">
        <x:v>VRMGreen.mat</x:v>
      </x:c>
      <x:c r="C42" s="24" t="str">
        <x:v>Material</x:v>
      </x:c>
      <x:c r="D42" s="24" t="str">
        <x:v>Representative</x:v>
      </x:c>
      <x:c r="E42" s="24" t="str"/>
      <x:c r="F42" s="24" t="str">
        <x:v>ASSET / REVIEW</x:v>
      </x:c>
      <x:c r="G42" s="24" t="str">
        <x:v>Imported</x:v>
      </x:c>
      <x:c r="H42" s="24" t="str">
        <x:v>URP/visual review pending</x:v>
      </x:c>
      <x:c r="I42" s="24" t="str">
        <x:v>Assets/_Project/Art/Materials/Representative/VRMGreen.mat</x:v>
      </x:c>
      <x:c r="J42" s="24" t="str">
        <x:v>deadbc48b5d1847419439baba3abb446</x:v>
      </x:c>
      <x:c r="K42" s="44" t="n">
        <x:v>3.74</x:v>
      </x:c>
      <x:c r="L42" s="24" t="str">
        <x:v>URP material</x:v>
      </x:c>
      <x:c r="M42" s="24" t="str">
        <x:v>Prefab/reference</x:v>
      </x:c>
      <x:c r="N42" s="24" t="str">
        <x:v>Internal/Approved</x:v>
      </x:c>
      <x:c r="O42" s="24" t="n">
        <x:v>16</x:v>
      </x:c>
      <x:c r="P42" s="24" t="str">
        <x:v>VS-ART-001</x:v>
      </x:c>
      <x:c r="Q42" s="24" t="str">
        <x:v>Representative</x:v>
      </x:c>
      <x:c r="R42" s="24" t="str">
        <x:v>Texture/outline final not demonstrated</x:v>
      </x:c>
      <x:c r="S42" s="24" t="str"/>
    </x:row>
    <x:row r="43" ht="34" customHeight="1">
      <x:c r="A43" s="24" t="str">
        <x:v>MAT-039</x:v>
      </x:c>
      <x:c r="B43" s="24" t="str">
        <x:v>VRMGreenEmissive.mat</x:v>
      </x:c>
      <x:c r="C43" s="24" t="str">
        <x:v>Material</x:v>
      </x:c>
      <x:c r="D43" s="24" t="str">
        <x:v>Representative</x:v>
      </x:c>
      <x:c r="E43" s="24" t="str"/>
      <x:c r="F43" s="24" t="str">
        <x:v>ASSET / REVIEW</x:v>
      </x:c>
      <x:c r="G43" s="24" t="str">
        <x:v>Imported</x:v>
      </x:c>
      <x:c r="H43" s="24" t="str">
        <x:v>URP/visual review pending</x:v>
      </x:c>
      <x:c r="I43" s="24" t="str">
        <x:v>Assets/_Project/Art/Materials/Representative/VRMGreenEmissive.mat</x:v>
      </x:c>
      <x:c r="J43" s="24" t="str">
        <x:v>0b36bf9c749064348bba97bbec2942c9</x:v>
      </x:c>
      <x:c r="K43" s="44" t="n">
        <x:v>3.75</x:v>
      </x:c>
      <x:c r="L43" s="24" t="str">
        <x:v>URP material</x:v>
      </x:c>
      <x:c r="M43" s="24" t="str">
        <x:v>Prefab/reference</x:v>
      </x:c>
      <x:c r="N43" s="24" t="str">
        <x:v>Internal/Approved</x:v>
      </x:c>
      <x:c r="O43" s="24" t="n">
        <x:v>16</x:v>
      </x:c>
      <x:c r="P43" s="24" t="str">
        <x:v>VS-ART-001</x:v>
      </x:c>
      <x:c r="Q43" s="24" t="str">
        <x:v>Representative</x:v>
      </x:c>
      <x:c r="R43" s="24" t="str">
        <x:v>Texture/outline final not demonstrated</x:v>
      </x:c>
      <x:c r="S43" s="24" t="str"/>
    </x:row>
    <x:row r="44" ht="34" customHeight="1">
      <x:c r="A44" s="24" t="str">
        <x:v>MAT-040</x:v>
      </x:c>
      <x:c r="B44" s="24" t="str">
        <x:v>WarmWood.mat</x:v>
      </x:c>
      <x:c r="C44" s="24" t="str">
        <x:v>Material</x:v>
      </x:c>
      <x:c r="D44" s="24" t="str">
        <x:v>Representative</x:v>
      </x:c>
      <x:c r="E44" s="24" t="str"/>
      <x:c r="F44" s="24" t="str">
        <x:v>ASSET / REVIEW</x:v>
      </x:c>
      <x:c r="G44" s="24" t="str">
        <x:v>Imported</x:v>
      </x:c>
      <x:c r="H44" s="24" t="str">
        <x:v>URP/visual review pending</x:v>
      </x:c>
      <x:c r="I44" s="24" t="str">
        <x:v>Assets/_Project/Art/Materials/Representative/WarmWood.mat</x:v>
      </x:c>
      <x:c r="J44" s="24" t="str">
        <x:v>f29c9f5017f38184bb87ca20fcb77015</x:v>
      </x:c>
      <x:c r="K44" s="44" t="n">
        <x:v>3.75</x:v>
      </x:c>
      <x:c r="L44" s="24" t="str">
        <x:v>URP material</x:v>
      </x:c>
      <x:c r="M44" s="24" t="str">
        <x:v>Prefab/reference</x:v>
      </x:c>
      <x:c r="N44" s="24" t="str">
        <x:v>Internal/Approved</x:v>
      </x:c>
      <x:c r="O44" s="24" t="n">
        <x:v>16</x:v>
      </x:c>
      <x:c r="P44" s="24" t="str">
        <x:v>VS-ART-001</x:v>
      </x:c>
      <x:c r="Q44" s="24" t="str">
        <x:v>Representative</x:v>
      </x:c>
      <x:c r="R44" s="24" t="str">
        <x:v>Texture/outline final not demonstrated</x:v>
      </x:c>
      <x:c r="S44" s="24" t="str"/>
    </x:row>
    <x:row r="45" ht="34" customHeight="1">
      <x:c r="A45" s="24" t="str">
        <x:v>MAT-041</x:v>
      </x:c>
      <x:c r="B45" s="24" t="str">
        <x:v>CC_S4_GhostInvalid.mat</x:v>
      </x:c>
      <x:c r="C45" s="24" t="str">
        <x:v>Material</x:v>
      </x:c>
      <x:c r="D45" s="24" t="str">
        <x:v>Technical</x:v>
      </x:c>
      <x:c r="E45" s="24" t="str"/>
      <x:c r="F45" s="24" t="str">
        <x:v>ASSET / REVIEW</x:v>
      </x:c>
      <x:c r="G45" s="24" t="str">
        <x:v>Imported</x:v>
      </x:c>
      <x:c r="H45" s="24" t="str">
        <x:v>URP/visual review pending</x:v>
      </x:c>
      <x:c r="I45" s="24" t="str">
        <x:v>Assets/_Project/Art/Materials/Technical/CC_S4_GhostInvalid.mat</x:v>
      </x:c>
      <x:c r="J45" s="24" t="str">
        <x:v>93e1a822e9cc2bd45a73e82e53b83c83</x:v>
      </x:c>
      <x:c r="K45" s="44" t="n">
        <x:v>1.93</x:v>
      </x:c>
      <x:c r="L45" s="24" t="str">
        <x:v>URP material</x:v>
      </x:c>
      <x:c r="M45" s="24" t="str">
        <x:v>Prefab/reference</x:v>
      </x:c>
      <x:c r="N45" s="24" t="str">
        <x:v>Internal/Approved</x:v>
      </x:c>
      <x:c r="O45" s="24" t="n">
        <x:v>16</x:v>
      </x:c>
      <x:c r="P45" s="24" t="str">
        <x:v>VS-ART-001</x:v>
      </x:c>
      <x:c r="Q45" s="24" t="str">
        <x:v>Representative</x:v>
      </x:c>
      <x:c r="R45" s="24" t="str">
        <x:v>Texture/outline final not demonstrated</x:v>
      </x:c>
      <x:c r="S45" s="24" t="str"/>
    </x:row>
    <x:row r="46" ht="34" customHeight="1">
      <x:c r="A46" s="24" t="str">
        <x:v>MAT-042</x:v>
      </x:c>
      <x:c r="B46" s="24" t="str">
        <x:v>CC_S4_GhostValid.mat</x:v>
      </x:c>
      <x:c r="C46" s="24" t="str">
        <x:v>Material</x:v>
      </x:c>
      <x:c r="D46" s="24" t="str">
        <x:v>Technical</x:v>
      </x:c>
      <x:c r="E46" s="24" t="str"/>
      <x:c r="F46" s="24" t="str">
        <x:v>ASSET / REVIEW</x:v>
      </x:c>
      <x:c r="G46" s="24" t="str">
        <x:v>Imported</x:v>
      </x:c>
      <x:c r="H46" s="24" t="str">
        <x:v>URP/visual review pending</x:v>
      </x:c>
      <x:c r="I46" s="24" t="str">
        <x:v>Assets/_Project/Art/Materials/Technical/CC_S4_GhostValid.mat</x:v>
      </x:c>
      <x:c r="J46" s="24" t="str">
        <x:v>2c5dceb53ebc55240bae2b0418adb5c4</x:v>
      </x:c>
      <x:c r="K46" s="44" t="n">
        <x:v>1.94</x:v>
      </x:c>
      <x:c r="L46" s="24" t="str">
        <x:v>URP material</x:v>
      </x:c>
      <x:c r="M46" s="24" t="str">
        <x:v>Prefab/reference</x:v>
      </x:c>
      <x:c r="N46" s="24" t="str">
        <x:v>Internal/Approved</x:v>
      </x:c>
      <x:c r="O46" s="24" t="n">
        <x:v>16</x:v>
      </x:c>
      <x:c r="P46" s="24" t="str">
        <x:v>VS-ART-001</x:v>
      </x:c>
      <x:c r="Q46" s="24" t="str">
        <x:v>Representative</x:v>
      </x:c>
      <x:c r="R46" s="24" t="str">
        <x:v>Texture/outline final not demonstrated</x:v>
      </x:c>
      <x:c r="S46" s="24" t="str"/>
    </x:row>
    <x:row r="47" ht="34" customHeight="1">
      <x:c r="A47" s="24" t="str">
        <x:v>MAT-043</x:v>
      </x:c>
      <x:c r="B47" s="24" t="str">
        <x:v>CC_S4_PlacedTechnical.mat</x:v>
      </x:c>
      <x:c r="C47" s="24" t="str">
        <x:v>Material</x:v>
      </x:c>
      <x:c r="D47" s="24" t="str">
        <x:v>Technical</x:v>
      </x:c>
      <x:c r="E47" s="24" t="str"/>
      <x:c r="F47" s="24" t="str">
        <x:v>ASSET / REVIEW</x:v>
      </x:c>
      <x:c r="G47" s="24" t="str">
        <x:v>Imported</x:v>
      </x:c>
      <x:c r="H47" s="24" t="str">
        <x:v>URP/visual review pending</x:v>
      </x:c>
      <x:c r="I47" s="24" t="str">
        <x:v>Assets/_Project/Art/Materials/Technical/CC_S4_PlacedTechnical.mat</x:v>
      </x:c>
      <x:c r="J47" s="24" t="str">
        <x:v>73280ea062c7a6940aa81ddf62e17915</x:v>
      </x:c>
      <x:c r="K47" s="44" t="n">
        <x:v>3.75</x:v>
      </x:c>
      <x:c r="L47" s="24" t="str">
        <x:v>URP material</x:v>
      </x:c>
      <x:c r="M47" s="24" t="str">
        <x:v>Prefab/reference</x:v>
      </x:c>
      <x:c r="N47" s="24" t="str">
        <x:v>Internal/Approved</x:v>
      </x:c>
      <x:c r="O47" s="24" t="n">
        <x:v>16</x:v>
      </x:c>
      <x:c r="P47" s="24" t="str">
        <x:v>VS-ART-001</x:v>
      </x:c>
      <x:c r="Q47" s="24" t="str">
        <x:v>Representative</x:v>
      </x:c>
      <x:c r="R47" s="24" t="str">
        <x:v>Texture/outline final not demonstrated</x:v>
      </x:c>
      <x:c r="S47" s="24" t="str"/>
    </x:row>
    <x:row r="48" ht="34" customHeight="1">
      <x:c r="A48" s="24" t="str">
        <x:v>MAT-044</x:v>
      </x:c>
      <x:c r="B48" s="24" t="str">
        <x:v>CC_S5_AccessAnchorMarker.mat</x:v>
      </x:c>
      <x:c r="C48" s="24" t="str">
        <x:v>Material</x:v>
      </x:c>
      <x:c r="D48" s="24" t="str">
        <x:v>Technical</x:v>
      </x:c>
      <x:c r="E48" s="24" t="str"/>
      <x:c r="F48" s="24" t="str">
        <x:v>ASSET / REVIEW</x:v>
      </x:c>
      <x:c r="G48" s="24" t="str">
        <x:v>Imported</x:v>
      </x:c>
      <x:c r="H48" s="24" t="str">
        <x:v>URP/visual review pending</x:v>
      </x:c>
      <x:c r="I48" s="24" t="str">
        <x:v>Assets/_Project/Art/Materials/Technical/CC_S5_AccessAnchorMarker.mat</x:v>
      </x:c>
      <x:c r="J48" s="24" t="str">
        <x:v>d97a3c4e4a87ce14cbdac1f7b41cbf4c</x:v>
      </x:c>
      <x:c r="K48" s="44" t="n">
        <x:v>3.75</x:v>
      </x:c>
      <x:c r="L48" s="24" t="str">
        <x:v>URP material</x:v>
      </x:c>
      <x:c r="M48" s="24" t="str">
        <x:v>Prefab/reference</x:v>
      </x:c>
      <x:c r="N48" s="24" t="str">
        <x:v>Internal/Approved</x:v>
      </x:c>
      <x:c r="O48" s="24" t="n">
        <x:v>16</x:v>
      </x:c>
      <x:c r="P48" s="24" t="str">
        <x:v>VS-ART-001</x:v>
      </x:c>
      <x:c r="Q48" s="24" t="str">
        <x:v>Representative</x:v>
      </x:c>
      <x:c r="R48" s="24" t="str">
        <x:v>Texture/outline final not demonstrated</x:v>
      </x:c>
      <x:c r="S48" s="24" t="str"/>
    </x:row>
    <x:row r="49" ht="34" customHeight="1">
      <x:c r="A49" s="24" t="str">
        <x:v>MAT-045</x:v>
      </x:c>
      <x:c r="B49" s="24" t="str">
        <x:v>CC_S5_EntranceReserveMarker.mat</x:v>
      </x:c>
      <x:c r="C49" s="24" t="str">
        <x:v>Material</x:v>
      </x:c>
      <x:c r="D49" s="24" t="str">
        <x:v>Technical</x:v>
      </x:c>
      <x:c r="E49" s="24" t="str"/>
      <x:c r="F49" s="24" t="str">
        <x:v>ASSET / REVIEW</x:v>
      </x:c>
      <x:c r="G49" s="24" t="str">
        <x:v>Imported</x:v>
      </x:c>
      <x:c r="H49" s="24" t="str">
        <x:v>URP/visual review pending</x:v>
      </x:c>
      <x:c r="I49" s="24" t="str">
        <x:v>Assets/_Project/Art/Materials/Technical/CC_S5_EntranceReserveMarker.mat</x:v>
      </x:c>
      <x:c r="J49" s="24" t="str">
        <x:v>a43d2c00f454bf844b1ee7275211c2bd</x:v>
      </x:c>
      <x:c r="K49" s="44" t="n">
        <x:v>3.75</x:v>
      </x:c>
      <x:c r="L49" s="24" t="str">
        <x:v>URP material</x:v>
      </x:c>
      <x:c r="M49" s="24" t="str">
        <x:v>Prefab/reference</x:v>
      </x:c>
      <x:c r="N49" s="24" t="str">
        <x:v>Internal/Approved</x:v>
      </x:c>
      <x:c r="O49" s="24" t="n">
        <x:v>16</x:v>
      </x:c>
      <x:c r="P49" s="24" t="str">
        <x:v>VS-ART-001</x:v>
      </x:c>
      <x:c r="Q49" s="24" t="str">
        <x:v>Representative</x:v>
      </x:c>
      <x:c r="R49" s="24" t="str">
        <x:v>Texture/outline final not demonstrated</x:v>
      </x:c>
      <x:c r="S49" s="24" t="str"/>
    </x:row>
    <x:row r="50" ht="34" customHeight="1">
      <x:c r="A50" s="24" t="str">
        <x:v>MAT-046</x:v>
      </x:c>
      <x:c r="B50" s="24" t="str">
        <x:v>CC_S5_PlacedTechnical.mat</x:v>
      </x:c>
      <x:c r="C50" s="24" t="str">
        <x:v>Material</x:v>
      </x:c>
      <x:c r="D50" s="24" t="str">
        <x:v>Technical</x:v>
      </x:c>
      <x:c r="E50" s="24" t="str"/>
      <x:c r="F50" s="24" t="str">
        <x:v>ASSET / REVIEW</x:v>
      </x:c>
      <x:c r="G50" s="24" t="str">
        <x:v>Imported</x:v>
      </x:c>
      <x:c r="H50" s="24" t="str">
        <x:v>URP/visual review pending</x:v>
      </x:c>
      <x:c r="I50" s="24" t="str">
        <x:v>Assets/_Project/Art/Materials/Technical/CC_S5_PlacedTechnical.mat</x:v>
      </x:c>
      <x:c r="J50" s="24" t="str">
        <x:v>d430dbea45d18d54fa22f394bb09e5e8</x:v>
      </x:c>
      <x:c r="K50" s="44" t="n">
        <x:v>3.75</x:v>
      </x:c>
      <x:c r="L50" s="24" t="str">
        <x:v>URP material</x:v>
      </x:c>
      <x:c r="M50" s="24" t="str">
        <x:v>Prefab/reference</x:v>
      </x:c>
      <x:c r="N50" s="24" t="str">
        <x:v>Internal/Approved</x:v>
      </x:c>
      <x:c r="O50" s="24" t="n">
        <x:v>16</x:v>
      </x:c>
      <x:c r="P50" s="24" t="str">
        <x:v>VS-ART-001</x:v>
      </x:c>
      <x:c r="Q50" s="24" t="str">
        <x:v>Representative</x:v>
      </x:c>
      <x:c r="R50" s="24" t="str">
        <x:v>Texture/outline final not demonstrated</x:v>
      </x:c>
      <x:c r="S50" s="24" t="str"/>
    </x:row>
    <x:row r="51" ht="34" customHeight="1">
      <x:c r="A51" s="24" t="str">
        <x:v>MAT-047</x:v>
      </x:c>
      <x:c r="B51" s="24" t="str">
        <x:v>CC_S5_PlacementInvalid.mat</x:v>
      </x:c>
      <x:c r="C51" s="24" t="str">
        <x:v>Material</x:v>
      </x:c>
      <x:c r="D51" s="24" t="str">
        <x:v>Technical</x:v>
      </x:c>
      <x:c r="E51" s="24" t="str"/>
      <x:c r="F51" s="24" t="str">
        <x:v>ASSET / REVIEW</x:v>
      </x:c>
      <x:c r="G51" s="24" t="str">
        <x:v>Imported</x:v>
      </x:c>
      <x:c r="H51" s="24" t="str">
        <x:v>URP/visual review pending</x:v>
      </x:c>
      <x:c r="I51" s="24" t="str">
        <x:v>Assets/_Project/Art/Materials/Technical/CC_S5_PlacementInvalid.mat</x:v>
      </x:c>
      <x:c r="J51" s="24" t="str">
        <x:v>7a6d13ecba35b6142833314c6d3dd4e3</x:v>
      </x:c>
      <x:c r="K51" s="44" t="n">
        <x:v>3.76</x:v>
      </x:c>
      <x:c r="L51" s="24" t="str">
        <x:v>URP material</x:v>
      </x:c>
      <x:c r="M51" s="24" t="str">
        <x:v>Prefab/reference</x:v>
      </x:c>
      <x:c r="N51" s="24" t="str">
        <x:v>Internal/Approved</x:v>
      </x:c>
      <x:c r="O51" s="24" t="n">
        <x:v>16</x:v>
      </x:c>
      <x:c r="P51" s="24" t="str">
        <x:v>VS-ART-001</x:v>
      </x:c>
      <x:c r="Q51" s="24" t="str">
        <x:v>Representative</x:v>
      </x:c>
      <x:c r="R51" s="24" t="str">
        <x:v>Texture/outline final not demonstrated</x:v>
      </x:c>
      <x:c r="S51" s="24" t="str"/>
    </x:row>
    <x:row r="52" ht="34" customHeight="1">
      <x:c r="A52" s="24" t="str">
        <x:v>MAT-048</x:v>
      </x:c>
      <x:c r="B52" s="24" t="str">
        <x:v>CC_S5_PlacementValid.mat</x:v>
      </x:c>
      <x:c r="C52" s="24" t="str">
        <x:v>Material</x:v>
      </x:c>
      <x:c r="D52" s="24" t="str">
        <x:v>Technical</x:v>
      </x:c>
      <x:c r="E52" s="24" t="str"/>
      <x:c r="F52" s="24" t="str">
        <x:v>ASSET / REVIEW</x:v>
      </x:c>
      <x:c r="G52" s="24" t="str">
        <x:v>Imported</x:v>
      </x:c>
      <x:c r="H52" s="24" t="str">
        <x:v>URP/visual review pending</x:v>
      </x:c>
      <x:c r="I52" s="24" t="str">
        <x:v>Assets/_Project/Art/Materials/Technical/CC_S5_PlacementValid.mat</x:v>
      </x:c>
      <x:c r="J52" s="24" t="str">
        <x:v>0b21e154d6a431344bce6ed394378c0b</x:v>
      </x:c>
      <x:c r="K52" s="44" t="n">
        <x:v>3.75</x:v>
      </x:c>
      <x:c r="L52" s="24" t="str">
        <x:v>URP material</x:v>
      </x:c>
      <x:c r="M52" s="24" t="str">
        <x:v>Prefab/reference</x:v>
      </x:c>
      <x:c r="N52" s="24" t="str">
        <x:v>Internal/Approved</x:v>
      </x:c>
      <x:c r="O52" s="24" t="n">
        <x:v>16</x:v>
      </x:c>
      <x:c r="P52" s="24" t="str">
        <x:v>VS-ART-001</x:v>
      </x:c>
      <x:c r="Q52" s="24" t="str">
        <x:v>Representative</x:v>
      </x:c>
      <x:c r="R52" s="24" t="str">
        <x:v>Texture/outline final not demonstrated</x:v>
      </x:c>
      <x:c r="S52" s="24" t="str"/>
    </x:row>
    <x:row r="53" ht="34" customHeight="1">
      <x:c r="A53" s="24" t="str">
        <x:v>MAT-049</x:v>
      </x:c>
      <x:c r="B53" s="24" t="str">
        <x:v>CC_S5_StoreEntranceTechnical.mat</x:v>
      </x:c>
      <x:c r="C53" s="24" t="str">
        <x:v>Material</x:v>
      </x:c>
      <x:c r="D53" s="24" t="str">
        <x:v>Technical</x:v>
      </x:c>
      <x:c r="E53" s="24" t="str"/>
      <x:c r="F53" s="24" t="str">
        <x:v>ASSET / REVIEW</x:v>
      </x:c>
      <x:c r="G53" s="24" t="str">
        <x:v>Imported</x:v>
      </x:c>
      <x:c r="H53" s="24" t="str">
        <x:v>URP/visual review pending</x:v>
      </x:c>
      <x:c r="I53" s="24" t="str">
        <x:v>Assets/_Project/Art/Materials/Technical/CC_S5_StoreEntranceTechnical.mat</x:v>
      </x:c>
      <x:c r="J53" s="24" t="str">
        <x:v>b96b73b4ca6f8e141abf7154d79f03f1</x:v>
      </x:c>
      <x:c r="K53" s="44" t="n">
        <x:v>3.76</x:v>
      </x:c>
      <x:c r="L53" s="24" t="str">
        <x:v>URP material</x:v>
      </x:c>
      <x:c r="M53" s="24" t="str">
        <x:v>Prefab/reference</x:v>
      </x:c>
      <x:c r="N53" s="24" t="str">
        <x:v>Internal/Approved</x:v>
      </x:c>
      <x:c r="O53" s="24" t="n">
        <x:v>16</x:v>
      </x:c>
      <x:c r="P53" s="24" t="str">
        <x:v>VS-ART-001</x:v>
      </x:c>
      <x:c r="Q53" s="24" t="str">
        <x:v>Representative</x:v>
      </x:c>
      <x:c r="R53" s="24" t="str">
        <x:v>Texture/outline final not demonstrated</x:v>
      </x:c>
      <x:c r="S53" s="24" t="str"/>
    </x:row>
    <x:row r="54" ht="34" customHeight="1">
      <x:c r="A54" s="24" t="str">
        <x:v>MAT-050</x:v>
      </x:c>
      <x:c r="B54" s="24" t="str">
        <x:v>CC_S5_StoreFloorTechnical.mat</x:v>
      </x:c>
      <x:c r="C54" s="24" t="str">
        <x:v>Material</x:v>
      </x:c>
      <x:c r="D54" s="24" t="str">
        <x:v>Technical</x:v>
      </x:c>
      <x:c r="E54" s="24" t="str"/>
      <x:c r="F54" s="24" t="str">
        <x:v>ASSET / REVIEW</x:v>
      </x:c>
      <x:c r="G54" s="24" t="str">
        <x:v>Imported</x:v>
      </x:c>
      <x:c r="H54" s="24" t="str">
        <x:v>URP/visual review pending</x:v>
      </x:c>
      <x:c r="I54" s="24" t="str">
        <x:v>Assets/_Project/Art/Materials/Technical/CC_S5_StoreFloorTechnical.mat</x:v>
      </x:c>
      <x:c r="J54" s="24" t="str">
        <x:v>dc20a3078d485984f9c7a9d258600732</x:v>
      </x:c>
      <x:c r="K54" s="44" t="n">
        <x:v>3.76</x:v>
      </x:c>
      <x:c r="L54" s="24" t="str">
        <x:v>URP material</x:v>
      </x:c>
      <x:c r="M54" s="24" t="str">
        <x:v>Prefab/reference</x:v>
      </x:c>
      <x:c r="N54" s="24" t="str">
        <x:v>Internal/Approved</x:v>
      </x:c>
      <x:c r="O54" s="24" t="n">
        <x:v>16</x:v>
      </x:c>
      <x:c r="P54" s="24" t="str">
        <x:v>VS-ART-001</x:v>
      </x:c>
      <x:c r="Q54" s="24" t="str">
        <x:v>Representative</x:v>
      </x:c>
      <x:c r="R54" s="24" t="str">
        <x:v>Texture/outline final not demonstrated</x:v>
      </x:c>
      <x:c r="S54" s="24" t="str"/>
    </x:row>
    <x:row r="55" ht="34" customHeight="1">
      <x:c r="A55" s="24" t="str">
        <x:v>MAT-051</x:v>
      </x:c>
      <x:c r="B55" s="24" t="str">
        <x:v>CC_S5_StorePlayerTechnical.mat</x:v>
      </x:c>
      <x:c r="C55" s="24" t="str">
        <x:v>Material</x:v>
      </x:c>
      <x:c r="D55" s="24" t="str">
        <x:v>Technical</x:v>
      </x:c>
      <x:c r="E55" s="24" t="str"/>
      <x:c r="F55" s="24" t="str">
        <x:v>ASSET / REVIEW</x:v>
      </x:c>
      <x:c r="G55" s="24" t="str">
        <x:v>Imported</x:v>
      </x:c>
      <x:c r="H55" s="24" t="str">
        <x:v>URP/visual review pending</x:v>
      </x:c>
      <x:c r="I55" s="24" t="str">
        <x:v>Assets/_Project/Art/Materials/Technical/CC_S5_StorePlayerTechnical.mat</x:v>
      </x:c>
      <x:c r="J55" s="24" t="str">
        <x:v>d61fc2385715d4746ba4b2b689248d3b</x:v>
      </x:c>
      <x:c r="K55" s="44" t="n">
        <x:v>3.76</x:v>
      </x:c>
      <x:c r="L55" s="24" t="str">
        <x:v>URP material</x:v>
      </x:c>
      <x:c r="M55" s="24" t="str">
        <x:v>Prefab/reference</x:v>
      </x:c>
      <x:c r="N55" s="24" t="str">
        <x:v>Internal/Approved</x:v>
      </x:c>
      <x:c r="O55" s="24" t="n">
        <x:v>16</x:v>
      </x:c>
      <x:c r="P55" s="24" t="str">
        <x:v>VS-ART-001</x:v>
      </x:c>
      <x:c r="Q55" s="24" t="str">
        <x:v>Representative</x:v>
      </x:c>
      <x:c r="R55" s="24" t="str">
        <x:v>Texture/outline final not demonstrated</x:v>
      </x:c>
      <x:c r="S55" s="24" t="str"/>
    </x:row>
    <x:row r="56" ht="34" customHeight="1">
      <x:c r="A56" s="24" t="str">
        <x:v>MAT-052</x:v>
      </x:c>
      <x:c r="B56" s="24" t="str">
        <x:v>CC_S5_StoreWallTechnical.mat</x:v>
      </x:c>
      <x:c r="C56" s="24" t="str">
        <x:v>Material</x:v>
      </x:c>
      <x:c r="D56" s="24" t="str">
        <x:v>Technical</x:v>
      </x:c>
      <x:c r="E56" s="24" t="str"/>
      <x:c r="F56" s="24" t="str">
        <x:v>ASSET / REVIEW</x:v>
      </x:c>
      <x:c r="G56" s="24" t="str">
        <x:v>Imported</x:v>
      </x:c>
      <x:c r="H56" s="24" t="str">
        <x:v>URP/visual review pending</x:v>
      </x:c>
      <x:c r="I56" s="24" t="str">
        <x:v>Assets/_Project/Art/Materials/Technical/CC_S5_StoreWallTechnical.mat</x:v>
      </x:c>
      <x:c r="J56" s="24" t="str">
        <x:v>056ccf5de784b274da4b4e809060173c</x:v>
      </x:c>
      <x:c r="K56" s="44" t="n">
        <x:v>3.75</x:v>
      </x:c>
      <x:c r="L56" s="24" t="str">
        <x:v>URP material</x:v>
      </x:c>
      <x:c r="M56" s="24" t="str">
        <x:v>Prefab/reference</x:v>
      </x:c>
      <x:c r="N56" s="24" t="str">
        <x:v>Internal/Approved</x:v>
      </x:c>
      <x:c r="O56" s="24" t="n">
        <x:v>16</x:v>
      </x:c>
      <x:c r="P56" s="24" t="str">
        <x:v>VS-ART-001</x:v>
      </x:c>
      <x:c r="Q56" s="24" t="str">
        <x:v>Representative</x:v>
      </x:c>
      <x:c r="R56" s="24" t="str">
        <x:v>Texture/outline final not demonstrated</x:v>
      </x:c>
      <x:c r="S56" s="24" t="str"/>
    </x:row>
    <x:row r="57" ht="34" customHeight="1">
      <x:c r="A57" s="24" t="str">
        <x:v>TEX-001</x:v>
      </x:c>
      <x:c r="B57" s="24" t="str">
        <x:v>accessory-memory-core_cover.png</x:v>
      </x:c>
      <x:c r="C57" s="24" t="str">
        <x:v>Texture</x:v>
      </x:c>
      <x:c r="D57" s="24" t="str">
        <x:v>Products</x:v>
      </x:c>
      <x:c r="E57" s="24" t="str"/>
      <x:c r="F57" s="24" t="str">
        <x:v>ACTIVE / REPRESENTATIVE</x:v>
      </x:c>
      <x:c r="G57" s="24" t="str">
        <x:v>Imported</x:v>
      </x:c>
      <x:c r="H57" s="24" t="str">
        <x:v>Visual/import settings review</x:v>
      </x:c>
      <x:c r="I57" s="24" t="str">
        <x:v>Assets/_Project/Art/Textures/Products/Covers/accessory-memory-core_cover.png</x:v>
      </x:c>
      <x:c r="J57" s="24" t="str">
        <x:v>99ad8e1cc769d203874d34b007d6b1fb</x:v>
      </x:c>
      <x:c r="K57" s="44" t="n">
        <x:v>12.82</x:v>
      </x:c>
      <x:c r="L57" s="24" t="str">
        <x:v>.png</x:v>
      </x:c>
      <x:c r="M57" s="24" t="str">
        <x:v>Product icon/cover or texture</x:v>
      </x:c>
      <x:c r="N57" s="24" t="str">
        <x:v>Internal/Approved</x:v>
      </x:c>
      <x:c r="O57" s="24" t="n">
        <x:v>16</x:v>
      </x:c>
      <x:c r="P57" s="24" t="str">
        <x:v>VS-ART-001</x:v>
      </x:c>
      <x:c r="Q57" s="24" t="str">
        <x:v>Review</x:v>
      </x:c>
      <x:c r="R57" s="24" t="str">
        <x:v>Production texture set incomplete</x:v>
      </x:c>
      <x:c r="S57" s="24" t="str"/>
    </x:row>
    <x:row r="58" ht="34" customHeight="1">
      <x:c r="A58" s="24" t="str">
        <x:v>TEX-002</x:v>
      </x:c>
      <x:c r="B58" s="24" t="str">
        <x:v>case-cloud-runner_cover.png</x:v>
      </x:c>
      <x:c r="C58" s="24" t="str">
        <x:v>Texture</x:v>
      </x:c>
      <x:c r="D58" s="24" t="str">
        <x:v>Products</x:v>
      </x:c>
      <x:c r="E58" s="24" t="str"/>
      <x:c r="F58" s="24" t="str">
        <x:v>ACTIVE / REPRESENTATIVE</x:v>
      </x:c>
      <x:c r="G58" s="24" t="str">
        <x:v>Imported</x:v>
      </x:c>
      <x:c r="H58" s="24" t="str">
        <x:v>Visual/import settings review</x:v>
      </x:c>
      <x:c r="I58" s="24" t="str">
        <x:v>Assets/_Project/Art/Textures/Products/Covers/case-cloud-runner_cover.png</x:v>
      </x:c>
      <x:c r="J58" s="24" t="str">
        <x:v>02a2a492a281853daab6388d0ee18a34</x:v>
      </x:c>
      <x:c r="K58" s="44" t="n">
        <x:v>12.35</x:v>
      </x:c>
      <x:c r="L58" s="24" t="str">
        <x:v>.png</x:v>
      </x:c>
      <x:c r="M58" s="24" t="str">
        <x:v>Product icon/cover or texture</x:v>
      </x:c>
      <x:c r="N58" s="24" t="str">
        <x:v>Internal/Approved</x:v>
      </x:c>
      <x:c r="O58" s="24" t="n">
        <x:v>16</x:v>
      </x:c>
      <x:c r="P58" s="24" t="str">
        <x:v>VS-ART-001</x:v>
      </x:c>
      <x:c r="Q58" s="24" t="str">
        <x:v>Review</x:v>
      </x:c>
      <x:c r="R58" s="24" t="str">
        <x:v>Production texture set incomplete</x:v>
      </x:c>
      <x:c r="S58" s="24" t="str"/>
    </x:row>
    <x:row r="59" ht="34" customHeight="1">
      <x:c r="A59" s="24" t="str">
        <x:v>TEX-003</x:v>
      </x:c>
      <x:c r="B59" s="24" t="str">
        <x:v>console-vertex-one_cover.png</x:v>
      </x:c>
      <x:c r="C59" s="24" t="str">
        <x:v>Texture</x:v>
      </x:c>
      <x:c r="D59" s="24" t="str">
        <x:v>Products</x:v>
      </x:c>
      <x:c r="E59" s="24" t="str"/>
      <x:c r="F59" s="24" t="str">
        <x:v>ACTIVE / REPRESENTATIVE</x:v>
      </x:c>
      <x:c r="G59" s="24" t="str">
        <x:v>Imported</x:v>
      </x:c>
      <x:c r="H59" s="24" t="str">
        <x:v>Visual/import settings review</x:v>
      </x:c>
      <x:c r="I59" s="24" t="str">
        <x:v>Assets/_Project/Art/Textures/Products/Covers/console-vertex-one_cover.png</x:v>
      </x:c>
      <x:c r="J59" s="24" t="str">
        <x:v>36c44215e08a5796632b24c7f3fd1ebd</x:v>
      </x:c>
      <x:c r="K59" s="44" t="n">
        <x:v>12.04</x:v>
      </x:c>
      <x:c r="L59" s="24" t="str">
        <x:v>.png</x:v>
      </x:c>
      <x:c r="M59" s="24" t="str">
        <x:v>Product icon/cover or texture</x:v>
      </x:c>
      <x:c r="N59" s="24" t="str">
        <x:v>Internal/Approved</x:v>
      </x:c>
      <x:c r="O59" s="24" t="n">
        <x:v>16</x:v>
      </x:c>
      <x:c r="P59" s="24" t="str">
        <x:v>VS-ART-001</x:v>
      </x:c>
      <x:c r="Q59" s="24" t="str">
        <x:v>Review</x:v>
      </x:c>
      <x:c r="R59" s="24" t="str">
        <x:v>Production texture set incomplete</x:v>
      </x:c>
      <x:c r="S59" s="24" t="str"/>
    </x:row>
    <x:row r="60" ht="34" customHeight="1">
      <x:c r="A60" s="24" t="str">
        <x:v>TEX-004</x:v>
      </x:c>
      <x:c r="B60" s="24" t="str">
        <x:v>controller-orbit-pad_cover.png</x:v>
      </x:c>
      <x:c r="C60" s="24" t="str">
        <x:v>Texture</x:v>
      </x:c>
      <x:c r="D60" s="24" t="str">
        <x:v>Products</x:v>
      </x:c>
      <x:c r="E60" s="24" t="str"/>
      <x:c r="F60" s="24" t="str">
        <x:v>ACTIVE / REPRESENTATIVE</x:v>
      </x:c>
      <x:c r="G60" s="24" t="str">
        <x:v>Imported</x:v>
      </x:c>
      <x:c r="H60" s="24" t="str">
        <x:v>Visual/import settings review</x:v>
      </x:c>
      <x:c r="I60" s="24" t="str">
        <x:v>Assets/_Project/Art/Textures/Products/Covers/controller-orbit-pad_cover.png</x:v>
      </x:c>
      <x:c r="J60" s="24" t="str">
        <x:v>1df6feaefb37bee2c723271f297c84fa</x:v>
      </x:c>
      <x:c r="K60" s="44" t="n">
        <x:v>11.8</x:v>
      </x:c>
      <x:c r="L60" s="24" t="str">
        <x:v>.png</x:v>
      </x:c>
      <x:c r="M60" s="24" t="str">
        <x:v>Product icon/cover or texture</x:v>
      </x:c>
      <x:c r="N60" s="24" t="str">
        <x:v>Internal/Approved</x:v>
      </x:c>
      <x:c r="O60" s="24" t="n">
        <x:v>16</x:v>
      </x:c>
      <x:c r="P60" s="24" t="str">
        <x:v>VS-ART-001</x:v>
      </x:c>
      <x:c r="Q60" s="24" t="str">
        <x:v>Review</x:v>
      </x:c>
      <x:c r="R60" s="24" t="str">
        <x:v>Production texture set incomplete</x:v>
      </x:c>
      <x:c r="S60" s="24" t="str"/>
    </x:row>
    <x:row r="61" ht="34" customHeight="1">
      <x:c r="A61" s="24" t="str">
        <x:v>TEX-005</x:v>
      </x:c>
      <x:c r="B61" s="24" t="str">
        <x:v>game-neon-drift_cover.png</x:v>
      </x:c>
      <x:c r="C61" s="24" t="str">
        <x:v>Texture</x:v>
      </x:c>
      <x:c r="D61" s="24" t="str">
        <x:v>Products</x:v>
      </x:c>
      <x:c r="E61" s="24" t="str"/>
      <x:c r="F61" s="24" t="str">
        <x:v>ACTIVE / REPRESENTATIVE</x:v>
      </x:c>
      <x:c r="G61" s="24" t="str">
        <x:v>Imported</x:v>
      </x:c>
      <x:c r="H61" s="24" t="str">
        <x:v>Visual/import settings review</x:v>
      </x:c>
      <x:c r="I61" s="24" t="str">
        <x:v>Assets/_Project/Art/Textures/Products/Covers/game-neon-drift_cover.png</x:v>
      </x:c>
      <x:c r="J61" s="24" t="str">
        <x:v>95a08376e01a66e9fb8be705367e8e70</x:v>
      </x:c>
      <x:c r="K61" s="44" t="n">
        <x:v>10.82</x:v>
      </x:c>
      <x:c r="L61" s="24" t="str">
        <x:v>.png</x:v>
      </x:c>
      <x:c r="M61" s="24" t="str">
        <x:v>Product icon/cover or texture</x:v>
      </x:c>
      <x:c r="N61" s="24" t="str">
        <x:v>Internal/Approved</x:v>
      </x:c>
      <x:c r="O61" s="24" t="n">
        <x:v>16</x:v>
      </x:c>
      <x:c r="P61" s="24" t="str">
        <x:v>VS-ART-001</x:v>
      </x:c>
      <x:c r="Q61" s="24" t="str">
        <x:v>Review</x:v>
      </x:c>
      <x:c r="R61" s="24" t="str">
        <x:v>Production texture set incomplete</x:v>
      </x:c>
      <x:c r="S61" s="24" t="str"/>
    </x:row>
    <x:row r="62" ht="34" customHeight="1">
      <x:c r="A62" s="24" t="str">
        <x:v>TEX-006</x:v>
      </x:c>
      <x:c r="B62" s="24" t="str">
        <x:v>headset-signal-pro_cover.png</x:v>
      </x:c>
      <x:c r="C62" s="24" t="str">
        <x:v>Texture</x:v>
      </x:c>
      <x:c r="D62" s="24" t="str">
        <x:v>Products</x:v>
      </x:c>
      <x:c r="E62" s="24" t="str"/>
      <x:c r="F62" s="24" t="str">
        <x:v>ACTIVE / REPRESENTATIVE</x:v>
      </x:c>
      <x:c r="G62" s="24" t="str">
        <x:v>Imported</x:v>
      </x:c>
      <x:c r="H62" s="24" t="str">
        <x:v>Visual/import settings review</x:v>
      </x:c>
      <x:c r="I62" s="24" t="str">
        <x:v>Assets/_Project/Art/Textures/Products/Covers/headset-signal-pro_cover.png</x:v>
      </x:c>
      <x:c r="J62" s="24" t="str">
        <x:v>555516fd940c23a935886572fcb5dbda</x:v>
      </x:c>
      <x:c r="K62" s="44" t="n">
        <x:v>12.85</x:v>
      </x:c>
      <x:c r="L62" s="24" t="str">
        <x:v>.png</x:v>
      </x:c>
      <x:c r="M62" s="24" t="str">
        <x:v>Product icon/cover or texture</x:v>
      </x:c>
      <x:c r="N62" s="24" t="str">
        <x:v>Internal/Approved</x:v>
      </x:c>
      <x:c r="O62" s="24" t="n">
        <x:v>16</x:v>
      </x:c>
      <x:c r="P62" s="24" t="str">
        <x:v>VS-ART-001</x:v>
      </x:c>
      <x:c r="Q62" s="24" t="str">
        <x:v>Review</x:v>
      </x:c>
      <x:c r="R62" s="24" t="str">
        <x:v>Production texture set incomplete</x:v>
      </x:c>
      <x:c r="S62" s="24" t="str"/>
    </x:row>
    <x:row r="63" ht="34" customHeight="1">
      <x:c r="A63" s="24" t="str">
        <x:v>TEX-007</x:v>
      </x:c>
      <x:c r="B63" s="24" t="str">
        <x:v>accessory-memory-core_icon.png</x:v>
      </x:c>
      <x:c r="C63" s="24" t="str">
        <x:v>Texture</x:v>
      </x:c>
      <x:c r="D63" s="24" t="str">
        <x:v>Products</x:v>
      </x:c>
      <x:c r="E63" s="24" t="str"/>
      <x:c r="F63" s="24" t="str">
        <x:v>ACTIVE / REPRESENTATIVE</x:v>
      </x:c>
      <x:c r="G63" s="24" t="str">
        <x:v>Imported</x:v>
      </x:c>
      <x:c r="H63" s="24" t="str">
        <x:v>Visual/import settings review</x:v>
      </x:c>
      <x:c r="I63" s="24" t="str">
        <x:v>Assets/_Project/Art/Textures/Products/Icons/accessory-memory-core_icon.png</x:v>
      </x:c>
      <x:c r="J63" s="24" t="str">
        <x:v>6d1ad708b4e4aafaed261b3d970bad30</x:v>
      </x:c>
      <x:c r="K63" s="44" t="n">
        <x:v>4.73</x:v>
      </x:c>
      <x:c r="L63" s="24" t="str">
        <x:v>.png</x:v>
      </x:c>
      <x:c r="M63" s="24" t="str">
        <x:v>Product icon/cover or texture</x:v>
      </x:c>
      <x:c r="N63" s="24" t="str">
        <x:v>Internal/Approved</x:v>
      </x:c>
      <x:c r="O63" s="24" t="n">
        <x:v>16</x:v>
      </x:c>
      <x:c r="P63" s="24" t="str">
        <x:v>VS-ART-001</x:v>
      </x:c>
      <x:c r="Q63" s="24" t="str">
        <x:v>Review</x:v>
      </x:c>
      <x:c r="R63" s="24" t="str">
        <x:v>Production texture set incomplete</x:v>
      </x:c>
      <x:c r="S63" s="24" t="str"/>
    </x:row>
    <x:row r="64" ht="34" customHeight="1">
      <x:c r="A64" s="24" t="str">
        <x:v>TEX-008</x:v>
      </x:c>
      <x:c r="B64" s="24" t="str">
        <x:v>case-cloud-runner_icon.png</x:v>
      </x:c>
      <x:c r="C64" s="24" t="str">
        <x:v>Texture</x:v>
      </x:c>
      <x:c r="D64" s="24" t="str">
        <x:v>Products</x:v>
      </x:c>
      <x:c r="E64" s="24" t="str"/>
      <x:c r="F64" s="24" t="str">
        <x:v>ACTIVE / REPRESENTATIVE</x:v>
      </x:c>
      <x:c r="G64" s="24" t="str">
        <x:v>Imported</x:v>
      </x:c>
      <x:c r="H64" s="24" t="str">
        <x:v>Visual/import settings review</x:v>
      </x:c>
      <x:c r="I64" s="24" t="str">
        <x:v>Assets/_Project/Art/Textures/Products/Icons/case-cloud-runner_icon.png</x:v>
      </x:c>
      <x:c r="J64" s="24" t="str">
        <x:v>8c0a1718ad8cc09611a641f822dd6876</x:v>
      </x:c>
      <x:c r="K64" s="44" t="n">
        <x:v>4.36</x:v>
      </x:c>
      <x:c r="L64" s="24" t="str">
        <x:v>.png</x:v>
      </x:c>
      <x:c r="M64" s="24" t="str">
        <x:v>Product icon/cover or texture</x:v>
      </x:c>
      <x:c r="N64" s="24" t="str">
        <x:v>Internal/Approved</x:v>
      </x:c>
      <x:c r="O64" s="24" t="n">
        <x:v>16</x:v>
      </x:c>
      <x:c r="P64" s="24" t="str">
        <x:v>VS-ART-001</x:v>
      </x:c>
      <x:c r="Q64" s="24" t="str">
        <x:v>Review</x:v>
      </x:c>
      <x:c r="R64" s="24" t="str">
        <x:v>Production texture set incomplete</x:v>
      </x:c>
      <x:c r="S64" s="24" t="str"/>
    </x:row>
    <x:row r="65" ht="34" customHeight="1">
      <x:c r="A65" s="24" t="str">
        <x:v>TEX-009</x:v>
      </x:c>
      <x:c r="B65" s="24" t="str">
        <x:v>console-vertex-one_icon.png</x:v>
      </x:c>
      <x:c r="C65" s="24" t="str">
        <x:v>Texture</x:v>
      </x:c>
      <x:c r="D65" s="24" t="str">
        <x:v>Products</x:v>
      </x:c>
      <x:c r="E65" s="24" t="str"/>
      <x:c r="F65" s="24" t="str">
        <x:v>ACTIVE / REPRESENTATIVE</x:v>
      </x:c>
      <x:c r="G65" s="24" t="str">
        <x:v>Imported</x:v>
      </x:c>
      <x:c r="H65" s="24" t="str">
        <x:v>Visual/import settings review</x:v>
      </x:c>
      <x:c r="I65" s="24" t="str">
        <x:v>Assets/_Project/Art/Textures/Products/Icons/console-vertex-one_icon.png</x:v>
      </x:c>
      <x:c r="J65" s="24" t="str">
        <x:v>6aa6b1239ca9f6cdfd2bb6023eb4c1c4</x:v>
      </x:c>
      <x:c r="K65" s="44" t="n">
        <x:v>4.52</x:v>
      </x:c>
      <x:c r="L65" s="24" t="str">
        <x:v>.png</x:v>
      </x:c>
      <x:c r="M65" s="24" t="str">
        <x:v>Product icon/cover or texture</x:v>
      </x:c>
      <x:c r="N65" s="24" t="str">
        <x:v>Internal/Approved</x:v>
      </x:c>
      <x:c r="O65" s="24" t="n">
        <x:v>16</x:v>
      </x:c>
      <x:c r="P65" s="24" t="str">
        <x:v>VS-ART-001</x:v>
      </x:c>
      <x:c r="Q65" s="24" t="str">
        <x:v>Review</x:v>
      </x:c>
      <x:c r="R65" s="24" t="str">
        <x:v>Production texture set incomplete</x:v>
      </x:c>
      <x:c r="S65" s="24" t="str"/>
    </x:row>
    <x:row r="66" ht="34" customHeight="1">
      <x:c r="A66" s="24" t="str">
        <x:v>TEX-010</x:v>
      </x:c>
      <x:c r="B66" s="24" t="str">
        <x:v>controller-orbit-pad_icon.png</x:v>
      </x:c>
      <x:c r="C66" s="24" t="str">
        <x:v>Texture</x:v>
      </x:c>
      <x:c r="D66" s="24" t="str">
        <x:v>Products</x:v>
      </x:c>
      <x:c r="E66" s="24" t="str"/>
      <x:c r="F66" s="24" t="str">
        <x:v>ACTIVE / REPRESENTATIVE</x:v>
      </x:c>
      <x:c r="G66" s="24" t="str">
        <x:v>Imported</x:v>
      </x:c>
      <x:c r="H66" s="24" t="str">
        <x:v>Visual/import settings review</x:v>
      </x:c>
      <x:c r="I66" s="24" t="str">
        <x:v>Assets/_Project/Art/Textures/Products/Icons/controller-orbit-pad_icon.png</x:v>
      </x:c>
      <x:c r="J66" s="24" t="str">
        <x:v>a5a7682e0808b2d2d51bdf3ef57fe2a1</x:v>
      </x:c>
      <x:c r="K66" s="44" t="n">
        <x:v>4.08</x:v>
      </x:c>
      <x:c r="L66" s="24" t="str">
        <x:v>.png</x:v>
      </x:c>
      <x:c r="M66" s="24" t="str">
        <x:v>Product icon/cover or texture</x:v>
      </x:c>
      <x:c r="N66" s="24" t="str">
        <x:v>Internal/Approved</x:v>
      </x:c>
      <x:c r="O66" s="24" t="n">
        <x:v>16</x:v>
      </x:c>
      <x:c r="P66" s="24" t="str">
        <x:v>VS-ART-001</x:v>
      </x:c>
      <x:c r="Q66" s="24" t="str">
        <x:v>Review</x:v>
      </x:c>
      <x:c r="R66" s="24" t="str">
        <x:v>Production texture set incomplete</x:v>
      </x:c>
      <x:c r="S66" s="24" t="str"/>
    </x:row>
    <x:row r="67" ht="34" customHeight="1">
      <x:c r="A67" s="24" t="str">
        <x:v>TEX-011</x:v>
      </x:c>
      <x:c r="B67" s="24" t="str">
        <x:v>game-neon-drift_icon.png</x:v>
      </x:c>
      <x:c r="C67" s="24" t="str">
        <x:v>Texture</x:v>
      </x:c>
      <x:c r="D67" s="24" t="str">
        <x:v>Products</x:v>
      </x:c>
      <x:c r="E67" s="24" t="str"/>
      <x:c r="F67" s="24" t="str">
        <x:v>ACTIVE / REPRESENTATIVE</x:v>
      </x:c>
      <x:c r="G67" s="24" t="str">
        <x:v>Imported</x:v>
      </x:c>
      <x:c r="H67" s="24" t="str">
        <x:v>Visual/import settings review</x:v>
      </x:c>
      <x:c r="I67" s="24" t="str">
        <x:v>Assets/_Project/Art/Textures/Products/Icons/game-neon-drift_icon.png</x:v>
      </x:c>
      <x:c r="J67" s="24" t="str">
        <x:v>5446fc2e413d4c4501d24e5f36c02441</x:v>
      </x:c>
      <x:c r="K67" s="44" t="n">
        <x:v>3.81</x:v>
      </x:c>
      <x:c r="L67" s="24" t="str">
        <x:v>.png</x:v>
      </x:c>
      <x:c r="M67" s="24" t="str">
        <x:v>Product icon/cover or texture</x:v>
      </x:c>
      <x:c r="N67" s="24" t="str">
        <x:v>Internal/Approved</x:v>
      </x:c>
      <x:c r="O67" s="24" t="n">
        <x:v>16</x:v>
      </x:c>
      <x:c r="P67" s="24" t="str">
        <x:v>VS-ART-001</x:v>
      </x:c>
      <x:c r="Q67" s="24" t="str">
        <x:v>Review</x:v>
      </x:c>
      <x:c r="R67" s="24" t="str">
        <x:v>Production texture set incomplete</x:v>
      </x:c>
      <x:c r="S67" s="24" t="str"/>
    </x:row>
    <x:row r="68" ht="34" customHeight="1">
      <x:c r="A68" s="24" t="str">
        <x:v>TEX-012</x:v>
      </x:c>
      <x:c r="B68" s="24" t="str">
        <x:v>headset-signal-pro_icon.png</x:v>
      </x:c>
      <x:c r="C68" s="24" t="str">
        <x:v>Texture</x:v>
      </x:c>
      <x:c r="D68" s="24" t="str">
        <x:v>Products</x:v>
      </x:c>
      <x:c r="E68" s="24" t="str"/>
      <x:c r="F68" s="24" t="str">
        <x:v>ACTIVE / REPRESENTATIVE</x:v>
      </x:c>
      <x:c r="G68" s="24" t="str">
        <x:v>Imported</x:v>
      </x:c>
      <x:c r="H68" s="24" t="str">
        <x:v>Visual/import settings review</x:v>
      </x:c>
      <x:c r="I68" s="24" t="str">
        <x:v>Assets/_Project/Art/Textures/Products/Icons/headset-signal-pro_icon.png</x:v>
      </x:c>
      <x:c r="J68" s="24" t="str">
        <x:v>c2eab608e2f22d55399d6e4ae9b1b706</x:v>
      </x:c>
      <x:c r="K68" s="44" t="n">
        <x:v>4.88</x:v>
      </x:c>
      <x:c r="L68" s="24" t="str">
        <x:v>.png</x:v>
      </x:c>
      <x:c r="M68" s="24" t="str">
        <x:v>Product icon/cover or texture</x:v>
      </x:c>
      <x:c r="N68" s="24" t="str">
        <x:v>Internal/Approved</x:v>
      </x:c>
      <x:c r="O68" s="24" t="n">
        <x:v>16</x:v>
      </x:c>
      <x:c r="P68" s="24" t="str">
        <x:v>VS-ART-001</x:v>
      </x:c>
      <x:c r="Q68" s="24" t="str">
        <x:v>Review</x:v>
      </x:c>
      <x:c r="R68" s="24" t="str">
        <x:v>Production texture set incomplete</x:v>
      </x:c>
      <x:c r="S68" s="24" t="str"/>
    </x:row>
  </x:sheetData>
  <x:mergeCells>
    <x:mergeCell ref="A1:S1"/>
    <x:mergeCell ref="A2:S2"/>
  </x:mergeCells>
  <x:conditionalFormatting sqref="F5:F68">
    <x:cfRule type="expression" dxfId="104" priority="1">
      <x:formula>OR(ISNUMBER(SEARCH("PASS",F5)),ISNUMBER(SEARCH("CANONICAL",F5)),ISNUMBER(SEARCH("DONE",F5)))</x:formula>
    </x:cfRule>
    <x:cfRule type="expression" dxfId="105" priority="2">
      <x:formula>OR(ISNUMBER(SEARCH("BLOCK",F5)),ISNUMBER(SEARCH("FAIL",F5)),ISNUMBER(SEARCH("S1",F5)))</x:formula>
    </x:cfRule>
    <x:cfRule type="expression" dxfId="106" priority="3">
      <x:formula>OR(ISNUMBER(SEARCH("PENDING",F5)),ISNUMBER(SEARCH("PLANNED",F5)),ISNUMBER(SEARCH("PARTIAL",F5)),ISNUMBER(SEARCH("PLACEHOLDER",F5)))</x:formula>
    </x:cfRule>
    <x:cfRule type="expression" dxfId="107" priority="4">
      <x:formula>OR(ISNUMBER(SEARCH("VISION",F5)),ISNUMBER(SEARCH("HISTORICAL",F5)))</x:formula>
    </x:cfRule>
  </x:conditionalFormatting>
  <x:conditionalFormatting sqref="H5:H68">
    <x:cfRule type="expression" dxfId="108" priority="5">
      <x:formula>OR(ISNUMBER(SEARCH("PASS",H5)),ISNUMBER(SEARCH("CANONICAL",H5)),ISNUMBER(SEARCH("DONE",H5)))</x:formula>
    </x:cfRule>
    <x:cfRule type="expression" dxfId="109" priority="6">
      <x:formula>OR(ISNUMBER(SEARCH("BLOCK",H5)),ISNUMBER(SEARCH("FAIL",H5)),ISNUMBER(SEARCH("S1",H5)))</x:formula>
    </x:cfRule>
    <x:cfRule type="expression" dxfId="110" priority="7">
      <x:formula>OR(ISNUMBER(SEARCH("PENDING",H5)),ISNUMBER(SEARCH("PLANNED",H5)),ISNUMBER(SEARCH("PARTIAL",H5)),ISNUMBER(SEARCH("PLACEHOLDER",H5)))</x:formula>
    </x:cfRule>
    <x:cfRule type="expression" dxfId="111" priority="8">
      <x:formula>OR(ISNUMBER(SEARCH("VISION",H5)),ISNUMBER(SEARCH("HISTORICAL",H5)))</x:formula>
    </x:cfRule>
  </x:conditionalFormatting>
  <x:conditionalFormatting sqref="G5:G68">
    <x:cfRule type="expression" dxfId="112" priority="9">
      <x:formula>OR(ISNUMBER(SEARCH("PASS",G5)),ISNUMBER(SEARCH("CANONICAL",G5)),ISNUMBER(SEARCH("DONE",G5)))</x:formula>
    </x:cfRule>
    <x:cfRule type="expression" dxfId="113" priority="10">
      <x:formula>OR(ISNUMBER(SEARCH("BLOCK",G5)),ISNUMBER(SEARCH("FAIL",G5)),ISNUMBER(SEARCH("S1",G5)))</x:formula>
    </x:cfRule>
    <x:cfRule type="expression" dxfId="114" priority="11">
      <x:formula>OR(ISNUMBER(SEARCH("PENDING",G5)),ISNUMBER(SEARCH("PLANNED",G5)),ISNUMBER(SEARCH("PARTIAL",G5)),ISNUMBER(SEARCH("PLACEHOLDER",G5)))</x:formula>
    </x:cfRule>
    <x:cfRule type="expression" dxfId="115" priority="12">
      <x:formula>OR(ISNUMBER(SEARCH("VISION",G5)),ISNUMBER(SEARCH("HISTORICAL",G5)))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efa67673e64c4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34" hidden="0" customWidth="1"/>
    <x:col min="5" max="5" width="28" hidden="0" customWidth="1"/>
    <x:col min="6" max="6" width="24" hidden="0" customWidth="1"/>
    <x:col min="7" max="7" width="30" hidden="0" customWidth="1"/>
    <x:col min="8" max="8" width="72" hidden="0" customWidth="1"/>
    <x:col min="9" max="9" width="36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14" hidden="0" customWidth="1"/>
    <x:col min="17" max="17" width="28" hidden="0" customWidth="1"/>
    <x:col min="18" max="18" width="20" hidden="0" customWidth="1"/>
    <x:col min="19" max="19" width="32" hidden="0" customWidth="1"/>
    <x:col min="20" max="20" width="55" hidden="0" customWidth="1"/>
  </x:cols>
  <x:sheetData>
    <x:row r="1" ht="30" customHeight="1">
      <x:c r="A1" s="4" t="str">
        <x:v>Inventario de prefabs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2" customHeight="1">
      <x:c r="A2" s="10" t="str">
        <x:v>Inventario técnico exhaustivo, incluidos assets de expansión no abiertos.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36" customHeight="1">
      <x:c r="A4" s="17" t="str">
        <x:v>Content ID</x:v>
      </x:c>
      <x:c r="B4" s="17" t="str">
        <x:v>Nombre</x:v>
      </x:c>
      <x:c r="C4" s="17" t="str">
        <x:v>Familia</x:v>
      </x:c>
      <x:c r="D4" s="17" t="str">
        <x:v>Subfamilia</x:v>
      </x:c>
      <x:c r="E4" s="17" t="str">
        <x:v>Estado canónico</x:v>
      </x:c>
      <x:c r="F4" s="17" t="str">
        <x:v>Implementación</x:v>
      </x:c>
      <x:c r="G4" s="17" t="str">
        <x:v>Validación</x:v>
      </x:c>
      <x:c r="H4" s="17" t="str">
        <x:v>Ruta</x:v>
      </x:c>
      <x:c r="I4" s="17" t="str">
        <x:v>GUID</x:v>
      </x:c>
      <x:c r="J4" s="17" t="str">
        <x:v>Tamaño KiB</x:v>
      </x:c>
      <x:c r="K4" s="17" t="str">
        <x:v>Runtime catalog</x:v>
      </x:c>
      <x:c r="L4" s="17" t="str">
        <x:v>Escena</x:v>
      </x:c>
      <x:c r="M4" s="17" t="str">
        <x:v>Collider</x:v>
      </x:c>
      <x:c r="N4" s="17" t="str">
        <x:v>LOD</x:v>
      </x:c>
      <x:c r="O4" s="17" t="str">
        <x:v>Licencia</x:v>
      </x:c>
      <x:c r="P4" s="17" t="str">
        <x:v>Sprint</x:v>
      </x:c>
      <x:c r="Q4" s="17" t="str">
        <x:v>Requisito</x:v>
      </x:c>
      <x:c r="R4" s="17" t="str">
        <x:v>Placeholder</x:v>
      </x:c>
      <x:c r="S4" s="17" t="str">
        <x:v>Deuda</x:v>
      </x:c>
      <x:c r="T4" s="17" t="str">
        <x:v>Notas</x:v>
      </x:c>
    </x:row>
    <x:row r="5" ht="34" customHeight="1">
      <x:c r="A5" s="24" t="str">
        <x:v>PFB-001</x:v>
      </x:c>
      <x:c r="B5" s="24" t="str">
        <x:v>AutomaticDoor.prefab</x:v>
      </x:c>
      <x:c r="C5" s="24" t="str">
        <x:v>Architecture</x:v>
      </x:c>
      <x:c r="D5" s="24" t="str">
        <x:v>Architecture</x:v>
      </x:c>
      <x:c r="E5" s="24" t="str">
        <x:v>REPRESENTATIVE / CURRENT</x:v>
      </x:c>
      <x:c r="F5" s="24" t="str">
        <x:v>Prefab available</x:v>
      </x:c>
      <x:c r="G5" s="24" t="str">
        <x:v>Pending/partial</x:v>
      </x:c>
      <x:c r="H5" s="24" t="str">
        <x:v>Assets/_Project/Prefabs/Architecture/AutomaticDoor.prefab</x:v>
      </x:c>
      <x:c r="I5" s="24" t="str">
        <x:v>902fae9f30573af4fb83f30c0eb15af6</x:v>
      </x:c>
      <x:c r="J5" s="44" t="n">
        <x:v>19.02</x:v>
      </x:c>
      <x:c r="K5" s="24" t="str">
        <x:v>Review</x:v>
      </x:c>
      <x:c r="L5" s="24" t="str">
        <x:v>StoreInitial</x:v>
      </x:c>
      <x:c r="M5" s="24" t="str">
        <x:v>Review</x:v>
      </x:c>
      <x:c r="N5" s="24" t="str">
        <x:v>Review</x:v>
      </x:c>
      <x:c r="O5" s="24" t="str">
        <x:v>Internal/Approved</x:v>
      </x:c>
      <x:c r="P5" s="24" t="n">
        <x:v>16</x:v>
      </x:c>
      <x:c r="Q5" s="24" t="str">
        <x:v>VS-ART-001;VS-SCN-002</x:v>
      </x:c>
      <x:c r="R5" s="24" t="str">
        <x:v>Representative</x:v>
      </x:c>
      <x:c r="S5" s="24" t="str">
        <x:v>Authored-scene validation pending</x:v>
      </x:c>
      <x:c r="T5" s="24" t="str"/>
    </x:row>
    <x:row r="6" ht="34" customHeight="1">
      <x:c r="A6" s="24" t="str">
        <x:v>PFB-002</x:v>
      </x:c>
      <x:c r="B6" s="24" t="str">
        <x:v>BackroomPartition.prefab</x:v>
      </x:c>
      <x:c r="C6" s="24" t="str">
        <x:v>Architecture</x:v>
      </x:c>
      <x:c r="D6" s="24" t="str">
        <x:v>Architecture</x:v>
      </x:c>
      <x:c r="E6" s="24" t="str">
        <x:v>REPRESENTATIVE / CURRENT</x:v>
      </x:c>
      <x:c r="F6" s="24" t="str">
        <x:v>Prefab available</x:v>
      </x:c>
      <x:c r="G6" s="24" t="str">
        <x:v>Pending/partial</x:v>
      </x:c>
      <x:c r="H6" s="24" t="str">
        <x:v>Assets/_Project/Prefabs/Architecture/BackroomPartition.prefab</x:v>
      </x:c>
      <x:c r="I6" s="24" t="str">
        <x:v>6afaabca3fc84ce43bce0d5a571f2141</x:v>
      </x:c>
      <x:c r="J6" s="44" t="n">
        <x:v>45.25</x:v>
      </x:c>
      <x:c r="K6" s="24" t="str">
        <x:v>Review</x:v>
      </x:c>
      <x:c r="L6" s="24" t="str">
        <x:v>StoreInitial</x:v>
      </x:c>
      <x:c r="M6" s="24" t="str">
        <x:v>Review</x:v>
      </x:c>
      <x:c r="N6" s="24" t="str">
        <x:v>Review</x:v>
      </x:c>
      <x:c r="O6" s="24" t="str">
        <x:v>Internal/Approved</x:v>
      </x:c>
      <x:c r="P6" s="24" t="n">
        <x:v>16</x:v>
      </x:c>
      <x:c r="Q6" s="24" t="str">
        <x:v>VS-ART-001;VS-SCN-002</x:v>
      </x:c>
      <x:c r="R6" s="24" t="str">
        <x:v>Representative</x:v>
      </x:c>
      <x:c r="S6" s="24" t="str">
        <x:v>Authored-scene validation pending</x:v>
      </x:c>
      <x:c r="T6" s="24" t="str"/>
    </x:row>
    <x:row r="7" ht="34" customHeight="1">
      <x:c r="A7" s="24" t="str">
        <x:v>PFB-003</x:v>
      </x:c>
      <x:c r="B7" s="24" t="str">
        <x:v>CornerInner.prefab</x:v>
      </x:c>
      <x:c r="C7" s="24" t="str">
        <x:v>Architecture</x:v>
      </x:c>
      <x:c r="D7" s="24" t="str">
        <x:v>Architecture</x:v>
      </x:c>
      <x:c r="E7" s="24" t="str">
        <x:v>REPRESENTATIVE / CURRENT</x:v>
      </x:c>
      <x:c r="F7" s="24" t="str">
        <x:v>Prefab available</x:v>
      </x:c>
      <x:c r="G7" s="24" t="str">
        <x:v>Pending/partial</x:v>
      </x:c>
      <x:c r="H7" s="24" t="str">
        <x:v>Assets/_Project/Prefabs/Architecture/CornerInner.prefab</x:v>
      </x:c>
      <x:c r="I7" s="24" t="str">
        <x:v>8326de81cbe6b6c488aff3e01eab441a</x:v>
      </x:c>
      <x:c r="J7" s="44" t="n">
        <x:v>5.02</x:v>
      </x:c>
      <x:c r="K7" s="24" t="str">
        <x:v>Review</x:v>
      </x:c>
      <x:c r="L7" s="24" t="str">
        <x:v>StoreInitial</x:v>
      </x:c>
      <x:c r="M7" s="24" t="str">
        <x:v>Review</x:v>
      </x:c>
      <x:c r="N7" s="24" t="str">
        <x:v>Review</x:v>
      </x:c>
      <x:c r="O7" s="24" t="str">
        <x:v>Internal/Approved</x:v>
      </x:c>
      <x:c r="P7" s="24" t="n">
        <x:v>16</x:v>
      </x:c>
      <x:c r="Q7" s="24" t="str">
        <x:v>VS-ART-001;VS-SCN-002</x:v>
      </x:c>
      <x:c r="R7" s="24" t="str">
        <x:v>Representative</x:v>
      </x:c>
      <x:c r="S7" s="24" t="str">
        <x:v>Authored-scene validation pending</x:v>
      </x:c>
      <x:c r="T7" s="24" t="str"/>
    </x:row>
    <x:row r="8" ht="34" customHeight="1">
      <x:c r="A8" s="24" t="str">
        <x:v>PFB-004</x:v>
      </x:c>
      <x:c r="B8" s="24" t="str">
        <x:v>CornerOuter.prefab</x:v>
      </x:c>
      <x:c r="C8" s="24" t="str">
        <x:v>Architecture</x:v>
      </x:c>
      <x:c r="D8" s="24" t="str">
        <x:v>Architecture</x:v>
      </x:c>
      <x:c r="E8" s="24" t="str">
        <x:v>REPRESENTATIVE / CURRENT</x:v>
      </x:c>
      <x:c r="F8" s="24" t="str">
        <x:v>Prefab available</x:v>
      </x:c>
      <x:c r="G8" s="24" t="str">
        <x:v>Pending/partial</x:v>
      </x:c>
      <x:c r="H8" s="24" t="str">
        <x:v>Assets/_Project/Prefabs/Architecture/CornerOuter.prefab</x:v>
      </x:c>
      <x:c r="I8" s="24" t="str">
        <x:v>86630f8bb9a3dd44eadcc3cb99d1c653</x:v>
      </x:c>
      <x:c r="J8" s="44" t="n">
        <x:v>5.03</x:v>
      </x:c>
      <x:c r="K8" s="24" t="str">
        <x:v>Review</x:v>
      </x:c>
      <x:c r="L8" s="24" t="str">
        <x:v>StoreInitial</x:v>
      </x:c>
      <x:c r="M8" s="24" t="str">
        <x:v>Review</x:v>
      </x:c>
      <x:c r="N8" s="24" t="str">
        <x:v>Review</x:v>
      </x:c>
      <x:c r="O8" s="24" t="str">
        <x:v>Internal/Approved</x:v>
      </x:c>
      <x:c r="P8" s="24" t="n">
        <x:v>16</x:v>
      </x:c>
      <x:c r="Q8" s="24" t="str">
        <x:v>VS-ART-001;VS-SCN-002</x:v>
      </x:c>
      <x:c r="R8" s="24" t="str">
        <x:v>Representative</x:v>
      </x:c>
      <x:c r="S8" s="24" t="str">
        <x:v>Authored-scene validation pending</x:v>
      </x:c>
      <x:c r="T8" s="24" t="str"/>
    </x:row>
    <x:row r="9" ht="34" customHeight="1">
      <x:c r="A9" s="24" t="str">
        <x:v>PFB-005</x:v>
      </x:c>
      <x:c r="B9" s="24" t="str">
        <x:v>EndCap.prefab</x:v>
      </x:c>
      <x:c r="C9" s="24" t="str">
        <x:v>Architecture</x:v>
      </x:c>
      <x:c r="D9" s="24" t="str">
        <x:v>Architecture</x:v>
      </x:c>
      <x:c r="E9" s="24" t="str">
        <x:v>REPRESENTATIVE / CURRENT</x:v>
      </x:c>
      <x:c r="F9" s="24" t="str">
        <x:v>Prefab available</x:v>
      </x:c>
      <x:c r="G9" s="24" t="str">
        <x:v>Pending/partial</x:v>
      </x:c>
      <x:c r="H9" s="24" t="str">
        <x:v>Assets/_Project/Prefabs/Architecture/EndCap.prefab</x:v>
      </x:c>
      <x:c r="I9" s="24" t="str">
        <x:v>922447690a287bb40b0e0637e09b8d1c</x:v>
      </x:c>
      <x:c r="J9" s="44" t="n">
        <x:v>5.01</x:v>
      </x:c>
      <x:c r="K9" s="24" t="str">
        <x:v>Review</x:v>
      </x:c>
      <x:c r="L9" s="24" t="str">
        <x:v>StoreInitial</x:v>
      </x:c>
      <x:c r="M9" s="24" t="str">
        <x:v>Review</x:v>
      </x:c>
      <x:c r="N9" s="24" t="str">
        <x:v>Review</x:v>
      </x:c>
      <x:c r="O9" s="24" t="str">
        <x:v>Internal/Approved</x:v>
      </x:c>
      <x:c r="P9" s="24" t="n">
        <x:v>16</x:v>
      </x:c>
      <x:c r="Q9" s="24" t="str">
        <x:v>VS-ART-001;VS-SCN-002</x:v>
      </x:c>
      <x:c r="R9" s="24" t="str">
        <x:v>Representative</x:v>
      </x:c>
      <x:c r="S9" s="24" t="str">
        <x:v>Authored-scene validation pending</x:v>
      </x:c>
      <x:c r="T9" s="24" t="str"/>
    </x:row>
    <x:row r="10" ht="34" customHeight="1">
      <x:c r="A10" s="24" t="str">
        <x:v>PFB-006</x:v>
      </x:c>
      <x:c r="B10" s="24" t="str">
        <x:v>EntranceThreshold.prefab</x:v>
      </x:c>
      <x:c r="C10" s="24" t="str">
        <x:v>Architecture</x:v>
      </x:c>
      <x:c r="D10" s="24" t="str">
        <x:v>Architecture</x:v>
      </x:c>
      <x:c r="E10" s="24" t="str">
        <x:v>REPRESENTATIVE / CURRENT</x:v>
      </x:c>
      <x:c r="F10" s="24" t="str">
        <x:v>Prefab available</x:v>
      </x:c>
      <x:c r="G10" s="24" t="str">
        <x:v>Pending/partial</x:v>
      </x:c>
      <x:c r="H10" s="24" t="str">
        <x:v>Assets/_Project/Prefabs/Architecture/EntranceThreshold.prefab</x:v>
      </x:c>
      <x:c r="I10" s="24" t="str">
        <x:v>b6fdade53717521498b183f5bae96305</x:v>
      </x:c>
      <x:c r="J10" s="44" t="n">
        <x:v>29.14</x:v>
      </x:c>
      <x:c r="K10" s="24" t="str">
        <x:v>Review</x:v>
      </x:c>
      <x:c r="L10" s="24" t="str">
        <x:v>StoreInitial</x:v>
      </x:c>
      <x:c r="M10" s="24" t="str">
        <x:v>Review</x:v>
      </x:c>
      <x:c r="N10" s="24" t="str">
        <x:v>Review</x:v>
      </x:c>
      <x:c r="O10" s="24" t="str">
        <x:v>Internal/Approved</x:v>
      </x:c>
      <x:c r="P10" s="24" t="n">
        <x:v>16</x:v>
      </x:c>
      <x:c r="Q10" s="24" t="str">
        <x:v>VS-ART-001;VS-SCN-002</x:v>
      </x:c>
      <x:c r="R10" s="24" t="str">
        <x:v>Representative</x:v>
      </x:c>
      <x:c r="S10" s="24" t="str">
        <x:v>Authored-scene validation pending</x:v>
      </x:c>
      <x:c r="T10" s="24" t="str"/>
    </x:row>
    <x:row r="11" ht="34" customHeight="1">
      <x:c r="A11" s="24" t="str">
        <x:v>PFB-007</x:v>
      </x:c>
      <x:c r="B11" s="24" t="str">
        <x:v>Floor100.prefab</x:v>
      </x:c>
      <x:c r="C11" s="24" t="str">
        <x:v>Architecture</x:v>
      </x:c>
      <x:c r="D11" s="24" t="str">
        <x:v>Architecture</x:v>
      </x:c>
      <x:c r="E11" s="24" t="str">
        <x:v>REPRESENTATIVE / CURRENT</x:v>
      </x:c>
      <x:c r="F11" s="24" t="str">
        <x:v>Prefab available</x:v>
      </x:c>
      <x:c r="G11" s="24" t="str">
        <x:v>Pending/partial</x:v>
      </x:c>
      <x:c r="H11" s="24" t="str">
        <x:v>Assets/_Project/Prefabs/Architecture/Floor100.prefab</x:v>
      </x:c>
      <x:c r="I11" s="24" t="str">
        <x:v>94410c856fcbe9a44a4e0565b59a4810</x:v>
      </x:c>
      <x:c r="J11" s="44" t="n">
        <x:v>5</x:v>
      </x:c>
      <x:c r="K11" s="24" t="str">
        <x:v>Review</x:v>
      </x:c>
      <x:c r="L11" s="24" t="str">
        <x:v>StoreInitial</x:v>
      </x:c>
      <x:c r="M11" s="24" t="str">
        <x:v>Review</x:v>
      </x:c>
      <x:c r="N11" s="24" t="str">
        <x:v>Review</x:v>
      </x:c>
      <x:c r="O11" s="24" t="str">
        <x:v>Internal/Approved</x:v>
      </x:c>
      <x:c r="P11" s="24" t="n">
        <x:v>16</x:v>
      </x:c>
      <x:c r="Q11" s="24" t="str">
        <x:v>VS-ART-001;VS-SCN-002</x:v>
      </x:c>
      <x:c r="R11" s="24" t="str">
        <x:v>Representative</x:v>
      </x:c>
      <x:c r="S11" s="24" t="str">
        <x:v>Authored-scene validation pending</x:v>
      </x:c>
      <x:c r="T11" s="24" t="str"/>
    </x:row>
    <x:row r="12" ht="34" customHeight="1">
      <x:c r="A12" s="24" t="str">
        <x:v>PFB-008</x:v>
      </x:c>
      <x:c r="B12" s="24" t="str">
        <x:v>Floor200.prefab</x:v>
      </x:c>
      <x:c r="C12" s="24" t="str">
        <x:v>Architecture</x:v>
      </x:c>
      <x:c r="D12" s="24" t="str">
        <x:v>Architecture</x:v>
      </x:c>
      <x:c r="E12" s="24" t="str">
        <x:v>REPRESENTATIVE / CURRENT</x:v>
      </x:c>
      <x:c r="F12" s="24" t="str">
        <x:v>Prefab available</x:v>
      </x:c>
      <x:c r="G12" s="24" t="str">
        <x:v>Pending/partial</x:v>
      </x:c>
      <x:c r="H12" s="24" t="str">
        <x:v>Assets/_Project/Prefabs/Architecture/Floor200.prefab</x:v>
      </x:c>
      <x:c r="I12" s="24" t="str">
        <x:v>07c25de10de27694080275bb6f53c0c5</x:v>
      </x:c>
      <x:c r="J12" s="44" t="n">
        <x:v>5.01</x:v>
      </x:c>
      <x:c r="K12" s="24" t="str">
        <x:v>Review</x:v>
      </x:c>
      <x:c r="L12" s="24" t="str">
        <x:v>StoreInitial</x:v>
      </x:c>
      <x:c r="M12" s="24" t="str">
        <x:v>Review</x:v>
      </x:c>
      <x:c r="N12" s="24" t="str">
        <x:v>Review</x:v>
      </x:c>
      <x:c r="O12" s="24" t="str">
        <x:v>Internal/Approved</x:v>
      </x:c>
      <x:c r="P12" s="24" t="n">
        <x:v>16</x:v>
      </x:c>
      <x:c r="Q12" s="24" t="str">
        <x:v>VS-ART-001;VS-SCN-002</x:v>
      </x:c>
      <x:c r="R12" s="24" t="str">
        <x:v>Representative</x:v>
      </x:c>
      <x:c r="S12" s="24" t="str">
        <x:v>Authored-scene validation pending</x:v>
      </x:c>
      <x:c r="T12" s="24" t="str"/>
    </x:row>
    <x:row r="13" ht="34" customHeight="1">
      <x:c r="A13" s="24" t="str">
        <x:v>PFB-009</x:v>
      </x:c>
      <x:c r="B13" s="24" t="str">
        <x:v>FloorEdge100.prefab</x:v>
      </x:c>
      <x:c r="C13" s="24" t="str">
        <x:v>Architecture</x:v>
      </x:c>
      <x:c r="D13" s="24" t="str">
        <x:v>Architecture</x:v>
      </x:c>
      <x:c r="E13" s="24" t="str">
        <x:v>REPRESENTATIVE / CURRENT</x:v>
      </x:c>
      <x:c r="F13" s="24" t="str">
        <x:v>Prefab available</x:v>
      </x:c>
      <x:c r="G13" s="24" t="str">
        <x:v>Pending/partial</x:v>
      </x:c>
      <x:c r="H13" s="24" t="str">
        <x:v>Assets/_Project/Prefabs/Architecture/FloorEdge100.prefab</x:v>
      </x:c>
      <x:c r="I13" s="24" t="str">
        <x:v>a1632d5e73519f4448f13ec11c146a6e</x:v>
      </x:c>
      <x:c r="J13" s="44" t="n">
        <x:v>5.02</x:v>
      </x:c>
      <x:c r="K13" s="24" t="str">
        <x:v>Review</x:v>
      </x:c>
      <x:c r="L13" s="24" t="str">
        <x:v>StoreInitial</x:v>
      </x:c>
      <x:c r="M13" s="24" t="str">
        <x:v>Review</x:v>
      </x:c>
      <x:c r="N13" s="24" t="str">
        <x:v>Review</x:v>
      </x:c>
      <x:c r="O13" s="24" t="str">
        <x:v>Internal/Approved</x:v>
      </x:c>
      <x:c r="P13" s="24" t="n">
        <x:v>16</x:v>
      </x:c>
      <x:c r="Q13" s="24" t="str">
        <x:v>VS-ART-001;VS-SCN-002</x:v>
      </x:c>
      <x:c r="R13" s="24" t="str">
        <x:v>Representative</x:v>
      </x:c>
      <x:c r="S13" s="24" t="str">
        <x:v>Authored-scene validation pending</x:v>
      </x:c>
      <x:c r="T13" s="24" t="str"/>
    </x:row>
    <x:row r="14" ht="34" customHeight="1">
      <x:c r="A14" s="24" t="str">
        <x:v>PFB-010</x:v>
      </x:c>
      <x:c r="B14" s="24" t="str">
        <x:v>FloorTransition100.prefab</x:v>
      </x:c>
      <x:c r="C14" s="24" t="str">
        <x:v>Architecture</x:v>
      </x:c>
      <x:c r="D14" s="24" t="str">
        <x:v>Architecture</x:v>
      </x:c>
      <x:c r="E14" s="24" t="str">
        <x:v>REPRESENTATIVE / CURRENT</x:v>
      </x:c>
      <x:c r="F14" s="24" t="str">
        <x:v>Prefab available</x:v>
      </x:c>
      <x:c r="G14" s="24" t="str">
        <x:v>Pending/partial</x:v>
      </x:c>
      <x:c r="H14" s="24" t="str">
        <x:v>Assets/_Project/Prefabs/Architecture/FloorTransition100.prefab</x:v>
      </x:c>
      <x:c r="I14" s="24" t="str">
        <x:v>e41ce63b6c5c01e4b9673778fd7f2336</x:v>
      </x:c>
      <x:c r="J14" s="44" t="n">
        <x:v>5.04</x:v>
      </x:c>
      <x:c r="K14" s="24" t="str">
        <x:v>Review</x:v>
      </x:c>
      <x:c r="L14" s="24" t="str">
        <x:v>StoreInitial</x:v>
      </x:c>
      <x:c r="M14" s="24" t="str">
        <x:v>Review</x:v>
      </x:c>
      <x:c r="N14" s="24" t="str">
        <x:v>Review</x:v>
      </x:c>
      <x:c r="O14" s="24" t="str">
        <x:v>Internal/Approved</x:v>
      </x:c>
      <x:c r="P14" s="24" t="n">
        <x:v>16</x:v>
      </x:c>
      <x:c r="Q14" s="24" t="str">
        <x:v>VS-ART-001;VS-SCN-002</x:v>
      </x:c>
      <x:c r="R14" s="24" t="str">
        <x:v>Representative</x:v>
      </x:c>
      <x:c r="S14" s="24" t="str">
        <x:v>Authored-scene validation pending</x:v>
      </x:c>
      <x:c r="T14" s="24" t="str"/>
    </x:row>
    <x:row r="15" ht="34" customHeight="1">
      <x:c r="A15" s="24" t="str">
        <x:v>PFB-011</x:v>
      </x:c>
      <x:c r="B15" s="24" t="str">
        <x:v>LightRail100.prefab</x:v>
      </x:c>
      <x:c r="C15" s="24" t="str">
        <x:v>Architecture</x:v>
      </x:c>
      <x:c r="D15" s="24" t="str">
        <x:v>Architecture</x:v>
      </x:c>
      <x:c r="E15" s="24" t="str">
        <x:v>REPRESENTATIVE / CURRENT</x:v>
      </x:c>
      <x:c r="F15" s="24" t="str">
        <x:v>Prefab available</x:v>
      </x:c>
      <x:c r="G15" s="24" t="str">
        <x:v>Pending/partial</x:v>
      </x:c>
      <x:c r="H15" s="24" t="str">
        <x:v>Assets/_Project/Prefabs/Architecture/LightRail100.prefab</x:v>
      </x:c>
      <x:c r="I15" s="24" t="str">
        <x:v>071a65526166691439a82555489f480b</x:v>
      </x:c>
      <x:c r="J15" s="44" t="n">
        <x:v>5.02</x:v>
      </x:c>
      <x:c r="K15" s="24" t="str">
        <x:v>Review</x:v>
      </x:c>
      <x:c r="L15" s="24" t="str">
        <x:v>StoreInitial</x:v>
      </x:c>
      <x:c r="M15" s="24" t="str">
        <x:v>Review</x:v>
      </x:c>
      <x:c r="N15" s="24" t="str">
        <x:v>Review</x:v>
      </x:c>
      <x:c r="O15" s="24" t="str">
        <x:v>Internal/Approved</x:v>
      </x:c>
      <x:c r="P15" s="24" t="n">
        <x:v>16</x:v>
      </x:c>
      <x:c r="Q15" s="24" t="str">
        <x:v>VS-ART-001;VS-SCN-002</x:v>
      </x:c>
      <x:c r="R15" s="24" t="str">
        <x:v>Representative</x:v>
      </x:c>
      <x:c r="S15" s="24" t="str">
        <x:v>Authored-scene validation pending</x:v>
      </x:c>
      <x:c r="T15" s="24" t="str"/>
    </x:row>
    <x:row r="16" ht="34" customHeight="1">
      <x:c r="A16" s="24" t="str">
        <x:v>PFB-012</x:v>
      </x:c>
      <x:c r="B16" s="24" t="str">
        <x:v>LightRail200.prefab</x:v>
      </x:c>
      <x:c r="C16" s="24" t="str">
        <x:v>Architecture</x:v>
      </x:c>
      <x:c r="D16" s="24" t="str">
        <x:v>Architecture</x:v>
      </x:c>
      <x:c r="E16" s="24" t="str">
        <x:v>REPRESENTATIVE / CURRENT</x:v>
      </x:c>
      <x:c r="F16" s="24" t="str">
        <x:v>Prefab available</x:v>
      </x:c>
      <x:c r="G16" s="24" t="str">
        <x:v>Pending/partial</x:v>
      </x:c>
      <x:c r="H16" s="24" t="str">
        <x:v>Assets/_Project/Prefabs/Architecture/LightRail200.prefab</x:v>
      </x:c>
      <x:c r="I16" s="24" t="str">
        <x:v>7166ef018508128479d9430b93d9f5fb</x:v>
      </x:c>
      <x:c r="J16" s="44" t="n">
        <x:v>5.02</x:v>
      </x:c>
      <x:c r="K16" s="24" t="str">
        <x:v>Review</x:v>
      </x:c>
      <x:c r="L16" s="24" t="str">
        <x:v>StoreInitial</x:v>
      </x:c>
      <x:c r="M16" s="24" t="str">
        <x:v>Review</x:v>
      </x:c>
      <x:c r="N16" s="24" t="str">
        <x:v>Review</x:v>
      </x:c>
      <x:c r="O16" s="24" t="str">
        <x:v>Internal/Approved</x:v>
      </x:c>
      <x:c r="P16" s="24" t="n">
        <x:v>16</x:v>
      </x:c>
      <x:c r="Q16" s="24" t="str">
        <x:v>VS-ART-001;VS-SCN-002</x:v>
      </x:c>
      <x:c r="R16" s="24" t="str">
        <x:v>Representative</x:v>
      </x:c>
      <x:c r="S16" s="24" t="str">
        <x:v>Authored-scene validation pending</x:v>
      </x:c>
      <x:c r="T16" s="24" t="str"/>
    </x:row>
    <x:row r="17" ht="34" customHeight="1">
      <x:c r="A17" s="24" t="str">
        <x:v>PFB-013</x:v>
      </x:c>
      <x:c r="B17" s="24" t="str">
        <x:v>LinearPanel.prefab</x:v>
      </x:c>
      <x:c r="C17" s="24" t="str">
        <x:v>Architecture</x:v>
      </x:c>
      <x:c r="D17" s="24" t="str">
        <x:v>Architecture</x:v>
      </x:c>
      <x:c r="E17" s="24" t="str">
        <x:v>REPRESENTATIVE / CURRENT</x:v>
      </x:c>
      <x:c r="F17" s="24" t="str">
        <x:v>Prefab available</x:v>
      </x:c>
      <x:c r="G17" s="24" t="str">
        <x:v>Pending/partial</x:v>
      </x:c>
      <x:c r="H17" s="24" t="str">
        <x:v>Assets/_Project/Prefabs/Architecture/LinearPanel.prefab</x:v>
      </x:c>
      <x:c r="I17" s="24" t="str">
        <x:v>aa18e2f0d783d234c9e36dc461a8d40b</x:v>
      </x:c>
      <x:c r="J17" s="44" t="n">
        <x:v>5.01</x:v>
      </x:c>
      <x:c r="K17" s="24" t="str">
        <x:v>Review</x:v>
      </x:c>
      <x:c r="L17" s="24" t="str">
        <x:v>StoreInitial</x:v>
      </x:c>
      <x:c r="M17" s="24" t="str">
        <x:v>Review</x:v>
      </x:c>
      <x:c r="N17" s="24" t="str">
        <x:v>Review</x:v>
      </x:c>
      <x:c r="O17" s="24" t="str">
        <x:v>Internal/Approved</x:v>
      </x:c>
      <x:c r="P17" s="24" t="n">
        <x:v>16</x:v>
      </x:c>
      <x:c r="Q17" s="24" t="str">
        <x:v>VS-ART-001;VS-SCN-002</x:v>
      </x:c>
      <x:c r="R17" s="24" t="str">
        <x:v>Representative</x:v>
      </x:c>
      <x:c r="S17" s="24" t="str">
        <x:v>Authored-scene validation pending</x:v>
      </x:c>
      <x:c r="T17" s="24" t="str"/>
    </x:row>
    <x:row r="18" ht="34" customHeight="1">
      <x:c r="A18" s="24" t="str">
        <x:v>PFB-014</x:v>
      </x:c>
      <x:c r="B18" s="24" t="str">
        <x:v>SpotLight.prefab</x:v>
      </x:c>
      <x:c r="C18" s="24" t="str">
        <x:v>Architecture</x:v>
      </x:c>
      <x:c r="D18" s="24" t="str">
        <x:v>Architecture</x:v>
      </x:c>
      <x:c r="E18" s="24" t="str">
        <x:v>REPRESENTATIVE / CURRENT</x:v>
      </x:c>
      <x:c r="F18" s="24" t="str">
        <x:v>Prefab available</x:v>
      </x:c>
      <x:c r="G18" s="24" t="str">
        <x:v>Pending/partial</x:v>
      </x:c>
      <x:c r="H18" s="24" t="str">
        <x:v>Assets/_Project/Prefabs/Architecture/SpotLight.prefab</x:v>
      </x:c>
      <x:c r="I18" s="24" t="str">
        <x:v>caf5768b2fea32a43917881247aac1bb</x:v>
      </x:c>
      <x:c r="J18" s="44" t="n">
        <x:v>29.11</x:v>
      </x:c>
      <x:c r="K18" s="24" t="str">
        <x:v>Review</x:v>
      </x:c>
      <x:c r="L18" s="24" t="str">
        <x:v>StoreInitial</x:v>
      </x:c>
      <x:c r="M18" s="24" t="str">
        <x:v>Review</x:v>
      </x:c>
      <x:c r="N18" s="24" t="str">
        <x:v>Review</x:v>
      </x:c>
      <x:c r="O18" s="24" t="str">
        <x:v>Internal/Approved</x:v>
      </x:c>
      <x:c r="P18" s="24" t="n">
        <x:v>16</x:v>
      </x:c>
      <x:c r="Q18" s="24" t="str">
        <x:v>VS-ART-001;VS-SCN-002</x:v>
      </x:c>
      <x:c r="R18" s="24" t="str">
        <x:v>Representative</x:v>
      </x:c>
      <x:c r="S18" s="24" t="str">
        <x:v>Authored-scene validation pending</x:v>
      </x:c>
      <x:c r="T18" s="24" t="str"/>
    </x:row>
    <x:row r="19" ht="34" customHeight="1">
      <x:c r="A19" s="24" t="str">
        <x:v>PFB-015</x:v>
      </x:c>
      <x:c r="B19" s="24" t="str">
        <x:v>StoreGlassLeft.prefab</x:v>
      </x:c>
      <x:c r="C19" s="24" t="str">
        <x:v>Architecture</x:v>
      </x:c>
      <x:c r="D19" s="24" t="str">
        <x:v>Architecture</x:v>
      </x:c>
      <x:c r="E19" s="24" t="str">
        <x:v>REPRESENTATIVE / CURRENT</x:v>
      </x:c>
      <x:c r="F19" s="24" t="str">
        <x:v>Prefab available</x:v>
      </x:c>
      <x:c r="G19" s="24" t="str">
        <x:v>Pending/partial</x:v>
      </x:c>
      <x:c r="H19" s="24" t="str">
        <x:v>Assets/_Project/Prefabs/Architecture/StoreGlassLeft.prefab</x:v>
      </x:c>
      <x:c r="I19" s="24" t="str">
        <x:v>337b1f690a30fa94c8695ded302f762c</x:v>
      </x:c>
      <x:c r="J19" s="44" t="n">
        <x:v>5.02</x:v>
      </x:c>
      <x:c r="K19" s="24" t="str">
        <x:v>Review</x:v>
      </x:c>
      <x:c r="L19" s="24" t="str">
        <x:v>StoreInitial</x:v>
      </x:c>
      <x:c r="M19" s="24" t="str">
        <x:v>Review</x:v>
      </x:c>
      <x:c r="N19" s="24" t="str">
        <x:v>Review</x:v>
      </x:c>
      <x:c r="O19" s="24" t="str">
        <x:v>Internal/Approved</x:v>
      </x:c>
      <x:c r="P19" s="24" t="n">
        <x:v>16</x:v>
      </x:c>
      <x:c r="Q19" s="24" t="str">
        <x:v>VS-ART-001;VS-SCN-002</x:v>
      </x:c>
      <x:c r="R19" s="24" t="str">
        <x:v>Representative</x:v>
      </x:c>
      <x:c r="S19" s="24" t="str">
        <x:v>Authored-scene validation pending</x:v>
      </x:c>
      <x:c r="T19" s="24" t="str"/>
    </x:row>
    <x:row r="20" ht="34" customHeight="1">
      <x:c r="A20" s="24" t="str">
        <x:v>PFB-016</x:v>
      </x:c>
      <x:c r="B20" s="24" t="str">
        <x:v>StoreGlassRight.prefab</x:v>
      </x:c>
      <x:c r="C20" s="24" t="str">
        <x:v>Architecture</x:v>
      </x:c>
      <x:c r="D20" s="24" t="str">
        <x:v>Architecture</x:v>
      </x:c>
      <x:c r="E20" s="24" t="str">
        <x:v>REPRESENTATIVE / CURRENT</x:v>
      </x:c>
      <x:c r="F20" s="24" t="str">
        <x:v>Prefab available</x:v>
      </x:c>
      <x:c r="G20" s="24" t="str">
        <x:v>Pending/partial</x:v>
      </x:c>
      <x:c r="H20" s="24" t="str">
        <x:v>Assets/_Project/Prefabs/Architecture/StoreGlassRight.prefab</x:v>
      </x:c>
      <x:c r="I20" s="24" t="str">
        <x:v>7ff16f46388b8294db98ef11934e85df</x:v>
      </x:c>
      <x:c r="J20" s="44" t="n">
        <x:v>5.03</x:v>
      </x:c>
      <x:c r="K20" s="24" t="str">
        <x:v>Review</x:v>
      </x:c>
      <x:c r="L20" s="24" t="str">
        <x:v>StoreInitial</x:v>
      </x:c>
      <x:c r="M20" s="24" t="str">
        <x:v>Review</x:v>
      </x:c>
      <x:c r="N20" s="24" t="str">
        <x:v>Review</x:v>
      </x:c>
      <x:c r="O20" s="24" t="str">
        <x:v>Internal/Approved</x:v>
      </x:c>
      <x:c r="P20" s="24" t="n">
        <x:v>16</x:v>
      </x:c>
      <x:c r="Q20" s="24" t="str">
        <x:v>VS-ART-001;VS-SCN-002</x:v>
      </x:c>
      <x:c r="R20" s="24" t="str">
        <x:v>Representative</x:v>
      </x:c>
      <x:c r="S20" s="24" t="str">
        <x:v>Authored-scene validation pending</x:v>
      </x:c>
      <x:c r="T20" s="24" t="str"/>
    </x:row>
    <x:row r="21" ht="34" customHeight="1">
      <x:c r="A21" s="24" t="str">
        <x:v>PFB-017</x:v>
      </x:c>
      <x:c r="B21" s="24" t="str">
        <x:v>StoreSign.prefab</x:v>
      </x:c>
      <x:c r="C21" s="24" t="str">
        <x:v>Architecture</x:v>
      </x:c>
      <x:c r="D21" s="24" t="str">
        <x:v>Architecture</x:v>
      </x:c>
      <x:c r="E21" s="24" t="str">
        <x:v>REPRESENTATIVE / CURRENT</x:v>
      </x:c>
      <x:c r="F21" s="24" t="str">
        <x:v>Prefab available</x:v>
      </x:c>
      <x:c r="G21" s="24" t="str">
        <x:v>Pending/partial</x:v>
      </x:c>
      <x:c r="H21" s="24" t="str">
        <x:v>Assets/_Project/Prefabs/Architecture/StoreSign.prefab</x:v>
      </x:c>
      <x:c r="I21" s="24" t="str">
        <x:v>42a748f39d94c6944a776252ad5609d9</x:v>
      </x:c>
      <x:c r="J21" s="44" t="n">
        <x:v>21</x:v>
      </x:c>
      <x:c r="K21" s="24" t="str">
        <x:v>Review</x:v>
      </x:c>
      <x:c r="L21" s="24" t="str">
        <x:v>StoreInitial</x:v>
      </x:c>
      <x:c r="M21" s="24" t="str">
        <x:v>Review</x:v>
      </x:c>
      <x:c r="N21" s="24" t="str">
        <x:v>Review</x:v>
      </x:c>
      <x:c r="O21" s="24" t="str">
        <x:v>Internal/Approved</x:v>
      </x:c>
      <x:c r="P21" s="24" t="n">
        <x:v>16</x:v>
      </x:c>
      <x:c r="Q21" s="24" t="str">
        <x:v>VS-ART-001;VS-SCN-002</x:v>
      </x:c>
      <x:c r="R21" s="24" t="str">
        <x:v>Representative</x:v>
      </x:c>
      <x:c r="S21" s="24" t="str">
        <x:v>Authored-scene validation pending</x:v>
      </x:c>
      <x:c r="T21" s="24" t="str"/>
    </x:row>
    <x:row r="22" ht="34" customHeight="1">
      <x:c r="A22" s="24" t="str">
        <x:v>PFB-018</x:v>
      </x:c>
      <x:c r="B22" s="24" t="str">
        <x:v>StorefrontFacade.prefab</x:v>
      </x:c>
      <x:c r="C22" s="24" t="str">
        <x:v>Architecture</x:v>
      </x:c>
      <x:c r="D22" s="24" t="str">
        <x:v>Architecture</x:v>
      </x:c>
      <x:c r="E22" s="24" t="str">
        <x:v>REPRESENTATIVE / CURRENT</x:v>
      </x:c>
      <x:c r="F22" s="24" t="str">
        <x:v>Prefab available</x:v>
      </x:c>
      <x:c r="G22" s="24" t="str">
        <x:v>Pending/partial</x:v>
      </x:c>
      <x:c r="H22" s="24" t="str">
        <x:v>Assets/_Project/Prefabs/Architecture/StorefrontFacade.prefab</x:v>
      </x:c>
      <x:c r="I22" s="24" t="str">
        <x:v>73650c15b9c87b74aadb4120a3ea7cb1</x:v>
      </x:c>
      <x:c r="J22" s="44" t="n">
        <x:v>45.16</x:v>
      </x:c>
      <x:c r="K22" s="24" t="str">
        <x:v>Review</x:v>
      </x:c>
      <x:c r="L22" s="24" t="str">
        <x:v>StoreInitial</x:v>
      </x:c>
      <x:c r="M22" s="24" t="str">
        <x:v>Review</x:v>
      </x:c>
      <x:c r="N22" s="24" t="str">
        <x:v>Review</x:v>
      </x:c>
      <x:c r="O22" s="24" t="str">
        <x:v>Internal/Approved</x:v>
      </x:c>
      <x:c r="P22" s="24" t="n">
        <x:v>16</x:v>
      </x:c>
      <x:c r="Q22" s="24" t="str">
        <x:v>VS-ART-001;VS-SCN-002</x:v>
      </x:c>
      <x:c r="R22" s="24" t="str">
        <x:v>Representative</x:v>
      </x:c>
      <x:c r="S22" s="24" t="str">
        <x:v>Authored-scene validation pending</x:v>
      </x:c>
      <x:c r="T22" s="24" t="str"/>
    </x:row>
    <x:row r="23" ht="34" customHeight="1">
      <x:c r="A23" s="24" t="str">
        <x:v>PFB-019</x:v>
      </x:c>
      <x:c r="B23" s="24" t="str">
        <x:v>Wall100.prefab</x:v>
      </x:c>
      <x:c r="C23" s="24" t="str">
        <x:v>Architecture</x:v>
      </x:c>
      <x:c r="D23" s="24" t="str">
        <x:v>Architecture</x:v>
      </x:c>
      <x:c r="E23" s="24" t="str">
        <x:v>REPRESENTATIVE / CURRENT</x:v>
      </x:c>
      <x:c r="F23" s="24" t="str">
        <x:v>Prefab available</x:v>
      </x:c>
      <x:c r="G23" s="24" t="str">
        <x:v>Pending/partial</x:v>
      </x:c>
      <x:c r="H23" s="24" t="str">
        <x:v>Assets/_Project/Prefabs/Architecture/Wall100.prefab</x:v>
      </x:c>
      <x:c r="I23" s="24" t="str">
        <x:v>7b005cd40ae5fc64fbaed6ea5b1c53c6</x:v>
      </x:c>
      <x:c r="J23" s="44" t="n">
        <x:v>28.94</x:v>
      </x:c>
      <x:c r="K23" s="24" t="str">
        <x:v>Review</x:v>
      </x:c>
      <x:c r="L23" s="24" t="str">
        <x:v>StoreInitial</x:v>
      </x:c>
      <x:c r="M23" s="24" t="str">
        <x:v>Review</x:v>
      </x:c>
      <x:c r="N23" s="24" t="str">
        <x:v>Review</x:v>
      </x:c>
      <x:c r="O23" s="24" t="str">
        <x:v>Internal/Approved</x:v>
      </x:c>
      <x:c r="P23" s="24" t="n">
        <x:v>16</x:v>
      </x:c>
      <x:c r="Q23" s="24" t="str">
        <x:v>VS-ART-001;VS-SCN-002</x:v>
      </x:c>
      <x:c r="R23" s="24" t="str">
        <x:v>Representative</x:v>
      </x:c>
      <x:c r="S23" s="24" t="str">
        <x:v>Authored-scene validation pending</x:v>
      </x:c>
      <x:c r="T23" s="24" t="str"/>
    </x:row>
    <x:row r="24" ht="34" customHeight="1">
      <x:c r="A24" s="24" t="str">
        <x:v>PFB-020</x:v>
      </x:c>
      <x:c r="B24" s="24" t="str">
        <x:v>Wall200.prefab</x:v>
      </x:c>
      <x:c r="C24" s="24" t="str">
        <x:v>Architecture</x:v>
      </x:c>
      <x:c r="D24" s="24" t="str">
        <x:v>Architecture</x:v>
      </x:c>
      <x:c r="E24" s="24" t="str">
        <x:v>REPRESENTATIVE / CURRENT</x:v>
      </x:c>
      <x:c r="F24" s="24" t="str">
        <x:v>Prefab available</x:v>
      </x:c>
      <x:c r="G24" s="24" t="str">
        <x:v>Pending/partial</x:v>
      </x:c>
      <x:c r="H24" s="24" t="str">
        <x:v>Assets/_Project/Prefabs/Architecture/Wall200.prefab</x:v>
      </x:c>
      <x:c r="I24" s="24" t="str">
        <x:v>219f7c28a70241e45939b64cb1acf65e</x:v>
      </x:c>
      <x:c r="J24" s="44" t="n">
        <x:v>28.95</x:v>
      </x:c>
      <x:c r="K24" s="24" t="str">
        <x:v>Review</x:v>
      </x:c>
      <x:c r="L24" s="24" t="str">
        <x:v>StoreInitial</x:v>
      </x:c>
      <x:c r="M24" s="24" t="str">
        <x:v>Review</x:v>
      </x:c>
      <x:c r="N24" s="24" t="str">
        <x:v>Review</x:v>
      </x:c>
      <x:c r="O24" s="24" t="str">
        <x:v>Internal/Approved</x:v>
      </x:c>
      <x:c r="P24" s="24" t="n">
        <x:v>16</x:v>
      </x:c>
      <x:c r="Q24" s="24" t="str">
        <x:v>VS-ART-001;VS-SCN-002</x:v>
      </x:c>
      <x:c r="R24" s="24" t="str">
        <x:v>Representative</x:v>
      </x:c>
      <x:c r="S24" s="24" t="str">
        <x:v>Authored-scene validation pending</x:v>
      </x:c>
      <x:c r="T24" s="24" t="str"/>
    </x:row>
    <x:row r="25" ht="34" customHeight="1">
      <x:c r="A25" s="24" t="str">
        <x:v>PFB-021</x:v>
      </x:c>
      <x:c r="B25" s="24" t="str">
        <x:v>Wall400.prefab</x:v>
      </x:c>
      <x:c r="C25" s="24" t="str">
        <x:v>Architecture</x:v>
      </x:c>
      <x:c r="D25" s="24" t="str">
        <x:v>Architecture</x:v>
      </x:c>
      <x:c r="E25" s="24" t="str">
        <x:v>REPRESENTATIVE / CURRENT</x:v>
      </x:c>
      <x:c r="F25" s="24" t="str">
        <x:v>Prefab available</x:v>
      </x:c>
      <x:c r="G25" s="24" t="str">
        <x:v>Pending/partial</x:v>
      </x:c>
      <x:c r="H25" s="24" t="str">
        <x:v>Assets/_Project/Prefabs/Architecture/Wall400.prefab</x:v>
      </x:c>
      <x:c r="I25" s="24" t="str">
        <x:v>663f1a1d303a53e4eb6308dfc89a0bbf</x:v>
      </x:c>
      <x:c r="J25" s="44" t="n">
        <x:v>28.94</x:v>
      </x:c>
      <x:c r="K25" s="24" t="str">
        <x:v>Review</x:v>
      </x:c>
      <x:c r="L25" s="24" t="str">
        <x:v>StoreInitial</x:v>
      </x:c>
      <x:c r="M25" s="24" t="str">
        <x:v>Review</x:v>
      </x:c>
      <x:c r="N25" s="24" t="str">
        <x:v>Review</x:v>
      </x:c>
      <x:c r="O25" s="24" t="str">
        <x:v>Internal/Approved</x:v>
      </x:c>
      <x:c r="P25" s="24" t="n">
        <x:v>16</x:v>
      </x:c>
      <x:c r="Q25" s="24" t="str">
        <x:v>VS-ART-001;VS-SCN-002</x:v>
      </x:c>
      <x:c r="R25" s="24" t="str">
        <x:v>Representative</x:v>
      </x:c>
      <x:c r="S25" s="24" t="str">
        <x:v>Authored-scene validation pending</x:v>
      </x:c>
      <x:c r="T25" s="24" t="str"/>
    </x:row>
    <x:row r="26" ht="34" customHeight="1">
      <x:c r="A26" s="24" t="str">
        <x:v>PFB-022</x:v>
      </x:c>
      <x:c r="B26" s="24" t="str">
        <x:v>ZoneBackroom.prefab</x:v>
      </x:c>
      <x:c r="C26" s="24" t="str">
        <x:v>Architecture</x:v>
      </x:c>
      <x:c r="D26" s="24" t="str">
        <x:v>Architecture</x:v>
      </x:c>
      <x:c r="E26" s="24" t="str">
        <x:v>REPRESENTATIVE / CURRENT</x:v>
      </x:c>
      <x:c r="F26" s="24" t="str">
        <x:v>Prefab available</x:v>
      </x:c>
      <x:c r="G26" s="24" t="str">
        <x:v>Pending/partial</x:v>
      </x:c>
      <x:c r="H26" s="24" t="str">
        <x:v>Assets/_Project/Prefabs/Architecture/ZoneBackroom.prefab</x:v>
      </x:c>
      <x:c r="I26" s="24" t="str">
        <x:v>cdb9e17a4b7c43a4492d0ac23ae81da2</x:v>
      </x:c>
      <x:c r="J26" s="44" t="n">
        <x:v>37.07</x:v>
      </x:c>
      <x:c r="K26" s="24" t="str">
        <x:v>Review</x:v>
      </x:c>
      <x:c r="L26" s="24" t="str">
        <x:v>StoreInitial</x:v>
      </x:c>
      <x:c r="M26" s="24" t="str">
        <x:v>Review</x:v>
      </x:c>
      <x:c r="N26" s="24" t="str">
        <x:v>Review</x:v>
      </x:c>
      <x:c r="O26" s="24" t="str">
        <x:v>Internal/Approved</x:v>
      </x:c>
      <x:c r="P26" s="24" t="n">
        <x:v>16</x:v>
      </x:c>
      <x:c r="Q26" s="24" t="str">
        <x:v>VS-ART-001;VS-SCN-002</x:v>
      </x:c>
      <x:c r="R26" s="24" t="str">
        <x:v>Representative</x:v>
      </x:c>
      <x:c r="S26" s="24" t="str">
        <x:v>Authored-scene validation pending</x:v>
      </x:c>
      <x:c r="T26" s="24" t="str"/>
    </x:row>
    <x:row r="27" ht="34" customHeight="1">
      <x:c r="A27" s="24" t="str">
        <x:v>PFB-023</x:v>
      </x:c>
      <x:c r="B27" s="24" t="str">
        <x:v>ZoneCheckout.prefab</x:v>
      </x:c>
      <x:c r="C27" s="24" t="str">
        <x:v>Architecture</x:v>
      </x:c>
      <x:c r="D27" s="24" t="str">
        <x:v>Architecture</x:v>
      </x:c>
      <x:c r="E27" s="24" t="str">
        <x:v>REPRESENTATIVE / CURRENT</x:v>
      </x:c>
      <x:c r="F27" s="24" t="str">
        <x:v>Prefab available</x:v>
      </x:c>
      <x:c r="G27" s="24" t="str">
        <x:v>Pending/partial</x:v>
      </x:c>
      <x:c r="H27" s="24" t="str">
        <x:v>Assets/_Project/Prefabs/Architecture/ZoneCheckout.prefab</x:v>
      </x:c>
      <x:c r="I27" s="24" t="str">
        <x:v>c974ec151bb118a408c386f9e8bbb4dd</x:v>
      </x:c>
      <x:c r="J27" s="44" t="n">
        <x:v>37.03</x:v>
      </x:c>
      <x:c r="K27" s="24" t="str">
        <x:v>Review</x:v>
      </x:c>
      <x:c r="L27" s="24" t="str">
        <x:v>StoreInitial</x:v>
      </x:c>
      <x:c r="M27" s="24" t="str">
        <x:v>Review</x:v>
      </x:c>
      <x:c r="N27" s="24" t="str">
        <x:v>Review</x:v>
      </x:c>
      <x:c r="O27" s="24" t="str">
        <x:v>Internal/Approved</x:v>
      </x:c>
      <x:c r="P27" s="24" t="n">
        <x:v>16</x:v>
      </x:c>
      <x:c r="Q27" s="24" t="str">
        <x:v>VS-ART-001;VS-SCN-002</x:v>
      </x:c>
      <x:c r="R27" s="24" t="str">
        <x:v>Representative</x:v>
      </x:c>
      <x:c r="S27" s="24" t="str">
        <x:v>Authored-scene validation pending</x:v>
      </x:c>
      <x:c r="T27" s="24" t="str"/>
    </x:row>
    <x:row r="28" ht="34" customHeight="1">
      <x:c r="A28" s="24" t="str">
        <x:v>PFB-024</x:v>
      </x:c>
      <x:c r="B28" s="24" t="str">
        <x:v>ZoneReceiving.prefab</x:v>
      </x:c>
      <x:c r="C28" s="24" t="str">
        <x:v>Architecture</x:v>
      </x:c>
      <x:c r="D28" s="24" t="str">
        <x:v>Architecture</x:v>
      </x:c>
      <x:c r="E28" s="24" t="str">
        <x:v>REPRESENTATIVE / CURRENT</x:v>
      </x:c>
      <x:c r="F28" s="24" t="str">
        <x:v>Prefab available</x:v>
      </x:c>
      <x:c r="G28" s="24" t="str">
        <x:v>Pending/partial</x:v>
      </x:c>
      <x:c r="H28" s="24" t="str">
        <x:v>Assets/_Project/Prefabs/Architecture/ZoneReceiving.prefab</x:v>
      </x:c>
      <x:c r="I28" s="24" t="str">
        <x:v>c6b702ea4697f7244bb3c227e8531b22</x:v>
      </x:c>
      <x:c r="J28" s="44" t="n">
        <x:v>37.05</x:v>
      </x:c>
      <x:c r="K28" s="24" t="str">
        <x:v>Review</x:v>
      </x:c>
      <x:c r="L28" s="24" t="str">
        <x:v>StoreInitial</x:v>
      </x:c>
      <x:c r="M28" s="24" t="str">
        <x:v>Review</x:v>
      </x:c>
      <x:c r="N28" s="24" t="str">
        <x:v>Review</x:v>
      </x:c>
      <x:c r="O28" s="24" t="str">
        <x:v>Internal/Approved</x:v>
      </x:c>
      <x:c r="P28" s="24" t="n">
        <x:v>16</x:v>
      </x:c>
      <x:c r="Q28" s="24" t="str">
        <x:v>VS-ART-001;VS-SCN-002</x:v>
      </x:c>
      <x:c r="R28" s="24" t="str">
        <x:v>Representative</x:v>
      </x:c>
      <x:c r="S28" s="24" t="str">
        <x:v>Authored-scene validation pending</x:v>
      </x:c>
      <x:c r="T28" s="24" t="str"/>
    </x:row>
    <x:row r="29" ht="34" customHeight="1">
      <x:c r="A29" s="24" t="str">
        <x:v>PFB-025</x:v>
      </x:c>
      <x:c r="B29" s="24" t="str">
        <x:v>Customer.prefab</x:v>
      </x:c>
      <x:c r="C29" s="24" t="str">
        <x:v>Characters</x:v>
      </x:c>
      <x:c r="D29" s="24" t="str">
        <x:v>Characters</x:v>
      </x:c>
      <x:c r="E29" s="24" t="str">
        <x:v>REPRESENTATIVE / CURRENT</x:v>
      </x:c>
      <x:c r="F29" s="24" t="str">
        <x:v>Prefab available</x:v>
      </x:c>
      <x:c r="G29" s="24" t="str">
        <x:v>Pending/partial</x:v>
      </x:c>
      <x:c r="H29" s="24" t="str">
        <x:v>Assets/_Project/Prefabs/Characters/Customer.prefab</x:v>
      </x:c>
      <x:c r="I29" s="24" t="str">
        <x:v>4162f604c6cdaeb4b371b15c22db37d8</x:v>
      </x:c>
      <x:c r="J29" s="44" t="n">
        <x:v>1.29</x:v>
      </x:c>
      <x:c r="K29" s="24" t="str">
        <x:v>Review</x:v>
      </x:c>
      <x:c r="L29" s="24" t="str">
        <x:v>StoreInitial</x:v>
      </x:c>
      <x:c r="M29" s="24" t="str">
        <x:v>Review</x:v>
      </x:c>
      <x:c r="N29" s="24" t="str">
        <x:v>Review</x:v>
      </x:c>
      <x:c r="O29" s="24" t="str">
        <x:v>Internal/Approved</x:v>
      </x:c>
      <x:c r="P29" s="24" t="n">
        <x:v>16</x:v>
      </x:c>
      <x:c r="Q29" s="24" t="str">
        <x:v>VS-ART-001;VS-SCN-002</x:v>
      </x:c>
      <x:c r="R29" s="24" t="str">
        <x:v>Representative</x:v>
      </x:c>
      <x:c r="S29" s="24" t="str">
        <x:v>Authored-scene validation pending</x:v>
      </x:c>
      <x:c r="T29" s="24" t="str"/>
    </x:row>
    <x:row r="30" ht="34" customHeight="1">
      <x:c r="A30" s="24" t="str">
        <x:v>PFB-026</x:v>
      </x:c>
      <x:c r="B30" s="24" t="str">
        <x:v>Employee.prefab</x:v>
      </x:c>
      <x:c r="C30" s="24" t="str">
        <x:v>Characters</x:v>
      </x:c>
      <x:c r="D30" s="24" t="str">
        <x:v>Characters</x:v>
      </x:c>
      <x:c r="E30" s="24" t="str">
        <x:v>REPRESENTATIVE / CURRENT</x:v>
      </x:c>
      <x:c r="F30" s="24" t="str">
        <x:v>Prefab available</x:v>
      </x:c>
      <x:c r="G30" s="24" t="str">
        <x:v>Pending/partial</x:v>
      </x:c>
      <x:c r="H30" s="24" t="str">
        <x:v>Assets/_Project/Prefabs/Characters/Employee.prefab</x:v>
      </x:c>
      <x:c r="I30" s="24" t="str">
        <x:v>4b1411d15857a987fb399929287686ee</x:v>
      </x:c>
      <x:c r="J30" s="44" t="n">
        <x:v>1.29</x:v>
      </x:c>
      <x:c r="K30" s="24" t="str">
        <x:v>Review</x:v>
      </x:c>
      <x:c r="L30" s="24" t="str">
        <x:v>StoreInitial</x:v>
      </x:c>
      <x:c r="M30" s="24" t="str">
        <x:v>Review</x:v>
      </x:c>
      <x:c r="N30" s="24" t="str">
        <x:v>Review</x:v>
      </x:c>
      <x:c r="O30" s="24" t="str">
        <x:v>Internal/Approved</x:v>
      </x:c>
      <x:c r="P30" s="24" t="n">
        <x:v>16</x:v>
      </x:c>
      <x:c r="Q30" s="24" t="str">
        <x:v>VS-ART-001;VS-SCN-002</x:v>
      </x:c>
      <x:c r="R30" s="24" t="str">
        <x:v>Representative</x:v>
      </x:c>
      <x:c r="S30" s="24" t="str">
        <x:v>Authored-scene validation pending</x:v>
      </x:c>
      <x:c r="T30" s="24" t="str"/>
    </x:row>
    <x:row r="31" ht="34" customHeight="1">
      <x:c r="A31" s="24" t="str">
        <x:v>PFB-027</x:v>
      </x:c>
      <x:c r="B31" s="24" t="str">
        <x:v>Supplier.prefab</x:v>
      </x:c>
      <x:c r="C31" s="24" t="str">
        <x:v>Characters</x:v>
      </x:c>
      <x:c r="D31" s="24" t="str">
        <x:v>Characters</x:v>
      </x:c>
      <x:c r="E31" s="24" t="str">
        <x:v>REPRESENTATIVE / CURRENT</x:v>
      </x:c>
      <x:c r="F31" s="24" t="str">
        <x:v>Prefab available</x:v>
      </x:c>
      <x:c r="G31" s="24" t="str">
        <x:v>Pending/partial</x:v>
      </x:c>
      <x:c r="H31" s="24" t="str">
        <x:v>Assets/_Project/Prefabs/Characters/Supplier.prefab</x:v>
      </x:c>
      <x:c r="I31" s="24" t="str">
        <x:v>9b81dd090fe288d9a27264622bb20fa4</x:v>
      </x:c>
      <x:c r="J31" s="44" t="n">
        <x:v>1.29</x:v>
      </x:c>
      <x:c r="K31" s="24" t="str">
        <x:v>Review</x:v>
      </x:c>
      <x:c r="L31" s="24" t="str">
        <x:v>StoreInitial</x:v>
      </x:c>
      <x:c r="M31" s="24" t="str">
        <x:v>Review</x:v>
      </x:c>
      <x:c r="N31" s="24" t="str">
        <x:v>Review</x:v>
      </x:c>
      <x:c r="O31" s="24" t="str">
        <x:v>Internal/Approved</x:v>
      </x:c>
      <x:c r="P31" s="24" t="n">
        <x:v>16</x:v>
      </x:c>
      <x:c r="Q31" s="24" t="str">
        <x:v>VS-ART-001;VS-SCN-002</x:v>
      </x:c>
      <x:c r="R31" s="24" t="str">
        <x:v>Representative</x:v>
      </x:c>
      <x:c r="S31" s="24" t="str">
        <x:v>Authored-scene validation pending</x:v>
      </x:c>
      <x:c r="T31" s="24" t="str"/>
    </x:row>
    <x:row r="32" ht="34" customHeight="1">
      <x:c r="A32" s="24" t="str">
        <x:v>PFB-028</x:v>
      </x:c>
      <x:c r="B32" s="24" t="str">
        <x:v>CodeCardRack.prefab</x:v>
      </x:c>
      <x:c r="C32" s="24" t="str">
        <x:v>Expansions</x:v>
      </x:c>
      <x:c r="D32" s="24" t="str">
        <x:v>Expansions/Digital</x:v>
      </x:c>
      <x:c r="E32" s="24" t="str">
        <x:v>VISION / NOT OPEN</x:v>
      </x:c>
      <x:c r="F32" s="24" t="str">
        <x:v>Prefab available</x:v>
      </x:c>
      <x:c r="G32" s="24" t="str">
        <x:v>Pending/partial</x:v>
      </x:c>
      <x:c r="H32" s="24" t="str">
        <x:v>Assets/_Project/Prefabs/Expansions/Digital/CodeCardRack.prefab</x:v>
      </x:c>
      <x:c r="I32" s="24" t="str">
        <x:v>ad136dd934173d54ca638b8d1feaf4b5</x:v>
      </x:c>
      <x:c r="J32" s="44" t="n">
        <x:v>142.83</x:v>
      </x:c>
      <x:c r="K32" s="24" t="str">
        <x:v>Review</x:v>
      </x:c>
      <x:c r="L32" s="24" t="str">
        <x:v>Future</x:v>
      </x:c>
      <x:c r="M32" s="24" t="str">
        <x:v>Review</x:v>
      </x:c>
      <x:c r="N32" s="24" t="str">
        <x:v>Review</x:v>
      </x:c>
      <x:c r="O32" s="24" t="str">
        <x:v>Internal/Approved</x:v>
      </x:c>
      <x:c r="P32" s="24" t="str">
        <x:v>Future</x:v>
      </x:c>
      <x:c r="Q32" s="24" t="str">
        <x:v>Scope controlled</x:v>
      </x:c>
      <x:c r="R32" s="24" t="str">
        <x:v>No</x:v>
      </x:c>
      <x:c r="S32" s="24" t="str">
        <x:v>Not open</x:v>
      </x:c>
      <x:c r="T32" s="24" t="str"/>
    </x:row>
    <x:row r="33" ht="34" customHeight="1">
      <x:c r="A33" s="24" t="str">
        <x:v>PFB-029</x:v>
      </x:c>
      <x:c r="B33" s="24" t="str">
        <x:v>Kiosk.prefab</x:v>
      </x:c>
      <x:c r="C33" s="24" t="str">
        <x:v>Expansions</x:v>
      </x:c>
      <x:c r="D33" s="24" t="str">
        <x:v>Expansions/Digital</x:v>
      </x:c>
      <x:c r="E33" s="24" t="str">
        <x:v>VISION / NOT OPEN</x:v>
      </x:c>
      <x:c r="F33" s="24" t="str">
        <x:v>Prefab available</x:v>
      </x:c>
      <x:c r="G33" s="24" t="str">
        <x:v>Pending/partial</x:v>
      </x:c>
      <x:c r="H33" s="24" t="str">
        <x:v>Assets/_Project/Prefabs/Expansions/Digital/Kiosk.prefab</x:v>
      </x:c>
      <x:c r="I33" s="24" t="str">
        <x:v>27b991dc477438f4b89bfdcc0592b050</x:v>
      </x:c>
      <x:c r="J33" s="44" t="n">
        <x:v>21.01</x:v>
      </x:c>
      <x:c r="K33" s="24" t="str">
        <x:v>Review</x:v>
      </x:c>
      <x:c r="L33" s="24" t="str">
        <x:v>Future</x:v>
      </x:c>
      <x:c r="M33" s="24" t="str">
        <x:v>Review</x:v>
      </x:c>
      <x:c r="N33" s="24" t="str">
        <x:v>Review</x:v>
      </x:c>
      <x:c r="O33" s="24" t="str">
        <x:v>Internal/Approved</x:v>
      </x:c>
      <x:c r="P33" s="24" t="str">
        <x:v>Future</x:v>
      </x:c>
      <x:c r="Q33" s="24" t="str">
        <x:v>Scope controlled</x:v>
      </x:c>
      <x:c r="R33" s="24" t="str">
        <x:v>No</x:v>
      </x:c>
      <x:c r="S33" s="24" t="str">
        <x:v>Not open</x:v>
      </x:c>
      <x:c r="T33" s="24" t="str"/>
    </x:row>
    <x:row r="34" ht="34" customHeight="1">
      <x:c r="A34" s="24" t="str">
        <x:v>PFB-030</x:v>
      </x:c>
      <x:c r="B34" s="24" t="str">
        <x:v>OrderDesk.prefab</x:v>
      </x:c>
      <x:c r="C34" s="24" t="str">
        <x:v>Expansions</x:v>
      </x:c>
      <x:c r="D34" s="24" t="str">
        <x:v>Expansions/Ecommerce</x:v>
      </x:c>
      <x:c r="E34" s="24" t="str">
        <x:v>VISION / NOT OPEN</x:v>
      </x:c>
      <x:c r="F34" s="24" t="str">
        <x:v>Prefab available</x:v>
      </x:c>
      <x:c r="G34" s="24" t="str">
        <x:v>Pending/partial</x:v>
      </x:c>
      <x:c r="H34" s="24" t="str">
        <x:v>Assets/_Project/Prefabs/Expansions/Ecommerce/OrderDesk.prefab</x:v>
      </x:c>
      <x:c r="I34" s="24" t="str">
        <x:v>5a8a91561c8b8a440a5443f0eb8444c2</x:v>
      </x:c>
      <x:c r="J34" s="44" t="n">
        <x:v>45.43</x:v>
      </x:c>
      <x:c r="K34" s="24" t="str">
        <x:v>Review</x:v>
      </x:c>
      <x:c r="L34" s="24" t="str">
        <x:v>Future</x:v>
      </x:c>
      <x:c r="M34" s="24" t="str">
        <x:v>Review</x:v>
      </x:c>
      <x:c r="N34" s="24" t="str">
        <x:v>Review</x:v>
      </x:c>
      <x:c r="O34" s="24" t="str">
        <x:v>Internal/Approved</x:v>
      </x:c>
      <x:c r="P34" s="24" t="str">
        <x:v>Future</x:v>
      </x:c>
      <x:c r="Q34" s="24" t="str">
        <x:v>Scope controlled</x:v>
      </x:c>
      <x:c r="R34" s="24" t="str">
        <x:v>No</x:v>
      </x:c>
      <x:c r="S34" s="24" t="str">
        <x:v>Not open</x:v>
      </x:c>
      <x:c r="T34" s="24" t="str"/>
    </x:row>
    <x:row r="35" ht="34" customHeight="1">
      <x:c r="A35" s="24" t="str">
        <x:v>PFB-031</x:v>
      </x:c>
      <x:c r="B35" s="24" t="str">
        <x:v>SortBins.prefab</x:v>
      </x:c>
      <x:c r="C35" s="24" t="str">
        <x:v>Expansions</x:v>
      </x:c>
      <x:c r="D35" s="24" t="str">
        <x:v>Expansions/Ecommerce</x:v>
      </x:c>
      <x:c r="E35" s="24" t="str">
        <x:v>VISION / NOT OPEN</x:v>
      </x:c>
      <x:c r="F35" s="24" t="str">
        <x:v>Prefab available</x:v>
      </x:c>
      <x:c r="G35" s="24" t="str">
        <x:v>Pending/partial</x:v>
      </x:c>
      <x:c r="H35" s="24" t="str">
        <x:v>Assets/_Project/Prefabs/Expansions/Ecommerce/SortBins.prefab</x:v>
      </x:c>
      <x:c r="I35" s="24" t="str">
        <x:v>4377692523ad661419e4bd1c2bbe7a66</x:v>
      </x:c>
      <x:c r="J35" s="44" t="n">
        <x:v>110.01</x:v>
      </x:c>
      <x:c r="K35" s="24" t="str">
        <x:v>Review</x:v>
      </x:c>
      <x:c r="L35" s="24" t="str">
        <x:v>Future</x:v>
      </x:c>
      <x:c r="M35" s="24" t="str">
        <x:v>Review</x:v>
      </x:c>
      <x:c r="N35" s="24" t="str">
        <x:v>Review</x:v>
      </x:c>
      <x:c r="O35" s="24" t="str">
        <x:v>Internal/Approved</x:v>
      </x:c>
      <x:c r="P35" s="24" t="str">
        <x:v>Future</x:v>
      </x:c>
      <x:c r="Q35" s="24" t="str">
        <x:v>Scope controlled</x:v>
      </x:c>
      <x:c r="R35" s="24" t="str">
        <x:v>No</x:v>
      </x:c>
      <x:c r="S35" s="24" t="str">
        <x:v>Not open</x:v>
      </x:c>
      <x:c r="T35" s="24" t="str"/>
    </x:row>
    <x:row r="36" ht="34" customHeight="1">
      <x:c r="A36" s="24" t="str">
        <x:v>PFB-032</x:v>
      </x:c>
      <x:c r="B36" s="24" t="str">
        <x:v>Conveyor.prefab</x:v>
      </x:c>
      <x:c r="C36" s="24" t="str">
        <x:v>Expansions</x:v>
      </x:c>
      <x:c r="D36" s="24" t="str">
        <x:v>Expansions/Logistics</x:v>
      </x:c>
      <x:c r="E36" s="24" t="str">
        <x:v>VISION / NOT OPEN</x:v>
      </x:c>
      <x:c r="F36" s="24" t="str">
        <x:v>Prefab available</x:v>
      </x:c>
      <x:c r="G36" s="24" t="str">
        <x:v>Pending/partial</x:v>
      </x:c>
      <x:c r="H36" s="24" t="str">
        <x:v>Assets/_Project/Prefabs/Expansions/Logistics/Conveyor.prefab</x:v>
      </x:c>
      <x:c r="I36" s="24" t="str">
        <x:v>3454415fb9851404a9c41a8b3b6aed6f</x:v>
      </x:c>
      <x:c r="J36" s="44" t="n">
        <x:v>109.9</x:v>
      </x:c>
      <x:c r="K36" s="24" t="str">
        <x:v>Review</x:v>
      </x:c>
      <x:c r="L36" s="24" t="str">
        <x:v>Future</x:v>
      </x:c>
      <x:c r="M36" s="24" t="str">
        <x:v>Review</x:v>
      </x:c>
      <x:c r="N36" s="24" t="str">
        <x:v>Review</x:v>
      </x:c>
      <x:c r="O36" s="24" t="str">
        <x:v>Internal/Approved</x:v>
      </x:c>
      <x:c r="P36" s="24" t="str">
        <x:v>Future</x:v>
      </x:c>
      <x:c r="Q36" s="24" t="str">
        <x:v>Scope controlled</x:v>
      </x:c>
      <x:c r="R36" s="24" t="str">
        <x:v>No</x:v>
      </x:c>
      <x:c r="S36" s="24" t="str">
        <x:v>Not open</x:v>
      </x:c>
      <x:c r="T36" s="24" t="str"/>
    </x:row>
    <x:row r="37" ht="34" customHeight="1">
      <x:c r="A37" s="24" t="str">
        <x:v>PFB-033</x:v>
      </x:c>
      <x:c r="B37" s="24" t="str">
        <x:v>PackingStation.prefab</x:v>
      </x:c>
      <x:c r="C37" s="24" t="str">
        <x:v>Expansions</x:v>
      </x:c>
      <x:c r="D37" s="24" t="str">
        <x:v>Expansions/Logistics</x:v>
      </x:c>
      <x:c r="E37" s="24" t="str">
        <x:v>VISION / NOT OPEN</x:v>
      </x:c>
      <x:c r="F37" s="24" t="str">
        <x:v>Prefab available</x:v>
      </x:c>
      <x:c r="G37" s="24" t="str">
        <x:v>Pending/partial</x:v>
      </x:c>
      <x:c r="H37" s="24" t="str">
        <x:v>Assets/_Project/Prefabs/Expansions/Logistics/PackingStation.prefab</x:v>
      </x:c>
      <x:c r="I37" s="24" t="str">
        <x:v>1f4581ac17447f64da5511d4de941fd0</x:v>
      </x:c>
      <x:c r="J37" s="44" t="n">
        <x:v>29.07</x:v>
      </x:c>
      <x:c r="K37" s="24" t="str">
        <x:v>Review</x:v>
      </x:c>
      <x:c r="L37" s="24" t="str">
        <x:v>Future</x:v>
      </x:c>
      <x:c r="M37" s="24" t="str">
        <x:v>Review</x:v>
      </x:c>
      <x:c r="N37" s="24" t="str">
        <x:v>Review</x:v>
      </x:c>
      <x:c r="O37" s="24" t="str">
        <x:v>Internal/Approved</x:v>
      </x:c>
      <x:c r="P37" s="24" t="str">
        <x:v>Future</x:v>
      </x:c>
      <x:c r="Q37" s="24" t="str">
        <x:v>Scope controlled</x:v>
      </x:c>
      <x:c r="R37" s="24" t="str">
        <x:v>No</x:v>
      </x:c>
      <x:c r="S37" s="24" t="str">
        <x:v>Not open</x:v>
      </x:c>
      <x:c r="T37" s="24" t="str"/>
    </x:row>
    <x:row r="38" ht="34" customHeight="1">
      <x:c r="A38" s="24" t="str">
        <x:v>PFB-034</x:v>
      </x:c>
      <x:c r="B38" s="24" t="str">
        <x:v>RollingCart.prefab</x:v>
      </x:c>
      <x:c r="C38" s="24" t="str">
        <x:v>Expansions</x:v>
      </x:c>
      <x:c r="D38" s="24" t="str">
        <x:v>Expansions/Logistics</x:v>
      </x:c>
      <x:c r="E38" s="24" t="str">
        <x:v>VISION / NOT OPEN</x:v>
      </x:c>
      <x:c r="F38" s="24" t="str">
        <x:v>Prefab available</x:v>
      </x:c>
      <x:c r="G38" s="24" t="str">
        <x:v>Pending/partial</x:v>
      </x:c>
      <x:c r="H38" s="24" t="str">
        <x:v>Assets/_Project/Prefabs/Expansions/Logistics/RollingCart.prefab</x:v>
      </x:c>
      <x:c r="I38" s="24" t="str">
        <x:v>52697d70fc4c75e4b82e2cc8ebcf6142</x:v>
      </x:c>
      <x:c r="J38" s="44" t="n">
        <x:v>53.38</x:v>
      </x:c>
      <x:c r="K38" s="24" t="str">
        <x:v>Review</x:v>
      </x:c>
      <x:c r="L38" s="24" t="str">
        <x:v>Future</x:v>
      </x:c>
      <x:c r="M38" s="24" t="str">
        <x:v>Review</x:v>
      </x:c>
      <x:c r="N38" s="24" t="str">
        <x:v>Review</x:v>
      </x:c>
      <x:c r="O38" s="24" t="str">
        <x:v>Internal/Approved</x:v>
      </x:c>
      <x:c r="P38" s="24" t="str">
        <x:v>Future</x:v>
      </x:c>
      <x:c r="Q38" s="24" t="str">
        <x:v>Scope controlled</x:v>
      </x:c>
      <x:c r="R38" s="24" t="str">
        <x:v>No</x:v>
      </x:c>
      <x:c r="S38" s="24" t="str">
        <x:v>Not open</x:v>
      </x:c>
      <x:c r="T38" s="24" t="str"/>
    </x:row>
    <x:row r="39" ht="34" customHeight="1">
      <x:c r="A39" s="24" t="str">
        <x:v>PFB-035</x:v>
      </x:c>
      <x:c r="B39" s="24" t="str">
        <x:v>AnalysisWall.prefab</x:v>
      </x:c>
      <x:c r="C39" s="24" t="str">
        <x:v>Expansions</x:v>
      </x:c>
      <x:c r="D39" s="24" t="str">
        <x:v>Expansions/Market</x:v>
      </x:c>
      <x:c r="E39" s="24" t="str">
        <x:v>VISION / NOT OPEN</x:v>
      </x:c>
      <x:c r="F39" s="24" t="str">
        <x:v>Prefab available</x:v>
      </x:c>
      <x:c r="G39" s="24" t="str">
        <x:v>Pending/partial</x:v>
      </x:c>
      <x:c r="H39" s="24" t="str">
        <x:v>Assets/_Project/Prefabs/Expansions/Market/AnalysisWall.prefab</x:v>
      </x:c>
      <x:c r="I39" s="24" t="str">
        <x:v>2b6f8ccb4558f7947bf8aec7c1631ac2</x:v>
      </x:c>
      <x:c r="J39" s="44" t="n">
        <x:v>53.51</x:v>
      </x:c>
      <x:c r="K39" s="24" t="str">
        <x:v>Review</x:v>
      </x:c>
      <x:c r="L39" s="24" t="str">
        <x:v>Future</x:v>
      </x:c>
      <x:c r="M39" s="24" t="str">
        <x:v>Review</x:v>
      </x:c>
      <x:c r="N39" s="24" t="str">
        <x:v>Review</x:v>
      </x:c>
      <x:c r="O39" s="24" t="str">
        <x:v>Internal/Approved</x:v>
      </x:c>
      <x:c r="P39" s="24" t="str">
        <x:v>Future</x:v>
      </x:c>
      <x:c r="Q39" s="24" t="str">
        <x:v>Scope controlled</x:v>
      </x:c>
      <x:c r="R39" s="24" t="str">
        <x:v>No</x:v>
      </x:c>
      <x:c r="S39" s="24" t="str">
        <x:v>Not open</x:v>
      </x:c>
      <x:c r="T39" s="24" t="str"/>
    </x:row>
    <x:row r="40" ht="34" customHeight="1">
      <x:c r="A40" s="24" t="str">
        <x:v>PFB-036</x:v>
      </x:c>
      <x:c r="B40" s="24" t="str">
        <x:v>PlanningTable.prefab</x:v>
      </x:c>
      <x:c r="C40" s="24" t="str">
        <x:v>Expansions</x:v>
      </x:c>
      <x:c r="D40" s="24" t="str">
        <x:v>Expansions/Market</x:v>
      </x:c>
      <x:c r="E40" s="24" t="str">
        <x:v>VISION / NOT OPEN</x:v>
      </x:c>
      <x:c r="F40" s="24" t="str">
        <x:v>Prefab available</x:v>
      </x:c>
      <x:c r="G40" s="24" t="str">
        <x:v>Pending/partial</x:v>
      </x:c>
      <x:c r="H40" s="24" t="str">
        <x:v>Assets/_Project/Prefabs/Expansions/Market/PlanningTable.prefab</x:v>
      </x:c>
      <x:c r="I40" s="24" t="str">
        <x:v>d4fdbaeff51091b4585abadf721f9428</x:v>
      </x:c>
      <x:c r="J40" s="44" t="n">
        <x:v>29</x:v>
      </x:c>
      <x:c r="K40" s="24" t="str">
        <x:v>Review</x:v>
      </x:c>
      <x:c r="L40" s="24" t="str">
        <x:v>Future</x:v>
      </x:c>
      <x:c r="M40" s="24" t="str">
        <x:v>Review</x:v>
      </x:c>
      <x:c r="N40" s="24" t="str">
        <x:v>Review</x:v>
      </x:c>
      <x:c r="O40" s="24" t="str">
        <x:v>Internal/Approved</x:v>
      </x:c>
      <x:c r="P40" s="24" t="str">
        <x:v>Future</x:v>
      </x:c>
      <x:c r="Q40" s="24" t="str">
        <x:v>Scope controlled</x:v>
      </x:c>
      <x:c r="R40" s="24" t="str">
        <x:v>No</x:v>
      </x:c>
      <x:c r="S40" s="24" t="str">
        <x:v>Not open</x:v>
      </x:c>
      <x:c r="T40" s="24" t="str"/>
    </x:row>
    <x:row r="41" ht="34" customHeight="1">
      <x:c r="A41" s="24" t="str">
        <x:v>PFB-037</x:v>
      </x:c>
      <x:c r="B41" s="24" t="str">
        <x:v>LineupWall.prefab</x:v>
      </x:c>
      <x:c r="C41" s="24" t="str">
        <x:v>Expansions</x:v>
      </x:c>
      <x:c r="D41" s="24" t="str">
        <x:v>Expansions/Publishing</x:v>
      </x:c>
      <x:c r="E41" s="24" t="str">
        <x:v>VISION / NOT OPEN</x:v>
      </x:c>
      <x:c r="F41" s="24" t="str">
        <x:v>Prefab available</x:v>
      </x:c>
      <x:c r="G41" s="24" t="str">
        <x:v>Pending/partial</x:v>
      </x:c>
      <x:c r="H41" s="24" t="str">
        <x:v>Assets/_Project/Prefabs/Expansions/Publishing/LineupWall.prefab</x:v>
      </x:c>
      <x:c r="I41" s="24" t="str">
        <x:v>814075406f2697a449f45fa440b0d7f1</x:v>
      </x:c>
      <x:c r="J41" s="44" t="n">
        <x:v>110.24</x:v>
      </x:c>
      <x:c r="K41" s="24" t="str">
        <x:v>Review</x:v>
      </x:c>
      <x:c r="L41" s="24" t="str">
        <x:v>Future</x:v>
      </x:c>
      <x:c r="M41" s="24" t="str">
        <x:v>Review</x:v>
      </x:c>
      <x:c r="N41" s="24" t="str">
        <x:v>Review</x:v>
      </x:c>
      <x:c r="O41" s="24" t="str">
        <x:v>Internal/Approved</x:v>
      </x:c>
      <x:c r="P41" s="24" t="str">
        <x:v>Future</x:v>
      </x:c>
      <x:c r="Q41" s="24" t="str">
        <x:v>Scope controlled</x:v>
      </x:c>
      <x:c r="R41" s="24" t="str">
        <x:v>No</x:v>
      </x:c>
      <x:c r="S41" s="24" t="str">
        <x:v>Not open</x:v>
      </x:c>
      <x:c r="T41" s="24" t="str"/>
    </x:row>
    <x:row r="42" ht="34" customHeight="1">
      <x:c r="A42" s="24" t="str">
        <x:v>PFB-038</x:v>
      </x:c>
      <x:c r="B42" s="24" t="str">
        <x:v>MeetingTable.prefab</x:v>
      </x:c>
      <x:c r="C42" s="24" t="str">
        <x:v>Expansions</x:v>
      </x:c>
      <x:c r="D42" s="24" t="str">
        <x:v>Expansions/Publishing</x:v>
      </x:c>
      <x:c r="E42" s="24" t="str">
        <x:v>VISION / NOT OPEN</x:v>
      </x:c>
      <x:c r="F42" s="24" t="str">
        <x:v>Prefab available</x:v>
      </x:c>
      <x:c r="G42" s="24" t="str">
        <x:v>Pending/partial</x:v>
      </x:c>
      <x:c r="H42" s="24" t="str">
        <x:v>Assets/_Project/Prefabs/Expansions/Publishing/MeetingTable.prefab</x:v>
      </x:c>
      <x:c r="I42" s="24" t="str">
        <x:v>b15b659113d6ac347acd6eb0b047c494</x:v>
      </x:c>
      <x:c r="J42" s="44" t="n">
        <x:v>29.08</x:v>
      </x:c>
      <x:c r="K42" s="24" t="str">
        <x:v>Review</x:v>
      </x:c>
      <x:c r="L42" s="24" t="str">
        <x:v>Future</x:v>
      </x:c>
      <x:c r="M42" s="24" t="str">
        <x:v>Review</x:v>
      </x:c>
      <x:c r="N42" s="24" t="str">
        <x:v>Review</x:v>
      </x:c>
      <x:c r="O42" s="24" t="str">
        <x:v>Internal/Approved</x:v>
      </x:c>
      <x:c r="P42" s="24" t="str">
        <x:v>Future</x:v>
      </x:c>
      <x:c r="Q42" s="24" t="str">
        <x:v>Scope controlled</x:v>
      </x:c>
      <x:c r="R42" s="24" t="str">
        <x:v>No</x:v>
      </x:c>
      <x:c r="S42" s="24" t="str">
        <x:v>Not open</x:v>
      </x:c>
      <x:c r="T42" s="24" t="str"/>
    </x:row>
    <x:row r="43" ht="34" customHeight="1">
      <x:c r="A43" s="24" t="str">
        <x:v>PFB-039</x:v>
      </x:c>
      <x:c r="B43" s="24" t="str">
        <x:v>OperationsDesk.prefab</x:v>
      </x:c>
      <x:c r="C43" s="24" t="str">
        <x:v>Expansions</x:v>
      </x:c>
      <x:c r="D43" s="24" t="str">
        <x:v>Expansions/Server</x:v>
      </x:c>
      <x:c r="E43" s="24" t="str">
        <x:v>VISION / NOT OPEN</x:v>
      </x:c>
      <x:c r="F43" s="24" t="str">
        <x:v>Prefab available</x:v>
      </x:c>
      <x:c r="G43" s="24" t="str">
        <x:v>Pending/partial</x:v>
      </x:c>
      <x:c r="H43" s="24" t="str">
        <x:v>Assets/_Project/Prefabs/Expansions/Server/OperationsDesk.prefab</x:v>
      </x:c>
      <x:c r="I43" s="24" t="str">
        <x:v>5a6467f26df307d4ea9ac26a83565e70</x:v>
      </x:c>
      <x:c r="J43" s="44" t="n">
        <x:v>61.7</x:v>
      </x:c>
      <x:c r="K43" s="24" t="str">
        <x:v>Review</x:v>
      </x:c>
      <x:c r="L43" s="24" t="str">
        <x:v>Future</x:v>
      </x:c>
      <x:c r="M43" s="24" t="str">
        <x:v>Review</x:v>
      </x:c>
      <x:c r="N43" s="24" t="str">
        <x:v>Review</x:v>
      </x:c>
      <x:c r="O43" s="24" t="str">
        <x:v>Internal/Approved</x:v>
      </x:c>
      <x:c r="P43" s="24" t="str">
        <x:v>Future</x:v>
      </x:c>
      <x:c r="Q43" s="24" t="str">
        <x:v>Scope controlled</x:v>
      </x:c>
      <x:c r="R43" s="24" t="str">
        <x:v>No</x:v>
      </x:c>
      <x:c r="S43" s="24" t="str">
        <x:v>Not open</x:v>
      </x:c>
      <x:c r="T43" s="24" t="str"/>
    </x:row>
    <x:row r="44" ht="34" customHeight="1">
      <x:c r="A44" s="24" t="str">
        <x:v>PFB-040</x:v>
      </x:c>
      <x:c r="B44" s="24" t="str">
        <x:v>Rack.prefab</x:v>
      </x:c>
      <x:c r="C44" s="24" t="str">
        <x:v>Expansions</x:v>
      </x:c>
      <x:c r="D44" s="24" t="str">
        <x:v>Expansions/Server</x:v>
      </x:c>
      <x:c r="E44" s="24" t="str">
        <x:v>VISION / NOT OPEN</x:v>
      </x:c>
      <x:c r="F44" s="24" t="str">
        <x:v>Prefab available</x:v>
      </x:c>
      <x:c r="G44" s="24" t="str">
        <x:v>Pending/partial</x:v>
      </x:c>
      <x:c r="H44" s="24" t="str">
        <x:v>Assets/_Project/Prefabs/Expansions/Server/Rack.prefab</x:v>
      </x:c>
      <x:c r="I44" s="24" t="str">
        <x:v>b875fa3bb7b65054e8805c6259510992</x:v>
      </x:c>
      <x:c r="J44" s="44" t="n">
        <x:v>206.82</x:v>
      </x:c>
      <x:c r="K44" s="24" t="str">
        <x:v>Review</x:v>
      </x:c>
      <x:c r="L44" s="24" t="str">
        <x:v>Future</x:v>
      </x:c>
      <x:c r="M44" s="24" t="str">
        <x:v>Review</x:v>
      </x:c>
      <x:c r="N44" s="24" t="str">
        <x:v>Review</x:v>
      </x:c>
      <x:c r="O44" s="24" t="str">
        <x:v>Internal/Approved</x:v>
      </x:c>
      <x:c r="P44" s="24" t="str">
        <x:v>Future</x:v>
      </x:c>
      <x:c r="Q44" s="24" t="str">
        <x:v>Scope controlled</x:v>
      </x:c>
      <x:c r="R44" s="24" t="str">
        <x:v>No</x:v>
      </x:c>
      <x:c r="S44" s="24" t="str">
        <x:v>Not open</x:v>
      </x:c>
      <x:c r="T44" s="24" t="str"/>
    </x:row>
    <x:row r="45" ht="34" customHeight="1">
      <x:c r="A45" s="24" t="str">
        <x:v>PFB-041</x:v>
      </x:c>
      <x:c r="B45" s="24" t="str">
        <x:v>UPS.prefab</x:v>
      </x:c>
      <x:c r="C45" s="24" t="str">
        <x:v>Expansions</x:v>
      </x:c>
      <x:c r="D45" s="24" t="str">
        <x:v>Expansions/Server</x:v>
      </x:c>
      <x:c r="E45" s="24" t="str">
        <x:v>VISION / NOT OPEN</x:v>
      </x:c>
      <x:c r="F45" s="24" t="str">
        <x:v>Prefab available</x:v>
      </x:c>
      <x:c r="G45" s="24" t="str">
        <x:v>Pending/partial</x:v>
      </x:c>
      <x:c r="H45" s="24" t="str">
        <x:v>Assets/_Project/Prefabs/Expansions/Server/UPS.prefab</x:v>
      </x:c>
      <x:c r="I45" s="24" t="str">
        <x:v>16870f8bbfc794e4c894f4fbe9c7765b</x:v>
      </x:c>
      <x:c r="J45" s="44" t="n">
        <x:v>53.15</x:v>
      </x:c>
      <x:c r="K45" s="24" t="str">
        <x:v>Review</x:v>
      </x:c>
      <x:c r="L45" s="24" t="str">
        <x:v>Future</x:v>
      </x:c>
      <x:c r="M45" s="24" t="str">
        <x:v>Review</x:v>
      </x:c>
      <x:c r="N45" s="24" t="str">
        <x:v>Review</x:v>
      </x:c>
      <x:c r="O45" s="24" t="str">
        <x:v>Internal/Approved</x:v>
      </x:c>
      <x:c r="P45" s="24" t="str">
        <x:v>Future</x:v>
      </x:c>
      <x:c r="Q45" s="24" t="str">
        <x:v>Scope controlled</x:v>
      </x:c>
      <x:c r="R45" s="24" t="str">
        <x:v>No</x:v>
      </x:c>
      <x:c r="S45" s="24" t="str">
        <x:v>Not open</x:v>
      </x:c>
      <x:c r="T45" s="24" t="str"/>
    </x:row>
    <x:row r="46" ht="34" customHeight="1">
      <x:c r="A46" s="24" t="str">
        <x:v>PFB-042</x:v>
      </x:c>
      <x:c r="B46" s="24" t="str">
        <x:v>Locker.prefab</x:v>
      </x:c>
      <x:c r="C46" s="24" t="str">
        <x:v>Expansions</x:v>
      </x:c>
      <x:c r="D46" s="24" t="str">
        <x:v>Expansions/Staff</x:v>
      </x:c>
      <x:c r="E46" s="24" t="str">
        <x:v>VISION / NOT OPEN</x:v>
      </x:c>
      <x:c r="F46" s="24" t="str">
        <x:v>Prefab available</x:v>
      </x:c>
      <x:c r="G46" s="24" t="str">
        <x:v>Pending/partial</x:v>
      </x:c>
      <x:c r="H46" s="24" t="str">
        <x:v>Assets/_Project/Prefabs/Expansions/Staff/Locker.prefab</x:v>
      </x:c>
      <x:c r="I46" s="24" t="str">
        <x:v>1d815b53a5f31e245b538fac05b952d7</x:v>
      </x:c>
      <x:c r="J46" s="44" t="n">
        <x:v>29.02</x:v>
      </x:c>
      <x:c r="K46" s="24" t="str">
        <x:v>Review</x:v>
      </x:c>
      <x:c r="L46" s="24" t="str">
        <x:v>Future</x:v>
      </x:c>
      <x:c r="M46" s="24" t="str">
        <x:v>Review</x:v>
      </x:c>
      <x:c r="N46" s="24" t="str">
        <x:v>Review</x:v>
      </x:c>
      <x:c r="O46" s="24" t="str">
        <x:v>Internal/Approved</x:v>
      </x:c>
      <x:c r="P46" s="24" t="str">
        <x:v>Future</x:v>
      </x:c>
      <x:c r="Q46" s="24" t="str">
        <x:v>Scope controlled</x:v>
      </x:c>
      <x:c r="R46" s="24" t="str">
        <x:v>No</x:v>
      </x:c>
      <x:c r="S46" s="24" t="str">
        <x:v>Not open</x:v>
      </x:c>
      <x:c r="T46" s="24" t="str"/>
    </x:row>
    <x:row r="47" ht="34" customHeight="1">
      <x:c r="A47" s="24" t="str">
        <x:v>PFB-043</x:v>
      </x:c>
      <x:c r="B47" s="24" t="str">
        <x:v>TaskBoard.prefab</x:v>
      </x:c>
      <x:c r="C47" s="24" t="str">
        <x:v>Expansions</x:v>
      </x:c>
      <x:c r="D47" s="24" t="str">
        <x:v>Expansions/Staff</x:v>
      </x:c>
      <x:c r="E47" s="24" t="str">
        <x:v>VISION / NOT OPEN</x:v>
      </x:c>
      <x:c r="F47" s="24" t="str">
        <x:v>Prefab available</x:v>
      </x:c>
      <x:c r="G47" s="24" t="str">
        <x:v>Pending/partial</x:v>
      </x:c>
      <x:c r="H47" s="24" t="str">
        <x:v>Assets/_Project/Prefabs/Expansions/Staff/TaskBoard.prefab</x:v>
      </x:c>
      <x:c r="I47" s="24" t="str">
        <x:v>9dbed83b857d07842bf8a63bfa8ba026</x:v>
      </x:c>
      <x:c r="J47" s="44" t="n">
        <x:v>110.11</x:v>
      </x:c>
      <x:c r="K47" s="24" t="str">
        <x:v>Review</x:v>
      </x:c>
      <x:c r="L47" s="24" t="str">
        <x:v>Future</x:v>
      </x:c>
      <x:c r="M47" s="24" t="str">
        <x:v>Review</x:v>
      </x:c>
      <x:c r="N47" s="24" t="str">
        <x:v>Review</x:v>
      </x:c>
      <x:c r="O47" s="24" t="str">
        <x:v>Internal/Approved</x:v>
      </x:c>
      <x:c r="P47" s="24" t="str">
        <x:v>Future</x:v>
      </x:c>
      <x:c r="Q47" s="24" t="str">
        <x:v>Scope controlled</x:v>
      </x:c>
      <x:c r="R47" s="24" t="str">
        <x:v>No</x:v>
      </x:c>
      <x:c r="S47" s="24" t="str">
        <x:v>Not open</x:v>
      </x:c>
      <x:c r="T47" s="24" t="str"/>
    </x:row>
    <x:row r="48" ht="34" customHeight="1">
      <x:c r="A48" s="24" t="str">
        <x:v>PFB-044</x:v>
      </x:c>
      <x:c r="B48" s="24" t="str">
        <x:v>ArtDesk.prefab</x:v>
      </x:c>
      <x:c r="C48" s="24" t="str">
        <x:v>Expansions</x:v>
      </x:c>
      <x:c r="D48" s="24" t="str">
        <x:v>Expansions/Studio</x:v>
      </x:c>
      <x:c r="E48" s="24" t="str">
        <x:v>VISION / NOT OPEN</x:v>
      </x:c>
      <x:c r="F48" s="24" t="str">
        <x:v>Prefab available</x:v>
      </x:c>
      <x:c r="G48" s="24" t="str">
        <x:v>Pending/partial</x:v>
      </x:c>
      <x:c r="H48" s="24" t="str">
        <x:v>Assets/_Project/Prefabs/Expansions/Studio/ArtDesk.prefab</x:v>
      </x:c>
      <x:c r="I48" s="24" t="str">
        <x:v>ac08309937540d74792dac40dda8b45d</x:v>
      </x:c>
      <x:c r="J48" s="44" t="n">
        <x:v>37.22</x:v>
      </x:c>
      <x:c r="K48" s="24" t="str">
        <x:v>Review</x:v>
      </x:c>
      <x:c r="L48" s="24" t="str">
        <x:v>Future</x:v>
      </x:c>
      <x:c r="M48" s="24" t="str">
        <x:v>Review</x:v>
      </x:c>
      <x:c r="N48" s="24" t="str">
        <x:v>Review</x:v>
      </x:c>
      <x:c r="O48" s="24" t="str">
        <x:v>Internal/Approved</x:v>
      </x:c>
      <x:c r="P48" s="24" t="str">
        <x:v>Future</x:v>
      </x:c>
      <x:c r="Q48" s="24" t="str">
        <x:v>Scope controlled</x:v>
      </x:c>
      <x:c r="R48" s="24" t="str">
        <x:v>No</x:v>
      </x:c>
      <x:c r="S48" s="24" t="str">
        <x:v>Not open</x:v>
      </x:c>
      <x:c r="T48" s="24" t="str"/>
    </x:row>
    <x:row r="49" ht="34" customHeight="1">
      <x:c r="A49" s="24" t="str">
        <x:v>PFB-045</x:v>
      </x:c>
      <x:c r="B49" s="24" t="str">
        <x:v>AudioStation.prefab</x:v>
      </x:c>
      <x:c r="C49" s="24" t="str">
        <x:v>Expansions</x:v>
      </x:c>
      <x:c r="D49" s="24" t="str">
        <x:v>Expansions/Studio</x:v>
      </x:c>
      <x:c r="E49" s="24" t="str">
        <x:v>VISION / NOT OPEN</x:v>
      </x:c>
      <x:c r="F49" s="24" t="str">
        <x:v>Prefab available</x:v>
      </x:c>
      <x:c r="G49" s="24" t="str">
        <x:v>Pending/partial</x:v>
      </x:c>
      <x:c r="H49" s="24" t="str">
        <x:v>Assets/_Project/Prefabs/Expansions/Studio/AudioStation.prefab</x:v>
      </x:c>
      <x:c r="I49" s="24" t="str">
        <x:v>ec73e52504e46b447a8b28a511e31672</x:v>
      </x:c>
      <x:c r="J49" s="44" t="n">
        <x:v>37.18</x:v>
      </x:c>
      <x:c r="K49" s="24" t="str">
        <x:v>Review</x:v>
      </x:c>
      <x:c r="L49" s="24" t="str">
        <x:v>Future</x:v>
      </x:c>
      <x:c r="M49" s="24" t="str">
        <x:v>Review</x:v>
      </x:c>
      <x:c r="N49" s="24" t="str">
        <x:v>Review</x:v>
      </x:c>
      <x:c r="O49" s="24" t="str">
        <x:v>Internal/Approved</x:v>
      </x:c>
      <x:c r="P49" s="24" t="str">
        <x:v>Future</x:v>
      </x:c>
      <x:c r="Q49" s="24" t="str">
        <x:v>Scope controlled</x:v>
      </x:c>
      <x:c r="R49" s="24" t="str">
        <x:v>No</x:v>
      </x:c>
      <x:c r="S49" s="24" t="str">
        <x:v>Not open</x:v>
      </x:c>
      <x:c r="T49" s="24" t="str"/>
    </x:row>
    <x:row r="50" ht="34" customHeight="1">
      <x:c r="A50" s="24" t="str">
        <x:v>PFB-046</x:v>
      </x:c>
      <x:c r="B50" s="24" t="str">
        <x:v>DevDesk.prefab</x:v>
      </x:c>
      <x:c r="C50" s="24" t="str">
        <x:v>Expansions</x:v>
      </x:c>
      <x:c r="D50" s="24" t="str">
        <x:v>Expansions/Studio</x:v>
      </x:c>
      <x:c r="E50" s="24" t="str">
        <x:v>VISION / NOT OPEN</x:v>
      </x:c>
      <x:c r="F50" s="24" t="str">
        <x:v>Prefab available</x:v>
      </x:c>
      <x:c r="G50" s="24" t="str">
        <x:v>Pending/partial</x:v>
      </x:c>
      <x:c r="H50" s="24" t="str">
        <x:v>Assets/_Project/Prefabs/Expansions/Studio/DevDesk.prefab</x:v>
      </x:c>
      <x:c r="I50" s="24" t="str">
        <x:v>1f86cd44878a80a49bd1336bb2a8febf</x:v>
      </x:c>
      <x:c r="J50" s="44" t="n">
        <x:v>61.53</x:v>
      </x:c>
      <x:c r="K50" s="24" t="str">
        <x:v>Review</x:v>
      </x:c>
      <x:c r="L50" s="24" t="str">
        <x:v>Future</x:v>
      </x:c>
      <x:c r="M50" s="24" t="str">
        <x:v>Review</x:v>
      </x:c>
      <x:c r="N50" s="24" t="str">
        <x:v>Review</x:v>
      </x:c>
      <x:c r="O50" s="24" t="str">
        <x:v>Internal/Approved</x:v>
      </x:c>
      <x:c r="P50" s="24" t="str">
        <x:v>Future</x:v>
      </x:c>
      <x:c r="Q50" s="24" t="str">
        <x:v>Scope controlled</x:v>
      </x:c>
      <x:c r="R50" s="24" t="str">
        <x:v>No</x:v>
      </x:c>
      <x:c r="S50" s="24" t="str">
        <x:v>Not open</x:v>
      </x:c>
      <x:c r="T50" s="24" t="str"/>
    </x:row>
    <x:row r="51" ht="34" customHeight="1">
      <x:c r="A51" s="24" t="str">
        <x:v>PFB-047</x:v>
      </x:c>
      <x:c r="B51" s="24" t="str">
        <x:v>BackroomStorage.prefab</x:v>
      </x:c>
      <x:c r="C51" s="24" t="str">
        <x:v>Furniture</x:v>
      </x:c>
      <x:c r="D51" s="24" t="str">
        <x:v>Furniture</x:v>
      </x:c>
      <x:c r="E51" s="24" t="str">
        <x:v>REPRESENTATIVE / CURRENT</x:v>
      </x:c>
      <x:c r="F51" s="24" t="str">
        <x:v>Prefab available</x:v>
      </x:c>
      <x:c r="G51" s="24" t="str">
        <x:v>Pending/partial</x:v>
      </x:c>
      <x:c r="H51" s="24" t="str">
        <x:v>Assets/_Project/Prefabs/Furniture/BackroomStorage.prefab</x:v>
      </x:c>
      <x:c r="I51" s="24" t="str">
        <x:v>6a32d46b756131d355af34feb5ec815a</x:v>
      </x:c>
      <x:c r="J51" s="44" t="n">
        <x:v>85.87</x:v>
      </x:c>
      <x:c r="K51" s="24" t="str">
        <x:v>Yes</x:v>
      </x:c>
      <x:c r="L51" s="24" t="str">
        <x:v>StoreInitial</x:v>
      </x:c>
      <x:c r="M51" s="24" t="str">
        <x:v>Review</x:v>
      </x:c>
      <x:c r="N51" s="24" t="str">
        <x:v>Review</x:v>
      </x:c>
      <x:c r="O51" s="24" t="str">
        <x:v>Internal/Approved</x:v>
      </x:c>
      <x:c r="P51" s="24" t="n">
        <x:v>16</x:v>
      </x:c>
      <x:c r="Q51" s="24" t="str">
        <x:v>VS-ART-001;VS-SCN-002</x:v>
      </x:c>
      <x:c r="R51" s="24" t="str">
        <x:v>Representative</x:v>
      </x:c>
      <x:c r="S51" s="24" t="str">
        <x:v>Authored-scene validation pending</x:v>
      </x:c>
      <x:c r="T51" s="24" t="str"/>
    </x:row>
    <x:row r="52" ht="34" customHeight="1">
      <x:c r="A52" s="24" t="str">
        <x:v>PFB-048</x:v>
      </x:c>
      <x:c r="B52" s="24" t="str">
        <x:v>CentralShelf.prefab</x:v>
      </x:c>
      <x:c r="C52" s="24" t="str">
        <x:v>Furniture</x:v>
      </x:c>
      <x:c r="D52" s="24" t="str">
        <x:v>Furniture</x:v>
      </x:c>
      <x:c r="E52" s="24" t="str">
        <x:v>REPRESENTATIVE / CURRENT</x:v>
      </x:c>
      <x:c r="F52" s="24" t="str">
        <x:v>Prefab available</x:v>
      </x:c>
      <x:c r="G52" s="24" t="str">
        <x:v>Pending/partial</x:v>
      </x:c>
      <x:c r="H52" s="24" t="str">
        <x:v>Assets/_Project/Prefabs/Furniture/CentralShelf.prefab</x:v>
      </x:c>
      <x:c r="I52" s="24" t="str">
        <x:v>ee68430315c3ff624c8cb39e759e3362</x:v>
      </x:c>
      <x:c r="J52" s="44" t="n">
        <x:v>69.85</x:v>
      </x:c>
      <x:c r="K52" s="24" t="str">
        <x:v>Yes</x:v>
      </x:c>
      <x:c r="L52" s="24" t="str">
        <x:v>StoreInitial</x:v>
      </x:c>
      <x:c r="M52" s="24" t="str">
        <x:v>Review</x:v>
      </x:c>
      <x:c r="N52" s="24" t="str">
        <x:v>Review</x:v>
      </x:c>
      <x:c r="O52" s="24" t="str">
        <x:v>Internal/Approved</x:v>
      </x:c>
      <x:c r="P52" s="24" t="n">
        <x:v>16</x:v>
      </x:c>
      <x:c r="Q52" s="24" t="str">
        <x:v>VS-ART-001;VS-SCN-002</x:v>
      </x:c>
      <x:c r="R52" s="24" t="str">
        <x:v>Representative</x:v>
      </x:c>
      <x:c r="S52" s="24" t="str">
        <x:v>Authored-scene validation pending</x:v>
      </x:c>
      <x:c r="T52" s="24" t="str"/>
    </x:row>
    <x:row r="53" ht="34" customHeight="1">
      <x:c r="A53" s="24" t="str">
        <x:v>PFB-049</x:v>
      </x:c>
      <x:c r="B53" s="24" t="str">
        <x:v>CheckoutCounter.prefab</x:v>
      </x:c>
      <x:c r="C53" s="24" t="str">
        <x:v>Furniture</x:v>
      </x:c>
      <x:c r="D53" s="24" t="str">
        <x:v>Furniture</x:v>
      </x:c>
      <x:c r="E53" s="24" t="str">
        <x:v>REPRESENTATIVE / CURRENT</x:v>
      </x:c>
      <x:c r="F53" s="24" t="str">
        <x:v>Prefab available</x:v>
      </x:c>
      <x:c r="G53" s="24" t="str">
        <x:v>Pending/partial</x:v>
      </x:c>
      <x:c r="H53" s="24" t="str">
        <x:v>Assets/_Project/Prefabs/Furniture/CheckoutCounter.prefab</x:v>
      </x:c>
      <x:c r="I53" s="24" t="str">
        <x:v>50cf0cf3c5cf40b6b6cb2622a64001d4</x:v>
      </x:c>
      <x:c r="J53" s="44" t="n">
        <x:v>53.67</x:v>
      </x:c>
      <x:c r="K53" s="24" t="str">
        <x:v>Yes</x:v>
      </x:c>
      <x:c r="L53" s="24" t="str">
        <x:v>StoreInitial</x:v>
      </x:c>
      <x:c r="M53" s="24" t="str">
        <x:v>Review</x:v>
      </x:c>
      <x:c r="N53" s="24" t="str">
        <x:v>Review</x:v>
      </x:c>
      <x:c r="O53" s="24" t="str">
        <x:v>Internal/Approved</x:v>
      </x:c>
      <x:c r="P53" s="24" t="n">
        <x:v>16</x:v>
      </x:c>
      <x:c r="Q53" s="24" t="str">
        <x:v>VS-ART-001;VS-SCN-002</x:v>
      </x:c>
      <x:c r="R53" s="24" t="str">
        <x:v>Representative</x:v>
      </x:c>
      <x:c r="S53" s="24" t="str">
        <x:v>Authored-scene validation pending</x:v>
      </x:c>
      <x:c r="T53" s="24" t="str"/>
    </x:row>
    <x:row r="54" ht="34" customHeight="1">
      <x:c r="A54" s="24" t="str">
        <x:v>PFB-050</x:v>
      </x:c>
      <x:c r="B54" s="24" t="str">
        <x:v>DecorationPlant.prefab</x:v>
      </x:c>
      <x:c r="C54" s="24" t="str">
        <x:v>Furniture</x:v>
      </x:c>
      <x:c r="D54" s="24" t="str">
        <x:v>Furniture</x:v>
      </x:c>
      <x:c r="E54" s="24" t="str">
        <x:v>REPRESENTATIVE / CURRENT</x:v>
      </x:c>
      <x:c r="F54" s="24" t="str">
        <x:v>Prefab available</x:v>
      </x:c>
      <x:c r="G54" s="24" t="str">
        <x:v>Pending/partial</x:v>
      </x:c>
      <x:c r="H54" s="24" t="str">
        <x:v>Assets/_Project/Prefabs/Furniture/DecorationPlant.prefab</x:v>
      </x:c>
      <x:c r="I54" s="24" t="str">
        <x:v>f75e2d3953fef002ae67aa64f5d7b9a5</x:v>
      </x:c>
      <x:c r="J54" s="44" t="n">
        <x:v>62.09</x:v>
      </x:c>
      <x:c r="K54" s="24" t="str">
        <x:v>Yes</x:v>
      </x:c>
      <x:c r="L54" s="24" t="str">
        <x:v>StoreInitial</x:v>
      </x:c>
      <x:c r="M54" s="24" t="str">
        <x:v>Review</x:v>
      </x:c>
      <x:c r="N54" s="24" t="str">
        <x:v>Review</x:v>
      </x:c>
      <x:c r="O54" s="24" t="str">
        <x:v>Internal/Approved</x:v>
      </x:c>
      <x:c r="P54" s="24" t="n">
        <x:v>16</x:v>
      </x:c>
      <x:c r="Q54" s="24" t="str">
        <x:v>VS-ART-001;VS-SCN-002</x:v>
      </x:c>
      <x:c r="R54" s="24" t="str">
        <x:v>Representative</x:v>
      </x:c>
      <x:c r="S54" s="24" t="str">
        <x:v>Authored-scene validation pending</x:v>
      </x:c>
      <x:c r="T54" s="24" t="str"/>
    </x:row>
    <x:row r="55" ht="34" customHeight="1">
      <x:c r="A55" s="24" t="str">
        <x:v>PFB-051</x:v>
      </x:c>
      <x:c r="B55" s="24" t="str">
        <x:v>FeaturedDisplay.prefab</x:v>
      </x:c>
      <x:c r="C55" s="24" t="str">
        <x:v>Furniture</x:v>
      </x:c>
      <x:c r="D55" s="24" t="str">
        <x:v>Furniture</x:v>
      </x:c>
      <x:c r="E55" s="24" t="str">
        <x:v>REPRESENTATIVE / CURRENT</x:v>
      </x:c>
      <x:c r="F55" s="24" t="str">
        <x:v>Prefab available</x:v>
      </x:c>
      <x:c r="G55" s="24" t="str">
        <x:v>Pending/partial</x:v>
      </x:c>
      <x:c r="H55" s="24" t="str">
        <x:v>Assets/_Project/Prefabs/Furniture/FeaturedDisplay.prefab</x:v>
      </x:c>
      <x:c r="I55" s="24" t="str">
        <x:v>a220b490e14b7507c07ed1d5ebb45162</x:v>
      </x:c>
      <x:c r="J55" s="44" t="n">
        <x:v>29.36</x:v>
      </x:c>
      <x:c r="K55" s="24" t="str">
        <x:v>Yes</x:v>
      </x:c>
      <x:c r="L55" s="24" t="str">
        <x:v>StoreInitial</x:v>
      </x:c>
      <x:c r="M55" s="24" t="str">
        <x:v>Review</x:v>
      </x:c>
      <x:c r="N55" s="24" t="str">
        <x:v>Review</x:v>
      </x:c>
      <x:c r="O55" s="24" t="str">
        <x:v>Internal/Approved</x:v>
      </x:c>
      <x:c r="P55" s="24" t="n">
        <x:v>16</x:v>
      </x:c>
      <x:c r="Q55" s="24" t="str">
        <x:v>VS-ART-001;VS-SCN-002</x:v>
      </x:c>
      <x:c r="R55" s="24" t="str">
        <x:v>Representative</x:v>
      </x:c>
      <x:c r="S55" s="24" t="str">
        <x:v>Authored-scene validation pending</x:v>
      </x:c>
      <x:c r="T55" s="24" t="str"/>
    </x:row>
    <x:row r="56" ht="34" customHeight="1">
      <x:c r="A56" s="24" t="str">
        <x:v>PFB-052</x:v>
      </x:c>
      <x:c r="B56" s="24" t="str">
        <x:v>LowDisplay.prefab</x:v>
      </x:c>
      <x:c r="C56" s="24" t="str">
        <x:v>Furniture</x:v>
      </x:c>
      <x:c r="D56" s="24" t="str">
        <x:v>Furniture</x:v>
      </x:c>
      <x:c r="E56" s="24" t="str">
        <x:v>REPRESENTATIVE / CURRENT</x:v>
      </x:c>
      <x:c r="F56" s="24" t="str">
        <x:v>Prefab available</x:v>
      </x:c>
      <x:c r="G56" s="24" t="str">
        <x:v>Pending/partial</x:v>
      </x:c>
      <x:c r="H56" s="24" t="str">
        <x:v>Assets/_Project/Prefabs/Furniture/LowDisplay.prefab</x:v>
      </x:c>
      <x:c r="I56" s="24" t="str">
        <x:v>a50740f86803ca60444851be2b42c02e</x:v>
      </x:c>
      <x:c r="J56" s="44" t="n">
        <x:v>29.2</x:v>
      </x:c>
      <x:c r="K56" s="24" t="str">
        <x:v>Yes</x:v>
      </x:c>
      <x:c r="L56" s="24" t="str">
        <x:v>StoreInitial</x:v>
      </x:c>
      <x:c r="M56" s="24" t="str">
        <x:v>Review</x:v>
      </x:c>
      <x:c r="N56" s="24" t="str">
        <x:v>Review</x:v>
      </x:c>
      <x:c r="O56" s="24" t="str">
        <x:v>Internal/Approved</x:v>
      </x:c>
      <x:c r="P56" s="24" t="n">
        <x:v>16</x:v>
      </x:c>
      <x:c r="Q56" s="24" t="str">
        <x:v>VS-ART-001;VS-SCN-002</x:v>
      </x:c>
      <x:c r="R56" s="24" t="str">
        <x:v>Representative</x:v>
      </x:c>
      <x:c r="S56" s="24" t="str">
        <x:v>Authored-scene validation pending</x:v>
      </x:c>
      <x:c r="T56" s="24" t="str"/>
    </x:row>
    <x:row r="57" ht="34" customHeight="1">
      <x:c r="A57" s="24" t="str">
        <x:v>PFB-053</x:v>
      </x:c>
      <x:c r="B57" s="24" t="str">
        <x:v>ReceivingCrate.prefab</x:v>
      </x:c>
      <x:c r="C57" s="24" t="str">
        <x:v>Furniture</x:v>
      </x:c>
      <x:c r="D57" s="24" t="str">
        <x:v>Furniture</x:v>
      </x:c>
      <x:c r="E57" s="24" t="str">
        <x:v>REPRESENTATIVE / CURRENT</x:v>
      </x:c>
      <x:c r="F57" s="24" t="str">
        <x:v>Prefab available</x:v>
      </x:c>
      <x:c r="G57" s="24" t="str">
        <x:v>Pending/partial</x:v>
      </x:c>
      <x:c r="H57" s="24" t="str">
        <x:v>Assets/_Project/Prefabs/Furniture/ReceivingCrate.prefab</x:v>
      </x:c>
      <x:c r="I57" s="24" t="str">
        <x:v>61dde0e295b6d720919f8fb896444331</x:v>
      </x:c>
      <x:c r="J57" s="44" t="n">
        <x:v>37.29</x:v>
      </x:c>
      <x:c r="K57" s="24" t="str">
        <x:v>Yes</x:v>
      </x:c>
      <x:c r="L57" s="24" t="str">
        <x:v>StoreInitial</x:v>
      </x:c>
      <x:c r="M57" s="24" t="str">
        <x:v>Review</x:v>
      </x:c>
      <x:c r="N57" s="24" t="str">
        <x:v>Review</x:v>
      </x:c>
      <x:c r="O57" s="24" t="str">
        <x:v>Internal/Approved</x:v>
      </x:c>
      <x:c r="P57" s="24" t="n">
        <x:v>16</x:v>
      </x:c>
      <x:c r="Q57" s="24" t="str">
        <x:v>VS-ART-001;VS-SCN-002</x:v>
      </x:c>
      <x:c r="R57" s="24" t="str">
        <x:v>Representative</x:v>
      </x:c>
      <x:c r="S57" s="24" t="str">
        <x:v>Authored-scene validation pending</x:v>
      </x:c>
      <x:c r="T57" s="24" t="str"/>
    </x:row>
    <x:row r="58" ht="34" customHeight="1">
      <x:c r="A58" s="24" t="str">
        <x:v>PFB-054</x:v>
      </x:c>
      <x:c r="B58" s="24" t="str">
        <x:v>WallShelf.prefab</x:v>
      </x:c>
      <x:c r="C58" s="24" t="str">
        <x:v>Furniture</x:v>
      </x:c>
      <x:c r="D58" s="24" t="str">
        <x:v>Furniture</x:v>
      </x:c>
      <x:c r="E58" s="24" t="str">
        <x:v>REPRESENTATIVE / CURRENT</x:v>
      </x:c>
      <x:c r="F58" s="24" t="str">
        <x:v>Prefab available</x:v>
      </x:c>
      <x:c r="G58" s="24" t="str">
        <x:v>Pending/partial</x:v>
      </x:c>
      <x:c r="H58" s="24" t="str">
        <x:v>Assets/_Project/Prefabs/Furniture/WallShelf.prefab</x:v>
      </x:c>
      <x:c r="I58" s="24" t="str">
        <x:v>d85a9e733850c34695b6e866472e96ed</x:v>
      </x:c>
      <x:c r="J58" s="44" t="n">
        <x:v>61.74</x:v>
      </x:c>
      <x:c r="K58" s="24" t="str">
        <x:v>Yes</x:v>
      </x:c>
      <x:c r="L58" s="24" t="str">
        <x:v>StoreInitial</x:v>
      </x:c>
      <x:c r="M58" s="24" t="str">
        <x:v>Review</x:v>
      </x:c>
      <x:c r="N58" s="24" t="str">
        <x:v>Review</x:v>
      </x:c>
      <x:c r="O58" s="24" t="str">
        <x:v>Internal/Approved</x:v>
      </x:c>
      <x:c r="P58" s="24" t="n">
        <x:v>16</x:v>
      </x:c>
      <x:c r="Q58" s="24" t="str">
        <x:v>VS-ART-001;VS-SCN-002</x:v>
      </x:c>
      <x:c r="R58" s="24" t="str">
        <x:v>Representative</x:v>
      </x:c>
      <x:c r="S58" s="24" t="str">
        <x:v>Authored-scene validation pending</x:v>
      </x:c>
      <x:c r="T58" s="24" t="str"/>
    </x:row>
    <x:row r="59" ht="34" customHeight="1">
      <x:c r="A59" s="24" t="str">
        <x:v>PFB-055</x:v>
      </x:c>
      <x:c r="B59" s="24" t="str">
        <x:v>CloudRunnerCase.prefab</x:v>
      </x:c>
      <x:c r="C59" s="24" t="str">
        <x:v>Products</x:v>
      </x:c>
      <x:c r="D59" s="24" t="str">
        <x:v>Products</x:v>
      </x:c>
      <x:c r="E59" s="24" t="str">
        <x:v>REPRESENTATIVE / CURRENT</x:v>
      </x:c>
      <x:c r="F59" s="24" t="str">
        <x:v>Prefab available</x:v>
      </x:c>
      <x:c r="G59" s="24" t="str">
        <x:v>Pending/partial</x:v>
      </x:c>
      <x:c r="H59" s="24" t="str">
        <x:v>Assets/_Project/Prefabs/Products/CloudRunnerCase.prefab</x:v>
      </x:c>
      <x:c r="I59" s="24" t="str">
        <x:v>a61666dd7120c6ca962105fa1a44ad89</x:v>
      </x:c>
      <x:c r="J59" s="44" t="n">
        <x:v>29.87</x:v>
      </x:c>
      <x:c r="K59" s="24" t="str">
        <x:v>Yes</x:v>
      </x:c>
      <x:c r="L59" s="24" t="str">
        <x:v>StoreInitial</x:v>
      </x:c>
      <x:c r="M59" s="24" t="str">
        <x:v>Review</x:v>
      </x:c>
      <x:c r="N59" s="24" t="str">
        <x:v>Review</x:v>
      </x:c>
      <x:c r="O59" s="24" t="str">
        <x:v>Internal/Approved</x:v>
      </x:c>
      <x:c r="P59" s="24" t="n">
        <x:v>16</x:v>
      </x:c>
      <x:c r="Q59" s="24" t="str">
        <x:v>VS-ART-001;VS-SCN-002</x:v>
      </x:c>
      <x:c r="R59" s="24" t="str">
        <x:v>Representative</x:v>
      </x:c>
      <x:c r="S59" s="24" t="str">
        <x:v>Authored-scene validation pending</x:v>
      </x:c>
      <x:c r="T59" s="24" t="str"/>
    </x:row>
    <x:row r="60" ht="34" customHeight="1">
      <x:c r="A60" s="24" t="str">
        <x:v>PFB-056</x:v>
      </x:c>
      <x:c r="B60" s="24" t="str">
        <x:v>MemoryCoreAccessory.prefab</x:v>
      </x:c>
      <x:c r="C60" s="24" t="str">
        <x:v>Products</x:v>
      </x:c>
      <x:c r="D60" s="24" t="str">
        <x:v>Products</x:v>
      </x:c>
      <x:c r="E60" s="24" t="str">
        <x:v>REPRESENTATIVE / CURRENT</x:v>
      </x:c>
      <x:c r="F60" s="24" t="str">
        <x:v>Prefab available</x:v>
      </x:c>
      <x:c r="G60" s="24" t="str">
        <x:v>Pending/partial</x:v>
      </x:c>
      <x:c r="H60" s="24" t="str">
        <x:v>Assets/_Project/Prefabs/Products/MemoryCoreAccessory.prefab</x:v>
      </x:c>
      <x:c r="I60" s="24" t="str">
        <x:v>5ede70c331046392f8d66c885ebe2a1e</x:v>
      </x:c>
      <x:c r="J60" s="44" t="n">
        <x:v>29.89</x:v>
      </x:c>
      <x:c r="K60" s="24" t="str">
        <x:v>Yes</x:v>
      </x:c>
      <x:c r="L60" s="24" t="str">
        <x:v>StoreInitial</x:v>
      </x:c>
      <x:c r="M60" s="24" t="str">
        <x:v>Review</x:v>
      </x:c>
      <x:c r="N60" s="24" t="str">
        <x:v>Review</x:v>
      </x:c>
      <x:c r="O60" s="24" t="str">
        <x:v>Internal/Approved</x:v>
      </x:c>
      <x:c r="P60" s="24" t="n">
        <x:v>16</x:v>
      </x:c>
      <x:c r="Q60" s="24" t="str">
        <x:v>VS-ART-001;VS-SCN-002</x:v>
      </x:c>
      <x:c r="R60" s="24" t="str">
        <x:v>Representative</x:v>
      </x:c>
      <x:c r="S60" s="24" t="str">
        <x:v>Authored-scene validation pending</x:v>
      </x:c>
      <x:c r="T60" s="24" t="str"/>
    </x:row>
    <x:row r="61" ht="34" customHeight="1">
      <x:c r="A61" s="24" t="str">
        <x:v>PFB-057</x:v>
      </x:c>
      <x:c r="B61" s="24" t="str">
        <x:v>NeonDrift.prefab</x:v>
      </x:c>
      <x:c r="C61" s="24" t="str">
        <x:v>Products</x:v>
      </x:c>
      <x:c r="D61" s="24" t="str">
        <x:v>Products</x:v>
      </x:c>
      <x:c r="E61" s="24" t="str">
        <x:v>REPRESENTATIVE / CURRENT</x:v>
      </x:c>
      <x:c r="F61" s="24" t="str">
        <x:v>Prefab available</x:v>
      </x:c>
      <x:c r="G61" s="24" t="str">
        <x:v>Pending/partial</x:v>
      </x:c>
      <x:c r="H61" s="24" t="str">
        <x:v>Assets/_Project/Prefabs/Products/NeonDrift.prefab</x:v>
      </x:c>
      <x:c r="I61" s="24" t="str">
        <x:v>5ff5d278aad9e48c26952b67e72c9405</x:v>
      </x:c>
      <x:c r="J61" s="44" t="n">
        <x:v>29.84</x:v>
      </x:c>
      <x:c r="K61" s="24" t="str">
        <x:v>Yes</x:v>
      </x:c>
      <x:c r="L61" s="24" t="str">
        <x:v>StoreInitial</x:v>
      </x:c>
      <x:c r="M61" s="24" t="str">
        <x:v>Review</x:v>
      </x:c>
      <x:c r="N61" s="24" t="str">
        <x:v>Review</x:v>
      </x:c>
      <x:c r="O61" s="24" t="str">
        <x:v>Internal/Approved</x:v>
      </x:c>
      <x:c r="P61" s="24" t="n">
        <x:v>16</x:v>
      </x:c>
      <x:c r="Q61" s="24" t="str">
        <x:v>VS-ART-001;VS-SCN-002</x:v>
      </x:c>
      <x:c r="R61" s="24" t="str">
        <x:v>Representative</x:v>
      </x:c>
      <x:c r="S61" s="24" t="str">
        <x:v>Authored-scene validation pending</x:v>
      </x:c>
      <x:c r="T61" s="24" t="str"/>
    </x:row>
    <x:row r="62" ht="34" customHeight="1">
      <x:c r="A62" s="24" t="str">
        <x:v>PFB-058</x:v>
      </x:c>
      <x:c r="B62" s="24" t="str">
        <x:v>OrbitPadController.prefab</x:v>
      </x:c>
      <x:c r="C62" s="24" t="str">
        <x:v>Products</x:v>
      </x:c>
      <x:c r="D62" s="24" t="str">
        <x:v>Products</x:v>
      </x:c>
      <x:c r="E62" s="24" t="str">
        <x:v>REPRESENTATIVE / CURRENT</x:v>
      </x:c>
      <x:c r="F62" s="24" t="str">
        <x:v>Prefab available</x:v>
      </x:c>
      <x:c r="G62" s="24" t="str">
        <x:v>Pending/partial</x:v>
      </x:c>
      <x:c r="H62" s="24" t="str">
        <x:v>Assets/_Project/Prefabs/Products/OrbitPadController.prefab</x:v>
      </x:c>
      <x:c r="I62" s="24" t="str">
        <x:v>284a9c89ea04890133aedc074bfb9780</x:v>
      </x:c>
      <x:c r="J62" s="44" t="n">
        <x:v>54.1</x:v>
      </x:c>
      <x:c r="K62" s="24" t="str">
        <x:v>Yes</x:v>
      </x:c>
      <x:c r="L62" s="24" t="str">
        <x:v>StoreInitial</x:v>
      </x:c>
      <x:c r="M62" s="24" t="str">
        <x:v>Review</x:v>
      </x:c>
      <x:c r="N62" s="24" t="str">
        <x:v>Review</x:v>
      </x:c>
      <x:c r="O62" s="24" t="str">
        <x:v>Internal/Approved</x:v>
      </x:c>
      <x:c r="P62" s="24" t="n">
        <x:v>16</x:v>
      </x:c>
      <x:c r="Q62" s="24" t="str">
        <x:v>VS-ART-001;VS-SCN-002</x:v>
      </x:c>
      <x:c r="R62" s="24" t="str">
        <x:v>Representative</x:v>
      </x:c>
      <x:c r="S62" s="24" t="str">
        <x:v>Authored-scene validation pending</x:v>
      </x:c>
      <x:c r="T62" s="24" t="str"/>
    </x:row>
    <x:row r="63" ht="34" customHeight="1">
      <x:c r="A63" s="24" t="str">
        <x:v>PFB-059</x:v>
      </x:c>
      <x:c r="B63" s="24" t="str">
        <x:v>MemoryCoreBox.prefab</x:v>
      </x:c>
      <x:c r="C63" s="24" t="str">
        <x:v>Products</x:v>
      </x:c>
      <x:c r="D63" s="24" t="str">
        <x:v>Products/Packaging</x:v>
      </x:c>
      <x:c r="E63" s="24" t="str">
        <x:v>REPRESENTATIVE / CURRENT</x:v>
      </x:c>
      <x:c r="F63" s="24" t="str">
        <x:v>Prefab available</x:v>
      </x:c>
      <x:c r="G63" s="24" t="str">
        <x:v>Pending/partial</x:v>
      </x:c>
      <x:c r="H63" s="24" t="str">
        <x:v>Assets/_Project/Prefabs/Products/Packaging/MemoryCoreBox.prefab</x:v>
      </x:c>
      <x:c r="I63" s="24" t="str">
        <x:v>a811816a660cd244c8e7cdc35b3a6a29</x:v>
      </x:c>
      <x:c r="J63" s="44" t="n">
        <x:v>21.02</x:v>
      </x:c>
      <x:c r="K63" s="24" t="str">
        <x:v>Review</x:v>
      </x:c>
      <x:c r="L63" s="24" t="str">
        <x:v>StoreInitial</x:v>
      </x:c>
      <x:c r="M63" s="24" t="str">
        <x:v>Review</x:v>
      </x:c>
      <x:c r="N63" s="24" t="str">
        <x:v>Review</x:v>
      </x:c>
      <x:c r="O63" s="24" t="str">
        <x:v>Internal/Approved</x:v>
      </x:c>
      <x:c r="P63" s="24" t="n">
        <x:v>16</x:v>
      </x:c>
      <x:c r="Q63" s="24" t="str">
        <x:v>VS-ART-001;VS-SCN-002</x:v>
      </x:c>
      <x:c r="R63" s="24" t="str">
        <x:v>Representative</x:v>
      </x:c>
      <x:c r="S63" s="24" t="str">
        <x:v>Authored-scene validation pending</x:v>
      </x:c>
      <x:c r="T63" s="24" t="str"/>
    </x:row>
    <x:row r="64" ht="34" customHeight="1">
      <x:c r="A64" s="24" t="str">
        <x:v>PFB-060</x:v>
      </x:c>
      <x:c r="B64" s="24" t="str">
        <x:v>OrbitPadBox.prefab</x:v>
      </x:c>
      <x:c r="C64" s="24" t="str">
        <x:v>Products</x:v>
      </x:c>
      <x:c r="D64" s="24" t="str">
        <x:v>Products/Packaging</x:v>
      </x:c>
      <x:c r="E64" s="24" t="str">
        <x:v>REPRESENTATIVE / CURRENT</x:v>
      </x:c>
      <x:c r="F64" s="24" t="str">
        <x:v>Prefab available</x:v>
      </x:c>
      <x:c r="G64" s="24" t="str">
        <x:v>Pending/partial</x:v>
      </x:c>
      <x:c r="H64" s="24" t="str">
        <x:v>Assets/_Project/Prefabs/Products/Packaging/OrbitPadBox.prefab</x:v>
      </x:c>
      <x:c r="I64" s="24" t="str">
        <x:v>deca8db8279a11b4c893b6e1db0b7d75</x:v>
      </x:c>
      <x:c r="J64" s="44" t="n">
        <x:v>20.9</x:v>
      </x:c>
      <x:c r="K64" s="24" t="str">
        <x:v>Review</x:v>
      </x:c>
      <x:c r="L64" s="24" t="str">
        <x:v>StoreInitial</x:v>
      </x:c>
      <x:c r="M64" s="24" t="str">
        <x:v>Review</x:v>
      </x:c>
      <x:c r="N64" s="24" t="str">
        <x:v>Review</x:v>
      </x:c>
      <x:c r="O64" s="24" t="str">
        <x:v>Internal/Approved</x:v>
      </x:c>
      <x:c r="P64" s="24" t="n">
        <x:v>16</x:v>
      </x:c>
      <x:c r="Q64" s="24" t="str">
        <x:v>VS-ART-001;VS-SCN-002</x:v>
      </x:c>
      <x:c r="R64" s="24" t="str">
        <x:v>Representative</x:v>
      </x:c>
      <x:c r="S64" s="24" t="str">
        <x:v>Authored-scene validation pending</x:v>
      </x:c>
      <x:c r="T64" s="24" t="str"/>
    </x:row>
    <x:row r="65" ht="34" customHeight="1">
      <x:c r="A65" s="24" t="str">
        <x:v>PFB-061</x:v>
      </x:c>
      <x:c r="B65" s="24" t="str">
        <x:v>SignalProBox.prefab</x:v>
      </x:c>
      <x:c r="C65" s="24" t="str">
        <x:v>Products</x:v>
      </x:c>
      <x:c r="D65" s="24" t="str">
        <x:v>Products/Packaging</x:v>
      </x:c>
      <x:c r="E65" s="24" t="str">
        <x:v>REPRESENTATIVE / CURRENT</x:v>
      </x:c>
      <x:c r="F65" s="24" t="str">
        <x:v>Prefab available</x:v>
      </x:c>
      <x:c r="G65" s="24" t="str">
        <x:v>Pending/partial</x:v>
      </x:c>
      <x:c r="H65" s="24" t="str">
        <x:v>Assets/_Project/Prefabs/Products/Packaging/SignalProBox.prefab</x:v>
      </x:c>
      <x:c r="I65" s="24" t="str">
        <x:v>9cbf9396578b87a4083154ce4c5c83b4</x:v>
      </x:c>
      <x:c r="J65" s="44" t="n">
        <x:v>21.02</x:v>
      </x:c>
      <x:c r="K65" s="24" t="str">
        <x:v>Review</x:v>
      </x:c>
      <x:c r="L65" s="24" t="str">
        <x:v>StoreInitial</x:v>
      </x:c>
      <x:c r="M65" s="24" t="str">
        <x:v>Review</x:v>
      </x:c>
      <x:c r="N65" s="24" t="str">
        <x:v>Review</x:v>
      </x:c>
      <x:c r="O65" s="24" t="str">
        <x:v>Internal/Approved</x:v>
      </x:c>
      <x:c r="P65" s="24" t="n">
        <x:v>16</x:v>
      </x:c>
      <x:c r="Q65" s="24" t="str">
        <x:v>VS-ART-001;VS-SCN-002</x:v>
      </x:c>
      <x:c r="R65" s="24" t="str">
        <x:v>Representative</x:v>
      </x:c>
      <x:c r="S65" s="24" t="str">
        <x:v>Authored-scene validation pending</x:v>
      </x:c>
      <x:c r="T65" s="24" t="str"/>
    </x:row>
    <x:row r="66" ht="34" customHeight="1">
      <x:c r="A66" s="24" t="str">
        <x:v>PFB-062</x:v>
      </x:c>
      <x:c r="B66" s="24" t="str">
        <x:v>VertexOneBox.prefab</x:v>
      </x:c>
      <x:c r="C66" s="24" t="str">
        <x:v>Products</x:v>
      </x:c>
      <x:c r="D66" s="24" t="str">
        <x:v>Products/Packaging</x:v>
      </x:c>
      <x:c r="E66" s="24" t="str">
        <x:v>REPRESENTATIVE / CURRENT</x:v>
      </x:c>
      <x:c r="F66" s="24" t="str">
        <x:v>Prefab available</x:v>
      </x:c>
      <x:c r="G66" s="24" t="str">
        <x:v>Pending/partial</x:v>
      </x:c>
      <x:c r="H66" s="24" t="str">
        <x:v>Assets/_Project/Prefabs/Products/Packaging/VertexOneBox.prefab</x:v>
      </x:c>
      <x:c r="I66" s="24" t="str">
        <x:v>0be192659d3ef1d4cb8748114dfd2307</x:v>
      </x:c>
      <x:c r="J66" s="44" t="n">
        <x:v>20.94</x:v>
      </x:c>
      <x:c r="K66" s="24" t="str">
        <x:v>Review</x:v>
      </x:c>
      <x:c r="L66" s="24" t="str">
        <x:v>StoreInitial</x:v>
      </x:c>
      <x:c r="M66" s="24" t="str">
        <x:v>Review</x:v>
      </x:c>
      <x:c r="N66" s="24" t="str">
        <x:v>Review</x:v>
      </x:c>
      <x:c r="O66" s="24" t="str">
        <x:v>Internal/Approved</x:v>
      </x:c>
      <x:c r="P66" s="24" t="n">
        <x:v>16</x:v>
      </x:c>
      <x:c r="Q66" s="24" t="str">
        <x:v>VS-ART-001;VS-SCN-002</x:v>
      </x:c>
      <x:c r="R66" s="24" t="str">
        <x:v>Representative</x:v>
      </x:c>
      <x:c r="S66" s="24" t="str">
        <x:v>Authored-scene validation pending</x:v>
      </x:c>
      <x:c r="T66" s="24" t="str"/>
    </x:row>
    <x:row r="67" ht="34" customHeight="1">
      <x:c r="A67" s="24" t="str">
        <x:v>PFB-063</x:v>
      </x:c>
      <x:c r="B67" s="24" t="str">
        <x:v>SignalProHeadset.prefab</x:v>
      </x:c>
      <x:c r="C67" s="24" t="str">
        <x:v>Products</x:v>
      </x:c>
      <x:c r="D67" s="24" t="str">
        <x:v>Products</x:v>
      </x:c>
      <x:c r="E67" s="24" t="str">
        <x:v>REPRESENTATIVE / CURRENT</x:v>
      </x:c>
      <x:c r="F67" s="24" t="str">
        <x:v>Prefab available</x:v>
      </x:c>
      <x:c r="G67" s="24" t="str">
        <x:v>Pending/partial</x:v>
      </x:c>
      <x:c r="H67" s="24" t="str">
        <x:v>Assets/_Project/Prefabs/Products/SignalProHeadset.prefab</x:v>
      </x:c>
      <x:c r="I67" s="24" t="str">
        <x:v>2ef0238a34274b9d294281346ee99c23</x:v>
      </x:c>
      <x:c r="J67" s="44" t="n">
        <x:v>54.2</x:v>
      </x:c>
      <x:c r="K67" s="24" t="str">
        <x:v>Yes</x:v>
      </x:c>
      <x:c r="L67" s="24" t="str">
        <x:v>StoreInitial</x:v>
      </x:c>
      <x:c r="M67" s="24" t="str">
        <x:v>Review</x:v>
      </x:c>
      <x:c r="N67" s="24" t="str">
        <x:v>Review</x:v>
      </x:c>
      <x:c r="O67" s="24" t="str">
        <x:v>Internal/Approved</x:v>
      </x:c>
      <x:c r="P67" s="24" t="n">
        <x:v>16</x:v>
      </x:c>
      <x:c r="Q67" s="24" t="str">
        <x:v>VS-ART-001;VS-SCN-002</x:v>
      </x:c>
      <x:c r="R67" s="24" t="str">
        <x:v>Representative</x:v>
      </x:c>
      <x:c r="S67" s="24" t="str">
        <x:v>Authored-scene validation pending</x:v>
      </x:c>
      <x:c r="T67" s="24" t="str"/>
    </x:row>
    <x:row r="68" ht="34" customHeight="1">
      <x:c r="A68" s="24" t="str">
        <x:v>PFB-064</x:v>
      </x:c>
      <x:c r="B68" s="24" t="str">
        <x:v>VertexOneConsole.prefab</x:v>
      </x:c>
      <x:c r="C68" s="24" t="str">
        <x:v>Products</x:v>
      </x:c>
      <x:c r="D68" s="24" t="str">
        <x:v>Products</x:v>
      </x:c>
      <x:c r="E68" s="24" t="str">
        <x:v>REPRESENTATIVE / CURRENT</x:v>
      </x:c>
      <x:c r="F68" s="24" t="str">
        <x:v>Prefab available</x:v>
      </x:c>
      <x:c r="G68" s="24" t="str">
        <x:v>Pending/partial</x:v>
      </x:c>
      <x:c r="H68" s="24" t="str">
        <x:v>Assets/_Project/Prefabs/Products/VertexOneConsole.prefab</x:v>
      </x:c>
      <x:c r="I68" s="24" t="str">
        <x:v>a13d977b9b4144699385c65def0e446a</x:v>
      </x:c>
      <x:c r="J68" s="44" t="n">
        <x:v>29.91</x:v>
      </x:c>
      <x:c r="K68" s="24" t="str">
        <x:v>Yes</x:v>
      </x:c>
      <x:c r="L68" s="24" t="str">
        <x:v>StoreInitial</x:v>
      </x:c>
      <x:c r="M68" s="24" t="str">
        <x:v>Review</x:v>
      </x:c>
      <x:c r="N68" s="24" t="str">
        <x:v>Review</x:v>
      </x:c>
      <x:c r="O68" s="24" t="str">
        <x:v>Internal/Approved</x:v>
      </x:c>
      <x:c r="P68" s="24" t="n">
        <x:v>16</x:v>
      </x:c>
      <x:c r="Q68" s="24" t="str">
        <x:v>VS-ART-001;VS-SCN-002</x:v>
      </x:c>
      <x:c r="R68" s="24" t="str">
        <x:v>Representative</x:v>
      </x:c>
      <x:c r="S68" s="24" t="str">
        <x:v>Authored-scene validation pending</x:v>
      </x:c>
      <x:c r="T68" s="24" t="str"/>
    </x:row>
  </x:sheetData>
  <x:mergeCells>
    <x:mergeCell ref="A1:T1"/>
    <x:mergeCell ref="A2:T2"/>
  </x:mergeCells>
  <x:conditionalFormatting sqref="E5:E68">
    <x:cfRule type="expression" dxfId="116" priority="1">
      <x:formula>OR(ISNUMBER(SEARCH("PASS",E5)),ISNUMBER(SEARCH("CANONICAL",E5)),ISNUMBER(SEARCH("DONE",E5)))</x:formula>
    </x:cfRule>
    <x:cfRule type="expression" dxfId="117" priority="2">
      <x:formula>OR(ISNUMBER(SEARCH("BLOCK",E5)),ISNUMBER(SEARCH("FAIL",E5)),ISNUMBER(SEARCH("S1",E5)))</x:formula>
    </x:cfRule>
    <x:cfRule type="expression" dxfId="118" priority="3">
      <x:formula>OR(ISNUMBER(SEARCH("PENDING",E5)),ISNUMBER(SEARCH("PLANNED",E5)),ISNUMBER(SEARCH("PARTIAL",E5)),ISNUMBER(SEARCH("PLACEHOLDER",E5)))</x:formula>
    </x:cfRule>
    <x:cfRule type="expression" dxfId="119" priority="4">
      <x:formula>OR(ISNUMBER(SEARCH("VISION",E5)),ISNUMBER(SEARCH("HISTORICAL",E5)))</x:formula>
    </x:cfRule>
  </x:conditionalFormatting>
  <x:conditionalFormatting sqref="G5:G68">
    <x:cfRule type="expression" dxfId="120" priority="5">
      <x:formula>OR(ISNUMBER(SEARCH("PASS",G5)),ISNUMBER(SEARCH("CANONICAL",G5)),ISNUMBER(SEARCH("DONE",G5)))</x:formula>
    </x:cfRule>
    <x:cfRule type="expression" dxfId="121" priority="6">
      <x:formula>OR(ISNUMBER(SEARCH("BLOCK",G5)),ISNUMBER(SEARCH("FAIL",G5)),ISNUMBER(SEARCH("S1",G5)))</x:formula>
    </x:cfRule>
    <x:cfRule type="expression" dxfId="122" priority="7">
      <x:formula>OR(ISNUMBER(SEARCH("PENDING",G5)),ISNUMBER(SEARCH("PLANNED",G5)),ISNUMBER(SEARCH("PARTIAL",G5)),ISNUMBER(SEARCH("PLACEHOLDER",G5)))</x:formula>
    </x:cfRule>
    <x:cfRule type="expression" dxfId="123" priority="8">
      <x:formula>OR(ISNUMBER(SEARCH("VISION",G5)),ISNUMBER(SEARCH("HISTORICAL",G5)))</x:formula>
    </x:cfRule>
  </x:conditionalFormatting>
  <x:conditionalFormatting sqref="F5:F68">
    <x:cfRule type="expression" dxfId="124" priority="9">
      <x:formula>OR(ISNUMBER(SEARCH("PASS",F5)),ISNUMBER(SEARCH("CANONICAL",F5)),ISNUMBER(SEARCH("DONE",F5)))</x:formula>
    </x:cfRule>
    <x:cfRule type="expression" dxfId="125" priority="10">
      <x:formula>OR(ISNUMBER(SEARCH("BLOCK",F5)),ISNUMBER(SEARCH("FAIL",F5)),ISNUMBER(SEARCH("S1",F5)))</x:formula>
    </x:cfRule>
    <x:cfRule type="expression" dxfId="126" priority="11">
      <x:formula>OR(ISNUMBER(SEARCH("PENDING",F5)),ISNUMBER(SEARCH("PLANNED",F5)),ISNUMBER(SEARCH("PARTIAL",F5)),ISNUMBER(SEARCH("PLACEHOLDER",F5)))</x:formula>
    </x:cfRule>
    <x:cfRule type="expression" dxfId="127" priority="12">
      <x:formula>OR(ISNUMBER(SEARCH("VISION",F5)),ISNUMBER(SEARCH("HISTORICAL",F5)))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58a33e0a9e4f0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8" hidden="0" customWidth="1"/>
    <x:col min="5" max="5" width="34" hidden="0" customWidth="1"/>
    <x:col min="6" max="6" width="34" hidden="0" customWidth="1"/>
    <x:col min="7" max="7" width="70" hidden="0" customWidth="1"/>
    <x:col min="8" max="8" width="36" hidden="0" customWidth="1"/>
    <x:col min="9" max="9" width="22" hidden="0" customWidth="1"/>
    <x:col min="10" max="10" width="28" hidden="0" customWidth="1"/>
    <x:col min="11" max="11" width="30" hidden="0" customWidth="1"/>
    <x:col min="12" max="12" width="14" hidden="0" customWidth="1"/>
    <x:col min="13" max="13" width="28" hidden="0" customWidth="1"/>
    <x:col min="14" max="14" width="34" hidden="0" customWidth="1"/>
    <x:col min="15" max="15" width="55" hidden="0" customWidth="1"/>
  </x:cols>
  <x:sheetData>
    <x:row r="1" ht="30" customHeight="1">
      <x:c r="A1" s="4" t="str">
        <x:v>Escenas y zonas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Escenas existentes y zonas funcionales requeridas en StoreInitial.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6" customHeight="1">
      <x:c r="A4" s="17" t="str">
        <x:v>Content ID</x:v>
      </x:c>
      <x:c r="B4" s="17" t="str">
        <x:v>Nombre</x:v>
      </x:c>
      <x:c r="C4" s="17" t="str">
        <x:v>Tipo</x:v>
      </x:c>
      <x:c r="D4" s="17" t="str">
        <x:v>Estado canónico</x:v>
      </x:c>
      <x:c r="E4" s="17" t="str">
        <x:v>Implementación</x:v>
      </x:c>
      <x:c r="F4" s="17" t="str">
        <x:v>Validación</x:v>
      </x:c>
      <x:c r="G4" s="17" t="str">
        <x:v>Ruta</x:v>
      </x:c>
      <x:c r="H4" s="17" t="str">
        <x:v>GUID</x:v>
      </x:c>
      <x:c r="I4" s="17" t="str">
        <x:v>Dimensión/Capacidad</x:v>
      </x:c>
      <x:c r="J4" s="17" t="str">
        <x:v>Fijo/Dinámico</x:v>
      </x:c>
      <x:c r="K4" s="17" t="str">
        <x:v>Runtime/Build</x:v>
      </x:c>
      <x:c r="L4" s="17" t="str">
        <x:v>Sprint</x:v>
      </x:c>
      <x:c r="M4" s="17" t="str">
        <x:v>Requisito</x:v>
      </x:c>
      <x:c r="N4" s="17" t="str">
        <x:v>Deuda</x:v>
      </x:c>
      <x:c r="O4" s="17" t="str">
        <x:v>Notas</x:v>
      </x:c>
    </x:row>
    <x:row r="5" ht="34" customHeight="1">
      <x:c r="A5" s="24" t="str">
        <x:v>SCN-001</x:v>
      </x:c>
      <x:c r="B5" s="24" t="str">
        <x:v>Bootstrap</x:v>
      </x:c>
      <x:c r="C5" s="24" t="str">
        <x:v>Scene</x:v>
      </x:c>
      <x:c r="D5" s="24" t="str">
        <x:v>ACTIVE/HISTORICAL</x:v>
      </x:c>
      <x:c r="E5" s="24" t="str">
        <x:v>Build list / active</x:v>
      </x:c>
      <x:c r="F5" s="24" t="str">
        <x:v>Baseline/role dependent</x:v>
      </x:c>
      <x:c r="G5" s="24" t="str">
        <x:v>Assets/_Project/Scenes/Bootstrap.unity</x:v>
      </x:c>
      <x:c r="H5" s="24" t="str">
        <x:v>ada1e52ac6e09b9468e2109ccc7cbfc0</x:v>
      </x:c>
      <x:c r="I5" s="24" t="str"/>
      <x:c r="J5" s="24" t="str">
        <x:v>Mixed</x:v>
      </x:c>
      <x:c r="K5" s="24" t="str">
        <x:v>Build list / active</x:v>
      </x:c>
      <x:c r="L5" s="24" t="str">
        <x:v>0–15</x:v>
      </x:c>
      <x:c r="M5" s="24" t="str">
        <x:v>VS-APP-001</x:v>
      </x:c>
      <x:c r="N5" s="24" t="str"/>
      <x:c r="O5" s="24" t="str"/>
    </x:row>
    <x:row r="6" ht="34" customHeight="1">
      <x:c r="A6" s="24" t="str">
        <x:v>SCN-002</x:v>
      </x:c>
      <x:c r="B6" s="24" t="str">
        <x:v>MainMenu</x:v>
      </x:c>
      <x:c r="C6" s="24" t="str">
        <x:v>Scene</x:v>
      </x:c>
      <x:c r="D6" s="24" t="str">
        <x:v>ACTIVE/HISTORICAL</x:v>
      </x:c>
      <x:c r="E6" s="24" t="str">
        <x:v>Build list / active</x:v>
      </x:c>
      <x:c r="F6" s="24" t="str">
        <x:v>Baseline/role dependent</x:v>
      </x:c>
      <x:c r="G6" s="24" t="str">
        <x:v>Assets/_Project/Scenes/MainMenu.unity</x:v>
      </x:c>
      <x:c r="H6" s="24" t="str">
        <x:v>b00786c6952a55d418cf16503030c766</x:v>
      </x:c>
      <x:c r="I6" s="24" t="str"/>
      <x:c r="J6" s="24" t="str">
        <x:v>Mixed</x:v>
      </x:c>
      <x:c r="K6" s="24" t="str">
        <x:v>Build list / active</x:v>
      </x:c>
      <x:c r="L6" s="24" t="str">
        <x:v>0–15</x:v>
      </x:c>
      <x:c r="M6" s="24" t="str">
        <x:v>VS-APP-001</x:v>
      </x:c>
      <x:c r="N6" s="24" t="str"/>
      <x:c r="O6" s="24" t="str"/>
    </x:row>
    <x:row r="7" ht="34" customHeight="1">
      <x:c r="A7" s="24" t="str">
        <x:v>SCN-003</x:v>
      </x:c>
      <x:c r="B7" s="24" t="str">
        <x:v>Store</x:v>
      </x:c>
      <x:c r="C7" s="24" t="str">
        <x:v>Scene</x:v>
      </x:c>
      <x:c r="D7" s="24" t="str">
        <x:v>ACTIVE/HISTORICAL</x:v>
      </x:c>
      <x:c r="E7" s="24" t="str">
        <x:v>Build list / current runtime</x:v>
      </x:c>
      <x:c r="F7" s="24" t="str">
        <x:v>Baseline/role dependent</x:v>
      </x:c>
      <x:c r="G7" s="24" t="str">
        <x:v>Assets/_Project/Scenes/Store.unity</x:v>
      </x:c>
      <x:c r="H7" s="24" t="str">
        <x:v>45adcce906944f74bad3a0fb7d62f8e5</x:v>
      </x:c>
      <x:c r="I7" s="24" t="str">
        <x:v>10×15 m target</x:v>
      </x:c>
      <x:c r="J7" s="24" t="str">
        <x:v>Mixed</x:v>
      </x:c>
      <x:c r="K7" s="24" t="str">
        <x:v>Build list / current runtime</x:v>
      </x:c>
      <x:c r="L7" s="24" t="str">
        <x:v>0–15</x:v>
      </x:c>
      <x:c r="M7" s="24" t="str">
        <x:v>VS-APP-001</x:v>
      </x:c>
      <x:c r="N7" s="24" t="str"/>
      <x:c r="O7" s="24" t="str"/>
    </x:row>
    <x:row r="8" ht="34" customHeight="1">
      <x:c r="A8" s="24" t="str">
        <x:v>SCN-004</x:v>
      </x:c>
      <x:c r="B8" s="24" t="str">
        <x:v>StoreInitial</x:v>
      </x:c>
      <x:c r="C8" s="24" t="str">
        <x:v>Scene</x:v>
      </x:c>
      <x:c r="D8" s="24" t="str">
        <x:v>TARGET</x:v>
      </x:c>
      <x:c r="E8" s="24" t="str">
        <x:v>Authored target / not in build profile</x:v>
      </x:c>
      <x:c r="F8" s="24" t="str">
        <x:v>Pending H6</x:v>
      </x:c>
      <x:c r="G8" s="24" t="str">
        <x:v>Assets/_Project/Scenes/StoreInitial.unity</x:v>
      </x:c>
      <x:c r="H8" s="24" t="str">
        <x:v>32a95e5e16aaf15449a6f81392cf5dcf</x:v>
      </x:c>
      <x:c r="I8" s="24" t="str">
        <x:v>10×15 m target</x:v>
      </x:c>
      <x:c r="J8" s="24" t="str">
        <x:v>Mixed</x:v>
      </x:c>
      <x:c r="K8" s="24" t="str">
        <x:v>Authored target / not in build profile</x:v>
      </x:c>
      <x:c r="L8" s="24" t="n">
        <x:v>16</x:v>
      </x:c>
      <x:c r="M8" s="24" t="str">
        <x:v>VS-SCN-001;VS-SCN-002</x:v>
      </x:c>
      <x:c r="N8" s="24" t="str">
        <x:v>Runtime still points to Store</x:v>
      </x:c>
      <x:c r="O8" s="24" t="str"/>
    </x:row>
    <x:row r="9" ht="34" customHeight="1">
      <x:c r="A9" s="24" t="str">
        <x:v>SCN-005</x:v>
      </x:c>
      <x:c r="B9" s="24" t="str">
        <x:v>TestLab</x:v>
      </x:c>
      <x:c r="C9" s="24" t="str">
        <x:v>Scene</x:v>
      </x:c>
      <x:c r="D9" s="24" t="str">
        <x:v>ACTIVE/HISTORICAL</x:v>
      </x:c>
      <x:c r="E9" s="24" t="str">
        <x:v>Build list / test</x:v>
      </x:c>
      <x:c r="F9" s="24" t="str">
        <x:v>Baseline/role dependent</x:v>
      </x:c>
      <x:c r="G9" s="24" t="str">
        <x:v>Assets/_Project/Scenes/TestLab.unity</x:v>
      </x:c>
      <x:c r="H9" s="24" t="str">
        <x:v>002b2ad62af3c614b91e32722c9452be</x:v>
      </x:c>
      <x:c r="I9" s="24" t="str"/>
      <x:c r="J9" s="24" t="str">
        <x:v>Mixed</x:v>
      </x:c>
      <x:c r="K9" s="24" t="str">
        <x:v>Build list / test</x:v>
      </x:c>
      <x:c r="L9" s="24" t="str">
        <x:v>0–15</x:v>
      </x:c>
      <x:c r="M9" s="24" t="str">
        <x:v>VS-APP-001</x:v>
      </x:c>
      <x:c r="N9" s="24" t="str"/>
      <x:c r="O9" s="24" t="str"/>
    </x:row>
    <x:row r="10" ht="34" customHeight="1">
      <x:c r="A10" s="24" t="str">
        <x:v>ZONE-SALES</x:v>
      </x:c>
      <x:c r="B10" s="24" t="str">
        <x:v>Sales floor</x:v>
      </x:c>
      <x:c r="C10" s="24" t="str">
        <x:v>Zone</x:v>
      </x:c>
      <x:c r="D10" s="24" t="str">
        <x:v>REQUIRED</x:v>
      </x:c>
      <x:c r="E10" s="24" t="str">
        <x:v>Authoring in progress</x:v>
      </x:c>
      <x:c r="F10" s="24" t="str">
        <x:v>Scene traversal/anchor review pending</x:v>
      </x:c>
      <x:c r="G10" s="24" t="str">
        <x:v>StoreInitial.unity</x:v>
      </x:c>
      <x:c r="H10" s="24" t="str">
        <x:v>32a95e5e16aaf15449a6f81392cf5dcf</x:v>
      </x:c>
      <x:c r="I10" s="24" t="str"/>
      <x:c r="J10" s="24" t="str">
        <x:v>Fixed layout + dynamic displays</x:v>
      </x:c>
      <x:c r="K10" s="24" t="str">
        <x:v>Customer browsing and displays</x:v>
      </x:c>
      <x:c r="L10" s="24" t="n">
        <x:v>16</x:v>
      </x:c>
      <x:c r="M10" s="24" t="str">
        <x:v>VS-SCN-002;VS-SCN-004</x:v>
      </x:c>
      <x:c r="N10" s="24" t="str">
        <x:v>SceneContext/anchors pending</x:v>
      </x:c>
      <x:c r="O10" s="24" t="str"/>
    </x:row>
    <x:row r="11" ht="34" customHeight="1">
      <x:c r="A11" s="24" t="str">
        <x:v>ZONE-CHECKOUT</x:v>
      </x:c>
      <x:c r="B11" s="24" t="str">
        <x:v>Checkout/queue</x:v>
      </x:c>
      <x:c r="C11" s="24" t="str">
        <x:v>Zone</x:v>
      </x:c>
      <x:c r="D11" s="24" t="str">
        <x:v>REQUIRED</x:v>
      </x:c>
      <x:c r="E11" s="24" t="str">
        <x:v>Authoring in progress</x:v>
      </x:c>
      <x:c r="F11" s="24" t="str">
        <x:v>Scene traversal/anchor review pending</x:v>
      </x:c>
      <x:c r="G11" s="24" t="str">
        <x:v>StoreInitial.unity</x:v>
      </x:c>
      <x:c r="H11" s="24" t="str">
        <x:v>32a95e5e16aaf15449a6f81392cf5dcf</x:v>
      </x:c>
      <x:c r="I11" s="24" t="str"/>
      <x:c r="J11" s="24" t="str">
        <x:v>Fixed anchor + checkout furniture</x:v>
      </x:c>
      <x:c r="K11" s="24" t="str">
        <x:v>Queue and checkout</x:v>
      </x:c>
      <x:c r="L11" s="24" t="n">
        <x:v>16</x:v>
      </x:c>
      <x:c r="M11" s="24" t="str">
        <x:v>VS-SCN-002;VS-SCN-004</x:v>
      </x:c>
      <x:c r="N11" s="24" t="str">
        <x:v>SceneContext/anchors pending</x:v>
      </x:c>
      <x:c r="O11" s="24" t="str"/>
    </x:row>
    <x:row r="12" ht="34" customHeight="1">
      <x:c r="A12" s="24" t="str">
        <x:v>ZONE-RECEIVING</x:v>
      </x:c>
      <x:c r="B12" s="24" t="str">
        <x:v>Receiving</x:v>
      </x:c>
      <x:c r="C12" s="24" t="str">
        <x:v>Zone</x:v>
      </x:c>
      <x:c r="D12" s="24" t="str">
        <x:v>REQUIRED</x:v>
      </x:c>
      <x:c r="E12" s="24" t="str">
        <x:v>Authoring in progress</x:v>
      </x:c>
      <x:c r="F12" s="24" t="str">
        <x:v>Scene traversal/anchor review pending</x:v>
      </x:c>
      <x:c r="G12" s="24" t="str">
        <x:v>StoreInitial.unity</x:v>
      </x:c>
      <x:c r="H12" s="24" t="str">
        <x:v>32a95e5e16aaf15449a6f81392cf5dcf</x:v>
      </x:c>
      <x:c r="I12" s="24" t="str"/>
      <x:c r="J12" s="24" t="str">
        <x:v>Fixed receiving zone</x:v>
      </x:c>
      <x:c r="K12" s="24" t="str">
        <x:v>Order delivery</x:v>
      </x:c>
      <x:c r="L12" s="24" t="n">
        <x:v>16</x:v>
      </x:c>
      <x:c r="M12" s="24" t="str">
        <x:v>VS-SCN-002;VS-SCN-004</x:v>
      </x:c>
      <x:c r="N12" s="24" t="str">
        <x:v>SceneContext/anchors pending</x:v>
      </x:c>
      <x:c r="O12" s="24" t="str"/>
    </x:row>
    <x:row r="13" ht="34" customHeight="1">
      <x:c r="A13" s="24" t="str">
        <x:v>ZONE-BACKROOM</x:v>
      </x:c>
      <x:c r="B13" s="24" t="str">
        <x:v>Backroom/storage</x:v>
      </x:c>
      <x:c r="C13" s="24" t="str">
        <x:v>Zone</x:v>
      </x:c>
      <x:c r="D13" s="24" t="str">
        <x:v>REQUIRED</x:v>
      </x:c>
      <x:c r="E13" s="24" t="str">
        <x:v>Authoring in progress</x:v>
      </x:c>
      <x:c r="F13" s="24" t="str">
        <x:v>Scene traversal/anchor review pending</x:v>
      </x:c>
      <x:c r="G13" s="24" t="str">
        <x:v>StoreInitial.unity</x:v>
      </x:c>
      <x:c r="H13" s="24" t="str">
        <x:v>32a95e5e16aaf15449a6f81392cf5dcf</x:v>
      </x:c>
      <x:c r="I13" s="24" t="str"/>
      <x:c r="J13" s="24" t="str">
        <x:v>Fixed partition + storage</x:v>
      </x:c>
      <x:c r="K13" s="24" t="str">
        <x:v>Inventory storage</x:v>
      </x:c>
      <x:c r="L13" s="24" t="n">
        <x:v>16</x:v>
      </x:c>
      <x:c r="M13" s="24" t="str">
        <x:v>VS-SCN-002;VS-SCN-004</x:v>
      </x:c>
      <x:c r="N13" s="24" t="str">
        <x:v>SceneContext/anchors pending</x:v>
      </x:c>
      <x:c r="O13" s="24" t="str"/>
    </x:row>
    <x:row r="14" ht="34" customHeight="1">
      <x:c r="A14" s="24" t="str">
        <x:v>ZONE-ENTRANCE</x:v>
      </x:c>
      <x:c r="B14" s="24" t="str">
        <x:v>Entrance/automatic door</x:v>
      </x:c>
      <x:c r="C14" s="24" t="str">
        <x:v>Zone</x:v>
      </x:c>
      <x:c r="D14" s="24" t="str">
        <x:v>REQUIRED</x:v>
      </x:c>
      <x:c r="E14" s="24" t="str">
        <x:v>Authoring in progress</x:v>
      </x:c>
      <x:c r="F14" s="24" t="str">
        <x:v>Scene traversal/anchor review pending</x:v>
      </x:c>
      <x:c r="G14" s="24" t="str">
        <x:v>StoreInitial.unity</x:v>
      </x:c>
      <x:c r="H14" s="24" t="str">
        <x:v>32a95e5e16aaf15449a6f81392cf5dcf</x:v>
      </x:c>
      <x:c r="I14" s="24" t="str"/>
      <x:c r="J14" s="24" t="str">
        <x:v>Fixed architecture</x:v>
      </x:c>
      <x:c r="K14" s="24" t="str">
        <x:v>Customer ingress/egress</x:v>
      </x:c>
      <x:c r="L14" s="24" t="n">
        <x:v>16</x:v>
      </x:c>
      <x:c r="M14" s="24" t="str">
        <x:v>VS-SCN-002;VS-SCN-004</x:v>
      </x:c>
      <x:c r="N14" s="24" t="str">
        <x:v>SceneContext/anchors pending</x:v>
      </x:c>
      <x:c r="O14" s="24" t="str"/>
    </x:row>
    <x:row r="15" ht="34" customHeight="1">
      <x:c r="A15" s="24" t="str">
        <x:v>ZONE-STAFF</x:v>
      </x:c>
      <x:c r="B15" s="24" t="str">
        <x:v>Staff/navigation anchors</x:v>
      </x:c>
      <x:c r="C15" s="24" t="str">
        <x:v>Zone</x:v>
      </x:c>
      <x:c r="D15" s="24" t="str">
        <x:v>REQUIRED</x:v>
      </x:c>
      <x:c r="E15" s="24" t="str">
        <x:v>Authoring in progress</x:v>
      </x:c>
      <x:c r="F15" s="24" t="str">
        <x:v>Scene traversal/anchor review pending</x:v>
      </x:c>
      <x:c r="G15" s="24" t="str">
        <x:v>StoreInitial.unity</x:v>
      </x:c>
      <x:c r="H15" s="24" t="str">
        <x:v>32a95e5e16aaf15449a6f81392cf5dcf</x:v>
      </x:c>
      <x:c r="I15" s="24" t="str"/>
      <x:c r="J15" s="24" t="str">
        <x:v>Explicit scene references</x:v>
      </x:c>
      <x:c r="K15" s="24" t="str">
        <x:v>Runtime registration</x:v>
      </x:c>
      <x:c r="L15" s="24" t="n">
        <x:v>16</x:v>
      </x:c>
      <x:c r="M15" s="24" t="str">
        <x:v>VS-SCN-002;VS-SCN-004</x:v>
      </x:c>
      <x:c r="N15" s="24" t="str">
        <x:v>SceneContext/anchors pending</x:v>
      </x:c>
      <x:c r="O15" s="24" t="str"/>
    </x:row>
  </x:sheetData>
  <x:mergeCells>
    <x:mergeCell ref="A1:O1"/>
    <x:mergeCell ref="A2:O2"/>
  </x:mergeCells>
  <x:conditionalFormatting sqref="D5:D15">
    <x:cfRule type="expression" dxfId="128" priority="1">
      <x:formula>OR(ISNUMBER(SEARCH("PASS",D5)),ISNUMBER(SEARCH("CANONICAL",D5)),ISNUMBER(SEARCH("DONE",D5)))</x:formula>
    </x:cfRule>
    <x:cfRule type="expression" dxfId="129" priority="2">
      <x:formula>OR(ISNUMBER(SEARCH("BLOCK",D5)),ISNUMBER(SEARCH("FAIL",D5)),ISNUMBER(SEARCH("S1",D5)))</x:formula>
    </x:cfRule>
    <x:cfRule type="expression" dxfId="130" priority="3">
      <x:formula>OR(ISNUMBER(SEARCH("PENDING",D5)),ISNUMBER(SEARCH("PLANNED",D5)),ISNUMBER(SEARCH("PARTIAL",D5)),ISNUMBER(SEARCH("PLACEHOLDER",D5)))</x:formula>
    </x:cfRule>
    <x:cfRule type="expression" dxfId="131" priority="4">
      <x:formula>OR(ISNUMBER(SEARCH("VISION",D5)),ISNUMBER(SEARCH("HISTORICAL",D5)))</x:formula>
    </x:cfRule>
  </x:conditionalFormatting>
  <x:conditionalFormatting sqref="F5:F15">
    <x:cfRule type="expression" dxfId="132" priority="5">
      <x:formula>OR(ISNUMBER(SEARCH("PASS",F5)),ISNUMBER(SEARCH("CANONICAL",F5)),ISNUMBER(SEARCH("DONE",F5)))</x:formula>
    </x:cfRule>
    <x:cfRule type="expression" dxfId="133" priority="6">
      <x:formula>OR(ISNUMBER(SEARCH("BLOCK",F5)),ISNUMBER(SEARCH("FAIL",F5)),ISNUMBER(SEARCH("S1",F5)))</x:formula>
    </x:cfRule>
    <x:cfRule type="expression" dxfId="134" priority="7">
      <x:formula>OR(ISNUMBER(SEARCH("PENDING",F5)),ISNUMBER(SEARCH("PLANNED",F5)),ISNUMBER(SEARCH("PARTIAL",F5)),ISNUMBER(SEARCH("PLACEHOLDER",F5)))</x:formula>
    </x:cfRule>
    <x:cfRule type="expression" dxfId="135" priority="8">
      <x:formula>OR(ISNUMBER(SEARCH("VISION",F5)),ISNUMBER(SEARCH("HISTORICAL",F5)))</x:formula>
    </x:cfRule>
  </x:conditionalFormatting>
  <x:conditionalFormatting sqref="E5:E15">
    <x:cfRule type="expression" dxfId="136" priority="9">
      <x:formula>OR(ISNUMBER(SEARCH("PASS",E5)),ISNUMBER(SEARCH("CANONICAL",E5)),ISNUMBER(SEARCH("DONE",E5)))</x:formula>
    </x:cfRule>
    <x:cfRule type="expression" dxfId="137" priority="10">
      <x:formula>OR(ISNUMBER(SEARCH("BLOCK",E5)),ISNUMBER(SEARCH("FAIL",E5)),ISNUMBER(SEARCH("S1",E5)))</x:formula>
    </x:cfRule>
    <x:cfRule type="expression" dxfId="138" priority="11">
      <x:formula>OR(ISNUMBER(SEARCH("PENDING",E5)),ISNUMBER(SEARCH("PLANNED",E5)),ISNUMBER(SEARCH("PARTIAL",E5)),ISNUMBER(SEARCH("PLACEHOLDER",E5)))</x:formula>
    </x:cfRule>
    <x:cfRule type="expression" dxfId="139" priority="12">
      <x:formula>OR(ISNUMBER(SEARCH("VISION",E5)),ISNUMBER(SEARCH("HISTORICAL",E5)))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224ee56384487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30" hidden="0" customWidth="1"/>
    <x:col min="11" max="11" width="24" hidden="0" customWidth="1"/>
    <x:col min="12" max="12" width="55" hidden="0" customWidth="1"/>
    <x:col min="13" max="13" width="14" hidden="0" customWidth="1"/>
    <x:col min="14" max="14" width="28" hidden="0" customWidth="1"/>
    <x:col min="15" max="15" width="32" hidden="0" customWidth="1"/>
    <x:col min="16" max="16" width="55" hidden="0" customWidth="1"/>
  </x:cols>
  <x:sheetData>
    <x:row r="1" ht="30" customHeight="1">
      <x:c r="A1" s="4" t="str">
        <x:v>Economía y balance de contenido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10" t="str">
        <x:v>Precios, costes, márgenes, capacidades y autoridad de datos.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6" customHeight="1">
      <x:c r="A4" s="17" t="str">
        <x:v>Record ID</x:v>
      </x:c>
      <x:c r="B4" s="17" t="str">
        <x:v>Tipo</x:v>
      </x:c>
      <x:c r="C4" s="17" t="str">
        <x:v>Entity ID</x:v>
      </x:c>
      <x:c r="D4" s="17" t="str">
        <x:v>Nombre</x:v>
      </x:c>
      <x:c r="E4" s="17" t="str">
        <x:v>Coste €</x:v>
      </x:c>
      <x:c r="F4" s="17" t="str">
        <x:v>Precio €</x:v>
      </x:c>
      <x:c r="G4" s="17" t="str">
        <x:v>Margen €</x:v>
      </x:c>
      <x:c r="H4" s="17" t="str">
        <x:v>Margen %</x:v>
      </x:c>
      <x:c r="I4" s="17" t="str">
        <x:v>Caja/Capacidad</x:v>
      </x:c>
      <x:c r="J4" s="17" t="str">
        <x:v>Proveedor</x:v>
      </x:c>
      <x:c r="K4" s="17" t="str">
        <x:v>Estado</x:v>
      </x:c>
      <x:c r="L4" s="17" t="str">
        <x:v>Autoridad</x:v>
      </x:c>
      <x:c r="M4" s="17" t="str">
        <x:v>Sprint</x:v>
      </x:c>
      <x:c r="N4" s="17" t="str">
        <x:v>Requisito</x:v>
      </x:c>
      <x:c r="O4" s="17" t="str">
        <x:v>Tuning</x:v>
      </x:c>
      <x:c r="P4" s="17" t="str">
        <x:v>Notas</x:v>
      </x:c>
    </x:row>
    <x:row r="5" ht="34" customHeight="1">
      <x:c r="A5" s="24" t="str">
        <x:v>ECO-game-neon-drift</x:v>
      </x:c>
      <x:c r="B5" s="24" t="str">
        <x:v>Canonical product</x:v>
      </x:c>
      <x:c r="C5" s="24" t="str">
        <x:v>game-neon-drift</x:v>
      </x:c>
      <x:c r="D5" s="24" t="str">
        <x:v>Neon Drift</x:v>
      </x:c>
      <x:c r="E5" s="32" t="n">
        <x:v>15</x:v>
      </x:c>
      <x:c r="F5" s="32" t="n">
        <x:v>29.99</x:v>
      </x:c>
      <x:c r="G5" s="32" t="n">
        <x:v>14.99</x:v>
      </x:c>
      <x:c r="H5" s="34" t="n">
        <x:v>0.49983327775925307</x:v>
      </x:c>
      <x:c r="I5" s="24" t="n">
        <x:v>12</x:v>
      </x:c>
      <x:c r="J5" s="24" t="str">
        <x:v>Phase1 direct/operations</x:v>
      </x:c>
      <x:c r="K5" s="24" t="str">
        <x:v>Runtime representative</x:v>
      </x:c>
      <x:c r="L5" s="24" t="str">
        <x:v>ContentCatalog.asset</x:v>
      </x:c>
      <x:c r="M5" s="24" t="n">
        <x:v>16</x:v>
      </x:c>
      <x:c r="N5" s="24" t="str">
        <x:v>VS-ECO-001;VS-ECO-002</x:v>
      </x:c>
      <x:c r="O5" s="24" t="str">
        <x:v>Pending 7-day campaign</x:v>
      </x:c>
      <x:c r="P5" s="24" t="str"/>
    </x:row>
    <x:row r="6" ht="34" customHeight="1">
      <x:c r="A6" s="24" t="str">
        <x:v>ECO-case-cloud-runner</x:v>
      </x:c>
      <x:c r="B6" s="24" t="str">
        <x:v>Canonical product</x:v>
      </x:c>
      <x:c r="C6" s="24" t="str">
        <x:v>case-cloud-runner</x:v>
      </x:c>
      <x:c r="D6" s="24" t="str">
        <x:v>Cloud Runner Case</x:v>
      </x:c>
      <x:c r="E6" s="32" t="n">
        <x:v>8</x:v>
      </x:c>
      <x:c r="F6" s="32" t="n">
        <x:v>14.99</x:v>
      </x:c>
      <x:c r="G6" s="32" t="n">
        <x:v>6.99</x:v>
      </x:c>
      <x:c r="H6" s="34" t="n">
        <x:v>0.46631087391594395</x:v>
      </x:c>
      <x:c r="I6" s="24" t="n">
        <x:v>16</x:v>
      </x:c>
      <x:c r="J6" s="24" t="str">
        <x:v>Phase1 direct/operations</x:v>
      </x:c>
      <x:c r="K6" s="24" t="str">
        <x:v>Runtime representative</x:v>
      </x:c>
      <x:c r="L6" s="24" t="str">
        <x:v>ContentCatalog.asset</x:v>
      </x:c>
      <x:c r="M6" s="24" t="n">
        <x:v>16</x:v>
      </x:c>
      <x:c r="N6" s="24" t="str">
        <x:v>VS-ECO-001;VS-ECO-002</x:v>
      </x:c>
      <x:c r="O6" s="24" t="str">
        <x:v>Pending 7-day campaign</x:v>
      </x:c>
      <x:c r="P6" s="24" t="str"/>
    </x:row>
    <x:row r="7" ht="34" customHeight="1">
      <x:c r="A7" s="24" t="str">
        <x:v>ECO-console-vertex-one</x:v>
      </x:c>
      <x:c r="B7" s="24" t="str">
        <x:v>Canonical product</x:v>
      </x:c>
      <x:c r="C7" s="24" t="str">
        <x:v>console-vertex-one</x:v>
      </x:c>
      <x:c r="D7" s="24" t="str">
        <x:v>Vertex One Console</x:v>
      </x:c>
      <x:c r="E7" s="32" t="n">
        <x:v>180</x:v>
      </x:c>
      <x:c r="F7" s="32" t="n">
        <x:v>249.99</x:v>
      </x:c>
      <x:c r="G7" s="32" t="n">
        <x:v>69.99</x:v>
      </x:c>
      <x:c r="H7" s="34" t="n">
        <x:v>0.2799711988479539</x:v>
      </x:c>
      <x:c r="I7" s="24" t="n">
        <x:v>2</x:v>
      </x:c>
      <x:c r="J7" s="24" t="str">
        <x:v>Phase1 direct/operations</x:v>
      </x:c>
      <x:c r="K7" s="24" t="str">
        <x:v>Runtime representative</x:v>
      </x:c>
      <x:c r="L7" s="24" t="str">
        <x:v>ContentCatalog.asset</x:v>
      </x:c>
      <x:c r="M7" s="24" t="n">
        <x:v>16</x:v>
      </x:c>
      <x:c r="N7" s="24" t="str">
        <x:v>VS-ECO-001;VS-ECO-002</x:v>
      </x:c>
      <x:c r="O7" s="24" t="str">
        <x:v>Pending 7-day campaign</x:v>
      </x:c>
      <x:c r="P7" s="24" t="str"/>
    </x:row>
    <x:row r="8" ht="34" customHeight="1">
      <x:c r="A8" s="24" t="str">
        <x:v>ECO-controller-orbit-pad</x:v>
      </x:c>
      <x:c r="B8" s="24" t="str">
        <x:v>Canonical product</x:v>
      </x:c>
      <x:c r="C8" s="24" t="str">
        <x:v>controller-orbit-pad</x:v>
      </x:c>
      <x:c r="D8" s="24" t="str">
        <x:v>Orbit Pad Controller</x:v>
      </x:c>
      <x:c r="E8" s="32" t="n">
        <x:v>30</x:v>
      </x:c>
      <x:c r="F8" s="32" t="n">
        <x:v>49.99</x:v>
      </x:c>
      <x:c r="G8" s="32" t="n">
        <x:v>19.99</x:v>
      </x:c>
      <x:c r="H8" s="34" t="n">
        <x:v>0.39987997599519903</x:v>
      </x:c>
      <x:c r="I8" s="24" t="n">
        <x:v>6</x:v>
      </x:c>
      <x:c r="J8" s="24" t="str">
        <x:v>Phase1 direct/operations</x:v>
      </x:c>
      <x:c r="K8" s="24" t="str">
        <x:v>Runtime representative</x:v>
      </x:c>
      <x:c r="L8" s="24" t="str">
        <x:v>ContentCatalog.asset</x:v>
      </x:c>
      <x:c r="M8" s="24" t="n">
        <x:v>16</x:v>
      </x:c>
      <x:c r="N8" s="24" t="str">
        <x:v>VS-ECO-001;VS-ECO-002</x:v>
      </x:c>
      <x:c r="O8" s="24" t="str">
        <x:v>Pending 7-day campaign</x:v>
      </x:c>
      <x:c r="P8" s="24" t="str"/>
    </x:row>
    <x:row r="9" ht="34" customHeight="1">
      <x:c r="A9" s="24" t="str">
        <x:v>ECO-headset-signal-pro</x:v>
      </x:c>
      <x:c r="B9" s="24" t="str">
        <x:v>Canonical product</x:v>
      </x:c>
      <x:c r="C9" s="24" t="str">
        <x:v>headset-signal-pro</x:v>
      </x:c>
      <x:c r="D9" s="24" t="str">
        <x:v>Signal Pro Headset</x:v>
      </x:c>
      <x:c r="E9" s="32" t="n">
        <x:v>45</x:v>
      </x:c>
      <x:c r="F9" s="32" t="n">
        <x:v>69.99</x:v>
      </x:c>
      <x:c r="G9" s="32" t="n">
        <x:v>24.99</x:v>
      </x:c>
      <x:c r="H9" s="34" t="n">
        <x:v>0.35705100728675526</x:v>
      </x:c>
      <x:c r="I9" s="24" t="n">
        <x:v>4</x:v>
      </x:c>
      <x:c r="J9" s="24" t="str">
        <x:v>Phase1 direct/operations</x:v>
      </x:c>
      <x:c r="K9" s="24" t="str">
        <x:v>Runtime representative</x:v>
      </x:c>
      <x:c r="L9" s="24" t="str">
        <x:v>ContentCatalog.asset</x:v>
      </x:c>
      <x:c r="M9" s="24" t="n">
        <x:v>16</x:v>
      </x:c>
      <x:c r="N9" s="24" t="str">
        <x:v>VS-ECO-001;VS-ECO-002</x:v>
      </x:c>
      <x:c r="O9" s="24" t="str">
        <x:v>Pending 7-day campaign</x:v>
      </x:c>
      <x:c r="P9" s="24" t="str"/>
    </x:row>
    <x:row r="10" ht="34" customHeight="1">
      <x:c r="A10" s="24" t="str">
        <x:v>ECO-accessory-memory-core</x:v>
      </x:c>
      <x:c r="B10" s="24" t="str">
        <x:v>Canonical product</x:v>
      </x:c>
      <x:c r="C10" s="24" t="str">
        <x:v>accessory-memory-core</x:v>
      </x:c>
      <x:c r="D10" s="24" t="str">
        <x:v>Memory Core Accessory</x:v>
      </x:c>
      <x:c r="E10" s="32" t="n">
        <x:v>9</x:v>
      </x:c>
      <x:c r="F10" s="32" t="n">
        <x:v>19.99</x:v>
      </x:c>
      <x:c r="G10" s="32" t="n">
        <x:v>10.99</x:v>
      </x:c>
      <x:c r="H10" s="34" t="n">
        <x:v>0.5497748874437218</x:v>
      </x:c>
      <x:c r="I10" s="24" t="n">
        <x:v>10</x:v>
      </x:c>
      <x:c r="J10" s="24" t="str">
        <x:v>Phase1 direct/operations</x:v>
      </x:c>
      <x:c r="K10" s="24" t="str">
        <x:v>Runtime representative</x:v>
      </x:c>
      <x:c r="L10" s="24" t="str">
        <x:v>ContentCatalog.asset</x:v>
      </x:c>
      <x:c r="M10" s="24" t="n">
        <x:v>16</x:v>
      </x:c>
      <x:c r="N10" s="24" t="str">
        <x:v>VS-ECO-001;VS-ECO-002</x:v>
      </x:c>
      <x:c r="O10" s="24" t="str">
        <x:v>Pending 7-day campaign</x:v>
      </x:c>
      <x:c r="P10" s="24" t="str"/>
    </x:row>
    <x:row r="11" ht="34" customHeight="1">
      <x:c r="A11" s="24" t="str">
        <x:v>ECO-checkout-counter</x:v>
      </x:c>
      <x:c r="B11" s="24" t="str">
        <x:v>Furniture</x:v>
      </x:c>
      <x:c r="C11" s="24" t="str">
        <x:v>checkout-counter</x:v>
      </x:c>
      <x:c r="D11" s="24" t="str">
        <x:v>Checkout Counter</x:v>
      </x:c>
      <x:c r="E11" s="32" t="n">
        <x:v>450</x:v>
      </x:c>
      <x:c r="F11" s="32"/>
      <x:c r="G11" s="32"/>
      <x:c r="H11" s="34"/>
      <x:c r="I11" s="24" t="n">
        <x:v>0</x:v>
      </x:c>
      <x:c r="J11" s="24" t="str">
        <x:v>Construction/catalog</x:v>
      </x:c>
      <x:c r="K11" s="24" t="str">
        <x:v>Runtime representative</x:v>
      </x:c>
      <x:c r="L11" s="24" t="str">
        <x:v>ContentCatalog.asset</x:v>
      </x:c>
      <x:c r="M11" s="24" t="n">
        <x:v>16</x:v>
      </x:c>
      <x:c r="N11" s="24" t="str">
        <x:v>VS-ECO-001;VS-BLD-001</x:v>
      </x:c>
      <x:c r="O11" s="24" t="str">
        <x:v>Pending circulation/capital review</x:v>
      </x:c>
      <x:c r="P11" s="24" t="str"/>
    </x:row>
    <x:row r="12" ht="34" customHeight="1">
      <x:c r="A12" s="24" t="str">
        <x:v>ECO-wall-shelf</x:v>
      </x:c>
      <x:c r="B12" s="24" t="str">
        <x:v>Furniture</x:v>
      </x:c>
      <x:c r="C12" s="24" t="str">
        <x:v>wall-shelf</x:v>
      </x:c>
      <x:c r="D12" s="24" t="str">
        <x:v>Wall Shelf</x:v>
      </x:c>
      <x:c r="E12" s="32" t="n">
        <x:v>180</x:v>
      </x:c>
      <x:c r="F12" s="32"/>
      <x:c r="G12" s="32"/>
      <x:c r="H12" s="34"/>
      <x:c r="I12" s="24" t="n">
        <x:v>24</x:v>
      </x:c>
      <x:c r="J12" s="24" t="str">
        <x:v>Construction/catalog</x:v>
      </x:c>
      <x:c r="K12" s="24" t="str">
        <x:v>Runtime representative</x:v>
      </x:c>
      <x:c r="L12" s="24" t="str">
        <x:v>ContentCatalog.asset</x:v>
      </x:c>
      <x:c r="M12" s="24" t="n">
        <x:v>16</x:v>
      </x:c>
      <x:c r="N12" s="24" t="str">
        <x:v>VS-ECO-001;VS-BLD-001</x:v>
      </x:c>
      <x:c r="O12" s="24" t="str">
        <x:v>Pending circulation/capital review</x:v>
      </x:c>
      <x:c r="P12" s="24" t="str"/>
    </x:row>
    <x:row r="13" ht="34" customHeight="1">
      <x:c r="A13" s="24" t="str">
        <x:v>ECO-central-shelf</x:v>
      </x:c>
      <x:c r="B13" s="24" t="str">
        <x:v>Furniture</x:v>
      </x:c>
      <x:c r="C13" s="24" t="str">
        <x:v>central-shelf</x:v>
      </x:c>
      <x:c r="D13" s="24" t="str">
        <x:v>Central Shelf</x:v>
      </x:c>
      <x:c r="E13" s="32" t="n">
        <x:v>260</x:v>
      </x:c>
      <x:c r="F13" s="32"/>
      <x:c r="G13" s="32"/>
      <x:c r="H13" s="34"/>
      <x:c r="I13" s="24" t="n">
        <x:v>32</x:v>
      </x:c>
      <x:c r="J13" s="24" t="str">
        <x:v>Construction/catalog</x:v>
      </x:c>
      <x:c r="K13" s="24" t="str">
        <x:v>Runtime representative</x:v>
      </x:c>
      <x:c r="L13" s="24" t="str">
        <x:v>ContentCatalog.asset</x:v>
      </x:c>
      <x:c r="M13" s="24" t="n">
        <x:v>16</x:v>
      </x:c>
      <x:c r="N13" s="24" t="str">
        <x:v>VS-ECO-001;VS-BLD-001</x:v>
      </x:c>
      <x:c r="O13" s="24" t="str">
        <x:v>Pending circulation/capital review</x:v>
      </x:c>
      <x:c r="P13" s="24" t="str"/>
    </x:row>
    <x:row r="14" ht="34" customHeight="1">
      <x:c r="A14" s="24" t="str">
        <x:v>ECO-low-display</x:v>
      </x:c>
      <x:c r="B14" s="24" t="str">
        <x:v>Furniture</x:v>
      </x:c>
      <x:c r="C14" s="24" t="str">
        <x:v>low-display</x:v>
      </x:c>
      <x:c r="D14" s="24" t="str">
        <x:v>Low Display</x:v>
      </x:c>
      <x:c r="E14" s="32" t="n">
        <x:v>160</x:v>
      </x:c>
      <x:c r="F14" s="32"/>
      <x:c r="G14" s="32"/>
      <x:c r="H14" s="34"/>
      <x:c r="I14" s="24" t="n">
        <x:v>12</x:v>
      </x:c>
      <x:c r="J14" s="24" t="str">
        <x:v>Construction/catalog</x:v>
      </x:c>
      <x:c r="K14" s="24" t="str">
        <x:v>Runtime representative</x:v>
      </x:c>
      <x:c r="L14" s="24" t="str">
        <x:v>ContentCatalog.asset</x:v>
      </x:c>
      <x:c r="M14" s="24" t="n">
        <x:v>16</x:v>
      </x:c>
      <x:c r="N14" s="24" t="str">
        <x:v>VS-ECO-001;VS-BLD-001</x:v>
      </x:c>
      <x:c r="O14" s="24" t="str">
        <x:v>Pending circulation/capital review</x:v>
      </x:c>
      <x:c r="P14" s="24" t="str"/>
    </x:row>
    <x:row r="15" ht="34" customHeight="1">
      <x:c r="A15" s="24" t="str">
        <x:v>ECO-featured-display</x:v>
      </x:c>
      <x:c r="B15" s="24" t="str">
        <x:v>Furniture</x:v>
      </x:c>
      <x:c r="C15" s="24" t="str">
        <x:v>featured-display</x:v>
      </x:c>
      <x:c r="D15" s="24" t="str">
        <x:v>Featured Display</x:v>
      </x:c>
      <x:c r="E15" s="32" t="n">
        <x:v>240</x:v>
      </x:c>
      <x:c r="F15" s="32"/>
      <x:c r="G15" s="32"/>
      <x:c r="H15" s="34"/>
      <x:c r="I15" s="24" t="n">
        <x:v>8</x:v>
      </x:c>
      <x:c r="J15" s="24" t="str">
        <x:v>Construction/catalog</x:v>
      </x:c>
      <x:c r="K15" s="24" t="str">
        <x:v>Runtime representative</x:v>
      </x:c>
      <x:c r="L15" s="24" t="str">
        <x:v>ContentCatalog.asset</x:v>
      </x:c>
      <x:c r="M15" s="24" t="n">
        <x:v>16</x:v>
      </x:c>
      <x:c r="N15" s="24" t="str">
        <x:v>VS-ECO-001;VS-BLD-001</x:v>
      </x:c>
      <x:c r="O15" s="24" t="str">
        <x:v>Pending circulation/capital review</x:v>
      </x:c>
      <x:c r="P15" s="24" t="str"/>
    </x:row>
    <x:row r="16" ht="34" customHeight="1">
      <x:c r="A16" s="24" t="str">
        <x:v>ECO-backroom-storage</x:v>
      </x:c>
      <x:c r="B16" s="24" t="str">
        <x:v>Furniture</x:v>
      </x:c>
      <x:c r="C16" s="24" t="str">
        <x:v>backroom-storage</x:v>
      </x:c>
      <x:c r="D16" s="24" t="str">
        <x:v>Backroom Storage</x:v>
      </x:c>
      <x:c r="E16" s="32" t="n">
        <x:v>220</x:v>
      </x:c>
      <x:c r="F16" s="32"/>
      <x:c r="G16" s="32"/>
      <x:c r="H16" s="34"/>
      <x:c r="I16" s="24" t="n">
        <x:v>80</x:v>
      </x:c>
      <x:c r="J16" s="24" t="str">
        <x:v>Construction/catalog</x:v>
      </x:c>
      <x:c r="K16" s="24" t="str">
        <x:v>Runtime representative</x:v>
      </x:c>
      <x:c r="L16" s="24" t="str">
        <x:v>ContentCatalog.asset</x:v>
      </x:c>
      <x:c r="M16" s="24" t="n">
        <x:v>16</x:v>
      </x:c>
      <x:c r="N16" s="24" t="str">
        <x:v>VS-ECO-001;VS-BLD-001</x:v>
      </x:c>
      <x:c r="O16" s="24" t="str">
        <x:v>Pending circulation/capital review</x:v>
      </x:c>
      <x:c r="P16" s="24" t="str"/>
    </x:row>
    <x:row r="17" ht="34" customHeight="1">
      <x:c r="A17" s="24" t="str">
        <x:v>ECO-receiving-crate</x:v>
      </x:c>
      <x:c r="B17" s="24" t="str">
        <x:v>Furniture</x:v>
      </x:c>
      <x:c r="C17" s="24" t="str">
        <x:v>receiving-crate</x:v>
      </x:c>
      <x:c r="D17" s="24" t="str">
        <x:v>Receiving Crate</x:v>
      </x:c>
      <x:c r="E17" s="32" t="n">
        <x:v>35</x:v>
      </x:c>
      <x:c r="F17" s="32"/>
      <x:c r="G17" s="32"/>
      <x:c r="H17" s="34"/>
      <x:c r="I17" s="24" t="n">
        <x:v>24</x:v>
      </x:c>
      <x:c r="J17" s="24" t="str">
        <x:v>Construction/catalog</x:v>
      </x:c>
      <x:c r="K17" s="24" t="str">
        <x:v>Runtime representative</x:v>
      </x:c>
      <x:c r="L17" s="24" t="str">
        <x:v>ContentCatalog.asset</x:v>
      </x:c>
      <x:c r="M17" s="24" t="n">
        <x:v>16</x:v>
      </x:c>
      <x:c r="N17" s="24" t="str">
        <x:v>VS-ECO-001;VS-BLD-001</x:v>
      </x:c>
      <x:c r="O17" s="24" t="str">
        <x:v>Pending circulation/capital review</x:v>
      </x:c>
      <x:c r="P17" s="24" t="str"/>
    </x:row>
    <x:row r="18" ht="34" customHeight="1">
      <x:c r="A18" s="24" t="str">
        <x:v>ECO-decoration-plant</x:v>
      </x:c>
      <x:c r="B18" s="24" t="str">
        <x:v>Furniture</x:v>
      </x:c>
      <x:c r="C18" s="24" t="str">
        <x:v>decoration-plant</x:v>
      </x:c>
      <x:c r="D18" s="24" t="str">
        <x:v>Decorative Plant</x:v>
      </x:c>
      <x:c r="E18" s="32" t="n">
        <x:v>25</x:v>
      </x:c>
      <x:c r="F18" s="32"/>
      <x:c r="G18" s="32"/>
      <x:c r="H18" s="34"/>
      <x:c r="I18" s="24" t="n">
        <x:v>0</x:v>
      </x:c>
      <x:c r="J18" s="24" t="str">
        <x:v>Construction/catalog</x:v>
      </x:c>
      <x:c r="K18" s="24" t="str">
        <x:v>Runtime representative</x:v>
      </x:c>
      <x:c r="L18" s="24" t="str">
        <x:v>ContentCatalog.asset</x:v>
      </x:c>
      <x:c r="M18" s="24" t="n">
        <x:v>16</x:v>
      </x:c>
      <x:c r="N18" s="24" t="str">
        <x:v>VS-ECO-001;VS-BLD-001</x:v>
      </x:c>
      <x:c r="O18" s="24" t="str">
        <x:v>Pending circulation/capital review</x:v>
      </x:c>
      <x:c r="P18" s="24" t="str"/>
    </x:row>
    <x:row r="19" ht="34" customHeight="1">
      <x:c r="A19" s="24" t="str">
        <x:v>ECO-OFFER-001</x:v>
      </x:c>
      <x:c r="B19" s="24" t="str">
        <x:v>Technical supplier offer</x:v>
      </x:c>
      <x:c r="C19" s="24" t="str">
        <x:v>cartridge-cloud-racers</x:v>
      </x:c>
      <x:c r="D19" s="24" t="str">
        <x:v>cartridge-cloud-racers</x:v>
      </x:c>
      <x:c r="E19" s="32" t="n">
        <x:v>12.99</x:v>
      </x:c>
      <x:c r="F19" s="32" t="n">
        <x:v>27.99</x:v>
      </x:c>
      <x:c r="G19" s="32" t="n">
        <x:v>15</x:v>
      </x:c>
      <x:c r="H19" s="34" t="n">
        <x:v>0.5359056806002144</x:v>
      </x:c>
      <x:c r="I19" s="24" t="n">
        <x:v>6</x:v>
      </x:c>
      <x:c r="J19" s="24" t="str">
        <x:v>supplier-nebula-distribution</x:v>
      </x:c>
      <x:c r="K19" s="24" t="str">
        <x:v>Technical active</x:v>
      </x:c>
      <x:c r="L19" s="24" t="str">
        <x:v>Assets/_Project/Data/Suppliers/Technical/CC_SupplierCatalog_NebulaDistribution.asset</x:v>
      </x:c>
      <x:c r="M19" s="24" t="n">
        <x:v>7</x:v>
      </x:c>
      <x:c r="N19" s="24" t="str">
        <x:v>VS-ORD-001;VS-ECO-001</x:v>
      </x:c>
      <x:c r="O19" s="24" t="str">
        <x:v>min boxes 1; max 12</x:v>
      </x:c>
      <x:c r="P19" s="24" t="str">
        <x:v>Separate economy layer.</x:v>
      </x:c>
    </x:row>
    <x:row r="20" ht="34" customHeight="1">
      <x:c r="A20" s="24" t="str">
        <x:v>ECO-OFFER-002</x:v>
      </x:c>
      <x:c r="B20" s="24" t="str">
        <x:v>Technical supplier offer</x:v>
      </x:c>
      <x:c r="C20" s="24" t="str">
        <x:v>cartridge-pixel-quest</x:v>
      </x:c>
      <x:c r="D20" s="24" t="str">
        <x:v>cartridge-pixel-quest</x:v>
      </x:c>
      <x:c r="E20" s="32" t="n">
        <x:v>11.99</x:v>
      </x:c>
      <x:c r="F20" s="32" t="n">
        <x:v>29.99</x:v>
      </x:c>
      <x:c r="G20" s="32" t="n">
        <x:v>18</x:v>
      </x:c>
      <x:c r="H20" s="34" t="n">
        <x:v>0.6002000666888962</x:v>
      </x:c>
      <x:c r="I20" s="24" t="n">
        <x:v>6</x:v>
      </x:c>
      <x:c r="J20" s="24" t="str">
        <x:v>supplier-nebula-distribution</x:v>
      </x:c>
      <x:c r="K20" s="24" t="str">
        <x:v>Technical active</x:v>
      </x:c>
      <x:c r="L20" s="24" t="str">
        <x:v>Assets/_Project/Data/Suppliers/Technical/CC_SupplierCatalog_NebulaDistribution.asset</x:v>
      </x:c>
      <x:c r="M20" s="24" t="n">
        <x:v>7</x:v>
      </x:c>
      <x:c r="N20" s="24" t="str">
        <x:v>VS-ORD-001;VS-ECO-001</x:v>
      </x:c>
      <x:c r="O20" s="24" t="str">
        <x:v>min boxes 1; max 12</x:v>
      </x:c>
      <x:c r="P20" s="24" t="str">
        <x:v>Separate economy layer.</x:v>
      </x:c>
    </x:row>
    <x:row r="21" ht="34" customHeight="1">
      <x:c r="A21" s="24" t="str">
        <x:v>ECO-OFFER-003</x:v>
      </x:c>
      <x:c r="B21" s="24" t="str">
        <x:v>Technical supplier offer</x:v>
      </x:c>
      <x:c r="C21" s="24" t="str">
        <x:v>console-nebula-8</x:v>
      </x:c>
      <x:c r="D21" s="24" t="str">
        <x:v>console-nebula-8</x:v>
      </x:c>
      <x:c r="E21" s="32" t="n">
        <x:v>79.99</x:v>
      </x:c>
      <x:c r="F21" s="32" t="n">
        <x:v>89.99</x:v>
      </x:c>
      <x:c r="G21" s="32" t="n">
        <x:v>10</x:v>
      </x:c>
      <x:c r="H21" s="34" t="n">
        <x:v>0.111123458162018</x:v>
      </x:c>
      <x:c r="I21" s="24" t="n">
        <x:v>2</x:v>
      </x:c>
      <x:c r="J21" s="24" t="str">
        <x:v>supplier-nebula-distribution</x:v>
      </x:c>
      <x:c r="K21" s="24" t="str">
        <x:v>Technical active</x:v>
      </x:c>
      <x:c r="L21" s="24" t="str">
        <x:v>Assets/_Project/Data/Suppliers/Technical/CC_SupplierCatalog_NebulaDistribution.asset</x:v>
      </x:c>
      <x:c r="M21" s="24" t="n">
        <x:v>7</x:v>
      </x:c>
      <x:c r="N21" s="24" t="str">
        <x:v>VS-ORD-001;VS-ECO-001</x:v>
      </x:c>
      <x:c r="O21" s="24" t="str">
        <x:v>min boxes 1; max 5</x:v>
      </x:c>
      <x:c r="P21" s="24" t="str">
        <x:v>Separate economy layer.</x:v>
      </x:c>
    </x:row>
    <x:row r="22" ht="34" customHeight="1">
      <x:c r="A22" s="24" t="str">
        <x:v>ECO-OFFER-004</x:v>
      </x:c>
      <x:c r="B22" s="24" t="str">
        <x:v>Technical supplier offer</x:v>
      </x:c>
      <x:c r="C22" s="24" t="str">
        <x:v>controller-orbit-pad</x:v>
      </x:c>
      <x:c r="D22" s="24" t="str">
        <x:v>controller-orbit-pad</x:v>
      </x:c>
      <x:c r="E22" s="32" t="n">
        <x:v>23.99</x:v>
      </x:c>
      <x:c r="F22" s="32" t="n">
        <x:v>34.99</x:v>
      </x:c>
      <x:c r="G22" s="32" t="n">
        <x:v>11</x:v>
      </x:c>
      <x:c r="H22" s="34" t="n">
        <x:v>0.3143755358673907</x:v>
      </x:c>
      <x:c r="I22" s="24" t="n">
        <x:v>4</x:v>
      </x:c>
      <x:c r="J22" s="24" t="str">
        <x:v>supplier-nebula-distribution</x:v>
      </x:c>
      <x:c r="K22" s="24" t="str">
        <x:v>Technical active</x:v>
      </x:c>
      <x:c r="L22" s="24" t="str">
        <x:v>Assets/_Project/Data/Suppliers/Technical/CC_SupplierCatalog_NebulaDistribution.asset</x:v>
      </x:c>
      <x:c r="M22" s="24" t="n">
        <x:v>7</x:v>
      </x:c>
      <x:c r="N22" s="24" t="str">
        <x:v>VS-ORD-001;VS-ECO-001</x:v>
      </x:c>
      <x:c r="O22" s="24" t="str">
        <x:v>min boxes 1; max 8</x:v>
      </x:c>
      <x:c r="P22" s="24" t="str">
        <x:v>Separate economy layer.</x:v>
      </x:c>
    </x:row>
    <x:row r="23" ht="34" customHeight="1">
      <x:c r="A23" s="24" t="str">
        <x:v>ECO-OFFER-005</x:v>
      </x:c>
      <x:c r="B23" s="24" t="str">
        <x:v>Technical supplier offer</x:v>
      </x:c>
      <x:c r="C23" s="24" t="str">
        <x:v>memory-card-64</x:v>
      </x:c>
      <x:c r="D23" s="24" t="str">
        <x:v>memory-card-64</x:v>
      </x:c>
      <x:c r="E23" s="32" t="n">
        <x:v>8.99</x:v>
      </x:c>
      <x:c r="F23" s="32" t="n">
        <x:v>24.99</x:v>
      </x:c>
      <x:c r="G23" s="32" t="n">
        <x:v>16</x:v>
      </x:c>
      <x:c r="H23" s="34" t="n">
        <x:v>0.6402561024409764</x:v>
      </x:c>
      <x:c r="I23" s="24" t="n">
        <x:v>8</x:v>
      </x:c>
      <x:c r="J23" s="24" t="str">
        <x:v>supplier-nebula-distribution</x:v>
      </x:c>
      <x:c r="K23" s="24" t="str">
        <x:v>Technical active</x:v>
      </x:c>
      <x:c r="L23" s="24" t="str">
        <x:v>Assets/_Project/Data/Suppliers/Technical/CC_SupplierCatalog_NebulaDistribution.asset</x:v>
      </x:c>
      <x:c r="M23" s="24" t="n">
        <x:v>7</x:v>
      </x:c>
      <x:c r="N23" s="24" t="str">
        <x:v>VS-ORD-001;VS-ECO-001</x:v>
      </x:c>
      <x:c r="O23" s="24" t="str">
        <x:v>min boxes 1; max 10</x:v>
      </x:c>
      <x:c r="P23" s="24" t="str">
        <x:v>Separate economy layer.</x:v>
      </x:c>
    </x:row>
    <x:row r="24" ht="34" customHeight="1">
      <x:c r="A24" s="24" t="str">
        <x:v>ECO-OFFER-006</x:v>
      </x:c>
      <x:c r="B24" s="24" t="str">
        <x:v>Technical supplier offer</x:v>
      </x:c>
      <x:c r="C24" s="24" t="str">
        <x:v>cartridge-cloud-racers</x:v>
      </x:c>
      <x:c r="D24" s="24" t="str">
        <x:v>cartridge-cloud-racers</x:v>
      </x:c>
      <x:c r="E24" s="32" t="n">
        <x:v>13.49</x:v>
      </x:c>
      <x:c r="F24" s="32" t="n">
        <x:v>27.99</x:v>
      </x:c>
      <x:c r="G24" s="32" t="n">
        <x:v>14.5</x:v>
      </x:c>
      <x:c r="H24" s="34" t="n">
        <x:v>0.5180421579135406</x:v>
      </x:c>
      <x:c r="I24" s="24" t="n">
        <x:v>4</x:v>
      </x:c>
      <x:c r="J24" s="24" t="str">
        <x:v>supplier-pixel-parcel</x:v>
      </x:c>
      <x:c r="K24" s="24" t="str">
        <x:v>Technical active</x:v>
      </x:c>
      <x:c r="L24" s="24" t="str">
        <x:v>Assets/_Project/Data/Suppliers/Technical/CC_SupplierCatalog_PixelParcel.asset</x:v>
      </x:c>
      <x:c r="M24" s="24" t="n">
        <x:v>7</x:v>
      </x:c>
      <x:c r="N24" s="24" t="str">
        <x:v>VS-ORD-001;VS-ECO-001</x:v>
      </x:c>
      <x:c r="O24" s="24" t="str">
        <x:v>min boxes 1; max 10</x:v>
      </x:c>
      <x:c r="P24" s="24" t="str">
        <x:v>Separate economy layer.</x:v>
      </x:c>
    </x:row>
    <x:row r="25" ht="34" customHeight="1">
      <x:c r="A25" s="24" t="str">
        <x:v>ECO-OFFER-007</x:v>
      </x:c>
      <x:c r="B25" s="24" t="str">
        <x:v>Technical supplier offer</x:v>
      </x:c>
      <x:c r="C25" s="24" t="str">
        <x:v>cartridge-pixel-quest</x:v>
      </x:c>
      <x:c r="D25" s="24" t="str">
        <x:v>cartridge-pixel-quest</x:v>
      </x:c>
      <x:c r="E25" s="32" t="n">
        <x:v>10.99</x:v>
      </x:c>
      <x:c r="F25" s="32" t="n">
        <x:v>29.99</x:v>
      </x:c>
      <x:c r="G25" s="32" t="n">
        <x:v>19</x:v>
      </x:c>
      <x:c r="H25" s="34" t="n">
        <x:v>0.6335445148382794</x:v>
      </x:c>
      <x:c r="I25" s="24" t="n">
        <x:v>4</x:v>
      </x:c>
      <x:c r="J25" s="24" t="str">
        <x:v>supplier-pixel-parcel</x:v>
      </x:c>
      <x:c r="K25" s="24" t="str">
        <x:v>Technical active</x:v>
      </x:c>
      <x:c r="L25" s="24" t="str">
        <x:v>Assets/_Project/Data/Suppliers/Technical/CC_SupplierCatalog_PixelParcel.asset</x:v>
      </x:c>
      <x:c r="M25" s="24" t="n">
        <x:v>7</x:v>
      </x:c>
      <x:c r="N25" s="24" t="str">
        <x:v>VS-ORD-001;VS-ECO-001</x:v>
      </x:c>
      <x:c r="O25" s="24" t="str">
        <x:v>min boxes 1; max 10</x:v>
      </x:c>
      <x:c r="P25" s="24" t="str">
        <x:v>Separate economy layer.</x:v>
      </x:c>
    </x:row>
    <x:row r="26" ht="34" customHeight="1">
      <x:c r="A26" s="24" t="str">
        <x:v>ECO-OFFER-008</x:v>
      </x:c>
      <x:c r="B26" s="24" t="str">
        <x:v>Technical supplier offer</x:v>
      </x:c>
      <x:c r="C26" s="24" t="str">
        <x:v>collectible-cloud-hero</x:v>
      </x:c>
      <x:c r="D26" s="24" t="str">
        <x:v>collectible-cloud-hero</x:v>
      </x:c>
      <x:c r="E26" s="32" t="n">
        <x:v>15.99</x:v>
      </x:c>
      <x:c r="F26" s="32" t="n">
        <x:v>19.99</x:v>
      </x:c>
      <x:c r="G26" s="32" t="n">
        <x:v>4</x:v>
      </x:c>
      <x:c r="H26" s="34" t="n">
        <x:v>0.2001000500250125</x:v>
      </x:c>
      <x:c r="I26" s="24" t="n">
        <x:v>3</x:v>
      </x:c>
      <x:c r="J26" s="24" t="str">
        <x:v>supplier-pixel-parcel</x:v>
      </x:c>
      <x:c r="K26" s="24" t="str">
        <x:v>Technical active</x:v>
      </x:c>
      <x:c r="L26" s="24" t="str">
        <x:v>Assets/_Project/Data/Suppliers/Technical/CC_SupplierCatalog_PixelParcel.asset</x:v>
      </x:c>
      <x:c r="M26" s="24" t="n">
        <x:v>7</x:v>
      </x:c>
      <x:c r="N26" s="24" t="str">
        <x:v>VS-ORD-001;VS-ECO-001</x:v>
      </x:c>
      <x:c r="O26" s="24" t="str">
        <x:v>min boxes 1; max 8</x:v>
      </x:c>
      <x:c r="P26" s="24" t="str">
        <x:v>Separate economy layer.</x:v>
      </x:c>
    </x:row>
  </x:sheetData>
  <x:mergeCells>
    <x:mergeCell ref="A1:P1"/>
    <x:mergeCell ref="A2:P2"/>
  </x:mergeCells>
  <x:conditionalFormatting sqref="K5:K26">
    <x:cfRule type="expression" dxfId="140" priority="1">
      <x:formula>OR(ISNUMBER(SEARCH("PASS",K5)),ISNUMBER(SEARCH("CANONICAL",K5)),ISNUMBER(SEARCH("DONE",K5)))</x:formula>
    </x:cfRule>
    <x:cfRule type="expression" dxfId="141" priority="2">
      <x:formula>OR(ISNUMBER(SEARCH("BLOCK",K5)),ISNUMBER(SEARCH("FAIL",K5)),ISNUMBER(SEARCH("S1",K5)))</x:formula>
    </x:cfRule>
    <x:cfRule type="expression" dxfId="142" priority="3">
      <x:formula>OR(ISNUMBER(SEARCH("PENDING",K5)),ISNUMBER(SEARCH("PLANNED",K5)),ISNUMBER(SEARCH("PARTIAL",K5)),ISNUMBER(SEARCH("PLACEHOLDER",K5)))</x:formula>
    </x:cfRule>
    <x:cfRule type="expression" dxfId="143" priority="4">
      <x:formula>OR(ISNUMBER(SEARCH("VISION",K5)),ISNUMBER(SEARCH("HISTORICAL",K5)))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31d0753458418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30" hidden="0" customWidth="1"/>
    <x:col min="5" max="5" width="30" hidden="0" customWidth="1"/>
    <x:col min="6" max="6" width="32" hidden="0" customWidth="1"/>
    <x:col min="7" max="7" width="40" hidden="0" customWidth="1"/>
    <x:col min="8" max="8" width="24" hidden="0" customWidth="1"/>
    <x:col min="9" max="9" width="24" hidden="0" customWidth="1"/>
    <x:col min="10" max="10" width="22" hidden="0" customWidth="1"/>
    <x:col min="11" max="11" width="18" hidden="0" customWidth="1"/>
    <x:col min="12" max="12" width="14" hidden="0" customWidth="1"/>
    <x:col min="13" max="13" width="24" hidden="0" customWidth="1"/>
    <x:col min="14" max="14" width="30" hidden="0" customWidth="1"/>
    <x:col min="15" max="15" width="36" hidden="0" customWidth="1"/>
    <x:col min="16" max="16" width="55" hidden="0" customWidth="1"/>
  </x:cols>
  <x:sheetData>
    <x:row r="1" ht="30" customHeight="1">
      <x:c r="A1" s="4" t="str">
        <x:v>Localización y claves de texto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Claves técnicas, strings propuestas y estado de tablas ES/EN.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 ht="36" customHeight="1">
      <x:c r="A4" s="17" t="str">
        <x:v>String ID</x:v>
      </x:c>
      <x:c r="B4" s="17" t="str">
        <x:v>Key</x:v>
      </x:c>
      <x:c r="C4" s="17" t="str">
        <x:v>Tipo</x:v>
      </x:c>
      <x:c r="D4" s="17" t="str">
        <x:v>ES</x:v>
      </x:c>
      <x:c r="E4" s="17" t="str">
        <x:v>EN</x:v>
      </x:c>
      <x:c r="F4" s="17" t="str">
        <x:v>Estado</x:v>
      </x:c>
      <x:c r="G4" s="17" t="str">
        <x:v>Fuente</x:v>
      </x:c>
      <x:c r="H4" s="17" t="str">
        <x:v>Runtime</x:v>
      </x:c>
      <x:c r="I4" s="17" t="str">
        <x:v>Fallback</x:v>
      </x:c>
      <x:c r="J4" s="17" t="str">
        <x:v>Plural/Formato</x:v>
      </x:c>
      <x:c r="K4" s="17" t="str">
        <x:v>Longitud/Wrap</x:v>
      </x:c>
      <x:c r="L4" s="17" t="str">
        <x:v>Owner</x:v>
      </x:c>
      <x:c r="M4" s="17" t="str">
        <x:v>Sprint</x:v>
      </x:c>
      <x:c r="N4" s="17" t="str">
        <x:v>Requisito</x:v>
      </x:c>
      <x:c r="O4" s="17" t="str">
        <x:v>Test</x:v>
      </x:c>
      <x:c r="P4" s="17" t="str">
        <x:v>Deuda</x:v>
      </x:c>
      <x:c r="Q4" s="17" t="str">
        <x:v>Notas</x:v>
      </x:c>
    </x:row>
    <x:row r="5" ht="34" customHeight="1">
      <x:c r="A5" s="24" t="str">
        <x:v>LOC-001</x:v>
      </x:c>
      <x:c r="B5" s="24" t="str">
        <x:v>customer.casual_browser.name</x:v>
      </x:c>
      <x:c r="C5" s="24" t="str">
        <x:v>Customer profile name</x:v>
      </x:c>
      <x:c r="D5" s="24" t="str"/>
      <x:c r="E5" s="24" t="str"/>
      <x:c r="F5" s="24" t="str">
        <x:v>KEY EXISTS / TABLE MISSING</x:v>
      </x:c>
      <x:c r="G5" s="24" t="str">
        <x:v>Assets/_Project/Data/Customers/Technical/CC_CustomerProfile_CasualBrowser.asset</x:v>
      </x:c>
      <x:c r="H5" s="24" t="str">
        <x:v>Hardcoded/technical key</x:v>
      </x:c>
      <x:c r="I5" s="24" t="str">
        <x:v>English/current literal</x:v>
      </x:c>
      <x:c r="J5" s="24" t="str">
        <x:v>Review</x:v>
      </x:c>
      <x:c r="K5" s="24" t="str">
        <x:v>Review</x:v>
      </x:c>
      <x:c r="L5" s="24" t="str">
        <x:v>VRM Games</x:v>
      </x:c>
      <x:c r="M5" s="24" t="n">
        <x:v>17</x:v>
      </x:c>
      <x:c r="N5" s="24" t="str">
        <x:v>VS-UI-002;UX-LOC</x:v>
      </x:c>
      <x:c r="O5" s="24" t="str">
        <x:v>Localization/layout campaign</x:v>
      </x:c>
      <x:c r="P5" s="24" t="str">
        <x:v>String tables ES/EN missing</x:v>
      </x:c>
      <x:c r="Q5" s="24" t="str"/>
    </x:row>
    <x:row r="6" ht="34" customHeight="1">
      <x:c r="A6" s="24" t="str">
        <x:v>LOC-002</x:v>
      </x:c>
      <x:c r="B6" s="24" t="str">
        <x:v>customer.collector.name</x:v>
      </x:c>
      <x:c r="C6" s="24" t="str">
        <x:v>Customer profile name</x:v>
      </x:c>
      <x:c r="D6" s="24" t="str"/>
      <x:c r="E6" s="24" t="str"/>
      <x:c r="F6" s="24" t="str">
        <x:v>KEY EXISTS / TABLE MISSING</x:v>
      </x:c>
      <x:c r="G6" s="24" t="str">
        <x:v>Assets/_Project/Data/Customers/Technical/CC_CustomerProfile_Collector.asset</x:v>
      </x:c>
      <x:c r="H6" s="24" t="str">
        <x:v>Hardcoded/technical key</x:v>
      </x:c>
      <x:c r="I6" s="24" t="str">
        <x:v>English/current literal</x:v>
      </x:c>
      <x:c r="J6" s="24" t="str">
        <x:v>Review</x:v>
      </x:c>
      <x:c r="K6" s="24" t="str">
        <x:v>Review</x:v>
      </x:c>
      <x:c r="L6" s="24" t="str">
        <x:v>VRM Games</x:v>
      </x:c>
      <x:c r="M6" s="24" t="n">
        <x:v>17</x:v>
      </x:c>
      <x:c r="N6" s="24" t="str">
        <x:v>VS-UI-002;UX-LOC</x:v>
      </x:c>
      <x:c r="O6" s="24" t="str">
        <x:v>Localization/layout campaign</x:v>
      </x:c>
      <x:c r="P6" s="24" t="str">
        <x:v>String tables ES/EN missing</x:v>
      </x:c>
      <x:c r="Q6" s="24" t="str"/>
    </x:row>
    <x:row r="7" ht="34" customHeight="1">
      <x:c r="A7" s="24" t="str">
        <x:v>LOC-003</x:v>
      </x:c>
      <x:c r="B7" s="24" t="str">
        <x:v>customer.focused_buyer.name</x:v>
      </x:c>
      <x:c r="C7" s="24" t="str">
        <x:v>Customer profile name</x:v>
      </x:c>
      <x:c r="D7" s="24" t="str"/>
      <x:c r="E7" s="24" t="str"/>
      <x:c r="F7" s="24" t="str">
        <x:v>KEY EXISTS / TABLE MISSING</x:v>
      </x:c>
      <x:c r="G7" s="24" t="str">
        <x:v>Assets/_Project/Data/Customers/Technical/CC_CustomerProfile_FocusedBuyer.asset</x:v>
      </x:c>
      <x:c r="H7" s="24" t="str">
        <x:v>Hardcoded/technical key</x:v>
      </x:c>
      <x:c r="I7" s="24" t="str">
        <x:v>English/current literal</x:v>
      </x:c>
      <x:c r="J7" s="24" t="str">
        <x:v>Review</x:v>
      </x:c>
      <x:c r="K7" s="24" t="str">
        <x:v>Review</x:v>
      </x:c>
      <x:c r="L7" s="24" t="str">
        <x:v>VRM Games</x:v>
      </x:c>
      <x:c r="M7" s="24" t="n">
        <x:v>17</x:v>
      </x:c>
      <x:c r="N7" s="24" t="str">
        <x:v>VS-UI-002;UX-LOC</x:v>
      </x:c>
      <x:c r="O7" s="24" t="str">
        <x:v>Localization/layout campaign</x:v>
      </x:c>
      <x:c r="P7" s="24" t="str">
        <x:v>String tables ES/EN missing</x:v>
      </x:c>
      <x:c r="Q7" s="24" t="str"/>
    </x:row>
    <x:row r="8" ht="34" customHeight="1">
      <x:c r="A8" s="24" t="str">
        <x:v>LOC-004</x:v>
      </x:c>
      <x:c r="B8" s="24" t="str">
        <x:v>customer.impatient_visitor.name</x:v>
      </x:c>
      <x:c r="C8" s="24" t="str">
        <x:v>Customer profile name</x:v>
      </x:c>
      <x:c r="D8" s="24" t="str"/>
      <x:c r="E8" s="24" t="str"/>
      <x:c r="F8" s="24" t="str">
        <x:v>KEY EXISTS / TABLE MISSING</x:v>
      </x:c>
      <x:c r="G8" s="24" t="str">
        <x:v>Assets/_Project/Data/Customers/Technical/CC_CustomerProfile_ImpatientVisitor.asset</x:v>
      </x:c>
      <x:c r="H8" s="24" t="str">
        <x:v>Hardcoded/technical key</x:v>
      </x:c>
      <x:c r="I8" s="24" t="str">
        <x:v>English/current literal</x:v>
      </x:c>
      <x:c r="J8" s="24" t="str">
        <x:v>Review</x:v>
      </x:c>
      <x:c r="K8" s="24" t="str">
        <x:v>Review</x:v>
      </x:c>
      <x:c r="L8" s="24" t="str">
        <x:v>VRM Games</x:v>
      </x:c>
      <x:c r="M8" s="24" t="n">
        <x:v>17</x:v>
      </x:c>
      <x:c r="N8" s="24" t="str">
        <x:v>VS-UI-002;UX-LOC</x:v>
      </x:c>
      <x:c r="O8" s="24" t="str">
        <x:v>Localization/layout campaign</x:v>
      </x:c>
      <x:c r="P8" s="24" t="str">
        <x:v>String tables ES/EN missing</x:v>
      </x:c>
      <x:c r="Q8" s="24" t="str"/>
    </x:row>
    <x:row r="9" ht="34" customHeight="1">
      <x:c r="A9" s="24" t="str">
        <x:v>LOC-005</x:v>
      </x:c>
      <x:c r="B9" s="24" t="str">
        <x:v>products.cartridge_cloud_racers.name</x:v>
      </x:c>
      <x:c r="C9" s="24" t="str">
        <x:v>Product name</x:v>
      </x:c>
      <x:c r="D9" s="24" t="str"/>
      <x:c r="E9" s="24" t="str"/>
      <x:c r="F9" s="24" t="str">
        <x:v>KEY EXISTS / TABLE MISSING</x:v>
      </x:c>
      <x:c r="G9" s="24" t="str">
        <x:v>Assets/_Project/Data/Products/Technical/CC_Product_CloudRacers.asset</x:v>
      </x:c>
      <x:c r="H9" s="24" t="str">
        <x:v>Hardcoded/technical key</x:v>
      </x:c>
      <x:c r="I9" s="24" t="str">
        <x:v>English/current literal</x:v>
      </x:c>
      <x:c r="J9" s="24" t="str">
        <x:v>Review</x:v>
      </x:c>
      <x:c r="K9" s="24" t="str">
        <x:v>Review</x:v>
      </x:c>
      <x:c r="L9" s="24" t="str">
        <x:v>VRM Games</x:v>
      </x:c>
      <x:c r="M9" s="24" t="n">
        <x:v>17</x:v>
      </x:c>
      <x:c r="N9" s="24" t="str">
        <x:v>VS-UI-002;UX-LOC</x:v>
      </x:c>
      <x:c r="O9" s="24" t="str">
        <x:v>Localization/layout campaign</x:v>
      </x:c>
      <x:c r="P9" s="24" t="str">
        <x:v>String tables ES/EN missing</x:v>
      </x:c>
      <x:c r="Q9" s="24" t="str"/>
    </x:row>
    <x:row r="10" ht="34" customHeight="1">
      <x:c r="A10" s="24" t="str">
        <x:v>LOC-006</x:v>
      </x:c>
      <x:c r="B10" s="24" t="str">
        <x:v>products.cartridge_pixel_quest.name</x:v>
      </x:c>
      <x:c r="C10" s="24" t="str">
        <x:v>Product name</x:v>
      </x:c>
      <x:c r="D10" s="24" t="str"/>
      <x:c r="E10" s="24" t="str"/>
      <x:c r="F10" s="24" t="str">
        <x:v>KEY EXISTS / TABLE MISSING</x:v>
      </x:c>
      <x:c r="G10" s="24" t="str">
        <x:v>Assets/_Project/Data/Products/Technical/CC_Product_PixelQuest.asset</x:v>
      </x:c>
      <x:c r="H10" s="24" t="str">
        <x:v>Hardcoded/technical key</x:v>
      </x:c>
      <x:c r="I10" s="24" t="str">
        <x:v>English/current literal</x:v>
      </x:c>
      <x:c r="J10" s="24" t="str">
        <x:v>Review</x:v>
      </x:c>
      <x:c r="K10" s="24" t="str">
        <x:v>Review</x:v>
      </x:c>
      <x:c r="L10" s="24" t="str">
        <x:v>VRM Games</x:v>
      </x:c>
      <x:c r="M10" s="24" t="n">
        <x:v>17</x:v>
      </x:c>
      <x:c r="N10" s="24" t="str">
        <x:v>VS-UI-002;UX-LOC</x:v>
      </x:c>
      <x:c r="O10" s="24" t="str">
        <x:v>Localization/layout campaign</x:v>
      </x:c>
      <x:c r="P10" s="24" t="str">
        <x:v>String tables ES/EN missing</x:v>
      </x:c>
      <x:c r="Q10" s="24" t="str"/>
    </x:row>
    <x:row r="11" ht="34" customHeight="1">
      <x:c r="A11" s="24" t="str">
        <x:v>LOC-007</x:v>
      </x:c>
      <x:c r="B11" s="24" t="str">
        <x:v>products.collectible_cloud_hero.name</x:v>
      </x:c>
      <x:c r="C11" s="24" t="str">
        <x:v>Product name</x:v>
      </x:c>
      <x:c r="D11" s="24" t="str"/>
      <x:c r="E11" s="24" t="str"/>
      <x:c r="F11" s="24" t="str">
        <x:v>KEY EXISTS / TABLE MISSING</x:v>
      </x:c>
      <x:c r="G11" s="24" t="str">
        <x:v>Assets/_Project/Data/Products/Technical/CC_Product_CloudHero.asset</x:v>
      </x:c>
      <x:c r="H11" s="24" t="str">
        <x:v>Hardcoded/technical key</x:v>
      </x:c>
      <x:c r="I11" s="24" t="str">
        <x:v>English/current literal</x:v>
      </x:c>
      <x:c r="J11" s="24" t="str">
        <x:v>Review</x:v>
      </x:c>
      <x:c r="K11" s="24" t="str">
        <x:v>Review</x:v>
      </x:c>
      <x:c r="L11" s="24" t="str">
        <x:v>VRM Games</x:v>
      </x:c>
      <x:c r="M11" s="24" t="n">
        <x:v>17</x:v>
      </x:c>
      <x:c r="N11" s="24" t="str">
        <x:v>VS-UI-002;UX-LOC</x:v>
      </x:c>
      <x:c r="O11" s="24" t="str">
        <x:v>Localization/layout campaign</x:v>
      </x:c>
      <x:c r="P11" s="24" t="str">
        <x:v>String tables ES/EN missing</x:v>
      </x:c>
      <x:c r="Q11" s="24" t="str"/>
    </x:row>
    <x:row r="12" ht="34" customHeight="1">
      <x:c r="A12" s="24" t="str">
        <x:v>LOC-008</x:v>
      </x:c>
      <x:c r="B12" s="24" t="str">
        <x:v>products.console_nebula_8.name</x:v>
      </x:c>
      <x:c r="C12" s="24" t="str">
        <x:v>Product name</x:v>
      </x:c>
      <x:c r="D12" s="24" t="str"/>
      <x:c r="E12" s="24" t="str"/>
      <x:c r="F12" s="24" t="str">
        <x:v>KEY EXISTS / TABLE MISSING</x:v>
      </x:c>
      <x:c r="G12" s="24" t="str">
        <x:v>Assets/_Project/Data/Products/Technical/CC_Product_Nebula8.asset</x:v>
      </x:c>
      <x:c r="H12" s="24" t="str">
        <x:v>Hardcoded/technical key</x:v>
      </x:c>
      <x:c r="I12" s="24" t="str">
        <x:v>English/current literal</x:v>
      </x:c>
      <x:c r="J12" s="24" t="str">
        <x:v>Review</x:v>
      </x:c>
      <x:c r="K12" s="24" t="str">
        <x:v>Review</x:v>
      </x:c>
      <x:c r="L12" s="24" t="str">
        <x:v>VRM Games</x:v>
      </x:c>
      <x:c r="M12" s="24" t="n">
        <x:v>17</x:v>
      </x:c>
      <x:c r="N12" s="24" t="str">
        <x:v>VS-UI-002;UX-LOC</x:v>
      </x:c>
      <x:c r="O12" s="24" t="str">
        <x:v>Localization/layout campaign</x:v>
      </x:c>
      <x:c r="P12" s="24" t="str">
        <x:v>String tables ES/EN missing</x:v>
      </x:c>
      <x:c r="Q12" s="24" t="str"/>
    </x:row>
    <x:row r="13" ht="34" customHeight="1">
      <x:c r="A13" s="24" t="str">
        <x:v>LOC-009</x:v>
      </x:c>
      <x:c r="B13" s="24" t="str">
        <x:v>products.controller_orbit_pad.name</x:v>
      </x:c>
      <x:c r="C13" s="24" t="str">
        <x:v>Product name</x:v>
      </x:c>
      <x:c r="D13" s="24" t="str"/>
      <x:c r="E13" s="24" t="str"/>
      <x:c r="F13" s="24" t="str">
        <x:v>KEY EXISTS / TABLE MISSING</x:v>
      </x:c>
      <x:c r="G13" s="24" t="str">
        <x:v>Assets/_Project/Data/Products/Technical/CC_Product_OrbitPad.asset</x:v>
      </x:c>
      <x:c r="H13" s="24" t="str">
        <x:v>Hardcoded/technical key</x:v>
      </x:c>
      <x:c r="I13" s="24" t="str">
        <x:v>English/current literal</x:v>
      </x:c>
      <x:c r="J13" s="24" t="str">
        <x:v>Review</x:v>
      </x:c>
      <x:c r="K13" s="24" t="str">
        <x:v>Review</x:v>
      </x:c>
      <x:c r="L13" s="24" t="str">
        <x:v>VRM Games</x:v>
      </x:c>
      <x:c r="M13" s="24" t="n">
        <x:v>17</x:v>
      </x:c>
      <x:c r="N13" s="24" t="str">
        <x:v>VS-UI-002;UX-LOC</x:v>
      </x:c>
      <x:c r="O13" s="24" t="str">
        <x:v>Localization/layout campaign</x:v>
      </x:c>
      <x:c r="P13" s="24" t="str">
        <x:v>String tables ES/EN missing</x:v>
      </x:c>
      <x:c r="Q13" s="24" t="str"/>
    </x:row>
    <x:row r="14" ht="34" customHeight="1">
      <x:c r="A14" s="24" t="str">
        <x:v>LOC-010</x:v>
      </x:c>
      <x:c r="B14" s="24" t="str">
        <x:v>products.memory_card_64.name</x:v>
      </x:c>
      <x:c r="C14" s="24" t="str">
        <x:v>Product name</x:v>
      </x:c>
      <x:c r="D14" s="24" t="str"/>
      <x:c r="E14" s="24" t="str"/>
      <x:c r="F14" s="24" t="str">
        <x:v>KEY EXISTS / TABLE MISSING</x:v>
      </x:c>
      <x:c r="G14" s="24" t="str">
        <x:v>Assets/_Project/Data/Products/Technical/CC_Product_MemoryCard64.asset</x:v>
      </x:c>
      <x:c r="H14" s="24" t="str">
        <x:v>Hardcoded/technical key</x:v>
      </x:c>
      <x:c r="I14" s="24" t="str">
        <x:v>English/current literal</x:v>
      </x:c>
      <x:c r="J14" s="24" t="str">
        <x:v>Review</x:v>
      </x:c>
      <x:c r="K14" s="24" t="str">
        <x:v>Review</x:v>
      </x:c>
      <x:c r="L14" s="24" t="str">
        <x:v>VRM Games</x:v>
      </x:c>
      <x:c r="M14" s="24" t="n">
        <x:v>17</x:v>
      </x:c>
      <x:c r="N14" s="24" t="str">
        <x:v>VS-UI-002;UX-LOC</x:v>
      </x:c>
      <x:c r="O14" s="24" t="str">
        <x:v>Localization/layout campaign</x:v>
      </x:c>
      <x:c r="P14" s="24" t="str">
        <x:v>String tables ES/EN missing</x:v>
      </x:c>
      <x:c r="Q14" s="24" t="str"/>
    </x:row>
    <x:row r="15" ht="34" customHeight="1">
      <x:c r="A15" s="24" t="str">
        <x:v>LOC-011</x:v>
      </x:c>
      <x:c r="B15" s="24" t="str">
        <x:v>suppliers.nebula_distribution.name</x:v>
      </x:c>
      <x:c r="C15" s="24" t="str">
        <x:v>Supplier name</x:v>
      </x:c>
      <x:c r="D15" s="24" t="str"/>
      <x:c r="E15" s="24" t="str"/>
      <x:c r="F15" s="24" t="str">
        <x:v>KEY EXISTS / TABLE MISSING</x:v>
      </x:c>
      <x:c r="G15" s="24" t="str">
        <x:v>Assets/_Project/Data/Suppliers/Technical/CC_Supplier_NebulaDistribution.asset</x:v>
      </x:c>
      <x:c r="H15" s="24" t="str">
        <x:v>Hardcoded/technical key</x:v>
      </x:c>
      <x:c r="I15" s="24" t="str">
        <x:v>English/current literal</x:v>
      </x:c>
      <x:c r="J15" s="24" t="str">
        <x:v>Review</x:v>
      </x:c>
      <x:c r="K15" s="24" t="str">
        <x:v>Review</x:v>
      </x:c>
      <x:c r="L15" s="24" t="str">
        <x:v>VRM Games</x:v>
      </x:c>
      <x:c r="M15" s="24" t="n">
        <x:v>17</x:v>
      </x:c>
      <x:c r="N15" s="24" t="str">
        <x:v>VS-UI-002;UX-LOC</x:v>
      </x:c>
      <x:c r="O15" s="24" t="str">
        <x:v>Localization/layout campaign</x:v>
      </x:c>
      <x:c r="P15" s="24" t="str">
        <x:v>String tables ES/EN missing</x:v>
      </x:c>
      <x:c r="Q15" s="24" t="str"/>
    </x:row>
    <x:row r="16" ht="34" customHeight="1">
      <x:c r="A16" s="24" t="str">
        <x:v>LOC-012</x:v>
      </x:c>
      <x:c r="B16" s="24" t="str">
        <x:v>suppliers.pixel_parcel.name</x:v>
      </x:c>
      <x:c r="C16" s="24" t="str">
        <x:v>Supplier name</x:v>
      </x:c>
      <x:c r="D16" s="24" t="str"/>
      <x:c r="E16" s="24" t="str"/>
      <x:c r="F16" s="24" t="str">
        <x:v>KEY EXISTS / TABLE MISSING</x:v>
      </x:c>
      <x:c r="G16" s="24" t="str">
        <x:v>Assets/_Project/Data/Suppliers/Technical/CC_Supplier_PixelParcel.asset</x:v>
      </x:c>
      <x:c r="H16" s="24" t="str">
        <x:v>Hardcoded/technical key</x:v>
      </x:c>
      <x:c r="I16" s="24" t="str">
        <x:v>English/current literal</x:v>
      </x:c>
      <x:c r="J16" s="24" t="str">
        <x:v>Review</x:v>
      </x:c>
      <x:c r="K16" s="24" t="str">
        <x:v>Review</x:v>
      </x:c>
      <x:c r="L16" s="24" t="str">
        <x:v>VRM Games</x:v>
      </x:c>
      <x:c r="M16" s="24" t="n">
        <x:v>17</x:v>
      </x:c>
      <x:c r="N16" s="24" t="str">
        <x:v>VS-UI-002;UX-LOC</x:v>
      </x:c>
      <x:c r="O16" s="24" t="str">
        <x:v>Localization/layout campaign</x:v>
      </x:c>
      <x:c r="P16" s="24" t="str">
        <x:v>String tables ES/EN missing</x:v>
      </x:c>
      <x:c r="Q16" s="24" t="str"/>
    </x:row>
    <x:row r="17" ht="34" customHeight="1">
      <x:c r="A17" s="24" t="str">
        <x:v>LOC-013</x:v>
      </x:c>
      <x:c r="B17" s="24" t="str">
        <x:v>ui.feedback.autosave_failed</x:v>
      </x:c>
      <x:c r="C17" s="24" t="str">
        <x:v>Feedback</x:v>
      </x:c>
      <x:c r="D17" s="24" t="str"/>
      <x:c r="E17" s="24" t="str"/>
      <x:c r="F17" s="24" t="str">
        <x:v>PROPOSED</x:v>
      </x:c>
      <x:c r="G17" s="24" t="str">
        <x:v>Phase1FeedbackPresenter</x:v>
      </x:c>
      <x:c r="H17" s="24" t="str">
        <x:v>Hardcoded/technical key</x:v>
      </x:c>
      <x:c r="I17" s="24" t="str">
        <x:v>English/current literal</x:v>
      </x:c>
      <x:c r="J17" s="24" t="str">
        <x:v>Review</x:v>
      </x:c>
      <x:c r="K17" s="24" t="str">
        <x:v>Review</x:v>
      </x:c>
      <x:c r="L17" s="24" t="str">
        <x:v>VRM Games</x:v>
      </x:c>
      <x:c r="M17" s="24" t="n">
        <x:v>17</x:v>
      </x:c>
      <x:c r="N17" s="24" t="str">
        <x:v>VS-UI-002;UX-LOC</x:v>
      </x:c>
      <x:c r="O17" s="24" t="str">
        <x:v>Localization/layout campaign</x:v>
      </x:c>
      <x:c r="P17" s="24" t="str">
        <x:v>String tables ES/EN missing</x:v>
      </x:c>
      <x:c r="Q17" s="24" t="str"/>
    </x:row>
    <x:row r="18" ht="34" customHeight="1">
      <x:c r="A18" s="24" t="str">
        <x:v>LOC-014</x:v>
      </x:c>
      <x:c r="B18" s="24" t="str">
        <x:v>ui.feedback.checkout_complete</x:v>
      </x:c>
      <x:c r="C18" s="24" t="str">
        <x:v>Feedback</x:v>
      </x:c>
      <x:c r="D18" s="24" t="str"/>
      <x:c r="E18" s="24" t="str"/>
      <x:c r="F18" s="24" t="str">
        <x:v>PROPOSED</x:v>
      </x:c>
      <x:c r="G18" s="24" t="str">
        <x:v>Phase1FeedbackPresenter</x:v>
      </x:c>
      <x:c r="H18" s="24" t="str">
        <x:v>Hardcoded/technical key</x:v>
      </x:c>
      <x:c r="I18" s="24" t="str">
        <x:v>English/current literal</x:v>
      </x:c>
      <x:c r="J18" s="24" t="str">
        <x:v>Review</x:v>
      </x:c>
      <x:c r="K18" s="24" t="str">
        <x:v>Review</x:v>
      </x:c>
      <x:c r="L18" s="24" t="str">
        <x:v>VRM Games</x:v>
      </x:c>
      <x:c r="M18" s="24" t="n">
        <x:v>17</x:v>
      </x:c>
      <x:c r="N18" s="24" t="str">
        <x:v>VS-UI-002;UX-LOC</x:v>
      </x:c>
      <x:c r="O18" s="24" t="str">
        <x:v>Localization/layout campaign</x:v>
      </x:c>
      <x:c r="P18" s="24" t="str">
        <x:v>String tables ES/EN missing</x:v>
      </x:c>
      <x:c r="Q18" s="24" t="str"/>
    </x:row>
    <x:row r="19" ht="34" customHeight="1">
      <x:c r="A19" s="24" t="str">
        <x:v>LOC-015</x:v>
      </x:c>
      <x:c r="B19" s="24" t="str">
        <x:v>ui.main_menu.load_game</x:v>
      </x:c>
      <x:c r="C19" s="24" t="str">
        <x:v>UI</x:v>
      </x:c>
      <x:c r="D19" s="24" t="str"/>
      <x:c r="E19" s="24" t="str"/>
      <x:c r="F19" s="24" t="str">
        <x:v>PROPOSED</x:v>
      </x:c>
      <x:c r="G19" s="24" t="str">
        <x:v>Sprint15 runtime hardcoded</x:v>
      </x:c>
      <x:c r="H19" s="24" t="str">
        <x:v>Hardcoded/technical key</x:v>
      </x:c>
      <x:c r="I19" s="24" t="str">
        <x:v>English/current literal</x:v>
      </x:c>
      <x:c r="J19" s="24" t="str">
        <x:v>Review</x:v>
      </x:c>
      <x:c r="K19" s="24" t="str">
        <x:v>Review</x:v>
      </x:c>
      <x:c r="L19" s="24" t="str">
        <x:v>VRM Games</x:v>
      </x:c>
      <x:c r="M19" s="24" t="n">
        <x:v>17</x:v>
      </x:c>
      <x:c r="N19" s="24" t="str">
        <x:v>VS-UI-002;UX-LOC</x:v>
      </x:c>
      <x:c r="O19" s="24" t="str">
        <x:v>Localization/layout campaign</x:v>
      </x:c>
      <x:c r="P19" s="24" t="str">
        <x:v>String tables ES/EN missing</x:v>
      </x:c>
      <x:c r="Q19" s="24" t="str"/>
    </x:row>
    <x:row r="20" ht="34" customHeight="1">
      <x:c r="A20" s="24" t="str">
        <x:v>LOC-016</x:v>
      </x:c>
      <x:c r="B20" s="24" t="str">
        <x:v>ui.main_menu.new_game</x:v>
      </x:c>
      <x:c r="C20" s="24" t="str">
        <x:v>UI</x:v>
      </x:c>
      <x:c r="D20" s="24" t="str"/>
      <x:c r="E20" s="24" t="str"/>
      <x:c r="F20" s="24" t="str">
        <x:v>PROPOSED</x:v>
      </x:c>
      <x:c r="G20" s="24" t="str">
        <x:v>Sprint15 runtime hardcoded</x:v>
      </x:c>
      <x:c r="H20" s="24" t="str">
        <x:v>Hardcoded/technical key</x:v>
      </x:c>
      <x:c r="I20" s="24" t="str">
        <x:v>English/current literal</x:v>
      </x:c>
      <x:c r="J20" s="24" t="str">
        <x:v>Review</x:v>
      </x:c>
      <x:c r="K20" s="24" t="str">
        <x:v>Review</x:v>
      </x:c>
      <x:c r="L20" s="24" t="str">
        <x:v>VRM Games</x:v>
      </x:c>
      <x:c r="M20" s="24" t="n">
        <x:v>17</x:v>
      </x:c>
      <x:c r="N20" s="24" t="str">
        <x:v>VS-UI-002;UX-LOC</x:v>
      </x:c>
      <x:c r="O20" s="24" t="str">
        <x:v>Localization/layout campaign</x:v>
      </x:c>
      <x:c r="P20" s="24" t="str">
        <x:v>String tables ES/EN missing</x:v>
      </x:c>
      <x:c r="Q20" s="24" t="str"/>
    </x:row>
    <x:row r="21" ht="34" customHeight="1">
      <x:c r="A21" s="24" t="str">
        <x:v>LOC-017</x:v>
      </x:c>
      <x:c r="B21" s="24" t="str">
        <x:v>ui.operations.customer</x:v>
      </x:c>
      <x:c r="C21" s="24" t="str">
        <x:v>UI tab</x:v>
      </x:c>
      <x:c r="D21" s="24" t="str"/>
      <x:c r="E21" s="24" t="str"/>
      <x:c r="F21" s="24" t="str">
        <x:v>PROPOSED</x:v>
      </x:c>
      <x:c r="G21" s="24" t="str">
        <x:v>Phase1OperationsScreen</x:v>
      </x:c>
      <x:c r="H21" s="24" t="str">
        <x:v>Hardcoded/technical key</x:v>
      </x:c>
      <x:c r="I21" s="24" t="str">
        <x:v>English/current literal</x:v>
      </x:c>
      <x:c r="J21" s="24" t="str">
        <x:v>Review</x:v>
      </x:c>
      <x:c r="K21" s="24" t="str">
        <x:v>Review</x:v>
      </x:c>
      <x:c r="L21" s="24" t="str">
        <x:v>VRM Games</x:v>
      </x:c>
      <x:c r="M21" s="24" t="n">
        <x:v>17</x:v>
      </x:c>
      <x:c r="N21" s="24" t="str">
        <x:v>VS-UI-002;UX-LOC</x:v>
      </x:c>
      <x:c r="O21" s="24" t="str">
        <x:v>Localization/layout campaign</x:v>
      </x:c>
      <x:c r="P21" s="24" t="str">
        <x:v>String tables ES/EN missing</x:v>
      </x:c>
      <x:c r="Q21" s="24" t="str"/>
    </x:row>
    <x:row r="22" ht="34" customHeight="1">
      <x:c r="A22" s="24" t="str">
        <x:v>LOC-018</x:v>
      </x:c>
      <x:c r="B22" s="24" t="str">
        <x:v>ui.operations.delivery</x:v>
      </x:c>
      <x:c r="C22" s="24" t="str">
        <x:v>UI tab</x:v>
      </x:c>
      <x:c r="D22" s="24" t="str"/>
      <x:c r="E22" s="24" t="str"/>
      <x:c r="F22" s="24" t="str">
        <x:v>PROPOSED</x:v>
      </x:c>
      <x:c r="G22" s="24" t="str">
        <x:v>Phase1OperationsScreen</x:v>
      </x:c>
      <x:c r="H22" s="24" t="str">
        <x:v>Hardcoded/technical key</x:v>
      </x:c>
      <x:c r="I22" s="24" t="str">
        <x:v>English/current literal</x:v>
      </x:c>
      <x:c r="J22" s="24" t="str">
        <x:v>Review</x:v>
      </x:c>
      <x:c r="K22" s="24" t="str">
        <x:v>Review</x:v>
      </x:c>
      <x:c r="L22" s="24" t="str">
        <x:v>VRM Games</x:v>
      </x:c>
      <x:c r="M22" s="24" t="n">
        <x:v>17</x:v>
      </x:c>
      <x:c r="N22" s="24" t="str">
        <x:v>VS-UI-002;UX-LOC</x:v>
      </x:c>
      <x:c r="O22" s="24" t="str">
        <x:v>Localization/layout campaign</x:v>
      </x:c>
      <x:c r="P22" s="24" t="str">
        <x:v>String tables ES/EN missing</x:v>
      </x:c>
      <x:c r="Q22" s="24" t="str"/>
    </x:row>
    <x:row r="23" ht="34" customHeight="1">
      <x:c r="A23" s="24" t="str">
        <x:v>LOC-019</x:v>
      </x:c>
      <x:c r="B23" s="24" t="str">
        <x:v>ui.operations.displays</x:v>
      </x:c>
      <x:c r="C23" s="24" t="str">
        <x:v>UI tab</x:v>
      </x:c>
      <x:c r="D23" s="24" t="str"/>
      <x:c r="E23" s="24" t="str"/>
      <x:c r="F23" s="24" t="str">
        <x:v>PROPOSED</x:v>
      </x:c>
      <x:c r="G23" s="24" t="str">
        <x:v>Phase1OperationsScreen</x:v>
      </x:c>
      <x:c r="H23" s="24" t="str">
        <x:v>Hardcoded/technical key</x:v>
      </x:c>
      <x:c r="I23" s="24" t="str">
        <x:v>English/current literal</x:v>
      </x:c>
      <x:c r="J23" s="24" t="str">
        <x:v>Review</x:v>
      </x:c>
      <x:c r="K23" s="24" t="str">
        <x:v>Review</x:v>
      </x:c>
      <x:c r="L23" s="24" t="str">
        <x:v>VRM Games</x:v>
      </x:c>
      <x:c r="M23" s="24" t="n">
        <x:v>17</x:v>
      </x:c>
      <x:c r="N23" s="24" t="str">
        <x:v>VS-UI-002;UX-LOC</x:v>
      </x:c>
      <x:c r="O23" s="24" t="str">
        <x:v>Localization/layout campaign</x:v>
      </x:c>
      <x:c r="P23" s="24" t="str">
        <x:v>String tables ES/EN missing</x:v>
      </x:c>
      <x:c r="Q23" s="24" t="str"/>
    </x:row>
    <x:row r="24" ht="34" customHeight="1">
      <x:c r="A24" s="24" t="str">
        <x:v>LOC-020</x:v>
      </x:c>
      <x:c r="B24" s="24" t="str">
        <x:v>ui.operations.guide</x:v>
      </x:c>
      <x:c r="C24" s="24" t="str">
        <x:v>UI tab</x:v>
      </x:c>
      <x:c r="D24" s="24" t="str"/>
      <x:c r="E24" s="24" t="str"/>
      <x:c r="F24" s="24" t="str">
        <x:v>PROPOSED</x:v>
      </x:c>
      <x:c r="G24" s="24" t="str">
        <x:v>Phase1OperationsScreen</x:v>
      </x:c>
      <x:c r="H24" s="24" t="str">
        <x:v>Hardcoded/technical key</x:v>
      </x:c>
      <x:c r="I24" s="24" t="str">
        <x:v>English/current literal</x:v>
      </x:c>
      <x:c r="J24" s="24" t="str">
        <x:v>Review</x:v>
      </x:c>
      <x:c r="K24" s="24" t="str">
        <x:v>Review</x:v>
      </x:c>
      <x:c r="L24" s="24" t="str">
        <x:v>VRM Games</x:v>
      </x:c>
      <x:c r="M24" s="24" t="n">
        <x:v>17</x:v>
      </x:c>
      <x:c r="N24" s="24" t="str">
        <x:v>VS-UI-002;UX-LOC</x:v>
      </x:c>
      <x:c r="O24" s="24" t="str">
        <x:v>Localization/layout campaign</x:v>
      </x:c>
      <x:c r="P24" s="24" t="str">
        <x:v>String tables ES/EN missing</x:v>
      </x:c>
      <x:c r="Q24" s="24" t="str"/>
    </x:row>
    <x:row r="25" ht="34" customHeight="1">
      <x:c r="A25" s="24" t="str">
        <x:v>LOC-021</x:v>
      </x:c>
      <x:c r="B25" s="24" t="str">
        <x:v>ui.operations.settings</x:v>
      </x:c>
      <x:c r="C25" s="24" t="str">
        <x:v>UI tab</x:v>
      </x:c>
      <x:c r="D25" s="24" t="str"/>
      <x:c r="E25" s="24" t="str"/>
      <x:c r="F25" s="24" t="str">
        <x:v>PROPOSED</x:v>
      </x:c>
      <x:c r="G25" s="24" t="str">
        <x:v>Phase1OperationsScreen</x:v>
      </x:c>
      <x:c r="H25" s="24" t="str">
        <x:v>Hardcoded/technical key</x:v>
      </x:c>
      <x:c r="I25" s="24" t="str">
        <x:v>English/current literal</x:v>
      </x:c>
      <x:c r="J25" s="24" t="str">
        <x:v>Review</x:v>
      </x:c>
      <x:c r="K25" s="24" t="str">
        <x:v>Review</x:v>
      </x:c>
      <x:c r="L25" s="24" t="str">
        <x:v>VRM Games</x:v>
      </x:c>
      <x:c r="M25" s="24" t="n">
        <x:v>17</x:v>
      </x:c>
      <x:c r="N25" s="24" t="str">
        <x:v>VS-UI-002;UX-LOC</x:v>
      </x:c>
      <x:c r="O25" s="24" t="str">
        <x:v>Localization/layout campaign</x:v>
      </x:c>
      <x:c r="P25" s="24" t="str">
        <x:v>String tables ES/EN missing</x:v>
      </x:c>
      <x:c r="Q25" s="24" t="str"/>
    </x:row>
    <x:row r="26" ht="34" customHeight="1">
      <x:c r="A26" s="24" t="str">
        <x:v>LOC-022</x:v>
      </x:c>
      <x:c r="B26" s="24" t="str">
        <x:v>ui.operations.shop</x:v>
      </x:c>
      <x:c r="C26" s="24" t="str">
        <x:v>UI tab</x:v>
      </x:c>
      <x:c r="D26" s="24" t="str"/>
      <x:c r="E26" s="24" t="str"/>
      <x:c r="F26" s="24" t="str">
        <x:v>PROPOSED</x:v>
      </x:c>
      <x:c r="G26" s="24" t="str">
        <x:v>Phase1OperationsScreen</x:v>
      </x:c>
      <x:c r="H26" s="24" t="str">
        <x:v>Hardcoded/technical key</x:v>
      </x:c>
      <x:c r="I26" s="24" t="str">
        <x:v>English/current literal</x:v>
      </x:c>
      <x:c r="J26" s="24" t="str">
        <x:v>Review</x:v>
      </x:c>
      <x:c r="K26" s="24" t="str">
        <x:v>Review</x:v>
      </x:c>
      <x:c r="L26" s="24" t="str">
        <x:v>VRM Games</x:v>
      </x:c>
      <x:c r="M26" s="24" t="n">
        <x:v>17</x:v>
      </x:c>
      <x:c r="N26" s="24" t="str">
        <x:v>VS-UI-002;UX-LOC</x:v>
      </x:c>
      <x:c r="O26" s="24" t="str">
        <x:v>Localization/layout campaign</x:v>
      </x:c>
      <x:c r="P26" s="24" t="str">
        <x:v>String tables ES/EN missing</x:v>
      </x:c>
      <x:c r="Q26" s="24" t="str"/>
    </x:row>
    <x:row r="27" ht="34" customHeight="1">
      <x:c r="A27" s="24" t="str">
        <x:v>LOC-023</x:v>
      </x:c>
      <x:c r="B27" s="24" t="str">
        <x:v>ui.operations.stock</x:v>
      </x:c>
      <x:c r="C27" s="24" t="str">
        <x:v>UI tab</x:v>
      </x:c>
      <x:c r="D27" s="24" t="str"/>
      <x:c r="E27" s="24" t="str"/>
      <x:c r="F27" s="24" t="str">
        <x:v>PROPOSED</x:v>
      </x:c>
      <x:c r="G27" s="24" t="str">
        <x:v>Phase1OperationsScreen</x:v>
      </x:c>
      <x:c r="H27" s="24" t="str">
        <x:v>Hardcoded/technical key</x:v>
      </x:c>
      <x:c r="I27" s="24" t="str">
        <x:v>English/current literal</x:v>
      </x:c>
      <x:c r="J27" s="24" t="str">
        <x:v>Review</x:v>
      </x:c>
      <x:c r="K27" s="24" t="str">
        <x:v>Review</x:v>
      </x:c>
      <x:c r="L27" s="24" t="str">
        <x:v>VRM Games</x:v>
      </x:c>
      <x:c r="M27" s="24" t="n">
        <x:v>17</x:v>
      </x:c>
      <x:c r="N27" s="24" t="str">
        <x:v>VS-UI-002;UX-LOC</x:v>
      </x:c>
      <x:c r="O27" s="24" t="str">
        <x:v>Localization/layout campaign</x:v>
      </x:c>
      <x:c r="P27" s="24" t="str">
        <x:v>String tables ES/EN missing</x:v>
      </x:c>
      <x:c r="Q27" s="24" t="str"/>
    </x:row>
    <x:row r="28" ht="34" customHeight="1">
      <x:c r="A28" s="24" t="str">
        <x:v>LOC-SYS-001</x:v>
      </x:c>
      <x:c r="B28" s="24" t="str">
        <x:v>Localization package</x:v>
      </x:c>
      <x:c r="C28" s="24" t="str">
        <x:v>System</x:v>
      </x:c>
      <x:c r="D28" s="24" t="str"/>
      <x:c r="E28" s="24" t="str"/>
      <x:c r="F28" s="24" t="str">
        <x:v>PACKAGE INSTALLED / NO TABLES</x:v>
      </x:c>
      <x:c r="G28" s="24" t="str">
        <x:v>Packages + Assets/_Project/Content/Localization/.gitkeep</x:v>
      </x:c>
      <x:c r="H28" s="24" t="str">
        <x:v>Not demonstrated</x:v>
      </x:c>
      <x:c r="I28" s="24" t="str"/>
      <x:c r="J28" s="24" t="str">
        <x:v>Not configured</x:v>
      </x:c>
      <x:c r="K28" s="24" t="str">
        <x:v>Pending</x:v>
      </x:c>
      <x:c r="L28" s="24" t="str">
        <x:v>VRM Games</x:v>
      </x:c>
      <x:c r="M28" s="24" t="n">
        <x:v>17</x:v>
      </x:c>
      <x:c r="N28" s="24" t="str">
        <x:v>VS-UI-002</x:v>
      </x:c>
      <x:c r="O28" s="24" t="str">
        <x:v>ES/EN smoke</x:v>
      </x:c>
      <x:c r="P28" s="24" t="str">
        <x:v>Create locales and string tables</x:v>
      </x:c>
      <x:c r="Q28" s="24" t="str"/>
    </x:row>
  </x:sheetData>
  <x:mergeCells>
    <x:mergeCell ref="A1:Q1"/>
    <x:mergeCell ref="A2:Q2"/>
  </x:mergeCells>
  <x:conditionalFormatting sqref="F5:F28">
    <x:cfRule type="expression" dxfId="144" priority="1">
      <x:formula>OR(ISNUMBER(SEARCH("PASS",F5)),ISNUMBER(SEARCH("CANONICAL",F5)),ISNUMBER(SEARCH("DONE",F5)))</x:formula>
    </x:cfRule>
    <x:cfRule type="expression" dxfId="145" priority="2">
      <x:formula>OR(ISNUMBER(SEARCH("BLOCK",F5)),ISNUMBER(SEARCH("FAIL",F5)),ISNUMBER(SEARCH("S1",F5)))</x:formula>
    </x:cfRule>
    <x:cfRule type="expression" dxfId="146" priority="3">
      <x:formula>OR(ISNUMBER(SEARCH("PENDING",F5)),ISNUMBER(SEARCH("PLANNED",F5)),ISNUMBER(SEARCH("PARTIAL",F5)),ISNUMBER(SEARCH("PLACEHOLDER",F5)))</x:formula>
    </x:cfRule>
    <x:cfRule type="expression" dxfId="147" priority="4">
      <x:formula>OR(ISNUMBER(SEARCH("VISION",F5)),ISNUMBER(SEARCH("HISTORICAL",F5)))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4f5620a8bf43c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8" hidden="0" customWidth="1"/>
    <x:col min="5" max="5" width="34" hidden="0" customWidth="1"/>
    <x:col min="6" max="6" width="32" hidden="0" customWidth="1"/>
    <x:col min="7" max="7" width="44" hidden="0" customWidth="1"/>
    <x:col min="8" max="8" width="42" hidden="0" customWidth="1"/>
    <x:col min="9" max="9" width="28" hidden="0" customWidth="1"/>
    <x:col min="10" max="10" width="24" hidden="0" customWidth="1"/>
    <x:col min="11" max="11" width="70" hidden="0" customWidth="1"/>
    <x:col min="12" max="12" width="14" hidden="0" customWidth="1"/>
    <x:col min="13" max="13" width="14" hidden="0" customWidth="1"/>
    <x:col min="14" max="14" width="38" hidden="0" customWidth="1"/>
    <x:col min="15" max="15" width="55" hidden="0" customWidth="1"/>
  </x:cols>
  <x:sheetData>
    <x:row r="1" ht="30" customHeight="1">
      <x:c r="A1" s="4" t="str">
        <x:v>Licencias y procedencia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Registro de origen, autoría, uso permitido y acciones pendientes, alineado con Legal 23, Marketing 28 y Release Readiness 31.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6" customHeight="1">
      <x:c r="A4" s="17" t="str">
        <x:v>License ID</x:v>
      </x:c>
      <x:c r="B4" s="17" t="str">
        <x:v>Elemento/Familia</x:v>
      </x:c>
      <x:c r="C4" s="17" t="str">
        <x:v>Tipo</x:v>
      </x:c>
      <x:c r="D4" s="17" t="str">
        <x:v>Origen</x:v>
      </x:c>
      <x:c r="E4" s="17" t="str">
        <x:v>Autor</x:v>
      </x:c>
      <x:c r="F4" s="17" t="str">
        <x:v>Licencia</x:v>
      </x:c>
      <x:c r="G4" s="17" t="str">
        <x:v>Prueba</x:v>
      </x:c>
      <x:c r="H4" s="17" t="str">
        <x:v>Restricciones</x:v>
      </x:c>
      <x:c r="I4" s="17" t="str">
        <x:v>Distribución</x:v>
      </x:c>
      <x:c r="J4" s="17" t="str">
        <x:v>Estado</x:v>
      </x:c>
      <x:c r="K4" s="17" t="str">
        <x:v>Ruta/Registro</x:v>
      </x:c>
      <x:c r="L4" s="17" t="str">
        <x:v>Sprint</x:v>
      </x:c>
      <x:c r="M4" s="17" t="str">
        <x:v>Gate</x:v>
      </x:c>
      <x:c r="N4" s="17" t="str">
        <x:v>Acción</x:v>
      </x:c>
      <x:c r="O4" s="17" t="str">
        <x:v>Notas</x:v>
      </x:c>
    </x:row>
    <x:row r="5" ht="34" customHeight="1">
      <x:c r="A5" s="24" t="str">
        <x:v>LIC-001</x:v>
      </x:c>
      <x:c r="B5" s="24" t="str">
        <x:v>Internal representative 3D set</x:v>
      </x:c>
      <x:c r="C5" s="24" t="str">
        <x:v>Models/Prefabs/Materials</x:v>
      </x:c>
      <x:c r="D5" s="24" t="str">
        <x:v>VRM Games / internally generated</x:v>
      </x:c>
      <x:c r="E5" s="24" t="str">
        <x:v>VRM Games / Blas Luis Rocha González</x:v>
      </x:c>
      <x:c r="F5" s="24" t="str">
        <x:v>Internal/Approved</x:v>
      </x:c>
      <x:c r="G5" s="24" t="str">
        <x:v>Source package + repository</x:v>
      </x:c>
      <x:c r="H5" s="24" t="str">
        <x:v>Original fictional content only</x:v>
      </x:c>
      <x:c r="I5" s="24" t="str">
        <x:v>Allowed within project</x:v>
      </x:c>
      <x:c r="J5" s="24" t="str">
        <x:v>APPROVED INTERNAL</x:v>
      </x:c>
      <x:c r="K5" s="24" t="str">
        <x:v>Assets/_Project/Art; Prefabs</x:v>
      </x:c>
      <x:c r="L5" s="24" t="n">
        <x:v>16</x:v>
      </x:c>
      <x:c r="M5" s="24" t="str">
        <x:v>H6</x:v>
      </x:c>
      <x:c r="N5" s="24" t="str">
        <x:v>Keep provenance manifest</x:v>
      </x:c>
      <x:c r="O5" s="24" t="str"/>
    </x:row>
    <x:row r="6" ht="34" customHeight="1">
      <x:c r="A6" s="24" t="str">
        <x:v>LIC-002</x:v>
      </x:c>
      <x:c r="B6" s="24" t="str">
        <x:v>Concept images generated with ChatGPT</x:v>
      </x:c>
      <x:c r="C6" s="24" t="str">
        <x:v>Concept art</x:v>
      </x:c>
      <x:c r="D6" s="24" t="str">
        <x:v>OpenAI generated images / project prompts</x:v>
      </x:c>
      <x:c r="E6" s="24" t="str">
        <x:v>VRM Games + generative tool</x:v>
      </x:c>
      <x:c r="F6" s="24" t="str">
        <x:v>Review platform terms / internal concept</x:v>
      </x:c>
      <x:c r="G6" s="24" t="str">
        <x:v>Documentation working concept folders</x:v>
      </x:c>
      <x:c r="H6" s="24" t="str">
        <x:v>Not runtime asset by default</x:v>
      </x:c>
      <x:c r="I6" s="24" t="str">
        <x:v>Concept/reference only until approved</x:v>
      </x:c>
      <x:c r="J6" s="24" t="str">
        <x:v>REVIEW</x:v>
      </x:c>
      <x:c r="K6" s="24" t="str">
        <x:v>Documentation/01_Working_Documents/Sprint_16/Art_3D/Concept_Art</x:v>
      </x:c>
      <x:c r="L6" s="24" t="n">
        <x:v>16</x:v>
      </x:c>
      <x:c r="M6" s="24" t="str">
        <x:v>Baseline</x:v>
      </x:c>
      <x:c r="N6" s="24" t="str">
        <x:v>Registrar herramienta/fecha/prompt, decisión de uso y revisión legal en 23; no publicar antes de gate 28/31.</x:v>
      </x:c>
      <x:c r="O6" s="24" t="str">
        <x:v>Concepto interno; no equivale a licencia de asset runtime ni a autorización comercial.</x:v>
      </x:c>
    </x:row>
    <x:row r="7" ht="34" customHeight="1">
      <x:c r="A7" s="24" t="str">
        <x:v>LIC-003</x:v>
      </x:c>
      <x:c r="B7" s="24" t="str">
        <x:v>Unity built-in/runtime font fallback</x:v>
      </x:c>
      <x:c r="C7" s="24" t="str">
        <x:v>Font</x:v>
      </x:c>
      <x:c r="D7" s="24" t="str">
        <x:v>Unity runtime</x:v>
      </x:c>
      <x:c r="E7" s="24" t="str">
        <x:v>Unity Technologies</x:v>
      </x:c>
      <x:c r="F7" s="24" t="str">
        <x:v>Unity license context</x:v>
      </x:c>
      <x:c r="G7" s="24" t="str">
        <x:v>LegacyRuntime.ttf runtime usage</x:v>
      </x:c>
      <x:c r="H7" s="24" t="str">
        <x:v>Not production brand font</x:v>
      </x:c>
      <x:c r="I7" s="24" t="str">
        <x:v>Within Unity build</x:v>
      </x:c>
      <x:c r="J7" s="24" t="str">
        <x:v>TECHNICAL FALLBACK</x:v>
      </x:c>
      <x:c r="K7" s="24" t="str">
        <x:v>Runtime generated UI</x:v>
      </x:c>
      <x:c r="L7" s="24" t="n">
        <x:v>15</x:v>
      </x:c>
      <x:c r="M7" s="24" t="str">
        <x:v>H6</x:v>
      </x:c>
      <x:c r="N7" s="24" t="str">
        <x:v>Seleccionar fuente final, comprobar licencia, cobertura ES/EN y legibilidad/escalado conforme a 22/29.</x:v>
      </x:c>
      <x:c r="O7" s="24" t="str">
        <x:v>El fallback técnico no es la fuente de marca final.</x:v>
      </x:c>
    </x:row>
    <x:row r="8" ht="34" customHeight="1">
      <x:c r="A8" s="24" t="str">
        <x:v>LIC-004</x:v>
      </x:c>
      <x:c r="B8" s="24" t="str">
        <x:v>Audio representative set</x:v>
      </x:c>
      <x:c r="C8" s="24" t="str">
        <x:v>Audio</x:v>
      </x:c>
      <x:c r="D8" s="24" t="str">
        <x:v>Internal/representative</x:v>
      </x:c>
      <x:c r="E8" s="24" t="str">
        <x:v>VRM Games</x:v>
      </x:c>
      <x:c r="F8" s="24" t="str">
        <x:v>Internal/Approved pending per-clip register</x:v>
      </x:c>
      <x:c r="G8" s="24" t="str">
        <x:v>10 WAV files + AudioCatalog</x:v>
      </x:c>
      <x:c r="H8" s="24" t="str">
        <x:v>No ambiguous external samples</x:v>
      </x:c>
      <x:c r="I8" s="24" t="str">
        <x:v>Pending final audit</x:v>
      </x:c>
      <x:c r="J8" s="24" t="str">
        <x:v>PARTIAL</x:v>
      </x:c>
      <x:c r="K8" s="24" t="str">
        <x:v>Assets/_Project/Audio</x:v>
      </x:c>
      <x:c r="L8" s="24" t="n">
        <x:v>16</x:v>
      </x:c>
      <x:c r="M8" s="24" t="str">
        <x:v>H6</x:v>
      </x:c>
      <x:c r="N8" s="24" t="str">
        <x:v>Completar procedencia por clip en 23; ejecutar escucha, concurrencia y coste de voz con 18/30/31.</x:v>
      </x:c>
      <x:c r="O8" s="24" t="str">
        <x:v>No asumir que “interno” basta sin registro por archivo.</x:v>
      </x:c>
    </x:row>
    <x:row r="9" ht="34" customHeight="1">
      <x:c r="A9" s="24" t="str">
        <x:v>LIC-005</x:v>
      </x:c>
      <x:c r="B9" s="24" t="str">
        <x:v>Fictitious product names and packaging</x:v>
      </x:c>
      <x:c r="C9" s="24" t="str">
        <x:v>Brand/IP</x:v>
      </x:c>
      <x:c r="D9" s="24" t="str">
        <x:v>Internal original naming</x:v>
      </x:c>
      <x:c r="E9" s="24" t="str">
        <x:v>VRM Games</x:v>
      </x:c>
      <x:c r="F9" s="24" t="str">
        <x:v>Project IP</x:v>
      </x:c>
      <x:c r="G9" s="24" t="str">
        <x:v>ContentCatalog + Art Bible</x:v>
      </x:c>
      <x:c r="H9" s="24" t="str">
        <x:v>Avoid real logos/trade dress</x:v>
      </x:c>
      <x:c r="I9" s="24" t="str">
        <x:v>Allowed</x:v>
      </x:c>
      <x:c r="J9" s="24" t="str">
        <x:v>APPROVED PRINCIPLE</x:v>
      </x:c>
      <x:c r="K9" s="24" t="str">
        <x:v>ContentCatalog.asset; Product prefabs</x:v>
      </x:c>
      <x:c r="L9" s="24" t="n">
        <x:v>16</x:v>
      </x:c>
      <x:c r="M9" s="24" t="str">
        <x:v>H6</x:v>
      </x:c>
      <x:c r="N9" s="24" t="str">
        <x:v>Revisión final de similitud marcaria, trade dress y claims mediante 23/28/24 antes de medios públicos.</x:v>
      </x:c>
      <x:c r="O9" s="24" t="str">
        <x:v>Mantener nombres y packaging ficticios; documentar cualquier cambio.</x:v>
      </x:c>
    </x:row>
    <x:row r="10" ht="34" customHeight="1">
      <x:c r="A10" s="24" t="str">
        <x:v>LIC-HIS-001</x:v>
      </x:c>
      <x:c r="B10" s="24" t="str">
        <x:v>Cartridge_And_Cloud_Legal_Credits_Licenses_Register_v0.3.pdf</x:v>
      </x:c>
      <x:c r="C10" s="24" t="str">
        <x:v>Historical register</x:v>
      </x:c>
      <x:c r="D10" s="24" t="str">
        <x:v>Documentation package</x:v>
      </x:c>
      <x:c r="E10" s="24" t="str">
        <x:v>VRM Games</x:v>
      </x:c>
      <x:c r="F10" s="24" t="str">
        <x:v>Historical governance source</x:v>
      </x:c>
      <x:c r="G10" s="24" t="str">
        <x:v>e358622a237b57cdcd65fb380460d70eafa0ef1085b43bf5e8fb7dff3ee734f0</x:v>
      </x:c>
      <x:c r="H10" s="24" t="str">
        <x:v>Reference only; reconcile with actual assets</x:v>
      </x:c>
      <x:c r="I10" s="24" t="str">
        <x:v>Internal documentation</x:v>
      </x:c>
      <x:c r="J10" s="24" t="str">
        <x:v>HISTORICAL</x:v>
      </x:c>
      <x:c r="K10" s="24" t="str">
        <x:v>Documentation/00_Official_Baseline/v0.3/05_Business_Release/Cartridge_And_Cloud_Legal_Credits_Licenses_Register_v0.3.pdf</x:v>
      </x:c>
      <x:c r="L10" s="24" t="str">
        <x:v>Historical</x:v>
      </x:c>
      <x:c r="M10" s="24" t="str">
        <x:v>Baseline</x:v>
      </x:c>
      <x:c r="N10" s="24" t="str">
        <x:v>Preserve lineage</x:v>
      </x:c>
      <x:c r="O10" s="24" t="str">
        <x:v>Baseline 0.3</x:v>
      </x:c>
    </x:row>
    <x:row r="11" ht="34" customHeight="1">
      <x:c r="A11" s="24" t="str">
        <x:v>LIC-HIS-002</x:v>
      </x:c>
      <x:c r="B11" s="24" t="str">
        <x:v>Cartridge_And_Cloud_Legal_Credits_Licenses_Register_v0.3.md</x:v>
      </x:c>
      <x:c r="C11" s="24" t="str">
        <x:v>Historical register</x:v>
      </x:c>
      <x:c r="D11" s="24" t="str">
        <x:v>Documentation package</x:v>
      </x:c>
      <x:c r="E11" s="24" t="str">
        <x:v>VRM Games</x:v>
      </x:c>
      <x:c r="F11" s="24" t="str">
        <x:v>Historical governance source</x:v>
      </x:c>
      <x:c r="G11" s="24" t="str">
        <x:v>ffc5bc6af65b27ede021acfdef2dbc5f20f680560e0be1a872586ab146a2f101</x:v>
      </x:c>
      <x:c r="H11" s="24" t="str">
        <x:v>Reference only; reconcile with actual assets</x:v>
      </x:c>
      <x:c r="I11" s="24" t="str">
        <x:v>Internal documentation</x:v>
      </x:c>
      <x:c r="J11" s="24" t="str">
        <x:v>HISTORICAL</x:v>
      </x:c>
      <x:c r="K11" s="24" t="str">
        <x:v>Documentation/00_Official_Baseline/v0.3/99_Source_Markdown/Cartridge_And_Cloud_Legal_Credits_Licenses_Register_v0.3.md</x:v>
      </x:c>
      <x:c r="L11" s="24" t="str">
        <x:v>Historical</x:v>
      </x:c>
      <x:c r="M11" s="24" t="str">
        <x:v>Baseline</x:v>
      </x:c>
      <x:c r="N11" s="24" t="str">
        <x:v>Preserve lineage</x:v>
      </x:c>
      <x:c r="O11" s="24" t="str">
        <x:v>Baseline 0.3</x:v>
      </x:c>
    </x:row>
    <x:row r="12" ht="34" customHeight="1">
      <x:c r="A12" s="24" t="str">
        <x:v>LIC-HIS-003</x:v>
      </x:c>
      <x:c r="B12" s="24" t="str">
        <x:v>Cartridge_And_Cloud_Legal_Credits_Licenses_Register_v0.3.pdf</x:v>
      </x:c>
      <x:c r="C12" s="24" t="str">
        <x:v>Historical register</x:v>
      </x:c>
      <x:c r="D12" s="24" t="str">
        <x:v>Documentation package</x:v>
      </x:c>
      <x:c r="E12" s="24" t="str">
        <x:v>VRM Games</x:v>
      </x:c>
      <x:c r="F12" s="24" t="str">
        <x:v>Historical governance source</x:v>
      </x:c>
      <x:c r="G12" s="24" t="str">
        <x:v>e4105813b235d24b75edf539eae505342f58f1f26a4b087e870dcbda9d63f558</x:v>
      </x:c>
      <x:c r="H12" s="24" t="str">
        <x:v>Reference only; reconcile with actual assets</x:v>
      </x:c>
      <x:c r="I12" s="24" t="str">
        <x:v>Internal documentation</x:v>
      </x:c>
      <x:c r="J12" s="24" t="str">
        <x:v>HISTORICAL</x:v>
      </x:c>
      <x:c r="K12" s="24" t="str">
        <x:v>Documentation/00_Official_Baseline/v0.4/05_Business_Release/Cartridge_And_Cloud_Legal_Credits_Licenses_Register_v0.3.pdf</x:v>
      </x:c>
      <x:c r="L12" s="24" t="str">
        <x:v>Historical</x:v>
      </x:c>
      <x:c r="M12" s="24" t="str">
        <x:v>Baseline</x:v>
      </x:c>
      <x:c r="N12" s="24" t="str">
        <x:v>Preserve lineage</x:v>
      </x:c>
      <x:c r="O12" s="24" t="str">
        <x:v>Baseline 0.4</x:v>
      </x:c>
    </x:row>
    <x:row r="13" ht="34" customHeight="1">
      <x:c r="A13" s="24" t="str">
        <x:v>LIC-HIS-004</x:v>
      </x:c>
      <x:c r="B13" s="24" t="str">
        <x:v>Cartridge_And_Cloud_Legal_Credits_Licenses_Register_v0.3.md</x:v>
      </x:c>
      <x:c r="C13" s="24" t="str">
        <x:v>Historical register</x:v>
      </x:c>
      <x:c r="D13" s="24" t="str">
        <x:v>Documentation package</x:v>
      </x:c>
      <x:c r="E13" s="24" t="str">
        <x:v>VRM Games</x:v>
      </x:c>
      <x:c r="F13" s="24" t="str">
        <x:v>Historical governance source</x:v>
      </x:c>
      <x:c r="G13" s="24" t="str">
        <x:v>1a0e921f139b73179fe734eec452dcc3aa8c43860309390fe41ea1fb588fe81f</x:v>
      </x:c>
      <x:c r="H13" s="24" t="str">
        <x:v>Reference only; reconcile with actual assets</x:v>
      </x:c>
      <x:c r="I13" s="24" t="str">
        <x:v>Internal documentation</x:v>
      </x:c>
      <x:c r="J13" s="24" t="str">
        <x:v>HISTORICAL</x:v>
      </x:c>
      <x:c r="K13" s="24" t="str">
        <x:v>Documentation/00_Official_Baseline/v0.4/99_Source_Markdown/Cartridge_And_Cloud_Legal_Credits_Licenses_Register_v0.3.md</x:v>
      </x:c>
      <x:c r="L13" s="24" t="str">
        <x:v>Historical</x:v>
      </x:c>
      <x:c r="M13" s="24" t="str">
        <x:v>Baseline</x:v>
      </x:c>
      <x:c r="N13" s="24" t="str">
        <x:v>Preserve lineage</x:v>
      </x:c>
      <x:c r="O13" s="24" t="str">
        <x:v>Baseline 0.4</x:v>
      </x:c>
    </x:row>
    <x:row r="14" ht="34" customHeight="1">
      <x:c r="A14" s="24" t="str">
        <x:v>LIC-HIS-005</x:v>
      </x:c>
      <x:c r="B14" s="24" t="str">
        <x:v>Cartridge_And_Cloud_Legal_Credits_Licenses_Register_v0.4.pdf</x:v>
      </x:c>
      <x:c r="C14" s="24" t="str">
        <x:v>Historical register</x:v>
      </x:c>
      <x:c r="D14" s="24" t="str">
        <x:v>Documentation package</x:v>
      </x:c>
      <x:c r="E14" s="24" t="str">
        <x:v>VRM Games</x:v>
      </x:c>
      <x:c r="F14" s="24" t="str">
        <x:v>Historical governance source</x:v>
      </x:c>
      <x:c r="G14" s="24" t="str">
        <x:v>d8fa9f63a454facc7e8d4e3fa8e50d1a95f0bb7a8f8bef06211e9d12accb5343</x:v>
      </x:c>
      <x:c r="H14" s="24" t="str">
        <x:v>Reference only; reconcile with actual assets</x:v>
      </x:c>
      <x:c r="I14" s="24" t="str">
        <x:v>Internal documentation</x:v>
      </x:c>
      <x:c r="J14" s="24" t="str">
        <x:v>HISTORICAL</x:v>
      </x:c>
      <x:c r="K14" s="24" t="str">
        <x:v>Documentation/00_Official_Baseline/v0.5/05_Business_Release/Cartridge_And_Cloud_Legal_Credits_Licenses_Register_v0.4.pdf</x:v>
      </x:c>
      <x:c r="L14" s="24" t="str">
        <x:v>Historical</x:v>
      </x:c>
      <x:c r="M14" s="24" t="str">
        <x:v>Baseline</x:v>
      </x:c>
      <x:c r="N14" s="24" t="str">
        <x:v>Preserve lineage</x:v>
      </x:c>
      <x:c r="O14" s="24" t="str">
        <x:v>Baseline 0.5</x:v>
      </x:c>
    </x:row>
    <x:row r="15" ht="34" customHeight="1">
      <x:c r="A15" s="24" t="str">
        <x:v>LIC-HIS-006</x:v>
      </x:c>
      <x:c r="B15" s="24" t="str">
        <x:v>Cartridge_And_Cloud_Legal_Credits_Licenses_Register_v0.4.md</x:v>
      </x:c>
      <x:c r="C15" s="24" t="str">
        <x:v>Historical register</x:v>
      </x:c>
      <x:c r="D15" s="24" t="str">
        <x:v>Documentation package</x:v>
      </x:c>
      <x:c r="E15" s="24" t="str">
        <x:v>VRM Games</x:v>
      </x:c>
      <x:c r="F15" s="24" t="str">
        <x:v>Historical governance source</x:v>
      </x:c>
      <x:c r="G15" s="24" t="str">
        <x:v>18f78b69a56edee6f8783d32859d6e231d061422d24abd6feefdbf06fe68567b</x:v>
      </x:c>
      <x:c r="H15" s="24" t="str">
        <x:v>Reference only; reconcile with actual assets</x:v>
      </x:c>
      <x:c r="I15" s="24" t="str">
        <x:v>Internal documentation</x:v>
      </x:c>
      <x:c r="J15" s="24" t="str">
        <x:v>HISTORICAL</x:v>
      </x:c>
      <x:c r="K15" s="24" t="str">
        <x:v>Documentation/00_Official_Baseline/v0.5/99_Source_Markdown/Cartridge_And_Cloud_Legal_Credits_Licenses_Register_v0.4.md</x:v>
      </x:c>
      <x:c r="L15" s="24" t="str">
        <x:v>Historical</x:v>
      </x:c>
      <x:c r="M15" s="24" t="str">
        <x:v>Baseline</x:v>
      </x:c>
      <x:c r="N15" s="24" t="str">
        <x:v>Preserve lineage</x:v>
      </x:c>
      <x:c r="O15" s="24" t="str">
        <x:v>Baseline 0.5</x:v>
      </x:c>
    </x:row>
    <x:row r="16" ht="34" customHeight="1">
      <x:c r="A16" s="24" t="str">
        <x:v>LIC-HIS-007</x:v>
      </x:c>
      <x:c r="B16" s="24" t="str">
        <x:v>Cartridge_And_Cloud_Legal_Credits_Licenses_Register_v0.5.pdf</x:v>
      </x:c>
      <x:c r="C16" s="24" t="str">
        <x:v>Historical register</x:v>
      </x:c>
      <x:c r="D16" s="24" t="str">
        <x:v>Documentation package</x:v>
      </x:c>
      <x:c r="E16" s="24" t="str">
        <x:v>VRM Games</x:v>
      </x:c>
      <x:c r="F16" s="24" t="str">
        <x:v>Historical governance source</x:v>
      </x:c>
      <x:c r="G16" s="24" t="str">
        <x:v>eee199263d089442dc5ea6228b10b562d7930163c707a7e90402e734bf94db51</x:v>
      </x:c>
      <x:c r="H16" s="24" t="str">
        <x:v>Reference only; reconcile with actual assets</x:v>
      </x:c>
      <x:c r="I16" s="24" t="str">
        <x:v>Internal documentation</x:v>
      </x:c>
      <x:c r="J16" s="24" t="str">
        <x:v>HISTORICAL</x:v>
      </x:c>
      <x:c r="K16" s="24" t="str">
        <x:v>Documentation/00_Official_Baseline/v0.6/05_Business_Release/Cartridge_And_Cloud_Legal_Credits_Licenses_Register_v0.5.pdf</x:v>
      </x:c>
      <x:c r="L16" s="24" t="str">
        <x:v>Historical</x:v>
      </x:c>
      <x:c r="M16" s="24" t="str">
        <x:v>Baseline</x:v>
      </x:c>
      <x:c r="N16" s="24" t="str">
        <x:v>Preserve lineage</x:v>
      </x:c>
      <x:c r="O16" s="24" t="str">
        <x:v>Baseline 0.6</x:v>
      </x:c>
    </x:row>
    <x:row r="17" ht="34" customHeight="1">
      <x:c r="A17" s="24" t="str">
        <x:v>LIC-HIS-008</x:v>
      </x:c>
      <x:c r="B17" s="24" t="str">
        <x:v>Cartridge_And_Cloud_Legal_Credits_Licenses_Register_v0.5.md</x:v>
      </x:c>
      <x:c r="C17" s="24" t="str">
        <x:v>Historical register</x:v>
      </x:c>
      <x:c r="D17" s="24" t="str">
        <x:v>Documentation package</x:v>
      </x:c>
      <x:c r="E17" s="24" t="str">
        <x:v>VRM Games</x:v>
      </x:c>
      <x:c r="F17" s="24" t="str">
        <x:v>Historical governance source</x:v>
      </x:c>
      <x:c r="G17" s="24" t="str">
        <x:v>610fc2ca1dd8ea1859fb779039e5de841610646d1e5601d316b2fe34410c3c81</x:v>
      </x:c>
      <x:c r="H17" s="24" t="str">
        <x:v>Reference only; reconcile with actual assets</x:v>
      </x:c>
      <x:c r="I17" s="24" t="str">
        <x:v>Internal documentation</x:v>
      </x:c>
      <x:c r="J17" s="24" t="str">
        <x:v>HISTORICAL</x:v>
      </x:c>
      <x:c r="K17" s="24" t="str">
        <x:v>Documentation/00_Official_Baseline/v0.6/99_Source_Markdown/Cartridge_And_Cloud_Legal_Credits_Licenses_Register_v0.5.md</x:v>
      </x:c>
      <x:c r="L17" s="24" t="str">
        <x:v>Historical</x:v>
      </x:c>
      <x:c r="M17" s="24" t="str">
        <x:v>Baseline</x:v>
      </x:c>
      <x:c r="N17" s="24" t="str">
        <x:v>Preserve lineage</x:v>
      </x:c>
      <x:c r="O17" s="24" t="str">
        <x:v>Baseline 0.6</x:v>
      </x:c>
    </x:row>
  </x:sheetData>
  <x:mergeCells>
    <x:mergeCell ref="A1:O1"/>
    <x:mergeCell ref="A2:O2"/>
  </x:mergeCells>
  <x:conditionalFormatting sqref="J5:J17">
    <x:cfRule type="expression" dxfId="148" priority="1">
      <x:formula>OR(ISNUMBER(SEARCH("PASS",J5)),ISNUMBER(SEARCH("CANONICAL",J5)),ISNUMBER(SEARCH("DONE",J5)))</x:formula>
    </x:cfRule>
    <x:cfRule type="expression" dxfId="149" priority="2">
      <x:formula>OR(ISNUMBER(SEARCH("BLOCK",J5)),ISNUMBER(SEARCH("FAIL",J5)),ISNUMBER(SEARCH("S1",J5)))</x:formula>
    </x:cfRule>
    <x:cfRule type="expression" dxfId="150" priority="3">
      <x:formula>OR(ISNUMBER(SEARCH("PENDING",J5)),ISNUMBER(SEARCH("PLANNED",J5)),ISNUMBER(SEARCH("PARTIAL",J5)),ISNUMBER(SEARCH("PLACEHOLDER",J5)))</x:formula>
    </x:cfRule>
    <x:cfRule type="expression" dxfId="151" priority="4">
      <x:formula>OR(ISNUMBER(SEARCH("VISION",J5)),ISNUMBER(SEARCH("HISTORICAL",J5)))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0ca72c563443f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28" hidden="0" customWidth="1"/>
    <x:col min="5" max="5" width="30" hidden="0" customWidth="1"/>
    <x:col min="6" max="6" width="16" hidden="0" customWidth="1"/>
    <x:col min="7" max="7" width="24" hidden="0" customWidth="1"/>
    <x:col min="8" max="8" width="18" hidden="0" customWidth="1"/>
    <x:col min="9" max="9" width="48" hidden="0" customWidth="1"/>
    <x:col min="10" max="10" width="58" hidden="0" customWidth="1"/>
  </x:cols>
  <x:sheetData>
    <x:row r="1" ht="30" customHeight="1">
      <x:c r="A1" s="4" t="str">
        <x:v>QA y evidencia de contenido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10" t="str">
        <x:v>Gates de contenido, métodos, resultados y evidencias alineados con 23, 29, 30, 31 y 33.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6" customHeight="1">
      <x:c r="A4" s="17" t="str">
        <x:v>QA ID</x:v>
      </x:c>
      <x:c r="B4" s="17" t="str">
        <x:v>Área</x:v>
      </x:c>
      <x:c r="C4" s="17" t="str">
        <x:v>Criterio</x:v>
      </x:c>
      <x:c r="D4" s="17" t="str">
        <x:v>Requisito</x:v>
      </x:c>
      <x:c r="E4" s="17" t="str">
        <x:v>Método</x:v>
      </x:c>
      <x:c r="F4" s="17" t="str">
        <x:v>Resultado</x:v>
      </x:c>
      <x:c r="G4" s="17" t="str">
        <x:v>Campaña/Gate</x:v>
      </x:c>
      <x:c r="H4" s="17" t="str">
        <x:v>Build</x:v>
      </x:c>
      <x:c r="I4" s="17" t="str">
        <x:v>Evidencia</x:v>
      </x:c>
      <x:c r="J4" s="17" t="str">
        <x:v>Acción</x:v>
      </x:c>
    </x:row>
    <x:row r="5" ht="34" customHeight="1">
      <x:c r="A5" s="24" t="str">
        <x:v>QA-CNT-001</x:v>
      </x:c>
      <x:c r="B5" s="24" t="str">
        <x:v>Productos</x:v>
      </x:c>
      <x:c r="C5" s="24" t="str">
        <x:v>All six Phase 1 products resolve prefab/icon/material</x:v>
      </x:c>
      <x:c r="D5" s="24" t="str">
        <x:v>VS-ART-001</x:v>
      </x:c>
      <x:c r="E5" s="24" t="str">
        <x:v>Automated catalog link</x:v>
      </x:c>
      <x:c r="F5" s="24" t="str">
        <x:v>PASS</x:v>
      </x:c>
      <x:c r="G5" s="24" t="str">
        <x:v>Sprint 16 Phase 1</x:v>
      </x:c>
      <x:c r="H5" s="24" t="str">
        <x:v>BLD-016-PRE</x:v>
      </x:c>
      <x:c r="I5" s="24" t="str">
        <x:v>Catalog + tests</x:v>
      </x:c>
      <x:c r="J5" s="24" t="str">
        <x:v>Re-run after migration</x:v>
      </x:c>
    </x:row>
    <x:row r="6" ht="34" customHeight="1">
      <x:c r="A6" s="24" t="str">
        <x:v>QA-CNT-002</x:v>
      </x:c>
      <x:c r="B6" s="24" t="str">
        <x:v>Mobiliario</x:v>
      </x:c>
      <x:c r="C6" s="24" t="str">
        <x:v>Eight furniture definitions resolve prefabs and footprints</x:v>
      </x:c>
      <x:c r="D6" s="24" t="str">
        <x:v>VS-BLD-001</x:v>
      </x:c>
      <x:c r="E6" s="24" t="str">
        <x:v>Automated + scene</x:v>
      </x:c>
      <x:c r="F6" s="24" t="str">
        <x:v>PARTIAL</x:v>
      </x:c>
      <x:c r="G6" s="24" t="str">
        <x:v>Sprint 16</x:v>
      </x:c>
      <x:c r="H6" s="24" t="str">
        <x:v>BLD-016-POST</x:v>
      </x:c>
      <x:c r="I6" s="24" t="str">
        <x:v>Catalog/prefabs; authored placement pending</x:v>
      </x:c>
      <x:c r="J6" s="24" t="str">
        <x:v>Block H6 until scene verified</x:v>
      </x:c>
    </x:row>
    <x:row r="7" ht="34" customHeight="1">
      <x:c r="A7" s="24" t="str">
        <x:v>QA-CNT-003</x:v>
      </x:c>
      <x:c r="B7" s="24" t="str">
        <x:v>Arquitectura</x:v>
      </x:c>
      <x:c r="C7" s="24" t="str">
        <x:v>StoreInitial contains approved fixed architecture</x:v>
      </x:c>
      <x:c r="D7" s="24" t="str">
        <x:v>VS-SCN-002</x:v>
      </x:c>
      <x:c r="E7" s="24" t="str">
        <x:v>Manual visual</x:v>
      </x:c>
      <x:c r="F7" s="24" t="str">
        <x:v>NOT RUN</x:v>
      </x:c>
      <x:c r="G7" s="24" t="str">
        <x:v>Sprint 16</x:v>
      </x:c>
      <x:c r="H7" s="24" t="str">
        <x:v>BLD-016-POST</x:v>
      </x:c>
      <x:c r="I7" s="24" t="str">
        <x:v>Captures/traversal</x:v>
      </x:c>
      <x:c r="J7" s="24" t="str">
        <x:v>Walls/door open</x:v>
      </x:c>
    </x:row>
    <x:row r="8" ht="34" customHeight="1">
      <x:c r="A8" s="24" t="str">
        <x:v>QA-CNT-004</x:v>
      </x:c>
      <x:c r="B8" s="24" t="str">
        <x:v>Personajes</x:v>
      </x:c>
      <x:c r="C8" s="24" t="str">
        <x:v>Representative Employee/Customer/Supplier appear correctly</x:v>
      </x:c>
      <x:c r="D8" s="24" t="str">
        <x:v>VS-ART-001</x:v>
      </x:c>
      <x:c r="E8" s="24" t="str">
        <x:v>Manual visual/runtime</x:v>
      </x:c>
      <x:c r="F8" s="24" t="str">
        <x:v>NOT RUN</x:v>
      </x:c>
      <x:c r="G8" s="24" t="str">
        <x:v>Sprint 16</x:v>
      </x:c>
      <x:c r="H8" s="24" t="str">
        <x:v>BLD-016-POST</x:v>
      </x:c>
      <x:c r="I8" s="24" t="str">
        <x:v>Captures + runtime</x:v>
      </x:c>
      <x:c r="J8" s="24" t="str">
        <x:v>Final models not demonstrated</x:v>
      </x:c>
    </x:row>
    <x:row r="9" ht="34" customHeight="1">
      <x:c r="A9" s="24" t="str">
        <x:v>QA-CNT-005</x:v>
      </x:c>
      <x:c r="B9" s="24" t="str">
        <x:v>Audio</x:v>
      </x:c>
      <x:c r="C9" s="24" t="str">
        <x:v>10 clips and 23 events map without missing references</x:v>
      </x:c>
      <x:c r="D9" s="24" t="str">
        <x:v>VS-AUD-001</x:v>
      </x:c>
      <x:c r="E9" s="24" t="str">
        <x:v>Automated + listening</x:v>
      </x:c>
      <x:c r="F9" s="24" t="str">
        <x:v>PARTIAL</x:v>
      </x:c>
      <x:c r="G9" s="24" t="str">
        <x:v>Sprint 16</x:v>
      </x:c>
      <x:c r="H9" s="24" t="str">
        <x:v>BLD-016-POST</x:v>
      </x:c>
      <x:c r="I9" s="24" t="str">
        <x:v>AudioCatalog; listening pending</x:v>
      </x:c>
      <x:c r="J9" s="24" t="str">
        <x:v>Mix/spam/spatial debt</x:v>
      </x:c>
    </x:row>
    <x:row r="10" ht="34" customHeight="1">
      <x:c r="A10" s="24" t="str">
        <x:v>QA-CNT-006</x:v>
      </x:c>
      <x:c r="B10" s="24" t="str">
        <x:v>UI</x:v>
      </x:c>
      <x:c r="C10" s="24" t="str">
        <x:v>Product icons and runtime panels remain legible</x:v>
      </x:c>
      <x:c r="D10" s="24" t="str">
        <x:v>VS-UI-001; ACC-UI</x:v>
      </x:c>
      <x:c r="E10" s="24" t="str">
        <x:v>Manual + PlayMode + accessibility campaign</x:v>
      </x:c>
      <x:c r="F10" s="24" t="str">
        <x:v>PARTIAL</x:v>
      </x:c>
      <x:c r="G10" s="24" t="str">
        <x:v>Sprint 17 / H6</x:v>
      </x:c>
      <x:c r="H10" s="24" t="str">
        <x:v>BLD-H6</x:v>
      </x:c>
      <x:c r="I10" s="24" t="str">
        <x:v>UI baseline + scaling/focus evidence</x:v>
      </x:c>
      <x:c r="J10" s="24" t="str">
        <x:v>Validar 80–150 %, teclado/mando, no solapes y claims solo tras 29/31.</x:v>
      </x:c>
    </x:row>
    <x:row r="11" ht="34" customHeight="1">
      <x:c r="A11" s="24" t="str">
        <x:v>QA-CNT-007</x:v>
      </x:c>
      <x:c r="B11" s="24" t="str">
        <x:v>Licencias</x:v>
      </x:c>
      <x:c r="C11" s="24" t="str">
        <x:v>Every distributed asset has provenance and allowed use</x:v>
      </x:c>
      <x:c r="D11" s="24" t="str">
        <x:v>GOV-LEGAL; REL-LEGAL</x:v>
      </x:c>
      <x:c r="E11" s="24" t="str">
        <x:v>Audit + source/hash review</x:v>
      </x:c>
      <x:c r="F11" s="24" t="str">
        <x:v>NOT RUN</x:v>
      </x:c>
      <x:c r="G11" s="24" t="str">
        <x:v>H6 / RC</x:v>
      </x:c>
      <x:c r="H11" s="24" t="str">
        <x:v>BLD-H6</x:v>
      </x:c>
      <x:c r="I11" s="24" t="str">
        <x:v>23 register + 31 evidence</x:v>
      </x:c>
      <x:c r="J11" s="24" t="str">
        <x:v>Toda distribución exige procedencia, licencia, créditos y notices.</x:v>
      </x:c>
    </x:row>
    <x:row r="12" ht="34" customHeight="1">
      <x:c r="A12" s="24" t="str">
        <x:v>QA-CNT-008</x:v>
      </x:c>
      <x:c r="B12" s="24" t="str">
        <x:v>StoreInitial</x:v>
      </x:c>
      <x:c r="C12" s="24" t="str">
        <x:v>Runtime uses StoreInitial and procedural blockout is disabled</x:v>
      </x:c>
      <x:c r="D12" s="24" t="str">
        <x:v>VS-SCN-001; VS-SCN-002</x:v>
      </x:c>
      <x:c r="E12" s="24" t="str">
        <x:v>PlayMode + external build</x:v>
      </x:c>
      <x:c r="F12" s="24" t="str">
        <x:v>NOT RUN</x:v>
      </x:c>
      <x:c r="G12" s="24" t="str">
        <x:v>Sprint 16</x:v>
      </x:c>
      <x:c r="H12" s="24" t="str">
        <x:v>BLD-016-POST</x:v>
      </x:c>
      <x:c r="I12" s="24" t="str">
        <x:v>SceneContext/build profile/settings</x:v>
      </x:c>
      <x:c r="J12" s="24" t="str">
        <x:v>Runtime aún apunta a Store; bloquear cierre de Sprint 16.</x:v>
      </x:c>
    </x:row>
    <x:row r="13" ht="34" customHeight="1">
      <x:c r="A13" s="24" t="str">
        <x:v>QA-CNT-009</x:v>
      </x:c>
      <x:c r="B13" s="24" t="str">
        <x:v>Economía</x:v>
      </x:c>
      <x:c r="C13" s="24" t="str">
        <x:v>Canonical and technical product catalogs are reconciled</x:v>
      </x:c>
      <x:c r="D13" s="24" t="str">
        <x:v>VS-ECO-001; DATA-MIG</x:v>
      </x:c>
      <x:c r="E13" s="24" t="str">
        <x:v>Migration/invariant/save tests</x:v>
      </x:c>
      <x:c r="F13" s="24" t="str">
        <x:v>NOT RUN</x:v>
      </x:c>
      <x:c r="G13" s="24" t="str">
        <x:v>Sprint 17 / H6</x:v>
      </x:c>
      <x:c r="H13" s="24" t="str">
        <x:v>BLD-H6</x:v>
      </x:c>
      <x:c r="I13" s="24" t="str">
        <x:v>Mapping table + save/load + rollback</x:v>
      </x:c>
      <x:c r="J13" s="24" t="str">
        <x:v>Resolver autoridad dual antes de congelar candidato.</x:v>
      </x:c>
    </x:row>
    <x:row r="14" ht="34" customHeight="1">
      <x:c r="A14" s="24" t="str">
        <x:v>QA-CNT-010</x:v>
      </x:c>
      <x:c r="B14" s="24" t="str">
        <x:v>Localización</x:v>
      </x:c>
      <x:c r="C14" s="24" t="str">
        <x:v>ES/EN tables load and layouts fit</x:v>
      </x:c>
      <x:c r="D14" s="24" t="str">
        <x:v>VS-UI-002; LOC-H6; ACC-TEXT</x:v>
      </x:c>
      <x:c r="E14" s="24" t="str">
        <x:v>Localization + layout/accessibility campaign</x:v>
      </x:c>
      <x:c r="F14" s="24" t="str">
        <x:v>NOT RUN</x:v>
      </x:c>
      <x:c r="G14" s="24" t="str">
        <x:v>Sprint 17 / H6</x:v>
      </x:c>
      <x:c r="H14" s="24" t="str">
        <x:v>BLD-H6</x:v>
      </x:c>
      <x:c r="I14" s="24" t="str">
        <x:v>String tables, screenshots and input navigation</x:v>
      </x:c>
      <x:c r="J14" s="24" t="str">
        <x:v>Cobertura ES/EN, expansión, escalado y mensajes conforme a 22/29/31.</x:v>
      </x:c>
    </x:row>
    <x:row r="15" ht="34" customHeight="1">
      <x:c r="A15" s="24" t="str">
        <x:v>QA-CNT-011</x:v>
      </x:c>
      <x:c r="B15" s="24" t="str">
        <x:v>VFX</x:v>
      </x:c>
      <x:c r="C15" s="24" t="str">
        <x:v>Critical feedback has visual alternative and no missing assets</x:v>
      </x:c>
      <x:c r="D15" s="24" t="str">
        <x:v>VS-ART-002; ACC-MOTION</x:v>
      </x:c>
      <x:c r="E15" s="24" t="str">
        <x:v>Manual/build/reduced-motion review</x:v>
      </x:c>
      <x:c r="F15" s="24" t="str">
        <x:v>NOT RUN</x:v>
      </x:c>
      <x:c r="G15" s="24" t="str">
        <x:v>Sprint 17 / H6</x:v>
      </x:c>
      <x:c r="H15" s="24" t="str">
        <x:v>BLD-H6</x:v>
      </x:c>
      <x:c r="I15" s="24" t="str">
        <x:v>Event evidence and fallback mapping</x:v>
      </x:c>
      <x:c r="J15" s="24" t="str">
        <x:v>Cada feedback crítico necesita alternativa y respeto de reducción de movimiento.</x:v>
      </x:c>
    </x:row>
    <x:row r="16" ht="34" customHeight="1">
      <x:c r="A16" s="24" t="str">
        <x:v>QA-CNT-012</x:v>
      </x:c>
      <x:c r="B16" s="24" t="str">
        <x:v>Performance</x:v>
      </x:c>
      <x:c r="C16" s="24" t="str">
        <x:v>Representative content meets target in external build</x:v>
      </x:c>
      <x:c r="D16" s="24" t="str">
        <x:v>VS-PER-001; PERF-CONTENT</x:v>
      </x:c>
      <x:c r="E16" s="24" t="str">
        <x:v>Player profiling on target hardware</x:v>
      </x:c>
      <x:c r="F16" s="24" t="str">
        <x:v>NOT RUN</x:v>
      </x:c>
      <x:c r="G16" s="24" t="str">
        <x:v>H6</x:v>
      </x:c>
      <x:c r="H16" s="24" t="str">
        <x:v>BLD-H6</x:v>
      </x:c>
      <x:c r="I16" s="24" t="str">
        <x:v>Profiler, logs, frame-time and memory captures</x:v>
      </x:c>
      <x:c r="J16" s="24" t="str">
        <x:v>Aplicar presupuestos de 30; excepción formal si no se cumple.</x:v>
      </x:c>
    </x:row>
    <x:row r="17">
      <x:c r="A17" t="str">
        <x:v>QA-CNT-013</x:v>
      </x:c>
      <x:c r="B17" t="str">
        <x:v>Accesibilidad</x:v>
      </x:c>
      <x:c r="C17" t="str">
        <x:v>Contenido crítico dispone de señales redundantes y alternativas visuales/auditivas aplicables</x:v>
      </x:c>
      <x:c r="D17" t="str">
        <x:v>ACC-CONTENT</x:v>
      </x:c>
      <x:c r="E17" t="str">
        <x:v>Audit + playtest + 29/31 checklist</x:v>
      </x:c>
      <x:c r="F17" t="str">
        <x:v>NOT RUN</x:v>
      </x:c>
      <x:c r="G17" t="str">
        <x:v>Sprint 17 / H6</x:v>
      </x:c>
      <x:c r="H17" t="str">
        <x:v>BLD-H6</x:v>
      </x:c>
      <x:c r="I17" t="str">
        <x:v>Capturas, vídeo, input and participant notes</x:v>
      </x:c>
      <x:c r="J17" t="str">
        <x:v>No declarar características hasta evidencia reproducible.</x:v>
      </x:c>
    </x:row>
    <x:row r="18">
      <x:c r="A18" t="str">
        <x:v>QA-CNT-014</x:v>
      </x:c>
      <x:c r="B18" t="str">
        <x:v>Medios/Claims</x:v>
      </x:c>
      <x:c r="C18" t="str">
        <x:v>Screenshots, trailer, cápsulas y store assets proceden de build aprobada y claims verificables</x:v>
      </x:c>
      <x:c r="D18" t="str">
        <x:v>REL-MEDIA</x:v>
      </x:c>
      <x:c r="E18" t="str">
        <x:v>Provenance + legal/marketing review</x:v>
      </x:c>
      <x:c r="F18" t="str">
        <x:v>NOT OPEN</x:v>
      </x:c>
      <x:c r="G18" t="str">
        <x:v>Premarketing / Steam</x:v>
      </x:c>
      <x:c r="H18" t="str">
        <x:v>Approved media build</x:v>
      </x:c>
      <x:c r="I18" t="str">
        <x:v>23/24/28/31 signoff and source hashes</x:v>
      </x:c>
      <x:c r="J18" t="str">
        <x:v>No generar campaña pública antes de autorización.</x:v>
      </x:c>
    </x:row>
    <x:row r="19">
      <x:c r="A19" t="str">
        <x:v>QA-CNT-015</x:v>
      </x:c>
      <x:c r="B19" t="str">
        <x:v>Privacidad/Seguridad</x:v>
      </x:c>
      <x:c r="C19" t="str">
        <x:v>Assets, bundles, capturas, logs y metadatos no contienen PII, secretos ni credenciales</x:v>
      </x:c>
      <x:c r="D19" t="str">
        <x:v>SEC-CONTENT</x:v>
      </x:c>
      <x:c r="E19" t="str">
        <x:v>Package inspection + secret/metadata review</x:v>
      </x:c>
      <x:c r="F19" t="str">
        <x:v>NOT RUN</x:v>
      </x:c>
      <x:c r="G19" t="str">
        <x:v>H6 / RC</x:v>
      </x:c>
      <x:c r="H19" t="str">
        <x:v>Candidate build/package</x:v>
      </x:c>
      <x:c r="I19" t="str">
        <x:v>26/27/31 evidence</x:v>
      </x:c>
      <x:c r="J19" t="str">
        <x:v>Corregir y regenerar cualquier paquete afectado.</x:v>
      </x:c>
    </x:row>
    <x:row r="20">
      <x:c r="A20" t="str">
        <x:v>QA-CNT-016</x:v>
      </x:c>
      <x:c r="B20" t="str">
        <x:v>Continuidad</x:v>
      </x:c>
      <x:c r="C20" t="str">
        <x:v>Catálogos, fuentes, meta/GUID y assets críticos se restauran con integridad</x:v>
      </x:c>
      <x:c r="D20" t="str">
        <x:v>BCP-CONTENT</x:v>
      </x:c>
      <x:c r="E20" t="str">
        <x:v>Clean restore and hash verification</x:v>
      </x:c>
      <x:c r="F20" t="str">
        <x:v>NOT RUN</x:v>
      </x:c>
      <x:c r="G20" t="str">
        <x:v>Final Baseline</x:v>
      </x:c>
      <x:c r="H20" t="str">
        <x:v>Documentation/content restore set</x:v>
      </x:c>
      <x:c r="I20" t="str">
        <x:v>32/33/34 restore evidence</x:v>
      </x:c>
      <x:c r="J20" t="str">
        <x:v>Una copia no verificada no cuenta como backup válido.</x:v>
      </x:c>
    </x:row>
  </x:sheetData>
  <x:mergeCells>
    <x:mergeCell ref="A1:J1"/>
    <x:mergeCell ref="A2:J2"/>
  </x:mergeCells>
  <x:conditionalFormatting sqref="F5:F16">
    <x:cfRule type="expression" dxfId="192" priority="1">
      <x:formula>OR(ISNUMBER(SEARCH("PASS",F5)),ISNUMBER(SEARCH("CANONICAL",F5)),ISNUMBER(SEARCH("DONE",F5)))</x:formula>
    </x:cfRule>
    <x:cfRule type="expression" dxfId="193" priority="2">
      <x:formula>OR(ISNUMBER(SEARCH("BLOCK",F5)),ISNUMBER(SEARCH("FAIL",F5)),ISNUMBER(SEARCH("S1",F5)))</x:formula>
    </x:cfRule>
    <x:cfRule type="expression" dxfId="194" priority="3">
      <x:formula>OR(ISNUMBER(SEARCH("PENDING",F5)),ISNUMBER(SEARCH("PLANNED",F5)),ISNUMBER(SEARCH("PARTIAL",F5)),ISNUMBER(SEARCH("PLACEHOLDER",F5)))</x:formula>
    </x:cfRule>
    <x:cfRule type="expression" dxfId="195" priority="4">
      <x:formula>OR(ISNUMBER(SEARCH("VISION",F5)),ISNUMBER(SEARCH("HISTORICAL",F5)))</x:formula>
    </x:cfRule>
  </x:conditionalFormatting>
  <x:dataValidations count="1">
    <x:dataValidation type="list" sqref="F5:F16">
      <x:formula1>"PASS,PARTIAL,NOT RUN,FAIL,BLOCKED,N/A"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bdb423470453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26" hidden="0" customWidth="1"/>
    <x:col min="5" max="5" width="58" hidden="0" customWidth="1"/>
    <x:col min="6" max="6" width="16" hidden="0" customWidth="1"/>
    <x:col min="7" max="7" width="14" hidden="0" customWidth="1"/>
    <x:col min="8" max="8" width="52" hidden="0" customWidth="1"/>
    <x:col min="9" max="9" width="18" hidden="0" customWidth="1"/>
    <x:col min="10" max="10" width="14" hidden="0" customWidth="1"/>
    <x:col min="11" max="11" width="48" hidden="0" customWidth="1"/>
    <x:col min="12" max="12" width="26" hidden="0" customWidth="1"/>
    <x:col min="13" max="13" width="42" hidden="0" customWidth="1"/>
    <x:col min="14" max="14" width="20" hidden="0" customWidth="1"/>
    <x:col min="15" max="15" width="55" hidden="0" customWidth="1"/>
  </x:cols>
  <x:sheetData>
    <x:row r="1" ht="30" customHeight="1">
      <x:c r="A1" s="4" t="str">
        <x:v>Deuda, placeholders y sustituciones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Elementos provisionales, defectos y condiciones de retirada, incluidas accesibilidad, rendimiento, publicación y continuidad.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6" customHeight="1">
      <x:c r="A4" s="17" t="str">
        <x:v>Debt ID</x:v>
      </x:c>
      <x:c r="B4" s="17" t="str">
        <x:v>Tipo</x:v>
      </x:c>
      <x:c r="C4" s="17" t="str">
        <x:v>Severidad</x:v>
      </x:c>
      <x:c r="D4" s="17" t="str">
        <x:v>Área</x:v>
      </x:c>
      <x:c r="E4" s="17" t="str">
        <x:v>Elemento</x:v>
      </x:c>
      <x:c r="F4" s="17" t="str">
        <x:v>Estado</x:v>
      </x:c>
      <x:c r="G4" s="17" t="str">
        <x:v>Placeholder</x:v>
      </x:c>
      <x:c r="H4" s="17" t="str">
        <x:v>Sustituto/Acción</x:v>
      </x:c>
      <x:c r="I4" s="17" t="str">
        <x:v>Sprint objetivo</x:v>
      </x:c>
      <x:c r="J4" s="17" t="str">
        <x:v>Gate</x:v>
      </x:c>
      <x:c r="K4" s="17" t="str">
        <x:v>Fuente</x:v>
      </x:c>
      <x:c r="L4" s="17" t="str">
        <x:v>Requisito</x:v>
      </x:c>
      <x:c r="M4" s="17" t="str">
        <x:v>Evidencia de cierre</x:v>
      </x:c>
      <x:c r="N4" s="17" t="str">
        <x:v>Owner</x:v>
      </x:c>
      <x:c r="O4" s="17" t="str">
        <x:v>Notas</x:v>
      </x:c>
    </x:row>
    <x:row r="5" ht="34" customHeight="1">
      <x:c r="A5" s="24" t="str">
        <x:v>KI-016-01</x:v>
      </x:c>
      <x:c r="B5" s="24" t="str">
        <x:v>Defect</x:v>
      </x:c>
      <x:c r="C5" s="24" t="str">
        <x:v>S1</x:v>
      </x:c>
      <x:c r="D5" s="24" t="str">
        <x:v>Scene</x:v>
      </x:c>
      <x:c r="E5" s="24" t="str">
        <x:v>Walls misplaced/scaled</x:v>
      </x:c>
      <x:c r="F5" s="24" t="str">
        <x:v>Open</x:v>
      </x:c>
      <x:c r="G5" s="24" t="str">
        <x:v>Review</x:v>
      </x:c>
      <x:c r="H5" s="24" t="str">
        <x:v>StoreInitial manual authoring</x:v>
      </x:c>
      <x:c r="I5" s="24" t="str">
        <x:v>Sprint 16</x:v>
      </x:c>
      <x:c r="J5" s="24" t="str">
        <x:v>S16/H6</x:v>
      </x:c>
      <x:c r="K5" s="24" t="str">
        <x:v>12_Excel_Maestro_de_Produccion.xlsx</x:v>
      </x:c>
      <x:c r="L5" s="24" t="str">
        <x:v>S16-WP-003</x:v>
      </x:c>
      <x:c r="M5" s="24" t="str">
        <x:v>Asset/scene/build/test evidence</x:v>
      </x:c>
      <x:c r="N5" s="24" t="str">
        <x:v>VRM Games</x:v>
      </x:c>
      <x:c r="O5" s="24" t="str">
        <x:v>Bloquea aprobación visual</x:v>
      </x:c>
    </x:row>
    <x:row r="6" ht="34" customHeight="1">
      <x:c r="A6" s="24" t="str">
        <x:v>KI-016-02</x:v>
      </x:c>
      <x:c r="B6" s="24" t="str">
        <x:v>Defect</x:v>
      </x:c>
      <x:c r="C6" s="24" t="str">
        <x:v>S1</x:v>
      </x:c>
      <x:c r="D6" s="24" t="str">
        <x:v>Scene</x:v>
      </x:c>
      <x:c r="E6" s="24" t="str">
        <x:v>Door orientation and direction wrong</x:v>
      </x:c>
      <x:c r="F6" s="24" t="str">
        <x:v>Open</x:v>
      </x:c>
      <x:c r="G6" s="24" t="str">
        <x:v>Review</x:v>
      </x:c>
      <x:c r="H6" s="24" t="str">
        <x:v>Explicit references and positions</x:v>
      </x:c>
      <x:c r="I6" s="24" t="str">
        <x:v>Sprint 16</x:v>
      </x:c>
      <x:c r="J6" s="24" t="str">
        <x:v>S16/H6</x:v>
      </x:c>
      <x:c r="K6" s="24" t="str">
        <x:v>12_Excel_Maestro_de_Produccion.xlsx</x:v>
      </x:c>
      <x:c r="L6" s="24" t="str">
        <x:v>S16-WP-004</x:v>
      </x:c>
      <x:c r="M6" s="24" t="str">
        <x:v>Asset/scene/build/test evidence</x:v>
      </x:c>
      <x:c r="N6" s="24" t="str">
        <x:v>VRM Games</x:v>
      </x:c>
      <x:c r="O6" s="24" t="str">
        <x:v>Bloquea acceso/visual</x:v>
      </x:c>
    </x:row>
    <x:row r="7" ht="34" customHeight="1">
      <x:c r="A7" s="24" t="str">
        <x:v>KI-016-03</x:v>
      </x:c>
      <x:c r="B7" s="24" t="str">
        <x:v>Defect</x:v>
      </x:c>
      <x:c r="C7" s="24" t="str">
        <x:v>S1</x:v>
      </x:c>
      <x:c r="D7" s="24" t="str">
        <x:v>Scene</x:v>
      </x:c>
      <x:c r="E7" s="24" t="str">
        <x:v>Warehouse shelf wrong location</x:v>
      </x:c>
      <x:c r="F7" s="24" t="str">
        <x:v>Open</x:v>
      </x:c>
      <x:c r="G7" s="24" t="str">
        <x:v>Review</x:v>
      </x:c>
      <x:c r="H7" s="24" t="str">
        <x:v>Author under InitialFurniture root</x:v>
      </x:c>
      <x:c r="I7" s="24" t="str">
        <x:v>Sprint 16</x:v>
      </x:c>
      <x:c r="J7" s="24" t="str">
        <x:v>S16/H6</x:v>
      </x:c>
      <x:c r="K7" s="24" t="str">
        <x:v>12_Excel_Maestro_de_Produccion.xlsx</x:v>
      </x:c>
      <x:c r="L7" s="24" t="str">
        <x:v>S16-WP-005</x:v>
      </x:c>
      <x:c r="M7" s="24" t="str">
        <x:v>Asset/scene/build/test evidence</x:v>
      </x:c>
      <x:c r="N7" s="24" t="str">
        <x:v>VRM Games</x:v>
      </x:c>
      <x:c r="O7" s="24" t="str">
        <x:v>Bloquea composición</x:v>
      </x:c>
    </x:row>
    <x:row r="8" ht="34" customHeight="1">
      <x:c r="A8" s="24" t="str">
        <x:v>KI-016-04</x:v>
      </x:c>
      <x:c r="B8" s="24" t="str">
        <x:v>Defect</x:v>
      </x:c>
      <x:c r="C8" s="24" t="str">
        <x:v>S2</x:v>
      </x:c>
      <x:c r="D8" s="24" t="str">
        <x:v>Input/UI</x:v>
      </x:c>
      <x:c r="E8" s="24" t="str">
        <x:v>Operations click moves player</x:v>
      </x:c>
      <x:c r="F8" s="24" t="str">
        <x:v>Open</x:v>
      </x:c>
      <x:c r="G8" s="24" t="str">
        <x:v>Review</x:v>
      </x:c>
      <x:c r="H8" s="24" t="str">
        <x:v>EventSystem guard</x:v>
      </x:c>
      <x:c r="I8" s="24" t="str">
        <x:v>Sprint 16</x:v>
      </x:c>
      <x:c r="J8" s="24" t="str">
        <x:v>S16/H6</x:v>
      </x:c>
      <x:c r="K8" s="24" t="str">
        <x:v>12_Excel_Maestro_de_Produccion.xlsx</x:v>
      </x:c>
      <x:c r="L8" s="24" t="str">
        <x:v>S16-WP-010</x:v>
      </x:c>
      <x:c r="M8" s="24" t="str">
        <x:v>Asset/scene/build/test evidence</x:v>
      </x:c>
      <x:c r="N8" s="24" t="str">
        <x:v>VRM Games</x:v>
      </x:c>
      <x:c r="O8" s="24" t="str">
        <x:v>Debe cerrar antes de H6</x:v>
      </x:c>
    </x:row>
    <x:row r="9" ht="34" customHeight="1">
      <x:c r="A9" s="24" t="str">
        <x:v>KI-016-05</x:v>
      </x:c>
      <x:c r="B9" s="24" t="str">
        <x:v>Defect</x:v>
      </x:c>
      <x:c r="C9" s="24" t="str">
        <x:v>S2</x:v>
      </x:c>
      <x:c r="D9" s="24" t="str">
        <x:v>Scene</x:v>
      </x:c>
      <x:c r="E9" s="24" t="str">
        <x:v>Possible duplicate procedural shell</x:v>
      </x:c>
      <x:c r="F9" s="24" t="str">
        <x:v>Open</x:v>
      </x:c>
      <x:c r="G9" s="24" t="str">
        <x:v>Review</x:v>
      </x:c>
      <x:c r="H9" s="24" t="str">
        <x:v>Feature flag and duplicate test</x:v>
      </x:c>
      <x:c r="I9" s="24" t="str">
        <x:v>Sprint 16</x:v>
      </x:c>
      <x:c r="J9" s="24" t="str">
        <x:v>S16/H6</x:v>
      </x:c>
      <x:c r="K9" s="24" t="str">
        <x:v>12_Excel_Maestro_de_Produccion.xlsx</x:v>
      </x:c>
      <x:c r="L9" s="24" t="str">
        <x:v>S16-WP-009</x:v>
      </x:c>
      <x:c r="M9" s="24" t="str">
        <x:v>Asset/scene/build/test evidence</x:v>
      </x:c>
      <x:c r="N9" s="24" t="str">
        <x:v>VRM Games</x:v>
      </x:c>
      <x:c r="O9" s="24" t="str">
        <x:v>Riesgo de doble entorno</x:v>
      </x:c>
    </x:row>
    <x:row r="10" ht="34" customHeight="1">
      <x:c r="A10" s="24" t="str">
        <x:v>SETUP-DEBT-001</x:v>
      </x:c>
      <x:c r="B10" s="24" t="str">
        <x:v>Technical Debt</x:v>
      </x:c>
      <x:c r="C10" s="24" t="str">
        <x:v>S1</x:v>
      </x:c>
      <x:c r="D10" s="24" t="str">
        <x:v>Setup</x:v>
      </x:c>
      <x:c r="E10" s="24" t="str">
        <x:v>Build Profile todavía usa `Store`</x:v>
      </x:c>
      <x:c r="F10" s="24" t="str">
        <x:v>Open</x:v>
      </x:c>
      <x:c r="G10" s="24" t="str">
        <x:v>Review</x:v>
      </x:c>
      <x:c r="H10" s="24" t="str">
        <x:v>cerrar Sprint 16 antes de sustituir</x:v>
      </x:c>
      <x:c r="I10" s="24" t="str">
        <x:v>Sprint 16</x:v>
      </x:c>
      <x:c r="J10" s="24" t="str">
        <x:v>S16/H6</x:v>
      </x:c>
      <x:c r="K10" s="24" t="str">
        <x:v>12_Excel_Maestro_de_Produccion.xlsx</x:v>
      </x:c>
      <x:c r="L10" s="24" t="str">
        <x:v>SETUP-DEBT-001</x:v>
      </x:c>
      <x:c r="M10" s="24" t="str">
        <x:v>Asset/scene/build/test evidence</x:v>
      </x:c>
      <x:c r="N10" s="24" t="str">
        <x:v>VRM Games</x:v>
      </x:c>
      <x:c r="O10" s="24" t="str">
        <x:v>StoreInitial no está en build</x:v>
      </x:c>
    </x:row>
    <x:row r="11" ht="34" customHeight="1">
      <x:c r="A11" s="24" t="str">
        <x:v>SETUP-DEBT-002</x:v>
      </x:c>
      <x:c r="B11" s="24" t="str">
        <x:v>Technical Debt</x:v>
      </x:c>
      <x:c r="C11" s="24" t="str">
        <x:v>S1</x:v>
      </x:c>
      <x:c r="D11" s="24" t="str">
        <x:v>Setup</x:v>
      </x:c>
      <x:c r="E11" s="24" t="str">
        <x:v>`StoreRuntimeSettings` apunta a `Store` y blockout activo</x:v>
      </x:c>
      <x:c r="F11" s="24" t="str">
        <x:v>Open</x:v>
      </x:c>
      <x:c r="G11" s="24" t="str">
        <x:v>Review</x:v>
      </x:c>
      <x:c r="H11" s="24" t="str">
        <x:v>migración controlada</x:v>
      </x:c>
      <x:c r="I11" s="24" t="str">
        <x:v>Sprint 16</x:v>
      </x:c>
      <x:c r="J11" s="24" t="str">
        <x:v>S16/H6</x:v>
      </x:c>
      <x:c r="K11" s="24" t="str">
        <x:v>12_Excel_Maestro_de_Produccion.xlsx</x:v>
      </x:c>
      <x:c r="L11" s="24" t="str">
        <x:v>SETUP-DEBT-002</x:v>
      </x:c>
      <x:c r="M11" s="24" t="str">
        <x:v>Asset/scene/build/test evidence</x:v>
      </x:c>
      <x:c r="N11" s="24" t="str">
        <x:v>VRM Games</x:v>
      </x:c>
      <x:c r="O11" s="24" t="str">
        <x:v>doble shell o escena equivocada</x:v>
      </x:c>
    </x:row>
    <x:row r="12" ht="34" customHeight="1">
      <x:c r="A12" s="24" t="str">
        <x:v>SETUP-DEBT-003</x:v>
      </x:c>
      <x:c r="B12" s="24" t="str">
        <x:v>Technical Debt</x:v>
      </x:c>
      <x:c r="C12" s="24" t="str">
        <x:v>S2</x:v>
      </x:c>
      <x:c r="D12" s="24" t="str">
        <x:v>Setup</x:v>
      </x:c>
      <x:c r="E12" s="24" t="str">
        <x:v>resolución por defecto `1024×768`</x:v>
      </x:c>
      <x:c r="F12" s="24" t="str">
        <x:v>Open</x:v>
      </x:c>
      <x:c r="G12" s="24" t="str">
        <x:v>Review</x:v>
      </x:c>
      <x:c r="H12" s="24" t="str">
        <x:v>decidir antes de H6</x:v>
      </x:c>
      <x:c r="I12" s="24" t="str">
        <x:v>Sprint 17/Post-H6</x:v>
      </x:c>
      <x:c r="J12" s="24" t="str">
        <x:v>S16/H6</x:v>
      </x:c>
      <x:c r="K12" s="24" t="str">
        <x:v>12_Excel_Maestro_de_Produccion.xlsx</x:v>
      </x:c>
      <x:c r="L12" s="24" t="str">
        <x:v>SETUP-DEBT-003</x:v>
      </x:c>
      <x:c r="M12" s="24" t="str">
        <x:v>Asset/scene/build/test evidence</x:v>
      </x:c>
      <x:c r="N12" s="24" t="str">
        <x:v>VRM Games</x:v>
      </x:c>
      <x:c r="O12" s="24" t="str">
        <x:v>no representa objetivo de validación</x:v>
      </x:c>
    </x:row>
    <x:row r="13" ht="34" customHeight="1">
      <x:c r="A13" s="24" t="str">
        <x:v>SETUP-DEBT-004</x:v>
      </x:c>
      <x:c r="B13" s="24" t="str">
        <x:v>Technical Debt</x:v>
      </x:c>
      <x:c r="C13" s="24" t="str">
        <x:v>S2</x:v>
      </x:c>
      <x:c r="D13" s="24" t="str">
        <x:v>Setup</x:v>
      </x:c>
      <x:c r="E13" s="24" t="str">
        <x:v>ventana no redimensionable</x:v>
      </x:c>
      <x:c r="F13" s="24" t="str">
        <x:v>Open</x:v>
      </x:c>
      <x:c r="G13" s="24" t="str">
        <x:v>Review</x:v>
      </x:c>
      <x:c r="H13" s="24" t="str">
        <x:v>validar UX</x:v>
      </x:c>
      <x:c r="I13" s="24" t="str">
        <x:v>Sprint 17/Post-H6</x:v>
      </x:c>
      <x:c r="J13" s="24" t="str">
        <x:v>S16/H6</x:v>
      </x:c>
      <x:c r="K13" s="24" t="str">
        <x:v>12_Excel_Maestro_de_Produccion.xlsx</x:v>
      </x:c>
      <x:c r="L13" s="24" t="str">
        <x:v>SETUP-DEBT-004</x:v>
      </x:c>
      <x:c r="M13" s="24" t="str">
        <x:v>Asset/scene/build/test evidence</x:v>
      </x:c>
      <x:c r="N13" s="24" t="str">
        <x:v>VRM Games</x:v>
      </x:c>
      <x:c r="O13" s="24" t="str">
        <x:v>posible fricción PC</x:v>
      </x:c>
    </x:row>
    <x:row r="14" ht="34" customHeight="1">
      <x:c r="A14" s="24" t="str">
        <x:v>SETUP-DEBT-005</x:v>
      </x:c>
      <x:c r="B14" s="24" t="str">
        <x:v>Technical Debt</x:v>
      </x:c>
      <x:c r="C14" s="24" t="str">
        <x:v>S1</x:v>
      </x:c>
      <x:c r="D14" s="24" t="str">
        <x:v>Setup</x:v>
      </x:c>
      <x:c r="E14" s="24" t="str">
        <x:v>Localization sin tablas visibles</x:v>
      </x:c>
      <x:c r="F14" s="24" t="str">
        <x:v>Open</x:v>
      </x:c>
      <x:c r="G14" s="24" t="str">
        <x:v>Review</x:v>
      </x:c>
      <x:c r="H14" s="24" t="str">
        <x:v>completar en Sprint 17/H6</x:v>
      </x:c>
      <x:c r="I14" s="24" t="str">
        <x:v>Sprint 17/Post-H6</x:v>
      </x:c>
      <x:c r="J14" s="24" t="str">
        <x:v>S16/H6</x:v>
      </x:c>
      <x:c r="K14" s="24" t="str">
        <x:v>12_Excel_Maestro_de_Produccion.xlsx</x:v>
      </x:c>
      <x:c r="L14" s="24" t="str">
        <x:v>SETUP-DEBT-005</x:v>
      </x:c>
      <x:c r="M14" s="24" t="str">
        <x:v>Asset/scene/build/test evidence</x:v>
      </x:c>
      <x:c r="N14" s="24" t="str">
        <x:v>VRM Games</x:v>
      </x:c>
      <x:c r="O14" s="24" t="str">
        <x:v>ES/EN no queda demostrado</x:v>
      </x:c>
    </x:row>
    <x:row r="15" ht="34" customHeight="1">
      <x:c r="A15" s="24" t="str">
        <x:v>SETUP-DEBT-006</x:v>
      </x:c>
      <x:c r="B15" s="24" t="str">
        <x:v>Technical Debt</x:v>
      </x:c>
      <x:c r="C15" s="24" t="str">
        <x:v>S2</x:v>
      </x:c>
      <x:c r="D15" s="24" t="str">
        <x:v>Setup</x:v>
      </x:c>
      <x:c r="E15" s="24" t="str">
        <x:v>no hay tags/layers propios</x:v>
      </x:c>
      <x:c r="F15" s="24" t="str">
        <x:v>Open</x:v>
      </x:c>
      <x:c r="G15" s="24" t="str">
        <x:v>Review</x:v>
      </x:c>
      <x:c r="H15" s="24" t="str">
        <x:v>añadir solo con caso real</x:v>
      </x:c>
      <x:c r="I15" s="24" t="str">
        <x:v>Sprint 17/Post-H6</x:v>
      </x:c>
      <x:c r="J15" s="24" t="str">
        <x:v>S16/H6</x:v>
      </x:c>
      <x:c r="K15" s="24" t="str">
        <x:v>12_Excel_Maestro_de_Produccion.xlsx</x:v>
      </x:c>
      <x:c r="L15" s="24" t="str">
        <x:v>SETUP-DEBT-006</x:v>
      </x:c>
      <x:c r="M15" s="24" t="str">
        <x:v>Asset/scene/build/test evidence</x:v>
      </x:c>
      <x:c r="N15" s="24" t="str">
        <x:v>VRM Games</x:v>
      </x:c>
      <x:c r="O15" s="24" t="str">
        <x:v>no es defecto; limita máscaras nominales</x:v>
      </x:c>
    </x:row>
    <x:row r="16" ht="34" customHeight="1">
      <x:c r="A16" s="24" t="str">
        <x:v>SETUP-DEBT-007</x:v>
      </x:c>
      <x:c r="B16" s="24" t="str">
        <x:v>Technical Debt</x:v>
      </x:c>
      <x:c r="C16" s="24" t="str">
        <x:v>S2</x:v>
      </x:c>
      <x:c r="D16" s="24" t="str">
        <x:v>Setup</x:v>
      </x:c>
      <x:c r="E16" s="24" t="str">
        <x:v>no hay `.editorconfig` ni analyzers</x:v>
      </x:c>
      <x:c r="F16" s="24" t="str">
        <x:v>Open</x:v>
      </x:c>
      <x:c r="G16" s="24" t="str">
        <x:v>Review</x:v>
      </x:c>
      <x:c r="H16" s="24" t="str">
        <x:v>plan gradual de Coding Standards</x:v>
      </x:c>
      <x:c r="I16" s="24" t="str">
        <x:v>Sprint 17/Post-H6</x:v>
      </x:c>
      <x:c r="J16" s="24" t="str">
        <x:v>S16/H6</x:v>
      </x:c>
      <x:c r="K16" s="24" t="str">
        <x:v>12_Excel_Maestro_de_Produccion.xlsx</x:v>
      </x:c>
      <x:c r="L16" s="24" t="str">
        <x:v>SETUP-DEBT-007</x:v>
      </x:c>
      <x:c r="M16" s="24" t="str">
        <x:v>Asset/scene/build/test evidence</x:v>
      </x:c>
      <x:c r="N16" s="24" t="str">
        <x:v>VRM Games</x:v>
      </x:c>
      <x:c r="O16" s="24" t="str">
        <x:v>estilo no automatizado</x:v>
      </x:c>
    </x:row>
    <x:row r="17" ht="34" customHeight="1">
      <x:c r="A17" s="24" t="str">
        <x:v>SETUP-DEBT-008</x:v>
      </x:c>
      <x:c r="B17" s="24" t="str">
        <x:v>Technical Debt</x:v>
      </x:c>
      <x:c r="C17" s="24" t="str">
        <x:v>S2</x:v>
      </x:c>
      <x:c r="D17" s="24" t="str">
        <x:v>Setup</x:v>
      </x:c>
      <x:c r="E17" s="24" t="str">
        <x:v>no hay Git LFS</x:v>
      </x:c>
      <x:c r="F17" s="24" t="str">
        <x:v>Open</x:v>
      </x:c>
      <x:c r="G17" s="24" t="str">
        <x:v>Review</x:v>
      </x:c>
      <x:c r="H17" s="24" t="str">
        <x:v>medir y decidir</x:v>
      </x:c>
      <x:c r="I17" s="24" t="str">
        <x:v>Sprint 17/Post-H6</x:v>
      </x:c>
      <x:c r="J17" s="24" t="str">
        <x:v>S16/H6</x:v>
      </x:c>
      <x:c r="K17" s="24" t="str">
        <x:v>12_Excel_Maestro_de_Produccion.xlsx</x:v>
      </x:c>
      <x:c r="L17" s="24" t="str">
        <x:v>SETUP-DEBT-008</x:v>
      </x:c>
      <x:c r="M17" s="24" t="str">
        <x:v>Asset/scene/build/test evidence</x:v>
      </x:c>
      <x:c r="N17" s="24" t="str">
        <x:v>VRM Games</x:v>
      </x:c>
      <x:c r="O17" s="24" t="str">
        <x:v>crecimiento de binarios</x:v>
      </x:c>
    </x:row>
    <x:row r="18" ht="34" customHeight="1">
      <x:c r="A18" s="24" t="str">
        <x:v>SETUP-DEBT-009</x:v>
      </x:c>
      <x:c r="B18" s="24" t="str">
        <x:v>Technical Debt</x:v>
      </x:c>
      <x:c r="C18" s="24" t="str">
        <x:v>S2</x:v>
      </x:c>
      <x:c r="D18" s="24" t="str">
        <x:v>Setup</x:v>
      </x:c>
      <x:c r="E18" s="24" t="str">
        <x:v>asset de Input incluye acciones genéricas</x:v>
      </x:c>
      <x:c r="F18" s="24" t="str">
        <x:v>Open</x:v>
      </x:c>
      <x:c r="G18" s="24" t="str">
        <x:v>Review</x:v>
      </x:c>
      <x:c r="H18" s="24" t="str">
        <x:v>limpiar sin romper IDs usados</x:v>
      </x:c>
      <x:c r="I18" s="24" t="str">
        <x:v>Sprint 17/Post-H6</x:v>
      </x:c>
      <x:c r="J18" s="24" t="str">
        <x:v>S16/H6</x:v>
      </x:c>
      <x:c r="K18" s="24" t="str">
        <x:v>12_Excel_Maestro_de_Produccion.xlsx</x:v>
      </x:c>
      <x:c r="L18" s="24" t="str">
        <x:v>SETUP-DEBT-009</x:v>
      </x:c>
      <x:c r="M18" s="24" t="str">
        <x:v>Asset/scene/build/test evidence</x:v>
      </x:c>
      <x:c r="N18" s="24" t="str">
        <x:v>VRM Games</x:v>
      </x:c>
      <x:c r="O18" s="24" t="str">
        <x:v>contrato confuso</x:v>
      </x:c>
    </x:row>
    <x:row r="19" ht="34" customHeight="1">
      <x:c r="A19" s="24" t="str">
        <x:v>SETUP-DEBT-010</x:v>
      </x:c>
      <x:c r="B19" s="24" t="str">
        <x:v>Technical Debt</x:v>
      </x:c>
      <x:c r="C19" s="24" t="str">
        <x:v>S2</x:v>
      </x:c>
      <x:c r="D19" s="24" t="str">
        <x:v>Setup</x:v>
      </x:c>
      <x:c r="E19" s="24" t="str">
        <x:v>TestLab incluido en Development profile</x:v>
      </x:c>
      <x:c r="F19" s="24" t="str">
        <x:v>Open</x:v>
      </x:c>
      <x:c r="G19" s="24" t="str">
        <x:v>Review</x:v>
      </x:c>
      <x:c r="H19" s="24" t="str">
        <x:v>profile de candidato separado</x:v>
      </x:c>
      <x:c r="I19" s="24" t="str">
        <x:v>Sprint 17/Post-H6</x:v>
      </x:c>
      <x:c r="J19" s="24" t="str">
        <x:v>S16/H6</x:v>
      </x:c>
      <x:c r="K19" s="24" t="str">
        <x:v>12_Excel_Maestro_de_Produccion.xlsx</x:v>
      </x:c>
      <x:c r="L19" s="24" t="str">
        <x:v>SETUP-DEBT-010</x:v>
      </x:c>
      <x:c r="M19" s="24" t="str">
        <x:v>Asset/scene/build/test evidence</x:v>
      </x:c>
      <x:c r="N19" s="24" t="str">
        <x:v>VRM Games</x:v>
      </x:c>
      <x:c r="O19" s="24" t="str">
        <x:v>no apto para release</x:v>
      </x:c>
    </x:row>
    <x:row r="20" ht="34" customHeight="1">
      <x:c r="A20" s="24" t="str">
        <x:v>DEBT-BUILD-001</x:v>
      </x:c>
      <x:c r="B20" s="24" t="str">
        <x:v>Tooling Debt</x:v>
      </x:c>
      <x:c r="C20" s="24" t="str">
        <x:v>S2</x:v>
      </x:c>
      <x:c r="D20" s="24" t="str">
        <x:v>Build</x:v>
      </x:c>
      <x:c r="E20" s="24" t="str">
        <x:v>No existe BuildCommand automatizado completo</x:v>
      </x:c>
      <x:c r="F20" s="24" t="str">
        <x:v>Open</x:v>
      </x:c>
      <x:c r="G20" s="24" t="str">
        <x:v>Review</x:v>
      </x:c>
      <x:c r="H20" s="24" t="str">
        <x:v>Implementar tras H6 con códigos de salida</x:v>
      </x:c>
      <x:c r="I20" s="24" t="str">
        <x:v>Post-H6</x:v>
      </x:c>
      <x:c r="J20" s="24" t="str">
        <x:v>S16/H6</x:v>
      </x:c>
      <x:c r="K20" s="24" t="str">
        <x:v>12_Excel_Maestro_de_Produccion.xlsx</x:v>
      </x:c>
      <x:c r="L20" s="24" t="str">
        <x:v>BUILD-STD-029</x:v>
      </x:c>
      <x:c r="M20" s="24" t="str">
        <x:v>Asset/scene/build/test evidence</x:v>
      </x:c>
      <x:c r="N20" s="24" t="str">
        <x:v>VRM Games</x:v>
      </x:c>
      <x:c r="O20" s="24"/>
    </x:row>
    <x:row r="21" ht="34" customHeight="1">
      <x:c r="A21" s="24" t="str">
        <x:v>DEBT-BUILD-002</x:v>
      </x:c>
      <x:c r="B21" s="24" t="str">
        <x:v>Process Debt</x:v>
      </x:c>
      <x:c r="C21" s="24" t="str">
        <x:v>S2</x:v>
      </x:c>
      <x:c r="D21" s="24" t="str">
        <x:v>Build</x:v>
      </x:c>
      <x:c r="E21" s="24" t="str">
        <x:v>CI futura no configurada</x:v>
      </x:c>
      <x:c r="F21" s="24" t="str">
        <x:v>Open</x:v>
      </x:c>
      <x:c r="G21" s="24" t="str">
        <x:v>Review</x:v>
      </x:c>
      <x:c r="H21" s="24" t="str">
        <x:v>Diseñar pipeline cuando el build local sea estable</x:v>
      </x:c>
      <x:c r="I21" s="24" t="str">
        <x:v>Post-H6</x:v>
      </x:c>
      <x:c r="J21" s="24" t="str">
        <x:v>S16/H6</x:v>
      </x:c>
      <x:c r="K21" s="24" t="str">
        <x:v>12_Excel_Maestro_de_Produccion.xlsx</x:v>
      </x:c>
      <x:c r="L21" s="24" t="str">
        <x:v>BUILD-STD-029</x:v>
      </x:c>
      <x:c r="M21" s="24" t="str">
        <x:v>Asset/scene/build/test evidence</x:v>
      </x:c>
      <x:c r="N21" s="24" t="str">
        <x:v>VRM Games</x:v>
      </x:c>
      <x:c r="O21" s="24"/>
    </x:row>
    <x:row r="22" ht="34" customHeight="1">
      <x:c r="A22" s="24" t="str">
        <x:v>DEBT-LOC-001</x:v>
      </x:c>
      <x:c r="B22" s="24" t="str">
        <x:v>Content Debt</x:v>
      </x:c>
      <x:c r="C22" s="24" t="str">
        <x:v>S2</x:v>
      </x:c>
      <x:c r="D22" s="24" t="str">
        <x:v>Localization</x:v>
      </x:c>
      <x:c r="E22" s="24" t="str">
        <x:v>No existen tablas ES/EN visibles</x:v>
      </x:c>
      <x:c r="F22" s="24" t="str">
        <x:v>Open</x:v>
      </x:c>
      <x:c r="G22" s="24" t="str">
        <x:v>Review</x:v>
      </x:c>
      <x:c r="H22" s="24" t="str">
        <x:v>Crear tablas y pruebas de truncamiento</x:v>
      </x:c>
      <x:c r="I22" s="24" t="str">
        <x:v>Sprint 17</x:v>
      </x:c>
      <x:c r="J22" s="24" t="str">
        <x:v>S16/H6</x:v>
      </x:c>
      <x:c r="K22" s="24" t="str">
        <x:v>12_Excel_Maestro_de_Produccion.xlsx</x:v>
      </x:c>
      <x:c r="L22" s="24" t="str">
        <x:v>SETUP-DEBT-005</x:v>
      </x:c>
      <x:c r="M22" s="24" t="str">
        <x:v>Asset/scene/build/test evidence</x:v>
      </x:c>
      <x:c r="N22" s="24" t="str">
        <x:v>VRM Games</x:v>
      </x:c>
      <x:c r="O22" s="24"/>
    </x:row>
    <x:row r="23" ht="34" customHeight="1">
      <x:c r="A23" s="24" t="str">
        <x:v>CNT-DEBT-001</x:v>
      </x:c>
      <x:c r="B23" s="24" t="str">
        <x:v>Architecture</x:v>
      </x:c>
      <x:c r="C23" s="24" t="str">
        <x:v>S1</x:v>
      </x:c>
      <x:c r="D23" s="24" t="str">
        <x:v>StoreInitial</x:v>
      </x:c>
      <x:c r="E23" s="24" t="str">
        <x:v>Runtime still points to Store</x:v>
      </x:c>
      <x:c r="F23" s="24" t="str">
        <x:v>Open</x:v>
      </x:c>
      <x:c r="G23" s="24" t="str">
        <x:v>No</x:v>
      </x:c>
      <x:c r="H23" s="24" t="str">
        <x:v>Set Build Profile/settings and explicit scene context</x:v>
      </x:c>
      <x:c r="I23" s="24" t="n">
        <x:v>16</x:v>
      </x:c>
      <x:c r="J23" s="24" t="str">
        <x:v>S16</x:v>
      </x:c>
      <x:c r="K23" s="24" t="str">
        <x:v>17_Art_Bible.md</x:v>
      </x:c>
      <x:c r="L23" s="24" t="str">
        <x:v>VS-SCN-001</x:v>
      </x:c>
      <x:c r="M23" s="24" t="str">
        <x:v>Asset/scene/build/test evidence</x:v>
      </x:c>
      <x:c r="N23" s="24" t="str">
        <x:v>VRM Games</x:v>
      </x:c>
      <x:c r="O23" s="24" t="str"/>
    </x:row>
    <x:row r="24" ht="34" customHeight="1">
      <x:c r="A24" s="24" t="str">
        <x:v>CNT-DEBT-002</x:v>
      </x:c>
      <x:c r="B24" s="24" t="str">
        <x:v>Architecture</x:v>
      </x:c>
      <x:c r="C24" s="24" t="str">
        <x:v>S1</x:v>
      </x:c>
      <x:c r="D24" s="24" t="str">
        <x:v>StoreInitial</x:v>
      </x:c>
      <x:c r="E24" s="24" t="str">
        <x:v>Procedural blockout remains enabled</x:v>
      </x:c>
      <x:c r="F24" s="24" t="str">
        <x:v>Open</x:v>
      </x:c>
      <x:c r="G24" s="24" t="str">
        <x:v>Yes</x:v>
      </x:c>
      <x:c r="H24" s="24" t="str">
        <x:v>Disable after authored environment integration</x:v>
      </x:c>
      <x:c r="I24" s="24" t="n">
        <x:v>16</x:v>
      </x:c>
      <x:c r="J24" s="24" t="str">
        <x:v>S16</x:v>
      </x:c>
      <x:c r="K24" s="24" t="str">
        <x:v>StoreRuntimeSettings.asset</x:v>
      </x:c>
      <x:c r="L24" s="24" t="str">
        <x:v>VS-SCN-002</x:v>
      </x:c>
      <x:c r="M24" s="24" t="str">
        <x:v>Asset/scene/build/test evidence</x:v>
      </x:c>
      <x:c r="N24" s="24" t="str">
        <x:v>VRM Games</x:v>
      </x:c>
      <x:c r="O24" s="24" t="str"/>
    </x:row>
    <x:row r="25" ht="34" customHeight="1">
      <x:c r="A25" s="24" t="str">
        <x:v>CNT-DEBT-003</x:v>
      </x:c>
      <x:c r="B25" s="24" t="str">
        <x:v>Characters</x:v>
      </x:c>
      <x:c r="C25" s="24" t="str">
        <x:v>S2</x:v>
      </x:c>
      <x:c r="D25" s="24" t="str">
        <x:v>Characters</x:v>
      </x:c>
      <x:c r="E25" s="24" t="str">
        <x:v>Representative data prefabs without final visual variants</x:v>
      </x:c>
      <x:c r="F25" s="24" t="str">
        <x:v>Open</x:v>
      </x:c>
      <x:c r="G25" s="24" t="str">
        <x:v>Yes</x:v>
      </x:c>
      <x:c r="H25" s="24" t="str">
        <x:v>Map final/approved representative models</x:v>
      </x:c>
      <x:c r="I25" s="24" t="n">
        <x:v>17</x:v>
      </x:c>
      <x:c r="J25" s="24" t="str">
        <x:v>H6</x:v>
      </x:c>
      <x:c r="K25" s="24" t="str">
        <x:v>17_Art_Bible.md</x:v>
      </x:c>
      <x:c r="L25" s="24" t="str">
        <x:v>VS-ART-001</x:v>
      </x:c>
      <x:c r="M25" s="24" t="str">
        <x:v>Asset/scene/build/test evidence</x:v>
      </x:c>
      <x:c r="N25" s="24" t="str">
        <x:v>VRM Games</x:v>
      </x:c>
      <x:c r="O25" s="24" t="str"/>
    </x:row>
    <x:row r="26" ht="34" customHeight="1">
      <x:c r="A26" s="24" t="str">
        <x:v>CNT-DEBT-004</x:v>
      </x:c>
      <x:c r="B26" s="24" t="str">
        <x:v>Art</x:v>
      </x:c>
      <x:c r="C26" s="24" t="str">
        <x:v>S2</x:v>
      </x:c>
      <x:c r="D26" s="24" t="str">
        <x:v>Textures</x:v>
      </x:c>
      <x:c r="E26" s="24" t="str">
        <x:v>Production texture set incomplete</x:v>
      </x:c>
      <x:c r="F26" s="24" t="str">
        <x:v>Open</x:v>
      </x:c>
      <x:c r="G26" s="24" t="str">
        <x:v>Yes</x:v>
      </x:c>
      <x:c r="H26" s="24" t="str">
        <x:v>Create/approve final textures and import settings</x:v>
      </x:c>
      <x:c r="I26" s="24" t="n">
        <x:v>17</x:v>
      </x:c>
      <x:c r="J26" s="24" t="str">
        <x:v>H6</x:v>
      </x:c>
      <x:c r="K26" s="24" t="str">
        <x:v>17_Art_Bible.md</x:v>
      </x:c>
      <x:c r="L26" s="24" t="str">
        <x:v>VS-ART-001</x:v>
      </x:c>
      <x:c r="M26" s="24" t="str">
        <x:v>Asset/scene/build/test evidence</x:v>
      </x:c>
      <x:c r="N26" s="24" t="str">
        <x:v>VRM Games</x:v>
      </x:c>
      <x:c r="O26" s="24" t="str"/>
    </x:row>
    <x:row r="27" ht="34" customHeight="1">
      <x:c r="A27" s="24" t="str">
        <x:v>CNT-DEBT-005</x:v>
      </x:c>
      <x:c r="B27" s="24" t="str">
        <x:v>VFX</x:v>
      </x:c>
      <x:c r="C27" s="24" t="str">
        <x:v>S2</x:v>
      </x:c>
      <x:c r="D27" s="24" t="str">
        <x:v>VFX</x:v>
      </x:c>
      <x:c r="E27" s="24" t="str">
        <x:v>No dedicated VFX assets demonstrated</x:v>
      </x:c>
      <x:c r="F27" s="24" t="str">
        <x:v>Open</x:v>
      </x:c>
      <x:c r="G27" s="24" t="str">
        <x:v>Yes</x:v>
      </x:c>
      <x:c r="H27" s="24" t="str">
        <x:v>Create critical feedback VFX or approve fallback</x:v>
      </x:c>
      <x:c r="I27" s="24" t="n">
        <x:v>17</x:v>
      </x:c>
      <x:c r="J27" s="24" t="str">
        <x:v>H6</x:v>
      </x:c>
      <x:c r="K27" s="24" t="str">
        <x:v>17_Art_Bible.md</x:v>
      </x:c>
      <x:c r="L27" s="24" t="str">
        <x:v>VS-ART-002</x:v>
      </x:c>
      <x:c r="M27" s="24" t="str">
        <x:v>Asset/scene/build/test evidence</x:v>
      </x:c>
      <x:c r="N27" s="24" t="str">
        <x:v>VRM Games</x:v>
      </x:c>
      <x:c r="O27" s="24" t="str"/>
    </x:row>
    <x:row r="28" ht="34" customHeight="1">
      <x:c r="A28" s="24" t="str">
        <x:v>CNT-DEBT-006</x:v>
      </x:c>
      <x:c r="B28" s="24" t="str">
        <x:v>Audio</x:v>
      </x:c>
      <x:c r="C28" s="24" t="str">
        <x:v>S2</x:v>
      </x:c>
      <x:c r="D28" s="24" t="str">
        <x:v>Music/Ambience</x:v>
      </x:c>
      <x:c r="E28" s="24" t="str">
        <x:v>Four-second mono loops are placeholders</x:v>
      </x:c>
      <x:c r="F28" s="24" t="str">
        <x:v>Open</x:v>
      </x:c>
      <x:c r="G28" s="24" t="str">
        <x:v>Yes</x:v>
      </x:c>
      <x:c r="H28" s="24" t="str">
        <x:v>Replace with approved loops and listening QA</x:v>
      </x:c>
      <x:c r="I28" s="24" t="n">
        <x:v>17</x:v>
      </x:c>
      <x:c r="J28" s="24" t="str">
        <x:v>H6</x:v>
      </x:c>
      <x:c r="K28" s="24" t="str">
        <x:v>18_Audio_Bible.md</x:v>
      </x:c>
      <x:c r="L28" s="24" t="str">
        <x:v>VS-AUD-001</x:v>
      </x:c>
      <x:c r="M28" s="24" t="str">
        <x:v>Asset/scene/build/test evidence</x:v>
      </x:c>
      <x:c r="N28" s="24" t="str">
        <x:v>VRM Games</x:v>
      </x:c>
      <x:c r="O28" s="24" t="str"/>
    </x:row>
    <x:row r="29" ht="34" customHeight="1">
      <x:c r="A29" s="24" t="str">
        <x:v>CNT-DEBT-007</x:v>
      </x:c>
      <x:c r="B29" s="24" t="str">
        <x:v>UI</x:v>
      </x:c>
      <x:c r="C29" s="24" t="str">
        <x:v>S1</x:v>
      </x:c>
      <x:c r="D29" s="24" t="str">
        <x:v>Input/UI</x:v>
      </x:c>
      <x:c r="E29" s="24" t="str">
        <x:v>Click-through and focus regression risk</x:v>
      </x:c>
      <x:c r="F29" s="24" t="str">
        <x:v>Open</x:v>
      </x:c>
      <x:c r="G29" s="24" t="str">
        <x:v>No</x:v>
      </x:c>
      <x:c r="H29" s="24" t="str">
        <x:v>Exclusive UI input tests and fix</x:v>
      </x:c>
      <x:c r="I29" s="24" t="n">
        <x:v>17</x:v>
      </x:c>
      <x:c r="J29" s="24" t="str">
        <x:v>H6</x:v>
      </x:c>
      <x:c r="K29" s="24" t="str">
        <x:v>19_UI_Style_Guide.md</x:v>
      </x:c>
      <x:c r="L29" s="24" t="str">
        <x:v>VS-INP-001</x:v>
      </x:c>
      <x:c r="M29" s="24" t="str">
        <x:v>Asset/scene/build/test evidence</x:v>
      </x:c>
      <x:c r="N29" s="24" t="str">
        <x:v>VRM Games</x:v>
      </x:c>
      <x:c r="O29" s="24" t="str"/>
    </x:row>
    <x:row r="30" ht="34" customHeight="1">
      <x:c r="A30" s="24" t="str">
        <x:v>CNT-DEBT-008</x:v>
      </x:c>
      <x:c r="B30" s="24" t="str">
        <x:v>Localization</x:v>
      </x:c>
      <x:c r="C30" s="24" t="str">
        <x:v>S2</x:v>
      </x:c>
      <x:c r="D30" s="24" t="str">
        <x:v>ES/EN</x:v>
      </x:c>
      <x:c r="E30" s="24" t="str">
        <x:v>String tables absent</x:v>
      </x:c>
      <x:c r="F30" s="24" t="str">
        <x:v>Open</x:v>
      </x:c>
      <x:c r="G30" s="24" t="str">
        <x:v>Yes</x:v>
      </x:c>
      <x:c r="H30" s="24" t="str">
        <x:v>Create locales/tables and layout tests</x:v>
      </x:c>
      <x:c r="I30" s="24" t="n">
        <x:v>17</x:v>
      </x:c>
      <x:c r="J30" s="24" t="str">
        <x:v>H6</x:v>
      </x:c>
      <x:c r="K30" s="24" t="str">
        <x:v>19_UI_Style_Guide.md</x:v>
      </x:c>
      <x:c r="L30" s="24" t="str">
        <x:v>VS-UI-002</x:v>
      </x:c>
      <x:c r="M30" s="24" t="str">
        <x:v>Asset/scene/build/test evidence</x:v>
      </x:c>
      <x:c r="N30" s="24" t="str">
        <x:v>VRM Games</x:v>
      </x:c>
      <x:c r="O30" s="24" t="str"/>
    </x:row>
    <x:row r="31" ht="34" customHeight="1">
      <x:c r="A31" s="24" t="str">
        <x:v>CNT-DEBT-009</x:v>
      </x:c>
      <x:c r="B31" s="24" t="str">
        <x:v>Economy</x:v>
      </x:c>
      <x:c r="C31" s="24" t="str">
        <x:v>S1</x:v>
      </x:c>
      <x:c r="D31" s="24" t="str">
        <x:v>Products</x:v>
      </x:c>
      <x:c r="E31" s="24" t="str">
        <x:v>Canonical and technical catalogs diverge</x:v>
      </x:c>
      <x:c r="F31" s="24" t="str">
        <x:v>Open</x:v>
      </x:c>
      <x:c r="G31" s="24" t="str">
        <x:v>No</x:v>
      </x:c>
      <x:c r="H31" s="24" t="str">
        <x:v>Choose authority, map IDs, migrate saves</x:v>
      </x:c>
      <x:c r="I31" s="24" t="n">
        <x:v>17</x:v>
      </x:c>
      <x:c r="J31" s="24" t="str">
        <x:v>H6</x:v>
      </x:c>
      <x:c r="K31" s="24" t="str">
        <x:v>20_Economy_and_Balance_Specification.md</x:v>
      </x:c>
      <x:c r="L31" s="24" t="str">
        <x:v>VS-ECO-001</x:v>
      </x:c>
      <x:c r="M31" s="24" t="str">
        <x:v>Asset/scene/build/test evidence</x:v>
      </x:c>
      <x:c r="N31" s="24" t="str">
        <x:v>VRM Games</x:v>
      </x:c>
      <x:c r="O31" s="24" t="str"/>
    </x:row>
    <x:row r="32" ht="34" customHeight="1">
      <x:c r="A32" s="24" t="str">
        <x:v>CNT-DEBT-010</x:v>
      </x:c>
      <x:c r="B32" s="24" t="str">
        <x:v>Licensing</x:v>
      </x:c>
      <x:c r="C32" s="24" t="str">
        <x:v>S1</x:v>
      </x:c>
      <x:c r="D32" s="24" t="str">
        <x:v>Assets</x:v>
      </x:c>
      <x:c r="E32" s="24" t="str">
        <x:v>Per-asset provenance incomplete</x:v>
      </x:c>
      <x:c r="F32" s="24" t="str">
        <x:v>Open</x:v>
      </x:c>
      <x:c r="G32" s="24" t="str">
        <x:v>No</x:v>
      </x:c>
      <x:c r="H32" s="24" t="str">
        <x:v>Complete legal register before public candidate</x:v>
      </x:c>
      <x:c r="I32" s="24" t="n">
        <x:v>17</x:v>
      </x:c>
      <x:c r="J32" s="24" t="str">
        <x:v>H6</x:v>
      </x:c>
      <x:c r="K32" s="24" t="str">
        <x:v>Historical legal registers</x:v>
      </x:c>
      <x:c r="L32" s="24" t="str">
        <x:v>GOV-LEGAL</x:v>
      </x:c>
      <x:c r="M32" s="24" t="str">
        <x:v>Asset/scene/build/test evidence</x:v>
      </x:c>
      <x:c r="N32" s="24" t="str">
        <x:v>VRM Games</x:v>
      </x:c>
      <x:c r="O32" s="24" t="str"/>
    </x:row>
    <x:row r="33">
      <x:c r="A33" t="str">
        <x:v>CNT-DEBT-011</x:v>
      </x:c>
      <x:c r="B33" t="str">
        <x:v>Content/Accessibility</x:v>
      </x:c>
      <x:c r="C33" t="str">
        <x:v>S1</x:v>
      </x:c>
      <x:c r="D33" t="str">
        <x:v>Accessibility</x:v>
      </x:c>
      <x:c r="E33" t="str">
        <x:v>Alternativas, cues redundantes y consumo global de reducción de movimiento no demostrados</x:v>
      </x:c>
      <x:c r="F33" t="str">
        <x:v>Open</x:v>
      </x:c>
      <x:c r="G33" t="str">
        <x:v>No</x:v>
      </x:c>
      <x:c r="H33" t="str">
        <x:v>Implementar/auditar según 29 y validar en 31</x:v>
      </x:c>
      <x:c r="I33" t="str">
        <x:v>Sprint 17</x:v>
      </x:c>
      <x:c r="J33" t="str">
        <x:v>H6</x:v>
      </x:c>
      <x:c r="K33" t="str">
        <x:v>29_Accessibility_and_Inclusive_Design_Plan.md</x:v>
      </x:c>
      <x:c r="L33" t="str">
        <x:v>ACC-CONTENT</x:v>
      </x:c>
      <x:c r="M33" t="str">
        <x:v>Evidencia de checklist/playtest/build</x:v>
      </x:c>
      <x:c r="N33" t="str">
        <x:v>VRM Games</x:v>
      </x:c>
      <x:c r="O33" t="str">
        <x:v>Bloquea claims y puede bloquear H6 donde afecte al Golden Path.</x:v>
      </x:c>
    </x:row>
    <x:row r="34">
      <x:c r="A34" t="str">
        <x:v>CNT-DEBT-012</x:v>
      </x:c>
      <x:c r="B34" t="str">
        <x:v>Performance Debt</x:v>
      </x:c>
      <x:c r="C34" t="str">
        <x:v>S1</x:v>
      </x:c>
      <x:c r="D34" t="str">
        <x:v>Content Performance</x:v>
      </x:c>
      <x:c r="E34" t="str">
        <x:v>Presupuestos de escena, assets, memoria, audio y frame pacing no validados</x:v>
      </x:c>
      <x:c r="F34" t="str">
        <x:v>Open</x:v>
      </x:c>
      <x:c r="G34" t="str">
        <x:v>No</x:v>
      </x:c>
      <x:c r="H34" t="str">
        <x:v>Perfilar build representativa y cerrar excepciones según 30</x:v>
      </x:c>
      <x:c r="I34" t="str">
        <x:v>Sprint 17</x:v>
      </x:c>
      <x:c r="J34" t="str">
        <x:v>H6</x:v>
      </x:c>
      <x:c r="K34" t="str">
        <x:v>30_Performance_and_Optimization_Plan.md</x:v>
      </x:c>
      <x:c r="L34" t="str">
        <x:v>PERF-CONTENT</x:v>
      </x:c>
      <x:c r="M34" t="str">
        <x:v>Profiler/logs/hardware/build</x:v>
      </x:c>
      <x:c r="N34" t="str">
        <x:v>VRM Games</x:v>
      </x:c>
      <x:c r="O34" t="str">
        <x:v>No declarar objetivo de rendimiento sin evidencia.</x:v>
      </x:c>
    </x:row>
    <x:row r="35">
      <x:c r="A35" t="str">
        <x:v>CNT-DEBT-013</x:v>
      </x:c>
      <x:c r="B35" t="str">
        <x:v>Publishing Debt</x:v>
      </x:c>
      <x:c r="C35" t="str">
        <x:v>S2</x:v>
      </x:c>
      <x:c r="D35" t="str">
        <x:v>Marketing/Steam</x:v>
      </x:c>
      <x:c r="E35" t="str">
        <x:v>Paquete de medios, claims y procedencia pública no autorizado</x:v>
      </x:c>
      <x:c r="F35" t="str">
        <x:v>Open</x:v>
      </x:c>
      <x:c r="G35" t="str">
        <x:v>Yes</x:v>
      </x:c>
      <x:c r="H35" t="str">
        <x:v>Generar solo tras H6 y signoff 23/24/28/31</x:v>
      </x:c>
      <x:c r="I35" t="str">
        <x:v>Post-H6</x:v>
      </x:c>
      <x:c r="J35" t="str">
        <x:v>Premarketing</x:v>
      </x:c>
      <x:c r="K35" t="str">
        <x:v>28_Marketing_and_Communication_Plan.md</x:v>
      </x:c>
      <x:c r="L35" t="str">
        <x:v>REL-MEDIA</x:v>
      </x:c>
      <x:c r="M35" t="str">
        <x:v>Build/media hashes and signoff</x:v>
      </x:c>
      <x:c r="N35" t="str">
        <x:v>VRM Games</x:v>
      </x:c>
      <x:c r="O35" t="str">
        <x:v>No bloquea H6 interno; bloquea comunicación pública.</x:v>
      </x:c>
    </x:row>
    <x:row r="36">
      <x:c r="A36" t="str">
        <x:v>CNT-DEBT-014</x:v>
      </x:c>
      <x:c r="B36" t="str">
        <x:v>Continuity Debt</x:v>
      </x:c>
      <x:c r="C36" t="str">
        <x:v>S1</x:v>
      </x:c>
      <x:c r="D36" t="str">
        <x:v>Source Assets</x:v>
      </x:c>
      <x:c r="E36" t="str">
        <x:v>Restauración limpia de catálogos, fuentes, GUID/meta y assets no ejecutada</x:v>
      </x:c>
      <x:c r="F36" t="str">
        <x:v>Open</x:v>
      </x:c>
      <x:c r="G36" t="str">
        <x:v>No</x:v>
      </x:c>
      <x:c r="H36" t="str">
        <x:v>Ejecutar restore test y registrar RTO/RPO/evidencia en 33/34</x:v>
      </x:c>
      <x:c r="I36" t="str">
        <x:v>Final Baseline</x:v>
      </x:c>
      <x:c r="J36" t="str">
        <x:v>Baseline</x:v>
      </x:c>
      <x:c r="K36" t="str">
        <x:v>33_Project_Risk_Register_and_Business_Continuity_Plan.xlsx</x:v>
      </x:c>
      <x:c r="L36" t="str">
        <x:v>BCP-CONTENT</x:v>
      </x:c>
      <x:c r="M36" t="str">
        <x:v>Restore report and hashes</x:v>
      </x:c>
      <x:c r="N36" t="str">
        <x:v>VRM Games</x:v>
      </x:c>
      <x:c r="O36" t="str">
        <x:v>Bloquea cierre de continuidad y paquete inmutable.</x:v>
      </x:c>
    </x:row>
  </x:sheetData>
  <x:mergeCells>
    <x:mergeCell ref="A1:O1"/>
    <x:mergeCell ref="A2:O2"/>
  </x:mergeCells>
  <x:conditionalFormatting sqref="F5:F32">
    <x:cfRule type="expression" dxfId="152" priority="1">
      <x:formula>OR(ISNUMBER(SEARCH("PASS",F5)),ISNUMBER(SEARCH("CANONICAL",F5)),ISNUMBER(SEARCH("DONE",F5)))</x:formula>
    </x:cfRule>
    <x:cfRule type="expression" dxfId="153" priority="2">
      <x:formula>OR(ISNUMBER(SEARCH("BLOCK",F5)),ISNUMBER(SEARCH("FAIL",F5)),ISNUMBER(SEARCH("S1",F5)))</x:formula>
    </x:cfRule>
    <x:cfRule type="expression" dxfId="154" priority="3">
      <x:formula>OR(ISNUMBER(SEARCH("PENDING",F5)),ISNUMBER(SEARCH("PLANNED",F5)),ISNUMBER(SEARCH("PARTIAL",F5)),ISNUMBER(SEARCH("PLACEHOLDER",F5)))</x:formula>
    </x:cfRule>
    <x:cfRule type="expression" dxfId="155" priority="4">
      <x:formula>OR(ISNUMBER(SEARCH("VISION",F5)),ISNUMBER(SEARCH("HISTORICAL",F5)))</x:formula>
    </x:cfRule>
  </x:conditionalFormatting>
  <x:conditionalFormatting sqref="C5:C32">
    <x:cfRule type="expression" dxfId="156" priority="5">
      <x:formula>OR(ISNUMBER(SEARCH("PASS",C5)),ISNUMBER(SEARCH("CANONICAL",C5)),ISNUMBER(SEARCH("DONE",C5)))</x:formula>
    </x:cfRule>
    <x:cfRule type="expression" dxfId="157" priority="6">
      <x:formula>OR(ISNUMBER(SEARCH("BLOCK",C5)),ISNUMBER(SEARCH("FAIL",C5)),ISNUMBER(SEARCH("S1",C5)))</x:formula>
    </x:cfRule>
    <x:cfRule type="expression" dxfId="158" priority="7">
      <x:formula>OR(ISNUMBER(SEARCH("PENDING",C5)),ISNUMBER(SEARCH("PLANNED",C5)),ISNUMBER(SEARCH("PARTIAL",C5)),ISNUMBER(SEARCH("PLACEHOLDER",C5)))</x:formula>
    </x:cfRule>
    <x:cfRule type="expression" dxfId="159" priority="8">
      <x:formula>OR(ISNUMBER(SEARCH("VISION",C5)),ISNUMBER(SEARCH("HISTORICAL",C5)))</x:formula>
    </x:cfRule>
  </x:conditionalFormatting>
  <x:dataValidations count="1">
    <x:dataValidation type="list" sqref="C5:C32">
      <x:formula1>"S0,S1,S2,S3,S4"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08fb48bd024739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58" hidden="0" customWidth="1"/>
    <x:col min="5" max="5" width="16" hidden="0" customWidth="1"/>
    <x:col min="6" max="6" width="14" hidden="0" customWidth="1"/>
    <x:col min="7" max="7" width="34" hidden="0" customWidth="1"/>
    <x:col min="8" max="8" width="14" hidden="0" customWidth="1"/>
    <x:col min="9" max="9" width="52" hidden="0" customWidth="1"/>
    <x:col min="10" max="10" width="36" hidden="0" customWidth="1"/>
    <x:col min="11" max="11" width="52" hidden="0" customWidth="1"/>
    <x:col min="12" max="12" width="20" hidden="0" customWidth="1"/>
    <x:col min="13" max="13" width="55" hidden="0" customWidth="1"/>
  </x:cols>
  <x:sheetData>
    <x:row r="1" ht="30" customHeight="1">
      <x:c r="A1" s="4" t="str">
        <x:v>Roadmap de contenido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10" t="str">
        <x:v>Contenido requerido para Sprint 16, Sprint 17, H6, baseline final, publicación y visión futura.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36" customHeight="1">
      <x:c r="A4" s="17" t="str">
        <x:v>Roadmap ID</x:v>
      </x:c>
      <x:c r="B4" s="17" t="str">
        <x:v>Periodo</x:v>
      </x:c>
      <x:c r="C4" s="17" t="str">
        <x:v>Categoría</x:v>
      </x:c>
      <x:c r="D4" s="17" t="str">
        <x:v>Objetivo</x:v>
      </x:c>
      <x:c r="E4" s="17" t="str">
        <x:v>Estado</x:v>
      </x:c>
      <x:c r="F4" s="17" t="str">
        <x:v>Prioridad</x:v>
      </x:c>
      <x:c r="G4" s="17" t="str">
        <x:v>Dependencia</x:v>
      </x:c>
      <x:c r="H4" s="17" t="str">
        <x:v>Gate</x:v>
      </x:c>
      <x:c r="I4" s="17" t="str">
        <x:v>Contenido</x:v>
      </x:c>
      <x:c r="J4" s="17" t="str">
        <x:v>Exclusiones</x:v>
      </x:c>
      <x:c r="K4" s="17" t="str">
        <x:v>Criterio de salida</x:v>
      </x:c>
      <x:c r="L4" s="17" t="str">
        <x:v>Owner</x:v>
      </x:c>
      <x:c r="M4" s="17" t="str">
        <x:v>Notas</x:v>
      </x:c>
    </x:row>
    <x:row r="5" ht="34" customHeight="1">
      <x:c r="A5" s="24" t="str">
        <x:v>CNT-RM-001</x:v>
      </x:c>
      <x:c r="B5" s="24" t="str">
        <x:v>Sprint 16</x:v>
      </x:c>
      <x:c r="C5" s="24" t="str">
        <x:v>Environment</x:v>
      </x:c>
      <x:c r="D5" s="24" t="str">
        <x:v>Author StoreInitial fixed architecture and zones</x:v>
      </x:c>
      <x:c r="E5" s="24" t="str">
        <x:v>IN PROGRESS</x:v>
      </x:c>
      <x:c r="F5" s="24" t="str">
        <x:v>P0</x:v>
      </x:c>
      <x:c r="G5" s="24" t="str">
        <x:v>Approved visual target</x:v>
      </x:c>
      <x:c r="H5" s="24" t="str">
        <x:v>S16</x:v>
      </x:c>
      <x:c r="I5" s="24" t="str">
        <x:v>24 architecture prefabs; walls; entrance; zones</x:v>
      </x:c>
      <x:c r="J5" s="24" t="str">
        <x:v>No new systems</x:v>
      </x:c>
      <x:c r="K5" s="24" t="str">
        <x:v>Authored scene, explicit context, visual/functional pass</x:v>
      </x:c>
      <x:c r="L5" s="24" t="str">
        <x:v>VRM Games</x:v>
      </x:c>
      <x:c r="M5" s="24" t="str"/>
    </x:row>
    <x:row r="6" ht="34" customHeight="1">
      <x:c r="A6" s="24" t="str">
        <x:v>CNT-RM-002</x:v>
      </x:c>
      <x:c r="B6" s="24" t="str">
        <x:v>Sprint 16</x:v>
      </x:c>
      <x:c r="C6" s="24" t="str">
        <x:v>Furniture/Products</x:v>
      </x:c>
      <x:c r="D6" s="24" t="str">
        <x:v>Place representative furniture and six products</x:v>
      </x:c>
      <x:c r="E6" s="24" t="str">
        <x:v>IN PROGRESS</x:v>
      </x:c>
      <x:c r="F6" s="24" t="str">
        <x:v>P0</x:v>
      </x:c>
      <x:c r="G6" s="24" t="str">
        <x:v>StoreInitial architecture</x:v>
      </x:c>
      <x:c r="H6" s="24" t="str">
        <x:v>S16</x:v>
      </x:c>
      <x:c r="I6" s="24" t="str">
        <x:v>8 furniture definitions + 6 products</x:v>
      </x:c>
      <x:c r="J6" s="24" t="str">
        <x:v>No full catalog</x:v>
      </x:c>
      <x:c r="K6" s="24" t="str">
        <x:v>No unexcepted placeholders; colliders/nav consistent</x:v>
      </x:c>
      <x:c r="L6" s="24" t="str">
        <x:v>VRM Games</x:v>
      </x:c>
      <x:c r="M6" s="24" t="str"/>
    </x:row>
    <x:row r="7" ht="34" customHeight="1">
      <x:c r="A7" s="24" t="str">
        <x:v>CNT-RM-003</x:v>
      </x:c>
      <x:c r="B7" s="24" t="str">
        <x:v>Sprint 16</x:v>
      </x:c>
      <x:c r="C7" s="24" t="str">
        <x:v>Characters/Audio</x:v>
      </x:c>
      <x:c r="D7" s="24" t="str">
        <x:v>Representative presentation pass</x:v>
      </x:c>
      <x:c r="E7" s="24" t="str">
        <x:v>IN PROGRESS</x:v>
      </x:c>
      <x:c r="F7" s="24" t="str">
        <x:v>P1</x:v>
      </x:c>
      <x:c r="G7" s="24" t="str">
        <x:v>Runtime integration</x:v>
      </x:c>
      <x:c r="H7" s="24" t="str">
        <x:v>S16</x:v>
      </x:c>
      <x:c r="I7" s="24" t="str">
        <x:v>Employee/Customer/Supplier; 10 clips/23 events</x:v>
      </x:c>
      <x:c r="J7" s="24" t="str">
        <x:v>No final launch polish</x:v>
      </x:c>
      <x:c r="K7" s="24" t="str">
        <x:v>Representative and stable in build</x:v>
      </x:c>
      <x:c r="L7" s="24" t="str">
        <x:v>VRM Games</x:v>
      </x:c>
      <x:c r="M7" s="24" t="str"/>
    </x:row>
    <x:row r="8" ht="34" customHeight="1">
      <x:c r="A8" s="24" t="str">
        <x:v>CNT-RM-004</x:v>
      </x:c>
      <x:c r="B8" s="24" t="str">
        <x:v>Sprint 17</x:v>
      </x:c>
      <x:c r="C8" s="24" t="str">
        <x:v>Catalog/Data</x:v>
      </x:c>
      <x:c r="D8" s="24" t="str">
        <x:v>Unify canonical and technical content IDs</x:v>
      </x:c>
      <x:c r="E8" s="24" t="str">
        <x:v>PENDING</x:v>
      </x:c>
      <x:c r="F8" s="24" t="str">
        <x:v>P0</x:v>
      </x:c>
      <x:c r="G8" s="24" t="str">
        <x:v>Sprint 16 closure</x:v>
      </x:c>
      <x:c r="H8" s="24" t="str">
        <x:v>H6</x:v>
      </x:c>
      <x:c r="I8" s="24" t="str">
        <x:v>Product mapping, aliases, save migration</x:v>
      </x:c>
      <x:c r="J8" s="24" t="str">
        <x:v>No expansion catalog</x:v>
      </x:c>
      <x:c r="K8" s="24" t="str">
        <x:v>Single authority + regression pass</x:v>
      </x:c>
      <x:c r="L8" s="24" t="str">
        <x:v>VRM Games</x:v>
      </x:c>
      <x:c r="M8" s="24" t="str"/>
    </x:row>
    <x:row r="9" ht="34" customHeight="1">
      <x:c r="A9" s="24" t="str">
        <x:v>CNT-RM-005</x:v>
      </x:c>
      <x:c r="B9" s="24" t="str">
        <x:v>Sprint 17</x:v>
      </x:c>
      <x:c r="C9" s="24" t="str">
        <x:v>UI/Localization</x:v>
      </x:c>
      <x:c r="D9" s="24" t="str">
        <x:v>Stabilize UI, icons, fonts and ES/EN</x:v>
      </x:c>
      <x:c r="E9" s="24" t="str">
        <x:v>PENDING</x:v>
      </x:c>
      <x:c r="F9" s="24" t="str">
        <x:v>P0</x:v>
      </x:c>
      <x:c r="G9" s="24" t="str">
        <x:v>S16 presentation</x:v>
      </x:c>
      <x:c r="H9" s="24" t="str">
        <x:v>H6</x:v>
      </x:c>
      <x:c r="I9" s="24" t="str">
        <x:v>String tables, focus, scaling, accessibility</x:v>
      </x:c>
      <x:c r="J9" s="24" t="str">
        <x:v>No framework rewrite</x:v>
      </x:c>
      <x:c r="K9" s="24" t="str">
        <x:v>Build campaign PASS</x:v>
      </x:c>
      <x:c r="L9" s="24" t="str">
        <x:v>VRM Games</x:v>
      </x:c>
      <x:c r="M9" s="24" t="str"/>
    </x:row>
    <x:row r="10" ht="34" customHeight="1">
      <x:c r="A10" s="24" t="str">
        <x:v>CNT-RM-006</x:v>
      </x:c>
      <x:c r="B10" s="24" t="str">
        <x:v>Sprint 17</x:v>
      </x:c>
      <x:c r="C10" s="24" t="str">
        <x:v>Legal/QA</x:v>
      </x:c>
      <x:c r="D10" s="24" t="str">
        <x:v>Close provenance, placeholders and content defects</x:v>
      </x:c>
      <x:c r="E10" s="24" t="str">
        <x:v>PENDING</x:v>
      </x:c>
      <x:c r="F10" s="24" t="str">
        <x:v>P0</x:v>
      </x:c>
      <x:c r="G10" s="24" t="str">
        <x:v>Final asset list</x:v>
      </x:c>
      <x:c r="H10" s="24" t="str">
        <x:v>H6</x:v>
      </x:c>
      <x:c r="I10" s="24" t="str">
        <x:v>License register, VFX/audio debt, evidence</x:v>
      </x:c>
      <x:c r="J10" s="24" t="str">
        <x:v>No future systems</x:v>
      </x:c>
      <x:c r="K10" s="24" t="str">
        <x:v>S0/S1=0 and candidate package complete</x:v>
      </x:c>
      <x:c r="L10" s="24" t="str">
        <x:v>VRM Games</x:v>
      </x:c>
      <x:c r="M10" s="24" t="str"/>
    </x:row>
    <x:row r="11" ht="34" customHeight="1">
      <x:c r="A11" s="24" t="str">
        <x:v>CNT-RM-007</x:v>
      </x:c>
      <x:c r="B11" s="24" t="str">
        <x:v>H6</x:v>
      </x:c>
      <x:c r="C11" s="24" t="str">
        <x:v>Candidate</x:v>
      </x:c>
      <x:c r="D11" s="24" t="str">
        <x:v>Freeze representative content candidate</x:v>
      </x:c>
      <x:c r="E11" s="24" t="str">
        <x:v>NOT OPEN</x:v>
      </x:c>
      <x:c r="F11" s="24" t="str">
        <x:v>P0</x:v>
      </x:c>
      <x:c r="G11" s="24" t="str">
        <x:v>S17 closure</x:v>
      </x:c>
      <x:c r="H11" s="24" t="str">
        <x:v>H6</x:v>
      </x:c>
      <x:c r="I11" s="24" t="str">
        <x:v>External build, Player.log, Golden Path, 7 days</x:v>
      </x:c>
      <x:c r="J11" s="24" t="str">
        <x:v>Vision assets</x:v>
      </x:c>
      <x:c r="K11" s="24" t="str">
        <x:v>Formal PASS</x:v>
      </x:c>
      <x:c r="L11" s="24" t="str">
        <x:v>VRM Games</x:v>
      </x:c>
      <x:c r="M11" s="24" t="str"/>
    </x:row>
    <x:row r="12" ht="34" customHeight="1">
      <x:c r="A12" s="24" t="str">
        <x:v>FUT-001</x:v>
      </x:c>
      <x:c r="B12" s="24" t="str">
        <x:v>Future</x:v>
      </x:c>
      <x:c r="C12" s="24" t="str">
        <x:v>Future</x:v>
      </x:c>
      <x:c r="D12" s="24" t="str"/>
      <x:c r="E12" s="24" t="str">
        <x:v>NOT OPEN</x:v>
      </x:c>
      <x:c r="F12" s="24" t="str">
        <x:v>P3</x:v>
      </x:c>
      <x:c r="G12" s="24" t="str">
        <x:v>H6 PASS</x:v>
      </x:c>
      <x:c r="H12" s="24" t="str">
        <x:v>Future</x:v>
      </x:c>
      <x:c r="I12" s="24" t="str"/>
      <x:c r="J12" s="24" t="str">
        <x:v>Not committed to first release</x:v>
      </x:c>
      <x:c r="K12" s="24" t="str">
        <x:v>Separate approval/roadmap</x:v>
      </x:c>
      <x:c r="L12" s="24" t="str">
        <x:v>VRM Games</x:v>
      </x:c>
      <x:c r="M12" s="24" t="str">
        <x:v>Imported from production future roadmap.</x:v>
      </x:c>
    </x:row>
    <x:row r="13" ht="34" customHeight="1">
      <x:c r="A13" s="24" t="str">
        <x:v>FUT-002</x:v>
      </x:c>
      <x:c r="B13" s="24" t="str">
        <x:v>Future</x:v>
      </x:c>
      <x:c r="C13" s="24" t="str">
        <x:v>Future</x:v>
      </x:c>
      <x:c r="D13" s="24" t="str"/>
      <x:c r="E13" s="24" t="str">
        <x:v>VISION</x:v>
      </x:c>
      <x:c r="F13" s="24" t="str">
        <x:v>P3</x:v>
      </x:c>
      <x:c r="G13" s="24" t="str">
        <x:v>PVS-0</x:v>
      </x:c>
      <x:c r="H13" s="24" t="str">
        <x:v>Future</x:v>
      </x:c>
      <x:c r="I13" s="24" t="str"/>
      <x:c r="J13" s="24" t="str">
        <x:v>Not committed to first release</x:v>
      </x:c>
      <x:c r="K13" s="24" t="str">
        <x:v>Separate approval/roadmap</x:v>
      </x:c>
      <x:c r="L13" s="24" t="str">
        <x:v>VRM Games</x:v>
      </x:c>
      <x:c r="M13" s="24" t="str">
        <x:v>Imported from production future roadmap.</x:v>
      </x:c>
    </x:row>
    <x:row r="14" ht="34" customHeight="1">
      <x:c r="A14" s="24" t="str">
        <x:v>FUT-003</x:v>
      </x:c>
      <x:c r="B14" s="24" t="str">
        <x:v>Future</x:v>
      </x:c>
      <x:c r="C14" s="24" t="str">
        <x:v>Future</x:v>
      </x:c>
      <x:c r="D14" s="24" t="str"/>
      <x:c r="E14" s="24" t="str">
        <x:v>VISION</x:v>
      </x:c>
      <x:c r="F14" s="24" t="str">
        <x:v>P3</x:v>
      </x:c>
      <x:c r="G14" s="24" t="str">
        <x:v>MVP-1A</x:v>
      </x:c>
      <x:c r="H14" s="24" t="str">
        <x:v>Future</x:v>
      </x:c>
      <x:c r="I14" s="24" t="str"/>
      <x:c r="J14" s="24" t="str">
        <x:v>Not committed to first release</x:v>
      </x:c>
      <x:c r="K14" s="24" t="str">
        <x:v>Separate approval/roadmap</x:v>
      </x:c>
      <x:c r="L14" s="24" t="str">
        <x:v>VRM Games</x:v>
      </x:c>
      <x:c r="M14" s="24" t="str">
        <x:v>Imported from production future roadmap.</x:v>
      </x:c>
    </x:row>
    <x:row r="15" ht="34" customHeight="1">
      <x:c r="A15" s="24" t="str">
        <x:v>FUT-004</x:v>
      </x:c>
      <x:c r="B15" s="24" t="str">
        <x:v>Future</x:v>
      </x:c>
      <x:c r="C15" s="24" t="str">
        <x:v>Future</x:v>
      </x:c>
      <x:c r="D15" s="24" t="str"/>
      <x:c r="E15" s="24" t="str">
        <x:v>VISION</x:v>
      </x:c>
      <x:c r="F15" s="24" t="str">
        <x:v>P3</x:v>
      </x:c>
      <x:c r="G15" s="24" t="str">
        <x:v>MVP-1B</x:v>
      </x:c>
      <x:c r="H15" s="24" t="str">
        <x:v>Future</x:v>
      </x:c>
      <x:c r="I15" s="24" t="str"/>
      <x:c r="J15" s="24" t="str">
        <x:v>Not committed to first release</x:v>
      </x:c>
      <x:c r="K15" s="24" t="str">
        <x:v>Separate approval/roadmap</x:v>
      </x:c>
      <x:c r="L15" s="24" t="str">
        <x:v>VRM Games</x:v>
      </x:c>
      <x:c r="M15" s="24" t="str">
        <x:v>Imported from production future roadmap.</x:v>
      </x:c>
    </x:row>
    <x:row r="16" ht="34" customHeight="1">
      <x:c r="A16" s="24" t="str">
        <x:v>FUT-005</x:v>
      </x:c>
      <x:c r="B16" s="24" t="str">
        <x:v>Future</x:v>
      </x:c>
      <x:c r="C16" s="24" t="str">
        <x:v>Future</x:v>
      </x:c>
      <x:c r="D16" s="24" t="str"/>
      <x:c r="E16" s="24" t="str">
        <x:v>VISION</x:v>
      </x:c>
      <x:c r="F16" s="24" t="str">
        <x:v>P3</x:v>
      </x:c>
      <x:c r="G16" s="24" t="str">
        <x:v>MVP-1</x:v>
      </x:c>
      <x:c r="H16" s="24" t="str">
        <x:v>Future</x:v>
      </x:c>
      <x:c r="I16" s="24" t="str"/>
      <x:c r="J16" s="24" t="str">
        <x:v>Not committed to first release</x:v>
      </x:c>
      <x:c r="K16" s="24" t="str">
        <x:v>Separate approval/roadmap</x:v>
      </x:c>
      <x:c r="L16" s="24" t="str">
        <x:v>VRM Games</x:v>
      </x:c>
      <x:c r="M16" s="24" t="str">
        <x:v>Imported from production future roadmap.</x:v>
      </x:c>
    </x:row>
    <x:row r="17" ht="34" customHeight="1">
      <x:c r="A17" s="24" t="str">
        <x:v>FUT-006</x:v>
      </x:c>
      <x:c r="B17" s="24" t="str">
        <x:v>Future</x:v>
      </x:c>
      <x:c r="C17" s="24" t="str">
        <x:v>Future</x:v>
      </x:c>
      <x:c r="D17" s="24" t="str"/>
      <x:c r="E17" s="24" t="str">
        <x:v>VISION</x:v>
      </x:c>
      <x:c r="F17" s="24" t="str">
        <x:v>P3</x:v>
      </x:c>
      <x:c r="G17" s="24" t="str">
        <x:v>MVP-2</x:v>
      </x:c>
      <x:c r="H17" s="24" t="str">
        <x:v>Future</x:v>
      </x:c>
      <x:c r="I17" s="24" t="str"/>
      <x:c r="J17" s="24" t="str">
        <x:v>Not committed to first release</x:v>
      </x:c>
      <x:c r="K17" s="24" t="str">
        <x:v>Separate approval/roadmap</x:v>
      </x:c>
      <x:c r="L17" s="24" t="str">
        <x:v>VRM Games</x:v>
      </x:c>
      <x:c r="M17" s="24" t="str">
        <x:v>Imported from production future roadmap.</x:v>
      </x:c>
    </x:row>
    <x:row r="18" ht="34" customHeight="1">
      <x:c r="A18" s="24" t="str">
        <x:v>FUT-007</x:v>
      </x:c>
      <x:c r="B18" s="24" t="str">
        <x:v>Future</x:v>
      </x:c>
      <x:c r="C18" s="24" t="str">
        <x:v>Future</x:v>
      </x:c>
      <x:c r="D18" s="24" t="str"/>
      <x:c r="E18" s="24" t="str">
        <x:v>VISION</x:v>
      </x:c>
      <x:c r="F18" s="24" t="str">
        <x:v>P3</x:v>
      </x:c>
      <x:c r="G18" s="24" t="str">
        <x:v>MVP-3A</x:v>
      </x:c>
      <x:c r="H18" s="24" t="str">
        <x:v>Future</x:v>
      </x:c>
      <x:c r="I18" s="24" t="str"/>
      <x:c r="J18" s="24" t="str">
        <x:v>Not committed to first release</x:v>
      </x:c>
      <x:c r="K18" s="24" t="str">
        <x:v>Separate approval/roadmap</x:v>
      </x:c>
      <x:c r="L18" s="24" t="str">
        <x:v>VRM Games</x:v>
      </x:c>
      <x:c r="M18" s="24" t="str">
        <x:v>Imported from production future roadmap.</x:v>
      </x:c>
    </x:row>
    <x:row r="19" ht="34" customHeight="1">
      <x:c r="A19" s="24" t="str">
        <x:v>FUT-008</x:v>
      </x:c>
      <x:c r="B19" s="24" t="str">
        <x:v>Future</x:v>
      </x:c>
      <x:c r="C19" s="24" t="str">
        <x:v>Future</x:v>
      </x:c>
      <x:c r="D19" s="24" t="str"/>
      <x:c r="E19" s="24" t="str">
        <x:v>VISION</x:v>
      </x:c>
      <x:c r="F19" s="24" t="str">
        <x:v>P3</x:v>
      </x:c>
      <x:c r="G19" s="24" t="str">
        <x:v>MVP-3B</x:v>
      </x:c>
      <x:c r="H19" s="24" t="str">
        <x:v>Future</x:v>
      </x:c>
      <x:c r="I19" s="24" t="str"/>
      <x:c r="J19" s="24" t="str">
        <x:v>Not committed to first release</x:v>
      </x:c>
      <x:c r="K19" s="24" t="str">
        <x:v>Separate approval/roadmap</x:v>
      </x:c>
      <x:c r="L19" s="24" t="str">
        <x:v>VRM Games</x:v>
      </x:c>
      <x:c r="M19" s="24" t="str">
        <x:v>Imported from production future roadmap.</x:v>
      </x:c>
    </x:row>
    <x:row r="20" ht="34" customHeight="1">
      <x:c r="A20" s="24" t="str">
        <x:v>FUT-009</x:v>
      </x:c>
      <x:c r="B20" s="24" t="str">
        <x:v>Future</x:v>
      </x:c>
      <x:c r="C20" s="24" t="str">
        <x:v>Future</x:v>
      </x:c>
      <x:c r="D20" s="24" t="str"/>
      <x:c r="E20" s="24" t="str">
        <x:v>VISION</x:v>
      </x:c>
      <x:c r="F20" s="24" t="str">
        <x:v>P3</x:v>
      </x:c>
      <x:c r="G20" s="24" t="str">
        <x:v>H7</x:v>
      </x:c>
      <x:c r="H20" s="24" t="str">
        <x:v>Future</x:v>
      </x:c>
      <x:c r="I20" s="24" t="str"/>
      <x:c r="J20" s="24" t="str">
        <x:v>Not committed to first release</x:v>
      </x:c>
      <x:c r="K20" s="24" t="str">
        <x:v>Separate approval/roadmap</x:v>
      </x:c>
      <x:c r="L20" s="24" t="str">
        <x:v>VRM Games</x:v>
      </x:c>
      <x:c r="M20" s="24" t="str">
        <x:v>Imported from production future roadmap.</x:v>
      </x:c>
    </x:row>
    <x:row r="21" ht="34" customHeight="1">
      <x:c r="A21" s="24" t="str">
        <x:v>FUT-010</x:v>
      </x:c>
      <x:c r="B21" s="24" t="str">
        <x:v>Future</x:v>
      </x:c>
      <x:c r="C21" s="24" t="str">
        <x:v>Future</x:v>
      </x:c>
      <x:c r="D21" s="24" t="str"/>
      <x:c r="E21" s="24" t="str">
        <x:v>VISION</x:v>
      </x:c>
      <x:c r="F21" s="24" t="str">
        <x:v>P3</x:v>
      </x:c>
      <x:c r="G21" s="24" t="str">
        <x:v>H8</x:v>
      </x:c>
      <x:c r="H21" s="24" t="str">
        <x:v>Future</x:v>
      </x:c>
      <x:c r="I21" s="24" t="str"/>
      <x:c r="J21" s="24" t="str">
        <x:v>Not committed to first release</x:v>
      </x:c>
      <x:c r="K21" s="24" t="str">
        <x:v>Separate approval/roadmap</x:v>
      </x:c>
      <x:c r="L21" s="24" t="str">
        <x:v>VRM Games</x:v>
      </x:c>
      <x:c r="M21" s="24" t="str">
        <x:v>Imported from production future roadmap.</x:v>
      </x:c>
    </x:row>
    <x:row r="22" ht="34" customHeight="1">
      <x:c r="A22" s="24" t="str">
        <x:v>FUT-011</x:v>
      </x:c>
      <x:c r="B22" s="24" t="str">
        <x:v>Future</x:v>
      </x:c>
      <x:c r="C22" s="24" t="str">
        <x:v>Future</x:v>
      </x:c>
      <x:c r="D22" s="24" t="str"/>
      <x:c r="E22" s="24" t="str">
        <x:v>VISION</x:v>
      </x:c>
      <x:c r="F22" s="24" t="str">
        <x:v>P3</x:v>
      </x:c>
      <x:c r="G22" s="24" t="str">
        <x:v>EXP-2</x:v>
      </x:c>
      <x:c r="H22" s="24" t="str">
        <x:v>Future</x:v>
      </x:c>
      <x:c r="I22" s="24" t="str"/>
      <x:c r="J22" s="24" t="str">
        <x:v>Not committed to first release</x:v>
      </x:c>
      <x:c r="K22" s="24" t="str">
        <x:v>Separate approval/roadmap</x:v>
      </x:c>
      <x:c r="L22" s="24" t="str">
        <x:v>VRM Games</x:v>
      </x:c>
      <x:c r="M22" s="24" t="str">
        <x:v>Imported from production future roadmap.</x:v>
      </x:c>
    </x:row>
    <x:row r="23" ht="34" customHeight="1">
      <x:c r="A23" s="24" t="str">
        <x:v>FUT-012</x:v>
      </x:c>
      <x:c r="B23" s="24" t="str">
        <x:v>Future</x:v>
      </x:c>
      <x:c r="C23" s="24" t="str">
        <x:v>Future</x:v>
      </x:c>
      <x:c r="D23" s="24" t="str"/>
      <x:c r="E23" s="24" t="str">
        <x:v>VISION</x:v>
      </x:c>
      <x:c r="F23" s="24" t="str">
        <x:v>P3</x:v>
      </x:c>
      <x:c r="G23" s="24" t="str">
        <x:v>H9</x:v>
      </x:c>
      <x:c r="H23" s="24" t="str">
        <x:v>Future</x:v>
      </x:c>
      <x:c r="I23" s="24" t="str"/>
      <x:c r="J23" s="24" t="str">
        <x:v>Not committed to first release</x:v>
      </x:c>
      <x:c r="K23" s="24" t="str">
        <x:v>Separate approval/roadmap</x:v>
      </x:c>
      <x:c r="L23" s="24" t="str">
        <x:v>VRM Games</x:v>
      </x:c>
      <x:c r="M23" s="24" t="str">
        <x:v>Imported from production future roadmap.</x:v>
      </x:c>
    </x:row>
    <x:row r="24" ht="34" customHeight="1">
      <x:c r="A24" s="24" t="str">
        <x:v>FUT-013</x:v>
      </x:c>
      <x:c r="B24" s="24" t="str">
        <x:v>Future</x:v>
      </x:c>
      <x:c r="C24" s="24" t="str">
        <x:v>Future</x:v>
      </x:c>
      <x:c r="D24" s="24" t="str"/>
      <x:c r="E24" s="24" t="str">
        <x:v>VISION</x:v>
      </x:c>
      <x:c r="F24" s="24" t="str">
        <x:v>P3</x:v>
      </x:c>
      <x:c r="G24" s="24" t="str">
        <x:v>LATE-1</x:v>
      </x:c>
      <x:c r="H24" s="24" t="str">
        <x:v>Future</x:v>
      </x:c>
      <x:c r="I24" s="24" t="str"/>
      <x:c r="J24" s="24" t="str">
        <x:v>Not committed to first release</x:v>
      </x:c>
      <x:c r="K24" s="24" t="str">
        <x:v>Separate approval/roadmap</x:v>
      </x:c>
      <x:c r="L24" s="24" t="str">
        <x:v>VRM Games</x:v>
      </x:c>
      <x:c r="M24" s="24" t="str">
        <x:v>Imported from production future roadmap.</x:v>
      </x:c>
    </x:row>
    <x:row r="25" ht="34" customHeight="1">
      <x:c r="A25" s="24" t="str">
        <x:v>FUT-014</x:v>
      </x:c>
      <x:c r="B25" s="24" t="str">
        <x:v>Future</x:v>
      </x:c>
      <x:c r="C25" s="24" t="str">
        <x:v>Future</x:v>
      </x:c>
      <x:c r="D25" s="24" t="str"/>
      <x:c r="E25" s="24" t="str">
        <x:v>VISION</x:v>
      </x:c>
      <x:c r="F25" s="24" t="str">
        <x:v>P3</x:v>
      </x:c>
      <x:c r="G25" s="24" t="str">
        <x:v>LATE-2</x:v>
      </x:c>
      <x:c r="H25" s="24" t="str">
        <x:v>Future</x:v>
      </x:c>
      <x:c r="I25" s="24" t="str"/>
      <x:c r="J25" s="24" t="str">
        <x:v>Not committed to first release</x:v>
      </x:c>
      <x:c r="K25" s="24" t="str">
        <x:v>Separate approval/roadmap</x:v>
      </x:c>
      <x:c r="L25" s="24" t="str">
        <x:v>VRM Games</x:v>
      </x:c>
      <x:c r="M25" s="24" t="str">
        <x:v>Imported from production future roadmap.</x:v>
      </x:c>
    </x:row>
    <x:row r="26" ht="34" customHeight="1">
      <x:c r="A26" s="24" t="str">
        <x:v>FUT-015</x:v>
      </x:c>
      <x:c r="B26" s="24" t="str">
        <x:v>Future</x:v>
      </x:c>
      <x:c r="C26" s="24" t="str">
        <x:v>Future</x:v>
      </x:c>
      <x:c r="D26" s="24" t="str"/>
      <x:c r="E26" s="24" t="str">
        <x:v>NOT PLANNED</x:v>
      </x:c>
      <x:c r="F26" s="24" t="str">
        <x:v>P3</x:v>
      </x:c>
      <x:c r="G26" s="24" t="str">
        <x:v>Roadmap aprobado</x:v>
      </x:c>
      <x:c r="H26" s="24" t="str">
        <x:v>Future</x:v>
      </x:c>
      <x:c r="I26" s="24" t="str"/>
      <x:c r="J26" s="24" t="str">
        <x:v>Not committed to first release</x:v>
      </x:c>
      <x:c r="K26" s="24" t="str">
        <x:v>Separate approval/roadmap</x:v>
      </x:c>
      <x:c r="L26" s="24" t="str">
        <x:v>VRM Games</x:v>
      </x:c>
      <x:c r="M26" s="24" t="str">
        <x:v>Imported from production future roadmap.</x:v>
      </x:c>
    </x:row>
    <x:row r="27">
      <x:c r="A27" t="str">
        <x:v>CNT-RM-008</x:v>
      </x:c>
      <x:c r="B27" t="str">
        <x:v>Sprint 17</x:v>
      </x:c>
      <x:c r="C27" t="str">
        <x:v>Accessibility</x:v>
      </x:c>
      <x:c r="D27" t="str">
        <x:v>Validate inclusive content, cues, scaling, reduced motion and equivalents</x:v>
      </x:c>
      <x:c r="E27" t="str">
        <x:v>PENDING</x:v>
      </x:c>
      <x:c r="F27" t="str">
        <x:v>P0</x:v>
      </x:c>
      <x:c r="G27" t="str">
        <x:v>22 + 29 + representative content</x:v>
      </x:c>
      <x:c r="H27" t="str">
        <x:v>H6</x:v>
      </x:c>
      <x:c r="I27" t="str">
        <x:v>Icons/text/cues/audio equivalents/subtitles or captions where applicable</x:v>
      </x:c>
      <x:c r="J27" t="str">
        <x:v>No unsupported accessibility claims</x:v>
      </x:c>
      <x:c r="K27" t="str">
        <x:v>29/31 controls PASS with evidence</x:v>
      </x:c>
      <x:c r="L27" t="str">
        <x:v>VRM Games</x:v>
      </x:c>
      <x:c r="M27" t="str">
        <x:v>Content-specific accessibility; not a declaration of full conformance.</x:v>
      </x:c>
    </x:row>
    <x:row r="28">
      <x:c r="A28" t="str">
        <x:v>CNT-RM-009</x:v>
      </x:c>
      <x:c r="B28" t="str">
        <x:v>Sprint 17</x:v>
      </x:c>
      <x:c r="C28" t="str">
        <x:v>Performance</x:v>
      </x:c>
      <x:c r="D28" t="str">
        <x:v>Profile representative scene and content budgets in Player</x:v>
      </x:c>
      <x:c r="E28" t="str">
        <x:v>PENDING</x:v>
      </x:c>
      <x:c r="F28" t="str">
        <x:v>P0</x:v>
      </x:c>
      <x:c r="G28" t="str">
        <x:v>17–19 + 30 + external build</x:v>
      </x:c>
      <x:c r="H28" t="str">
        <x:v>H6</x:v>
      </x:c>
      <x:c r="I28" t="str">
        <x:v>Prefabs, geometry, materials, textures, VFX, audio voices, UI and scene loads</x:v>
      </x:c>
      <x:c r="J28" t="str">
        <x:v>No premature optimization without measurement</x:v>
      </x:c>
      <x:c r="K28" t="str">
        <x:v>30 budgets met or exception approved</x:v>
      </x:c>
      <x:c r="L28" t="str">
        <x:v>VRM Games</x:v>
      </x:c>
      <x:c r="M28" t="str">
        <x:v>Record hardware, build, scenario and profiler captures.</x:v>
      </x:c>
    </x:row>
    <x:row r="29">
      <x:c r="A29" t="str">
        <x:v>CNT-RM-010</x:v>
      </x:c>
      <x:c r="B29" t="str">
        <x:v>H6</x:v>
      </x:c>
      <x:c r="C29" t="str">
        <x:v>Legal/Claims</x:v>
      </x:c>
      <x:c r="D29" t="str">
        <x:v>Reconcile provenance and authorize content claims/media</x:v>
      </x:c>
      <x:c r="E29" t="str">
        <x:v>PENDING</x:v>
      </x:c>
      <x:c r="F29" t="str">
        <x:v>P0</x:v>
      </x:c>
      <x:c r="G29" t="str">
        <x:v>23 + final asset list + 28/31</x:v>
      </x:c>
      <x:c r="H29" t="str">
        <x:v>H6 / Premarketing</x:v>
      </x:c>
      <x:c r="I29" t="str">
        <x:v>Per-asset/clip/font/concept provenance and claim mapping</x:v>
      </x:c>
      <x:c r="J29" t="str">
        <x:v>No public campaign before authorization</x:v>
      </x:c>
      <x:c r="K29" t="str">
        <x:v>License register complete; claims/media signoff</x:v>
      </x:c>
      <x:c r="L29" t="str">
        <x:v>VRM Games</x:v>
      </x:c>
      <x:c r="M29" t="str">
        <x:v>Internal H6 and public authorization remain separate gates.</x:v>
      </x:c>
    </x:row>
    <x:row r="30">
      <x:c r="A30" t="str">
        <x:v>CNT-RM-011</x:v>
      </x:c>
      <x:c r="B30" t="str">
        <x:v>Final Baseline</x:v>
      </x:c>
      <x:c r="C30" t="str">
        <x:v>Continuity</x:v>
      </x:c>
      <x:c r="D30" t="str">
        <x:v>Back up and restore content source package with GUID/meta integrity</x:v>
      </x:c>
      <x:c r="E30" t="str">
        <x:v>PENDING</x:v>
      </x:c>
      <x:c r="F30" t="str">
        <x:v>P1</x:v>
      </x:c>
      <x:c r="G30" t="str">
        <x:v>32 + 33 + 34</x:v>
      </x:c>
      <x:c r="H30" t="str">
        <x:v>Final Baseline</x:v>
      </x:c>
      <x:c r="I30" t="str">
        <x:v>Source files, catalogs, meta/GUID, generated outputs and evidence</x:v>
      </x:c>
      <x:c r="J30" t="str">
        <x:v>No assumption based only on copy existence</x:v>
      </x:c>
      <x:c r="K30" t="str">
        <x:v>Clean restore, hash verification and runbook PASS</x:v>
      </x:c>
      <x:c r="L30" t="str">
        <x:v>VRM Games</x:v>
      </x:c>
      <x:c r="M30" t="str">
        <x:v>Link evidence to risk and handoff records.</x:v>
      </x:c>
    </x:row>
    <x:row r="31">
      <x:c r="A31" t="str">
        <x:v>CNT-RM-012</x:v>
      </x:c>
      <x:c r="B31" t="str">
        <x:v>Post-H6</x:v>
      </x:c>
      <x:c r="C31" t="str">
        <x:v>Steam/Marketing</x:v>
      </x:c>
      <x:c r="D31" t="str">
        <x:v>Produce screenshots, trailer and store assets from approved build</x:v>
      </x:c>
      <x:c r="E31" t="str">
        <x:v>NOT OPEN</x:v>
      </x:c>
      <x:c r="F31" t="str">
        <x:v>P1</x:v>
      </x:c>
      <x:c r="G31" t="str">
        <x:v>H6 PASS + 23/24/28/31</x:v>
      </x:c>
      <x:c r="H31" t="str">
        <x:v>Premarketing / Steam</x:v>
      </x:c>
      <x:c r="I31" t="str">
        <x:v>Approved screenshots, GIFs, trailer, capsules and copy</x:v>
      </x:c>
      <x:c r="J31" t="str">
        <x:v>No unverified claims or obsolete builds</x:v>
      </x:c>
      <x:c r="K31" t="str">
        <x:v>Media provenance and formal gate PASS</x:v>
      </x:c>
      <x:c r="L31" t="str">
        <x:v>VRM Games</x:v>
      </x:c>
      <x:c r="M31" t="str">
        <x:v>Not part of H6 acceptance unless explicitly promoted.</x:v>
      </x:c>
    </x:row>
    <x:row r="32">
      <x:c r="A32" t="str">
        <x:v>CNT-RM-013</x:v>
      </x:c>
      <x:c r="B32" t="str">
        <x:v>Post-launch</x:v>
      </x:c>
      <x:c r="C32" t="str">
        <x:v>Live Operations</x:v>
      </x:c>
      <x:c r="D32" t="str">
        <x:v>Version future content additions, migrations and rollback</x:v>
      </x:c>
      <x:c r="E32" t="str">
        <x:v>NOT OPEN</x:v>
      </x:c>
      <x:c r="F32" t="str">
        <x:v>P2</x:v>
      </x:c>
      <x:c r="G32" t="str">
        <x:v>25 + 33 + stable release pipeline</x:v>
      </x:c>
      <x:c r="H32" t="str">
        <x:v>Post-launch</x:v>
      </x:c>
      <x:c r="I32" t="str">
        <x:v>Catalog extensions, IDs, localization, licenses, tests and rollback</x:v>
      </x:c>
      <x:c r="J32" t="str">
        <x:v>No silent ID reuse or save breakage</x:v>
      </x:c>
      <x:c r="K32" t="str">
        <x:v>Versioned content package and rollback evidence</x:v>
      </x:c>
      <x:c r="L32" t="str">
        <x:v>VRM Games</x:v>
      </x:c>
      <x:c r="M32" t="str">
        <x:v>Requires separate scope and release decision.</x:v>
      </x:c>
    </x:row>
  </x:sheetData>
  <x:mergeCells>
    <x:mergeCell ref="A1:M1"/>
    <x:mergeCell ref="A2:M2"/>
  </x:mergeCells>
  <x:conditionalFormatting sqref="E5:E26">
    <x:cfRule type="expression" dxfId="160" priority="1">
      <x:formula>OR(ISNUMBER(SEARCH("PASS",E5)),ISNUMBER(SEARCH("CANONICAL",E5)),ISNUMBER(SEARCH("DONE",E5)))</x:formula>
    </x:cfRule>
    <x:cfRule type="expression" dxfId="161" priority="2">
      <x:formula>OR(ISNUMBER(SEARCH("BLOCK",E5)),ISNUMBER(SEARCH("FAIL",E5)),ISNUMBER(SEARCH("S1",E5)))</x:formula>
    </x:cfRule>
    <x:cfRule type="expression" dxfId="162" priority="3">
      <x:formula>OR(ISNUMBER(SEARCH("PENDING",E5)),ISNUMBER(SEARCH("PLANNED",E5)),ISNUMBER(SEARCH("PARTIAL",E5)),ISNUMBER(SEARCH("PLACEHOLDER",E5)))</x:formula>
    </x:cfRule>
    <x:cfRule type="expression" dxfId="163" priority="4">
      <x:formula>OR(ISNUMBER(SEARCH("VISION",E5)),ISNUMBER(SEARCH("HISTORICAL",E5)))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85bebf9d404073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0" customHeight="1">
      <x:c r="A1" s="4" t="str">
        <x:v>Catálogos controlados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Listas válidas para estados, gates, cobertura, licencias y clasificación.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6" customHeight="1">
      <x:c r="A4" s="17" t="str">
        <x:v>Estado canónico</x:v>
      </x:c>
      <x:c r="B4" s="17" t="str">
        <x:v>Implementación</x:v>
      </x:c>
      <x:c r="C4" s="17" t="str">
        <x:v>Validación</x:v>
      </x:c>
      <x:c r="D4" s="17" t="str">
        <x:v>Mapeo</x:v>
      </x:c>
      <x:c r="E4" s="17" t="str">
        <x:v>Licencia</x:v>
      </x:c>
      <x:c r="F4" s="17" t="str">
        <x:v>Placeholder</x:v>
      </x:c>
      <x:c r="G4" s="17" t="str">
        <x:v>Severidad</x:v>
      </x:c>
      <x:c r="H4" s="17" t="str">
        <x:v>Gate</x:v>
      </x:c>
      <x:c r="I4" s="17" t="str">
        <x:v>Sprint</x:v>
      </x:c>
      <x:c r="J4" s="17" t="str">
        <x:v>Cobertura</x:v>
      </x:c>
      <x:c r="K4" s="17" t="str">
        <x:v>Estado QA</x:v>
      </x:c>
      <x:c r="L4" s="17" t="str">
        <x:v>Estado Roadmap</x:v>
      </x:c>
    </x:row>
    <x:row r="5" ht="34" customHeight="1">
      <x:c r="A5" s="24" t="str">
        <x:v>CANONICAL / PHASE 1</x:v>
      </x:c>
      <x:c r="B5" s="24" t="str">
        <x:v>Not Started</x:v>
      </x:c>
      <x:c r="C5" s="24" t="str">
        <x:v>NOT RUN</x:v>
      </x:c>
      <x:c r="D5" s="24" t="str">
        <x:v>Confirmed</x:v>
      </x:c>
      <x:c r="E5" s="24" t="str">
        <x:v>Internal/Approved</x:v>
      </x:c>
      <x:c r="F5" s="24" t="str">
        <x:v>No</x:v>
      </x:c>
      <x:c r="G5" s="24" t="str">
        <x:v>S0</x:v>
      </x:c>
      <x:c r="H5" s="24" t="str">
        <x:v>S16</x:v>
      </x:c>
      <x:c r="I5" s="24" t="str">
        <x:v>0–15</x:v>
      </x:c>
      <x:c r="J5" s="24" t="str">
        <x:v>T0</x:v>
      </x:c>
      <x:c r="K5" s="24" t="str">
        <x:v>PASS</x:v>
      </x:c>
      <x:c r="L5" s="24" t="str">
        <x:v>DONE</x:v>
      </x:c>
    </x:row>
    <x:row r="6" ht="34" customHeight="1">
      <x:c r="A6" s="24" t="str">
        <x:v>CANONICAL / REPRESENTATIVE</x:v>
      </x:c>
      <x:c r="B6" s="24" t="str">
        <x:v>Planned</x:v>
      </x:c>
      <x:c r="C6" s="24" t="str">
        <x:v>Pending</x:v>
      </x:c>
      <x:c r="D6" s="24" t="str">
        <x:v>Proposed</x:v>
      </x:c>
      <x:c r="E6" s="24" t="str">
        <x:v>Internal</x:v>
      </x:c>
      <x:c r="F6" s="24" t="str">
        <x:v>Sí</x:v>
      </x:c>
      <x:c r="G6" s="24" t="str">
        <x:v>S1</x:v>
      </x:c>
      <x:c r="H6" s="24" t="str">
        <x:v>S17</x:v>
      </x:c>
      <x:c r="I6" s="24" t="str">
        <x:v>15</x:v>
      </x:c>
      <x:c r="J6" s="24" t="str">
        <x:v>T1</x:v>
      </x:c>
      <x:c r="K6" s="24" t="str">
        <x:v>PARTIAL</x:v>
      </x:c>
      <x:c r="L6" s="24" t="str">
        <x:v>IN PROGRESS</x:v>
      </x:c>
    </x:row>
    <x:row r="7" ht="34" customHeight="1">
      <x:c r="A7" s="24" t="str">
        <x:v>REPRESENTATIVE / CURRENT</x:v>
      </x:c>
      <x:c r="B7" s="24" t="str">
        <x:v>Imported</x:v>
      </x:c>
      <x:c r="C7" s="24" t="str">
        <x:v>PARTIAL</x:v>
      </x:c>
      <x:c r="D7" s="24" t="str">
        <x:v>Open</x:v>
      </x:c>
      <x:c r="E7" s="24" t="str">
        <x:v>Review</x:v>
      </x:c>
      <x:c r="F7" s="24" t="str">
        <x:v>Representative</x:v>
      </x:c>
      <x:c r="G7" s="24" t="str">
        <x:v>S2</x:v>
      </x:c>
      <x:c r="H7" s="24" t="str">
        <x:v>H6</x:v>
      </x:c>
      <x:c r="I7" s="24" t="str">
        <x:v>16</x:v>
      </x:c>
      <x:c r="J7" s="24" t="str">
        <x:v>T2</x:v>
      </x:c>
      <x:c r="K7" s="24" t="str">
        <x:v>NOT RUN</x:v>
      </x:c>
      <x:c r="L7" s="24" t="str">
        <x:v>PENDING</x:v>
      </x:c>
    </x:row>
    <x:row r="8" ht="34" customHeight="1">
      <x:c r="A8" s="24" t="str">
        <x:v>TECHNICAL / ACTIVE</x:v>
      </x:c>
      <x:c r="B8" s="24" t="str">
        <x:v>Prefab available</x:v>
      </x:c>
      <x:c r="C8" s="24" t="str">
        <x:v>PASS</x:v>
      </x:c>
      <x:c r="D8" s="24" t="str">
        <x:v>Rejected</x:v>
      </x:c>
      <x:c r="E8" s="24" t="str">
        <x:v>Pending</x:v>
      </x:c>
      <x:c r="F8" s="24" t="str">
        <x:v>Review</x:v>
      </x:c>
      <x:c r="G8" s="24" t="str">
        <x:v>S3</x:v>
      </x:c>
      <x:c r="H8" s="24" t="str">
        <x:v>Post-H6</x:v>
      </x:c>
      <x:c r="I8" s="24" t="str">
        <x:v>17</x:v>
      </x:c>
      <x:c r="J8" s="24" t="str">
        <x:v>T3</x:v>
      </x:c>
      <x:c r="K8" s="24" t="str">
        <x:v>FAIL</x:v>
      </x:c>
      <x:c r="L8" s="24" t="str">
        <x:v>NOT OPEN</x:v>
      </x:c>
    </x:row>
    <x:row r="9" ht="34" customHeight="1">
      <x:c r="A9" s="24" t="str">
        <x:v>TECHNICAL / LEGACY ACTIVE</x:v>
      </x:c>
      <x:c r="B9" s="24" t="str">
        <x:v>Asset available</x:v>
      </x:c>
      <x:c r="C9" s="24" t="str">
        <x:v>Baseline PASS</x:v>
      </x:c>
      <x:c r="D9" s="24" t="str">
        <x:v>Superseded</x:v>
      </x:c>
      <x:c r="E9" s="24" t="str">
        <x:v>Historical</x:v>
      </x:c>
      <x:c r="F9" s="24" t="str">
        <x:v>N/A</x:v>
      </x:c>
      <x:c r="G9" s="24" t="str">
        <x:v>S4</x:v>
      </x:c>
      <x:c r="H9" s="24" t="str">
        <x:v>Future</x:v>
      </x:c>
      <x:c r="I9" s="24" t="str">
        <x:v>H6</x:v>
      </x:c>
      <x:c r="J9" s="24" t="str">
        <x:v>T4</x:v>
      </x:c>
      <x:c r="K9" s="24" t="str">
        <x:v>BLOCKED</x:v>
      </x:c>
      <x:c r="L9" s="24" t="str">
        <x:v>BLOCKED</x:v>
      </x:c>
    </x:row>
    <x:row r="10" ht="34" customHeight="1">
      <x:c r="A10" s="24" t="str">
        <x:v>HISTORICAL</x:v>
      </x:c>
      <x:c r="B10" s="24" t="str">
        <x:v>Data integrated</x:v>
      </x:c>
      <x:c r="C10" s="24" t="str">
        <x:v>Automated link PASS</x:v>
      </x:c>
      <x:c r="D10" s="24"/>
      <x:c r="E10" s="24" t="str">
        <x:v>External/Approved</x:v>
      </x:c>
      <x:c r="F10" s="24"/>
      <x:c r="G10" s="24"/>
      <x:c r="H10" s="24" t="str">
        <x:v>Baseline</x:v>
      </x:c>
      <x:c r="I10" s="24" t="str">
        <x:v>Future</x:v>
      </x:c>
      <x:c r="J10" s="24" t="str">
        <x:v>T5</x:v>
      </x:c>
      <x:c r="K10" s="24" t="str">
        <x:v>N/A</x:v>
      </x:c>
      <x:c r="L10" s="24" t="str">
        <x:v>DEFERRED</x:v>
      </x:c>
    </x:row>
    <x:row r="11" ht="34" customHeight="1">
      <x:c r="A11" s="24" t="str">
        <x:v>CONCEPT</x:v>
      </x:c>
      <x:c r="B11" s="24" t="str">
        <x:v>Runtime catalog linked</x:v>
      </x:c>
      <x:c r="C11" s="24" t="str">
        <x:v>Visual pending</x:v>
      </x:c>
      <x:c r="D11" s="24"/>
      <x:c r="E11" s="24" t="str">
        <x:v>Prohibited</x:v>
      </x:c>
      <x:c r="F11" s="24"/>
      <x:c r="G11" s="24"/>
      <x:c r="H11" s="24"/>
      <x:c r="I11" s="24" t="str">
        <x:v>Historical</x:v>
      </x:c>
      <x:c r="J11" s="24" t="str">
        <x:v>T6</x:v>
      </x:c>
      <x:c r="K11" s="24"/>
      <x:c r="L11" s="24" t="str">
        <x:v>VISION</x:v>
      </x:c>
    </x:row>
    <x:row r="12" ht="34" customHeight="1">
      <x:c r="A12" s="24" t="str">
        <x:v>VISION / NOT OPEN</x:v>
      </x:c>
      <x:c r="B12" s="24" t="str">
        <x:v>Imported + Runtime catalog linked</x:v>
      </x:c>
      <x:c r="C12" s="24" t="str">
        <x:v>H6 pending</x:v>
      </x:c>
      <x:c r="D12" s="24"/>
      <x:c r="E12" s="24"/>
      <x:c r="F12" s="24"/>
      <x:c r="G12" s="24"/>
      <x:c r="H12" s="24"/>
      <x:c r="I12" s="24" t="str">
        <x:v>Review</x:v>
      </x:c>
      <x:c r="J12" s="24"/>
      <x:c r="K12" s="24"/>
      <x:c r="L12" s="24"/>
    </x:row>
    <x:row r="13" ht="34" customHeight="1">
      <x:c r="A13" s="24" t="str">
        <x:v>REQUIRED</x:v>
      </x:c>
      <x:c r="B13" s="24" t="str">
        <x:v>Authoring in progress</x:v>
      </x:c>
      <x:c r="C13" s="24" t="str">
        <x:v>N/A</x:v>
      </x:c>
      <x:c r="D13" s="24"/>
      <x:c r="E13" s="24"/>
      <x:c r="F13" s="24"/>
      <x:c r="G13" s="24"/>
      <x:c r="H13" s="24"/>
      <x:c r="I13" s="24"/>
      <x:c r="J13" s="24"/>
      <x:c r="K13" s="24"/>
      <x:c r="L13" s="24"/>
    </x:row>
    <x:row r="14" ht="34" customHeight="1">
      <x:c r="A14" s="24" t="str">
        <x:v>DEBT</x:v>
      </x:c>
      <x:c r="B14" s="24" t="str">
        <x:v>In Progress</x:v>
      </x:c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</x:row>
    <x:row r="15" ht="34" customHeight="1">
      <x:c r="A15" s="24" t="str">
        <x:v>PLANNED</x:v>
      </x:c>
      <x:c r="B15" s="24" t="str">
        <x:v>Blocked</x:v>
      </x:c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</x:row>
    <x:row r="16" ht="34" customHeight="1">
      <x:c r="A16" s="24" t="str">
        <x:v>TARGET</x:v>
      </x:c>
      <x:c r="B16" s="24" t="str">
        <x:v>Done</x:v>
      </x:c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</x:row>
    <x:row r="17" ht="34" customHeight="1">
      <x:c r="A17" s="24" t="str">
        <x:v>ASSET / REVIEW</x:v>
      </x:c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8b0f41c9a2a4029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  <x:col min="3" max="3" width="50" hidden="0" customWidth="1"/>
    <x:col min="4" max="4" width="12" hidden="0" customWidth="1"/>
    <x:col min="5" max="5" width="18" hidden="0" customWidth="1"/>
    <x:col min="6" max="6" width="24" hidden="0" customWidth="1"/>
    <x:col min="7" max="7" width="18" hidden="0" customWidth="1"/>
    <x:col min="8" max="8" width="14" hidden="0" customWidth="1"/>
    <x:col min="9" max="9" width="68" hidden="0" customWidth="1"/>
    <x:col min="10" max="10" width="44" hidden="0" customWidth="1"/>
    <x:col min="11" max="11" width="54" hidden="0" customWidth="1"/>
    <x:col min="12" max="12" width="55" hidden="0" customWidth="1"/>
  </x:cols>
  <x:sheetData>
    <x:row r="1" ht="30" customHeight="1">
      <x:c r="A1" s="4" t="str">
        <x:v>Fuentes históricas y actuales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Genealogía histórica y fuentes actuales 00–34, con hashes externos para artefactos autorreferenciales.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6" customHeight="1">
      <x:c r="A4" s="17" t="str">
        <x:v>Source ID</x:v>
      </x:c>
      <x:c r="B4" s="17" t="str">
        <x:v>Fuente</x:v>
      </x:c>
      <x:c r="C4" s="17" t="str">
        <x:v>Nombre</x:v>
      </x:c>
      <x:c r="D4" s="17" t="str">
        <x:v>Tipo</x:v>
      </x:c>
      <x:c r="E4" s="17" t="str">
        <x:v>Baseline/Versión</x:v>
      </x:c>
      <x:c r="F4" s="17" t="str">
        <x:v>Autoridad</x:v>
      </x:c>
      <x:c r="G4" s="17" t="str">
        <x:v>Estado</x:v>
      </x:c>
      <x:c r="H4" s="17" t="str">
        <x:v>Tamaño KiB</x:v>
      </x:c>
      <x:c r="I4" s="17" t="str">
        <x:v>SHA-256</x:v>
      </x:c>
      <x:c r="J4" s="17" t="str">
        <x:v>Contenido aportado</x:v>
      </x:c>
      <x:c r="K4" s="17" t="str">
        <x:v>Sustituido por</x:v>
      </x:c>
      <x:c r="L4" s="17" t="str">
        <x:v>Notas</x:v>
      </x:c>
    </x:row>
    <x:row r="5" ht="34" customHeight="1">
      <x:c r="A5" s="24" t="str">
        <x:v>SRC-HIS-001</x:v>
      </x:c>
      <x:c r="B5" s="24" t="str">
        <x:v>Documentation/00_Official_Baseline/v0.3/00_Project_Governance/Cartridge_And_Cloud_Package_Manifest_v0.1.pdf</x:v>
      </x:c>
      <x:c r="C5" s="24" t="str">
        <x:v>Cartridge_And_Cloud_Package_Manifest_v0.1.pdf</x:v>
      </x:c>
      <x:c r="D5" s="24" t="str">
        <x:v>PDF</x:v>
      </x:c>
      <x:c r="E5" s="24" t="str">
        <x:v>0.3</x:v>
      </x:c>
      <x:c r="F5" s="24" t="str">
        <x:v>Historical/Supporting</x:v>
      </x:c>
      <x:c r="G5" s="24" t="str">
        <x:v>Preserved</x:v>
      </x:c>
      <x:c r="H5" s="44" t="n">
        <x:v>39.88</x:v>
      </x:c>
      <x:c r="I5" s="24" t="str">
        <x:v>4aed1b174d2405952bd79800726f58314e2bf96842da2b233cf005db84689f83</x:v>
      </x:c>
      <x:c r="J5" s="24" t="str">
        <x:v>Catalog/art/audio/UI/legal/Sprint 16 lineage</x:v>
      </x:c>
      <x:c r="K5" s="24" t="str">
        <x:v>17–21 consolidated documents where applicable</x:v>
      </x:c>
      <x:c r="L5" s="24" t="str">
        <x:v>Do not discard; use for genealogy.</x:v>
      </x:c>
    </x:row>
    <x:row r="6" ht="34" customHeight="1">
      <x:c r="A6" s="24" t="str">
        <x:v>SRC-HIS-002</x:v>
      </x:c>
      <x:c r="B6" s="24" t="str">
        <x:v>Documentation/00_Official_Baseline/v0.3/01_Design/Cartridge_And_Cloud_Economy_Balance_Specification_v0.1.pdf</x:v>
      </x:c>
      <x:c r="C6" s="24" t="str">
        <x:v>Cartridge_And_Cloud_Economy_Balance_Specification_v0.1.pdf</x:v>
      </x:c>
      <x:c r="D6" s="24" t="str">
        <x:v>PDF</x:v>
      </x:c>
      <x:c r="E6" s="24" t="str">
        <x:v>0.3</x:v>
      </x:c>
      <x:c r="F6" s="24" t="str">
        <x:v>Historical/Supporting</x:v>
      </x:c>
      <x:c r="G6" s="24" t="str">
        <x:v>Preserved</x:v>
      </x:c>
      <x:c r="H6" s="44" t="n">
        <x:v>100.3</x:v>
      </x:c>
      <x:c r="I6" s="24" t="str">
        <x:v>9539e4a8e097a84c413a8b65a8bc77d2d2a859eeab9c9697e84473ce67025ab7</x:v>
      </x:c>
      <x:c r="J6" s="24" t="str">
        <x:v>Catalog/art/audio/UI/legal/Sprint 16 lineage</x:v>
      </x:c>
      <x:c r="K6" s="24" t="str">
        <x:v>17–21 consolidated documents where applicable</x:v>
      </x:c>
      <x:c r="L6" s="24" t="str">
        <x:v>Do not discard; use for genealogy.</x:v>
      </x:c>
    </x:row>
    <x:row r="7" ht="34" customHeight="1">
      <x:c r="A7" s="24" t="str">
        <x:v>SRC-HIS-003</x:v>
      </x:c>
      <x:c r="B7" s="24" t="str">
        <x:v>Documentation/00_Official_Baseline/v0.3/01_Design/Cartridge_And_Cloud_Initial_Content_Catalog_v0.1.pdf</x:v>
      </x:c>
      <x:c r="C7" s="24" t="str">
        <x:v>Cartridge_And_Cloud_Initial_Content_Catalog_v0.1.pdf</x:v>
      </x:c>
      <x:c r="D7" s="24" t="str">
        <x:v>PDF</x:v>
      </x:c>
      <x:c r="E7" s="24" t="str">
        <x:v>0.3</x:v>
      </x:c>
      <x:c r="F7" s="24" t="str">
        <x:v>Historical/Supporting</x:v>
      </x:c>
      <x:c r="G7" s="24" t="str">
        <x:v>Preserved</x:v>
      </x:c>
      <x:c r="H7" s="44" t="n">
        <x:v>80.8</x:v>
      </x:c>
      <x:c r="I7" s="24" t="str">
        <x:v>f2f3531bc334dba5740d3278f9d4fc2a767dd0520029888fda5d2957503b5b52</x:v>
      </x:c>
      <x:c r="J7" s="24" t="str">
        <x:v>Catalog/art/audio/UI/legal/Sprint 16 lineage</x:v>
      </x:c>
      <x:c r="K7" s="24" t="str">
        <x:v>17–21 consolidated documents where applicable</x:v>
      </x:c>
      <x:c r="L7" s="24" t="str">
        <x:v>Do not discard; use for genealogy.</x:v>
      </x:c>
    </x:row>
    <x:row r="8" ht="34" customHeight="1">
      <x:c r="A8" s="24" t="str">
        <x:v>SRC-HIS-004</x:v>
      </x:c>
      <x:c r="B8" s="24" t="str">
        <x:v>Documentation/00_Official_Baseline/v0.3/03_Visual_Audio/Cartridge_And_Cloud_Art_Bible_v0.3.pdf</x:v>
      </x:c>
      <x:c r="C8" s="24" t="str">
        <x:v>Cartridge_And_Cloud_Art_Bible_v0.3.pdf</x:v>
      </x:c>
      <x:c r="D8" s="24" t="str">
        <x:v>PDF</x:v>
      </x:c>
      <x:c r="E8" s="24" t="str">
        <x:v>0.3</x:v>
      </x:c>
      <x:c r="F8" s="24" t="str">
        <x:v>Historical/Supporting</x:v>
      </x:c>
      <x:c r="G8" s="24" t="str">
        <x:v>Preserved</x:v>
      </x:c>
      <x:c r="H8" s="44" t="n">
        <x:v>47.44</x:v>
      </x:c>
      <x:c r="I8" s="24" t="str">
        <x:v>12e33a6d179e22457d8f03c7c5cb48d597194b21989beae47ceb0c53ea079b47</x:v>
      </x:c>
      <x:c r="J8" s="24" t="str">
        <x:v>Catalog/art/audio/UI/legal/Sprint 16 lineage</x:v>
      </x:c>
      <x:c r="K8" s="24" t="str">
        <x:v>17–21 consolidated documents where applicable</x:v>
      </x:c>
      <x:c r="L8" s="24" t="str">
        <x:v>Do not discard; use for genealogy.</x:v>
      </x:c>
    </x:row>
    <x:row r="9" ht="34" customHeight="1">
      <x:c r="A9" s="24" t="str">
        <x:v>SRC-HIS-005</x:v>
      </x:c>
      <x:c r="B9" s="24" t="str">
        <x:v>Documentation/00_Official_Baseline/v0.3/03_Visual_Audio/Cartridge_And_Cloud_Audio_Bible_v0.3.pdf</x:v>
      </x:c>
      <x:c r="C9" s="24" t="str">
        <x:v>Cartridge_And_Cloud_Audio_Bible_v0.3.pdf</x:v>
      </x:c>
      <x:c r="D9" s="24" t="str">
        <x:v>PDF</x:v>
      </x:c>
      <x:c r="E9" s="24" t="str">
        <x:v>0.3</x:v>
      </x:c>
      <x:c r="F9" s="24" t="str">
        <x:v>Historical/Supporting</x:v>
      </x:c>
      <x:c r="G9" s="24" t="str">
        <x:v>Preserved</x:v>
      </x:c>
      <x:c r="H9" s="44" t="n">
        <x:v>24.29</x:v>
      </x:c>
      <x:c r="I9" s="24" t="str">
        <x:v>0932a2c018ffa74ea933999c973d56e378dde4cb73ca315bd9a95198c9742760</x:v>
      </x:c>
      <x:c r="J9" s="24" t="str">
        <x:v>Catalog/art/audio/UI/legal/Sprint 16 lineage</x:v>
      </x:c>
      <x:c r="K9" s="24" t="str">
        <x:v>17–21 consolidated documents where applicable</x:v>
      </x:c>
      <x:c r="L9" s="24" t="str">
        <x:v>Do not discard; use for genealogy.</x:v>
      </x:c>
    </x:row>
    <x:row r="10" ht="34" customHeight="1">
      <x:c r="A10" s="24" t="str">
        <x:v>SRC-HIS-006</x:v>
      </x:c>
      <x:c r="B10" s="24" t="str">
        <x:v>Documentation/00_Official_Baseline/v0.3/03_Visual_Audio/Cartridge_And_Cloud_UI_Style_Guide_v0.3.pdf</x:v>
      </x:c>
      <x:c r="C10" s="24" t="str">
        <x:v>Cartridge_And_Cloud_UI_Style_Guide_v0.3.pdf</x:v>
      </x:c>
      <x:c r="D10" s="24" t="str">
        <x:v>PDF</x:v>
      </x:c>
      <x:c r="E10" s="24" t="str">
        <x:v>0.3</x:v>
      </x:c>
      <x:c r="F10" s="24" t="str">
        <x:v>Historical/Supporting</x:v>
      </x:c>
      <x:c r="G10" s="24" t="str">
        <x:v>Preserved</x:v>
      </x:c>
      <x:c r="H10" s="44" t="n">
        <x:v>125.46</x:v>
      </x:c>
      <x:c r="I10" s="24" t="str">
        <x:v>1af3dcb8429dc562aa2d696f74ef1c27cb4100f5050e5041d3cdb8e8ba609b1d</x:v>
      </x:c>
      <x:c r="J10" s="24" t="str">
        <x:v>Catalog/art/audio/UI/legal/Sprint 16 lineage</x:v>
      </x:c>
      <x:c r="K10" s="24" t="str">
        <x:v>17–21 consolidated documents where applicable</x:v>
      </x:c>
      <x:c r="L10" s="24" t="str">
        <x:v>Do not discard; use for genealogy.</x:v>
      </x:c>
    </x:row>
    <x:row r="11" ht="34" customHeight="1">
      <x:c r="A11" s="24" t="str">
        <x:v>SRC-HIS-007</x:v>
      </x:c>
      <x:c r="B11" s="24" t="str">
        <x:v>Documentation/00_Official_Baseline/v0.3/05_Business_Release/Cartridge_And_Cloud_Legal_Credits_Licenses_Register_v0.3.pdf</x:v>
      </x:c>
      <x:c r="C11" s="24" t="str">
        <x:v>Cartridge_And_Cloud_Legal_Credits_Licenses_Register_v0.3.pdf</x:v>
      </x:c>
      <x:c r="D11" s="24" t="str">
        <x:v>PDF</x:v>
      </x:c>
      <x:c r="E11" s="24" t="str">
        <x:v>0.3</x:v>
      </x:c>
      <x:c r="F11" s="24" t="str">
        <x:v>Historical/Supporting</x:v>
      </x:c>
      <x:c r="G11" s="24" t="str">
        <x:v>Preserved</x:v>
      </x:c>
      <x:c r="H11" s="44" t="n">
        <x:v>22.01</x:v>
      </x:c>
      <x:c r="I11" s="24" t="str">
        <x:v>e358622a237b57cdcd65fb380460d70eafa0ef1085b43bf5e8fb7dff3ee734f0</x:v>
      </x:c>
      <x:c r="J11" s="24" t="str">
        <x:v>Catalog/art/audio/UI/legal/Sprint 16 lineage</x:v>
      </x:c>
      <x:c r="K11" s="24" t="str">
        <x:v>17–21 consolidated documents where applicable</x:v>
      </x:c>
      <x:c r="L11" s="24" t="str">
        <x:v>Do not discard; use for genealogy.</x:v>
      </x:c>
    </x:row>
    <x:row r="12" ht="34" customHeight="1">
      <x:c r="A12" s="24" t="str">
        <x:v>SRC-HIS-008</x:v>
      </x:c>
      <x:c r="B12" s="24" t="str">
        <x:v>Documentation/00_Official_Baseline/v0.3/99_Source_Markdown/Cartridge_And_Cloud_Art_Bible_v0.3.md</x:v>
      </x:c>
      <x:c r="C12" s="24" t="str">
        <x:v>Cartridge_And_Cloud_Art_Bible_v0.3.md</x:v>
      </x:c>
      <x:c r="D12" s="24" t="str">
        <x:v>MD</x:v>
      </x:c>
      <x:c r="E12" s="24" t="str">
        <x:v>0.3</x:v>
      </x:c>
      <x:c r="F12" s="24" t="str">
        <x:v>Historical/Supporting</x:v>
      </x:c>
      <x:c r="G12" s="24" t="str">
        <x:v>Preserved</x:v>
      </x:c>
      <x:c r="H12" s="44" t="n">
        <x:v>13.28</x:v>
      </x:c>
      <x:c r="I12" s="24" t="str">
        <x:v>de2f2c02aef523f9e01bee94c071c44903425c32f63eb0c6b8786ee792397bb3</x:v>
      </x:c>
      <x:c r="J12" s="24" t="str">
        <x:v>Catalog/art/audio/UI/legal/Sprint 16 lineage</x:v>
      </x:c>
      <x:c r="K12" s="24" t="str">
        <x:v>17–21 consolidated documents where applicable</x:v>
      </x:c>
      <x:c r="L12" s="24" t="str">
        <x:v>Do not discard; use for genealogy.</x:v>
      </x:c>
    </x:row>
    <x:row r="13" ht="34" customHeight="1">
      <x:c r="A13" s="24" t="str">
        <x:v>SRC-HIS-009</x:v>
      </x:c>
      <x:c r="B13" s="24" t="str">
        <x:v>Documentation/00_Official_Baseline/v0.3/99_Source_Markdown/Cartridge_And_Cloud_Audio_Bible_v0.3.md</x:v>
      </x:c>
      <x:c r="C13" s="24" t="str">
        <x:v>Cartridge_And_Cloud_Audio_Bible_v0.3.md</x:v>
      </x:c>
      <x:c r="D13" s="24" t="str">
        <x:v>MD</x:v>
      </x:c>
      <x:c r="E13" s="24" t="str">
        <x:v>0.3</x:v>
      </x:c>
      <x:c r="F13" s="24" t="str">
        <x:v>Historical/Supporting</x:v>
      </x:c>
      <x:c r="G13" s="24" t="str">
        <x:v>Preserved</x:v>
      </x:c>
      <x:c r="H13" s="44" t="n">
        <x:v>3.83</x:v>
      </x:c>
      <x:c r="I13" s="24" t="str">
        <x:v>8530be74a5a22c33b4000ae322d90249eeb7a4567ec123a402c7b5c76a7023c9</x:v>
      </x:c>
      <x:c r="J13" s="24" t="str">
        <x:v>Catalog/art/audio/UI/legal/Sprint 16 lineage</x:v>
      </x:c>
      <x:c r="K13" s="24" t="str">
        <x:v>17–21 consolidated documents where applicable</x:v>
      </x:c>
      <x:c r="L13" s="24" t="str">
        <x:v>Do not discard; use for genealogy.</x:v>
      </x:c>
    </x:row>
    <x:row r="14" ht="34" customHeight="1">
      <x:c r="A14" s="24" t="str">
        <x:v>SRC-HIS-010</x:v>
      </x:c>
      <x:c r="B14" s="24" t="str">
        <x:v>Documentation/00_Official_Baseline/v0.3/99_Source_Markdown/Cartridge_And_Cloud_Economy_Balance_Specification_v0.1.md</x:v>
      </x:c>
      <x:c r="C14" s="24" t="str">
        <x:v>Cartridge_And_Cloud_Economy_Balance_Specification_v0.1.md</x:v>
      </x:c>
      <x:c r="D14" s="24" t="str">
        <x:v>MD</x:v>
      </x:c>
      <x:c r="E14" s="24" t="str">
        <x:v>0.3</x:v>
      </x:c>
      <x:c r="F14" s="24" t="str">
        <x:v>Historical/Supporting</x:v>
      </x:c>
      <x:c r="G14" s="24" t="str">
        <x:v>Preserved</x:v>
      </x:c>
      <x:c r="H14" s="44" t="n">
        <x:v>29.73</x:v>
      </x:c>
      <x:c r="I14" s="24" t="str">
        <x:v>a79f65cb5d960ff1e8fa6c83b8369b295547600f2f058163078f07a3b892c9e4</x:v>
      </x:c>
      <x:c r="J14" s="24" t="str">
        <x:v>Catalog/art/audio/UI/legal/Sprint 16 lineage</x:v>
      </x:c>
      <x:c r="K14" s="24" t="str">
        <x:v>17–21 consolidated documents where applicable</x:v>
      </x:c>
      <x:c r="L14" s="24" t="str">
        <x:v>Do not discard; use for genealogy.</x:v>
      </x:c>
    </x:row>
    <x:row r="15" ht="34" customHeight="1">
      <x:c r="A15" s="24" t="str">
        <x:v>SRC-HIS-011</x:v>
      </x:c>
      <x:c r="B15" s="24" t="str">
        <x:v>Documentation/00_Official_Baseline/v0.3/99_Source_Markdown/Cartridge_And_Cloud_Initial_Content_Catalog_v0.1.md</x:v>
      </x:c>
      <x:c r="C15" s="24" t="str">
        <x:v>Cartridge_And_Cloud_Initial_Content_Catalog_v0.1.md</x:v>
      </x:c>
      <x:c r="D15" s="24" t="str">
        <x:v>MD</x:v>
      </x:c>
      <x:c r="E15" s="24" t="str">
        <x:v>0.3</x:v>
      </x:c>
      <x:c r="F15" s="24" t="str">
        <x:v>Historical/Supporting</x:v>
      </x:c>
      <x:c r="G15" s="24" t="str">
        <x:v>Preserved</x:v>
      </x:c>
      <x:c r="H15" s="44" t="n">
        <x:v>22.47</x:v>
      </x:c>
      <x:c r="I15" s="24" t="str">
        <x:v>5b416cba7975a0ee42762eabb9ea236c30a19091fb3d3031285ac67ab0a83dcb</x:v>
      </x:c>
      <x:c r="J15" s="24" t="str">
        <x:v>Catalog/art/audio/UI/legal/Sprint 16 lineage</x:v>
      </x:c>
      <x:c r="K15" s="24" t="str">
        <x:v>17–21 consolidated documents where applicable</x:v>
      </x:c>
      <x:c r="L15" s="24" t="str">
        <x:v>Do not discard; use for genealogy.</x:v>
      </x:c>
    </x:row>
    <x:row r="16" ht="34" customHeight="1">
      <x:c r="A16" s="24" t="str">
        <x:v>SRC-HIS-012</x:v>
      </x:c>
      <x:c r="B16" s="24" t="str">
        <x:v>Documentation/00_Official_Baseline/v0.3/99_Source_Markdown/Cartridge_And_Cloud_Legal_Credits_Licenses_Register_v0.3.md</x:v>
      </x:c>
      <x:c r="C16" s="24" t="str">
        <x:v>Cartridge_And_Cloud_Legal_Credits_Licenses_Register_v0.3.md</x:v>
      </x:c>
      <x:c r="D16" s="24" t="str">
        <x:v>MD</x:v>
      </x:c>
      <x:c r="E16" s="24" t="str">
        <x:v>0.3</x:v>
      </x:c>
      <x:c r="F16" s="24" t="str">
        <x:v>Historical/Supporting</x:v>
      </x:c>
      <x:c r="G16" s="24" t="str">
        <x:v>Preserved</x:v>
      </x:c>
      <x:c r="H16" s="44" t="n">
        <x:v>3.88</x:v>
      </x:c>
      <x:c r="I16" s="24" t="str">
        <x:v>ffc5bc6af65b27ede021acfdef2dbc5f20f680560e0be1a872586ab146a2f101</x:v>
      </x:c>
      <x:c r="J16" s="24" t="str">
        <x:v>Catalog/art/audio/UI/legal/Sprint 16 lineage</x:v>
      </x:c>
      <x:c r="K16" s="24" t="str">
        <x:v>17–21 consolidated documents where applicable</x:v>
      </x:c>
      <x:c r="L16" s="24" t="str">
        <x:v>Do not discard; use for genealogy.</x:v>
      </x:c>
    </x:row>
    <x:row r="17" ht="34" customHeight="1">
      <x:c r="A17" s="24" t="str">
        <x:v>SRC-HIS-013</x:v>
      </x:c>
      <x:c r="B17" s="24" t="str">
        <x:v>Documentation/00_Official_Baseline/v0.3/99_Source_Markdown/Cartridge_And_Cloud_Package_Manifest_v0.1.md</x:v>
      </x:c>
      <x:c r="C17" s="24" t="str">
        <x:v>Cartridge_And_Cloud_Package_Manifest_v0.1.md</x:v>
      </x:c>
      <x:c r="D17" s="24" t="str">
        <x:v>MD</x:v>
      </x:c>
      <x:c r="E17" s="24" t="str">
        <x:v>0.3</x:v>
      </x:c>
      <x:c r="F17" s="24" t="str">
        <x:v>Historical/Supporting</x:v>
      </x:c>
      <x:c r="G17" s="24" t="str">
        <x:v>Preserved</x:v>
      </x:c>
      <x:c r="H17" s="44" t="n">
        <x:v>6.4</x:v>
      </x:c>
      <x:c r="I17" s="24" t="str">
        <x:v>58b7f326720277d2b490784a8091cff34f3182ac4fff57796e70d7817d9a4bc1</x:v>
      </x:c>
      <x:c r="J17" s="24" t="str">
        <x:v>Catalog/art/audio/UI/legal/Sprint 16 lineage</x:v>
      </x:c>
      <x:c r="K17" s="24" t="str">
        <x:v>17–21 consolidated documents where applicable</x:v>
      </x:c>
      <x:c r="L17" s="24" t="str">
        <x:v>Do not discard; use for genealogy.</x:v>
      </x:c>
    </x:row>
    <x:row r="18" ht="34" customHeight="1">
      <x:c r="A18" s="24" t="str">
        <x:v>SRC-HIS-014</x:v>
      </x:c>
      <x:c r="B18" s="24" t="str">
        <x:v>Documentation/00_Official_Baseline/v0.3/99_Source_Markdown/Cartridge_And_Cloud_UI_Style_Guide_v0.3.md</x:v>
      </x:c>
      <x:c r="C18" s="24" t="str">
        <x:v>Cartridge_And_Cloud_UI_Style_Guide_v0.3.md</x:v>
      </x:c>
      <x:c r="D18" s="24" t="str">
        <x:v>MD</x:v>
      </x:c>
      <x:c r="E18" s="24" t="str">
        <x:v>0.3</x:v>
      </x:c>
      <x:c r="F18" s="24" t="str">
        <x:v>Historical/Supporting</x:v>
      </x:c>
      <x:c r="G18" s="24" t="str">
        <x:v>Preserved</x:v>
      </x:c>
      <x:c r="H18" s="44" t="n">
        <x:v>46.73</x:v>
      </x:c>
      <x:c r="I18" s="24" t="str">
        <x:v>d446fa1988af7343cacee8c3817afd3e3fd10f933fe1524d7e0b65f718842065</x:v>
      </x:c>
      <x:c r="J18" s="24" t="str">
        <x:v>Catalog/art/audio/UI/legal/Sprint 16 lineage</x:v>
      </x:c>
      <x:c r="K18" s="24" t="str">
        <x:v>17–21 consolidated documents where applicable</x:v>
      </x:c>
      <x:c r="L18" s="24" t="str">
        <x:v>Do not discard; use for genealogy.</x:v>
      </x:c>
    </x:row>
    <x:row r="19" ht="34" customHeight="1">
      <x:c r="A19" s="24" t="str">
        <x:v>SRC-HIS-015</x:v>
      </x:c>
      <x:c r="B19" s="24" t="str">
        <x:v>Documentation/00_Official_Baseline/v0.3/PACKAGE_MANIFEST.md</x:v>
      </x:c>
      <x:c r="C19" s="24" t="str">
        <x:v>PACKAGE_MANIFEST.md</x:v>
      </x:c>
      <x:c r="D19" s="24" t="str">
        <x:v>MD</x:v>
      </x:c>
      <x:c r="E19" s="24" t="str">
        <x:v>0.3</x:v>
      </x:c>
      <x:c r="F19" s="24" t="str">
        <x:v>Historical/Supporting</x:v>
      </x:c>
      <x:c r="G19" s="24" t="str">
        <x:v>Preserved</x:v>
      </x:c>
      <x:c r="H19" s="44" t="n">
        <x:v>5.96</x:v>
      </x:c>
      <x:c r="I19" s="24" t="str">
        <x:v>7fb1bdbd0b11a372ccf4ad87efea6f88326188a21a8f4760680b0e49cd928783</x:v>
      </x:c>
      <x:c r="J19" s="24" t="str">
        <x:v>Catalog/art/audio/UI/legal/Sprint 16 lineage</x:v>
      </x:c>
      <x:c r="K19" s="24" t="str">
        <x:v>17–21 consolidated documents where applicable</x:v>
      </x:c>
      <x:c r="L19" s="24" t="str">
        <x:v>Do not discard; use for genealogy.</x:v>
      </x:c>
    </x:row>
    <x:row r="20" ht="34" customHeight="1">
      <x:c r="A20" s="24" t="str">
        <x:v>SRC-HIS-016</x:v>
      </x:c>
      <x:c r="B20" s="24" t="str">
        <x:v>Documentation/00_Official_Baseline/v0.4/00_Project_Governance/Cartridge_And_Cloud_Package_Manifest_v0.2.pdf</x:v>
      </x:c>
      <x:c r="C20" s="24" t="str">
        <x:v>Cartridge_And_Cloud_Package_Manifest_v0.2.pdf</x:v>
      </x:c>
      <x:c r="D20" s="24" t="str">
        <x:v>PDF</x:v>
      </x:c>
      <x:c r="E20" s="24" t="str">
        <x:v>0.4</x:v>
      </x:c>
      <x:c r="F20" s="24" t="str">
        <x:v>Historical/Supporting</x:v>
      </x:c>
      <x:c r="G20" s="24" t="str">
        <x:v>Preserved</x:v>
      </x:c>
      <x:c r="H20" s="44" t="n">
        <x:v>35.16</x:v>
      </x:c>
      <x:c r="I20" s="24" t="str">
        <x:v>2fb3d34140d531bb28015e95ebed32e69d5e38f40fd2e591f99af99304035b5e</x:v>
      </x:c>
      <x:c r="J20" s="24" t="str">
        <x:v>Catalog/art/audio/UI/legal/Sprint 16 lineage</x:v>
      </x:c>
      <x:c r="K20" s="24" t="str">
        <x:v>17–21 consolidated documents where applicable</x:v>
      </x:c>
      <x:c r="L20" s="24" t="str">
        <x:v>Do not discard; use for genealogy.</x:v>
      </x:c>
    </x:row>
    <x:row r="21" ht="34" customHeight="1">
      <x:c r="A21" s="24" t="str">
        <x:v>SRC-HIS-017</x:v>
      </x:c>
      <x:c r="B21" s="24" t="str">
        <x:v>Documentation/00_Official_Baseline/v0.4/01_Design/Cartridge_And_Cloud_Economy_Balance_Specification_v0.1.pdf</x:v>
      </x:c>
      <x:c r="C21" s="24" t="str">
        <x:v>Cartridge_And_Cloud_Economy_Balance_Specification_v0.1.pdf</x:v>
      </x:c>
      <x:c r="D21" s="24" t="str">
        <x:v>PDF</x:v>
      </x:c>
      <x:c r="E21" s="24" t="str">
        <x:v>0.4</x:v>
      </x:c>
      <x:c r="F21" s="24" t="str">
        <x:v>Historical/Supporting</x:v>
      </x:c>
      <x:c r="G21" s="24" t="str">
        <x:v>Preserved</x:v>
      </x:c>
      <x:c r="H21" s="44" t="n">
        <x:v>88.1</x:v>
      </x:c>
      <x:c r="I21" s="24" t="str">
        <x:v>75b1684eaf50b546febc2608230524385fb5f7685be8d885c0cff309389af643</x:v>
      </x:c>
      <x:c r="J21" s="24" t="str">
        <x:v>Catalog/art/audio/UI/legal/Sprint 16 lineage</x:v>
      </x:c>
      <x:c r="K21" s="24" t="str">
        <x:v>17–21 consolidated documents where applicable</x:v>
      </x:c>
      <x:c r="L21" s="24" t="str">
        <x:v>Do not discard; use for genealogy.</x:v>
      </x:c>
    </x:row>
    <x:row r="22" ht="34" customHeight="1">
      <x:c r="A22" s="24" t="str">
        <x:v>SRC-HIS-018</x:v>
      </x:c>
      <x:c r="B22" s="24" t="str">
        <x:v>Documentation/00_Official_Baseline/v0.4/01_Design/Cartridge_And_Cloud_Initial_Content_Catalog_v0.1.pdf</x:v>
      </x:c>
      <x:c r="C22" s="24" t="str">
        <x:v>Cartridge_And_Cloud_Initial_Content_Catalog_v0.1.pdf</x:v>
      </x:c>
      <x:c r="D22" s="24" t="str">
        <x:v>PDF</x:v>
      </x:c>
      <x:c r="E22" s="24" t="str">
        <x:v>0.4</x:v>
      </x:c>
      <x:c r="F22" s="24" t="str">
        <x:v>Historical/Supporting</x:v>
      </x:c>
      <x:c r="G22" s="24" t="str">
        <x:v>Preserved</x:v>
      </x:c>
      <x:c r="H22" s="44" t="n">
        <x:v>79.24</x:v>
      </x:c>
      <x:c r="I22" s="24" t="str">
        <x:v>03be2e2f3c6f50ee0db68ff42a952b0b164cb480b6f4478a7ab02baf74c1fd29</x:v>
      </x:c>
      <x:c r="J22" s="24" t="str">
        <x:v>Catalog/art/audio/UI/legal/Sprint 16 lineage</x:v>
      </x:c>
      <x:c r="K22" s="24" t="str">
        <x:v>17–21 consolidated documents where applicable</x:v>
      </x:c>
      <x:c r="L22" s="24" t="str">
        <x:v>Do not discard; use for genealogy.</x:v>
      </x:c>
    </x:row>
    <x:row r="23" ht="34" customHeight="1">
      <x:c r="A23" s="24" t="str">
        <x:v>SRC-HIS-019</x:v>
      </x:c>
      <x:c r="B23" s="24" t="str">
        <x:v>Documentation/00_Official_Baseline/v0.4/03_Visual_Audio/Cartridge_And_Cloud_Art_Bible_v0.3.pdf</x:v>
      </x:c>
      <x:c r="C23" s="24" t="str">
        <x:v>Cartridge_And_Cloud_Art_Bible_v0.3.pdf</x:v>
      </x:c>
      <x:c r="D23" s="24" t="str">
        <x:v>PDF</x:v>
      </x:c>
      <x:c r="E23" s="24" t="str">
        <x:v>0.4</x:v>
      </x:c>
      <x:c r="F23" s="24" t="str">
        <x:v>Historical/Supporting</x:v>
      </x:c>
      <x:c r="G23" s="24" t="str">
        <x:v>Preserved</x:v>
      </x:c>
      <x:c r="H23" s="44" t="n">
        <x:v>59.8</x:v>
      </x:c>
      <x:c r="I23" s="24" t="str">
        <x:v>e11742ff33fd1b846ba63c46c029c949fafd19681cf39f473bfcb9d300d2bbc4</x:v>
      </x:c>
      <x:c r="J23" s="24" t="str">
        <x:v>Catalog/art/audio/UI/legal/Sprint 16 lineage</x:v>
      </x:c>
      <x:c r="K23" s="24" t="str">
        <x:v>17–21 consolidated documents where applicable</x:v>
      </x:c>
      <x:c r="L23" s="24" t="str">
        <x:v>Do not discard; use for genealogy.</x:v>
      </x:c>
    </x:row>
    <x:row r="24" ht="34" customHeight="1">
      <x:c r="A24" s="24" t="str">
        <x:v>SRC-HIS-020</x:v>
      </x:c>
      <x:c r="B24" s="24" t="str">
        <x:v>Documentation/00_Official_Baseline/v0.4/03_Visual_Audio/Cartridge_And_Cloud_Audio_Bible_v0.3.pdf</x:v>
      </x:c>
      <x:c r="C24" s="24" t="str">
        <x:v>Cartridge_And_Cloud_Audio_Bible_v0.3.pdf</x:v>
      </x:c>
      <x:c r="D24" s="24" t="str">
        <x:v>PDF</x:v>
      </x:c>
      <x:c r="E24" s="24" t="str">
        <x:v>0.4</x:v>
      </x:c>
      <x:c r="F24" s="24" t="str">
        <x:v>Historical/Supporting</x:v>
      </x:c>
      <x:c r="G24" s="24" t="str">
        <x:v>Preserved</x:v>
      </x:c>
      <x:c r="H24" s="44" t="n">
        <x:v>41.59</x:v>
      </x:c>
      <x:c r="I24" s="24" t="str">
        <x:v>eb7f12085ef69502fe5e1b53dc930bf97e9616fcdbc1fd2725e0022ec08e1214</x:v>
      </x:c>
      <x:c r="J24" s="24" t="str">
        <x:v>Catalog/art/audio/UI/legal/Sprint 16 lineage</x:v>
      </x:c>
      <x:c r="K24" s="24" t="str">
        <x:v>17–21 consolidated documents where applicable</x:v>
      </x:c>
      <x:c r="L24" s="24" t="str">
        <x:v>Do not discard; use for genealogy.</x:v>
      </x:c>
    </x:row>
    <x:row r="25" ht="34" customHeight="1">
      <x:c r="A25" s="24" t="str">
        <x:v>SRC-HIS-021</x:v>
      </x:c>
      <x:c r="B25" s="24" t="str">
        <x:v>Documentation/00_Official_Baseline/v0.4/03_Visual_Audio/Cartridge_And_Cloud_UI_Style_Guide_v0.3.pdf</x:v>
      </x:c>
      <x:c r="C25" s="24" t="str">
        <x:v>Cartridge_And_Cloud_UI_Style_Guide_v0.3.pdf</x:v>
      </x:c>
      <x:c r="D25" s="24" t="str">
        <x:v>PDF</x:v>
      </x:c>
      <x:c r="E25" s="24" t="str">
        <x:v>0.4</x:v>
      </x:c>
      <x:c r="F25" s="24" t="str">
        <x:v>Historical/Supporting</x:v>
      </x:c>
      <x:c r="G25" s="24" t="str">
        <x:v>Preserved</x:v>
      </x:c>
      <x:c r="H25" s="44" t="n">
        <x:v>126.32</x:v>
      </x:c>
      <x:c r="I25" s="24" t="str">
        <x:v>738d1287f5d50a845095abe3fe39c9984f52c325f5a2bb2783b92e1648442417</x:v>
      </x:c>
      <x:c r="J25" s="24" t="str">
        <x:v>Catalog/art/audio/UI/legal/Sprint 16 lineage</x:v>
      </x:c>
      <x:c r="K25" s="24" t="str">
        <x:v>17–21 consolidated documents where applicable</x:v>
      </x:c>
      <x:c r="L25" s="24" t="str">
        <x:v>Do not discard; use for genealogy.</x:v>
      </x:c>
    </x:row>
    <x:row r="26" ht="34" customHeight="1">
      <x:c r="A26" s="24" t="str">
        <x:v>SRC-HIS-022</x:v>
      </x:c>
      <x:c r="B26" s="24" t="str">
        <x:v>Documentation/00_Official_Baseline/v0.4/05_Business_Release/Cartridge_And_Cloud_Legal_Credits_Licenses_Register_v0.3.pdf</x:v>
      </x:c>
      <x:c r="C26" s="24" t="str">
        <x:v>Cartridge_And_Cloud_Legal_Credits_Licenses_Register_v0.3.pdf</x:v>
      </x:c>
      <x:c r="D26" s="24" t="str">
        <x:v>PDF</x:v>
      </x:c>
      <x:c r="E26" s="24" t="str">
        <x:v>0.4</x:v>
      </x:c>
      <x:c r="F26" s="24" t="str">
        <x:v>Historical/Supporting</x:v>
      </x:c>
      <x:c r="G26" s="24" t="str">
        <x:v>Preserved</x:v>
      </x:c>
      <x:c r="H26" s="44" t="n">
        <x:v>41.67</x:v>
      </x:c>
      <x:c r="I26" s="24" t="str">
        <x:v>e4105813b235d24b75edf539eae505342f58f1f26a4b087e870dcbda9d63f558</x:v>
      </x:c>
      <x:c r="J26" s="24" t="str">
        <x:v>Catalog/art/audio/UI/legal/Sprint 16 lineage</x:v>
      </x:c>
      <x:c r="K26" s="24" t="str">
        <x:v>17–21 consolidated documents where applicable</x:v>
      </x:c>
      <x:c r="L26" s="24" t="str">
        <x:v>Do not discard; use for genealogy.</x:v>
      </x:c>
    </x:row>
    <x:row r="27" ht="34" customHeight="1">
      <x:c r="A27" s="24" t="str">
        <x:v>SRC-HIS-023</x:v>
      </x:c>
      <x:c r="B27" s="24" t="str">
        <x:v>Documentation/00_Official_Baseline/v0.4/99_Source_Markdown/Cartridge_And_Cloud_Art_Bible_v0.3.md</x:v>
      </x:c>
      <x:c r="C27" s="24" t="str">
        <x:v>Cartridge_And_Cloud_Art_Bible_v0.3.md</x:v>
      </x:c>
      <x:c r="D27" s="24" t="str">
        <x:v>MD</x:v>
      </x:c>
      <x:c r="E27" s="24" t="str">
        <x:v>0.4</x:v>
      </x:c>
      <x:c r="F27" s="24" t="str">
        <x:v>Historical/Supporting</x:v>
      </x:c>
      <x:c r="G27" s="24" t="str">
        <x:v>Preserved</x:v>
      </x:c>
      <x:c r="H27" s="44" t="n">
        <x:v>13.38</x:v>
      </x:c>
      <x:c r="I27" s="24" t="str">
        <x:v>9d12adda06afbf7db50291337b88095e23005722431fdb4959ffb33afc1ad0c7</x:v>
      </x:c>
      <x:c r="J27" s="24" t="str">
        <x:v>Catalog/art/audio/UI/legal/Sprint 16 lineage</x:v>
      </x:c>
      <x:c r="K27" s="24" t="str">
        <x:v>17–21 consolidated documents where applicable</x:v>
      </x:c>
      <x:c r="L27" s="24" t="str">
        <x:v>Do not discard; use for genealogy.</x:v>
      </x:c>
    </x:row>
    <x:row r="28" ht="34" customHeight="1">
      <x:c r="A28" s="24" t="str">
        <x:v>SRC-HIS-024</x:v>
      </x:c>
      <x:c r="B28" s="24" t="str">
        <x:v>Documentation/00_Official_Baseline/v0.4/99_Source_Markdown/Cartridge_And_Cloud_Audio_Bible_v0.3.md</x:v>
      </x:c>
      <x:c r="C28" s="24" t="str">
        <x:v>Cartridge_And_Cloud_Audio_Bible_v0.3.md</x:v>
      </x:c>
      <x:c r="D28" s="24" t="str">
        <x:v>MD</x:v>
      </x:c>
      <x:c r="E28" s="24" t="str">
        <x:v>0.4</x:v>
      </x:c>
      <x:c r="F28" s="24" t="str">
        <x:v>Historical/Supporting</x:v>
      </x:c>
      <x:c r="G28" s="24" t="str">
        <x:v>Preserved</x:v>
      </x:c>
      <x:c r="H28" s="44" t="n">
        <x:v>3.94</x:v>
      </x:c>
      <x:c r="I28" s="24" t="str">
        <x:v>9de246aa116d50e54ce46f23ea6e683d337ce3d58f06023af66c068fa6803f4a</x:v>
      </x:c>
      <x:c r="J28" s="24" t="str">
        <x:v>Catalog/art/audio/UI/legal/Sprint 16 lineage</x:v>
      </x:c>
      <x:c r="K28" s="24" t="str">
        <x:v>17–21 consolidated documents where applicable</x:v>
      </x:c>
      <x:c r="L28" s="24" t="str">
        <x:v>Do not discard; use for genealogy.</x:v>
      </x:c>
    </x:row>
    <x:row r="29" ht="34" customHeight="1">
      <x:c r="A29" s="24" t="str">
        <x:v>SRC-HIS-025</x:v>
      </x:c>
      <x:c r="B29" s="24" t="str">
        <x:v>Documentation/00_Official_Baseline/v0.4/99_Source_Markdown/Cartridge_And_Cloud_Economy_Balance_Specification_v0.1.md</x:v>
      </x:c>
      <x:c r="C29" s="24" t="str">
        <x:v>Cartridge_And_Cloud_Economy_Balance_Specification_v0.1.md</x:v>
      </x:c>
      <x:c r="D29" s="24" t="str">
        <x:v>MD</x:v>
      </x:c>
      <x:c r="E29" s="24" t="str">
        <x:v>0.4</x:v>
      </x:c>
      <x:c r="F29" s="24" t="str">
        <x:v>Historical/Supporting</x:v>
      </x:c>
      <x:c r="G29" s="24" t="str">
        <x:v>Preserved</x:v>
      </x:c>
      <x:c r="H29" s="44" t="n">
        <x:v>29.83</x:v>
      </x:c>
      <x:c r="I29" s="24" t="str">
        <x:v>f83578295bab346c04186abd7d5ca64c006565617f38e71b8c229605b717fabc</x:v>
      </x:c>
      <x:c r="J29" s="24" t="str">
        <x:v>Catalog/art/audio/UI/legal/Sprint 16 lineage</x:v>
      </x:c>
      <x:c r="K29" s="24" t="str">
        <x:v>17–21 consolidated documents where applicable</x:v>
      </x:c>
      <x:c r="L29" s="24" t="str">
        <x:v>Do not discard; use for genealogy.</x:v>
      </x:c>
    </x:row>
    <x:row r="30" ht="34" customHeight="1">
      <x:c r="A30" s="24" t="str">
        <x:v>SRC-HIS-026</x:v>
      </x:c>
      <x:c r="B30" s="24" t="str">
        <x:v>Documentation/00_Official_Baseline/v0.4/99_Source_Markdown/Cartridge_And_Cloud_Initial_Content_Catalog_v0.1.md</x:v>
      </x:c>
      <x:c r="C30" s="24" t="str">
        <x:v>Cartridge_And_Cloud_Initial_Content_Catalog_v0.1.md</x:v>
      </x:c>
      <x:c r="D30" s="24" t="str">
        <x:v>MD</x:v>
      </x:c>
      <x:c r="E30" s="24" t="str">
        <x:v>0.4</x:v>
      </x:c>
      <x:c r="F30" s="24" t="str">
        <x:v>Historical/Supporting</x:v>
      </x:c>
      <x:c r="G30" s="24" t="str">
        <x:v>Preserved</x:v>
      </x:c>
      <x:c r="H30" s="44" t="n">
        <x:v>22.58</x:v>
      </x:c>
      <x:c r="I30" s="24" t="str">
        <x:v>2bb04a31e3a2661e17e00f23ac0becc61b2c198a36fce87cf9f7aa1c76f07103</x:v>
      </x:c>
      <x:c r="J30" s="24" t="str">
        <x:v>Catalog/art/audio/UI/legal/Sprint 16 lineage</x:v>
      </x:c>
      <x:c r="K30" s="24" t="str">
        <x:v>17–21 consolidated documents where applicable</x:v>
      </x:c>
      <x:c r="L30" s="24" t="str">
        <x:v>Do not discard; use for genealogy.</x:v>
      </x:c>
    </x:row>
    <x:row r="31" ht="34" customHeight="1">
      <x:c r="A31" s="24" t="str">
        <x:v>SRC-HIS-027</x:v>
      </x:c>
      <x:c r="B31" s="24" t="str">
        <x:v>Documentation/00_Official_Baseline/v0.4/99_Source_Markdown/Cartridge_And_Cloud_Legal_Credits_Licenses_Register_v0.3.md</x:v>
      </x:c>
      <x:c r="C31" s="24" t="str">
        <x:v>Cartridge_And_Cloud_Legal_Credits_Licenses_Register_v0.3.md</x:v>
      </x:c>
      <x:c r="D31" s="24" t="str">
        <x:v>MD</x:v>
      </x:c>
      <x:c r="E31" s="24" t="str">
        <x:v>0.4</x:v>
      </x:c>
      <x:c r="F31" s="24" t="str">
        <x:v>Historical/Supporting</x:v>
      </x:c>
      <x:c r="G31" s="24" t="str">
        <x:v>Preserved</x:v>
      </x:c>
      <x:c r="H31" s="44" t="n">
        <x:v>3.98</x:v>
      </x:c>
      <x:c r="I31" s="24" t="str">
        <x:v>1a0e921f139b73179fe734eec452dcc3aa8c43860309390fe41ea1fb588fe81f</x:v>
      </x:c>
      <x:c r="J31" s="24" t="str">
        <x:v>Catalog/art/audio/UI/legal/Sprint 16 lineage</x:v>
      </x:c>
      <x:c r="K31" s="24" t="str">
        <x:v>17–21 consolidated documents where applicable</x:v>
      </x:c>
      <x:c r="L31" s="24" t="str">
        <x:v>Do not discard; use for genealogy.</x:v>
      </x:c>
    </x:row>
    <x:row r="32" ht="34" customHeight="1">
      <x:c r="A32" s="24" t="str">
        <x:v>SRC-HIS-028</x:v>
      </x:c>
      <x:c r="B32" s="24" t="str">
        <x:v>Documentation/00_Official_Baseline/v0.4/99_Source_Markdown/Cartridge_And_Cloud_Package_Manifest_v0.2.md</x:v>
      </x:c>
      <x:c r="C32" s="24" t="str">
        <x:v>Cartridge_And_Cloud_Package_Manifest_v0.2.md</x:v>
      </x:c>
      <x:c r="D32" s="24" t="str">
        <x:v>MD</x:v>
      </x:c>
      <x:c r="E32" s="24" t="str">
        <x:v>0.4</x:v>
      </x:c>
      <x:c r="F32" s="24" t="str">
        <x:v>Historical/Supporting</x:v>
      </x:c>
      <x:c r="G32" s="24" t="str">
        <x:v>Preserved</x:v>
      </x:c>
      <x:c r="H32" s="44" t="n">
        <x:v>2.4</x:v>
      </x:c>
      <x:c r="I32" s="24" t="str">
        <x:v>ccf1ff8da3ecfb69e1ee93a902e1d13d706d5e7ada9ac4a185515c8f93cd2b7a</x:v>
      </x:c>
      <x:c r="J32" s="24" t="str">
        <x:v>Catalog/art/audio/UI/legal/Sprint 16 lineage</x:v>
      </x:c>
      <x:c r="K32" s="24" t="str">
        <x:v>17–21 consolidated documents where applicable</x:v>
      </x:c>
      <x:c r="L32" s="24" t="str">
        <x:v>Do not discard; use for genealogy.</x:v>
      </x:c>
    </x:row>
    <x:row r="33" ht="34" customHeight="1">
      <x:c r="A33" s="24" t="str">
        <x:v>SRC-HIS-029</x:v>
      </x:c>
      <x:c r="B33" s="24" t="str">
        <x:v>Documentation/00_Official_Baseline/v0.4/99_Source_Markdown/Cartridge_And_Cloud_UI_Style_Guide_v0.3.md</x:v>
      </x:c>
      <x:c r="C33" s="24" t="str">
        <x:v>Cartridge_And_Cloud_UI_Style_Guide_v0.3.md</x:v>
      </x:c>
      <x:c r="D33" s="24" t="str">
        <x:v>MD</x:v>
      </x:c>
      <x:c r="E33" s="24" t="str">
        <x:v>0.4</x:v>
      </x:c>
      <x:c r="F33" s="24" t="str">
        <x:v>Historical/Supporting</x:v>
      </x:c>
      <x:c r="G33" s="24" t="str">
        <x:v>Preserved</x:v>
      </x:c>
      <x:c r="H33" s="44" t="n">
        <x:v>46.84</x:v>
      </x:c>
      <x:c r="I33" s="24" t="str">
        <x:v>8e0d241b40ecc46860cc6c51036f436d85ecfeca0cecfc721897b52396b7fca2</x:v>
      </x:c>
      <x:c r="J33" s="24" t="str">
        <x:v>Catalog/art/audio/UI/legal/Sprint 16 lineage</x:v>
      </x:c>
      <x:c r="K33" s="24" t="str">
        <x:v>17–21 consolidated documents where applicable</x:v>
      </x:c>
      <x:c r="L33" s="24" t="str">
        <x:v>Do not discard; use for genealogy.</x:v>
      </x:c>
    </x:row>
    <x:row r="34" ht="34" customHeight="1">
      <x:c r="A34" s="24" t="str">
        <x:v>SRC-HIS-030</x:v>
      </x:c>
      <x:c r="B34" s="24" t="str">
        <x:v>Documentation/00_Official_Baseline/v0.4/PACKAGE_MANIFEST.md</x:v>
      </x:c>
      <x:c r="C34" s="24" t="str">
        <x:v>PACKAGE_MANIFEST.md</x:v>
      </x:c>
      <x:c r="D34" s="24" t="str">
        <x:v>MD</x:v>
      </x:c>
      <x:c r="E34" s="24" t="str">
        <x:v>0.4</x:v>
      </x:c>
      <x:c r="F34" s="24" t="str">
        <x:v>Historical/Supporting</x:v>
      </x:c>
      <x:c r="G34" s="24" t="str">
        <x:v>Preserved</x:v>
      </x:c>
      <x:c r="H34" s="44" t="n">
        <x:v>2.4</x:v>
      </x:c>
      <x:c r="I34" s="24" t="str">
        <x:v>ccf1ff8da3ecfb69e1ee93a902e1d13d706d5e7ada9ac4a185515c8f93cd2b7a</x:v>
      </x:c>
      <x:c r="J34" s="24" t="str">
        <x:v>Catalog/art/audio/UI/legal/Sprint 16 lineage</x:v>
      </x:c>
      <x:c r="K34" s="24" t="str">
        <x:v>17–21 consolidated documents where applicable</x:v>
      </x:c>
      <x:c r="L34" s="24" t="str">
        <x:v>Do not discard; use for genealogy.</x:v>
      </x:c>
    </x:row>
    <x:row r="35" ht="34" customHeight="1">
      <x:c r="A35" s="24" t="str">
        <x:v>SRC-HIS-031</x:v>
      </x:c>
      <x:c r="B35" s="24" t="str">
        <x:v>Documentation/00_Official_Baseline/v0.5/00_Project_Governance/Cartridge_And_Cloud_Package_Manifest_v0.3.pdf</x:v>
      </x:c>
      <x:c r="C35" s="24" t="str">
        <x:v>Cartridge_And_Cloud_Package_Manifest_v0.3.pdf</x:v>
      </x:c>
      <x:c r="D35" s="24" t="str">
        <x:v>PDF</x:v>
      </x:c>
      <x:c r="E35" s="24" t="str">
        <x:v>0.5</x:v>
      </x:c>
      <x:c r="F35" s="24" t="str">
        <x:v>Historical/Supporting</x:v>
      </x:c>
      <x:c r="G35" s="24" t="str">
        <x:v>Preserved</x:v>
      </x:c>
      <x:c r="H35" s="44" t="n">
        <x:v>16.39</x:v>
      </x:c>
      <x:c r="I35" s="24" t="str">
        <x:v>d74ae4fb1a2590813315e14d668ce2eca7a22081a7acdafbb5a55e07fb7a4f87</x:v>
      </x:c>
      <x:c r="J35" s="24" t="str">
        <x:v>Catalog/art/audio/UI/legal/Sprint 16 lineage</x:v>
      </x:c>
      <x:c r="K35" s="24" t="str">
        <x:v>17–21 consolidated documents where applicable</x:v>
      </x:c>
      <x:c r="L35" s="24" t="str">
        <x:v>Do not discard; use for genealogy.</x:v>
      </x:c>
    </x:row>
    <x:row r="36" ht="34" customHeight="1">
      <x:c r="A36" s="24" t="str">
        <x:v>SRC-HIS-032</x:v>
      </x:c>
      <x:c r="B36" s="24" t="str">
        <x:v>Documentation/00_Official_Baseline/v0.5/01_Design/Cartridge_And_Cloud_Economy_Balance_Specification_v0.2.pdf</x:v>
      </x:c>
      <x:c r="C36" s="24" t="str">
        <x:v>Cartridge_And_Cloud_Economy_Balance_Specification_v0.2.pdf</x:v>
      </x:c>
      <x:c r="D36" s="24" t="str">
        <x:v>PDF</x:v>
      </x:c>
      <x:c r="E36" s="24" t="str">
        <x:v>0.5</x:v>
      </x:c>
      <x:c r="F36" s="24" t="str">
        <x:v>Historical/Supporting</x:v>
      </x:c>
      <x:c r="G36" s="24" t="str">
        <x:v>Preserved</x:v>
      </x:c>
      <x:c r="H36" s="44" t="n">
        <x:v>19.03</x:v>
      </x:c>
      <x:c r="I36" s="24" t="str">
        <x:v>57a71ee88a5a25dd9afe1a94d798a0d6522e1007c6dfb1d91aa98089a7cbcfc3</x:v>
      </x:c>
      <x:c r="J36" s="24" t="str">
        <x:v>Catalog/art/audio/UI/legal/Sprint 16 lineage</x:v>
      </x:c>
      <x:c r="K36" s="24" t="str">
        <x:v>17–21 consolidated documents where applicable</x:v>
      </x:c>
      <x:c r="L36" s="24" t="str">
        <x:v>Do not discard; use for genealogy.</x:v>
      </x:c>
    </x:row>
    <x:row r="37" ht="34" customHeight="1">
      <x:c r="A37" s="24" t="str">
        <x:v>SRC-HIS-033</x:v>
      </x:c>
      <x:c r="B37" s="24" t="str">
        <x:v>Documentation/00_Official_Baseline/v0.5/01_Design/Cartridge_And_Cloud_Initial_Content_Catalog_v0.2.pdf</x:v>
      </x:c>
      <x:c r="C37" s="24" t="str">
        <x:v>Cartridge_And_Cloud_Initial_Content_Catalog_v0.2.pdf</x:v>
      </x:c>
      <x:c r="D37" s="24" t="str">
        <x:v>PDF</x:v>
      </x:c>
      <x:c r="E37" s="24" t="str">
        <x:v>0.5</x:v>
      </x:c>
      <x:c r="F37" s="24" t="str">
        <x:v>Historical/Supporting</x:v>
      </x:c>
      <x:c r="G37" s="24" t="str">
        <x:v>Preserved</x:v>
      </x:c>
      <x:c r="H37" s="44" t="n">
        <x:v>17.7</x:v>
      </x:c>
      <x:c r="I37" s="24" t="str">
        <x:v>9f604761d6e6047ddb34de9743087470bebcf4f8cdaeab327c1c7c3c98be1213</x:v>
      </x:c>
      <x:c r="J37" s="24" t="str">
        <x:v>Catalog/art/audio/UI/legal/Sprint 16 lineage</x:v>
      </x:c>
      <x:c r="K37" s="24" t="str">
        <x:v>17–21 consolidated documents where applicable</x:v>
      </x:c>
      <x:c r="L37" s="24" t="str">
        <x:v>Do not discard; use for genealogy.</x:v>
      </x:c>
    </x:row>
    <x:row r="38" ht="34" customHeight="1">
      <x:c r="A38" s="24" t="str">
        <x:v>SRC-HIS-034</x:v>
      </x:c>
      <x:c r="B38" s="24" t="str">
        <x:v>Documentation/00_Official_Baseline/v0.5/03_Visual_Audio/Cartridge_And_Cloud_Art_Bible_v0.4.pdf</x:v>
      </x:c>
      <x:c r="C38" s="24" t="str">
        <x:v>Cartridge_And_Cloud_Art_Bible_v0.4.pdf</x:v>
      </x:c>
      <x:c r="D38" s="24" t="str">
        <x:v>PDF</x:v>
      </x:c>
      <x:c r="E38" s="24" t="str">
        <x:v>0.5</x:v>
      </x:c>
      <x:c r="F38" s="24" t="str">
        <x:v>Historical/Supporting</x:v>
      </x:c>
      <x:c r="G38" s="24" t="str">
        <x:v>Preserved</x:v>
      </x:c>
      <x:c r="H38" s="44" t="n">
        <x:v>16.6</x:v>
      </x:c>
      <x:c r="I38" s="24" t="str">
        <x:v>0a1b58c57c3e45c4a698f3c5a57227876a8e541e80b4e8d275b3f8585aa0c732</x:v>
      </x:c>
      <x:c r="J38" s="24" t="str">
        <x:v>Catalog/art/audio/UI/legal/Sprint 16 lineage</x:v>
      </x:c>
      <x:c r="K38" s="24" t="str">
        <x:v>17–21 consolidated documents where applicable</x:v>
      </x:c>
      <x:c r="L38" s="24" t="str">
        <x:v>Do not discard; use for genealogy.</x:v>
      </x:c>
    </x:row>
    <x:row r="39" ht="34" customHeight="1">
      <x:c r="A39" s="24" t="str">
        <x:v>SRC-HIS-035</x:v>
      </x:c>
      <x:c r="B39" s="24" t="str">
        <x:v>Documentation/00_Official_Baseline/v0.5/03_Visual_Audio/Cartridge_And_Cloud_Audio_Bible_v0.4.pdf</x:v>
      </x:c>
      <x:c r="C39" s="24" t="str">
        <x:v>Cartridge_And_Cloud_Audio_Bible_v0.4.pdf</x:v>
      </x:c>
      <x:c r="D39" s="24" t="str">
        <x:v>PDF</x:v>
      </x:c>
      <x:c r="E39" s="24" t="str">
        <x:v>0.5</x:v>
      </x:c>
      <x:c r="F39" s="24" t="str">
        <x:v>Historical/Supporting</x:v>
      </x:c>
      <x:c r="G39" s="24" t="str">
        <x:v>Preserved</x:v>
      </x:c>
      <x:c r="H39" s="44" t="n">
        <x:v>15.85</x:v>
      </x:c>
      <x:c r="I39" s="24" t="str">
        <x:v>a8991cac49c1999b4f34c42910f3fb7a4cb07c77b44fe2f54469bd2505147b0f</x:v>
      </x:c>
      <x:c r="J39" s="24" t="str">
        <x:v>Catalog/art/audio/UI/legal/Sprint 16 lineage</x:v>
      </x:c>
      <x:c r="K39" s="24" t="str">
        <x:v>17–21 consolidated documents where applicable</x:v>
      </x:c>
      <x:c r="L39" s="24" t="str">
        <x:v>Do not discard; use for genealogy.</x:v>
      </x:c>
    </x:row>
    <x:row r="40" ht="34" customHeight="1">
      <x:c r="A40" s="24" t="str">
        <x:v>SRC-HIS-036</x:v>
      </x:c>
      <x:c r="B40" s="24" t="str">
        <x:v>Documentation/00_Official_Baseline/v0.5/03_Visual_Audio/Cartridge_And_Cloud_UI_Style_Guide_v0.4.pdf</x:v>
      </x:c>
      <x:c r="C40" s="24" t="str">
        <x:v>Cartridge_And_Cloud_UI_Style_Guide_v0.4.pdf</x:v>
      </x:c>
      <x:c r="D40" s="24" t="str">
        <x:v>PDF</x:v>
      </x:c>
      <x:c r="E40" s="24" t="str">
        <x:v>0.5</x:v>
      </x:c>
      <x:c r="F40" s="24" t="str">
        <x:v>Historical/Supporting</x:v>
      </x:c>
      <x:c r="G40" s="24" t="str">
        <x:v>Preserved</x:v>
      </x:c>
      <x:c r="H40" s="44" t="n">
        <x:v>17.3</x:v>
      </x:c>
      <x:c r="I40" s="24" t="str">
        <x:v>e9fa1ac1d737bb8945eb76a22a7a593b1e7e453c8930be72037f18f1c2f8b4b1</x:v>
      </x:c>
      <x:c r="J40" s="24" t="str">
        <x:v>Catalog/art/audio/UI/legal/Sprint 16 lineage</x:v>
      </x:c>
      <x:c r="K40" s="24" t="str">
        <x:v>17–21 consolidated documents where applicable</x:v>
      </x:c>
      <x:c r="L40" s="24" t="str">
        <x:v>Do not discard; use for genealogy.</x:v>
      </x:c>
    </x:row>
    <x:row r="41" ht="34" customHeight="1">
      <x:c r="A41" s="24" t="str">
        <x:v>SRC-HIS-037</x:v>
      </x:c>
      <x:c r="B41" s="24" t="str">
        <x:v>Documentation/00_Official_Baseline/v0.5/05_Business_Release/Cartridge_And_Cloud_Legal_Credits_Licenses_Register_v0.4.pdf</x:v>
      </x:c>
      <x:c r="C41" s="24" t="str">
        <x:v>Cartridge_And_Cloud_Legal_Credits_Licenses_Register_v0.4.pdf</x:v>
      </x:c>
      <x:c r="D41" s="24" t="str">
        <x:v>PDF</x:v>
      </x:c>
      <x:c r="E41" s="24" t="str">
        <x:v>0.5</x:v>
      </x:c>
      <x:c r="F41" s="24" t="str">
        <x:v>Historical/Supporting</x:v>
      </x:c>
      <x:c r="G41" s="24" t="str">
        <x:v>Preserved</x:v>
      </x:c>
      <x:c r="H41" s="44" t="n">
        <x:v>15.41</x:v>
      </x:c>
      <x:c r="I41" s="24" t="str">
        <x:v>d8fa9f63a454facc7e8d4e3fa8e50d1a95f0bb7a8f8bef06211e9d12accb5343</x:v>
      </x:c>
      <x:c r="J41" s="24" t="str">
        <x:v>Catalog/art/audio/UI/legal/Sprint 16 lineage</x:v>
      </x:c>
      <x:c r="K41" s="24" t="str">
        <x:v>17–21 consolidated documents where applicable</x:v>
      </x:c>
      <x:c r="L41" s="24" t="str">
        <x:v>Do not discard; use for genealogy.</x:v>
      </x:c>
    </x:row>
    <x:row r="42" ht="34" customHeight="1">
      <x:c r="A42" s="24" t="str">
        <x:v>SRC-HIS-038</x:v>
      </x:c>
      <x:c r="B42" s="24" t="str">
        <x:v>Documentation/00_Official_Baseline/v0.5/99_Source_Markdown/Cartridge_And_Cloud_Art_Bible_v0.4.md</x:v>
      </x:c>
      <x:c r="C42" s="24" t="str">
        <x:v>Cartridge_And_Cloud_Art_Bible_v0.4.md</x:v>
      </x:c>
      <x:c r="D42" s="24" t="str">
        <x:v>MD</x:v>
      </x:c>
      <x:c r="E42" s="24" t="str">
        <x:v>0.5</x:v>
      </x:c>
      <x:c r="F42" s="24" t="str">
        <x:v>Historical/Supporting</x:v>
      </x:c>
      <x:c r="G42" s="24" t="str">
        <x:v>Preserved</x:v>
      </x:c>
      <x:c r="H42" s="44" t="n">
        <x:v>2.37</x:v>
      </x:c>
      <x:c r="I42" s="24" t="str">
        <x:v>85241caca78cbac42e40a735b73a116ee47e5937605952cebb092272bb3a1979</x:v>
      </x:c>
      <x:c r="J42" s="24" t="str">
        <x:v>Catalog/art/audio/UI/legal/Sprint 16 lineage</x:v>
      </x:c>
      <x:c r="K42" s="24" t="str">
        <x:v>17–21 consolidated documents where applicable</x:v>
      </x:c>
      <x:c r="L42" s="24" t="str">
        <x:v>Do not discard; use for genealogy.</x:v>
      </x:c>
    </x:row>
    <x:row r="43" ht="34" customHeight="1">
      <x:c r="A43" s="24" t="str">
        <x:v>SRC-HIS-039</x:v>
      </x:c>
      <x:c r="B43" s="24" t="str">
        <x:v>Documentation/00_Official_Baseline/v0.5/99_Source_Markdown/Cartridge_And_Cloud_Audio_Bible_v0.4.md</x:v>
      </x:c>
      <x:c r="C43" s="24" t="str">
        <x:v>Cartridge_And_Cloud_Audio_Bible_v0.4.md</x:v>
      </x:c>
      <x:c r="D43" s="24" t="str">
        <x:v>MD</x:v>
      </x:c>
      <x:c r="E43" s="24" t="str">
        <x:v>0.5</x:v>
      </x:c>
      <x:c r="F43" s="24" t="str">
        <x:v>Historical/Supporting</x:v>
      </x:c>
      <x:c r="G43" s="24" t="str">
        <x:v>Preserved</x:v>
      </x:c>
      <x:c r="H43" s="44" t="n">
        <x:v>1.91</x:v>
      </x:c>
      <x:c r="I43" s="24" t="str">
        <x:v>b63eff2e7197d01df8375a9d815ddf046d123a222fdaf70079a8356d58c9e092</x:v>
      </x:c>
      <x:c r="J43" s="24" t="str">
        <x:v>Catalog/art/audio/UI/legal/Sprint 16 lineage</x:v>
      </x:c>
      <x:c r="K43" s="24" t="str">
        <x:v>17–21 consolidated documents where applicable</x:v>
      </x:c>
      <x:c r="L43" s="24" t="str">
        <x:v>Do not discard; use for genealogy.</x:v>
      </x:c>
    </x:row>
    <x:row r="44" ht="34" customHeight="1">
      <x:c r="A44" s="24" t="str">
        <x:v>SRC-HIS-040</x:v>
      </x:c>
      <x:c r="B44" s="24" t="str">
        <x:v>Documentation/00_Official_Baseline/v0.5/99_Source_Markdown/Cartridge_And_Cloud_Economy_Balance_Specification_v0.2.md</x:v>
      </x:c>
      <x:c r="C44" s="24" t="str">
        <x:v>Cartridge_And_Cloud_Economy_Balance_Specification_v0.2.md</x:v>
      </x:c>
      <x:c r="D44" s="24" t="str">
        <x:v>MD</x:v>
      </x:c>
      <x:c r="E44" s="24" t="str">
        <x:v>0.5</x:v>
      </x:c>
      <x:c r="F44" s="24" t="str">
        <x:v>Historical/Supporting</x:v>
      </x:c>
      <x:c r="G44" s="24" t="str">
        <x:v>Preserved</x:v>
      </x:c>
      <x:c r="H44" s="44" t="n">
        <x:v>2.71</x:v>
      </x:c>
      <x:c r="I44" s="24" t="str">
        <x:v>06c11a0e1ea6a93a2f3fd18794007ce2160fbbee1658d43456d4b16fecd8c484</x:v>
      </x:c>
      <x:c r="J44" s="24" t="str">
        <x:v>Catalog/art/audio/UI/legal/Sprint 16 lineage</x:v>
      </x:c>
      <x:c r="K44" s="24" t="str">
        <x:v>17–21 consolidated documents where applicable</x:v>
      </x:c>
      <x:c r="L44" s="24" t="str">
        <x:v>Do not discard; use for genealogy.</x:v>
      </x:c>
    </x:row>
    <x:row r="45" ht="34" customHeight="1">
      <x:c r="A45" s="24" t="str">
        <x:v>SRC-HIS-041</x:v>
      </x:c>
      <x:c r="B45" s="24" t="str">
        <x:v>Documentation/00_Official_Baseline/v0.5/99_Source_Markdown/Cartridge_And_Cloud_Initial_Content_Catalog_v0.2.md</x:v>
      </x:c>
      <x:c r="C45" s="24" t="str">
        <x:v>Cartridge_And_Cloud_Initial_Content_Catalog_v0.2.md</x:v>
      </x:c>
      <x:c r="D45" s="24" t="str">
        <x:v>MD</x:v>
      </x:c>
      <x:c r="E45" s="24" t="str">
        <x:v>0.5</x:v>
      </x:c>
      <x:c r="F45" s="24" t="str">
        <x:v>Historical/Supporting</x:v>
      </x:c>
      <x:c r="G45" s="24" t="str">
        <x:v>Preserved</x:v>
      </x:c>
      <x:c r="H45" s="44" t="n">
        <x:v>2.45</x:v>
      </x:c>
      <x:c r="I45" s="24" t="str">
        <x:v>02439c64569896a24e292ec42717612412828e784bf7c1c701fbc477d57b0d51</x:v>
      </x:c>
      <x:c r="J45" s="24" t="str">
        <x:v>Catalog/art/audio/UI/legal/Sprint 16 lineage</x:v>
      </x:c>
      <x:c r="K45" s="24" t="str">
        <x:v>17–21 consolidated documents where applicable</x:v>
      </x:c>
      <x:c r="L45" s="24" t="str">
        <x:v>Do not discard; use for genealogy.</x:v>
      </x:c>
    </x:row>
    <x:row r="46" ht="34" customHeight="1">
      <x:c r="A46" s="24" t="str">
        <x:v>SRC-HIS-042</x:v>
      </x:c>
      <x:c r="B46" s="24" t="str">
        <x:v>Documentation/00_Official_Baseline/v0.5/99_Source_Markdown/Cartridge_And_Cloud_Legal_Credits_Licenses_Register_v0.4.md</x:v>
      </x:c>
      <x:c r="C46" s="24" t="str">
        <x:v>Cartridge_And_Cloud_Legal_Credits_Licenses_Register_v0.4.md</x:v>
      </x:c>
      <x:c r="D46" s="24" t="str">
        <x:v>MD</x:v>
      </x:c>
      <x:c r="E46" s="24" t="str">
        <x:v>0.5</x:v>
      </x:c>
      <x:c r="F46" s="24" t="str">
        <x:v>Historical/Supporting</x:v>
      </x:c>
      <x:c r="G46" s="24" t="str">
        <x:v>Preserved</x:v>
      </x:c>
      <x:c r="H46" s="44" t="n">
        <x:v>1.95</x:v>
      </x:c>
      <x:c r="I46" s="24" t="str">
        <x:v>18f78b69a56edee6f8783d32859d6e231d061422d24abd6feefdbf06fe68567b</x:v>
      </x:c>
      <x:c r="J46" s="24" t="str">
        <x:v>Catalog/art/audio/UI/legal/Sprint 16 lineage</x:v>
      </x:c>
      <x:c r="K46" s="24" t="str">
        <x:v>17–21 consolidated documents where applicable</x:v>
      </x:c>
      <x:c r="L46" s="24" t="str">
        <x:v>Do not discard; use for genealogy.</x:v>
      </x:c>
    </x:row>
    <x:row r="47" ht="34" customHeight="1">
      <x:c r="A47" s="24" t="str">
        <x:v>SRC-HIS-043</x:v>
      </x:c>
      <x:c r="B47" s="24" t="str">
        <x:v>Documentation/00_Official_Baseline/v0.5/99_Source_Markdown/Cartridge_And_Cloud_Package_Manifest_v0.3.md</x:v>
      </x:c>
      <x:c r="C47" s="24" t="str">
        <x:v>Cartridge_And_Cloud_Package_Manifest_v0.3.md</x:v>
      </x:c>
      <x:c r="D47" s="24" t="str">
        <x:v>MD</x:v>
      </x:c>
      <x:c r="E47" s="24" t="str">
        <x:v>0.5</x:v>
      </x:c>
      <x:c r="F47" s="24" t="str">
        <x:v>Historical/Supporting</x:v>
      </x:c>
      <x:c r="G47" s="24" t="str">
        <x:v>Preserved</x:v>
      </x:c>
      <x:c r="H47" s="44" t="n">
        <x:v>1.74</x:v>
      </x:c>
      <x:c r="I47" s="24" t="str">
        <x:v>7ae705ca39b1e39345748c208af4274cbbe9eaf887a249e5666bceefadf9d0d2</x:v>
      </x:c>
      <x:c r="J47" s="24" t="str">
        <x:v>Catalog/art/audio/UI/legal/Sprint 16 lineage</x:v>
      </x:c>
      <x:c r="K47" s="24" t="str">
        <x:v>17–21 consolidated documents where applicable</x:v>
      </x:c>
      <x:c r="L47" s="24" t="str">
        <x:v>Do not discard; use for genealogy.</x:v>
      </x:c>
    </x:row>
    <x:row r="48" ht="34" customHeight="1">
      <x:c r="A48" s="24" t="str">
        <x:v>SRC-HIS-044</x:v>
      </x:c>
      <x:c r="B48" s="24" t="str">
        <x:v>Documentation/00_Official_Baseline/v0.5/99_Source_Markdown/Cartridge_And_Cloud_UI_Style_Guide_v0.4.md</x:v>
      </x:c>
      <x:c r="C48" s="24" t="str">
        <x:v>Cartridge_And_Cloud_UI_Style_Guide_v0.4.md</x:v>
      </x:c>
      <x:c r="D48" s="24" t="str">
        <x:v>MD</x:v>
      </x:c>
      <x:c r="E48" s="24" t="str">
        <x:v>0.5</x:v>
      </x:c>
      <x:c r="F48" s="24" t="str">
        <x:v>Historical/Supporting</x:v>
      </x:c>
      <x:c r="G48" s="24" t="str">
        <x:v>Preserved</x:v>
      </x:c>
      <x:c r="H48" s="44" t="n">
        <x:v>2.21</x:v>
      </x:c>
      <x:c r="I48" s="24" t="str">
        <x:v>8b3346d21414eb370a5e98eb7871f5083cf7bc8d4214ab5cff7ae87ff0b46a22</x:v>
      </x:c>
      <x:c r="J48" s="24" t="str">
        <x:v>Catalog/art/audio/UI/legal/Sprint 16 lineage</x:v>
      </x:c>
      <x:c r="K48" s="24" t="str">
        <x:v>17–21 consolidated documents where applicable</x:v>
      </x:c>
      <x:c r="L48" s="24" t="str">
        <x:v>Do not discard; use for genealogy.</x:v>
      </x:c>
    </x:row>
    <x:row r="49" ht="34" customHeight="1">
      <x:c r="A49" s="24" t="str">
        <x:v>SRC-HIS-045</x:v>
      </x:c>
      <x:c r="B49" s="24" t="str">
        <x:v>Documentation/00_Official_Baseline/v0.5/PACKAGE_MANIFEST.md</x:v>
      </x:c>
      <x:c r="C49" s="24" t="str">
        <x:v>PACKAGE_MANIFEST.md</x:v>
      </x:c>
      <x:c r="D49" s="24" t="str">
        <x:v>MD</x:v>
      </x:c>
      <x:c r="E49" s="24" t="str">
        <x:v>0.5</x:v>
      </x:c>
      <x:c r="F49" s="24" t="str">
        <x:v>Historical/Supporting</x:v>
      </x:c>
      <x:c r="G49" s="24" t="str">
        <x:v>Preserved</x:v>
      </x:c>
      <x:c r="H49" s="44" t="n">
        <x:v>0.79</x:v>
      </x:c>
      <x:c r="I49" s="24" t="str">
        <x:v>8bb540cf6f6eb6e6f079cf55786ab3b53f4ec042bb1dd01147edb03222f306c5</x:v>
      </x:c>
      <x:c r="J49" s="24" t="str">
        <x:v>Catalog/art/audio/UI/legal/Sprint 16 lineage</x:v>
      </x:c>
      <x:c r="K49" s="24" t="str">
        <x:v>17–21 consolidated documents where applicable</x:v>
      </x:c>
      <x:c r="L49" s="24" t="str">
        <x:v>Do not discard; use for genealogy.</x:v>
      </x:c>
    </x:row>
    <x:row r="50" ht="34" customHeight="1">
      <x:c r="A50" s="24" t="str">
        <x:v>SRC-HIS-046</x:v>
      </x:c>
      <x:c r="B50" s="24" t="str">
        <x:v>Documentation/00_Official_Baseline/v0.6/00_Project_Governance/Cartridge_And_Cloud_Package_Manifest_v0.4.pdf</x:v>
      </x:c>
      <x:c r="C50" s="24" t="str">
        <x:v>Cartridge_And_Cloud_Package_Manifest_v0.4.pdf</x:v>
      </x:c>
      <x:c r="D50" s="24" t="str">
        <x:v>PDF</x:v>
      </x:c>
      <x:c r="E50" s="24" t="str">
        <x:v>0.6</x:v>
      </x:c>
      <x:c r="F50" s="24" t="str">
        <x:v>Historical/Supporting</x:v>
      </x:c>
      <x:c r="G50" s="24" t="str">
        <x:v>Preserved</x:v>
      </x:c>
      <x:c r="H50" s="44" t="n">
        <x:v>30.48</x:v>
      </x:c>
      <x:c r="I50" s="24" t="str">
        <x:v>e2b87252fcc868ccf8c9bd6b7e9737260653ed2ae07d2eb86394cb503d64f48c</x:v>
      </x:c>
      <x:c r="J50" s="24" t="str">
        <x:v>Catalog/art/audio/UI/legal/Sprint 16 lineage</x:v>
      </x:c>
      <x:c r="K50" s="24" t="str">
        <x:v>17–21 consolidated documents where applicable</x:v>
      </x:c>
      <x:c r="L50" s="24" t="str">
        <x:v>Do not discard; use for genealogy.</x:v>
      </x:c>
    </x:row>
    <x:row r="51" ht="34" customHeight="1">
      <x:c r="A51" s="24" t="str">
        <x:v>SRC-HIS-047</x:v>
      </x:c>
      <x:c r="B51" s="24" t="str">
        <x:v>Documentation/00_Official_Baseline/v0.6/01_Design/Cartridge_And_Cloud_Economy_Balance_Specification_v0.3.pdf</x:v>
      </x:c>
      <x:c r="C51" s="24" t="str">
        <x:v>Cartridge_And_Cloud_Economy_Balance_Specification_v0.3.pdf</x:v>
      </x:c>
      <x:c r="D51" s="24" t="str">
        <x:v>PDF</x:v>
      </x:c>
      <x:c r="E51" s="24" t="str">
        <x:v>0.6</x:v>
      </x:c>
      <x:c r="F51" s="24" t="str">
        <x:v>Historical/Supporting</x:v>
      </x:c>
      <x:c r="G51" s="24" t="str">
        <x:v>Preserved</x:v>
      </x:c>
      <x:c r="H51" s="44" t="n">
        <x:v>36.48</x:v>
      </x:c>
      <x:c r="I51" s="24" t="str">
        <x:v>814b045831b60bd22488cbb9b255a87e9c714abb9f0c9716227004af6334b38b</x:v>
      </x:c>
      <x:c r="J51" s="24" t="str">
        <x:v>Catalog/art/audio/UI/legal/Sprint 16 lineage</x:v>
      </x:c>
      <x:c r="K51" s="24" t="str">
        <x:v>17–21 consolidated documents where applicable</x:v>
      </x:c>
      <x:c r="L51" s="24" t="str">
        <x:v>Do not discard; use for genealogy.</x:v>
      </x:c>
    </x:row>
    <x:row r="52" ht="34" customHeight="1">
      <x:c r="A52" s="24" t="str">
        <x:v>SRC-HIS-048</x:v>
      </x:c>
      <x:c r="B52" s="24" t="str">
        <x:v>Documentation/00_Official_Baseline/v0.6/01_Design/Cartridge_And_Cloud_Initial_Content_Catalog_v0.3.pdf</x:v>
      </x:c>
      <x:c r="C52" s="24" t="str">
        <x:v>Cartridge_And_Cloud_Initial_Content_Catalog_v0.3.pdf</x:v>
      </x:c>
      <x:c r="D52" s="24" t="str">
        <x:v>PDF</x:v>
      </x:c>
      <x:c r="E52" s="24" t="str">
        <x:v>0.6</x:v>
      </x:c>
      <x:c r="F52" s="24" t="str">
        <x:v>Historical/Supporting</x:v>
      </x:c>
      <x:c r="G52" s="24" t="str">
        <x:v>Preserved</x:v>
      </x:c>
      <x:c r="H52" s="44" t="n">
        <x:v>36.82</x:v>
      </x:c>
      <x:c r="I52" s="24" t="str">
        <x:v>9566db558196999b36eaff6c58b48adaf7cbbf005544cca3692ce2bbdfa216e8</x:v>
      </x:c>
      <x:c r="J52" s="24" t="str">
        <x:v>Catalog/art/audio/UI/legal/Sprint 16 lineage</x:v>
      </x:c>
      <x:c r="K52" s="24" t="str">
        <x:v>17–21 consolidated documents where applicable</x:v>
      </x:c>
      <x:c r="L52" s="24" t="str">
        <x:v>Do not discard; use for genealogy.</x:v>
      </x:c>
    </x:row>
    <x:row r="53" ht="34" customHeight="1">
      <x:c r="A53" s="24" t="str">
        <x:v>SRC-HIS-049</x:v>
      </x:c>
      <x:c r="B53" s="24" t="str">
        <x:v>Documentation/00_Official_Baseline/v0.6/03_Visual_Audio/Cartridge_And_Cloud_Art_Bible_v0.5.pdf</x:v>
      </x:c>
      <x:c r="C53" s="24" t="str">
        <x:v>Cartridge_And_Cloud_Art_Bible_v0.5.pdf</x:v>
      </x:c>
      <x:c r="D53" s="24" t="str">
        <x:v>PDF</x:v>
      </x:c>
      <x:c r="E53" s="24" t="str">
        <x:v>0.6</x:v>
      </x:c>
      <x:c r="F53" s="24" t="str">
        <x:v>Historical/Supporting</x:v>
      </x:c>
      <x:c r="G53" s="24" t="str">
        <x:v>Preserved</x:v>
      </x:c>
      <x:c r="H53" s="44" t="n">
        <x:v>34.58</x:v>
      </x:c>
      <x:c r="I53" s="24" t="str">
        <x:v>ab41d9f663bddc58edd4d1591281b74097f0b3a4cd772706d923cf275222f414</x:v>
      </x:c>
      <x:c r="J53" s="24" t="str">
        <x:v>Catalog/art/audio/UI/legal/Sprint 16 lineage</x:v>
      </x:c>
      <x:c r="K53" s="24" t="str">
        <x:v>17–21 consolidated documents where applicable</x:v>
      </x:c>
      <x:c r="L53" s="24" t="str">
        <x:v>Do not discard; use for genealogy.</x:v>
      </x:c>
    </x:row>
    <x:row r="54" ht="34" customHeight="1">
      <x:c r="A54" s="24" t="str">
        <x:v>SRC-HIS-050</x:v>
      </x:c>
      <x:c r="B54" s="24" t="str">
        <x:v>Documentation/00_Official_Baseline/v0.6/03_Visual_Audio/Cartridge_And_Cloud_Audio_Bible_v0.5.pdf</x:v>
      </x:c>
      <x:c r="C54" s="24" t="str">
        <x:v>Cartridge_And_Cloud_Audio_Bible_v0.5.pdf</x:v>
      </x:c>
      <x:c r="D54" s="24" t="str">
        <x:v>PDF</x:v>
      </x:c>
      <x:c r="E54" s="24" t="str">
        <x:v>0.6</x:v>
      </x:c>
      <x:c r="F54" s="24" t="str">
        <x:v>Historical/Supporting</x:v>
      </x:c>
      <x:c r="G54" s="24" t="str">
        <x:v>Preserved</x:v>
      </x:c>
      <x:c r="H54" s="44" t="n">
        <x:v>30.35</x:v>
      </x:c>
      <x:c r="I54" s="24" t="str">
        <x:v>1266f4f2b51202caa9eccfec07800cd089001a454ce72e90a205aa093b21198f</x:v>
      </x:c>
      <x:c r="J54" s="24" t="str">
        <x:v>Catalog/art/audio/UI/legal/Sprint 16 lineage</x:v>
      </x:c>
      <x:c r="K54" s="24" t="str">
        <x:v>17–21 consolidated documents where applicable</x:v>
      </x:c>
      <x:c r="L54" s="24" t="str">
        <x:v>Do not discard; use for genealogy.</x:v>
      </x:c>
    </x:row>
    <x:row r="55" ht="34" customHeight="1">
      <x:c r="A55" s="24" t="str">
        <x:v>SRC-HIS-051</x:v>
      </x:c>
      <x:c r="B55" s="24" t="str">
        <x:v>Documentation/00_Official_Baseline/v0.6/03_Visual_Audio/Cartridge_And_Cloud_UI_Style_Guide_v0.5.pdf</x:v>
      </x:c>
      <x:c r="C55" s="24" t="str">
        <x:v>Cartridge_And_Cloud_UI_Style_Guide_v0.5.pdf</x:v>
      </x:c>
      <x:c r="D55" s="24" t="str">
        <x:v>PDF</x:v>
      </x:c>
      <x:c r="E55" s="24" t="str">
        <x:v>0.6</x:v>
      </x:c>
      <x:c r="F55" s="24" t="str">
        <x:v>Historical/Supporting</x:v>
      </x:c>
      <x:c r="G55" s="24" t="str">
        <x:v>Preserved</x:v>
      </x:c>
      <x:c r="H55" s="44" t="n">
        <x:v>30.73</x:v>
      </x:c>
      <x:c r="I55" s="24" t="str">
        <x:v>a1898f385154ecfbb12b0106ed150e6ac0307d2987650fe8d2397c0e428c5da7</x:v>
      </x:c>
      <x:c r="J55" s="24" t="str">
        <x:v>Catalog/art/audio/UI/legal/Sprint 16 lineage</x:v>
      </x:c>
      <x:c r="K55" s="24" t="str">
        <x:v>17–21 consolidated documents where applicable</x:v>
      </x:c>
      <x:c r="L55" s="24" t="str">
        <x:v>Do not discard; use for genealogy.</x:v>
      </x:c>
    </x:row>
    <x:row r="56" ht="34" customHeight="1">
      <x:c r="A56" s="24" t="str">
        <x:v>SRC-HIS-052</x:v>
      </x:c>
      <x:c r="B56" s="24" t="str">
        <x:v>Documentation/00_Official_Baseline/v0.6/05_Business_Release/Cartridge_And_Cloud_Legal_Credits_Licenses_Register_v0.5.pdf</x:v>
      </x:c>
      <x:c r="C56" s="24" t="str">
        <x:v>Cartridge_And_Cloud_Legal_Credits_Licenses_Register_v0.5.pdf</x:v>
      </x:c>
      <x:c r="D56" s="24" t="str">
        <x:v>PDF</x:v>
      </x:c>
      <x:c r="E56" s="24" t="str">
        <x:v>0.6</x:v>
      </x:c>
      <x:c r="F56" s="24" t="str">
        <x:v>Historical/Supporting</x:v>
      </x:c>
      <x:c r="G56" s="24" t="str">
        <x:v>Preserved</x:v>
      </x:c>
      <x:c r="H56" s="44" t="n">
        <x:v>28.08</x:v>
      </x:c>
      <x:c r="I56" s="24" t="str">
        <x:v>eee199263d089442dc5ea6228b10b562d7930163c707a7e90402e734bf94db51</x:v>
      </x:c>
      <x:c r="J56" s="24" t="str">
        <x:v>Catalog/art/audio/UI/legal/Sprint 16 lineage</x:v>
      </x:c>
      <x:c r="K56" s="24" t="str">
        <x:v>17–21 consolidated documents where applicable</x:v>
      </x:c>
      <x:c r="L56" s="24" t="str">
        <x:v>Do not discard; use for genealogy.</x:v>
      </x:c>
    </x:row>
    <x:row r="57" ht="34" customHeight="1">
      <x:c r="A57" s="24" t="str">
        <x:v>SRC-HIS-053</x:v>
      </x:c>
      <x:c r="B57" s="24" t="str">
        <x:v>Documentation/00_Official_Baseline/v0.6/06_Development_Records/Historical/Sprint_16_Integration_Timeline.md</x:v>
      </x:c>
      <x:c r="C57" s="24" t="str">
        <x:v>Sprint_16_Integration_Timeline.md</x:v>
      </x:c>
      <x:c r="D57" s="24" t="str">
        <x:v>MD</x:v>
      </x:c>
      <x:c r="E57" s="24" t="str">
        <x:v>0.6</x:v>
      </x:c>
      <x:c r="F57" s="24" t="str">
        <x:v>Historical/Supporting</x:v>
      </x:c>
      <x:c r="G57" s="24" t="str">
        <x:v>Preserved</x:v>
      </x:c>
      <x:c r="H57" s="44" t="n">
        <x:v>1.74</x:v>
      </x:c>
      <x:c r="I57" s="24" t="str">
        <x:v>89fde821c460328fbb8700022883006d2eb8a1ab892c266972b7a1cc207cbcc0</x:v>
      </x:c>
      <x:c r="J57" s="24" t="str">
        <x:v>Catalog/art/audio/UI/legal/Sprint 16 lineage</x:v>
      </x:c>
      <x:c r="K57" s="24" t="str">
        <x:v>17–21 consolidated documents where applicable</x:v>
      </x:c>
      <x:c r="L57" s="24" t="str">
        <x:v>Do not discard; use for genealogy.</x:v>
      </x:c>
    </x:row>
    <x:row r="58" ht="34" customHeight="1">
      <x:c r="A58" s="24" t="str">
        <x:v>SRC-HIS-054</x:v>
      </x:c>
      <x:c r="B58" s="24" t="str">
        <x:v>Documentation/00_Official_Baseline/v0.6/06_Development_Records/Sprints/Sprint_16/Documentation/StoreInitial_Authoring_Plan.md</x:v>
      </x:c>
      <x:c r="C58" s="24" t="str">
        <x:v>StoreInitial_Authoring_Plan.md</x:v>
      </x:c>
      <x:c r="D58" s="24" t="str">
        <x:v>MD</x:v>
      </x:c>
      <x:c r="E58" s="24" t="str">
        <x:v>0.6</x:v>
      </x:c>
      <x:c r="F58" s="24" t="str">
        <x:v>Historical/Supporting</x:v>
      </x:c>
      <x:c r="G58" s="24" t="str">
        <x:v>Preserved</x:v>
      </x:c>
      <x:c r="H58" s="44" t="n">
        <x:v>0.72</x:v>
      </x:c>
      <x:c r="I58" s="24" t="str">
        <x:v>f67d195bcda2bd1f861dcf5c53d0a299260c1f04c2f299250856a76616131eba</x:v>
      </x:c>
      <x:c r="J58" s="24" t="str">
        <x:v>Catalog/art/audio/UI/legal/Sprint 16 lineage</x:v>
      </x:c>
      <x:c r="K58" s="24" t="str">
        <x:v>17–21 consolidated documents where applicable</x:v>
      </x:c>
      <x:c r="L58" s="24" t="str">
        <x:v>Do not discard; use for genealogy.</x:v>
      </x:c>
    </x:row>
    <x:row r="59" ht="34" customHeight="1">
      <x:c r="A59" s="24" t="str">
        <x:v>SRC-HIS-055</x:v>
      </x:c>
      <x:c r="B59" s="24" t="str">
        <x:v>Documentation/00_Official_Baseline/v0.6/06_Development_Records/Sprints/Sprint_16/Governance/Sprint_16_Current_Status.md</x:v>
      </x:c>
      <x:c r="C59" s="24" t="str">
        <x:v>Sprint_16_Current_Status.md</x:v>
      </x:c>
      <x:c r="D59" s="24" t="str">
        <x:v>MD</x:v>
      </x:c>
      <x:c r="E59" s="24" t="str">
        <x:v>0.6</x:v>
      </x:c>
      <x:c r="F59" s="24" t="str">
        <x:v>Historical/Supporting</x:v>
      </x:c>
      <x:c r="G59" s="24" t="str">
        <x:v>Preserved</x:v>
      </x:c>
      <x:c r="H59" s="44" t="n">
        <x:v>0.65</x:v>
      </x:c>
      <x:c r="I59" s="24" t="str">
        <x:v>bc336c8bf852d942d1b0289cebfdde9db889088990fcc6151df5db559e94d1a9</x:v>
      </x:c>
      <x:c r="J59" s="24" t="str">
        <x:v>Catalog/art/audio/UI/legal/Sprint 16 lineage</x:v>
      </x:c>
      <x:c r="K59" s="24" t="str">
        <x:v>17–21 consolidated documents where applicable</x:v>
      </x:c>
      <x:c r="L59" s="24" t="str">
        <x:v>Do not discard; use for genealogy.</x:v>
      </x:c>
    </x:row>
    <x:row r="60" ht="34" customHeight="1">
      <x:c r="A60" s="24" t="str">
        <x:v>SRC-HIS-056</x:v>
      </x:c>
      <x:c r="B60" s="24" t="str">
        <x:v>Documentation/00_Official_Baseline/v0.6/06_Development_Records/Sprints/Sprint_16/Governance/Sprint_16_Representative_Asset_Integration_Record.md</x:v>
      </x:c>
      <x:c r="C60" s="24" t="str">
        <x:v>Sprint_16_Representative_Asset_Integration_Record.md</x:v>
      </x:c>
      <x:c r="D60" s="24" t="str">
        <x:v>MD</x:v>
      </x:c>
      <x:c r="E60" s="24" t="str">
        <x:v>0.6</x:v>
      </x:c>
      <x:c r="F60" s="24" t="str">
        <x:v>Historical/Supporting</x:v>
      </x:c>
      <x:c r="G60" s="24" t="str">
        <x:v>Preserved</x:v>
      </x:c>
      <x:c r="H60" s="44" t="n">
        <x:v>0.54</x:v>
      </x:c>
      <x:c r="I60" s="24" t="str">
        <x:v>91133cf2823d732d58fcd23601d6816e610e00375cc38e39737929d88fc4ec54</x:v>
      </x:c>
      <x:c r="J60" s="24" t="str">
        <x:v>Catalog/art/audio/UI/legal/Sprint 16 lineage</x:v>
      </x:c>
      <x:c r="K60" s="24" t="str">
        <x:v>17–21 consolidated documents where applicable</x:v>
      </x:c>
      <x:c r="L60" s="24" t="str">
        <x:v>Do not discard; use for genealogy.</x:v>
      </x:c>
    </x:row>
    <x:row r="61" ht="34" customHeight="1">
      <x:c r="A61" s="24" t="str">
        <x:v>SRC-HIS-057</x:v>
      </x:c>
      <x:c r="B61" s="24" t="str">
        <x:v>Documentation/00_Official_Baseline/v0.6/99_Source_Markdown/Cartridge_And_Cloud_Art_Bible_v0.5.md</x:v>
      </x:c>
      <x:c r="C61" s="24" t="str">
        <x:v>Cartridge_And_Cloud_Art_Bible_v0.5.md</x:v>
      </x:c>
      <x:c r="D61" s="24" t="str">
        <x:v>MD</x:v>
      </x:c>
      <x:c r="E61" s="24" t="str">
        <x:v>0.6</x:v>
      </x:c>
      <x:c r="F61" s="24" t="str">
        <x:v>Historical/Supporting</x:v>
      </x:c>
      <x:c r="G61" s="24" t="str">
        <x:v>Preserved</x:v>
      </x:c>
      <x:c r="H61" s="44" t="n">
        <x:v>2.44</x:v>
      </x:c>
      <x:c r="I61" s="24" t="str">
        <x:v>27d4fe8de7bd166329880e6975b1bf90883cd92ca7133b667f1036b09816ca42</x:v>
      </x:c>
      <x:c r="J61" s="24" t="str">
        <x:v>Catalog/art/audio/UI/legal/Sprint 16 lineage</x:v>
      </x:c>
      <x:c r="K61" s="24" t="str">
        <x:v>17–21 consolidated documents where applicable</x:v>
      </x:c>
      <x:c r="L61" s="24" t="str">
        <x:v>Do not discard; use for genealogy.</x:v>
      </x:c>
    </x:row>
    <x:row r="62" ht="34" customHeight="1">
      <x:c r="A62" s="24" t="str">
        <x:v>SRC-HIS-058</x:v>
      </x:c>
      <x:c r="B62" s="24" t="str">
        <x:v>Documentation/00_Official_Baseline/v0.6/99_Source_Markdown/Cartridge_And_Cloud_Audio_Bible_v0.5.md</x:v>
      </x:c>
      <x:c r="C62" s="24" t="str">
        <x:v>Cartridge_And_Cloud_Audio_Bible_v0.5.md</x:v>
      </x:c>
      <x:c r="D62" s="24" t="str">
        <x:v>MD</x:v>
      </x:c>
      <x:c r="E62" s="24" t="str">
        <x:v>0.6</x:v>
      </x:c>
      <x:c r="F62" s="24" t="str">
        <x:v>Historical/Supporting</x:v>
      </x:c>
      <x:c r="G62" s="24" t="str">
        <x:v>Preserved</x:v>
      </x:c>
      <x:c r="H62" s="44" t="n">
        <x:v>1.97</x:v>
      </x:c>
      <x:c r="I62" s="24" t="str">
        <x:v>3edc3d0db88a36ac7726381883bbf4ffb5f5260a6cb5d972ecf659fbd5116aed</x:v>
      </x:c>
      <x:c r="J62" s="24" t="str">
        <x:v>Catalog/art/audio/UI/legal/Sprint 16 lineage</x:v>
      </x:c>
      <x:c r="K62" s="24" t="str">
        <x:v>17–21 consolidated documents where applicable</x:v>
      </x:c>
      <x:c r="L62" s="24" t="str">
        <x:v>Do not discard; use for genealogy.</x:v>
      </x:c>
    </x:row>
    <x:row r="63" ht="34" customHeight="1">
      <x:c r="A63" s="24" t="str">
        <x:v>SRC-HIS-059</x:v>
      </x:c>
      <x:c r="B63" s="24" t="str">
        <x:v>Documentation/00_Official_Baseline/v0.6/99_Source_Markdown/Cartridge_And_Cloud_Economy_Balance_Specification_v0.3.md</x:v>
      </x:c>
      <x:c r="C63" s="24" t="str">
        <x:v>Cartridge_And_Cloud_Economy_Balance_Specification_v0.3.md</x:v>
      </x:c>
      <x:c r="D63" s="24" t="str">
        <x:v>MD</x:v>
      </x:c>
      <x:c r="E63" s="24" t="str">
        <x:v>0.6</x:v>
      </x:c>
      <x:c r="F63" s="24" t="str">
        <x:v>Historical/Supporting</x:v>
      </x:c>
      <x:c r="G63" s="24" t="str">
        <x:v>Preserved</x:v>
      </x:c>
      <x:c r="H63" s="44" t="n">
        <x:v>2.5</x:v>
      </x:c>
      <x:c r="I63" s="24" t="str">
        <x:v>0f3a938d2dcfb83e03b20cc8b7902342d8124f42965cb9585c81a8854ce16abc</x:v>
      </x:c>
      <x:c r="J63" s="24" t="str">
        <x:v>Catalog/art/audio/UI/legal/Sprint 16 lineage</x:v>
      </x:c>
      <x:c r="K63" s="24" t="str">
        <x:v>17–21 consolidated documents where applicable</x:v>
      </x:c>
      <x:c r="L63" s="24" t="str">
        <x:v>Do not discard; use for genealogy.</x:v>
      </x:c>
    </x:row>
    <x:row r="64" ht="34" customHeight="1">
      <x:c r="A64" s="24" t="str">
        <x:v>SRC-HIS-060</x:v>
      </x:c>
      <x:c r="B64" s="24" t="str">
        <x:v>Documentation/00_Official_Baseline/v0.6/99_Source_Markdown/Cartridge_And_Cloud_Initial_Content_Catalog_v0.3.md</x:v>
      </x:c>
      <x:c r="C64" s="24" t="str">
        <x:v>Cartridge_And_Cloud_Initial_Content_Catalog_v0.3.md</x:v>
      </x:c>
      <x:c r="D64" s="24" t="str">
        <x:v>MD</x:v>
      </x:c>
      <x:c r="E64" s="24" t="str">
        <x:v>0.6</x:v>
      </x:c>
      <x:c r="F64" s="24" t="str">
        <x:v>Historical/Supporting</x:v>
      </x:c>
      <x:c r="G64" s="24" t="str">
        <x:v>Preserved</x:v>
      </x:c>
      <x:c r="H64" s="44" t="n">
        <x:v>2.72</x:v>
      </x:c>
      <x:c r="I64" s="24" t="str">
        <x:v>68f8841d7f5e83b1078bbf8c110e799165b74f5d75a823839d0acfd3086b333e</x:v>
      </x:c>
      <x:c r="J64" s="24" t="str">
        <x:v>Catalog/art/audio/UI/legal/Sprint 16 lineage</x:v>
      </x:c>
      <x:c r="K64" s="24" t="str">
        <x:v>17–21 consolidated documents where applicable</x:v>
      </x:c>
      <x:c r="L64" s="24" t="str">
        <x:v>Do not discard; use for genealogy.</x:v>
      </x:c>
    </x:row>
    <x:row r="65" ht="34" customHeight="1">
      <x:c r="A65" s="24" t="str">
        <x:v>SRC-HIS-061</x:v>
      </x:c>
      <x:c r="B65" s="24" t="str">
        <x:v>Documentation/00_Official_Baseline/v0.6/99_Source_Markdown/Cartridge_And_Cloud_Legal_Credits_Licenses_Register_v0.5.md</x:v>
      </x:c>
      <x:c r="C65" s="24" t="str">
        <x:v>Cartridge_And_Cloud_Legal_Credits_Licenses_Register_v0.5.md</x:v>
      </x:c>
      <x:c r="D65" s="24" t="str">
        <x:v>MD</x:v>
      </x:c>
      <x:c r="E65" s="24" t="str">
        <x:v>0.6</x:v>
      </x:c>
      <x:c r="F65" s="24" t="str">
        <x:v>Historical/Supporting</x:v>
      </x:c>
      <x:c r="G65" s="24" t="str">
        <x:v>Preserved</x:v>
      </x:c>
      <x:c r="H65" s="44" t="n">
        <x:v>1.91</x:v>
      </x:c>
      <x:c r="I65" s="24" t="str">
        <x:v>610fc2ca1dd8ea1859fb779039e5de841610646d1e5601d316b2fe34410c3c81</x:v>
      </x:c>
      <x:c r="J65" s="24" t="str">
        <x:v>Catalog/art/audio/UI/legal/Sprint 16 lineage</x:v>
      </x:c>
      <x:c r="K65" s="24" t="str">
        <x:v>17–21 consolidated documents where applicable</x:v>
      </x:c>
      <x:c r="L65" s="24" t="str">
        <x:v>Do not discard; use for genealogy.</x:v>
      </x:c>
    </x:row>
    <x:row r="66" ht="34" customHeight="1">
      <x:c r="A66" s="24" t="str">
        <x:v>SRC-HIS-062</x:v>
      </x:c>
      <x:c r="B66" s="24" t="str">
        <x:v>Documentation/00_Official_Baseline/v0.6/99_Source_Markdown/Cartridge_And_Cloud_Package_Manifest_v0.4.md</x:v>
      </x:c>
      <x:c r="C66" s="24" t="str">
        <x:v>Cartridge_And_Cloud_Package_Manifest_v0.4.md</x:v>
      </x:c>
      <x:c r="D66" s="24" t="str">
        <x:v>MD</x:v>
      </x:c>
      <x:c r="E66" s="24" t="str">
        <x:v>0.6</x:v>
      </x:c>
      <x:c r="F66" s="24" t="str">
        <x:v>Historical/Supporting</x:v>
      </x:c>
      <x:c r="G66" s="24" t="str">
        <x:v>Preserved</x:v>
      </x:c>
      <x:c r="H66" s="44" t="n">
        <x:v>1.87</x:v>
      </x:c>
      <x:c r="I66" s="24" t="str">
        <x:v>89ae5a7d733d8d70f36b64cfe3653aed99149827155fcddec0cadf650fd38acb</x:v>
      </x:c>
      <x:c r="J66" s="24" t="str">
        <x:v>Catalog/art/audio/UI/legal/Sprint 16 lineage</x:v>
      </x:c>
      <x:c r="K66" s="24" t="str">
        <x:v>17–21 consolidated documents where applicable</x:v>
      </x:c>
      <x:c r="L66" s="24" t="str">
        <x:v>Do not discard; use for genealogy.</x:v>
      </x:c>
    </x:row>
    <x:row r="67" ht="34" customHeight="1">
      <x:c r="A67" s="24" t="str">
        <x:v>SRC-HIS-063</x:v>
      </x:c>
      <x:c r="B67" s="24" t="str">
        <x:v>Documentation/00_Official_Baseline/v0.6/99_Source_Markdown/Cartridge_And_Cloud_UI_Style_Guide_v0.5.md</x:v>
      </x:c>
      <x:c r="C67" s="24" t="str">
        <x:v>Cartridge_And_Cloud_UI_Style_Guide_v0.5.md</x:v>
      </x:c>
      <x:c r="D67" s="24" t="str">
        <x:v>MD</x:v>
      </x:c>
      <x:c r="E67" s="24" t="str">
        <x:v>0.6</x:v>
      </x:c>
      <x:c r="F67" s="24" t="str">
        <x:v>Historical/Supporting</x:v>
      </x:c>
      <x:c r="G67" s="24" t="str">
        <x:v>Preserved</x:v>
      </x:c>
      <x:c r="H67" s="44" t="n">
        <x:v>2.13</x:v>
      </x:c>
      <x:c r="I67" s="24" t="str">
        <x:v>857f070207a752796ff5c21968020d3230a8c357d84a140593c74c47c59ee645</x:v>
      </x:c>
      <x:c r="J67" s="24" t="str">
        <x:v>Catalog/art/audio/UI/legal/Sprint 16 lineage</x:v>
      </x:c>
      <x:c r="K67" s="24" t="str">
        <x:v>17–21 consolidated documents where applicable</x:v>
      </x:c>
      <x:c r="L67" s="24" t="str">
        <x:v>Do not discard; use for genealogy.</x:v>
      </x:c>
    </x:row>
    <x:row r="68" ht="34" customHeight="1">
      <x:c r="A68" s="24" t="str">
        <x:v>SRC-HIS-064</x:v>
      </x:c>
      <x:c r="B68" s="24" t="str">
        <x:v>Documentation/00_Official_Baseline/v0.6/PACKAGE_MANIFEST.md</x:v>
      </x:c>
      <x:c r="C68" s="24" t="str">
        <x:v>PACKAGE_MANIFEST.md</x:v>
      </x:c>
      <x:c r="D68" s="24" t="str">
        <x:v>MD</x:v>
      </x:c>
      <x:c r="E68" s="24" t="str">
        <x:v>0.6</x:v>
      </x:c>
      <x:c r="F68" s="24" t="str">
        <x:v>Historical/Supporting</x:v>
      </x:c>
      <x:c r="G68" s="24" t="str">
        <x:v>Preserved</x:v>
      </x:c>
      <x:c r="H68" s="44" t="n">
        <x:v>0.86</x:v>
      </x:c>
      <x:c r="I68" s="24" t="str">
        <x:v>c25b2f638ce7814f8f2d9a153481efe6891a01b7e873f1a3251775ee51b922dd</x:v>
      </x:c>
      <x:c r="J68" s="24" t="str">
        <x:v>Catalog/art/audio/UI/legal/Sprint 16 lineage</x:v>
      </x:c>
      <x:c r="K68" s="24" t="str">
        <x:v>17–21 consolidated documents where applicable</x:v>
      </x:c>
      <x:c r="L68" s="24" t="str">
        <x:v>Do not discard; use for genealogy.</x:v>
      </x:c>
    </x:row>
    <x:row r="69" ht="34" customHeight="1">
      <x:c r="A69" s="24" t="str">
        <x:v>SRC-HIS-065</x:v>
      </x:c>
      <x:c r="B69" s="24" t="str">
        <x:v>Documentation/10_Development_Records/Sprint_16/Governance/Sprint_16_Two_Phase_Charter.md</x:v>
      </x:c>
      <x:c r="C69" s="24" t="str">
        <x:v>Sprint_16_Two_Phase_Charter.md</x:v>
      </x:c>
      <x:c r="D69" s="24" t="str">
        <x:v>MD</x:v>
      </x:c>
      <x:c r="E69" s="24" t="str">
        <x:v>Working</x:v>
      </x:c>
      <x:c r="F69" s="24" t="str">
        <x:v>Historical/Supporting</x:v>
      </x:c>
      <x:c r="G69" s="24" t="str">
        <x:v>Preserved</x:v>
      </x:c>
      <x:c r="H69" s="44" t="n">
        <x:v>0.62</x:v>
      </x:c>
      <x:c r="I69" s="24" t="str">
        <x:v>b191b8b5d47654141df7860d6a79430552cc68e1bcdc786d1d4fef55583dc605</x:v>
      </x:c>
      <x:c r="J69" s="24" t="str">
        <x:v>Catalog/art/audio/UI/legal/Sprint 16 lineage</x:v>
      </x:c>
      <x:c r="K69" s="24" t="str">
        <x:v>17–21 consolidated documents where applicable</x:v>
      </x:c>
      <x:c r="L69" s="24" t="str">
        <x:v>Do not discard; use for genealogy.</x:v>
      </x:c>
    </x:row>
    <x:row r="70" ht="34" customHeight="1">
      <x:c r="A70" s="24" t="str">
        <x:v>SRC-CON-001</x:v>
      </x:c>
      <x:c r="B70" s="24" t="str">
        <x:v>00_Enfoque_y_Alcance.md</x:v>
      </x:c>
      <x:c r="C70" s="24" t="str">
        <x:v>00_Enfoque_y_Alcance.md</x:v>
      </x:c>
      <x:c r="D70" s="24" t="str">
        <x:v>MD</x:v>
      </x:c>
      <x:c r="E70" s="24" t="str">
        <x:v>RC1 2026-07-01</x:v>
      </x:c>
      <x:c r="F70" s="24" t="str">
        <x:v>Primary/Current</x:v>
      </x:c>
      <x:c r="G70" s="24" t="str">
        <x:v>CURRENT</x:v>
      </x:c>
      <x:c r="H70" s="44" t="n">
        <x:v>124.42</x:v>
      </x:c>
      <x:c r="I70" s="24" t="str">
        <x:v>63dd6f0f1b9c2c80be2aec55718d18d9d031ce4acb14f677769d6e69ceaad21f</x:v>
      </x:c>
      <x:c r="J70" s="24" t="str">
        <x:v>Scope and exclusions applied to content</x:v>
      </x:c>
      <x:c r="K70" s="24"/>
      <x:c r="L70" s="24" t="str">
        <x:v>Current candidate source; see 25_Integracion_00_34 for applicability and pending action.</x:v>
      </x:c>
    </x:row>
    <x:row r="71" ht="34" customHeight="1">
      <x:c r="A71" s="24" t="str">
        <x:v>SRC-CON-002</x:v>
      </x:c>
      <x:c r="B71" s="24" t="str">
        <x:v>01_Game_Design_Document.md</x:v>
      </x:c>
      <x:c r="C71" s="24" t="str">
        <x:v>01_Game_Design_Document.md</x:v>
      </x:c>
      <x:c r="D71" s="24" t="str">
        <x:v>MD</x:v>
      </x:c>
      <x:c r="E71" s="24" t="str">
        <x:v>RC1 2026-07-01</x:v>
      </x:c>
      <x:c r="F71" s="24" t="str">
        <x:v>Primary/Current</x:v>
      </x:c>
      <x:c r="G71" s="24" t="str">
        <x:v>CURRENT</x:v>
      </x:c>
      <x:c r="H71" s="44" t="n">
        <x:v>129.71</x:v>
      </x:c>
      <x:c r="I71" s="24" t="str">
        <x:v>a9cd9e3203abc5269c25c59dc7f626b0771df4ec2d65e781109ff146bceb2177</x:v>
      </x:c>
      <x:c r="J71" s="24" t="str">
        <x:v>Content identity and gameplay purpose</x:v>
      </x:c>
      <x:c r="K71" s="24"/>
      <x:c r="L71" s="24" t="str">
        <x:v>Current candidate source; see 25_Integracion_00_34 for applicability and pending action.</x:v>
      </x:c>
    </x:row>
    <x:row r="72" ht="34" customHeight="1">
      <x:c r="A72" s="24" t="str">
        <x:v>SRC-CON-003</x:v>
      </x:c>
      <x:c r="B72" s="24" t="str">
        <x:v>02_Vertical_Slice_Specification.md</x:v>
      </x:c>
      <x:c r="C72" s="24" t="str">
        <x:v>02_Vertical_Slice_Specification.md</x:v>
      </x:c>
      <x:c r="D72" s="24" t="str">
        <x:v>MD</x:v>
      </x:c>
      <x:c r="E72" s="24" t="str">
        <x:v>RC1 2026-07-01</x:v>
      </x:c>
      <x:c r="F72" s="24" t="str">
        <x:v>Primary/Current</x:v>
      </x:c>
      <x:c r="G72" s="24" t="str">
        <x:v>CURRENT</x:v>
      </x:c>
      <x:c r="H72" s="44" t="n">
        <x:v>63.02</x:v>
      </x:c>
      <x:c r="I72" s="24" t="str">
        <x:v>75893f130116e88a08b8da5590dd81876a234581081eafaa8d08374c1a60513f</x:v>
      </x:c>
      <x:c r="J72" s="24" t="str">
        <x:v>Acceptance criteria for representative content</x:v>
      </x:c>
      <x:c r="K72" s="24"/>
      <x:c r="L72" s="24" t="str">
        <x:v>Current candidate source; see 25_Integracion_00_34 for applicability and pending action.</x:v>
      </x:c>
    </x:row>
    <x:row r="73" ht="34" customHeight="1">
      <x:c r="A73" s="24" t="str">
        <x:v>SRC-CON-004</x:v>
      </x:c>
      <x:c r="B73" s="24" t="str">
        <x:v>03_Technical_Design_Document.md</x:v>
      </x:c>
      <x:c r="C73" s="24" t="str">
        <x:v>03_Technical_Design_Document.md</x:v>
      </x:c>
      <x:c r="D73" s="24" t="str">
        <x:v>MD</x:v>
      </x:c>
      <x:c r="E73" s="24" t="str">
        <x:v>RC1 2026-07-01</x:v>
      </x:c>
      <x:c r="F73" s="24" t="str">
        <x:v>Primary/Current</x:v>
      </x:c>
      <x:c r="G73" s="24" t="str">
        <x:v>CURRENT</x:v>
      </x:c>
      <x:c r="H73" s="44" t="n">
        <x:v>99.6</x:v>
      </x:c>
      <x:c r="I73" s="24" t="str">
        <x:v>66264703c5ff4959d03093690e9845a98ec0e5025e685b9a639ac8cbb616cd12</x:v>
      </x:c>
      <x:c r="J73" s="24" t="str">
        <x:v>Runtime architecture and consumers</x:v>
      </x:c>
      <x:c r="K73" s="24"/>
      <x:c r="L73" s="24" t="str">
        <x:v>Current candidate source; see 25_Integracion_00_34 for applicability and pending action.</x:v>
      </x:c>
    </x:row>
    <x:row r="74" ht="34" customHeight="1">
      <x:c r="A74" s="24" t="str">
        <x:v>SRC-CON-005</x:v>
      </x:c>
      <x:c r="B74" s="24" t="str">
        <x:v>04_Modelo_de_Datos.md</x:v>
      </x:c>
      <x:c r="C74" s="24" t="str">
        <x:v>04_Modelo_de_Datos.md</x:v>
      </x:c>
      <x:c r="D74" s="24" t="str">
        <x:v>MD</x:v>
      </x:c>
      <x:c r="E74" s="24" t="str">
        <x:v>RC1 2026-07-01</x:v>
      </x:c>
      <x:c r="F74" s="24" t="str">
        <x:v>Primary/Current</x:v>
      </x:c>
      <x:c r="G74" s="24" t="str">
        <x:v>CURRENT</x:v>
      </x:c>
      <x:c r="H74" s="44" t="n">
        <x:v>100.54</x:v>
      </x:c>
      <x:c r="I74" s="24" t="str">
        <x:v>d851a72b55742c2c704cc7c002929bc5894e7142511c6af843440bb193fb19d4</x:v>
      </x:c>
      <x:c r="J74" s="24" t="str">
        <x:v>Stable IDs, save and migration rules</x:v>
      </x:c>
      <x:c r="K74" s="24"/>
      <x:c r="L74" s="24" t="str">
        <x:v>Current candidate source; see 25_Integracion_00_34 for applicability and pending action.</x:v>
      </x:c>
    </x:row>
    <x:row r="75" ht="34" customHeight="1">
      <x:c r="A75" s="24" t="str">
        <x:v>SRC-CON-006</x:v>
      </x:c>
      <x:c r="B75" s="24" t="str">
        <x:v>05_UX_Flow.md</x:v>
      </x:c>
      <x:c r="C75" s="24" t="str">
        <x:v>05_UX_Flow.md</x:v>
      </x:c>
      <x:c r="D75" s="24" t="str">
        <x:v>MD</x:v>
      </x:c>
      <x:c r="E75" s="24" t="str">
        <x:v>RC1 2026-07-01</x:v>
      </x:c>
      <x:c r="F75" s="24" t="str">
        <x:v>Primary/Current</x:v>
      </x:c>
      <x:c r="G75" s="24" t="str">
        <x:v>CURRENT</x:v>
      </x:c>
      <x:c r="H75" s="44" t="n">
        <x:v>55.47</x:v>
      </x:c>
      <x:c r="I75" s="24" t="str">
        <x:v>e08da5ff67fb073a8b950babe325ae58ddb2e121513dc2f553acd4f2c14b867e</x:v>
      </x:c>
      <x:c r="J75" s="24" t="str">
        <x:v>Flows, messages and content interaction</x:v>
      </x:c>
      <x:c r="K75" s="24"/>
      <x:c r="L75" s="24" t="str">
        <x:v>Current candidate source; see 25_Integracion_00_34 for applicability and pending action.</x:v>
      </x:c>
    </x:row>
    <x:row r="76" ht="34" customHeight="1">
      <x:c r="A76" s="24" t="str">
        <x:v>SRC-CON-007</x:v>
      </x:c>
      <x:c r="B76" s="24" t="str">
        <x:v>06_Production_Roadmap_y_Sprint_Plan.md</x:v>
      </x:c>
      <x:c r="C76" s="24" t="str">
        <x:v>06_Production_Roadmap_y_Sprint_Plan.md</x:v>
      </x:c>
      <x:c r="D76" s="24" t="str">
        <x:v>MD</x:v>
      </x:c>
      <x:c r="E76" s="24" t="str">
        <x:v>RC1 2026-07-01</x:v>
      </x:c>
      <x:c r="F76" s="24" t="str">
        <x:v>Primary/Current</x:v>
      </x:c>
      <x:c r="G76" s="24" t="str">
        <x:v>CURRENT</x:v>
      </x:c>
      <x:c r="H76" s="44" t="n">
        <x:v>60.12</x:v>
      </x:c>
      <x:c r="I76" s="24" t="str">
        <x:v>d00b156c0ad1c66069278119c55f76c738a577a3e2835f770208d1a5f2faadff</x:v>
      </x:c>
      <x:c r="J76" s="24" t="str">
        <x:v>Milestones, sprints and gates</x:v>
      </x:c>
      <x:c r="K76" s="24"/>
      <x:c r="L76" s="24" t="str">
        <x:v>Current candidate source; see 25_Integracion_00_34 for applicability and pending action.</x:v>
      </x:c>
    </x:row>
    <x:row r="77" ht="34" customHeight="1">
      <x:c r="A77" s="24" t="str">
        <x:v>SRC-CON-008</x:v>
      </x:c>
      <x:c r="B77" s="24" t="str">
        <x:v>07_QA_Testing_Plan.md</x:v>
      </x:c>
      <x:c r="C77" s="24" t="str">
        <x:v>07_QA_Testing_Plan.md</x:v>
      </x:c>
      <x:c r="D77" s="24" t="str">
        <x:v>MD</x:v>
      </x:c>
      <x:c r="E77" s="24" t="str">
        <x:v>RC1 2026-07-01</x:v>
      </x:c>
      <x:c r="F77" s="24" t="str">
        <x:v>Primary/Current</x:v>
      </x:c>
      <x:c r="G77" s="24" t="str">
        <x:v>CURRENT</x:v>
      </x:c>
      <x:c r="H77" s="44" t="n">
        <x:v>77.57</x:v>
      </x:c>
      <x:c r="I77" s="24" t="str">
        <x:v>bc9c05a3737e345546ef16e5390e034295ef35ad66c31647852aec81b4e7affe</x:v>
      </x:c>
      <x:c r="J77" s="24" t="str">
        <x:v>QA policy and severity</x:v>
      </x:c>
      <x:c r="K77" s="24"/>
      <x:c r="L77" s="24" t="str">
        <x:v>Current candidate source; see 25_Integracion_00_34 for applicability and pending action.</x:v>
      </x:c>
    </x:row>
    <x:row r="78" ht="34" customHeight="1">
      <x:c r="A78" s="24" t="str">
        <x:v>SRC-CON-009</x:v>
      </x:c>
      <x:c r="B78" s="24" t="str">
        <x:v>08_QA_Testing_Matrix.xlsx</x:v>
      </x:c>
      <x:c r="C78" s="24" t="str">
        <x:v>08_QA_Testing_Matrix.xlsx</x:v>
      </x:c>
      <x:c r="D78" s="24" t="str">
        <x:v>XLSX</x:v>
      </x:c>
      <x:c r="E78" s="24" t="str">
        <x:v>RC1 2026-07-01</x:v>
      </x:c>
      <x:c r="F78" s="24" t="str">
        <x:v>Primary/Current</x:v>
      </x:c>
      <x:c r="G78" s="24" t="str">
        <x:v>CURRENT</x:v>
      </x:c>
      <x:c r="H78" s="44" t="n">
        <x:v>180.7</x:v>
      </x:c>
      <x:c r="I78" s="24" t="str">
        <x:v>233e57f01d2468fe13c136c8fcd3ee75b39bd3de6530349626ea98d4ff254214</x:v>
      </x:c>
      <x:c r="J78" s="24" t="str">
        <x:v>Executable tests and evidence</x:v>
      </x:c>
      <x:c r="K78" s="24"/>
      <x:c r="L78" s="24" t="str">
        <x:v>Current candidate source; see 25_Integracion_00_34 for applicability and pending action.</x:v>
      </x:c>
    </x:row>
    <x:row r="79" ht="34" customHeight="1">
      <x:c r="A79" s="24" t="str">
        <x:v>SRC-CON-010</x:v>
      </x:c>
      <x:c r="B79" s="24" t="str">
        <x:v>09_CSharp_Coding_Standards.md</x:v>
      </x:c>
      <x:c r="C79" s="24" t="str">
        <x:v>09_CSharp_Coding_Standards.md</x:v>
      </x:c>
      <x:c r="D79" s="24" t="str">
        <x:v>MD</x:v>
      </x:c>
      <x:c r="E79" s="24" t="str">
        <x:v>RC1 2026-07-01</x:v>
      </x:c>
      <x:c r="F79" s="24" t="str">
        <x:v>Primary/Current</x:v>
      </x:c>
      <x:c r="G79" s="24" t="str">
        <x:v>CURRENT</x:v>
      </x:c>
      <x:c r="H79" s="44" t="n">
        <x:v>93.09</x:v>
      </x:c>
      <x:c r="I79" s="24" t="str">
        <x:v>3b734d6cd49f31c09c10bb4941625e143f6c634e3fb50c157f0720e73b1c2a68</x:v>
      </x:c>
      <x:c r="J79" s="24" t="str">
        <x:v>Content-related code standards</x:v>
      </x:c>
      <x:c r="K79" s="24"/>
      <x:c r="L79" s="24" t="str">
        <x:v>Current candidate source; see 25_Integracion_00_34 for applicability and pending action.</x:v>
      </x:c>
    </x:row>
    <x:row r="80" ht="34" customHeight="1">
      <x:c r="A80" s="24" t="str">
        <x:v>SRC-CON-011</x:v>
      </x:c>
      <x:c r="B80" s="24" t="str">
        <x:v>10_Unity_Project_Setup_Guide.md</x:v>
      </x:c>
      <x:c r="C80" s="24" t="str">
        <x:v>10_Unity_Project_Setup_Guide.md</x:v>
      </x:c>
      <x:c r="D80" s="24" t="str">
        <x:v>MD</x:v>
      </x:c>
      <x:c r="E80" s="24" t="str">
        <x:v>RC1 2026-07-01</x:v>
      </x:c>
      <x:c r="F80" s="24" t="str">
        <x:v>Primary/Current</x:v>
      </x:c>
      <x:c r="G80" s="24" t="str">
        <x:v>CURRENT</x:v>
      </x:c>
      <x:c r="H80" s="44" t="n">
        <x:v>76.57</x:v>
      </x:c>
      <x:c r="I80" s="24" t="str">
        <x:v>31430bb0544edd9577323aa0009d6ca3df8b9fbcf6c8a150fc33df69b9f963a4</x:v>
      </x:c>
      <x:c r="J80" s="24" t="str">
        <x:v>Import/project setup and asset rules</x:v>
      </x:c>
      <x:c r="K80" s="24"/>
      <x:c r="L80" s="24" t="str">
        <x:v>Current candidate source; see 25_Integracion_00_34 for applicability and pending action.</x:v>
      </x:c>
    </x:row>
    <x:row r="81" ht="34" customHeight="1">
      <x:c r="A81" s="24" t="str">
        <x:v>SRC-CON-012</x:v>
      </x:c>
      <x:c r="B81" s="24" t="str">
        <x:v>11_Build_y_Versioning_Guide.md</x:v>
      </x:c>
      <x:c r="C81" s="24" t="str">
        <x:v>11_Build_y_Versioning_Guide.md</x:v>
      </x:c>
      <x:c r="D81" s="24" t="str">
        <x:v>MD</x:v>
      </x:c>
      <x:c r="E81" s="24" t="str">
        <x:v>RC1 2026-07-01</x:v>
      </x:c>
      <x:c r="F81" s="24" t="str">
        <x:v>Primary/Current</x:v>
      </x:c>
      <x:c r="G81" s="24" t="str">
        <x:v>CURRENT</x:v>
      </x:c>
      <x:c r="H81" s="44" t="n">
        <x:v>83.32</x:v>
      </x:c>
      <x:c r="I81" s="24" t="str">
        <x:v>38a16a0f97505c0b405509dd3c7e3d1b50e77b89fbe3f4cb1931d3e04f602215</x:v>
      </x:c>
      <x:c r="J81" s="24" t="str">
        <x:v>Build provenance and candidate integrity</x:v>
      </x:c>
      <x:c r="K81" s="24"/>
      <x:c r="L81" s="24" t="str">
        <x:v>Current candidate source; see 25_Integracion_00_34 for applicability and pending action.</x:v>
      </x:c>
    </x:row>
    <x:row r="82" ht="34" customHeight="1">
      <x:c r="A82" s="24" t="str">
        <x:v>SRC-CON-013</x:v>
      </x:c>
      <x:c r="B82" s="24" t="str">
        <x:v>12_Excel_Maestro_de_Produccion.xlsx</x:v>
      </x:c>
      <x:c r="C82" s="24" t="str">
        <x:v>12_Excel_Maestro_de_Produccion.xlsx</x:v>
      </x:c>
      <x:c r="D82" s="24" t="str">
        <x:v>XLSX</x:v>
      </x:c>
      <x:c r="E82" s="24" t="str">
        <x:v>RC1 2026-07-01</x:v>
      </x:c>
      <x:c r="F82" s="24" t="str">
        <x:v>Primary/Current</x:v>
      </x:c>
      <x:c r="G82" s="24" t="str">
        <x:v>REGENERATED RC1</x:v>
      </x:c>
      <x:c r="H82" s="44" t="n">
        <x:v>473.57</x:v>
      </x:c>
      <x:c r="I82" s="24" t="str">
        <x:v>3d70e97326868389dac977934e6000285c22b3c33c0e62be31313880726b4d7d</x:v>
      </x:c>
      <x:c r="J82" s="24" t="str">
        <x:v>Backlog, content work packages and state</x:v>
      </x:c>
      <x:c r="K82" s="24"/>
      <x:c r="L82" s="24" t="str">
        <x:v>Current candidate source; see 25_Integracion_00_34 for applicability and pending action.</x:v>
      </x:c>
    </x:row>
    <x:row r="83" ht="34" customHeight="1">
      <x:c r="A83" s="24" t="str">
        <x:v>SRC-CON-014</x:v>
      </x:c>
      <x:c r="B83" s="24" t="str">
        <x:v>13_Trazabilidad_y_Control_de_Cambios.xlsx</x:v>
      </x:c>
      <x:c r="C83" s="24" t="str">
        <x:v>13_Trazabilidad_y_Control_de_Cambios.xlsx</x:v>
      </x:c>
      <x:c r="D83" s="24" t="str">
        <x:v>XLSX</x:v>
      </x:c>
      <x:c r="E83" s="24" t="str">
        <x:v>RC1 2026-07-01</x:v>
      </x:c>
      <x:c r="F83" s="24" t="str">
        <x:v>Primary/Current</x:v>
      </x:c>
      <x:c r="G83" s="24" t="str">
        <x:v>REGENERATED RC1</x:v>
      </x:c>
      <x:c r="H83" s="44" t="n">
        <x:v>564.02</x:v>
      </x:c>
      <x:c r="I83" s="24" t="str">
        <x:v>97cf106d7707de9e6dcadfa2ec9374676b0ea9fe0945ac87eb89db788df8da43</x:v>
      </x:c>
      <x:c r="J83" s="24" t="str">
        <x:v>Change propagation and end-to-end traceability</x:v>
      </x:c>
      <x:c r="K83" s="24"/>
      <x:c r="L83" s="24" t="str">
        <x:v>Current candidate source; see 25_Integracion_00_34 for applicability and pending action.</x:v>
      </x:c>
    </x:row>
    <x:row r="84" ht="34" customHeight="1">
      <x:c r="A84" s="24" t="str">
        <x:v>SRC-CON-015</x:v>
      </x:c>
      <x:c r="B84" s="24" t="str">
        <x:v>14_Project_Binder_Indice_Maestro.md</x:v>
      </x:c>
      <x:c r="C84" s="24" t="str">
        <x:v>14_Project_Binder_Indice_Maestro.md</x:v>
      </x:c>
      <x:c r="D84" s="24" t="str">
        <x:v>MD</x:v>
      </x:c>
      <x:c r="E84" s="24" t="str">
        <x:v>RC1 2026-07-01</x:v>
      </x:c>
      <x:c r="F84" s="24" t="str">
        <x:v>Primary/Current</x:v>
      </x:c>
      <x:c r="G84" s="24" t="str">
        <x:v>UPDATED RC1</x:v>
      </x:c>
      <x:c r="H84" s="44" t="n">
        <x:v>93.34</x:v>
      </x:c>
      <x:c r="I84" s="24" t="str">
        <x:v>d0e8c2b0bf78a414d00c290d8ab8e4b2742e80de7bf509764318c6b7a9e4f144</x:v>
      </x:c>
      <x:c r="J84" s="24" t="str">
        <x:v>Authority and navigation index</x:v>
      </x:c>
      <x:c r="K84" s="24"/>
      <x:c r="L84" s="24" t="str">
        <x:v>Current candidate source; see 25_Integracion_00_34 for applicability and pending action.</x:v>
      </x:c>
    </x:row>
    <x:row r="85" ht="34" customHeight="1">
      <x:c r="A85" s="24" t="str">
        <x:v>SRC-CON-016</x:v>
      </x:c>
      <x:c r="B85" s="24" t="str">
        <x:v>15_Guia_Maestra.md</x:v>
      </x:c>
      <x:c r="C85" s="24" t="str">
        <x:v>15_Guia_Maestra.md</x:v>
      </x:c>
      <x:c r="D85" s="24" t="str">
        <x:v>MD</x:v>
      </x:c>
      <x:c r="E85" s="24" t="str">
        <x:v>RC1 2026-07-01</x:v>
      </x:c>
      <x:c r="F85" s="24" t="str">
        <x:v>Primary/Current</x:v>
      </x:c>
      <x:c r="G85" s="24" t="str">
        <x:v>UPDATED RC1</x:v>
      </x:c>
      <x:c r="H85" s="44" t="n">
        <x:v>146.09</x:v>
      </x:c>
      <x:c r="I85" s="24" t="str">
        <x:v>70aa63feb69785d3b2e8b044c73b9c5f075829fd198e4de5504196d2262cae71</x:v>
      </x:c>
      <x:c r="J85" s="24" t="str">
        <x:v>Operational use of the full baseline</x:v>
      </x:c>
      <x:c r="K85" s="24"/>
      <x:c r="L85" s="24" t="str">
        <x:v>Current candidate source; see 25_Integracion_00_34 for applicability and pending action.</x:v>
      </x:c>
    </x:row>
    <x:row r="86" ht="34" customHeight="1">
      <x:c r="A86" s="24" t="str">
        <x:v>SRC-CON-017</x:v>
      </x:c>
      <x:c r="B86" s="24" t="str">
        <x:v>16_Auditoria_Global_de_Coherencia.md</x:v>
      </x:c>
      <x:c r="C86" s="24" t="str">
        <x:v>16_Auditoria_Global_de_Coherencia.md</x:v>
      </x:c>
      <x:c r="D86" s="24" t="str">
        <x:v>MD</x:v>
      </x:c>
      <x:c r="E86" s="24" t="str">
        <x:v>RC1 2026-07-01</x:v>
      </x:c>
      <x:c r="F86" s="24" t="str">
        <x:v>Primary/Current</x:v>
      </x:c>
      <x:c r="G86" s="24" t="str">
        <x:v>REGENERATE LATER</x:v>
      </x:c>
      <x:c r="H86" s="44" t="n">
        <x:v>85.39</x:v>
      </x:c>
      <x:c r="I86" s="24" t="str">
        <x:v>4a62376b8aee623be40957ae0511d2dcab2919947f3abb2cef3502b9bb60863e</x:v>
      </x:c>
      <x:c r="J86" s="24" t="str">
        <x:v>Coherence findings and corrective actions</x:v>
      </x:c>
      <x:c r="K86" s="24"/>
      <x:c r="L86" s="24" t="str">
        <x:v>Current candidate source; see 25_Integracion_00_34 for applicability and pending action.</x:v>
      </x:c>
    </x:row>
    <x:row r="87" ht="34" customHeight="1">
      <x:c r="A87" s="24" t="str">
        <x:v>SRC-CON-018</x:v>
      </x:c>
      <x:c r="B87" s="24" t="str">
        <x:v>17_Art_Bible.md</x:v>
      </x:c>
      <x:c r="C87" s="24" t="str">
        <x:v>17_Art_Bible.md</x:v>
      </x:c>
      <x:c r="D87" s="24" t="str">
        <x:v>MD</x:v>
      </x:c>
      <x:c r="E87" s="24" t="str">
        <x:v>RC1 2026-07-01</x:v>
      </x:c>
      <x:c r="F87" s="24" t="str">
        <x:v>Primary/Current</x:v>
      </x:c>
      <x:c r="G87" s="24" t="str">
        <x:v>CURRENT</x:v>
      </x:c>
      <x:c r="H87" s="44" t="n">
        <x:v>130.77</x:v>
      </x:c>
      <x:c r="I87" s="24" t="str">
        <x:v>095c6cc42223a972c7faa68435595fc7c22f839fabc62b2038371a0ef6c14239</x:v>
      </x:c>
      <x:c r="J87" s="24" t="str">
        <x:v>Visual targets, asset budgets and art pipeline</x:v>
      </x:c>
      <x:c r="K87" s="24"/>
      <x:c r="L87" s="24" t="str">
        <x:v>Current candidate source; see 25_Integracion_00_34 for applicability and pending action.</x:v>
      </x:c>
    </x:row>
    <x:row r="88" ht="34" customHeight="1">
      <x:c r="A88" s="24" t="str">
        <x:v>SRC-CON-019</x:v>
      </x:c>
      <x:c r="B88" s="24" t="str">
        <x:v>18_Audio_Bible.md</x:v>
      </x:c>
      <x:c r="C88" s="24" t="str">
        <x:v>18_Audio_Bible.md</x:v>
      </x:c>
      <x:c r="D88" s="24" t="str">
        <x:v>MD</x:v>
      </x:c>
      <x:c r="E88" s="24" t="str">
        <x:v>RC1 2026-07-01</x:v>
      </x:c>
      <x:c r="F88" s="24" t="str">
        <x:v>Primary/Current</x:v>
      </x:c>
      <x:c r="G88" s="24" t="str">
        <x:v>CURRENT</x:v>
      </x:c>
      <x:c r="H88" s="44" t="n">
        <x:v>141.14</x:v>
      </x:c>
      <x:c r="I88" s="24" t="str">
        <x:v>c2eabe93a7c26f70e1d4d77fb0ddcaa97e2cdd1e70247e637b9db5bd2f07ce92</x:v>
      </x:c>
      <x:c r="J88" s="24" t="str">
        <x:v>Audio assets, events and mix requirements</x:v>
      </x:c>
      <x:c r="K88" s="24"/>
      <x:c r="L88" s="24" t="str">
        <x:v>Current candidate source; see 25_Integracion_00_34 for applicability and pending action.</x:v>
      </x:c>
    </x:row>
    <x:row r="89" ht="34" customHeight="1">
      <x:c r="A89" s="24" t="str">
        <x:v>SRC-CON-020</x:v>
      </x:c>
      <x:c r="B89" s="24" t="str">
        <x:v>19_UI_Style_Guide.md</x:v>
      </x:c>
      <x:c r="C89" s="24" t="str">
        <x:v>19_UI_Style_Guide.md</x:v>
      </x:c>
      <x:c r="D89" s="24" t="str">
        <x:v>MD</x:v>
      </x:c>
      <x:c r="E89" s="24" t="str">
        <x:v>RC1 2026-07-01</x:v>
      </x:c>
      <x:c r="F89" s="24" t="str">
        <x:v>Primary/Current</x:v>
      </x:c>
      <x:c r="G89" s="24" t="str">
        <x:v>CURRENT</x:v>
      </x:c>
      <x:c r="H89" s="44" t="n">
        <x:v>146.29</x:v>
      </x:c>
      <x:c r="I89" s="24" t="str">
        <x:v>b34ca4db1eba7a536466b6a9a105d8d92396ade2108aa7dd99fa7d5d4eaebc1a</x:v>
      </x:c>
      <x:c r="J89" s="24" t="str">
        <x:v>UI assets, icons, fonts and layout</x:v>
      </x:c>
      <x:c r="K89" s="24"/>
      <x:c r="L89" s="24" t="str">
        <x:v>Current candidate source; see 25_Integracion_00_34 for applicability and pending action.</x:v>
      </x:c>
    </x:row>
    <x:row r="90" ht="34" customHeight="1">
      <x:c r="A90" s="24" t="str">
        <x:v>SRC-CON-021</x:v>
      </x:c>
      <x:c r="B90" s="24" t="str">
        <x:v>20_Economy_and_Balance_Specification.md</x:v>
      </x:c>
      <x:c r="C90" s="24" t="str">
        <x:v>20_Economy_and_Balance_Specification.md</x:v>
      </x:c>
      <x:c r="D90" s="24" t="str">
        <x:v>MD</x:v>
      </x:c>
      <x:c r="E90" s="24" t="str">
        <x:v>RC1 2026-07-01</x:v>
      </x:c>
      <x:c r="F90" s="24" t="str">
        <x:v>Primary/Current</x:v>
      </x:c>
      <x:c r="G90" s="24" t="str">
        <x:v>CURRENT</x:v>
      </x:c>
      <x:c r="H90" s="44" t="n">
        <x:v>150.92</x:v>
      </x:c>
      <x:c r="I90" s="24" t="str">
        <x:v>908c70772ed35eecdb05c3036c6901523a4caf2c3e708ca8f049c2a160ef2aac</x:v>
      </x:c>
      <x:c r="J90" s="24" t="str">
        <x:v>Product/economy catalog authority</x:v>
      </x:c>
      <x:c r="K90" s="24"/>
      <x:c r="L90" s="24" t="str">
        <x:v>Current candidate source; see 25_Integracion_00_34 for applicability and pending action.</x:v>
      </x:c>
    </x:row>
    <x:row r="91" ht="34" customHeight="1">
      <x:c r="A91" s="24" t="str">
        <x:v>SRC-PKG-001</x:v>
      </x:c>
      <x:c r="B91" s="24" t="str">
        <x:v>Assets.zip</x:v>
      </x:c>
      <x:c r="C91" s="24" t="str">
        <x:v>Assets.zip</x:v>
      </x:c>
      <x:c r="D91" s="24" t="str">
        <x:v>ZIP</x:v>
      </x:c>
      <x:c r="E91" s="24" t="str">
        <x:v>Current source package</x:v>
      </x:c>
      <x:c r="F91" s="24" t="str">
        <x:v>Implementation evidence</x:v>
      </x:c>
      <x:c r="G91" s="24" t="str">
        <x:v>Current</x:v>
      </x:c>
      <x:c r="H91" s="44" t="n">
        <x:v>3558.65</x:v>
      </x:c>
      <x:c r="I91" s="24" t="str">
        <x:v>080acfc65d512a53ba44746f023e755318561be6ad2de6d85f749049e4a01f61</x:v>
      </x:c>
      <x:c r="J91" s="24" t="str">
        <x:v>Assets/settings/package evidence</x:v>
      </x:c>
      <x:c r="K91" s="24" t="str"/>
      <x:c r="L91" s="24" t="str"/>
    </x:row>
    <x:row r="92" ht="34" customHeight="1">
      <x:c r="A92" s="24" t="str">
        <x:v>SRC-PKG-002</x:v>
      </x:c>
      <x:c r="B92" s="24" t="str">
        <x:v>Documentation.zip</x:v>
      </x:c>
      <x:c r="C92" s="24" t="str">
        <x:v>Documentation.zip</x:v>
      </x:c>
      <x:c r="D92" s="24" t="str">
        <x:v>ZIP</x:v>
      </x:c>
      <x:c r="E92" s="24" t="str">
        <x:v>Current source package</x:v>
      </x:c>
      <x:c r="F92" s="24" t="str">
        <x:v>Implementation evidence</x:v>
      </x:c>
      <x:c r="G92" s="24" t="str">
        <x:v>Current</x:v>
      </x:c>
      <x:c r="H92" s="44" t="n">
        <x:v>56034.52</x:v>
      </x:c>
      <x:c r="I92" s="24" t="str">
        <x:v>79479b51b4534e549ee348b2c3dc05c2e7263994bff7927a34803a4bd47ede0c</x:v>
      </x:c>
      <x:c r="J92" s="24" t="str">
        <x:v>Assets/settings/package evidence</x:v>
      </x:c>
      <x:c r="K92" s="24" t="str"/>
      <x:c r="L92" s="24" t="str"/>
    </x:row>
    <x:row r="93" ht="34" customHeight="1">
      <x:c r="A93" s="24" t="str">
        <x:v>SRC-PKG-003</x:v>
      </x:c>
      <x:c r="B93" s="24" t="str">
        <x:v>Packages.zip</x:v>
      </x:c>
      <x:c r="C93" s="24" t="str">
        <x:v>Packages.zip</x:v>
      </x:c>
      <x:c r="D93" s="24" t="str">
        <x:v>ZIP</x:v>
      </x:c>
      <x:c r="E93" s="24" t="str">
        <x:v>Current source package</x:v>
      </x:c>
      <x:c r="F93" s="24" t="str">
        <x:v>Implementation evidence</x:v>
      </x:c>
      <x:c r="G93" s="24" t="str">
        <x:v>Current</x:v>
      </x:c>
      <x:c r="H93" s="44" t="n">
        <x:v>2.74</x:v>
      </x:c>
      <x:c r="I93" s="24" t="str">
        <x:v>d8500c68e792052a68deda54a2f368413fffc21f36647cbc1580dac203a12320</x:v>
      </x:c>
      <x:c r="J93" s="24" t="str">
        <x:v>Assets/settings/package evidence</x:v>
      </x:c>
      <x:c r="K93" s="24" t="str"/>
      <x:c r="L93" s="24" t="str"/>
    </x:row>
    <x:row r="94" ht="34" customHeight="1">
      <x:c r="A94" s="24" t="str">
        <x:v>SRC-PKG-004</x:v>
      </x:c>
      <x:c r="B94" s="24" t="str">
        <x:v>ProjectSettings.zip</x:v>
      </x:c>
      <x:c r="C94" s="24" t="str">
        <x:v>ProjectSettings.zip</x:v>
      </x:c>
      <x:c r="D94" s="24" t="str">
        <x:v>ZIP</x:v>
      </x:c>
      <x:c r="E94" s="24" t="str">
        <x:v>Current source package</x:v>
      </x:c>
      <x:c r="F94" s="24" t="str">
        <x:v>Implementation evidence</x:v>
      </x:c>
      <x:c r="G94" s="24" t="str">
        <x:v>Current</x:v>
      </x:c>
      <x:c r="H94" s="44" t="n">
        <x:v>20.45</x:v>
      </x:c>
      <x:c r="I94" s="24" t="str">
        <x:v>ee8d66a7043ad5c387e352c9e5eba5cd8a568b19d620dbec14dd3b1b0c711ddb</x:v>
      </x:c>
      <x:c r="J94" s="24" t="str">
        <x:v>Assets/settings/package evidence</x:v>
      </x:c>
      <x:c r="K94" s="24" t="str"/>
      <x:c r="L94" s="24" t="str"/>
    </x:row>
    <x:row r="95">
      <x:c r="A95" t="str">
        <x:v>SRC-CON-022</x:v>
      </x:c>
      <x:c r="B95" t="str">
        <x:v>21_Initial_Content_Catalog.xlsx</x:v>
      </x:c>
      <x:c r="C95" t="str">
        <x:v>21_Initial_Content_Catalog.xlsx</x:v>
      </x:c>
      <x:c r="D95" t="str">
        <x:v>XLSX</x:v>
      </x:c>
      <x:c r="E95" t="str">
        <x:v>RC1 2026-07-01</x:v>
      </x:c>
      <x:c r="F95" t="str">
        <x:v>Primary/Current</x:v>
      </x:c>
      <x:c r="G95" t="str">
        <x:v>UPDATED RC1</x:v>
      </x:c>
      <x:c r="H95"/>
      <x:c r="I95" t="str">
        <x:v>EXTERNAL_AFTER_EXPORT</x:v>
      </x:c>
      <x:c r="J95" t="str">
        <x:v>Canonical content inventory and asset traceability</x:v>
      </x:c>
      <x:c r="K95"/>
      <x:c r="L95" t="str">
        <x:v>Self hash for 21 is recorded externally; pending updates remain controlled through 13.</x:v>
      </x:c>
    </x:row>
    <x:row r="96">
      <x:c r="A96" t="str">
        <x:v>SRC-CON-023</x:v>
      </x:c>
      <x:c r="B96" t="str">
        <x:v>22_Localization_Plan.md</x:v>
      </x:c>
      <x:c r="C96" t="str">
        <x:v>22_Localization_Plan.md</x:v>
      </x:c>
      <x:c r="D96" t="str">
        <x:v>MD</x:v>
      </x:c>
      <x:c r="E96" t="str">
        <x:v>RC1 2026-07-01</x:v>
      </x:c>
      <x:c r="F96" t="str">
        <x:v>Primary/Current</x:v>
      </x:c>
      <x:c r="G96" t="str">
        <x:v>CURRENT</x:v>
      </x:c>
      <x:c r="H96" t="n">
        <x:v>153.64</x:v>
      </x:c>
      <x:c r="I96" t="str">
        <x:v>184a53b2813bc1327a6913e6e88ea4c81142da1ee4ddeff88f75467c784f1ff0</x:v>
      </x:c>
      <x:c r="J96" t="str">
        <x:v>ES/EN strings, LQA and expansion</x:v>
      </x:c>
      <x:c r="K96"/>
      <x:c r="L96" t="str">
        <x:v>Current candidate source; action state is not equivalent to product implementation.</x:v>
      </x:c>
    </x:row>
    <x:row r="97">
      <x:c r="A97" t="str">
        <x:v>SRC-CON-024</x:v>
      </x:c>
      <x:c r="B97" t="str">
        <x:v>23_Legal_Credits_and_Licenses_Register.xlsx</x:v>
      </x:c>
      <x:c r="C97" t="str">
        <x:v>23_Legal_Credits_and_Licenses_Register.xlsx</x:v>
      </x:c>
      <x:c r="D97" t="str">
        <x:v>XLSX</x:v>
      </x:c>
      <x:c r="E97" t="str">
        <x:v>RC1 2026-07-01</x:v>
      </x:c>
      <x:c r="F97" t="str">
        <x:v>Primary/Current</x:v>
      </x:c>
      <x:c r="G97" t="str">
        <x:v>UPDATE NEXT</x:v>
      </x:c>
      <x:c r="H97" t="n">
        <x:v>454.23</x:v>
      </x:c>
      <x:c r="I97" t="str">
        <x:v>f543b3b5de8900f405910fac5d72697045f8c4969d98fce4c1cf4f12e532b2f1</x:v>
      </x:c>
      <x:c r="J97" t="str">
        <x:v>Provenance, credits, notices and allowed use</x:v>
      </x:c>
      <x:c r="K97"/>
      <x:c r="L97" t="str">
        <x:v>Current candidate source; action state is not equivalent to product implementation.</x:v>
      </x:c>
    </x:row>
    <x:row r="98">
      <x:c r="A98" t="str">
        <x:v>SRC-CON-025</x:v>
      </x:c>
      <x:c r="B98" t="str">
        <x:v>24_Steam_Publishing_Plan.md</x:v>
      </x:c>
      <x:c r="C98" t="str">
        <x:v>24_Steam_Publishing_Plan.md</x:v>
      </x:c>
      <x:c r="D98" t="str">
        <x:v>MD</x:v>
      </x:c>
      <x:c r="E98" t="str">
        <x:v>RC1 2026-07-01</x:v>
      </x:c>
      <x:c r="F98" t="str">
        <x:v>Primary/Current</x:v>
      </x:c>
      <x:c r="G98" t="str">
        <x:v>CURRENT</x:v>
      </x:c>
      <x:c r="H98" t="n">
        <x:v>167.03</x:v>
      </x:c>
      <x:c r="I98" t="str">
        <x:v>f087e24d3a18f8c4a6651728d5f70d1df804042587e206fdeac2e7e637a87646</x:v>
      </x:c>
      <x:c r="J98" t="str">
        <x:v>Steam store/build/media requirements</x:v>
      </x:c>
      <x:c r="K98"/>
      <x:c r="L98" t="str">
        <x:v>Current candidate source; action state is not equivalent to product implementation.</x:v>
      </x:c>
    </x:row>
    <x:row r="99">
      <x:c r="A99" t="str">
        <x:v>SRC-CON-026</x:v>
      </x:c>
      <x:c r="B99" t="str">
        <x:v>25_Post_Launch_and_Live_Operations_Plan.md</x:v>
      </x:c>
      <x:c r="C99" t="str">
        <x:v>25_Post_Launch_and_Live_Operations_Plan.md</x:v>
      </x:c>
      <x:c r="D99" t="str">
        <x:v>MD</x:v>
      </x:c>
      <x:c r="E99" t="str">
        <x:v>RC1 2026-07-01</x:v>
      </x:c>
      <x:c r="F99" t="str">
        <x:v>Primary/Current</x:v>
      </x:c>
      <x:c r="G99" t="str">
        <x:v>CURRENT</x:v>
      </x:c>
      <x:c r="H99" t="n">
        <x:v>319.55</x:v>
      </x:c>
      <x:c r="I99" t="str">
        <x:v>158e1e43514c5d5d6c365f6cd1a73929f54c4a48c5cc460b593530ae5e49bac9</x:v>
      </x:c>
      <x:c r="J99" t="str">
        <x:v>Content versioning and post-launch operation</x:v>
      </x:c>
      <x:c r="K99"/>
      <x:c r="L99" t="str">
        <x:v>Current candidate source; action state is not equivalent to product implementation.</x:v>
      </x:c>
    </x:row>
    <x:row r="100">
      <x:c r="A100" t="str">
        <x:v>SRC-CON-027</x:v>
      </x:c>
      <x:c r="B100" t="str">
        <x:v>26_Privacy_Data_and_Telemetry_Plan.md</x:v>
      </x:c>
      <x:c r="C100" t="str">
        <x:v>26_Privacy_Data_and_Telemetry_Plan.md</x:v>
      </x:c>
      <x:c r="D100" t="str">
        <x:v>MD</x:v>
      </x:c>
      <x:c r="E100" t="str">
        <x:v>RC1 2026-07-01</x:v>
      </x:c>
      <x:c r="F100" t="str">
        <x:v>Primary/Current</x:v>
      </x:c>
      <x:c r="G100" t="str">
        <x:v>CURRENT</x:v>
      </x:c>
      <x:c r="H100" t="n">
        <x:v>313.65</x:v>
      </x:c>
      <x:c r="I100" t="str">
        <x:v>284abfe537793c2ec8b0e5cbac484cd9395567c4434aef7f5ad5ee7005e95f36</x:v>
      </x:c>
      <x:c r="J100" t="str">
        <x:v>Data minimization in telemetry, logs and support</x:v>
      </x:c>
      <x:c r="K100"/>
      <x:c r="L100" t="str">
        <x:v>Current candidate source; action state is not equivalent to product implementation.</x:v>
      </x:c>
    </x:row>
    <x:row r="101">
      <x:c r="A101" t="str">
        <x:v>SRC-CON-028</x:v>
      </x:c>
      <x:c r="B101" t="str">
        <x:v>27_Security_and_Incident_Response_Plan.md</x:v>
      </x:c>
      <x:c r="C101" t="str">
        <x:v>27_Security_and_Incident_Response_Plan.md</x:v>
      </x:c>
      <x:c r="D101" t="str">
        <x:v>MD</x:v>
      </x:c>
      <x:c r="E101" t="str">
        <x:v>RC1 2026-07-01</x:v>
      </x:c>
      <x:c r="F101" t="str">
        <x:v>Primary/Current</x:v>
      </x:c>
      <x:c r="G101" t="str">
        <x:v>CURRENT</x:v>
      </x:c>
      <x:c r="H101" t="n">
        <x:v>412.29</x:v>
      </x:c>
      <x:c r="I101" t="str">
        <x:v>f925bfbf3df2000323c12a4486480d06c8ab8181684e5922168b8bdf89d05f92</x:v>
      </x:c>
      <x:c r="J101" t="str">
        <x:v>Secrets, dependency and incident controls</x:v>
      </x:c>
      <x:c r="K101"/>
      <x:c r="L101" t="str">
        <x:v>Current candidate source; action state is not equivalent to product implementation.</x:v>
      </x:c>
    </x:row>
    <x:row r="102">
      <x:c r="A102" t="str">
        <x:v>SRC-CON-029</x:v>
      </x:c>
      <x:c r="B102" t="str">
        <x:v>28_Marketing_and_Communication_Plan.md</x:v>
      </x:c>
      <x:c r="C102" t="str">
        <x:v>28_Marketing_and_Communication_Plan.md</x:v>
      </x:c>
      <x:c r="D102" t="str">
        <x:v>MD</x:v>
      </x:c>
      <x:c r="E102" t="str">
        <x:v>RC1 2026-07-01</x:v>
      </x:c>
      <x:c r="F102" t="str">
        <x:v>Primary/Current</x:v>
      </x:c>
      <x:c r="G102" t="str">
        <x:v>CURRENT</x:v>
      </x:c>
      <x:c r="H102" t="n">
        <x:v>85.46</x:v>
      </x:c>
      <x:c r="I102" t="str">
        <x:v>28dd332855126558b3da6019f2e546b1e8ab7db81dc530a89f3e3fbfe757cded</x:v>
      </x:c>
      <x:c r="J102" t="str">
        <x:v>Public claims, media pipeline and campaign gates</x:v>
      </x:c>
      <x:c r="K102"/>
      <x:c r="L102" t="str">
        <x:v>Current candidate source; action state is not equivalent to product implementation.</x:v>
      </x:c>
    </x:row>
    <x:row r="103">
      <x:c r="A103" t="str">
        <x:v>SRC-CON-030</x:v>
      </x:c>
      <x:c r="B103" t="str">
        <x:v>29_Accessibility_and_Inclusive_Design_Plan.md</x:v>
      </x:c>
      <x:c r="C103" t="str">
        <x:v>29_Accessibility_and_Inclusive_Design_Plan.md</x:v>
      </x:c>
      <x:c r="D103" t="str">
        <x:v>MD</x:v>
      </x:c>
      <x:c r="E103" t="str">
        <x:v>RC1 2026-07-01</x:v>
      </x:c>
      <x:c r="F103" t="str">
        <x:v>Primary/Current</x:v>
      </x:c>
      <x:c r="G103" t="str">
        <x:v>CURRENT</x:v>
      </x:c>
      <x:c r="H103" t="n">
        <x:v>102.54</x:v>
      </x:c>
      <x:c r="I103" t="str">
        <x:v>678ceabb509062cd93c7690315397b1cc6204c0da6a5d57324ba11e2fda64333</x:v>
      </x:c>
      <x:c r="J103" t="str">
        <x:v>Inclusive content, alternatives and usability</x:v>
      </x:c>
      <x:c r="K103"/>
      <x:c r="L103" t="str">
        <x:v>Current candidate source; action state is not equivalent to product implementation.</x:v>
      </x:c>
    </x:row>
    <x:row r="104">
      <x:c r="A104" t="str">
        <x:v>SRC-CON-031</x:v>
      </x:c>
      <x:c r="B104" t="str">
        <x:v>30_Performance_and_Optimization_Plan.md</x:v>
      </x:c>
      <x:c r="C104" t="str">
        <x:v>30_Performance_and_Optimization_Plan.md</x:v>
      </x:c>
      <x:c r="D104" t="str">
        <x:v>MD</x:v>
      </x:c>
      <x:c r="E104" t="str">
        <x:v>RC1 2026-07-01</x:v>
      </x:c>
      <x:c r="F104" t="str">
        <x:v>Primary/Current</x:v>
      </x:c>
      <x:c r="G104" t="str">
        <x:v>CURRENT</x:v>
      </x:c>
      <x:c r="H104" t="n">
        <x:v>106.92</x:v>
      </x:c>
      <x:c r="I104" t="str">
        <x:v>18f53eaa61734ad735c02c8b7c70ed37f5f0e80f7c01828b05d092c49b0de260</x:v>
      </x:c>
      <x:c r="J104" t="str">
        <x:v>CPU/GPU/memory/content budgets and profiling</x:v>
      </x:c>
      <x:c r="K104"/>
      <x:c r="L104" t="str">
        <x:v>Current candidate source; action state is not equivalent to product implementation.</x:v>
      </x:c>
    </x:row>
    <x:row r="105">
      <x:c r="A105" t="str">
        <x:v>SRC-CON-032</x:v>
      </x:c>
      <x:c r="B105" t="str">
        <x:v>31_H6_and_Release_Readiness_Checklist.xlsx</x:v>
      </x:c>
      <x:c r="C105" t="str">
        <x:v>31_H6_and_Release_Readiness_Checklist.xlsx</x:v>
      </x:c>
      <x:c r="D105" t="str">
        <x:v>XLSX</x:v>
      </x:c>
      <x:c r="E105" t="str">
        <x:v>RC1 2026-07-01</x:v>
      </x:c>
      <x:c r="F105" t="str">
        <x:v>Operational/Current</x:v>
      </x:c>
      <x:c r="G105" t="str">
        <x:v>UPDATE PENDING</x:v>
      </x:c>
      <x:c r="H105" t="n">
        <x:v>189.74</x:v>
      </x:c>
      <x:c r="I105" t="str">
        <x:v>3ec6265ca8009a6f502008a103161492687efbc026a61c55b1205b976c255aee</x:v>
      </x:c>
      <x:c r="J105" t="str">
        <x:v>H6/release controls, evidence and signoff</x:v>
      </x:c>
      <x:c r="K105"/>
      <x:c r="L105" t="str">
        <x:v>Current candidate source; action state is not equivalent to product implementation.</x:v>
      </x:c>
    </x:row>
    <x:row r="106">
      <x:c r="A106" t="str">
        <x:v>SRC-CON-033</x:v>
      </x:c>
      <x:c r="B106" t="str">
        <x:v>32_Documentation_Baseline_Manifest.xlsx</x:v>
      </x:c>
      <x:c r="C106" t="str">
        <x:v>32_Documentation_Baseline_Manifest.xlsx</x:v>
      </x:c>
      <x:c r="D106" t="str">
        <x:v>XLSX</x:v>
      </x:c>
      <x:c r="E106" t="str">
        <x:v>RC1 2026-07-01</x:v>
      </x:c>
      <x:c r="F106" t="str">
        <x:v>Operational/Current</x:v>
      </x:c>
      <x:c r="G106" t="str">
        <x:v>CANDIDATE / FINALIZE LATER</x:v>
      </x:c>
      <x:c r="H106" t="n">
        <x:v>192.63</x:v>
      </x:c>
      <x:c r="I106" t="str">
        <x:v>05ef1aa53febb8015b1eb40be8f43a4f6cee5be3ce1d31c3eda03346b86ebc64</x:v>
      </x:c>
      <x:c r="J106" t="str">
        <x:v>Package inventory, hashes and immutable baseline</x:v>
      </x:c>
      <x:c r="K106"/>
      <x:c r="L106" t="str">
        <x:v>Current candidate source; action state is not equivalent to product implementation.</x:v>
      </x:c>
    </x:row>
    <x:row r="107">
      <x:c r="A107" t="str">
        <x:v>SRC-CON-034</x:v>
      </x:c>
      <x:c r="B107" t="str">
        <x:v>33_Project_Risk_Register_and_Business_Continuity_Plan.xlsx</x:v>
      </x:c>
      <x:c r="C107" t="str">
        <x:v>33_Project_Risk_Register_and_Business_Continuity_Plan.xlsx</x:v>
      </x:c>
      <x:c r="D107" t="str">
        <x:v>XLSX</x:v>
      </x:c>
      <x:c r="E107" t="str">
        <x:v>RC1 2026-07-01</x:v>
      </x:c>
      <x:c r="F107" t="str">
        <x:v>Operational/Current</x:v>
      </x:c>
      <x:c r="G107" t="str">
        <x:v>UPDATE PENDING</x:v>
      </x:c>
      <x:c r="H107" t="n">
        <x:v>288.19</x:v>
      </x:c>
      <x:c r="I107" t="str">
        <x:v>aff3d5173017c6e90eae4b743b00af9a5106ad8e8b61f4789ff6857d10a61d88</x:v>
      </x:c>
      <x:c r="J107" t="str">
        <x:v>Content risks, backups, restore and continuity</x:v>
      </x:c>
      <x:c r="K107"/>
      <x:c r="L107" t="str">
        <x:v>Current candidate source; action state is not equivalent to product implementation.</x:v>
      </x:c>
    </x:row>
    <x:row r="108">
      <x:c r="A108" t="str">
        <x:v>SRC-CON-035</x:v>
      </x:c>
      <x:c r="B108" t="str">
        <x:v>34_Final_Handoff_and_Project_Operations_Manual.md</x:v>
      </x:c>
      <x:c r="C108" t="str">
        <x:v>34_Final_Handoff_and_Project_Operations_Manual.md</x:v>
      </x:c>
      <x:c r="D108" t="str">
        <x:v>MD</x:v>
      </x:c>
      <x:c r="E108" t="str">
        <x:v>RC1 2026-07-01</x:v>
      </x:c>
      <x:c r="F108" t="str">
        <x:v>Operational/Current</x:v>
      </x:c>
      <x:c r="G108" t="str">
        <x:v>UPDATE PENDING</x:v>
      </x:c>
      <x:c r="H108" t="n">
        <x:v>100.29</x:v>
      </x:c>
      <x:c r="I108" t="str">
        <x:v>3b3fb3519caa4f899da10bf8bec73d72b5e0c3e3c6839c83157d1351a9ef9001</x:v>
      </x:c>
      <x:c r="J108" t="str">
        <x:v>Onboarding, operations, handoff and recovery</x:v>
      </x:c>
      <x:c r="K108"/>
      <x:c r="L108" t="str">
        <x:v>Current candidate source; action state is not equivalent to product implementation.</x:v>
      </x:c>
    </x:row>
  </x:sheetData>
  <x:mergeCells>
    <x:mergeCell ref="A1:L1"/>
    <x:mergeCell ref="A2:L2"/>
  </x:mergeCells>
  <x:conditionalFormatting sqref="G5:G94">
    <x:cfRule type="expression" dxfId="164" priority="1">
      <x:formula>OR(ISNUMBER(SEARCH("PASS",G5)),ISNUMBER(SEARCH("CANONICAL",G5)),ISNUMBER(SEARCH("DONE",G5)))</x:formula>
    </x:cfRule>
    <x:cfRule type="expression" dxfId="165" priority="2">
      <x:formula>OR(ISNUMBER(SEARCH("BLOCK",G5)),ISNUMBER(SEARCH("FAIL",G5)),ISNUMBER(SEARCH("S1",G5)))</x:formula>
    </x:cfRule>
    <x:cfRule type="expression" dxfId="166" priority="3">
      <x:formula>OR(ISNUMBER(SEARCH("PENDING",G5)),ISNUMBER(SEARCH("PLANNED",G5)),ISNUMBER(SEARCH("PARTIAL",G5)),ISNUMBER(SEARCH("PLACEHOLDER",G5)))</x:formula>
    </x:cfRule>
    <x:cfRule type="expression" dxfId="167" priority="4">
      <x:formula>OR(ISNUMBER(SEARCH("VISION",G5)),ISNUMBER(SEARCH("HISTORICAL",G5)))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da350f12e54ba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36" hidden="0" customWidth="1"/>
    <x:col min="5" max="5" width="28" hidden="0" customWidth="1"/>
    <x:col min="6" max="6" width="28" hidden="0" customWidth="1"/>
    <x:col min="7" max="7" width="32" hidden="0" customWidth="1"/>
    <x:col min="8" max="8" width="72" hidden="0" customWidth="1"/>
    <x:col min="9" max="9" width="36" hidden="0" customWidth="1"/>
    <x:col min="10" max="10" width="32" hidden="0" customWidth="1"/>
    <x:col min="11" max="11" width="32" hidden="0" customWidth="1"/>
    <x:col min="12" max="12" width="14" hidden="0" customWidth="1"/>
    <x:col min="13" max="13" width="14" hidden="0" customWidth="1"/>
    <x:col min="14" max="14" width="38" hidden="0" customWidth="1"/>
    <x:col min="15" max="15" width="18" hidden="0" customWidth="1"/>
    <x:col min="16" max="16" width="24" hidden="0" customWidth="1"/>
    <x:col min="17" max="17" width="32" hidden="0" customWidth="1"/>
    <x:col min="18" max="18" width="28" hidden="0" customWidth="1"/>
    <x:col min="19" max="19" width="12" hidden="0" customWidth="1"/>
    <x:col min="20" max="20" width="20" hidden="0" customWidth="1"/>
    <x:col min="21" max="21" width="55" hidden="0" customWidth="1"/>
  </x:cols>
  <x:sheetData>
    <x:row r="1" ht="30" customHeight="1">
      <x:c r="A1" s="4" t="str">
        <x:v>Trazabilidad de contenido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2" customHeight="1">
      <x:c r="A2" s="10" t="str">
        <x:v>Contenido → asset/GUID → catálogo → requisito → sprint → build → evidencia → licencia/deuda.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 ht="36" customHeight="1">
      <x:c r="A4" s="17" t="str">
        <x:v>Trace ID</x:v>
      </x:c>
      <x:c r="B4" s="17" t="str">
        <x:v>Content ID</x:v>
      </x:c>
      <x:c r="C4" s="17" t="str">
        <x:v>Categoría</x:v>
      </x:c>
      <x:c r="D4" s="17" t="str">
        <x:v>Nombre</x:v>
      </x:c>
      <x:c r="E4" s="17" t="str">
        <x:v>Estado canónico</x:v>
      </x:c>
      <x:c r="F4" s="17" t="str">
        <x:v>Implementación</x:v>
      </x:c>
      <x:c r="G4" s="17" t="str">
        <x:v>Validación</x:v>
      </x:c>
      <x:c r="H4" s="17" t="str">
        <x:v>Ruta/Asset</x:v>
      </x:c>
      <x:c r="I4" s="17" t="str">
        <x:v>GUID</x:v>
      </x:c>
      <x:c r="J4" s="17" t="str">
        <x:v>Catálogo/Sistema</x:v>
      </x:c>
      <x:c r="K4" s="17" t="str">
        <x:v>Requisito</x:v>
      </x:c>
      <x:c r="L4" s="17" t="str">
        <x:v>Sprint</x:v>
      </x:c>
      <x:c r="M4" s="17" t="str">
        <x:v>Gate</x:v>
      </x:c>
      <x:c r="N4" s="17" t="str">
        <x:v>Test/Evidencia</x:v>
      </x:c>
      <x:c r="O4" s="17" t="str">
        <x:v>Build</x:v>
      </x:c>
      <x:c r="P4" s="17" t="str">
        <x:v>Licencia</x:v>
      </x:c>
      <x:c r="Q4" s="17" t="str">
        <x:v>Deuda/Defecto</x:v>
      </x:c>
      <x:c r="R4" s="17" t="str">
        <x:v>Fuente hoja</x:v>
      </x:c>
      <x:c r="S4" s="17" t="str">
        <x:v>Cobertura</x:v>
      </x:c>
      <x:c r="T4" s="17" t="str">
        <x:v>Owner</x:v>
      </x:c>
      <x:c r="U4" s="17" t="str">
        <x:v>Notas</x:v>
      </x:c>
    </x:row>
    <x:row r="5" ht="34" customHeight="1">
      <x:c r="A5" s="24" t="str">
        <x:v>TRC-0001</x:v>
      </x:c>
      <x:c r="B5" s="24" t="str">
        <x:v>PRD-CAN-001</x:v>
      </x:c>
      <x:c r="C5" s="24" t="str">
        <x:v>Product</x:v>
      </x:c>
      <x:c r="D5" s="24" t="str">
        <x:v>Neon Drift</x:v>
      </x:c>
      <x:c r="E5" s="24" t="str">
        <x:v>CANONICAL / PHASE 1</x:v>
      </x:c>
      <x:c r="F5" s="24" t="str">
        <x:v>Runtime catalog linked</x:v>
      </x:c>
      <x:c r="G5" s="24" t="str">
        <x:v>Automated link PASS / Visual pending</x:v>
      </x:c>
      <x:c r="H5" s="24" t="str">
        <x:v>Assets/_Project/Prefabs/Products/NeonDrift.prefab</x:v>
      </x:c>
      <x:c r="I5" s="24" t="str">
        <x:v>5ff5d278aad9e48c26952b67e72c9405</x:v>
      </x:c>
      <x:c r="J5" s="24" t="str">
        <x:v>Assets/_Project/Data/Catalogs/ContentCatalog.asset</x:v>
      </x:c>
      <x:c r="K5" s="24" t="str">
        <x:v>VS-ART-001;VS-ECO-001;VS-INV-001</x:v>
      </x:c>
      <x:c r="L5" s="24" t="n">
        <x:v>16</x:v>
      </x:c>
      <x:c r="M5" s="24" t="str">
        <x:v>H6</x:v>
      </x:c>
      <x:c r="N5" s="24" t="str">
        <x:v>Automated catalog/prefab link; authored-scene review pending</x:v>
      </x:c>
      <x:c r="O5" s="24" t="str">
        <x:v>BLD-016-POST</x:v>
      </x:c>
      <x:c r="P5" s="24" t="str">
        <x:v>Internal/Approved</x:v>
      </x:c>
      <x:c r="Q5" s="24" t="str"/>
      <x:c r="R5" s="24" t="str">
        <x:v>02_Productos_Canonicos</x:v>
      </x:c>
      <x:c r="S5" s="24" t="str">
        <x:f>"T"&amp;IF(AND(H5&lt;&gt;"",I5&lt;&gt;"",K5&lt;&gt;"",N5&lt;&gt;"",P5&lt;&gt;""),5,IF(AND(H5&lt;&gt;"",K5&lt;&gt;"",G5&lt;&gt;""),4,IF(AND(H5&lt;&gt;"",K5&lt;&gt;""),3,IF(H5&lt;&gt;"",2,1))))</x:f>
        <x:v>T5</x:v>
      </x:c>
      <x:c r="T5" s="24" t="str">
        <x:v>VRM Games</x:v>
      </x:c>
      <x:c r="U5" s="24" t="str">
        <x:v>Producto Phase 1 vigente; no asumir equivalencia con IDs técnicos.</x:v>
      </x:c>
    </x:row>
    <x:row r="6" ht="34" customHeight="1">
      <x:c r="A6" s="24" t="str">
        <x:v>TRC-0002</x:v>
      </x:c>
      <x:c r="B6" s="24" t="str">
        <x:v>PRD-CAN-002</x:v>
      </x:c>
      <x:c r="C6" s="24" t="str">
        <x:v>Product</x:v>
      </x:c>
      <x:c r="D6" s="24" t="str">
        <x:v>Cloud Runner Case</x:v>
      </x:c>
      <x:c r="E6" s="24" t="str">
        <x:v>CANONICAL / PHASE 1</x:v>
      </x:c>
      <x:c r="F6" s="24" t="str">
        <x:v>Runtime catalog linked</x:v>
      </x:c>
      <x:c r="G6" s="24" t="str">
        <x:v>Automated link PASS / Visual pending</x:v>
      </x:c>
      <x:c r="H6" s="24" t="str">
        <x:v>Assets/_Project/Prefabs/Products/CloudRunnerCase.prefab</x:v>
      </x:c>
      <x:c r="I6" s="24" t="str">
        <x:v>a61666dd7120c6ca962105fa1a44ad89</x:v>
      </x:c>
      <x:c r="J6" s="24" t="str">
        <x:v>Assets/_Project/Data/Catalogs/ContentCatalog.asset</x:v>
      </x:c>
      <x:c r="K6" s="24" t="str">
        <x:v>VS-ART-001;VS-ECO-001;VS-INV-001</x:v>
      </x:c>
      <x:c r="L6" s="24" t="n">
        <x:v>16</x:v>
      </x:c>
      <x:c r="M6" s="24" t="str">
        <x:v>H6</x:v>
      </x:c>
      <x:c r="N6" s="24" t="str">
        <x:v>Automated catalog/prefab link; authored-scene review pending</x:v>
      </x:c>
      <x:c r="O6" s="24" t="str">
        <x:v>BLD-016-POST</x:v>
      </x:c>
      <x:c r="P6" s="24" t="str">
        <x:v>Internal/Approved</x:v>
      </x:c>
      <x:c r="Q6" s="24" t="str"/>
      <x:c r="R6" s="24" t="str">
        <x:v>02_Productos_Canonicos</x:v>
      </x:c>
      <x:c r="S6" s="24" t="str">
        <x:f>"T"&amp;IF(AND(H6&lt;&gt;"",I6&lt;&gt;"",K6&lt;&gt;"",N6&lt;&gt;"",P6&lt;&gt;""),5,IF(AND(H6&lt;&gt;"",K6&lt;&gt;"",G6&lt;&gt;""),4,IF(AND(H6&lt;&gt;"",K6&lt;&gt;""),3,IF(H6&lt;&gt;"",2,1))))</x:f>
        <x:v>T5</x:v>
      </x:c>
      <x:c r="T6" s="24" t="str">
        <x:v>VRM Games</x:v>
      </x:c>
      <x:c r="U6" s="24" t="str">
        <x:v>Producto Phase 1 vigente; no asumir equivalencia con IDs técnicos.</x:v>
      </x:c>
    </x:row>
    <x:row r="7" ht="34" customHeight="1">
      <x:c r="A7" s="24" t="str">
        <x:v>TRC-0003</x:v>
      </x:c>
      <x:c r="B7" s="24" t="str">
        <x:v>PRD-CAN-003</x:v>
      </x:c>
      <x:c r="C7" s="24" t="str">
        <x:v>Product</x:v>
      </x:c>
      <x:c r="D7" s="24" t="str">
        <x:v>Vertex One Console</x:v>
      </x:c>
      <x:c r="E7" s="24" t="str">
        <x:v>CANONICAL / PHASE 1</x:v>
      </x:c>
      <x:c r="F7" s="24" t="str">
        <x:v>Runtime catalog linked</x:v>
      </x:c>
      <x:c r="G7" s="24" t="str">
        <x:v>Automated link PASS / Visual pending</x:v>
      </x:c>
      <x:c r="H7" s="24" t="str">
        <x:v>Assets/_Project/Prefabs/Products/VertexOneConsole.prefab</x:v>
      </x:c>
      <x:c r="I7" s="24" t="str">
        <x:v>a13d977b9b4144699385c65def0e446a</x:v>
      </x:c>
      <x:c r="J7" s="24" t="str">
        <x:v>Assets/_Project/Data/Catalogs/ContentCatalog.asset</x:v>
      </x:c>
      <x:c r="K7" s="24" t="str">
        <x:v>VS-ART-001;VS-ECO-001;VS-INV-001</x:v>
      </x:c>
      <x:c r="L7" s="24" t="n">
        <x:v>16</x:v>
      </x:c>
      <x:c r="M7" s="24" t="str">
        <x:v>H6</x:v>
      </x:c>
      <x:c r="N7" s="24" t="str">
        <x:v>Automated catalog/prefab link; authored-scene review pending</x:v>
      </x:c>
      <x:c r="O7" s="24" t="str">
        <x:v>BLD-016-POST</x:v>
      </x:c>
      <x:c r="P7" s="24" t="str">
        <x:v>Internal/Approved</x:v>
      </x:c>
      <x:c r="Q7" s="24" t="str"/>
      <x:c r="R7" s="24" t="str">
        <x:v>02_Productos_Canonicos</x:v>
      </x:c>
      <x:c r="S7" s="24" t="str">
        <x:f>"T"&amp;IF(AND(H7&lt;&gt;"",I7&lt;&gt;"",K7&lt;&gt;"",N7&lt;&gt;"",P7&lt;&gt;""),5,IF(AND(H7&lt;&gt;"",K7&lt;&gt;"",G7&lt;&gt;""),4,IF(AND(H7&lt;&gt;"",K7&lt;&gt;""),3,IF(H7&lt;&gt;"",2,1))))</x:f>
        <x:v>T5</x:v>
      </x:c>
      <x:c r="T7" s="24" t="str">
        <x:v>VRM Games</x:v>
      </x:c>
      <x:c r="U7" s="24" t="str">
        <x:v>Producto Phase 1 vigente; no asumir equivalencia con IDs técnicos.</x:v>
      </x:c>
    </x:row>
    <x:row r="8" ht="34" customHeight="1">
      <x:c r="A8" s="24" t="str">
        <x:v>TRC-0004</x:v>
      </x:c>
      <x:c r="B8" s="24" t="str">
        <x:v>PRD-CAN-004</x:v>
      </x:c>
      <x:c r="C8" s="24" t="str">
        <x:v>Product</x:v>
      </x:c>
      <x:c r="D8" s="24" t="str">
        <x:v>Orbit Pad Controller</x:v>
      </x:c>
      <x:c r="E8" s="24" t="str">
        <x:v>CANONICAL / PHASE 1</x:v>
      </x:c>
      <x:c r="F8" s="24" t="str">
        <x:v>Runtime catalog linked</x:v>
      </x:c>
      <x:c r="G8" s="24" t="str">
        <x:v>Automated link PASS / Visual pending</x:v>
      </x:c>
      <x:c r="H8" s="24" t="str">
        <x:v>Assets/_Project/Prefabs/Products/OrbitPadController.prefab</x:v>
      </x:c>
      <x:c r="I8" s="24" t="str">
        <x:v>284a9c89ea04890133aedc074bfb9780</x:v>
      </x:c>
      <x:c r="J8" s="24" t="str">
        <x:v>Assets/_Project/Data/Catalogs/ContentCatalog.asset</x:v>
      </x:c>
      <x:c r="K8" s="24" t="str">
        <x:v>VS-ART-001;VS-ECO-001;VS-INV-001</x:v>
      </x:c>
      <x:c r="L8" s="24" t="n">
        <x:v>16</x:v>
      </x:c>
      <x:c r="M8" s="24" t="str">
        <x:v>H6</x:v>
      </x:c>
      <x:c r="N8" s="24" t="str">
        <x:v>Automated catalog/prefab link; authored-scene review pending</x:v>
      </x:c>
      <x:c r="O8" s="24" t="str">
        <x:v>BLD-016-POST</x:v>
      </x:c>
      <x:c r="P8" s="24" t="str">
        <x:v>Internal/Approved</x:v>
      </x:c>
      <x:c r="Q8" s="24" t="str"/>
      <x:c r="R8" s="24" t="str">
        <x:v>02_Productos_Canonicos</x:v>
      </x:c>
      <x:c r="S8" s="24" t="str">
        <x:f>"T"&amp;IF(AND(H8&lt;&gt;"",I8&lt;&gt;"",K8&lt;&gt;"",N8&lt;&gt;"",P8&lt;&gt;""),5,IF(AND(H8&lt;&gt;"",K8&lt;&gt;"",G8&lt;&gt;""),4,IF(AND(H8&lt;&gt;"",K8&lt;&gt;""),3,IF(H8&lt;&gt;"",2,1))))</x:f>
        <x:v>T5</x:v>
      </x:c>
      <x:c r="T8" s="24" t="str">
        <x:v>VRM Games</x:v>
      </x:c>
      <x:c r="U8" s="24" t="str">
        <x:v>Producto Phase 1 vigente; no asumir equivalencia con IDs técnicos.</x:v>
      </x:c>
    </x:row>
    <x:row r="9" ht="34" customHeight="1">
      <x:c r="A9" s="24" t="str">
        <x:v>TRC-0005</x:v>
      </x:c>
      <x:c r="B9" s="24" t="str">
        <x:v>PRD-CAN-005</x:v>
      </x:c>
      <x:c r="C9" s="24" t="str">
        <x:v>Product</x:v>
      </x:c>
      <x:c r="D9" s="24" t="str">
        <x:v>Signal Pro Headset</x:v>
      </x:c>
      <x:c r="E9" s="24" t="str">
        <x:v>CANONICAL / PHASE 1</x:v>
      </x:c>
      <x:c r="F9" s="24" t="str">
        <x:v>Runtime catalog linked</x:v>
      </x:c>
      <x:c r="G9" s="24" t="str">
        <x:v>Automated link PASS / Visual pending</x:v>
      </x:c>
      <x:c r="H9" s="24" t="str">
        <x:v>Assets/_Project/Prefabs/Products/SignalProHeadset.prefab</x:v>
      </x:c>
      <x:c r="I9" s="24" t="str">
        <x:v>2ef0238a34274b9d294281346ee99c23</x:v>
      </x:c>
      <x:c r="J9" s="24" t="str">
        <x:v>Assets/_Project/Data/Catalogs/ContentCatalog.asset</x:v>
      </x:c>
      <x:c r="K9" s="24" t="str">
        <x:v>VS-ART-001;VS-ECO-001;VS-INV-001</x:v>
      </x:c>
      <x:c r="L9" s="24" t="n">
        <x:v>16</x:v>
      </x:c>
      <x:c r="M9" s="24" t="str">
        <x:v>H6</x:v>
      </x:c>
      <x:c r="N9" s="24" t="str">
        <x:v>Automated catalog/prefab link; authored-scene review pending</x:v>
      </x:c>
      <x:c r="O9" s="24" t="str">
        <x:v>BLD-016-POST</x:v>
      </x:c>
      <x:c r="P9" s="24" t="str">
        <x:v>Internal/Approved</x:v>
      </x:c>
      <x:c r="Q9" s="24" t="str"/>
      <x:c r="R9" s="24" t="str">
        <x:v>02_Productos_Canonicos</x:v>
      </x:c>
      <x:c r="S9" s="24" t="str">
        <x:f>"T"&amp;IF(AND(H9&lt;&gt;"",I9&lt;&gt;"",K9&lt;&gt;"",N9&lt;&gt;"",P9&lt;&gt;""),5,IF(AND(H9&lt;&gt;"",K9&lt;&gt;"",G9&lt;&gt;""),4,IF(AND(H9&lt;&gt;"",K9&lt;&gt;""),3,IF(H9&lt;&gt;"",2,1))))</x:f>
        <x:v>T5</x:v>
      </x:c>
      <x:c r="T9" s="24" t="str">
        <x:v>VRM Games</x:v>
      </x:c>
      <x:c r="U9" s="24" t="str">
        <x:v>Producto Phase 1 vigente; no asumir equivalencia con IDs técnicos.</x:v>
      </x:c>
    </x:row>
    <x:row r="10" ht="34" customHeight="1">
      <x:c r="A10" s="24" t="str">
        <x:v>TRC-0006</x:v>
      </x:c>
      <x:c r="B10" s="24" t="str">
        <x:v>PRD-CAN-006</x:v>
      </x:c>
      <x:c r="C10" s="24" t="str">
        <x:v>Product</x:v>
      </x:c>
      <x:c r="D10" s="24" t="str">
        <x:v>Memory Core Accessory</x:v>
      </x:c>
      <x:c r="E10" s="24" t="str">
        <x:v>CANONICAL / PHASE 1</x:v>
      </x:c>
      <x:c r="F10" s="24" t="str">
        <x:v>Runtime catalog linked</x:v>
      </x:c>
      <x:c r="G10" s="24" t="str">
        <x:v>Automated link PASS / Visual pending</x:v>
      </x:c>
      <x:c r="H10" s="24" t="str">
        <x:v>Assets/_Project/Prefabs/Products/MemoryCoreAccessory.prefab</x:v>
      </x:c>
      <x:c r="I10" s="24" t="str">
        <x:v>5ede70c331046392f8d66c885ebe2a1e</x:v>
      </x:c>
      <x:c r="J10" s="24" t="str">
        <x:v>Assets/_Project/Data/Catalogs/ContentCatalog.asset</x:v>
      </x:c>
      <x:c r="K10" s="24" t="str">
        <x:v>VS-ART-001;VS-ECO-001;VS-INV-001</x:v>
      </x:c>
      <x:c r="L10" s="24" t="n">
        <x:v>16</x:v>
      </x:c>
      <x:c r="M10" s="24" t="str">
        <x:v>H6</x:v>
      </x:c>
      <x:c r="N10" s="24" t="str">
        <x:v>Automated catalog/prefab link; authored-scene review pending</x:v>
      </x:c>
      <x:c r="O10" s="24" t="str">
        <x:v>BLD-016-POST</x:v>
      </x:c>
      <x:c r="P10" s="24" t="str">
        <x:v>Internal/Approved</x:v>
      </x:c>
      <x:c r="Q10" s="24" t="str"/>
      <x:c r="R10" s="24" t="str">
        <x:v>02_Productos_Canonicos</x:v>
      </x:c>
      <x:c r="S10" s="24" t="str">
        <x:f>"T"&amp;IF(AND(H10&lt;&gt;"",I10&lt;&gt;"",K10&lt;&gt;"",N10&lt;&gt;"",P10&lt;&gt;""),5,IF(AND(H10&lt;&gt;"",K10&lt;&gt;"",G10&lt;&gt;""),4,IF(AND(H10&lt;&gt;"",K10&lt;&gt;""),3,IF(H10&lt;&gt;"",2,1))))</x:f>
        <x:v>T5</x:v>
      </x:c>
      <x:c r="T10" s="24" t="str">
        <x:v>VRM Games</x:v>
      </x:c>
      <x:c r="U10" s="24" t="str">
        <x:v>Producto Phase 1 vigente; no asumir equivalencia con IDs técnicos.</x:v>
      </x:c>
    </x:row>
    <x:row r="11" ht="34" customHeight="1">
      <x:c r="A11" s="24" t="str">
        <x:v>TRC-0007</x:v>
      </x:c>
      <x:c r="B11" s="24" t="str">
        <x:v>PRD-TEC-001</x:v>
      </x:c>
      <x:c r="C11" s="24" t="str">
        <x:v>Product Technical</x:v>
      </x:c>
      <x:c r="D11" s="24" t="str">
        <x:v>cartridge-cloud-racers</x:v>
      </x:c>
      <x:c r="E11" s="24" t="str">
        <x:v>TECHNICAL / LEGACY ACTIVE</x:v>
      </x:c>
      <x:c r="F11" s="24" t="str">
        <x:v>Domain/data integrated</x:v>
      </x:c>
      <x:c r="G11" s="24" t="str">
        <x:v>Technical tests PASS; visual asset missing</x:v>
      </x:c>
      <x:c r="H11" s="24" t="str">
        <x:v>Assets/_Project/Data/Products/Technical/CC_Product_CloudRacers.asset</x:v>
      </x:c>
      <x:c r="I11" s="24" t="str">
        <x:v>5d7be371bd8a4bc48df30a4adc2a1a48</x:v>
      </x:c>
      <x:c r="J11" s="24" t="str"/>
      <x:c r="K11" s="24" t="str">
        <x:v>VS-INV-001;VS-ORD-001;VS-CHK-001</x:v>
      </x:c>
      <x:c r="L11" s="24" t="str">
        <x:v>6–14</x:v>
      </x:c>
      <x:c r="M11" s="24" t="str">
        <x:v>H6</x:v>
      </x:c>
      <x:c r="N11" s="24" t="str"/>
      <x:c r="O11" s="24" t="str"/>
      <x:c r="P11" s="24" t="str"/>
      <x:c r="Q11" s="24" t="str">
        <x:v>Sí</x:v>
      </x:c>
      <x:c r="R11" s="24" t="str">
        <x:v>03_Productos_Tecnicos</x:v>
      </x:c>
      <x:c r="S11" s="24" t="str">
        <x:f>"T"&amp;IF(AND(H11&lt;&gt;"",I11&lt;&gt;"",K11&lt;&gt;"",N11&lt;&gt;"",P11&lt;&gt;""),5,IF(AND(H11&lt;&gt;"",K11&lt;&gt;"",G11&lt;&gt;""),4,IF(AND(H11&lt;&gt;"",K11&lt;&gt;""),3,IF(H11&lt;&gt;"",2,1))))</x:f>
        <x:v>T4</x:v>
      </x:c>
      <x:c r="T11" s="24" t="str">
        <x:v>VRM Games</x:v>
      </x:c>
      <x:c r="U11" s="24" t="str">
        <x:v>No sustituir por nombre parecido sin alias y migración explícita.</x:v>
      </x:c>
    </x:row>
    <x:row r="12" ht="34" customHeight="1">
      <x:c r="A12" s="24" t="str">
        <x:v>TRC-0008</x:v>
      </x:c>
      <x:c r="B12" s="24" t="str">
        <x:v>PRD-TEC-002</x:v>
      </x:c>
      <x:c r="C12" s="24" t="str">
        <x:v>Product Technical</x:v>
      </x:c>
      <x:c r="D12" s="24" t="str">
        <x:v>cartridge-pixel-quest</x:v>
      </x:c>
      <x:c r="E12" s="24" t="str">
        <x:v>TECHNICAL / LEGACY ACTIVE</x:v>
      </x:c>
      <x:c r="F12" s="24" t="str">
        <x:v>Domain/data integrated</x:v>
      </x:c>
      <x:c r="G12" s="24" t="str">
        <x:v>Technical tests PASS; visual asset missing</x:v>
      </x:c>
      <x:c r="H12" s="24" t="str">
        <x:v>Assets/_Project/Data/Products/Technical/CC_Product_PixelQuest.asset</x:v>
      </x:c>
      <x:c r="I12" s="24" t="str">
        <x:v>b43b3ab75c6e45c69fbb1fb70efa9bc8</x:v>
      </x:c>
      <x:c r="J12" s="24" t="str"/>
      <x:c r="K12" s="24" t="str">
        <x:v>VS-INV-001;VS-ORD-001;VS-CHK-001</x:v>
      </x:c>
      <x:c r="L12" s="24" t="str">
        <x:v>6–14</x:v>
      </x:c>
      <x:c r="M12" s="24" t="str">
        <x:v>H6</x:v>
      </x:c>
      <x:c r="N12" s="24" t="str"/>
      <x:c r="O12" s="24" t="str"/>
      <x:c r="P12" s="24" t="str"/>
      <x:c r="Q12" s="24" t="str">
        <x:v>Sí</x:v>
      </x:c>
      <x:c r="R12" s="24" t="str">
        <x:v>03_Productos_Tecnicos</x:v>
      </x:c>
      <x:c r="S12" s="24" t="str">
        <x:f>"T"&amp;IF(AND(H12&lt;&gt;"",I12&lt;&gt;"",K12&lt;&gt;"",N12&lt;&gt;"",P12&lt;&gt;""),5,IF(AND(H12&lt;&gt;"",K12&lt;&gt;"",G12&lt;&gt;""),4,IF(AND(H12&lt;&gt;"",K12&lt;&gt;""),3,IF(H12&lt;&gt;"",2,1))))</x:f>
        <x:v>T4</x:v>
      </x:c>
      <x:c r="T12" s="24" t="str">
        <x:v>VRM Games</x:v>
      </x:c>
      <x:c r="U12" s="24" t="str">
        <x:v>No sustituir por nombre parecido sin alias y migración explícita.</x:v>
      </x:c>
    </x:row>
    <x:row r="13" ht="34" customHeight="1">
      <x:c r="A13" s="24" t="str">
        <x:v>TRC-0009</x:v>
      </x:c>
      <x:c r="B13" s="24" t="str">
        <x:v>PRD-TEC-003</x:v>
      </x:c>
      <x:c r="C13" s="24" t="str">
        <x:v>Product Technical</x:v>
      </x:c>
      <x:c r="D13" s="24" t="str">
        <x:v>collectible-cloud-hero</x:v>
      </x:c>
      <x:c r="E13" s="24" t="str">
        <x:v>TECHNICAL / LEGACY ACTIVE</x:v>
      </x:c>
      <x:c r="F13" s="24" t="str">
        <x:v>Domain/data integrated</x:v>
      </x:c>
      <x:c r="G13" s="24" t="str">
        <x:v>Technical tests PASS; visual asset missing</x:v>
      </x:c>
      <x:c r="H13" s="24" t="str">
        <x:v>Assets/_Project/Data/Products/Technical/CC_Product_CloudHero.asset</x:v>
      </x:c>
      <x:c r="I13" s="24" t="str">
        <x:v>b9f100846f074d75ba09c52b44f28b3a</x:v>
      </x:c>
      <x:c r="J13" s="24" t="str"/>
      <x:c r="K13" s="24" t="str">
        <x:v>VS-INV-001;VS-ORD-001;VS-CHK-001</x:v>
      </x:c>
      <x:c r="L13" s="24" t="str">
        <x:v>6–14</x:v>
      </x:c>
      <x:c r="M13" s="24" t="str">
        <x:v>H6</x:v>
      </x:c>
      <x:c r="N13" s="24" t="str"/>
      <x:c r="O13" s="24" t="str"/>
      <x:c r="P13" s="24" t="str"/>
      <x:c r="Q13" s="24" t="str">
        <x:v>Sí</x:v>
      </x:c>
      <x:c r="R13" s="24" t="str">
        <x:v>03_Productos_Tecnicos</x:v>
      </x:c>
      <x:c r="S13" s="24" t="str">
        <x:f>"T"&amp;IF(AND(H13&lt;&gt;"",I13&lt;&gt;"",K13&lt;&gt;"",N13&lt;&gt;"",P13&lt;&gt;""),5,IF(AND(H13&lt;&gt;"",K13&lt;&gt;"",G13&lt;&gt;""),4,IF(AND(H13&lt;&gt;"",K13&lt;&gt;""),3,IF(H13&lt;&gt;"",2,1))))</x:f>
        <x:v>T4</x:v>
      </x:c>
      <x:c r="T13" s="24" t="str">
        <x:v>VRM Games</x:v>
      </x:c>
      <x:c r="U13" s="24" t="str">
        <x:v>No sustituir por nombre parecido sin alias y migración explícita.</x:v>
      </x:c>
    </x:row>
    <x:row r="14" ht="34" customHeight="1">
      <x:c r="A14" s="24" t="str">
        <x:v>TRC-0010</x:v>
      </x:c>
      <x:c r="B14" s="24" t="str">
        <x:v>PRD-TEC-004</x:v>
      </x:c>
      <x:c r="C14" s="24" t="str">
        <x:v>Product Technical</x:v>
      </x:c>
      <x:c r="D14" s="24" t="str">
        <x:v>console-nebula-8</x:v>
      </x:c>
      <x:c r="E14" s="24" t="str">
        <x:v>TECHNICAL / LEGACY ACTIVE</x:v>
      </x:c>
      <x:c r="F14" s="24" t="str">
        <x:v>Domain/data integrated</x:v>
      </x:c>
      <x:c r="G14" s="24" t="str">
        <x:v>Technical tests PASS; visual asset missing</x:v>
      </x:c>
      <x:c r="H14" s="24" t="str">
        <x:v>Assets/_Project/Data/Products/Technical/CC_Product_Nebula8.asset</x:v>
      </x:c>
      <x:c r="I14" s="24" t="str">
        <x:v>d91ff75141954b1589b244fa20228938</x:v>
      </x:c>
      <x:c r="J14" s="24" t="str"/>
      <x:c r="K14" s="24" t="str">
        <x:v>VS-INV-001;VS-ORD-001;VS-CHK-001</x:v>
      </x:c>
      <x:c r="L14" s="24" t="str">
        <x:v>6–14</x:v>
      </x:c>
      <x:c r="M14" s="24" t="str">
        <x:v>H6</x:v>
      </x:c>
      <x:c r="N14" s="24" t="str"/>
      <x:c r="O14" s="24" t="str"/>
      <x:c r="P14" s="24" t="str"/>
      <x:c r="Q14" s="24" t="str">
        <x:v>Sí</x:v>
      </x:c>
      <x:c r="R14" s="24" t="str">
        <x:v>03_Productos_Tecnicos</x:v>
      </x:c>
      <x:c r="S14" s="24" t="str">
        <x:f>"T"&amp;IF(AND(H14&lt;&gt;"",I14&lt;&gt;"",K14&lt;&gt;"",N14&lt;&gt;"",P14&lt;&gt;""),5,IF(AND(H14&lt;&gt;"",K14&lt;&gt;"",G14&lt;&gt;""),4,IF(AND(H14&lt;&gt;"",K14&lt;&gt;""),3,IF(H14&lt;&gt;"",2,1))))</x:f>
        <x:v>T4</x:v>
      </x:c>
      <x:c r="T14" s="24" t="str">
        <x:v>VRM Games</x:v>
      </x:c>
      <x:c r="U14" s="24" t="str">
        <x:v>No sustituir por nombre parecido sin alias y migración explícita.</x:v>
      </x:c>
    </x:row>
    <x:row r="15" ht="34" customHeight="1">
      <x:c r="A15" s="24" t="str">
        <x:v>TRC-0011</x:v>
      </x:c>
      <x:c r="B15" s="24" t="str">
        <x:v>PRD-TEC-005</x:v>
      </x:c>
      <x:c r="C15" s="24" t="str">
        <x:v>Product Technical</x:v>
      </x:c>
      <x:c r="D15" s="24" t="str">
        <x:v>controller-orbit-pad</x:v>
      </x:c>
      <x:c r="E15" s="24" t="str">
        <x:v>TECHNICAL / LEGACY ACTIVE</x:v>
      </x:c>
      <x:c r="F15" s="24" t="str">
        <x:v>Domain/data integrated</x:v>
      </x:c>
      <x:c r="G15" s="24" t="str">
        <x:v>Technical tests PASS; visual asset missing</x:v>
      </x:c>
      <x:c r="H15" s="24" t="str">
        <x:v>Assets/_Project/Data/Products/Technical/CC_Product_OrbitPad.asset</x:v>
      </x:c>
      <x:c r="I15" s="24" t="str">
        <x:v>8da4aa2a2154473a8ed3ed4cabd673c7</x:v>
      </x:c>
      <x:c r="J15" s="24" t="str"/>
      <x:c r="K15" s="24" t="str">
        <x:v>VS-INV-001;VS-ORD-001;VS-CHK-001</x:v>
      </x:c>
      <x:c r="L15" s="24" t="str">
        <x:v>6–14</x:v>
      </x:c>
      <x:c r="M15" s="24" t="str">
        <x:v>H6</x:v>
      </x:c>
      <x:c r="N15" s="24" t="str"/>
      <x:c r="O15" s="24" t="str"/>
      <x:c r="P15" s="24" t="str"/>
      <x:c r="Q15" s="24" t="str">
        <x:v>Sí</x:v>
      </x:c>
      <x:c r="R15" s="24" t="str">
        <x:v>03_Productos_Tecnicos</x:v>
      </x:c>
      <x:c r="S15" s="24" t="str">
        <x:f>"T"&amp;IF(AND(H15&lt;&gt;"",I15&lt;&gt;"",K15&lt;&gt;"",N15&lt;&gt;"",P15&lt;&gt;""),5,IF(AND(H15&lt;&gt;"",K15&lt;&gt;"",G15&lt;&gt;""),4,IF(AND(H15&lt;&gt;"",K15&lt;&gt;""),3,IF(H15&lt;&gt;"",2,1))))</x:f>
        <x:v>T4</x:v>
      </x:c>
      <x:c r="T15" s="24" t="str">
        <x:v>VRM Games</x:v>
      </x:c>
      <x:c r="U15" s="24" t="str">
        <x:v>No sustituir por nombre parecido sin alias y migración explícita.</x:v>
      </x:c>
    </x:row>
    <x:row r="16" ht="34" customHeight="1">
      <x:c r="A16" s="24" t="str">
        <x:v>TRC-0012</x:v>
      </x:c>
      <x:c r="B16" s="24" t="str">
        <x:v>PRD-TEC-006</x:v>
      </x:c>
      <x:c r="C16" s="24" t="str">
        <x:v>Product Technical</x:v>
      </x:c>
      <x:c r="D16" s="24" t="str">
        <x:v>memory-card-64</x:v>
      </x:c>
      <x:c r="E16" s="24" t="str">
        <x:v>TECHNICAL / LEGACY ACTIVE</x:v>
      </x:c>
      <x:c r="F16" s="24" t="str">
        <x:v>Domain/data integrated</x:v>
      </x:c>
      <x:c r="G16" s="24" t="str">
        <x:v>Technical tests PASS; visual asset missing</x:v>
      </x:c>
      <x:c r="H16" s="24" t="str">
        <x:v>Assets/_Project/Data/Products/Technical/CC_Product_MemoryCard64.asset</x:v>
      </x:c>
      <x:c r="I16" s="24" t="str">
        <x:v>6c8ada0566d54a159b381be668324fc5</x:v>
      </x:c>
      <x:c r="J16" s="24" t="str"/>
      <x:c r="K16" s="24" t="str">
        <x:v>VS-INV-001;VS-ORD-001;VS-CHK-001</x:v>
      </x:c>
      <x:c r="L16" s="24" t="str">
        <x:v>6–14</x:v>
      </x:c>
      <x:c r="M16" s="24" t="str">
        <x:v>H6</x:v>
      </x:c>
      <x:c r="N16" s="24" t="str"/>
      <x:c r="O16" s="24" t="str"/>
      <x:c r="P16" s="24" t="str"/>
      <x:c r="Q16" s="24" t="str">
        <x:v>Sí</x:v>
      </x:c>
      <x:c r="R16" s="24" t="str">
        <x:v>03_Productos_Tecnicos</x:v>
      </x:c>
      <x:c r="S16" s="24" t="str">
        <x:f>"T"&amp;IF(AND(H16&lt;&gt;"",I16&lt;&gt;"",K16&lt;&gt;"",N16&lt;&gt;"",P16&lt;&gt;""),5,IF(AND(H16&lt;&gt;"",K16&lt;&gt;"",G16&lt;&gt;""),4,IF(AND(H16&lt;&gt;"",K16&lt;&gt;""),3,IF(H16&lt;&gt;"",2,1))))</x:f>
        <x:v>T4</x:v>
      </x:c>
      <x:c r="T16" s="24" t="str">
        <x:v>VRM Games</x:v>
      </x:c>
      <x:c r="U16" s="24" t="str">
        <x:v>No sustituir por nombre parecido sin alias y migración explícita.</x:v>
      </x:c>
    </x:row>
    <x:row r="17" ht="34" customHeight="1">
      <x:c r="A17" s="24" t="str">
        <x:v>TRC-0013</x:v>
      </x:c>
      <x:c r="B17" s="24" t="str">
        <x:v>FUR-CAN-001</x:v>
      </x:c>
      <x:c r="C17" s="24" t="str">
        <x:v>Furniture</x:v>
      </x:c>
      <x:c r="D17" s="24" t="str">
        <x:v>Checkout Counter</x:v>
      </x:c>
      <x:c r="E17" s="24" t="str">
        <x:v>CANONICAL / PHASE 1</x:v>
      </x:c>
      <x:c r="F17" s="24" t="str">
        <x:v>Imported + Runtime catalog linked</x:v>
      </x:c>
      <x:c r="G17" s="24" t="str">
        <x:v>Pending authored placement / H6</x:v>
      </x:c>
      <x:c r="H17" s="24" t="str">
        <x:v>Assets/_Project/Prefabs/Furniture/CheckoutCounter.prefab</x:v>
      </x:c>
      <x:c r="I17" s="24" t="str">
        <x:v>50cf0cf3c5cf40b6b6cb2622a64001d4</x:v>
      </x:c>
      <x:c r="J17" s="24" t="str"/>
      <x:c r="K17" s="24" t="str">
        <x:v>VS-BLD-001;VS-DSP-001;VS-SCN-002</x:v>
      </x:c>
      <x:c r="L17" s="24" t="n">
        <x:v>16</x:v>
      </x:c>
      <x:c r="M17" s="24" t="str">
        <x:v>H6</x:v>
      </x:c>
      <x:c r="N17" s="24" t="str"/>
      <x:c r="O17" s="24" t="str">
        <x:v>BLD-016-POST</x:v>
      </x:c>
      <x:c r="P17" s="24" t="str">
        <x:v>Internal/Approved</x:v>
      </x:c>
      <x:c r="Q17" s="24" t="str"/>
      <x:c r="R17" s="24" t="str">
        <x:v>05_Mobiliario</x:v>
      </x:c>
      <x:c r="S17" s="24" t="str">
        <x:f>"T"&amp;IF(AND(H17&lt;&gt;"",I17&lt;&gt;"",K17&lt;&gt;"",N17&lt;&gt;"",P17&lt;&gt;""),5,IF(AND(H17&lt;&gt;"",K17&lt;&gt;"",G17&lt;&gt;""),4,IF(AND(H17&lt;&gt;"",K17&lt;&gt;""),3,IF(H17&lt;&gt;"",2,1))))</x:f>
        <x:v>T4</x:v>
      </x:c>
      <x:c r="T17" s="24" t="str">
        <x:v>VRM Games</x:v>
      </x:c>
      <x:c r="U17" s="24" t="str">
        <x:v>Arquitectura dinámica/interactiva; validar collider, navegación y footprint.</x:v>
      </x:c>
    </x:row>
    <x:row r="18" ht="34" customHeight="1">
      <x:c r="A18" s="24" t="str">
        <x:v>TRC-0014</x:v>
      </x:c>
      <x:c r="B18" s="24" t="str">
        <x:v>FUR-CAN-002</x:v>
      </x:c>
      <x:c r="C18" s="24" t="str">
        <x:v>Furniture</x:v>
      </x:c>
      <x:c r="D18" s="24" t="str">
        <x:v>Wall Shelf</x:v>
      </x:c>
      <x:c r="E18" s="24" t="str">
        <x:v>CANONICAL / PHASE 1</x:v>
      </x:c>
      <x:c r="F18" s="24" t="str">
        <x:v>Imported + Runtime catalog linked</x:v>
      </x:c>
      <x:c r="G18" s="24" t="str">
        <x:v>Pending authored placement / H6</x:v>
      </x:c>
      <x:c r="H18" s="24" t="str">
        <x:v>Assets/_Project/Prefabs/Furniture/WallShelf.prefab</x:v>
      </x:c>
      <x:c r="I18" s="24" t="str">
        <x:v>d85a9e733850c34695b6e866472e96ed</x:v>
      </x:c>
      <x:c r="J18" s="24" t="str"/>
      <x:c r="K18" s="24" t="str">
        <x:v>VS-BLD-001;VS-DSP-001;VS-SCN-002</x:v>
      </x:c>
      <x:c r="L18" s="24" t="n">
        <x:v>16</x:v>
      </x:c>
      <x:c r="M18" s="24" t="str">
        <x:v>H6</x:v>
      </x:c>
      <x:c r="N18" s="24" t="str"/>
      <x:c r="O18" s="24" t="str">
        <x:v>BLD-016-POST</x:v>
      </x:c>
      <x:c r="P18" s="24" t="str">
        <x:v>Internal/Approved</x:v>
      </x:c>
      <x:c r="Q18" s="24" t="str"/>
      <x:c r="R18" s="24" t="str">
        <x:v>05_Mobiliario</x:v>
      </x:c>
      <x:c r="S18" s="24" t="str">
        <x:f>"T"&amp;IF(AND(H18&lt;&gt;"",I18&lt;&gt;"",K18&lt;&gt;"",N18&lt;&gt;"",P18&lt;&gt;""),5,IF(AND(H18&lt;&gt;"",K18&lt;&gt;"",G18&lt;&gt;""),4,IF(AND(H18&lt;&gt;"",K18&lt;&gt;""),3,IF(H18&lt;&gt;"",2,1))))</x:f>
        <x:v>T4</x:v>
      </x:c>
      <x:c r="T18" s="24" t="str">
        <x:v>VRM Games</x:v>
      </x:c>
      <x:c r="U18" s="24" t="str">
        <x:v>Arquitectura dinámica/interactiva; validar collider, navegación y footprint.</x:v>
      </x:c>
    </x:row>
    <x:row r="19" ht="34" customHeight="1">
      <x:c r="A19" s="24" t="str">
        <x:v>TRC-0015</x:v>
      </x:c>
      <x:c r="B19" s="24" t="str">
        <x:v>FUR-CAN-003</x:v>
      </x:c>
      <x:c r="C19" s="24" t="str">
        <x:v>Furniture</x:v>
      </x:c>
      <x:c r="D19" s="24" t="str">
        <x:v>Central Shelf</x:v>
      </x:c>
      <x:c r="E19" s="24" t="str">
        <x:v>CANONICAL / PHASE 1</x:v>
      </x:c>
      <x:c r="F19" s="24" t="str">
        <x:v>Imported + Runtime catalog linked</x:v>
      </x:c>
      <x:c r="G19" s="24" t="str">
        <x:v>Pending authored placement / H6</x:v>
      </x:c>
      <x:c r="H19" s="24" t="str">
        <x:v>Assets/_Project/Prefabs/Furniture/CentralShelf.prefab</x:v>
      </x:c>
      <x:c r="I19" s="24" t="str">
        <x:v>ee68430315c3ff624c8cb39e759e3362</x:v>
      </x:c>
      <x:c r="J19" s="24" t="str"/>
      <x:c r="K19" s="24" t="str">
        <x:v>VS-BLD-001;VS-DSP-001;VS-SCN-002</x:v>
      </x:c>
      <x:c r="L19" s="24" t="n">
        <x:v>16</x:v>
      </x:c>
      <x:c r="M19" s="24" t="str">
        <x:v>H6</x:v>
      </x:c>
      <x:c r="N19" s="24" t="str"/>
      <x:c r="O19" s="24" t="str">
        <x:v>BLD-016-POST</x:v>
      </x:c>
      <x:c r="P19" s="24" t="str">
        <x:v>Internal/Approved</x:v>
      </x:c>
      <x:c r="Q19" s="24" t="str"/>
      <x:c r="R19" s="24" t="str">
        <x:v>05_Mobiliario</x:v>
      </x:c>
      <x:c r="S19" s="24" t="str">
        <x:f>"T"&amp;IF(AND(H19&lt;&gt;"",I19&lt;&gt;"",K19&lt;&gt;"",N19&lt;&gt;"",P19&lt;&gt;""),5,IF(AND(H19&lt;&gt;"",K19&lt;&gt;"",G19&lt;&gt;""),4,IF(AND(H19&lt;&gt;"",K19&lt;&gt;""),3,IF(H19&lt;&gt;"",2,1))))</x:f>
        <x:v>T4</x:v>
      </x:c>
      <x:c r="T19" s="24" t="str">
        <x:v>VRM Games</x:v>
      </x:c>
      <x:c r="U19" s="24" t="str">
        <x:v>Arquitectura dinámica/interactiva; validar collider, navegación y footprint.</x:v>
      </x:c>
    </x:row>
    <x:row r="20" ht="34" customHeight="1">
      <x:c r="A20" s="24" t="str">
        <x:v>TRC-0016</x:v>
      </x:c>
      <x:c r="B20" s="24" t="str">
        <x:v>FUR-CAN-004</x:v>
      </x:c>
      <x:c r="C20" s="24" t="str">
        <x:v>Furniture</x:v>
      </x:c>
      <x:c r="D20" s="24" t="str">
        <x:v>Low Display</x:v>
      </x:c>
      <x:c r="E20" s="24" t="str">
        <x:v>CANONICAL / PHASE 1</x:v>
      </x:c>
      <x:c r="F20" s="24" t="str">
        <x:v>Imported + Runtime catalog linked</x:v>
      </x:c>
      <x:c r="G20" s="24" t="str">
        <x:v>Pending authored placement / H6</x:v>
      </x:c>
      <x:c r="H20" s="24" t="str">
        <x:v>Assets/_Project/Prefabs/Furniture/LowDisplay.prefab</x:v>
      </x:c>
      <x:c r="I20" s="24" t="str">
        <x:v>a50740f86803ca60444851be2b42c02e</x:v>
      </x:c>
      <x:c r="J20" s="24" t="str"/>
      <x:c r="K20" s="24" t="str">
        <x:v>VS-BLD-001;VS-DSP-001;VS-SCN-002</x:v>
      </x:c>
      <x:c r="L20" s="24" t="n">
        <x:v>16</x:v>
      </x:c>
      <x:c r="M20" s="24" t="str">
        <x:v>H6</x:v>
      </x:c>
      <x:c r="N20" s="24" t="str"/>
      <x:c r="O20" s="24" t="str">
        <x:v>BLD-016-POST</x:v>
      </x:c>
      <x:c r="P20" s="24" t="str">
        <x:v>Internal/Approved</x:v>
      </x:c>
      <x:c r="Q20" s="24" t="str"/>
      <x:c r="R20" s="24" t="str">
        <x:v>05_Mobiliario</x:v>
      </x:c>
      <x:c r="S20" s="24" t="str">
        <x:f>"T"&amp;IF(AND(H20&lt;&gt;"",I20&lt;&gt;"",K20&lt;&gt;"",N20&lt;&gt;"",P20&lt;&gt;""),5,IF(AND(H20&lt;&gt;"",K20&lt;&gt;"",G20&lt;&gt;""),4,IF(AND(H20&lt;&gt;"",K20&lt;&gt;""),3,IF(H20&lt;&gt;"",2,1))))</x:f>
        <x:v>T4</x:v>
      </x:c>
      <x:c r="T20" s="24" t="str">
        <x:v>VRM Games</x:v>
      </x:c>
      <x:c r="U20" s="24" t="str">
        <x:v>Arquitectura dinámica/interactiva; validar collider, navegación y footprint.</x:v>
      </x:c>
    </x:row>
    <x:row r="21" ht="34" customHeight="1">
      <x:c r="A21" s="24" t="str">
        <x:v>TRC-0017</x:v>
      </x:c>
      <x:c r="B21" s="24" t="str">
        <x:v>FUR-CAN-005</x:v>
      </x:c>
      <x:c r="C21" s="24" t="str">
        <x:v>Furniture</x:v>
      </x:c>
      <x:c r="D21" s="24" t="str">
        <x:v>Featured Display</x:v>
      </x:c>
      <x:c r="E21" s="24" t="str">
        <x:v>CANONICAL / PHASE 1</x:v>
      </x:c>
      <x:c r="F21" s="24" t="str">
        <x:v>Imported + Runtime catalog linked</x:v>
      </x:c>
      <x:c r="G21" s="24" t="str">
        <x:v>Pending authored placement / H6</x:v>
      </x:c>
      <x:c r="H21" s="24" t="str">
        <x:v>Assets/_Project/Prefabs/Furniture/FeaturedDisplay.prefab</x:v>
      </x:c>
      <x:c r="I21" s="24" t="str">
        <x:v>a220b490e14b7507c07ed1d5ebb45162</x:v>
      </x:c>
      <x:c r="J21" s="24" t="str"/>
      <x:c r="K21" s="24" t="str">
        <x:v>VS-BLD-001;VS-DSP-001;VS-SCN-002</x:v>
      </x:c>
      <x:c r="L21" s="24" t="n">
        <x:v>16</x:v>
      </x:c>
      <x:c r="M21" s="24" t="str">
        <x:v>H6</x:v>
      </x:c>
      <x:c r="N21" s="24" t="str"/>
      <x:c r="O21" s="24" t="str">
        <x:v>BLD-016-POST</x:v>
      </x:c>
      <x:c r="P21" s="24" t="str">
        <x:v>Internal/Approved</x:v>
      </x:c>
      <x:c r="Q21" s="24" t="str"/>
      <x:c r="R21" s="24" t="str">
        <x:v>05_Mobiliario</x:v>
      </x:c>
      <x:c r="S21" s="24" t="str">
        <x:f>"T"&amp;IF(AND(H21&lt;&gt;"",I21&lt;&gt;"",K21&lt;&gt;"",N21&lt;&gt;"",P21&lt;&gt;""),5,IF(AND(H21&lt;&gt;"",K21&lt;&gt;"",G21&lt;&gt;""),4,IF(AND(H21&lt;&gt;"",K21&lt;&gt;""),3,IF(H21&lt;&gt;"",2,1))))</x:f>
        <x:v>T4</x:v>
      </x:c>
      <x:c r="T21" s="24" t="str">
        <x:v>VRM Games</x:v>
      </x:c>
      <x:c r="U21" s="24" t="str">
        <x:v>Arquitectura dinámica/interactiva; validar collider, navegación y footprint.</x:v>
      </x:c>
    </x:row>
    <x:row r="22" ht="34" customHeight="1">
      <x:c r="A22" s="24" t="str">
        <x:v>TRC-0018</x:v>
      </x:c>
      <x:c r="B22" s="24" t="str">
        <x:v>FUR-CAN-006</x:v>
      </x:c>
      <x:c r="C22" s="24" t="str">
        <x:v>Furniture</x:v>
      </x:c>
      <x:c r="D22" s="24" t="str">
        <x:v>Backroom Storage</x:v>
      </x:c>
      <x:c r="E22" s="24" t="str">
        <x:v>CANONICAL / PHASE 1</x:v>
      </x:c>
      <x:c r="F22" s="24" t="str">
        <x:v>Imported + Runtime catalog linked</x:v>
      </x:c>
      <x:c r="G22" s="24" t="str">
        <x:v>Pending authored placement / H6</x:v>
      </x:c>
      <x:c r="H22" s="24" t="str">
        <x:v>Assets/_Project/Prefabs/Furniture/BackroomStorage.prefab</x:v>
      </x:c>
      <x:c r="I22" s="24" t="str">
        <x:v>6a32d46b756131d355af34feb5ec815a</x:v>
      </x:c>
      <x:c r="J22" s="24" t="str"/>
      <x:c r="K22" s="24" t="str">
        <x:v>VS-BLD-001;VS-DSP-001;VS-SCN-002</x:v>
      </x:c>
      <x:c r="L22" s="24" t="n">
        <x:v>16</x:v>
      </x:c>
      <x:c r="M22" s="24" t="str">
        <x:v>H6</x:v>
      </x:c>
      <x:c r="N22" s="24" t="str"/>
      <x:c r="O22" s="24" t="str">
        <x:v>BLD-016-POST</x:v>
      </x:c>
      <x:c r="P22" s="24" t="str">
        <x:v>Internal/Approved</x:v>
      </x:c>
      <x:c r="Q22" s="24" t="str">
        <x:v>KI-016-03</x:v>
      </x:c>
      <x:c r="R22" s="24" t="str">
        <x:v>05_Mobiliario</x:v>
      </x:c>
      <x:c r="S22" s="24" t="str">
        <x:f>"T"&amp;IF(AND(H22&lt;&gt;"",I22&lt;&gt;"",K22&lt;&gt;"",N22&lt;&gt;"",P22&lt;&gt;""),5,IF(AND(H22&lt;&gt;"",K22&lt;&gt;"",G22&lt;&gt;""),4,IF(AND(H22&lt;&gt;"",K22&lt;&gt;""),3,IF(H22&lt;&gt;"",2,1))))</x:f>
        <x:v>T4</x:v>
      </x:c>
      <x:c r="T22" s="24" t="str">
        <x:v>VRM Games</x:v>
      </x:c>
      <x:c r="U22" s="24" t="str">
        <x:v>Arquitectura dinámica/interactiva; validar collider, navegación y footprint.</x:v>
      </x:c>
    </x:row>
    <x:row r="23" ht="34" customHeight="1">
      <x:c r="A23" s="24" t="str">
        <x:v>TRC-0019</x:v>
      </x:c>
      <x:c r="B23" s="24" t="str">
        <x:v>FUR-CAN-007</x:v>
      </x:c>
      <x:c r="C23" s="24" t="str">
        <x:v>Furniture</x:v>
      </x:c>
      <x:c r="D23" s="24" t="str">
        <x:v>Receiving Crate</x:v>
      </x:c>
      <x:c r="E23" s="24" t="str">
        <x:v>CANONICAL / PHASE 1</x:v>
      </x:c>
      <x:c r="F23" s="24" t="str">
        <x:v>Imported + Runtime catalog linked</x:v>
      </x:c>
      <x:c r="G23" s="24" t="str">
        <x:v>Pending authored placement / H6</x:v>
      </x:c>
      <x:c r="H23" s="24" t="str">
        <x:v>Assets/_Project/Prefabs/Furniture/ReceivingCrate.prefab</x:v>
      </x:c>
      <x:c r="I23" s="24" t="str">
        <x:v>61dde0e295b6d720919f8fb896444331</x:v>
      </x:c>
      <x:c r="J23" s="24" t="str"/>
      <x:c r="K23" s="24" t="str">
        <x:v>VS-BLD-001;VS-DSP-001;VS-SCN-002</x:v>
      </x:c>
      <x:c r="L23" s="24" t="n">
        <x:v>16</x:v>
      </x:c>
      <x:c r="M23" s="24" t="str">
        <x:v>H6</x:v>
      </x:c>
      <x:c r="N23" s="24" t="str"/>
      <x:c r="O23" s="24" t="str">
        <x:v>BLD-016-POST</x:v>
      </x:c>
      <x:c r="P23" s="24" t="str">
        <x:v>Internal/Approved</x:v>
      </x:c>
      <x:c r="Q23" s="24" t="str"/>
      <x:c r="R23" s="24" t="str">
        <x:v>05_Mobiliario</x:v>
      </x:c>
      <x:c r="S23" s="24" t="str">
        <x:f>"T"&amp;IF(AND(H23&lt;&gt;"",I23&lt;&gt;"",K23&lt;&gt;"",N23&lt;&gt;"",P23&lt;&gt;""),5,IF(AND(H23&lt;&gt;"",K23&lt;&gt;"",G23&lt;&gt;""),4,IF(AND(H23&lt;&gt;"",K23&lt;&gt;""),3,IF(H23&lt;&gt;"",2,1))))</x:f>
        <x:v>T4</x:v>
      </x:c>
      <x:c r="T23" s="24" t="str">
        <x:v>VRM Games</x:v>
      </x:c>
      <x:c r="U23" s="24" t="str">
        <x:v>Arquitectura dinámica/interactiva; validar collider, navegación y footprint.</x:v>
      </x:c>
    </x:row>
    <x:row r="24" ht="34" customHeight="1">
      <x:c r="A24" s="24" t="str">
        <x:v>TRC-0020</x:v>
      </x:c>
      <x:c r="B24" s="24" t="str">
        <x:v>FUR-CAN-008</x:v>
      </x:c>
      <x:c r="C24" s="24" t="str">
        <x:v>Furniture</x:v>
      </x:c>
      <x:c r="D24" s="24" t="str">
        <x:v>Decorative Plant</x:v>
      </x:c>
      <x:c r="E24" s="24" t="str">
        <x:v>CANONICAL / PHASE 1</x:v>
      </x:c>
      <x:c r="F24" s="24" t="str">
        <x:v>Imported + Runtime catalog linked</x:v>
      </x:c>
      <x:c r="G24" s="24" t="str">
        <x:v>Pending authored placement / H6</x:v>
      </x:c>
      <x:c r="H24" s="24" t="str">
        <x:v>Assets/_Project/Prefabs/Furniture/DecorationPlant.prefab</x:v>
      </x:c>
      <x:c r="I24" s="24" t="str">
        <x:v>f75e2d3953fef002ae67aa64f5d7b9a5</x:v>
      </x:c>
      <x:c r="J24" s="24" t="str"/>
      <x:c r="K24" s="24" t="str">
        <x:v>VS-BLD-001;VS-DSP-001;VS-SCN-002</x:v>
      </x:c>
      <x:c r="L24" s="24" t="n">
        <x:v>16</x:v>
      </x:c>
      <x:c r="M24" s="24" t="str">
        <x:v>H6</x:v>
      </x:c>
      <x:c r="N24" s="24" t="str"/>
      <x:c r="O24" s="24" t="str">
        <x:v>BLD-016-POST</x:v>
      </x:c>
      <x:c r="P24" s="24" t="str">
        <x:v>Internal/Approved</x:v>
      </x:c>
      <x:c r="Q24" s="24" t="str"/>
      <x:c r="R24" s="24" t="str">
        <x:v>05_Mobiliario</x:v>
      </x:c>
      <x:c r="S24" s="24" t="str">
        <x:f>"T"&amp;IF(AND(H24&lt;&gt;"",I24&lt;&gt;"",K24&lt;&gt;"",N24&lt;&gt;"",P24&lt;&gt;""),5,IF(AND(H24&lt;&gt;"",K24&lt;&gt;"",G24&lt;&gt;""),4,IF(AND(H24&lt;&gt;"",K24&lt;&gt;""),3,IF(H24&lt;&gt;"",2,1))))</x:f>
        <x:v>T4</x:v>
      </x:c>
      <x:c r="T24" s="24" t="str">
        <x:v>VRM Games</x:v>
      </x:c>
      <x:c r="U24" s="24" t="str">
        <x:v>Arquitectura dinámica/interactiva; validar collider, navegación y footprint.</x:v>
      </x:c>
    </x:row>
    <x:row r="25" ht="34" customHeight="1">
      <x:c r="A25" s="24" t="str">
        <x:v>TRC-0021</x:v>
      </x:c>
      <x:c r="B25" s="24" t="str">
        <x:v>DSP-TEC-001</x:v>
      </x:c>
      <x:c r="C25" s="24" t="str">
        <x:v>Furniture</x:v>
      </x:c>
      <x:c r="D25" s="24" t="str">
        <x:v>display.countertop_rack.name</x:v>
      </x:c>
      <x:c r="E25" s="24" t="str">
        <x:v>TECHNICAL / LEGACY ACTIVE</x:v>
      </x:c>
      <x:c r="F25" s="24" t="str">
        <x:v>Domain/data integrated</x:v>
      </x:c>
      <x:c r="G25" s="24" t="str">
        <x:v>Technical tests PASS</x:v>
      </x:c>
      <x:c r="H25" s="24" t="str">
        <x:v>None</x:v>
      </x:c>
      <x:c r="I25" s="24" t="str">
        <x:v>1f98f7b04dd74a48b73627285c1b01b6</x:v>
      </x:c>
      <x:c r="J25" s="24" t="str"/>
      <x:c r="K25" s="24" t="str">
        <x:v>VS-DSP-001;VS-DSP-002</x:v>
      </x:c>
      <x:c r="L25" s="24" t="n">
        <x:v>8</x:v>
      </x:c>
      <x:c r="M25" s="24" t="str">
        <x:v>H6</x:v>
      </x:c>
      <x:c r="N25" s="24" t="str"/>
      <x:c r="O25" s="24" t="str"/>
      <x:c r="P25" s="24" t="str">
        <x:v>Internal</x:v>
      </x:c>
      <x:c r="Q25" s="24" t="str">
        <x:v>Map to Phase 1 furniture</x:v>
      </x:c>
      <x:c r="R25" s="24" t="str">
        <x:v>05_Mobiliario</x:v>
      </x:c>
      <x:c r="S25" s="24" t="str">
        <x:f>"T"&amp;IF(AND(H25&lt;&gt;"",I25&lt;&gt;"",K25&lt;&gt;"",N25&lt;&gt;"",P25&lt;&gt;""),5,IF(AND(H25&lt;&gt;"",K25&lt;&gt;"",G25&lt;&gt;""),4,IF(AND(H25&lt;&gt;"",K25&lt;&gt;""),3,IF(H25&lt;&gt;"",2,1))))</x:f>
        <x:v>T4</x:v>
      </x:c>
      <x:c r="T25" s="24" t="str">
        <x:v>VRM Games</x:v>
      </x:c>
      <x:c r="U25" s="24" t="str">
        <x:v>Asset: Assets/_Project/Data/Displays/Technical/CC_Display_CountertopRack.asset; allowed categories: accessory; collectible</x:v>
      </x:c>
    </x:row>
    <x:row r="26" ht="34" customHeight="1">
      <x:c r="A26" s="24" t="str">
        <x:v>TRC-0022</x:v>
      </x:c>
      <x:c r="B26" s="24" t="str">
        <x:v>DSP-TEC-002</x:v>
      </x:c>
      <x:c r="C26" s="24" t="str">
        <x:v>Furniture</x:v>
      </x:c>
      <x:c r="D26" s="24" t="str">
        <x:v>display.floor_stand.name</x:v>
      </x:c>
      <x:c r="E26" s="24" t="str">
        <x:v>TECHNICAL / LEGACY ACTIVE</x:v>
      </x:c>
      <x:c r="F26" s="24" t="str">
        <x:v>Domain/data integrated</x:v>
      </x:c>
      <x:c r="G26" s="24" t="str">
        <x:v>Technical tests PASS</x:v>
      </x:c>
      <x:c r="H26" s="24" t="str">
        <x:v>None</x:v>
      </x:c>
      <x:c r="I26" s="24" t="str">
        <x:v>9173e71110e34e659d9a23c6c946af94</x:v>
      </x:c>
      <x:c r="J26" s="24" t="str"/>
      <x:c r="K26" s="24" t="str">
        <x:v>VS-DSP-001;VS-DSP-002</x:v>
      </x:c>
      <x:c r="L26" s="24" t="n">
        <x:v>8</x:v>
      </x:c>
      <x:c r="M26" s="24" t="str">
        <x:v>H6</x:v>
      </x:c>
      <x:c r="N26" s="24" t="str"/>
      <x:c r="O26" s="24" t="str"/>
      <x:c r="P26" s="24" t="str">
        <x:v>Internal</x:v>
      </x:c>
      <x:c r="Q26" s="24" t="str">
        <x:v>Map to Phase 1 furniture</x:v>
      </x:c>
      <x:c r="R26" s="24" t="str">
        <x:v>05_Mobiliario</x:v>
      </x:c>
      <x:c r="S26" s="24" t="str">
        <x:f>"T"&amp;IF(AND(H26&lt;&gt;"",I26&lt;&gt;"",K26&lt;&gt;"",N26&lt;&gt;"",P26&lt;&gt;""),5,IF(AND(H26&lt;&gt;"",K26&lt;&gt;"",G26&lt;&gt;""),4,IF(AND(H26&lt;&gt;"",K26&lt;&gt;""),3,IF(H26&lt;&gt;"",2,1))))</x:f>
        <x:v>T4</x:v>
      </x:c>
      <x:c r="T26" s="24" t="str">
        <x:v>VRM Games</x:v>
      </x:c>
      <x:c r="U26" s="24" t="str">
        <x:v>Asset: Assets/_Project/Data/Displays/Technical/CC_Display_FloorStand.asset; allowed categories: console; video-game</x:v>
      </x:c>
    </x:row>
    <x:row r="27" ht="34" customHeight="1">
      <x:c r="A27" s="24" t="str">
        <x:v>TRC-0023</x:v>
      </x:c>
      <x:c r="B27" s="24" t="str">
        <x:v>DSP-TEC-003</x:v>
      </x:c>
      <x:c r="C27" s="24" t="str">
        <x:v>Furniture</x:v>
      </x:c>
      <x:c r="D27" s="24" t="str">
        <x:v>display.single_shelf.name</x:v>
      </x:c>
      <x:c r="E27" s="24" t="str">
        <x:v>TECHNICAL / LEGACY ACTIVE</x:v>
      </x:c>
      <x:c r="F27" s="24" t="str">
        <x:v>Domain/data integrated</x:v>
      </x:c>
      <x:c r="G27" s="24" t="str">
        <x:v>Technical tests PASS</x:v>
      </x:c>
      <x:c r="H27" s="24" t="str">
        <x:v>None</x:v>
      </x:c>
      <x:c r="I27" s="24" t="str">
        <x:v>0039b71c7ee1483b8d905409b7f6841c</x:v>
      </x:c>
      <x:c r="J27" s="24" t="str"/>
      <x:c r="K27" s="24" t="str">
        <x:v>VS-DSP-001;VS-DSP-002</x:v>
      </x:c>
      <x:c r="L27" s="24" t="n">
        <x:v>8</x:v>
      </x:c>
      <x:c r="M27" s="24" t="str">
        <x:v>H6</x:v>
      </x:c>
      <x:c r="N27" s="24" t="str"/>
      <x:c r="O27" s="24" t="str"/>
      <x:c r="P27" s="24" t="str">
        <x:v>Internal</x:v>
      </x:c>
      <x:c r="Q27" s="24" t="str">
        <x:v>Map to Phase 1 furniture</x:v>
      </x:c>
      <x:c r="R27" s="24" t="str">
        <x:v>05_Mobiliario</x:v>
      </x:c>
      <x:c r="S27" s="24" t="str">
        <x:f>"T"&amp;IF(AND(H27&lt;&gt;"",I27&lt;&gt;"",K27&lt;&gt;"",N27&lt;&gt;"",P27&lt;&gt;""),5,IF(AND(H27&lt;&gt;"",K27&lt;&gt;"",G27&lt;&gt;""),4,IF(AND(H27&lt;&gt;"",K27&lt;&gt;""),3,IF(H27&lt;&gt;"",2,1))))</x:f>
        <x:v>T4</x:v>
      </x:c>
      <x:c r="T27" s="24" t="str">
        <x:v>VRM Games</x:v>
      </x:c>
      <x:c r="U27" s="24" t="str">
        <x:v>Asset: Assets/_Project/Data/Displays/Technical/CC_Display_SingleShelf.asset; allowed categories: video-game; accessory; collectible</x:v>
      </x:c>
    </x:row>
    <x:row r="28" ht="34" customHeight="1">
      <x:c r="A28" s="24" t="str">
        <x:v>TRC-0024</x:v>
      </x:c>
      <x:c r="B28" s="24" t="str">
        <x:v>ARC-001</x:v>
      </x:c>
      <x:c r="C28" s="24" t="str">
        <x:v>Architecture</x:v>
      </x:c>
      <x:c r="D28" s="24" t="str">
        <x:v>AutomaticDoor</x:v>
      </x:c>
      <x:c r="E28" s="24" t="str">
        <x:v>CANONICAL / REPRESENTATIVE</x:v>
      </x:c>
      <x:c r="F28" s="24" t="str">
        <x:v>Prefab available</x:v>
      </x:c>
      <x:c r="G28" s="24" t="str">
        <x:v>Pending StoreInitial authored-scene review</x:v>
      </x:c>
      <x:c r="H28" s="24" t="str">
        <x:v>Assets/_Project/Prefabs/Architecture/AutomaticDoor.prefab</x:v>
      </x:c>
      <x:c r="I28" s="24" t="str">
        <x:v>902fae9f30573af4fb83f30c0eb15af6</x:v>
      </x:c>
      <x:c r="J28" s="24" t="str"/>
      <x:c r="K28" s="24" t="str">
        <x:v>VS-SCN-001;VS-SCN-002;VS-SCN-004</x:v>
      </x:c>
      <x:c r="L28" s="24" t="n">
        <x:v>16</x:v>
      </x:c>
      <x:c r="M28" s="24" t="str">
        <x:v>H6</x:v>
      </x:c>
      <x:c r="N28" s="24" t="str">
        <x:v>Scene capture + traversal + prefab validation</x:v>
      </x:c>
      <x:c r="O28" s="24" t="str">
        <x:v>BLD-016-POST</x:v>
      </x:c>
      <x:c r="P28" s="24" t="str">
        <x:v>Internal/Approved</x:v>
      </x:c>
      <x:c r="Q28" s="24" t="str">
        <x:v>Wall/door review</x:v>
      </x:c>
      <x:c r="R28" s="24" t="str">
        <x:v>06_Arquitectura</x:v>
      </x:c>
      <x:c r="S28" s="24" t="str">
        <x:f>"T"&amp;IF(AND(H28&lt;&gt;"",I28&lt;&gt;"",K28&lt;&gt;"",N28&lt;&gt;"",P28&lt;&gt;""),5,IF(AND(H28&lt;&gt;"",K28&lt;&gt;"",G28&lt;&gt;""),4,IF(AND(H28&lt;&gt;"",K28&lt;&gt;""),3,IF(H28&lt;&gt;"",2,1))))</x:f>
        <x:v>T5</x:v>
      </x:c>
      <x:c r="T28" s="24" t="str">
        <x:v>VRM Games</x:v>
      </x:c>
      <x:c r="U28" s="24" t="str">
        <x:v>La arquitectura fija se autora en escena y no se reconstruye por bounds/nombres.</x:v>
      </x:c>
    </x:row>
    <x:row r="29" ht="34" customHeight="1">
      <x:c r="A29" s="24" t="str">
        <x:v>TRC-0025</x:v>
      </x:c>
      <x:c r="B29" s="24" t="str">
        <x:v>ARC-002</x:v>
      </x:c>
      <x:c r="C29" s="24" t="str">
        <x:v>Architecture</x:v>
      </x:c>
      <x:c r="D29" s="24" t="str">
        <x:v>BackroomPartition</x:v>
      </x:c>
      <x:c r="E29" s="24" t="str">
        <x:v>CANONICAL / REPRESENTATIVE</x:v>
      </x:c>
      <x:c r="F29" s="24" t="str">
        <x:v>Prefab available</x:v>
      </x:c>
      <x:c r="G29" s="24" t="str">
        <x:v>Pending StoreInitial authored-scene review</x:v>
      </x:c>
      <x:c r="H29" s="24" t="str">
        <x:v>Assets/_Project/Prefabs/Architecture/BackroomPartition.prefab</x:v>
      </x:c>
      <x:c r="I29" s="24" t="str">
        <x:v>6afaabca3fc84ce43bce0d5a571f2141</x:v>
      </x:c>
      <x:c r="J29" s="24" t="str"/>
      <x:c r="K29" s="24" t="str">
        <x:v>VS-SCN-001;VS-SCN-002;VS-SCN-004</x:v>
      </x:c>
      <x:c r="L29" s="24" t="n">
        <x:v>16</x:v>
      </x:c>
      <x:c r="M29" s="24" t="str">
        <x:v>H6</x:v>
      </x:c>
      <x:c r="N29" s="24" t="str">
        <x:v>Scene capture + traversal + prefab validation</x:v>
      </x:c>
      <x:c r="O29" s="24" t="str">
        <x:v>BLD-016-POST</x:v>
      </x:c>
      <x:c r="P29" s="24" t="str">
        <x:v>Internal/Approved</x:v>
      </x:c>
      <x:c r="Q29" s="24" t="str"/>
      <x:c r="R29" s="24" t="str">
        <x:v>06_Arquitectura</x:v>
      </x:c>
      <x:c r="S29" s="24" t="str">
        <x:f>"T"&amp;IF(AND(H29&lt;&gt;"",I29&lt;&gt;"",K29&lt;&gt;"",N29&lt;&gt;"",P29&lt;&gt;""),5,IF(AND(H29&lt;&gt;"",K29&lt;&gt;"",G29&lt;&gt;""),4,IF(AND(H29&lt;&gt;"",K29&lt;&gt;""),3,IF(H29&lt;&gt;"",2,1))))</x:f>
        <x:v>T5</x:v>
      </x:c>
      <x:c r="T29" s="24" t="str">
        <x:v>VRM Games</x:v>
      </x:c>
      <x:c r="U29" s="24" t="str">
        <x:v>La arquitectura fija se autora en escena y no se reconstruye por bounds/nombres.</x:v>
      </x:c>
    </x:row>
    <x:row r="30" ht="34" customHeight="1">
      <x:c r="A30" s="24" t="str">
        <x:v>TRC-0026</x:v>
      </x:c>
      <x:c r="B30" s="24" t="str">
        <x:v>ARC-003</x:v>
      </x:c>
      <x:c r="C30" s="24" t="str">
        <x:v>Architecture</x:v>
      </x:c>
      <x:c r="D30" s="24" t="str">
        <x:v>CornerInner</x:v>
      </x:c>
      <x:c r="E30" s="24" t="str">
        <x:v>CANONICAL / REPRESENTATIVE</x:v>
      </x:c>
      <x:c r="F30" s="24" t="str">
        <x:v>Prefab available</x:v>
      </x:c>
      <x:c r="G30" s="24" t="str">
        <x:v>Pending StoreInitial authored-scene review</x:v>
      </x:c>
      <x:c r="H30" s="24" t="str">
        <x:v>Assets/_Project/Prefabs/Architecture/CornerInner.prefab</x:v>
      </x:c>
      <x:c r="I30" s="24" t="str">
        <x:v>8326de81cbe6b6c488aff3e01eab441a</x:v>
      </x:c>
      <x:c r="J30" s="24" t="str"/>
      <x:c r="K30" s="24" t="str">
        <x:v>VS-SCN-001;VS-SCN-002;VS-SCN-004</x:v>
      </x:c>
      <x:c r="L30" s="24" t="n">
        <x:v>16</x:v>
      </x:c>
      <x:c r="M30" s="24" t="str">
        <x:v>H6</x:v>
      </x:c>
      <x:c r="N30" s="24" t="str">
        <x:v>Scene capture + traversal + prefab validation</x:v>
      </x:c>
      <x:c r="O30" s="24" t="str">
        <x:v>BLD-016-POST</x:v>
      </x:c>
      <x:c r="P30" s="24" t="str">
        <x:v>Internal/Approved</x:v>
      </x:c>
      <x:c r="Q30" s="24" t="str"/>
      <x:c r="R30" s="24" t="str">
        <x:v>06_Arquitectura</x:v>
      </x:c>
      <x:c r="S30" s="24" t="str">
        <x:f>"T"&amp;IF(AND(H30&lt;&gt;"",I30&lt;&gt;"",K30&lt;&gt;"",N30&lt;&gt;"",P30&lt;&gt;""),5,IF(AND(H30&lt;&gt;"",K30&lt;&gt;"",G30&lt;&gt;""),4,IF(AND(H30&lt;&gt;"",K30&lt;&gt;""),3,IF(H30&lt;&gt;"",2,1))))</x:f>
        <x:v>T5</x:v>
      </x:c>
      <x:c r="T30" s="24" t="str">
        <x:v>VRM Games</x:v>
      </x:c>
      <x:c r="U30" s="24" t="str">
        <x:v>La arquitectura fija se autora en escena y no se reconstruye por bounds/nombres.</x:v>
      </x:c>
    </x:row>
    <x:row r="31" ht="34" customHeight="1">
      <x:c r="A31" s="24" t="str">
        <x:v>TRC-0027</x:v>
      </x:c>
      <x:c r="B31" s="24" t="str">
        <x:v>ARC-004</x:v>
      </x:c>
      <x:c r="C31" s="24" t="str">
        <x:v>Architecture</x:v>
      </x:c>
      <x:c r="D31" s="24" t="str">
        <x:v>CornerOuter</x:v>
      </x:c>
      <x:c r="E31" s="24" t="str">
        <x:v>CANONICAL / REPRESENTATIVE</x:v>
      </x:c>
      <x:c r="F31" s="24" t="str">
        <x:v>Prefab available</x:v>
      </x:c>
      <x:c r="G31" s="24" t="str">
        <x:v>Pending StoreInitial authored-scene review</x:v>
      </x:c>
      <x:c r="H31" s="24" t="str">
        <x:v>Assets/_Project/Prefabs/Architecture/CornerOuter.prefab</x:v>
      </x:c>
      <x:c r="I31" s="24" t="str">
        <x:v>86630f8bb9a3dd44eadcc3cb99d1c653</x:v>
      </x:c>
      <x:c r="J31" s="24" t="str"/>
      <x:c r="K31" s="24" t="str">
        <x:v>VS-SCN-001;VS-SCN-002;VS-SCN-004</x:v>
      </x:c>
      <x:c r="L31" s="24" t="n">
        <x:v>16</x:v>
      </x:c>
      <x:c r="M31" s="24" t="str">
        <x:v>H6</x:v>
      </x:c>
      <x:c r="N31" s="24" t="str">
        <x:v>Scene capture + traversal + prefab validation</x:v>
      </x:c>
      <x:c r="O31" s="24" t="str">
        <x:v>BLD-016-POST</x:v>
      </x:c>
      <x:c r="P31" s="24" t="str">
        <x:v>Internal/Approved</x:v>
      </x:c>
      <x:c r="Q31" s="24" t="str"/>
      <x:c r="R31" s="24" t="str">
        <x:v>06_Arquitectura</x:v>
      </x:c>
      <x:c r="S31" s="24" t="str">
        <x:f>"T"&amp;IF(AND(H31&lt;&gt;"",I31&lt;&gt;"",K31&lt;&gt;"",N31&lt;&gt;"",P31&lt;&gt;""),5,IF(AND(H31&lt;&gt;"",K31&lt;&gt;"",G31&lt;&gt;""),4,IF(AND(H31&lt;&gt;"",K31&lt;&gt;""),3,IF(H31&lt;&gt;"",2,1))))</x:f>
        <x:v>T5</x:v>
      </x:c>
      <x:c r="T31" s="24" t="str">
        <x:v>VRM Games</x:v>
      </x:c>
      <x:c r="U31" s="24" t="str">
        <x:v>La arquitectura fija se autora en escena y no se reconstruye por bounds/nombres.</x:v>
      </x:c>
    </x:row>
    <x:row r="32" ht="34" customHeight="1">
      <x:c r="A32" s="24" t="str">
        <x:v>TRC-0028</x:v>
      </x:c>
      <x:c r="B32" s="24" t="str">
        <x:v>ARC-005</x:v>
      </x:c>
      <x:c r="C32" s="24" t="str">
        <x:v>Architecture</x:v>
      </x:c>
      <x:c r="D32" s="24" t="str">
        <x:v>EndCap</x:v>
      </x:c>
      <x:c r="E32" s="24" t="str">
        <x:v>CANONICAL / REPRESENTATIVE</x:v>
      </x:c>
      <x:c r="F32" s="24" t="str">
        <x:v>Prefab available</x:v>
      </x:c>
      <x:c r="G32" s="24" t="str">
        <x:v>Pending StoreInitial authored-scene review</x:v>
      </x:c>
      <x:c r="H32" s="24" t="str">
        <x:v>Assets/_Project/Prefabs/Architecture/EndCap.prefab</x:v>
      </x:c>
      <x:c r="I32" s="24" t="str">
        <x:v>922447690a287bb40b0e0637e09b8d1c</x:v>
      </x:c>
      <x:c r="J32" s="24" t="str"/>
      <x:c r="K32" s="24" t="str">
        <x:v>VS-SCN-001;VS-SCN-002;VS-SCN-004</x:v>
      </x:c>
      <x:c r="L32" s="24" t="n">
        <x:v>16</x:v>
      </x:c>
      <x:c r="M32" s="24" t="str">
        <x:v>H6</x:v>
      </x:c>
      <x:c r="N32" s="24" t="str">
        <x:v>Scene capture + traversal + prefab validation</x:v>
      </x:c>
      <x:c r="O32" s="24" t="str">
        <x:v>BLD-016-POST</x:v>
      </x:c>
      <x:c r="P32" s="24" t="str">
        <x:v>Internal/Approved</x:v>
      </x:c>
      <x:c r="Q32" s="24" t="str"/>
      <x:c r="R32" s="24" t="str">
        <x:v>06_Arquitectura</x:v>
      </x:c>
      <x:c r="S32" s="24" t="str">
        <x:f>"T"&amp;IF(AND(H32&lt;&gt;"",I32&lt;&gt;"",K32&lt;&gt;"",N32&lt;&gt;"",P32&lt;&gt;""),5,IF(AND(H32&lt;&gt;"",K32&lt;&gt;"",G32&lt;&gt;""),4,IF(AND(H32&lt;&gt;"",K32&lt;&gt;""),3,IF(H32&lt;&gt;"",2,1))))</x:f>
        <x:v>T5</x:v>
      </x:c>
      <x:c r="T32" s="24" t="str">
        <x:v>VRM Games</x:v>
      </x:c>
      <x:c r="U32" s="24" t="str">
        <x:v>La arquitectura fija se autora en escena y no se reconstruye por bounds/nombres.</x:v>
      </x:c>
    </x:row>
    <x:row r="33" ht="34" customHeight="1">
      <x:c r="A33" s="24" t="str">
        <x:v>TRC-0029</x:v>
      </x:c>
      <x:c r="B33" s="24" t="str">
        <x:v>ARC-006</x:v>
      </x:c>
      <x:c r="C33" s="24" t="str">
        <x:v>Architecture</x:v>
      </x:c>
      <x:c r="D33" s="24" t="str">
        <x:v>EntranceThreshold</x:v>
      </x:c>
      <x:c r="E33" s="24" t="str">
        <x:v>CANONICAL / REPRESENTATIVE</x:v>
      </x:c>
      <x:c r="F33" s="24" t="str">
        <x:v>Prefab available</x:v>
      </x:c>
      <x:c r="G33" s="24" t="str">
        <x:v>Pending StoreInitial authored-scene review</x:v>
      </x:c>
      <x:c r="H33" s="24" t="str">
        <x:v>Assets/_Project/Prefabs/Architecture/EntranceThreshold.prefab</x:v>
      </x:c>
      <x:c r="I33" s="24" t="str">
        <x:v>b6fdade53717521498b183f5bae96305</x:v>
      </x:c>
      <x:c r="J33" s="24" t="str"/>
      <x:c r="K33" s="24" t="str">
        <x:v>VS-SCN-001;VS-SCN-002;VS-SCN-004</x:v>
      </x:c>
      <x:c r="L33" s="24" t="n">
        <x:v>16</x:v>
      </x:c>
      <x:c r="M33" s="24" t="str">
        <x:v>H6</x:v>
      </x:c>
      <x:c r="N33" s="24" t="str">
        <x:v>Scene capture + traversal + prefab validation</x:v>
      </x:c>
      <x:c r="O33" s="24" t="str">
        <x:v>BLD-016-POST</x:v>
      </x:c>
      <x:c r="P33" s="24" t="str">
        <x:v>Internal/Approved</x:v>
      </x:c>
      <x:c r="Q33" s="24" t="str"/>
      <x:c r="R33" s="24" t="str">
        <x:v>06_Arquitectura</x:v>
      </x:c>
      <x:c r="S33" s="24" t="str">
        <x:f>"T"&amp;IF(AND(H33&lt;&gt;"",I33&lt;&gt;"",K33&lt;&gt;"",N33&lt;&gt;"",P33&lt;&gt;""),5,IF(AND(H33&lt;&gt;"",K33&lt;&gt;"",G33&lt;&gt;""),4,IF(AND(H33&lt;&gt;"",K33&lt;&gt;""),3,IF(H33&lt;&gt;"",2,1))))</x:f>
        <x:v>T5</x:v>
      </x:c>
      <x:c r="T33" s="24" t="str">
        <x:v>VRM Games</x:v>
      </x:c>
      <x:c r="U33" s="24" t="str">
        <x:v>La arquitectura fija se autora en escena y no se reconstruye por bounds/nombres.</x:v>
      </x:c>
    </x:row>
    <x:row r="34" ht="34" customHeight="1">
      <x:c r="A34" s="24" t="str">
        <x:v>TRC-0030</x:v>
      </x:c>
      <x:c r="B34" s="24" t="str">
        <x:v>ARC-007</x:v>
      </x:c>
      <x:c r="C34" s="24" t="str">
        <x:v>Architecture</x:v>
      </x:c>
      <x:c r="D34" s="24" t="str">
        <x:v>Floor100</x:v>
      </x:c>
      <x:c r="E34" s="24" t="str">
        <x:v>CANONICAL / REPRESENTATIVE</x:v>
      </x:c>
      <x:c r="F34" s="24" t="str">
        <x:v>Prefab available</x:v>
      </x:c>
      <x:c r="G34" s="24" t="str">
        <x:v>Pending StoreInitial authored-scene review</x:v>
      </x:c>
      <x:c r="H34" s="24" t="str">
        <x:v>Assets/_Project/Prefabs/Architecture/Floor100.prefab</x:v>
      </x:c>
      <x:c r="I34" s="24" t="str">
        <x:v>94410c856fcbe9a44a4e0565b59a4810</x:v>
      </x:c>
      <x:c r="J34" s="24" t="str"/>
      <x:c r="K34" s="24" t="str">
        <x:v>VS-SCN-001;VS-SCN-002;VS-SCN-004</x:v>
      </x:c>
      <x:c r="L34" s="24" t="n">
        <x:v>16</x:v>
      </x:c>
      <x:c r="M34" s="24" t="str">
        <x:v>H6</x:v>
      </x:c>
      <x:c r="N34" s="24" t="str">
        <x:v>Scene capture + traversal + prefab validation</x:v>
      </x:c>
      <x:c r="O34" s="24" t="str">
        <x:v>BLD-016-POST</x:v>
      </x:c>
      <x:c r="P34" s="24" t="str">
        <x:v>Internal/Approved</x:v>
      </x:c>
      <x:c r="Q34" s="24" t="str"/>
      <x:c r="R34" s="24" t="str">
        <x:v>06_Arquitectura</x:v>
      </x:c>
      <x:c r="S34" s="24" t="str">
        <x:f>"T"&amp;IF(AND(H34&lt;&gt;"",I34&lt;&gt;"",K34&lt;&gt;"",N34&lt;&gt;"",P34&lt;&gt;""),5,IF(AND(H34&lt;&gt;"",K34&lt;&gt;"",G34&lt;&gt;""),4,IF(AND(H34&lt;&gt;"",K34&lt;&gt;""),3,IF(H34&lt;&gt;"",2,1))))</x:f>
        <x:v>T5</x:v>
      </x:c>
      <x:c r="T34" s="24" t="str">
        <x:v>VRM Games</x:v>
      </x:c>
      <x:c r="U34" s="24" t="str">
        <x:v>La arquitectura fija se autora en escena y no se reconstruye por bounds/nombres.</x:v>
      </x:c>
    </x:row>
    <x:row r="35" ht="34" customHeight="1">
      <x:c r="A35" s="24" t="str">
        <x:v>TRC-0031</x:v>
      </x:c>
      <x:c r="B35" s="24" t="str">
        <x:v>ARC-008</x:v>
      </x:c>
      <x:c r="C35" s="24" t="str">
        <x:v>Architecture</x:v>
      </x:c>
      <x:c r="D35" s="24" t="str">
        <x:v>Floor200</x:v>
      </x:c>
      <x:c r="E35" s="24" t="str">
        <x:v>CANONICAL / REPRESENTATIVE</x:v>
      </x:c>
      <x:c r="F35" s="24" t="str">
        <x:v>Prefab available</x:v>
      </x:c>
      <x:c r="G35" s="24" t="str">
        <x:v>Pending StoreInitial authored-scene review</x:v>
      </x:c>
      <x:c r="H35" s="24" t="str">
        <x:v>Assets/_Project/Prefabs/Architecture/Floor200.prefab</x:v>
      </x:c>
      <x:c r="I35" s="24" t="str">
        <x:v>07c25de10de27694080275bb6f53c0c5</x:v>
      </x:c>
      <x:c r="J35" s="24" t="str"/>
      <x:c r="K35" s="24" t="str">
        <x:v>VS-SCN-001;VS-SCN-002;VS-SCN-004</x:v>
      </x:c>
      <x:c r="L35" s="24" t="n">
        <x:v>16</x:v>
      </x:c>
      <x:c r="M35" s="24" t="str">
        <x:v>H6</x:v>
      </x:c>
      <x:c r="N35" s="24" t="str">
        <x:v>Scene capture + traversal + prefab validation</x:v>
      </x:c>
      <x:c r="O35" s="24" t="str">
        <x:v>BLD-016-POST</x:v>
      </x:c>
      <x:c r="P35" s="24" t="str">
        <x:v>Internal/Approved</x:v>
      </x:c>
      <x:c r="Q35" s="24" t="str"/>
      <x:c r="R35" s="24" t="str">
        <x:v>06_Arquitectura</x:v>
      </x:c>
      <x:c r="S35" s="24" t="str">
        <x:f>"T"&amp;IF(AND(H35&lt;&gt;"",I35&lt;&gt;"",K35&lt;&gt;"",N35&lt;&gt;"",P35&lt;&gt;""),5,IF(AND(H35&lt;&gt;"",K35&lt;&gt;"",G35&lt;&gt;""),4,IF(AND(H35&lt;&gt;"",K35&lt;&gt;""),3,IF(H35&lt;&gt;"",2,1))))</x:f>
        <x:v>T5</x:v>
      </x:c>
      <x:c r="T35" s="24" t="str">
        <x:v>VRM Games</x:v>
      </x:c>
      <x:c r="U35" s="24" t="str">
        <x:v>La arquitectura fija se autora en escena y no se reconstruye por bounds/nombres.</x:v>
      </x:c>
    </x:row>
    <x:row r="36" ht="34" customHeight="1">
      <x:c r="A36" s="24" t="str">
        <x:v>TRC-0032</x:v>
      </x:c>
      <x:c r="B36" s="24" t="str">
        <x:v>ARC-009</x:v>
      </x:c>
      <x:c r="C36" s="24" t="str">
        <x:v>Architecture</x:v>
      </x:c>
      <x:c r="D36" s="24" t="str">
        <x:v>FloorEdge100</x:v>
      </x:c>
      <x:c r="E36" s="24" t="str">
        <x:v>CANONICAL / REPRESENTATIVE</x:v>
      </x:c>
      <x:c r="F36" s="24" t="str">
        <x:v>Prefab available</x:v>
      </x:c>
      <x:c r="G36" s="24" t="str">
        <x:v>Pending StoreInitial authored-scene review</x:v>
      </x:c>
      <x:c r="H36" s="24" t="str">
        <x:v>Assets/_Project/Prefabs/Architecture/FloorEdge100.prefab</x:v>
      </x:c>
      <x:c r="I36" s="24" t="str">
        <x:v>a1632d5e73519f4448f13ec11c146a6e</x:v>
      </x:c>
      <x:c r="J36" s="24" t="str"/>
      <x:c r="K36" s="24" t="str">
        <x:v>VS-SCN-001;VS-SCN-002;VS-SCN-004</x:v>
      </x:c>
      <x:c r="L36" s="24" t="n">
        <x:v>16</x:v>
      </x:c>
      <x:c r="M36" s="24" t="str">
        <x:v>H6</x:v>
      </x:c>
      <x:c r="N36" s="24" t="str">
        <x:v>Scene capture + traversal + prefab validation</x:v>
      </x:c>
      <x:c r="O36" s="24" t="str">
        <x:v>BLD-016-POST</x:v>
      </x:c>
      <x:c r="P36" s="24" t="str">
        <x:v>Internal/Approved</x:v>
      </x:c>
      <x:c r="Q36" s="24" t="str"/>
      <x:c r="R36" s="24" t="str">
        <x:v>06_Arquitectura</x:v>
      </x:c>
      <x:c r="S36" s="24" t="str">
        <x:f>"T"&amp;IF(AND(H36&lt;&gt;"",I36&lt;&gt;"",K36&lt;&gt;"",N36&lt;&gt;"",P36&lt;&gt;""),5,IF(AND(H36&lt;&gt;"",K36&lt;&gt;"",G36&lt;&gt;""),4,IF(AND(H36&lt;&gt;"",K36&lt;&gt;""),3,IF(H36&lt;&gt;"",2,1))))</x:f>
        <x:v>T5</x:v>
      </x:c>
      <x:c r="T36" s="24" t="str">
        <x:v>VRM Games</x:v>
      </x:c>
      <x:c r="U36" s="24" t="str">
        <x:v>La arquitectura fija se autora en escena y no se reconstruye por bounds/nombres.</x:v>
      </x:c>
    </x:row>
    <x:row r="37" ht="34" customHeight="1">
      <x:c r="A37" s="24" t="str">
        <x:v>TRC-0033</x:v>
      </x:c>
      <x:c r="B37" s="24" t="str">
        <x:v>ARC-010</x:v>
      </x:c>
      <x:c r="C37" s="24" t="str">
        <x:v>Architecture</x:v>
      </x:c>
      <x:c r="D37" s="24" t="str">
        <x:v>FloorTransition100</x:v>
      </x:c>
      <x:c r="E37" s="24" t="str">
        <x:v>CANONICAL / REPRESENTATIVE</x:v>
      </x:c>
      <x:c r="F37" s="24" t="str">
        <x:v>Prefab available</x:v>
      </x:c>
      <x:c r="G37" s="24" t="str">
        <x:v>Pending StoreInitial authored-scene review</x:v>
      </x:c>
      <x:c r="H37" s="24" t="str">
        <x:v>Assets/_Project/Prefabs/Architecture/FloorTransition100.prefab</x:v>
      </x:c>
      <x:c r="I37" s="24" t="str">
        <x:v>e41ce63b6c5c01e4b9673778fd7f2336</x:v>
      </x:c>
      <x:c r="J37" s="24" t="str"/>
      <x:c r="K37" s="24" t="str">
        <x:v>VS-SCN-001;VS-SCN-002;VS-SCN-004</x:v>
      </x:c>
      <x:c r="L37" s="24" t="n">
        <x:v>16</x:v>
      </x:c>
      <x:c r="M37" s="24" t="str">
        <x:v>H6</x:v>
      </x:c>
      <x:c r="N37" s="24" t="str">
        <x:v>Scene capture + traversal + prefab validation</x:v>
      </x:c>
      <x:c r="O37" s="24" t="str">
        <x:v>BLD-016-POST</x:v>
      </x:c>
      <x:c r="P37" s="24" t="str">
        <x:v>Internal/Approved</x:v>
      </x:c>
      <x:c r="Q37" s="24" t="str"/>
      <x:c r="R37" s="24" t="str">
        <x:v>06_Arquitectura</x:v>
      </x:c>
      <x:c r="S37" s="24" t="str">
        <x:f>"T"&amp;IF(AND(H37&lt;&gt;"",I37&lt;&gt;"",K37&lt;&gt;"",N37&lt;&gt;"",P37&lt;&gt;""),5,IF(AND(H37&lt;&gt;"",K37&lt;&gt;"",G37&lt;&gt;""),4,IF(AND(H37&lt;&gt;"",K37&lt;&gt;""),3,IF(H37&lt;&gt;"",2,1))))</x:f>
        <x:v>T5</x:v>
      </x:c>
      <x:c r="T37" s="24" t="str">
        <x:v>VRM Games</x:v>
      </x:c>
      <x:c r="U37" s="24" t="str">
        <x:v>La arquitectura fija se autora en escena y no se reconstruye por bounds/nombres.</x:v>
      </x:c>
    </x:row>
    <x:row r="38" ht="34" customHeight="1">
      <x:c r="A38" s="24" t="str">
        <x:v>TRC-0034</x:v>
      </x:c>
      <x:c r="B38" s="24" t="str">
        <x:v>ARC-011</x:v>
      </x:c>
      <x:c r="C38" s="24" t="str">
        <x:v>Architecture</x:v>
      </x:c>
      <x:c r="D38" s="24" t="str">
        <x:v>LightRail100</x:v>
      </x:c>
      <x:c r="E38" s="24" t="str">
        <x:v>CANONICAL / REPRESENTATIVE</x:v>
      </x:c>
      <x:c r="F38" s="24" t="str">
        <x:v>Prefab available</x:v>
      </x:c>
      <x:c r="G38" s="24" t="str">
        <x:v>Pending StoreInitial authored-scene review</x:v>
      </x:c>
      <x:c r="H38" s="24" t="str">
        <x:v>Assets/_Project/Prefabs/Architecture/LightRail100.prefab</x:v>
      </x:c>
      <x:c r="I38" s="24" t="str">
        <x:v>071a65526166691439a82555489f480b</x:v>
      </x:c>
      <x:c r="J38" s="24" t="str"/>
      <x:c r="K38" s="24" t="str">
        <x:v>VS-SCN-001;VS-SCN-002;VS-SCN-004</x:v>
      </x:c>
      <x:c r="L38" s="24" t="n">
        <x:v>16</x:v>
      </x:c>
      <x:c r="M38" s="24" t="str">
        <x:v>H6</x:v>
      </x:c>
      <x:c r="N38" s="24" t="str">
        <x:v>Scene capture + traversal + prefab validation</x:v>
      </x:c>
      <x:c r="O38" s="24" t="str">
        <x:v>BLD-016-POST</x:v>
      </x:c>
      <x:c r="P38" s="24" t="str">
        <x:v>Internal/Approved</x:v>
      </x:c>
      <x:c r="Q38" s="24" t="str"/>
      <x:c r="R38" s="24" t="str">
        <x:v>06_Arquitectura</x:v>
      </x:c>
      <x:c r="S38" s="24" t="str">
        <x:f>"T"&amp;IF(AND(H38&lt;&gt;"",I38&lt;&gt;"",K38&lt;&gt;"",N38&lt;&gt;"",P38&lt;&gt;""),5,IF(AND(H38&lt;&gt;"",K38&lt;&gt;"",G38&lt;&gt;""),4,IF(AND(H38&lt;&gt;"",K38&lt;&gt;""),3,IF(H38&lt;&gt;"",2,1))))</x:f>
        <x:v>T5</x:v>
      </x:c>
      <x:c r="T38" s="24" t="str">
        <x:v>VRM Games</x:v>
      </x:c>
      <x:c r="U38" s="24" t="str">
        <x:v>La arquitectura fija se autora en escena y no se reconstruye por bounds/nombres.</x:v>
      </x:c>
    </x:row>
    <x:row r="39" ht="34" customHeight="1">
      <x:c r="A39" s="24" t="str">
        <x:v>TRC-0035</x:v>
      </x:c>
      <x:c r="B39" s="24" t="str">
        <x:v>ARC-012</x:v>
      </x:c>
      <x:c r="C39" s="24" t="str">
        <x:v>Architecture</x:v>
      </x:c>
      <x:c r="D39" s="24" t="str">
        <x:v>LightRail200</x:v>
      </x:c>
      <x:c r="E39" s="24" t="str">
        <x:v>CANONICAL / REPRESENTATIVE</x:v>
      </x:c>
      <x:c r="F39" s="24" t="str">
        <x:v>Prefab available</x:v>
      </x:c>
      <x:c r="G39" s="24" t="str">
        <x:v>Pending StoreInitial authored-scene review</x:v>
      </x:c>
      <x:c r="H39" s="24" t="str">
        <x:v>Assets/_Project/Prefabs/Architecture/LightRail200.prefab</x:v>
      </x:c>
      <x:c r="I39" s="24" t="str">
        <x:v>7166ef018508128479d9430b93d9f5fb</x:v>
      </x:c>
      <x:c r="J39" s="24" t="str"/>
      <x:c r="K39" s="24" t="str">
        <x:v>VS-SCN-001;VS-SCN-002;VS-SCN-004</x:v>
      </x:c>
      <x:c r="L39" s="24" t="n">
        <x:v>16</x:v>
      </x:c>
      <x:c r="M39" s="24" t="str">
        <x:v>H6</x:v>
      </x:c>
      <x:c r="N39" s="24" t="str">
        <x:v>Scene capture + traversal + prefab validation</x:v>
      </x:c>
      <x:c r="O39" s="24" t="str">
        <x:v>BLD-016-POST</x:v>
      </x:c>
      <x:c r="P39" s="24" t="str">
        <x:v>Internal/Approved</x:v>
      </x:c>
      <x:c r="Q39" s="24" t="str"/>
      <x:c r="R39" s="24" t="str">
        <x:v>06_Arquitectura</x:v>
      </x:c>
      <x:c r="S39" s="24" t="str">
        <x:f>"T"&amp;IF(AND(H39&lt;&gt;"",I39&lt;&gt;"",K39&lt;&gt;"",N39&lt;&gt;"",P39&lt;&gt;""),5,IF(AND(H39&lt;&gt;"",K39&lt;&gt;"",G39&lt;&gt;""),4,IF(AND(H39&lt;&gt;"",K39&lt;&gt;""),3,IF(H39&lt;&gt;"",2,1))))</x:f>
        <x:v>T5</x:v>
      </x:c>
      <x:c r="T39" s="24" t="str">
        <x:v>VRM Games</x:v>
      </x:c>
      <x:c r="U39" s="24" t="str">
        <x:v>La arquitectura fija se autora en escena y no se reconstruye por bounds/nombres.</x:v>
      </x:c>
    </x:row>
    <x:row r="40" ht="34" customHeight="1">
      <x:c r="A40" s="24" t="str">
        <x:v>TRC-0036</x:v>
      </x:c>
      <x:c r="B40" s="24" t="str">
        <x:v>ARC-013</x:v>
      </x:c>
      <x:c r="C40" s="24" t="str">
        <x:v>Architecture</x:v>
      </x:c>
      <x:c r="D40" s="24" t="str">
        <x:v>LinearPanel</x:v>
      </x:c>
      <x:c r="E40" s="24" t="str">
        <x:v>CANONICAL / REPRESENTATIVE</x:v>
      </x:c>
      <x:c r="F40" s="24" t="str">
        <x:v>Prefab available</x:v>
      </x:c>
      <x:c r="G40" s="24" t="str">
        <x:v>Pending StoreInitial authored-scene review</x:v>
      </x:c>
      <x:c r="H40" s="24" t="str">
        <x:v>Assets/_Project/Prefabs/Architecture/LinearPanel.prefab</x:v>
      </x:c>
      <x:c r="I40" s="24" t="str">
        <x:v>aa18e2f0d783d234c9e36dc461a8d40b</x:v>
      </x:c>
      <x:c r="J40" s="24" t="str"/>
      <x:c r="K40" s="24" t="str">
        <x:v>VS-SCN-001;VS-SCN-002;VS-SCN-004</x:v>
      </x:c>
      <x:c r="L40" s="24" t="n">
        <x:v>16</x:v>
      </x:c>
      <x:c r="M40" s="24" t="str">
        <x:v>H6</x:v>
      </x:c>
      <x:c r="N40" s="24" t="str">
        <x:v>Scene capture + traversal + prefab validation</x:v>
      </x:c>
      <x:c r="O40" s="24" t="str">
        <x:v>BLD-016-POST</x:v>
      </x:c>
      <x:c r="P40" s="24" t="str">
        <x:v>Internal/Approved</x:v>
      </x:c>
      <x:c r="Q40" s="24" t="str"/>
      <x:c r="R40" s="24" t="str">
        <x:v>06_Arquitectura</x:v>
      </x:c>
      <x:c r="S40" s="24" t="str">
        <x:f>"T"&amp;IF(AND(H40&lt;&gt;"",I40&lt;&gt;"",K40&lt;&gt;"",N40&lt;&gt;"",P40&lt;&gt;""),5,IF(AND(H40&lt;&gt;"",K40&lt;&gt;"",G40&lt;&gt;""),4,IF(AND(H40&lt;&gt;"",K40&lt;&gt;""),3,IF(H40&lt;&gt;"",2,1))))</x:f>
        <x:v>T5</x:v>
      </x:c>
      <x:c r="T40" s="24" t="str">
        <x:v>VRM Games</x:v>
      </x:c>
      <x:c r="U40" s="24" t="str">
        <x:v>La arquitectura fija se autora en escena y no se reconstruye por bounds/nombres.</x:v>
      </x:c>
    </x:row>
    <x:row r="41" ht="34" customHeight="1">
      <x:c r="A41" s="24" t="str">
        <x:v>TRC-0037</x:v>
      </x:c>
      <x:c r="B41" s="24" t="str">
        <x:v>ARC-014</x:v>
      </x:c>
      <x:c r="C41" s="24" t="str">
        <x:v>Architecture</x:v>
      </x:c>
      <x:c r="D41" s="24" t="str">
        <x:v>SpotLight</x:v>
      </x:c>
      <x:c r="E41" s="24" t="str">
        <x:v>CANONICAL / REPRESENTATIVE</x:v>
      </x:c>
      <x:c r="F41" s="24" t="str">
        <x:v>Prefab available</x:v>
      </x:c>
      <x:c r="G41" s="24" t="str">
        <x:v>Pending StoreInitial authored-scene review</x:v>
      </x:c>
      <x:c r="H41" s="24" t="str">
        <x:v>Assets/_Project/Prefabs/Architecture/SpotLight.prefab</x:v>
      </x:c>
      <x:c r="I41" s="24" t="str">
        <x:v>caf5768b2fea32a43917881247aac1bb</x:v>
      </x:c>
      <x:c r="J41" s="24" t="str"/>
      <x:c r="K41" s="24" t="str">
        <x:v>VS-SCN-001;VS-SCN-002;VS-SCN-004</x:v>
      </x:c>
      <x:c r="L41" s="24" t="n">
        <x:v>16</x:v>
      </x:c>
      <x:c r="M41" s="24" t="str">
        <x:v>H6</x:v>
      </x:c>
      <x:c r="N41" s="24" t="str">
        <x:v>Scene capture + traversal + prefab validation</x:v>
      </x:c>
      <x:c r="O41" s="24" t="str">
        <x:v>BLD-016-POST</x:v>
      </x:c>
      <x:c r="P41" s="24" t="str">
        <x:v>Internal/Approved</x:v>
      </x:c>
      <x:c r="Q41" s="24" t="str"/>
      <x:c r="R41" s="24" t="str">
        <x:v>06_Arquitectura</x:v>
      </x:c>
      <x:c r="S41" s="24" t="str">
        <x:f>"T"&amp;IF(AND(H41&lt;&gt;"",I41&lt;&gt;"",K41&lt;&gt;"",N41&lt;&gt;"",P41&lt;&gt;""),5,IF(AND(H41&lt;&gt;"",K41&lt;&gt;"",G41&lt;&gt;""),4,IF(AND(H41&lt;&gt;"",K41&lt;&gt;""),3,IF(H41&lt;&gt;"",2,1))))</x:f>
        <x:v>T5</x:v>
      </x:c>
      <x:c r="T41" s="24" t="str">
        <x:v>VRM Games</x:v>
      </x:c>
      <x:c r="U41" s="24" t="str">
        <x:v>La arquitectura fija se autora en escena y no se reconstruye por bounds/nombres.</x:v>
      </x:c>
    </x:row>
    <x:row r="42" ht="34" customHeight="1">
      <x:c r="A42" s="24" t="str">
        <x:v>TRC-0038</x:v>
      </x:c>
      <x:c r="B42" s="24" t="str">
        <x:v>ARC-015</x:v>
      </x:c>
      <x:c r="C42" s="24" t="str">
        <x:v>Architecture</x:v>
      </x:c>
      <x:c r="D42" s="24" t="str">
        <x:v>StoreGlassLeft</x:v>
      </x:c>
      <x:c r="E42" s="24" t="str">
        <x:v>CANONICAL / REPRESENTATIVE</x:v>
      </x:c>
      <x:c r="F42" s="24" t="str">
        <x:v>Prefab available</x:v>
      </x:c>
      <x:c r="G42" s="24" t="str">
        <x:v>Pending StoreInitial authored-scene review</x:v>
      </x:c>
      <x:c r="H42" s="24" t="str">
        <x:v>Assets/_Project/Prefabs/Architecture/StoreGlassLeft.prefab</x:v>
      </x:c>
      <x:c r="I42" s="24" t="str">
        <x:v>337b1f690a30fa94c8695ded302f762c</x:v>
      </x:c>
      <x:c r="J42" s="24" t="str"/>
      <x:c r="K42" s="24" t="str">
        <x:v>VS-SCN-001;VS-SCN-002;VS-SCN-004</x:v>
      </x:c>
      <x:c r="L42" s="24" t="n">
        <x:v>16</x:v>
      </x:c>
      <x:c r="M42" s="24" t="str">
        <x:v>H6</x:v>
      </x:c>
      <x:c r="N42" s="24" t="str">
        <x:v>Scene capture + traversal + prefab validation</x:v>
      </x:c>
      <x:c r="O42" s="24" t="str">
        <x:v>BLD-016-POST</x:v>
      </x:c>
      <x:c r="P42" s="24" t="str">
        <x:v>Internal/Approved</x:v>
      </x:c>
      <x:c r="Q42" s="24" t="str"/>
      <x:c r="R42" s="24" t="str">
        <x:v>06_Arquitectura</x:v>
      </x:c>
      <x:c r="S42" s="24" t="str">
        <x:f>"T"&amp;IF(AND(H42&lt;&gt;"",I42&lt;&gt;"",K42&lt;&gt;"",N42&lt;&gt;"",P42&lt;&gt;""),5,IF(AND(H42&lt;&gt;"",K42&lt;&gt;"",G42&lt;&gt;""),4,IF(AND(H42&lt;&gt;"",K42&lt;&gt;""),3,IF(H42&lt;&gt;"",2,1))))</x:f>
        <x:v>T5</x:v>
      </x:c>
      <x:c r="T42" s="24" t="str">
        <x:v>VRM Games</x:v>
      </x:c>
      <x:c r="U42" s="24" t="str">
        <x:v>La arquitectura fija se autora en escena y no se reconstruye por bounds/nombres.</x:v>
      </x:c>
    </x:row>
    <x:row r="43" ht="34" customHeight="1">
      <x:c r="A43" s="24" t="str">
        <x:v>TRC-0039</x:v>
      </x:c>
      <x:c r="B43" s="24" t="str">
        <x:v>ARC-016</x:v>
      </x:c>
      <x:c r="C43" s="24" t="str">
        <x:v>Architecture</x:v>
      </x:c>
      <x:c r="D43" s="24" t="str">
        <x:v>StoreGlassRight</x:v>
      </x:c>
      <x:c r="E43" s="24" t="str">
        <x:v>CANONICAL / REPRESENTATIVE</x:v>
      </x:c>
      <x:c r="F43" s="24" t="str">
        <x:v>Prefab available</x:v>
      </x:c>
      <x:c r="G43" s="24" t="str">
        <x:v>Pending StoreInitial authored-scene review</x:v>
      </x:c>
      <x:c r="H43" s="24" t="str">
        <x:v>Assets/_Project/Prefabs/Architecture/StoreGlassRight.prefab</x:v>
      </x:c>
      <x:c r="I43" s="24" t="str">
        <x:v>7ff16f46388b8294db98ef11934e85df</x:v>
      </x:c>
      <x:c r="J43" s="24" t="str"/>
      <x:c r="K43" s="24" t="str">
        <x:v>VS-SCN-001;VS-SCN-002;VS-SCN-004</x:v>
      </x:c>
      <x:c r="L43" s="24" t="n">
        <x:v>16</x:v>
      </x:c>
      <x:c r="M43" s="24" t="str">
        <x:v>H6</x:v>
      </x:c>
      <x:c r="N43" s="24" t="str">
        <x:v>Scene capture + traversal + prefab validation</x:v>
      </x:c>
      <x:c r="O43" s="24" t="str">
        <x:v>BLD-016-POST</x:v>
      </x:c>
      <x:c r="P43" s="24" t="str">
        <x:v>Internal/Approved</x:v>
      </x:c>
      <x:c r="Q43" s="24" t="str"/>
      <x:c r="R43" s="24" t="str">
        <x:v>06_Arquitectura</x:v>
      </x:c>
      <x:c r="S43" s="24" t="str">
        <x:f>"T"&amp;IF(AND(H43&lt;&gt;"",I43&lt;&gt;"",K43&lt;&gt;"",N43&lt;&gt;"",P43&lt;&gt;""),5,IF(AND(H43&lt;&gt;"",K43&lt;&gt;"",G43&lt;&gt;""),4,IF(AND(H43&lt;&gt;"",K43&lt;&gt;""),3,IF(H43&lt;&gt;"",2,1))))</x:f>
        <x:v>T5</x:v>
      </x:c>
      <x:c r="T43" s="24" t="str">
        <x:v>VRM Games</x:v>
      </x:c>
      <x:c r="U43" s="24" t="str">
        <x:v>La arquitectura fija se autora en escena y no se reconstruye por bounds/nombres.</x:v>
      </x:c>
    </x:row>
    <x:row r="44" ht="34" customHeight="1">
      <x:c r="A44" s="24" t="str">
        <x:v>TRC-0040</x:v>
      </x:c>
      <x:c r="B44" s="24" t="str">
        <x:v>ARC-017</x:v>
      </x:c>
      <x:c r="C44" s="24" t="str">
        <x:v>Architecture</x:v>
      </x:c>
      <x:c r="D44" s="24" t="str">
        <x:v>StoreSign</x:v>
      </x:c>
      <x:c r="E44" s="24" t="str">
        <x:v>CANONICAL / REPRESENTATIVE</x:v>
      </x:c>
      <x:c r="F44" s="24" t="str">
        <x:v>Prefab available</x:v>
      </x:c>
      <x:c r="G44" s="24" t="str">
        <x:v>Pending StoreInitial authored-scene review</x:v>
      </x:c>
      <x:c r="H44" s="24" t="str">
        <x:v>Assets/_Project/Prefabs/Architecture/StoreSign.prefab</x:v>
      </x:c>
      <x:c r="I44" s="24" t="str">
        <x:v>42a748f39d94c6944a776252ad5609d9</x:v>
      </x:c>
      <x:c r="J44" s="24" t="str"/>
      <x:c r="K44" s="24" t="str">
        <x:v>VS-SCN-001;VS-SCN-002;VS-SCN-004</x:v>
      </x:c>
      <x:c r="L44" s="24" t="n">
        <x:v>16</x:v>
      </x:c>
      <x:c r="M44" s="24" t="str">
        <x:v>H6</x:v>
      </x:c>
      <x:c r="N44" s="24" t="str">
        <x:v>Scene capture + traversal + prefab validation</x:v>
      </x:c>
      <x:c r="O44" s="24" t="str">
        <x:v>BLD-016-POST</x:v>
      </x:c>
      <x:c r="P44" s="24" t="str">
        <x:v>Internal/Approved</x:v>
      </x:c>
      <x:c r="Q44" s="24" t="str"/>
      <x:c r="R44" s="24" t="str">
        <x:v>06_Arquitectura</x:v>
      </x:c>
      <x:c r="S44" s="24" t="str">
        <x:f>"T"&amp;IF(AND(H44&lt;&gt;"",I44&lt;&gt;"",K44&lt;&gt;"",N44&lt;&gt;"",P44&lt;&gt;""),5,IF(AND(H44&lt;&gt;"",K44&lt;&gt;"",G44&lt;&gt;""),4,IF(AND(H44&lt;&gt;"",K44&lt;&gt;""),3,IF(H44&lt;&gt;"",2,1))))</x:f>
        <x:v>T5</x:v>
      </x:c>
      <x:c r="T44" s="24" t="str">
        <x:v>VRM Games</x:v>
      </x:c>
      <x:c r="U44" s="24" t="str">
        <x:v>La arquitectura fija se autora en escena y no se reconstruye por bounds/nombres.</x:v>
      </x:c>
    </x:row>
    <x:row r="45" ht="34" customHeight="1">
      <x:c r="A45" s="24" t="str">
        <x:v>TRC-0041</x:v>
      </x:c>
      <x:c r="B45" s="24" t="str">
        <x:v>ARC-018</x:v>
      </x:c>
      <x:c r="C45" s="24" t="str">
        <x:v>Architecture</x:v>
      </x:c>
      <x:c r="D45" s="24" t="str">
        <x:v>StorefrontFacade</x:v>
      </x:c>
      <x:c r="E45" s="24" t="str">
        <x:v>CANONICAL / REPRESENTATIVE</x:v>
      </x:c>
      <x:c r="F45" s="24" t="str">
        <x:v>Prefab available</x:v>
      </x:c>
      <x:c r="G45" s="24" t="str">
        <x:v>Pending StoreInitial authored-scene review</x:v>
      </x:c>
      <x:c r="H45" s="24" t="str">
        <x:v>Assets/_Project/Prefabs/Architecture/StorefrontFacade.prefab</x:v>
      </x:c>
      <x:c r="I45" s="24" t="str">
        <x:v>73650c15b9c87b74aadb4120a3ea7cb1</x:v>
      </x:c>
      <x:c r="J45" s="24" t="str"/>
      <x:c r="K45" s="24" t="str">
        <x:v>VS-SCN-001;VS-SCN-002;VS-SCN-004</x:v>
      </x:c>
      <x:c r="L45" s="24" t="n">
        <x:v>16</x:v>
      </x:c>
      <x:c r="M45" s="24" t="str">
        <x:v>H6</x:v>
      </x:c>
      <x:c r="N45" s="24" t="str">
        <x:v>Scene capture + traversal + prefab validation</x:v>
      </x:c>
      <x:c r="O45" s="24" t="str">
        <x:v>BLD-016-POST</x:v>
      </x:c>
      <x:c r="P45" s="24" t="str">
        <x:v>Internal/Approved</x:v>
      </x:c>
      <x:c r="Q45" s="24" t="str"/>
      <x:c r="R45" s="24" t="str">
        <x:v>06_Arquitectura</x:v>
      </x:c>
      <x:c r="S45" s="24" t="str">
        <x:f>"T"&amp;IF(AND(H45&lt;&gt;"",I45&lt;&gt;"",K45&lt;&gt;"",N45&lt;&gt;"",P45&lt;&gt;""),5,IF(AND(H45&lt;&gt;"",K45&lt;&gt;"",G45&lt;&gt;""),4,IF(AND(H45&lt;&gt;"",K45&lt;&gt;""),3,IF(H45&lt;&gt;"",2,1))))</x:f>
        <x:v>T5</x:v>
      </x:c>
      <x:c r="T45" s="24" t="str">
        <x:v>VRM Games</x:v>
      </x:c>
      <x:c r="U45" s="24" t="str">
        <x:v>La arquitectura fija se autora en escena y no se reconstruye por bounds/nombres.</x:v>
      </x:c>
    </x:row>
    <x:row r="46" ht="34" customHeight="1">
      <x:c r="A46" s="24" t="str">
        <x:v>TRC-0042</x:v>
      </x:c>
      <x:c r="B46" s="24" t="str">
        <x:v>ARC-019</x:v>
      </x:c>
      <x:c r="C46" s="24" t="str">
        <x:v>Architecture</x:v>
      </x:c>
      <x:c r="D46" s="24" t="str">
        <x:v>Wall100</x:v>
      </x:c>
      <x:c r="E46" s="24" t="str">
        <x:v>CANONICAL / REPRESENTATIVE</x:v>
      </x:c>
      <x:c r="F46" s="24" t="str">
        <x:v>Prefab available</x:v>
      </x:c>
      <x:c r="G46" s="24" t="str">
        <x:v>Pending StoreInitial authored-scene review</x:v>
      </x:c>
      <x:c r="H46" s="24" t="str">
        <x:v>Assets/_Project/Prefabs/Architecture/Wall100.prefab</x:v>
      </x:c>
      <x:c r="I46" s="24" t="str">
        <x:v>7b005cd40ae5fc64fbaed6ea5b1c53c6</x:v>
      </x:c>
      <x:c r="J46" s="24" t="str"/>
      <x:c r="K46" s="24" t="str">
        <x:v>VS-SCN-001;VS-SCN-002;VS-SCN-004</x:v>
      </x:c>
      <x:c r="L46" s="24" t="n">
        <x:v>16</x:v>
      </x:c>
      <x:c r="M46" s="24" t="str">
        <x:v>H6</x:v>
      </x:c>
      <x:c r="N46" s="24" t="str">
        <x:v>Scene capture + traversal + prefab validation</x:v>
      </x:c>
      <x:c r="O46" s="24" t="str">
        <x:v>BLD-016-POST</x:v>
      </x:c>
      <x:c r="P46" s="24" t="str">
        <x:v>Internal/Approved</x:v>
      </x:c>
      <x:c r="Q46" s="24" t="str">
        <x:v>Wall/door review</x:v>
      </x:c>
      <x:c r="R46" s="24" t="str">
        <x:v>06_Arquitectura</x:v>
      </x:c>
      <x:c r="S46" s="24" t="str">
        <x:f>"T"&amp;IF(AND(H46&lt;&gt;"",I46&lt;&gt;"",K46&lt;&gt;"",N46&lt;&gt;"",P46&lt;&gt;""),5,IF(AND(H46&lt;&gt;"",K46&lt;&gt;"",G46&lt;&gt;""),4,IF(AND(H46&lt;&gt;"",K46&lt;&gt;""),3,IF(H46&lt;&gt;"",2,1))))</x:f>
        <x:v>T5</x:v>
      </x:c>
      <x:c r="T46" s="24" t="str">
        <x:v>VRM Games</x:v>
      </x:c>
      <x:c r="U46" s="24" t="str">
        <x:v>La arquitectura fija se autora en escena y no se reconstruye por bounds/nombres.</x:v>
      </x:c>
    </x:row>
    <x:row r="47" ht="34" customHeight="1">
      <x:c r="A47" s="24" t="str">
        <x:v>TRC-0043</x:v>
      </x:c>
      <x:c r="B47" s="24" t="str">
        <x:v>ARC-020</x:v>
      </x:c>
      <x:c r="C47" s="24" t="str">
        <x:v>Architecture</x:v>
      </x:c>
      <x:c r="D47" s="24" t="str">
        <x:v>Wall200</x:v>
      </x:c>
      <x:c r="E47" s="24" t="str">
        <x:v>CANONICAL / REPRESENTATIVE</x:v>
      </x:c>
      <x:c r="F47" s="24" t="str">
        <x:v>Prefab available</x:v>
      </x:c>
      <x:c r="G47" s="24" t="str">
        <x:v>Pending StoreInitial authored-scene review</x:v>
      </x:c>
      <x:c r="H47" s="24" t="str">
        <x:v>Assets/_Project/Prefabs/Architecture/Wall200.prefab</x:v>
      </x:c>
      <x:c r="I47" s="24" t="str">
        <x:v>219f7c28a70241e45939b64cb1acf65e</x:v>
      </x:c>
      <x:c r="J47" s="24" t="str"/>
      <x:c r="K47" s="24" t="str">
        <x:v>VS-SCN-001;VS-SCN-002;VS-SCN-004</x:v>
      </x:c>
      <x:c r="L47" s="24" t="n">
        <x:v>16</x:v>
      </x:c>
      <x:c r="M47" s="24" t="str">
        <x:v>H6</x:v>
      </x:c>
      <x:c r="N47" s="24" t="str">
        <x:v>Scene capture + traversal + prefab validation</x:v>
      </x:c>
      <x:c r="O47" s="24" t="str">
        <x:v>BLD-016-POST</x:v>
      </x:c>
      <x:c r="P47" s="24" t="str">
        <x:v>Internal/Approved</x:v>
      </x:c>
      <x:c r="Q47" s="24" t="str">
        <x:v>Wall/door review</x:v>
      </x:c>
      <x:c r="R47" s="24" t="str">
        <x:v>06_Arquitectura</x:v>
      </x:c>
      <x:c r="S47" s="24" t="str">
        <x:f>"T"&amp;IF(AND(H47&lt;&gt;"",I47&lt;&gt;"",K47&lt;&gt;"",N47&lt;&gt;"",P47&lt;&gt;""),5,IF(AND(H47&lt;&gt;"",K47&lt;&gt;"",G47&lt;&gt;""),4,IF(AND(H47&lt;&gt;"",K47&lt;&gt;""),3,IF(H47&lt;&gt;"",2,1))))</x:f>
        <x:v>T5</x:v>
      </x:c>
      <x:c r="T47" s="24" t="str">
        <x:v>VRM Games</x:v>
      </x:c>
      <x:c r="U47" s="24" t="str">
        <x:v>La arquitectura fija se autora en escena y no se reconstruye por bounds/nombres.</x:v>
      </x:c>
    </x:row>
    <x:row r="48" ht="34" customHeight="1">
      <x:c r="A48" s="24" t="str">
        <x:v>TRC-0044</x:v>
      </x:c>
      <x:c r="B48" s="24" t="str">
        <x:v>ARC-021</x:v>
      </x:c>
      <x:c r="C48" s="24" t="str">
        <x:v>Architecture</x:v>
      </x:c>
      <x:c r="D48" s="24" t="str">
        <x:v>Wall400</x:v>
      </x:c>
      <x:c r="E48" s="24" t="str">
        <x:v>CANONICAL / REPRESENTATIVE</x:v>
      </x:c>
      <x:c r="F48" s="24" t="str">
        <x:v>Prefab available</x:v>
      </x:c>
      <x:c r="G48" s="24" t="str">
        <x:v>Pending StoreInitial authored-scene review</x:v>
      </x:c>
      <x:c r="H48" s="24" t="str">
        <x:v>Assets/_Project/Prefabs/Architecture/Wall400.prefab</x:v>
      </x:c>
      <x:c r="I48" s="24" t="str">
        <x:v>663f1a1d303a53e4eb6308dfc89a0bbf</x:v>
      </x:c>
      <x:c r="J48" s="24" t="str"/>
      <x:c r="K48" s="24" t="str">
        <x:v>VS-SCN-001;VS-SCN-002;VS-SCN-004</x:v>
      </x:c>
      <x:c r="L48" s="24" t="n">
        <x:v>16</x:v>
      </x:c>
      <x:c r="M48" s="24" t="str">
        <x:v>H6</x:v>
      </x:c>
      <x:c r="N48" s="24" t="str">
        <x:v>Scene capture + traversal + prefab validation</x:v>
      </x:c>
      <x:c r="O48" s="24" t="str">
        <x:v>BLD-016-POST</x:v>
      </x:c>
      <x:c r="P48" s="24" t="str">
        <x:v>Internal/Approved</x:v>
      </x:c>
      <x:c r="Q48" s="24" t="str">
        <x:v>Wall/door review</x:v>
      </x:c>
      <x:c r="R48" s="24" t="str">
        <x:v>06_Arquitectura</x:v>
      </x:c>
      <x:c r="S48" s="24" t="str">
        <x:f>"T"&amp;IF(AND(H48&lt;&gt;"",I48&lt;&gt;"",K48&lt;&gt;"",N48&lt;&gt;"",P48&lt;&gt;""),5,IF(AND(H48&lt;&gt;"",K48&lt;&gt;"",G48&lt;&gt;""),4,IF(AND(H48&lt;&gt;"",K48&lt;&gt;""),3,IF(H48&lt;&gt;"",2,1))))</x:f>
        <x:v>T5</x:v>
      </x:c>
      <x:c r="T48" s="24" t="str">
        <x:v>VRM Games</x:v>
      </x:c>
      <x:c r="U48" s="24" t="str">
        <x:v>La arquitectura fija se autora en escena y no se reconstruye por bounds/nombres.</x:v>
      </x:c>
    </x:row>
    <x:row r="49" ht="34" customHeight="1">
      <x:c r="A49" s="24" t="str">
        <x:v>TRC-0045</x:v>
      </x:c>
      <x:c r="B49" s="24" t="str">
        <x:v>ARC-022</x:v>
      </x:c>
      <x:c r="C49" s="24" t="str">
        <x:v>Architecture</x:v>
      </x:c>
      <x:c r="D49" s="24" t="str">
        <x:v>ZoneBackroom</x:v>
      </x:c>
      <x:c r="E49" s="24" t="str">
        <x:v>CANONICAL / REPRESENTATIVE</x:v>
      </x:c>
      <x:c r="F49" s="24" t="str">
        <x:v>Prefab available</x:v>
      </x:c>
      <x:c r="G49" s="24" t="str">
        <x:v>Pending StoreInitial authored-scene review</x:v>
      </x:c>
      <x:c r="H49" s="24" t="str">
        <x:v>Assets/_Project/Prefabs/Architecture/ZoneBackroom.prefab</x:v>
      </x:c>
      <x:c r="I49" s="24" t="str">
        <x:v>cdb9e17a4b7c43a4492d0ac23ae81da2</x:v>
      </x:c>
      <x:c r="J49" s="24" t="str"/>
      <x:c r="K49" s="24" t="str">
        <x:v>VS-SCN-001;VS-SCN-002;VS-SCN-004</x:v>
      </x:c>
      <x:c r="L49" s="24" t="n">
        <x:v>16</x:v>
      </x:c>
      <x:c r="M49" s="24" t="str">
        <x:v>H6</x:v>
      </x:c>
      <x:c r="N49" s="24" t="str">
        <x:v>Scene capture + traversal + prefab validation</x:v>
      </x:c>
      <x:c r="O49" s="24" t="str">
        <x:v>BLD-016-POST</x:v>
      </x:c>
      <x:c r="P49" s="24" t="str">
        <x:v>Internal/Approved</x:v>
      </x:c>
      <x:c r="Q49" s="24" t="str"/>
      <x:c r="R49" s="24" t="str">
        <x:v>06_Arquitectura</x:v>
      </x:c>
      <x:c r="S49" s="24" t="str">
        <x:f>"T"&amp;IF(AND(H49&lt;&gt;"",I49&lt;&gt;"",K49&lt;&gt;"",N49&lt;&gt;"",P49&lt;&gt;""),5,IF(AND(H49&lt;&gt;"",K49&lt;&gt;"",G49&lt;&gt;""),4,IF(AND(H49&lt;&gt;"",K49&lt;&gt;""),3,IF(H49&lt;&gt;"",2,1))))</x:f>
        <x:v>T5</x:v>
      </x:c>
      <x:c r="T49" s="24" t="str">
        <x:v>VRM Games</x:v>
      </x:c>
      <x:c r="U49" s="24" t="str">
        <x:v>La arquitectura fija se autora en escena y no se reconstruye por bounds/nombres.</x:v>
      </x:c>
    </x:row>
    <x:row r="50" ht="34" customHeight="1">
      <x:c r="A50" s="24" t="str">
        <x:v>TRC-0046</x:v>
      </x:c>
      <x:c r="B50" s="24" t="str">
        <x:v>ARC-023</x:v>
      </x:c>
      <x:c r="C50" s="24" t="str">
        <x:v>Architecture</x:v>
      </x:c>
      <x:c r="D50" s="24" t="str">
        <x:v>ZoneCheckout</x:v>
      </x:c>
      <x:c r="E50" s="24" t="str">
        <x:v>CANONICAL / REPRESENTATIVE</x:v>
      </x:c>
      <x:c r="F50" s="24" t="str">
        <x:v>Prefab available</x:v>
      </x:c>
      <x:c r="G50" s="24" t="str">
        <x:v>Pending StoreInitial authored-scene review</x:v>
      </x:c>
      <x:c r="H50" s="24" t="str">
        <x:v>Assets/_Project/Prefabs/Architecture/ZoneCheckout.prefab</x:v>
      </x:c>
      <x:c r="I50" s="24" t="str">
        <x:v>c974ec151bb118a408c386f9e8bbb4dd</x:v>
      </x:c>
      <x:c r="J50" s="24" t="str"/>
      <x:c r="K50" s="24" t="str">
        <x:v>VS-SCN-001;VS-SCN-002;VS-SCN-004</x:v>
      </x:c>
      <x:c r="L50" s="24" t="n">
        <x:v>16</x:v>
      </x:c>
      <x:c r="M50" s="24" t="str">
        <x:v>H6</x:v>
      </x:c>
      <x:c r="N50" s="24" t="str">
        <x:v>Scene capture + traversal + prefab validation</x:v>
      </x:c>
      <x:c r="O50" s="24" t="str">
        <x:v>BLD-016-POST</x:v>
      </x:c>
      <x:c r="P50" s="24" t="str">
        <x:v>Internal/Approved</x:v>
      </x:c>
      <x:c r="Q50" s="24" t="str"/>
      <x:c r="R50" s="24" t="str">
        <x:v>06_Arquitectura</x:v>
      </x:c>
      <x:c r="S50" s="24" t="str">
        <x:f>"T"&amp;IF(AND(H50&lt;&gt;"",I50&lt;&gt;"",K50&lt;&gt;"",N50&lt;&gt;"",P50&lt;&gt;""),5,IF(AND(H50&lt;&gt;"",K50&lt;&gt;"",G50&lt;&gt;""),4,IF(AND(H50&lt;&gt;"",K50&lt;&gt;""),3,IF(H50&lt;&gt;"",2,1))))</x:f>
        <x:v>T5</x:v>
      </x:c>
      <x:c r="T50" s="24" t="str">
        <x:v>VRM Games</x:v>
      </x:c>
      <x:c r="U50" s="24" t="str">
        <x:v>La arquitectura fija se autora en escena y no se reconstruye por bounds/nombres.</x:v>
      </x:c>
    </x:row>
    <x:row r="51" ht="34" customHeight="1">
      <x:c r="A51" s="24" t="str">
        <x:v>TRC-0047</x:v>
      </x:c>
      <x:c r="B51" s="24" t="str">
        <x:v>ARC-024</x:v>
      </x:c>
      <x:c r="C51" s="24" t="str">
        <x:v>Architecture</x:v>
      </x:c>
      <x:c r="D51" s="24" t="str">
        <x:v>ZoneReceiving</x:v>
      </x:c>
      <x:c r="E51" s="24" t="str">
        <x:v>CANONICAL / REPRESENTATIVE</x:v>
      </x:c>
      <x:c r="F51" s="24" t="str">
        <x:v>Prefab available</x:v>
      </x:c>
      <x:c r="G51" s="24" t="str">
        <x:v>Pending StoreInitial authored-scene review</x:v>
      </x:c>
      <x:c r="H51" s="24" t="str">
        <x:v>Assets/_Project/Prefabs/Architecture/ZoneReceiving.prefab</x:v>
      </x:c>
      <x:c r="I51" s="24" t="str">
        <x:v>c6b702ea4697f7244bb3c227e8531b22</x:v>
      </x:c>
      <x:c r="J51" s="24" t="str"/>
      <x:c r="K51" s="24" t="str">
        <x:v>VS-SCN-001;VS-SCN-002;VS-SCN-004</x:v>
      </x:c>
      <x:c r="L51" s="24" t="n">
        <x:v>16</x:v>
      </x:c>
      <x:c r="M51" s="24" t="str">
        <x:v>H6</x:v>
      </x:c>
      <x:c r="N51" s="24" t="str">
        <x:v>Scene capture + traversal + prefab validation</x:v>
      </x:c>
      <x:c r="O51" s="24" t="str">
        <x:v>BLD-016-POST</x:v>
      </x:c>
      <x:c r="P51" s="24" t="str">
        <x:v>Internal/Approved</x:v>
      </x:c>
      <x:c r="Q51" s="24" t="str"/>
      <x:c r="R51" s="24" t="str">
        <x:v>06_Arquitectura</x:v>
      </x:c>
      <x:c r="S51" s="24" t="str">
        <x:f>"T"&amp;IF(AND(H51&lt;&gt;"",I51&lt;&gt;"",K51&lt;&gt;"",N51&lt;&gt;"",P51&lt;&gt;""),5,IF(AND(H51&lt;&gt;"",K51&lt;&gt;"",G51&lt;&gt;""),4,IF(AND(H51&lt;&gt;"",K51&lt;&gt;""),3,IF(H51&lt;&gt;"",2,1))))</x:f>
        <x:v>T5</x:v>
      </x:c>
      <x:c r="T51" s="24" t="str">
        <x:v>VRM Games</x:v>
      </x:c>
      <x:c r="U51" s="24" t="str">
        <x:v>La arquitectura fija se autora en escena y no se reconstruye por bounds/nombres.</x:v>
      </x:c>
    </x:row>
    <x:row r="52" ht="34" customHeight="1">
      <x:c r="A52" s="24" t="str">
        <x:v>TRC-0048</x:v>
      </x:c>
      <x:c r="B52" s="24" t="str">
        <x:v>CHR-PFB-001</x:v>
      </x:c>
      <x:c r="C52" s="24" t="str">
        <x:v>Character</x:v>
      </x:c>
      <x:c r="D52" s="24" t="str">
        <x:v>Customer</x:v>
      </x:c>
      <x:c r="E52" s="24" t="str">
        <x:v>REPRESENTATIVE / PHASE 1</x:v>
      </x:c>
      <x:c r="F52" s="24" t="str">
        <x:v>Prefab available</x:v>
      </x:c>
      <x:c r="G52" s="24" t="str">
        <x:v>Visual/runtime verification pending</x:v>
      </x:c>
      <x:c r="H52" s="24" t="str">
        <x:v>Assets/_Project/Prefabs/Characters/Customer.prefab</x:v>
      </x:c>
      <x:c r="I52" s="24" t="str">
        <x:v>4162f604c6cdaeb4b371b15c22db37d8</x:v>
      </x:c>
      <x:c r="J52" s="24" t="str">
        <x:v>RepresentativePrefabs / profile-dependent</x:v>
      </x:c>
      <x:c r="K52" s="24" t="str">
        <x:v>VS-ART-001;VS-PER-001</x:v>
      </x:c>
      <x:c r="L52" s="24" t="n">
        <x:v>16</x:v>
      </x:c>
      <x:c r="M52" s="24" t="str">
        <x:v>H6</x:v>
      </x:c>
      <x:c r="N52" s="24" t="str"/>
      <x:c r="O52" s="24" t="str">
        <x:v>BLD-016-POST</x:v>
      </x:c>
      <x:c r="P52" s="24" t="str">
        <x:v>Internal/Approved</x:v>
      </x:c>
      <x:c r="Q52" s="24" t="str">
        <x:v>Sí</x:v>
      </x:c>
      <x:c r="R52" s="24" t="str">
        <x:v>07_Personajes</x:v>
      </x:c>
      <x:c r="S52" s="24" t="str">
        <x:f>"T"&amp;IF(AND(H52&lt;&gt;"",I52&lt;&gt;"",K52&lt;&gt;"",N52&lt;&gt;"",P52&lt;&gt;""),5,IF(AND(H52&lt;&gt;"",K52&lt;&gt;"",G52&lt;&gt;""),4,IF(AND(H52&lt;&gt;"",K52&lt;&gt;""),3,IF(H52&lt;&gt;"",2,1))))</x:f>
        <x:v>T4</x:v>
      </x:c>
      <x:c r="T52" s="24" t="str">
        <x:v>VRM Games</x:v>
      </x:c>
      <x:c r="U52" s="24" t="str">
        <x:v>Prefab actual no demuestra representación final de lanzamiento.</x:v>
      </x:c>
    </x:row>
    <x:row r="53" ht="34" customHeight="1">
      <x:c r="A53" s="24" t="str">
        <x:v>TRC-0049</x:v>
      </x:c>
      <x:c r="B53" s="24" t="str">
        <x:v>CHR-PFB-002</x:v>
      </x:c>
      <x:c r="C53" s="24" t="str">
        <x:v>Character</x:v>
      </x:c>
      <x:c r="D53" s="24" t="str">
        <x:v>Employee</x:v>
      </x:c>
      <x:c r="E53" s="24" t="str">
        <x:v>REPRESENTATIVE / PHASE 1</x:v>
      </x:c>
      <x:c r="F53" s="24" t="str">
        <x:v>Prefab available</x:v>
      </x:c>
      <x:c r="G53" s="24" t="str">
        <x:v>Visual/runtime verification pending</x:v>
      </x:c>
      <x:c r="H53" s="24" t="str">
        <x:v>Assets/_Project/Prefabs/Characters/Employee.prefab</x:v>
      </x:c>
      <x:c r="I53" s="24" t="str">
        <x:v>4b1411d15857a987fb399929287686ee</x:v>
      </x:c>
      <x:c r="J53" s="24" t="str">
        <x:v>RepresentativePrefabs / profile-dependent</x:v>
      </x:c>
      <x:c r="K53" s="24" t="str">
        <x:v>VS-ART-001;VS-PER-001</x:v>
      </x:c>
      <x:c r="L53" s="24" t="n">
        <x:v>16</x:v>
      </x:c>
      <x:c r="M53" s="24" t="str">
        <x:v>H6</x:v>
      </x:c>
      <x:c r="N53" s="24" t="str"/>
      <x:c r="O53" s="24" t="str">
        <x:v>BLD-016-POST</x:v>
      </x:c>
      <x:c r="P53" s="24" t="str">
        <x:v>Internal/Approved</x:v>
      </x:c>
      <x:c r="Q53" s="24" t="str">
        <x:v>Sí</x:v>
      </x:c>
      <x:c r="R53" s="24" t="str">
        <x:v>07_Personajes</x:v>
      </x:c>
      <x:c r="S53" s="24" t="str">
        <x:f>"T"&amp;IF(AND(H53&lt;&gt;"",I53&lt;&gt;"",K53&lt;&gt;"",N53&lt;&gt;"",P53&lt;&gt;""),5,IF(AND(H53&lt;&gt;"",K53&lt;&gt;"",G53&lt;&gt;""),4,IF(AND(H53&lt;&gt;"",K53&lt;&gt;""),3,IF(H53&lt;&gt;"",2,1))))</x:f>
        <x:v>T4</x:v>
      </x:c>
      <x:c r="T53" s="24" t="str">
        <x:v>VRM Games</x:v>
      </x:c>
      <x:c r="U53" s="24" t="str">
        <x:v>Prefab actual no demuestra representación final de lanzamiento.</x:v>
      </x:c>
    </x:row>
    <x:row r="54" ht="34" customHeight="1">
      <x:c r="A54" s="24" t="str">
        <x:v>TRC-0050</x:v>
      </x:c>
      <x:c r="B54" s="24" t="str">
        <x:v>CHR-PFB-003</x:v>
      </x:c>
      <x:c r="C54" s="24" t="str">
        <x:v>Character</x:v>
      </x:c>
      <x:c r="D54" s="24" t="str">
        <x:v>Supplier</x:v>
      </x:c>
      <x:c r="E54" s="24" t="str">
        <x:v>REPRESENTATIVE / PHASE 1</x:v>
      </x:c>
      <x:c r="F54" s="24" t="str">
        <x:v>Prefab available</x:v>
      </x:c>
      <x:c r="G54" s="24" t="str">
        <x:v>Visual/runtime verification pending</x:v>
      </x:c>
      <x:c r="H54" s="24" t="str">
        <x:v>Assets/_Project/Prefabs/Characters/Supplier.prefab</x:v>
      </x:c>
      <x:c r="I54" s="24" t="str">
        <x:v>9b81dd090fe288d9a27264622bb20fa4</x:v>
      </x:c>
      <x:c r="J54" s="24" t="str">
        <x:v>RepresentativePrefabs / profile-dependent</x:v>
      </x:c>
      <x:c r="K54" s="24" t="str">
        <x:v>VS-ART-001;VS-PER-001</x:v>
      </x:c>
      <x:c r="L54" s="24" t="n">
        <x:v>16</x:v>
      </x:c>
      <x:c r="M54" s="24" t="str">
        <x:v>H6</x:v>
      </x:c>
      <x:c r="N54" s="24" t="str"/>
      <x:c r="O54" s="24" t="str">
        <x:v>BLD-016-POST</x:v>
      </x:c>
      <x:c r="P54" s="24" t="str">
        <x:v>Internal/Approved</x:v>
      </x:c>
      <x:c r="Q54" s="24" t="str">
        <x:v>Sí</x:v>
      </x:c>
      <x:c r="R54" s="24" t="str">
        <x:v>07_Personajes</x:v>
      </x:c>
      <x:c r="S54" s="24" t="str">
        <x:f>"T"&amp;IF(AND(H54&lt;&gt;"",I54&lt;&gt;"",K54&lt;&gt;"",N54&lt;&gt;"",P54&lt;&gt;""),5,IF(AND(H54&lt;&gt;"",K54&lt;&gt;"",G54&lt;&gt;""),4,IF(AND(H54&lt;&gt;"",K54&lt;&gt;""),3,IF(H54&lt;&gt;"",2,1))))</x:f>
        <x:v>T4</x:v>
      </x:c>
      <x:c r="T54" s="24" t="str">
        <x:v>VRM Games</x:v>
      </x:c>
      <x:c r="U54" s="24" t="str">
        <x:v>Prefab actual no demuestra representación final de lanzamiento.</x:v>
      </x:c>
    </x:row>
    <x:row r="55" ht="34" customHeight="1">
      <x:c r="A55" s="24" t="str">
        <x:v>TRC-0051</x:v>
      </x:c>
      <x:c r="B55" s="24" t="str">
        <x:v>CHR-PRF-001</x:v>
      </x:c>
      <x:c r="C55" s="24" t="str">
        <x:v>Character</x:v>
      </x:c>
      <x:c r="D55" s="24" t="str">
        <x:v>customer.casual_browser.name</x:v>
      </x:c>
      <x:c r="E55" s="24" t="str">
        <x:v>TECHNICAL / ACTIVE</x:v>
      </x:c>
      <x:c r="F55" s="24" t="str">
        <x:v>Data integrated</x:v>
      </x:c>
      <x:c r="G55" s="24" t="str">
        <x:v>Customer tests PASS</x:v>
      </x:c>
      <x:c r="H55" s="24" t="str">
        <x:v>Assets/_Project/Data/Customers/Technical/CC_CustomerProfile_CasualBrowser.asset</x:v>
      </x:c>
      <x:c r="I55" s="24" t="str">
        <x:v>e5261bc6a55b4ea59352e5f66b46bc29</x:v>
      </x:c>
      <x:c r="J55" s="24" t="str">
        <x:v>CC_CustomerProfileCatalog_Technical.asset</x:v>
      </x:c>
      <x:c r="K55" s="24" t="str">
        <x:v>VS-CUS-001;VS-CUS-002</x:v>
      </x:c>
      <x:c r="L55" s="24" t="n">
        <x:v>9</x:v>
      </x:c>
      <x:c r="M55" s="24" t="str">
        <x:v>H6</x:v>
      </x:c>
      <x:c r="N55" s="24" t="str"/>
      <x:c r="O55" s="24" t="str"/>
      <x:c r="P55" s="24" t="str">
        <x:v>Internal</x:v>
      </x:c>
      <x:c r="Q55" s="24" t="str">
        <x:v>Sí</x:v>
      </x:c>
      <x:c r="R55" s="24" t="str">
        <x:v>07_Personajes</x:v>
      </x:c>
      <x:c r="S55" s="24" t="str">
        <x:f>"T"&amp;IF(AND(H55&lt;&gt;"",I55&lt;&gt;"",K55&lt;&gt;"",N55&lt;&gt;"",P55&lt;&gt;""),5,IF(AND(H55&lt;&gt;"",K55&lt;&gt;"",G55&lt;&gt;""),4,IF(AND(H55&lt;&gt;"",K55&lt;&gt;""),3,IF(H55&lt;&gt;"",2,1))))</x:f>
        <x:v>T4</x:v>
      </x:c>
      <x:c r="T55" s="24" t="str">
        <x:v>VRM Games</x:v>
      </x:c>
      <x:c r="U55" s="24" t="str">
        <x:v>weight=5; patience=45.0s</x:v>
      </x:c>
    </x:row>
    <x:row r="56" ht="34" customHeight="1">
      <x:c r="A56" s="24" t="str">
        <x:v>TRC-0052</x:v>
      </x:c>
      <x:c r="B56" s="24" t="str">
        <x:v>CHR-PRF-002</x:v>
      </x:c>
      <x:c r="C56" s="24" t="str">
        <x:v>Character</x:v>
      </x:c>
      <x:c r="D56" s="24" t="str">
        <x:v>customer.collector.name</x:v>
      </x:c>
      <x:c r="E56" s="24" t="str">
        <x:v>TECHNICAL / ACTIVE</x:v>
      </x:c>
      <x:c r="F56" s="24" t="str">
        <x:v>Data integrated</x:v>
      </x:c>
      <x:c r="G56" s="24" t="str">
        <x:v>Customer tests PASS</x:v>
      </x:c>
      <x:c r="H56" s="24" t="str">
        <x:v>Assets/_Project/Data/Customers/Technical/CC_CustomerProfile_Collector.asset</x:v>
      </x:c>
      <x:c r="I56" s="24" t="str">
        <x:v>b7f01ec48a7f4583971ef1dc7af1b959</x:v>
      </x:c>
      <x:c r="J56" s="24" t="str">
        <x:v>CC_CustomerProfileCatalog_Technical.asset</x:v>
      </x:c>
      <x:c r="K56" s="24" t="str">
        <x:v>VS-CUS-001;VS-CUS-002</x:v>
      </x:c>
      <x:c r="L56" s="24" t="n">
        <x:v>9</x:v>
      </x:c>
      <x:c r="M56" s="24" t="str">
        <x:v>H6</x:v>
      </x:c>
      <x:c r="N56" s="24" t="str"/>
      <x:c r="O56" s="24" t="str"/>
      <x:c r="P56" s="24" t="str">
        <x:v>Internal</x:v>
      </x:c>
      <x:c r="Q56" s="24" t="str">
        <x:v>Sí</x:v>
      </x:c>
      <x:c r="R56" s="24" t="str">
        <x:v>07_Personajes</x:v>
      </x:c>
      <x:c r="S56" s="24" t="str">
        <x:f>"T"&amp;IF(AND(H56&lt;&gt;"",I56&lt;&gt;"",K56&lt;&gt;"",N56&lt;&gt;"",P56&lt;&gt;""),5,IF(AND(H56&lt;&gt;"",K56&lt;&gt;"",G56&lt;&gt;""),4,IF(AND(H56&lt;&gt;"",K56&lt;&gt;""),3,IF(H56&lt;&gt;"",2,1))))</x:f>
        <x:v>T4</x:v>
      </x:c>
      <x:c r="T56" s="24" t="str">
        <x:v>VRM Games</x:v>
      </x:c>
      <x:c r="U56" s="24" t="str">
        <x:v>weight=2; patience=60.0s</x:v>
      </x:c>
    </x:row>
    <x:row r="57" ht="34" customHeight="1">
      <x:c r="A57" s="24" t="str">
        <x:v>TRC-0053</x:v>
      </x:c>
      <x:c r="B57" s="24" t="str">
        <x:v>CHR-PRF-003</x:v>
      </x:c>
      <x:c r="C57" s="24" t="str">
        <x:v>Character</x:v>
      </x:c>
      <x:c r="D57" s="24" t="str">
        <x:v>customer.focused_buyer.name</x:v>
      </x:c>
      <x:c r="E57" s="24" t="str">
        <x:v>TECHNICAL / ACTIVE</x:v>
      </x:c>
      <x:c r="F57" s="24" t="str">
        <x:v>Data integrated</x:v>
      </x:c>
      <x:c r="G57" s="24" t="str">
        <x:v>Customer tests PASS</x:v>
      </x:c>
      <x:c r="H57" s="24" t="str">
        <x:v>Assets/_Project/Data/Customers/Technical/CC_CustomerProfile_FocusedBuyer.asset</x:v>
      </x:c>
      <x:c r="I57" s="24" t="str">
        <x:v>8cf292b4749a4552a94eeee32cd5e324</x:v>
      </x:c>
      <x:c r="J57" s="24" t="str">
        <x:v>CC_CustomerProfileCatalog_Technical.asset</x:v>
      </x:c>
      <x:c r="K57" s="24" t="str">
        <x:v>VS-CUS-001;VS-CUS-002</x:v>
      </x:c>
      <x:c r="L57" s="24" t="n">
        <x:v>9</x:v>
      </x:c>
      <x:c r="M57" s="24" t="str">
        <x:v>H6</x:v>
      </x:c>
      <x:c r="N57" s="24" t="str"/>
      <x:c r="O57" s="24" t="str"/>
      <x:c r="P57" s="24" t="str">
        <x:v>Internal</x:v>
      </x:c>
      <x:c r="Q57" s="24" t="str">
        <x:v>Sí</x:v>
      </x:c>
      <x:c r="R57" s="24" t="str">
        <x:v>07_Personajes</x:v>
      </x:c>
      <x:c r="S57" s="24" t="str">
        <x:f>"T"&amp;IF(AND(H57&lt;&gt;"",I57&lt;&gt;"",K57&lt;&gt;"",N57&lt;&gt;"",P57&lt;&gt;""),5,IF(AND(H57&lt;&gt;"",K57&lt;&gt;"",G57&lt;&gt;""),4,IF(AND(H57&lt;&gt;"",K57&lt;&gt;""),3,IF(H57&lt;&gt;"",2,1))))</x:f>
        <x:v>T4</x:v>
      </x:c>
      <x:c r="T57" s="24" t="str">
        <x:v>VRM Games</x:v>
      </x:c>
      <x:c r="U57" s="24" t="str">
        <x:v>weight=4; patience=30.0s</x:v>
      </x:c>
    </x:row>
    <x:row r="58" ht="34" customHeight="1">
      <x:c r="A58" s="24" t="str">
        <x:v>TRC-0054</x:v>
      </x:c>
      <x:c r="B58" s="24" t="str">
        <x:v>CHR-PRF-004</x:v>
      </x:c>
      <x:c r="C58" s="24" t="str">
        <x:v>Character</x:v>
      </x:c>
      <x:c r="D58" s="24" t="str">
        <x:v>customer.impatient_visitor.name</x:v>
      </x:c>
      <x:c r="E58" s="24" t="str">
        <x:v>TECHNICAL / ACTIVE</x:v>
      </x:c>
      <x:c r="F58" s="24" t="str">
        <x:v>Data integrated</x:v>
      </x:c>
      <x:c r="G58" s="24" t="str">
        <x:v>Customer tests PASS</x:v>
      </x:c>
      <x:c r="H58" s="24" t="str">
        <x:v>Assets/_Project/Data/Customers/Technical/CC_CustomerProfile_ImpatientVisitor.asset</x:v>
      </x:c>
      <x:c r="I58" s="24" t="str">
        <x:v>bce2c4fc2afb44848fb74572ae1a2676</x:v>
      </x:c>
      <x:c r="J58" s="24" t="str">
        <x:v>CC_CustomerProfileCatalog_Technical.asset</x:v>
      </x:c>
      <x:c r="K58" s="24" t="str">
        <x:v>VS-CUS-001;VS-CUS-002</x:v>
      </x:c>
      <x:c r="L58" s="24" t="n">
        <x:v>9</x:v>
      </x:c>
      <x:c r="M58" s="24" t="str">
        <x:v>H6</x:v>
      </x:c>
      <x:c r="N58" s="24" t="str"/>
      <x:c r="O58" s="24" t="str"/>
      <x:c r="P58" s="24" t="str">
        <x:v>Internal</x:v>
      </x:c>
      <x:c r="Q58" s="24" t="str">
        <x:v>Sí</x:v>
      </x:c>
      <x:c r="R58" s="24" t="str">
        <x:v>07_Personajes</x:v>
      </x:c>
      <x:c r="S58" s="24" t="str">
        <x:f>"T"&amp;IF(AND(H58&lt;&gt;"",I58&lt;&gt;"",K58&lt;&gt;"",N58&lt;&gt;"",P58&lt;&gt;""),5,IF(AND(H58&lt;&gt;"",K58&lt;&gt;"",G58&lt;&gt;""),4,IF(AND(H58&lt;&gt;"",K58&lt;&gt;""),3,IF(H58&lt;&gt;"",2,1))))</x:f>
        <x:v>T4</x:v>
      </x:c>
      <x:c r="T58" s="24" t="str">
        <x:v>VRM Games</x:v>
      </x:c>
      <x:c r="U58" s="24" t="str">
        <x:v>weight=3; patience=15.0s</x:v>
      </x:c>
    </x:row>
    <x:row r="59" ht="34" customHeight="1">
      <x:c r="A59" s="24" t="str">
        <x:v>TRC-0055</x:v>
      </x:c>
      <x:c r="B59" s="24" t="str">
        <x:v>CHR-HIS-001</x:v>
      </x:c>
      <x:c r="C59" s="24" t="str">
        <x:v>Character</x:v>
      </x:c>
      <x:c r="D59" s="24" t="str">
        <x:v>Comprador decidido</x:v>
      </x:c>
      <x:c r="E59" s="24" t="str">
        <x:v>HISTORICAL</x:v>
      </x:c>
      <x:c r="F59" s="24" t="str">
        <x:v>Not mapped</x:v>
      </x:c>
      <x:c r="G59" s="24" t="str">
        <x:v>N/A / pending</x:v>
      </x:c>
      <x:c r="H59" s="24" t="str"/>
      <x:c r="I59" s="24" t="str"/>
      <x:c r="J59" s="24" t="str"/>
      <x:c r="K59" s="24" t="str">
        <x:v>VS-ART-001</x:v>
      </x:c>
      <x:c r="L59" s="24" t="str">
        <x:v>Future/16</x:v>
      </x:c>
      <x:c r="M59" s="24" t="str">
        <x:v>H6</x:v>
      </x:c>
      <x:c r="N59" s="24" t="str"/>
      <x:c r="O59" s="24" t="str"/>
      <x:c r="P59" s="24" t="str">
        <x:v>Internal concept</x:v>
      </x:c>
      <x:c r="Q59" s="24" t="str">
        <x:v>Sí</x:v>
      </x:c>
      <x:c r="R59" s="24" t="str">
        <x:v>07_Personajes</x:v>
      </x:c>
      <x:c r="S59" s="24" t="str">
        <x:f>"T"&amp;IF(AND(H59&lt;&gt;"",I59&lt;&gt;"",K59&lt;&gt;"",N59&lt;&gt;"",P59&lt;&gt;""),5,IF(AND(H59&lt;&gt;"",K59&lt;&gt;"",G59&lt;&gt;""),4,IF(AND(H59&lt;&gt;"",K59&lt;&gt;""),3,IF(H59&lt;&gt;"",2,1))))</x:f>
        <x:v>T1</x:v>
      </x:c>
      <x:c r="T59" s="24" t="str">
        <x:v>VRM Games</x:v>
      </x:c>
      <x:c r="U59" s="24" t="str">
        <x:v>Historical v0.1/v0.2</x:v>
      </x:c>
    </x:row>
    <x:row r="60" ht="34" customHeight="1">
      <x:c r="A60" s="24" t="str">
        <x:v>TRC-0056</x:v>
      </x:c>
      <x:c r="B60" s="24" t="str">
        <x:v>CHR-HIS-002</x:v>
      </x:c>
      <x:c r="C60" s="24" t="str">
        <x:v>Character</x:v>
      </x:c>
      <x:c r="D60" s="24" t="str">
        <x:v>Explorador sensible al precio</x:v>
      </x:c>
      <x:c r="E60" s="24" t="str">
        <x:v>HISTORICAL</x:v>
      </x:c>
      <x:c r="F60" s="24" t="str">
        <x:v>Not mapped</x:v>
      </x:c>
      <x:c r="G60" s="24" t="str">
        <x:v>N/A / pending</x:v>
      </x:c>
      <x:c r="H60" s="24" t="str"/>
      <x:c r="I60" s="24" t="str"/>
      <x:c r="J60" s="24" t="str"/>
      <x:c r="K60" s="24" t="str">
        <x:v>VS-ART-001</x:v>
      </x:c>
      <x:c r="L60" s="24" t="str">
        <x:v>Future/16</x:v>
      </x:c>
      <x:c r="M60" s="24" t="str">
        <x:v>H6</x:v>
      </x:c>
      <x:c r="N60" s="24" t="str"/>
      <x:c r="O60" s="24" t="str"/>
      <x:c r="P60" s="24" t="str">
        <x:v>Internal concept</x:v>
      </x:c>
      <x:c r="Q60" s="24" t="str">
        <x:v>Sí</x:v>
      </x:c>
      <x:c r="R60" s="24" t="str">
        <x:v>07_Personajes</x:v>
      </x:c>
      <x:c r="S60" s="24" t="str">
        <x:f>"T"&amp;IF(AND(H60&lt;&gt;"",I60&lt;&gt;"",K60&lt;&gt;"",N60&lt;&gt;"",P60&lt;&gt;""),5,IF(AND(H60&lt;&gt;"",K60&lt;&gt;"",G60&lt;&gt;""),4,IF(AND(H60&lt;&gt;"",K60&lt;&gt;""),3,IF(H60&lt;&gt;"",2,1))))</x:f>
        <x:v>T1</x:v>
      </x:c>
      <x:c r="T60" s="24" t="str">
        <x:v>VRM Games</x:v>
      </x:c>
      <x:c r="U60" s="24" t="str">
        <x:v>Historical v0.1/v0.2</x:v>
      </x:c>
    </x:row>
    <x:row r="61" ht="34" customHeight="1">
      <x:c r="A61" s="24" t="str">
        <x:v>TRC-0057</x:v>
      </x:c>
      <x:c r="B61" s="24" t="str">
        <x:v>CHR-HIS-003</x:v>
      </x:c>
      <x:c r="C61" s="24" t="str">
        <x:v>Character</x:v>
      </x:c>
      <x:c r="D61" s="24" t="str">
        <x:v>Coleccionista</x:v>
      </x:c>
      <x:c r="E61" s="24" t="str">
        <x:v>HISTORICAL</x:v>
      </x:c>
      <x:c r="F61" s="24" t="str">
        <x:v>Not mapped</x:v>
      </x:c>
      <x:c r="G61" s="24" t="str">
        <x:v>N/A / pending</x:v>
      </x:c>
      <x:c r="H61" s="24" t="str"/>
      <x:c r="I61" s="24" t="str"/>
      <x:c r="J61" s="24" t="str"/>
      <x:c r="K61" s="24" t="str">
        <x:v>VS-ART-001</x:v>
      </x:c>
      <x:c r="L61" s="24" t="str">
        <x:v>Future/16</x:v>
      </x:c>
      <x:c r="M61" s="24" t="str">
        <x:v>H6</x:v>
      </x:c>
      <x:c r="N61" s="24" t="str"/>
      <x:c r="O61" s="24" t="str"/>
      <x:c r="P61" s="24" t="str">
        <x:v>Internal concept</x:v>
      </x:c>
      <x:c r="Q61" s="24" t="str">
        <x:v>Sí</x:v>
      </x:c>
      <x:c r="R61" s="24" t="str">
        <x:v>07_Personajes</x:v>
      </x:c>
      <x:c r="S61" s="24" t="str">
        <x:f>"T"&amp;IF(AND(H61&lt;&gt;"",I61&lt;&gt;"",K61&lt;&gt;"",N61&lt;&gt;"",P61&lt;&gt;""),5,IF(AND(H61&lt;&gt;"",K61&lt;&gt;"",G61&lt;&gt;""),4,IF(AND(H61&lt;&gt;"",K61&lt;&gt;""),3,IF(H61&lt;&gt;"",2,1))))</x:f>
        <x:v>T1</x:v>
      </x:c>
      <x:c r="T61" s="24" t="str">
        <x:v>VRM Games</x:v>
      </x:c>
      <x:c r="U61" s="24" t="str">
        <x:v>Historical v0.1/v0.2</x:v>
      </x:c>
    </x:row>
    <x:row r="62" ht="34" customHeight="1">
      <x:c r="A62" s="24" t="str">
        <x:v>TRC-0058</x:v>
      </x:c>
      <x:c r="B62" s="24" t="str">
        <x:v>CHR-HIS-004</x:v>
      </x:c>
      <x:c r="C62" s="24" t="str">
        <x:v>Character</x:v>
      </x:c>
      <x:c r="D62" s="24" t="str">
        <x:v>Comprador de regalo</x:v>
      </x:c>
      <x:c r="E62" s="24" t="str">
        <x:v>HISTORICAL</x:v>
      </x:c>
      <x:c r="F62" s="24" t="str">
        <x:v>Not mapped</x:v>
      </x:c>
      <x:c r="G62" s="24" t="str">
        <x:v>N/A / pending</x:v>
      </x:c>
      <x:c r="H62" s="24" t="str"/>
      <x:c r="I62" s="24" t="str"/>
      <x:c r="J62" s="24" t="str"/>
      <x:c r="K62" s="24" t="str">
        <x:v>VS-ART-001</x:v>
      </x:c>
      <x:c r="L62" s="24" t="str">
        <x:v>Future/16</x:v>
      </x:c>
      <x:c r="M62" s="24" t="str">
        <x:v>H6</x:v>
      </x:c>
      <x:c r="N62" s="24" t="str"/>
      <x:c r="O62" s="24" t="str"/>
      <x:c r="P62" s="24" t="str">
        <x:v>Internal concept</x:v>
      </x:c>
      <x:c r="Q62" s="24" t="str">
        <x:v>Sí</x:v>
      </x:c>
      <x:c r="R62" s="24" t="str">
        <x:v>07_Personajes</x:v>
      </x:c>
      <x:c r="S62" s="24" t="str">
        <x:f>"T"&amp;IF(AND(H62&lt;&gt;"",I62&lt;&gt;"",K62&lt;&gt;"",N62&lt;&gt;"",P62&lt;&gt;""),5,IF(AND(H62&lt;&gt;"",K62&lt;&gt;"",G62&lt;&gt;""),4,IF(AND(H62&lt;&gt;"",K62&lt;&gt;""),3,IF(H62&lt;&gt;"",2,1))))</x:f>
        <x:v>T1</x:v>
      </x:c>
      <x:c r="T62" s="24" t="str">
        <x:v>VRM Games</x:v>
      </x:c>
      <x:c r="U62" s="24" t="str">
        <x:v>Historical v0.2</x:v>
      </x:c>
    </x:row>
    <x:row r="63" ht="34" customHeight="1">
      <x:c r="A63" s="24" t="str">
        <x:v>TRC-0059</x:v>
      </x:c>
      <x:c r="B63" s="24" t="str">
        <x:v>CHR-HIS-005</x:v>
      </x:c>
      <x:c r="C63" s="24" t="str">
        <x:v>Character</x:v>
      </x:c>
      <x:c r="D63" s="24" t="str">
        <x:v>Cliente impaciente</x:v>
      </x:c>
      <x:c r="E63" s="24" t="str">
        <x:v>HISTORICAL</x:v>
      </x:c>
      <x:c r="F63" s="24" t="str">
        <x:v>Not mapped</x:v>
      </x:c>
      <x:c r="G63" s="24" t="str">
        <x:v>N/A / pending</x:v>
      </x:c>
      <x:c r="H63" s="24" t="str"/>
      <x:c r="I63" s="24" t="str"/>
      <x:c r="J63" s="24" t="str"/>
      <x:c r="K63" s="24" t="str">
        <x:v>VS-ART-001</x:v>
      </x:c>
      <x:c r="L63" s="24" t="str">
        <x:v>Future/16</x:v>
      </x:c>
      <x:c r="M63" s="24" t="str">
        <x:v>H6</x:v>
      </x:c>
      <x:c r="N63" s="24" t="str"/>
      <x:c r="O63" s="24" t="str"/>
      <x:c r="P63" s="24" t="str">
        <x:v>Internal concept</x:v>
      </x:c>
      <x:c r="Q63" s="24" t="str">
        <x:v>Sí</x:v>
      </x:c>
      <x:c r="R63" s="24" t="str">
        <x:v>07_Personajes</x:v>
      </x:c>
      <x:c r="S63" s="24" t="str">
        <x:f>"T"&amp;IF(AND(H63&lt;&gt;"",I63&lt;&gt;"",K63&lt;&gt;"",N63&lt;&gt;"",P63&lt;&gt;""),5,IF(AND(H63&lt;&gt;"",K63&lt;&gt;"",G63&lt;&gt;""),4,IF(AND(H63&lt;&gt;"",K63&lt;&gt;""),3,IF(H63&lt;&gt;"",2,1))))</x:f>
        <x:v>T1</x:v>
      </x:c>
      <x:c r="T63" s="24" t="str">
        <x:v>VRM Games</x:v>
      </x:c>
      <x:c r="U63" s="24" t="str">
        <x:v>Historical v0.2</x:v>
      </x:c>
    </x:row>
    <x:row r="64" ht="34" customHeight="1">
      <x:c r="A64" s="24" t="str">
        <x:v>TRC-0060</x:v>
      </x:c>
      <x:c r="B64" s="24" t="str">
        <x:v>CHR-HIS-006</x:v>
      </x:c>
      <x:c r="C64" s="24" t="str">
        <x:v>Character</x:v>
      </x:c>
      <x:c r="D64" s="24" t="str">
        <x:v>Dependiente VRM</x:v>
      </x:c>
      <x:c r="E64" s="24" t="str">
        <x:v>CONCEPT</x:v>
      </x:c>
      <x:c r="F64" s="24" t="str">
        <x:v>Not mapped</x:v>
      </x:c>
      <x:c r="G64" s="24" t="str">
        <x:v>N/A / pending</x:v>
      </x:c>
      <x:c r="H64" s="24" t="str"/>
      <x:c r="I64" s="24" t="str"/>
      <x:c r="J64" s="24" t="str"/>
      <x:c r="K64" s="24" t="str">
        <x:v>VS-ART-001</x:v>
      </x:c>
      <x:c r="L64" s="24" t="str">
        <x:v>Future/16</x:v>
      </x:c>
      <x:c r="M64" s="24" t="str">
        <x:v>H6</x:v>
      </x:c>
      <x:c r="N64" s="24" t="str"/>
      <x:c r="O64" s="24" t="str"/>
      <x:c r="P64" s="24" t="str">
        <x:v>Internal concept</x:v>
      </x:c>
      <x:c r="Q64" s="24" t="str">
        <x:v>Sí</x:v>
      </x:c>
      <x:c r="R64" s="24" t="str">
        <x:v>07_Personajes</x:v>
      </x:c>
      <x:c r="S64" s="24" t="str">
        <x:f>"T"&amp;IF(AND(H64&lt;&gt;"",I64&lt;&gt;"",K64&lt;&gt;"",N64&lt;&gt;"",P64&lt;&gt;""),5,IF(AND(H64&lt;&gt;"",K64&lt;&gt;"",G64&lt;&gt;""),4,IF(AND(H64&lt;&gt;"",K64&lt;&gt;""),3,IF(H64&lt;&gt;"",2,1))))</x:f>
        <x:v>T1</x:v>
      </x:c>
      <x:c r="T64" s="24" t="str">
        <x:v>VRM Games</x:v>
      </x:c>
      <x:c r="U64" s="24" t="str">
        <x:v>Art direction current</x:v>
      </x:c>
    </x:row>
    <x:row r="65" ht="34" customHeight="1">
      <x:c r="A65" s="24" t="str">
        <x:v>TRC-0061</x:v>
      </x:c>
      <x:c r="B65" s="24" t="str">
        <x:v>CHR-HIS-007</x:v>
      </x:c>
      <x:c r="C65" s="24" t="str">
        <x:v>Character</x:v>
      </x:c>
      <x:c r="D65" s="24" t="str">
        <x:v>Representante proveedor</x:v>
      </x:c>
      <x:c r="E65" s="24" t="str">
        <x:v>CONCEPT</x:v>
      </x:c>
      <x:c r="F65" s="24" t="str">
        <x:v>Not mapped</x:v>
      </x:c>
      <x:c r="G65" s="24" t="str">
        <x:v>N/A / pending</x:v>
      </x:c>
      <x:c r="H65" s="24" t="str"/>
      <x:c r="I65" s="24" t="str"/>
      <x:c r="J65" s="24" t="str"/>
      <x:c r="K65" s="24" t="str">
        <x:v>VS-ART-001</x:v>
      </x:c>
      <x:c r="L65" s="24" t="str">
        <x:v>Future/16</x:v>
      </x:c>
      <x:c r="M65" s="24" t="str">
        <x:v>H6</x:v>
      </x:c>
      <x:c r="N65" s="24" t="str"/>
      <x:c r="O65" s="24" t="str"/>
      <x:c r="P65" s="24" t="str">
        <x:v>Internal concept</x:v>
      </x:c>
      <x:c r="Q65" s="24" t="str">
        <x:v>Sí</x:v>
      </x:c>
      <x:c r="R65" s="24" t="str">
        <x:v>07_Personajes</x:v>
      </x:c>
      <x:c r="S65" s="24" t="str">
        <x:f>"T"&amp;IF(AND(H65&lt;&gt;"",I65&lt;&gt;"",K65&lt;&gt;"",N65&lt;&gt;"",P65&lt;&gt;""),5,IF(AND(H65&lt;&gt;"",K65&lt;&gt;"",G65&lt;&gt;""),4,IF(AND(H65&lt;&gt;"",K65&lt;&gt;""),3,IF(H65&lt;&gt;"",2,1))))</x:f>
        <x:v>T1</x:v>
      </x:c>
      <x:c r="T65" s="24" t="str">
        <x:v>VRM Games</x:v>
      </x:c>
      <x:c r="U65" s="24" t="str">
        <x:v>Art direction current</x:v>
      </x:c>
    </x:row>
    <x:row r="66" ht="34" customHeight="1">
      <x:c r="A66" s="24" t="str">
        <x:v>TRC-0062</x:v>
      </x:c>
      <x:c r="B66" s="24" t="str">
        <x:v>CHR-HIS-008</x:v>
      </x:c>
      <x:c r="C66" s="24" t="str">
        <x:v>Character</x:v>
      </x:c>
      <x:c r="D66" s="24" t="str">
        <x:v>Trabajador logístico</x:v>
      </x:c>
      <x:c r="E66" s="24" t="str">
        <x:v>CONCEPT</x:v>
      </x:c>
      <x:c r="F66" s="24" t="str">
        <x:v>Not mapped</x:v>
      </x:c>
      <x:c r="G66" s="24" t="str">
        <x:v>N/A / pending</x:v>
      </x:c>
      <x:c r="H66" s="24" t="str"/>
      <x:c r="I66" s="24" t="str"/>
      <x:c r="J66" s="24" t="str"/>
      <x:c r="K66" s="24" t="str">
        <x:v>VS-ART-001</x:v>
      </x:c>
      <x:c r="L66" s="24" t="str">
        <x:v>Future/16</x:v>
      </x:c>
      <x:c r="M66" s="24" t="str">
        <x:v>H6</x:v>
      </x:c>
      <x:c r="N66" s="24" t="str"/>
      <x:c r="O66" s="24" t="str"/>
      <x:c r="P66" s="24" t="str">
        <x:v>Internal concept</x:v>
      </x:c>
      <x:c r="Q66" s="24" t="str">
        <x:v>Sí</x:v>
      </x:c>
      <x:c r="R66" s="24" t="str">
        <x:v>07_Personajes</x:v>
      </x:c>
      <x:c r="S66" s="24" t="str">
        <x:f>"T"&amp;IF(AND(H66&lt;&gt;"",I66&lt;&gt;"",K66&lt;&gt;"",N66&lt;&gt;"",P66&lt;&gt;""),5,IF(AND(H66&lt;&gt;"",K66&lt;&gt;"",G66&lt;&gt;""),4,IF(AND(H66&lt;&gt;"",K66&lt;&gt;""),3,IF(H66&lt;&gt;"",2,1))))</x:f>
        <x:v>T1</x:v>
      </x:c>
      <x:c r="T66" s="24" t="str">
        <x:v>VRM Games</x:v>
      </x:c>
      <x:c r="U66" s="24" t="str">
        <x:v>Concept / future representative</x:v>
      </x:c>
    </x:row>
    <x:row r="67" ht="34" customHeight="1">
      <x:c r="A67" s="24" t="str">
        <x:v>TRC-0063</x:v>
      </x:c>
      <x:c r="B67" s="24" t="str">
        <x:v>PKG-001</x:v>
      </x:c>
      <x:c r="C67" s="24" t="str">
        <x:v>Packaging/Brand</x:v>
      </x:c>
      <x:c r="D67" s="24" t="str">
        <x:v>MemoryCoreBox</x:v>
      </x:c>
      <x:c r="E67" s="24" t="str">
        <x:v>Imported / representative</x:v>
      </x:c>
      <x:c r="F67" s="24" t="str">
        <x:v>Prefab available</x:v>
      </x:c>
      <x:c r="G67" s="24" t="str">
        <x:v>Visual/H6 pending</x:v>
      </x:c>
      <x:c r="H67" s="24" t="str">
        <x:v>Assets/_Project/Prefabs/Products/Packaging/MemoryCoreBox.prefab</x:v>
      </x:c>
      <x:c r="I67" s="24" t="str">
        <x:v>a811816a660cd244c8e7cdc35b3a6a29</x:v>
      </x:c>
      <x:c r="J67" s="24" t="str"/>
      <x:c r="K67" s="24" t="str">
        <x:v>VS-ART-001</x:v>
      </x:c>
      <x:c r="L67" s="24" t="n">
        <x:v>16</x:v>
      </x:c>
      <x:c r="M67" s="24" t="str">
        <x:v>H6</x:v>
      </x:c>
      <x:c r="N67" s="24" t="str"/>
      <x:c r="O67" s="24" t="str">
        <x:v>BLD-016-POST</x:v>
      </x:c>
      <x:c r="P67" s="24" t="str">
        <x:v>Internal/Approved</x:v>
      </x:c>
      <x:c r="Q67" s="24" t="str"/>
      <x:c r="R67" s="24" t="str">
        <x:v>09_Packaging_Marcas</x:v>
      </x:c>
      <x:c r="S67" s="24" t="str">
        <x:f>"T"&amp;IF(AND(H67&lt;&gt;"",I67&lt;&gt;"",K67&lt;&gt;"",N67&lt;&gt;"",P67&lt;&gt;""),5,IF(AND(H67&lt;&gt;"",K67&lt;&gt;"",G67&lt;&gt;""),4,IF(AND(H67&lt;&gt;"",K67&lt;&gt;""),3,IF(H67&lt;&gt;"",2,1))))</x:f>
        <x:v>T4</x:v>
      </x:c>
      <x:c r="T67" s="24" t="str">
        <x:v>VRM Games</x:v>
      </x:c>
      <x:c r="U67" s="24" t="str">
        <x:v>No copiar packaging, logos o trade dress real.</x:v>
      </x:c>
    </x:row>
    <x:row r="68" ht="34" customHeight="1">
      <x:c r="A68" s="24" t="str">
        <x:v>TRC-0064</x:v>
      </x:c>
      <x:c r="B68" s="24" t="str">
        <x:v>PKG-002</x:v>
      </x:c>
      <x:c r="C68" s="24" t="str">
        <x:v>Packaging/Brand</x:v>
      </x:c>
      <x:c r="D68" s="24" t="str">
        <x:v>OrbitPadBox</x:v>
      </x:c>
      <x:c r="E68" s="24" t="str">
        <x:v>Imported / representative</x:v>
      </x:c>
      <x:c r="F68" s="24" t="str">
        <x:v>Prefab available</x:v>
      </x:c>
      <x:c r="G68" s="24" t="str">
        <x:v>Visual/H6 pending</x:v>
      </x:c>
      <x:c r="H68" s="24" t="str">
        <x:v>Assets/_Project/Prefabs/Products/Packaging/OrbitPadBox.prefab</x:v>
      </x:c>
      <x:c r="I68" s="24" t="str">
        <x:v>deca8db8279a11b4c893b6e1db0b7d75</x:v>
      </x:c>
      <x:c r="J68" s="24" t="str"/>
      <x:c r="K68" s="24" t="str">
        <x:v>VS-ART-001</x:v>
      </x:c>
      <x:c r="L68" s="24" t="n">
        <x:v>16</x:v>
      </x:c>
      <x:c r="M68" s="24" t="str">
        <x:v>H6</x:v>
      </x:c>
      <x:c r="N68" s="24" t="str"/>
      <x:c r="O68" s="24" t="str">
        <x:v>BLD-016-POST</x:v>
      </x:c>
      <x:c r="P68" s="24" t="str">
        <x:v>Internal/Approved</x:v>
      </x:c>
      <x:c r="Q68" s="24" t="str"/>
      <x:c r="R68" s="24" t="str">
        <x:v>09_Packaging_Marcas</x:v>
      </x:c>
      <x:c r="S68" s="24" t="str">
        <x:f>"T"&amp;IF(AND(H68&lt;&gt;"",I68&lt;&gt;"",K68&lt;&gt;"",N68&lt;&gt;"",P68&lt;&gt;""),5,IF(AND(H68&lt;&gt;"",K68&lt;&gt;"",G68&lt;&gt;""),4,IF(AND(H68&lt;&gt;"",K68&lt;&gt;""),3,IF(H68&lt;&gt;"",2,1))))</x:f>
        <x:v>T4</x:v>
      </x:c>
      <x:c r="T68" s="24" t="str">
        <x:v>VRM Games</x:v>
      </x:c>
      <x:c r="U68" s="24" t="str">
        <x:v>No copiar packaging, logos o trade dress real.</x:v>
      </x:c>
    </x:row>
    <x:row r="69" ht="34" customHeight="1">
      <x:c r="A69" s="24" t="str">
        <x:v>TRC-0065</x:v>
      </x:c>
      <x:c r="B69" s="24" t="str">
        <x:v>PKG-003</x:v>
      </x:c>
      <x:c r="C69" s="24" t="str">
        <x:v>Packaging/Brand</x:v>
      </x:c>
      <x:c r="D69" s="24" t="str">
        <x:v>SignalProBox</x:v>
      </x:c>
      <x:c r="E69" s="24" t="str">
        <x:v>Imported / representative</x:v>
      </x:c>
      <x:c r="F69" s="24" t="str">
        <x:v>Prefab available</x:v>
      </x:c>
      <x:c r="G69" s="24" t="str">
        <x:v>Visual/H6 pending</x:v>
      </x:c>
      <x:c r="H69" s="24" t="str">
        <x:v>Assets/_Project/Prefabs/Products/Packaging/SignalProBox.prefab</x:v>
      </x:c>
      <x:c r="I69" s="24" t="str">
        <x:v>9cbf9396578b87a4083154ce4c5c83b4</x:v>
      </x:c>
      <x:c r="J69" s="24" t="str"/>
      <x:c r="K69" s="24" t="str">
        <x:v>VS-ART-001</x:v>
      </x:c>
      <x:c r="L69" s="24" t="n">
        <x:v>16</x:v>
      </x:c>
      <x:c r="M69" s="24" t="str">
        <x:v>H6</x:v>
      </x:c>
      <x:c r="N69" s="24" t="str"/>
      <x:c r="O69" s="24" t="str">
        <x:v>BLD-016-POST</x:v>
      </x:c>
      <x:c r="P69" s="24" t="str">
        <x:v>Internal/Approved</x:v>
      </x:c>
      <x:c r="Q69" s="24" t="str"/>
      <x:c r="R69" s="24" t="str">
        <x:v>09_Packaging_Marcas</x:v>
      </x:c>
      <x:c r="S69" s="24" t="str">
        <x:f>"T"&amp;IF(AND(H69&lt;&gt;"",I69&lt;&gt;"",K69&lt;&gt;"",N69&lt;&gt;"",P69&lt;&gt;""),5,IF(AND(H69&lt;&gt;"",K69&lt;&gt;"",G69&lt;&gt;""),4,IF(AND(H69&lt;&gt;"",K69&lt;&gt;""),3,IF(H69&lt;&gt;"",2,1))))</x:f>
        <x:v>T4</x:v>
      </x:c>
      <x:c r="T69" s="24" t="str">
        <x:v>VRM Games</x:v>
      </x:c>
      <x:c r="U69" s="24" t="str">
        <x:v>No copiar packaging, logos o trade dress real.</x:v>
      </x:c>
    </x:row>
    <x:row r="70" ht="34" customHeight="1">
      <x:c r="A70" s="24" t="str">
        <x:v>TRC-0066</x:v>
      </x:c>
      <x:c r="B70" s="24" t="str">
        <x:v>PKG-004</x:v>
      </x:c>
      <x:c r="C70" s="24" t="str">
        <x:v>Packaging/Brand</x:v>
      </x:c>
      <x:c r="D70" s="24" t="str">
        <x:v>VertexOneBox</x:v>
      </x:c>
      <x:c r="E70" s="24" t="str">
        <x:v>Imported / representative</x:v>
      </x:c>
      <x:c r="F70" s="24" t="str">
        <x:v>Prefab available</x:v>
      </x:c>
      <x:c r="G70" s="24" t="str">
        <x:v>Visual/H6 pending</x:v>
      </x:c>
      <x:c r="H70" s="24" t="str">
        <x:v>Assets/_Project/Prefabs/Products/Packaging/VertexOneBox.prefab</x:v>
      </x:c>
      <x:c r="I70" s="24" t="str">
        <x:v>0be192659d3ef1d4cb8748114dfd2307</x:v>
      </x:c>
      <x:c r="J70" s="24" t="str"/>
      <x:c r="K70" s="24" t="str">
        <x:v>VS-ART-001</x:v>
      </x:c>
      <x:c r="L70" s="24" t="n">
        <x:v>16</x:v>
      </x:c>
      <x:c r="M70" s="24" t="str">
        <x:v>H6</x:v>
      </x:c>
      <x:c r="N70" s="24" t="str"/>
      <x:c r="O70" s="24" t="str">
        <x:v>BLD-016-POST</x:v>
      </x:c>
      <x:c r="P70" s="24" t="str">
        <x:v>Internal/Approved</x:v>
      </x:c>
      <x:c r="Q70" s="24" t="str"/>
      <x:c r="R70" s="24" t="str">
        <x:v>09_Packaging_Marcas</x:v>
      </x:c>
      <x:c r="S70" s="24" t="str">
        <x:f>"T"&amp;IF(AND(H70&lt;&gt;"",I70&lt;&gt;"",K70&lt;&gt;"",N70&lt;&gt;"",P70&lt;&gt;""),5,IF(AND(H70&lt;&gt;"",K70&lt;&gt;"",G70&lt;&gt;""),4,IF(AND(H70&lt;&gt;"",K70&lt;&gt;""),3,IF(H70&lt;&gt;"",2,1))))</x:f>
        <x:v>T4</x:v>
      </x:c>
      <x:c r="T70" s="24" t="str">
        <x:v>VRM Games</x:v>
      </x:c>
      <x:c r="U70" s="24" t="str">
        <x:v>No copiar packaging, logos o trade dress real.</x:v>
      </x:c>
    </x:row>
    <x:row r="71" ht="34" customHeight="1">
      <x:c r="A71" s="24" t="str">
        <x:v>TRC-0067</x:v>
      </x:c>
      <x:c r="B71" s="24" t="str">
        <x:v>BRD-001</x:v>
      </x:c>
      <x:c r="C71" s="24" t="str">
        <x:v>Packaging/Brand</x:v>
      </x:c>
      <x:c r="D71" s="24" t="str">
        <x:v>Neon Drift</x:v>
      </x:c>
      <x:c r="E71" s="24" t="str">
        <x:v>Canonical naming</x:v>
      </x:c>
      <x:c r="F71" s="24" t="str">
        <x:v>Catalog + labels/icons</x:v>
      </x:c>
      <x:c r="G71" s="24" t="str">
        <x:v>Visual review pending</x:v>
      </x:c>
      <x:c r="H71" s="24" t="str">
        <x:v>Assets/_Project/Art/Textures/Products/Icons/game-neon-drift_icon.png</x:v>
      </x:c>
      <x:c r="I71" s="24" t="str">
        <x:v>5446fc2e413d4c4501d24e5f36c02441</x:v>
      </x:c>
      <x:c r="J71" s="24" t="str"/>
      <x:c r="K71" s="24" t="str">
        <x:v>VS-ART-001</x:v>
      </x:c>
      <x:c r="L71" s="24" t="n">
        <x:v>16</x:v>
      </x:c>
      <x:c r="M71" s="24" t="str">
        <x:v>H6</x:v>
      </x:c>
      <x:c r="N71" s="24" t="str"/>
      <x:c r="O71" s="24" t="str">
        <x:v>BLD-016-POST</x:v>
      </x:c>
      <x:c r="P71" s="24" t="str">
        <x:v>Internal/Approved</x:v>
      </x:c>
      <x:c r="Q71" s="24" t="str"/>
      <x:c r="R71" s="24" t="str">
        <x:v>09_Packaging_Marcas</x:v>
      </x:c>
      <x:c r="S71" s="24" t="str">
        <x:f>"T"&amp;IF(AND(H71&lt;&gt;"",I71&lt;&gt;"",K71&lt;&gt;"",N71&lt;&gt;"",P71&lt;&gt;""),5,IF(AND(H71&lt;&gt;"",K71&lt;&gt;"",G71&lt;&gt;""),4,IF(AND(H71&lt;&gt;"",K71&lt;&gt;""),3,IF(H71&lt;&gt;"",2,1))))</x:f>
        <x:v>T4</x:v>
      </x:c>
      <x:c r="T71" s="24" t="str">
        <x:v>VRM Games</x:v>
      </x:c>
      <x:c r="U71" s="24" t="str">
        <x:v>Nombre ficticio estable; verificar carátula/label final.</x:v>
      </x:c>
    </x:row>
    <x:row r="72" ht="34" customHeight="1">
      <x:c r="A72" s="24" t="str">
        <x:v>TRC-0068</x:v>
      </x:c>
      <x:c r="B72" s="24" t="str">
        <x:v>BRD-002</x:v>
      </x:c>
      <x:c r="C72" s="24" t="str">
        <x:v>Packaging/Brand</x:v>
      </x:c>
      <x:c r="D72" s="24" t="str">
        <x:v>Cloud Runner Case</x:v>
      </x:c>
      <x:c r="E72" s="24" t="str">
        <x:v>Canonical naming</x:v>
      </x:c>
      <x:c r="F72" s="24" t="str">
        <x:v>Catalog + labels/icons</x:v>
      </x:c>
      <x:c r="G72" s="24" t="str">
        <x:v>Visual review pending</x:v>
      </x:c>
      <x:c r="H72" s="24" t="str">
        <x:v>Assets/_Project/Art/Textures/Products/Icons/case-cloud-runner_icon.png</x:v>
      </x:c>
      <x:c r="I72" s="24" t="str">
        <x:v>8c0a1718ad8cc09611a641f822dd6876</x:v>
      </x:c>
      <x:c r="J72" s="24" t="str"/>
      <x:c r="K72" s="24" t="str">
        <x:v>VS-ART-001</x:v>
      </x:c>
      <x:c r="L72" s="24" t="n">
        <x:v>16</x:v>
      </x:c>
      <x:c r="M72" s="24" t="str">
        <x:v>H6</x:v>
      </x:c>
      <x:c r="N72" s="24" t="str"/>
      <x:c r="O72" s="24" t="str">
        <x:v>BLD-016-POST</x:v>
      </x:c>
      <x:c r="P72" s="24" t="str">
        <x:v>Internal/Approved</x:v>
      </x:c>
      <x:c r="Q72" s="24" t="str"/>
      <x:c r="R72" s="24" t="str">
        <x:v>09_Packaging_Marcas</x:v>
      </x:c>
      <x:c r="S72" s="24" t="str">
        <x:f>"T"&amp;IF(AND(H72&lt;&gt;"",I72&lt;&gt;"",K72&lt;&gt;"",N72&lt;&gt;"",P72&lt;&gt;""),5,IF(AND(H72&lt;&gt;"",K72&lt;&gt;"",G72&lt;&gt;""),4,IF(AND(H72&lt;&gt;"",K72&lt;&gt;""),3,IF(H72&lt;&gt;"",2,1))))</x:f>
        <x:v>T4</x:v>
      </x:c>
      <x:c r="T72" s="24" t="str">
        <x:v>VRM Games</x:v>
      </x:c>
      <x:c r="U72" s="24" t="str">
        <x:v>Nombre ficticio estable; verificar carátula/label final.</x:v>
      </x:c>
    </x:row>
    <x:row r="73" ht="34" customHeight="1">
      <x:c r="A73" s="24" t="str">
        <x:v>TRC-0069</x:v>
      </x:c>
      <x:c r="B73" s="24" t="str">
        <x:v>BRD-003</x:v>
      </x:c>
      <x:c r="C73" s="24" t="str">
        <x:v>Packaging/Brand</x:v>
      </x:c>
      <x:c r="D73" s="24" t="str">
        <x:v>Vertex One Console</x:v>
      </x:c>
      <x:c r="E73" s="24" t="str">
        <x:v>Canonical naming</x:v>
      </x:c>
      <x:c r="F73" s="24" t="str">
        <x:v>Catalog + labels/icons</x:v>
      </x:c>
      <x:c r="G73" s="24" t="str">
        <x:v>Visual review pending</x:v>
      </x:c>
      <x:c r="H73" s="24" t="str">
        <x:v>Assets/_Project/Art/Textures/Products/Icons/console-vertex-one_icon.png</x:v>
      </x:c>
      <x:c r="I73" s="24" t="str">
        <x:v>6aa6b1239ca9f6cdfd2bb6023eb4c1c4</x:v>
      </x:c>
      <x:c r="J73" s="24" t="str"/>
      <x:c r="K73" s="24" t="str">
        <x:v>VS-ART-001</x:v>
      </x:c>
      <x:c r="L73" s="24" t="n">
        <x:v>16</x:v>
      </x:c>
      <x:c r="M73" s="24" t="str">
        <x:v>H6</x:v>
      </x:c>
      <x:c r="N73" s="24" t="str"/>
      <x:c r="O73" s="24" t="str">
        <x:v>BLD-016-POST</x:v>
      </x:c>
      <x:c r="P73" s="24" t="str">
        <x:v>Internal/Approved</x:v>
      </x:c>
      <x:c r="Q73" s="24" t="str"/>
      <x:c r="R73" s="24" t="str">
        <x:v>09_Packaging_Marcas</x:v>
      </x:c>
      <x:c r="S73" s="24" t="str">
        <x:f>"T"&amp;IF(AND(H73&lt;&gt;"",I73&lt;&gt;"",K73&lt;&gt;"",N73&lt;&gt;"",P73&lt;&gt;""),5,IF(AND(H73&lt;&gt;"",K73&lt;&gt;"",G73&lt;&gt;""),4,IF(AND(H73&lt;&gt;"",K73&lt;&gt;""),3,IF(H73&lt;&gt;"",2,1))))</x:f>
        <x:v>T4</x:v>
      </x:c>
      <x:c r="T73" s="24" t="str">
        <x:v>VRM Games</x:v>
      </x:c>
      <x:c r="U73" s="24" t="str">
        <x:v>Nombre ficticio estable; verificar carátula/label final.</x:v>
      </x:c>
    </x:row>
    <x:row r="74" ht="34" customHeight="1">
      <x:c r="A74" s="24" t="str">
        <x:v>TRC-0070</x:v>
      </x:c>
      <x:c r="B74" s="24" t="str">
        <x:v>BRD-004</x:v>
      </x:c>
      <x:c r="C74" s="24" t="str">
        <x:v>Packaging/Brand</x:v>
      </x:c>
      <x:c r="D74" s="24" t="str">
        <x:v>Orbit Pad Controller</x:v>
      </x:c>
      <x:c r="E74" s="24" t="str">
        <x:v>Canonical naming</x:v>
      </x:c>
      <x:c r="F74" s="24" t="str">
        <x:v>Catalog + labels/icons</x:v>
      </x:c>
      <x:c r="G74" s="24" t="str">
        <x:v>Visual review pending</x:v>
      </x:c>
      <x:c r="H74" s="24" t="str">
        <x:v>Assets/_Project/Art/Textures/Products/Icons/controller-orbit-pad_icon.png</x:v>
      </x:c>
      <x:c r="I74" s="24" t="str">
        <x:v>a5a7682e0808b2d2d51bdf3ef57fe2a1</x:v>
      </x:c>
      <x:c r="J74" s="24" t="str"/>
      <x:c r="K74" s="24" t="str">
        <x:v>VS-ART-001</x:v>
      </x:c>
      <x:c r="L74" s="24" t="n">
        <x:v>16</x:v>
      </x:c>
      <x:c r="M74" s="24" t="str">
        <x:v>H6</x:v>
      </x:c>
      <x:c r="N74" s="24" t="str"/>
      <x:c r="O74" s="24" t="str">
        <x:v>BLD-016-POST</x:v>
      </x:c>
      <x:c r="P74" s="24" t="str">
        <x:v>Internal/Approved</x:v>
      </x:c>
      <x:c r="Q74" s="24" t="str"/>
      <x:c r="R74" s="24" t="str">
        <x:v>09_Packaging_Marcas</x:v>
      </x:c>
      <x:c r="S74" s="24" t="str">
        <x:f>"T"&amp;IF(AND(H74&lt;&gt;"",I74&lt;&gt;"",K74&lt;&gt;"",N74&lt;&gt;"",P74&lt;&gt;""),5,IF(AND(H74&lt;&gt;"",K74&lt;&gt;"",G74&lt;&gt;""),4,IF(AND(H74&lt;&gt;"",K74&lt;&gt;""),3,IF(H74&lt;&gt;"",2,1))))</x:f>
        <x:v>T4</x:v>
      </x:c>
      <x:c r="T74" s="24" t="str">
        <x:v>VRM Games</x:v>
      </x:c>
      <x:c r="U74" s="24" t="str">
        <x:v>Nombre ficticio estable; verificar carátula/label final.</x:v>
      </x:c>
    </x:row>
    <x:row r="75" ht="34" customHeight="1">
      <x:c r="A75" s="24" t="str">
        <x:v>TRC-0071</x:v>
      </x:c>
      <x:c r="B75" s="24" t="str">
        <x:v>BRD-005</x:v>
      </x:c>
      <x:c r="C75" s="24" t="str">
        <x:v>Packaging/Brand</x:v>
      </x:c>
      <x:c r="D75" s="24" t="str">
        <x:v>Signal Pro Headset</x:v>
      </x:c>
      <x:c r="E75" s="24" t="str">
        <x:v>Canonical naming</x:v>
      </x:c>
      <x:c r="F75" s="24" t="str">
        <x:v>Catalog + labels/icons</x:v>
      </x:c>
      <x:c r="G75" s="24" t="str">
        <x:v>Visual review pending</x:v>
      </x:c>
      <x:c r="H75" s="24" t="str">
        <x:v>Assets/_Project/Art/Textures/Products/Icons/headset-signal-pro_icon.png</x:v>
      </x:c>
      <x:c r="I75" s="24" t="str">
        <x:v>c2eab608e2f22d55399d6e4ae9b1b706</x:v>
      </x:c>
      <x:c r="J75" s="24" t="str"/>
      <x:c r="K75" s="24" t="str">
        <x:v>VS-ART-001</x:v>
      </x:c>
      <x:c r="L75" s="24" t="n">
        <x:v>16</x:v>
      </x:c>
      <x:c r="M75" s="24" t="str">
        <x:v>H6</x:v>
      </x:c>
      <x:c r="N75" s="24" t="str"/>
      <x:c r="O75" s="24" t="str">
        <x:v>BLD-016-POST</x:v>
      </x:c>
      <x:c r="P75" s="24" t="str">
        <x:v>Internal/Approved</x:v>
      </x:c>
      <x:c r="Q75" s="24" t="str"/>
      <x:c r="R75" s="24" t="str">
        <x:v>09_Packaging_Marcas</x:v>
      </x:c>
      <x:c r="S75" s="24" t="str">
        <x:f>"T"&amp;IF(AND(H75&lt;&gt;"",I75&lt;&gt;"",K75&lt;&gt;"",N75&lt;&gt;"",P75&lt;&gt;""),5,IF(AND(H75&lt;&gt;"",K75&lt;&gt;"",G75&lt;&gt;""),4,IF(AND(H75&lt;&gt;"",K75&lt;&gt;""),3,IF(H75&lt;&gt;"",2,1))))</x:f>
        <x:v>T4</x:v>
      </x:c>
      <x:c r="T75" s="24" t="str">
        <x:v>VRM Games</x:v>
      </x:c>
      <x:c r="U75" s="24" t="str">
        <x:v>Nombre ficticio estable; verificar carátula/label final.</x:v>
      </x:c>
    </x:row>
    <x:row r="76" ht="34" customHeight="1">
      <x:c r="A76" s="24" t="str">
        <x:v>TRC-0072</x:v>
      </x:c>
      <x:c r="B76" s="24" t="str">
        <x:v>BRD-006</x:v>
      </x:c>
      <x:c r="C76" s="24" t="str">
        <x:v>Packaging/Brand</x:v>
      </x:c>
      <x:c r="D76" s="24" t="str">
        <x:v>Memory Core Accessory</x:v>
      </x:c>
      <x:c r="E76" s="24" t="str">
        <x:v>Canonical naming</x:v>
      </x:c>
      <x:c r="F76" s="24" t="str">
        <x:v>Catalog + labels/icons</x:v>
      </x:c>
      <x:c r="G76" s="24" t="str">
        <x:v>Visual review pending</x:v>
      </x:c>
      <x:c r="H76" s="24" t="str">
        <x:v>Assets/_Project/Art/Textures/Products/Icons/accessory-memory-core_icon.png</x:v>
      </x:c>
      <x:c r="I76" s="24" t="str">
        <x:v>6d1ad708b4e4aafaed261b3d970bad30</x:v>
      </x:c>
      <x:c r="J76" s="24" t="str"/>
      <x:c r="K76" s="24" t="str">
        <x:v>VS-ART-001</x:v>
      </x:c>
      <x:c r="L76" s="24" t="n">
        <x:v>16</x:v>
      </x:c>
      <x:c r="M76" s="24" t="str">
        <x:v>H6</x:v>
      </x:c>
      <x:c r="N76" s="24" t="str"/>
      <x:c r="O76" s="24" t="str">
        <x:v>BLD-016-POST</x:v>
      </x:c>
      <x:c r="P76" s="24" t="str">
        <x:v>Internal/Approved</x:v>
      </x:c>
      <x:c r="Q76" s="24" t="str"/>
      <x:c r="R76" s="24" t="str">
        <x:v>09_Packaging_Marcas</x:v>
      </x:c>
      <x:c r="S76" s="24" t="str">
        <x:f>"T"&amp;IF(AND(H76&lt;&gt;"",I76&lt;&gt;"",K76&lt;&gt;"",N76&lt;&gt;"",P76&lt;&gt;""),5,IF(AND(H76&lt;&gt;"",K76&lt;&gt;"",G76&lt;&gt;""),4,IF(AND(H76&lt;&gt;"",K76&lt;&gt;""),3,IF(H76&lt;&gt;"",2,1))))</x:f>
        <x:v>T4</x:v>
      </x:c>
      <x:c r="T76" s="24" t="str">
        <x:v>VRM Games</x:v>
      </x:c>
      <x:c r="U76" s="24" t="str">
        <x:v>Nombre ficticio estable; verificar carátula/label final.</x:v>
      </x:c>
    </x:row>
    <x:row r="77" ht="34" customHeight="1">
      <x:c r="A77" s="24" t="str">
        <x:v>TRC-0073</x:v>
      </x:c>
      <x:c r="B77" s="24" t="str">
        <x:v>UI-ICO-001</x:v>
      </x:c>
      <x:c r="C77" s="24" t="str">
        <x:v>UI</x:v>
      </x:c>
      <x:c r="D77" s="24" t="str">
        <x:v>accessory-memory-core_icon.png</x:v>
      </x:c>
      <x:c r="E77" s="24" t="str">
        <x:v>CANONICAL / PHASE 1</x:v>
      </x:c>
      <x:c r="F77" s="24" t="str">
        <x:v>Asset available</x:v>
      </x:c>
      <x:c r="G77" s="24" t="str">
        <x:v>Runtime/UI visual review pending</x:v>
      </x:c>
      <x:c r="H77" s="24" t="str">
        <x:v>Assets/_Project/Art/Textures/Products/Icons/accessory-memory-core_icon.png</x:v>
      </x:c>
      <x:c r="I77" s="24" t="str">
        <x:v>6d1ad708b4e4aafaed261b3d970bad30</x:v>
      </x:c>
      <x:c r="J77" s="24" t="str"/>
      <x:c r="K77" s="24" t="str">
        <x:v>VS-UI-001;UX-VIS</x:v>
      </x:c>
      <x:c r="L77" s="24" t="n">
        <x:v>16</x:v>
      </x:c>
      <x:c r="M77" s="24" t="str">
        <x:v>H6</x:v>
      </x:c>
      <x:c r="N77" s="24" t="str"/>
      <x:c r="O77" s="24" t="str">
        <x:v>BLD-016-POST</x:v>
      </x:c>
      <x:c r="P77" s="24" t="str">
        <x:v>Internal/Approved</x:v>
      </x:c>
      <x:c r="Q77" s="24" t="str"/>
      <x:c r="R77" s="24" t="str">
        <x:v>10_UI_Iconos_Fuentes</x:v>
      </x:c>
      <x:c r="S77" s="24" t="str">
        <x:f>"T"&amp;IF(AND(H77&lt;&gt;"",I77&lt;&gt;"",K77&lt;&gt;"",N77&lt;&gt;"",P77&lt;&gt;""),5,IF(AND(H77&lt;&gt;"",K77&lt;&gt;"",G77&lt;&gt;""),4,IF(AND(H77&lt;&gt;"",K77&lt;&gt;""),3,IF(H77&lt;&gt;"",2,1))))</x:f>
        <x:v>T4</x:v>
      </x:c>
      <x:c r="T77" s="24" t="str">
        <x:v>VRM Games</x:v>
      </x:c>
      <x:c r="U77" s="24" t="str"/>
    </x:row>
    <x:row r="78" ht="34" customHeight="1">
      <x:c r="A78" s="24" t="str">
        <x:v>TRC-0074</x:v>
      </x:c>
      <x:c r="B78" s="24" t="str">
        <x:v>UI-ICO-002</x:v>
      </x:c>
      <x:c r="C78" s="24" t="str">
        <x:v>UI</x:v>
      </x:c>
      <x:c r="D78" s="24" t="str">
        <x:v>case-cloud-runner_icon.png</x:v>
      </x:c>
      <x:c r="E78" s="24" t="str">
        <x:v>CANONICAL / PHASE 1</x:v>
      </x:c>
      <x:c r="F78" s="24" t="str">
        <x:v>Asset available</x:v>
      </x:c>
      <x:c r="G78" s="24" t="str">
        <x:v>Runtime/UI visual review pending</x:v>
      </x:c>
      <x:c r="H78" s="24" t="str">
        <x:v>Assets/_Project/Art/Textures/Products/Icons/case-cloud-runner_icon.png</x:v>
      </x:c>
      <x:c r="I78" s="24" t="str">
        <x:v>8c0a1718ad8cc09611a641f822dd6876</x:v>
      </x:c>
      <x:c r="J78" s="24" t="str"/>
      <x:c r="K78" s="24" t="str">
        <x:v>VS-UI-001;UX-VIS</x:v>
      </x:c>
      <x:c r="L78" s="24" t="n">
        <x:v>16</x:v>
      </x:c>
      <x:c r="M78" s="24" t="str">
        <x:v>H6</x:v>
      </x:c>
      <x:c r="N78" s="24" t="str"/>
      <x:c r="O78" s="24" t="str">
        <x:v>BLD-016-POST</x:v>
      </x:c>
      <x:c r="P78" s="24" t="str">
        <x:v>Internal/Approved</x:v>
      </x:c>
      <x:c r="Q78" s="24" t="str"/>
      <x:c r="R78" s="24" t="str">
        <x:v>10_UI_Iconos_Fuentes</x:v>
      </x:c>
      <x:c r="S78" s="24" t="str">
        <x:f>"T"&amp;IF(AND(H78&lt;&gt;"",I78&lt;&gt;"",K78&lt;&gt;"",N78&lt;&gt;"",P78&lt;&gt;""),5,IF(AND(H78&lt;&gt;"",K78&lt;&gt;"",G78&lt;&gt;""),4,IF(AND(H78&lt;&gt;"",K78&lt;&gt;""),3,IF(H78&lt;&gt;"",2,1))))</x:f>
        <x:v>T4</x:v>
      </x:c>
      <x:c r="T78" s="24" t="str">
        <x:v>VRM Games</x:v>
      </x:c>
      <x:c r="U78" s="24" t="str"/>
    </x:row>
    <x:row r="79" ht="34" customHeight="1">
      <x:c r="A79" s="24" t="str">
        <x:v>TRC-0075</x:v>
      </x:c>
      <x:c r="B79" s="24" t="str">
        <x:v>UI-ICO-003</x:v>
      </x:c>
      <x:c r="C79" s="24" t="str">
        <x:v>UI</x:v>
      </x:c>
      <x:c r="D79" s="24" t="str">
        <x:v>console-vertex-one_icon.png</x:v>
      </x:c>
      <x:c r="E79" s="24" t="str">
        <x:v>CANONICAL / PHASE 1</x:v>
      </x:c>
      <x:c r="F79" s="24" t="str">
        <x:v>Asset available</x:v>
      </x:c>
      <x:c r="G79" s="24" t="str">
        <x:v>Runtime/UI visual review pending</x:v>
      </x:c>
      <x:c r="H79" s="24" t="str">
        <x:v>Assets/_Project/Art/Textures/Products/Icons/console-vertex-one_icon.png</x:v>
      </x:c>
      <x:c r="I79" s="24" t="str">
        <x:v>6aa6b1239ca9f6cdfd2bb6023eb4c1c4</x:v>
      </x:c>
      <x:c r="J79" s="24" t="str"/>
      <x:c r="K79" s="24" t="str">
        <x:v>VS-UI-001;UX-VIS</x:v>
      </x:c>
      <x:c r="L79" s="24" t="n">
        <x:v>16</x:v>
      </x:c>
      <x:c r="M79" s="24" t="str">
        <x:v>H6</x:v>
      </x:c>
      <x:c r="N79" s="24" t="str"/>
      <x:c r="O79" s="24" t="str">
        <x:v>BLD-016-POST</x:v>
      </x:c>
      <x:c r="P79" s="24" t="str">
        <x:v>Internal/Approved</x:v>
      </x:c>
      <x:c r="Q79" s="24" t="str"/>
      <x:c r="R79" s="24" t="str">
        <x:v>10_UI_Iconos_Fuentes</x:v>
      </x:c>
      <x:c r="S79" s="24" t="str">
        <x:f>"T"&amp;IF(AND(H79&lt;&gt;"",I79&lt;&gt;"",K79&lt;&gt;"",N79&lt;&gt;"",P79&lt;&gt;""),5,IF(AND(H79&lt;&gt;"",K79&lt;&gt;"",G79&lt;&gt;""),4,IF(AND(H79&lt;&gt;"",K79&lt;&gt;""),3,IF(H79&lt;&gt;"",2,1))))</x:f>
        <x:v>T4</x:v>
      </x:c>
      <x:c r="T79" s="24" t="str">
        <x:v>VRM Games</x:v>
      </x:c>
      <x:c r="U79" s="24" t="str"/>
    </x:row>
    <x:row r="80" ht="34" customHeight="1">
      <x:c r="A80" s="24" t="str">
        <x:v>TRC-0076</x:v>
      </x:c>
      <x:c r="B80" s="24" t="str">
        <x:v>UI-ICO-004</x:v>
      </x:c>
      <x:c r="C80" s="24" t="str">
        <x:v>UI</x:v>
      </x:c>
      <x:c r="D80" s="24" t="str">
        <x:v>controller-orbit-pad_icon.png</x:v>
      </x:c>
      <x:c r="E80" s="24" t="str">
        <x:v>CANONICAL / PHASE 1</x:v>
      </x:c>
      <x:c r="F80" s="24" t="str">
        <x:v>Asset available</x:v>
      </x:c>
      <x:c r="G80" s="24" t="str">
        <x:v>Runtime/UI visual review pending</x:v>
      </x:c>
      <x:c r="H80" s="24" t="str">
        <x:v>Assets/_Project/Art/Textures/Products/Icons/controller-orbit-pad_icon.png</x:v>
      </x:c>
      <x:c r="I80" s="24" t="str">
        <x:v>a5a7682e0808b2d2d51bdf3ef57fe2a1</x:v>
      </x:c>
      <x:c r="J80" s="24" t="str"/>
      <x:c r="K80" s="24" t="str">
        <x:v>VS-UI-001;UX-VIS</x:v>
      </x:c>
      <x:c r="L80" s="24" t="n">
        <x:v>16</x:v>
      </x:c>
      <x:c r="M80" s="24" t="str">
        <x:v>H6</x:v>
      </x:c>
      <x:c r="N80" s="24" t="str"/>
      <x:c r="O80" s="24" t="str">
        <x:v>BLD-016-POST</x:v>
      </x:c>
      <x:c r="P80" s="24" t="str">
        <x:v>Internal/Approved</x:v>
      </x:c>
      <x:c r="Q80" s="24" t="str"/>
      <x:c r="R80" s="24" t="str">
        <x:v>10_UI_Iconos_Fuentes</x:v>
      </x:c>
      <x:c r="S80" s="24" t="str">
        <x:f>"T"&amp;IF(AND(H80&lt;&gt;"",I80&lt;&gt;"",K80&lt;&gt;"",N80&lt;&gt;"",P80&lt;&gt;""),5,IF(AND(H80&lt;&gt;"",K80&lt;&gt;"",G80&lt;&gt;""),4,IF(AND(H80&lt;&gt;"",K80&lt;&gt;""),3,IF(H80&lt;&gt;"",2,1))))</x:f>
        <x:v>T4</x:v>
      </x:c>
      <x:c r="T80" s="24" t="str">
        <x:v>VRM Games</x:v>
      </x:c>
      <x:c r="U80" s="24" t="str"/>
    </x:row>
    <x:row r="81" ht="34" customHeight="1">
      <x:c r="A81" s="24" t="str">
        <x:v>TRC-0077</x:v>
      </x:c>
      <x:c r="B81" s="24" t="str">
        <x:v>UI-ICO-005</x:v>
      </x:c>
      <x:c r="C81" s="24" t="str">
        <x:v>UI</x:v>
      </x:c>
      <x:c r="D81" s="24" t="str">
        <x:v>game-neon-drift_icon.png</x:v>
      </x:c>
      <x:c r="E81" s="24" t="str">
        <x:v>CANONICAL / PHASE 1</x:v>
      </x:c>
      <x:c r="F81" s="24" t="str">
        <x:v>Asset available</x:v>
      </x:c>
      <x:c r="G81" s="24" t="str">
        <x:v>Runtime/UI visual review pending</x:v>
      </x:c>
      <x:c r="H81" s="24" t="str">
        <x:v>Assets/_Project/Art/Textures/Products/Icons/game-neon-drift_icon.png</x:v>
      </x:c>
      <x:c r="I81" s="24" t="str">
        <x:v>5446fc2e413d4c4501d24e5f36c02441</x:v>
      </x:c>
      <x:c r="J81" s="24" t="str"/>
      <x:c r="K81" s="24" t="str">
        <x:v>VS-UI-001;UX-VIS</x:v>
      </x:c>
      <x:c r="L81" s="24" t="n">
        <x:v>16</x:v>
      </x:c>
      <x:c r="M81" s="24" t="str">
        <x:v>H6</x:v>
      </x:c>
      <x:c r="N81" s="24" t="str"/>
      <x:c r="O81" s="24" t="str">
        <x:v>BLD-016-POST</x:v>
      </x:c>
      <x:c r="P81" s="24" t="str">
        <x:v>Internal/Approved</x:v>
      </x:c>
      <x:c r="Q81" s="24" t="str"/>
      <x:c r="R81" s="24" t="str">
        <x:v>10_UI_Iconos_Fuentes</x:v>
      </x:c>
      <x:c r="S81" s="24" t="str">
        <x:f>"T"&amp;IF(AND(H81&lt;&gt;"",I81&lt;&gt;"",K81&lt;&gt;"",N81&lt;&gt;"",P81&lt;&gt;""),5,IF(AND(H81&lt;&gt;"",K81&lt;&gt;"",G81&lt;&gt;""),4,IF(AND(H81&lt;&gt;"",K81&lt;&gt;""),3,IF(H81&lt;&gt;"",2,1))))</x:f>
        <x:v>T4</x:v>
      </x:c>
      <x:c r="T81" s="24" t="str">
        <x:v>VRM Games</x:v>
      </x:c>
      <x:c r="U81" s="24" t="str"/>
    </x:row>
    <x:row r="82" ht="34" customHeight="1">
      <x:c r="A82" s="24" t="str">
        <x:v>TRC-0078</x:v>
      </x:c>
      <x:c r="B82" s="24" t="str">
        <x:v>UI-ICO-006</x:v>
      </x:c>
      <x:c r="C82" s="24" t="str">
        <x:v>UI</x:v>
      </x:c>
      <x:c r="D82" s="24" t="str">
        <x:v>headset-signal-pro_icon.png</x:v>
      </x:c>
      <x:c r="E82" s="24" t="str">
        <x:v>CANONICAL / PHASE 1</x:v>
      </x:c>
      <x:c r="F82" s="24" t="str">
        <x:v>Asset available</x:v>
      </x:c>
      <x:c r="G82" s="24" t="str">
        <x:v>Runtime/UI visual review pending</x:v>
      </x:c>
      <x:c r="H82" s="24" t="str">
        <x:v>Assets/_Project/Art/Textures/Products/Icons/headset-signal-pro_icon.png</x:v>
      </x:c>
      <x:c r="I82" s="24" t="str">
        <x:v>c2eab608e2f22d55399d6e4ae9b1b706</x:v>
      </x:c>
      <x:c r="J82" s="24" t="str"/>
      <x:c r="K82" s="24" t="str">
        <x:v>VS-UI-001;UX-VIS</x:v>
      </x:c>
      <x:c r="L82" s="24" t="n">
        <x:v>16</x:v>
      </x:c>
      <x:c r="M82" s="24" t="str">
        <x:v>H6</x:v>
      </x:c>
      <x:c r="N82" s="24" t="str"/>
      <x:c r="O82" s="24" t="str">
        <x:v>BLD-016-POST</x:v>
      </x:c>
      <x:c r="P82" s="24" t="str">
        <x:v>Internal/Approved</x:v>
      </x:c>
      <x:c r="Q82" s="24" t="str"/>
      <x:c r="R82" s="24" t="str">
        <x:v>10_UI_Iconos_Fuentes</x:v>
      </x:c>
      <x:c r="S82" s="24" t="str">
        <x:f>"T"&amp;IF(AND(H82&lt;&gt;"",I82&lt;&gt;"",K82&lt;&gt;"",N82&lt;&gt;"",P82&lt;&gt;""),5,IF(AND(H82&lt;&gt;"",K82&lt;&gt;"",G82&lt;&gt;""),4,IF(AND(H82&lt;&gt;"",K82&lt;&gt;""),3,IF(H82&lt;&gt;"",2,1))))</x:f>
        <x:v>T4</x:v>
      </x:c>
      <x:c r="T82" s="24" t="str">
        <x:v>VRM Games</x:v>
      </x:c>
      <x:c r="U82" s="24" t="str"/>
    </x:row>
    <x:row r="83" ht="34" customHeight="1">
      <x:c r="A83" s="24" t="str">
        <x:v>TRC-0079</x:v>
      </x:c>
      <x:c r="B83" s="24" t="str">
        <x:v>UI-FNT-001</x:v>
      </x:c>
      <x:c r="C83" s="24" t="str">
        <x:v>UI</x:v>
      </x:c>
      <x:c r="D83" s="24" t="str">
        <x:v>LegacyRuntime.ttf</x:v>
      </x:c>
      <x:c r="E83" s="24" t="str">
        <x:v>TECHNICAL FALLBACK</x:v>
      </x:c>
      <x:c r="F83" s="24" t="str">
        <x:v>Runtime fallback only</x:v>
      </x:c>
      <x:c r="G83" s="24" t="str">
        <x:v>No production font asset</x:v>
      </x:c>
      <x:c r="H83" s="24" t="str">
        <x:v>Built-in/runtime</x:v>
      </x:c>
      <x:c r="I83" s="24" t="str">
        <x:v>LegacyRuntime.ttf</x:v>
      </x:c>
      <x:c r="J83" s="24" t="str"/>
      <x:c r="K83" s="24" t="str">
        <x:v>VS-UI-001</x:v>
      </x:c>
      <x:c r="L83" s="24" t="n">
        <x:v>15</x:v>
      </x:c>
      <x:c r="M83" s="24" t="str">
        <x:v>H6</x:v>
      </x:c>
      <x:c r="N83" s="24" t="str"/>
      <x:c r="O83" s="24" t="str"/>
      <x:c r="P83" s="24" t="str">
        <x:v>Internal</x:v>
      </x:c>
      <x:c r="Q83" s="24" t="str">
        <x:v>Replace/approve font</x:v>
      </x:c>
      <x:c r="R83" s="24" t="str">
        <x:v>10_UI_Iconos_Fuentes</x:v>
      </x:c>
      <x:c r="S83" s="24" t="str">
        <x:f>"T"&amp;IF(AND(H83&lt;&gt;"",I83&lt;&gt;"",K83&lt;&gt;"",N83&lt;&gt;"",P83&lt;&gt;""),5,IF(AND(H83&lt;&gt;"",K83&lt;&gt;"",G83&lt;&gt;""),4,IF(AND(H83&lt;&gt;"",K83&lt;&gt;""),3,IF(H83&lt;&gt;"",2,1))))</x:f>
        <x:v>T4</x:v>
      </x:c>
      <x:c r="T83" s="24" t="str">
        <x:v>VRM Games</x:v>
      </x:c>
      <x:c r="U83" s="24" t="str">
        <x:v>No TTF/OTF production asset demonstrated.</x:v>
      </x:c>
    </x:row>
    <x:row r="84" ht="34" customHeight="1">
      <x:c r="A84" s="24" t="str">
        <x:v>TRC-0080</x:v>
      </x:c>
      <x:c r="B84" s="24" t="str">
        <x:v>UI-FNT-002</x:v>
      </x:c>
      <x:c r="C84" s="24" t="str">
        <x:v>UI</x:v>
      </x:c>
      <x:c r="D84" s="24" t="str">
        <x:v>Production font family</x:v>
      </x:c>
      <x:c r="E84" s="24" t="str">
        <x:v>PLANNED</x:v>
      </x:c>
      <x:c r="F84" s="24" t="str">
        <x:v>Not imported</x:v>
      </x:c>
      <x:c r="G84" s="24" t="str">
        <x:v>License and glyph coverage pending</x:v>
      </x:c>
      <x:c r="H84" s="24" t="str"/>
      <x:c r="I84" s="24" t="str"/>
      <x:c r="J84" s="24" t="str"/>
      <x:c r="K84" s="24" t="str">
        <x:v>VS-UI-002</x:v>
      </x:c>
      <x:c r="L84" s="24" t="n">
        <x:v>17</x:v>
      </x:c>
      <x:c r="M84" s="24" t="str">
        <x:v>H6</x:v>
      </x:c>
      <x:c r="N84" s="24" t="str"/>
      <x:c r="O84" s="24" t="str">
        <x:v>BLD-H6</x:v>
      </x:c>
      <x:c r="P84" s="24" t="str">
        <x:v>Internal</x:v>
      </x:c>
      <x:c r="Q84" s="24" t="str">
        <x:v>Missing</x:v>
      </x:c>
      <x:c r="R84" s="24" t="str">
        <x:v>10_UI_Iconos_Fuentes</x:v>
      </x:c>
      <x:c r="S84" s="24" t="str">
        <x:f>"T"&amp;IF(AND(H84&lt;&gt;"",I84&lt;&gt;"",K84&lt;&gt;"",N84&lt;&gt;"",P84&lt;&gt;""),5,IF(AND(H84&lt;&gt;"",K84&lt;&gt;"",G84&lt;&gt;""),4,IF(AND(H84&lt;&gt;"",K84&lt;&gt;""),3,IF(H84&lt;&gt;"",2,1))))</x:f>
        <x:v>T1</x:v>
      </x:c>
      <x:c r="T84" s="24" t="str">
        <x:v>VRM Games</x:v>
      </x:c>
      <x:c r="U84" s="24" t="str">
        <x:v>Must support ES/EN and fallback.</x:v>
      </x:c>
    </x:row>
    <x:row r="85" ht="34" customHeight="1">
      <x:c r="A85" s="24" t="str">
        <x:v>TRC-0081</x:v>
      </x:c>
      <x:c r="B85" s="24" t="str">
        <x:v>UI-ICO-ACC</x:v>
      </x:c>
      <x:c r="C85" s="24" t="str">
        <x:v>UI</x:v>
      </x:c>
      <x:c r="D85" s="24" t="str">
        <x:v>Accessibility icon set</x:v>
      </x:c>
      <x:c r="E85" s="24" t="str">
        <x:v>PLANNED</x:v>
      </x:c>
      <x:c r="F85" s="24" t="str">
        <x:v>Not imported</x:v>
      </x:c>
      <x:c r="G85" s="24" t="str">
        <x:v>Pending H6</x:v>
      </x:c>
      <x:c r="H85" s="24" t="str"/>
      <x:c r="I85" s="24" t="str"/>
      <x:c r="J85" s="24" t="str"/>
      <x:c r="K85" s="24" t="str">
        <x:v>VS-UI-003</x:v>
      </x:c>
      <x:c r="L85" s="24" t="n">
        <x:v>17</x:v>
      </x:c>
      <x:c r="M85" s="24" t="str">
        <x:v>H6</x:v>
      </x:c>
      <x:c r="N85" s="24" t="str"/>
      <x:c r="O85" s="24" t="str">
        <x:v>BLD-H6</x:v>
      </x:c>
      <x:c r="P85" s="24" t="str">
        <x:v>Internal</x:v>
      </x:c>
      <x:c r="Q85" s="24" t="str">
        <x:v>Missing</x:v>
      </x:c>
      <x:c r="R85" s="24" t="str">
        <x:v>10_UI_Iconos_Fuentes</x:v>
      </x:c>
      <x:c r="S85" s="24" t="str">
        <x:f>"T"&amp;IF(AND(H85&lt;&gt;"",I85&lt;&gt;"",K85&lt;&gt;"",N85&lt;&gt;"",P85&lt;&gt;""),5,IF(AND(H85&lt;&gt;"",K85&lt;&gt;"",G85&lt;&gt;""),4,IF(AND(H85&lt;&gt;"",K85&lt;&gt;""),3,IF(H85&lt;&gt;"",2,1))))</x:f>
        <x:v>T1</x:v>
      </x:c>
      <x:c r="T85" s="24" t="str">
        <x:v>VRM Games</x:v>
      </x:c>
      <x:c r="U85" s="24" t="str">
        <x:v>Production tracker UI-007.</x:v>
      </x:c>
    </x:row>
    <x:row r="86" ht="34" customHeight="1">
      <x:c r="A86" s="24" t="str">
        <x:v>TRC-0082</x:v>
      </x:c>
      <x:c r="B86" s="24" t="str">
        <x:v>UI-CMP-001</x:v>
      </x:c>
      <x:c r="C86" s="24" t="str">
        <x:v>UI</x:v>
      </x:c>
      <x:c r="D86" s="24" t="str">
        <x:v>Shared UI component library</x:v>
      </x:c>
      <x:c r="E86" s="24" t="str">
        <x:v>DEBT</x:v>
      </x:c>
      <x:c r="F86" s="24" t="str">
        <x:v>Two runtime factories</x:v>
      </x:c>
      <x:c r="G86" s="24" t="str">
        <x:v>QA pending</x:v>
      </x:c>
      <x:c r="H86" s="24" t="str"/>
      <x:c r="I86" s="24" t="str"/>
      <x:c r="J86" s="24" t="str"/>
      <x:c r="K86" s="24" t="str">
        <x:v>VS-UI-001</x:v>
      </x:c>
      <x:c r="L86" s="24" t="n">
        <x:v>17</x:v>
      </x:c>
      <x:c r="M86" s="24" t="str">
        <x:v>H6</x:v>
      </x:c>
      <x:c r="N86" s="24" t="str"/>
      <x:c r="O86" s="24" t="str">
        <x:v>BLD-H6</x:v>
      </x:c>
      <x:c r="P86" s="24" t="str">
        <x:v>Internal</x:v>
      </x:c>
      <x:c r="Q86" s="24" t="str">
        <x:v>Duplicated styles</x:v>
      </x:c>
      <x:c r="R86" s="24" t="str">
        <x:v>10_UI_Iconos_Fuentes</x:v>
      </x:c>
      <x:c r="S86" s="24" t="str">
        <x:f>"T"&amp;IF(AND(H86&lt;&gt;"",I86&lt;&gt;"",K86&lt;&gt;"",N86&lt;&gt;"",P86&lt;&gt;""),5,IF(AND(H86&lt;&gt;"",K86&lt;&gt;"",G86&lt;&gt;""),4,IF(AND(H86&lt;&gt;"",K86&lt;&gt;""),3,IF(H86&lt;&gt;"",2,1))))</x:f>
        <x:v>T1</x:v>
      </x:c>
      <x:c r="T86" s="24" t="str">
        <x:v>VRM Games</x:v>
      </x:c>
      <x:c r="U86" s="24" t="str">
        <x:v>Unify tokens/factories after click-through fix.</x:v>
      </x:c>
    </x:row>
    <x:row r="87" ht="34" customHeight="1">
      <x:c r="A87" s="24" t="str">
        <x:v>TRC-0083</x:v>
      </x:c>
      <x:c r="B87" s="24" t="str">
        <x:v>AUD-CLP-001</x:v>
      </x:c>
      <x:c r="C87" s="24" t="str">
        <x:v>Audio</x:v>
      </x:c>
      <x:c r="D87" s="24" t="str">
        <x:v>StoreAmbience.wav</x:v>
      </x:c>
      <x:c r="E87" s="24" t="str">
        <x:v>REPRESENTATIVE / PLACEHOLDER</x:v>
      </x:c>
      <x:c r="F87" s="24" t="str">
        <x:v>Imported + catalog mapped</x:v>
      </x:c>
      <x:c r="G87" s="24" t="str">
        <x:v>Technical mapping PASS / mix pending</x:v>
      </x:c>
      <x:c r="H87" s="24" t="str">
        <x:v>Assets/_Project/Audio/Ambience/StoreAmbience.wav</x:v>
      </x:c>
      <x:c r="I87" s="24" t="str">
        <x:v>cb709afe7703b9cab572cc895a085ff2</x:v>
      </x:c>
      <x:c r="J87" s="24" t="str"/>
      <x:c r="K87" s="24" t="str">
        <x:v>VS-AUD-001</x:v>
      </x:c>
      <x:c r="L87" s="24" t="n">
        <x:v>16</x:v>
      </x:c>
      <x:c r="M87" s="24" t="str">
        <x:v>H6</x:v>
      </x:c>
      <x:c r="N87" s="24" t="str">
        <x:v>AudioCatalog + listening campaign pending</x:v>
      </x:c>
      <x:c r="O87" s="24" t="str">
        <x:v>BLD-016-POST</x:v>
      </x:c>
      <x:c r="P87" s="24" t="str">
        <x:v>Internal/Approved pending register</x:v>
      </x:c>
      <x:c r="Q87" s="24" t="str">
        <x:v>4s mono loop</x:v>
      </x:c>
      <x:c r="R87" s="24" t="str">
        <x:v>11_Audio</x:v>
      </x:c>
      <x:c r="S87" s="24" t="str">
        <x:f>"T"&amp;IF(AND(H87&lt;&gt;"",I87&lt;&gt;"",K87&lt;&gt;"",N87&lt;&gt;"",P87&lt;&gt;""),5,IF(AND(H87&lt;&gt;"",K87&lt;&gt;"",G87&lt;&gt;""),4,IF(AND(H87&lt;&gt;"",K87&lt;&gt;""),3,IF(H87&lt;&gt;"",2,1))))</x:f>
        <x:v>T5</x:v>
      </x:c>
      <x:c r="T87" s="24" t="str">
        <x:v>VRM Games</x:v>
      </x:c>
      <x:c r="U87" s="24" t="str"/>
    </x:row>
    <x:row r="88" ht="34" customHeight="1">
      <x:c r="A88" s="24" t="str">
        <x:v>TRC-0084</x:v>
      </x:c>
      <x:c r="B88" s="24" t="str">
        <x:v>AUD-CLP-002</x:v>
      </x:c>
      <x:c r="C88" s="24" t="str">
        <x:v>Audio</x:v>
      </x:c>
      <x:c r="D88" s="24" t="str">
        <x:v>StoreMusic.wav</x:v>
      </x:c>
      <x:c r="E88" s="24" t="str">
        <x:v>REPRESENTATIVE / PLACEHOLDER</x:v>
      </x:c>
      <x:c r="F88" s="24" t="str">
        <x:v>Imported + catalog mapped</x:v>
      </x:c>
      <x:c r="G88" s="24" t="str">
        <x:v>Technical mapping PASS / mix pending</x:v>
      </x:c>
      <x:c r="H88" s="24" t="str">
        <x:v>Assets/_Project/Audio/Music/StoreMusic.wav</x:v>
      </x:c>
      <x:c r="I88" s="24" t="str">
        <x:v>0690c7c8ed5fb2713089b8f9a4ac688f</x:v>
      </x:c>
      <x:c r="J88" s="24" t="str"/>
      <x:c r="K88" s="24" t="str">
        <x:v>VS-AUD-001</x:v>
      </x:c>
      <x:c r="L88" s="24" t="n">
        <x:v>16</x:v>
      </x:c>
      <x:c r="M88" s="24" t="str">
        <x:v>H6</x:v>
      </x:c>
      <x:c r="N88" s="24" t="str">
        <x:v>AudioCatalog + listening campaign pending</x:v>
      </x:c>
      <x:c r="O88" s="24" t="str">
        <x:v>BLD-016-POST</x:v>
      </x:c>
      <x:c r="P88" s="24" t="str">
        <x:v>Internal/Approved pending register</x:v>
      </x:c>
      <x:c r="Q88" s="24" t="str">
        <x:v>4s mono loop</x:v>
      </x:c>
      <x:c r="R88" s="24" t="str">
        <x:v>11_Audio</x:v>
      </x:c>
      <x:c r="S88" s="24" t="str">
        <x:f>"T"&amp;IF(AND(H88&lt;&gt;"",I88&lt;&gt;"",K88&lt;&gt;"",N88&lt;&gt;"",P88&lt;&gt;""),5,IF(AND(H88&lt;&gt;"",K88&lt;&gt;"",G88&lt;&gt;""),4,IF(AND(H88&lt;&gt;"",K88&lt;&gt;""),3,IF(H88&lt;&gt;"",2,1))))</x:f>
        <x:v>T5</x:v>
      </x:c>
      <x:c r="T88" s="24" t="str">
        <x:v>VRM Games</x:v>
      </x:c>
      <x:c r="U88" s="24" t="str"/>
    </x:row>
    <x:row r="89" ht="34" customHeight="1">
      <x:c r="A89" s="24" t="str">
        <x:v>TRC-0085</x:v>
      </x:c>
      <x:c r="B89" s="24" t="str">
        <x:v>AUD-CLP-003</x:v>
      </x:c>
      <x:c r="C89" s="24" t="str">
        <x:v>Audio</x:v>
      </x:c>
      <x:c r="D89" s="24" t="str">
        <x:v>Checkout.wav</x:v>
      </x:c>
      <x:c r="E89" s="24" t="str">
        <x:v>REPRESENTATIVE / PLACEHOLDER</x:v>
      </x:c>
      <x:c r="F89" s="24" t="str">
        <x:v>Imported + catalog mapped</x:v>
      </x:c>
      <x:c r="G89" s="24" t="str">
        <x:v>Technical mapping PASS / mix pending</x:v>
      </x:c>
      <x:c r="H89" s="24" t="str">
        <x:v>Assets/_Project/Audio/SFX/Checkout.wav</x:v>
      </x:c>
      <x:c r="I89" s="24" t="str">
        <x:v>ba31e4719471578fa9cae09368b54822</x:v>
      </x:c>
      <x:c r="J89" s="24" t="str"/>
      <x:c r="K89" s="24" t="str">
        <x:v>VS-AUD-001</x:v>
      </x:c>
      <x:c r="L89" s="24" t="n">
        <x:v>16</x:v>
      </x:c>
      <x:c r="M89" s="24" t="str">
        <x:v>H6</x:v>
      </x:c>
      <x:c r="N89" s="24" t="str">
        <x:v>AudioCatalog + listening campaign pending</x:v>
      </x:c>
      <x:c r="O89" s="24" t="str">
        <x:v>BLD-016-POST</x:v>
      </x:c>
      <x:c r="P89" s="24" t="str">
        <x:v>Internal/Approved pending register</x:v>
      </x:c>
      <x:c r="Q89" s="24" t="str">
        <x:v>Variation/concurrency missing</x:v>
      </x:c>
      <x:c r="R89" s="24" t="str">
        <x:v>11_Audio</x:v>
      </x:c>
      <x:c r="S89" s="24" t="str">
        <x:f>"T"&amp;IF(AND(H89&lt;&gt;"",I89&lt;&gt;"",K89&lt;&gt;"",N89&lt;&gt;"",P89&lt;&gt;""),5,IF(AND(H89&lt;&gt;"",K89&lt;&gt;"",G89&lt;&gt;""),4,IF(AND(H89&lt;&gt;"",K89&lt;&gt;""),3,IF(H89&lt;&gt;"",2,1))))</x:f>
        <x:v>T5</x:v>
      </x:c>
      <x:c r="T89" s="24" t="str">
        <x:v>VRM Games</x:v>
      </x:c>
      <x:c r="U89" s="24" t="str"/>
    </x:row>
    <x:row r="90" ht="34" customHeight="1">
      <x:c r="A90" s="24" t="str">
        <x:v>TRC-0086</x:v>
      </x:c>
      <x:c r="B90" s="24" t="str">
        <x:v>AUD-CLP-004</x:v>
      </x:c>
      <x:c r="C90" s="24" t="str">
        <x:v>Audio</x:v>
      </x:c>
      <x:c r="D90" s="24" t="str">
        <x:v>DayClosed.wav</x:v>
      </x:c>
      <x:c r="E90" s="24" t="str">
        <x:v>REPRESENTATIVE / PLACEHOLDER</x:v>
      </x:c>
      <x:c r="F90" s="24" t="str">
        <x:v>Imported + catalog mapped</x:v>
      </x:c>
      <x:c r="G90" s="24" t="str">
        <x:v>Technical mapping PASS / mix pending</x:v>
      </x:c>
      <x:c r="H90" s="24" t="str">
        <x:v>Assets/_Project/Audio/SFX/DayClosed.wav</x:v>
      </x:c>
      <x:c r="I90" s="24" t="str">
        <x:v>afa05dd2e9a4ff3ace16f07967ef65c9</x:v>
      </x:c>
      <x:c r="J90" s="24" t="str"/>
      <x:c r="K90" s="24" t="str">
        <x:v>VS-AUD-001</x:v>
      </x:c>
      <x:c r="L90" s="24" t="n">
        <x:v>16</x:v>
      </x:c>
      <x:c r="M90" s="24" t="str">
        <x:v>H6</x:v>
      </x:c>
      <x:c r="N90" s="24" t="str">
        <x:v>AudioCatalog + listening campaign pending</x:v>
      </x:c>
      <x:c r="O90" s="24" t="str">
        <x:v>BLD-016-POST</x:v>
      </x:c>
      <x:c r="P90" s="24" t="str">
        <x:v>Internal/Approved pending register</x:v>
      </x:c>
      <x:c r="Q90" s="24" t="str">
        <x:v>Variation/concurrency missing</x:v>
      </x:c>
      <x:c r="R90" s="24" t="str">
        <x:v>11_Audio</x:v>
      </x:c>
      <x:c r="S90" s="24" t="str">
        <x:f>"T"&amp;IF(AND(H90&lt;&gt;"",I90&lt;&gt;"",K90&lt;&gt;"",N90&lt;&gt;"",P90&lt;&gt;""),5,IF(AND(H90&lt;&gt;"",K90&lt;&gt;"",G90&lt;&gt;""),4,IF(AND(H90&lt;&gt;"",K90&lt;&gt;""),3,IF(H90&lt;&gt;"",2,1))))</x:f>
        <x:v>T5</x:v>
      </x:c>
      <x:c r="T90" s="24" t="str">
        <x:v>VRM Games</x:v>
      </x:c>
      <x:c r="U90" s="24" t="str"/>
    </x:row>
    <x:row r="91" ht="34" customHeight="1">
      <x:c r="A91" s="24" t="str">
        <x:v>TRC-0087</x:v>
      </x:c>
      <x:c r="B91" s="24" t="str">
        <x:v>AUD-CLP-005</x:v>
      </x:c>
      <x:c r="C91" s="24" t="str">
        <x:v>Audio</x:v>
      </x:c>
      <x:c r="D91" s="24" t="str">
        <x:v>Door.wav</x:v>
      </x:c>
      <x:c r="E91" s="24" t="str">
        <x:v>REPRESENTATIVE / PLACEHOLDER</x:v>
      </x:c>
      <x:c r="F91" s="24" t="str">
        <x:v>Imported + catalog mapped</x:v>
      </x:c>
      <x:c r="G91" s="24" t="str">
        <x:v>Technical mapping PASS / mix pending</x:v>
      </x:c>
      <x:c r="H91" s="24" t="str">
        <x:v>Assets/_Project/Audio/SFX/Door.wav</x:v>
      </x:c>
      <x:c r="I91" s="24" t="str">
        <x:v>2a3bd6d7753bf8508bed82d14fa64b9f</x:v>
      </x:c>
      <x:c r="J91" s="24" t="str"/>
      <x:c r="K91" s="24" t="str">
        <x:v>VS-AUD-001</x:v>
      </x:c>
      <x:c r="L91" s="24" t="n">
        <x:v>16</x:v>
      </x:c>
      <x:c r="M91" s="24" t="str">
        <x:v>H6</x:v>
      </x:c>
      <x:c r="N91" s="24" t="str">
        <x:v>AudioCatalog + listening campaign pending</x:v>
      </x:c>
      <x:c r="O91" s="24" t="str">
        <x:v>BLD-016-POST</x:v>
      </x:c>
      <x:c r="P91" s="24" t="str">
        <x:v>Internal/Approved pending register</x:v>
      </x:c>
      <x:c r="Q91" s="24" t="str">
        <x:v>Variation/concurrency missing</x:v>
      </x:c>
      <x:c r="R91" s="24" t="str">
        <x:v>11_Audio</x:v>
      </x:c>
      <x:c r="S91" s="24" t="str">
        <x:f>"T"&amp;IF(AND(H91&lt;&gt;"",I91&lt;&gt;"",K91&lt;&gt;"",N91&lt;&gt;"",P91&lt;&gt;""),5,IF(AND(H91&lt;&gt;"",K91&lt;&gt;"",G91&lt;&gt;""),4,IF(AND(H91&lt;&gt;"",K91&lt;&gt;""),3,IF(H91&lt;&gt;"",2,1))))</x:f>
        <x:v>T5</x:v>
      </x:c>
      <x:c r="T91" s="24" t="str">
        <x:v>VRM Games</x:v>
      </x:c>
      <x:c r="U91" s="24" t="str"/>
    </x:row>
    <x:row r="92" ht="34" customHeight="1">
      <x:c r="A92" s="24" t="str">
        <x:v>TRC-0088</x:v>
      </x:c>
      <x:c r="B92" s="24" t="str">
        <x:v>AUD-CLP-006</x:v>
      </x:c>
      <x:c r="C92" s="24" t="str">
        <x:v>Audio</x:v>
      </x:c>
      <x:c r="D92" s="24" t="str">
        <x:v>OrderReceived.wav</x:v>
      </x:c>
      <x:c r="E92" s="24" t="str">
        <x:v>REPRESENTATIVE / PLACEHOLDER</x:v>
      </x:c>
      <x:c r="F92" s="24" t="str">
        <x:v>Imported + catalog mapped</x:v>
      </x:c>
      <x:c r="G92" s="24" t="str">
        <x:v>Technical mapping PASS / mix pending</x:v>
      </x:c>
      <x:c r="H92" s="24" t="str">
        <x:v>Assets/_Project/Audio/SFX/OrderReceived.wav</x:v>
      </x:c>
      <x:c r="I92" s="24" t="str">
        <x:v>8e2b37d1127285ee1cc44a3d0a8a98c4</x:v>
      </x:c>
      <x:c r="J92" s="24" t="str"/>
      <x:c r="K92" s="24" t="str">
        <x:v>VS-AUD-001</x:v>
      </x:c>
      <x:c r="L92" s="24" t="n">
        <x:v>16</x:v>
      </x:c>
      <x:c r="M92" s="24" t="str">
        <x:v>H6</x:v>
      </x:c>
      <x:c r="N92" s="24" t="str">
        <x:v>AudioCatalog + listening campaign pending</x:v>
      </x:c>
      <x:c r="O92" s="24" t="str">
        <x:v>BLD-016-POST</x:v>
      </x:c>
      <x:c r="P92" s="24" t="str">
        <x:v>Internal/Approved pending register</x:v>
      </x:c>
      <x:c r="Q92" s="24" t="str">
        <x:v>Variation/concurrency missing</x:v>
      </x:c>
      <x:c r="R92" s="24" t="str">
        <x:v>11_Audio</x:v>
      </x:c>
      <x:c r="S92" s="24" t="str">
        <x:f>"T"&amp;IF(AND(H92&lt;&gt;"",I92&lt;&gt;"",K92&lt;&gt;"",N92&lt;&gt;"",P92&lt;&gt;""),5,IF(AND(H92&lt;&gt;"",K92&lt;&gt;"",G92&lt;&gt;""),4,IF(AND(H92&lt;&gt;"",K92&lt;&gt;""),3,IF(H92&lt;&gt;"",2,1))))</x:f>
        <x:v>T5</x:v>
      </x:c>
      <x:c r="T92" s="24" t="str">
        <x:v>VRM Games</x:v>
      </x:c>
      <x:c r="U92" s="24" t="str"/>
    </x:row>
    <x:row r="93" ht="34" customHeight="1">
      <x:c r="A93" s="24" t="str">
        <x:v>TRC-0089</x:v>
      </x:c>
      <x:c r="B93" s="24" t="str">
        <x:v>AUD-CLP-007</x:v>
      </x:c>
      <x:c r="C93" s="24" t="str">
        <x:v>Audio</x:v>
      </x:c>
      <x:c r="D93" s="24" t="str">
        <x:v>PlacementInvalid.wav</x:v>
      </x:c>
      <x:c r="E93" s="24" t="str">
        <x:v>REPRESENTATIVE / PLACEHOLDER</x:v>
      </x:c>
      <x:c r="F93" s="24" t="str">
        <x:v>Imported + catalog mapped</x:v>
      </x:c>
      <x:c r="G93" s="24" t="str">
        <x:v>Technical mapping PASS / mix pending</x:v>
      </x:c>
      <x:c r="H93" s="24" t="str">
        <x:v>Assets/_Project/Audio/SFX/PlacementInvalid.wav</x:v>
      </x:c>
      <x:c r="I93" s="24" t="str">
        <x:v>ee743d39450d02dbca20e8ce90864804</x:v>
      </x:c>
      <x:c r="J93" s="24" t="str"/>
      <x:c r="K93" s="24" t="str">
        <x:v>VS-AUD-001</x:v>
      </x:c>
      <x:c r="L93" s="24" t="n">
        <x:v>16</x:v>
      </x:c>
      <x:c r="M93" s="24" t="str">
        <x:v>H6</x:v>
      </x:c>
      <x:c r="N93" s="24" t="str">
        <x:v>AudioCatalog + listening campaign pending</x:v>
      </x:c>
      <x:c r="O93" s="24" t="str">
        <x:v>BLD-016-POST</x:v>
      </x:c>
      <x:c r="P93" s="24" t="str">
        <x:v>Internal/Approved pending register</x:v>
      </x:c>
      <x:c r="Q93" s="24" t="str">
        <x:v>Variation/concurrency missing</x:v>
      </x:c>
      <x:c r="R93" s="24" t="str">
        <x:v>11_Audio</x:v>
      </x:c>
      <x:c r="S93" s="24" t="str">
        <x:f>"T"&amp;IF(AND(H93&lt;&gt;"",I93&lt;&gt;"",K93&lt;&gt;"",N93&lt;&gt;"",P93&lt;&gt;""),5,IF(AND(H93&lt;&gt;"",K93&lt;&gt;"",G93&lt;&gt;""),4,IF(AND(H93&lt;&gt;"",K93&lt;&gt;""),3,IF(H93&lt;&gt;"",2,1))))</x:f>
        <x:v>T5</x:v>
      </x:c>
      <x:c r="T93" s="24" t="str">
        <x:v>VRM Games</x:v>
      </x:c>
      <x:c r="U93" s="24" t="str"/>
    </x:row>
    <x:row r="94" ht="34" customHeight="1">
      <x:c r="A94" s="24" t="str">
        <x:v>TRC-0090</x:v>
      </x:c>
      <x:c r="B94" s="24" t="str">
        <x:v>AUD-CLP-008</x:v>
      </x:c>
      <x:c r="C94" s="24" t="str">
        <x:v>Audio</x:v>
      </x:c>
      <x:c r="D94" s="24" t="str">
        <x:v>PlacementValid.wav</x:v>
      </x:c>
      <x:c r="E94" s="24" t="str">
        <x:v>REPRESENTATIVE / PLACEHOLDER</x:v>
      </x:c>
      <x:c r="F94" s="24" t="str">
        <x:v>Imported + catalog mapped</x:v>
      </x:c>
      <x:c r="G94" s="24" t="str">
        <x:v>Technical mapping PASS / mix pending</x:v>
      </x:c>
      <x:c r="H94" s="24" t="str">
        <x:v>Assets/_Project/Audio/SFX/PlacementValid.wav</x:v>
      </x:c>
      <x:c r="I94" s="24" t="str">
        <x:v>7481deec07256d3dfc630e4a8f73719e</x:v>
      </x:c>
      <x:c r="J94" s="24" t="str"/>
      <x:c r="K94" s="24" t="str">
        <x:v>VS-AUD-001</x:v>
      </x:c>
      <x:c r="L94" s="24" t="n">
        <x:v>16</x:v>
      </x:c>
      <x:c r="M94" s="24" t="str">
        <x:v>H6</x:v>
      </x:c>
      <x:c r="N94" s="24" t="str">
        <x:v>AudioCatalog + listening campaign pending</x:v>
      </x:c>
      <x:c r="O94" s="24" t="str">
        <x:v>BLD-016-POST</x:v>
      </x:c>
      <x:c r="P94" s="24" t="str">
        <x:v>Internal/Approved pending register</x:v>
      </x:c>
      <x:c r="Q94" s="24" t="str">
        <x:v>Variation/concurrency missing</x:v>
      </x:c>
      <x:c r="R94" s="24" t="str">
        <x:v>11_Audio</x:v>
      </x:c>
      <x:c r="S94" s="24" t="str">
        <x:f>"T"&amp;IF(AND(H94&lt;&gt;"",I94&lt;&gt;"",K94&lt;&gt;"",N94&lt;&gt;"",P94&lt;&gt;""),5,IF(AND(H94&lt;&gt;"",K94&lt;&gt;"",G94&lt;&gt;""),4,IF(AND(H94&lt;&gt;"",K94&lt;&gt;""),3,IF(H94&lt;&gt;"",2,1))))</x:f>
        <x:v>T5</x:v>
      </x:c>
      <x:c r="T94" s="24" t="str">
        <x:v>VRM Games</x:v>
      </x:c>
      <x:c r="U94" s="24" t="str"/>
    </x:row>
    <x:row r="95" ht="34" customHeight="1">
      <x:c r="A95" s="24" t="str">
        <x:v>TRC-0091</x:v>
      </x:c>
      <x:c r="B95" s="24" t="str">
        <x:v>AUD-CLP-009</x:v>
      </x:c>
      <x:c r="C95" s="24" t="str">
        <x:v>Audio</x:v>
      </x:c>
      <x:c r="D95" s="24" t="str">
        <x:v>UiConfirm.wav</x:v>
      </x:c>
      <x:c r="E95" s="24" t="str">
        <x:v>REPRESENTATIVE / PLACEHOLDER</x:v>
      </x:c>
      <x:c r="F95" s="24" t="str">
        <x:v>Imported + catalog mapped</x:v>
      </x:c>
      <x:c r="G95" s="24" t="str">
        <x:v>Technical mapping PASS / mix pending</x:v>
      </x:c>
      <x:c r="H95" s="24" t="str">
        <x:v>Assets/_Project/Audio/UI/UiConfirm.wav</x:v>
      </x:c>
      <x:c r="I95" s="24" t="str">
        <x:v>d9bc385fea51b0ff5f60db1d28fe4650</x:v>
      </x:c>
      <x:c r="J95" s="24" t="str"/>
      <x:c r="K95" s="24" t="str">
        <x:v>VS-AUD-001</x:v>
      </x:c>
      <x:c r="L95" s="24" t="n">
        <x:v>16</x:v>
      </x:c>
      <x:c r="M95" s="24" t="str">
        <x:v>H6</x:v>
      </x:c>
      <x:c r="N95" s="24" t="str">
        <x:v>AudioCatalog + listening campaign pending</x:v>
      </x:c>
      <x:c r="O95" s="24" t="str">
        <x:v>BLD-016-POST</x:v>
      </x:c>
      <x:c r="P95" s="24" t="str">
        <x:v>Internal/Approved pending register</x:v>
      </x:c>
      <x:c r="Q95" s="24" t="str">
        <x:v>Variation/concurrency missing</x:v>
      </x:c>
      <x:c r="R95" s="24" t="str">
        <x:v>11_Audio</x:v>
      </x:c>
      <x:c r="S95" s="24" t="str">
        <x:f>"T"&amp;IF(AND(H95&lt;&gt;"",I95&lt;&gt;"",K95&lt;&gt;"",N95&lt;&gt;"",P95&lt;&gt;""),5,IF(AND(H95&lt;&gt;"",K95&lt;&gt;"",G95&lt;&gt;""),4,IF(AND(H95&lt;&gt;"",K95&lt;&gt;""),3,IF(H95&lt;&gt;"",2,1))))</x:f>
        <x:v>T5</x:v>
      </x:c>
      <x:c r="T95" s="24" t="str">
        <x:v>VRM Games</x:v>
      </x:c>
      <x:c r="U95" s="24" t="str"/>
    </x:row>
    <x:row r="96" ht="34" customHeight="1">
      <x:c r="A96" s="24" t="str">
        <x:v>TRC-0092</x:v>
      </x:c>
      <x:c r="B96" s="24" t="str">
        <x:v>AUD-CLP-010</x:v>
      </x:c>
      <x:c r="C96" s="24" t="str">
        <x:v>Audio</x:v>
      </x:c>
      <x:c r="D96" s="24" t="str">
        <x:v>UiError.wav</x:v>
      </x:c>
      <x:c r="E96" s="24" t="str">
        <x:v>REPRESENTATIVE / PLACEHOLDER</x:v>
      </x:c>
      <x:c r="F96" s="24" t="str">
        <x:v>Imported + catalog mapped</x:v>
      </x:c>
      <x:c r="G96" s="24" t="str">
        <x:v>Technical mapping PASS / mix pending</x:v>
      </x:c>
      <x:c r="H96" s="24" t="str">
        <x:v>Assets/_Project/Audio/UI/UiError.wav</x:v>
      </x:c>
      <x:c r="I96" s="24" t="str">
        <x:v>b2633481fff90cc387bf1bf6d7429bc1</x:v>
      </x:c>
      <x:c r="J96" s="24" t="str"/>
      <x:c r="K96" s="24" t="str">
        <x:v>VS-AUD-001</x:v>
      </x:c>
      <x:c r="L96" s="24" t="n">
        <x:v>16</x:v>
      </x:c>
      <x:c r="M96" s="24" t="str">
        <x:v>H6</x:v>
      </x:c>
      <x:c r="N96" s="24" t="str">
        <x:v>AudioCatalog + listening campaign pending</x:v>
      </x:c>
      <x:c r="O96" s="24" t="str">
        <x:v>BLD-016-POST</x:v>
      </x:c>
      <x:c r="P96" s="24" t="str">
        <x:v>Internal/Approved pending register</x:v>
      </x:c>
      <x:c r="Q96" s="24" t="str">
        <x:v>Variation/concurrency missing</x:v>
      </x:c>
      <x:c r="R96" s="24" t="str">
        <x:v>11_Audio</x:v>
      </x:c>
      <x:c r="S96" s="24" t="str">
        <x:f>"T"&amp;IF(AND(H96&lt;&gt;"",I96&lt;&gt;"",K96&lt;&gt;"",N96&lt;&gt;"",P96&lt;&gt;""),5,IF(AND(H96&lt;&gt;"",K96&lt;&gt;"",G96&lt;&gt;""),4,IF(AND(H96&lt;&gt;"",K96&lt;&gt;""),3,IF(H96&lt;&gt;"",2,1))))</x:f>
        <x:v>T5</x:v>
      </x:c>
      <x:c r="T96" s="24" t="str">
        <x:v>VRM Games</x:v>
      </x:c>
      <x:c r="U96" s="24" t="str"/>
    </x:row>
    <x:row r="97" ht="34" customHeight="1">
      <x:c r="A97" s="24" t="str">
        <x:v>TRC-0093</x:v>
      </x:c>
      <x:c r="B97" s="24" t="str">
        <x:v>AUD-EVT-001</x:v>
      </x:c>
      <x:c r="C97" s="24" t="str">
        <x:v>Audio</x:v>
      </x:c>
      <x:c r="D97" s="24" t="str">
        <x:v>music.store</x:v>
      </x:c>
      <x:c r="E97" s="24" t="str">
        <x:v>CANONICAL EVENT ID</x:v>
      </x:c>
      <x:c r="F97" s="24" t="str">
        <x:v>AudioCatalog mapped</x:v>
      </x:c>
      <x:c r="G97" s="24" t="str">
        <x:v>Event mapping technical PASS / listening pending</x:v>
      </x:c>
      <x:c r="H97" s="24" t="str">
        <x:v>Assets/_Project/Audio/Music/StoreMusic.wav</x:v>
      </x:c>
      <x:c r="I97" s="24" t="str">
        <x:v>0690c7c8ed5fb2713089b8f9a4ac688f</x:v>
      </x:c>
      <x:c r="J97" s="24" t="str"/>
      <x:c r="K97" s="24" t="str">
        <x:v>VS-AUD-001</x:v>
      </x:c>
      <x:c r="L97" s="24" t="n">
        <x:v>16</x:v>
      </x:c>
      <x:c r="M97" s="24" t="str">
        <x:v>H6</x:v>
      </x:c>
      <x:c r="N97" s="24" t="str">
        <x:v>Catalog inspection</x:v>
      </x:c>
      <x:c r="O97" s="24" t="str">
        <x:v>BLD-016-POST</x:v>
      </x:c>
      <x:c r="P97" s="24" t="str">
        <x:v>Inherits clip</x:v>
      </x:c>
      <x:c r="Q97" s="24" t="str">
        <x:v>Shared clip / cooldown review</x:v>
      </x:c>
      <x:c r="R97" s="24" t="str">
        <x:v>11_Audio</x:v>
      </x:c>
      <x:c r="S97" s="24" t="str">
        <x:f>"T"&amp;IF(AND(H97&lt;&gt;"",I97&lt;&gt;"",K97&lt;&gt;"",N97&lt;&gt;"",P97&lt;&gt;""),5,IF(AND(H97&lt;&gt;"",K97&lt;&gt;"",G97&lt;&gt;""),4,IF(AND(H97&lt;&gt;"",K97&lt;&gt;""),3,IF(H97&lt;&gt;"",2,1))))</x:f>
        <x:v>T5</x:v>
      </x:c>
      <x:c r="T97" s="24" t="str">
        <x:v>VRM Games</x:v>
      </x:c>
      <x:c r="U97" s="24" t="str"/>
    </x:row>
    <x:row r="98" ht="34" customHeight="1">
      <x:c r="A98" s="24" t="str">
        <x:v>TRC-0094</x:v>
      </x:c>
      <x:c r="B98" s="24" t="str">
        <x:v>AUD-EVT-002</x:v>
      </x:c>
      <x:c r="C98" s="24" t="str">
        <x:v>Audio</x:v>
      </x:c>
      <x:c r="D98" s="24" t="str">
        <x:v>ambience.store</x:v>
      </x:c>
      <x:c r="E98" s="24" t="str">
        <x:v>CANONICAL EVENT ID</x:v>
      </x:c>
      <x:c r="F98" s="24" t="str">
        <x:v>AudioCatalog mapped</x:v>
      </x:c>
      <x:c r="G98" s="24" t="str">
        <x:v>Event mapping technical PASS / listening pending</x:v>
      </x:c>
      <x:c r="H98" s="24" t="str">
        <x:v>Assets/_Project/Audio/Ambience/StoreAmbience.wav</x:v>
      </x:c>
      <x:c r="I98" s="24" t="str">
        <x:v>cb709afe7703b9cab572cc895a085ff2</x:v>
      </x:c>
      <x:c r="J98" s="24" t="str"/>
      <x:c r="K98" s="24" t="str">
        <x:v>VS-AUD-001</x:v>
      </x:c>
      <x:c r="L98" s="24" t="n">
        <x:v>16</x:v>
      </x:c>
      <x:c r="M98" s="24" t="str">
        <x:v>H6</x:v>
      </x:c>
      <x:c r="N98" s="24" t="str">
        <x:v>Catalog inspection</x:v>
      </x:c>
      <x:c r="O98" s="24" t="str">
        <x:v>BLD-016-POST</x:v>
      </x:c>
      <x:c r="P98" s="24" t="str">
        <x:v>Inherits clip</x:v>
      </x:c>
      <x:c r="Q98" s="24" t="str">
        <x:v>Shared clip / cooldown review</x:v>
      </x:c>
      <x:c r="R98" s="24" t="str">
        <x:v>11_Audio</x:v>
      </x:c>
      <x:c r="S98" s="24" t="str">
        <x:f>"T"&amp;IF(AND(H98&lt;&gt;"",I98&lt;&gt;"",K98&lt;&gt;"",N98&lt;&gt;"",P98&lt;&gt;""),5,IF(AND(H98&lt;&gt;"",K98&lt;&gt;"",G98&lt;&gt;""),4,IF(AND(H98&lt;&gt;"",K98&lt;&gt;""),3,IF(H98&lt;&gt;"",2,1))))</x:f>
        <x:v>T5</x:v>
      </x:c>
      <x:c r="T98" s="24" t="str">
        <x:v>VRM Games</x:v>
      </x:c>
      <x:c r="U98" s="24" t="str"/>
    </x:row>
    <x:row r="99" ht="34" customHeight="1">
      <x:c r="A99" s="24" t="str">
        <x:v>TRC-0095</x:v>
      </x:c>
      <x:c r="B99" s="24" t="str">
        <x:v>AUD-EVT-003</x:v>
      </x:c>
      <x:c r="C99" s="24" t="str">
        <x:v>Audio</x:v>
      </x:c>
      <x:c r="D99" s="24" t="str">
        <x:v>feedback.placementvalid</x:v>
      </x:c>
      <x:c r="E99" s="24" t="str">
        <x:v>CANONICAL EVENT ID</x:v>
      </x:c>
      <x:c r="F99" s="24" t="str">
        <x:v>AudioCatalog mapped</x:v>
      </x:c>
      <x:c r="G99" s="24" t="str">
        <x:v>Event mapping technical PASS / listening pending</x:v>
      </x:c>
      <x:c r="H99" s="24" t="str">
        <x:v>Assets/_Project/Audio/SFX/PlacementValid.wav</x:v>
      </x:c>
      <x:c r="I99" s="24" t="str">
        <x:v>7481deec07256d3dfc630e4a8f73719e</x:v>
      </x:c>
      <x:c r="J99" s="24" t="str"/>
      <x:c r="K99" s="24" t="str">
        <x:v>VS-AUD-001</x:v>
      </x:c>
      <x:c r="L99" s="24" t="n">
        <x:v>16</x:v>
      </x:c>
      <x:c r="M99" s="24" t="str">
        <x:v>H6</x:v>
      </x:c>
      <x:c r="N99" s="24" t="str">
        <x:v>Catalog inspection</x:v>
      </x:c>
      <x:c r="O99" s="24" t="str">
        <x:v>BLD-016-POST</x:v>
      </x:c>
      <x:c r="P99" s="24" t="str">
        <x:v>Inherits clip</x:v>
      </x:c>
      <x:c r="Q99" s="24" t="str">
        <x:v>Shared clip / cooldown review</x:v>
      </x:c>
      <x:c r="R99" s="24" t="str">
        <x:v>11_Audio</x:v>
      </x:c>
      <x:c r="S99" s="24" t="str">
        <x:f>"T"&amp;IF(AND(H99&lt;&gt;"",I99&lt;&gt;"",K99&lt;&gt;"",N99&lt;&gt;"",P99&lt;&gt;""),5,IF(AND(H99&lt;&gt;"",K99&lt;&gt;"",G99&lt;&gt;""),4,IF(AND(H99&lt;&gt;"",K99&lt;&gt;""),3,IF(H99&lt;&gt;"",2,1))))</x:f>
        <x:v>T5</x:v>
      </x:c>
      <x:c r="T99" s="24" t="str">
        <x:v>VRM Games</x:v>
      </x:c>
      <x:c r="U99" s="24" t="str"/>
    </x:row>
    <x:row r="100" ht="34" customHeight="1">
      <x:c r="A100" s="24" t="str">
        <x:v>TRC-0096</x:v>
      </x:c>
      <x:c r="B100" s="24" t="str">
        <x:v>AUD-EVT-004</x:v>
      </x:c>
      <x:c r="C100" s="24" t="str">
        <x:v>Audio</x:v>
      </x:c>
      <x:c r="D100" s="24" t="str">
        <x:v>feedback.placementinvalid</x:v>
      </x:c>
      <x:c r="E100" s="24" t="str">
        <x:v>CANONICAL EVENT ID</x:v>
      </x:c>
      <x:c r="F100" s="24" t="str">
        <x:v>AudioCatalog mapped</x:v>
      </x:c>
      <x:c r="G100" s="24" t="str">
        <x:v>Event mapping technical PASS / listening pending</x:v>
      </x:c>
      <x:c r="H100" s="24" t="str">
        <x:v>Assets/_Project/Audio/SFX/PlacementInvalid.wav</x:v>
      </x:c>
      <x:c r="I100" s="24" t="str">
        <x:v>ee743d39450d02dbca20e8ce90864804</x:v>
      </x:c>
      <x:c r="J100" s="24" t="str"/>
      <x:c r="K100" s="24" t="str">
        <x:v>VS-AUD-001</x:v>
      </x:c>
      <x:c r="L100" s="24" t="n">
        <x:v>16</x:v>
      </x:c>
      <x:c r="M100" s="24" t="str">
        <x:v>H6</x:v>
      </x:c>
      <x:c r="N100" s="24" t="str">
        <x:v>Catalog inspection</x:v>
      </x:c>
      <x:c r="O100" s="24" t="str">
        <x:v>BLD-016-POST</x:v>
      </x:c>
      <x:c r="P100" s="24" t="str">
        <x:v>Inherits clip</x:v>
      </x:c>
      <x:c r="Q100" s="24" t="str">
        <x:v>Shared clip / cooldown review</x:v>
      </x:c>
      <x:c r="R100" s="24" t="str">
        <x:v>11_Audio</x:v>
      </x:c>
      <x:c r="S100" s="24" t="str">
        <x:f>"T"&amp;IF(AND(H100&lt;&gt;"",I100&lt;&gt;"",K100&lt;&gt;"",N100&lt;&gt;"",P100&lt;&gt;""),5,IF(AND(H100&lt;&gt;"",K100&lt;&gt;"",G100&lt;&gt;""),4,IF(AND(H100&lt;&gt;"",K100&lt;&gt;""),3,IF(H100&lt;&gt;"",2,1))))</x:f>
        <x:v>T5</x:v>
      </x:c>
      <x:c r="T100" s="24" t="str">
        <x:v>VRM Games</x:v>
      </x:c>
      <x:c r="U100" s="24" t="str"/>
    </x:row>
    <x:row r="101" ht="34" customHeight="1">
      <x:c r="A101" s="24" t="str">
        <x:v>TRC-0097</x:v>
      </x:c>
      <x:c r="B101" s="24" t="str">
        <x:v>AUD-EVT-005</x:v>
      </x:c>
      <x:c r="C101" s="24" t="str">
        <x:v>Audio</x:v>
      </x:c>
      <x:c r="D101" s="24" t="str">
        <x:v>feedback.objectselected</x:v>
      </x:c>
      <x:c r="E101" s="24" t="str">
        <x:v>CANONICAL EVENT ID</x:v>
      </x:c>
      <x:c r="F101" s="24" t="str">
        <x:v>AudioCatalog mapped</x:v>
      </x:c>
      <x:c r="G101" s="24" t="str">
        <x:v>Event mapping technical PASS / listening pending</x:v>
      </x:c>
      <x:c r="H101" s="24" t="str">
        <x:v>Assets/_Project/Audio/UI/UiConfirm.wav</x:v>
      </x:c>
      <x:c r="I101" s="24" t="str">
        <x:v>d9bc385fea51b0ff5f60db1d28fe4650</x:v>
      </x:c>
      <x:c r="J101" s="24" t="str"/>
      <x:c r="K101" s="24" t="str">
        <x:v>VS-AUD-001</x:v>
      </x:c>
      <x:c r="L101" s="24" t="n">
        <x:v>16</x:v>
      </x:c>
      <x:c r="M101" s="24" t="str">
        <x:v>H6</x:v>
      </x:c>
      <x:c r="N101" s="24" t="str">
        <x:v>Catalog inspection</x:v>
      </x:c>
      <x:c r="O101" s="24" t="str">
        <x:v>BLD-016-POST</x:v>
      </x:c>
      <x:c r="P101" s="24" t="str">
        <x:v>Inherits clip</x:v>
      </x:c>
      <x:c r="Q101" s="24" t="str">
        <x:v>Shared clip / cooldown review</x:v>
      </x:c>
      <x:c r="R101" s="24" t="str">
        <x:v>11_Audio</x:v>
      </x:c>
      <x:c r="S101" s="24" t="str">
        <x:f>"T"&amp;IF(AND(H101&lt;&gt;"",I101&lt;&gt;"",K101&lt;&gt;"",N101&lt;&gt;"",P101&lt;&gt;""),5,IF(AND(H101&lt;&gt;"",K101&lt;&gt;"",G101&lt;&gt;""),4,IF(AND(H101&lt;&gt;"",K101&lt;&gt;""),3,IF(H101&lt;&gt;"",2,1))))</x:f>
        <x:v>T5</x:v>
      </x:c>
      <x:c r="T101" s="24" t="str">
        <x:v>VRM Games</x:v>
      </x:c>
      <x:c r="U101" s="24" t="str"/>
    </x:row>
    <x:row r="102" ht="34" customHeight="1">
      <x:c r="A102" s="24" t="str">
        <x:v>TRC-0098</x:v>
      </x:c>
      <x:c r="B102" s="24" t="str">
        <x:v>AUD-EVT-006</x:v>
      </x:c>
      <x:c r="C102" s="24" t="str">
        <x:v>Audio</x:v>
      </x:c>
      <x:c r="D102" s="24" t="str">
        <x:v>feedback.objecthovered</x:v>
      </x:c>
      <x:c r="E102" s="24" t="str">
        <x:v>CANONICAL EVENT ID</x:v>
      </x:c>
      <x:c r="F102" s="24" t="str">
        <x:v>AudioCatalog mapped</x:v>
      </x:c>
      <x:c r="G102" s="24" t="str">
        <x:v>Event mapping technical PASS / listening pending</x:v>
      </x:c>
      <x:c r="H102" s="24" t="str">
        <x:v>Assets/_Project/Audio/UI/UiConfirm.wav</x:v>
      </x:c>
      <x:c r="I102" s="24" t="str">
        <x:v>d9bc385fea51b0ff5f60db1d28fe4650</x:v>
      </x:c>
      <x:c r="J102" s="24" t="str"/>
      <x:c r="K102" s="24" t="str">
        <x:v>VS-AUD-001</x:v>
      </x:c>
      <x:c r="L102" s="24" t="n">
        <x:v>16</x:v>
      </x:c>
      <x:c r="M102" s="24" t="str">
        <x:v>H6</x:v>
      </x:c>
      <x:c r="N102" s="24" t="str">
        <x:v>Catalog inspection</x:v>
      </x:c>
      <x:c r="O102" s="24" t="str">
        <x:v>BLD-016-POST</x:v>
      </x:c>
      <x:c r="P102" s="24" t="str">
        <x:v>Inherits clip</x:v>
      </x:c>
      <x:c r="Q102" s="24" t="str">
        <x:v>Shared clip / cooldown review</x:v>
      </x:c>
      <x:c r="R102" s="24" t="str">
        <x:v>11_Audio</x:v>
      </x:c>
      <x:c r="S102" s="24" t="str">
        <x:f>"T"&amp;IF(AND(H102&lt;&gt;"",I102&lt;&gt;"",K102&lt;&gt;"",N102&lt;&gt;"",P102&lt;&gt;""),5,IF(AND(H102&lt;&gt;"",K102&lt;&gt;"",G102&lt;&gt;""),4,IF(AND(H102&lt;&gt;"",K102&lt;&gt;""),3,IF(H102&lt;&gt;"",2,1))))</x:f>
        <x:v>T5</x:v>
      </x:c>
      <x:c r="T102" s="24" t="str">
        <x:v>VRM Games</x:v>
      </x:c>
      <x:c r="U102" s="24" t="str"/>
    </x:row>
    <x:row r="103" ht="34" customHeight="1">
      <x:c r="A103" s="24" t="str">
        <x:v>TRC-0099</x:v>
      </x:c>
      <x:c r="B103" s="24" t="str">
        <x:v>AUD-EVT-007</x:v>
      </x:c>
      <x:c r="C103" s="24" t="str">
        <x:v>Audio</x:v>
      </x:c>
      <x:c r="D103" s="24" t="str">
        <x:v>feedback.productassigned</x:v>
      </x:c>
      <x:c r="E103" s="24" t="str">
        <x:v>CANONICAL EVENT ID</x:v>
      </x:c>
      <x:c r="F103" s="24" t="str">
        <x:v>AudioCatalog mapped</x:v>
      </x:c>
      <x:c r="G103" s="24" t="str">
        <x:v>Event mapping technical PASS / listening pending</x:v>
      </x:c>
      <x:c r="H103" s="24" t="str">
        <x:v>Assets/_Project/Audio/UI/UiConfirm.wav</x:v>
      </x:c>
      <x:c r="I103" s="24" t="str">
        <x:v>d9bc385fea51b0ff5f60db1d28fe4650</x:v>
      </x:c>
      <x:c r="J103" s="24" t="str"/>
      <x:c r="K103" s="24" t="str">
        <x:v>VS-AUD-001</x:v>
      </x:c>
      <x:c r="L103" s="24" t="n">
        <x:v>16</x:v>
      </x:c>
      <x:c r="M103" s="24" t="str">
        <x:v>H6</x:v>
      </x:c>
      <x:c r="N103" s="24" t="str">
        <x:v>Catalog inspection</x:v>
      </x:c>
      <x:c r="O103" s="24" t="str">
        <x:v>BLD-016-POST</x:v>
      </x:c>
      <x:c r="P103" s="24" t="str">
        <x:v>Inherits clip</x:v>
      </x:c>
      <x:c r="Q103" s="24" t="str">
        <x:v>Shared clip / cooldown review</x:v>
      </x:c>
      <x:c r="R103" s="24" t="str">
        <x:v>11_Audio</x:v>
      </x:c>
      <x:c r="S103" s="24" t="str">
        <x:f>"T"&amp;IF(AND(H103&lt;&gt;"",I103&lt;&gt;"",K103&lt;&gt;"",N103&lt;&gt;"",P103&lt;&gt;""),5,IF(AND(H103&lt;&gt;"",K103&lt;&gt;"",G103&lt;&gt;""),4,IF(AND(H103&lt;&gt;"",K103&lt;&gt;""),3,IF(H103&lt;&gt;"",2,1))))</x:f>
        <x:v>T5</x:v>
      </x:c>
      <x:c r="T103" s="24" t="str">
        <x:v>VRM Games</x:v>
      </x:c>
      <x:c r="U103" s="24" t="str"/>
    </x:row>
    <x:row r="104" ht="34" customHeight="1">
      <x:c r="A104" s="24" t="str">
        <x:v>TRC-0100</x:v>
      </x:c>
      <x:c r="B104" s="24" t="str">
        <x:v>AUD-EVT-008</x:v>
      </x:c>
      <x:c r="C104" s="24" t="str">
        <x:v>Audio</x:v>
      </x:c>
      <x:c r="D104" s="24" t="str">
        <x:v>feedback.outofstock</x:v>
      </x:c>
      <x:c r="E104" s="24" t="str">
        <x:v>CANONICAL EVENT ID</x:v>
      </x:c>
      <x:c r="F104" s="24" t="str">
        <x:v>AudioCatalog mapped</x:v>
      </x:c>
      <x:c r="G104" s="24" t="str">
        <x:v>Event mapping technical PASS / listening pending</x:v>
      </x:c>
      <x:c r="H104" s="24" t="str">
        <x:v>Assets/_Project/Audio/UI/UiError.wav</x:v>
      </x:c>
      <x:c r="I104" s="24" t="str">
        <x:v>b2633481fff90cc387bf1bf6d7429bc1</x:v>
      </x:c>
      <x:c r="J104" s="24" t="str"/>
      <x:c r="K104" s="24" t="str">
        <x:v>VS-AUD-001</x:v>
      </x:c>
      <x:c r="L104" s="24" t="n">
        <x:v>16</x:v>
      </x:c>
      <x:c r="M104" s="24" t="str">
        <x:v>H6</x:v>
      </x:c>
      <x:c r="N104" s="24" t="str">
        <x:v>Catalog inspection</x:v>
      </x:c>
      <x:c r="O104" s="24" t="str">
        <x:v>BLD-016-POST</x:v>
      </x:c>
      <x:c r="P104" s="24" t="str">
        <x:v>Inherits clip</x:v>
      </x:c>
      <x:c r="Q104" s="24" t="str">
        <x:v>Shared clip / cooldown review</x:v>
      </x:c>
      <x:c r="R104" s="24" t="str">
        <x:v>11_Audio</x:v>
      </x:c>
      <x:c r="S104" s="24" t="str">
        <x:f>"T"&amp;IF(AND(H104&lt;&gt;"",I104&lt;&gt;"",K104&lt;&gt;"",N104&lt;&gt;"",P104&lt;&gt;""),5,IF(AND(H104&lt;&gt;"",K104&lt;&gt;"",G104&lt;&gt;""),4,IF(AND(H104&lt;&gt;"",K104&lt;&gt;""),3,IF(H104&lt;&gt;"",2,1))))</x:f>
        <x:v>T5</x:v>
      </x:c>
      <x:c r="T104" s="24" t="str">
        <x:v>VRM Games</x:v>
      </x:c>
      <x:c r="U104" s="24" t="str"/>
    </x:row>
    <x:row r="105" ht="34" customHeight="1">
      <x:c r="A105" s="24" t="str">
        <x:v>TRC-0101</x:v>
      </x:c>
      <x:c r="B105" s="24" t="str">
        <x:v>AUD-EVT-009</x:v>
      </x:c>
      <x:c r="C105" s="24" t="str">
        <x:v>Audio</x:v>
      </x:c>
      <x:c r="D105" s="24" t="str">
        <x:v>feedback.reserved</x:v>
      </x:c>
      <x:c r="E105" s="24" t="str">
        <x:v>CANONICAL EVENT ID</x:v>
      </x:c>
      <x:c r="F105" s="24" t="str">
        <x:v>AudioCatalog mapped</x:v>
      </x:c>
      <x:c r="G105" s="24" t="str">
        <x:v>Event mapping technical PASS / listening pending</x:v>
      </x:c>
      <x:c r="H105" s="24" t="str">
        <x:v>Assets/_Project/Audio/UI/UiConfirm.wav</x:v>
      </x:c>
      <x:c r="I105" s="24" t="str">
        <x:v>d9bc385fea51b0ff5f60db1d28fe4650</x:v>
      </x:c>
      <x:c r="J105" s="24" t="str"/>
      <x:c r="K105" s="24" t="str">
        <x:v>VS-AUD-001</x:v>
      </x:c>
      <x:c r="L105" s="24" t="n">
        <x:v>16</x:v>
      </x:c>
      <x:c r="M105" s="24" t="str">
        <x:v>H6</x:v>
      </x:c>
      <x:c r="N105" s="24" t="str">
        <x:v>Catalog inspection</x:v>
      </x:c>
      <x:c r="O105" s="24" t="str">
        <x:v>BLD-016-POST</x:v>
      </x:c>
      <x:c r="P105" s="24" t="str">
        <x:v>Inherits clip</x:v>
      </x:c>
      <x:c r="Q105" s="24" t="str">
        <x:v>Shared clip / cooldown review</x:v>
      </x:c>
      <x:c r="R105" s="24" t="str">
        <x:v>11_Audio</x:v>
      </x:c>
      <x:c r="S105" s="24" t="str">
        <x:f>"T"&amp;IF(AND(H105&lt;&gt;"",I105&lt;&gt;"",K105&lt;&gt;"",N105&lt;&gt;"",P105&lt;&gt;""),5,IF(AND(H105&lt;&gt;"",K105&lt;&gt;"",G105&lt;&gt;""),4,IF(AND(H105&lt;&gt;"",K105&lt;&gt;""),3,IF(H105&lt;&gt;"",2,1))))</x:f>
        <x:v>T5</x:v>
      </x:c>
      <x:c r="T105" s="24" t="str">
        <x:v>VRM Games</x:v>
      </x:c>
      <x:c r="U105" s="24" t="str"/>
    </x:row>
    <x:row r="106" ht="34" customHeight="1">
      <x:c r="A106" s="24" t="str">
        <x:v>TRC-0102</x:v>
      </x:c>
      <x:c r="B106" s="24" t="str">
        <x:v>AUD-EVT-010</x:v>
      </x:c>
      <x:c r="C106" s="24" t="str">
        <x:v>Audio</x:v>
      </x:c>
      <x:c r="D106" s="24" t="str">
        <x:v>feedback.restocked</x:v>
      </x:c>
      <x:c r="E106" s="24" t="str">
        <x:v>CANONICAL EVENT ID</x:v>
      </x:c>
      <x:c r="F106" s="24" t="str">
        <x:v>AudioCatalog mapped</x:v>
      </x:c>
      <x:c r="G106" s="24" t="str">
        <x:v>Event mapping technical PASS / listening pending</x:v>
      </x:c>
      <x:c r="H106" s="24" t="str">
        <x:v>Assets/_Project/Audio/SFX/OrderReceived.wav</x:v>
      </x:c>
      <x:c r="I106" s="24" t="str">
        <x:v>8e2b37d1127285ee1cc44a3d0a8a98c4</x:v>
      </x:c>
      <x:c r="J106" s="24" t="str"/>
      <x:c r="K106" s="24" t="str">
        <x:v>VS-AUD-001</x:v>
      </x:c>
      <x:c r="L106" s="24" t="n">
        <x:v>16</x:v>
      </x:c>
      <x:c r="M106" s="24" t="str">
        <x:v>H6</x:v>
      </x:c>
      <x:c r="N106" s="24" t="str">
        <x:v>Catalog inspection</x:v>
      </x:c>
      <x:c r="O106" s="24" t="str">
        <x:v>BLD-016-POST</x:v>
      </x:c>
      <x:c r="P106" s="24" t="str">
        <x:v>Inherits clip</x:v>
      </x:c>
      <x:c r="Q106" s="24" t="str">
        <x:v>Shared clip / cooldown review</x:v>
      </x:c>
      <x:c r="R106" s="24" t="str">
        <x:v>11_Audio</x:v>
      </x:c>
      <x:c r="S106" s="24" t="str">
        <x:f>"T"&amp;IF(AND(H106&lt;&gt;"",I106&lt;&gt;"",K106&lt;&gt;"",N106&lt;&gt;"",P106&lt;&gt;""),5,IF(AND(H106&lt;&gt;"",K106&lt;&gt;"",G106&lt;&gt;""),4,IF(AND(H106&lt;&gt;"",K106&lt;&gt;""),3,IF(H106&lt;&gt;"",2,1))))</x:f>
        <x:v>T5</x:v>
      </x:c>
      <x:c r="T106" s="24" t="str">
        <x:v>VRM Games</x:v>
      </x:c>
      <x:c r="U106" s="24" t="str"/>
    </x:row>
    <x:row r="107" ht="34" customHeight="1">
      <x:c r="A107" s="24" t="str">
        <x:v>TRC-0103</x:v>
      </x:c>
      <x:c r="B107" s="24" t="str">
        <x:v>AUD-EVT-011</x:v>
      </x:c>
      <x:c r="C107" s="24" t="str">
        <x:v>Audio</x:v>
      </x:c>
      <x:c r="D107" s="24" t="str">
        <x:v>feedback.orderreceived</x:v>
      </x:c>
      <x:c r="E107" s="24" t="str">
        <x:v>CANONICAL EVENT ID</x:v>
      </x:c>
      <x:c r="F107" s="24" t="str">
        <x:v>AudioCatalog mapped</x:v>
      </x:c>
      <x:c r="G107" s="24" t="str">
        <x:v>Event mapping technical PASS / listening pending</x:v>
      </x:c>
      <x:c r="H107" s="24" t="str">
        <x:v>Assets/_Project/Audio/SFX/OrderReceived.wav</x:v>
      </x:c>
      <x:c r="I107" s="24" t="str">
        <x:v>8e2b37d1127285ee1cc44a3d0a8a98c4</x:v>
      </x:c>
      <x:c r="J107" s="24" t="str"/>
      <x:c r="K107" s="24" t="str">
        <x:v>VS-AUD-001</x:v>
      </x:c>
      <x:c r="L107" s="24" t="n">
        <x:v>16</x:v>
      </x:c>
      <x:c r="M107" s="24" t="str">
        <x:v>H6</x:v>
      </x:c>
      <x:c r="N107" s="24" t="str">
        <x:v>Catalog inspection</x:v>
      </x:c>
      <x:c r="O107" s="24" t="str">
        <x:v>BLD-016-POST</x:v>
      </x:c>
      <x:c r="P107" s="24" t="str">
        <x:v>Inherits clip</x:v>
      </x:c>
      <x:c r="Q107" s="24" t="str">
        <x:v>Shared clip / cooldown review</x:v>
      </x:c>
      <x:c r="R107" s="24" t="str">
        <x:v>11_Audio</x:v>
      </x:c>
      <x:c r="S107" s="24" t="str">
        <x:f>"T"&amp;IF(AND(H107&lt;&gt;"",I107&lt;&gt;"",K107&lt;&gt;"",N107&lt;&gt;"",P107&lt;&gt;""),5,IF(AND(H107&lt;&gt;"",K107&lt;&gt;"",G107&lt;&gt;""),4,IF(AND(H107&lt;&gt;"",K107&lt;&gt;""),3,IF(H107&lt;&gt;"",2,1))))</x:f>
        <x:v>T5</x:v>
      </x:c>
      <x:c r="T107" s="24" t="str">
        <x:v>VRM Games</x:v>
      </x:c>
      <x:c r="U107" s="24" t="str"/>
    </x:row>
    <x:row r="108" ht="34" customHeight="1">
      <x:c r="A108" s="24" t="str">
        <x:v>TRC-0104</x:v>
      </x:c>
      <x:c r="B108" s="24" t="str">
        <x:v>AUD-EVT-012</x:v>
      </x:c>
      <x:c r="C108" s="24" t="str">
        <x:v>Audio</x:v>
      </x:c>
      <x:c r="D108" s="24" t="str">
        <x:v>feedback.customersatisfied</x:v>
      </x:c>
      <x:c r="E108" s="24" t="str">
        <x:v>CANONICAL EVENT ID</x:v>
      </x:c>
      <x:c r="F108" s="24" t="str">
        <x:v>AudioCatalog mapped</x:v>
      </x:c>
      <x:c r="G108" s="24" t="str">
        <x:v>Event mapping technical PASS / listening pending</x:v>
      </x:c>
      <x:c r="H108" s="24" t="str">
        <x:v>Assets/_Project/Audio/SFX/Checkout.wav</x:v>
      </x:c>
      <x:c r="I108" s="24" t="str">
        <x:v>ba31e4719471578fa9cae09368b54822</x:v>
      </x:c>
      <x:c r="J108" s="24" t="str"/>
      <x:c r="K108" s="24" t="str">
        <x:v>VS-AUD-001</x:v>
      </x:c>
      <x:c r="L108" s="24" t="n">
        <x:v>16</x:v>
      </x:c>
      <x:c r="M108" s="24" t="str">
        <x:v>H6</x:v>
      </x:c>
      <x:c r="N108" s="24" t="str">
        <x:v>Catalog inspection</x:v>
      </x:c>
      <x:c r="O108" s="24" t="str">
        <x:v>BLD-016-POST</x:v>
      </x:c>
      <x:c r="P108" s="24" t="str">
        <x:v>Inherits clip</x:v>
      </x:c>
      <x:c r="Q108" s="24" t="str">
        <x:v>Shared clip / cooldown review</x:v>
      </x:c>
      <x:c r="R108" s="24" t="str">
        <x:v>11_Audio</x:v>
      </x:c>
      <x:c r="S108" s="24" t="str">
        <x:f>"T"&amp;IF(AND(H108&lt;&gt;"",I108&lt;&gt;"",K108&lt;&gt;"",N108&lt;&gt;"",P108&lt;&gt;""),5,IF(AND(H108&lt;&gt;"",K108&lt;&gt;"",G108&lt;&gt;""),4,IF(AND(H108&lt;&gt;"",K108&lt;&gt;""),3,IF(H108&lt;&gt;"",2,1))))</x:f>
        <x:v>T5</x:v>
      </x:c>
      <x:c r="T108" s="24" t="str">
        <x:v>VRM Games</x:v>
      </x:c>
      <x:c r="U108" s="24" t="str"/>
    </x:row>
    <x:row r="109" ht="34" customHeight="1">
      <x:c r="A109" s="24" t="str">
        <x:v>TRC-0105</x:v>
      </x:c>
      <x:c r="B109" s="24" t="str">
        <x:v>AUD-EVT-013</x:v>
      </x:c>
      <x:c r="C109" s="24" t="str">
        <x:v>Audio</x:v>
      </x:c>
      <x:c r="D109" s="24" t="str">
        <x:v>feedback.customerfrustrated</x:v>
      </x:c>
      <x:c r="E109" s="24" t="str">
        <x:v>CANONICAL EVENT ID</x:v>
      </x:c>
      <x:c r="F109" s="24" t="str">
        <x:v>AudioCatalog mapped</x:v>
      </x:c>
      <x:c r="G109" s="24" t="str">
        <x:v>Event mapping technical PASS / listening pending</x:v>
      </x:c>
      <x:c r="H109" s="24" t="str">
        <x:v>Assets/_Project/Audio/UI/UiError.wav</x:v>
      </x:c>
      <x:c r="I109" s="24" t="str">
        <x:v>b2633481fff90cc387bf1bf6d7429bc1</x:v>
      </x:c>
      <x:c r="J109" s="24" t="str"/>
      <x:c r="K109" s="24" t="str">
        <x:v>VS-AUD-001</x:v>
      </x:c>
      <x:c r="L109" s="24" t="n">
        <x:v>16</x:v>
      </x:c>
      <x:c r="M109" s="24" t="str">
        <x:v>H6</x:v>
      </x:c>
      <x:c r="N109" s="24" t="str">
        <x:v>Catalog inspection</x:v>
      </x:c>
      <x:c r="O109" s="24" t="str">
        <x:v>BLD-016-POST</x:v>
      </x:c>
      <x:c r="P109" s="24" t="str">
        <x:v>Inherits clip</x:v>
      </x:c>
      <x:c r="Q109" s="24" t="str">
        <x:v>Shared clip / cooldown review</x:v>
      </x:c>
      <x:c r="R109" s="24" t="str">
        <x:v>11_Audio</x:v>
      </x:c>
      <x:c r="S109" s="24" t="str">
        <x:f>"T"&amp;IF(AND(H109&lt;&gt;"",I109&lt;&gt;"",K109&lt;&gt;"",N109&lt;&gt;"",P109&lt;&gt;""),5,IF(AND(H109&lt;&gt;"",K109&lt;&gt;"",G109&lt;&gt;""),4,IF(AND(H109&lt;&gt;"",K109&lt;&gt;""),3,IF(H109&lt;&gt;"",2,1))))</x:f>
        <x:v>T5</x:v>
      </x:c>
      <x:c r="T109" s="24" t="str">
        <x:v>VRM Games</x:v>
      </x:c>
      <x:c r="U109" s="24" t="str"/>
    </x:row>
    <x:row r="110" ht="34" customHeight="1">
      <x:c r="A110" s="24" t="str">
        <x:v>TRC-0106</x:v>
      </x:c>
      <x:c r="B110" s="24" t="str">
        <x:v>AUD-EVT-014</x:v>
      </x:c>
      <x:c r="C110" s="24" t="str">
        <x:v>Audio</x:v>
      </x:c>
      <x:c r="D110" s="24" t="str">
        <x:v>feedback.queueentered</x:v>
      </x:c>
      <x:c r="E110" s="24" t="str">
        <x:v>CANONICAL EVENT ID</x:v>
      </x:c>
      <x:c r="F110" s="24" t="str">
        <x:v>AudioCatalog mapped</x:v>
      </x:c>
      <x:c r="G110" s="24" t="str">
        <x:v>Event mapping technical PASS / listening pending</x:v>
      </x:c>
      <x:c r="H110" s="24" t="str">
        <x:v>Assets/_Project/Audio/SFX/Checkout.wav</x:v>
      </x:c>
      <x:c r="I110" s="24" t="str">
        <x:v>ba31e4719471578fa9cae09368b54822</x:v>
      </x:c>
      <x:c r="J110" s="24" t="str"/>
      <x:c r="K110" s="24" t="str">
        <x:v>VS-AUD-001</x:v>
      </x:c>
      <x:c r="L110" s="24" t="n">
        <x:v>16</x:v>
      </x:c>
      <x:c r="M110" s="24" t="str">
        <x:v>H6</x:v>
      </x:c>
      <x:c r="N110" s="24" t="str">
        <x:v>Catalog inspection</x:v>
      </x:c>
      <x:c r="O110" s="24" t="str">
        <x:v>BLD-016-POST</x:v>
      </x:c>
      <x:c r="P110" s="24" t="str">
        <x:v>Inherits clip</x:v>
      </x:c>
      <x:c r="Q110" s="24" t="str">
        <x:v>Shared clip / cooldown review</x:v>
      </x:c>
      <x:c r="R110" s="24" t="str">
        <x:v>11_Audio</x:v>
      </x:c>
      <x:c r="S110" s="24" t="str">
        <x:f>"T"&amp;IF(AND(H110&lt;&gt;"",I110&lt;&gt;"",K110&lt;&gt;"",N110&lt;&gt;"",P110&lt;&gt;""),5,IF(AND(H110&lt;&gt;"",K110&lt;&gt;"",G110&lt;&gt;""),4,IF(AND(H110&lt;&gt;"",K110&lt;&gt;""),3,IF(H110&lt;&gt;"",2,1))))</x:f>
        <x:v>T5</x:v>
      </x:c>
      <x:c r="T110" s="24" t="str">
        <x:v>VRM Games</x:v>
      </x:c>
      <x:c r="U110" s="24" t="str"/>
    </x:row>
    <x:row r="111" ht="34" customHeight="1">
      <x:c r="A111" s="24" t="str">
        <x:v>TRC-0107</x:v>
      </x:c>
      <x:c r="B111" s="24" t="str">
        <x:v>AUD-EVT-015</x:v>
      </x:c>
      <x:c r="C111" s="24" t="str">
        <x:v>Audio</x:v>
      </x:c>
      <x:c r="D111" s="24" t="str">
        <x:v>feedback.checkoutcompleted</x:v>
      </x:c>
      <x:c r="E111" s="24" t="str">
        <x:v>CANONICAL EVENT ID</x:v>
      </x:c>
      <x:c r="F111" s="24" t="str">
        <x:v>AudioCatalog mapped</x:v>
      </x:c>
      <x:c r="G111" s="24" t="str">
        <x:v>Event mapping technical PASS / listening pending</x:v>
      </x:c>
      <x:c r="H111" s="24" t="str">
        <x:v>Assets/_Project/Audio/SFX/Checkout.wav</x:v>
      </x:c>
      <x:c r="I111" s="24" t="str">
        <x:v>ba31e4719471578fa9cae09368b54822</x:v>
      </x:c>
      <x:c r="J111" s="24" t="str"/>
      <x:c r="K111" s="24" t="str">
        <x:v>VS-AUD-001</x:v>
      </x:c>
      <x:c r="L111" s="24" t="n">
        <x:v>16</x:v>
      </x:c>
      <x:c r="M111" s="24" t="str">
        <x:v>H6</x:v>
      </x:c>
      <x:c r="N111" s="24" t="str">
        <x:v>Catalog inspection</x:v>
      </x:c>
      <x:c r="O111" s="24" t="str">
        <x:v>BLD-016-POST</x:v>
      </x:c>
      <x:c r="P111" s="24" t="str">
        <x:v>Inherits clip</x:v>
      </x:c>
      <x:c r="Q111" s="24" t="str">
        <x:v>Shared clip / cooldown review</x:v>
      </x:c>
      <x:c r="R111" s="24" t="str">
        <x:v>11_Audio</x:v>
      </x:c>
      <x:c r="S111" s="24" t="str">
        <x:f>"T"&amp;IF(AND(H111&lt;&gt;"",I111&lt;&gt;"",K111&lt;&gt;"",N111&lt;&gt;"",P111&lt;&gt;""),5,IF(AND(H111&lt;&gt;"",K111&lt;&gt;"",G111&lt;&gt;""),4,IF(AND(H111&lt;&gt;"",K111&lt;&gt;""),3,IF(H111&lt;&gt;"",2,1))))</x:f>
        <x:v>T5</x:v>
      </x:c>
      <x:c r="T111" s="24" t="str">
        <x:v>VRM Games</x:v>
      </x:c>
      <x:c r="U111" s="24" t="str"/>
    </x:row>
    <x:row r="112" ht="34" customHeight="1">
      <x:c r="A112" s="24" t="str">
        <x:v>TRC-0108</x:v>
      </x:c>
      <x:c r="B112" s="24" t="str">
        <x:v>AUD-EVT-016</x:v>
      </x:c>
      <x:c r="C112" s="24" t="str">
        <x:v>Audio</x:v>
      </x:c>
      <x:c r="D112" s="24" t="str">
        <x:v>feedback.revenue</x:v>
      </x:c>
      <x:c r="E112" s="24" t="str">
        <x:v>CANONICAL EVENT ID</x:v>
      </x:c>
      <x:c r="F112" s="24" t="str">
        <x:v>AudioCatalog mapped</x:v>
      </x:c>
      <x:c r="G112" s="24" t="str">
        <x:v>Event mapping technical PASS / listening pending</x:v>
      </x:c>
      <x:c r="H112" s="24" t="str">
        <x:v>Assets/_Project/Audio/SFX/Checkout.wav</x:v>
      </x:c>
      <x:c r="I112" s="24" t="str">
        <x:v>ba31e4719471578fa9cae09368b54822</x:v>
      </x:c>
      <x:c r="J112" s="24" t="str"/>
      <x:c r="K112" s="24" t="str">
        <x:v>VS-AUD-001</x:v>
      </x:c>
      <x:c r="L112" s="24" t="n">
        <x:v>16</x:v>
      </x:c>
      <x:c r="M112" s="24" t="str">
        <x:v>H6</x:v>
      </x:c>
      <x:c r="N112" s="24" t="str">
        <x:v>Catalog inspection</x:v>
      </x:c>
      <x:c r="O112" s="24" t="str">
        <x:v>BLD-016-POST</x:v>
      </x:c>
      <x:c r="P112" s="24" t="str">
        <x:v>Inherits clip</x:v>
      </x:c>
      <x:c r="Q112" s="24" t="str">
        <x:v>Shared clip / cooldown review</x:v>
      </x:c>
      <x:c r="R112" s="24" t="str">
        <x:v>11_Audio</x:v>
      </x:c>
      <x:c r="S112" s="24" t="str">
        <x:f>"T"&amp;IF(AND(H112&lt;&gt;"",I112&lt;&gt;"",K112&lt;&gt;"",N112&lt;&gt;"",P112&lt;&gt;""),5,IF(AND(H112&lt;&gt;"",K112&lt;&gt;"",G112&lt;&gt;""),4,IF(AND(H112&lt;&gt;"",K112&lt;&gt;""),3,IF(H112&lt;&gt;"",2,1))))</x:f>
        <x:v>T5</x:v>
      </x:c>
      <x:c r="T112" s="24" t="str">
        <x:v>VRM Games</x:v>
      </x:c>
      <x:c r="U112" s="24" t="str"/>
    </x:row>
    <x:row r="113" ht="34" customHeight="1">
      <x:c r="A113" s="24" t="str">
        <x:v>TRC-0109</x:v>
      </x:c>
      <x:c r="B113" s="24" t="str">
        <x:v>AUD-EVT-017</x:v>
      </x:c>
      <x:c r="C113" s="24" t="str">
        <x:v>Audio</x:v>
      </x:c>
      <x:c r="D113" s="24" t="str">
        <x:v>feedback.expense</x:v>
      </x:c>
      <x:c r="E113" s="24" t="str">
        <x:v>CANONICAL EVENT ID</x:v>
      </x:c>
      <x:c r="F113" s="24" t="str">
        <x:v>AudioCatalog mapped</x:v>
      </x:c>
      <x:c r="G113" s="24" t="str">
        <x:v>Event mapping technical PASS / listening pending</x:v>
      </x:c>
      <x:c r="H113" s="24" t="str">
        <x:v>Assets/_Project/Audio/UI/UiConfirm.wav</x:v>
      </x:c>
      <x:c r="I113" s="24" t="str">
        <x:v>d9bc385fea51b0ff5f60db1d28fe4650</x:v>
      </x:c>
      <x:c r="J113" s="24" t="str"/>
      <x:c r="K113" s="24" t="str">
        <x:v>VS-AUD-001</x:v>
      </x:c>
      <x:c r="L113" s="24" t="n">
        <x:v>16</x:v>
      </x:c>
      <x:c r="M113" s="24" t="str">
        <x:v>H6</x:v>
      </x:c>
      <x:c r="N113" s="24" t="str">
        <x:v>Catalog inspection</x:v>
      </x:c>
      <x:c r="O113" s="24" t="str">
        <x:v>BLD-016-POST</x:v>
      </x:c>
      <x:c r="P113" s="24" t="str">
        <x:v>Inherits clip</x:v>
      </x:c>
      <x:c r="Q113" s="24" t="str">
        <x:v>Shared clip / cooldown review</x:v>
      </x:c>
      <x:c r="R113" s="24" t="str">
        <x:v>11_Audio</x:v>
      </x:c>
      <x:c r="S113" s="24" t="str">
        <x:f>"T"&amp;IF(AND(H113&lt;&gt;"",I113&lt;&gt;"",K113&lt;&gt;"",N113&lt;&gt;"",P113&lt;&gt;""),5,IF(AND(H113&lt;&gt;"",K113&lt;&gt;"",G113&lt;&gt;""),4,IF(AND(H113&lt;&gt;"",K113&lt;&gt;""),3,IF(H113&lt;&gt;"",2,1))))</x:f>
        <x:v>T5</x:v>
      </x:c>
      <x:c r="T113" s="24" t="str">
        <x:v>VRM Games</x:v>
      </x:c>
      <x:c r="U113" s="24" t="str"/>
    </x:row>
    <x:row r="114" ht="34" customHeight="1">
      <x:c r="A114" s="24" t="str">
        <x:v>TRC-0110</x:v>
      </x:c>
      <x:c r="B114" s="24" t="str">
        <x:v>AUD-EVT-018</x:v>
      </x:c>
      <x:c r="C114" s="24" t="str">
        <x:v>Audio</x:v>
      </x:c>
      <x:c r="D114" s="24" t="str">
        <x:v>feedback.closingwarning</x:v>
      </x:c>
      <x:c r="E114" s="24" t="str">
        <x:v>CANONICAL EVENT ID</x:v>
      </x:c>
      <x:c r="F114" s="24" t="str">
        <x:v>AudioCatalog mapped</x:v>
      </x:c>
      <x:c r="G114" s="24" t="str">
        <x:v>Event mapping technical PASS / listening pending</x:v>
      </x:c>
      <x:c r="H114" s="24" t="str">
        <x:v>Assets/_Project/Audio/SFX/DayClosed.wav</x:v>
      </x:c>
      <x:c r="I114" s="24" t="str">
        <x:v>afa05dd2e9a4ff3ace16f07967ef65c9</x:v>
      </x:c>
      <x:c r="J114" s="24" t="str"/>
      <x:c r="K114" s="24" t="str">
        <x:v>VS-AUD-001</x:v>
      </x:c>
      <x:c r="L114" s="24" t="n">
        <x:v>16</x:v>
      </x:c>
      <x:c r="M114" s="24" t="str">
        <x:v>H6</x:v>
      </x:c>
      <x:c r="N114" s="24" t="str">
        <x:v>Catalog inspection</x:v>
      </x:c>
      <x:c r="O114" s="24" t="str">
        <x:v>BLD-016-POST</x:v>
      </x:c>
      <x:c r="P114" s="24" t="str">
        <x:v>Inherits clip</x:v>
      </x:c>
      <x:c r="Q114" s="24" t="str">
        <x:v>Shared clip / cooldown review</x:v>
      </x:c>
      <x:c r="R114" s="24" t="str">
        <x:v>11_Audio</x:v>
      </x:c>
      <x:c r="S114" s="24" t="str">
        <x:f>"T"&amp;IF(AND(H114&lt;&gt;"",I114&lt;&gt;"",K114&lt;&gt;"",N114&lt;&gt;"",P114&lt;&gt;""),5,IF(AND(H114&lt;&gt;"",K114&lt;&gt;"",G114&lt;&gt;""),4,IF(AND(H114&lt;&gt;"",K114&lt;&gt;""),3,IF(H114&lt;&gt;"",2,1))))</x:f>
        <x:v>T5</x:v>
      </x:c>
      <x:c r="T114" s="24" t="str">
        <x:v>VRM Games</x:v>
      </x:c>
      <x:c r="U114" s="24" t="str"/>
    </x:row>
    <x:row r="115" ht="34" customHeight="1">
      <x:c r="A115" s="24" t="str">
        <x:v>TRC-0111</x:v>
      </x:c>
      <x:c r="B115" s="24" t="str">
        <x:v>AUD-EVT-019</x:v>
      </x:c>
      <x:c r="C115" s="24" t="str">
        <x:v>Audio</x:v>
      </x:c>
      <x:c r="D115" s="24" t="str">
        <x:v>feedback.dayclosed</x:v>
      </x:c>
      <x:c r="E115" s="24" t="str">
        <x:v>CANONICAL EVENT ID</x:v>
      </x:c>
      <x:c r="F115" s="24" t="str">
        <x:v>AudioCatalog mapped</x:v>
      </x:c>
      <x:c r="G115" s="24" t="str">
        <x:v>Event mapping technical PASS / listening pending</x:v>
      </x:c>
      <x:c r="H115" s="24" t="str">
        <x:v>Assets/_Project/Audio/SFX/DayClosed.wav</x:v>
      </x:c>
      <x:c r="I115" s="24" t="str">
        <x:v>afa05dd2e9a4ff3ace16f07967ef65c9</x:v>
      </x:c>
      <x:c r="J115" s="24" t="str"/>
      <x:c r="K115" s="24" t="str">
        <x:v>VS-AUD-001</x:v>
      </x:c>
      <x:c r="L115" s="24" t="n">
        <x:v>16</x:v>
      </x:c>
      <x:c r="M115" s="24" t="str">
        <x:v>H6</x:v>
      </x:c>
      <x:c r="N115" s="24" t="str">
        <x:v>Catalog inspection</x:v>
      </x:c>
      <x:c r="O115" s="24" t="str">
        <x:v>BLD-016-POST</x:v>
      </x:c>
      <x:c r="P115" s="24" t="str">
        <x:v>Inherits clip</x:v>
      </x:c>
      <x:c r="Q115" s="24" t="str">
        <x:v>Shared clip / cooldown review</x:v>
      </x:c>
      <x:c r="R115" s="24" t="str">
        <x:v>11_Audio</x:v>
      </x:c>
      <x:c r="S115" s="24" t="str">
        <x:f>"T"&amp;IF(AND(H115&lt;&gt;"",I115&lt;&gt;"",K115&lt;&gt;"",N115&lt;&gt;"",P115&lt;&gt;""),5,IF(AND(H115&lt;&gt;"",K115&lt;&gt;"",G115&lt;&gt;""),4,IF(AND(H115&lt;&gt;"",K115&lt;&gt;""),3,IF(H115&lt;&gt;"",2,1))))</x:f>
        <x:v>T5</x:v>
      </x:c>
      <x:c r="T115" s="24" t="str">
        <x:v>VRM Games</x:v>
      </x:c>
      <x:c r="U115" s="24" t="str"/>
    </x:row>
    <x:row r="116" ht="34" customHeight="1">
      <x:c r="A116" s="24" t="str">
        <x:v>TRC-0112</x:v>
      </x:c>
      <x:c r="B116" s="24" t="str">
        <x:v>AUD-EVT-020</x:v>
      </x:c>
      <x:c r="C116" s="24" t="str">
        <x:v>Audio</x:v>
      </x:c>
      <x:c r="D116" s="24" t="str">
        <x:v>feedback.autosavesucceeded</x:v>
      </x:c>
      <x:c r="E116" s="24" t="str">
        <x:v>CANONICAL EVENT ID</x:v>
      </x:c>
      <x:c r="F116" s="24" t="str">
        <x:v>AudioCatalog mapped</x:v>
      </x:c>
      <x:c r="G116" s="24" t="str">
        <x:v>Event mapping technical PASS / listening pending</x:v>
      </x:c>
      <x:c r="H116" s="24" t="str">
        <x:v>Assets/_Project/Audio/UI/UiConfirm.wav</x:v>
      </x:c>
      <x:c r="I116" s="24" t="str">
        <x:v>d9bc385fea51b0ff5f60db1d28fe4650</x:v>
      </x:c>
      <x:c r="J116" s="24" t="str"/>
      <x:c r="K116" s="24" t="str">
        <x:v>VS-AUD-001</x:v>
      </x:c>
      <x:c r="L116" s="24" t="n">
        <x:v>16</x:v>
      </x:c>
      <x:c r="M116" s="24" t="str">
        <x:v>H6</x:v>
      </x:c>
      <x:c r="N116" s="24" t="str">
        <x:v>Catalog inspection</x:v>
      </x:c>
      <x:c r="O116" s="24" t="str">
        <x:v>BLD-016-POST</x:v>
      </x:c>
      <x:c r="P116" s="24" t="str">
        <x:v>Inherits clip</x:v>
      </x:c>
      <x:c r="Q116" s="24" t="str">
        <x:v>Shared clip / cooldown review</x:v>
      </x:c>
      <x:c r="R116" s="24" t="str">
        <x:v>11_Audio</x:v>
      </x:c>
      <x:c r="S116" s="24" t="str">
        <x:f>"T"&amp;IF(AND(H116&lt;&gt;"",I116&lt;&gt;"",K116&lt;&gt;"",N116&lt;&gt;"",P116&lt;&gt;""),5,IF(AND(H116&lt;&gt;"",K116&lt;&gt;"",G116&lt;&gt;""),4,IF(AND(H116&lt;&gt;"",K116&lt;&gt;""),3,IF(H116&lt;&gt;"",2,1))))</x:f>
        <x:v>T5</x:v>
      </x:c>
      <x:c r="T116" s="24" t="str">
        <x:v>VRM Games</x:v>
      </x:c>
      <x:c r="U116" s="24" t="str"/>
    </x:row>
    <x:row r="117" ht="34" customHeight="1">
      <x:c r="A117" s="24" t="str">
        <x:v>TRC-0113</x:v>
      </x:c>
      <x:c r="B117" s="24" t="str">
        <x:v>AUD-EVT-021</x:v>
      </x:c>
      <x:c r="C117" s="24" t="str">
        <x:v>Audio</x:v>
      </x:c>
      <x:c r="D117" s="24" t="str">
        <x:v>feedback.autosavefailed</x:v>
      </x:c>
      <x:c r="E117" s="24" t="str">
        <x:v>CANONICAL EVENT ID</x:v>
      </x:c>
      <x:c r="F117" s="24" t="str">
        <x:v>AudioCatalog mapped</x:v>
      </x:c>
      <x:c r="G117" s="24" t="str">
        <x:v>Event mapping technical PASS / listening pending</x:v>
      </x:c>
      <x:c r="H117" s="24" t="str">
        <x:v>Assets/_Project/Audio/UI/UiError.wav</x:v>
      </x:c>
      <x:c r="I117" s="24" t="str">
        <x:v>b2633481fff90cc387bf1bf6d7429bc1</x:v>
      </x:c>
      <x:c r="J117" s="24" t="str"/>
      <x:c r="K117" s="24" t="str">
        <x:v>VS-AUD-001</x:v>
      </x:c>
      <x:c r="L117" s="24" t="n">
        <x:v>16</x:v>
      </x:c>
      <x:c r="M117" s="24" t="str">
        <x:v>H6</x:v>
      </x:c>
      <x:c r="N117" s="24" t="str">
        <x:v>Catalog inspection</x:v>
      </x:c>
      <x:c r="O117" s="24" t="str">
        <x:v>BLD-016-POST</x:v>
      </x:c>
      <x:c r="P117" s="24" t="str">
        <x:v>Inherits clip</x:v>
      </x:c>
      <x:c r="Q117" s="24" t="str">
        <x:v>Shared clip / cooldown review</x:v>
      </x:c>
      <x:c r="R117" s="24" t="str">
        <x:v>11_Audio</x:v>
      </x:c>
      <x:c r="S117" s="24" t="str">
        <x:f>"T"&amp;IF(AND(H117&lt;&gt;"",I117&lt;&gt;"",K117&lt;&gt;"",N117&lt;&gt;"",P117&lt;&gt;""),5,IF(AND(H117&lt;&gt;"",K117&lt;&gt;"",G117&lt;&gt;""),4,IF(AND(H117&lt;&gt;"",K117&lt;&gt;""),3,IF(H117&lt;&gt;"",2,1))))</x:f>
        <x:v>T5</x:v>
      </x:c>
      <x:c r="T117" s="24" t="str">
        <x:v>VRM Games</x:v>
      </x:c>
      <x:c r="U117" s="24" t="str"/>
    </x:row>
    <x:row r="118" ht="34" customHeight="1">
      <x:c r="A118" s="24" t="str">
        <x:v>TRC-0114</x:v>
      </x:c>
      <x:c r="B118" s="24" t="str">
        <x:v>AUD-EVT-022</x:v>
      </x:c>
      <x:c r="C118" s="24" t="str">
        <x:v>Audio</x:v>
      </x:c>
      <x:c r="D118" s="24" t="str">
        <x:v>feedback.dooropened</x:v>
      </x:c>
      <x:c r="E118" s="24" t="str">
        <x:v>CANONICAL EVENT ID</x:v>
      </x:c>
      <x:c r="F118" s="24" t="str">
        <x:v>AudioCatalog mapped</x:v>
      </x:c>
      <x:c r="G118" s="24" t="str">
        <x:v>Event mapping technical PASS / listening pending</x:v>
      </x:c>
      <x:c r="H118" s="24" t="str">
        <x:v>Assets/_Project/Audio/SFX/Door.wav</x:v>
      </x:c>
      <x:c r="I118" s="24" t="str">
        <x:v>2a3bd6d7753bf8508bed82d14fa64b9f</x:v>
      </x:c>
      <x:c r="J118" s="24" t="str"/>
      <x:c r="K118" s="24" t="str">
        <x:v>VS-AUD-001</x:v>
      </x:c>
      <x:c r="L118" s="24" t="n">
        <x:v>16</x:v>
      </x:c>
      <x:c r="M118" s="24" t="str">
        <x:v>H6</x:v>
      </x:c>
      <x:c r="N118" s="24" t="str">
        <x:v>Catalog inspection</x:v>
      </x:c>
      <x:c r="O118" s="24" t="str">
        <x:v>BLD-016-POST</x:v>
      </x:c>
      <x:c r="P118" s="24" t="str">
        <x:v>Inherits clip</x:v>
      </x:c>
      <x:c r="Q118" s="24" t="str">
        <x:v>Shared clip / cooldown review</x:v>
      </x:c>
      <x:c r="R118" s="24" t="str">
        <x:v>11_Audio</x:v>
      </x:c>
      <x:c r="S118" s="24" t="str">
        <x:f>"T"&amp;IF(AND(H118&lt;&gt;"",I118&lt;&gt;"",K118&lt;&gt;"",N118&lt;&gt;"",P118&lt;&gt;""),5,IF(AND(H118&lt;&gt;"",K118&lt;&gt;"",G118&lt;&gt;""),4,IF(AND(H118&lt;&gt;"",K118&lt;&gt;""),3,IF(H118&lt;&gt;"",2,1))))</x:f>
        <x:v>T5</x:v>
      </x:c>
      <x:c r="T118" s="24" t="str">
        <x:v>VRM Games</x:v>
      </x:c>
      <x:c r="U118" s="24" t="str"/>
    </x:row>
    <x:row r="119" ht="34" customHeight="1">
      <x:c r="A119" s="24" t="str">
        <x:v>TRC-0115</x:v>
      </x:c>
      <x:c r="B119" s="24" t="str">
        <x:v>AUD-EVT-023</x:v>
      </x:c>
      <x:c r="C119" s="24" t="str">
        <x:v>Audio</x:v>
      </x:c>
      <x:c r="D119" s="24" t="str">
        <x:v>feedback.doorclosed</x:v>
      </x:c>
      <x:c r="E119" s="24" t="str">
        <x:v>CANONICAL EVENT ID</x:v>
      </x:c>
      <x:c r="F119" s="24" t="str">
        <x:v>AudioCatalog mapped</x:v>
      </x:c>
      <x:c r="G119" s="24" t="str">
        <x:v>Event mapping technical PASS / listening pending</x:v>
      </x:c>
      <x:c r="H119" s="24" t="str">
        <x:v>Assets/_Project/Audio/SFX/Door.wav</x:v>
      </x:c>
      <x:c r="I119" s="24" t="str">
        <x:v>2a3bd6d7753bf8508bed82d14fa64b9f</x:v>
      </x:c>
      <x:c r="J119" s="24" t="str"/>
      <x:c r="K119" s="24" t="str">
        <x:v>VS-AUD-001</x:v>
      </x:c>
      <x:c r="L119" s="24" t="n">
        <x:v>16</x:v>
      </x:c>
      <x:c r="M119" s="24" t="str">
        <x:v>H6</x:v>
      </x:c>
      <x:c r="N119" s="24" t="str">
        <x:v>Catalog inspection</x:v>
      </x:c>
      <x:c r="O119" s="24" t="str">
        <x:v>BLD-016-POST</x:v>
      </x:c>
      <x:c r="P119" s="24" t="str">
        <x:v>Inherits clip</x:v>
      </x:c>
      <x:c r="Q119" s="24" t="str">
        <x:v>Shared clip / cooldown review</x:v>
      </x:c>
      <x:c r="R119" s="24" t="str">
        <x:v>11_Audio</x:v>
      </x:c>
      <x:c r="S119" s="24" t="str">
        <x:f>"T"&amp;IF(AND(H119&lt;&gt;"",I119&lt;&gt;"",K119&lt;&gt;"",N119&lt;&gt;"",P119&lt;&gt;""),5,IF(AND(H119&lt;&gt;"",K119&lt;&gt;"",G119&lt;&gt;""),4,IF(AND(H119&lt;&gt;"",K119&lt;&gt;""),3,IF(H119&lt;&gt;"",2,1))))</x:f>
        <x:v>T5</x:v>
      </x:c>
      <x:c r="T119" s="24" t="str">
        <x:v>VRM Games</x:v>
      </x:c>
      <x:c r="U119" s="24" t="str"/>
    </x:row>
    <x:row r="120" ht="34" customHeight="1">
      <x:c r="A120" s="24" t="str">
        <x:v>TRC-0116</x:v>
      </x:c>
      <x:c r="B120" s="24" t="str">
        <x:v>ANM-001</x:v>
      </x:c>
      <x:c r="C120" s="24" t="str">
        <x:v>VFX/Animation</x:v>
      </x:c>
      <x:c r="D120" s="24" t="str">
        <x:v>Checkout.anim</x:v>
      </x:c>
      <x:c r="E120" s="24" t="str">
        <x:v>REPRESENTATIVE</x:v>
      </x:c>
      <x:c r="F120" s="24" t="str">
        <x:v>Asset available</x:v>
      </x:c>
      <x:c r="G120" s="24" t="str">
        <x:v>Runtime/visual review pending</x:v>
      </x:c>
      <x:c r="H120" s="24" t="str">
        <x:v>Assets/_Project/Animations/Characters/Checkout.anim</x:v>
      </x:c>
      <x:c r="I120" s="24" t="str">
        <x:v>b3bb35a4ebf1741da87f244f45e51cbd</x:v>
      </x:c>
      <x:c r="J120" s="24" t="str"/>
      <x:c r="K120" s="24" t="str">
        <x:v>VS-ART-001</x:v>
      </x:c>
      <x:c r="L120" s="24" t="n">
        <x:v>16</x:v>
      </x:c>
      <x:c r="M120" s="24" t="str">
        <x:v>H6</x:v>
      </x:c>
      <x:c r="N120" s="24" t="str"/>
      <x:c r="O120" s="24" t="str">
        <x:v>BLD-016-POST</x:v>
      </x:c>
      <x:c r="P120" s="24" t="str">
        <x:v>Internal/Approved</x:v>
      </x:c>
      <x:c r="Q120" s="24" t="str">
        <x:v>Final rigs/variants not demonstrated</x:v>
      </x:c>
      <x:c r="R120" s="24" t="str">
        <x:v>12_VFX_Animacion</x:v>
      </x:c>
      <x:c r="S120" s="24" t="str">
        <x:f>"T"&amp;IF(AND(H120&lt;&gt;"",I120&lt;&gt;"",K120&lt;&gt;"",N120&lt;&gt;"",P120&lt;&gt;""),5,IF(AND(H120&lt;&gt;"",K120&lt;&gt;"",G120&lt;&gt;""),4,IF(AND(H120&lt;&gt;"",K120&lt;&gt;""),3,IF(H120&lt;&gt;"",2,1))))</x:f>
        <x:v>T4</x:v>
      </x:c>
      <x:c r="T120" s="24" t="str">
        <x:v>VRM Games</x:v>
      </x:c>
      <x:c r="U120" s="24" t="str"/>
    </x:row>
    <x:row r="121" ht="34" customHeight="1">
      <x:c r="A121" s="24" t="str">
        <x:v>TRC-0117</x:v>
      </x:c>
      <x:c r="B121" s="24" t="str">
        <x:v>ANM-002</x:v>
      </x:c>
      <x:c r="C121" s="24" t="str">
        <x:v>VFX/Animation</x:v>
      </x:c>
      <x:c r="D121" s="24" t="str">
        <x:v>Frustrated.anim</x:v>
      </x:c>
      <x:c r="E121" s="24" t="str">
        <x:v>REPRESENTATIVE</x:v>
      </x:c>
      <x:c r="F121" s="24" t="str">
        <x:v>Asset available</x:v>
      </x:c>
      <x:c r="G121" s="24" t="str">
        <x:v>Runtime/visual review pending</x:v>
      </x:c>
      <x:c r="H121" s="24" t="str">
        <x:v>Assets/_Project/Animations/Characters/Frustrated.anim</x:v>
      </x:c>
      <x:c r="I121" s="24" t="str">
        <x:v>3ac28672d02429830e5ec6c5e7d09d82</x:v>
      </x:c>
      <x:c r="J121" s="24" t="str"/>
      <x:c r="K121" s="24" t="str">
        <x:v>VS-ART-001</x:v>
      </x:c>
      <x:c r="L121" s="24" t="n">
        <x:v>16</x:v>
      </x:c>
      <x:c r="M121" s="24" t="str">
        <x:v>H6</x:v>
      </x:c>
      <x:c r="N121" s="24" t="str"/>
      <x:c r="O121" s="24" t="str">
        <x:v>BLD-016-POST</x:v>
      </x:c>
      <x:c r="P121" s="24" t="str">
        <x:v>Internal/Approved</x:v>
      </x:c>
      <x:c r="Q121" s="24" t="str">
        <x:v>Final rigs/variants not demonstrated</x:v>
      </x:c>
      <x:c r="R121" s="24" t="str">
        <x:v>12_VFX_Animacion</x:v>
      </x:c>
      <x:c r="S121" s="24" t="str">
        <x:f>"T"&amp;IF(AND(H121&lt;&gt;"",I121&lt;&gt;"",K121&lt;&gt;"",N121&lt;&gt;"",P121&lt;&gt;""),5,IF(AND(H121&lt;&gt;"",K121&lt;&gt;"",G121&lt;&gt;""),4,IF(AND(H121&lt;&gt;"",K121&lt;&gt;""),3,IF(H121&lt;&gt;"",2,1))))</x:f>
        <x:v>T4</x:v>
      </x:c>
      <x:c r="T121" s="24" t="str">
        <x:v>VRM Games</x:v>
      </x:c>
      <x:c r="U121" s="24" t="str"/>
    </x:row>
    <x:row r="122" ht="34" customHeight="1">
      <x:c r="A122" s="24" t="str">
        <x:v>TRC-0118</x:v>
      </x:c>
      <x:c r="B122" s="24" t="str">
        <x:v>ANM-003</x:v>
      </x:c>
      <x:c r="C122" s="24" t="str">
        <x:v>VFX/Animation</x:v>
      </x:c>
      <x:c r="D122" s="24" t="str">
        <x:v>Idle.anim</x:v>
      </x:c>
      <x:c r="E122" s="24" t="str">
        <x:v>REPRESENTATIVE</x:v>
      </x:c>
      <x:c r="F122" s="24" t="str">
        <x:v>Asset available</x:v>
      </x:c>
      <x:c r="G122" s="24" t="str">
        <x:v>Runtime/visual review pending</x:v>
      </x:c>
      <x:c r="H122" s="24" t="str">
        <x:v>Assets/_Project/Animations/Characters/Idle.anim</x:v>
      </x:c>
      <x:c r="I122" s="24" t="str">
        <x:v>00b8a0a5b29b4bd340b6c524f0a1137a</x:v>
      </x:c>
      <x:c r="J122" s="24" t="str"/>
      <x:c r="K122" s="24" t="str">
        <x:v>VS-ART-001</x:v>
      </x:c>
      <x:c r="L122" s="24" t="n">
        <x:v>16</x:v>
      </x:c>
      <x:c r="M122" s="24" t="str">
        <x:v>H6</x:v>
      </x:c>
      <x:c r="N122" s="24" t="str"/>
      <x:c r="O122" s="24" t="str">
        <x:v>BLD-016-POST</x:v>
      </x:c>
      <x:c r="P122" s="24" t="str">
        <x:v>Internal/Approved</x:v>
      </x:c>
      <x:c r="Q122" s="24" t="str">
        <x:v>Final rigs/variants not demonstrated</x:v>
      </x:c>
      <x:c r="R122" s="24" t="str">
        <x:v>12_VFX_Animacion</x:v>
      </x:c>
      <x:c r="S122" s="24" t="str">
        <x:f>"T"&amp;IF(AND(H122&lt;&gt;"",I122&lt;&gt;"",K122&lt;&gt;"",N122&lt;&gt;"",P122&lt;&gt;""),5,IF(AND(H122&lt;&gt;"",K122&lt;&gt;"",G122&lt;&gt;""),4,IF(AND(H122&lt;&gt;"",K122&lt;&gt;""),3,IF(H122&lt;&gt;"",2,1))))</x:f>
        <x:v>T4</x:v>
      </x:c>
      <x:c r="T122" s="24" t="str">
        <x:v>VRM Games</x:v>
      </x:c>
      <x:c r="U122" s="24" t="str"/>
    </x:row>
    <x:row r="123" ht="34" customHeight="1">
      <x:c r="A123" s="24" t="str">
        <x:v>TRC-0119</x:v>
      </x:c>
      <x:c r="B123" s="24" t="str">
        <x:v>ANM-004</x:v>
      </x:c>
      <x:c r="C123" s="24" t="str">
        <x:v>VFX/Animation</x:v>
      </x:c>
      <x:c r="D123" s="24" t="str">
        <x:v>MoveCrate.anim</x:v>
      </x:c>
      <x:c r="E123" s="24" t="str">
        <x:v>REPRESENTATIVE</x:v>
      </x:c>
      <x:c r="F123" s="24" t="str">
        <x:v>Asset available</x:v>
      </x:c>
      <x:c r="G123" s="24" t="str">
        <x:v>Runtime/visual review pending</x:v>
      </x:c>
      <x:c r="H123" s="24" t="str">
        <x:v>Assets/_Project/Animations/Characters/MoveCrate.anim</x:v>
      </x:c>
      <x:c r="I123" s="24" t="str">
        <x:v>f52ffcf3371527d29e26f3d0d549d19d</x:v>
      </x:c>
      <x:c r="J123" s="24" t="str"/>
      <x:c r="K123" s="24" t="str">
        <x:v>VS-ART-001</x:v>
      </x:c>
      <x:c r="L123" s="24" t="n">
        <x:v>16</x:v>
      </x:c>
      <x:c r="M123" s="24" t="str">
        <x:v>H6</x:v>
      </x:c>
      <x:c r="N123" s="24" t="str"/>
      <x:c r="O123" s="24" t="str">
        <x:v>BLD-016-POST</x:v>
      </x:c>
      <x:c r="P123" s="24" t="str">
        <x:v>Internal/Approved</x:v>
      </x:c>
      <x:c r="Q123" s="24" t="str">
        <x:v>Final rigs/variants not demonstrated</x:v>
      </x:c>
      <x:c r="R123" s="24" t="str">
        <x:v>12_VFX_Animacion</x:v>
      </x:c>
      <x:c r="S123" s="24" t="str">
        <x:f>"T"&amp;IF(AND(H123&lt;&gt;"",I123&lt;&gt;"",K123&lt;&gt;"",N123&lt;&gt;"",P123&lt;&gt;""),5,IF(AND(H123&lt;&gt;"",K123&lt;&gt;"",G123&lt;&gt;""),4,IF(AND(H123&lt;&gt;"",K123&lt;&gt;""),3,IF(H123&lt;&gt;"",2,1))))</x:f>
        <x:v>T4</x:v>
      </x:c>
      <x:c r="T123" s="24" t="str">
        <x:v>VRM Games</x:v>
      </x:c>
      <x:c r="U123" s="24" t="str"/>
    </x:row>
    <x:row r="124" ht="34" customHeight="1">
      <x:c r="A124" s="24" t="str">
        <x:v>TRC-0120</x:v>
      </x:c>
      <x:c r="B124" s="24" t="str">
        <x:v>ANM-005</x:v>
      </x:c>
      <x:c r="C124" s="24" t="str">
        <x:v>VFX/Animation</x:v>
      </x:c>
      <x:c r="D124" s="24" t="str">
        <x:v>Observe.anim</x:v>
      </x:c>
      <x:c r="E124" s="24" t="str">
        <x:v>REPRESENTATIVE</x:v>
      </x:c>
      <x:c r="F124" s="24" t="str">
        <x:v>Asset available</x:v>
      </x:c>
      <x:c r="G124" s="24" t="str">
        <x:v>Runtime/visual review pending</x:v>
      </x:c>
      <x:c r="H124" s="24" t="str">
        <x:v>Assets/_Project/Animations/Characters/Observe.anim</x:v>
      </x:c>
      <x:c r="I124" s="24" t="str">
        <x:v>7bbf91dbfdf8f766043333960b92fc7e</x:v>
      </x:c>
      <x:c r="J124" s="24" t="str"/>
      <x:c r="K124" s="24" t="str">
        <x:v>VS-ART-001</x:v>
      </x:c>
      <x:c r="L124" s="24" t="n">
        <x:v>16</x:v>
      </x:c>
      <x:c r="M124" s="24" t="str">
        <x:v>H6</x:v>
      </x:c>
      <x:c r="N124" s="24" t="str"/>
      <x:c r="O124" s="24" t="str">
        <x:v>BLD-016-POST</x:v>
      </x:c>
      <x:c r="P124" s="24" t="str">
        <x:v>Internal/Approved</x:v>
      </x:c>
      <x:c r="Q124" s="24" t="str">
        <x:v>Final rigs/variants not demonstrated</x:v>
      </x:c>
      <x:c r="R124" s="24" t="str">
        <x:v>12_VFX_Animacion</x:v>
      </x:c>
      <x:c r="S124" s="24" t="str">
        <x:f>"T"&amp;IF(AND(H124&lt;&gt;"",I124&lt;&gt;"",K124&lt;&gt;"",N124&lt;&gt;"",P124&lt;&gt;""),5,IF(AND(H124&lt;&gt;"",K124&lt;&gt;"",G124&lt;&gt;""),4,IF(AND(H124&lt;&gt;"",K124&lt;&gt;""),3,IF(H124&lt;&gt;"",2,1))))</x:f>
        <x:v>T4</x:v>
      </x:c>
      <x:c r="T124" s="24" t="str">
        <x:v>VRM Games</x:v>
      </x:c>
      <x:c r="U124" s="24" t="str"/>
    </x:row>
    <x:row r="125" ht="34" customHeight="1">
      <x:c r="A125" s="24" t="str">
        <x:v>TRC-0121</x:v>
      </x:c>
      <x:c r="B125" s="24" t="str">
        <x:v>ANM-006</x:v>
      </x:c>
      <x:c r="C125" s="24" t="str">
        <x:v>VFX/Animation</x:v>
      </x:c>
      <x:c r="D125" s="24" t="str">
        <x:v>PickProduct.anim</x:v>
      </x:c>
      <x:c r="E125" s="24" t="str">
        <x:v>REPRESENTATIVE</x:v>
      </x:c>
      <x:c r="F125" s="24" t="str">
        <x:v>Asset available</x:v>
      </x:c>
      <x:c r="G125" s="24" t="str">
        <x:v>Runtime/visual review pending</x:v>
      </x:c>
      <x:c r="H125" s="24" t="str">
        <x:v>Assets/_Project/Animations/Characters/PickProduct.anim</x:v>
      </x:c>
      <x:c r="I125" s="24" t="str">
        <x:v>df5fd4a5d0068ad75bd607aa764805bd</x:v>
      </x:c>
      <x:c r="J125" s="24" t="str"/>
      <x:c r="K125" s="24" t="str">
        <x:v>VS-ART-001</x:v>
      </x:c>
      <x:c r="L125" s="24" t="n">
        <x:v>16</x:v>
      </x:c>
      <x:c r="M125" s="24" t="str">
        <x:v>H6</x:v>
      </x:c>
      <x:c r="N125" s="24" t="str"/>
      <x:c r="O125" s="24" t="str">
        <x:v>BLD-016-POST</x:v>
      </x:c>
      <x:c r="P125" s="24" t="str">
        <x:v>Internal/Approved</x:v>
      </x:c>
      <x:c r="Q125" s="24" t="str">
        <x:v>Final rigs/variants not demonstrated</x:v>
      </x:c>
      <x:c r="R125" s="24" t="str">
        <x:v>12_VFX_Animacion</x:v>
      </x:c>
      <x:c r="S125" s="24" t="str">
        <x:f>"T"&amp;IF(AND(H125&lt;&gt;"",I125&lt;&gt;"",K125&lt;&gt;"",N125&lt;&gt;"",P125&lt;&gt;""),5,IF(AND(H125&lt;&gt;"",K125&lt;&gt;"",G125&lt;&gt;""),4,IF(AND(H125&lt;&gt;"",K125&lt;&gt;""),3,IF(H125&lt;&gt;"",2,1))))</x:f>
        <x:v>T4</x:v>
      </x:c>
      <x:c r="T125" s="24" t="str">
        <x:v>VRM Games</x:v>
      </x:c>
      <x:c r="U125" s="24" t="str"/>
    </x:row>
    <x:row r="126" ht="34" customHeight="1">
      <x:c r="A126" s="24" t="str">
        <x:v>TRC-0122</x:v>
      </x:c>
      <x:c r="B126" s="24" t="str">
        <x:v>ANM-007</x:v>
      </x:c>
      <x:c r="C126" s="24" t="str">
        <x:v>VFX/Animation</x:v>
      </x:c>
      <x:c r="D126" s="24" t="str">
        <x:v>PlayerPlace.anim</x:v>
      </x:c>
      <x:c r="E126" s="24" t="str">
        <x:v>REPRESENTATIVE</x:v>
      </x:c>
      <x:c r="F126" s="24" t="str">
        <x:v>Asset available</x:v>
      </x:c>
      <x:c r="G126" s="24" t="str">
        <x:v>Runtime/visual review pending</x:v>
      </x:c>
      <x:c r="H126" s="24" t="str">
        <x:v>Assets/_Project/Animations/Characters/PlayerPlace.anim</x:v>
      </x:c>
      <x:c r="I126" s="24" t="str">
        <x:v>d936bbd9c9cbae26a1c5dc0b58eb9437</x:v>
      </x:c>
      <x:c r="J126" s="24" t="str"/>
      <x:c r="K126" s="24" t="str">
        <x:v>VS-ART-001</x:v>
      </x:c>
      <x:c r="L126" s="24" t="n">
        <x:v>16</x:v>
      </x:c>
      <x:c r="M126" s="24" t="str">
        <x:v>H6</x:v>
      </x:c>
      <x:c r="N126" s="24" t="str"/>
      <x:c r="O126" s="24" t="str">
        <x:v>BLD-016-POST</x:v>
      </x:c>
      <x:c r="P126" s="24" t="str">
        <x:v>Internal/Approved</x:v>
      </x:c>
      <x:c r="Q126" s="24" t="str">
        <x:v>Final rigs/variants not demonstrated</x:v>
      </x:c>
      <x:c r="R126" s="24" t="str">
        <x:v>12_VFX_Animacion</x:v>
      </x:c>
      <x:c r="S126" s="24" t="str">
        <x:f>"T"&amp;IF(AND(H126&lt;&gt;"",I126&lt;&gt;"",K126&lt;&gt;"",N126&lt;&gt;"",P126&lt;&gt;""),5,IF(AND(H126&lt;&gt;"",K126&lt;&gt;"",G126&lt;&gt;""),4,IF(AND(H126&lt;&gt;"",K126&lt;&gt;""),3,IF(H126&lt;&gt;"",2,1))))</x:f>
        <x:v>T4</x:v>
      </x:c>
      <x:c r="T126" s="24" t="str">
        <x:v>VRM Games</x:v>
      </x:c>
      <x:c r="U126" s="24" t="str"/>
    </x:row>
    <x:row r="127" ht="34" customHeight="1">
      <x:c r="A127" s="24" t="str">
        <x:v>TRC-0123</x:v>
      </x:c>
      <x:c r="B127" s="24" t="str">
        <x:v>ANM-008</x:v>
      </x:c>
      <x:c r="C127" s="24" t="str">
        <x:v>VFX/Animation</x:v>
      </x:c>
      <x:c r="D127" s="24" t="str">
        <x:v>PlayerRemove.anim</x:v>
      </x:c>
      <x:c r="E127" s="24" t="str">
        <x:v>REPRESENTATIVE</x:v>
      </x:c>
      <x:c r="F127" s="24" t="str">
        <x:v>Asset available</x:v>
      </x:c>
      <x:c r="G127" s="24" t="str">
        <x:v>Runtime/visual review pending</x:v>
      </x:c>
      <x:c r="H127" s="24" t="str">
        <x:v>Assets/_Project/Animations/Characters/PlayerRemove.anim</x:v>
      </x:c>
      <x:c r="I127" s="24" t="str">
        <x:v>84c4837405aef34de6df41828111ba2e</x:v>
      </x:c>
      <x:c r="J127" s="24" t="str"/>
      <x:c r="K127" s="24" t="str">
        <x:v>VS-ART-001</x:v>
      </x:c>
      <x:c r="L127" s="24" t="n">
        <x:v>16</x:v>
      </x:c>
      <x:c r="M127" s="24" t="str">
        <x:v>H6</x:v>
      </x:c>
      <x:c r="N127" s="24" t="str"/>
      <x:c r="O127" s="24" t="str">
        <x:v>BLD-016-POST</x:v>
      </x:c>
      <x:c r="P127" s="24" t="str">
        <x:v>Internal/Approved</x:v>
      </x:c>
      <x:c r="Q127" s="24" t="str">
        <x:v>Final rigs/variants not demonstrated</x:v>
      </x:c>
      <x:c r="R127" s="24" t="str">
        <x:v>12_VFX_Animacion</x:v>
      </x:c>
      <x:c r="S127" s="24" t="str">
        <x:f>"T"&amp;IF(AND(H127&lt;&gt;"",I127&lt;&gt;"",K127&lt;&gt;"",N127&lt;&gt;"",P127&lt;&gt;""),5,IF(AND(H127&lt;&gt;"",K127&lt;&gt;"",G127&lt;&gt;""),4,IF(AND(H127&lt;&gt;"",K127&lt;&gt;""),3,IF(H127&lt;&gt;"",2,1))))</x:f>
        <x:v>T4</x:v>
      </x:c>
      <x:c r="T127" s="24" t="str">
        <x:v>VRM Games</x:v>
      </x:c>
      <x:c r="U127" s="24" t="str"/>
    </x:row>
    <x:row r="128" ht="34" customHeight="1">
      <x:c r="A128" s="24" t="str">
        <x:v>TRC-0124</x:v>
      </x:c>
      <x:c r="B128" s="24" t="str">
        <x:v>ANM-009</x:v>
      </x:c>
      <x:c r="C128" s="24" t="str">
        <x:v>VFX/Animation</x:v>
      </x:c>
      <x:c r="D128" s="24" t="str">
        <x:v>QueueWait.anim</x:v>
      </x:c>
      <x:c r="E128" s="24" t="str">
        <x:v>REPRESENTATIVE</x:v>
      </x:c>
      <x:c r="F128" s="24" t="str">
        <x:v>Asset available</x:v>
      </x:c>
      <x:c r="G128" s="24" t="str">
        <x:v>Runtime/visual review pending</x:v>
      </x:c>
      <x:c r="H128" s="24" t="str">
        <x:v>Assets/_Project/Animations/Characters/QueueWait.anim</x:v>
      </x:c>
      <x:c r="I128" s="24" t="str">
        <x:v>c6ebe55717d652582cbd7f1690e8d84c</x:v>
      </x:c>
      <x:c r="J128" s="24" t="str"/>
      <x:c r="K128" s="24" t="str">
        <x:v>VS-ART-001</x:v>
      </x:c>
      <x:c r="L128" s="24" t="n">
        <x:v>16</x:v>
      </x:c>
      <x:c r="M128" s="24" t="str">
        <x:v>H6</x:v>
      </x:c>
      <x:c r="N128" s="24" t="str"/>
      <x:c r="O128" s="24" t="str">
        <x:v>BLD-016-POST</x:v>
      </x:c>
      <x:c r="P128" s="24" t="str">
        <x:v>Internal/Approved</x:v>
      </x:c>
      <x:c r="Q128" s="24" t="str">
        <x:v>Final rigs/variants not demonstrated</x:v>
      </x:c>
      <x:c r="R128" s="24" t="str">
        <x:v>12_VFX_Animacion</x:v>
      </x:c>
      <x:c r="S128" s="24" t="str">
        <x:f>"T"&amp;IF(AND(H128&lt;&gt;"",I128&lt;&gt;"",K128&lt;&gt;"",N128&lt;&gt;"",P128&lt;&gt;""),5,IF(AND(H128&lt;&gt;"",K128&lt;&gt;"",G128&lt;&gt;""),4,IF(AND(H128&lt;&gt;"",K128&lt;&gt;""),3,IF(H128&lt;&gt;"",2,1))))</x:f>
        <x:v>T4</x:v>
      </x:c>
      <x:c r="T128" s="24" t="str">
        <x:v>VRM Games</x:v>
      </x:c>
      <x:c r="U128" s="24" t="str"/>
    </x:row>
    <x:row r="129" ht="34" customHeight="1">
      <x:c r="A129" s="24" t="str">
        <x:v>TRC-0125</x:v>
      </x:c>
      <x:c r="B129" s="24" t="str">
        <x:v>ANM-010</x:v>
      </x:c>
      <x:c r="C129" s="24" t="str">
        <x:v>VFX/Animation</x:v>
      </x:c>
      <x:c r="D129" s="24" t="str">
        <x:v>Satisfied.anim</x:v>
      </x:c>
      <x:c r="E129" s="24" t="str">
        <x:v>REPRESENTATIVE</x:v>
      </x:c>
      <x:c r="F129" s="24" t="str">
        <x:v>Asset available</x:v>
      </x:c>
      <x:c r="G129" s="24" t="str">
        <x:v>Runtime/visual review pending</x:v>
      </x:c>
      <x:c r="H129" s="24" t="str">
        <x:v>Assets/_Project/Animations/Characters/Satisfied.anim</x:v>
      </x:c>
      <x:c r="I129" s="24" t="str">
        <x:v>4b84f7b6061bcf8a6c324f4dc5f2f96d</x:v>
      </x:c>
      <x:c r="J129" s="24" t="str"/>
      <x:c r="K129" s="24" t="str">
        <x:v>VS-ART-001</x:v>
      </x:c>
      <x:c r="L129" s="24" t="n">
        <x:v>16</x:v>
      </x:c>
      <x:c r="M129" s="24" t="str">
        <x:v>H6</x:v>
      </x:c>
      <x:c r="N129" s="24" t="str"/>
      <x:c r="O129" s="24" t="str">
        <x:v>BLD-016-POST</x:v>
      </x:c>
      <x:c r="P129" s="24" t="str">
        <x:v>Internal/Approved</x:v>
      </x:c>
      <x:c r="Q129" s="24" t="str">
        <x:v>Final rigs/variants not demonstrated</x:v>
      </x:c>
      <x:c r="R129" s="24" t="str">
        <x:v>12_VFX_Animacion</x:v>
      </x:c>
      <x:c r="S129" s="24" t="str">
        <x:f>"T"&amp;IF(AND(H129&lt;&gt;"",I129&lt;&gt;"",K129&lt;&gt;"",N129&lt;&gt;"",P129&lt;&gt;""),5,IF(AND(H129&lt;&gt;"",K129&lt;&gt;"",G129&lt;&gt;""),4,IF(AND(H129&lt;&gt;"",K129&lt;&gt;""),3,IF(H129&lt;&gt;"",2,1))))</x:f>
        <x:v>T4</x:v>
      </x:c>
      <x:c r="T129" s="24" t="str">
        <x:v>VRM Games</x:v>
      </x:c>
      <x:c r="U129" s="24" t="str"/>
    </x:row>
    <x:row r="130" ht="34" customHeight="1">
      <x:c r="A130" s="24" t="str">
        <x:v>TRC-0126</x:v>
      </x:c>
      <x:c r="B130" s="24" t="str">
        <x:v>ANM-011</x:v>
      </x:c>
      <x:c r="C130" s="24" t="str">
        <x:v>VFX/Animation</x:v>
      </x:c>
      <x:c r="D130" s="24" t="str">
        <x:v>Walk.anim</x:v>
      </x:c>
      <x:c r="E130" s="24" t="str">
        <x:v>REPRESENTATIVE</x:v>
      </x:c>
      <x:c r="F130" s="24" t="str">
        <x:v>Asset available</x:v>
      </x:c>
      <x:c r="G130" s="24" t="str">
        <x:v>Runtime/visual review pending</x:v>
      </x:c>
      <x:c r="H130" s="24" t="str">
        <x:v>Assets/_Project/Animations/Characters/Walk.anim</x:v>
      </x:c>
      <x:c r="I130" s="24" t="str">
        <x:v>9ab8e0041fe30860d769d97c4cd5c961</x:v>
      </x:c>
      <x:c r="J130" s="24" t="str"/>
      <x:c r="K130" s="24" t="str">
        <x:v>VS-ART-001</x:v>
      </x:c>
      <x:c r="L130" s="24" t="n">
        <x:v>16</x:v>
      </x:c>
      <x:c r="M130" s="24" t="str">
        <x:v>H6</x:v>
      </x:c>
      <x:c r="N130" s="24" t="str"/>
      <x:c r="O130" s="24" t="str">
        <x:v>BLD-016-POST</x:v>
      </x:c>
      <x:c r="P130" s="24" t="str">
        <x:v>Internal/Approved</x:v>
      </x:c>
      <x:c r="Q130" s="24" t="str">
        <x:v>Final rigs/variants not demonstrated</x:v>
      </x:c>
      <x:c r="R130" s="24" t="str">
        <x:v>12_VFX_Animacion</x:v>
      </x:c>
      <x:c r="S130" s="24" t="str">
        <x:f>"T"&amp;IF(AND(H130&lt;&gt;"",I130&lt;&gt;"",K130&lt;&gt;"",N130&lt;&gt;"",P130&lt;&gt;""),5,IF(AND(H130&lt;&gt;"",K130&lt;&gt;"",G130&lt;&gt;""),4,IF(AND(H130&lt;&gt;"",K130&lt;&gt;""),3,IF(H130&lt;&gt;"",2,1))))</x:f>
        <x:v>T4</x:v>
      </x:c>
      <x:c r="T130" s="24" t="str">
        <x:v>VRM Games</x:v>
      </x:c>
      <x:c r="U130" s="24" t="str"/>
    </x:row>
    <x:row r="131" ht="34" customHeight="1">
      <x:c r="A131" s="24" t="str">
        <x:v>TRC-0127</x:v>
      </x:c>
      <x:c r="B131" s="24" t="str">
        <x:v>VFX-001</x:v>
      </x:c>
      <x:c r="C131" s="24" t="str">
        <x:v>VFX/Animation</x:v>
      </x:c>
      <x:c r="D131" s="24" t="str">
        <x:v>Placement valid feedback</x:v>
      </x:c>
      <x:c r="E131" s="24" t="str">
        <x:v>REQUIRED / PLACEHOLDER</x:v>
      </x:c>
      <x:c r="F131" s="24" t="str">
        <x:v>Representative via material/presentation fallback</x:v>
      </x:c>
      <x:c r="G131" s="24" t="str">
        <x:v>Visual/build review pending</x:v>
      </x:c>
      <x:c r="H131" s="24" t="str">
        <x:v>No dedicated VFX asset demonstrated</x:v>
      </x:c>
      <x:c r="I131" s="24" t="str"/>
      <x:c r="J131" s="24" t="str"/>
      <x:c r="K131" s="24" t="str">
        <x:v>VS-ART-002</x:v>
      </x:c>
      <x:c r="L131" s="24" t="n">
        <x:v>16</x:v>
      </x:c>
      <x:c r="M131" s="24" t="str">
        <x:v>H6</x:v>
      </x:c>
      <x:c r="N131" s="24" t="str"/>
      <x:c r="O131" s="24" t="str">
        <x:v>BLD-016-POST</x:v>
      </x:c>
      <x:c r="P131" s="24" t="str">
        <x:v>Internal</x:v>
      </x:c>
      <x:c r="Q131" s="24" t="str">
        <x:v>Dedicated VFX missing</x:v>
      </x:c>
      <x:c r="R131" s="24" t="str">
        <x:v>12_VFX_Animacion</x:v>
      </x:c>
      <x:c r="S131" s="24" t="str">
        <x:f>"T"&amp;IF(AND(H131&lt;&gt;"",I131&lt;&gt;"",K131&lt;&gt;"",N131&lt;&gt;"",P131&lt;&gt;""),5,IF(AND(H131&lt;&gt;"",K131&lt;&gt;"",G131&lt;&gt;""),4,IF(AND(H131&lt;&gt;"",K131&lt;&gt;""),3,IF(H131&lt;&gt;"",2,1))))</x:f>
        <x:v>T4</x:v>
      </x:c>
      <x:c r="T131" s="24" t="str">
        <x:v>VRM Games</x:v>
      </x:c>
      <x:c r="U131" s="24" t="str"/>
    </x:row>
    <x:row r="132" ht="34" customHeight="1">
      <x:c r="A132" s="24" t="str">
        <x:v>TRC-0128</x:v>
      </x:c>
      <x:c r="B132" s="24" t="str">
        <x:v>VFX-002</x:v>
      </x:c>
      <x:c r="C132" s="24" t="str">
        <x:v>VFX/Animation</x:v>
      </x:c>
      <x:c r="D132" s="24" t="str">
        <x:v>Placement invalid feedback</x:v>
      </x:c>
      <x:c r="E132" s="24" t="str">
        <x:v>REQUIRED / PLACEHOLDER</x:v>
      </x:c>
      <x:c r="F132" s="24" t="str">
        <x:v>Representative via material/presentation fallback</x:v>
      </x:c>
      <x:c r="G132" s="24" t="str">
        <x:v>Visual/build review pending</x:v>
      </x:c>
      <x:c r="H132" s="24" t="str">
        <x:v>No dedicated VFX asset demonstrated</x:v>
      </x:c>
      <x:c r="I132" s="24" t="str"/>
      <x:c r="J132" s="24" t="str"/>
      <x:c r="K132" s="24" t="str">
        <x:v>VS-ART-002</x:v>
      </x:c>
      <x:c r="L132" s="24" t="n">
        <x:v>16</x:v>
      </x:c>
      <x:c r="M132" s="24" t="str">
        <x:v>H6</x:v>
      </x:c>
      <x:c r="N132" s="24" t="str"/>
      <x:c r="O132" s="24" t="str">
        <x:v>BLD-016-POST</x:v>
      </x:c>
      <x:c r="P132" s="24" t="str">
        <x:v>Internal</x:v>
      </x:c>
      <x:c r="Q132" s="24" t="str">
        <x:v>Dedicated VFX missing</x:v>
      </x:c>
      <x:c r="R132" s="24" t="str">
        <x:v>12_VFX_Animacion</x:v>
      </x:c>
      <x:c r="S132" s="24" t="str">
        <x:f>"T"&amp;IF(AND(H132&lt;&gt;"",I132&lt;&gt;"",K132&lt;&gt;"",N132&lt;&gt;"",P132&lt;&gt;""),5,IF(AND(H132&lt;&gt;"",K132&lt;&gt;"",G132&lt;&gt;""),4,IF(AND(H132&lt;&gt;"",K132&lt;&gt;""),3,IF(H132&lt;&gt;"",2,1))))</x:f>
        <x:v>T4</x:v>
      </x:c>
      <x:c r="T132" s="24" t="str">
        <x:v>VRM Games</x:v>
      </x:c>
      <x:c r="U132" s="24" t="str"/>
    </x:row>
    <x:row r="133" ht="34" customHeight="1">
      <x:c r="A133" s="24" t="str">
        <x:v>TRC-0129</x:v>
      </x:c>
      <x:c r="B133" s="24" t="str">
        <x:v>VFX-003</x:v>
      </x:c>
      <x:c r="C133" s="24" t="str">
        <x:v>VFX/Animation</x:v>
      </x:c>
      <x:c r="D133" s="24" t="str">
        <x:v>Sale feedback</x:v>
      </x:c>
      <x:c r="E133" s="24" t="str">
        <x:v>REQUIRED / PLACEHOLDER</x:v>
      </x:c>
      <x:c r="F133" s="24" t="str">
        <x:v>Representative/fallback</x:v>
      </x:c>
      <x:c r="G133" s="24" t="str">
        <x:v>Visual/build review pending</x:v>
      </x:c>
      <x:c r="H133" s="24" t="str">
        <x:v>No dedicated VFX asset demonstrated</x:v>
      </x:c>
      <x:c r="I133" s="24" t="str"/>
      <x:c r="J133" s="24" t="str"/>
      <x:c r="K133" s="24" t="str">
        <x:v>VS-ART-002</x:v>
      </x:c>
      <x:c r="L133" s="24" t="n">
        <x:v>16</x:v>
      </x:c>
      <x:c r="M133" s="24" t="str">
        <x:v>H6</x:v>
      </x:c>
      <x:c r="N133" s="24" t="str"/>
      <x:c r="O133" s="24" t="str">
        <x:v>BLD-016-POST</x:v>
      </x:c>
      <x:c r="P133" s="24" t="str">
        <x:v>Internal</x:v>
      </x:c>
      <x:c r="Q133" s="24" t="str">
        <x:v>Dedicated VFX missing</x:v>
      </x:c>
      <x:c r="R133" s="24" t="str">
        <x:v>12_VFX_Animacion</x:v>
      </x:c>
      <x:c r="S133" s="24" t="str">
        <x:f>"T"&amp;IF(AND(H133&lt;&gt;"",I133&lt;&gt;"",K133&lt;&gt;"",N133&lt;&gt;"",P133&lt;&gt;""),5,IF(AND(H133&lt;&gt;"",K133&lt;&gt;"",G133&lt;&gt;""),4,IF(AND(H133&lt;&gt;"",K133&lt;&gt;""),3,IF(H133&lt;&gt;"",2,1))))</x:f>
        <x:v>T4</x:v>
      </x:c>
      <x:c r="T133" s="24" t="str">
        <x:v>VRM Games</x:v>
      </x:c>
      <x:c r="U133" s="24" t="str"/>
    </x:row>
    <x:row r="134" ht="34" customHeight="1">
      <x:c r="A134" s="24" t="str">
        <x:v>TRC-0130</x:v>
      </x:c>
      <x:c r="B134" s="24" t="str">
        <x:v>VFX-004</x:v>
      </x:c>
      <x:c r="C134" s="24" t="str">
        <x:v>VFX/Animation</x:v>
      </x:c>
      <x:c r="D134" s="24" t="str">
        <x:v>Warning/alert feedback</x:v>
      </x:c>
      <x:c r="E134" s="24" t="str">
        <x:v>REQUIRED / PLACEHOLDER</x:v>
      </x:c>
      <x:c r="F134" s="24" t="str">
        <x:v>Representative/fallback</x:v>
      </x:c>
      <x:c r="G134" s="24" t="str">
        <x:v>Visual/build review pending</x:v>
      </x:c>
      <x:c r="H134" s="24" t="str">
        <x:v>No dedicated VFX asset demonstrated</x:v>
      </x:c>
      <x:c r="I134" s="24" t="str"/>
      <x:c r="J134" s="24" t="str"/>
      <x:c r="K134" s="24" t="str">
        <x:v>VS-ART-002</x:v>
      </x:c>
      <x:c r="L134" s="24" t="n">
        <x:v>16</x:v>
      </x:c>
      <x:c r="M134" s="24" t="str">
        <x:v>H6</x:v>
      </x:c>
      <x:c r="N134" s="24" t="str"/>
      <x:c r="O134" s="24" t="str">
        <x:v>BLD-016-POST</x:v>
      </x:c>
      <x:c r="P134" s="24" t="str">
        <x:v>Internal</x:v>
      </x:c>
      <x:c r="Q134" s="24" t="str">
        <x:v>Dedicated VFX missing</x:v>
      </x:c>
      <x:c r="R134" s="24" t="str">
        <x:v>12_VFX_Animacion</x:v>
      </x:c>
      <x:c r="S134" s="24" t="str">
        <x:f>"T"&amp;IF(AND(H134&lt;&gt;"",I134&lt;&gt;"",K134&lt;&gt;"",N134&lt;&gt;"",P134&lt;&gt;""),5,IF(AND(H134&lt;&gt;"",K134&lt;&gt;"",G134&lt;&gt;""),4,IF(AND(H134&lt;&gt;"",K134&lt;&gt;""),3,IF(H134&lt;&gt;"",2,1))))</x:f>
        <x:v>T4</x:v>
      </x:c>
      <x:c r="T134" s="24" t="str">
        <x:v>VRM Games</x:v>
      </x:c>
      <x:c r="U134" s="24" t="str"/>
    </x:row>
    <x:row r="135" ht="34" customHeight="1">
      <x:c r="A135" s="24" t="str">
        <x:v>TRC-0131</x:v>
      </x:c>
      <x:c r="B135" s="24" t="str">
        <x:v>MAT-001</x:v>
      </x:c>
      <x:c r="C135" s="24" t="str">
        <x:v>Material/Texture</x:v>
      </x:c>
      <x:c r="D135" s="24" t="str">
        <x:v>ShellFloor.mat</x:v>
      </x:c>
      <x:c r="E135" s="24" t="str">
        <x:v>ACTIVE</x:v>
      </x:c>
      <x:c r="F135" s="24" t="str">
        <x:v>Imported</x:v>
      </x:c>
      <x:c r="G135" s="24" t="str">
        <x:v>URP/visual review pending</x:v>
      </x:c>
      <x:c r="H135" s="24" t="str">
        <x:v>Assets/_Project/Art/Materials/Architecture/ShellFloor.mat</x:v>
      </x:c>
      <x:c r="I135" s="24" t="str">
        <x:v>35787df586ad5129d27061d5e7aeea65</x:v>
      </x:c>
      <x:c r="J135" s="24" t="str"/>
      <x:c r="K135" s="24" t="str">
        <x:v>VS-ART-001</x:v>
      </x:c>
      <x:c r="L135" s="24" t="n">
        <x:v>16</x:v>
      </x:c>
      <x:c r="M135" s="24" t="str">
        <x:v>H6</x:v>
      </x:c>
      <x:c r="N135" s="24" t="str"/>
      <x:c r="O135" s="24" t="str">
        <x:v>BLD-016-POST</x:v>
      </x:c>
      <x:c r="P135" s="24" t="str">
        <x:v>Internal/Approved</x:v>
      </x:c>
      <x:c r="Q135" s="24" t="str">
        <x:v>Texture/outline final not demonstrated</x:v>
      </x:c>
      <x:c r="R135" s="24" t="str">
        <x:v>13_Materiales_Texturas</x:v>
      </x:c>
      <x:c r="S135" s="24" t="str">
        <x:f>"T"&amp;IF(AND(H135&lt;&gt;"",I135&lt;&gt;"",K135&lt;&gt;"",N135&lt;&gt;"",P135&lt;&gt;""),5,IF(AND(H135&lt;&gt;"",K135&lt;&gt;"",G135&lt;&gt;""),4,IF(AND(H135&lt;&gt;"",K135&lt;&gt;""),3,IF(H135&lt;&gt;"",2,1))))</x:f>
        <x:v>T4</x:v>
      </x:c>
      <x:c r="T135" s="24" t="str">
        <x:v>VRM Games</x:v>
      </x:c>
      <x:c r="U135" s="24" t="str"/>
    </x:row>
    <x:row r="136" ht="34" customHeight="1">
      <x:c r="A136" s="24" t="str">
        <x:v>TRC-0132</x:v>
      </x:c>
      <x:c r="B136" s="24" t="str">
        <x:v>MAT-002</x:v>
      </x:c>
      <x:c r="C136" s="24" t="str">
        <x:v>Material/Texture</x:v>
      </x:c>
      <x:c r="D136" s="24" t="str">
        <x:v>ShellGlass.mat</x:v>
      </x:c>
      <x:c r="E136" s="24" t="str">
        <x:v>ACTIVE</x:v>
      </x:c>
      <x:c r="F136" s="24" t="str">
        <x:v>Imported</x:v>
      </x:c>
      <x:c r="G136" s="24" t="str">
        <x:v>URP/visual review pending</x:v>
      </x:c>
      <x:c r="H136" s="24" t="str">
        <x:v>Assets/_Project/Art/Materials/Architecture/ShellGlass.mat</x:v>
      </x:c>
      <x:c r="I136" s="24" t="str">
        <x:v>1a9b44fd5329085763b0f345145d40c9</x:v>
      </x:c>
      <x:c r="J136" s="24" t="str"/>
      <x:c r="K136" s="24" t="str">
        <x:v>VS-ART-001</x:v>
      </x:c>
      <x:c r="L136" s="24" t="n">
        <x:v>16</x:v>
      </x:c>
      <x:c r="M136" s="24" t="str">
        <x:v>H6</x:v>
      </x:c>
      <x:c r="N136" s="24" t="str"/>
      <x:c r="O136" s="24" t="str">
        <x:v>BLD-016-POST</x:v>
      </x:c>
      <x:c r="P136" s="24" t="str">
        <x:v>Internal/Approved</x:v>
      </x:c>
      <x:c r="Q136" s="24" t="str">
        <x:v>Texture/outline final not demonstrated</x:v>
      </x:c>
      <x:c r="R136" s="24" t="str">
        <x:v>13_Materiales_Texturas</x:v>
      </x:c>
      <x:c r="S136" s="24" t="str">
        <x:f>"T"&amp;IF(AND(H136&lt;&gt;"",I136&lt;&gt;"",K136&lt;&gt;"",N136&lt;&gt;"",P136&lt;&gt;""),5,IF(AND(H136&lt;&gt;"",K136&lt;&gt;"",G136&lt;&gt;""),4,IF(AND(H136&lt;&gt;"",K136&lt;&gt;""),3,IF(H136&lt;&gt;"",2,1))))</x:f>
        <x:v>T4</x:v>
      </x:c>
      <x:c r="T136" s="24" t="str">
        <x:v>VRM Games</x:v>
      </x:c>
      <x:c r="U136" s="24" t="str"/>
    </x:row>
    <x:row r="137" ht="34" customHeight="1">
      <x:c r="A137" s="24" t="str">
        <x:v>TRC-0133</x:v>
      </x:c>
      <x:c r="B137" s="24" t="str">
        <x:v>MAT-003</x:v>
      </x:c>
      <x:c r="C137" s="24" t="str">
        <x:v>Material/Texture</x:v>
      </x:c>
      <x:c r="D137" s="24" t="str">
        <x:v>ShellWall.mat</x:v>
      </x:c>
      <x:c r="E137" s="24" t="str">
        <x:v>ACTIVE</x:v>
      </x:c>
      <x:c r="F137" s="24" t="str">
        <x:v>Imported</x:v>
      </x:c>
      <x:c r="G137" s="24" t="str">
        <x:v>URP/visual review pending</x:v>
      </x:c>
      <x:c r="H137" s="24" t="str">
        <x:v>Assets/_Project/Art/Materials/Architecture/ShellWall.mat</x:v>
      </x:c>
      <x:c r="I137" s="24" t="str">
        <x:v>99ceafb6c0982bae467daab3dfa2984c</x:v>
      </x:c>
      <x:c r="J137" s="24" t="str"/>
      <x:c r="K137" s="24" t="str">
        <x:v>VS-ART-001</x:v>
      </x:c>
      <x:c r="L137" s="24" t="n">
        <x:v>16</x:v>
      </x:c>
      <x:c r="M137" s="24" t="str">
        <x:v>H6</x:v>
      </x:c>
      <x:c r="N137" s="24" t="str"/>
      <x:c r="O137" s="24" t="str">
        <x:v>BLD-016-POST</x:v>
      </x:c>
      <x:c r="P137" s="24" t="str">
        <x:v>Internal/Approved</x:v>
      </x:c>
      <x:c r="Q137" s="24" t="str">
        <x:v>Texture/outline final not demonstrated</x:v>
      </x:c>
      <x:c r="R137" s="24" t="str">
        <x:v>13_Materiales_Texturas</x:v>
      </x:c>
      <x:c r="S137" s="24" t="str">
        <x:f>"T"&amp;IF(AND(H137&lt;&gt;"",I137&lt;&gt;"",K137&lt;&gt;"",N137&lt;&gt;"",P137&lt;&gt;""),5,IF(AND(H137&lt;&gt;"",K137&lt;&gt;"",G137&lt;&gt;""),4,IF(AND(H137&lt;&gt;"",K137&lt;&gt;""),3,IF(H137&lt;&gt;"",2,1))))</x:f>
        <x:v>T4</x:v>
      </x:c>
      <x:c r="T137" s="24" t="str">
        <x:v>VRM Games</x:v>
      </x:c>
      <x:c r="U137" s="24" t="str"/>
    </x:row>
    <x:row r="138" ht="34" customHeight="1">
      <x:c r="A138" s="24" t="str">
        <x:v>TRC-0134</x:v>
      </x:c>
      <x:c r="B138" s="24" t="str">
        <x:v>MAT-004</x:v>
      </x:c>
      <x:c r="C138" s="24" t="str">
        <x:v>Material/Texture</x:v>
      </x:c>
      <x:c r="D138" s="24" t="str">
        <x:v>ZoneBackroom.mat</x:v>
      </x:c>
      <x:c r="E138" s="24" t="str">
        <x:v>ACTIVE</x:v>
      </x:c>
      <x:c r="F138" s="24" t="str">
        <x:v>Imported</x:v>
      </x:c>
      <x:c r="G138" s="24" t="str">
        <x:v>URP/visual review pending</x:v>
      </x:c>
      <x:c r="H138" s="24" t="str">
        <x:v>Assets/_Project/Art/Materials/Architecture/ZoneBackroom.mat</x:v>
      </x:c>
      <x:c r="I138" s="24" t="str">
        <x:v>c782c4414c516742462a774199fed352</x:v>
      </x:c>
      <x:c r="J138" s="24" t="str"/>
      <x:c r="K138" s="24" t="str">
        <x:v>VS-ART-001</x:v>
      </x:c>
      <x:c r="L138" s="24" t="n">
        <x:v>16</x:v>
      </x:c>
      <x:c r="M138" s="24" t="str">
        <x:v>H6</x:v>
      </x:c>
      <x:c r="N138" s="24" t="str"/>
      <x:c r="O138" s="24" t="str">
        <x:v>BLD-016-POST</x:v>
      </x:c>
      <x:c r="P138" s="24" t="str">
        <x:v>Internal/Approved</x:v>
      </x:c>
      <x:c r="Q138" s="24" t="str">
        <x:v>Texture/outline final not demonstrated</x:v>
      </x:c>
      <x:c r="R138" s="24" t="str">
        <x:v>13_Materiales_Texturas</x:v>
      </x:c>
      <x:c r="S138" s="24" t="str">
        <x:f>"T"&amp;IF(AND(H138&lt;&gt;"",I138&lt;&gt;"",K138&lt;&gt;"",N138&lt;&gt;"",P138&lt;&gt;""),5,IF(AND(H138&lt;&gt;"",K138&lt;&gt;"",G138&lt;&gt;""),4,IF(AND(H138&lt;&gt;"",K138&lt;&gt;""),3,IF(H138&lt;&gt;"",2,1))))</x:f>
        <x:v>T4</x:v>
      </x:c>
      <x:c r="T138" s="24" t="str">
        <x:v>VRM Games</x:v>
      </x:c>
      <x:c r="U138" s="24" t="str"/>
    </x:row>
    <x:row r="139" ht="34" customHeight="1">
      <x:c r="A139" s="24" t="str">
        <x:v>TRC-0135</x:v>
      </x:c>
      <x:c r="B139" s="24" t="str">
        <x:v>MAT-005</x:v>
      </x:c>
      <x:c r="C139" s="24" t="str">
        <x:v>Material/Texture</x:v>
      </x:c>
      <x:c r="D139" s="24" t="str">
        <x:v>ZoneCheckout.mat</x:v>
      </x:c>
      <x:c r="E139" s="24" t="str">
        <x:v>ACTIVE</x:v>
      </x:c>
      <x:c r="F139" s="24" t="str">
        <x:v>Imported</x:v>
      </x:c>
      <x:c r="G139" s="24" t="str">
        <x:v>URP/visual review pending</x:v>
      </x:c>
      <x:c r="H139" s="24" t="str">
        <x:v>Assets/_Project/Art/Materials/Architecture/ZoneCheckout.mat</x:v>
      </x:c>
      <x:c r="I139" s="24" t="str">
        <x:v>5a3312c0cbd9a8960940d3122e5329a6</x:v>
      </x:c>
      <x:c r="J139" s="24" t="str"/>
      <x:c r="K139" s="24" t="str">
        <x:v>VS-ART-001</x:v>
      </x:c>
      <x:c r="L139" s="24" t="n">
        <x:v>16</x:v>
      </x:c>
      <x:c r="M139" s="24" t="str">
        <x:v>H6</x:v>
      </x:c>
      <x:c r="N139" s="24" t="str"/>
      <x:c r="O139" s="24" t="str">
        <x:v>BLD-016-POST</x:v>
      </x:c>
      <x:c r="P139" s="24" t="str">
        <x:v>Internal/Approved</x:v>
      </x:c>
      <x:c r="Q139" s="24" t="str">
        <x:v>Texture/outline final not demonstrated</x:v>
      </x:c>
      <x:c r="R139" s="24" t="str">
        <x:v>13_Materiales_Texturas</x:v>
      </x:c>
      <x:c r="S139" s="24" t="str">
        <x:f>"T"&amp;IF(AND(H139&lt;&gt;"",I139&lt;&gt;"",K139&lt;&gt;"",N139&lt;&gt;"",P139&lt;&gt;""),5,IF(AND(H139&lt;&gt;"",K139&lt;&gt;"",G139&lt;&gt;""),4,IF(AND(H139&lt;&gt;"",K139&lt;&gt;""),3,IF(H139&lt;&gt;"",2,1))))</x:f>
        <x:v>T4</x:v>
      </x:c>
      <x:c r="T139" s="24" t="str">
        <x:v>VRM Games</x:v>
      </x:c>
      <x:c r="U139" s="24" t="str"/>
    </x:row>
    <x:row r="140" ht="34" customHeight="1">
      <x:c r="A140" s="24" t="str">
        <x:v>TRC-0136</x:v>
      </x:c>
      <x:c r="B140" s="24" t="str">
        <x:v>MAT-006</x:v>
      </x:c>
      <x:c r="C140" s="24" t="str">
        <x:v>Material/Texture</x:v>
      </x:c>
      <x:c r="D140" s="24" t="str">
        <x:v>ZoneMarker.mat</x:v>
      </x:c>
      <x:c r="E140" s="24" t="str">
        <x:v>ACTIVE</x:v>
      </x:c>
      <x:c r="F140" s="24" t="str">
        <x:v>Imported</x:v>
      </x:c>
      <x:c r="G140" s="24" t="str">
        <x:v>URP/visual review pending</x:v>
      </x:c>
      <x:c r="H140" s="24" t="str">
        <x:v>Assets/_Project/Art/Materials/Architecture/ZoneMarker.mat</x:v>
      </x:c>
      <x:c r="I140" s="24" t="str">
        <x:v>193d039aa473c0a93826ea14a72c4680</x:v>
      </x:c>
      <x:c r="J140" s="24" t="str"/>
      <x:c r="K140" s="24" t="str">
        <x:v>VS-ART-001</x:v>
      </x:c>
      <x:c r="L140" s="24" t="n">
        <x:v>16</x:v>
      </x:c>
      <x:c r="M140" s="24" t="str">
        <x:v>H6</x:v>
      </x:c>
      <x:c r="N140" s="24" t="str"/>
      <x:c r="O140" s="24" t="str">
        <x:v>BLD-016-POST</x:v>
      </x:c>
      <x:c r="P140" s="24" t="str">
        <x:v>Internal/Approved</x:v>
      </x:c>
      <x:c r="Q140" s="24" t="str">
        <x:v>Texture/outline final not demonstrated</x:v>
      </x:c>
      <x:c r="R140" s="24" t="str">
        <x:v>13_Materiales_Texturas</x:v>
      </x:c>
      <x:c r="S140" s="24" t="str">
        <x:f>"T"&amp;IF(AND(H140&lt;&gt;"",I140&lt;&gt;"",K140&lt;&gt;"",N140&lt;&gt;"",P140&lt;&gt;""),5,IF(AND(H140&lt;&gt;"",K140&lt;&gt;"",G140&lt;&gt;""),4,IF(AND(H140&lt;&gt;"",K140&lt;&gt;""),3,IF(H140&lt;&gt;"",2,1))))</x:f>
        <x:v>T4</x:v>
      </x:c>
      <x:c r="T140" s="24" t="str">
        <x:v>VRM Games</x:v>
      </x:c>
      <x:c r="U140" s="24" t="str"/>
    </x:row>
    <x:row r="141" ht="34" customHeight="1">
      <x:c r="A141" s="24" t="str">
        <x:v>TRC-0137</x:v>
      </x:c>
      <x:c r="B141" s="24" t="str">
        <x:v>MAT-007</x:v>
      </x:c>
      <x:c r="C141" s="24" t="str">
        <x:v>Material/Texture</x:v>
      </x:c>
      <x:c r="D141" s="24" t="str">
        <x:v>ZoneReceiving.mat</x:v>
      </x:c>
      <x:c r="E141" s="24" t="str">
        <x:v>ACTIVE</x:v>
      </x:c>
      <x:c r="F141" s="24" t="str">
        <x:v>Imported</x:v>
      </x:c>
      <x:c r="G141" s="24" t="str">
        <x:v>URP/visual review pending</x:v>
      </x:c>
      <x:c r="H141" s="24" t="str">
        <x:v>Assets/_Project/Art/Materials/Architecture/ZoneReceiving.mat</x:v>
      </x:c>
      <x:c r="I141" s="24" t="str">
        <x:v>b0e960507b1e1a1abd814dbed7612c7c</x:v>
      </x:c>
      <x:c r="J141" s="24" t="str"/>
      <x:c r="K141" s="24" t="str">
        <x:v>VS-ART-001</x:v>
      </x:c>
      <x:c r="L141" s="24" t="n">
        <x:v>16</x:v>
      </x:c>
      <x:c r="M141" s="24" t="str">
        <x:v>H6</x:v>
      </x:c>
      <x:c r="N141" s="24" t="str"/>
      <x:c r="O141" s="24" t="str">
        <x:v>BLD-016-POST</x:v>
      </x:c>
      <x:c r="P141" s="24" t="str">
        <x:v>Internal/Approved</x:v>
      </x:c>
      <x:c r="Q141" s="24" t="str">
        <x:v>Texture/outline final not demonstrated</x:v>
      </x:c>
      <x:c r="R141" s="24" t="str">
        <x:v>13_Materiales_Texturas</x:v>
      </x:c>
      <x:c r="S141" s="24" t="str">
        <x:f>"T"&amp;IF(AND(H141&lt;&gt;"",I141&lt;&gt;"",K141&lt;&gt;"",N141&lt;&gt;"",P141&lt;&gt;""),5,IF(AND(H141&lt;&gt;"",K141&lt;&gt;"",G141&lt;&gt;""),4,IF(AND(H141&lt;&gt;"",K141&lt;&gt;""),3,IF(H141&lt;&gt;"",2,1))))</x:f>
        <x:v>T4</x:v>
      </x:c>
      <x:c r="T141" s="24" t="str">
        <x:v>VRM Games</x:v>
      </x:c>
      <x:c r="U141" s="24" t="str"/>
    </x:row>
    <x:row r="142" ht="34" customHeight="1">
      <x:c r="A142" s="24" t="str">
        <x:v>TRC-0138</x:v>
      </x:c>
      <x:c r="B142" s="24" t="str">
        <x:v>MAT-008</x:v>
      </x:c>
      <x:c r="C142" s="24" t="str">
        <x:v>Material/Texture</x:v>
      </x:c>
      <x:c r="D142" s="24" t="str">
        <x:v>CharacterCustomer.mat</x:v>
      </x:c>
      <x:c r="E142" s="24" t="str">
        <x:v>ACTIVE</x:v>
      </x:c>
      <x:c r="F142" s="24" t="str">
        <x:v>Imported</x:v>
      </x:c>
      <x:c r="G142" s="24" t="str">
        <x:v>URP/visual review pending</x:v>
      </x:c>
      <x:c r="H142" s="24" t="str">
        <x:v>Assets/_Project/Art/Materials/Characters/CharacterCustomer.mat</x:v>
      </x:c>
      <x:c r="I142" s="24" t="str">
        <x:v>450505c32f7e3e847f6347db0ac01057</x:v>
      </x:c>
      <x:c r="J142" s="24" t="str"/>
      <x:c r="K142" s="24" t="str">
        <x:v>VS-ART-001</x:v>
      </x:c>
      <x:c r="L142" s="24" t="n">
        <x:v>16</x:v>
      </x:c>
      <x:c r="M142" s="24" t="str">
        <x:v>H6</x:v>
      </x:c>
      <x:c r="N142" s="24" t="str"/>
      <x:c r="O142" s="24" t="str">
        <x:v>BLD-016-POST</x:v>
      </x:c>
      <x:c r="P142" s="24" t="str">
        <x:v>Internal/Approved</x:v>
      </x:c>
      <x:c r="Q142" s="24" t="str">
        <x:v>Texture/outline final not demonstrated</x:v>
      </x:c>
      <x:c r="R142" s="24" t="str">
        <x:v>13_Materiales_Texturas</x:v>
      </x:c>
      <x:c r="S142" s="24" t="str">
        <x:f>"T"&amp;IF(AND(H142&lt;&gt;"",I142&lt;&gt;"",K142&lt;&gt;"",N142&lt;&gt;"",P142&lt;&gt;""),5,IF(AND(H142&lt;&gt;"",K142&lt;&gt;"",G142&lt;&gt;""),4,IF(AND(H142&lt;&gt;"",K142&lt;&gt;""),3,IF(H142&lt;&gt;"",2,1))))</x:f>
        <x:v>T4</x:v>
      </x:c>
      <x:c r="T142" s="24" t="str">
        <x:v>VRM Games</x:v>
      </x:c>
      <x:c r="U142" s="24" t="str"/>
    </x:row>
    <x:row r="143" ht="34" customHeight="1">
      <x:c r="A143" s="24" t="str">
        <x:v>TRC-0139</x:v>
      </x:c>
      <x:c r="B143" s="24" t="str">
        <x:v>MAT-009</x:v>
      </x:c>
      <x:c r="C143" s="24" t="str">
        <x:v>Material/Texture</x:v>
      </x:c>
      <x:c r="D143" s="24" t="str">
        <x:v>CharacterEmployee.mat</x:v>
      </x:c>
      <x:c r="E143" s="24" t="str">
        <x:v>ACTIVE</x:v>
      </x:c>
      <x:c r="F143" s="24" t="str">
        <x:v>Imported</x:v>
      </x:c>
      <x:c r="G143" s="24" t="str">
        <x:v>URP/visual review pending</x:v>
      </x:c>
      <x:c r="H143" s="24" t="str">
        <x:v>Assets/_Project/Art/Materials/Characters/CharacterEmployee.mat</x:v>
      </x:c>
      <x:c r="I143" s="24" t="str">
        <x:v>742683d58b0e90e474c01b05742063b0</x:v>
      </x:c>
      <x:c r="J143" s="24" t="str"/>
      <x:c r="K143" s="24" t="str">
        <x:v>VS-ART-001</x:v>
      </x:c>
      <x:c r="L143" s="24" t="n">
        <x:v>16</x:v>
      </x:c>
      <x:c r="M143" s="24" t="str">
        <x:v>H6</x:v>
      </x:c>
      <x:c r="N143" s="24" t="str"/>
      <x:c r="O143" s="24" t="str">
        <x:v>BLD-016-POST</x:v>
      </x:c>
      <x:c r="P143" s="24" t="str">
        <x:v>Internal/Approved</x:v>
      </x:c>
      <x:c r="Q143" s="24" t="str">
        <x:v>Texture/outline final not demonstrated</x:v>
      </x:c>
      <x:c r="R143" s="24" t="str">
        <x:v>13_Materiales_Texturas</x:v>
      </x:c>
      <x:c r="S143" s="24" t="str">
        <x:f>"T"&amp;IF(AND(H143&lt;&gt;"",I143&lt;&gt;"",K143&lt;&gt;"",N143&lt;&gt;"",P143&lt;&gt;""),5,IF(AND(H143&lt;&gt;"",K143&lt;&gt;"",G143&lt;&gt;""),4,IF(AND(H143&lt;&gt;"",K143&lt;&gt;""),3,IF(H143&lt;&gt;"",2,1))))</x:f>
        <x:v>T4</x:v>
      </x:c>
      <x:c r="T143" s="24" t="str">
        <x:v>VRM Games</x:v>
      </x:c>
      <x:c r="U143" s="24" t="str"/>
    </x:row>
    <x:row r="144" ht="34" customHeight="1">
      <x:c r="A144" s="24" t="str">
        <x:v>TRC-0140</x:v>
      </x:c>
      <x:c r="B144" s="24" t="str">
        <x:v>MAT-010</x:v>
      </x:c>
      <x:c r="C144" s="24" t="str">
        <x:v>Material/Texture</x:v>
      </x:c>
      <x:c r="D144" s="24" t="str">
        <x:v>CharacterSupplier.mat</x:v>
      </x:c>
      <x:c r="E144" s="24" t="str">
        <x:v>ACTIVE</x:v>
      </x:c>
      <x:c r="F144" s="24" t="str">
        <x:v>Imported</x:v>
      </x:c>
      <x:c r="G144" s="24" t="str">
        <x:v>URP/visual review pending</x:v>
      </x:c>
      <x:c r="H144" s="24" t="str">
        <x:v>Assets/_Project/Art/Materials/Characters/CharacterSupplier.mat</x:v>
      </x:c>
      <x:c r="I144" s="24" t="str">
        <x:v>3625b86ddf190a169cdb4f1f16066794</x:v>
      </x:c>
      <x:c r="J144" s="24" t="str"/>
      <x:c r="K144" s="24" t="str">
        <x:v>VS-ART-001</x:v>
      </x:c>
      <x:c r="L144" s="24" t="n">
        <x:v>16</x:v>
      </x:c>
      <x:c r="M144" s="24" t="str">
        <x:v>H6</x:v>
      </x:c>
      <x:c r="N144" s="24" t="str"/>
      <x:c r="O144" s="24" t="str">
        <x:v>BLD-016-POST</x:v>
      </x:c>
      <x:c r="P144" s="24" t="str">
        <x:v>Internal/Approved</x:v>
      </x:c>
      <x:c r="Q144" s="24" t="str">
        <x:v>Texture/outline final not demonstrated</x:v>
      </x:c>
      <x:c r="R144" s="24" t="str">
        <x:v>13_Materiales_Texturas</x:v>
      </x:c>
      <x:c r="S144" s="24" t="str">
        <x:f>"T"&amp;IF(AND(H144&lt;&gt;"",I144&lt;&gt;"",K144&lt;&gt;"",N144&lt;&gt;"",P144&lt;&gt;""),5,IF(AND(H144&lt;&gt;"",K144&lt;&gt;"",G144&lt;&gt;""),4,IF(AND(H144&lt;&gt;"",K144&lt;&gt;""),3,IF(H144&lt;&gt;"",2,1))))</x:f>
        <x:v>T4</x:v>
      </x:c>
      <x:c r="T144" s="24" t="str">
        <x:v>VRM Games</x:v>
      </x:c>
      <x:c r="U144" s="24" t="str"/>
    </x:row>
    <x:row r="145" ht="34" customHeight="1">
      <x:c r="A145" s="24" t="str">
        <x:v>TRC-0141</x:v>
      </x:c>
      <x:c r="B145" s="24" t="str">
        <x:v>MAT-011</x:v>
      </x:c>
      <x:c r="C145" s="24" t="str">
        <x:v>Material/Texture</x:v>
      </x:c>
      <x:c r="D145" s="24" t="str">
        <x:v>FeedbackInvalid.mat</x:v>
      </x:c>
      <x:c r="E145" s="24" t="str">
        <x:v>ACTIVE</x:v>
      </x:c>
      <x:c r="F145" s="24" t="str">
        <x:v>Imported</x:v>
      </x:c>
      <x:c r="G145" s="24" t="str">
        <x:v>URP/visual review pending</x:v>
      </x:c>
      <x:c r="H145" s="24" t="str">
        <x:v>Assets/_Project/Art/Materials/Feedback/FeedbackInvalid.mat</x:v>
      </x:c>
      <x:c r="I145" s="24" t="str">
        <x:v>b3fe4bf4ecc4e4728253176b4c0d4a5d</x:v>
      </x:c>
      <x:c r="J145" s="24" t="str"/>
      <x:c r="K145" s="24" t="str">
        <x:v>VS-ART-001</x:v>
      </x:c>
      <x:c r="L145" s="24" t="n">
        <x:v>16</x:v>
      </x:c>
      <x:c r="M145" s="24" t="str">
        <x:v>H6</x:v>
      </x:c>
      <x:c r="N145" s="24" t="str"/>
      <x:c r="O145" s="24" t="str">
        <x:v>BLD-016-POST</x:v>
      </x:c>
      <x:c r="P145" s="24" t="str">
        <x:v>Internal/Approved</x:v>
      </x:c>
      <x:c r="Q145" s="24" t="str">
        <x:v>Texture/outline final not demonstrated</x:v>
      </x:c>
      <x:c r="R145" s="24" t="str">
        <x:v>13_Materiales_Texturas</x:v>
      </x:c>
      <x:c r="S145" s="24" t="str">
        <x:f>"T"&amp;IF(AND(H145&lt;&gt;"",I145&lt;&gt;"",K145&lt;&gt;"",N145&lt;&gt;"",P145&lt;&gt;""),5,IF(AND(H145&lt;&gt;"",K145&lt;&gt;"",G145&lt;&gt;""),4,IF(AND(H145&lt;&gt;"",K145&lt;&gt;""),3,IF(H145&lt;&gt;"",2,1))))</x:f>
        <x:v>T4</x:v>
      </x:c>
      <x:c r="T145" s="24" t="str">
        <x:v>VRM Games</x:v>
      </x:c>
      <x:c r="U145" s="24" t="str"/>
    </x:row>
    <x:row r="146" ht="34" customHeight="1">
      <x:c r="A146" s="24" t="str">
        <x:v>TRC-0142</x:v>
      </x:c>
      <x:c r="B146" s="24" t="str">
        <x:v>MAT-012</x:v>
      </x:c>
      <x:c r="C146" s="24" t="str">
        <x:v>Material/Texture</x:v>
      </x:c>
      <x:c r="D146" s="24" t="str">
        <x:v>FeedbackValid.mat</x:v>
      </x:c>
      <x:c r="E146" s="24" t="str">
        <x:v>ACTIVE</x:v>
      </x:c>
      <x:c r="F146" s="24" t="str">
        <x:v>Imported</x:v>
      </x:c>
      <x:c r="G146" s="24" t="str">
        <x:v>URP/visual review pending</x:v>
      </x:c>
      <x:c r="H146" s="24" t="str">
        <x:v>Assets/_Project/Art/Materials/Feedback/FeedbackValid.mat</x:v>
      </x:c>
      <x:c r="I146" s="24" t="str">
        <x:v>9634685bae2bcc88df5569bdd3f78957</x:v>
      </x:c>
      <x:c r="J146" s="24" t="str"/>
      <x:c r="K146" s="24" t="str">
        <x:v>VS-ART-001</x:v>
      </x:c>
      <x:c r="L146" s="24" t="n">
        <x:v>16</x:v>
      </x:c>
      <x:c r="M146" s="24" t="str">
        <x:v>H6</x:v>
      </x:c>
      <x:c r="N146" s="24" t="str"/>
      <x:c r="O146" s="24" t="str">
        <x:v>BLD-016-POST</x:v>
      </x:c>
      <x:c r="P146" s="24" t="str">
        <x:v>Internal/Approved</x:v>
      </x:c>
      <x:c r="Q146" s="24" t="str">
        <x:v>Texture/outline final not demonstrated</x:v>
      </x:c>
      <x:c r="R146" s="24" t="str">
        <x:v>13_Materiales_Texturas</x:v>
      </x:c>
      <x:c r="S146" s="24" t="str">
        <x:f>"T"&amp;IF(AND(H146&lt;&gt;"",I146&lt;&gt;"",K146&lt;&gt;"",N146&lt;&gt;"",P146&lt;&gt;""),5,IF(AND(H146&lt;&gt;"",K146&lt;&gt;"",G146&lt;&gt;""),4,IF(AND(H146&lt;&gt;"",K146&lt;&gt;""),3,IF(H146&lt;&gt;"",2,1))))</x:f>
        <x:v>T4</x:v>
      </x:c>
      <x:c r="T146" s="24" t="str">
        <x:v>VRM Games</x:v>
      </x:c>
      <x:c r="U146" s="24" t="str"/>
    </x:row>
    <x:row r="147" ht="34" customHeight="1">
      <x:c r="A147" s="24" t="str">
        <x:v>TRC-0143</x:v>
      </x:c>
      <x:c r="B147" s="24" t="str">
        <x:v>MAT-013</x:v>
      </x:c>
      <x:c r="C147" s="24" t="str">
        <x:v>Material/Texture</x:v>
      </x:c>
      <x:c r="D147" s="24" t="str">
        <x:v>FeedbackWarning.mat</x:v>
      </x:c>
      <x:c r="E147" s="24" t="str">
        <x:v>ACTIVE</x:v>
      </x:c>
      <x:c r="F147" s="24" t="str">
        <x:v>Imported</x:v>
      </x:c>
      <x:c r="G147" s="24" t="str">
        <x:v>URP/visual review pending</x:v>
      </x:c>
      <x:c r="H147" s="24" t="str">
        <x:v>Assets/_Project/Art/Materials/Feedback/FeedbackWarning.mat</x:v>
      </x:c>
      <x:c r="I147" s="24" t="str">
        <x:v>85fc7825d05ea003423e646cfeeedf70</x:v>
      </x:c>
      <x:c r="J147" s="24" t="str"/>
      <x:c r="K147" s="24" t="str">
        <x:v>VS-ART-001</x:v>
      </x:c>
      <x:c r="L147" s="24" t="n">
        <x:v>16</x:v>
      </x:c>
      <x:c r="M147" s="24" t="str">
        <x:v>H6</x:v>
      </x:c>
      <x:c r="N147" s="24" t="str"/>
      <x:c r="O147" s="24" t="str">
        <x:v>BLD-016-POST</x:v>
      </x:c>
      <x:c r="P147" s="24" t="str">
        <x:v>Internal/Approved</x:v>
      </x:c>
      <x:c r="Q147" s="24" t="str">
        <x:v>Texture/outline final not demonstrated</x:v>
      </x:c>
      <x:c r="R147" s="24" t="str">
        <x:v>13_Materiales_Texturas</x:v>
      </x:c>
      <x:c r="S147" s="24" t="str">
        <x:f>"T"&amp;IF(AND(H147&lt;&gt;"",I147&lt;&gt;"",K147&lt;&gt;"",N147&lt;&gt;"",P147&lt;&gt;""),5,IF(AND(H147&lt;&gt;"",K147&lt;&gt;"",G147&lt;&gt;""),4,IF(AND(H147&lt;&gt;"",K147&lt;&gt;""),3,IF(H147&lt;&gt;"",2,1))))</x:f>
        <x:v>T4</x:v>
      </x:c>
      <x:c r="T147" s="24" t="str">
        <x:v>VRM Games</x:v>
      </x:c>
      <x:c r="U147" s="24" t="str"/>
    </x:row>
    <x:row r="148" ht="34" customHeight="1">
      <x:c r="A148" s="24" t="str">
        <x:v>TRC-0144</x:v>
      </x:c>
      <x:c r="B148" s="24" t="str">
        <x:v>MAT-014</x:v>
      </x:c>
      <x:c r="C148" s="24" t="str">
        <x:v>Material/Texture</x:v>
      </x:c>
      <x:c r="D148" s="24" t="str">
        <x:v>Decoration.mat</x:v>
      </x:c>
      <x:c r="E148" s="24" t="str">
        <x:v>ACTIVE</x:v>
      </x:c>
      <x:c r="F148" s="24" t="str">
        <x:v>Imported</x:v>
      </x:c>
      <x:c r="G148" s="24" t="str">
        <x:v>URP/visual review pending</x:v>
      </x:c>
      <x:c r="H148" s="24" t="str">
        <x:v>Assets/_Project/Art/Materials/Furniture/Decoration.mat</x:v>
      </x:c>
      <x:c r="I148" s="24" t="str">
        <x:v>f6b8ad1a77540220bcfd0341d169cf09</x:v>
      </x:c>
      <x:c r="J148" s="24" t="str"/>
      <x:c r="K148" s="24" t="str">
        <x:v>VS-ART-001</x:v>
      </x:c>
      <x:c r="L148" s="24" t="n">
        <x:v>16</x:v>
      </x:c>
      <x:c r="M148" s="24" t="str">
        <x:v>H6</x:v>
      </x:c>
      <x:c r="N148" s="24" t="str"/>
      <x:c r="O148" s="24" t="str">
        <x:v>BLD-016-POST</x:v>
      </x:c>
      <x:c r="P148" s="24" t="str">
        <x:v>Internal/Approved</x:v>
      </x:c>
      <x:c r="Q148" s="24" t="str">
        <x:v>Texture/outline final not demonstrated</x:v>
      </x:c>
      <x:c r="R148" s="24" t="str">
        <x:v>13_Materiales_Texturas</x:v>
      </x:c>
      <x:c r="S148" s="24" t="str">
        <x:f>"T"&amp;IF(AND(H148&lt;&gt;"",I148&lt;&gt;"",K148&lt;&gt;"",N148&lt;&gt;"",P148&lt;&gt;""),5,IF(AND(H148&lt;&gt;"",K148&lt;&gt;"",G148&lt;&gt;""),4,IF(AND(H148&lt;&gt;"",K148&lt;&gt;""),3,IF(H148&lt;&gt;"",2,1))))</x:f>
        <x:v>T4</x:v>
      </x:c>
      <x:c r="T148" s="24" t="str">
        <x:v>VRM Games</x:v>
      </x:c>
      <x:c r="U148" s="24" t="str"/>
    </x:row>
    <x:row r="149" ht="34" customHeight="1">
      <x:c r="A149" s="24" t="str">
        <x:v>TRC-0145</x:v>
      </x:c>
      <x:c r="B149" s="24" t="str">
        <x:v>MAT-015</x:v>
      </x:c>
      <x:c r="C149" s="24" t="str">
        <x:v>Material/Texture</x:v>
      </x:c>
      <x:c r="D149" s="24" t="str">
        <x:v>FurnitureCentralShelf.mat</x:v>
      </x:c>
      <x:c r="E149" s="24" t="str">
        <x:v>ACTIVE</x:v>
      </x:c>
      <x:c r="F149" s="24" t="str">
        <x:v>Imported</x:v>
      </x:c>
      <x:c r="G149" s="24" t="str">
        <x:v>URP/visual review pending</x:v>
      </x:c>
      <x:c r="H149" s="24" t="str">
        <x:v>Assets/_Project/Art/Materials/Furniture/FurnitureCentralShelf.mat</x:v>
      </x:c>
      <x:c r="I149" s="24" t="str">
        <x:v>c24be953a6037fcc6e90961127549a86</x:v>
      </x:c>
      <x:c r="J149" s="24" t="str"/>
      <x:c r="K149" s="24" t="str">
        <x:v>VS-ART-001</x:v>
      </x:c>
      <x:c r="L149" s="24" t="n">
        <x:v>16</x:v>
      </x:c>
      <x:c r="M149" s="24" t="str">
        <x:v>H6</x:v>
      </x:c>
      <x:c r="N149" s="24" t="str"/>
      <x:c r="O149" s="24" t="str">
        <x:v>BLD-016-POST</x:v>
      </x:c>
      <x:c r="P149" s="24" t="str">
        <x:v>Internal/Approved</x:v>
      </x:c>
      <x:c r="Q149" s="24" t="str">
        <x:v>Texture/outline final not demonstrated</x:v>
      </x:c>
      <x:c r="R149" s="24" t="str">
        <x:v>13_Materiales_Texturas</x:v>
      </x:c>
      <x:c r="S149" s="24" t="str">
        <x:f>"T"&amp;IF(AND(H149&lt;&gt;"",I149&lt;&gt;"",K149&lt;&gt;"",N149&lt;&gt;"",P149&lt;&gt;""),5,IF(AND(H149&lt;&gt;"",K149&lt;&gt;"",G149&lt;&gt;""),4,IF(AND(H149&lt;&gt;"",K149&lt;&gt;""),3,IF(H149&lt;&gt;"",2,1))))</x:f>
        <x:v>T4</x:v>
      </x:c>
      <x:c r="T149" s="24" t="str">
        <x:v>VRM Games</x:v>
      </x:c>
      <x:c r="U149" s="24" t="str"/>
    </x:row>
    <x:row r="150" ht="34" customHeight="1">
      <x:c r="A150" s="24" t="str">
        <x:v>TRC-0146</x:v>
      </x:c>
      <x:c r="B150" s="24" t="str">
        <x:v>MAT-016</x:v>
      </x:c>
      <x:c r="C150" s="24" t="str">
        <x:v>Material/Texture</x:v>
      </x:c>
      <x:c r="D150" s="24" t="str">
        <x:v>FurnitureCheckout.mat</x:v>
      </x:c>
      <x:c r="E150" s="24" t="str">
        <x:v>ACTIVE</x:v>
      </x:c>
      <x:c r="F150" s="24" t="str">
        <x:v>Imported</x:v>
      </x:c>
      <x:c r="G150" s="24" t="str">
        <x:v>URP/visual review pending</x:v>
      </x:c>
      <x:c r="H150" s="24" t="str">
        <x:v>Assets/_Project/Art/Materials/Furniture/FurnitureCheckout.mat</x:v>
      </x:c>
      <x:c r="I150" s="24" t="str">
        <x:v>774d28a5615ff64312780a0dd1cda67a</x:v>
      </x:c>
      <x:c r="J150" s="24" t="str"/>
      <x:c r="K150" s="24" t="str">
        <x:v>VS-ART-001</x:v>
      </x:c>
      <x:c r="L150" s="24" t="n">
        <x:v>16</x:v>
      </x:c>
      <x:c r="M150" s="24" t="str">
        <x:v>H6</x:v>
      </x:c>
      <x:c r="N150" s="24" t="str"/>
      <x:c r="O150" s="24" t="str">
        <x:v>BLD-016-POST</x:v>
      </x:c>
      <x:c r="P150" s="24" t="str">
        <x:v>Internal/Approved</x:v>
      </x:c>
      <x:c r="Q150" s="24" t="str">
        <x:v>Texture/outline final not demonstrated</x:v>
      </x:c>
      <x:c r="R150" s="24" t="str">
        <x:v>13_Materiales_Texturas</x:v>
      </x:c>
      <x:c r="S150" s="24" t="str">
        <x:f>"T"&amp;IF(AND(H150&lt;&gt;"",I150&lt;&gt;"",K150&lt;&gt;"",N150&lt;&gt;"",P150&lt;&gt;""),5,IF(AND(H150&lt;&gt;"",K150&lt;&gt;"",G150&lt;&gt;""),4,IF(AND(H150&lt;&gt;"",K150&lt;&gt;""),3,IF(H150&lt;&gt;"",2,1))))</x:f>
        <x:v>T4</x:v>
      </x:c>
      <x:c r="T150" s="24" t="str">
        <x:v>VRM Games</x:v>
      </x:c>
      <x:c r="U150" s="24" t="str"/>
    </x:row>
    <x:row r="151" ht="34" customHeight="1">
      <x:c r="A151" s="24" t="str">
        <x:v>TRC-0147</x:v>
      </x:c>
      <x:c r="B151" s="24" t="str">
        <x:v>MAT-017</x:v>
      </x:c>
      <x:c r="C151" s="24" t="str">
        <x:v>Material/Texture</x:v>
      </x:c>
      <x:c r="D151" s="24" t="str">
        <x:v>FurnitureCrate.mat</x:v>
      </x:c>
      <x:c r="E151" s="24" t="str">
        <x:v>ACTIVE</x:v>
      </x:c>
      <x:c r="F151" s="24" t="str">
        <x:v>Imported</x:v>
      </x:c>
      <x:c r="G151" s="24" t="str">
        <x:v>URP/visual review pending</x:v>
      </x:c>
      <x:c r="H151" s="24" t="str">
        <x:v>Assets/_Project/Art/Materials/Furniture/FurnitureCrate.mat</x:v>
      </x:c>
      <x:c r="I151" s="24" t="str">
        <x:v>2056a1f3145d493024412a9453580fd1</x:v>
      </x:c>
      <x:c r="J151" s="24" t="str"/>
      <x:c r="K151" s="24" t="str">
        <x:v>VS-ART-001</x:v>
      </x:c>
      <x:c r="L151" s="24" t="n">
        <x:v>16</x:v>
      </x:c>
      <x:c r="M151" s="24" t="str">
        <x:v>H6</x:v>
      </x:c>
      <x:c r="N151" s="24" t="str"/>
      <x:c r="O151" s="24" t="str">
        <x:v>BLD-016-POST</x:v>
      </x:c>
      <x:c r="P151" s="24" t="str">
        <x:v>Internal/Approved</x:v>
      </x:c>
      <x:c r="Q151" s="24" t="str">
        <x:v>Texture/outline final not demonstrated</x:v>
      </x:c>
      <x:c r="R151" s="24" t="str">
        <x:v>13_Materiales_Texturas</x:v>
      </x:c>
      <x:c r="S151" s="24" t="str">
        <x:f>"T"&amp;IF(AND(H151&lt;&gt;"",I151&lt;&gt;"",K151&lt;&gt;"",N151&lt;&gt;"",P151&lt;&gt;""),5,IF(AND(H151&lt;&gt;"",K151&lt;&gt;"",G151&lt;&gt;""),4,IF(AND(H151&lt;&gt;"",K151&lt;&gt;""),3,IF(H151&lt;&gt;"",2,1))))</x:f>
        <x:v>T4</x:v>
      </x:c>
      <x:c r="T151" s="24" t="str">
        <x:v>VRM Games</x:v>
      </x:c>
      <x:c r="U151" s="24" t="str"/>
    </x:row>
    <x:row r="152" ht="34" customHeight="1">
      <x:c r="A152" s="24" t="str">
        <x:v>TRC-0148</x:v>
      </x:c>
      <x:c r="B152" s="24" t="str">
        <x:v>MAT-018</x:v>
      </x:c>
      <x:c r="C152" s="24" t="str">
        <x:v>Material/Texture</x:v>
      </x:c>
      <x:c r="D152" s="24" t="str">
        <x:v>FurnitureFeatured.mat</x:v>
      </x:c>
      <x:c r="E152" s="24" t="str">
        <x:v>ACTIVE</x:v>
      </x:c>
      <x:c r="F152" s="24" t="str">
        <x:v>Imported</x:v>
      </x:c>
      <x:c r="G152" s="24" t="str">
        <x:v>URP/visual review pending</x:v>
      </x:c>
      <x:c r="H152" s="24" t="str">
        <x:v>Assets/_Project/Art/Materials/Furniture/FurnitureFeatured.mat</x:v>
      </x:c>
      <x:c r="I152" s="24" t="str">
        <x:v>5fe21f7983022016f5221ddaa19189f1</x:v>
      </x:c>
      <x:c r="J152" s="24" t="str"/>
      <x:c r="K152" s="24" t="str">
        <x:v>VS-ART-001</x:v>
      </x:c>
      <x:c r="L152" s="24" t="n">
        <x:v>16</x:v>
      </x:c>
      <x:c r="M152" s="24" t="str">
        <x:v>H6</x:v>
      </x:c>
      <x:c r="N152" s="24" t="str"/>
      <x:c r="O152" s="24" t="str">
        <x:v>BLD-016-POST</x:v>
      </x:c>
      <x:c r="P152" s="24" t="str">
        <x:v>Internal/Approved</x:v>
      </x:c>
      <x:c r="Q152" s="24" t="str">
        <x:v>Texture/outline final not demonstrated</x:v>
      </x:c>
      <x:c r="R152" s="24" t="str">
        <x:v>13_Materiales_Texturas</x:v>
      </x:c>
      <x:c r="S152" s="24" t="str">
        <x:f>"T"&amp;IF(AND(H152&lt;&gt;"",I152&lt;&gt;"",K152&lt;&gt;"",N152&lt;&gt;"",P152&lt;&gt;""),5,IF(AND(H152&lt;&gt;"",K152&lt;&gt;"",G152&lt;&gt;""),4,IF(AND(H152&lt;&gt;"",K152&lt;&gt;""),3,IF(H152&lt;&gt;"",2,1))))</x:f>
        <x:v>T4</x:v>
      </x:c>
      <x:c r="T152" s="24" t="str">
        <x:v>VRM Games</x:v>
      </x:c>
      <x:c r="U152" s="24" t="str"/>
    </x:row>
    <x:row r="153" ht="34" customHeight="1">
      <x:c r="A153" s="24" t="str">
        <x:v>TRC-0149</x:v>
      </x:c>
      <x:c r="B153" s="24" t="str">
        <x:v>MAT-019</x:v>
      </x:c>
      <x:c r="C153" s="24" t="str">
        <x:v>Material/Texture</x:v>
      </x:c>
      <x:c r="D153" s="24" t="str">
        <x:v>FurnitureLowDisplay.mat</x:v>
      </x:c>
      <x:c r="E153" s="24" t="str">
        <x:v>ACTIVE</x:v>
      </x:c>
      <x:c r="F153" s="24" t="str">
        <x:v>Imported</x:v>
      </x:c>
      <x:c r="G153" s="24" t="str">
        <x:v>URP/visual review pending</x:v>
      </x:c>
      <x:c r="H153" s="24" t="str">
        <x:v>Assets/_Project/Art/Materials/Furniture/FurnitureLowDisplay.mat</x:v>
      </x:c>
      <x:c r="I153" s="24" t="str">
        <x:v>3581cddeb260abc6af819d45d50d4088</x:v>
      </x:c>
      <x:c r="J153" s="24" t="str"/>
      <x:c r="K153" s="24" t="str">
        <x:v>VS-ART-001</x:v>
      </x:c>
      <x:c r="L153" s="24" t="n">
        <x:v>16</x:v>
      </x:c>
      <x:c r="M153" s="24" t="str">
        <x:v>H6</x:v>
      </x:c>
      <x:c r="N153" s="24" t="str"/>
      <x:c r="O153" s="24" t="str">
        <x:v>BLD-016-POST</x:v>
      </x:c>
      <x:c r="P153" s="24" t="str">
        <x:v>Internal/Approved</x:v>
      </x:c>
      <x:c r="Q153" s="24" t="str">
        <x:v>Texture/outline final not demonstrated</x:v>
      </x:c>
      <x:c r="R153" s="24" t="str">
        <x:v>13_Materiales_Texturas</x:v>
      </x:c>
      <x:c r="S153" s="24" t="str">
        <x:f>"T"&amp;IF(AND(H153&lt;&gt;"",I153&lt;&gt;"",K153&lt;&gt;"",N153&lt;&gt;"",P153&lt;&gt;""),5,IF(AND(H153&lt;&gt;"",K153&lt;&gt;"",G153&lt;&gt;""),4,IF(AND(H153&lt;&gt;"",K153&lt;&gt;""),3,IF(H153&lt;&gt;"",2,1))))</x:f>
        <x:v>T4</x:v>
      </x:c>
      <x:c r="T153" s="24" t="str">
        <x:v>VRM Games</x:v>
      </x:c>
      <x:c r="U153" s="24" t="str"/>
    </x:row>
    <x:row r="154" ht="34" customHeight="1">
      <x:c r="A154" s="24" t="str">
        <x:v>TRC-0150</x:v>
      </x:c>
      <x:c r="B154" s="24" t="str">
        <x:v>MAT-020</x:v>
      </x:c>
      <x:c r="C154" s="24" t="str">
        <x:v>Material/Texture</x:v>
      </x:c>
      <x:c r="D154" s="24" t="str">
        <x:v>FurnitureStorage.mat</x:v>
      </x:c>
      <x:c r="E154" s="24" t="str">
        <x:v>ACTIVE</x:v>
      </x:c>
      <x:c r="F154" s="24" t="str">
        <x:v>Imported</x:v>
      </x:c>
      <x:c r="G154" s="24" t="str">
        <x:v>URP/visual review pending</x:v>
      </x:c>
      <x:c r="H154" s="24" t="str">
        <x:v>Assets/_Project/Art/Materials/Furniture/FurnitureStorage.mat</x:v>
      </x:c>
      <x:c r="I154" s="24" t="str">
        <x:v>8ac885c5b01be0dbc5dcb92550b137c3</x:v>
      </x:c>
      <x:c r="J154" s="24" t="str"/>
      <x:c r="K154" s="24" t="str">
        <x:v>VS-ART-001</x:v>
      </x:c>
      <x:c r="L154" s="24" t="n">
        <x:v>16</x:v>
      </x:c>
      <x:c r="M154" s="24" t="str">
        <x:v>H6</x:v>
      </x:c>
      <x:c r="N154" s="24" t="str"/>
      <x:c r="O154" s="24" t="str">
        <x:v>BLD-016-POST</x:v>
      </x:c>
      <x:c r="P154" s="24" t="str">
        <x:v>Internal/Approved</x:v>
      </x:c>
      <x:c r="Q154" s="24" t="str">
        <x:v>Texture/outline final not demonstrated</x:v>
      </x:c>
      <x:c r="R154" s="24" t="str">
        <x:v>13_Materiales_Texturas</x:v>
      </x:c>
      <x:c r="S154" s="24" t="str">
        <x:f>"T"&amp;IF(AND(H154&lt;&gt;"",I154&lt;&gt;"",K154&lt;&gt;"",N154&lt;&gt;"",P154&lt;&gt;""),5,IF(AND(H154&lt;&gt;"",K154&lt;&gt;"",G154&lt;&gt;""),4,IF(AND(H154&lt;&gt;"",K154&lt;&gt;""),3,IF(H154&lt;&gt;"",2,1))))</x:f>
        <x:v>T4</x:v>
      </x:c>
      <x:c r="T154" s="24" t="str">
        <x:v>VRM Games</x:v>
      </x:c>
      <x:c r="U154" s="24" t="str"/>
    </x:row>
    <x:row r="155" ht="34" customHeight="1">
      <x:c r="A155" s="24" t="str">
        <x:v>TRC-0151</x:v>
      </x:c>
      <x:c r="B155" s="24" t="str">
        <x:v>MAT-021</x:v>
      </x:c>
      <x:c r="C155" s="24" t="str">
        <x:v>Material/Texture</x:v>
      </x:c>
      <x:c r="D155" s="24" t="str">
        <x:v>FurnitureWallShelf.mat</x:v>
      </x:c>
      <x:c r="E155" s="24" t="str">
        <x:v>ACTIVE</x:v>
      </x:c>
      <x:c r="F155" s="24" t="str">
        <x:v>Imported</x:v>
      </x:c>
      <x:c r="G155" s="24" t="str">
        <x:v>URP/visual review pending</x:v>
      </x:c>
      <x:c r="H155" s="24" t="str">
        <x:v>Assets/_Project/Art/Materials/Furniture/FurnitureWallShelf.mat</x:v>
      </x:c>
      <x:c r="I155" s="24" t="str">
        <x:v>aa560f38bb0d79f36343458850d48646</x:v>
      </x:c>
      <x:c r="J155" s="24" t="str"/>
      <x:c r="K155" s="24" t="str">
        <x:v>VS-ART-001</x:v>
      </x:c>
      <x:c r="L155" s="24" t="n">
        <x:v>16</x:v>
      </x:c>
      <x:c r="M155" s="24" t="str">
        <x:v>H6</x:v>
      </x:c>
      <x:c r="N155" s="24" t="str"/>
      <x:c r="O155" s="24" t="str">
        <x:v>BLD-016-POST</x:v>
      </x:c>
      <x:c r="P155" s="24" t="str">
        <x:v>Internal/Approved</x:v>
      </x:c>
      <x:c r="Q155" s="24" t="str">
        <x:v>Texture/outline final not demonstrated</x:v>
      </x:c>
      <x:c r="R155" s="24" t="str">
        <x:v>13_Materiales_Texturas</x:v>
      </x:c>
      <x:c r="S155" s="24" t="str">
        <x:f>"T"&amp;IF(AND(H155&lt;&gt;"",I155&lt;&gt;"",K155&lt;&gt;"",N155&lt;&gt;"",P155&lt;&gt;""),5,IF(AND(H155&lt;&gt;"",K155&lt;&gt;"",G155&lt;&gt;""),4,IF(AND(H155&lt;&gt;"",K155&lt;&gt;""),3,IF(H155&lt;&gt;"",2,1))))</x:f>
        <x:v>T4</x:v>
      </x:c>
      <x:c r="T155" s="24" t="str">
        <x:v>VRM Games</x:v>
      </x:c>
      <x:c r="U155" s="24" t="str"/>
    </x:row>
    <x:row r="156" ht="34" customHeight="1">
      <x:c r="A156" s="24" t="str">
        <x:v>TRC-0152</x:v>
      </x:c>
      <x:c r="B156" s="24" t="str">
        <x:v>MAT-022</x:v>
      </x:c>
      <x:c r="C156" s="24" t="str">
        <x:v>Material/Texture</x:v>
      </x:c>
      <x:c r="D156" s="24" t="str">
        <x:v>ProductAccessory.mat</x:v>
      </x:c>
      <x:c r="E156" s="24" t="str">
        <x:v>ACTIVE</x:v>
      </x:c>
      <x:c r="F156" s="24" t="str">
        <x:v>Imported</x:v>
      </x:c>
      <x:c r="G156" s="24" t="str">
        <x:v>URP/visual review pending</x:v>
      </x:c>
      <x:c r="H156" s="24" t="str">
        <x:v>Assets/_Project/Art/Materials/Products/ProductAccessory.mat</x:v>
      </x:c>
      <x:c r="I156" s="24" t="str">
        <x:v>08e87121591997032ca879eaaa356a07</x:v>
      </x:c>
      <x:c r="J156" s="24" t="str"/>
      <x:c r="K156" s="24" t="str">
        <x:v>VS-ART-001</x:v>
      </x:c>
      <x:c r="L156" s="24" t="n">
        <x:v>16</x:v>
      </x:c>
      <x:c r="M156" s="24" t="str">
        <x:v>H6</x:v>
      </x:c>
      <x:c r="N156" s="24" t="str"/>
      <x:c r="O156" s="24" t="str">
        <x:v>BLD-016-POST</x:v>
      </x:c>
      <x:c r="P156" s="24" t="str">
        <x:v>Internal/Approved</x:v>
      </x:c>
      <x:c r="Q156" s="24" t="str">
        <x:v>Texture/outline final not demonstrated</x:v>
      </x:c>
      <x:c r="R156" s="24" t="str">
        <x:v>13_Materiales_Texturas</x:v>
      </x:c>
      <x:c r="S156" s="24" t="str">
        <x:f>"T"&amp;IF(AND(H156&lt;&gt;"",I156&lt;&gt;"",K156&lt;&gt;"",N156&lt;&gt;"",P156&lt;&gt;""),5,IF(AND(H156&lt;&gt;"",K156&lt;&gt;"",G156&lt;&gt;""),4,IF(AND(H156&lt;&gt;"",K156&lt;&gt;""),3,IF(H156&lt;&gt;"",2,1))))</x:f>
        <x:v>T4</x:v>
      </x:c>
      <x:c r="T156" s="24" t="str">
        <x:v>VRM Games</x:v>
      </x:c>
      <x:c r="U156" s="24" t="str"/>
    </x:row>
    <x:row r="157" ht="34" customHeight="1">
      <x:c r="A157" s="24" t="str">
        <x:v>TRC-0153</x:v>
      </x:c>
      <x:c r="B157" s="24" t="str">
        <x:v>MAT-023</x:v>
      </x:c>
      <x:c r="C157" s="24" t="str">
        <x:v>Material/Texture</x:v>
      </x:c>
      <x:c r="D157" s="24" t="str">
        <x:v>ProductCase.mat</x:v>
      </x:c>
      <x:c r="E157" s="24" t="str">
        <x:v>ACTIVE</x:v>
      </x:c>
      <x:c r="F157" s="24" t="str">
        <x:v>Imported</x:v>
      </x:c>
      <x:c r="G157" s="24" t="str">
        <x:v>URP/visual review pending</x:v>
      </x:c>
      <x:c r="H157" s="24" t="str">
        <x:v>Assets/_Project/Art/Materials/Products/ProductCase.mat</x:v>
      </x:c>
      <x:c r="I157" s="24" t="str">
        <x:v>af1c448dfd8137fe79bd9438ff09be1b</x:v>
      </x:c>
      <x:c r="J157" s="24" t="str"/>
      <x:c r="K157" s="24" t="str">
        <x:v>VS-ART-001</x:v>
      </x:c>
      <x:c r="L157" s="24" t="n">
        <x:v>16</x:v>
      </x:c>
      <x:c r="M157" s="24" t="str">
        <x:v>H6</x:v>
      </x:c>
      <x:c r="N157" s="24" t="str"/>
      <x:c r="O157" s="24" t="str">
        <x:v>BLD-016-POST</x:v>
      </x:c>
      <x:c r="P157" s="24" t="str">
        <x:v>Internal/Approved</x:v>
      </x:c>
      <x:c r="Q157" s="24" t="str">
        <x:v>Texture/outline final not demonstrated</x:v>
      </x:c>
      <x:c r="R157" s="24" t="str">
        <x:v>13_Materiales_Texturas</x:v>
      </x:c>
      <x:c r="S157" s="24" t="str">
        <x:f>"T"&amp;IF(AND(H157&lt;&gt;"",I157&lt;&gt;"",K157&lt;&gt;"",N157&lt;&gt;"",P157&lt;&gt;""),5,IF(AND(H157&lt;&gt;"",K157&lt;&gt;"",G157&lt;&gt;""),4,IF(AND(H157&lt;&gt;"",K157&lt;&gt;""),3,IF(H157&lt;&gt;"",2,1))))</x:f>
        <x:v>T4</x:v>
      </x:c>
      <x:c r="T157" s="24" t="str">
        <x:v>VRM Games</x:v>
      </x:c>
      <x:c r="U157" s="24" t="str"/>
    </x:row>
    <x:row r="158" ht="34" customHeight="1">
      <x:c r="A158" s="24" t="str">
        <x:v>TRC-0154</x:v>
      </x:c>
      <x:c r="B158" s="24" t="str">
        <x:v>MAT-024</x:v>
      </x:c>
      <x:c r="C158" s="24" t="str">
        <x:v>Material/Texture</x:v>
      </x:c>
      <x:c r="D158" s="24" t="str">
        <x:v>ProductConsole.mat</x:v>
      </x:c>
      <x:c r="E158" s="24" t="str">
        <x:v>ACTIVE</x:v>
      </x:c>
      <x:c r="F158" s="24" t="str">
        <x:v>Imported</x:v>
      </x:c>
      <x:c r="G158" s="24" t="str">
        <x:v>URP/visual review pending</x:v>
      </x:c>
      <x:c r="H158" s="24" t="str">
        <x:v>Assets/_Project/Art/Materials/Products/ProductConsole.mat</x:v>
      </x:c>
      <x:c r="I158" s="24" t="str">
        <x:v>91fb5d72264906772aa10997a671c030</x:v>
      </x:c>
      <x:c r="J158" s="24" t="str"/>
      <x:c r="K158" s="24" t="str">
        <x:v>VS-ART-001</x:v>
      </x:c>
      <x:c r="L158" s="24" t="n">
        <x:v>16</x:v>
      </x:c>
      <x:c r="M158" s="24" t="str">
        <x:v>H6</x:v>
      </x:c>
      <x:c r="N158" s="24" t="str"/>
      <x:c r="O158" s="24" t="str">
        <x:v>BLD-016-POST</x:v>
      </x:c>
      <x:c r="P158" s="24" t="str">
        <x:v>Internal/Approved</x:v>
      </x:c>
      <x:c r="Q158" s="24" t="str">
        <x:v>Texture/outline final not demonstrated</x:v>
      </x:c>
      <x:c r="R158" s="24" t="str">
        <x:v>13_Materiales_Texturas</x:v>
      </x:c>
      <x:c r="S158" s="24" t="str">
        <x:f>"T"&amp;IF(AND(H158&lt;&gt;"",I158&lt;&gt;"",K158&lt;&gt;"",N158&lt;&gt;"",P158&lt;&gt;""),5,IF(AND(H158&lt;&gt;"",K158&lt;&gt;"",G158&lt;&gt;""),4,IF(AND(H158&lt;&gt;"",K158&lt;&gt;""),3,IF(H158&lt;&gt;"",2,1))))</x:f>
        <x:v>T4</x:v>
      </x:c>
      <x:c r="T158" s="24" t="str">
        <x:v>VRM Games</x:v>
      </x:c>
      <x:c r="U158" s="24" t="str"/>
    </x:row>
    <x:row r="159" ht="34" customHeight="1">
      <x:c r="A159" s="24" t="str">
        <x:v>TRC-0155</x:v>
      </x:c>
      <x:c r="B159" s="24" t="str">
        <x:v>MAT-025</x:v>
      </x:c>
      <x:c r="C159" s="24" t="str">
        <x:v>Material/Texture</x:v>
      </x:c>
      <x:c r="D159" s="24" t="str">
        <x:v>ProductController.mat</x:v>
      </x:c>
      <x:c r="E159" s="24" t="str">
        <x:v>ACTIVE</x:v>
      </x:c>
      <x:c r="F159" s="24" t="str">
        <x:v>Imported</x:v>
      </x:c>
      <x:c r="G159" s="24" t="str">
        <x:v>URP/visual review pending</x:v>
      </x:c>
      <x:c r="H159" s="24" t="str">
        <x:v>Assets/_Project/Art/Materials/Products/ProductController.mat</x:v>
      </x:c>
      <x:c r="I159" s="24" t="str">
        <x:v>040fec7468929c920b836d7e60a9dbda</x:v>
      </x:c>
      <x:c r="J159" s="24" t="str"/>
      <x:c r="K159" s="24" t="str">
        <x:v>VS-ART-001</x:v>
      </x:c>
      <x:c r="L159" s="24" t="n">
        <x:v>16</x:v>
      </x:c>
      <x:c r="M159" s="24" t="str">
        <x:v>H6</x:v>
      </x:c>
      <x:c r="N159" s="24" t="str"/>
      <x:c r="O159" s="24" t="str">
        <x:v>BLD-016-POST</x:v>
      </x:c>
      <x:c r="P159" s="24" t="str">
        <x:v>Internal/Approved</x:v>
      </x:c>
      <x:c r="Q159" s="24" t="str">
        <x:v>Texture/outline final not demonstrated</x:v>
      </x:c>
      <x:c r="R159" s="24" t="str">
        <x:v>13_Materiales_Texturas</x:v>
      </x:c>
      <x:c r="S159" s="24" t="str">
        <x:f>"T"&amp;IF(AND(H159&lt;&gt;"",I159&lt;&gt;"",K159&lt;&gt;"",N159&lt;&gt;"",P159&lt;&gt;""),5,IF(AND(H159&lt;&gt;"",K159&lt;&gt;"",G159&lt;&gt;""),4,IF(AND(H159&lt;&gt;"",K159&lt;&gt;""),3,IF(H159&lt;&gt;"",2,1))))</x:f>
        <x:v>T4</x:v>
      </x:c>
      <x:c r="T159" s="24" t="str">
        <x:v>VRM Games</x:v>
      </x:c>
      <x:c r="U159" s="24" t="str"/>
    </x:row>
    <x:row r="160" ht="34" customHeight="1">
      <x:c r="A160" s="24" t="str">
        <x:v>TRC-0156</x:v>
      </x:c>
      <x:c r="B160" s="24" t="str">
        <x:v>MAT-026</x:v>
      </x:c>
      <x:c r="C160" s="24" t="str">
        <x:v>Material/Texture</x:v>
      </x:c>
      <x:c r="D160" s="24" t="str">
        <x:v>ProductGame.mat</x:v>
      </x:c>
      <x:c r="E160" s="24" t="str">
        <x:v>ACTIVE</x:v>
      </x:c>
      <x:c r="F160" s="24" t="str">
        <x:v>Imported</x:v>
      </x:c>
      <x:c r="G160" s="24" t="str">
        <x:v>URP/visual review pending</x:v>
      </x:c>
      <x:c r="H160" s="24" t="str">
        <x:v>Assets/_Project/Art/Materials/Products/ProductGame.mat</x:v>
      </x:c>
      <x:c r="I160" s="24" t="str">
        <x:v>9cf2ce93cf9b7a3ced6951ffcf43df73</x:v>
      </x:c>
      <x:c r="J160" s="24" t="str"/>
      <x:c r="K160" s="24" t="str">
        <x:v>VS-ART-001</x:v>
      </x:c>
      <x:c r="L160" s="24" t="n">
        <x:v>16</x:v>
      </x:c>
      <x:c r="M160" s="24" t="str">
        <x:v>H6</x:v>
      </x:c>
      <x:c r="N160" s="24" t="str"/>
      <x:c r="O160" s="24" t="str">
        <x:v>BLD-016-POST</x:v>
      </x:c>
      <x:c r="P160" s="24" t="str">
        <x:v>Internal/Approved</x:v>
      </x:c>
      <x:c r="Q160" s="24" t="str">
        <x:v>Texture/outline final not demonstrated</x:v>
      </x:c>
      <x:c r="R160" s="24" t="str">
        <x:v>13_Materiales_Texturas</x:v>
      </x:c>
      <x:c r="S160" s="24" t="str">
        <x:f>"T"&amp;IF(AND(H160&lt;&gt;"",I160&lt;&gt;"",K160&lt;&gt;"",N160&lt;&gt;"",P160&lt;&gt;""),5,IF(AND(H160&lt;&gt;"",K160&lt;&gt;"",G160&lt;&gt;""),4,IF(AND(H160&lt;&gt;"",K160&lt;&gt;""),3,IF(H160&lt;&gt;"",2,1))))</x:f>
        <x:v>T4</x:v>
      </x:c>
      <x:c r="T160" s="24" t="str">
        <x:v>VRM Games</x:v>
      </x:c>
      <x:c r="U160" s="24" t="str"/>
    </x:row>
    <x:row r="161" ht="34" customHeight="1">
      <x:c r="A161" s="24" t="str">
        <x:v>TRC-0157</x:v>
      </x:c>
      <x:c r="B161" s="24" t="str">
        <x:v>MAT-027</x:v>
      </x:c>
      <x:c r="C161" s="24" t="str">
        <x:v>Material/Texture</x:v>
      </x:c>
      <x:c r="D161" s="24" t="str">
        <x:v>ProductHeadset.mat</x:v>
      </x:c>
      <x:c r="E161" s="24" t="str">
        <x:v>ACTIVE</x:v>
      </x:c>
      <x:c r="F161" s="24" t="str">
        <x:v>Imported</x:v>
      </x:c>
      <x:c r="G161" s="24" t="str">
        <x:v>URP/visual review pending</x:v>
      </x:c>
      <x:c r="H161" s="24" t="str">
        <x:v>Assets/_Project/Art/Materials/Products/ProductHeadset.mat</x:v>
      </x:c>
      <x:c r="I161" s="24" t="str">
        <x:v>9353ad2fbbce45937735cde7a1cc2ea7</x:v>
      </x:c>
      <x:c r="J161" s="24" t="str"/>
      <x:c r="K161" s="24" t="str">
        <x:v>VS-ART-001</x:v>
      </x:c>
      <x:c r="L161" s="24" t="n">
        <x:v>16</x:v>
      </x:c>
      <x:c r="M161" s="24" t="str">
        <x:v>H6</x:v>
      </x:c>
      <x:c r="N161" s="24" t="str"/>
      <x:c r="O161" s="24" t="str">
        <x:v>BLD-016-POST</x:v>
      </x:c>
      <x:c r="P161" s="24" t="str">
        <x:v>Internal/Approved</x:v>
      </x:c>
      <x:c r="Q161" s="24" t="str">
        <x:v>Texture/outline final not demonstrated</x:v>
      </x:c>
      <x:c r="R161" s="24" t="str">
        <x:v>13_Materiales_Texturas</x:v>
      </x:c>
      <x:c r="S161" s="24" t="str">
        <x:f>"T"&amp;IF(AND(H161&lt;&gt;"",I161&lt;&gt;"",K161&lt;&gt;"",N161&lt;&gt;"",P161&lt;&gt;""),5,IF(AND(H161&lt;&gt;"",K161&lt;&gt;"",G161&lt;&gt;""),4,IF(AND(H161&lt;&gt;"",K161&lt;&gt;""),3,IF(H161&lt;&gt;"",2,1))))</x:f>
        <x:v>T4</x:v>
      </x:c>
      <x:c r="T161" s="24" t="str">
        <x:v>VRM Games</x:v>
      </x:c>
      <x:c r="U161" s="24" t="str"/>
    </x:row>
    <x:row r="162" ht="34" customHeight="1">
      <x:c r="A162" s="24" t="str">
        <x:v>TRC-0158</x:v>
      </x:c>
      <x:c r="B162" s="24" t="str">
        <x:v>MAT-028</x:v>
      </x:c>
      <x:c r="C162" s="24" t="str">
        <x:v>Material/Texture</x:v>
      </x:c>
      <x:c r="D162" s="24" t="str">
        <x:v>Amber.mat</x:v>
      </x:c>
      <x:c r="E162" s="24" t="str">
        <x:v>ASSET / REVIEW</x:v>
      </x:c>
      <x:c r="F162" s="24" t="str">
        <x:v>Imported</x:v>
      </x:c>
      <x:c r="G162" s="24" t="str">
        <x:v>URP/visual review pending</x:v>
      </x:c>
      <x:c r="H162" s="24" t="str">
        <x:v>Assets/_Project/Art/Materials/Representative/Amber.mat</x:v>
      </x:c>
      <x:c r="I162" s="24" t="str">
        <x:v>e9a7e6ead29c07a46837f46d7f45583f</x:v>
      </x:c>
      <x:c r="J162" s="24" t="str"/>
      <x:c r="K162" s="24" t="str">
        <x:v>VS-ART-001</x:v>
      </x:c>
      <x:c r="L162" s="24" t="n">
        <x:v>16</x:v>
      </x:c>
      <x:c r="M162" s="24" t="str">
        <x:v>H6</x:v>
      </x:c>
      <x:c r="N162" s="24" t="str"/>
      <x:c r="O162" s="24" t="str">
        <x:v>BLD-016-POST</x:v>
      </x:c>
      <x:c r="P162" s="24" t="str">
        <x:v>Internal/Approved</x:v>
      </x:c>
      <x:c r="Q162" s="24" t="str">
        <x:v>Texture/outline final not demonstrated</x:v>
      </x:c>
      <x:c r="R162" s="24" t="str">
        <x:v>13_Materiales_Texturas</x:v>
      </x:c>
      <x:c r="S162" s="24" t="str">
        <x:f>"T"&amp;IF(AND(H162&lt;&gt;"",I162&lt;&gt;"",K162&lt;&gt;"",N162&lt;&gt;"",P162&lt;&gt;""),5,IF(AND(H162&lt;&gt;"",K162&lt;&gt;"",G162&lt;&gt;""),4,IF(AND(H162&lt;&gt;"",K162&lt;&gt;""),3,IF(H162&lt;&gt;"",2,1))))</x:f>
        <x:v>T4</x:v>
      </x:c>
      <x:c r="T162" s="24" t="str">
        <x:v>VRM Games</x:v>
      </x:c>
      <x:c r="U162" s="24" t="str"/>
    </x:row>
    <x:row r="163" ht="34" customHeight="1">
      <x:c r="A163" s="24" t="str">
        <x:v>TRC-0159</x:v>
      </x:c>
      <x:c r="B163" s="24" t="str">
        <x:v>MAT-029</x:v>
      </x:c>
      <x:c r="C163" s="24" t="str">
        <x:v>Material/Texture</x:v>
      </x:c>
      <x:c r="D163" s="24" t="str">
        <x:v>BlueGray.mat</x:v>
      </x:c>
      <x:c r="E163" s="24" t="str">
        <x:v>ASSET / REVIEW</x:v>
      </x:c>
      <x:c r="F163" s="24" t="str">
        <x:v>Imported</x:v>
      </x:c>
      <x:c r="G163" s="24" t="str">
        <x:v>URP/visual review pending</x:v>
      </x:c>
      <x:c r="H163" s="24" t="str">
        <x:v>Assets/_Project/Art/Materials/Representative/BlueGray.mat</x:v>
      </x:c>
      <x:c r="I163" s="24" t="str">
        <x:v>5aace571ca03cfa478e96975a7ee5667</x:v>
      </x:c>
      <x:c r="J163" s="24" t="str"/>
      <x:c r="K163" s="24" t="str">
        <x:v>VS-ART-001</x:v>
      </x:c>
      <x:c r="L163" s="24" t="n">
        <x:v>16</x:v>
      </x:c>
      <x:c r="M163" s="24" t="str">
        <x:v>H6</x:v>
      </x:c>
      <x:c r="N163" s="24" t="str"/>
      <x:c r="O163" s="24" t="str">
        <x:v>BLD-016-POST</x:v>
      </x:c>
      <x:c r="P163" s="24" t="str">
        <x:v>Internal/Approved</x:v>
      </x:c>
      <x:c r="Q163" s="24" t="str">
        <x:v>Texture/outline final not demonstrated</x:v>
      </x:c>
      <x:c r="R163" s="24" t="str">
        <x:v>13_Materiales_Texturas</x:v>
      </x:c>
      <x:c r="S163" s="24" t="str">
        <x:f>"T"&amp;IF(AND(H163&lt;&gt;"",I163&lt;&gt;"",K163&lt;&gt;"",N163&lt;&gt;"",P163&lt;&gt;""),5,IF(AND(H163&lt;&gt;"",K163&lt;&gt;"",G163&lt;&gt;""),4,IF(AND(H163&lt;&gt;"",K163&lt;&gt;""),3,IF(H163&lt;&gt;"",2,1))))</x:f>
        <x:v>T4</x:v>
      </x:c>
      <x:c r="T163" s="24" t="str">
        <x:v>VRM Games</x:v>
      </x:c>
      <x:c r="U163" s="24" t="str"/>
    </x:row>
    <x:row r="164" ht="34" customHeight="1">
      <x:c r="A164" s="24" t="str">
        <x:v>TRC-0160</x:v>
      </x:c>
      <x:c r="B164" s="24" t="str">
        <x:v>MAT-030</x:v>
      </x:c>
      <x:c r="C164" s="24" t="str">
        <x:v>Material/Texture</x:v>
      </x:c>
      <x:c r="D164" s="24" t="str">
        <x:v>Cardboard.mat</x:v>
      </x:c>
      <x:c r="E164" s="24" t="str">
        <x:v>ASSET / REVIEW</x:v>
      </x:c>
      <x:c r="F164" s="24" t="str">
        <x:v>Imported</x:v>
      </x:c>
      <x:c r="G164" s="24" t="str">
        <x:v>URP/visual review pending</x:v>
      </x:c>
      <x:c r="H164" s="24" t="str">
        <x:v>Assets/_Project/Art/Materials/Representative/Cardboard.mat</x:v>
      </x:c>
      <x:c r="I164" s="24" t="str">
        <x:v>fabc9b019c8a2e0459d607e051183e8f</x:v>
      </x:c>
      <x:c r="J164" s="24" t="str"/>
      <x:c r="K164" s="24" t="str">
        <x:v>VS-ART-001</x:v>
      </x:c>
      <x:c r="L164" s="24" t="n">
        <x:v>16</x:v>
      </x:c>
      <x:c r="M164" s="24" t="str">
        <x:v>H6</x:v>
      </x:c>
      <x:c r="N164" s="24" t="str"/>
      <x:c r="O164" s="24" t="str">
        <x:v>BLD-016-POST</x:v>
      </x:c>
      <x:c r="P164" s="24" t="str">
        <x:v>Internal/Approved</x:v>
      </x:c>
      <x:c r="Q164" s="24" t="str">
        <x:v>Texture/outline final not demonstrated</x:v>
      </x:c>
      <x:c r="R164" s="24" t="str">
        <x:v>13_Materiales_Texturas</x:v>
      </x:c>
      <x:c r="S164" s="24" t="str">
        <x:f>"T"&amp;IF(AND(H164&lt;&gt;"",I164&lt;&gt;"",K164&lt;&gt;"",N164&lt;&gt;"",P164&lt;&gt;""),5,IF(AND(H164&lt;&gt;"",K164&lt;&gt;"",G164&lt;&gt;""),4,IF(AND(H164&lt;&gt;"",K164&lt;&gt;""),3,IF(H164&lt;&gt;"",2,1))))</x:f>
        <x:v>T4</x:v>
      </x:c>
      <x:c r="T164" s="24" t="str">
        <x:v>VRM Games</x:v>
      </x:c>
      <x:c r="U164" s="24" t="str"/>
    </x:row>
    <x:row r="165" ht="34" customHeight="1">
      <x:c r="A165" s="24" t="str">
        <x:v>TRC-0161</x:v>
      </x:c>
      <x:c r="B165" s="24" t="str">
        <x:v>MAT-031</x:v>
      </x:c>
      <x:c r="C165" s="24" t="str">
        <x:v>Material/Texture</x:v>
      </x:c>
      <x:c r="D165" s="24" t="str">
        <x:v>Cyan.mat</x:v>
      </x:c>
      <x:c r="E165" s="24" t="str">
        <x:v>ASSET / REVIEW</x:v>
      </x:c>
      <x:c r="F165" s="24" t="str">
        <x:v>Imported</x:v>
      </x:c>
      <x:c r="G165" s="24" t="str">
        <x:v>URP/visual review pending</x:v>
      </x:c>
      <x:c r="H165" s="24" t="str">
        <x:v>Assets/_Project/Art/Materials/Representative/Cyan.mat</x:v>
      </x:c>
      <x:c r="I165" s="24" t="str">
        <x:v>bc3fad4479f8bb641a96ab3d7412ab6a</x:v>
      </x:c>
      <x:c r="J165" s="24" t="str"/>
      <x:c r="K165" s="24" t="str">
        <x:v>VS-ART-001</x:v>
      </x:c>
      <x:c r="L165" s="24" t="n">
        <x:v>16</x:v>
      </x:c>
      <x:c r="M165" s="24" t="str">
        <x:v>H6</x:v>
      </x:c>
      <x:c r="N165" s="24" t="str"/>
      <x:c r="O165" s="24" t="str">
        <x:v>BLD-016-POST</x:v>
      </x:c>
      <x:c r="P165" s="24" t="str">
        <x:v>Internal/Approved</x:v>
      </x:c>
      <x:c r="Q165" s="24" t="str">
        <x:v>Texture/outline final not demonstrated</x:v>
      </x:c>
      <x:c r="R165" s="24" t="str">
        <x:v>13_Materiales_Texturas</x:v>
      </x:c>
      <x:c r="S165" s="24" t="str">
        <x:f>"T"&amp;IF(AND(H165&lt;&gt;"",I165&lt;&gt;"",K165&lt;&gt;"",N165&lt;&gt;"",P165&lt;&gt;""),5,IF(AND(H165&lt;&gt;"",K165&lt;&gt;"",G165&lt;&gt;""),4,IF(AND(H165&lt;&gt;"",K165&lt;&gt;""),3,IF(H165&lt;&gt;"",2,1))))</x:f>
        <x:v>T4</x:v>
      </x:c>
      <x:c r="T165" s="24" t="str">
        <x:v>VRM Games</x:v>
      </x:c>
      <x:c r="U165" s="24" t="str"/>
    </x:row>
    <x:row r="166" ht="34" customHeight="1">
      <x:c r="A166" s="24" t="str">
        <x:v>TRC-0162</x:v>
      </x:c>
      <x:c r="B166" s="24" t="str">
        <x:v>MAT-032</x:v>
      </x:c>
      <x:c r="C166" s="24" t="str">
        <x:v>Material/Texture</x:v>
      </x:c>
      <x:c r="D166" s="24" t="str">
        <x:v>CyanEmissive.mat</x:v>
      </x:c>
      <x:c r="E166" s="24" t="str">
        <x:v>ASSET / REVIEW</x:v>
      </x:c>
      <x:c r="F166" s="24" t="str">
        <x:v>Imported</x:v>
      </x:c>
      <x:c r="G166" s="24" t="str">
        <x:v>URP/visual review pending</x:v>
      </x:c>
      <x:c r="H166" s="24" t="str">
        <x:v>Assets/_Project/Art/Materials/Representative/CyanEmissive.mat</x:v>
      </x:c>
      <x:c r="I166" s="24" t="str">
        <x:v>5478184d5a9c7a847924b46f518809ab</x:v>
      </x:c>
      <x:c r="J166" s="24" t="str"/>
      <x:c r="K166" s="24" t="str">
        <x:v>VS-ART-001</x:v>
      </x:c>
      <x:c r="L166" s="24" t="n">
        <x:v>16</x:v>
      </x:c>
      <x:c r="M166" s="24" t="str">
        <x:v>H6</x:v>
      </x:c>
      <x:c r="N166" s="24" t="str"/>
      <x:c r="O166" s="24" t="str">
        <x:v>BLD-016-POST</x:v>
      </x:c>
      <x:c r="P166" s="24" t="str">
        <x:v>Internal/Approved</x:v>
      </x:c>
      <x:c r="Q166" s="24" t="str">
        <x:v>Texture/outline final not demonstrated</x:v>
      </x:c>
      <x:c r="R166" s="24" t="str">
        <x:v>13_Materiales_Texturas</x:v>
      </x:c>
      <x:c r="S166" s="24" t="str">
        <x:f>"T"&amp;IF(AND(H166&lt;&gt;"",I166&lt;&gt;"",K166&lt;&gt;"",N166&lt;&gt;"",P166&lt;&gt;""),5,IF(AND(H166&lt;&gt;"",K166&lt;&gt;"",G166&lt;&gt;""),4,IF(AND(H166&lt;&gt;"",K166&lt;&gt;""),3,IF(H166&lt;&gt;"",2,1))))</x:f>
        <x:v>T4</x:v>
      </x:c>
      <x:c r="T166" s="24" t="str">
        <x:v>VRM Games</x:v>
      </x:c>
      <x:c r="U166" s="24" t="str"/>
    </x:row>
    <x:row r="167" ht="34" customHeight="1">
      <x:c r="A167" s="24" t="str">
        <x:v>TRC-0163</x:v>
      </x:c>
      <x:c r="B167" s="24" t="str">
        <x:v>MAT-033</x:v>
      </x:c>
      <x:c r="C167" s="24" t="str">
        <x:v>Material/Texture</x:v>
      </x:c>
      <x:c r="D167" s="24" t="str">
        <x:v>DarkSurface.mat</x:v>
      </x:c>
      <x:c r="E167" s="24" t="str">
        <x:v>ASSET / REVIEW</x:v>
      </x:c>
      <x:c r="F167" s="24" t="str">
        <x:v>Imported</x:v>
      </x:c>
      <x:c r="G167" s="24" t="str">
        <x:v>URP/visual review pending</x:v>
      </x:c>
      <x:c r="H167" s="24" t="str">
        <x:v>Assets/_Project/Art/Materials/Representative/DarkSurface.mat</x:v>
      </x:c>
      <x:c r="I167" s="24" t="str">
        <x:v>fd2d442dc1f37c54184a14e0f0ccff98</x:v>
      </x:c>
      <x:c r="J167" s="24" t="str"/>
      <x:c r="K167" s="24" t="str">
        <x:v>VS-ART-001</x:v>
      </x:c>
      <x:c r="L167" s="24" t="n">
        <x:v>16</x:v>
      </x:c>
      <x:c r="M167" s="24" t="str">
        <x:v>H6</x:v>
      </x:c>
      <x:c r="N167" s="24" t="str"/>
      <x:c r="O167" s="24" t="str">
        <x:v>BLD-016-POST</x:v>
      </x:c>
      <x:c r="P167" s="24" t="str">
        <x:v>Internal/Approved</x:v>
      </x:c>
      <x:c r="Q167" s="24" t="str">
        <x:v>Texture/outline final not demonstrated</x:v>
      </x:c>
      <x:c r="R167" s="24" t="str">
        <x:v>13_Materiales_Texturas</x:v>
      </x:c>
      <x:c r="S167" s="24" t="str">
        <x:f>"T"&amp;IF(AND(H167&lt;&gt;"",I167&lt;&gt;"",K167&lt;&gt;"",N167&lt;&gt;"",P167&lt;&gt;""),5,IF(AND(H167&lt;&gt;"",K167&lt;&gt;"",G167&lt;&gt;""),4,IF(AND(H167&lt;&gt;"",K167&lt;&gt;""),3,IF(H167&lt;&gt;"",2,1))))</x:f>
        <x:v>T4</x:v>
      </x:c>
      <x:c r="T167" s="24" t="str">
        <x:v>VRM Games</x:v>
      </x:c>
      <x:c r="U167" s="24" t="str"/>
    </x:row>
    <x:row r="168" ht="34" customHeight="1">
      <x:c r="A168" s="24" t="str">
        <x:v>TRC-0164</x:v>
      </x:c>
      <x:c r="B168" s="24" t="str">
        <x:v>MAT-034</x:v>
      </x:c>
      <x:c r="C168" s="24" t="str">
        <x:v>Material/Texture</x:v>
      </x:c>
      <x:c r="D168" s="24" t="str">
        <x:v>Glass.mat</x:v>
      </x:c>
      <x:c r="E168" s="24" t="str">
        <x:v>ASSET / REVIEW</x:v>
      </x:c>
      <x:c r="F168" s="24" t="str">
        <x:v>Imported</x:v>
      </x:c>
      <x:c r="G168" s="24" t="str">
        <x:v>URP/visual review pending</x:v>
      </x:c>
      <x:c r="H168" s="24" t="str">
        <x:v>Assets/_Project/Art/Materials/Representative/Glass.mat</x:v>
      </x:c>
      <x:c r="I168" s="24" t="str">
        <x:v>c5ce338d6ad18e44898ebe940b4b9cd3</x:v>
      </x:c>
      <x:c r="J168" s="24" t="str"/>
      <x:c r="K168" s="24" t="str">
        <x:v>VS-ART-001</x:v>
      </x:c>
      <x:c r="L168" s="24" t="n">
        <x:v>16</x:v>
      </x:c>
      <x:c r="M168" s="24" t="str">
        <x:v>H6</x:v>
      </x:c>
      <x:c r="N168" s="24" t="str"/>
      <x:c r="O168" s="24" t="str">
        <x:v>BLD-016-POST</x:v>
      </x:c>
      <x:c r="P168" s="24" t="str">
        <x:v>Internal/Approved</x:v>
      </x:c>
      <x:c r="Q168" s="24" t="str">
        <x:v>Texture/outline final not demonstrated</x:v>
      </x:c>
      <x:c r="R168" s="24" t="str">
        <x:v>13_Materiales_Texturas</x:v>
      </x:c>
      <x:c r="S168" s="24" t="str">
        <x:f>"T"&amp;IF(AND(H168&lt;&gt;"",I168&lt;&gt;"",K168&lt;&gt;"",N168&lt;&gt;"",P168&lt;&gt;""),5,IF(AND(H168&lt;&gt;"",K168&lt;&gt;"",G168&lt;&gt;""),4,IF(AND(H168&lt;&gt;"",K168&lt;&gt;""),3,IF(H168&lt;&gt;"",2,1))))</x:f>
        <x:v>T4</x:v>
      </x:c>
      <x:c r="T168" s="24" t="str">
        <x:v>VRM Games</x:v>
      </x:c>
      <x:c r="U168" s="24" t="str"/>
    </x:row>
    <x:row r="169" ht="34" customHeight="1">
      <x:c r="A169" s="24" t="str">
        <x:v>TRC-0165</x:v>
      </x:c>
      <x:c r="B169" s="24" t="str">
        <x:v>MAT-035</x:v>
      </x:c>
      <x:c r="C169" s="24" t="str">
        <x:v>Material/Texture</x:v>
      </x:c>
      <x:c r="D169" s="24" t="str">
        <x:v>Graphite.mat</x:v>
      </x:c>
      <x:c r="E169" s="24" t="str">
        <x:v>ASSET / REVIEW</x:v>
      </x:c>
      <x:c r="F169" s="24" t="str">
        <x:v>Imported</x:v>
      </x:c>
      <x:c r="G169" s="24" t="str">
        <x:v>URP/visual review pending</x:v>
      </x:c>
      <x:c r="H169" s="24" t="str">
        <x:v>Assets/_Project/Art/Materials/Representative/Graphite.mat</x:v>
      </x:c>
      <x:c r="I169" s="24" t="str">
        <x:v>c3ef741ec3b5b5144a95f70d7cf83b1a</x:v>
      </x:c>
      <x:c r="J169" s="24" t="str"/>
      <x:c r="K169" s="24" t="str">
        <x:v>VS-ART-001</x:v>
      </x:c>
      <x:c r="L169" s="24" t="n">
        <x:v>16</x:v>
      </x:c>
      <x:c r="M169" s="24" t="str">
        <x:v>H6</x:v>
      </x:c>
      <x:c r="N169" s="24" t="str"/>
      <x:c r="O169" s="24" t="str">
        <x:v>BLD-016-POST</x:v>
      </x:c>
      <x:c r="P169" s="24" t="str">
        <x:v>Internal/Approved</x:v>
      </x:c>
      <x:c r="Q169" s="24" t="str">
        <x:v>Texture/outline final not demonstrated</x:v>
      </x:c>
      <x:c r="R169" s="24" t="str">
        <x:v>13_Materiales_Texturas</x:v>
      </x:c>
      <x:c r="S169" s="24" t="str">
        <x:f>"T"&amp;IF(AND(H169&lt;&gt;"",I169&lt;&gt;"",K169&lt;&gt;"",N169&lt;&gt;"",P169&lt;&gt;""),5,IF(AND(H169&lt;&gt;"",K169&lt;&gt;"",G169&lt;&gt;""),4,IF(AND(H169&lt;&gt;"",K169&lt;&gt;""),3,IF(H169&lt;&gt;"",2,1))))</x:f>
        <x:v>T4</x:v>
      </x:c>
      <x:c r="T169" s="24" t="str">
        <x:v>VRM Games</x:v>
      </x:c>
      <x:c r="U169" s="24" t="str"/>
    </x:row>
    <x:row r="170" ht="34" customHeight="1">
      <x:c r="A170" s="24" t="str">
        <x:v>TRC-0166</x:v>
      </x:c>
      <x:c r="B170" s="24" t="str">
        <x:v>MAT-036</x:v>
      </x:c>
      <x:c r="C170" s="24" t="str">
        <x:v>Material/Texture</x:v>
      </x:c>
      <x:c r="D170" s="24" t="str">
        <x:v>LightNeutral.mat</x:v>
      </x:c>
      <x:c r="E170" s="24" t="str">
        <x:v>ASSET / REVIEW</x:v>
      </x:c>
      <x:c r="F170" s="24" t="str">
        <x:v>Imported</x:v>
      </x:c>
      <x:c r="G170" s="24" t="str">
        <x:v>URP/visual review pending</x:v>
      </x:c>
      <x:c r="H170" s="24" t="str">
        <x:v>Assets/_Project/Art/Materials/Representative/LightNeutral.mat</x:v>
      </x:c>
      <x:c r="I170" s="24" t="str">
        <x:v>7825ba7dd6bdae94e9269af8b70ab14f</x:v>
      </x:c>
      <x:c r="J170" s="24" t="str"/>
      <x:c r="K170" s="24" t="str">
        <x:v>VS-ART-001</x:v>
      </x:c>
      <x:c r="L170" s="24" t="n">
        <x:v>16</x:v>
      </x:c>
      <x:c r="M170" s="24" t="str">
        <x:v>H6</x:v>
      </x:c>
      <x:c r="N170" s="24" t="str"/>
      <x:c r="O170" s="24" t="str">
        <x:v>BLD-016-POST</x:v>
      </x:c>
      <x:c r="P170" s="24" t="str">
        <x:v>Internal/Approved</x:v>
      </x:c>
      <x:c r="Q170" s="24" t="str">
        <x:v>Texture/outline final not demonstrated</x:v>
      </x:c>
      <x:c r="R170" s="24" t="str">
        <x:v>13_Materiales_Texturas</x:v>
      </x:c>
      <x:c r="S170" s="24" t="str">
        <x:f>"T"&amp;IF(AND(H170&lt;&gt;"",I170&lt;&gt;"",K170&lt;&gt;"",N170&lt;&gt;"",P170&lt;&gt;""),5,IF(AND(H170&lt;&gt;"",K170&lt;&gt;"",G170&lt;&gt;""),4,IF(AND(H170&lt;&gt;"",K170&lt;&gt;""),3,IF(H170&lt;&gt;"",2,1))))</x:f>
        <x:v>T4</x:v>
      </x:c>
      <x:c r="T170" s="24" t="str">
        <x:v>VRM Games</x:v>
      </x:c>
      <x:c r="U170" s="24" t="str"/>
    </x:row>
    <x:row r="171" ht="34" customHeight="1">
      <x:c r="A171" s="24" t="str">
        <x:v>TRC-0167</x:v>
      </x:c>
      <x:c r="B171" s="24" t="str">
        <x:v>MAT-037</x:v>
      </x:c>
      <x:c r="C171" s="24" t="str">
        <x:v>Material/Texture</x:v>
      </x:c>
      <x:c r="D171" s="24" t="str">
        <x:v>Red.mat</x:v>
      </x:c>
      <x:c r="E171" s="24" t="str">
        <x:v>ASSET / REVIEW</x:v>
      </x:c>
      <x:c r="F171" s="24" t="str">
        <x:v>Imported</x:v>
      </x:c>
      <x:c r="G171" s="24" t="str">
        <x:v>URP/visual review pending</x:v>
      </x:c>
      <x:c r="H171" s="24" t="str">
        <x:v>Assets/_Project/Art/Materials/Representative/Red.mat</x:v>
      </x:c>
      <x:c r="I171" s="24" t="str">
        <x:v>66acee09c9b77a4448e19515fb417ec9</x:v>
      </x:c>
      <x:c r="J171" s="24" t="str"/>
      <x:c r="K171" s="24" t="str">
        <x:v>VS-ART-001</x:v>
      </x:c>
      <x:c r="L171" s="24" t="n">
        <x:v>16</x:v>
      </x:c>
      <x:c r="M171" s="24" t="str">
        <x:v>H6</x:v>
      </x:c>
      <x:c r="N171" s="24" t="str"/>
      <x:c r="O171" s="24" t="str">
        <x:v>BLD-016-POST</x:v>
      </x:c>
      <x:c r="P171" s="24" t="str">
        <x:v>Internal/Approved</x:v>
      </x:c>
      <x:c r="Q171" s="24" t="str">
        <x:v>Texture/outline final not demonstrated</x:v>
      </x:c>
      <x:c r="R171" s="24" t="str">
        <x:v>13_Materiales_Texturas</x:v>
      </x:c>
      <x:c r="S171" s="24" t="str">
        <x:f>"T"&amp;IF(AND(H171&lt;&gt;"",I171&lt;&gt;"",K171&lt;&gt;"",N171&lt;&gt;"",P171&lt;&gt;""),5,IF(AND(H171&lt;&gt;"",K171&lt;&gt;"",G171&lt;&gt;""),4,IF(AND(H171&lt;&gt;"",K171&lt;&gt;""),3,IF(H171&lt;&gt;"",2,1))))</x:f>
        <x:v>T4</x:v>
      </x:c>
      <x:c r="T171" s="24" t="str">
        <x:v>VRM Games</x:v>
      </x:c>
      <x:c r="U171" s="24" t="str"/>
    </x:row>
    <x:row r="172" ht="34" customHeight="1">
      <x:c r="A172" s="24" t="str">
        <x:v>TRC-0168</x:v>
      </x:c>
      <x:c r="B172" s="24" t="str">
        <x:v>MAT-038</x:v>
      </x:c>
      <x:c r="C172" s="24" t="str">
        <x:v>Material/Texture</x:v>
      </x:c>
      <x:c r="D172" s="24" t="str">
        <x:v>VRMGreen.mat</x:v>
      </x:c>
      <x:c r="E172" s="24" t="str">
        <x:v>ASSET / REVIEW</x:v>
      </x:c>
      <x:c r="F172" s="24" t="str">
        <x:v>Imported</x:v>
      </x:c>
      <x:c r="G172" s="24" t="str">
        <x:v>URP/visual review pending</x:v>
      </x:c>
      <x:c r="H172" s="24" t="str">
        <x:v>Assets/_Project/Art/Materials/Representative/VRMGreen.mat</x:v>
      </x:c>
      <x:c r="I172" s="24" t="str">
        <x:v>deadbc48b5d1847419439baba3abb446</x:v>
      </x:c>
      <x:c r="J172" s="24" t="str"/>
      <x:c r="K172" s="24" t="str">
        <x:v>VS-ART-001</x:v>
      </x:c>
      <x:c r="L172" s="24" t="n">
        <x:v>16</x:v>
      </x:c>
      <x:c r="M172" s="24" t="str">
        <x:v>H6</x:v>
      </x:c>
      <x:c r="N172" s="24" t="str"/>
      <x:c r="O172" s="24" t="str">
        <x:v>BLD-016-POST</x:v>
      </x:c>
      <x:c r="P172" s="24" t="str">
        <x:v>Internal/Approved</x:v>
      </x:c>
      <x:c r="Q172" s="24" t="str">
        <x:v>Texture/outline final not demonstrated</x:v>
      </x:c>
      <x:c r="R172" s="24" t="str">
        <x:v>13_Materiales_Texturas</x:v>
      </x:c>
      <x:c r="S172" s="24" t="str">
        <x:f>"T"&amp;IF(AND(H172&lt;&gt;"",I172&lt;&gt;"",K172&lt;&gt;"",N172&lt;&gt;"",P172&lt;&gt;""),5,IF(AND(H172&lt;&gt;"",K172&lt;&gt;"",G172&lt;&gt;""),4,IF(AND(H172&lt;&gt;"",K172&lt;&gt;""),3,IF(H172&lt;&gt;"",2,1))))</x:f>
        <x:v>T4</x:v>
      </x:c>
      <x:c r="T172" s="24" t="str">
        <x:v>VRM Games</x:v>
      </x:c>
      <x:c r="U172" s="24" t="str"/>
    </x:row>
    <x:row r="173" ht="34" customHeight="1">
      <x:c r="A173" s="24" t="str">
        <x:v>TRC-0169</x:v>
      </x:c>
      <x:c r="B173" s="24" t="str">
        <x:v>MAT-039</x:v>
      </x:c>
      <x:c r="C173" s="24" t="str">
        <x:v>Material/Texture</x:v>
      </x:c>
      <x:c r="D173" s="24" t="str">
        <x:v>VRMGreenEmissive.mat</x:v>
      </x:c>
      <x:c r="E173" s="24" t="str">
        <x:v>ASSET / REVIEW</x:v>
      </x:c>
      <x:c r="F173" s="24" t="str">
        <x:v>Imported</x:v>
      </x:c>
      <x:c r="G173" s="24" t="str">
        <x:v>URP/visual review pending</x:v>
      </x:c>
      <x:c r="H173" s="24" t="str">
        <x:v>Assets/_Project/Art/Materials/Representative/VRMGreenEmissive.mat</x:v>
      </x:c>
      <x:c r="I173" s="24" t="str">
        <x:v>0b36bf9c749064348bba97bbec2942c9</x:v>
      </x:c>
      <x:c r="J173" s="24" t="str"/>
      <x:c r="K173" s="24" t="str">
        <x:v>VS-ART-001</x:v>
      </x:c>
      <x:c r="L173" s="24" t="n">
        <x:v>16</x:v>
      </x:c>
      <x:c r="M173" s="24" t="str">
        <x:v>H6</x:v>
      </x:c>
      <x:c r="N173" s="24" t="str"/>
      <x:c r="O173" s="24" t="str">
        <x:v>BLD-016-POST</x:v>
      </x:c>
      <x:c r="P173" s="24" t="str">
        <x:v>Internal/Approved</x:v>
      </x:c>
      <x:c r="Q173" s="24" t="str">
        <x:v>Texture/outline final not demonstrated</x:v>
      </x:c>
      <x:c r="R173" s="24" t="str">
        <x:v>13_Materiales_Texturas</x:v>
      </x:c>
      <x:c r="S173" s="24" t="str">
        <x:f>"T"&amp;IF(AND(H173&lt;&gt;"",I173&lt;&gt;"",K173&lt;&gt;"",N173&lt;&gt;"",P173&lt;&gt;""),5,IF(AND(H173&lt;&gt;"",K173&lt;&gt;"",G173&lt;&gt;""),4,IF(AND(H173&lt;&gt;"",K173&lt;&gt;""),3,IF(H173&lt;&gt;"",2,1))))</x:f>
        <x:v>T4</x:v>
      </x:c>
      <x:c r="T173" s="24" t="str">
        <x:v>VRM Games</x:v>
      </x:c>
      <x:c r="U173" s="24" t="str"/>
    </x:row>
    <x:row r="174" ht="34" customHeight="1">
      <x:c r="A174" s="24" t="str">
        <x:v>TRC-0170</x:v>
      </x:c>
      <x:c r="B174" s="24" t="str">
        <x:v>MAT-040</x:v>
      </x:c>
      <x:c r="C174" s="24" t="str">
        <x:v>Material/Texture</x:v>
      </x:c>
      <x:c r="D174" s="24" t="str">
        <x:v>WarmWood.mat</x:v>
      </x:c>
      <x:c r="E174" s="24" t="str">
        <x:v>ASSET / REVIEW</x:v>
      </x:c>
      <x:c r="F174" s="24" t="str">
        <x:v>Imported</x:v>
      </x:c>
      <x:c r="G174" s="24" t="str">
        <x:v>URP/visual review pending</x:v>
      </x:c>
      <x:c r="H174" s="24" t="str">
        <x:v>Assets/_Project/Art/Materials/Representative/WarmWood.mat</x:v>
      </x:c>
      <x:c r="I174" s="24" t="str">
        <x:v>f29c9f5017f38184bb87ca20fcb77015</x:v>
      </x:c>
      <x:c r="J174" s="24" t="str"/>
      <x:c r="K174" s="24" t="str">
        <x:v>VS-ART-001</x:v>
      </x:c>
      <x:c r="L174" s="24" t="n">
        <x:v>16</x:v>
      </x:c>
      <x:c r="M174" s="24" t="str">
        <x:v>H6</x:v>
      </x:c>
      <x:c r="N174" s="24" t="str"/>
      <x:c r="O174" s="24" t="str">
        <x:v>BLD-016-POST</x:v>
      </x:c>
      <x:c r="P174" s="24" t="str">
        <x:v>Internal/Approved</x:v>
      </x:c>
      <x:c r="Q174" s="24" t="str">
        <x:v>Texture/outline final not demonstrated</x:v>
      </x:c>
      <x:c r="R174" s="24" t="str">
        <x:v>13_Materiales_Texturas</x:v>
      </x:c>
      <x:c r="S174" s="24" t="str">
        <x:f>"T"&amp;IF(AND(H174&lt;&gt;"",I174&lt;&gt;"",K174&lt;&gt;"",N174&lt;&gt;"",P174&lt;&gt;""),5,IF(AND(H174&lt;&gt;"",K174&lt;&gt;"",G174&lt;&gt;""),4,IF(AND(H174&lt;&gt;"",K174&lt;&gt;""),3,IF(H174&lt;&gt;"",2,1))))</x:f>
        <x:v>T4</x:v>
      </x:c>
      <x:c r="T174" s="24" t="str">
        <x:v>VRM Games</x:v>
      </x:c>
      <x:c r="U174" s="24" t="str"/>
    </x:row>
    <x:row r="175" ht="34" customHeight="1">
      <x:c r="A175" s="24" t="str">
        <x:v>TRC-0171</x:v>
      </x:c>
      <x:c r="B175" s="24" t="str">
        <x:v>MAT-041</x:v>
      </x:c>
      <x:c r="C175" s="24" t="str">
        <x:v>Material/Texture</x:v>
      </x:c>
      <x:c r="D175" s="24" t="str">
        <x:v>CC_S4_GhostInvalid.mat</x:v>
      </x:c>
      <x:c r="E175" s="24" t="str">
        <x:v>ASSET / REVIEW</x:v>
      </x:c>
      <x:c r="F175" s="24" t="str">
        <x:v>Imported</x:v>
      </x:c>
      <x:c r="G175" s="24" t="str">
        <x:v>URP/visual review pending</x:v>
      </x:c>
      <x:c r="H175" s="24" t="str">
        <x:v>Assets/_Project/Art/Materials/Technical/CC_S4_GhostInvalid.mat</x:v>
      </x:c>
      <x:c r="I175" s="24" t="str">
        <x:v>93e1a822e9cc2bd45a73e82e53b83c83</x:v>
      </x:c>
      <x:c r="J175" s="24" t="str"/>
      <x:c r="K175" s="24" t="str">
        <x:v>VS-ART-001</x:v>
      </x:c>
      <x:c r="L175" s="24" t="n">
        <x:v>16</x:v>
      </x:c>
      <x:c r="M175" s="24" t="str">
        <x:v>H6</x:v>
      </x:c>
      <x:c r="N175" s="24" t="str"/>
      <x:c r="O175" s="24" t="str">
        <x:v>BLD-016-POST</x:v>
      </x:c>
      <x:c r="P175" s="24" t="str">
        <x:v>Internal/Approved</x:v>
      </x:c>
      <x:c r="Q175" s="24" t="str">
        <x:v>Texture/outline final not demonstrated</x:v>
      </x:c>
      <x:c r="R175" s="24" t="str">
        <x:v>13_Materiales_Texturas</x:v>
      </x:c>
      <x:c r="S175" s="24" t="str">
        <x:f>"T"&amp;IF(AND(H175&lt;&gt;"",I175&lt;&gt;"",K175&lt;&gt;"",N175&lt;&gt;"",P175&lt;&gt;""),5,IF(AND(H175&lt;&gt;"",K175&lt;&gt;"",G175&lt;&gt;""),4,IF(AND(H175&lt;&gt;"",K175&lt;&gt;""),3,IF(H175&lt;&gt;"",2,1))))</x:f>
        <x:v>T4</x:v>
      </x:c>
      <x:c r="T175" s="24" t="str">
        <x:v>VRM Games</x:v>
      </x:c>
      <x:c r="U175" s="24" t="str"/>
    </x:row>
    <x:row r="176" ht="34" customHeight="1">
      <x:c r="A176" s="24" t="str">
        <x:v>TRC-0172</x:v>
      </x:c>
      <x:c r="B176" s="24" t="str">
        <x:v>MAT-042</x:v>
      </x:c>
      <x:c r="C176" s="24" t="str">
        <x:v>Material/Texture</x:v>
      </x:c>
      <x:c r="D176" s="24" t="str">
        <x:v>CC_S4_GhostValid.mat</x:v>
      </x:c>
      <x:c r="E176" s="24" t="str">
        <x:v>ASSET / REVIEW</x:v>
      </x:c>
      <x:c r="F176" s="24" t="str">
        <x:v>Imported</x:v>
      </x:c>
      <x:c r="G176" s="24" t="str">
        <x:v>URP/visual review pending</x:v>
      </x:c>
      <x:c r="H176" s="24" t="str">
        <x:v>Assets/_Project/Art/Materials/Technical/CC_S4_GhostValid.mat</x:v>
      </x:c>
      <x:c r="I176" s="24" t="str">
        <x:v>2c5dceb53ebc55240bae2b0418adb5c4</x:v>
      </x:c>
      <x:c r="J176" s="24" t="str"/>
      <x:c r="K176" s="24" t="str">
        <x:v>VS-ART-001</x:v>
      </x:c>
      <x:c r="L176" s="24" t="n">
        <x:v>16</x:v>
      </x:c>
      <x:c r="M176" s="24" t="str">
        <x:v>H6</x:v>
      </x:c>
      <x:c r="N176" s="24" t="str"/>
      <x:c r="O176" s="24" t="str">
        <x:v>BLD-016-POST</x:v>
      </x:c>
      <x:c r="P176" s="24" t="str">
        <x:v>Internal/Approved</x:v>
      </x:c>
      <x:c r="Q176" s="24" t="str">
        <x:v>Texture/outline final not demonstrated</x:v>
      </x:c>
      <x:c r="R176" s="24" t="str">
        <x:v>13_Materiales_Texturas</x:v>
      </x:c>
      <x:c r="S176" s="24" t="str">
        <x:f>"T"&amp;IF(AND(H176&lt;&gt;"",I176&lt;&gt;"",K176&lt;&gt;"",N176&lt;&gt;"",P176&lt;&gt;""),5,IF(AND(H176&lt;&gt;"",K176&lt;&gt;"",G176&lt;&gt;""),4,IF(AND(H176&lt;&gt;"",K176&lt;&gt;""),3,IF(H176&lt;&gt;"",2,1))))</x:f>
        <x:v>T4</x:v>
      </x:c>
      <x:c r="T176" s="24" t="str">
        <x:v>VRM Games</x:v>
      </x:c>
      <x:c r="U176" s="24" t="str"/>
    </x:row>
    <x:row r="177" ht="34" customHeight="1">
      <x:c r="A177" s="24" t="str">
        <x:v>TRC-0173</x:v>
      </x:c>
      <x:c r="B177" s="24" t="str">
        <x:v>MAT-043</x:v>
      </x:c>
      <x:c r="C177" s="24" t="str">
        <x:v>Material/Texture</x:v>
      </x:c>
      <x:c r="D177" s="24" t="str">
        <x:v>CC_S4_PlacedTechnical.mat</x:v>
      </x:c>
      <x:c r="E177" s="24" t="str">
        <x:v>ASSET / REVIEW</x:v>
      </x:c>
      <x:c r="F177" s="24" t="str">
        <x:v>Imported</x:v>
      </x:c>
      <x:c r="G177" s="24" t="str">
        <x:v>URP/visual review pending</x:v>
      </x:c>
      <x:c r="H177" s="24" t="str">
        <x:v>Assets/_Project/Art/Materials/Technical/CC_S4_PlacedTechnical.mat</x:v>
      </x:c>
      <x:c r="I177" s="24" t="str">
        <x:v>73280ea062c7a6940aa81ddf62e17915</x:v>
      </x:c>
      <x:c r="J177" s="24" t="str"/>
      <x:c r="K177" s="24" t="str">
        <x:v>VS-ART-001</x:v>
      </x:c>
      <x:c r="L177" s="24" t="n">
        <x:v>16</x:v>
      </x:c>
      <x:c r="M177" s="24" t="str">
        <x:v>H6</x:v>
      </x:c>
      <x:c r="N177" s="24" t="str"/>
      <x:c r="O177" s="24" t="str">
        <x:v>BLD-016-POST</x:v>
      </x:c>
      <x:c r="P177" s="24" t="str">
        <x:v>Internal/Approved</x:v>
      </x:c>
      <x:c r="Q177" s="24" t="str">
        <x:v>Texture/outline final not demonstrated</x:v>
      </x:c>
      <x:c r="R177" s="24" t="str">
        <x:v>13_Materiales_Texturas</x:v>
      </x:c>
      <x:c r="S177" s="24" t="str">
        <x:f>"T"&amp;IF(AND(H177&lt;&gt;"",I177&lt;&gt;"",K177&lt;&gt;"",N177&lt;&gt;"",P177&lt;&gt;""),5,IF(AND(H177&lt;&gt;"",K177&lt;&gt;"",G177&lt;&gt;""),4,IF(AND(H177&lt;&gt;"",K177&lt;&gt;""),3,IF(H177&lt;&gt;"",2,1))))</x:f>
        <x:v>T4</x:v>
      </x:c>
      <x:c r="T177" s="24" t="str">
        <x:v>VRM Games</x:v>
      </x:c>
      <x:c r="U177" s="24" t="str"/>
    </x:row>
    <x:row r="178" ht="34" customHeight="1">
      <x:c r="A178" s="24" t="str">
        <x:v>TRC-0174</x:v>
      </x:c>
      <x:c r="B178" s="24" t="str">
        <x:v>MAT-044</x:v>
      </x:c>
      <x:c r="C178" s="24" t="str">
        <x:v>Material/Texture</x:v>
      </x:c>
      <x:c r="D178" s="24" t="str">
        <x:v>CC_S5_AccessAnchorMarker.mat</x:v>
      </x:c>
      <x:c r="E178" s="24" t="str">
        <x:v>ASSET / REVIEW</x:v>
      </x:c>
      <x:c r="F178" s="24" t="str">
        <x:v>Imported</x:v>
      </x:c>
      <x:c r="G178" s="24" t="str">
        <x:v>URP/visual review pending</x:v>
      </x:c>
      <x:c r="H178" s="24" t="str">
        <x:v>Assets/_Project/Art/Materials/Technical/CC_S5_AccessAnchorMarker.mat</x:v>
      </x:c>
      <x:c r="I178" s="24" t="str">
        <x:v>d97a3c4e4a87ce14cbdac1f7b41cbf4c</x:v>
      </x:c>
      <x:c r="J178" s="24" t="str"/>
      <x:c r="K178" s="24" t="str">
        <x:v>VS-ART-001</x:v>
      </x:c>
      <x:c r="L178" s="24" t="n">
        <x:v>16</x:v>
      </x:c>
      <x:c r="M178" s="24" t="str">
        <x:v>H6</x:v>
      </x:c>
      <x:c r="N178" s="24" t="str"/>
      <x:c r="O178" s="24" t="str">
        <x:v>BLD-016-POST</x:v>
      </x:c>
      <x:c r="P178" s="24" t="str">
        <x:v>Internal/Approved</x:v>
      </x:c>
      <x:c r="Q178" s="24" t="str">
        <x:v>Texture/outline final not demonstrated</x:v>
      </x:c>
      <x:c r="R178" s="24" t="str">
        <x:v>13_Materiales_Texturas</x:v>
      </x:c>
      <x:c r="S178" s="24" t="str">
        <x:f>"T"&amp;IF(AND(H178&lt;&gt;"",I178&lt;&gt;"",K178&lt;&gt;"",N178&lt;&gt;"",P178&lt;&gt;""),5,IF(AND(H178&lt;&gt;"",K178&lt;&gt;"",G178&lt;&gt;""),4,IF(AND(H178&lt;&gt;"",K178&lt;&gt;""),3,IF(H178&lt;&gt;"",2,1))))</x:f>
        <x:v>T4</x:v>
      </x:c>
      <x:c r="T178" s="24" t="str">
        <x:v>VRM Games</x:v>
      </x:c>
      <x:c r="U178" s="24" t="str"/>
    </x:row>
    <x:row r="179" ht="34" customHeight="1">
      <x:c r="A179" s="24" t="str">
        <x:v>TRC-0175</x:v>
      </x:c>
      <x:c r="B179" s="24" t="str">
        <x:v>MAT-045</x:v>
      </x:c>
      <x:c r="C179" s="24" t="str">
        <x:v>Material/Texture</x:v>
      </x:c>
      <x:c r="D179" s="24" t="str">
        <x:v>CC_S5_EntranceReserveMarker.mat</x:v>
      </x:c>
      <x:c r="E179" s="24" t="str">
        <x:v>ASSET / REVIEW</x:v>
      </x:c>
      <x:c r="F179" s="24" t="str">
        <x:v>Imported</x:v>
      </x:c>
      <x:c r="G179" s="24" t="str">
        <x:v>URP/visual review pending</x:v>
      </x:c>
      <x:c r="H179" s="24" t="str">
        <x:v>Assets/_Project/Art/Materials/Technical/CC_S5_EntranceReserveMarker.mat</x:v>
      </x:c>
      <x:c r="I179" s="24" t="str">
        <x:v>a43d2c00f454bf844b1ee7275211c2bd</x:v>
      </x:c>
      <x:c r="J179" s="24" t="str"/>
      <x:c r="K179" s="24" t="str">
        <x:v>VS-ART-001</x:v>
      </x:c>
      <x:c r="L179" s="24" t="n">
        <x:v>16</x:v>
      </x:c>
      <x:c r="M179" s="24" t="str">
        <x:v>H6</x:v>
      </x:c>
      <x:c r="N179" s="24" t="str"/>
      <x:c r="O179" s="24" t="str">
        <x:v>BLD-016-POST</x:v>
      </x:c>
      <x:c r="P179" s="24" t="str">
        <x:v>Internal/Approved</x:v>
      </x:c>
      <x:c r="Q179" s="24" t="str">
        <x:v>Texture/outline final not demonstrated</x:v>
      </x:c>
      <x:c r="R179" s="24" t="str">
        <x:v>13_Materiales_Texturas</x:v>
      </x:c>
      <x:c r="S179" s="24" t="str">
        <x:f>"T"&amp;IF(AND(H179&lt;&gt;"",I179&lt;&gt;"",K179&lt;&gt;"",N179&lt;&gt;"",P179&lt;&gt;""),5,IF(AND(H179&lt;&gt;"",K179&lt;&gt;"",G179&lt;&gt;""),4,IF(AND(H179&lt;&gt;"",K179&lt;&gt;""),3,IF(H179&lt;&gt;"",2,1))))</x:f>
        <x:v>T4</x:v>
      </x:c>
      <x:c r="T179" s="24" t="str">
        <x:v>VRM Games</x:v>
      </x:c>
      <x:c r="U179" s="24" t="str"/>
    </x:row>
    <x:row r="180" ht="34" customHeight="1">
      <x:c r="A180" s="24" t="str">
        <x:v>TRC-0176</x:v>
      </x:c>
      <x:c r="B180" s="24" t="str">
        <x:v>MAT-046</x:v>
      </x:c>
      <x:c r="C180" s="24" t="str">
        <x:v>Material/Texture</x:v>
      </x:c>
      <x:c r="D180" s="24" t="str">
        <x:v>CC_S5_PlacedTechnical.mat</x:v>
      </x:c>
      <x:c r="E180" s="24" t="str">
        <x:v>ASSET / REVIEW</x:v>
      </x:c>
      <x:c r="F180" s="24" t="str">
        <x:v>Imported</x:v>
      </x:c>
      <x:c r="G180" s="24" t="str">
        <x:v>URP/visual review pending</x:v>
      </x:c>
      <x:c r="H180" s="24" t="str">
        <x:v>Assets/_Project/Art/Materials/Technical/CC_S5_PlacedTechnical.mat</x:v>
      </x:c>
      <x:c r="I180" s="24" t="str">
        <x:v>d430dbea45d18d54fa22f394bb09e5e8</x:v>
      </x:c>
      <x:c r="J180" s="24" t="str"/>
      <x:c r="K180" s="24" t="str">
        <x:v>VS-ART-001</x:v>
      </x:c>
      <x:c r="L180" s="24" t="n">
        <x:v>16</x:v>
      </x:c>
      <x:c r="M180" s="24" t="str">
        <x:v>H6</x:v>
      </x:c>
      <x:c r="N180" s="24" t="str"/>
      <x:c r="O180" s="24" t="str">
        <x:v>BLD-016-POST</x:v>
      </x:c>
      <x:c r="P180" s="24" t="str">
        <x:v>Internal/Approved</x:v>
      </x:c>
      <x:c r="Q180" s="24" t="str">
        <x:v>Texture/outline final not demonstrated</x:v>
      </x:c>
      <x:c r="R180" s="24" t="str">
        <x:v>13_Materiales_Texturas</x:v>
      </x:c>
      <x:c r="S180" s="24" t="str">
        <x:f>"T"&amp;IF(AND(H180&lt;&gt;"",I180&lt;&gt;"",K180&lt;&gt;"",N180&lt;&gt;"",P180&lt;&gt;""),5,IF(AND(H180&lt;&gt;"",K180&lt;&gt;"",G180&lt;&gt;""),4,IF(AND(H180&lt;&gt;"",K180&lt;&gt;""),3,IF(H180&lt;&gt;"",2,1))))</x:f>
        <x:v>T4</x:v>
      </x:c>
      <x:c r="T180" s="24" t="str">
        <x:v>VRM Games</x:v>
      </x:c>
      <x:c r="U180" s="24" t="str"/>
    </x:row>
    <x:row r="181" ht="34" customHeight="1">
      <x:c r="A181" s="24" t="str">
        <x:v>TRC-0177</x:v>
      </x:c>
      <x:c r="B181" s="24" t="str">
        <x:v>MAT-047</x:v>
      </x:c>
      <x:c r="C181" s="24" t="str">
        <x:v>Material/Texture</x:v>
      </x:c>
      <x:c r="D181" s="24" t="str">
        <x:v>CC_S5_PlacementInvalid.mat</x:v>
      </x:c>
      <x:c r="E181" s="24" t="str">
        <x:v>ASSET / REVIEW</x:v>
      </x:c>
      <x:c r="F181" s="24" t="str">
        <x:v>Imported</x:v>
      </x:c>
      <x:c r="G181" s="24" t="str">
        <x:v>URP/visual review pending</x:v>
      </x:c>
      <x:c r="H181" s="24" t="str">
        <x:v>Assets/_Project/Art/Materials/Technical/CC_S5_PlacementInvalid.mat</x:v>
      </x:c>
      <x:c r="I181" s="24" t="str">
        <x:v>7a6d13ecba35b6142833314c6d3dd4e3</x:v>
      </x:c>
      <x:c r="J181" s="24" t="str"/>
      <x:c r="K181" s="24" t="str">
        <x:v>VS-ART-001</x:v>
      </x:c>
      <x:c r="L181" s="24" t="n">
        <x:v>16</x:v>
      </x:c>
      <x:c r="M181" s="24" t="str">
        <x:v>H6</x:v>
      </x:c>
      <x:c r="N181" s="24" t="str"/>
      <x:c r="O181" s="24" t="str">
        <x:v>BLD-016-POST</x:v>
      </x:c>
      <x:c r="P181" s="24" t="str">
        <x:v>Internal/Approved</x:v>
      </x:c>
      <x:c r="Q181" s="24" t="str">
        <x:v>Texture/outline final not demonstrated</x:v>
      </x:c>
      <x:c r="R181" s="24" t="str">
        <x:v>13_Materiales_Texturas</x:v>
      </x:c>
      <x:c r="S181" s="24" t="str">
        <x:f>"T"&amp;IF(AND(H181&lt;&gt;"",I181&lt;&gt;"",K181&lt;&gt;"",N181&lt;&gt;"",P181&lt;&gt;""),5,IF(AND(H181&lt;&gt;"",K181&lt;&gt;"",G181&lt;&gt;""),4,IF(AND(H181&lt;&gt;"",K181&lt;&gt;""),3,IF(H181&lt;&gt;"",2,1))))</x:f>
        <x:v>T4</x:v>
      </x:c>
      <x:c r="T181" s="24" t="str">
        <x:v>VRM Games</x:v>
      </x:c>
      <x:c r="U181" s="24" t="str"/>
    </x:row>
    <x:row r="182" ht="34" customHeight="1">
      <x:c r="A182" s="24" t="str">
        <x:v>TRC-0178</x:v>
      </x:c>
      <x:c r="B182" s="24" t="str">
        <x:v>MAT-048</x:v>
      </x:c>
      <x:c r="C182" s="24" t="str">
        <x:v>Material/Texture</x:v>
      </x:c>
      <x:c r="D182" s="24" t="str">
        <x:v>CC_S5_PlacementValid.mat</x:v>
      </x:c>
      <x:c r="E182" s="24" t="str">
        <x:v>ASSET / REVIEW</x:v>
      </x:c>
      <x:c r="F182" s="24" t="str">
        <x:v>Imported</x:v>
      </x:c>
      <x:c r="G182" s="24" t="str">
        <x:v>URP/visual review pending</x:v>
      </x:c>
      <x:c r="H182" s="24" t="str">
        <x:v>Assets/_Project/Art/Materials/Technical/CC_S5_PlacementValid.mat</x:v>
      </x:c>
      <x:c r="I182" s="24" t="str">
        <x:v>0b21e154d6a431344bce6ed394378c0b</x:v>
      </x:c>
      <x:c r="J182" s="24" t="str"/>
      <x:c r="K182" s="24" t="str">
        <x:v>VS-ART-001</x:v>
      </x:c>
      <x:c r="L182" s="24" t="n">
        <x:v>16</x:v>
      </x:c>
      <x:c r="M182" s="24" t="str">
        <x:v>H6</x:v>
      </x:c>
      <x:c r="N182" s="24" t="str"/>
      <x:c r="O182" s="24" t="str">
        <x:v>BLD-016-POST</x:v>
      </x:c>
      <x:c r="P182" s="24" t="str">
        <x:v>Internal/Approved</x:v>
      </x:c>
      <x:c r="Q182" s="24" t="str">
        <x:v>Texture/outline final not demonstrated</x:v>
      </x:c>
      <x:c r="R182" s="24" t="str">
        <x:v>13_Materiales_Texturas</x:v>
      </x:c>
      <x:c r="S182" s="24" t="str">
        <x:f>"T"&amp;IF(AND(H182&lt;&gt;"",I182&lt;&gt;"",K182&lt;&gt;"",N182&lt;&gt;"",P182&lt;&gt;""),5,IF(AND(H182&lt;&gt;"",K182&lt;&gt;"",G182&lt;&gt;""),4,IF(AND(H182&lt;&gt;"",K182&lt;&gt;""),3,IF(H182&lt;&gt;"",2,1))))</x:f>
        <x:v>T4</x:v>
      </x:c>
      <x:c r="T182" s="24" t="str">
        <x:v>VRM Games</x:v>
      </x:c>
      <x:c r="U182" s="24" t="str"/>
    </x:row>
    <x:row r="183" ht="34" customHeight="1">
      <x:c r="A183" s="24" t="str">
        <x:v>TRC-0179</x:v>
      </x:c>
      <x:c r="B183" s="24" t="str">
        <x:v>MAT-049</x:v>
      </x:c>
      <x:c r="C183" s="24" t="str">
        <x:v>Material/Texture</x:v>
      </x:c>
      <x:c r="D183" s="24" t="str">
        <x:v>CC_S5_StoreEntranceTechnical.mat</x:v>
      </x:c>
      <x:c r="E183" s="24" t="str">
        <x:v>ASSET / REVIEW</x:v>
      </x:c>
      <x:c r="F183" s="24" t="str">
        <x:v>Imported</x:v>
      </x:c>
      <x:c r="G183" s="24" t="str">
        <x:v>URP/visual review pending</x:v>
      </x:c>
      <x:c r="H183" s="24" t="str">
        <x:v>Assets/_Project/Art/Materials/Technical/CC_S5_StoreEntranceTechnical.mat</x:v>
      </x:c>
      <x:c r="I183" s="24" t="str">
        <x:v>b96b73b4ca6f8e141abf7154d79f03f1</x:v>
      </x:c>
      <x:c r="J183" s="24" t="str"/>
      <x:c r="K183" s="24" t="str">
        <x:v>VS-ART-001</x:v>
      </x:c>
      <x:c r="L183" s="24" t="n">
        <x:v>16</x:v>
      </x:c>
      <x:c r="M183" s="24" t="str">
        <x:v>H6</x:v>
      </x:c>
      <x:c r="N183" s="24" t="str"/>
      <x:c r="O183" s="24" t="str">
        <x:v>BLD-016-POST</x:v>
      </x:c>
      <x:c r="P183" s="24" t="str">
        <x:v>Internal/Approved</x:v>
      </x:c>
      <x:c r="Q183" s="24" t="str">
        <x:v>Texture/outline final not demonstrated</x:v>
      </x:c>
      <x:c r="R183" s="24" t="str">
        <x:v>13_Materiales_Texturas</x:v>
      </x:c>
      <x:c r="S183" s="24" t="str">
        <x:f>"T"&amp;IF(AND(H183&lt;&gt;"",I183&lt;&gt;"",K183&lt;&gt;"",N183&lt;&gt;"",P183&lt;&gt;""),5,IF(AND(H183&lt;&gt;"",K183&lt;&gt;"",G183&lt;&gt;""),4,IF(AND(H183&lt;&gt;"",K183&lt;&gt;""),3,IF(H183&lt;&gt;"",2,1))))</x:f>
        <x:v>T4</x:v>
      </x:c>
      <x:c r="T183" s="24" t="str">
        <x:v>VRM Games</x:v>
      </x:c>
      <x:c r="U183" s="24" t="str"/>
    </x:row>
    <x:row r="184" ht="34" customHeight="1">
      <x:c r="A184" s="24" t="str">
        <x:v>TRC-0180</x:v>
      </x:c>
      <x:c r="B184" s="24" t="str">
        <x:v>MAT-050</x:v>
      </x:c>
      <x:c r="C184" s="24" t="str">
        <x:v>Material/Texture</x:v>
      </x:c>
      <x:c r="D184" s="24" t="str">
        <x:v>CC_S5_StoreFloorTechnical.mat</x:v>
      </x:c>
      <x:c r="E184" s="24" t="str">
        <x:v>ASSET / REVIEW</x:v>
      </x:c>
      <x:c r="F184" s="24" t="str">
        <x:v>Imported</x:v>
      </x:c>
      <x:c r="G184" s="24" t="str">
        <x:v>URP/visual review pending</x:v>
      </x:c>
      <x:c r="H184" s="24" t="str">
        <x:v>Assets/_Project/Art/Materials/Technical/CC_S5_StoreFloorTechnical.mat</x:v>
      </x:c>
      <x:c r="I184" s="24" t="str">
        <x:v>dc20a3078d485984f9c7a9d258600732</x:v>
      </x:c>
      <x:c r="J184" s="24" t="str"/>
      <x:c r="K184" s="24" t="str">
        <x:v>VS-ART-001</x:v>
      </x:c>
      <x:c r="L184" s="24" t="n">
        <x:v>16</x:v>
      </x:c>
      <x:c r="M184" s="24" t="str">
        <x:v>H6</x:v>
      </x:c>
      <x:c r="N184" s="24" t="str"/>
      <x:c r="O184" s="24" t="str">
        <x:v>BLD-016-POST</x:v>
      </x:c>
      <x:c r="P184" s="24" t="str">
        <x:v>Internal/Approved</x:v>
      </x:c>
      <x:c r="Q184" s="24" t="str">
        <x:v>Texture/outline final not demonstrated</x:v>
      </x:c>
      <x:c r="R184" s="24" t="str">
        <x:v>13_Materiales_Texturas</x:v>
      </x:c>
      <x:c r="S184" s="24" t="str">
        <x:f>"T"&amp;IF(AND(H184&lt;&gt;"",I184&lt;&gt;"",K184&lt;&gt;"",N184&lt;&gt;"",P184&lt;&gt;""),5,IF(AND(H184&lt;&gt;"",K184&lt;&gt;"",G184&lt;&gt;""),4,IF(AND(H184&lt;&gt;"",K184&lt;&gt;""),3,IF(H184&lt;&gt;"",2,1))))</x:f>
        <x:v>T4</x:v>
      </x:c>
      <x:c r="T184" s="24" t="str">
        <x:v>VRM Games</x:v>
      </x:c>
      <x:c r="U184" s="24" t="str"/>
    </x:row>
    <x:row r="185" ht="34" customHeight="1">
      <x:c r="A185" s="24" t="str">
        <x:v>TRC-0181</x:v>
      </x:c>
      <x:c r="B185" s="24" t="str">
        <x:v>MAT-051</x:v>
      </x:c>
      <x:c r="C185" s="24" t="str">
        <x:v>Material/Texture</x:v>
      </x:c>
      <x:c r="D185" s="24" t="str">
        <x:v>CC_S5_StorePlayerTechnical.mat</x:v>
      </x:c>
      <x:c r="E185" s="24" t="str">
        <x:v>ASSET / REVIEW</x:v>
      </x:c>
      <x:c r="F185" s="24" t="str">
        <x:v>Imported</x:v>
      </x:c>
      <x:c r="G185" s="24" t="str">
        <x:v>URP/visual review pending</x:v>
      </x:c>
      <x:c r="H185" s="24" t="str">
        <x:v>Assets/_Project/Art/Materials/Technical/CC_S5_StorePlayerTechnical.mat</x:v>
      </x:c>
      <x:c r="I185" s="24" t="str">
        <x:v>d61fc2385715d4746ba4b2b689248d3b</x:v>
      </x:c>
      <x:c r="J185" s="24" t="str"/>
      <x:c r="K185" s="24" t="str">
        <x:v>VS-ART-001</x:v>
      </x:c>
      <x:c r="L185" s="24" t="n">
        <x:v>16</x:v>
      </x:c>
      <x:c r="M185" s="24" t="str">
        <x:v>H6</x:v>
      </x:c>
      <x:c r="N185" s="24" t="str"/>
      <x:c r="O185" s="24" t="str">
        <x:v>BLD-016-POST</x:v>
      </x:c>
      <x:c r="P185" s="24" t="str">
        <x:v>Internal/Approved</x:v>
      </x:c>
      <x:c r="Q185" s="24" t="str">
        <x:v>Texture/outline final not demonstrated</x:v>
      </x:c>
      <x:c r="R185" s="24" t="str">
        <x:v>13_Materiales_Texturas</x:v>
      </x:c>
      <x:c r="S185" s="24" t="str">
        <x:f>"T"&amp;IF(AND(H185&lt;&gt;"",I185&lt;&gt;"",K185&lt;&gt;"",N185&lt;&gt;"",P185&lt;&gt;""),5,IF(AND(H185&lt;&gt;"",K185&lt;&gt;"",G185&lt;&gt;""),4,IF(AND(H185&lt;&gt;"",K185&lt;&gt;""),3,IF(H185&lt;&gt;"",2,1))))</x:f>
        <x:v>T4</x:v>
      </x:c>
      <x:c r="T185" s="24" t="str">
        <x:v>VRM Games</x:v>
      </x:c>
      <x:c r="U185" s="24" t="str"/>
    </x:row>
    <x:row r="186" ht="34" customHeight="1">
      <x:c r="A186" s="24" t="str">
        <x:v>TRC-0182</x:v>
      </x:c>
      <x:c r="B186" s="24" t="str">
        <x:v>MAT-052</x:v>
      </x:c>
      <x:c r="C186" s="24" t="str">
        <x:v>Material/Texture</x:v>
      </x:c>
      <x:c r="D186" s="24" t="str">
        <x:v>CC_S5_StoreWallTechnical.mat</x:v>
      </x:c>
      <x:c r="E186" s="24" t="str">
        <x:v>ASSET / REVIEW</x:v>
      </x:c>
      <x:c r="F186" s="24" t="str">
        <x:v>Imported</x:v>
      </x:c>
      <x:c r="G186" s="24" t="str">
        <x:v>URP/visual review pending</x:v>
      </x:c>
      <x:c r="H186" s="24" t="str">
        <x:v>Assets/_Project/Art/Materials/Technical/CC_S5_StoreWallTechnical.mat</x:v>
      </x:c>
      <x:c r="I186" s="24" t="str">
        <x:v>056ccf5de784b274da4b4e809060173c</x:v>
      </x:c>
      <x:c r="J186" s="24" t="str"/>
      <x:c r="K186" s="24" t="str">
        <x:v>VS-ART-001</x:v>
      </x:c>
      <x:c r="L186" s="24" t="n">
        <x:v>16</x:v>
      </x:c>
      <x:c r="M186" s="24" t="str">
        <x:v>H6</x:v>
      </x:c>
      <x:c r="N186" s="24" t="str"/>
      <x:c r="O186" s="24" t="str">
        <x:v>BLD-016-POST</x:v>
      </x:c>
      <x:c r="P186" s="24" t="str">
        <x:v>Internal/Approved</x:v>
      </x:c>
      <x:c r="Q186" s="24" t="str">
        <x:v>Texture/outline final not demonstrated</x:v>
      </x:c>
      <x:c r="R186" s="24" t="str">
        <x:v>13_Materiales_Texturas</x:v>
      </x:c>
      <x:c r="S186" s="24" t="str">
        <x:f>"T"&amp;IF(AND(H186&lt;&gt;"",I186&lt;&gt;"",K186&lt;&gt;"",N186&lt;&gt;"",P186&lt;&gt;""),5,IF(AND(H186&lt;&gt;"",K186&lt;&gt;"",G186&lt;&gt;""),4,IF(AND(H186&lt;&gt;"",K186&lt;&gt;""),3,IF(H186&lt;&gt;"",2,1))))</x:f>
        <x:v>T4</x:v>
      </x:c>
      <x:c r="T186" s="24" t="str">
        <x:v>VRM Games</x:v>
      </x:c>
      <x:c r="U186" s="24" t="str"/>
    </x:row>
    <x:row r="187" ht="34" customHeight="1">
      <x:c r="A187" s="24" t="str">
        <x:v>TRC-0183</x:v>
      </x:c>
      <x:c r="B187" s="24" t="str">
        <x:v>TEX-001</x:v>
      </x:c>
      <x:c r="C187" s="24" t="str">
        <x:v>Material/Texture</x:v>
      </x:c>
      <x:c r="D187" s="24" t="str">
        <x:v>accessory-memory-core_cover.png</x:v>
      </x:c>
      <x:c r="E187" s="24" t="str">
        <x:v>ACTIVE / REPRESENTATIVE</x:v>
      </x:c>
      <x:c r="F187" s="24" t="str">
        <x:v>Imported</x:v>
      </x:c>
      <x:c r="G187" s="24" t="str">
        <x:v>Visual/import settings review</x:v>
      </x:c>
      <x:c r="H187" s="24" t="str">
        <x:v>Assets/_Project/Art/Textures/Products/Covers/accessory-memory-core_cover.png</x:v>
      </x:c>
      <x:c r="I187" s="24" t="str">
        <x:v>99ad8e1cc769d203874d34b007d6b1fb</x:v>
      </x:c>
      <x:c r="J187" s="24" t="str"/>
      <x:c r="K187" s="24" t="str">
        <x:v>VS-ART-001</x:v>
      </x:c>
      <x:c r="L187" s="24" t="n">
        <x:v>16</x:v>
      </x:c>
      <x:c r="M187" s="24" t="str">
        <x:v>H6</x:v>
      </x:c>
      <x:c r="N187" s="24" t="str"/>
      <x:c r="O187" s="24" t="str">
        <x:v>BLD-016-POST</x:v>
      </x:c>
      <x:c r="P187" s="24" t="str">
        <x:v>Internal/Approved</x:v>
      </x:c>
      <x:c r="Q187" s="24" t="str">
        <x:v>Production texture set incomplete</x:v>
      </x:c>
      <x:c r="R187" s="24" t="str">
        <x:v>13_Materiales_Texturas</x:v>
      </x:c>
      <x:c r="S187" s="24" t="str">
        <x:f>"T"&amp;IF(AND(H187&lt;&gt;"",I187&lt;&gt;"",K187&lt;&gt;"",N187&lt;&gt;"",P187&lt;&gt;""),5,IF(AND(H187&lt;&gt;"",K187&lt;&gt;"",G187&lt;&gt;""),4,IF(AND(H187&lt;&gt;"",K187&lt;&gt;""),3,IF(H187&lt;&gt;"",2,1))))</x:f>
        <x:v>T4</x:v>
      </x:c>
      <x:c r="T187" s="24" t="str">
        <x:v>VRM Games</x:v>
      </x:c>
      <x:c r="U187" s="24" t="str"/>
    </x:row>
    <x:row r="188" ht="34" customHeight="1">
      <x:c r="A188" s="24" t="str">
        <x:v>TRC-0184</x:v>
      </x:c>
      <x:c r="B188" s="24" t="str">
        <x:v>TEX-002</x:v>
      </x:c>
      <x:c r="C188" s="24" t="str">
        <x:v>Material/Texture</x:v>
      </x:c>
      <x:c r="D188" s="24" t="str">
        <x:v>case-cloud-runner_cover.png</x:v>
      </x:c>
      <x:c r="E188" s="24" t="str">
        <x:v>ACTIVE / REPRESENTATIVE</x:v>
      </x:c>
      <x:c r="F188" s="24" t="str">
        <x:v>Imported</x:v>
      </x:c>
      <x:c r="G188" s="24" t="str">
        <x:v>Visual/import settings review</x:v>
      </x:c>
      <x:c r="H188" s="24" t="str">
        <x:v>Assets/_Project/Art/Textures/Products/Covers/case-cloud-runner_cover.png</x:v>
      </x:c>
      <x:c r="I188" s="24" t="str">
        <x:v>02a2a492a281853daab6388d0ee18a34</x:v>
      </x:c>
      <x:c r="J188" s="24" t="str"/>
      <x:c r="K188" s="24" t="str">
        <x:v>VS-ART-001</x:v>
      </x:c>
      <x:c r="L188" s="24" t="n">
        <x:v>16</x:v>
      </x:c>
      <x:c r="M188" s="24" t="str">
        <x:v>H6</x:v>
      </x:c>
      <x:c r="N188" s="24" t="str"/>
      <x:c r="O188" s="24" t="str">
        <x:v>BLD-016-POST</x:v>
      </x:c>
      <x:c r="P188" s="24" t="str">
        <x:v>Internal/Approved</x:v>
      </x:c>
      <x:c r="Q188" s="24" t="str">
        <x:v>Production texture set incomplete</x:v>
      </x:c>
      <x:c r="R188" s="24" t="str">
        <x:v>13_Materiales_Texturas</x:v>
      </x:c>
      <x:c r="S188" s="24" t="str">
        <x:f>"T"&amp;IF(AND(H188&lt;&gt;"",I188&lt;&gt;"",K188&lt;&gt;"",N188&lt;&gt;"",P188&lt;&gt;""),5,IF(AND(H188&lt;&gt;"",K188&lt;&gt;"",G188&lt;&gt;""),4,IF(AND(H188&lt;&gt;"",K188&lt;&gt;""),3,IF(H188&lt;&gt;"",2,1))))</x:f>
        <x:v>T4</x:v>
      </x:c>
      <x:c r="T188" s="24" t="str">
        <x:v>VRM Games</x:v>
      </x:c>
      <x:c r="U188" s="24" t="str"/>
    </x:row>
    <x:row r="189" ht="34" customHeight="1">
      <x:c r="A189" s="24" t="str">
        <x:v>TRC-0185</x:v>
      </x:c>
      <x:c r="B189" s="24" t="str">
        <x:v>TEX-003</x:v>
      </x:c>
      <x:c r="C189" s="24" t="str">
        <x:v>Material/Texture</x:v>
      </x:c>
      <x:c r="D189" s="24" t="str">
        <x:v>console-vertex-one_cover.png</x:v>
      </x:c>
      <x:c r="E189" s="24" t="str">
        <x:v>ACTIVE / REPRESENTATIVE</x:v>
      </x:c>
      <x:c r="F189" s="24" t="str">
        <x:v>Imported</x:v>
      </x:c>
      <x:c r="G189" s="24" t="str">
        <x:v>Visual/import settings review</x:v>
      </x:c>
      <x:c r="H189" s="24" t="str">
        <x:v>Assets/_Project/Art/Textures/Products/Covers/console-vertex-one_cover.png</x:v>
      </x:c>
      <x:c r="I189" s="24" t="str">
        <x:v>36c44215e08a5796632b24c7f3fd1ebd</x:v>
      </x:c>
      <x:c r="J189" s="24" t="str"/>
      <x:c r="K189" s="24" t="str">
        <x:v>VS-ART-001</x:v>
      </x:c>
      <x:c r="L189" s="24" t="n">
        <x:v>16</x:v>
      </x:c>
      <x:c r="M189" s="24" t="str">
        <x:v>H6</x:v>
      </x:c>
      <x:c r="N189" s="24" t="str"/>
      <x:c r="O189" s="24" t="str">
        <x:v>BLD-016-POST</x:v>
      </x:c>
      <x:c r="P189" s="24" t="str">
        <x:v>Internal/Approved</x:v>
      </x:c>
      <x:c r="Q189" s="24" t="str">
        <x:v>Production texture set incomplete</x:v>
      </x:c>
      <x:c r="R189" s="24" t="str">
        <x:v>13_Materiales_Texturas</x:v>
      </x:c>
      <x:c r="S189" s="24" t="str">
        <x:f>"T"&amp;IF(AND(H189&lt;&gt;"",I189&lt;&gt;"",K189&lt;&gt;"",N189&lt;&gt;"",P189&lt;&gt;""),5,IF(AND(H189&lt;&gt;"",K189&lt;&gt;"",G189&lt;&gt;""),4,IF(AND(H189&lt;&gt;"",K189&lt;&gt;""),3,IF(H189&lt;&gt;"",2,1))))</x:f>
        <x:v>T4</x:v>
      </x:c>
      <x:c r="T189" s="24" t="str">
        <x:v>VRM Games</x:v>
      </x:c>
      <x:c r="U189" s="24" t="str"/>
    </x:row>
    <x:row r="190" ht="34" customHeight="1">
      <x:c r="A190" s="24" t="str">
        <x:v>TRC-0186</x:v>
      </x:c>
      <x:c r="B190" s="24" t="str">
        <x:v>TEX-004</x:v>
      </x:c>
      <x:c r="C190" s="24" t="str">
        <x:v>Material/Texture</x:v>
      </x:c>
      <x:c r="D190" s="24" t="str">
        <x:v>controller-orbit-pad_cover.png</x:v>
      </x:c>
      <x:c r="E190" s="24" t="str">
        <x:v>ACTIVE / REPRESENTATIVE</x:v>
      </x:c>
      <x:c r="F190" s="24" t="str">
        <x:v>Imported</x:v>
      </x:c>
      <x:c r="G190" s="24" t="str">
        <x:v>Visual/import settings review</x:v>
      </x:c>
      <x:c r="H190" s="24" t="str">
        <x:v>Assets/_Project/Art/Textures/Products/Covers/controller-orbit-pad_cover.png</x:v>
      </x:c>
      <x:c r="I190" s="24" t="str">
        <x:v>1df6feaefb37bee2c723271f297c84fa</x:v>
      </x:c>
      <x:c r="J190" s="24" t="str"/>
      <x:c r="K190" s="24" t="str">
        <x:v>VS-ART-001</x:v>
      </x:c>
      <x:c r="L190" s="24" t="n">
        <x:v>16</x:v>
      </x:c>
      <x:c r="M190" s="24" t="str">
        <x:v>H6</x:v>
      </x:c>
      <x:c r="N190" s="24" t="str"/>
      <x:c r="O190" s="24" t="str">
        <x:v>BLD-016-POST</x:v>
      </x:c>
      <x:c r="P190" s="24" t="str">
        <x:v>Internal/Approved</x:v>
      </x:c>
      <x:c r="Q190" s="24" t="str">
        <x:v>Production texture set incomplete</x:v>
      </x:c>
      <x:c r="R190" s="24" t="str">
        <x:v>13_Materiales_Texturas</x:v>
      </x:c>
      <x:c r="S190" s="24" t="str">
        <x:f>"T"&amp;IF(AND(H190&lt;&gt;"",I190&lt;&gt;"",K190&lt;&gt;"",N190&lt;&gt;"",P190&lt;&gt;""),5,IF(AND(H190&lt;&gt;"",K190&lt;&gt;"",G190&lt;&gt;""),4,IF(AND(H190&lt;&gt;"",K190&lt;&gt;""),3,IF(H190&lt;&gt;"",2,1))))</x:f>
        <x:v>T4</x:v>
      </x:c>
      <x:c r="T190" s="24" t="str">
        <x:v>VRM Games</x:v>
      </x:c>
      <x:c r="U190" s="24" t="str"/>
    </x:row>
    <x:row r="191" ht="34" customHeight="1">
      <x:c r="A191" s="24" t="str">
        <x:v>TRC-0187</x:v>
      </x:c>
      <x:c r="B191" s="24" t="str">
        <x:v>TEX-005</x:v>
      </x:c>
      <x:c r="C191" s="24" t="str">
        <x:v>Material/Texture</x:v>
      </x:c>
      <x:c r="D191" s="24" t="str">
        <x:v>game-neon-drift_cover.png</x:v>
      </x:c>
      <x:c r="E191" s="24" t="str">
        <x:v>ACTIVE / REPRESENTATIVE</x:v>
      </x:c>
      <x:c r="F191" s="24" t="str">
        <x:v>Imported</x:v>
      </x:c>
      <x:c r="G191" s="24" t="str">
        <x:v>Visual/import settings review</x:v>
      </x:c>
      <x:c r="H191" s="24" t="str">
        <x:v>Assets/_Project/Art/Textures/Products/Covers/game-neon-drift_cover.png</x:v>
      </x:c>
      <x:c r="I191" s="24" t="str">
        <x:v>95a08376e01a66e9fb8be705367e8e70</x:v>
      </x:c>
      <x:c r="J191" s="24" t="str"/>
      <x:c r="K191" s="24" t="str">
        <x:v>VS-ART-001</x:v>
      </x:c>
      <x:c r="L191" s="24" t="n">
        <x:v>16</x:v>
      </x:c>
      <x:c r="M191" s="24" t="str">
        <x:v>H6</x:v>
      </x:c>
      <x:c r="N191" s="24" t="str"/>
      <x:c r="O191" s="24" t="str">
        <x:v>BLD-016-POST</x:v>
      </x:c>
      <x:c r="P191" s="24" t="str">
        <x:v>Internal/Approved</x:v>
      </x:c>
      <x:c r="Q191" s="24" t="str">
        <x:v>Production texture set incomplete</x:v>
      </x:c>
      <x:c r="R191" s="24" t="str">
        <x:v>13_Materiales_Texturas</x:v>
      </x:c>
      <x:c r="S191" s="24" t="str">
        <x:f>"T"&amp;IF(AND(H191&lt;&gt;"",I191&lt;&gt;"",K191&lt;&gt;"",N191&lt;&gt;"",P191&lt;&gt;""),5,IF(AND(H191&lt;&gt;"",K191&lt;&gt;"",G191&lt;&gt;""),4,IF(AND(H191&lt;&gt;"",K191&lt;&gt;""),3,IF(H191&lt;&gt;"",2,1))))</x:f>
        <x:v>T4</x:v>
      </x:c>
      <x:c r="T191" s="24" t="str">
        <x:v>VRM Games</x:v>
      </x:c>
      <x:c r="U191" s="24" t="str"/>
    </x:row>
    <x:row r="192" ht="34" customHeight="1">
      <x:c r="A192" s="24" t="str">
        <x:v>TRC-0188</x:v>
      </x:c>
      <x:c r="B192" s="24" t="str">
        <x:v>TEX-006</x:v>
      </x:c>
      <x:c r="C192" s="24" t="str">
        <x:v>Material/Texture</x:v>
      </x:c>
      <x:c r="D192" s="24" t="str">
        <x:v>headset-signal-pro_cover.png</x:v>
      </x:c>
      <x:c r="E192" s="24" t="str">
        <x:v>ACTIVE / REPRESENTATIVE</x:v>
      </x:c>
      <x:c r="F192" s="24" t="str">
        <x:v>Imported</x:v>
      </x:c>
      <x:c r="G192" s="24" t="str">
        <x:v>Visual/import settings review</x:v>
      </x:c>
      <x:c r="H192" s="24" t="str">
        <x:v>Assets/_Project/Art/Textures/Products/Covers/headset-signal-pro_cover.png</x:v>
      </x:c>
      <x:c r="I192" s="24" t="str">
        <x:v>555516fd940c23a935886572fcb5dbda</x:v>
      </x:c>
      <x:c r="J192" s="24" t="str"/>
      <x:c r="K192" s="24" t="str">
        <x:v>VS-ART-001</x:v>
      </x:c>
      <x:c r="L192" s="24" t="n">
        <x:v>16</x:v>
      </x:c>
      <x:c r="M192" s="24" t="str">
        <x:v>H6</x:v>
      </x:c>
      <x:c r="N192" s="24" t="str"/>
      <x:c r="O192" s="24" t="str">
        <x:v>BLD-016-POST</x:v>
      </x:c>
      <x:c r="P192" s="24" t="str">
        <x:v>Internal/Approved</x:v>
      </x:c>
      <x:c r="Q192" s="24" t="str">
        <x:v>Production texture set incomplete</x:v>
      </x:c>
      <x:c r="R192" s="24" t="str">
        <x:v>13_Materiales_Texturas</x:v>
      </x:c>
      <x:c r="S192" s="24" t="str">
        <x:f>"T"&amp;IF(AND(H192&lt;&gt;"",I192&lt;&gt;"",K192&lt;&gt;"",N192&lt;&gt;"",P192&lt;&gt;""),5,IF(AND(H192&lt;&gt;"",K192&lt;&gt;"",G192&lt;&gt;""),4,IF(AND(H192&lt;&gt;"",K192&lt;&gt;""),3,IF(H192&lt;&gt;"",2,1))))</x:f>
        <x:v>T4</x:v>
      </x:c>
      <x:c r="T192" s="24" t="str">
        <x:v>VRM Games</x:v>
      </x:c>
      <x:c r="U192" s="24" t="str"/>
    </x:row>
    <x:row r="193" ht="34" customHeight="1">
      <x:c r="A193" s="24" t="str">
        <x:v>TRC-0189</x:v>
      </x:c>
      <x:c r="B193" s="24" t="str">
        <x:v>TEX-007</x:v>
      </x:c>
      <x:c r="C193" s="24" t="str">
        <x:v>Material/Texture</x:v>
      </x:c>
      <x:c r="D193" s="24" t="str">
        <x:v>accessory-memory-core_icon.png</x:v>
      </x:c>
      <x:c r="E193" s="24" t="str">
        <x:v>ACTIVE / REPRESENTATIVE</x:v>
      </x:c>
      <x:c r="F193" s="24" t="str">
        <x:v>Imported</x:v>
      </x:c>
      <x:c r="G193" s="24" t="str">
        <x:v>Visual/import settings review</x:v>
      </x:c>
      <x:c r="H193" s="24" t="str">
        <x:v>Assets/_Project/Art/Textures/Products/Icons/accessory-memory-core_icon.png</x:v>
      </x:c>
      <x:c r="I193" s="24" t="str">
        <x:v>6d1ad708b4e4aafaed261b3d970bad30</x:v>
      </x:c>
      <x:c r="J193" s="24" t="str"/>
      <x:c r="K193" s="24" t="str">
        <x:v>VS-ART-001</x:v>
      </x:c>
      <x:c r="L193" s="24" t="n">
        <x:v>16</x:v>
      </x:c>
      <x:c r="M193" s="24" t="str">
        <x:v>H6</x:v>
      </x:c>
      <x:c r="N193" s="24" t="str"/>
      <x:c r="O193" s="24" t="str">
        <x:v>BLD-016-POST</x:v>
      </x:c>
      <x:c r="P193" s="24" t="str">
        <x:v>Internal/Approved</x:v>
      </x:c>
      <x:c r="Q193" s="24" t="str">
        <x:v>Production texture set incomplete</x:v>
      </x:c>
      <x:c r="R193" s="24" t="str">
        <x:v>13_Materiales_Texturas</x:v>
      </x:c>
      <x:c r="S193" s="24" t="str">
        <x:f>"T"&amp;IF(AND(H193&lt;&gt;"",I193&lt;&gt;"",K193&lt;&gt;"",N193&lt;&gt;"",P193&lt;&gt;""),5,IF(AND(H193&lt;&gt;"",K193&lt;&gt;"",G193&lt;&gt;""),4,IF(AND(H193&lt;&gt;"",K193&lt;&gt;""),3,IF(H193&lt;&gt;"",2,1))))</x:f>
        <x:v>T4</x:v>
      </x:c>
      <x:c r="T193" s="24" t="str">
        <x:v>VRM Games</x:v>
      </x:c>
      <x:c r="U193" s="24" t="str"/>
    </x:row>
    <x:row r="194" ht="34" customHeight="1">
      <x:c r="A194" s="24" t="str">
        <x:v>TRC-0190</x:v>
      </x:c>
      <x:c r="B194" s="24" t="str">
        <x:v>TEX-008</x:v>
      </x:c>
      <x:c r="C194" s="24" t="str">
        <x:v>Material/Texture</x:v>
      </x:c>
      <x:c r="D194" s="24" t="str">
        <x:v>case-cloud-runner_icon.png</x:v>
      </x:c>
      <x:c r="E194" s="24" t="str">
        <x:v>ACTIVE / REPRESENTATIVE</x:v>
      </x:c>
      <x:c r="F194" s="24" t="str">
        <x:v>Imported</x:v>
      </x:c>
      <x:c r="G194" s="24" t="str">
        <x:v>Visual/import settings review</x:v>
      </x:c>
      <x:c r="H194" s="24" t="str">
        <x:v>Assets/_Project/Art/Textures/Products/Icons/case-cloud-runner_icon.png</x:v>
      </x:c>
      <x:c r="I194" s="24" t="str">
        <x:v>8c0a1718ad8cc09611a641f822dd6876</x:v>
      </x:c>
      <x:c r="J194" s="24" t="str"/>
      <x:c r="K194" s="24" t="str">
        <x:v>VS-ART-001</x:v>
      </x:c>
      <x:c r="L194" s="24" t="n">
        <x:v>16</x:v>
      </x:c>
      <x:c r="M194" s="24" t="str">
        <x:v>H6</x:v>
      </x:c>
      <x:c r="N194" s="24" t="str"/>
      <x:c r="O194" s="24" t="str">
        <x:v>BLD-016-POST</x:v>
      </x:c>
      <x:c r="P194" s="24" t="str">
        <x:v>Internal/Approved</x:v>
      </x:c>
      <x:c r="Q194" s="24" t="str">
        <x:v>Production texture set incomplete</x:v>
      </x:c>
      <x:c r="R194" s="24" t="str">
        <x:v>13_Materiales_Texturas</x:v>
      </x:c>
      <x:c r="S194" s="24" t="str">
        <x:f>"T"&amp;IF(AND(H194&lt;&gt;"",I194&lt;&gt;"",K194&lt;&gt;"",N194&lt;&gt;"",P194&lt;&gt;""),5,IF(AND(H194&lt;&gt;"",K194&lt;&gt;"",G194&lt;&gt;""),4,IF(AND(H194&lt;&gt;"",K194&lt;&gt;""),3,IF(H194&lt;&gt;"",2,1))))</x:f>
        <x:v>T4</x:v>
      </x:c>
      <x:c r="T194" s="24" t="str">
        <x:v>VRM Games</x:v>
      </x:c>
      <x:c r="U194" s="24" t="str"/>
    </x:row>
    <x:row r="195" ht="34" customHeight="1">
      <x:c r="A195" s="24" t="str">
        <x:v>TRC-0191</x:v>
      </x:c>
      <x:c r="B195" s="24" t="str">
        <x:v>TEX-009</x:v>
      </x:c>
      <x:c r="C195" s="24" t="str">
        <x:v>Material/Texture</x:v>
      </x:c>
      <x:c r="D195" s="24" t="str">
        <x:v>console-vertex-one_icon.png</x:v>
      </x:c>
      <x:c r="E195" s="24" t="str">
        <x:v>ACTIVE / REPRESENTATIVE</x:v>
      </x:c>
      <x:c r="F195" s="24" t="str">
        <x:v>Imported</x:v>
      </x:c>
      <x:c r="G195" s="24" t="str">
        <x:v>Visual/import settings review</x:v>
      </x:c>
      <x:c r="H195" s="24" t="str">
        <x:v>Assets/_Project/Art/Textures/Products/Icons/console-vertex-one_icon.png</x:v>
      </x:c>
      <x:c r="I195" s="24" t="str">
        <x:v>6aa6b1239ca9f6cdfd2bb6023eb4c1c4</x:v>
      </x:c>
      <x:c r="J195" s="24" t="str"/>
      <x:c r="K195" s="24" t="str">
        <x:v>VS-ART-001</x:v>
      </x:c>
      <x:c r="L195" s="24" t="n">
        <x:v>16</x:v>
      </x:c>
      <x:c r="M195" s="24" t="str">
        <x:v>H6</x:v>
      </x:c>
      <x:c r="N195" s="24" t="str"/>
      <x:c r="O195" s="24" t="str">
        <x:v>BLD-016-POST</x:v>
      </x:c>
      <x:c r="P195" s="24" t="str">
        <x:v>Internal/Approved</x:v>
      </x:c>
      <x:c r="Q195" s="24" t="str">
        <x:v>Production texture set incomplete</x:v>
      </x:c>
      <x:c r="R195" s="24" t="str">
        <x:v>13_Materiales_Texturas</x:v>
      </x:c>
      <x:c r="S195" s="24" t="str">
        <x:f>"T"&amp;IF(AND(H195&lt;&gt;"",I195&lt;&gt;"",K195&lt;&gt;"",N195&lt;&gt;"",P195&lt;&gt;""),5,IF(AND(H195&lt;&gt;"",K195&lt;&gt;"",G195&lt;&gt;""),4,IF(AND(H195&lt;&gt;"",K195&lt;&gt;""),3,IF(H195&lt;&gt;"",2,1))))</x:f>
        <x:v>T4</x:v>
      </x:c>
      <x:c r="T195" s="24" t="str">
        <x:v>VRM Games</x:v>
      </x:c>
      <x:c r="U195" s="24" t="str"/>
    </x:row>
    <x:row r="196" ht="34" customHeight="1">
      <x:c r="A196" s="24" t="str">
        <x:v>TRC-0192</x:v>
      </x:c>
      <x:c r="B196" s="24" t="str">
        <x:v>TEX-010</x:v>
      </x:c>
      <x:c r="C196" s="24" t="str">
        <x:v>Material/Texture</x:v>
      </x:c>
      <x:c r="D196" s="24" t="str">
        <x:v>controller-orbit-pad_icon.png</x:v>
      </x:c>
      <x:c r="E196" s="24" t="str">
        <x:v>ACTIVE / REPRESENTATIVE</x:v>
      </x:c>
      <x:c r="F196" s="24" t="str">
        <x:v>Imported</x:v>
      </x:c>
      <x:c r="G196" s="24" t="str">
        <x:v>Visual/import settings review</x:v>
      </x:c>
      <x:c r="H196" s="24" t="str">
        <x:v>Assets/_Project/Art/Textures/Products/Icons/controller-orbit-pad_icon.png</x:v>
      </x:c>
      <x:c r="I196" s="24" t="str">
        <x:v>a5a7682e0808b2d2d51bdf3ef57fe2a1</x:v>
      </x:c>
      <x:c r="J196" s="24" t="str"/>
      <x:c r="K196" s="24" t="str">
        <x:v>VS-ART-001</x:v>
      </x:c>
      <x:c r="L196" s="24" t="n">
        <x:v>16</x:v>
      </x:c>
      <x:c r="M196" s="24" t="str">
        <x:v>H6</x:v>
      </x:c>
      <x:c r="N196" s="24" t="str"/>
      <x:c r="O196" s="24" t="str">
        <x:v>BLD-016-POST</x:v>
      </x:c>
      <x:c r="P196" s="24" t="str">
        <x:v>Internal/Approved</x:v>
      </x:c>
      <x:c r="Q196" s="24" t="str">
        <x:v>Production texture set incomplete</x:v>
      </x:c>
      <x:c r="R196" s="24" t="str">
        <x:v>13_Materiales_Texturas</x:v>
      </x:c>
      <x:c r="S196" s="24" t="str">
        <x:f>"T"&amp;IF(AND(H196&lt;&gt;"",I196&lt;&gt;"",K196&lt;&gt;"",N196&lt;&gt;"",P196&lt;&gt;""),5,IF(AND(H196&lt;&gt;"",K196&lt;&gt;"",G196&lt;&gt;""),4,IF(AND(H196&lt;&gt;"",K196&lt;&gt;""),3,IF(H196&lt;&gt;"",2,1))))</x:f>
        <x:v>T4</x:v>
      </x:c>
      <x:c r="T196" s="24" t="str">
        <x:v>VRM Games</x:v>
      </x:c>
      <x:c r="U196" s="24" t="str"/>
    </x:row>
    <x:row r="197" ht="34" customHeight="1">
      <x:c r="A197" s="24" t="str">
        <x:v>TRC-0193</x:v>
      </x:c>
      <x:c r="B197" s="24" t="str">
        <x:v>TEX-011</x:v>
      </x:c>
      <x:c r="C197" s="24" t="str">
        <x:v>Material/Texture</x:v>
      </x:c>
      <x:c r="D197" s="24" t="str">
        <x:v>game-neon-drift_icon.png</x:v>
      </x:c>
      <x:c r="E197" s="24" t="str">
        <x:v>ACTIVE / REPRESENTATIVE</x:v>
      </x:c>
      <x:c r="F197" s="24" t="str">
        <x:v>Imported</x:v>
      </x:c>
      <x:c r="G197" s="24" t="str">
        <x:v>Visual/import settings review</x:v>
      </x:c>
      <x:c r="H197" s="24" t="str">
        <x:v>Assets/_Project/Art/Textures/Products/Icons/game-neon-drift_icon.png</x:v>
      </x:c>
      <x:c r="I197" s="24" t="str">
        <x:v>5446fc2e413d4c4501d24e5f36c02441</x:v>
      </x:c>
      <x:c r="J197" s="24" t="str"/>
      <x:c r="K197" s="24" t="str">
        <x:v>VS-ART-001</x:v>
      </x:c>
      <x:c r="L197" s="24" t="n">
        <x:v>16</x:v>
      </x:c>
      <x:c r="M197" s="24" t="str">
        <x:v>H6</x:v>
      </x:c>
      <x:c r="N197" s="24" t="str"/>
      <x:c r="O197" s="24" t="str">
        <x:v>BLD-016-POST</x:v>
      </x:c>
      <x:c r="P197" s="24" t="str">
        <x:v>Internal/Approved</x:v>
      </x:c>
      <x:c r="Q197" s="24" t="str">
        <x:v>Production texture set incomplete</x:v>
      </x:c>
      <x:c r="R197" s="24" t="str">
        <x:v>13_Materiales_Texturas</x:v>
      </x:c>
      <x:c r="S197" s="24" t="str">
        <x:f>"T"&amp;IF(AND(H197&lt;&gt;"",I197&lt;&gt;"",K197&lt;&gt;"",N197&lt;&gt;"",P197&lt;&gt;""),5,IF(AND(H197&lt;&gt;"",K197&lt;&gt;"",G197&lt;&gt;""),4,IF(AND(H197&lt;&gt;"",K197&lt;&gt;""),3,IF(H197&lt;&gt;"",2,1))))</x:f>
        <x:v>T4</x:v>
      </x:c>
      <x:c r="T197" s="24" t="str">
        <x:v>VRM Games</x:v>
      </x:c>
      <x:c r="U197" s="24" t="str"/>
    </x:row>
    <x:row r="198" ht="34" customHeight="1">
      <x:c r="A198" s="24" t="str">
        <x:v>TRC-0194</x:v>
      </x:c>
      <x:c r="B198" s="24" t="str">
        <x:v>TEX-012</x:v>
      </x:c>
      <x:c r="C198" s="24" t="str">
        <x:v>Material/Texture</x:v>
      </x:c>
      <x:c r="D198" s="24" t="str">
        <x:v>headset-signal-pro_icon.png</x:v>
      </x:c>
      <x:c r="E198" s="24" t="str">
        <x:v>ACTIVE / REPRESENTATIVE</x:v>
      </x:c>
      <x:c r="F198" s="24" t="str">
        <x:v>Imported</x:v>
      </x:c>
      <x:c r="G198" s="24" t="str">
        <x:v>Visual/import settings review</x:v>
      </x:c>
      <x:c r="H198" s="24" t="str">
        <x:v>Assets/_Project/Art/Textures/Products/Icons/headset-signal-pro_icon.png</x:v>
      </x:c>
      <x:c r="I198" s="24" t="str">
        <x:v>c2eab608e2f22d55399d6e4ae9b1b706</x:v>
      </x:c>
      <x:c r="J198" s="24" t="str"/>
      <x:c r="K198" s="24" t="str">
        <x:v>VS-ART-001</x:v>
      </x:c>
      <x:c r="L198" s="24" t="n">
        <x:v>16</x:v>
      </x:c>
      <x:c r="M198" s="24" t="str">
        <x:v>H6</x:v>
      </x:c>
      <x:c r="N198" s="24" t="str"/>
      <x:c r="O198" s="24" t="str">
        <x:v>BLD-016-POST</x:v>
      </x:c>
      <x:c r="P198" s="24" t="str">
        <x:v>Internal/Approved</x:v>
      </x:c>
      <x:c r="Q198" s="24" t="str">
        <x:v>Production texture set incomplete</x:v>
      </x:c>
      <x:c r="R198" s="24" t="str">
        <x:v>13_Materiales_Texturas</x:v>
      </x:c>
      <x:c r="S198" s="24" t="str">
        <x:f>"T"&amp;IF(AND(H198&lt;&gt;"",I198&lt;&gt;"",K198&lt;&gt;"",N198&lt;&gt;"",P198&lt;&gt;""),5,IF(AND(H198&lt;&gt;"",K198&lt;&gt;"",G198&lt;&gt;""),4,IF(AND(H198&lt;&gt;"",K198&lt;&gt;""),3,IF(H198&lt;&gt;"",2,1))))</x:f>
        <x:v>T4</x:v>
      </x:c>
      <x:c r="T198" s="24" t="str">
        <x:v>VRM Games</x:v>
      </x:c>
      <x:c r="U198" s="24" t="str"/>
    </x:row>
    <x:row r="199" ht="34" customHeight="1">
      <x:c r="A199" s="24" t="str">
        <x:v>TRC-0195</x:v>
      </x:c>
      <x:c r="B199" s="24" t="str">
        <x:v>PFB-001</x:v>
      </x:c>
      <x:c r="C199" s="24" t="str">
        <x:v>Prefab</x:v>
      </x:c>
      <x:c r="D199" s="24" t="str">
        <x:v>AutomaticDoor.prefab</x:v>
      </x:c>
      <x:c r="E199" s="24" t="str">
        <x:v>REPRESENTATIVE / CURRENT</x:v>
      </x:c>
      <x:c r="F199" s="24" t="str">
        <x:v>Prefab available</x:v>
      </x:c>
      <x:c r="G199" s="24" t="str">
        <x:v>Pending/partial</x:v>
      </x:c>
      <x:c r="H199" s="24" t="str">
        <x:v>Assets/_Project/Prefabs/Architecture/AutomaticDoor.prefab</x:v>
      </x:c>
      <x:c r="I199" s="24" t="str">
        <x:v>902fae9f30573af4fb83f30c0eb15af6</x:v>
      </x:c>
      <x:c r="J199" s="24" t="str"/>
      <x:c r="K199" s="24" t="str">
        <x:v>VS-ART-001;VS-SCN-002</x:v>
      </x:c>
      <x:c r="L199" s="24" t="n">
        <x:v>16</x:v>
      </x:c>
      <x:c r="M199" s="24" t="str">
        <x:v>H6</x:v>
      </x:c>
      <x:c r="N199" s="24" t="str"/>
      <x:c r="O199" s="24" t="str">
        <x:v>BLD-016-POST</x:v>
      </x:c>
      <x:c r="P199" s="24" t="str">
        <x:v>Internal/Approved</x:v>
      </x:c>
      <x:c r="Q199" s="24" t="str">
        <x:v>Authored-scene validation pending</x:v>
      </x:c>
      <x:c r="R199" s="24" t="str">
        <x:v>14_Prefabs</x:v>
      </x:c>
      <x:c r="S199" s="24" t="str">
        <x:f>"T"&amp;IF(AND(H199&lt;&gt;"",I199&lt;&gt;"",K199&lt;&gt;"",N199&lt;&gt;"",P199&lt;&gt;""),5,IF(AND(H199&lt;&gt;"",K199&lt;&gt;"",G199&lt;&gt;""),4,IF(AND(H199&lt;&gt;"",K199&lt;&gt;""),3,IF(H199&lt;&gt;"",2,1))))</x:f>
        <x:v>T4</x:v>
      </x:c>
      <x:c r="T199" s="24" t="str">
        <x:v>VRM Games</x:v>
      </x:c>
      <x:c r="U199" s="24" t="str"/>
    </x:row>
    <x:row r="200" ht="34" customHeight="1">
      <x:c r="A200" s="24" t="str">
        <x:v>TRC-0196</x:v>
      </x:c>
      <x:c r="B200" s="24" t="str">
        <x:v>PFB-002</x:v>
      </x:c>
      <x:c r="C200" s="24" t="str">
        <x:v>Prefab</x:v>
      </x:c>
      <x:c r="D200" s="24" t="str">
        <x:v>BackroomPartition.prefab</x:v>
      </x:c>
      <x:c r="E200" s="24" t="str">
        <x:v>REPRESENTATIVE / CURRENT</x:v>
      </x:c>
      <x:c r="F200" s="24" t="str">
        <x:v>Prefab available</x:v>
      </x:c>
      <x:c r="G200" s="24" t="str">
        <x:v>Pending/partial</x:v>
      </x:c>
      <x:c r="H200" s="24" t="str">
        <x:v>Assets/_Project/Prefabs/Architecture/BackroomPartition.prefab</x:v>
      </x:c>
      <x:c r="I200" s="24" t="str">
        <x:v>6afaabca3fc84ce43bce0d5a571f2141</x:v>
      </x:c>
      <x:c r="J200" s="24" t="str"/>
      <x:c r="K200" s="24" t="str">
        <x:v>VS-ART-001;VS-SCN-002</x:v>
      </x:c>
      <x:c r="L200" s="24" t="n">
        <x:v>16</x:v>
      </x:c>
      <x:c r="M200" s="24" t="str">
        <x:v>H6</x:v>
      </x:c>
      <x:c r="N200" s="24" t="str"/>
      <x:c r="O200" s="24" t="str">
        <x:v>BLD-016-POST</x:v>
      </x:c>
      <x:c r="P200" s="24" t="str">
        <x:v>Internal/Approved</x:v>
      </x:c>
      <x:c r="Q200" s="24" t="str">
        <x:v>Authored-scene validation pending</x:v>
      </x:c>
      <x:c r="R200" s="24" t="str">
        <x:v>14_Prefabs</x:v>
      </x:c>
      <x:c r="S200" s="24" t="str">
        <x:f>"T"&amp;IF(AND(H200&lt;&gt;"",I200&lt;&gt;"",K200&lt;&gt;"",N200&lt;&gt;"",P200&lt;&gt;""),5,IF(AND(H200&lt;&gt;"",K200&lt;&gt;"",G200&lt;&gt;""),4,IF(AND(H200&lt;&gt;"",K200&lt;&gt;""),3,IF(H200&lt;&gt;"",2,1))))</x:f>
        <x:v>T4</x:v>
      </x:c>
      <x:c r="T200" s="24" t="str">
        <x:v>VRM Games</x:v>
      </x:c>
      <x:c r="U200" s="24" t="str"/>
    </x:row>
    <x:row r="201" ht="34" customHeight="1">
      <x:c r="A201" s="24" t="str">
        <x:v>TRC-0197</x:v>
      </x:c>
      <x:c r="B201" s="24" t="str">
        <x:v>PFB-003</x:v>
      </x:c>
      <x:c r="C201" s="24" t="str">
        <x:v>Prefab</x:v>
      </x:c>
      <x:c r="D201" s="24" t="str">
        <x:v>CornerInner.prefab</x:v>
      </x:c>
      <x:c r="E201" s="24" t="str">
        <x:v>REPRESENTATIVE / CURRENT</x:v>
      </x:c>
      <x:c r="F201" s="24" t="str">
        <x:v>Prefab available</x:v>
      </x:c>
      <x:c r="G201" s="24" t="str">
        <x:v>Pending/partial</x:v>
      </x:c>
      <x:c r="H201" s="24" t="str">
        <x:v>Assets/_Project/Prefabs/Architecture/CornerInner.prefab</x:v>
      </x:c>
      <x:c r="I201" s="24" t="str">
        <x:v>8326de81cbe6b6c488aff3e01eab441a</x:v>
      </x:c>
      <x:c r="J201" s="24" t="str"/>
      <x:c r="K201" s="24" t="str">
        <x:v>VS-ART-001;VS-SCN-002</x:v>
      </x:c>
      <x:c r="L201" s="24" t="n">
        <x:v>16</x:v>
      </x:c>
      <x:c r="M201" s="24" t="str">
        <x:v>H6</x:v>
      </x:c>
      <x:c r="N201" s="24" t="str"/>
      <x:c r="O201" s="24" t="str">
        <x:v>BLD-016-POST</x:v>
      </x:c>
      <x:c r="P201" s="24" t="str">
        <x:v>Internal/Approved</x:v>
      </x:c>
      <x:c r="Q201" s="24" t="str">
        <x:v>Authored-scene validation pending</x:v>
      </x:c>
      <x:c r="R201" s="24" t="str">
        <x:v>14_Prefabs</x:v>
      </x:c>
      <x:c r="S201" s="24" t="str">
        <x:f>"T"&amp;IF(AND(H201&lt;&gt;"",I201&lt;&gt;"",K201&lt;&gt;"",N201&lt;&gt;"",P201&lt;&gt;""),5,IF(AND(H201&lt;&gt;"",K201&lt;&gt;"",G201&lt;&gt;""),4,IF(AND(H201&lt;&gt;"",K201&lt;&gt;""),3,IF(H201&lt;&gt;"",2,1))))</x:f>
        <x:v>T4</x:v>
      </x:c>
      <x:c r="T201" s="24" t="str">
        <x:v>VRM Games</x:v>
      </x:c>
      <x:c r="U201" s="24" t="str"/>
    </x:row>
    <x:row r="202" ht="34" customHeight="1">
      <x:c r="A202" s="24" t="str">
        <x:v>TRC-0198</x:v>
      </x:c>
      <x:c r="B202" s="24" t="str">
        <x:v>PFB-004</x:v>
      </x:c>
      <x:c r="C202" s="24" t="str">
        <x:v>Prefab</x:v>
      </x:c>
      <x:c r="D202" s="24" t="str">
        <x:v>CornerOuter.prefab</x:v>
      </x:c>
      <x:c r="E202" s="24" t="str">
        <x:v>REPRESENTATIVE / CURRENT</x:v>
      </x:c>
      <x:c r="F202" s="24" t="str">
        <x:v>Prefab available</x:v>
      </x:c>
      <x:c r="G202" s="24" t="str">
        <x:v>Pending/partial</x:v>
      </x:c>
      <x:c r="H202" s="24" t="str">
        <x:v>Assets/_Project/Prefabs/Architecture/CornerOuter.prefab</x:v>
      </x:c>
      <x:c r="I202" s="24" t="str">
        <x:v>86630f8bb9a3dd44eadcc3cb99d1c653</x:v>
      </x:c>
      <x:c r="J202" s="24" t="str"/>
      <x:c r="K202" s="24" t="str">
        <x:v>VS-ART-001;VS-SCN-002</x:v>
      </x:c>
      <x:c r="L202" s="24" t="n">
        <x:v>16</x:v>
      </x:c>
      <x:c r="M202" s="24" t="str">
        <x:v>H6</x:v>
      </x:c>
      <x:c r="N202" s="24" t="str"/>
      <x:c r="O202" s="24" t="str">
        <x:v>BLD-016-POST</x:v>
      </x:c>
      <x:c r="P202" s="24" t="str">
        <x:v>Internal/Approved</x:v>
      </x:c>
      <x:c r="Q202" s="24" t="str">
        <x:v>Authored-scene validation pending</x:v>
      </x:c>
      <x:c r="R202" s="24" t="str">
        <x:v>14_Prefabs</x:v>
      </x:c>
      <x:c r="S202" s="24" t="str">
        <x:f>"T"&amp;IF(AND(H202&lt;&gt;"",I202&lt;&gt;"",K202&lt;&gt;"",N202&lt;&gt;"",P202&lt;&gt;""),5,IF(AND(H202&lt;&gt;"",K202&lt;&gt;"",G202&lt;&gt;""),4,IF(AND(H202&lt;&gt;"",K202&lt;&gt;""),3,IF(H202&lt;&gt;"",2,1))))</x:f>
        <x:v>T4</x:v>
      </x:c>
      <x:c r="T202" s="24" t="str">
        <x:v>VRM Games</x:v>
      </x:c>
      <x:c r="U202" s="24" t="str"/>
    </x:row>
    <x:row r="203" ht="34" customHeight="1">
      <x:c r="A203" s="24" t="str">
        <x:v>TRC-0199</x:v>
      </x:c>
      <x:c r="B203" s="24" t="str">
        <x:v>PFB-005</x:v>
      </x:c>
      <x:c r="C203" s="24" t="str">
        <x:v>Prefab</x:v>
      </x:c>
      <x:c r="D203" s="24" t="str">
        <x:v>EndCap.prefab</x:v>
      </x:c>
      <x:c r="E203" s="24" t="str">
        <x:v>REPRESENTATIVE / CURRENT</x:v>
      </x:c>
      <x:c r="F203" s="24" t="str">
        <x:v>Prefab available</x:v>
      </x:c>
      <x:c r="G203" s="24" t="str">
        <x:v>Pending/partial</x:v>
      </x:c>
      <x:c r="H203" s="24" t="str">
        <x:v>Assets/_Project/Prefabs/Architecture/EndCap.prefab</x:v>
      </x:c>
      <x:c r="I203" s="24" t="str">
        <x:v>922447690a287bb40b0e0637e09b8d1c</x:v>
      </x:c>
      <x:c r="J203" s="24" t="str"/>
      <x:c r="K203" s="24" t="str">
        <x:v>VS-ART-001;VS-SCN-002</x:v>
      </x:c>
      <x:c r="L203" s="24" t="n">
        <x:v>16</x:v>
      </x:c>
      <x:c r="M203" s="24" t="str">
        <x:v>H6</x:v>
      </x:c>
      <x:c r="N203" s="24" t="str"/>
      <x:c r="O203" s="24" t="str">
        <x:v>BLD-016-POST</x:v>
      </x:c>
      <x:c r="P203" s="24" t="str">
        <x:v>Internal/Approved</x:v>
      </x:c>
      <x:c r="Q203" s="24" t="str">
        <x:v>Authored-scene validation pending</x:v>
      </x:c>
      <x:c r="R203" s="24" t="str">
        <x:v>14_Prefabs</x:v>
      </x:c>
      <x:c r="S203" s="24" t="str">
        <x:f>"T"&amp;IF(AND(H203&lt;&gt;"",I203&lt;&gt;"",K203&lt;&gt;"",N203&lt;&gt;"",P203&lt;&gt;""),5,IF(AND(H203&lt;&gt;"",K203&lt;&gt;"",G203&lt;&gt;""),4,IF(AND(H203&lt;&gt;"",K203&lt;&gt;""),3,IF(H203&lt;&gt;"",2,1))))</x:f>
        <x:v>T4</x:v>
      </x:c>
      <x:c r="T203" s="24" t="str">
        <x:v>VRM Games</x:v>
      </x:c>
      <x:c r="U203" s="24" t="str"/>
    </x:row>
    <x:row r="204" ht="34" customHeight="1">
      <x:c r="A204" s="24" t="str">
        <x:v>TRC-0200</x:v>
      </x:c>
      <x:c r="B204" s="24" t="str">
        <x:v>PFB-006</x:v>
      </x:c>
      <x:c r="C204" s="24" t="str">
        <x:v>Prefab</x:v>
      </x:c>
      <x:c r="D204" s="24" t="str">
        <x:v>EntranceThreshold.prefab</x:v>
      </x:c>
      <x:c r="E204" s="24" t="str">
        <x:v>REPRESENTATIVE / CURRENT</x:v>
      </x:c>
      <x:c r="F204" s="24" t="str">
        <x:v>Prefab available</x:v>
      </x:c>
      <x:c r="G204" s="24" t="str">
        <x:v>Pending/partial</x:v>
      </x:c>
      <x:c r="H204" s="24" t="str">
        <x:v>Assets/_Project/Prefabs/Architecture/EntranceThreshold.prefab</x:v>
      </x:c>
      <x:c r="I204" s="24" t="str">
        <x:v>b6fdade53717521498b183f5bae96305</x:v>
      </x:c>
      <x:c r="J204" s="24" t="str"/>
      <x:c r="K204" s="24" t="str">
        <x:v>VS-ART-001;VS-SCN-002</x:v>
      </x:c>
      <x:c r="L204" s="24" t="n">
        <x:v>16</x:v>
      </x:c>
      <x:c r="M204" s="24" t="str">
        <x:v>H6</x:v>
      </x:c>
      <x:c r="N204" s="24" t="str"/>
      <x:c r="O204" s="24" t="str">
        <x:v>BLD-016-POST</x:v>
      </x:c>
      <x:c r="P204" s="24" t="str">
        <x:v>Internal/Approved</x:v>
      </x:c>
      <x:c r="Q204" s="24" t="str">
        <x:v>Authored-scene validation pending</x:v>
      </x:c>
      <x:c r="R204" s="24" t="str">
        <x:v>14_Prefabs</x:v>
      </x:c>
      <x:c r="S204" s="24" t="str">
        <x:f>"T"&amp;IF(AND(H204&lt;&gt;"",I204&lt;&gt;"",K204&lt;&gt;"",N204&lt;&gt;"",P204&lt;&gt;""),5,IF(AND(H204&lt;&gt;"",K204&lt;&gt;"",G204&lt;&gt;""),4,IF(AND(H204&lt;&gt;"",K204&lt;&gt;""),3,IF(H204&lt;&gt;"",2,1))))</x:f>
        <x:v>T4</x:v>
      </x:c>
      <x:c r="T204" s="24" t="str">
        <x:v>VRM Games</x:v>
      </x:c>
      <x:c r="U204" s="24" t="str"/>
    </x:row>
    <x:row r="205" ht="34" customHeight="1">
      <x:c r="A205" s="24" t="str">
        <x:v>TRC-0201</x:v>
      </x:c>
      <x:c r="B205" s="24" t="str">
        <x:v>PFB-007</x:v>
      </x:c>
      <x:c r="C205" s="24" t="str">
        <x:v>Prefab</x:v>
      </x:c>
      <x:c r="D205" s="24" t="str">
        <x:v>Floor100.prefab</x:v>
      </x:c>
      <x:c r="E205" s="24" t="str">
        <x:v>REPRESENTATIVE / CURRENT</x:v>
      </x:c>
      <x:c r="F205" s="24" t="str">
        <x:v>Prefab available</x:v>
      </x:c>
      <x:c r="G205" s="24" t="str">
        <x:v>Pending/partial</x:v>
      </x:c>
      <x:c r="H205" s="24" t="str">
        <x:v>Assets/_Project/Prefabs/Architecture/Floor100.prefab</x:v>
      </x:c>
      <x:c r="I205" s="24" t="str">
        <x:v>94410c856fcbe9a44a4e0565b59a4810</x:v>
      </x:c>
      <x:c r="J205" s="24" t="str"/>
      <x:c r="K205" s="24" t="str">
        <x:v>VS-ART-001;VS-SCN-002</x:v>
      </x:c>
      <x:c r="L205" s="24" t="n">
        <x:v>16</x:v>
      </x:c>
      <x:c r="M205" s="24" t="str">
        <x:v>H6</x:v>
      </x:c>
      <x:c r="N205" s="24" t="str"/>
      <x:c r="O205" s="24" t="str">
        <x:v>BLD-016-POST</x:v>
      </x:c>
      <x:c r="P205" s="24" t="str">
        <x:v>Internal/Approved</x:v>
      </x:c>
      <x:c r="Q205" s="24" t="str">
        <x:v>Authored-scene validation pending</x:v>
      </x:c>
      <x:c r="R205" s="24" t="str">
        <x:v>14_Prefabs</x:v>
      </x:c>
      <x:c r="S205" s="24" t="str">
        <x:f>"T"&amp;IF(AND(H205&lt;&gt;"",I205&lt;&gt;"",K205&lt;&gt;"",N205&lt;&gt;"",P205&lt;&gt;""),5,IF(AND(H205&lt;&gt;"",K205&lt;&gt;"",G205&lt;&gt;""),4,IF(AND(H205&lt;&gt;"",K205&lt;&gt;""),3,IF(H205&lt;&gt;"",2,1))))</x:f>
        <x:v>T4</x:v>
      </x:c>
      <x:c r="T205" s="24" t="str">
        <x:v>VRM Games</x:v>
      </x:c>
      <x:c r="U205" s="24" t="str"/>
    </x:row>
    <x:row r="206" ht="34" customHeight="1">
      <x:c r="A206" s="24" t="str">
        <x:v>TRC-0202</x:v>
      </x:c>
      <x:c r="B206" s="24" t="str">
        <x:v>PFB-008</x:v>
      </x:c>
      <x:c r="C206" s="24" t="str">
        <x:v>Prefab</x:v>
      </x:c>
      <x:c r="D206" s="24" t="str">
        <x:v>Floor200.prefab</x:v>
      </x:c>
      <x:c r="E206" s="24" t="str">
        <x:v>REPRESENTATIVE / CURRENT</x:v>
      </x:c>
      <x:c r="F206" s="24" t="str">
        <x:v>Prefab available</x:v>
      </x:c>
      <x:c r="G206" s="24" t="str">
        <x:v>Pending/partial</x:v>
      </x:c>
      <x:c r="H206" s="24" t="str">
        <x:v>Assets/_Project/Prefabs/Architecture/Floor200.prefab</x:v>
      </x:c>
      <x:c r="I206" s="24" t="str">
        <x:v>07c25de10de27694080275bb6f53c0c5</x:v>
      </x:c>
      <x:c r="J206" s="24" t="str"/>
      <x:c r="K206" s="24" t="str">
        <x:v>VS-ART-001;VS-SCN-002</x:v>
      </x:c>
      <x:c r="L206" s="24" t="n">
        <x:v>16</x:v>
      </x:c>
      <x:c r="M206" s="24" t="str">
        <x:v>H6</x:v>
      </x:c>
      <x:c r="N206" s="24" t="str"/>
      <x:c r="O206" s="24" t="str">
        <x:v>BLD-016-POST</x:v>
      </x:c>
      <x:c r="P206" s="24" t="str">
        <x:v>Internal/Approved</x:v>
      </x:c>
      <x:c r="Q206" s="24" t="str">
        <x:v>Authored-scene validation pending</x:v>
      </x:c>
      <x:c r="R206" s="24" t="str">
        <x:v>14_Prefabs</x:v>
      </x:c>
      <x:c r="S206" s="24" t="str">
        <x:f>"T"&amp;IF(AND(H206&lt;&gt;"",I206&lt;&gt;"",K206&lt;&gt;"",N206&lt;&gt;"",P206&lt;&gt;""),5,IF(AND(H206&lt;&gt;"",K206&lt;&gt;"",G206&lt;&gt;""),4,IF(AND(H206&lt;&gt;"",K206&lt;&gt;""),3,IF(H206&lt;&gt;"",2,1))))</x:f>
        <x:v>T4</x:v>
      </x:c>
      <x:c r="T206" s="24" t="str">
        <x:v>VRM Games</x:v>
      </x:c>
      <x:c r="U206" s="24" t="str"/>
    </x:row>
    <x:row r="207" ht="34" customHeight="1">
      <x:c r="A207" s="24" t="str">
        <x:v>TRC-0203</x:v>
      </x:c>
      <x:c r="B207" s="24" t="str">
        <x:v>PFB-009</x:v>
      </x:c>
      <x:c r="C207" s="24" t="str">
        <x:v>Prefab</x:v>
      </x:c>
      <x:c r="D207" s="24" t="str">
        <x:v>FloorEdge100.prefab</x:v>
      </x:c>
      <x:c r="E207" s="24" t="str">
        <x:v>REPRESENTATIVE / CURRENT</x:v>
      </x:c>
      <x:c r="F207" s="24" t="str">
        <x:v>Prefab available</x:v>
      </x:c>
      <x:c r="G207" s="24" t="str">
        <x:v>Pending/partial</x:v>
      </x:c>
      <x:c r="H207" s="24" t="str">
        <x:v>Assets/_Project/Prefabs/Architecture/FloorEdge100.prefab</x:v>
      </x:c>
      <x:c r="I207" s="24" t="str">
        <x:v>a1632d5e73519f4448f13ec11c146a6e</x:v>
      </x:c>
      <x:c r="J207" s="24" t="str"/>
      <x:c r="K207" s="24" t="str">
        <x:v>VS-ART-001;VS-SCN-002</x:v>
      </x:c>
      <x:c r="L207" s="24" t="n">
        <x:v>16</x:v>
      </x:c>
      <x:c r="M207" s="24" t="str">
        <x:v>H6</x:v>
      </x:c>
      <x:c r="N207" s="24" t="str"/>
      <x:c r="O207" s="24" t="str">
        <x:v>BLD-016-POST</x:v>
      </x:c>
      <x:c r="P207" s="24" t="str">
        <x:v>Internal/Approved</x:v>
      </x:c>
      <x:c r="Q207" s="24" t="str">
        <x:v>Authored-scene validation pending</x:v>
      </x:c>
      <x:c r="R207" s="24" t="str">
        <x:v>14_Prefabs</x:v>
      </x:c>
      <x:c r="S207" s="24" t="str">
        <x:f>"T"&amp;IF(AND(H207&lt;&gt;"",I207&lt;&gt;"",K207&lt;&gt;"",N207&lt;&gt;"",P207&lt;&gt;""),5,IF(AND(H207&lt;&gt;"",K207&lt;&gt;"",G207&lt;&gt;""),4,IF(AND(H207&lt;&gt;"",K207&lt;&gt;""),3,IF(H207&lt;&gt;"",2,1))))</x:f>
        <x:v>T4</x:v>
      </x:c>
      <x:c r="T207" s="24" t="str">
        <x:v>VRM Games</x:v>
      </x:c>
      <x:c r="U207" s="24" t="str"/>
    </x:row>
    <x:row r="208" ht="34" customHeight="1">
      <x:c r="A208" s="24" t="str">
        <x:v>TRC-0204</x:v>
      </x:c>
      <x:c r="B208" s="24" t="str">
        <x:v>PFB-010</x:v>
      </x:c>
      <x:c r="C208" s="24" t="str">
        <x:v>Prefab</x:v>
      </x:c>
      <x:c r="D208" s="24" t="str">
        <x:v>FloorTransition100.prefab</x:v>
      </x:c>
      <x:c r="E208" s="24" t="str">
        <x:v>REPRESENTATIVE / CURRENT</x:v>
      </x:c>
      <x:c r="F208" s="24" t="str">
        <x:v>Prefab available</x:v>
      </x:c>
      <x:c r="G208" s="24" t="str">
        <x:v>Pending/partial</x:v>
      </x:c>
      <x:c r="H208" s="24" t="str">
        <x:v>Assets/_Project/Prefabs/Architecture/FloorTransition100.prefab</x:v>
      </x:c>
      <x:c r="I208" s="24" t="str">
        <x:v>e41ce63b6c5c01e4b9673778fd7f2336</x:v>
      </x:c>
      <x:c r="J208" s="24" t="str"/>
      <x:c r="K208" s="24" t="str">
        <x:v>VS-ART-001;VS-SCN-002</x:v>
      </x:c>
      <x:c r="L208" s="24" t="n">
        <x:v>16</x:v>
      </x:c>
      <x:c r="M208" s="24" t="str">
        <x:v>H6</x:v>
      </x:c>
      <x:c r="N208" s="24" t="str"/>
      <x:c r="O208" s="24" t="str">
        <x:v>BLD-016-POST</x:v>
      </x:c>
      <x:c r="P208" s="24" t="str">
        <x:v>Internal/Approved</x:v>
      </x:c>
      <x:c r="Q208" s="24" t="str">
        <x:v>Authored-scene validation pending</x:v>
      </x:c>
      <x:c r="R208" s="24" t="str">
        <x:v>14_Prefabs</x:v>
      </x:c>
      <x:c r="S208" s="24" t="str">
        <x:f>"T"&amp;IF(AND(H208&lt;&gt;"",I208&lt;&gt;"",K208&lt;&gt;"",N208&lt;&gt;"",P208&lt;&gt;""),5,IF(AND(H208&lt;&gt;"",K208&lt;&gt;"",G208&lt;&gt;""),4,IF(AND(H208&lt;&gt;"",K208&lt;&gt;""),3,IF(H208&lt;&gt;"",2,1))))</x:f>
        <x:v>T4</x:v>
      </x:c>
      <x:c r="T208" s="24" t="str">
        <x:v>VRM Games</x:v>
      </x:c>
      <x:c r="U208" s="24" t="str"/>
    </x:row>
    <x:row r="209" ht="34" customHeight="1">
      <x:c r="A209" s="24" t="str">
        <x:v>TRC-0205</x:v>
      </x:c>
      <x:c r="B209" s="24" t="str">
        <x:v>PFB-011</x:v>
      </x:c>
      <x:c r="C209" s="24" t="str">
        <x:v>Prefab</x:v>
      </x:c>
      <x:c r="D209" s="24" t="str">
        <x:v>LightRail100.prefab</x:v>
      </x:c>
      <x:c r="E209" s="24" t="str">
        <x:v>REPRESENTATIVE / CURRENT</x:v>
      </x:c>
      <x:c r="F209" s="24" t="str">
        <x:v>Prefab available</x:v>
      </x:c>
      <x:c r="G209" s="24" t="str">
        <x:v>Pending/partial</x:v>
      </x:c>
      <x:c r="H209" s="24" t="str">
        <x:v>Assets/_Project/Prefabs/Architecture/LightRail100.prefab</x:v>
      </x:c>
      <x:c r="I209" s="24" t="str">
        <x:v>071a65526166691439a82555489f480b</x:v>
      </x:c>
      <x:c r="J209" s="24" t="str"/>
      <x:c r="K209" s="24" t="str">
        <x:v>VS-ART-001;VS-SCN-002</x:v>
      </x:c>
      <x:c r="L209" s="24" t="n">
        <x:v>16</x:v>
      </x:c>
      <x:c r="M209" s="24" t="str">
        <x:v>H6</x:v>
      </x:c>
      <x:c r="N209" s="24" t="str"/>
      <x:c r="O209" s="24" t="str">
        <x:v>BLD-016-POST</x:v>
      </x:c>
      <x:c r="P209" s="24" t="str">
        <x:v>Internal/Approved</x:v>
      </x:c>
      <x:c r="Q209" s="24" t="str">
        <x:v>Authored-scene validation pending</x:v>
      </x:c>
      <x:c r="R209" s="24" t="str">
        <x:v>14_Prefabs</x:v>
      </x:c>
      <x:c r="S209" s="24" t="str">
        <x:f>"T"&amp;IF(AND(H209&lt;&gt;"",I209&lt;&gt;"",K209&lt;&gt;"",N209&lt;&gt;"",P209&lt;&gt;""),5,IF(AND(H209&lt;&gt;"",K209&lt;&gt;"",G209&lt;&gt;""),4,IF(AND(H209&lt;&gt;"",K209&lt;&gt;""),3,IF(H209&lt;&gt;"",2,1))))</x:f>
        <x:v>T4</x:v>
      </x:c>
      <x:c r="T209" s="24" t="str">
        <x:v>VRM Games</x:v>
      </x:c>
      <x:c r="U209" s="24" t="str"/>
    </x:row>
    <x:row r="210" ht="34" customHeight="1">
      <x:c r="A210" s="24" t="str">
        <x:v>TRC-0206</x:v>
      </x:c>
      <x:c r="B210" s="24" t="str">
        <x:v>PFB-012</x:v>
      </x:c>
      <x:c r="C210" s="24" t="str">
        <x:v>Prefab</x:v>
      </x:c>
      <x:c r="D210" s="24" t="str">
        <x:v>LightRail200.prefab</x:v>
      </x:c>
      <x:c r="E210" s="24" t="str">
        <x:v>REPRESENTATIVE / CURRENT</x:v>
      </x:c>
      <x:c r="F210" s="24" t="str">
        <x:v>Prefab available</x:v>
      </x:c>
      <x:c r="G210" s="24" t="str">
        <x:v>Pending/partial</x:v>
      </x:c>
      <x:c r="H210" s="24" t="str">
        <x:v>Assets/_Project/Prefabs/Architecture/LightRail200.prefab</x:v>
      </x:c>
      <x:c r="I210" s="24" t="str">
        <x:v>7166ef018508128479d9430b93d9f5fb</x:v>
      </x:c>
      <x:c r="J210" s="24" t="str"/>
      <x:c r="K210" s="24" t="str">
        <x:v>VS-ART-001;VS-SCN-002</x:v>
      </x:c>
      <x:c r="L210" s="24" t="n">
        <x:v>16</x:v>
      </x:c>
      <x:c r="M210" s="24" t="str">
        <x:v>H6</x:v>
      </x:c>
      <x:c r="N210" s="24" t="str"/>
      <x:c r="O210" s="24" t="str">
        <x:v>BLD-016-POST</x:v>
      </x:c>
      <x:c r="P210" s="24" t="str">
        <x:v>Internal/Approved</x:v>
      </x:c>
      <x:c r="Q210" s="24" t="str">
        <x:v>Authored-scene validation pending</x:v>
      </x:c>
      <x:c r="R210" s="24" t="str">
        <x:v>14_Prefabs</x:v>
      </x:c>
      <x:c r="S210" s="24" t="str">
        <x:f>"T"&amp;IF(AND(H210&lt;&gt;"",I210&lt;&gt;"",K210&lt;&gt;"",N210&lt;&gt;"",P210&lt;&gt;""),5,IF(AND(H210&lt;&gt;"",K210&lt;&gt;"",G210&lt;&gt;""),4,IF(AND(H210&lt;&gt;"",K210&lt;&gt;""),3,IF(H210&lt;&gt;"",2,1))))</x:f>
        <x:v>T4</x:v>
      </x:c>
      <x:c r="T210" s="24" t="str">
        <x:v>VRM Games</x:v>
      </x:c>
      <x:c r="U210" s="24" t="str"/>
    </x:row>
    <x:row r="211" ht="34" customHeight="1">
      <x:c r="A211" s="24" t="str">
        <x:v>TRC-0207</x:v>
      </x:c>
      <x:c r="B211" s="24" t="str">
        <x:v>PFB-013</x:v>
      </x:c>
      <x:c r="C211" s="24" t="str">
        <x:v>Prefab</x:v>
      </x:c>
      <x:c r="D211" s="24" t="str">
        <x:v>LinearPanel.prefab</x:v>
      </x:c>
      <x:c r="E211" s="24" t="str">
        <x:v>REPRESENTATIVE / CURRENT</x:v>
      </x:c>
      <x:c r="F211" s="24" t="str">
        <x:v>Prefab available</x:v>
      </x:c>
      <x:c r="G211" s="24" t="str">
        <x:v>Pending/partial</x:v>
      </x:c>
      <x:c r="H211" s="24" t="str">
        <x:v>Assets/_Project/Prefabs/Architecture/LinearPanel.prefab</x:v>
      </x:c>
      <x:c r="I211" s="24" t="str">
        <x:v>aa18e2f0d783d234c9e36dc461a8d40b</x:v>
      </x:c>
      <x:c r="J211" s="24" t="str"/>
      <x:c r="K211" s="24" t="str">
        <x:v>VS-ART-001;VS-SCN-002</x:v>
      </x:c>
      <x:c r="L211" s="24" t="n">
        <x:v>16</x:v>
      </x:c>
      <x:c r="M211" s="24" t="str">
        <x:v>H6</x:v>
      </x:c>
      <x:c r="N211" s="24" t="str"/>
      <x:c r="O211" s="24" t="str">
        <x:v>BLD-016-POST</x:v>
      </x:c>
      <x:c r="P211" s="24" t="str">
        <x:v>Internal/Approved</x:v>
      </x:c>
      <x:c r="Q211" s="24" t="str">
        <x:v>Authored-scene validation pending</x:v>
      </x:c>
      <x:c r="R211" s="24" t="str">
        <x:v>14_Prefabs</x:v>
      </x:c>
      <x:c r="S211" s="24" t="str">
        <x:f>"T"&amp;IF(AND(H211&lt;&gt;"",I211&lt;&gt;"",K211&lt;&gt;"",N211&lt;&gt;"",P211&lt;&gt;""),5,IF(AND(H211&lt;&gt;"",K211&lt;&gt;"",G211&lt;&gt;""),4,IF(AND(H211&lt;&gt;"",K211&lt;&gt;""),3,IF(H211&lt;&gt;"",2,1))))</x:f>
        <x:v>T4</x:v>
      </x:c>
      <x:c r="T211" s="24" t="str">
        <x:v>VRM Games</x:v>
      </x:c>
      <x:c r="U211" s="24" t="str"/>
    </x:row>
    <x:row r="212" ht="34" customHeight="1">
      <x:c r="A212" s="24" t="str">
        <x:v>TRC-0208</x:v>
      </x:c>
      <x:c r="B212" s="24" t="str">
        <x:v>PFB-014</x:v>
      </x:c>
      <x:c r="C212" s="24" t="str">
        <x:v>Prefab</x:v>
      </x:c>
      <x:c r="D212" s="24" t="str">
        <x:v>SpotLight.prefab</x:v>
      </x:c>
      <x:c r="E212" s="24" t="str">
        <x:v>REPRESENTATIVE / CURRENT</x:v>
      </x:c>
      <x:c r="F212" s="24" t="str">
        <x:v>Prefab available</x:v>
      </x:c>
      <x:c r="G212" s="24" t="str">
        <x:v>Pending/partial</x:v>
      </x:c>
      <x:c r="H212" s="24" t="str">
        <x:v>Assets/_Project/Prefabs/Architecture/SpotLight.prefab</x:v>
      </x:c>
      <x:c r="I212" s="24" t="str">
        <x:v>caf5768b2fea32a43917881247aac1bb</x:v>
      </x:c>
      <x:c r="J212" s="24" t="str"/>
      <x:c r="K212" s="24" t="str">
        <x:v>VS-ART-001;VS-SCN-002</x:v>
      </x:c>
      <x:c r="L212" s="24" t="n">
        <x:v>16</x:v>
      </x:c>
      <x:c r="M212" s="24" t="str">
        <x:v>H6</x:v>
      </x:c>
      <x:c r="N212" s="24" t="str"/>
      <x:c r="O212" s="24" t="str">
        <x:v>BLD-016-POST</x:v>
      </x:c>
      <x:c r="P212" s="24" t="str">
        <x:v>Internal/Approved</x:v>
      </x:c>
      <x:c r="Q212" s="24" t="str">
        <x:v>Authored-scene validation pending</x:v>
      </x:c>
      <x:c r="R212" s="24" t="str">
        <x:v>14_Prefabs</x:v>
      </x:c>
      <x:c r="S212" s="24" t="str">
        <x:f>"T"&amp;IF(AND(H212&lt;&gt;"",I212&lt;&gt;"",K212&lt;&gt;"",N212&lt;&gt;"",P212&lt;&gt;""),5,IF(AND(H212&lt;&gt;"",K212&lt;&gt;"",G212&lt;&gt;""),4,IF(AND(H212&lt;&gt;"",K212&lt;&gt;""),3,IF(H212&lt;&gt;"",2,1))))</x:f>
        <x:v>T4</x:v>
      </x:c>
      <x:c r="T212" s="24" t="str">
        <x:v>VRM Games</x:v>
      </x:c>
      <x:c r="U212" s="24" t="str"/>
    </x:row>
    <x:row r="213" ht="34" customHeight="1">
      <x:c r="A213" s="24" t="str">
        <x:v>TRC-0209</x:v>
      </x:c>
      <x:c r="B213" s="24" t="str">
        <x:v>PFB-015</x:v>
      </x:c>
      <x:c r="C213" s="24" t="str">
        <x:v>Prefab</x:v>
      </x:c>
      <x:c r="D213" s="24" t="str">
        <x:v>StoreGlassLeft.prefab</x:v>
      </x:c>
      <x:c r="E213" s="24" t="str">
        <x:v>REPRESENTATIVE / CURRENT</x:v>
      </x:c>
      <x:c r="F213" s="24" t="str">
        <x:v>Prefab available</x:v>
      </x:c>
      <x:c r="G213" s="24" t="str">
        <x:v>Pending/partial</x:v>
      </x:c>
      <x:c r="H213" s="24" t="str">
        <x:v>Assets/_Project/Prefabs/Architecture/StoreGlassLeft.prefab</x:v>
      </x:c>
      <x:c r="I213" s="24" t="str">
        <x:v>337b1f690a30fa94c8695ded302f762c</x:v>
      </x:c>
      <x:c r="J213" s="24" t="str"/>
      <x:c r="K213" s="24" t="str">
        <x:v>VS-ART-001;VS-SCN-002</x:v>
      </x:c>
      <x:c r="L213" s="24" t="n">
        <x:v>16</x:v>
      </x:c>
      <x:c r="M213" s="24" t="str">
        <x:v>H6</x:v>
      </x:c>
      <x:c r="N213" s="24" t="str"/>
      <x:c r="O213" s="24" t="str">
        <x:v>BLD-016-POST</x:v>
      </x:c>
      <x:c r="P213" s="24" t="str">
        <x:v>Internal/Approved</x:v>
      </x:c>
      <x:c r="Q213" s="24" t="str">
        <x:v>Authored-scene validation pending</x:v>
      </x:c>
      <x:c r="R213" s="24" t="str">
        <x:v>14_Prefabs</x:v>
      </x:c>
      <x:c r="S213" s="24" t="str">
        <x:f>"T"&amp;IF(AND(H213&lt;&gt;"",I213&lt;&gt;"",K213&lt;&gt;"",N213&lt;&gt;"",P213&lt;&gt;""),5,IF(AND(H213&lt;&gt;"",K213&lt;&gt;"",G213&lt;&gt;""),4,IF(AND(H213&lt;&gt;"",K213&lt;&gt;""),3,IF(H213&lt;&gt;"",2,1))))</x:f>
        <x:v>T4</x:v>
      </x:c>
      <x:c r="T213" s="24" t="str">
        <x:v>VRM Games</x:v>
      </x:c>
      <x:c r="U213" s="24" t="str"/>
    </x:row>
    <x:row r="214" ht="34" customHeight="1">
      <x:c r="A214" s="24" t="str">
        <x:v>TRC-0210</x:v>
      </x:c>
      <x:c r="B214" s="24" t="str">
        <x:v>PFB-016</x:v>
      </x:c>
      <x:c r="C214" s="24" t="str">
        <x:v>Prefab</x:v>
      </x:c>
      <x:c r="D214" s="24" t="str">
        <x:v>StoreGlassRight.prefab</x:v>
      </x:c>
      <x:c r="E214" s="24" t="str">
        <x:v>REPRESENTATIVE / CURRENT</x:v>
      </x:c>
      <x:c r="F214" s="24" t="str">
        <x:v>Prefab available</x:v>
      </x:c>
      <x:c r="G214" s="24" t="str">
        <x:v>Pending/partial</x:v>
      </x:c>
      <x:c r="H214" s="24" t="str">
        <x:v>Assets/_Project/Prefabs/Architecture/StoreGlassRight.prefab</x:v>
      </x:c>
      <x:c r="I214" s="24" t="str">
        <x:v>7ff16f46388b8294db98ef11934e85df</x:v>
      </x:c>
      <x:c r="J214" s="24" t="str"/>
      <x:c r="K214" s="24" t="str">
        <x:v>VS-ART-001;VS-SCN-002</x:v>
      </x:c>
      <x:c r="L214" s="24" t="n">
        <x:v>16</x:v>
      </x:c>
      <x:c r="M214" s="24" t="str">
        <x:v>H6</x:v>
      </x:c>
      <x:c r="N214" s="24" t="str"/>
      <x:c r="O214" s="24" t="str">
        <x:v>BLD-016-POST</x:v>
      </x:c>
      <x:c r="P214" s="24" t="str">
        <x:v>Internal/Approved</x:v>
      </x:c>
      <x:c r="Q214" s="24" t="str">
        <x:v>Authored-scene validation pending</x:v>
      </x:c>
      <x:c r="R214" s="24" t="str">
        <x:v>14_Prefabs</x:v>
      </x:c>
      <x:c r="S214" s="24" t="str">
        <x:f>"T"&amp;IF(AND(H214&lt;&gt;"",I214&lt;&gt;"",K214&lt;&gt;"",N214&lt;&gt;"",P214&lt;&gt;""),5,IF(AND(H214&lt;&gt;"",K214&lt;&gt;"",G214&lt;&gt;""),4,IF(AND(H214&lt;&gt;"",K214&lt;&gt;""),3,IF(H214&lt;&gt;"",2,1))))</x:f>
        <x:v>T4</x:v>
      </x:c>
      <x:c r="T214" s="24" t="str">
        <x:v>VRM Games</x:v>
      </x:c>
      <x:c r="U214" s="24" t="str"/>
    </x:row>
    <x:row r="215" ht="34" customHeight="1">
      <x:c r="A215" s="24" t="str">
        <x:v>TRC-0211</x:v>
      </x:c>
      <x:c r="B215" s="24" t="str">
        <x:v>PFB-017</x:v>
      </x:c>
      <x:c r="C215" s="24" t="str">
        <x:v>Prefab</x:v>
      </x:c>
      <x:c r="D215" s="24" t="str">
        <x:v>StoreSign.prefab</x:v>
      </x:c>
      <x:c r="E215" s="24" t="str">
        <x:v>REPRESENTATIVE / CURRENT</x:v>
      </x:c>
      <x:c r="F215" s="24" t="str">
        <x:v>Prefab available</x:v>
      </x:c>
      <x:c r="G215" s="24" t="str">
        <x:v>Pending/partial</x:v>
      </x:c>
      <x:c r="H215" s="24" t="str">
        <x:v>Assets/_Project/Prefabs/Architecture/StoreSign.prefab</x:v>
      </x:c>
      <x:c r="I215" s="24" t="str">
        <x:v>42a748f39d94c6944a776252ad5609d9</x:v>
      </x:c>
      <x:c r="J215" s="24" t="str"/>
      <x:c r="K215" s="24" t="str">
        <x:v>VS-ART-001;VS-SCN-002</x:v>
      </x:c>
      <x:c r="L215" s="24" t="n">
        <x:v>16</x:v>
      </x:c>
      <x:c r="M215" s="24" t="str">
        <x:v>H6</x:v>
      </x:c>
      <x:c r="N215" s="24" t="str"/>
      <x:c r="O215" s="24" t="str">
        <x:v>BLD-016-POST</x:v>
      </x:c>
      <x:c r="P215" s="24" t="str">
        <x:v>Internal/Approved</x:v>
      </x:c>
      <x:c r="Q215" s="24" t="str">
        <x:v>Authored-scene validation pending</x:v>
      </x:c>
      <x:c r="R215" s="24" t="str">
        <x:v>14_Prefabs</x:v>
      </x:c>
      <x:c r="S215" s="24" t="str">
        <x:f>"T"&amp;IF(AND(H215&lt;&gt;"",I215&lt;&gt;"",K215&lt;&gt;"",N215&lt;&gt;"",P215&lt;&gt;""),5,IF(AND(H215&lt;&gt;"",K215&lt;&gt;"",G215&lt;&gt;""),4,IF(AND(H215&lt;&gt;"",K215&lt;&gt;""),3,IF(H215&lt;&gt;"",2,1))))</x:f>
        <x:v>T4</x:v>
      </x:c>
      <x:c r="T215" s="24" t="str">
        <x:v>VRM Games</x:v>
      </x:c>
      <x:c r="U215" s="24" t="str"/>
    </x:row>
    <x:row r="216" ht="34" customHeight="1">
      <x:c r="A216" s="24" t="str">
        <x:v>TRC-0212</x:v>
      </x:c>
      <x:c r="B216" s="24" t="str">
        <x:v>PFB-018</x:v>
      </x:c>
      <x:c r="C216" s="24" t="str">
        <x:v>Prefab</x:v>
      </x:c>
      <x:c r="D216" s="24" t="str">
        <x:v>StorefrontFacade.prefab</x:v>
      </x:c>
      <x:c r="E216" s="24" t="str">
        <x:v>REPRESENTATIVE / CURRENT</x:v>
      </x:c>
      <x:c r="F216" s="24" t="str">
        <x:v>Prefab available</x:v>
      </x:c>
      <x:c r="G216" s="24" t="str">
        <x:v>Pending/partial</x:v>
      </x:c>
      <x:c r="H216" s="24" t="str">
        <x:v>Assets/_Project/Prefabs/Architecture/StorefrontFacade.prefab</x:v>
      </x:c>
      <x:c r="I216" s="24" t="str">
        <x:v>73650c15b9c87b74aadb4120a3ea7cb1</x:v>
      </x:c>
      <x:c r="J216" s="24" t="str"/>
      <x:c r="K216" s="24" t="str">
        <x:v>VS-ART-001;VS-SCN-002</x:v>
      </x:c>
      <x:c r="L216" s="24" t="n">
        <x:v>16</x:v>
      </x:c>
      <x:c r="M216" s="24" t="str">
        <x:v>H6</x:v>
      </x:c>
      <x:c r="N216" s="24" t="str"/>
      <x:c r="O216" s="24" t="str">
        <x:v>BLD-016-POST</x:v>
      </x:c>
      <x:c r="P216" s="24" t="str">
        <x:v>Internal/Approved</x:v>
      </x:c>
      <x:c r="Q216" s="24" t="str">
        <x:v>Authored-scene validation pending</x:v>
      </x:c>
      <x:c r="R216" s="24" t="str">
        <x:v>14_Prefabs</x:v>
      </x:c>
      <x:c r="S216" s="24" t="str">
        <x:f>"T"&amp;IF(AND(H216&lt;&gt;"",I216&lt;&gt;"",K216&lt;&gt;"",N216&lt;&gt;"",P216&lt;&gt;""),5,IF(AND(H216&lt;&gt;"",K216&lt;&gt;"",G216&lt;&gt;""),4,IF(AND(H216&lt;&gt;"",K216&lt;&gt;""),3,IF(H216&lt;&gt;"",2,1))))</x:f>
        <x:v>T4</x:v>
      </x:c>
      <x:c r="T216" s="24" t="str">
        <x:v>VRM Games</x:v>
      </x:c>
      <x:c r="U216" s="24" t="str"/>
    </x:row>
    <x:row r="217" ht="34" customHeight="1">
      <x:c r="A217" s="24" t="str">
        <x:v>TRC-0213</x:v>
      </x:c>
      <x:c r="B217" s="24" t="str">
        <x:v>PFB-019</x:v>
      </x:c>
      <x:c r="C217" s="24" t="str">
        <x:v>Prefab</x:v>
      </x:c>
      <x:c r="D217" s="24" t="str">
        <x:v>Wall100.prefab</x:v>
      </x:c>
      <x:c r="E217" s="24" t="str">
        <x:v>REPRESENTATIVE / CURRENT</x:v>
      </x:c>
      <x:c r="F217" s="24" t="str">
        <x:v>Prefab available</x:v>
      </x:c>
      <x:c r="G217" s="24" t="str">
        <x:v>Pending/partial</x:v>
      </x:c>
      <x:c r="H217" s="24" t="str">
        <x:v>Assets/_Project/Prefabs/Architecture/Wall100.prefab</x:v>
      </x:c>
      <x:c r="I217" s="24" t="str">
        <x:v>7b005cd40ae5fc64fbaed6ea5b1c53c6</x:v>
      </x:c>
      <x:c r="J217" s="24" t="str"/>
      <x:c r="K217" s="24" t="str">
        <x:v>VS-ART-001;VS-SCN-002</x:v>
      </x:c>
      <x:c r="L217" s="24" t="n">
        <x:v>16</x:v>
      </x:c>
      <x:c r="M217" s="24" t="str">
        <x:v>H6</x:v>
      </x:c>
      <x:c r="N217" s="24" t="str"/>
      <x:c r="O217" s="24" t="str">
        <x:v>BLD-016-POST</x:v>
      </x:c>
      <x:c r="P217" s="24" t="str">
        <x:v>Internal/Approved</x:v>
      </x:c>
      <x:c r="Q217" s="24" t="str">
        <x:v>Authored-scene validation pending</x:v>
      </x:c>
      <x:c r="R217" s="24" t="str">
        <x:v>14_Prefabs</x:v>
      </x:c>
      <x:c r="S217" s="24" t="str">
        <x:f>"T"&amp;IF(AND(H217&lt;&gt;"",I217&lt;&gt;"",K217&lt;&gt;"",N217&lt;&gt;"",P217&lt;&gt;""),5,IF(AND(H217&lt;&gt;"",K217&lt;&gt;"",G217&lt;&gt;""),4,IF(AND(H217&lt;&gt;"",K217&lt;&gt;""),3,IF(H217&lt;&gt;"",2,1))))</x:f>
        <x:v>T4</x:v>
      </x:c>
      <x:c r="T217" s="24" t="str">
        <x:v>VRM Games</x:v>
      </x:c>
      <x:c r="U217" s="24" t="str"/>
    </x:row>
    <x:row r="218" ht="34" customHeight="1">
      <x:c r="A218" s="24" t="str">
        <x:v>TRC-0214</x:v>
      </x:c>
      <x:c r="B218" s="24" t="str">
        <x:v>PFB-020</x:v>
      </x:c>
      <x:c r="C218" s="24" t="str">
        <x:v>Prefab</x:v>
      </x:c>
      <x:c r="D218" s="24" t="str">
        <x:v>Wall200.prefab</x:v>
      </x:c>
      <x:c r="E218" s="24" t="str">
        <x:v>REPRESENTATIVE / CURRENT</x:v>
      </x:c>
      <x:c r="F218" s="24" t="str">
        <x:v>Prefab available</x:v>
      </x:c>
      <x:c r="G218" s="24" t="str">
        <x:v>Pending/partial</x:v>
      </x:c>
      <x:c r="H218" s="24" t="str">
        <x:v>Assets/_Project/Prefabs/Architecture/Wall200.prefab</x:v>
      </x:c>
      <x:c r="I218" s="24" t="str">
        <x:v>219f7c28a70241e45939b64cb1acf65e</x:v>
      </x:c>
      <x:c r="J218" s="24" t="str"/>
      <x:c r="K218" s="24" t="str">
        <x:v>VS-ART-001;VS-SCN-002</x:v>
      </x:c>
      <x:c r="L218" s="24" t="n">
        <x:v>16</x:v>
      </x:c>
      <x:c r="M218" s="24" t="str">
        <x:v>H6</x:v>
      </x:c>
      <x:c r="N218" s="24" t="str"/>
      <x:c r="O218" s="24" t="str">
        <x:v>BLD-016-POST</x:v>
      </x:c>
      <x:c r="P218" s="24" t="str">
        <x:v>Internal/Approved</x:v>
      </x:c>
      <x:c r="Q218" s="24" t="str">
        <x:v>Authored-scene validation pending</x:v>
      </x:c>
      <x:c r="R218" s="24" t="str">
        <x:v>14_Prefabs</x:v>
      </x:c>
      <x:c r="S218" s="24" t="str">
        <x:f>"T"&amp;IF(AND(H218&lt;&gt;"",I218&lt;&gt;"",K218&lt;&gt;"",N218&lt;&gt;"",P218&lt;&gt;""),5,IF(AND(H218&lt;&gt;"",K218&lt;&gt;"",G218&lt;&gt;""),4,IF(AND(H218&lt;&gt;"",K218&lt;&gt;""),3,IF(H218&lt;&gt;"",2,1))))</x:f>
        <x:v>T4</x:v>
      </x:c>
      <x:c r="T218" s="24" t="str">
        <x:v>VRM Games</x:v>
      </x:c>
      <x:c r="U218" s="24" t="str"/>
    </x:row>
    <x:row r="219" ht="34" customHeight="1">
      <x:c r="A219" s="24" t="str">
        <x:v>TRC-0215</x:v>
      </x:c>
      <x:c r="B219" s="24" t="str">
        <x:v>PFB-021</x:v>
      </x:c>
      <x:c r="C219" s="24" t="str">
        <x:v>Prefab</x:v>
      </x:c>
      <x:c r="D219" s="24" t="str">
        <x:v>Wall400.prefab</x:v>
      </x:c>
      <x:c r="E219" s="24" t="str">
        <x:v>REPRESENTATIVE / CURRENT</x:v>
      </x:c>
      <x:c r="F219" s="24" t="str">
        <x:v>Prefab available</x:v>
      </x:c>
      <x:c r="G219" s="24" t="str">
        <x:v>Pending/partial</x:v>
      </x:c>
      <x:c r="H219" s="24" t="str">
        <x:v>Assets/_Project/Prefabs/Architecture/Wall400.prefab</x:v>
      </x:c>
      <x:c r="I219" s="24" t="str">
        <x:v>663f1a1d303a53e4eb6308dfc89a0bbf</x:v>
      </x:c>
      <x:c r="J219" s="24" t="str"/>
      <x:c r="K219" s="24" t="str">
        <x:v>VS-ART-001;VS-SCN-002</x:v>
      </x:c>
      <x:c r="L219" s="24" t="n">
        <x:v>16</x:v>
      </x:c>
      <x:c r="M219" s="24" t="str">
        <x:v>H6</x:v>
      </x:c>
      <x:c r="N219" s="24" t="str"/>
      <x:c r="O219" s="24" t="str">
        <x:v>BLD-016-POST</x:v>
      </x:c>
      <x:c r="P219" s="24" t="str">
        <x:v>Internal/Approved</x:v>
      </x:c>
      <x:c r="Q219" s="24" t="str">
        <x:v>Authored-scene validation pending</x:v>
      </x:c>
      <x:c r="R219" s="24" t="str">
        <x:v>14_Prefabs</x:v>
      </x:c>
      <x:c r="S219" s="24" t="str">
        <x:f>"T"&amp;IF(AND(H219&lt;&gt;"",I219&lt;&gt;"",K219&lt;&gt;"",N219&lt;&gt;"",P219&lt;&gt;""),5,IF(AND(H219&lt;&gt;"",K219&lt;&gt;"",G219&lt;&gt;""),4,IF(AND(H219&lt;&gt;"",K219&lt;&gt;""),3,IF(H219&lt;&gt;"",2,1))))</x:f>
        <x:v>T4</x:v>
      </x:c>
      <x:c r="T219" s="24" t="str">
        <x:v>VRM Games</x:v>
      </x:c>
      <x:c r="U219" s="24" t="str"/>
    </x:row>
    <x:row r="220" ht="34" customHeight="1">
      <x:c r="A220" s="24" t="str">
        <x:v>TRC-0216</x:v>
      </x:c>
      <x:c r="B220" s="24" t="str">
        <x:v>PFB-022</x:v>
      </x:c>
      <x:c r="C220" s="24" t="str">
        <x:v>Prefab</x:v>
      </x:c>
      <x:c r="D220" s="24" t="str">
        <x:v>ZoneBackroom.prefab</x:v>
      </x:c>
      <x:c r="E220" s="24" t="str">
        <x:v>REPRESENTATIVE / CURRENT</x:v>
      </x:c>
      <x:c r="F220" s="24" t="str">
        <x:v>Prefab available</x:v>
      </x:c>
      <x:c r="G220" s="24" t="str">
        <x:v>Pending/partial</x:v>
      </x:c>
      <x:c r="H220" s="24" t="str">
        <x:v>Assets/_Project/Prefabs/Architecture/ZoneBackroom.prefab</x:v>
      </x:c>
      <x:c r="I220" s="24" t="str">
        <x:v>cdb9e17a4b7c43a4492d0ac23ae81da2</x:v>
      </x:c>
      <x:c r="J220" s="24" t="str"/>
      <x:c r="K220" s="24" t="str">
        <x:v>VS-ART-001;VS-SCN-002</x:v>
      </x:c>
      <x:c r="L220" s="24" t="n">
        <x:v>16</x:v>
      </x:c>
      <x:c r="M220" s="24" t="str">
        <x:v>H6</x:v>
      </x:c>
      <x:c r="N220" s="24" t="str"/>
      <x:c r="O220" s="24" t="str">
        <x:v>BLD-016-POST</x:v>
      </x:c>
      <x:c r="P220" s="24" t="str">
        <x:v>Internal/Approved</x:v>
      </x:c>
      <x:c r="Q220" s="24" t="str">
        <x:v>Authored-scene validation pending</x:v>
      </x:c>
      <x:c r="R220" s="24" t="str">
        <x:v>14_Prefabs</x:v>
      </x:c>
      <x:c r="S220" s="24" t="str">
        <x:f>"T"&amp;IF(AND(H220&lt;&gt;"",I220&lt;&gt;"",K220&lt;&gt;"",N220&lt;&gt;"",P220&lt;&gt;""),5,IF(AND(H220&lt;&gt;"",K220&lt;&gt;"",G220&lt;&gt;""),4,IF(AND(H220&lt;&gt;"",K220&lt;&gt;""),3,IF(H220&lt;&gt;"",2,1))))</x:f>
        <x:v>T4</x:v>
      </x:c>
      <x:c r="T220" s="24" t="str">
        <x:v>VRM Games</x:v>
      </x:c>
      <x:c r="U220" s="24" t="str"/>
    </x:row>
    <x:row r="221" ht="34" customHeight="1">
      <x:c r="A221" s="24" t="str">
        <x:v>TRC-0217</x:v>
      </x:c>
      <x:c r="B221" s="24" t="str">
        <x:v>PFB-023</x:v>
      </x:c>
      <x:c r="C221" s="24" t="str">
        <x:v>Prefab</x:v>
      </x:c>
      <x:c r="D221" s="24" t="str">
        <x:v>ZoneCheckout.prefab</x:v>
      </x:c>
      <x:c r="E221" s="24" t="str">
        <x:v>REPRESENTATIVE / CURRENT</x:v>
      </x:c>
      <x:c r="F221" s="24" t="str">
        <x:v>Prefab available</x:v>
      </x:c>
      <x:c r="G221" s="24" t="str">
        <x:v>Pending/partial</x:v>
      </x:c>
      <x:c r="H221" s="24" t="str">
        <x:v>Assets/_Project/Prefabs/Architecture/ZoneCheckout.prefab</x:v>
      </x:c>
      <x:c r="I221" s="24" t="str">
        <x:v>c974ec151bb118a408c386f9e8bbb4dd</x:v>
      </x:c>
      <x:c r="J221" s="24" t="str"/>
      <x:c r="K221" s="24" t="str">
        <x:v>VS-ART-001;VS-SCN-002</x:v>
      </x:c>
      <x:c r="L221" s="24" t="n">
        <x:v>16</x:v>
      </x:c>
      <x:c r="M221" s="24" t="str">
        <x:v>H6</x:v>
      </x:c>
      <x:c r="N221" s="24" t="str"/>
      <x:c r="O221" s="24" t="str">
        <x:v>BLD-016-POST</x:v>
      </x:c>
      <x:c r="P221" s="24" t="str">
        <x:v>Internal/Approved</x:v>
      </x:c>
      <x:c r="Q221" s="24" t="str">
        <x:v>Authored-scene validation pending</x:v>
      </x:c>
      <x:c r="R221" s="24" t="str">
        <x:v>14_Prefabs</x:v>
      </x:c>
      <x:c r="S221" s="24" t="str">
        <x:f>"T"&amp;IF(AND(H221&lt;&gt;"",I221&lt;&gt;"",K221&lt;&gt;"",N221&lt;&gt;"",P221&lt;&gt;""),5,IF(AND(H221&lt;&gt;"",K221&lt;&gt;"",G221&lt;&gt;""),4,IF(AND(H221&lt;&gt;"",K221&lt;&gt;""),3,IF(H221&lt;&gt;"",2,1))))</x:f>
        <x:v>T4</x:v>
      </x:c>
      <x:c r="T221" s="24" t="str">
        <x:v>VRM Games</x:v>
      </x:c>
      <x:c r="U221" s="24" t="str"/>
    </x:row>
    <x:row r="222" ht="34" customHeight="1">
      <x:c r="A222" s="24" t="str">
        <x:v>TRC-0218</x:v>
      </x:c>
      <x:c r="B222" s="24" t="str">
        <x:v>PFB-024</x:v>
      </x:c>
      <x:c r="C222" s="24" t="str">
        <x:v>Prefab</x:v>
      </x:c>
      <x:c r="D222" s="24" t="str">
        <x:v>ZoneReceiving.prefab</x:v>
      </x:c>
      <x:c r="E222" s="24" t="str">
        <x:v>REPRESENTATIVE / CURRENT</x:v>
      </x:c>
      <x:c r="F222" s="24" t="str">
        <x:v>Prefab available</x:v>
      </x:c>
      <x:c r="G222" s="24" t="str">
        <x:v>Pending/partial</x:v>
      </x:c>
      <x:c r="H222" s="24" t="str">
        <x:v>Assets/_Project/Prefabs/Architecture/ZoneReceiving.prefab</x:v>
      </x:c>
      <x:c r="I222" s="24" t="str">
        <x:v>c6b702ea4697f7244bb3c227e8531b22</x:v>
      </x:c>
      <x:c r="J222" s="24" t="str"/>
      <x:c r="K222" s="24" t="str">
        <x:v>VS-ART-001;VS-SCN-002</x:v>
      </x:c>
      <x:c r="L222" s="24" t="n">
        <x:v>16</x:v>
      </x:c>
      <x:c r="M222" s="24" t="str">
        <x:v>H6</x:v>
      </x:c>
      <x:c r="N222" s="24" t="str"/>
      <x:c r="O222" s="24" t="str">
        <x:v>BLD-016-POST</x:v>
      </x:c>
      <x:c r="P222" s="24" t="str">
        <x:v>Internal/Approved</x:v>
      </x:c>
      <x:c r="Q222" s="24" t="str">
        <x:v>Authored-scene validation pending</x:v>
      </x:c>
      <x:c r="R222" s="24" t="str">
        <x:v>14_Prefabs</x:v>
      </x:c>
      <x:c r="S222" s="24" t="str">
        <x:f>"T"&amp;IF(AND(H222&lt;&gt;"",I222&lt;&gt;"",K222&lt;&gt;"",N222&lt;&gt;"",P222&lt;&gt;""),5,IF(AND(H222&lt;&gt;"",K222&lt;&gt;"",G222&lt;&gt;""),4,IF(AND(H222&lt;&gt;"",K222&lt;&gt;""),3,IF(H222&lt;&gt;"",2,1))))</x:f>
        <x:v>T4</x:v>
      </x:c>
      <x:c r="T222" s="24" t="str">
        <x:v>VRM Games</x:v>
      </x:c>
      <x:c r="U222" s="24" t="str"/>
    </x:row>
    <x:row r="223" ht="34" customHeight="1">
      <x:c r="A223" s="24" t="str">
        <x:v>TRC-0219</x:v>
      </x:c>
      <x:c r="B223" s="24" t="str">
        <x:v>PFB-025</x:v>
      </x:c>
      <x:c r="C223" s="24" t="str">
        <x:v>Prefab</x:v>
      </x:c>
      <x:c r="D223" s="24" t="str">
        <x:v>Customer.prefab</x:v>
      </x:c>
      <x:c r="E223" s="24" t="str">
        <x:v>REPRESENTATIVE / CURRENT</x:v>
      </x:c>
      <x:c r="F223" s="24" t="str">
        <x:v>Prefab available</x:v>
      </x:c>
      <x:c r="G223" s="24" t="str">
        <x:v>Pending/partial</x:v>
      </x:c>
      <x:c r="H223" s="24" t="str">
        <x:v>Assets/_Project/Prefabs/Characters/Customer.prefab</x:v>
      </x:c>
      <x:c r="I223" s="24" t="str">
        <x:v>4162f604c6cdaeb4b371b15c22db37d8</x:v>
      </x:c>
      <x:c r="J223" s="24" t="str"/>
      <x:c r="K223" s="24" t="str">
        <x:v>VS-ART-001;VS-SCN-002</x:v>
      </x:c>
      <x:c r="L223" s="24" t="n">
        <x:v>16</x:v>
      </x:c>
      <x:c r="M223" s="24" t="str">
        <x:v>H6</x:v>
      </x:c>
      <x:c r="N223" s="24" t="str"/>
      <x:c r="O223" s="24" t="str">
        <x:v>BLD-016-POST</x:v>
      </x:c>
      <x:c r="P223" s="24" t="str">
        <x:v>Internal/Approved</x:v>
      </x:c>
      <x:c r="Q223" s="24" t="str">
        <x:v>Authored-scene validation pending</x:v>
      </x:c>
      <x:c r="R223" s="24" t="str">
        <x:v>14_Prefabs</x:v>
      </x:c>
      <x:c r="S223" s="24" t="str">
        <x:f>"T"&amp;IF(AND(H223&lt;&gt;"",I223&lt;&gt;"",K223&lt;&gt;"",N223&lt;&gt;"",P223&lt;&gt;""),5,IF(AND(H223&lt;&gt;"",K223&lt;&gt;"",G223&lt;&gt;""),4,IF(AND(H223&lt;&gt;"",K223&lt;&gt;""),3,IF(H223&lt;&gt;"",2,1))))</x:f>
        <x:v>T4</x:v>
      </x:c>
      <x:c r="T223" s="24" t="str">
        <x:v>VRM Games</x:v>
      </x:c>
      <x:c r="U223" s="24" t="str"/>
    </x:row>
    <x:row r="224" ht="34" customHeight="1">
      <x:c r="A224" s="24" t="str">
        <x:v>TRC-0220</x:v>
      </x:c>
      <x:c r="B224" s="24" t="str">
        <x:v>PFB-026</x:v>
      </x:c>
      <x:c r="C224" s="24" t="str">
        <x:v>Prefab</x:v>
      </x:c>
      <x:c r="D224" s="24" t="str">
        <x:v>Employee.prefab</x:v>
      </x:c>
      <x:c r="E224" s="24" t="str">
        <x:v>REPRESENTATIVE / CURRENT</x:v>
      </x:c>
      <x:c r="F224" s="24" t="str">
        <x:v>Prefab available</x:v>
      </x:c>
      <x:c r="G224" s="24" t="str">
        <x:v>Pending/partial</x:v>
      </x:c>
      <x:c r="H224" s="24" t="str">
        <x:v>Assets/_Project/Prefabs/Characters/Employee.prefab</x:v>
      </x:c>
      <x:c r="I224" s="24" t="str">
        <x:v>4b1411d15857a987fb399929287686ee</x:v>
      </x:c>
      <x:c r="J224" s="24" t="str"/>
      <x:c r="K224" s="24" t="str">
        <x:v>VS-ART-001;VS-SCN-002</x:v>
      </x:c>
      <x:c r="L224" s="24" t="n">
        <x:v>16</x:v>
      </x:c>
      <x:c r="M224" s="24" t="str">
        <x:v>H6</x:v>
      </x:c>
      <x:c r="N224" s="24" t="str"/>
      <x:c r="O224" s="24" t="str">
        <x:v>BLD-016-POST</x:v>
      </x:c>
      <x:c r="P224" s="24" t="str">
        <x:v>Internal/Approved</x:v>
      </x:c>
      <x:c r="Q224" s="24" t="str">
        <x:v>Authored-scene validation pending</x:v>
      </x:c>
      <x:c r="R224" s="24" t="str">
        <x:v>14_Prefabs</x:v>
      </x:c>
      <x:c r="S224" s="24" t="str">
        <x:f>"T"&amp;IF(AND(H224&lt;&gt;"",I224&lt;&gt;"",K224&lt;&gt;"",N224&lt;&gt;"",P224&lt;&gt;""),5,IF(AND(H224&lt;&gt;"",K224&lt;&gt;"",G224&lt;&gt;""),4,IF(AND(H224&lt;&gt;"",K224&lt;&gt;""),3,IF(H224&lt;&gt;"",2,1))))</x:f>
        <x:v>T4</x:v>
      </x:c>
      <x:c r="T224" s="24" t="str">
        <x:v>VRM Games</x:v>
      </x:c>
      <x:c r="U224" s="24" t="str"/>
    </x:row>
    <x:row r="225" ht="34" customHeight="1">
      <x:c r="A225" s="24" t="str">
        <x:v>TRC-0221</x:v>
      </x:c>
      <x:c r="B225" s="24" t="str">
        <x:v>PFB-027</x:v>
      </x:c>
      <x:c r="C225" s="24" t="str">
        <x:v>Prefab</x:v>
      </x:c>
      <x:c r="D225" s="24" t="str">
        <x:v>Supplier.prefab</x:v>
      </x:c>
      <x:c r="E225" s="24" t="str">
        <x:v>REPRESENTATIVE / CURRENT</x:v>
      </x:c>
      <x:c r="F225" s="24" t="str">
        <x:v>Prefab available</x:v>
      </x:c>
      <x:c r="G225" s="24" t="str">
        <x:v>Pending/partial</x:v>
      </x:c>
      <x:c r="H225" s="24" t="str">
        <x:v>Assets/_Project/Prefabs/Characters/Supplier.prefab</x:v>
      </x:c>
      <x:c r="I225" s="24" t="str">
        <x:v>9b81dd090fe288d9a27264622bb20fa4</x:v>
      </x:c>
      <x:c r="J225" s="24" t="str"/>
      <x:c r="K225" s="24" t="str">
        <x:v>VS-ART-001;VS-SCN-002</x:v>
      </x:c>
      <x:c r="L225" s="24" t="n">
        <x:v>16</x:v>
      </x:c>
      <x:c r="M225" s="24" t="str">
        <x:v>H6</x:v>
      </x:c>
      <x:c r="N225" s="24" t="str"/>
      <x:c r="O225" s="24" t="str">
        <x:v>BLD-016-POST</x:v>
      </x:c>
      <x:c r="P225" s="24" t="str">
        <x:v>Internal/Approved</x:v>
      </x:c>
      <x:c r="Q225" s="24" t="str">
        <x:v>Authored-scene validation pending</x:v>
      </x:c>
      <x:c r="R225" s="24" t="str">
        <x:v>14_Prefabs</x:v>
      </x:c>
      <x:c r="S225" s="24" t="str">
        <x:f>"T"&amp;IF(AND(H225&lt;&gt;"",I225&lt;&gt;"",K225&lt;&gt;"",N225&lt;&gt;"",P225&lt;&gt;""),5,IF(AND(H225&lt;&gt;"",K225&lt;&gt;"",G225&lt;&gt;""),4,IF(AND(H225&lt;&gt;"",K225&lt;&gt;""),3,IF(H225&lt;&gt;"",2,1))))</x:f>
        <x:v>T4</x:v>
      </x:c>
      <x:c r="T225" s="24" t="str">
        <x:v>VRM Games</x:v>
      </x:c>
      <x:c r="U225" s="24" t="str"/>
    </x:row>
    <x:row r="226" ht="34" customHeight="1">
      <x:c r="A226" s="24" t="str">
        <x:v>TRC-0222</x:v>
      </x:c>
      <x:c r="B226" s="24" t="str">
        <x:v>PFB-028</x:v>
      </x:c>
      <x:c r="C226" s="24" t="str">
        <x:v>Prefab</x:v>
      </x:c>
      <x:c r="D226" s="24" t="str">
        <x:v>CodeCardRack.prefab</x:v>
      </x:c>
      <x:c r="E226" s="24" t="str">
        <x:v>VISION / NOT OPEN</x:v>
      </x:c>
      <x:c r="F226" s="24" t="str">
        <x:v>Prefab available</x:v>
      </x:c>
      <x:c r="G226" s="24" t="str">
        <x:v>Pending/partial</x:v>
      </x:c>
      <x:c r="H226" s="24" t="str">
        <x:v>Assets/_Project/Prefabs/Expansions/Digital/CodeCardRack.prefab</x:v>
      </x:c>
      <x:c r="I226" s="24" t="str">
        <x:v>ad136dd934173d54ca638b8d1feaf4b5</x:v>
      </x:c>
      <x:c r="J226" s="24" t="str"/>
      <x:c r="K226" s="24" t="str">
        <x:v>Scope controlled</x:v>
      </x:c>
      <x:c r="L226" s="24" t="str">
        <x:v>Future</x:v>
      </x:c>
      <x:c r="M226" s="24" t="str">
        <x:v>H6</x:v>
      </x:c>
      <x:c r="N226" s="24" t="str"/>
      <x:c r="O226" s="24" t="str"/>
      <x:c r="P226" s="24" t="str">
        <x:v>Internal/Approved</x:v>
      </x:c>
      <x:c r="Q226" s="24" t="str">
        <x:v>Not open</x:v>
      </x:c>
      <x:c r="R226" s="24" t="str">
        <x:v>14_Prefabs</x:v>
      </x:c>
      <x:c r="S226" s="24" t="str">
        <x:f>"T"&amp;IF(AND(H226&lt;&gt;"",I226&lt;&gt;"",K226&lt;&gt;"",N226&lt;&gt;"",P226&lt;&gt;""),5,IF(AND(H226&lt;&gt;"",K226&lt;&gt;"",G226&lt;&gt;""),4,IF(AND(H226&lt;&gt;"",K226&lt;&gt;""),3,IF(H226&lt;&gt;"",2,1))))</x:f>
        <x:v>T4</x:v>
      </x:c>
      <x:c r="T226" s="24" t="str">
        <x:v>VRM Games</x:v>
      </x:c>
      <x:c r="U226" s="24" t="str"/>
    </x:row>
    <x:row r="227" ht="34" customHeight="1">
      <x:c r="A227" s="24" t="str">
        <x:v>TRC-0223</x:v>
      </x:c>
      <x:c r="B227" s="24" t="str">
        <x:v>PFB-029</x:v>
      </x:c>
      <x:c r="C227" s="24" t="str">
        <x:v>Prefab</x:v>
      </x:c>
      <x:c r="D227" s="24" t="str">
        <x:v>Kiosk.prefab</x:v>
      </x:c>
      <x:c r="E227" s="24" t="str">
        <x:v>VISION / NOT OPEN</x:v>
      </x:c>
      <x:c r="F227" s="24" t="str">
        <x:v>Prefab available</x:v>
      </x:c>
      <x:c r="G227" s="24" t="str">
        <x:v>Pending/partial</x:v>
      </x:c>
      <x:c r="H227" s="24" t="str">
        <x:v>Assets/_Project/Prefabs/Expansions/Digital/Kiosk.prefab</x:v>
      </x:c>
      <x:c r="I227" s="24" t="str">
        <x:v>27b991dc477438f4b89bfdcc0592b050</x:v>
      </x:c>
      <x:c r="J227" s="24" t="str"/>
      <x:c r="K227" s="24" t="str">
        <x:v>Scope controlled</x:v>
      </x:c>
      <x:c r="L227" s="24" t="str">
        <x:v>Future</x:v>
      </x:c>
      <x:c r="M227" s="24" t="str">
        <x:v>H6</x:v>
      </x:c>
      <x:c r="N227" s="24" t="str"/>
      <x:c r="O227" s="24" t="str"/>
      <x:c r="P227" s="24" t="str">
        <x:v>Internal/Approved</x:v>
      </x:c>
      <x:c r="Q227" s="24" t="str">
        <x:v>Not open</x:v>
      </x:c>
      <x:c r="R227" s="24" t="str">
        <x:v>14_Prefabs</x:v>
      </x:c>
      <x:c r="S227" s="24" t="str">
        <x:f>"T"&amp;IF(AND(H227&lt;&gt;"",I227&lt;&gt;"",K227&lt;&gt;"",N227&lt;&gt;"",P227&lt;&gt;""),5,IF(AND(H227&lt;&gt;"",K227&lt;&gt;"",G227&lt;&gt;""),4,IF(AND(H227&lt;&gt;"",K227&lt;&gt;""),3,IF(H227&lt;&gt;"",2,1))))</x:f>
        <x:v>T4</x:v>
      </x:c>
      <x:c r="T227" s="24" t="str">
        <x:v>VRM Games</x:v>
      </x:c>
      <x:c r="U227" s="24" t="str"/>
    </x:row>
    <x:row r="228" ht="34" customHeight="1">
      <x:c r="A228" s="24" t="str">
        <x:v>TRC-0224</x:v>
      </x:c>
      <x:c r="B228" s="24" t="str">
        <x:v>PFB-030</x:v>
      </x:c>
      <x:c r="C228" s="24" t="str">
        <x:v>Prefab</x:v>
      </x:c>
      <x:c r="D228" s="24" t="str">
        <x:v>OrderDesk.prefab</x:v>
      </x:c>
      <x:c r="E228" s="24" t="str">
        <x:v>VISION / NOT OPEN</x:v>
      </x:c>
      <x:c r="F228" s="24" t="str">
        <x:v>Prefab available</x:v>
      </x:c>
      <x:c r="G228" s="24" t="str">
        <x:v>Pending/partial</x:v>
      </x:c>
      <x:c r="H228" s="24" t="str">
        <x:v>Assets/_Project/Prefabs/Expansions/Ecommerce/OrderDesk.prefab</x:v>
      </x:c>
      <x:c r="I228" s="24" t="str">
        <x:v>5a8a91561c8b8a440a5443f0eb8444c2</x:v>
      </x:c>
      <x:c r="J228" s="24" t="str"/>
      <x:c r="K228" s="24" t="str">
        <x:v>Scope controlled</x:v>
      </x:c>
      <x:c r="L228" s="24" t="str">
        <x:v>Future</x:v>
      </x:c>
      <x:c r="M228" s="24" t="str">
        <x:v>H6</x:v>
      </x:c>
      <x:c r="N228" s="24" t="str"/>
      <x:c r="O228" s="24" t="str"/>
      <x:c r="P228" s="24" t="str">
        <x:v>Internal/Approved</x:v>
      </x:c>
      <x:c r="Q228" s="24" t="str">
        <x:v>Not open</x:v>
      </x:c>
      <x:c r="R228" s="24" t="str">
        <x:v>14_Prefabs</x:v>
      </x:c>
      <x:c r="S228" s="24" t="str">
        <x:f>"T"&amp;IF(AND(H228&lt;&gt;"",I228&lt;&gt;"",K228&lt;&gt;"",N228&lt;&gt;"",P228&lt;&gt;""),5,IF(AND(H228&lt;&gt;"",K228&lt;&gt;"",G228&lt;&gt;""),4,IF(AND(H228&lt;&gt;"",K228&lt;&gt;""),3,IF(H228&lt;&gt;"",2,1))))</x:f>
        <x:v>T4</x:v>
      </x:c>
      <x:c r="T228" s="24" t="str">
        <x:v>VRM Games</x:v>
      </x:c>
      <x:c r="U228" s="24" t="str"/>
    </x:row>
    <x:row r="229" ht="34" customHeight="1">
      <x:c r="A229" s="24" t="str">
        <x:v>TRC-0225</x:v>
      </x:c>
      <x:c r="B229" s="24" t="str">
        <x:v>PFB-031</x:v>
      </x:c>
      <x:c r="C229" s="24" t="str">
        <x:v>Prefab</x:v>
      </x:c>
      <x:c r="D229" s="24" t="str">
        <x:v>SortBins.prefab</x:v>
      </x:c>
      <x:c r="E229" s="24" t="str">
        <x:v>VISION / NOT OPEN</x:v>
      </x:c>
      <x:c r="F229" s="24" t="str">
        <x:v>Prefab available</x:v>
      </x:c>
      <x:c r="G229" s="24" t="str">
        <x:v>Pending/partial</x:v>
      </x:c>
      <x:c r="H229" s="24" t="str">
        <x:v>Assets/_Project/Prefabs/Expansions/Ecommerce/SortBins.prefab</x:v>
      </x:c>
      <x:c r="I229" s="24" t="str">
        <x:v>4377692523ad661419e4bd1c2bbe7a66</x:v>
      </x:c>
      <x:c r="J229" s="24" t="str"/>
      <x:c r="K229" s="24" t="str">
        <x:v>Scope controlled</x:v>
      </x:c>
      <x:c r="L229" s="24" t="str">
        <x:v>Future</x:v>
      </x:c>
      <x:c r="M229" s="24" t="str">
        <x:v>H6</x:v>
      </x:c>
      <x:c r="N229" s="24" t="str"/>
      <x:c r="O229" s="24" t="str"/>
      <x:c r="P229" s="24" t="str">
        <x:v>Internal/Approved</x:v>
      </x:c>
      <x:c r="Q229" s="24" t="str">
        <x:v>Not open</x:v>
      </x:c>
      <x:c r="R229" s="24" t="str">
        <x:v>14_Prefabs</x:v>
      </x:c>
      <x:c r="S229" s="24" t="str">
        <x:f>"T"&amp;IF(AND(H229&lt;&gt;"",I229&lt;&gt;"",K229&lt;&gt;"",N229&lt;&gt;"",P229&lt;&gt;""),5,IF(AND(H229&lt;&gt;"",K229&lt;&gt;"",G229&lt;&gt;""),4,IF(AND(H229&lt;&gt;"",K229&lt;&gt;""),3,IF(H229&lt;&gt;"",2,1))))</x:f>
        <x:v>T4</x:v>
      </x:c>
      <x:c r="T229" s="24" t="str">
        <x:v>VRM Games</x:v>
      </x:c>
      <x:c r="U229" s="24" t="str"/>
    </x:row>
    <x:row r="230" ht="34" customHeight="1">
      <x:c r="A230" s="24" t="str">
        <x:v>TRC-0226</x:v>
      </x:c>
      <x:c r="B230" s="24" t="str">
        <x:v>PFB-032</x:v>
      </x:c>
      <x:c r="C230" s="24" t="str">
        <x:v>Prefab</x:v>
      </x:c>
      <x:c r="D230" s="24" t="str">
        <x:v>Conveyor.prefab</x:v>
      </x:c>
      <x:c r="E230" s="24" t="str">
        <x:v>VISION / NOT OPEN</x:v>
      </x:c>
      <x:c r="F230" s="24" t="str">
        <x:v>Prefab available</x:v>
      </x:c>
      <x:c r="G230" s="24" t="str">
        <x:v>Pending/partial</x:v>
      </x:c>
      <x:c r="H230" s="24" t="str">
        <x:v>Assets/_Project/Prefabs/Expansions/Logistics/Conveyor.prefab</x:v>
      </x:c>
      <x:c r="I230" s="24" t="str">
        <x:v>3454415fb9851404a9c41a8b3b6aed6f</x:v>
      </x:c>
      <x:c r="J230" s="24" t="str"/>
      <x:c r="K230" s="24" t="str">
        <x:v>Scope controlled</x:v>
      </x:c>
      <x:c r="L230" s="24" t="str">
        <x:v>Future</x:v>
      </x:c>
      <x:c r="M230" s="24" t="str">
        <x:v>H6</x:v>
      </x:c>
      <x:c r="N230" s="24" t="str"/>
      <x:c r="O230" s="24" t="str"/>
      <x:c r="P230" s="24" t="str">
        <x:v>Internal/Approved</x:v>
      </x:c>
      <x:c r="Q230" s="24" t="str">
        <x:v>Not open</x:v>
      </x:c>
      <x:c r="R230" s="24" t="str">
        <x:v>14_Prefabs</x:v>
      </x:c>
      <x:c r="S230" s="24" t="str">
        <x:f>"T"&amp;IF(AND(H230&lt;&gt;"",I230&lt;&gt;"",K230&lt;&gt;"",N230&lt;&gt;"",P230&lt;&gt;""),5,IF(AND(H230&lt;&gt;"",K230&lt;&gt;"",G230&lt;&gt;""),4,IF(AND(H230&lt;&gt;"",K230&lt;&gt;""),3,IF(H230&lt;&gt;"",2,1))))</x:f>
        <x:v>T4</x:v>
      </x:c>
      <x:c r="T230" s="24" t="str">
        <x:v>VRM Games</x:v>
      </x:c>
      <x:c r="U230" s="24" t="str"/>
    </x:row>
    <x:row r="231" ht="34" customHeight="1">
      <x:c r="A231" s="24" t="str">
        <x:v>TRC-0227</x:v>
      </x:c>
      <x:c r="B231" s="24" t="str">
        <x:v>PFB-033</x:v>
      </x:c>
      <x:c r="C231" s="24" t="str">
        <x:v>Prefab</x:v>
      </x:c>
      <x:c r="D231" s="24" t="str">
        <x:v>PackingStation.prefab</x:v>
      </x:c>
      <x:c r="E231" s="24" t="str">
        <x:v>VISION / NOT OPEN</x:v>
      </x:c>
      <x:c r="F231" s="24" t="str">
        <x:v>Prefab available</x:v>
      </x:c>
      <x:c r="G231" s="24" t="str">
        <x:v>Pending/partial</x:v>
      </x:c>
      <x:c r="H231" s="24" t="str">
        <x:v>Assets/_Project/Prefabs/Expansions/Logistics/PackingStation.prefab</x:v>
      </x:c>
      <x:c r="I231" s="24" t="str">
        <x:v>1f4581ac17447f64da5511d4de941fd0</x:v>
      </x:c>
      <x:c r="J231" s="24" t="str"/>
      <x:c r="K231" s="24" t="str">
        <x:v>Scope controlled</x:v>
      </x:c>
      <x:c r="L231" s="24" t="str">
        <x:v>Future</x:v>
      </x:c>
      <x:c r="M231" s="24" t="str">
        <x:v>H6</x:v>
      </x:c>
      <x:c r="N231" s="24" t="str"/>
      <x:c r="O231" s="24" t="str"/>
      <x:c r="P231" s="24" t="str">
        <x:v>Internal/Approved</x:v>
      </x:c>
      <x:c r="Q231" s="24" t="str">
        <x:v>Not open</x:v>
      </x:c>
      <x:c r="R231" s="24" t="str">
        <x:v>14_Prefabs</x:v>
      </x:c>
      <x:c r="S231" s="24" t="str">
        <x:f>"T"&amp;IF(AND(H231&lt;&gt;"",I231&lt;&gt;"",K231&lt;&gt;"",N231&lt;&gt;"",P231&lt;&gt;""),5,IF(AND(H231&lt;&gt;"",K231&lt;&gt;"",G231&lt;&gt;""),4,IF(AND(H231&lt;&gt;"",K231&lt;&gt;""),3,IF(H231&lt;&gt;"",2,1))))</x:f>
        <x:v>T4</x:v>
      </x:c>
      <x:c r="T231" s="24" t="str">
        <x:v>VRM Games</x:v>
      </x:c>
      <x:c r="U231" s="24" t="str"/>
    </x:row>
    <x:row r="232" ht="34" customHeight="1">
      <x:c r="A232" s="24" t="str">
        <x:v>TRC-0228</x:v>
      </x:c>
      <x:c r="B232" s="24" t="str">
        <x:v>PFB-034</x:v>
      </x:c>
      <x:c r="C232" s="24" t="str">
        <x:v>Prefab</x:v>
      </x:c>
      <x:c r="D232" s="24" t="str">
        <x:v>RollingCart.prefab</x:v>
      </x:c>
      <x:c r="E232" s="24" t="str">
        <x:v>VISION / NOT OPEN</x:v>
      </x:c>
      <x:c r="F232" s="24" t="str">
        <x:v>Prefab available</x:v>
      </x:c>
      <x:c r="G232" s="24" t="str">
        <x:v>Pending/partial</x:v>
      </x:c>
      <x:c r="H232" s="24" t="str">
        <x:v>Assets/_Project/Prefabs/Expansions/Logistics/RollingCart.prefab</x:v>
      </x:c>
      <x:c r="I232" s="24" t="str">
        <x:v>52697d70fc4c75e4b82e2cc8ebcf6142</x:v>
      </x:c>
      <x:c r="J232" s="24" t="str"/>
      <x:c r="K232" s="24" t="str">
        <x:v>Scope controlled</x:v>
      </x:c>
      <x:c r="L232" s="24" t="str">
        <x:v>Future</x:v>
      </x:c>
      <x:c r="M232" s="24" t="str">
        <x:v>H6</x:v>
      </x:c>
      <x:c r="N232" s="24" t="str"/>
      <x:c r="O232" s="24" t="str"/>
      <x:c r="P232" s="24" t="str">
        <x:v>Internal/Approved</x:v>
      </x:c>
      <x:c r="Q232" s="24" t="str">
        <x:v>Not open</x:v>
      </x:c>
      <x:c r="R232" s="24" t="str">
        <x:v>14_Prefabs</x:v>
      </x:c>
      <x:c r="S232" s="24" t="str">
        <x:f>"T"&amp;IF(AND(H232&lt;&gt;"",I232&lt;&gt;"",K232&lt;&gt;"",N232&lt;&gt;"",P232&lt;&gt;""),5,IF(AND(H232&lt;&gt;"",K232&lt;&gt;"",G232&lt;&gt;""),4,IF(AND(H232&lt;&gt;"",K232&lt;&gt;""),3,IF(H232&lt;&gt;"",2,1))))</x:f>
        <x:v>T4</x:v>
      </x:c>
      <x:c r="T232" s="24" t="str">
        <x:v>VRM Games</x:v>
      </x:c>
      <x:c r="U232" s="24" t="str"/>
    </x:row>
    <x:row r="233" ht="34" customHeight="1">
      <x:c r="A233" s="24" t="str">
        <x:v>TRC-0229</x:v>
      </x:c>
      <x:c r="B233" s="24" t="str">
        <x:v>PFB-035</x:v>
      </x:c>
      <x:c r="C233" s="24" t="str">
        <x:v>Prefab</x:v>
      </x:c>
      <x:c r="D233" s="24" t="str">
        <x:v>AnalysisWall.prefab</x:v>
      </x:c>
      <x:c r="E233" s="24" t="str">
        <x:v>VISION / NOT OPEN</x:v>
      </x:c>
      <x:c r="F233" s="24" t="str">
        <x:v>Prefab available</x:v>
      </x:c>
      <x:c r="G233" s="24" t="str">
        <x:v>Pending/partial</x:v>
      </x:c>
      <x:c r="H233" s="24" t="str">
        <x:v>Assets/_Project/Prefabs/Expansions/Market/AnalysisWall.prefab</x:v>
      </x:c>
      <x:c r="I233" s="24" t="str">
        <x:v>2b6f8ccb4558f7947bf8aec7c1631ac2</x:v>
      </x:c>
      <x:c r="J233" s="24" t="str"/>
      <x:c r="K233" s="24" t="str">
        <x:v>Scope controlled</x:v>
      </x:c>
      <x:c r="L233" s="24" t="str">
        <x:v>Future</x:v>
      </x:c>
      <x:c r="M233" s="24" t="str">
        <x:v>H6</x:v>
      </x:c>
      <x:c r="N233" s="24" t="str"/>
      <x:c r="O233" s="24" t="str"/>
      <x:c r="P233" s="24" t="str">
        <x:v>Internal/Approved</x:v>
      </x:c>
      <x:c r="Q233" s="24" t="str">
        <x:v>Not open</x:v>
      </x:c>
      <x:c r="R233" s="24" t="str">
        <x:v>14_Prefabs</x:v>
      </x:c>
      <x:c r="S233" s="24" t="str">
        <x:f>"T"&amp;IF(AND(H233&lt;&gt;"",I233&lt;&gt;"",K233&lt;&gt;"",N233&lt;&gt;"",P233&lt;&gt;""),5,IF(AND(H233&lt;&gt;"",K233&lt;&gt;"",G233&lt;&gt;""),4,IF(AND(H233&lt;&gt;"",K233&lt;&gt;""),3,IF(H233&lt;&gt;"",2,1))))</x:f>
        <x:v>T4</x:v>
      </x:c>
      <x:c r="T233" s="24" t="str">
        <x:v>VRM Games</x:v>
      </x:c>
      <x:c r="U233" s="24" t="str"/>
    </x:row>
    <x:row r="234" ht="34" customHeight="1">
      <x:c r="A234" s="24" t="str">
        <x:v>TRC-0230</x:v>
      </x:c>
      <x:c r="B234" s="24" t="str">
        <x:v>PFB-036</x:v>
      </x:c>
      <x:c r="C234" s="24" t="str">
        <x:v>Prefab</x:v>
      </x:c>
      <x:c r="D234" s="24" t="str">
        <x:v>PlanningTable.prefab</x:v>
      </x:c>
      <x:c r="E234" s="24" t="str">
        <x:v>VISION / NOT OPEN</x:v>
      </x:c>
      <x:c r="F234" s="24" t="str">
        <x:v>Prefab available</x:v>
      </x:c>
      <x:c r="G234" s="24" t="str">
        <x:v>Pending/partial</x:v>
      </x:c>
      <x:c r="H234" s="24" t="str">
        <x:v>Assets/_Project/Prefabs/Expansions/Market/PlanningTable.prefab</x:v>
      </x:c>
      <x:c r="I234" s="24" t="str">
        <x:v>d4fdbaeff51091b4585abadf721f9428</x:v>
      </x:c>
      <x:c r="J234" s="24" t="str"/>
      <x:c r="K234" s="24" t="str">
        <x:v>Scope controlled</x:v>
      </x:c>
      <x:c r="L234" s="24" t="str">
        <x:v>Future</x:v>
      </x:c>
      <x:c r="M234" s="24" t="str">
        <x:v>H6</x:v>
      </x:c>
      <x:c r="N234" s="24" t="str"/>
      <x:c r="O234" s="24" t="str"/>
      <x:c r="P234" s="24" t="str">
        <x:v>Internal/Approved</x:v>
      </x:c>
      <x:c r="Q234" s="24" t="str">
        <x:v>Not open</x:v>
      </x:c>
      <x:c r="R234" s="24" t="str">
        <x:v>14_Prefabs</x:v>
      </x:c>
      <x:c r="S234" s="24" t="str">
        <x:f>"T"&amp;IF(AND(H234&lt;&gt;"",I234&lt;&gt;"",K234&lt;&gt;"",N234&lt;&gt;"",P234&lt;&gt;""),5,IF(AND(H234&lt;&gt;"",K234&lt;&gt;"",G234&lt;&gt;""),4,IF(AND(H234&lt;&gt;"",K234&lt;&gt;""),3,IF(H234&lt;&gt;"",2,1))))</x:f>
        <x:v>T4</x:v>
      </x:c>
      <x:c r="T234" s="24" t="str">
        <x:v>VRM Games</x:v>
      </x:c>
      <x:c r="U234" s="24" t="str"/>
    </x:row>
    <x:row r="235" ht="34" customHeight="1">
      <x:c r="A235" s="24" t="str">
        <x:v>TRC-0231</x:v>
      </x:c>
      <x:c r="B235" s="24" t="str">
        <x:v>PFB-037</x:v>
      </x:c>
      <x:c r="C235" s="24" t="str">
        <x:v>Prefab</x:v>
      </x:c>
      <x:c r="D235" s="24" t="str">
        <x:v>LineupWall.prefab</x:v>
      </x:c>
      <x:c r="E235" s="24" t="str">
        <x:v>VISION / NOT OPEN</x:v>
      </x:c>
      <x:c r="F235" s="24" t="str">
        <x:v>Prefab available</x:v>
      </x:c>
      <x:c r="G235" s="24" t="str">
        <x:v>Pending/partial</x:v>
      </x:c>
      <x:c r="H235" s="24" t="str">
        <x:v>Assets/_Project/Prefabs/Expansions/Publishing/LineupWall.prefab</x:v>
      </x:c>
      <x:c r="I235" s="24" t="str">
        <x:v>814075406f2697a449f45fa440b0d7f1</x:v>
      </x:c>
      <x:c r="J235" s="24" t="str"/>
      <x:c r="K235" s="24" t="str">
        <x:v>Scope controlled</x:v>
      </x:c>
      <x:c r="L235" s="24" t="str">
        <x:v>Future</x:v>
      </x:c>
      <x:c r="M235" s="24" t="str">
        <x:v>H6</x:v>
      </x:c>
      <x:c r="N235" s="24" t="str"/>
      <x:c r="O235" s="24" t="str"/>
      <x:c r="P235" s="24" t="str">
        <x:v>Internal/Approved</x:v>
      </x:c>
      <x:c r="Q235" s="24" t="str">
        <x:v>Not open</x:v>
      </x:c>
      <x:c r="R235" s="24" t="str">
        <x:v>14_Prefabs</x:v>
      </x:c>
      <x:c r="S235" s="24" t="str">
        <x:f>"T"&amp;IF(AND(H235&lt;&gt;"",I235&lt;&gt;"",K235&lt;&gt;"",N235&lt;&gt;"",P235&lt;&gt;""),5,IF(AND(H235&lt;&gt;"",K235&lt;&gt;"",G235&lt;&gt;""),4,IF(AND(H235&lt;&gt;"",K235&lt;&gt;""),3,IF(H235&lt;&gt;"",2,1))))</x:f>
        <x:v>T4</x:v>
      </x:c>
      <x:c r="T235" s="24" t="str">
        <x:v>VRM Games</x:v>
      </x:c>
      <x:c r="U235" s="24" t="str"/>
    </x:row>
    <x:row r="236" ht="34" customHeight="1">
      <x:c r="A236" s="24" t="str">
        <x:v>TRC-0232</x:v>
      </x:c>
      <x:c r="B236" s="24" t="str">
        <x:v>PFB-038</x:v>
      </x:c>
      <x:c r="C236" s="24" t="str">
        <x:v>Prefab</x:v>
      </x:c>
      <x:c r="D236" s="24" t="str">
        <x:v>MeetingTable.prefab</x:v>
      </x:c>
      <x:c r="E236" s="24" t="str">
        <x:v>VISION / NOT OPEN</x:v>
      </x:c>
      <x:c r="F236" s="24" t="str">
        <x:v>Prefab available</x:v>
      </x:c>
      <x:c r="G236" s="24" t="str">
        <x:v>Pending/partial</x:v>
      </x:c>
      <x:c r="H236" s="24" t="str">
        <x:v>Assets/_Project/Prefabs/Expansions/Publishing/MeetingTable.prefab</x:v>
      </x:c>
      <x:c r="I236" s="24" t="str">
        <x:v>b15b659113d6ac347acd6eb0b047c494</x:v>
      </x:c>
      <x:c r="J236" s="24" t="str"/>
      <x:c r="K236" s="24" t="str">
        <x:v>Scope controlled</x:v>
      </x:c>
      <x:c r="L236" s="24" t="str">
        <x:v>Future</x:v>
      </x:c>
      <x:c r="M236" s="24" t="str">
        <x:v>H6</x:v>
      </x:c>
      <x:c r="N236" s="24" t="str"/>
      <x:c r="O236" s="24" t="str"/>
      <x:c r="P236" s="24" t="str">
        <x:v>Internal/Approved</x:v>
      </x:c>
      <x:c r="Q236" s="24" t="str">
        <x:v>Not open</x:v>
      </x:c>
      <x:c r="R236" s="24" t="str">
        <x:v>14_Prefabs</x:v>
      </x:c>
      <x:c r="S236" s="24" t="str">
        <x:f>"T"&amp;IF(AND(H236&lt;&gt;"",I236&lt;&gt;"",K236&lt;&gt;"",N236&lt;&gt;"",P236&lt;&gt;""),5,IF(AND(H236&lt;&gt;"",K236&lt;&gt;"",G236&lt;&gt;""),4,IF(AND(H236&lt;&gt;"",K236&lt;&gt;""),3,IF(H236&lt;&gt;"",2,1))))</x:f>
        <x:v>T4</x:v>
      </x:c>
      <x:c r="T236" s="24" t="str">
        <x:v>VRM Games</x:v>
      </x:c>
      <x:c r="U236" s="24" t="str"/>
    </x:row>
    <x:row r="237" ht="34" customHeight="1">
      <x:c r="A237" s="24" t="str">
        <x:v>TRC-0233</x:v>
      </x:c>
      <x:c r="B237" s="24" t="str">
        <x:v>PFB-039</x:v>
      </x:c>
      <x:c r="C237" s="24" t="str">
        <x:v>Prefab</x:v>
      </x:c>
      <x:c r="D237" s="24" t="str">
        <x:v>OperationsDesk.prefab</x:v>
      </x:c>
      <x:c r="E237" s="24" t="str">
        <x:v>VISION / NOT OPEN</x:v>
      </x:c>
      <x:c r="F237" s="24" t="str">
        <x:v>Prefab available</x:v>
      </x:c>
      <x:c r="G237" s="24" t="str">
        <x:v>Pending/partial</x:v>
      </x:c>
      <x:c r="H237" s="24" t="str">
        <x:v>Assets/_Project/Prefabs/Expansions/Server/OperationsDesk.prefab</x:v>
      </x:c>
      <x:c r="I237" s="24" t="str">
        <x:v>5a6467f26df307d4ea9ac26a83565e70</x:v>
      </x:c>
      <x:c r="J237" s="24" t="str"/>
      <x:c r="K237" s="24" t="str">
        <x:v>Scope controlled</x:v>
      </x:c>
      <x:c r="L237" s="24" t="str">
        <x:v>Future</x:v>
      </x:c>
      <x:c r="M237" s="24" t="str">
        <x:v>H6</x:v>
      </x:c>
      <x:c r="N237" s="24" t="str"/>
      <x:c r="O237" s="24" t="str"/>
      <x:c r="P237" s="24" t="str">
        <x:v>Internal/Approved</x:v>
      </x:c>
      <x:c r="Q237" s="24" t="str">
        <x:v>Not open</x:v>
      </x:c>
      <x:c r="R237" s="24" t="str">
        <x:v>14_Prefabs</x:v>
      </x:c>
      <x:c r="S237" s="24" t="str">
        <x:f>"T"&amp;IF(AND(H237&lt;&gt;"",I237&lt;&gt;"",K237&lt;&gt;"",N237&lt;&gt;"",P237&lt;&gt;""),5,IF(AND(H237&lt;&gt;"",K237&lt;&gt;"",G237&lt;&gt;""),4,IF(AND(H237&lt;&gt;"",K237&lt;&gt;""),3,IF(H237&lt;&gt;"",2,1))))</x:f>
        <x:v>T4</x:v>
      </x:c>
      <x:c r="T237" s="24" t="str">
        <x:v>VRM Games</x:v>
      </x:c>
      <x:c r="U237" s="24" t="str"/>
    </x:row>
    <x:row r="238" ht="34" customHeight="1">
      <x:c r="A238" s="24" t="str">
        <x:v>TRC-0234</x:v>
      </x:c>
      <x:c r="B238" s="24" t="str">
        <x:v>PFB-040</x:v>
      </x:c>
      <x:c r="C238" s="24" t="str">
        <x:v>Prefab</x:v>
      </x:c>
      <x:c r="D238" s="24" t="str">
        <x:v>Rack.prefab</x:v>
      </x:c>
      <x:c r="E238" s="24" t="str">
        <x:v>VISION / NOT OPEN</x:v>
      </x:c>
      <x:c r="F238" s="24" t="str">
        <x:v>Prefab available</x:v>
      </x:c>
      <x:c r="G238" s="24" t="str">
        <x:v>Pending/partial</x:v>
      </x:c>
      <x:c r="H238" s="24" t="str">
        <x:v>Assets/_Project/Prefabs/Expansions/Server/Rack.prefab</x:v>
      </x:c>
      <x:c r="I238" s="24" t="str">
        <x:v>b875fa3bb7b65054e8805c6259510992</x:v>
      </x:c>
      <x:c r="J238" s="24" t="str"/>
      <x:c r="K238" s="24" t="str">
        <x:v>Scope controlled</x:v>
      </x:c>
      <x:c r="L238" s="24" t="str">
        <x:v>Future</x:v>
      </x:c>
      <x:c r="M238" s="24" t="str">
        <x:v>H6</x:v>
      </x:c>
      <x:c r="N238" s="24" t="str"/>
      <x:c r="O238" s="24" t="str"/>
      <x:c r="P238" s="24" t="str">
        <x:v>Internal/Approved</x:v>
      </x:c>
      <x:c r="Q238" s="24" t="str">
        <x:v>Not open</x:v>
      </x:c>
      <x:c r="R238" s="24" t="str">
        <x:v>14_Prefabs</x:v>
      </x:c>
      <x:c r="S238" s="24" t="str">
        <x:f>"T"&amp;IF(AND(H238&lt;&gt;"",I238&lt;&gt;"",K238&lt;&gt;"",N238&lt;&gt;"",P238&lt;&gt;""),5,IF(AND(H238&lt;&gt;"",K238&lt;&gt;"",G238&lt;&gt;""),4,IF(AND(H238&lt;&gt;"",K238&lt;&gt;""),3,IF(H238&lt;&gt;"",2,1))))</x:f>
        <x:v>T4</x:v>
      </x:c>
      <x:c r="T238" s="24" t="str">
        <x:v>VRM Games</x:v>
      </x:c>
      <x:c r="U238" s="24" t="str"/>
    </x:row>
    <x:row r="239" ht="34" customHeight="1">
      <x:c r="A239" s="24" t="str">
        <x:v>TRC-0235</x:v>
      </x:c>
      <x:c r="B239" s="24" t="str">
        <x:v>PFB-041</x:v>
      </x:c>
      <x:c r="C239" s="24" t="str">
        <x:v>Prefab</x:v>
      </x:c>
      <x:c r="D239" s="24" t="str">
        <x:v>UPS.prefab</x:v>
      </x:c>
      <x:c r="E239" s="24" t="str">
        <x:v>VISION / NOT OPEN</x:v>
      </x:c>
      <x:c r="F239" s="24" t="str">
        <x:v>Prefab available</x:v>
      </x:c>
      <x:c r="G239" s="24" t="str">
        <x:v>Pending/partial</x:v>
      </x:c>
      <x:c r="H239" s="24" t="str">
        <x:v>Assets/_Project/Prefabs/Expansions/Server/UPS.prefab</x:v>
      </x:c>
      <x:c r="I239" s="24" t="str">
        <x:v>16870f8bbfc794e4c894f4fbe9c7765b</x:v>
      </x:c>
      <x:c r="J239" s="24" t="str"/>
      <x:c r="K239" s="24" t="str">
        <x:v>Scope controlled</x:v>
      </x:c>
      <x:c r="L239" s="24" t="str">
        <x:v>Future</x:v>
      </x:c>
      <x:c r="M239" s="24" t="str">
        <x:v>H6</x:v>
      </x:c>
      <x:c r="N239" s="24" t="str"/>
      <x:c r="O239" s="24" t="str"/>
      <x:c r="P239" s="24" t="str">
        <x:v>Internal/Approved</x:v>
      </x:c>
      <x:c r="Q239" s="24" t="str">
        <x:v>Not open</x:v>
      </x:c>
      <x:c r="R239" s="24" t="str">
        <x:v>14_Prefabs</x:v>
      </x:c>
      <x:c r="S239" s="24" t="str">
        <x:f>"T"&amp;IF(AND(H239&lt;&gt;"",I239&lt;&gt;"",K239&lt;&gt;"",N239&lt;&gt;"",P239&lt;&gt;""),5,IF(AND(H239&lt;&gt;"",K239&lt;&gt;"",G239&lt;&gt;""),4,IF(AND(H239&lt;&gt;"",K239&lt;&gt;""),3,IF(H239&lt;&gt;"",2,1))))</x:f>
        <x:v>T4</x:v>
      </x:c>
      <x:c r="T239" s="24" t="str">
        <x:v>VRM Games</x:v>
      </x:c>
      <x:c r="U239" s="24" t="str"/>
    </x:row>
    <x:row r="240" ht="34" customHeight="1">
      <x:c r="A240" s="24" t="str">
        <x:v>TRC-0236</x:v>
      </x:c>
      <x:c r="B240" s="24" t="str">
        <x:v>PFB-042</x:v>
      </x:c>
      <x:c r="C240" s="24" t="str">
        <x:v>Prefab</x:v>
      </x:c>
      <x:c r="D240" s="24" t="str">
        <x:v>Locker.prefab</x:v>
      </x:c>
      <x:c r="E240" s="24" t="str">
        <x:v>VISION / NOT OPEN</x:v>
      </x:c>
      <x:c r="F240" s="24" t="str">
        <x:v>Prefab available</x:v>
      </x:c>
      <x:c r="G240" s="24" t="str">
        <x:v>Pending/partial</x:v>
      </x:c>
      <x:c r="H240" s="24" t="str">
        <x:v>Assets/_Project/Prefabs/Expansions/Staff/Locker.prefab</x:v>
      </x:c>
      <x:c r="I240" s="24" t="str">
        <x:v>1d815b53a5f31e245b538fac05b952d7</x:v>
      </x:c>
      <x:c r="J240" s="24" t="str"/>
      <x:c r="K240" s="24" t="str">
        <x:v>Scope controlled</x:v>
      </x:c>
      <x:c r="L240" s="24" t="str">
        <x:v>Future</x:v>
      </x:c>
      <x:c r="M240" s="24" t="str">
        <x:v>H6</x:v>
      </x:c>
      <x:c r="N240" s="24" t="str"/>
      <x:c r="O240" s="24" t="str"/>
      <x:c r="P240" s="24" t="str">
        <x:v>Internal/Approved</x:v>
      </x:c>
      <x:c r="Q240" s="24" t="str">
        <x:v>Not open</x:v>
      </x:c>
      <x:c r="R240" s="24" t="str">
        <x:v>14_Prefabs</x:v>
      </x:c>
      <x:c r="S240" s="24" t="str">
        <x:f>"T"&amp;IF(AND(H240&lt;&gt;"",I240&lt;&gt;"",K240&lt;&gt;"",N240&lt;&gt;"",P240&lt;&gt;""),5,IF(AND(H240&lt;&gt;"",K240&lt;&gt;"",G240&lt;&gt;""),4,IF(AND(H240&lt;&gt;"",K240&lt;&gt;""),3,IF(H240&lt;&gt;"",2,1))))</x:f>
        <x:v>T4</x:v>
      </x:c>
      <x:c r="T240" s="24" t="str">
        <x:v>VRM Games</x:v>
      </x:c>
      <x:c r="U240" s="24" t="str"/>
    </x:row>
    <x:row r="241" ht="34" customHeight="1">
      <x:c r="A241" s="24" t="str">
        <x:v>TRC-0237</x:v>
      </x:c>
      <x:c r="B241" s="24" t="str">
        <x:v>PFB-043</x:v>
      </x:c>
      <x:c r="C241" s="24" t="str">
        <x:v>Prefab</x:v>
      </x:c>
      <x:c r="D241" s="24" t="str">
        <x:v>TaskBoard.prefab</x:v>
      </x:c>
      <x:c r="E241" s="24" t="str">
        <x:v>VISION / NOT OPEN</x:v>
      </x:c>
      <x:c r="F241" s="24" t="str">
        <x:v>Prefab available</x:v>
      </x:c>
      <x:c r="G241" s="24" t="str">
        <x:v>Pending/partial</x:v>
      </x:c>
      <x:c r="H241" s="24" t="str">
        <x:v>Assets/_Project/Prefabs/Expansions/Staff/TaskBoard.prefab</x:v>
      </x:c>
      <x:c r="I241" s="24" t="str">
        <x:v>9dbed83b857d07842bf8a63bfa8ba026</x:v>
      </x:c>
      <x:c r="J241" s="24" t="str"/>
      <x:c r="K241" s="24" t="str">
        <x:v>Scope controlled</x:v>
      </x:c>
      <x:c r="L241" s="24" t="str">
        <x:v>Future</x:v>
      </x:c>
      <x:c r="M241" s="24" t="str">
        <x:v>H6</x:v>
      </x:c>
      <x:c r="N241" s="24" t="str"/>
      <x:c r="O241" s="24" t="str"/>
      <x:c r="P241" s="24" t="str">
        <x:v>Internal/Approved</x:v>
      </x:c>
      <x:c r="Q241" s="24" t="str">
        <x:v>Not open</x:v>
      </x:c>
      <x:c r="R241" s="24" t="str">
        <x:v>14_Prefabs</x:v>
      </x:c>
      <x:c r="S241" s="24" t="str">
        <x:f>"T"&amp;IF(AND(H241&lt;&gt;"",I241&lt;&gt;"",K241&lt;&gt;"",N241&lt;&gt;"",P241&lt;&gt;""),5,IF(AND(H241&lt;&gt;"",K241&lt;&gt;"",G241&lt;&gt;""),4,IF(AND(H241&lt;&gt;"",K241&lt;&gt;""),3,IF(H241&lt;&gt;"",2,1))))</x:f>
        <x:v>T4</x:v>
      </x:c>
      <x:c r="T241" s="24" t="str">
        <x:v>VRM Games</x:v>
      </x:c>
      <x:c r="U241" s="24" t="str"/>
    </x:row>
    <x:row r="242" ht="34" customHeight="1">
      <x:c r="A242" s="24" t="str">
        <x:v>TRC-0238</x:v>
      </x:c>
      <x:c r="B242" s="24" t="str">
        <x:v>PFB-044</x:v>
      </x:c>
      <x:c r="C242" s="24" t="str">
        <x:v>Prefab</x:v>
      </x:c>
      <x:c r="D242" s="24" t="str">
        <x:v>ArtDesk.prefab</x:v>
      </x:c>
      <x:c r="E242" s="24" t="str">
        <x:v>VISION / NOT OPEN</x:v>
      </x:c>
      <x:c r="F242" s="24" t="str">
        <x:v>Prefab available</x:v>
      </x:c>
      <x:c r="G242" s="24" t="str">
        <x:v>Pending/partial</x:v>
      </x:c>
      <x:c r="H242" s="24" t="str">
        <x:v>Assets/_Project/Prefabs/Expansions/Studio/ArtDesk.prefab</x:v>
      </x:c>
      <x:c r="I242" s="24" t="str">
        <x:v>ac08309937540d74792dac40dda8b45d</x:v>
      </x:c>
      <x:c r="J242" s="24" t="str"/>
      <x:c r="K242" s="24" t="str">
        <x:v>Scope controlled</x:v>
      </x:c>
      <x:c r="L242" s="24" t="str">
        <x:v>Future</x:v>
      </x:c>
      <x:c r="M242" s="24" t="str">
        <x:v>H6</x:v>
      </x:c>
      <x:c r="N242" s="24" t="str"/>
      <x:c r="O242" s="24" t="str"/>
      <x:c r="P242" s="24" t="str">
        <x:v>Internal/Approved</x:v>
      </x:c>
      <x:c r="Q242" s="24" t="str">
        <x:v>Not open</x:v>
      </x:c>
      <x:c r="R242" s="24" t="str">
        <x:v>14_Prefabs</x:v>
      </x:c>
      <x:c r="S242" s="24" t="str">
        <x:f>"T"&amp;IF(AND(H242&lt;&gt;"",I242&lt;&gt;"",K242&lt;&gt;"",N242&lt;&gt;"",P242&lt;&gt;""),5,IF(AND(H242&lt;&gt;"",K242&lt;&gt;"",G242&lt;&gt;""),4,IF(AND(H242&lt;&gt;"",K242&lt;&gt;""),3,IF(H242&lt;&gt;"",2,1))))</x:f>
        <x:v>T4</x:v>
      </x:c>
      <x:c r="T242" s="24" t="str">
        <x:v>VRM Games</x:v>
      </x:c>
      <x:c r="U242" s="24" t="str"/>
    </x:row>
    <x:row r="243" ht="34" customHeight="1">
      <x:c r="A243" s="24" t="str">
        <x:v>TRC-0239</x:v>
      </x:c>
      <x:c r="B243" s="24" t="str">
        <x:v>PFB-045</x:v>
      </x:c>
      <x:c r="C243" s="24" t="str">
        <x:v>Prefab</x:v>
      </x:c>
      <x:c r="D243" s="24" t="str">
        <x:v>AudioStation.prefab</x:v>
      </x:c>
      <x:c r="E243" s="24" t="str">
        <x:v>VISION / NOT OPEN</x:v>
      </x:c>
      <x:c r="F243" s="24" t="str">
        <x:v>Prefab available</x:v>
      </x:c>
      <x:c r="G243" s="24" t="str">
        <x:v>Pending/partial</x:v>
      </x:c>
      <x:c r="H243" s="24" t="str">
        <x:v>Assets/_Project/Prefabs/Expansions/Studio/AudioStation.prefab</x:v>
      </x:c>
      <x:c r="I243" s="24" t="str">
        <x:v>ec73e52504e46b447a8b28a511e31672</x:v>
      </x:c>
      <x:c r="J243" s="24" t="str"/>
      <x:c r="K243" s="24" t="str">
        <x:v>Scope controlled</x:v>
      </x:c>
      <x:c r="L243" s="24" t="str">
        <x:v>Future</x:v>
      </x:c>
      <x:c r="M243" s="24" t="str">
        <x:v>H6</x:v>
      </x:c>
      <x:c r="N243" s="24" t="str"/>
      <x:c r="O243" s="24" t="str"/>
      <x:c r="P243" s="24" t="str">
        <x:v>Internal/Approved</x:v>
      </x:c>
      <x:c r="Q243" s="24" t="str">
        <x:v>Not open</x:v>
      </x:c>
      <x:c r="R243" s="24" t="str">
        <x:v>14_Prefabs</x:v>
      </x:c>
      <x:c r="S243" s="24" t="str">
        <x:f>"T"&amp;IF(AND(H243&lt;&gt;"",I243&lt;&gt;"",K243&lt;&gt;"",N243&lt;&gt;"",P243&lt;&gt;""),5,IF(AND(H243&lt;&gt;"",K243&lt;&gt;"",G243&lt;&gt;""),4,IF(AND(H243&lt;&gt;"",K243&lt;&gt;""),3,IF(H243&lt;&gt;"",2,1))))</x:f>
        <x:v>T4</x:v>
      </x:c>
      <x:c r="T243" s="24" t="str">
        <x:v>VRM Games</x:v>
      </x:c>
      <x:c r="U243" s="24" t="str"/>
    </x:row>
    <x:row r="244" ht="34" customHeight="1">
      <x:c r="A244" s="24" t="str">
        <x:v>TRC-0240</x:v>
      </x:c>
      <x:c r="B244" s="24" t="str">
        <x:v>PFB-046</x:v>
      </x:c>
      <x:c r="C244" s="24" t="str">
        <x:v>Prefab</x:v>
      </x:c>
      <x:c r="D244" s="24" t="str">
        <x:v>DevDesk.prefab</x:v>
      </x:c>
      <x:c r="E244" s="24" t="str">
        <x:v>VISION / NOT OPEN</x:v>
      </x:c>
      <x:c r="F244" s="24" t="str">
        <x:v>Prefab available</x:v>
      </x:c>
      <x:c r="G244" s="24" t="str">
        <x:v>Pending/partial</x:v>
      </x:c>
      <x:c r="H244" s="24" t="str">
        <x:v>Assets/_Project/Prefabs/Expansions/Studio/DevDesk.prefab</x:v>
      </x:c>
      <x:c r="I244" s="24" t="str">
        <x:v>1f86cd44878a80a49bd1336bb2a8febf</x:v>
      </x:c>
      <x:c r="J244" s="24" t="str"/>
      <x:c r="K244" s="24" t="str">
        <x:v>Scope controlled</x:v>
      </x:c>
      <x:c r="L244" s="24" t="str">
        <x:v>Future</x:v>
      </x:c>
      <x:c r="M244" s="24" t="str">
        <x:v>H6</x:v>
      </x:c>
      <x:c r="N244" s="24" t="str"/>
      <x:c r="O244" s="24" t="str"/>
      <x:c r="P244" s="24" t="str">
        <x:v>Internal/Approved</x:v>
      </x:c>
      <x:c r="Q244" s="24" t="str">
        <x:v>Not open</x:v>
      </x:c>
      <x:c r="R244" s="24" t="str">
        <x:v>14_Prefabs</x:v>
      </x:c>
      <x:c r="S244" s="24" t="str">
        <x:f>"T"&amp;IF(AND(H244&lt;&gt;"",I244&lt;&gt;"",K244&lt;&gt;"",N244&lt;&gt;"",P244&lt;&gt;""),5,IF(AND(H244&lt;&gt;"",K244&lt;&gt;"",G244&lt;&gt;""),4,IF(AND(H244&lt;&gt;"",K244&lt;&gt;""),3,IF(H244&lt;&gt;"",2,1))))</x:f>
        <x:v>T4</x:v>
      </x:c>
      <x:c r="T244" s="24" t="str">
        <x:v>VRM Games</x:v>
      </x:c>
      <x:c r="U244" s="24" t="str"/>
    </x:row>
    <x:row r="245" ht="34" customHeight="1">
      <x:c r="A245" s="24" t="str">
        <x:v>TRC-0241</x:v>
      </x:c>
      <x:c r="B245" s="24" t="str">
        <x:v>PFB-047</x:v>
      </x:c>
      <x:c r="C245" s="24" t="str">
        <x:v>Prefab</x:v>
      </x:c>
      <x:c r="D245" s="24" t="str">
        <x:v>BackroomStorage.prefab</x:v>
      </x:c>
      <x:c r="E245" s="24" t="str">
        <x:v>REPRESENTATIVE / CURRENT</x:v>
      </x:c>
      <x:c r="F245" s="24" t="str">
        <x:v>Prefab available</x:v>
      </x:c>
      <x:c r="G245" s="24" t="str">
        <x:v>Pending/partial</x:v>
      </x:c>
      <x:c r="H245" s="24" t="str">
        <x:v>Assets/_Project/Prefabs/Furniture/BackroomStorage.prefab</x:v>
      </x:c>
      <x:c r="I245" s="24" t="str">
        <x:v>6a32d46b756131d355af34feb5ec815a</x:v>
      </x:c>
      <x:c r="J245" s="24" t="str"/>
      <x:c r="K245" s="24" t="str">
        <x:v>VS-ART-001;VS-SCN-002</x:v>
      </x:c>
      <x:c r="L245" s="24" t="n">
        <x:v>16</x:v>
      </x:c>
      <x:c r="M245" s="24" t="str">
        <x:v>H6</x:v>
      </x:c>
      <x:c r="N245" s="24" t="str"/>
      <x:c r="O245" s="24" t="str">
        <x:v>BLD-016-POST</x:v>
      </x:c>
      <x:c r="P245" s="24" t="str">
        <x:v>Internal/Approved</x:v>
      </x:c>
      <x:c r="Q245" s="24" t="str">
        <x:v>Authored-scene validation pending</x:v>
      </x:c>
      <x:c r="R245" s="24" t="str">
        <x:v>14_Prefabs</x:v>
      </x:c>
      <x:c r="S245" s="24" t="str">
        <x:f>"T"&amp;IF(AND(H245&lt;&gt;"",I245&lt;&gt;"",K245&lt;&gt;"",N245&lt;&gt;"",P245&lt;&gt;""),5,IF(AND(H245&lt;&gt;"",K245&lt;&gt;"",G245&lt;&gt;""),4,IF(AND(H245&lt;&gt;"",K245&lt;&gt;""),3,IF(H245&lt;&gt;"",2,1))))</x:f>
        <x:v>T4</x:v>
      </x:c>
      <x:c r="T245" s="24" t="str">
        <x:v>VRM Games</x:v>
      </x:c>
      <x:c r="U245" s="24" t="str"/>
    </x:row>
    <x:row r="246" ht="34" customHeight="1">
      <x:c r="A246" s="24" t="str">
        <x:v>TRC-0242</x:v>
      </x:c>
      <x:c r="B246" s="24" t="str">
        <x:v>PFB-048</x:v>
      </x:c>
      <x:c r="C246" s="24" t="str">
        <x:v>Prefab</x:v>
      </x:c>
      <x:c r="D246" s="24" t="str">
        <x:v>CentralShelf.prefab</x:v>
      </x:c>
      <x:c r="E246" s="24" t="str">
        <x:v>REPRESENTATIVE / CURRENT</x:v>
      </x:c>
      <x:c r="F246" s="24" t="str">
        <x:v>Prefab available</x:v>
      </x:c>
      <x:c r="G246" s="24" t="str">
        <x:v>Pending/partial</x:v>
      </x:c>
      <x:c r="H246" s="24" t="str">
        <x:v>Assets/_Project/Prefabs/Furniture/CentralShelf.prefab</x:v>
      </x:c>
      <x:c r="I246" s="24" t="str">
        <x:v>ee68430315c3ff624c8cb39e759e3362</x:v>
      </x:c>
      <x:c r="J246" s="24" t="str"/>
      <x:c r="K246" s="24" t="str">
        <x:v>VS-ART-001;VS-SCN-002</x:v>
      </x:c>
      <x:c r="L246" s="24" t="n">
        <x:v>16</x:v>
      </x:c>
      <x:c r="M246" s="24" t="str">
        <x:v>H6</x:v>
      </x:c>
      <x:c r="N246" s="24" t="str"/>
      <x:c r="O246" s="24" t="str">
        <x:v>BLD-016-POST</x:v>
      </x:c>
      <x:c r="P246" s="24" t="str">
        <x:v>Internal/Approved</x:v>
      </x:c>
      <x:c r="Q246" s="24" t="str">
        <x:v>Authored-scene validation pending</x:v>
      </x:c>
      <x:c r="R246" s="24" t="str">
        <x:v>14_Prefabs</x:v>
      </x:c>
      <x:c r="S246" s="24" t="str">
        <x:f>"T"&amp;IF(AND(H246&lt;&gt;"",I246&lt;&gt;"",K246&lt;&gt;"",N246&lt;&gt;"",P246&lt;&gt;""),5,IF(AND(H246&lt;&gt;"",K246&lt;&gt;"",G246&lt;&gt;""),4,IF(AND(H246&lt;&gt;"",K246&lt;&gt;""),3,IF(H246&lt;&gt;"",2,1))))</x:f>
        <x:v>T4</x:v>
      </x:c>
      <x:c r="T246" s="24" t="str">
        <x:v>VRM Games</x:v>
      </x:c>
      <x:c r="U246" s="24" t="str"/>
    </x:row>
    <x:row r="247" ht="34" customHeight="1">
      <x:c r="A247" s="24" t="str">
        <x:v>TRC-0243</x:v>
      </x:c>
      <x:c r="B247" s="24" t="str">
        <x:v>PFB-049</x:v>
      </x:c>
      <x:c r="C247" s="24" t="str">
        <x:v>Prefab</x:v>
      </x:c>
      <x:c r="D247" s="24" t="str">
        <x:v>CheckoutCounter.prefab</x:v>
      </x:c>
      <x:c r="E247" s="24" t="str">
        <x:v>REPRESENTATIVE / CURRENT</x:v>
      </x:c>
      <x:c r="F247" s="24" t="str">
        <x:v>Prefab available</x:v>
      </x:c>
      <x:c r="G247" s="24" t="str">
        <x:v>Pending/partial</x:v>
      </x:c>
      <x:c r="H247" s="24" t="str">
        <x:v>Assets/_Project/Prefabs/Furniture/CheckoutCounter.prefab</x:v>
      </x:c>
      <x:c r="I247" s="24" t="str">
        <x:v>50cf0cf3c5cf40b6b6cb2622a64001d4</x:v>
      </x:c>
      <x:c r="J247" s="24" t="str"/>
      <x:c r="K247" s="24" t="str">
        <x:v>VS-ART-001;VS-SCN-002</x:v>
      </x:c>
      <x:c r="L247" s="24" t="n">
        <x:v>16</x:v>
      </x:c>
      <x:c r="M247" s="24" t="str">
        <x:v>H6</x:v>
      </x:c>
      <x:c r="N247" s="24" t="str"/>
      <x:c r="O247" s="24" t="str">
        <x:v>BLD-016-POST</x:v>
      </x:c>
      <x:c r="P247" s="24" t="str">
        <x:v>Internal/Approved</x:v>
      </x:c>
      <x:c r="Q247" s="24" t="str">
        <x:v>Authored-scene validation pending</x:v>
      </x:c>
      <x:c r="R247" s="24" t="str">
        <x:v>14_Prefabs</x:v>
      </x:c>
      <x:c r="S247" s="24" t="str">
        <x:f>"T"&amp;IF(AND(H247&lt;&gt;"",I247&lt;&gt;"",K247&lt;&gt;"",N247&lt;&gt;"",P247&lt;&gt;""),5,IF(AND(H247&lt;&gt;"",K247&lt;&gt;"",G247&lt;&gt;""),4,IF(AND(H247&lt;&gt;"",K247&lt;&gt;""),3,IF(H247&lt;&gt;"",2,1))))</x:f>
        <x:v>T4</x:v>
      </x:c>
      <x:c r="T247" s="24" t="str">
        <x:v>VRM Games</x:v>
      </x:c>
      <x:c r="U247" s="24" t="str"/>
    </x:row>
    <x:row r="248" ht="34" customHeight="1">
      <x:c r="A248" s="24" t="str">
        <x:v>TRC-0244</x:v>
      </x:c>
      <x:c r="B248" s="24" t="str">
        <x:v>PFB-050</x:v>
      </x:c>
      <x:c r="C248" s="24" t="str">
        <x:v>Prefab</x:v>
      </x:c>
      <x:c r="D248" s="24" t="str">
        <x:v>DecorationPlant.prefab</x:v>
      </x:c>
      <x:c r="E248" s="24" t="str">
        <x:v>REPRESENTATIVE / CURRENT</x:v>
      </x:c>
      <x:c r="F248" s="24" t="str">
        <x:v>Prefab available</x:v>
      </x:c>
      <x:c r="G248" s="24" t="str">
        <x:v>Pending/partial</x:v>
      </x:c>
      <x:c r="H248" s="24" t="str">
        <x:v>Assets/_Project/Prefabs/Furniture/DecorationPlant.prefab</x:v>
      </x:c>
      <x:c r="I248" s="24" t="str">
        <x:v>f75e2d3953fef002ae67aa64f5d7b9a5</x:v>
      </x:c>
      <x:c r="J248" s="24" t="str"/>
      <x:c r="K248" s="24" t="str">
        <x:v>VS-ART-001;VS-SCN-002</x:v>
      </x:c>
      <x:c r="L248" s="24" t="n">
        <x:v>16</x:v>
      </x:c>
      <x:c r="M248" s="24" t="str">
        <x:v>H6</x:v>
      </x:c>
      <x:c r="N248" s="24" t="str"/>
      <x:c r="O248" s="24" t="str">
        <x:v>BLD-016-POST</x:v>
      </x:c>
      <x:c r="P248" s="24" t="str">
        <x:v>Internal/Approved</x:v>
      </x:c>
      <x:c r="Q248" s="24" t="str">
        <x:v>Authored-scene validation pending</x:v>
      </x:c>
      <x:c r="R248" s="24" t="str">
        <x:v>14_Prefabs</x:v>
      </x:c>
      <x:c r="S248" s="24" t="str">
        <x:f>"T"&amp;IF(AND(H248&lt;&gt;"",I248&lt;&gt;"",K248&lt;&gt;"",N248&lt;&gt;"",P248&lt;&gt;""),5,IF(AND(H248&lt;&gt;"",K248&lt;&gt;"",G248&lt;&gt;""),4,IF(AND(H248&lt;&gt;"",K248&lt;&gt;""),3,IF(H248&lt;&gt;"",2,1))))</x:f>
        <x:v>T4</x:v>
      </x:c>
      <x:c r="T248" s="24" t="str">
        <x:v>VRM Games</x:v>
      </x:c>
      <x:c r="U248" s="24" t="str"/>
    </x:row>
    <x:row r="249" ht="34" customHeight="1">
      <x:c r="A249" s="24" t="str">
        <x:v>TRC-0245</x:v>
      </x:c>
      <x:c r="B249" s="24" t="str">
        <x:v>PFB-051</x:v>
      </x:c>
      <x:c r="C249" s="24" t="str">
        <x:v>Prefab</x:v>
      </x:c>
      <x:c r="D249" s="24" t="str">
        <x:v>FeaturedDisplay.prefab</x:v>
      </x:c>
      <x:c r="E249" s="24" t="str">
        <x:v>REPRESENTATIVE / CURRENT</x:v>
      </x:c>
      <x:c r="F249" s="24" t="str">
        <x:v>Prefab available</x:v>
      </x:c>
      <x:c r="G249" s="24" t="str">
        <x:v>Pending/partial</x:v>
      </x:c>
      <x:c r="H249" s="24" t="str">
        <x:v>Assets/_Project/Prefabs/Furniture/FeaturedDisplay.prefab</x:v>
      </x:c>
      <x:c r="I249" s="24" t="str">
        <x:v>a220b490e14b7507c07ed1d5ebb45162</x:v>
      </x:c>
      <x:c r="J249" s="24" t="str"/>
      <x:c r="K249" s="24" t="str">
        <x:v>VS-ART-001;VS-SCN-002</x:v>
      </x:c>
      <x:c r="L249" s="24" t="n">
        <x:v>16</x:v>
      </x:c>
      <x:c r="M249" s="24" t="str">
        <x:v>H6</x:v>
      </x:c>
      <x:c r="N249" s="24" t="str"/>
      <x:c r="O249" s="24" t="str">
        <x:v>BLD-016-POST</x:v>
      </x:c>
      <x:c r="P249" s="24" t="str">
        <x:v>Internal/Approved</x:v>
      </x:c>
      <x:c r="Q249" s="24" t="str">
        <x:v>Authored-scene validation pending</x:v>
      </x:c>
      <x:c r="R249" s="24" t="str">
        <x:v>14_Prefabs</x:v>
      </x:c>
      <x:c r="S249" s="24" t="str">
        <x:f>"T"&amp;IF(AND(H249&lt;&gt;"",I249&lt;&gt;"",K249&lt;&gt;"",N249&lt;&gt;"",P249&lt;&gt;""),5,IF(AND(H249&lt;&gt;"",K249&lt;&gt;"",G249&lt;&gt;""),4,IF(AND(H249&lt;&gt;"",K249&lt;&gt;""),3,IF(H249&lt;&gt;"",2,1))))</x:f>
        <x:v>T4</x:v>
      </x:c>
      <x:c r="T249" s="24" t="str">
        <x:v>VRM Games</x:v>
      </x:c>
      <x:c r="U249" s="24" t="str"/>
    </x:row>
    <x:row r="250" ht="34" customHeight="1">
      <x:c r="A250" s="24" t="str">
        <x:v>TRC-0246</x:v>
      </x:c>
      <x:c r="B250" s="24" t="str">
        <x:v>PFB-052</x:v>
      </x:c>
      <x:c r="C250" s="24" t="str">
        <x:v>Prefab</x:v>
      </x:c>
      <x:c r="D250" s="24" t="str">
        <x:v>LowDisplay.prefab</x:v>
      </x:c>
      <x:c r="E250" s="24" t="str">
        <x:v>REPRESENTATIVE / CURRENT</x:v>
      </x:c>
      <x:c r="F250" s="24" t="str">
        <x:v>Prefab available</x:v>
      </x:c>
      <x:c r="G250" s="24" t="str">
        <x:v>Pending/partial</x:v>
      </x:c>
      <x:c r="H250" s="24" t="str">
        <x:v>Assets/_Project/Prefabs/Furniture/LowDisplay.prefab</x:v>
      </x:c>
      <x:c r="I250" s="24" t="str">
        <x:v>a50740f86803ca60444851be2b42c02e</x:v>
      </x:c>
      <x:c r="J250" s="24" t="str"/>
      <x:c r="K250" s="24" t="str">
        <x:v>VS-ART-001;VS-SCN-002</x:v>
      </x:c>
      <x:c r="L250" s="24" t="n">
        <x:v>16</x:v>
      </x:c>
      <x:c r="M250" s="24" t="str">
        <x:v>H6</x:v>
      </x:c>
      <x:c r="N250" s="24" t="str"/>
      <x:c r="O250" s="24" t="str">
        <x:v>BLD-016-POST</x:v>
      </x:c>
      <x:c r="P250" s="24" t="str">
        <x:v>Internal/Approved</x:v>
      </x:c>
      <x:c r="Q250" s="24" t="str">
        <x:v>Authored-scene validation pending</x:v>
      </x:c>
      <x:c r="R250" s="24" t="str">
        <x:v>14_Prefabs</x:v>
      </x:c>
      <x:c r="S250" s="24" t="str">
        <x:f>"T"&amp;IF(AND(H250&lt;&gt;"",I250&lt;&gt;"",K250&lt;&gt;"",N250&lt;&gt;"",P250&lt;&gt;""),5,IF(AND(H250&lt;&gt;"",K250&lt;&gt;"",G250&lt;&gt;""),4,IF(AND(H250&lt;&gt;"",K250&lt;&gt;""),3,IF(H250&lt;&gt;"",2,1))))</x:f>
        <x:v>T4</x:v>
      </x:c>
      <x:c r="T250" s="24" t="str">
        <x:v>VRM Games</x:v>
      </x:c>
      <x:c r="U250" s="24" t="str"/>
    </x:row>
    <x:row r="251" ht="34" customHeight="1">
      <x:c r="A251" s="24" t="str">
        <x:v>TRC-0247</x:v>
      </x:c>
      <x:c r="B251" s="24" t="str">
        <x:v>PFB-053</x:v>
      </x:c>
      <x:c r="C251" s="24" t="str">
        <x:v>Prefab</x:v>
      </x:c>
      <x:c r="D251" s="24" t="str">
        <x:v>ReceivingCrate.prefab</x:v>
      </x:c>
      <x:c r="E251" s="24" t="str">
        <x:v>REPRESENTATIVE / CURRENT</x:v>
      </x:c>
      <x:c r="F251" s="24" t="str">
        <x:v>Prefab available</x:v>
      </x:c>
      <x:c r="G251" s="24" t="str">
        <x:v>Pending/partial</x:v>
      </x:c>
      <x:c r="H251" s="24" t="str">
        <x:v>Assets/_Project/Prefabs/Furniture/ReceivingCrate.prefab</x:v>
      </x:c>
      <x:c r="I251" s="24" t="str">
        <x:v>61dde0e295b6d720919f8fb896444331</x:v>
      </x:c>
      <x:c r="J251" s="24" t="str"/>
      <x:c r="K251" s="24" t="str">
        <x:v>VS-ART-001;VS-SCN-002</x:v>
      </x:c>
      <x:c r="L251" s="24" t="n">
        <x:v>16</x:v>
      </x:c>
      <x:c r="M251" s="24" t="str">
        <x:v>H6</x:v>
      </x:c>
      <x:c r="N251" s="24" t="str"/>
      <x:c r="O251" s="24" t="str">
        <x:v>BLD-016-POST</x:v>
      </x:c>
      <x:c r="P251" s="24" t="str">
        <x:v>Internal/Approved</x:v>
      </x:c>
      <x:c r="Q251" s="24" t="str">
        <x:v>Authored-scene validation pending</x:v>
      </x:c>
      <x:c r="R251" s="24" t="str">
        <x:v>14_Prefabs</x:v>
      </x:c>
      <x:c r="S251" s="24" t="str">
        <x:f>"T"&amp;IF(AND(H251&lt;&gt;"",I251&lt;&gt;"",K251&lt;&gt;"",N251&lt;&gt;"",P251&lt;&gt;""),5,IF(AND(H251&lt;&gt;"",K251&lt;&gt;"",G251&lt;&gt;""),4,IF(AND(H251&lt;&gt;"",K251&lt;&gt;""),3,IF(H251&lt;&gt;"",2,1))))</x:f>
        <x:v>T4</x:v>
      </x:c>
      <x:c r="T251" s="24" t="str">
        <x:v>VRM Games</x:v>
      </x:c>
      <x:c r="U251" s="24" t="str"/>
    </x:row>
    <x:row r="252" ht="34" customHeight="1">
      <x:c r="A252" s="24" t="str">
        <x:v>TRC-0248</x:v>
      </x:c>
      <x:c r="B252" s="24" t="str">
        <x:v>PFB-054</x:v>
      </x:c>
      <x:c r="C252" s="24" t="str">
        <x:v>Prefab</x:v>
      </x:c>
      <x:c r="D252" s="24" t="str">
        <x:v>WallShelf.prefab</x:v>
      </x:c>
      <x:c r="E252" s="24" t="str">
        <x:v>REPRESENTATIVE / CURRENT</x:v>
      </x:c>
      <x:c r="F252" s="24" t="str">
        <x:v>Prefab available</x:v>
      </x:c>
      <x:c r="G252" s="24" t="str">
        <x:v>Pending/partial</x:v>
      </x:c>
      <x:c r="H252" s="24" t="str">
        <x:v>Assets/_Project/Prefabs/Furniture/WallShelf.prefab</x:v>
      </x:c>
      <x:c r="I252" s="24" t="str">
        <x:v>d85a9e733850c34695b6e866472e96ed</x:v>
      </x:c>
      <x:c r="J252" s="24" t="str"/>
      <x:c r="K252" s="24" t="str">
        <x:v>VS-ART-001;VS-SCN-002</x:v>
      </x:c>
      <x:c r="L252" s="24" t="n">
        <x:v>16</x:v>
      </x:c>
      <x:c r="M252" s="24" t="str">
        <x:v>H6</x:v>
      </x:c>
      <x:c r="N252" s="24" t="str"/>
      <x:c r="O252" s="24" t="str">
        <x:v>BLD-016-POST</x:v>
      </x:c>
      <x:c r="P252" s="24" t="str">
        <x:v>Internal/Approved</x:v>
      </x:c>
      <x:c r="Q252" s="24" t="str">
        <x:v>Authored-scene validation pending</x:v>
      </x:c>
      <x:c r="R252" s="24" t="str">
        <x:v>14_Prefabs</x:v>
      </x:c>
      <x:c r="S252" s="24" t="str">
        <x:f>"T"&amp;IF(AND(H252&lt;&gt;"",I252&lt;&gt;"",K252&lt;&gt;"",N252&lt;&gt;"",P252&lt;&gt;""),5,IF(AND(H252&lt;&gt;"",K252&lt;&gt;"",G252&lt;&gt;""),4,IF(AND(H252&lt;&gt;"",K252&lt;&gt;""),3,IF(H252&lt;&gt;"",2,1))))</x:f>
        <x:v>T4</x:v>
      </x:c>
      <x:c r="T252" s="24" t="str">
        <x:v>VRM Games</x:v>
      </x:c>
      <x:c r="U252" s="24" t="str"/>
    </x:row>
    <x:row r="253" ht="34" customHeight="1">
      <x:c r="A253" s="24" t="str">
        <x:v>TRC-0249</x:v>
      </x:c>
      <x:c r="B253" s="24" t="str">
        <x:v>PFB-055</x:v>
      </x:c>
      <x:c r="C253" s="24" t="str">
        <x:v>Prefab</x:v>
      </x:c>
      <x:c r="D253" s="24" t="str">
        <x:v>CloudRunnerCase.prefab</x:v>
      </x:c>
      <x:c r="E253" s="24" t="str">
        <x:v>REPRESENTATIVE / CURRENT</x:v>
      </x:c>
      <x:c r="F253" s="24" t="str">
        <x:v>Prefab available</x:v>
      </x:c>
      <x:c r="G253" s="24" t="str">
        <x:v>Pending/partial</x:v>
      </x:c>
      <x:c r="H253" s="24" t="str">
        <x:v>Assets/_Project/Prefabs/Products/CloudRunnerCase.prefab</x:v>
      </x:c>
      <x:c r="I253" s="24" t="str">
        <x:v>a61666dd7120c6ca962105fa1a44ad89</x:v>
      </x:c>
      <x:c r="J253" s="24" t="str"/>
      <x:c r="K253" s="24" t="str">
        <x:v>VS-ART-001;VS-SCN-002</x:v>
      </x:c>
      <x:c r="L253" s="24" t="n">
        <x:v>16</x:v>
      </x:c>
      <x:c r="M253" s="24" t="str">
        <x:v>H6</x:v>
      </x:c>
      <x:c r="N253" s="24" t="str"/>
      <x:c r="O253" s="24" t="str">
        <x:v>BLD-016-POST</x:v>
      </x:c>
      <x:c r="P253" s="24" t="str">
        <x:v>Internal/Approved</x:v>
      </x:c>
      <x:c r="Q253" s="24" t="str">
        <x:v>Authored-scene validation pending</x:v>
      </x:c>
      <x:c r="R253" s="24" t="str">
        <x:v>14_Prefabs</x:v>
      </x:c>
      <x:c r="S253" s="24" t="str">
        <x:f>"T"&amp;IF(AND(H253&lt;&gt;"",I253&lt;&gt;"",K253&lt;&gt;"",N253&lt;&gt;"",P253&lt;&gt;""),5,IF(AND(H253&lt;&gt;"",K253&lt;&gt;"",G253&lt;&gt;""),4,IF(AND(H253&lt;&gt;"",K253&lt;&gt;""),3,IF(H253&lt;&gt;"",2,1))))</x:f>
        <x:v>T4</x:v>
      </x:c>
      <x:c r="T253" s="24" t="str">
        <x:v>VRM Games</x:v>
      </x:c>
      <x:c r="U253" s="24" t="str"/>
    </x:row>
    <x:row r="254" ht="34" customHeight="1">
      <x:c r="A254" s="24" t="str">
        <x:v>TRC-0250</x:v>
      </x:c>
      <x:c r="B254" s="24" t="str">
        <x:v>PFB-056</x:v>
      </x:c>
      <x:c r="C254" s="24" t="str">
        <x:v>Prefab</x:v>
      </x:c>
      <x:c r="D254" s="24" t="str">
        <x:v>MemoryCoreAccessory.prefab</x:v>
      </x:c>
      <x:c r="E254" s="24" t="str">
        <x:v>REPRESENTATIVE / CURRENT</x:v>
      </x:c>
      <x:c r="F254" s="24" t="str">
        <x:v>Prefab available</x:v>
      </x:c>
      <x:c r="G254" s="24" t="str">
        <x:v>Pending/partial</x:v>
      </x:c>
      <x:c r="H254" s="24" t="str">
        <x:v>Assets/_Project/Prefabs/Products/MemoryCoreAccessory.prefab</x:v>
      </x:c>
      <x:c r="I254" s="24" t="str">
        <x:v>5ede70c331046392f8d66c885ebe2a1e</x:v>
      </x:c>
      <x:c r="J254" s="24" t="str"/>
      <x:c r="K254" s="24" t="str">
        <x:v>VS-ART-001;VS-SCN-002</x:v>
      </x:c>
      <x:c r="L254" s="24" t="n">
        <x:v>16</x:v>
      </x:c>
      <x:c r="M254" s="24" t="str">
        <x:v>H6</x:v>
      </x:c>
      <x:c r="N254" s="24" t="str"/>
      <x:c r="O254" s="24" t="str">
        <x:v>BLD-016-POST</x:v>
      </x:c>
      <x:c r="P254" s="24" t="str">
        <x:v>Internal/Approved</x:v>
      </x:c>
      <x:c r="Q254" s="24" t="str">
        <x:v>Authored-scene validation pending</x:v>
      </x:c>
      <x:c r="R254" s="24" t="str">
        <x:v>14_Prefabs</x:v>
      </x:c>
      <x:c r="S254" s="24" t="str">
        <x:f>"T"&amp;IF(AND(H254&lt;&gt;"",I254&lt;&gt;"",K254&lt;&gt;"",N254&lt;&gt;"",P254&lt;&gt;""),5,IF(AND(H254&lt;&gt;"",K254&lt;&gt;"",G254&lt;&gt;""),4,IF(AND(H254&lt;&gt;"",K254&lt;&gt;""),3,IF(H254&lt;&gt;"",2,1))))</x:f>
        <x:v>T4</x:v>
      </x:c>
      <x:c r="T254" s="24" t="str">
        <x:v>VRM Games</x:v>
      </x:c>
      <x:c r="U254" s="24" t="str"/>
    </x:row>
    <x:row r="255" ht="34" customHeight="1">
      <x:c r="A255" s="24" t="str">
        <x:v>TRC-0251</x:v>
      </x:c>
      <x:c r="B255" s="24" t="str">
        <x:v>PFB-057</x:v>
      </x:c>
      <x:c r="C255" s="24" t="str">
        <x:v>Prefab</x:v>
      </x:c>
      <x:c r="D255" s="24" t="str">
        <x:v>NeonDrift.prefab</x:v>
      </x:c>
      <x:c r="E255" s="24" t="str">
        <x:v>REPRESENTATIVE / CURRENT</x:v>
      </x:c>
      <x:c r="F255" s="24" t="str">
        <x:v>Prefab available</x:v>
      </x:c>
      <x:c r="G255" s="24" t="str">
        <x:v>Pending/partial</x:v>
      </x:c>
      <x:c r="H255" s="24" t="str">
        <x:v>Assets/_Project/Prefabs/Products/NeonDrift.prefab</x:v>
      </x:c>
      <x:c r="I255" s="24" t="str">
        <x:v>5ff5d278aad9e48c26952b67e72c9405</x:v>
      </x:c>
      <x:c r="J255" s="24" t="str"/>
      <x:c r="K255" s="24" t="str">
        <x:v>VS-ART-001;VS-SCN-002</x:v>
      </x:c>
      <x:c r="L255" s="24" t="n">
        <x:v>16</x:v>
      </x:c>
      <x:c r="M255" s="24" t="str">
        <x:v>H6</x:v>
      </x:c>
      <x:c r="N255" s="24" t="str"/>
      <x:c r="O255" s="24" t="str">
        <x:v>BLD-016-POST</x:v>
      </x:c>
      <x:c r="P255" s="24" t="str">
        <x:v>Internal/Approved</x:v>
      </x:c>
      <x:c r="Q255" s="24" t="str">
        <x:v>Authored-scene validation pending</x:v>
      </x:c>
      <x:c r="R255" s="24" t="str">
        <x:v>14_Prefabs</x:v>
      </x:c>
      <x:c r="S255" s="24" t="str">
        <x:f>"T"&amp;IF(AND(H255&lt;&gt;"",I255&lt;&gt;"",K255&lt;&gt;"",N255&lt;&gt;"",P255&lt;&gt;""),5,IF(AND(H255&lt;&gt;"",K255&lt;&gt;"",G255&lt;&gt;""),4,IF(AND(H255&lt;&gt;"",K255&lt;&gt;""),3,IF(H255&lt;&gt;"",2,1))))</x:f>
        <x:v>T4</x:v>
      </x:c>
      <x:c r="T255" s="24" t="str">
        <x:v>VRM Games</x:v>
      </x:c>
      <x:c r="U255" s="24" t="str"/>
    </x:row>
    <x:row r="256" ht="34" customHeight="1">
      <x:c r="A256" s="24" t="str">
        <x:v>TRC-0252</x:v>
      </x:c>
      <x:c r="B256" s="24" t="str">
        <x:v>PFB-058</x:v>
      </x:c>
      <x:c r="C256" s="24" t="str">
        <x:v>Prefab</x:v>
      </x:c>
      <x:c r="D256" s="24" t="str">
        <x:v>OrbitPadController.prefab</x:v>
      </x:c>
      <x:c r="E256" s="24" t="str">
        <x:v>REPRESENTATIVE / CURRENT</x:v>
      </x:c>
      <x:c r="F256" s="24" t="str">
        <x:v>Prefab available</x:v>
      </x:c>
      <x:c r="G256" s="24" t="str">
        <x:v>Pending/partial</x:v>
      </x:c>
      <x:c r="H256" s="24" t="str">
        <x:v>Assets/_Project/Prefabs/Products/OrbitPadController.prefab</x:v>
      </x:c>
      <x:c r="I256" s="24" t="str">
        <x:v>284a9c89ea04890133aedc074bfb9780</x:v>
      </x:c>
      <x:c r="J256" s="24" t="str"/>
      <x:c r="K256" s="24" t="str">
        <x:v>VS-ART-001;VS-SCN-002</x:v>
      </x:c>
      <x:c r="L256" s="24" t="n">
        <x:v>16</x:v>
      </x:c>
      <x:c r="M256" s="24" t="str">
        <x:v>H6</x:v>
      </x:c>
      <x:c r="N256" s="24" t="str"/>
      <x:c r="O256" s="24" t="str">
        <x:v>BLD-016-POST</x:v>
      </x:c>
      <x:c r="P256" s="24" t="str">
        <x:v>Internal/Approved</x:v>
      </x:c>
      <x:c r="Q256" s="24" t="str">
        <x:v>Authored-scene validation pending</x:v>
      </x:c>
      <x:c r="R256" s="24" t="str">
        <x:v>14_Prefabs</x:v>
      </x:c>
      <x:c r="S256" s="24" t="str">
        <x:f>"T"&amp;IF(AND(H256&lt;&gt;"",I256&lt;&gt;"",K256&lt;&gt;"",N256&lt;&gt;"",P256&lt;&gt;""),5,IF(AND(H256&lt;&gt;"",K256&lt;&gt;"",G256&lt;&gt;""),4,IF(AND(H256&lt;&gt;"",K256&lt;&gt;""),3,IF(H256&lt;&gt;"",2,1))))</x:f>
        <x:v>T4</x:v>
      </x:c>
      <x:c r="T256" s="24" t="str">
        <x:v>VRM Games</x:v>
      </x:c>
      <x:c r="U256" s="24" t="str"/>
    </x:row>
    <x:row r="257" ht="34" customHeight="1">
      <x:c r="A257" s="24" t="str">
        <x:v>TRC-0253</x:v>
      </x:c>
      <x:c r="B257" s="24" t="str">
        <x:v>PFB-059</x:v>
      </x:c>
      <x:c r="C257" s="24" t="str">
        <x:v>Prefab</x:v>
      </x:c>
      <x:c r="D257" s="24" t="str">
        <x:v>MemoryCoreBox.prefab</x:v>
      </x:c>
      <x:c r="E257" s="24" t="str">
        <x:v>REPRESENTATIVE / CURRENT</x:v>
      </x:c>
      <x:c r="F257" s="24" t="str">
        <x:v>Prefab available</x:v>
      </x:c>
      <x:c r="G257" s="24" t="str">
        <x:v>Pending/partial</x:v>
      </x:c>
      <x:c r="H257" s="24" t="str">
        <x:v>Assets/_Project/Prefabs/Products/Packaging/MemoryCoreBox.prefab</x:v>
      </x:c>
      <x:c r="I257" s="24" t="str">
        <x:v>a811816a660cd244c8e7cdc35b3a6a29</x:v>
      </x:c>
      <x:c r="J257" s="24" t="str"/>
      <x:c r="K257" s="24" t="str">
        <x:v>VS-ART-001;VS-SCN-002</x:v>
      </x:c>
      <x:c r="L257" s="24" t="n">
        <x:v>16</x:v>
      </x:c>
      <x:c r="M257" s="24" t="str">
        <x:v>H6</x:v>
      </x:c>
      <x:c r="N257" s="24" t="str"/>
      <x:c r="O257" s="24" t="str">
        <x:v>BLD-016-POST</x:v>
      </x:c>
      <x:c r="P257" s="24" t="str">
        <x:v>Internal/Approved</x:v>
      </x:c>
      <x:c r="Q257" s="24" t="str">
        <x:v>Authored-scene validation pending</x:v>
      </x:c>
      <x:c r="R257" s="24" t="str">
        <x:v>14_Prefabs</x:v>
      </x:c>
      <x:c r="S257" s="24" t="str">
        <x:f>"T"&amp;IF(AND(H257&lt;&gt;"",I257&lt;&gt;"",K257&lt;&gt;"",N257&lt;&gt;"",P257&lt;&gt;""),5,IF(AND(H257&lt;&gt;"",K257&lt;&gt;"",G257&lt;&gt;""),4,IF(AND(H257&lt;&gt;"",K257&lt;&gt;""),3,IF(H257&lt;&gt;"",2,1))))</x:f>
        <x:v>T4</x:v>
      </x:c>
      <x:c r="T257" s="24" t="str">
        <x:v>VRM Games</x:v>
      </x:c>
      <x:c r="U257" s="24" t="str"/>
    </x:row>
    <x:row r="258" ht="34" customHeight="1">
      <x:c r="A258" s="24" t="str">
        <x:v>TRC-0254</x:v>
      </x:c>
      <x:c r="B258" s="24" t="str">
        <x:v>PFB-060</x:v>
      </x:c>
      <x:c r="C258" s="24" t="str">
        <x:v>Prefab</x:v>
      </x:c>
      <x:c r="D258" s="24" t="str">
        <x:v>OrbitPadBox.prefab</x:v>
      </x:c>
      <x:c r="E258" s="24" t="str">
        <x:v>REPRESENTATIVE / CURRENT</x:v>
      </x:c>
      <x:c r="F258" s="24" t="str">
        <x:v>Prefab available</x:v>
      </x:c>
      <x:c r="G258" s="24" t="str">
        <x:v>Pending/partial</x:v>
      </x:c>
      <x:c r="H258" s="24" t="str">
        <x:v>Assets/_Project/Prefabs/Products/Packaging/OrbitPadBox.prefab</x:v>
      </x:c>
      <x:c r="I258" s="24" t="str">
        <x:v>deca8db8279a11b4c893b6e1db0b7d75</x:v>
      </x:c>
      <x:c r="J258" s="24" t="str"/>
      <x:c r="K258" s="24" t="str">
        <x:v>VS-ART-001;VS-SCN-002</x:v>
      </x:c>
      <x:c r="L258" s="24" t="n">
        <x:v>16</x:v>
      </x:c>
      <x:c r="M258" s="24" t="str">
        <x:v>H6</x:v>
      </x:c>
      <x:c r="N258" s="24" t="str"/>
      <x:c r="O258" s="24" t="str">
        <x:v>BLD-016-POST</x:v>
      </x:c>
      <x:c r="P258" s="24" t="str">
        <x:v>Internal/Approved</x:v>
      </x:c>
      <x:c r="Q258" s="24" t="str">
        <x:v>Authored-scene validation pending</x:v>
      </x:c>
      <x:c r="R258" s="24" t="str">
        <x:v>14_Prefabs</x:v>
      </x:c>
      <x:c r="S258" s="24" t="str">
        <x:f>"T"&amp;IF(AND(H258&lt;&gt;"",I258&lt;&gt;"",K258&lt;&gt;"",N258&lt;&gt;"",P258&lt;&gt;""),5,IF(AND(H258&lt;&gt;"",K258&lt;&gt;"",G258&lt;&gt;""),4,IF(AND(H258&lt;&gt;"",K258&lt;&gt;""),3,IF(H258&lt;&gt;"",2,1))))</x:f>
        <x:v>T4</x:v>
      </x:c>
      <x:c r="T258" s="24" t="str">
        <x:v>VRM Games</x:v>
      </x:c>
      <x:c r="U258" s="24" t="str"/>
    </x:row>
    <x:row r="259" ht="34" customHeight="1">
      <x:c r="A259" s="24" t="str">
        <x:v>TRC-0255</x:v>
      </x:c>
      <x:c r="B259" s="24" t="str">
        <x:v>PFB-061</x:v>
      </x:c>
      <x:c r="C259" s="24" t="str">
        <x:v>Prefab</x:v>
      </x:c>
      <x:c r="D259" s="24" t="str">
        <x:v>SignalProBox.prefab</x:v>
      </x:c>
      <x:c r="E259" s="24" t="str">
        <x:v>REPRESENTATIVE / CURRENT</x:v>
      </x:c>
      <x:c r="F259" s="24" t="str">
        <x:v>Prefab available</x:v>
      </x:c>
      <x:c r="G259" s="24" t="str">
        <x:v>Pending/partial</x:v>
      </x:c>
      <x:c r="H259" s="24" t="str">
        <x:v>Assets/_Project/Prefabs/Products/Packaging/SignalProBox.prefab</x:v>
      </x:c>
      <x:c r="I259" s="24" t="str">
        <x:v>9cbf9396578b87a4083154ce4c5c83b4</x:v>
      </x:c>
      <x:c r="J259" s="24" t="str"/>
      <x:c r="K259" s="24" t="str">
        <x:v>VS-ART-001;VS-SCN-002</x:v>
      </x:c>
      <x:c r="L259" s="24" t="n">
        <x:v>16</x:v>
      </x:c>
      <x:c r="M259" s="24" t="str">
        <x:v>H6</x:v>
      </x:c>
      <x:c r="N259" s="24" t="str"/>
      <x:c r="O259" s="24" t="str">
        <x:v>BLD-016-POST</x:v>
      </x:c>
      <x:c r="P259" s="24" t="str">
        <x:v>Internal/Approved</x:v>
      </x:c>
      <x:c r="Q259" s="24" t="str">
        <x:v>Authored-scene validation pending</x:v>
      </x:c>
      <x:c r="R259" s="24" t="str">
        <x:v>14_Prefabs</x:v>
      </x:c>
      <x:c r="S259" s="24" t="str">
        <x:f>"T"&amp;IF(AND(H259&lt;&gt;"",I259&lt;&gt;"",K259&lt;&gt;"",N259&lt;&gt;"",P259&lt;&gt;""),5,IF(AND(H259&lt;&gt;"",K259&lt;&gt;"",G259&lt;&gt;""),4,IF(AND(H259&lt;&gt;"",K259&lt;&gt;""),3,IF(H259&lt;&gt;"",2,1))))</x:f>
        <x:v>T4</x:v>
      </x:c>
      <x:c r="T259" s="24" t="str">
        <x:v>VRM Games</x:v>
      </x:c>
      <x:c r="U259" s="24" t="str"/>
    </x:row>
    <x:row r="260" ht="34" customHeight="1">
      <x:c r="A260" s="24" t="str">
        <x:v>TRC-0256</x:v>
      </x:c>
      <x:c r="B260" s="24" t="str">
        <x:v>PFB-062</x:v>
      </x:c>
      <x:c r="C260" s="24" t="str">
        <x:v>Prefab</x:v>
      </x:c>
      <x:c r="D260" s="24" t="str">
        <x:v>VertexOneBox.prefab</x:v>
      </x:c>
      <x:c r="E260" s="24" t="str">
        <x:v>REPRESENTATIVE / CURRENT</x:v>
      </x:c>
      <x:c r="F260" s="24" t="str">
        <x:v>Prefab available</x:v>
      </x:c>
      <x:c r="G260" s="24" t="str">
        <x:v>Pending/partial</x:v>
      </x:c>
      <x:c r="H260" s="24" t="str">
        <x:v>Assets/_Project/Prefabs/Products/Packaging/VertexOneBox.prefab</x:v>
      </x:c>
      <x:c r="I260" s="24" t="str">
        <x:v>0be192659d3ef1d4cb8748114dfd2307</x:v>
      </x:c>
      <x:c r="J260" s="24" t="str"/>
      <x:c r="K260" s="24" t="str">
        <x:v>VS-ART-001;VS-SCN-002</x:v>
      </x:c>
      <x:c r="L260" s="24" t="n">
        <x:v>16</x:v>
      </x:c>
      <x:c r="M260" s="24" t="str">
        <x:v>H6</x:v>
      </x:c>
      <x:c r="N260" s="24" t="str"/>
      <x:c r="O260" s="24" t="str">
        <x:v>BLD-016-POST</x:v>
      </x:c>
      <x:c r="P260" s="24" t="str">
        <x:v>Internal/Approved</x:v>
      </x:c>
      <x:c r="Q260" s="24" t="str">
        <x:v>Authored-scene validation pending</x:v>
      </x:c>
      <x:c r="R260" s="24" t="str">
        <x:v>14_Prefabs</x:v>
      </x:c>
      <x:c r="S260" s="24" t="str">
        <x:f>"T"&amp;IF(AND(H260&lt;&gt;"",I260&lt;&gt;"",K260&lt;&gt;"",N260&lt;&gt;"",P260&lt;&gt;""),5,IF(AND(H260&lt;&gt;"",K260&lt;&gt;"",G260&lt;&gt;""),4,IF(AND(H260&lt;&gt;"",K260&lt;&gt;""),3,IF(H260&lt;&gt;"",2,1))))</x:f>
        <x:v>T4</x:v>
      </x:c>
      <x:c r="T260" s="24" t="str">
        <x:v>VRM Games</x:v>
      </x:c>
      <x:c r="U260" s="24" t="str"/>
    </x:row>
    <x:row r="261" ht="34" customHeight="1">
      <x:c r="A261" s="24" t="str">
        <x:v>TRC-0257</x:v>
      </x:c>
      <x:c r="B261" s="24" t="str">
        <x:v>PFB-063</x:v>
      </x:c>
      <x:c r="C261" s="24" t="str">
        <x:v>Prefab</x:v>
      </x:c>
      <x:c r="D261" s="24" t="str">
        <x:v>SignalProHeadset.prefab</x:v>
      </x:c>
      <x:c r="E261" s="24" t="str">
        <x:v>REPRESENTATIVE / CURRENT</x:v>
      </x:c>
      <x:c r="F261" s="24" t="str">
        <x:v>Prefab available</x:v>
      </x:c>
      <x:c r="G261" s="24" t="str">
        <x:v>Pending/partial</x:v>
      </x:c>
      <x:c r="H261" s="24" t="str">
        <x:v>Assets/_Project/Prefabs/Products/SignalProHeadset.prefab</x:v>
      </x:c>
      <x:c r="I261" s="24" t="str">
        <x:v>2ef0238a34274b9d294281346ee99c23</x:v>
      </x:c>
      <x:c r="J261" s="24" t="str"/>
      <x:c r="K261" s="24" t="str">
        <x:v>VS-ART-001;VS-SCN-002</x:v>
      </x:c>
      <x:c r="L261" s="24" t="n">
        <x:v>16</x:v>
      </x:c>
      <x:c r="M261" s="24" t="str">
        <x:v>H6</x:v>
      </x:c>
      <x:c r="N261" s="24" t="str"/>
      <x:c r="O261" s="24" t="str">
        <x:v>BLD-016-POST</x:v>
      </x:c>
      <x:c r="P261" s="24" t="str">
        <x:v>Internal/Approved</x:v>
      </x:c>
      <x:c r="Q261" s="24" t="str">
        <x:v>Authored-scene validation pending</x:v>
      </x:c>
      <x:c r="R261" s="24" t="str">
        <x:v>14_Prefabs</x:v>
      </x:c>
      <x:c r="S261" s="24" t="str">
        <x:f>"T"&amp;IF(AND(H261&lt;&gt;"",I261&lt;&gt;"",K261&lt;&gt;"",N261&lt;&gt;"",P261&lt;&gt;""),5,IF(AND(H261&lt;&gt;"",K261&lt;&gt;"",G261&lt;&gt;""),4,IF(AND(H261&lt;&gt;"",K261&lt;&gt;""),3,IF(H261&lt;&gt;"",2,1))))</x:f>
        <x:v>T4</x:v>
      </x:c>
      <x:c r="T261" s="24" t="str">
        <x:v>VRM Games</x:v>
      </x:c>
      <x:c r="U261" s="24" t="str"/>
    </x:row>
    <x:row r="262" ht="34" customHeight="1">
      <x:c r="A262" s="24" t="str">
        <x:v>TRC-0258</x:v>
      </x:c>
      <x:c r="B262" s="24" t="str">
        <x:v>PFB-064</x:v>
      </x:c>
      <x:c r="C262" s="24" t="str">
        <x:v>Prefab</x:v>
      </x:c>
      <x:c r="D262" s="24" t="str">
        <x:v>VertexOneConsole.prefab</x:v>
      </x:c>
      <x:c r="E262" s="24" t="str">
        <x:v>REPRESENTATIVE / CURRENT</x:v>
      </x:c>
      <x:c r="F262" s="24" t="str">
        <x:v>Prefab available</x:v>
      </x:c>
      <x:c r="G262" s="24" t="str">
        <x:v>Pending/partial</x:v>
      </x:c>
      <x:c r="H262" s="24" t="str">
        <x:v>Assets/_Project/Prefabs/Products/VertexOneConsole.prefab</x:v>
      </x:c>
      <x:c r="I262" s="24" t="str">
        <x:v>a13d977b9b4144699385c65def0e446a</x:v>
      </x:c>
      <x:c r="J262" s="24" t="str"/>
      <x:c r="K262" s="24" t="str">
        <x:v>VS-ART-001;VS-SCN-002</x:v>
      </x:c>
      <x:c r="L262" s="24" t="n">
        <x:v>16</x:v>
      </x:c>
      <x:c r="M262" s="24" t="str">
        <x:v>H6</x:v>
      </x:c>
      <x:c r="N262" s="24" t="str"/>
      <x:c r="O262" s="24" t="str">
        <x:v>BLD-016-POST</x:v>
      </x:c>
      <x:c r="P262" s="24" t="str">
        <x:v>Internal/Approved</x:v>
      </x:c>
      <x:c r="Q262" s="24" t="str">
        <x:v>Authored-scene validation pending</x:v>
      </x:c>
      <x:c r="R262" s="24" t="str">
        <x:v>14_Prefabs</x:v>
      </x:c>
      <x:c r="S262" s="24" t="str">
        <x:f>"T"&amp;IF(AND(H262&lt;&gt;"",I262&lt;&gt;"",K262&lt;&gt;"",N262&lt;&gt;"",P262&lt;&gt;""),5,IF(AND(H262&lt;&gt;"",K262&lt;&gt;"",G262&lt;&gt;""),4,IF(AND(H262&lt;&gt;"",K262&lt;&gt;""),3,IF(H262&lt;&gt;"",2,1))))</x:f>
        <x:v>T4</x:v>
      </x:c>
      <x:c r="T262" s="24" t="str">
        <x:v>VRM Games</x:v>
      </x:c>
      <x:c r="U262" s="24" t="str"/>
    </x:row>
    <x:row r="263" ht="34" customHeight="1">
      <x:c r="A263" s="24" t="str">
        <x:v>TRC-0259</x:v>
      </x:c>
      <x:c r="B263" s="24" t="str">
        <x:v>SCN-001</x:v>
      </x:c>
      <x:c r="C263" s="24" t="str">
        <x:v>Scene/Zone</x:v>
      </x:c>
      <x:c r="D263" s="24" t="str">
        <x:v>Bootstrap</x:v>
      </x:c>
      <x:c r="E263" s="24" t="str">
        <x:v>ACTIVE/HISTORICAL</x:v>
      </x:c>
      <x:c r="F263" s="24" t="str">
        <x:v>Build list / active</x:v>
      </x:c>
      <x:c r="G263" s="24" t="str">
        <x:v>Baseline/role dependent</x:v>
      </x:c>
      <x:c r="H263" s="24" t="str">
        <x:v>Assets/_Project/Scenes/Bootstrap.unity</x:v>
      </x:c>
      <x:c r="I263" s="24" t="str">
        <x:v>ada1e52ac6e09b9468e2109ccc7cbfc0</x:v>
      </x:c>
      <x:c r="J263" s="24" t="str"/>
      <x:c r="K263" s="24" t="str">
        <x:v>VS-APP-001</x:v>
      </x:c>
      <x:c r="L263" s="24" t="str">
        <x:v>0–15</x:v>
      </x:c>
      <x:c r="M263" s="24" t="str">
        <x:v>H6</x:v>
      </x:c>
      <x:c r="N263" s="24" t="str"/>
      <x:c r="O263" s="24" t="str"/>
      <x:c r="P263" s="24" t="str"/>
      <x:c r="Q263" s="24" t="str"/>
      <x:c r="R263" s="24" t="str">
        <x:v>15_Escenas_Zonas</x:v>
      </x:c>
      <x:c r="S263" s="24" t="str">
        <x:f>"T"&amp;IF(AND(H263&lt;&gt;"",I263&lt;&gt;"",K263&lt;&gt;"",N263&lt;&gt;"",P263&lt;&gt;""),5,IF(AND(H263&lt;&gt;"",K263&lt;&gt;"",G263&lt;&gt;""),4,IF(AND(H263&lt;&gt;"",K263&lt;&gt;""),3,IF(H263&lt;&gt;"",2,1))))</x:f>
        <x:v>T4</x:v>
      </x:c>
      <x:c r="T263" s="24" t="str">
        <x:v>VRM Games</x:v>
      </x:c>
      <x:c r="U263" s="24" t="str"/>
    </x:row>
    <x:row r="264" ht="34" customHeight="1">
      <x:c r="A264" s="24" t="str">
        <x:v>TRC-0260</x:v>
      </x:c>
      <x:c r="B264" s="24" t="str">
        <x:v>SCN-002</x:v>
      </x:c>
      <x:c r="C264" s="24" t="str">
        <x:v>Scene/Zone</x:v>
      </x:c>
      <x:c r="D264" s="24" t="str">
        <x:v>MainMenu</x:v>
      </x:c>
      <x:c r="E264" s="24" t="str">
        <x:v>ACTIVE/HISTORICAL</x:v>
      </x:c>
      <x:c r="F264" s="24" t="str">
        <x:v>Build list / active</x:v>
      </x:c>
      <x:c r="G264" s="24" t="str">
        <x:v>Baseline/role dependent</x:v>
      </x:c>
      <x:c r="H264" s="24" t="str">
        <x:v>Assets/_Project/Scenes/MainMenu.unity</x:v>
      </x:c>
      <x:c r="I264" s="24" t="str">
        <x:v>b00786c6952a55d418cf16503030c766</x:v>
      </x:c>
      <x:c r="J264" s="24" t="str"/>
      <x:c r="K264" s="24" t="str">
        <x:v>VS-APP-001</x:v>
      </x:c>
      <x:c r="L264" s="24" t="str">
        <x:v>0–15</x:v>
      </x:c>
      <x:c r="M264" s="24" t="str">
        <x:v>H6</x:v>
      </x:c>
      <x:c r="N264" s="24" t="str"/>
      <x:c r="O264" s="24" t="str"/>
      <x:c r="P264" s="24" t="str"/>
      <x:c r="Q264" s="24" t="str"/>
      <x:c r="R264" s="24" t="str">
        <x:v>15_Escenas_Zonas</x:v>
      </x:c>
      <x:c r="S264" s="24" t="str">
        <x:f>"T"&amp;IF(AND(H264&lt;&gt;"",I264&lt;&gt;"",K264&lt;&gt;"",N264&lt;&gt;"",P264&lt;&gt;""),5,IF(AND(H264&lt;&gt;"",K264&lt;&gt;"",G264&lt;&gt;""),4,IF(AND(H264&lt;&gt;"",K264&lt;&gt;""),3,IF(H264&lt;&gt;"",2,1))))</x:f>
        <x:v>T4</x:v>
      </x:c>
      <x:c r="T264" s="24" t="str">
        <x:v>VRM Games</x:v>
      </x:c>
      <x:c r="U264" s="24" t="str"/>
    </x:row>
    <x:row r="265" ht="34" customHeight="1">
      <x:c r="A265" s="24" t="str">
        <x:v>TRC-0261</x:v>
      </x:c>
      <x:c r="B265" s="24" t="str">
        <x:v>SCN-003</x:v>
      </x:c>
      <x:c r="C265" s="24" t="str">
        <x:v>Scene/Zone</x:v>
      </x:c>
      <x:c r="D265" s="24" t="str">
        <x:v>Store</x:v>
      </x:c>
      <x:c r="E265" s="24" t="str">
        <x:v>ACTIVE/HISTORICAL</x:v>
      </x:c>
      <x:c r="F265" s="24" t="str">
        <x:v>Build list / current runtime</x:v>
      </x:c>
      <x:c r="G265" s="24" t="str">
        <x:v>Baseline/role dependent</x:v>
      </x:c>
      <x:c r="H265" s="24" t="str">
        <x:v>Assets/_Project/Scenes/Store.unity</x:v>
      </x:c>
      <x:c r="I265" s="24" t="str">
        <x:v>45adcce906944f74bad3a0fb7d62f8e5</x:v>
      </x:c>
      <x:c r="J265" s="24" t="str"/>
      <x:c r="K265" s="24" t="str">
        <x:v>VS-APP-001</x:v>
      </x:c>
      <x:c r="L265" s="24" t="str">
        <x:v>0–15</x:v>
      </x:c>
      <x:c r="M265" s="24" t="str">
        <x:v>H6</x:v>
      </x:c>
      <x:c r="N265" s="24" t="str"/>
      <x:c r="O265" s="24" t="str"/>
      <x:c r="P265" s="24" t="str"/>
      <x:c r="Q265" s="24" t="str"/>
      <x:c r="R265" s="24" t="str">
        <x:v>15_Escenas_Zonas</x:v>
      </x:c>
      <x:c r="S265" s="24" t="str">
        <x:f>"T"&amp;IF(AND(H265&lt;&gt;"",I265&lt;&gt;"",K265&lt;&gt;"",N265&lt;&gt;"",P265&lt;&gt;""),5,IF(AND(H265&lt;&gt;"",K265&lt;&gt;"",G265&lt;&gt;""),4,IF(AND(H265&lt;&gt;"",K265&lt;&gt;""),3,IF(H265&lt;&gt;"",2,1))))</x:f>
        <x:v>T4</x:v>
      </x:c>
      <x:c r="T265" s="24" t="str">
        <x:v>VRM Games</x:v>
      </x:c>
      <x:c r="U265" s="24" t="str"/>
    </x:row>
    <x:row r="266" ht="34" customHeight="1">
      <x:c r="A266" s="24" t="str">
        <x:v>TRC-0262</x:v>
      </x:c>
      <x:c r="B266" s="24" t="str">
        <x:v>SCN-004</x:v>
      </x:c>
      <x:c r="C266" s="24" t="str">
        <x:v>Scene/Zone</x:v>
      </x:c>
      <x:c r="D266" s="24" t="str">
        <x:v>StoreInitial</x:v>
      </x:c>
      <x:c r="E266" s="24" t="str">
        <x:v>TARGET</x:v>
      </x:c>
      <x:c r="F266" s="24" t="str">
        <x:v>Authored target / not in build profile</x:v>
      </x:c>
      <x:c r="G266" s="24" t="str">
        <x:v>Pending H6</x:v>
      </x:c>
      <x:c r="H266" s="24" t="str">
        <x:v>Assets/_Project/Scenes/StoreInitial.unity</x:v>
      </x:c>
      <x:c r="I266" s="24" t="str">
        <x:v>32a95e5e16aaf15449a6f81392cf5dcf</x:v>
      </x:c>
      <x:c r="J266" s="24" t="str"/>
      <x:c r="K266" s="24" t="str">
        <x:v>VS-SCN-001;VS-SCN-002</x:v>
      </x:c>
      <x:c r="L266" s="24" t="n">
        <x:v>16</x:v>
      </x:c>
      <x:c r="M266" s="24" t="str">
        <x:v>H6</x:v>
      </x:c>
      <x:c r="N266" s="24" t="str"/>
      <x:c r="O266" s="24" t="str">
        <x:v>BLD-016-POST</x:v>
      </x:c>
      <x:c r="P266" s="24" t="str"/>
      <x:c r="Q266" s="24" t="str">
        <x:v>Runtime still points to Store</x:v>
      </x:c>
      <x:c r="R266" s="24" t="str">
        <x:v>15_Escenas_Zonas</x:v>
      </x:c>
      <x:c r="S266" s="24" t="str">
        <x:f>"T"&amp;IF(AND(H266&lt;&gt;"",I266&lt;&gt;"",K266&lt;&gt;"",N266&lt;&gt;"",P266&lt;&gt;""),5,IF(AND(H266&lt;&gt;"",K266&lt;&gt;"",G266&lt;&gt;""),4,IF(AND(H266&lt;&gt;"",K266&lt;&gt;""),3,IF(H266&lt;&gt;"",2,1))))</x:f>
        <x:v>T4</x:v>
      </x:c>
      <x:c r="T266" s="24" t="str">
        <x:v>VRM Games</x:v>
      </x:c>
      <x:c r="U266" s="24" t="str"/>
    </x:row>
    <x:row r="267" ht="34" customHeight="1">
      <x:c r="A267" s="24" t="str">
        <x:v>TRC-0263</x:v>
      </x:c>
      <x:c r="B267" s="24" t="str">
        <x:v>SCN-005</x:v>
      </x:c>
      <x:c r="C267" s="24" t="str">
        <x:v>Scene/Zone</x:v>
      </x:c>
      <x:c r="D267" s="24" t="str">
        <x:v>TestLab</x:v>
      </x:c>
      <x:c r="E267" s="24" t="str">
        <x:v>ACTIVE/HISTORICAL</x:v>
      </x:c>
      <x:c r="F267" s="24" t="str">
        <x:v>Build list / test</x:v>
      </x:c>
      <x:c r="G267" s="24" t="str">
        <x:v>Baseline/role dependent</x:v>
      </x:c>
      <x:c r="H267" s="24" t="str">
        <x:v>Assets/_Project/Scenes/TestLab.unity</x:v>
      </x:c>
      <x:c r="I267" s="24" t="str">
        <x:v>002b2ad62af3c614b91e32722c9452be</x:v>
      </x:c>
      <x:c r="J267" s="24" t="str"/>
      <x:c r="K267" s="24" t="str">
        <x:v>VS-APP-001</x:v>
      </x:c>
      <x:c r="L267" s="24" t="str">
        <x:v>0–15</x:v>
      </x:c>
      <x:c r="M267" s="24" t="str">
        <x:v>H6</x:v>
      </x:c>
      <x:c r="N267" s="24" t="str"/>
      <x:c r="O267" s="24" t="str"/>
      <x:c r="P267" s="24" t="str"/>
      <x:c r="Q267" s="24" t="str"/>
      <x:c r="R267" s="24" t="str">
        <x:v>15_Escenas_Zonas</x:v>
      </x:c>
      <x:c r="S267" s="24" t="str">
        <x:f>"T"&amp;IF(AND(H267&lt;&gt;"",I267&lt;&gt;"",K267&lt;&gt;"",N267&lt;&gt;"",P267&lt;&gt;""),5,IF(AND(H267&lt;&gt;"",K267&lt;&gt;"",G267&lt;&gt;""),4,IF(AND(H267&lt;&gt;"",K267&lt;&gt;""),3,IF(H267&lt;&gt;"",2,1))))</x:f>
        <x:v>T4</x:v>
      </x:c>
      <x:c r="T267" s="24" t="str">
        <x:v>VRM Games</x:v>
      </x:c>
      <x:c r="U267" s="24" t="str"/>
    </x:row>
    <x:row r="268" ht="34" customHeight="1">
      <x:c r="A268" s="24" t="str">
        <x:v>TRC-0264</x:v>
      </x:c>
      <x:c r="B268" s="24" t="str">
        <x:v>ZONE-SALES</x:v>
      </x:c>
      <x:c r="C268" s="24" t="str">
        <x:v>Scene/Zone</x:v>
      </x:c>
      <x:c r="D268" s="24" t="str">
        <x:v>Sales floor</x:v>
      </x:c>
      <x:c r="E268" s="24" t="str">
        <x:v>REQUIRED</x:v>
      </x:c>
      <x:c r="F268" s="24" t="str">
        <x:v>Authoring in progress</x:v>
      </x:c>
      <x:c r="G268" s="24" t="str">
        <x:v>Scene traversal/anchor review pending</x:v>
      </x:c>
      <x:c r="H268" s="24" t="str">
        <x:v>StoreInitial.unity</x:v>
      </x:c>
      <x:c r="I268" s="24" t="str">
        <x:v>32a95e5e16aaf15449a6f81392cf5dcf</x:v>
      </x:c>
      <x:c r="J268" s="24" t="str"/>
      <x:c r="K268" s="24" t="str">
        <x:v>VS-SCN-002;VS-SCN-004</x:v>
      </x:c>
      <x:c r="L268" s="24" t="n">
        <x:v>16</x:v>
      </x:c>
      <x:c r="M268" s="24" t="str">
        <x:v>H6</x:v>
      </x:c>
      <x:c r="N268" s="24" t="str"/>
      <x:c r="O268" s="24" t="str">
        <x:v>BLD-016-POST</x:v>
      </x:c>
      <x:c r="P268" s="24" t="str"/>
      <x:c r="Q268" s="24" t="str">
        <x:v>SceneContext/anchors pending</x:v>
      </x:c>
      <x:c r="R268" s="24" t="str">
        <x:v>15_Escenas_Zonas</x:v>
      </x:c>
      <x:c r="S268" s="24" t="str">
        <x:f>"T"&amp;IF(AND(H268&lt;&gt;"",I268&lt;&gt;"",K268&lt;&gt;"",N268&lt;&gt;"",P268&lt;&gt;""),5,IF(AND(H268&lt;&gt;"",K268&lt;&gt;"",G268&lt;&gt;""),4,IF(AND(H268&lt;&gt;"",K268&lt;&gt;""),3,IF(H268&lt;&gt;"",2,1))))</x:f>
        <x:v>T4</x:v>
      </x:c>
      <x:c r="T268" s="24" t="str">
        <x:v>VRM Games</x:v>
      </x:c>
      <x:c r="U268" s="24" t="str"/>
    </x:row>
    <x:row r="269" ht="34" customHeight="1">
      <x:c r="A269" s="24" t="str">
        <x:v>TRC-0265</x:v>
      </x:c>
      <x:c r="B269" s="24" t="str">
        <x:v>ZONE-CHECKOUT</x:v>
      </x:c>
      <x:c r="C269" s="24" t="str">
        <x:v>Scene/Zone</x:v>
      </x:c>
      <x:c r="D269" s="24" t="str">
        <x:v>Checkout/queue</x:v>
      </x:c>
      <x:c r="E269" s="24" t="str">
        <x:v>REQUIRED</x:v>
      </x:c>
      <x:c r="F269" s="24" t="str">
        <x:v>Authoring in progress</x:v>
      </x:c>
      <x:c r="G269" s="24" t="str">
        <x:v>Scene traversal/anchor review pending</x:v>
      </x:c>
      <x:c r="H269" s="24" t="str">
        <x:v>StoreInitial.unity</x:v>
      </x:c>
      <x:c r="I269" s="24" t="str">
        <x:v>32a95e5e16aaf15449a6f81392cf5dcf</x:v>
      </x:c>
      <x:c r="J269" s="24" t="str"/>
      <x:c r="K269" s="24" t="str">
        <x:v>VS-SCN-002;VS-SCN-004</x:v>
      </x:c>
      <x:c r="L269" s="24" t="n">
        <x:v>16</x:v>
      </x:c>
      <x:c r="M269" s="24" t="str">
        <x:v>H6</x:v>
      </x:c>
      <x:c r="N269" s="24" t="str"/>
      <x:c r="O269" s="24" t="str">
        <x:v>BLD-016-POST</x:v>
      </x:c>
      <x:c r="P269" s="24" t="str"/>
      <x:c r="Q269" s="24" t="str">
        <x:v>SceneContext/anchors pending</x:v>
      </x:c>
      <x:c r="R269" s="24" t="str">
        <x:v>15_Escenas_Zonas</x:v>
      </x:c>
      <x:c r="S269" s="24" t="str">
        <x:f>"T"&amp;IF(AND(H269&lt;&gt;"",I269&lt;&gt;"",K269&lt;&gt;"",N269&lt;&gt;"",P269&lt;&gt;""),5,IF(AND(H269&lt;&gt;"",K269&lt;&gt;"",G269&lt;&gt;""),4,IF(AND(H269&lt;&gt;"",K269&lt;&gt;""),3,IF(H269&lt;&gt;"",2,1))))</x:f>
        <x:v>T4</x:v>
      </x:c>
      <x:c r="T269" s="24" t="str">
        <x:v>VRM Games</x:v>
      </x:c>
      <x:c r="U269" s="24" t="str"/>
    </x:row>
    <x:row r="270" ht="34" customHeight="1">
      <x:c r="A270" s="24" t="str">
        <x:v>TRC-0266</x:v>
      </x:c>
      <x:c r="B270" s="24" t="str">
        <x:v>ZONE-RECEIVING</x:v>
      </x:c>
      <x:c r="C270" s="24" t="str">
        <x:v>Scene/Zone</x:v>
      </x:c>
      <x:c r="D270" s="24" t="str">
        <x:v>Receiving</x:v>
      </x:c>
      <x:c r="E270" s="24" t="str">
        <x:v>REQUIRED</x:v>
      </x:c>
      <x:c r="F270" s="24" t="str">
        <x:v>Authoring in progress</x:v>
      </x:c>
      <x:c r="G270" s="24" t="str">
        <x:v>Scene traversal/anchor review pending</x:v>
      </x:c>
      <x:c r="H270" s="24" t="str">
        <x:v>StoreInitial.unity</x:v>
      </x:c>
      <x:c r="I270" s="24" t="str">
        <x:v>32a95e5e16aaf15449a6f81392cf5dcf</x:v>
      </x:c>
      <x:c r="J270" s="24" t="str"/>
      <x:c r="K270" s="24" t="str">
        <x:v>VS-SCN-002;VS-SCN-004</x:v>
      </x:c>
      <x:c r="L270" s="24" t="n">
        <x:v>16</x:v>
      </x:c>
      <x:c r="M270" s="24" t="str">
        <x:v>H6</x:v>
      </x:c>
      <x:c r="N270" s="24" t="str"/>
      <x:c r="O270" s="24" t="str">
        <x:v>BLD-016-POST</x:v>
      </x:c>
      <x:c r="P270" s="24" t="str"/>
      <x:c r="Q270" s="24" t="str">
        <x:v>SceneContext/anchors pending</x:v>
      </x:c>
      <x:c r="R270" s="24" t="str">
        <x:v>15_Escenas_Zonas</x:v>
      </x:c>
      <x:c r="S270" s="24" t="str">
        <x:f>"T"&amp;IF(AND(H270&lt;&gt;"",I270&lt;&gt;"",K270&lt;&gt;"",N270&lt;&gt;"",P270&lt;&gt;""),5,IF(AND(H270&lt;&gt;"",K270&lt;&gt;"",G270&lt;&gt;""),4,IF(AND(H270&lt;&gt;"",K270&lt;&gt;""),3,IF(H270&lt;&gt;"",2,1))))</x:f>
        <x:v>T4</x:v>
      </x:c>
      <x:c r="T270" s="24" t="str">
        <x:v>VRM Games</x:v>
      </x:c>
      <x:c r="U270" s="24" t="str"/>
    </x:row>
    <x:row r="271" ht="34" customHeight="1">
      <x:c r="A271" s="24" t="str">
        <x:v>TRC-0267</x:v>
      </x:c>
      <x:c r="B271" s="24" t="str">
        <x:v>ZONE-BACKROOM</x:v>
      </x:c>
      <x:c r="C271" s="24" t="str">
        <x:v>Scene/Zone</x:v>
      </x:c>
      <x:c r="D271" s="24" t="str">
        <x:v>Backroom/storage</x:v>
      </x:c>
      <x:c r="E271" s="24" t="str">
        <x:v>REQUIRED</x:v>
      </x:c>
      <x:c r="F271" s="24" t="str">
        <x:v>Authoring in progress</x:v>
      </x:c>
      <x:c r="G271" s="24" t="str">
        <x:v>Scene traversal/anchor review pending</x:v>
      </x:c>
      <x:c r="H271" s="24" t="str">
        <x:v>StoreInitial.unity</x:v>
      </x:c>
      <x:c r="I271" s="24" t="str">
        <x:v>32a95e5e16aaf15449a6f81392cf5dcf</x:v>
      </x:c>
      <x:c r="J271" s="24" t="str"/>
      <x:c r="K271" s="24" t="str">
        <x:v>VS-SCN-002;VS-SCN-004</x:v>
      </x:c>
      <x:c r="L271" s="24" t="n">
        <x:v>16</x:v>
      </x:c>
      <x:c r="M271" s="24" t="str">
        <x:v>H6</x:v>
      </x:c>
      <x:c r="N271" s="24" t="str"/>
      <x:c r="O271" s="24" t="str">
        <x:v>BLD-016-POST</x:v>
      </x:c>
      <x:c r="P271" s="24" t="str"/>
      <x:c r="Q271" s="24" t="str">
        <x:v>SceneContext/anchors pending</x:v>
      </x:c>
      <x:c r="R271" s="24" t="str">
        <x:v>15_Escenas_Zonas</x:v>
      </x:c>
      <x:c r="S271" s="24" t="str">
        <x:f>"T"&amp;IF(AND(H271&lt;&gt;"",I271&lt;&gt;"",K271&lt;&gt;"",N271&lt;&gt;"",P271&lt;&gt;""),5,IF(AND(H271&lt;&gt;"",K271&lt;&gt;"",G271&lt;&gt;""),4,IF(AND(H271&lt;&gt;"",K271&lt;&gt;""),3,IF(H271&lt;&gt;"",2,1))))</x:f>
        <x:v>T4</x:v>
      </x:c>
      <x:c r="T271" s="24" t="str">
        <x:v>VRM Games</x:v>
      </x:c>
      <x:c r="U271" s="24" t="str"/>
    </x:row>
    <x:row r="272" ht="34" customHeight="1">
      <x:c r="A272" s="24" t="str">
        <x:v>TRC-0268</x:v>
      </x:c>
      <x:c r="B272" s="24" t="str">
        <x:v>ZONE-ENTRANCE</x:v>
      </x:c>
      <x:c r="C272" s="24" t="str">
        <x:v>Scene/Zone</x:v>
      </x:c>
      <x:c r="D272" s="24" t="str">
        <x:v>Entrance/automatic door</x:v>
      </x:c>
      <x:c r="E272" s="24" t="str">
        <x:v>REQUIRED</x:v>
      </x:c>
      <x:c r="F272" s="24" t="str">
        <x:v>Authoring in progress</x:v>
      </x:c>
      <x:c r="G272" s="24" t="str">
        <x:v>Scene traversal/anchor review pending</x:v>
      </x:c>
      <x:c r="H272" s="24" t="str">
        <x:v>StoreInitial.unity</x:v>
      </x:c>
      <x:c r="I272" s="24" t="str">
        <x:v>32a95e5e16aaf15449a6f81392cf5dcf</x:v>
      </x:c>
      <x:c r="J272" s="24" t="str"/>
      <x:c r="K272" s="24" t="str">
        <x:v>VS-SCN-002;VS-SCN-004</x:v>
      </x:c>
      <x:c r="L272" s="24" t="n">
        <x:v>16</x:v>
      </x:c>
      <x:c r="M272" s="24" t="str">
        <x:v>H6</x:v>
      </x:c>
      <x:c r="N272" s="24" t="str"/>
      <x:c r="O272" s="24" t="str">
        <x:v>BLD-016-POST</x:v>
      </x:c>
      <x:c r="P272" s="24" t="str"/>
      <x:c r="Q272" s="24" t="str">
        <x:v>SceneContext/anchors pending</x:v>
      </x:c>
      <x:c r="R272" s="24" t="str">
        <x:v>15_Escenas_Zonas</x:v>
      </x:c>
      <x:c r="S272" s="24" t="str">
        <x:f>"T"&amp;IF(AND(H272&lt;&gt;"",I272&lt;&gt;"",K272&lt;&gt;"",N272&lt;&gt;"",P272&lt;&gt;""),5,IF(AND(H272&lt;&gt;"",K272&lt;&gt;"",G272&lt;&gt;""),4,IF(AND(H272&lt;&gt;"",K272&lt;&gt;""),3,IF(H272&lt;&gt;"",2,1))))</x:f>
        <x:v>T4</x:v>
      </x:c>
      <x:c r="T272" s="24" t="str">
        <x:v>VRM Games</x:v>
      </x:c>
      <x:c r="U272" s="24" t="str"/>
    </x:row>
    <x:row r="273" ht="34" customHeight="1">
      <x:c r="A273" s="24" t="str">
        <x:v>TRC-0269</x:v>
      </x:c>
      <x:c r="B273" s="24" t="str">
        <x:v>ZONE-STAFF</x:v>
      </x:c>
      <x:c r="C273" s="24" t="str">
        <x:v>Scene/Zone</x:v>
      </x:c>
      <x:c r="D273" s="24" t="str">
        <x:v>Staff/navigation anchors</x:v>
      </x:c>
      <x:c r="E273" s="24" t="str">
        <x:v>REQUIRED</x:v>
      </x:c>
      <x:c r="F273" s="24" t="str">
        <x:v>Authoring in progress</x:v>
      </x:c>
      <x:c r="G273" s="24" t="str">
        <x:v>Scene traversal/anchor review pending</x:v>
      </x:c>
      <x:c r="H273" s="24" t="str">
        <x:v>StoreInitial.unity</x:v>
      </x:c>
      <x:c r="I273" s="24" t="str">
        <x:v>32a95e5e16aaf15449a6f81392cf5dcf</x:v>
      </x:c>
      <x:c r="J273" s="24" t="str"/>
      <x:c r="K273" s="24" t="str">
        <x:v>VS-SCN-002;VS-SCN-004</x:v>
      </x:c>
      <x:c r="L273" s="24" t="n">
        <x:v>16</x:v>
      </x:c>
      <x:c r="M273" s="24" t="str">
        <x:v>H6</x:v>
      </x:c>
      <x:c r="N273" s="24" t="str"/>
      <x:c r="O273" s="24" t="str">
        <x:v>BLD-016-POST</x:v>
      </x:c>
      <x:c r="P273" s="24" t="str"/>
      <x:c r="Q273" s="24" t="str">
        <x:v>SceneContext/anchors pending</x:v>
      </x:c>
      <x:c r="R273" s="24" t="str">
        <x:v>15_Escenas_Zonas</x:v>
      </x:c>
      <x:c r="S273" s="24" t="str">
        <x:f>"T"&amp;IF(AND(H273&lt;&gt;"",I273&lt;&gt;"",K273&lt;&gt;"",N273&lt;&gt;"",P273&lt;&gt;""),5,IF(AND(H273&lt;&gt;"",K273&lt;&gt;"",G273&lt;&gt;""),4,IF(AND(H273&lt;&gt;"",K273&lt;&gt;""),3,IF(H273&lt;&gt;"",2,1))))</x:f>
        <x:v>T4</x:v>
      </x:c>
      <x:c r="T273" s="24" t="str">
        <x:v>VRM Games</x:v>
      </x:c>
      <x:c r="U273" s="24" t="str"/>
    </x:row>
  </x:sheetData>
  <x:mergeCells>
    <x:mergeCell ref="A1:U1"/>
    <x:mergeCell ref="A2:U2"/>
  </x:mergeCells>
  <x:conditionalFormatting sqref="E5:E273">
    <x:cfRule type="expression" dxfId="168" priority="1">
      <x:formula>OR(ISNUMBER(SEARCH("PASS",E5)),ISNUMBER(SEARCH("CANONICAL",E5)),ISNUMBER(SEARCH("DONE",E5)))</x:formula>
    </x:cfRule>
    <x:cfRule type="expression" dxfId="169" priority="2">
      <x:formula>OR(ISNUMBER(SEARCH("BLOCK",E5)),ISNUMBER(SEARCH("FAIL",E5)),ISNUMBER(SEARCH("S1",E5)))</x:formula>
    </x:cfRule>
    <x:cfRule type="expression" dxfId="170" priority="3">
      <x:formula>OR(ISNUMBER(SEARCH("PENDING",E5)),ISNUMBER(SEARCH("PLANNED",E5)),ISNUMBER(SEARCH("PARTIAL",E5)),ISNUMBER(SEARCH("PLACEHOLDER",E5)))</x:formula>
    </x:cfRule>
    <x:cfRule type="expression" dxfId="171" priority="4">
      <x:formula>OR(ISNUMBER(SEARCH("VISION",E5)),ISNUMBER(SEARCH("HISTORICAL",E5)))</x:formula>
    </x:cfRule>
  </x:conditionalFormatting>
  <x:conditionalFormatting sqref="G5:G273">
    <x:cfRule type="expression" dxfId="172" priority="5">
      <x:formula>OR(ISNUMBER(SEARCH("PASS",G5)),ISNUMBER(SEARCH("CANONICAL",G5)),ISNUMBER(SEARCH("DONE",G5)))</x:formula>
    </x:cfRule>
    <x:cfRule type="expression" dxfId="173" priority="6">
      <x:formula>OR(ISNUMBER(SEARCH("BLOCK",G5)),ISNUMBER(SEARCH("FAIL",G5)),ISNUMBER(SEARCH("S1",G5)))</x:formula>
    </x:cfRule>
    <x:cfRule type="expression" dxfId="174" priority="7">
      <x:formula>OR(ISNUMBER(SEARCH("PENDING",G5)),ISNUMBER(SEARCH("PLANNED",G5)),ISNUMBER(SEARCH("PARTIAL",G5)),ISNUMBER(SEARCH("PLACEHOLDER",G5)))</x:formula>
    </x:cfRule>
    <x:cfRule type="expression" dxfId="175" priority="8">
      <x:formula>OR(ISNUMBER(SEARCH("VISION",G5)),ISNUMBER(SEARCH("HISTORICAL",G5)))</x:formula>
    </x:cfRule>
  </x:conditionalFormatting>
  <x:conditionalFormatting sqref="F5:F273">
    <x:cfRule type="expression" dxfId="176" priority="9">
      <x:formula>OR(ISNUMBER(SEARCH("PASS",F5)),ISNUMBER(SEARCH("CANONICAL",F5)),ISNUMBER(SEARCH("DONE",F5)))</x:formula>
    </x:cfRule>
    <x:cfRule type="expression" dxfId="177" priority="10">
      <x:formula>OR(ISNUMBER(SEARCH("BLOCK",F5)),ISNUMBER(SEARCH("FAIL",F5)),ISNUMBER(SEARCH("S1",F5)))</x:formula>
    </x:cfRule>
    <x:cfRule type="expression" dxfId="178" priority="11">
      <x:formula>OR(ISNUMBER(SEARCH("PENDING",F5)),ISNUMBER(SEARCH("PLANNED",F5)),ISNUMBER(SEARCH("PARTIAL",F5)),ISNUMBER(SEARCH("PLACEHOLDER",F5)))</x:formula>
    </x:cfRule>
    <x:cfRule type="expression" dxfId="179" priority="12">
      <x:formula>OR(ISNUMBER(SEARCH("VISION",F5)),ISNUMBER(SEARCH("HISTORICAL",F5)))</x:formula>
    </x:cfRule>
  </x:conditionalFormatting>
  <x:conditionalFormatting sqref="S5:S273">
    <x:cfRule type="expression" dxfId="180" priority="13">
      <x:formula>OR(ISNUMBER(SEARCH("PASS",S5)),ISNUMBER(SEARCH("CANONICAL",S5)),ISNUMBER(SEARCH("DONE",S5)))</x:formula>
    </x:cfRule>
    <x:cfRule type="expression" dxfId="181" priority="14">
      <x:formula>OR(ISNUMBER(SEARCH("BLOCK",S5)),ISNUMBER(SEARCH("FAIL",S5)),ISNUMBER(SEARCH("S1",S5)))</x:formula>
    </x:cfRule>
    <x:cfRule type="expression" dxfId="182" priority="15">
      <x:formula>OR(ISNUMBER(SEARCH("PENDING",S5)),ISNUMBER(SEARCH("PLANNED",S5)),ISNUMBER(SEARCH("PARTIAL",S5)),ISNUMBER(SEARCH("PLACEHOLDER",S5)))</x:formula>
    </x:cfRule>
    <x:cfRule type="expression" dxfId="183" priority="16">
      <x:formula>OR(ISNUMBER(SEARCH("VISION",S5)),ISNUMBER(SEARCH("HISTORICAL",S5)))</x:formula>
    </x:cfRule>
    <x:cfRule type="expression" dxfId="196" priority="17">
      <x:formula>OR(ISNUMBER(SEARCH("PASS",S5)),ISNUMBER(SEARCH("CANONICAL",S5)),ISNUMBER(SEARCH("DONE",S5)))</x:formula>
    </x:cfRule>
    <x:cfRule type="expression" dxfId="197" priority="18">
      <x:formula>OR(ISNUMBER(SEARCH("BLOCK",S5)),ISNUMBER(SEARCH("FAIL",S5)),ISNUMBER(SEARCH("S1",S5)))</x:formula>
    </x:cfRule>
    <x:cfRule type="expression" dxfId="198" priority="19">
      <x:formula>OR(ISNUMBER(SEARCH("PENDING",S5)),ISNUMBER(SEARCH("PLANNED",S5)),ISNUMBER(SEARCH("PARTIAL",S5)),ISNUMBER(SEARCH("PLACEHOLDER",S5)))</x:formula>
    </x:cfRule>
    <x:cfRule type="expression" dxfId="199" priority="20">
      <x:formula>OR(ISNUMBER(SEARCH("VISION",S5)),ISNUMBER(SEARCH("HISTORICAL",S5)))</x:formula>
    </x:cfRule>
  </x:conditionalFormatting>
  <x:dataValidations count="1">
    <x:dataValidation type="list" sqref="S5:S273">
      <x:formula1>"T0,T1,T2,T3,T4,T5,T6"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6c3f709aab4d36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4" hidden="0" customWidth="1"/>
    <x:col min="4" max="4" width="22" hidden="0" customWidth="1"/>
    <x:col min="5" max="5" width="24" hidden="0" customWidth="1"/>
    <x:col min="6" max="6" width="18" hidden="0" customWidth="1"/>
    <x:col min="7" max="7" width="11" hidden="0" customWidth="1"/>
    <x:col min="8" max="8" width="16" hidden="0" customWidth="1"/>
    <x:col min="9" max="9" width="38" hidden="0" customWidth="1"/>
    <x:col min="10" max="10" width="20" hidden="0" customWidth="1"/>
  </x:cols>
  <x:sheetData>
    <x:row r="1">
      <x:c r="A1" s="68" t="str">
        <x:v>Integración documental del catálogo con la baseline 00–34</x:v>
      </x:c>
      <x:c r="B1" s="68"/>
      <x:c r="C1" s="68"/>
      <x:c r="D1" s="68"/>
      <x:c r="E1" s="68"/>
      <x:c r="F1" s="68"/>
      <x:c r="G1" s="68"/>
      <x:c r="H1" s="68"/>
      <x:c r="I1" s="68"/>
      <x:c r="J1" s="68"/>
    </x:row>
    <x:row r="2">
      <x:c r="A2" s="73" t="str">
        <x:v>Controles que vinculan contenido, assets y medios con legal, accesibilidad, rendimiento, publicación, seguridad, continuidad y handoff.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4">
      <x:c r="A4" s="76" t="str">
        <x:v>Control ID</x:v>
      </x:c>
      <x:c r="B4" s="77" t="str">
        <x:v>Dominio</x:v>
      </x:c>
      <x:c r="C4" s="77" t="str">
        <x:v>Requisito operativo</x:v>
      </x:c>
      <x:c r="D4" s="77" t="str">
        <x:v>Documentos fuente</x:v>
      </x:c>
      <x:c r="E4" s="77" t="str">
        <x:v>Hojas afectadas</x:v>
      </x:c>
      <x:c r="F4" s="77" t="str">
        <x:v>Gate</x:v>
      </x:c>
      <x:c r="G4" s="77" t="str">
        <x:v>Bloqueante</x:v>
      </x:c>
      <x:c r="H4" s="77" t="str">
        <x:v>Estado</x:v>
      </x:c>
      <x:c r="I4" s="77" t="str">
        <x:v>Evidencia requerida</x:v>
      </x:c>
      <x:c r="J4" s="78" t="str">
        <x:v>Owner / Notas</x:v>
      </x:c>
    </x:row>
    <x:row r="5" ht="42" customHeight="1">
      <x:c r="A5" s="79" t="str">
        <x:v>GOV-CNT-001</x:v>
      </x:c>
      <x:c r="B5" s="80" t="str">
        <x:v>Autoridad/IDs</x:v>
      </x:c>
      <x:c r="C5" s="80" t="str">
        <x:v>Mantener IDs estables y resolver explícitamente el catálogo canónico frente al técnico.</x:v>
      </x:c>
      <x:c r="D5" s="80" t="str">
        <x:v>04, 13, 20, 21</x:v>
      </x:c>
      <x:c r="E5" s="80" t="str">
        <x:v>02–04, 16, 20, 24</x:v>
      </x:c>
      <x:c r="F5" s="80" t="str">
        <x:v>H6</x:v>
      </x:c>
      <x:c r="G5" s="80" t="str">
        <x:v>YES</x:v>
      </x:c>
      <x:c r="H5" s="80" t="str">
        <x:v>OPEN</x:v>
      </x:c>
      <x:c r="I5" s="80" t="str">
        <x:v>Mapa, migración, save/load y rollback</x:v>
      </x:c>
      <x:c r="J5" s="81" t="str">
        <x:v>VRM Games</x:v>
      </x:c>
    </x:row>
    <x:row r="6" ht="42" customHeight="1">
      <x:c r="A6" s="79" t="str">
        <x:v>GOV-CNT-002</x:v>
      </x:c>
      <x:c r="B6" s="80" t="str">
        <x:v>Arte</x:v>
      </x:c>
      <x:c r="C6" s="80" t="str">
        <x:v>Aplicar estilo, procedencia, prefab, material, collider, LOD y aprobación visual.</x:v>
      </x:c>
      <x:c r="D6" s="80" t="str">
        <x:v>17, 21, 23, 31</x:v>
      </x:c>
      <x:c r="E6" s="80" t="str">
        <x:v>05–10, 12–15, 18–24</x:v>
      </x:c>
      <x:c r="F6" s="80" t="str">
        <x:v>S16/H6</x:v>
      </x:c>
      <x:c r="G6" s="80" t="str">
        <x:v>YES</x:v>
      </x:c>
      <x:c r="H6" s="80" t="str">
        <x:v>IN PROGRESS</x:v>
      </x:c>
      <x:c r="I6" s="80" t="str">
        <x:v>Escena/build/capturas/checklist/licencia</x:v>
      </x:c>
      <x:c r="J6" s="81" t="str">
        <x:v>VRM Games</x:v>
      </x:c>
    </x:row>
    <x:row r="7" ht="42" customHeight="1">
      <x:c r="A7" s="79" t="str">
        <x:v>GOV-CNT-003</x:v>
      </x:c>
      <x:c r="B7" s="80" t="str">
        <x:v>Audio</x:v>
      </x:c>
      <x:c r="C7" s="80" t="str">
        <x:v>Trazar clip → evento → bus → licencia → escucha → presupuesto de voces.</x:v>
      </x:c>
      <x:c r="D7" s="80" t="str">
        <x:v>18, 21, 23, 30, 31</x:v>
      </x:c>
      <x:c r="E7" s="80" t="str">
        <x:v>11, 18–21, 24</x:v>
      </x:c>
      <x:c r="F7" s="80" t="str">
        <x:v>H6</x:v>
      </x:c>
      <x:c r="G7" s="80" t="str">
        <x:v>YES</x:v>
      </x:c>
      <x:c r="H7" s="80" t="str">
        <x:v>OPEN</x:v>
      </x:c>
      <x:c r="I7" s="80" t="str">
        <x:v>AudioCatalog, listening QA, profiler and provenance</x:v>
      </x:c>
      <x:c r="J7" s="81" t="str">
        <x:v>VRM Games</x:v>
      </x:c>
    </x:row>
    <x:row r="8" ht="42" customHeight="1">
      <x:c r="A8" s="79" t="str">
        <x:v>GOV-CNT-004</x:v>
      </x:c>
      <x:c r="B8" s="80" t="str">
        <x:v>UI/Fuentes</x:v>
      </x:c>
      <x:c r="C8" s="80" t="str">
        <x:v>Asegurar iconos, fuente final, foco, escalado, prompts y layout sin solapes.</x:v>
      </x:c>
      <x:c r="D8" s="80" t="str">
        <x:v>19, 21, 22, 29, 31</x:v>
      </x:c>
      <x:c r="E8" s="80" t="str">
        <x:v>10, 17, 19, 20, 24</x:v>
      </x:c>
      <x:c r="F8" s="80" t="str">
        <x:v>H6</x:v>
      </x:c>
      <x:c r="G8" s="80" t="str">
        <x:v>YES</x:v>
      </x:c>
      <x:c r="H8" s="80" t="str">
        <x:v>OPEN</x:v>
      </x:c>
      <x:c r="I8" s="80" t="str">
        <x:v>ES/EN screenshots, input campaign and font license</x:v>
      </x:c>
      <x:c r="J8" s="81" t="str">
        <x:v>VRM Games</x:v>
      </x:c>
    </x:row>
    <x:row r="9" ht="42" customHeight="1">
      <x:c r="A9" s="79" t="str">
        <x:v>GOV-CNT-005</x:v>
      </x:c>
      <x:c r="B9" s="80" t="str">
        <x:v>Localización</x:v>
      </x:c>
      <x:c r="C9" s="80" t="str">
        <x:v>Crear y validar tablas ES/EN, expansión y LQA del contenido visible.</x:v>
      </x:c>
      <x:c r="D9" s="80" t="str">
        <x:v>22, 29, 31</x:v>
      </x:c>
      <x:c r="E9" s="80" t="str">
        <x:v>02, 09, 10, 17, 19, 24</x:v>
      </x:c>
      <x:c r="F9" s="80" t="str">
        <x:v>H6</x:v>
      </x:c>
      <x:c r="G9" s="80" t="str">
        <x:v>YES</x:v>
      </x:c>
      <x:c r="H9" s="80" t="str">
        <x:v>OPEN</x:v>
      </x:c>
      <x:c r="I9" s="80" t="str">
        <x:v>String tables, build captures and LQA report</x:v>
      </x:c>
      <x:c r="J9" s="81" t="str">
        <x:v>VRM Games</x:v>
      </x:c>
    </x:row>
    <x:row r="10" ht="42" customHeight="1">
      <x:c r="A10" s="79" t="str">
        <x:v>GOV-CNT-006</x:v>
      </x:c>
      <x:c r="B10" s="80" t="str">
        <x:v>Legal/Licencias</x:v>
      </x:c>
      <x:c r="C10" s="80" t="str">
        <x:v>Completar procedencia, licencia, restricciones, créditos y notices por asset/clip/fuente/concepto.</x:v>
      </x:c>
      <x:c r="D10" s="80" t="str">
        <x:v>23, 31</x:v>
      </x:c>
      <x:c r="E10" s="80" t="str">
        <x:v>Todas; especialmente 18, 23, 24</x:v>
      </x:c>
      <x:c r="F10" s="80" t="str">
        <x:v>H6/RC</x:v>
      </x:c>
      <x:c r="G10" s="80" t="str">
        <x:v>YES</x:v>
      </x:c>
      <x:c r="H10" s="80" t="str">
        <x:v>OPEN</x:v>
      </x:c>
      <x:c r="I10" s="80" t="str">
        <x:v>Register rows, source proofs, notices and exceptions</x:v>
      </x:c>
      <x:c r="J10" s="81" t="str">
        <x:v>VRM Games</x:v>
      </x:c>
    </x:row>
    <x:row r="11" ht="42" customHeight="1">
      <x:c r="A11" s="79" t="str">
        <x:v>GOV-CNT-007</x:v>
      </x:c>
      <x:c r="B11" s="80" t="str">
        <x:v>Steam/Medios</x:v>
      </x:c>
      <x:c r="C11" s="80" t="str">
        <x:v>Producir store assets solo desde build y claims aprobados.</x:v>
      </x:c>
      <x:c r="D11" s="80" t="str">
        <x:v>24, 28, 31</x:v>
      </x:c>
      <x:c r="E11" s="80" t="str">
        <x:v>09, 18, 19, 21, 23–25</x:v>
      </x:c>
      <x:c r="F11" s="80" t="str">
        <x:v>Premarketing/Steam</x:v>
      </x:c>
      <x:c r="G11" s="80" t="str">
        <x:v>YES</x:v>
      </x:c>
      <x:c r="H11" s="80" t="str">
        <x:v>NOT OPEN</x:v>
      </x:c>
      <x:c r="I11" s="80" t="str">
        <x:v>Media hashes, source build, legal and marketing signoff</x:v>
      </x:c>
      <x:c r="J11" s="81" t="str">
        <x:v>VRM Games</x:v>
      </x:c>
    </x:row>
    <x:row r="12" ht="42" customHeight="1">
      <x:c r="A12" s="79" t="str">
        <x:v>GOV-CNT-008</x:v>
      </x:c>
      <x:c r="B12" s="80" t="str">
        <x:v>Post-launch</x:v>
      </x:c>
      <x:c r="C12" s="80" t="str">
        <x:v>Versionar nuevos contenidos, IDs, migraciones, localización, QA y rollback.</x:v>
      </x:c>
      <x:c r="D12" s="80" t="str">
        <x:v>25, 33, 34</x:v>
      </x:c>
      <x:c r="E12" s="80" t="str">
        <x:v>02–24</x:v>
      </x:c>
      <x:c r="F12" s="80" t="str">
        <x:v>Post-launch</x:v>
      </x:c>
      <x:c r="G12" s="80" t="str">
        <x:v>YES</x:v>
      </x:c>
      <x:c r="H12" s="80" t="str">
        <x:v>NOT OPEN</x:v>
      </x:c>
      <x:c r="I12" s="80" t="str">
        <x:v>Versioned package, migration tests and rollback</x:v>
      </x:c>
      <x:c r="J12" s="81" t="str">
        <x:v>VRM Games</x:v>
      </x:c>
    </x:row>
    <x:row r="13" ht="42" customHeight="1">
      <x:c r="A13" s="79" t="str">
        <x:v>GOV-CNT-009</x:v>
      </x:c>
      <x:c r="B13" s="80" t="str">
        <x:v>Privacidad</x:v>
      </x:c>
      <x:c r="C13" s="80" t="str">
        <x:v>Excluir PII y datos no necesarios de assets, logs, capturas, telemetría y soporte.</x:v>
      </x:c>
      <x:c r="D13" s="80" t="str">
        <x:v>26, 31</x:v>
      </x:c>
      <x:c r="E13" s="80" t="str">
        <x:v>09, 18, 19, 23–25</x:v>
      </x:c>
      <x:c r="F13" s="80" t="str">
        <x:v>H6/RC</x:v>
      </x:c>
      <x:c r="G13" s="80" t="str">
        <x:v>YES</x:v>
      </x:c>
      <x:c r="H13" s="80" t="str">
        <x:v>OPEN</x:v>
      </x:c>
      <x:c r="I13" s="80" t="str">
        <x:v>Package/log/metadata review</x:v>
      </x:c>
      <x:c r="J13" s="81" t="str">
        <x:v>VRM Games</x:v>
      </x:c>
    </x:row>
    <x:row r="14" ht="42" customHeight="1">
      <x:c r="A14" s="79" t="str">
        <x:v>GOV-CNT-010</x:v>
      </x:c>
      <x:c r="B14" s="80" t="str">
        <x:v>Seguridad</x:v>
      </x:c>
      <x:c r="C14" s="80" t="str">
        <x:v>Excluir secretos y credenciales; controlar dependencias y respuesta a incidentes.</x:v>
      </x:c>
      <x:c r="D14" s="80" t="str">
        <x:v>27, 31, 33, 34</x:v>
      </x:c>
      <x:c r="E14" s="80" t="str">
        <x:v>18, 19, 23–25</x:v>
      </x:c>
      <x:c r="F14" s="80" t="str">
        <x:v>H6/RC</x:v>
      </x:c>
      <x:c r="G14" s="80" t="str">
        <x:v>YES</x:v>
      </x:c>
      <x:c r="H14" s="80" t="str">
        <x:v>OPEN</x:v>
      </x:c>
      <x:c r="I14" s="80" t="str">
        <x:v>Secret scan, dependency review and incident playbook</x:v>
      </x:c>
      <x:c r="J14" s="81" t="str">
        <x:v>VRM Games</x:v>
      </x:c>
    </x:row>
    <x:row r="15" ht="42" customHeight="1">
      <x:c r="A15" s="79" t="str">
        <x:v>GOV-CNT-011</x:v>
      </x:c>
      <x:c r="B15" s="80" t="str">
        <x:v>Marketing/Claims</x:v>
      </x:c>
      <x:c r="C15" s="80" t="str">
        <x:v>Vincular cada claim, screenshot, GIF o trailer con evidencia y build autorizada.</x:v>
      </x:c>
      <x:c r="D15" s="80" t="str">
        <x:v>23, 24, 28, 31</x:v>
      </x:c>
      <x:c r="E15" s="80" t="str">
        <x:v>18, 19, 21, 23–25</x:v>
      </x:c>
      <x:c r="F15" s="80" t="str">
        <x:v>Premarketing</x:v>
      </x:c>
      <x:c r="G15" s="80" t="str">
        <x:v>YES</x:v>
      </x:c>
      <x:c r="H15" s="80" t="str">
        <x:v>NOT OPEN</x:v>
      </x:c>
      <x:c r="I15" s="80" t="str">
        <x:v>Claim matrix, media provenance and approvals</x:v>
      </x:c>
      <x:c r="J15" s="81" t="str">
        <x:v>VRM Games</x:v>
      </x:c>
    </x:row>
    <x:row r="16" ht="42" customHeight="1">
      <x:c r="A16" s="79" t="str">
        <x:v>GOV-CNT-012</x:v>
      </x:c>
      <x:c r="B16" s="80" t="str">
        <x:v>Accesibilidad</x:v>
      </x:c>
      <x:c r="C16" s="80" t="str">
        <x:v>Proporcionar señales redundantes, legibilidad, escalado, alternativas y reduced motion aplicable.</x:v>
      </x:c>
      <x:c r="D16" s="80" t="str">
        <x:v>22, 29, 31</x:v>
      </x:c>
      <x:c r="E16" s="80" t="str">
        <x:v>02, 07, 09, 10, 12, 17, 19, 20, 24</x:v>
      </x:c>
      <x:c r="F16" s="80" t="str">
        <x:v>H6</x:v>
      </x:c>
      <x:c r="G16" s="80" t="str">
        <x:v>YES</x:v>
      </x:c>
      <x:c r="H16" s="80" t="str">
        <x:v>OPEN</x:v>
      </x:c>
      <x:c r="I16" s="80" t="str">
        <x:v>Accessibility checklist, playtests, captures and build</x:v>
      </x:c>
      <x:c r="J16" s="81" t="str">
        <x:v>VRM Games</x:v>
      </x:c>
    </x:row>
    <x:row r="17" ht="42" customHeight="1">
      <x:c r="A17" s="79" t="str">
        <x:v>GOV-CNT-013</x:v>
      </x:c>
      <x:c r="B17" s="80" t="str">
        <x:v>Rendimiento</x:v>
      </x:c>
      <x:c r="C17" s="80" t="str">
        <x:v>Medir presupuestos de geometría, materiales, texturas, VFX, audio, UI y escena.</x:v>
      </x:c>
      <x:c r="D17" s="80" t="str">
        <x:v>17–19, 30, 31</x:v>
      </x:c>
      <x:c r="E17" s="80" t="str">
        <x:v>05–15, 19–21, 24</x:v>
      </x:c>
      <x:c r="F17" s="80" t="str">
        <x:v>H6</x:v>
      </x:c>
      <x:c r="G17" s="80" t="str">
        <x:v>YES</x:v>
      </x:c>
      <x:c r="H17" s="80" t="str">
        <x:v>OPEN</x:v>
      </x:c>
      <x:c r="I17" s="80" t="str">
        <x:v>Profiler captures, hardware/build/scenario and exception</x:v>
      </x:c>
      <x:c r="J17" s="81" t="str">
        <x:v>VRM Games</x:v>
      </x:c>
    </x:row>
    <x:row r="18" ht="42" customHeight="1">
      <x:c r="A18" s="79" t="str">
        <x:v>GOV-CNT-014</x:v>
      </x:c>
      <x:c r="B18" s="80" t="str">
        <x:v>Readiness</x:v>
      </x:c>
      <x:c r="C18" s="80" t="str">
        <x:v>No cerrar H6/release sin controles, evidencia, build, defectos y signoff.</x:v>
      </x:c>
      <x:c r="D18" s="80" t="str">
        <x:v>02, 07, 08, 31</x:v>
      </x:c>
      <x:c r="E18" s="80" t="str">
        <x:v>19–21, 24, 25</x:v>
      </x:c>
      <x:c r="F18" s="80" t="str">
        <x:v>H6/RC</x:v>
      </x:c>
      <x:c r="G18" s="80" t="str">
        <x:v>YES</x:v>
      </x:c>
      <x:c r="H18" s="80" t="str">
        <x:v>NOT RUN</x:v>
      </x:c>
      <x:c r="I18" s="80" t="str">
        <x:v>31 checklist, evidence packages and decision record</x:v>
      </x:c>
      <x:c r="J18" s="81" t="str">
        <x:v>VRM Games</x:v>
      </x:c>
    </x:row>
    <x:row r="19" ht="42" customHeight="1">
      <x:c r="A19" s="79" t="str">
        <x:v>GOV-CNT-015</x:v>
      </x:c>
      <x:c r="B19" s="80" t="str">
        <x:v>Baseline/Integridad</x:v>
      </x:c>
      <x:c r="C19" s="80" t="str">
        <x:v>Registrar archivos, tamaños, hashes, relaciones y sustituciones sin autorreferencia inválida.</x:v>
      </x:c>
      <x:c r="D19" s="80" t="str">
        <x:v>13, 32, 34</x:v>
      </x:c>
      <x:c r="E19" s="80" t="str">
        <x:v>23, 25</x:v>
      </x:c>
      <x:c r="F19" s="80" t="str">
        <x:v>Final Baseline</x:v>
      </x:c>
      <x:c r="G19" s="80" t="str">
        <x:v>YES</x:v>
      </x:c>
      <x:c r="H19" s="80" t="str">
        <x:v>CANDIDATE</x:v>
      </x:c>
      <x:c r="I19" s="80" t="str">
        <x:v>Manifest, checksums, validation report and immutable ZIP</x:v>
      </x:c>
      <x:c r="J19" s="81" t="str">
        <x:v>VRM Games</x:v>
      </x:c>
    </x:row>
    <x:row r="20" ht="42" customHeight="1">
      <x:c r="A20" s="79" t="str">
        <x:v>GOV-CNT-016</x:v>
      </x:c>
      <x:c r="B20" s="80" t="str">
        <x:v>Riesgo/Continuidad</x:v>
      </x:c>
      <x:c r="C20" s="80" t="str">
        <x:v>Asignar riesgos, backups, RTO/RPO y restauración de fuentes, GUID/meta y catálogos.</x:v>
      </x:c>
      <x:c r="D20" s="80" t="str">
        <x:v>33, 34</x:v>
      </x:c>
      <x:c r="E20" s="80" t="str">
        <x:v>18, 20, 21, 23–25</x:v>
      </x:c>
      <x:c r="F20" s="80" t="str">
        <x:v>Final Baseline</x:v>
      </x:c>
      <x:c r="G20" s="80" t="str">
        <x:v>YES</x:v>
      </x:c>
      <x:c r="H20" s="80" t="str">
        <x:v>UNVERIFIED</x:v>
      </x:c>
      <x:c r="I20" s="80" t="str">
        <x:v>Restore test, risk actions and runbook evidence</x:v>
      </x:c>
      <x:c r="J20" s="81" t="str">
        <x:v>VRM Games</x:v>
      </x:c>
    </x:row>
    <x:row r="21" ht="42" customHeight="1">
      <x:c r="A21" s="82" t="str">
        <x:v>GOV-CNT-017</x:v>
      </x:c>
      <x:c r="B21" s="83" t="str">
        <x:v>Handoff/Operaciones</x:v>
      </x:c>
      <x:c r="C21" s="83" t="str">
        <x:v>Permitir retoma, transferencia y recuperación sin depender del chat.</x:v>
      </x:c>
      <x:c r="D21" s="83" t="str">
        <x:v>14, 15, 34</x:v>
      </x:c>
      <x:c r="E21" s="83" t="str">
        <x:v>Todas</x:v>
      </x:c>
      <x:c r="F21" s="83" t="str">
        <x:v>Operations</x:v>
      </x:c>
      <x:c r="G21" s="83" t="str">
        <x:v>NO</x:v>
      </x:c>
      <x:c r="H21" s="83" t="str">
        <x:v>CURRENT</x:v>
      </x:c>
      <x:c r="I21" s="83" t="str">
        <x:v>Onboarding/handoff package and restore instructions</x:v>
      </x:c>
      <x:c r="J21" s="84" t="str">
        <x:v>VRM Games</x:v>
      </x:c>
    </x:row>
  </x:sheetData>
  <x:mergeCells>
    <x:mergeCell ref="A1:J1"/>
    <x:mergeCell ref="A2:J2"/>
  </x:mergeCells>
  <x:conditionalFormatting sqref="H5:H21">
    <x:cfRule type="expression" dxfId="204" priority="1">
      <x:formula>OR(H5="OPEN",H5="NOT RUN",H5="UNVERIFIED")</x:formula>
    </x:cfRule>
    <x:cfRule type="expression" dxfId="205" priority="2">
      <x:formula>OR(H5="CURRENT",H5="PASS")</x:formula>
    </x:cfRule>
    <x:cfRule type="expression" dxfId="206" priority="3">
      <x:formula>OR(H5="NOT OPEN",H5="CANDIDATE",H5="IN PROGRESS")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d92a6dd2204912"/>
  </x:tableParts>
</x:worksheet>
</file>