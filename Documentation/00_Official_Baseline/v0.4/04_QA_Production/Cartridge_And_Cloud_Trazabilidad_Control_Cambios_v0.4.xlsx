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_PROGRAMAS\_ARCHIVOS\0_GameDevPortfolio\U012_CartridgeAndCloud\U012_CartridgeAndCloud\Documentation\00_Official_Baseline\v0.4\04_QA_Production\"/>
    </mc:Choice>
  </mc:AlternateContent>
  <xr:revisionPtr revIDLastSave="0" documentId="13_ncr:1_{4CE6BC2F-608B-495F-8CF5-B8FF693E5FF1}" xr6:coauthVersionLast="47" xr6:coauthVersionMax="47" xr10:uidLastSave="{00000000-0000-0000-0000-000000000000}"/>
  <bookViews>
    <workbookView xWindow="-28920" yWindow="-120" windowWidth="29040" windowHeight="15990" activeTab="1" xr2:uid="{00000000-000D-0000-FFFF-FFFF00000000}"/>
  </bookViews>
  <sheets>
    <sheet name="Dashboard" sheetId="1" r:id="rId1"/>
    <sheet name="Change_Log" sheetId="2" r:id="rId2"/>
    <sheet name="Decision_Log" sheetId="3" r:id="rId3"/>
    <sheet name="Document_Update_Matrix" sheetId="4" r:id="rId4"/>
    <sheet name="Commit_Register" sheetId="5" r:id="rId5"/>
    <sheet name="Allowed_Typ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sharedStrings.xml><?xml version="1.0" encoding="utf-8"?>
<sst xmlns="http://schemas.openxmlformats.org/spreadsheetml/2006/main" count="739" uniqueCount="377">
  <si>
    <t>Cartridge &amp; Cloud — Change Traceability</t>
  </si>
  <si>
    <t>Official baseline v0.4 - Sprint 0 traceability closed</t>
  </si>
  <si>
    <t>KPI</t>
  </si>
  <si>
    <t>Value</t>
  </si>
  <si>
    <t>Traceability policy</t>
  </si>
  <si>
    <t>Change entries</t>
  </si>
  <si>
    <t>All Sprint 0 technical and documentation changes are consolidated in official baseline v0.4. The next sprint must create a new operational change set.</t>
  </si>
  <si>
    <t>Accepted</t>
  </si>
  <si>
    <t>Pending validation</t>
  </si>
  <si>
    <t>Documentation updates pending</t>
  </si>
  <si>
    <t>ADRs accepted</t>
  </si>
  <si>
    <t>Latest audited commit</t>
  </si>
  <si>
    <t>v0.0.1-project-foundation</t>
  </si>
  <si>
    <t>Change ID</t>
  </si>
  <si>
    <t>Date</t>
  </si>
  <si>
    <t>Type</t>
  </si>
  <si>
    <t>Block</t>
  </si>
  <si>
    <t>Summary</t>
  </si>
  <si>
    <t>Files / Scope</t>
  </si>
  <si>
    <t>Evidence</t>
  </si>
  <si>
    <t>Status</t>
  </si>
  <si>
    <t>Debt / Follow-up</t>
  </si>
  <si>
    <t>CHG-S0-001</t>
  </si>
  <si>
    <t>2026-06-21</t>
  </si>
  <si>
    <t>Proceso</t>
  </si>
  <si>
    <t>S0.1</t>
  </si>
  <si>
    <t>Freeze Unity 6.3 LTS 6000.3.18f1 and Windows toolchain</t>
  </si>
  <si>
    <t>Unity Hub / Editor installation</t>
  </si>
  <si>
    <t>Evidence/S0.1_UnityHub_EditorVersion.png; Evidence/S0.1_AboutUnity.png</t>
  </si>
  <si>
    <t>Complete environment record before S0.10</t>
  </si>
  <si>
    <t>CHG-S0-002</t>
  </si>
  <si>
    <t>S0.2</t>
  </si>
  <si>
    <t>Create clean Unity URP project</t>
  </si>
  <si>
    <t>Assets; Packages; ProjectSettings</t>
  </si>
  <si>
    <t>Commit 6429c7cff05fb8e77e7161ce72f28fb79d03383f</t>
  </si>
  <si>
    <t>None</t>
  </si>
  <si>
    <t>CHG-S0-003</t>
  </si>
  <si>
    <t>S0.3</t>
  </si>
  <si>
    <t>Install package baseline and Localization</t>
  </si>
  <si>
    <t>Packages/manifest.json; Packages/packages-lock.json</t>
  </si>
  <si>
    <t>Repository main</t>
  </si>
  <si>
    <t>Review unused template packages</t>
  </si>
  <si>
    <t>CHG-S0-004</t>
  </si>
  <si>
    <t>S0.4</t>
  </si>
  <si>
    <t>Configure GitHub Desktop repository workflow</t>
  </si>
  <si>
    <t>Repository root; main branch</t>
  </si>
  <si>
    <t>CHG-S0-005</t>
  </si>
  <si>
    <t>Update Unity ignore rules and track Visual Studio config</t>
  </si>
  <si>
    <t>.gitignore; .vsconfig</t>
  </si>
  <si>
    <t>Commit 46c76312fe3f2e93da48334be4862d019e34019d</t>
  </si>
  <si>
    <t>CHG-S0-006</t>
  </si>
  <si>
    <t>Add repository attributes for Unity text and binary assets</t>
  </si>
  <si>
    <t>.gitattributes</t>
  </si>
  <si>
    <t>Commit 3d49ef4fae0ebbe4f5739b58d1ac08c5dd068264</t>
  </si>
  <si>
    <t>Git LFS deferred</t>
  </si>
  <si>
    <t>CHG-S0-007</t>
  </si>
  <si>
    <t>S0.5</t>
  </si>
  <si>
    <t>Create Assets/_Project hierarchy</t>
  </si>
  <si>
    <t>Assets/_Project</t>
  </si>
  <si>
    <t>Commit 1cc30ad69a2c093a8e1e0686451302689eb632bb</t>
  </si>
  <si>
    <t>CHG-S0-008</t>
  </si>
  <si>
    <t>Documentación</t>
  </si>
  <si>
    <t>Integrate official v0.3 documentation baseline</t>
  </si>
  <si>
    <t>Documentation/00_Official_Baseline/v0.3</t>
  </si>
  <si>
    <t>Keep immutable</t>
  </si>
  <si>
    <t>CHG-S0-009</t>
  </si>
  <si>
    <t>Código nuevo</t>
  </si>
  <si>
    <t>S0.6</t>
  </si>
  <si>
    <t>Create Domain, Application, Infrastructure and Presentation asmdefs</t>
  </si>
  <si>
    <t>Assets/_Project/Scripts</t>
  </si>
  <si>
    <t>Commit 7f32381d94af98f283fa0cb26b4cbf5b0ba84fe9</t>
  </si>
  <si>
    <t>No gameplay code</t>
  </si>
  <si>
    <t>CHG-S0-010</t>
  </si>
  <si>
    <t>Create EditMode and PlayMode test asmdefs</t>
  </si>
  <si>
    <t>Assets/_Project/Tests</t>
  </si>
  <si>
    <t>Tests implemented in S0.8</t>
  </si>
  <si>
    <t>CHG-S0-011</t>
  </si>
  <si>
    <t>Refactor</t>
  </si>
  <si>
    <t>Remove generic Shared folder and enforce dependency boundaries</t>
  </si>
  <si>
    <t>Assets/_Project/Scripts/Shared</t>
  </si>
  <si>
    <t>CHG-S0-012</t>
  </si>
  <si>
    <t>S0.6D</t>
  </si>
  <si>
    <t>Create operational production tracking workbook</t>
  </si>
  <si>
    <t>Documentation/10_Development_Records/Production_Tracking</t>
  </si>
  <si>
    <t>Commit 31a77be</t>
  </si>
  <si>
    <t>Superseded by v0.3.2 current operational copy</t>
  </si>
  <si>
    <t>CHG-S0-013</t>
  </si>
  <si>
    <t>Create operational QA matrix and test runs</t>
  </si>
  <si>
    <t>CHG-S0-014</t>
  </si>
  <si>
    <t>Create operational traceability workbook and ADRs</t>
  </si>
  <si>
    <t>Documentation/10_Development_Records</t>
  </si>
  <si>
    <t>Continue updating at each block</t>
  </si>
  <si>
    <t>CHG-S0-015</t>
  </si>
  <si>
    <t>Close S0.5 and S0.6 records with PASS results</t>
  </si>
  <si>
    <t>Documentation/10_Development_Records/Sprints/Sprint_00</t>
  </si>
  <si>
    <t>CHG-S0-016</t>
  </si>
  <si>
    <t>Developer confirms S0.6D local validation</t>
  </si>
  <si>
    <t>Documentation sync and repository state</t>
  </si>
  <si>
    <t>Developer confirmation</t>
  </si>
  <si>
    <t>CHG-S0-017</t>
  </si>
  <si>
    <t>S0.7</t>
  </si>
  <si>
    <t>Freeze scene names, responsibilities and global order</t>
  </si>
  <si>
    <t>Bootstrap; MainMenu; Store; TestLab</t>
  </si>
  <si>
    <t>ADR-0005</t>
  </si>
  <si>
    <t>Scene assets pending</t>
  </si>
  <si>
    <t>CHG-S0-018</t>
  </si>
  <si>
    <t>Prepare S0.7 procedure, QA and operational workbook v0.3.2</t>
  </si>
  <si>
    <t>Commit 72af6f82cc4458c716d751f5846075bfe47aa093</t>
  </si>
  <si>
    <t>Superseded by operational workbooks v0.3.3</t>
  </si>
  <si>
    <t>CHG-S0-019</t>
  </si>
  <si>
    <t>2026-06-22</t>
  </si>
  <si>
    <t>Create four scenes, configure exact global order and remove stale SampleScene entry</t>
  </si>
  <si>
    <t>Assets/_Project/Scenes; ProjectSettings/EditorBuildSettings.asset</t>
  </si>
  <si>
    <t>Commits 72af6f82cc4458c716d751f5846075bfe47aa093; 6416ca107509dd81428575ff9400215022bc7610</t>
  </si>
  <si>
    <t>CHG-S0-020</t>
  </si>
  <si>
    <t>S0.8</t>
  </si>
  <si>
    <t>Freeze the nine-test smoke baseline and execution policy</t>
  </si>
  <si>
    <t>ADR-0006</t>
  </si>
  <si>
    <t>S0.8 package</t>
  </si>
  <si>
    <t>S0.9 remains blocked until 9/9 PASS</t>
  </si>
  <si>
    <t>CHG-S0-021</t>
  </si>
  <si>
    <t>Prepare five EditMode and four PlayMode smoke tests</t>
  </si>
  <si>
    <t>Commit 04264a362e33c6b823a51f82434b38d879c3dae1</t>
  </si>
  <si>
    <t>CHG-S0-022</t>
  </si>
  <si>
    <t>Prepare S0.8 procedure, checklist and operational workbooks v0.3.4</t>
  </si>
  <si>
    <t>CHG-S0-023</t>
  </si>
  <si>
    <t>Developer confirms nine smoke tests and clean Console</t>
  </si>
  <si>
    <t>Assets/_Project/Tests; Evidence/S0.8_*</t>
  </si>
  <si>
    <t>CHG-S0-024</t>
  </si>
  <si>
    <t>S0.9</t>
  </si>
  <si>
    <t>Freeze Windows x64 Development Build baseline</t>
  </si>
  <si>
    <t>ADR-0007</t>
  </si>
  <si>
    <t>S0.9 package</t>
  </si>
  <si>
    <t>Release backend and profile deferred</t>
  </si>
  <si>
    <t>CHG-S0-025</t>
  </si>
  <si>
    <t>Prepare build procedure, checklist, record and operational v0.3.5</t>
  </si>
  <si>
    <t>Commit e1998dffe52d0d4191abe3f8bda3b577d84bdb04</t>
  </si>
  <si>
    <t>Superseded by v0.3.6 closure tracking</t>
  </si>
  <si>
    <t>CHG-S0-026</t>
  </si>
  <si>
    <t>Create tracked Build Profile and first external Windows player</t>
  </si>
  <si>
    <t>Assets/_Project/Settings/BuildProfiles; Builds/Windows</t>
  </si>
  <si>
    <t>CHG-S0-027</t>
  </si>
  <si>
    <t>Corrección</t>
  </si>
  <si>
    <t>Exclude PlayMode tests from normal Player compilation</t>
  </si>
  <si>
    <t>Assets/_Project/Tests/PlayMode/VRMGames.CartridgeAndCloud.Tests.PlayMode.asmdef</t>
  </si>
  <si>
    <t>UNITY_INCLUDE_TESTS preserves Test Runner and fixes Player build</t>
  </si>
  <si>
    <t>CHG-S0-028</t>
  </si>
  <si>
    <t>Build and execute first Windows x64 Development Player</t>
  </si>
  <si>
    <t>Builds/Windows/Development/CAC_v0.0.1_Sprint0_Dev_Windows_x64_2026-06-22_Build001</t>
  </si>
  <si>
    <t>Commit e1998dffe52d0d4191abe3f8bda3b577d84bdb04; SHA-256 55e50d174b7de4c33308309824cd3990760f7dc421b98d9ee61fdefd83ff8f6e</t>
  </si>
  <si>
    <t>Sizes not recorded; profile inherits global Scene List</t>
  </si>
  <si>
    <t>CHG-S0-029</t>
  </si>
  <si>
    <t>Close Build Record and validation checklist with actual results</t>
  </si>
  <si>
    <t>S0.9 closure package</t>
  </si>
  <si>
    <t>Consolidated in official baseline v0.4</t>
  </si>
  <si>
    <t>CHG-S0-030</t>
  </si>
  <si>
    <t>S0.10</t>
  </si>
  <si>
    <t>Freeze Sprint 0 foundation closure criteria</t>
  </si>
  <si>
    <t>ADR-0008</t>
  </si>
  <si>
    <t>S0.10 preparation package</t>
  </si>
  <si>
    <t>Tag blocked until final PASS</t>
  </si>
  <si>
    <t>CHG-S0-031</t>
  </si>
  <si>
    <t>Configuración</t>
  </si>
  <si>
    <t>Prepare canonical application identifiers</t>
  </si>
  <si>
    <t>ProjectSettings/ProjectSettings.asset</t>
  </si>
  <si>
    <t>S0.10 pre-final script</t>
  </si>
  <si>
    <t>Validated by tests and Build002</t>
  </si>
  <si>
    <t>CHG-S0-032</t>
  </si>
  <si>
    <t>Prepare profile-specific four-scene list</t>
  </si>
  <si>
    <t>Assets/_Project/Settings/BuildProfiles/Windows_Development.asset</t>
  </si>
  <si>
    <t>CHG-S0-033</t>
  </si>
  <si>
    <t>Paquetes</t>
  </si>
  <si>
    <t>Remove five nonessential direct dependencies</t>
  </si>
  <si>
    <t>CHG-S0-034</t>
  </si>
  <si>
    <t>Remove orphan Resources metadata when empty</t>
  </si>
  <si>
    <t>Assets/Resources.meta</t>
  </si>
  <si>
    <t>CHG-S0-035</t>
  </si>
  <si>
    <t>Prepare environment capture, Build002 record and operational v0.3.7</t>
  </si>
  <si>
    <t>S0.10 pre-final package</t>
  </si>
  <si>
    <t>Build results remain pending</t>
  </si>
  <si>
    <t>CHG-S0-036</t>
  </si>
  <si>
    <t>QA</t>
  </si>
  <si>
    <t>Run final 9/9 suite before Build002</t>
  </si>
  <si>
    <t>5/5 + 4/4</t>
  </si>
  <si>
    <t>CHG-S0-037</t>
  </si>
  <si>
    <t>Build</t>
  </si>
  <si>
    <t>Create and validate Sprint 0 final Windows build</t>
  </si>
  <si>
    <t>Builds/Windows/Development/CAC_v0.0.1_Sprint0_Final_Windows_x64_2026-06-22_Build002</t>
  </si>
  <si>
    <t>SHA-256 897d85a00e5afd3d3d019ebf646f2128fa9a27e3bcfa8c50ec3e4ee56c3a2ad6</t>
  </si>
  <si>
    <t>74 seconds; 157 MB (165,653,511 bytes); 65.6 MB (68,875,051 bytes)</t>
  </si>
  <si>
    <t>CHG-S0-038</t>
  </si>
  <si>
    <t>Run complete 9/9 suite after Build002</t>
  </si>
  <si>
    <t>CHG-S0-039</t>
  </si>
  <si>
    <t>Prepare final closure documents and operational v0.3.8</t>
  </si>
  <si>
    <t>S0.10 final closure package</t>
  </si>
  <si>
    <t>Publication pending</t>
  </si>
  <si>
    <t>CHG-S0-040</t>
  </si>
  <si>
    <t>Publicación</t>
  </si>
  <si>
    <t>Publish Sprint 0 technical closure</t>
  </si>
  <si>
    <t>Commit 478794017015054571d6ca22332a201589abbe5c</t>
  </si>
  <si>
    <t>Commit and push verified; no local changes</t>
  </si>
  <si>
    <t>CHG-S0-041</t>
  </si>
  <si>
    <t>Post-publication</t>
  </si>
  <si>
    <t>Repair UTF-8 mojibake and consolidate closure metadata</t>
  </si>
  <si>
    <t>Environment, Sprint 00 closure docs and operational workbooks</t>
  </si>
  <si>
    <t>Post-publication fix package</t>
  </si>
  <si>
    <t>ADR</t>
  </si>
  <si>
    <t>Decision</t>
  </si>
  <si>
    <t>Drivers</t>
  </si>
  <si>
    <t>Consequences</t>
  </si>
  <si>
    <t>Supersedes</t>
  </si>
  <si>
    <t>ADR-0001</t>
  </si>
  <si>
    <t>Use Unity 6.3 LTS 6000.3.18f1, URP and resolved Released packages</t>
  </si>
  <si>
    <t>Stability; LTS support; solo development</t>
  </si>
  <si>
    <t>Package upgrades require explicit validation</t>
  </si>
  <si>
    <t>Historical generic Unity 6 LTS wording</t>
  </si>
  <si>
    <t>ADR-0002</t>
  </si>
  <si>
    <t>Use GitHub Desktop on main for the solo workflow</t>
  </si>
  <si>
    <t>Developer familiarity; low process overhead</t>
  </si>
  <si>
    <t>No command-line Git requirement for normal work</t>
  </si>
  <si>
    <t>PowerShell-first workflow</t>
  </si>
  <si>
    <t>ADR-0003</t>
  </si>
  <si>
    <t>Keep official baseline immutable and maintain operational copies</t>
  </si>
  <si>
    <t>Auditability; preserve source evidence</t>
  </si>
  <si>
    <t>Tracking files live in Development_Records</t>
  </si>
  <si>
    <t>Silent edits to baseline v0.3</t>
  </si>
  <si>
    <t>ADR-0004</t>
  </si>
  <si>
    <t>Use four production assemblies and two test assemblies</t>
  </si>
  <si>
    <t>Separation of concerns; testability</t>
  </si>
  <si>
    <t>Domain and Application cannot reference Unity</t>
  </si>
  <si>
    <t>Manager-centric legacy architecture</t>
  </si>
  <si>
    <t>Use Bootstrap, MainMenu, Store and TestLab with fixed global order 0–3</t>
  </si>
  <si>
    <t>Stable startup, menu, vertical slice and test isolation</t>
  </si>
  <si>
    <t>Scene names are frozen; future distribution profile excludes TestLab</t>
  </si>
  <si>
    <t>Historical StorePrototype / StoreSandbox naming</t>
  </si>
  <si>
    <t>Use five EditMode and four PlayMode tests as the Sprint 0 smoke baseline</t>
  </si>
  <si>
    <t>Regression protection without implementing gameplay</t>
  </si>
  <si>
    <t>S0.9 requires two clean 9/9 executions</t>
  </si>
  <si>
    <t>Ad hoc manual-only verification</t>
  </si>
  <si>
    <t>Use Windows Intel 64-bit, Mono, Development Build and LZ4 in a tracked profile</t>
  </si>
  <si>
    <t>Fast reproducible first player build; PC/Steam target</t>
  </si>
  <si>
    <t>S0.9 validates runtime startup; release profile remains separate</t>
  </si>
  <si>
    <t>Unspecified Windows build configuration</t>
  </si>
  <si>
    <t>Close Sprint 0 only after final environment, package, identifier, profile, test and build audit</t>
  </si>
  <si>
    <t>Reproducible foundation and explicit debt ownership</t>
  </si>
  <si>
    <t>Foundation tag is blocked until S0.10 PASS</t>
  </si>
  <si>
    <t>Informal closure without final audit</t>
  </si>
  <si>
    <t>Document / Workbook</t>
  </si>
  <si>
    <t>Location</t>
  </si>
  <si>
    <t>Current state</t>
  </si>
  <si>
    <t>Required update</t>
  </si>
  <si>
    <t>Owner</t>
  </si>
  <si>
    <t>Target block</t>
  </si>
  <si>
    <t>Official v0.3 baseline</t>
  </si>
  <si>
    <t>Immutable source</t>
  </si>
  <si>
    <t>No direct edits</t>
  </si>
  <si>
    <t>VRM Games</t>
  </si>
  <si>
    <t>No change</t>
  </si>
  <si>
    <t>Continuous</t>
  </si>
  <si>
    <t>S0.5 Project and Documentation Structure</t>
  </si>
  <si>
    <t>Documentation/10_Development_Records/Sprints/Sprint_00/S0.5_Project_and_Documentation_Structure.md</t>
  </si>
  <si>
    <t>Closed PASS</t>
  </si>
  <si>
    <t>No update required</t>
  </si>
  <si>
    <t>Complete</t>
  </si>
  <si>
    <t>S0.6 Assembly Definitions</t>
  </si>
  <si>
    <t>Documentation/10_Development_Records/Sprints/Sprint_00/S0.6_Assembly_Definitions.md</t>
  </si>
  <si>
    <t>S0.6 Validation Checklist</t>
  </si>
  <si>
    <t>Documentation/10_Development_Records/Sprints/Sprint_00/S0.6_Validation_Checklist.md</t>
  </si>
  <si>
    <t>Completed PASS</t>
  </si>
  <si>
    <t>Production operational workbook</t>
  </si>
  <si>
    <t>Documentation/10_Development_Records/Production_Tracking/Cartridge_And_Cloud_Production_Tracking_Operational_v0.3.8.xlsx</t>
  </si>
  <si>
    <t>Final pre-publication version</t>
  </si>
  <si>
    <t>Publish with final commit</t>
  </si>
  <si>
    <t>QA operational workbook</t>
  </si>
  <si>
    <t>Documentation/10_Development_Records/Production_Tracking/Cartridge_And_Cloud_QA_Operational_v0.3.8.xlsx</t>
  </si>
  <si>
    <t>Traceability operational workbook</t>
  </si>
  <si>
    <t>Documentation/10_Development_Records/Production_Tracking/Cartridge_And_Cloud_Traceability_Operational_v0.3.8.xlsx</t>
  </si>
  <si>
    <t>Project Binder / Master Index</t>
  </si>
  <si>
    <t>Official baseline source</t>
  </si>
  <si>
    <t>Validated / current</t>
  </si>
  <si>
    <t>Unity Project Setup Guide</t>
  </si>
  <si>
    <t>TDD</t>
  </si>
  <si>
    <t>Build &amp; Versioning Guide</t>
  </si>
  <si>
    <t>ADR-0005 Scene Baseline</t>
  </si>
  <si>
    <t>Documentation/10_Development_Records/ADR/ADR-0005-Scene-Baseline-and-Build-Order.md</t>
  </si>
  <si>
    <t>Closed / current</t>
  </si>
  <si>
    <t>S0.7 Scene Baseline</t>
  </si>
  <si>
    <t>Documentation/10_Development_Records/Sprints/Sprint_00/S0.7_Scene_Baseline.md</t>
  </si>
  <si>
    <t>Sprint 00 Current Status</t>
  </si>
  <si>
    <t>Documentation/10_Development_Records/Sprints/Sprint_00/Sprint_00_Current_Status.md</t>
  </si>
  <si>
    <t>ADR-0006 Smoke Test Baseline</t>
  </si>
  <si>
    <t>Documentation/10_Development_Records/ADR/ADR-0006-Smoke-Test-Baseline-and-Execution-Policy.md</t>
  </si>
  <si>
    <t>S0.8 Smoke Tests</t>
  </si>
  <si>
    <t>Documentation/10_Development_Records/Sprints/Sprint_00/S0.8_Smoke_Tests.md</t>
  </si>
  <si>
    <t>S0.8 Validation Checklist</t>
  </si>
  <si>
    <t>Documentation/10_Development_Records/Sprints/Sprint_00/S0.8_Validation_Checklist.md</t>
  </si>
  <si>
    <t>ADR-0007 Windows Build Baseline</t>
  </si>
  <si>
    <t>Documentation/10_Development_Records/ADR/ADR-0007-Windows-Development-Build-Baseline.md</t>
  </si>
  <si>
    <t>Replace with closure version where applicable</t>
  </si>
  <si>
    <t>S0.9 Windows Development Build</t>
  </si>
  <si>
    <t>Documentation/10_Development_Records/Sprints/Sprint_00/S0.9_Windows_Development_Build.md</t>
  </si>
  <si>
    <t>S0.9 Validation Checklist</t>
  </si>
  <si>
    <t>Documentation/10_Development_Records/Sprints/Sprint_00/S0.9_Validation_Checklist.md</t>
  </si>
  <si>
    <t>S0.9 Build Record</t>
  </si>
  <si>
    <t>Documentation/10_Development_Records/Builds/S0.9_Windows_Development_Build_Record.md</t>
  </si>
  <si>
    <t>ADR-0008 Sprint 0 Closure</t>
  </si>
  <si>
    <t>Documentation/10_Development_Records/ADR/ADR-0008-Sprint-0-Foundation-Closure-Policy.md</t>
  </si>
  <si>
    <t>Development Environment Record</t>
  </si>
  <si>
    <t>Documentation/10_Development_Records/Environment/DevelopmentEnvironment_Record.md</t>
  </si>
  <si>
    <t>Package Review Record</t>
  </si>
  <si>
    <t>Documentation/10_Development_Records/Packages/S0.10_Package_Review_Record.md</t>
  </si>
  <si>
    <t>S0.10 Sprint Closure</t>
  </si>
  <si>
    <t>Documentation/10_Development_Records/Sprints/Sprint_00/S0.10_Sprint_Closure.md</t>
  </si>
  <si>
    <t>S0.10 Validation Checklist</t>
  </si>
  <si>
    <t>Documentation/10_Development_Records/Sprints/Sprint_00/S0.10_Validation_Checklist.md</t>
  </si>
  <si>
    <t>Sprint 00 Foundation Baseline</t>
  </si>
  <si>
    <t>Documentation/10_Development_Records/Sprints/Sprint_00/Sprint_00_Foundation_Baseline.md</t>
  </si>
  <si>
    <t>S0.10 Final Build Record</t>
  </si>
  <si>
    <t>Documentation/10_Development_Records/Builds/S0.10_Windows_Final_Build_Record.md</t>
  </si>
  <si>
    <t>S0.10 Applied Changes Report</t>
  </si>
  <si>
    <t>Documentation/10_Development_Records/Sprints/Sprint_00/S0.10_Applied_Changes_Report.md</t>
  </si>
  <si>
    <t>Sprint 00 Closure Record</t>
  </si>
  <si>
    <t>Documentation/10_Development_Records/Sprints/Sprint_00/Sprint_00_Closure_Record.md</t>
  </si>
  <si>
    <t>Prepared</t>
  </si>
  <si>
    <t>Order</t>
  </si>
  <si>
    <t>SHA</t>
  </si>
  <si>
    <t>Message</t>
  </si>
  <si>
    <t>Scope</t>
  </si>
  <si>
    <t>Repository URL</t>
  </si>
  <si>
    <t>6429c7cff05fb8e77e7161ce72f28fb79d03383f</t>
  </si>
  <si>
    <t>chore: initialize Unity 6.3 project</t>
  </si>
  <si>
    <t>S0.1–S0.2</t>
  </si>
  <si>
    <t>https://github.com/BLRochaGonzalez93/U012_CartridgeAndCloud/commit/6429c7cff05fb8e77e7161ce72f28fb79d03383f</t>
  </si>
  <si>
    <t>46c76312fe3f2e93da48334be4862d019e34019d</t>
  </si>
  <si>
    <t>chore: update Unity gitignore and track Visual Studio config</t>
  </si>
  <si>
    <t>https://github.com/BLRochaGonzalez93/U012_CartridgeAndCloud/commit/46c76312fe3f2e93da48334be4862d019e34019d</t>
  </si>
  <si>
    <t>3d49ef4fae0ebbe4f5739b58d1ac08c5dd068264</t>
  </si>
  <si>
    <t>chore: add Unity repository attributes</t>
  </si>
  <si>
    <t>https://github.com/BLRochaGonzalez93/U012_CartridgeAndCloud/commit/3d49ef4fae0ebbe4f5739b58d1ac08c5dd068264</t>
  </si>
  <si>
    <t>1cc30ad69a2c093a8e1e0686451302689eb632bb</t>
  </si>
  <si>
    <t>chore: establish project and documentation structure</t>
  </si>
  <si>
    <t>https://github.com/BLRochaGonzalez93/U012_CartridgeAndCloud/commit/1cc30ad69a2c093a8e1e0686451302689eb632bb</t>
  </si>
  <si>
    <t>7f32381d94af98f283fa0cb26b4cbf5b0ba84fe9</t>
  </si>
  <si>
    <t>chore: establish assembly dependency boundaries</t>
  </si>
  <si>
    <t>https://github.com/BLRochaGonzalez93/U012_CartridgeAndCloud/commit/7f32381d94af98f283fa0cb26b4cbf5b0ba84fe9</t>
  </si>
  <si>
    <t>31a77be358a3b8e9268cd69abb02a1f52d429fbd</t>
  </si>
  <si>
    <t>docs: synchronize Sprint 0 production tracking</t>
  </si>
  <si>
    <t>https://github.com/BLRochaGonzalez93/U012_CartridgeAndCloud/commit/31a77be358a3b8e9268cd69abb02a1f52d429fbd</t>
  </si>
  <si>
    <t>72af6f82cc4458c716d751f5846075bfe47aa093</t>
  </si>
  <si>
    <t>chore: establish scene baseline</t>
  </si>
  <si>
    <t>https://github.com/BLRochaGonzalez93/U012_CartridgeAndCloud/commit/72af6f82cc4458c716d751f5846075bfe47aa093</t>
  </si>
  <si>
    <t>6416ca107509dd81428575ff9400215022bc7610</t>
  </si>
  <si>
    <t>fix: remove stale SampleScene build entry</t>
  </si>
  <si>
    <t>https://github.com/BLRochaGonzalez93/U012_CartridgeAndCloud/commit/6416ca107509dd81428575ff9400215022bc7610</t>
  </si>
  <si>
    <t>e67555b4f5d6e6cc3d5564fc10573a92b2f80cf2</t>
  </si>
  <si>
    <t>docs: close S0.7 scene baseline</t>
  </si>
  <si>
    <t>https://github.com/BLRochaGonzalez93/U012_CartridgeAndCloud/commit/e67555b4f5d6e6cc3d5564fc10573a92b2f80cf2</t>
  </si>
  <si>
    <t>04264a362e33c6b823a51f82434b38d879c3dae1</t>
  </si>
  <si>
    <t>test: add Sprint 0 smoke-test baseline</t>
  </si>
  <si>
    <t>https://github.com/BLRochaGonzalez93/U012_CartridgeAndCloud/commit/04264a362e33c6b823a51f82434b38d879c3dae1</t>
  </si>
  <si>
    <t>e1998dffe52d0d4191abe3f8bda3b577d84bdb04</t>
  </si>
  <si>
    <t>build: add first Windows development build profile</t>
  </si>
  <si>
    <t>https://github.com/BLRochaGonzalez93/U012_CartridgeAndCloud/commit/e1998dffe52d0d4191abe3f8bda3b577d84bdb04</t>
  </si>
  <si>
    <t>69493d5da35873258395808ed9cf9e196f182cd8</t>
  </si>
  <si>
    <t>docs: close S0.9 and prepare Sprint 0 closure</t>
  </si>
  <si>
    <t>S0.9 / S0.10</t>
  </si>
  <si>
    <t>https://github.com/BLRochaGonzalez93/U012_CartridgeAndCloud/commit/69493d5da35873258395808ed9cf9e196f182cd8</t>
  </si>
  <si>
    <t>478794017015054571d6ca22332a201589abbe5c</t>
  </si>
  <si>
    <t>chore: close Sprint 0 project foundation</t>
  </si>
  <si>
    <t>https://github.com/BLRochaGonzalez93/U012_CartridgeAndCloud/commit/478794017015054571d6ca22332a201589abbe5c</t>
  </si>
  <si>
    <t>Allowed change types</t>
  </si>
  <si>
    <t>Fix</t>
  </si>
  <si>
    <t>Incidencia / Fix</t>
  </si>
  <si>
    <t>Herramienta Editor</t>
  </si>
  <si>
    <t>Gameplay / Fórmula</t>
  </si>
  <si>
    <t>Guardado / Carga</t>
  </si>
  <si>
    <t>Ajuste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</si>
</sst>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color rgb="FF5B6660"/>
      <name val="Carlito"/>
    </font>
    <font>
      <b/>
      <sz val="11"/>
      <color rgb="FFFFFFFF"/>
      <name val="Carlito"/>
    </font>
    <font>
      <b/>
      <sz val="11"/>
      <name val="Carlito"/>
    </font>
    <font>
      <b/>
      <sz val="12"/>
      <color rgb="FF008F4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01716"/>
      </patternFill>
    </fill>
    <fill>
      <patternFill patternType="solid">
        <fgColor rgb="FFF3F5F4"/>
      </patternFill>
    </fill>
    <fill>
      <patternFill patternType="solid">
        <fgColor rgb="FF008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vertical="center" wrapText="1"/>
    </xf>
    <xf numFmtId="0" fontId="0" fillId="3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16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ill>
        <patternFill>
          <bgColor rgb="FFDFF3E8"/>
        </patternFill>
      </fill>
    </dxf>
    <dxf>
      <fill>
        <patternFill>
          <bgColor rgb="FFF6E7B0"/>
        </patternFill>
      </fill>
    </dxf>
    <dxf>
      <font>
        <b/>
      </font>
      <fill>
        <patternFill>
          <bgColor rgb="FFF6E7B0"/>
        </patternFill>
      </fill>
    </dxf>
    <dxf>
      <font>
        <b/>
      </font>
      <fill>
        <patternFill>
          <bgColor rgb="FFDFF3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ngeLogTable" displayName="ChangeLogTable" ref="A1:I42" headerRowDxfId="2" dataDxfId="0" totalsRowDxfId="1">
  <tableColumns count="9">
    <tableColumn id="1" xr3:uid="{00000000-0010-0000-0000-000001000000}" name="Change ID" dataDxfId="11"/>
    <tableColumn id="2" xr3:uid="{00000000-0010-0000-0000-000002000000}" name="Date" dataDxfId="10"/>
    <tableColumn id="3" xr3:uid="{00000000-0010-0000-0000-000003000000}" name="Type" dataDxfId="9"/>
    <tableColumn id="4" xr3:uid="{00000000-0010-0000-0000-000004000000}" name="Block" dataDxfId="8"/>
    <tableColumn id="5" xr3:uid="{00000000-0010-0000-0000-000005000000}" name="Summary" dataDxfId="7"/>
    <tableColumn id="6" xr3:uid="{00000000-0010-0000-0000-000006000000}" name="Files / Scope" dataDxfId="6"/>
    <tableColumn id="7" xr3:uid="{00000000-0010-0000-0000-000007000000}" name="Evidence" dataDxfId="5"/>
    <tableColumn id="8" xr3:uid="{00000000-0010-0000-0000-000008000000}" name="Status" dataDxfId="4"/>
    <tableColumn id="9" xr3:uid="{00000000-0010-0000-0000-000009000000}" name="Debt / Follow-up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LogTable" displayName="DecisionLogTable" ref="A1:G5">
  <tableColumns count="7">
    <tableColumn id="1" xr3:uid="{00000000-0010-0000-0100-000001000000}" name="ADR"/>
    <tableColumn id="2" xr3:uid="{00000000-0010-0000-0100-000002000000}" name="Date"/>
    <tableColumn id="3" xr3:uid="{00000000-0010-0000-0100-000003000000}" name="Decision"/>
    <tableColumn id="4" xr3:uid="{00000000-0010-0000-0100-000004000000}" name="Status"/>
    <tableColumn id="5" xr3:uid="{00000000-0010-0000-0100-000005000000}" name="Drivers"/>
    <tableColumn id="6" xr3:uid="{00000000-0010-0000-0100-000006000000}" name="Consequences"/>
    <tableColumn id="7" xr3:uid="{00000000-0010-0000-0100-000007000000}" name="Supersed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ocumentUpdateTable" displayName="DocumentUpdateTable" ref="A1:G12">
  <tableColumns count="7">
    <tableColumn id="1" xr3:uid="{00000000-0010-0000-0200-000001000000}" name="Document / Workbook"/>
    <tableColumn id="2" xr3:uid="{00000000-0010-0000-0200-000002000000}" name="Location"/>
    <tableColumn id="3" xr3:uid="{00000000-0010-0000-0200-000003000000}" name="Current state"/>
    <tableColumn id="4" xr3:uid="{00000000-0010-0000-0200-000004000000}" name="Required update"/>
    <tableColumn id="5" xr3:uid="{00000000-0010-0000-0200-000005000000}" name="Owner"/>
    <tableColumn id="6" xr3:uid="{00000000-0010-0000-0200-000006000000}" name="Status"/>
    <tableColumn id="7" xr3:uid="{00000000-0010-0000-0200-000007000000}" name="Target blo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mmitRegisterTable" displayName="CommitRegisterTable" ref="A1:E6">
  <tableColumns count="5">
    <tableColumn id="1" xr3:uid="{00000000-0010-0000-0300-000001000000}" name="Order"/>
    <tableColumn id="2" xr3:uid="{00000000-0010-0000-0300-000002000000}" name="SHA"/>
    <tableColumn id="3" xr3:uid="{00000000-0010-0000-0300-000003000000}" name="Message"/>
    <tableColumn id="4" xr3:uid="{00000000-0010-0000-0300-000004000000}" name="Scope"/>
    <tableColumn id="5" xr3:uid="{00000000-0010-0000-0300-000005000000}" name="Repository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B16" sqref="B16"/>
    </sheetView>
  </sheetViews>
  <sheetFormatPr baseColWidth="10" defaultColWidth="9" defaultRowHeight="14.25"/>
  <cols>
    <col min="1" max="1" width="30" customWidth="1"/>
    <col min="2" max="2" width="26" customWidth="1"/>
    <col min="3" max="3" width="4" customWidth="1"/>
    <col min="4" max="8" width="18" customWidth="1"/>
  </cols>
  <sheetData>
    <row r="1" spans="1:8" ht="27.95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20.100000000000001" customHeight="1">
      <c r="A2" s="7" t="s">
        <v>1</v>
      </c>
      <c r="B2" s="7"/>
      <c r="C2" s="7"/>
      <c r="D2" s="7"/>
      <c r="E2" s="7"/>
      <c r="F2" s="7"/>
      <c r="G2" s="7"/>
      <c r="H2" s="7"/>
    </row>
    <row r="4" spans="1:8" ht="15">
      <c r="A4" s="2" t="s">
        <v>2</v>
      </c>
      <c r="B4" s="2" t="s">
        <v>3</v>
      </c>
      <c r="D4" s="8" t="s">
        <v>4</v>
      </c>
      <c r="E4" s="8"/>
      <c r="F4" s="8"/>
      <c r="G4" s="8"/>
      <c r="H4" s="8"/>
    </row>
    <row r="5" spans="1:8" ht="15.75">
      <c r="A5" s="3" t="s">
        <v>5</v>
      </c>
      <c r="B5" s="4">
        <f>COUNTA(Change_Log!A2:A42)</f>
        <v>41</v>
      </c>
      <c r="D5" s="9" t="s">
        <v>6</v>
      </c>
      <c r="E5" s="9"/>
      <c r="F5" s="9"/>
      <c r="G5" s="9"/>
      <c r="H5" s="9"/>
    </row>
    <row r="6" spans="1:8" ht="15.75">
      <c r="A6" s="3" t="s">
        <v>7</v>
      </c>
      <c r="B6" s="4">
        <f>COUNTIF(Change_Log!H2:H42,"Accepted")</f>
        <v>41</v>
      </c>
      <c r="D6" s="9"/>
      <c r="E6" s="9"/>
      <c r="F6" s="9"/>
      <c r="G6" s="9"/>
      <c r="H6" s="9"/>
    </row>
    <row r="7" spans="1:8" ht="15.75">
      <c r="A7" s="3" t="s">
        <v>8</v>
      </c>
      <c r="B7" s="4">
        <f>COUNTIF(Change_Log!H2:H42,"Pending validation")</f>
        <v>0</v>
      </c>
      <c r="D7" s="9"/>
      <c r="E7" s="9"/>
      <c r="F7" s="9"/>
      <c r="G7" s="9"/>
      <c r="H7" s="9"/>
    </row>
    <row r="8" spans="1:8" ht="15.75">
      <c r="A8" s="3" t="s">
        <v>9</v>
      </c>
      <c r="B8" s="4">
        <f>COUNTIF(Document_Update_Matrix!F2:F31,"Pending")</f>
        <v>0</v>
      </c>
      <c r="D8" s="9"/>
      <c r="E8" s="9"/>
      <c r="F8" s="9"/>
      <c r="G8" s="9"/>
      <c r="H8" s="9"/>
    </row>
    <row r="9" spans="1:8" ht="15.75">
      <c r="A9" s="3" t="s">
        <v>10</v>
      </c>
      <c r="B9" s="4">
        <f>COUNTIF(Decision_Log!D2:D9,"Accepted")</f>
        <v>8</v>
      </c>
      <c r="D9" s="9"/>
      <c r="E9" s="9"/>
      <c r="F9" s="9"/>
      <c r="G9" s="9"/>
      <c r="H9" s="9"/>
    </row>
    <row r="10" spans="1:8" ht="15.75">
      <c r="A10" s="3" t="s">
        <v>11</v>
      </c>
      <c r="B10" s="4" t="s">
        <v>12</v>
      </c>
      <c r="D10" s="9"/>
      <c r="E10" s="9"/>
      <c r="F10" s="9"/>
      <c r="G10" s="9"/>
      <c r="H10" s="9"/>
    </row>
  </sheetData>
  <mergeCells count="4">
    <mergeCell ref="A1:H1"/>
    <mergeCell ref="A2:H2"/>
    <mergeCell ref="D4:H4"/>
    <mergeCell ref="D5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tabSelected="1" topLeftCell="A21" workbookViewId="0">
      <selection activeCell="E48" sqref="E48"/>
    </sheetView>
  </sheetViews>
  <sheetFormatPr baseColWidth="10" defaultColWidth="9" defaultRowHeight="14.25"/>
  <cols>
    <col min="1" max="1" width="11.375" style="11" bestFit="1" customWidth="1"/>
    <col min="2" max="2" width="10.125" style="11" bestFit="1" customWidth="1"/>
    <col min="3" max="3" width="13.75" style="11" bestFit="1" customWidth="1"/>
    <col min="4" max="4" width="13.875" style="11" bestFit="1" customWidth="1"/>
    <col min="5" max="5" width="72.375" style="11" bestFit="1" customWidth="1"/>
    <col min="6" max="6" width="79.5" style="11" bestFit="1" customWidth="1"/>
    <col min="7" max="7" width="118.75" style="11" bestFit="1" customWidth="1"/>
    <col min="8" max="8" width="9.125" style="11" bestFit="1" customWidth="1"/>
    <col min="9" max="9" width="59.875" style="11" bestFit="1" customWidth="1"/>
    <col min="10" max="16384" width="9" style="11"/>
  </cols>
  <sheetData>
    <row r="1" spans="1:9" ht="15">
      <c r="A1" s="10" t="s">
        <v>13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0" t="s">
        <v>21</v>
      </c>
    </row>
    <row r="2" spans="1:9">
      <c r="A2" s="12" t="s">
        <v>22</v>
      </c>
      <c r="B2" s="12" t="s">
        <v>23</v>
      </c>
      <c r="C2" s="12" t="s">
        <v>24</v>
      </c>
      <c r="D2" s="12" t="s">
        <v>25</v>
      </c>
      <c r="E2" s="12" t="s">
        <v>26</v>
      </c>
      <c r="F2" s="12" t="s">
        <v>27</v>
      </c>
      <c r="G2" s="12" t="s">
        <v>28</v>
      </c>
      <c r="H2" s="12" t="s">
        <v>7</v>
      </c>
      <c r="I2" s="12" t="s">
        <v>29</v>
      </c>
    </row>
    <row r="3" spans="1:9">
      <c r="A3" s="12" t="s">
        <v>30</v>
      </c>
      <c r="B3" s="12" t="s">
        <v>23</v>
      </c>
      <c r="C3" s="12" t="s">
        <v>24</v>
      </c>
      <c r="D3" s="12" t="s">
        <v>31</v>
      </c>
      <c r="E3" s="12" t="s">
        <v>32</v>
      </c>
      <c r="F3" s="12" t="s">
        <v>33</v>
      </c>
      <c r="G3" s="12" t="s">
        <v>34</v>
      </c>
      <c r="H3" s="12" t="s">
        <v>7</v>
      </c>
      <c r="I3" s="12" t="s">
        <v>35</v>
      </c>
    </row>
    <row r="4" spans="1:9">
      <c r="A4" s="12" t="s">
        <v>36</v>
      </c>
      <c r="B4" s="12" t="s">
        <v>23</v>
      </c>
      <c r="C4" s="12" t="s">
        <v>24</v>
      </c>
      <c r="D4" s="12" t="s">
        <v>37</v>
      </c>
      <c r="E4" s="12" t="s">
        <v>38</v>
      </c>
      <c r="F4" s="12" t="s">
        <v>39</v>
      </c>
      <c r="G4" s="12" t="s">
        <v>40</v>
      </c>
      <c r="H4" s="12" t="s">
        <v>7</v>
      </c>
      <c r="I4" s="12" t="s">
        <v>41</v>
      </c>
    </row>
    <row r="5" spans="1:9">
      <c r="A5" s="12" t="s">
        <v>42</v>
      </c>
      <c r="B5" s="12" t="s">
        <v>23</v>
      </c>
      <c r="C5" s="12" t="s">
        <v>24</v>
      </c>
      <c r="D5" s="12" t="s">
        <v>43</v>
      </c>
      <c r="E5" s="12" t="s">
        <v>44</v>
      </c>
      <c r="F5" s="12" t="s">
        <v>45</v>
      </c>
      <c r="G5" s="12" t="s">
        <v>34</v>
      </c>
      <c r="H5" s="12" t="s">
        <v>7</v>
      </c>
      <c r="I5" s="12" t="s">
        <v>35</v>
      </c>
    </row>
    <row r="6" spans="1:9">
      <c r="A6" s="12" t="s">
        <v>46</v>
      </c>
      <c r="B6" s="12" t="s">
        <v>23</v>
      </c>
      <c r="C6" s="12" t="s">
        <v>24</v>
      </c>
      <c r="D6" s="12" t="s">
        <v>43</v>
      </c>
      <c r="E6" s="12" t="s">
        <v>47</v>
      </c>
      <c r="F6" s="12" t="s">
        <v>48</v>
      </c>
      <c r="G6" s="12" t="s">
        <v>49</v>
      </c>
      <c r="H6" s="12" t="s">
        <v>7</v>
      </c>
      <c r="I6" s="12" t="s">
        <v>35</v>
      </c>
    </row>
    <row r="7" spans="1:9">
      <c r="A7" s="12" t="s">
        <v>50</v>
      </c>
      <c r="B7" s="12" t="s">
        <v>23</v>
      </c>
      <c r="C7" s="12" t="s">
        <v>24</v>
      </c>
      <c r="D7" s="12" t="s">
        <v>43</v>
      </c>
      <c r="E7" s="12" t="s">
        <v>51</v>
      </c>
      <c r="F7" s="12" t="s">
        <v>52</v>
      </c>
      <c r="G7" s="12" t="s">
        <v>53</v>
      </c>
      <c r="H7" s="12" t="s">
        <v>7</v>
      </c>
      <c r="I7" s="12" t="s">
        <v>54</v>
      </c>
    </row>
    <row r="8" spans="1:9">
      <c r="A8" s="12" t="s">
        <v>55</v>
      </c>
      <c r="B8" s="12" t="s">
        <v>23</v>
      </c>
      <c r="C8" s="12" t="s">
        <v>24</v>
      </c>
      <c r="D8" s="12" t="s">
        <v>56</v>
      </c>
      <c r="E8" s="12" t="s">
        <v>57</v>
      </c>
      <c r="F8" s="12" t="s">
        <v>58</v>
      </c>
      <c r="G8" s="12" t="s">
        <v>59</v>
      </c>
      <c r="H8" s="12" t="s">
        <v>7</v>
      </c>
      <c r="I8" s="12" t="s">
        <v>35</v>
      </c>
    </row>
    <row r="9" spans="1:9">
      <c r="A9" s="12" t="s">
        <v>60</v>
      </c>
      <c r="B9" s="12" t="s">
        <v>23</v>
      </c>
      <c r="C9" s="12" t="s">
        <v>61</v>
      </c>
      <c r="D9" s="12" t="s">
        <v>56</v>
      </c>
      <c r="E9" s="12" t="s">
        <v>62</v>
      </c>
      <c r="F9" s="12" t="s">
        <v>63</v>
      </c>
      <c r="G9" s="12" t="s">
        <v>59</v>
      </c>
      <c r="H9" s="12" t="s">
        <v>7</v>
      </c>
      <c r="I9" s="12" t="s">
        <v>64</v>
      </c>
    </row>
    <row r="10" spans="1:9">
      <c r="A10" s="12" t="s">
        <v>65</v>
      </c>
      <c r="B10" s="12" t="s">
        <v>23</v>
      </c>
      <c r="C10" s="12" t="s">
        <v>66</v>
      </c>
      <c r="D10" s="12" t="s">
        <v>67</v>
      </c>
      <c r="E10" s="12" t="s">
        <v>68</v>
      </c>
      <c r="F10" s="12" t="s">
        <v>69</v>
      </c>
      <c r="G10" s="12" t="s">
        <v>70</v>
      </c>
      <c r="H10" s="12" t="s">
        <v>7</v>
      </c>
      <c r="I10" s="12" t="s">
        <v>71</v>
      </c>
    </row>
    <row r="11" spans="1:9">
      <c r="A11" s="12" t="s">
        <v>72</v>
      </c>
      <c r="B11" s="12" t="s">
        <v>23</v>
      </c>
      <c r="C11" s="12" t="s">
        <v>66</v>
      </c>
      <c r="D11" s="12" t="s">
        <v>67</v>
      </c>
      <c r="E11" s="12" t="s">
        <v>73</v>
      </c>
      <c r="F11" s="12" t="s">
        <v>74</v>
      </c>
      <c r="G11" s="12" t="s">
        <v>70</v>
      </c>
      <c r="H11" s="12" t="s">
        <v>7</v>
      </c>
      <c r="I11" s="12" t="s">
        <v>75</v>
      </c>
    </row>
    <row r="12" spans="1:9">
      <c r="A12" s="12" t="s">
        <v>76</v>
      </c>
      <c r="B12" s="12" t="s">
        <v>23</v>
      </c>
      <c r="C12" s="12" t="s">
        <v>77</v>
      </c>
      <c r="D12" s="12" t="s">
        <v>67</v>
      </c>
      <c r="E12" s="12" t="s">
        <v>78</v>
      </c>
      <c r="F12" s="12" t="s">
        <v>79</v>
      </c>
      <c r="G12" s="12" t="s">
        <v>70</v>
      </c>
      <c r="H12" s="12" t="s">
        <v>7</v>
      </c>
      <c r="I12" s="12" t="s">
        <v>35</v>
      </c>
    </row>
    <row r="13" spans="1:9">
      <c r="A13" s="12" t="s">
        <v>80</v>
      </c>
      <c r="B13" s="12" t="s">
        <v>23</v>
      </c>
      <c r="C13" s="12" t="s">
        <v>61</v>
      </c>
      <c r="D13" s="12" t="s">
        <v>81</v>
      </c>
      <c r="E13" s="12" t="s">
        <v>82</v>
      </c>
      <c r="F13" s="12" t="s">
        <v>83</v>
      </c>
      <c r="G13" s="12" t="s">
        <v>84</v>
      </c>
      <c r="H13" s="12" t="s">
        <v>7</v>
      </c>
      <c r="I13" s="12" t="s">
        <v>85</v>
      </c>
    </row>
    <row r="14" spans="1:9">
      <c r="A14" s="12" t="s">
        <v>86</v>
      </c>
      <c r="B14" s="12" t="s">
        <v>23</v>
      </c>
      <c r="C14" s="12" t="s">
        <v>61</v>
      </c>
      <c r="D14" s="12" t="s">
        <v>81</v>
      </c>
      <c r="E14" s="12" t="s">
        <v>87</v>
      </c>
      <c r="F14" s="12" t="s">
        <v>83</v>
      </c>
      <c r="G14" s="12" t="s">
        <v>84</v>
      </c>
      <c r="H14" s="12" t="s">
        <v>7</v>
      </c>
      <c r="I14" s="12" t="s">
        <v>85</v>
      </c>
    </row>
    <row r="15" spans="1:9">
      <c r="A15" s="12" t="s">
        <v>88</v>
      </c>
      <c r="B15" s="12" t="s">
        <v>23</v>
      </c>
      <c r="C15" s="12" t="s">
        <v>61</v>
      </c>
      <c r="D15" s="12" t="s">
        <v>81</v>
      </c>
      <c r="E15" s="12" t="s">
        <v>89</v>
      </c>
      <c r="F15" s="12" t="s">
        <v>90</v>
      </c>
      <c r="G15" s="12" t="s">
        <v>84</v>
      </c>
      <c r="H15" s="12" t="s">
        <v>7</v>
      </c>
      <c r="I15" s="12" t="s">
        <v>91</v>
      </c>
    </row>
    <row r="16" spans="1:9">
      <c r="A16" s="12" t="s">
        <v>92</v>
      </c>
      <c r="B16" s="12" t="s">
        <v>23</v>
      </c>
      <c r="C16" s="12" t="s">
        <v>61</v>
      </c>
      <c r="D16" s="12" t="s">
        <v>81</v>
      </c>
      <c r="E16" s="12" t="s">
        <v>93</v>
      </c>
      <c r="F16" s="12" t="s">
        <v>94</v>
      </c>
      <c r="G16" s="12" t="s">
        <v>84</v>
      </c>
      <c r="H16" s="12" t="s">
        <v>7</v>
      </c>
      <c r="I16" s="12" t="s">
        <v>35</v>
      </c>
    </row>
    <row r="17" spans="1:9">
      <c r="A17" s="11" t="s">
        <v>95</v>
      </c>
      <c r="B17" s="11" t="s">
        <v>23</v>
      </c>
      <c r="C17" s="11" t="s">
        <v>24</v>
      </c>
      <c r="D17" s="11" t="s">
        <v>81</v>
      </c>
      <c r="E17" s="11" t="s">
        <v>96</v>
      </c>
      <c r="F17" s="11" t="s">
        <v>97</v>
      </c>
      <c r="G17" s="11" t="s">
        <v>98</v>
      </c>
      <c r="H17" s="11" t="s">
        <v>7</v>
      </c>
      <c r="I17" s="11" t="s">
        <v>35</v>
      </c>
    </row>
    <row r="18" spans="1:9">
      <c r="A18" s="11" t="s">
        <v>99</v>
      </c>
      <c r="B18" s="11" t="s">
        <v>23</v>
      </c>
      <c r="C18" s="11" t="s">
        <v>24</v>
      </c>
      <c r="D18" s="11" t="s">
        <v>100</v>
      </c>
      <c r="E18" s="11" t="s">
        <v>101</v>
      </c>
      <c r="F18" s="11" t="s">
        <v>102</v>
      </c>
      <c r="G18" s="11" t="s">
        <v>103</v>
      </c>
      <c r="H18" s="11" t="s">
        <v>7</v>
      </c>
      <c r="I18" s="11" t="s">
        <v>104</v>
      </c>
    </row>
    <row r="19" spans="1:9">
      <c r="A19" s="11" t="s">
        <v>105</v>
      </c>
      <c r="B19" s="11" t="s">
        <v>23</v>
      </c>
      <c r="C19" s="11" t="s">
        <v>61</v>
      </c>
      <c r="D19" s="11" t="s">
        <v>100</v>
      </c>
      <c r="E19" s="11" t="s">
        <v>106</v>
      </c>
      <c r="F19" s="11" t="s">
        <v>90</v>
      </c>
      <c r="G19" s="11" t="s">
        <v>107</v>
      </c>
      <c r="H19" s="11" t="s">
        <v>7</v>
      </c>
      <c r="I19" s="11" t="s">
        <v>108</v>
      </c>
    </row>
    <row r="20" spans="1:9">
      <c r="A20" s="11" t="s">
        <v>109</v>
      </c>
      <c r="B20" s="11" t="s">
        <v>110</v>
      </c>
      <c r="C20" s="11" t="s">
        <v>24</v>
      </c>
      <c r="D20" s="11" t="s">
        <v>100</v>
      </c>
      <c r="E20" s="11" t="s">
        <v>111</v>
      </c>
      <c r="F20" s="11" t="s">
        <v>112</v>
      </c>
      <c r="G20" s="11" t="s">
        <v>113</v>
      </c>
      <c r="H20" s="11" t="s">
        <v>7</v>
      </c>
      <c r="I20" s="11" t="s">
        <v>35</v>
      </c>
    </row>
    <row r="21" spans="1:9">
      <c r="A21" s="11" t="s">
        <v>114</v>
      </c>
      <c r="B21" s="11" t="s">
        <v>110</v>
      </c>
      <c r="C21" s="11" t="s">
        <v>24</v>
      </c>
      <c r="D21" s="11" t="s">
        <v>115</v>
      </c>
      <c r="E21" s="11" t="s">
        <v>116</v>
      </c>
      <c r="F21" s="11" t="s">
        <v>117</v>
      </c>
      <c r="G21" s="11" t="s">
        <v>118</v>
      </c>
      <c r="H21" s="11" t="s">
        <v>7</v>
      </c>
      <c r="I21" s="11" t="s">
        <v>119</v>
      </c>
    </row>
    <row r="22" spans="1:9">
      <c r="A22" s="11" t="s">
        <v>120</v>
      </c>
      <c r="B22" s="11" t="s">
        <v>110</v>
      </c>
      <c r="C22" s="11" t="s">
        <v>66</v>
      </c>
      <c r="D22" s="11" t="s">
        <v>115</v>
      </c>
      <c r="E22" s="11" t="s">
        <v>121</v>
      </c>
      <c r="F22" s="11" t="s">
        <v>74</v>
      </c>
      <c r="G22" s="11" t="s">
        <v>122</v>
      </c>
      <c r="H22" s="11" t="s">
        <v>7</v>
      </c>
      <c r="I22" s="11" t="s">
        <v>35</v>
      </c>
    </row>
    <row r="23" spans="1:9">
      <c r="A23" s="11" t="s">
        <v>123</v>
      </c>
      <c r="B23" s="11" t="s">
        <v>110</v>
      </c>
      <c r="C23" s="11" t="s">
        <v>61</v>
      </c>
      <c r="D23" s="11" t="s">
        <v>115</v>
      </c>
      <c r="E23" s="11" t="s">
        <v>124</v>
      </c>
      <c r="F23" s="11" t="s">
        <v>90</v>
      </c>
      <c r="G23" s="11" t="s">
        <v>122</v>
      </c>
      <c r="H23" s="11" t="s">
        <v>7</v>
      </c>
      <c r="I23" s="11" t="s">
        <v>35</v>
      </c>
    </row>
    <row r="24" spans="1:9">
      <c r="A24" s="11" t="s">
        <v>125</v>
      </c>
      <c r="B24" s="11" t="s">
        <v>110</v>
      </c>
      <c r="C24" s="11" t="s">
        <v>24</v>
      </c>
      <c r="D24" s="11" t="s">
        <v>115</v>
      </c>
      <c r="E24" s="11" t="s">
        <v>126</v>
      </c>
      <c r="F24" s="11" t="s">
        <v>127</v>
      </c>
      <c r="G24" s="11" t="s">
        <v>122</v>
      </c>
      <c r="H24" s="11" t="s">
        <v>7</v>
      </c>
      <c r="I24" s="11" t="s">
        <v>35</v>
      </c>
    </row>
    <row r="25" spans="1:9">
      <c r="A25" s="11" t="s">
        <v>128</v>
      </c>
      <c r="B25" s="11" t="s">
        <v>110</v>
      </c>
      <c r="C25" s="11" t="s">
        <v>24</v>
      </c>
      <c r="D25" s="11" t="s">
        <v>129</v>
      </c>
      <c r="E25" s="11" t="s">
        <v>130</v>
      </c>
      <c r="F25" s="11" t="s">
        <v>131</v>
      </c>
      <c r="G25" s="11" t="s">
        <v>132</v>
      </c>
      <c r="H25" s="11" t="s">
        <v>7</v>
      </c>
      <c r="I25" s="11" t="s">
        <v>133</v>
      </c>
    </row>
    <row r="26" spans="1:9">
      <c r="A26" s="11" t="s">
        <v>134</v>
      </c>
      <c r="B26" s="11" t="s">
        <v>110</v>
      </c>
      <c r="C26" s="11" t="s">
        <v>61</v>
      </c>
      <c r="D26" s="11" t="s">
        <v>129</v>
      </c>
      <c r="E26" s="11" t="s">
        <v>135</v>
      </c>
      <c r="F26" s="11" t="s">
        <v>90</v>
      </c>
      <c r="G26" s="11" t="s">
        <v>136</v>
      </c>
      <c r="H26" s="11" t="s">
        <v>7</v>
      </c>
      <c r="I26" s="11" t="s">
        <v>137</v>
      </c>
    </row>
    <row r="27" spans="1:9">
      <c r="A27" s="11" t="s">
        <v>138</v>
      </c>
      <c r="B27" s="11" t="s">
        <v>110</v>
      </c>
      <c r="C27" s="11" t="s">
        <v>24</v>
      </c>
      <c r="D27" s="11" t="s">
        <v>129</v>
      </c>
      <c r="E27" s="11" t="s">
        <v>139</v>
      </c>
      <c r="F27" s="11" t="s">
        <v>140</v>
      </c>
      <c r="G27" s="11" t="s">
        <v>136</v>
      </c>
      <c r="H27" s="11" t="s">
        <v>7</v>
      </c>
      <c r="I27" s="11" t="s">
        <v>137</v>
      </c>
    </row>
    <row r="28" spans="1:9">
      <c r="A28" s="11" t="s">
        <v>141</v>
      </c>
      <c r="B28" s="11" t="s">
        <v>110</v>
      </c>
      <c r="C28" s="11" t="s">
        <v>142</v>
      </c>
      <c r="D28" s="11" t="s">
        <v>129</v>
      </c>
      <c r="E28" s="11" t="s">
        <v>143</v>
      </c>
      <c r="F28" s="11" t="s">
        <v>144</v>
      </c>
      <c r="G28" s="11" t="s">
        <v>136</v>
      </c>
      <c r="H28" s="11" t="s">
        <v>7</v>
      </c>
      <c r="I28" s="11" t="s">
        <v>145</v>
      </c>
    </row>
    <row r="29" spans="1:9">
      <c r="A29" s="11" t="s">
        <v>146</v>
      </c>
      <c r="B29" s="11" t="s">
        <v>110</v>
      </c>
      <c r="C29" s="11" t="s">
        <v>24</v>
      </c>
      <c r="D29" s="11" t="s">
        <v>129</v>
      </c>
      <c r="E29" s="11" t="s">
        <v>147</v>
      </c>
      <c r="F29" s="11" t="s">
        <v>148</v>
      </c>
      <c r="G29" s="11" t="s">
        <v>149</v>
      </c>
      <c r="H29" s="11" t="s">
        <v>7</v>
      </c>
      <c r="I29" s="11" t="s">
        <v>150</v>
      </c>
    </row>
    <row r="30" spans="1:9">
      <c r="A30" s="11" t="s">
        <v>151</v>
      </c>
      <c r="B30" s="11" t="s">
        <v>110</v>
      </c>
      <c r="C30" s="11" t="s">
        <v>61</v>
      </c>
      <c r="D30" s="11" t="s">
        <v>129</v>
      </c>
      <c r="E30" s="11" t="s">
        <v>152</v>
      </c>
      <c r="F30" s="11" t="s">
        <v>90</v>
      </c>
      <c r="G30" s="11" t="s">
        <v>153</v>
      </c>
      <c r="H30" s="11" t="s">
        <v>7</v>
      </c>
      <c r="I30" s="11" t="s">
        <v>154</v>
      </c>
    </row>
    <row r="31" spans="1:9">
      <c r="A31" s="11" t="s">
        <v>155</v>
      </c>
      <c r="B31" s="11" t="s">
        <v>110</v>
      </c>
      <c r="C31" s="11" t="s">
        <v>24</v>
      </c>
      <c r="D31" s="11" t="s">
        <v>156</v>
      </c>
      <c r="E31" s="11" t="s">
        <v>157</v>
      </c>
      <c r="F31" s="11" t="s">
        <v>158</v>
      </c>
      <c r="G31" s="11" t="s">
        <v>159</v>
      </c>
      <c r="H31" s="11" t="s">
        <v>7</v>
      </c>
      <c r="I31" s="11" t="s">
        <v>160</v>
      </c>
    </row>
    <row r="32" spans="1:9">
      <c r="A32" s="11" t="s">
        <v>161</v>
      </c>
      <c r="B32" s="11" t="s">
        <v>110</v>
      </c>
      <c r="C32" s="11" t="s">
        <v>162</v>
      </c>
      <c r="D32" s="11" t="s">
        <v>156</v>
      </c>
      <c r="E32" s="11" t="s">
        <v>163</v>
      </c>
      <c r="F32" s="11" t="s">
        <v>164</v>
      </c>
      <c r="G32" s="11" t="s">
        <v>165</v>
      </c>
      <c r="H32" s="11" t="s">
        <v>7</v>
      </c>
      <c r="I32" s="11" t="s">
        <v>166</v>
      </c>
    </row>
    <row r="33" spans="1:9">
      <c r="A33" s="11" t="s">
        <v>167</v>
      </c>
      <c r="B33" s="11" t="s">
        <v>110</v>
      </c>
      <c r="C33" s="11" t="s">
        <v>162</v>
      </c>
      <c r="D33" s="11" t="s">
        <v>156</v>
      </c>
      <c r="E33" s="11" t="s">
        <v>168</v>
      </c>
      <c r="F33" s="11" t="s">
        <v>169</v>
      </c>
      <c r="G33" s="11" t="s">
        <v>165</v>
      </c>
      <c r="H33" s="11" t="s">
        <v>7</v>
      </c>
      <c r="I33" s="11" t="s">
        <v>166</v>
      </c>
    </row>
    <row r="34" spans="1:9">
      <c r="A34" s="11" t="s">
        <v>170</v>
      </c>
      <c r="B34" s="11" t="s">
        <v>110</v>
      </c>
      <c r="C34" s="11" t="s">
        <v>171</v>
      </c>
      <c r="D34" s="11" t="s">
        <v>156</v>
      </c>
      <c r="E34" s="11" t="s">
        <v>172</v>
      </c>
      <c r="F34" s="11" t="s">
        <v>39</v>
      </c>
      <c r="G34" s="11" t="s">
        <v>165</v>
      </c>
      <c r="H34" s="11" t="s">
        <v>7</v>
      </c>
      <c r="I34" s="11" t="s">
        <v>166</v>
      </c>
    </row>
    <row r="35" spans="1:9">
      <c r="A35" s="11" t="s">
        <v>173</v>
      </c>
      <c r="B35" s="11" t="s">
        <v>110</v>
      </c>
      <c r="C35" s="11" t="s">
        <v>142</v>
      </c>
      <c r="D35" s="11" t="s">
        <v>156</v>
      </c>
      <c r="E35" s="11" t="s">
        <v>174</v>
      </c>
      <c r="F35" s="11" t="s">
        <v>175</v>
      </c>
      <c r="G35" s="11" t="s">
        <v>165</v>
      </c>
      <c r="H35" s="11" t="s">
        <v>7</v>
      </c>
      <c r="I35" s="11" t="s">
        <v>166</v>
      </c>
    </row>
    <row r="36" spans="1:9">
      <c r="A36" s="11" t="s">
        <v>176</v>
      </c>
      <c r="B36" s="11" t="s">
        <v>110</v>
      </c>
      <c r="C36" s="11" t="s">
        <v>61</v>
      </c>
      <c r="D36" s="11" t="s">
        <v>156</v>
      </c>
      <c r="E36" s="11" t="s">
        <v>177</v>
      </c>
      <c r="F36" s="11" t="s">
        <v>90</v>
      </c>
      <c r="G36" s="11" t="s">
        <v>178</v>
      </c>
      <c r="H36" s="11" t="s">
        <v>7</v>
      </c>
      <c r="I36" s="11" t="s">
        <v>179</v>
      </c>
    </row>
    <row r="37" spans="1:9">
      <c r="A37" s="11" t="s">
        <v>180</v>
      </c>
      <c r="B37" s="11" t="s">
        <v>110</v>
      </c>
      <c r="C37" s="11" t="s">
        <v>181</v>
      </c>
      <c r="D37" s="11" t="s">
        <v>156</v>
      </c>
      <c r="E37" s="11" t="s">
        <v>182</v>
      </c>
      <c r="F37" s="11" t="s">
        <v>74</v>
      </c>
      <c r="G37" s="11" t="s">
        <v>98</v>
      </c>
      <c r="H37" s="11" t="s">
        <v>7</v>
      </c>
      <c r="I37" s="11" t="s">
        <v>183</v>
      </c>
    </row>
    <row r="38" spans="1:9">
      <c r="A38" s="11" t="s">
        <v>184</v>
      </c>
      <c r="B38" s="11" t="s">
        <v>110</v>
      </c>
      <c r="C38" s="11" t="s">
        <v>185</v>
      </c>
      <c r="D38" s="11" t="s">
        <v>156</v>
      </c>
      <c r="E38" s="11" t="s">
        <v>186</v>
      </c>
      <c r="F38" s="11" t="s">
        <v>187</v>
      </c>
      <c r="G38" s="11" t="s">
        <v>188</v>
      </c>
      <c r="H38" s="11" t="s">
        <v>7</v>
      </c>
      <c r="I38" s="11" t="s">
        <v>189</v>
      </c>
    </row>
    <row r="39" spans="1:9">
      <c r="A39" s="11" t="s">
        <v>190</v>
      </c>
      <c r="B39" s="11" t="s">
        <v>110</v>
      </c>
      <c r="C39" s="11" t="s">
        <v>181</v>
      </c>
      <c r="D39" s="11" t="s">
        <v>156</v>
      </c>
      <c r="E39" s="11" t="s">
        <v>191</v>
      </c>
      <c r="F39" s="11" t="s">
        <v>74</v>
      </c>
      <c r="G39" s="11" t="s">
        <v>98</v>
      </c>
      <c r="H39" s="11" t="s">
        <v>7</v>
      </c>
      <c r="I39" s="11" t="s">
        <v>183</v>
      </c>
    </row>
    <row r="40" spans="1:9">
      <c r="A40" s="11" t="s">
        <v>192</v>
      </c>
      <c r="B40" s="11" t="s">
        <v>110</v>
      </c>
      <c r="C40" s="11" t="s">
        <v>61</v>
      </c>
      <c r="D40" s="11" t="s">
        <v>156</v>
      </c>
      <c r="E40" s="11" t="s">
        <v>193</v>
      </c>
      <c r="F40" s="11" t="s">
        <v>90</v>
      </c>
      <c r="G40" s="11" t="s">
        <v>194</v>
      </c>
      <c r="H40" s="11" t="s">
        <v>7</v>
      </c>
      <c r="I40" s="11" t="s">
        <v>195</v>
      </c>
    </row>
    <row r="41" spans="1:9">
      <c r="A41" s="11" t="s">
        <v>196</v>
      </c>
      <c r="B41" s="11" t="s">
        <v>110</v>
      </c>
      <c r="C41" s="11" t="s">
        <v>197</v>
      </c>
      <c r="D41" s="11" t="s">
        <v>156</v>
      </c>
      <c r="E41" s="11" t="s">
        <v>198</v>
      </c>
      <c r="F41" s="11" t="s">
        <v>40</v>
      </c>
      <c r="G41" s="11" t="s">
        <v>199</v>
      </c>
      <c r="H41" s="11" t="s">
        <v>7</v>
      </c>
      <c r="I41" s="11" t="s">
        <v>200</v>
      </c>
    </row>
    <row r="42" spans="1:9">
      <c r="A42" s="11" t="s">
        <v>201</v>
      </c>
      <c r="B42" s="11" t="s">
        <v>110</v>
      </c>
      <c r="C42" s="11" t="s">
        <v>61</v>
      </c>
      <c r="D42" s="11" t="s">
        <v>202</v>
      </c>
      <c r="E42" s="11" t="s">
        <v>203</v>
      </c>
      <c r="F42" s="11" t="s">
        <v>204</v>
      </c>
      <c r="G42" s="11" t="s">
        <v>205</v>
      </c>
      <c r="H42" s="11" t="s">
        <v>7</v>
      </c>
      <c r="I42" s="11" t="s">
        <v>154</v>
      </c>
    </row>
  </sheetData>
  <conditionalFormatting sqref="H2:H42">
    <cfRule type="expression" dxfId="15" priority="1">
      <formula>H2="Accepted"</formula>
    </cfRule>
    <cfRule type="expression" dxfId="14" priority="2">
      <formula>H2="Pending validation"</formula>
    </cfRule>
  </conditionalFormatting>
  <dataValidations count="2">
    <dataValidation type="list" sqref="C2:C42" xr:uid="{00000000-0002-0000-0100-000000000000}">
      <formula1>"Código nuevo,Refactor,Fix,Incidencia / Fix,Documentación,Herramienta Editor,Gameplay / Fórmula,Guardado / Carga,Ajuste visual,Proceso"</formula1>
    </dataValidation>
    <dataValidation type="list" sqref="H2:H42" xr:uid="{00000000-0002-0000-0100-000001000000}">
      <formula1>"Accepted,Pending validation,Rejected,Superseded"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9" defaultRowHeight="14.25"/>
  <cols>
    <col min="1" max="2" width="14" customWidth="1"/>
    <col min="3" max="3" width="54" customWidth="1"/>
    <col min="4" max="4" width="14" customWidth="1"/>
    <col min="5" max="5" width="40" customWidth="1"/>
    <col min="6" max="6" width="48" customWidth="1"/>
    <col min="7" max="7" width="38" customWidth="1"/>
  </cols>
  <sheetData>
    <row r="1" spans="1:7" ht="15">
      <c r="A1" s="2" t="s">
        <v>206</v>
      </c>
      <c r="B1" s="2" t="s">
        <v>14</v>
      </c>
      <c r="C1" s="2" t="s">
        <v>207</v>
      </c>
      <c r="D1" s="2" t="s">
        <v>20</v>
      </c>
      <c r="E1" s="2" t="s">
        <v>208</v>
      </c>
      <c r="F1" s="2" t="s">
        <v>209</v>
      </c>
      <c r="G1" s="2" t="s">
        <v>210</v>
      </c>
    </row>
    <row r="2" spans="1:7" ht="28.5">
      <c r="A2" s="5" t="s">
        <v>211</v>
      </c>
      <c r="B2" s="5" t="s">
        <v>23</v>
      </c>
      <c r="C2" s="5" t="s">
        <v>212</v>
      </c>
      <c r="D2" s="5" t="s">
        <v>7</v>
      </c>
      <c r="E2" s="5" t="s">
        <v>213</v>
      </c>
      <c r="F2" s="5" t="s">
        <v>214</v>
      </c>
      <c r="G2" s="5" t="s">
        <v>215</v>
      </c>
    </row>
    <row r="3" spans="1:7">
      <c r="A3" s="5" t="s">
        <v>216</v>
      </c>
      <c r="B3" s="5" t="s">
        <v>23</v>
      </c>
      <c r="C3" s="5" t="s">
        <v>217</v>
      </c>
      <c r="D3" s="5" t="s">
        <v>7</v>
      </c>
      <c r="E3" s="5" t="s">
        <v>218</v>
      </c>
      <c r="F3" s="5" t="s">
        <v>219</v>
      </c>
      <c r="G3" s="5" t="s">
        <v>220</v>
      </c>
    </row>
    <row r="4" spans="1:7" ht="28.5">
      <c r="A4" s="5" t="s">
        <v>221</v>
      </c>
      <c r="B4" s="5" t="s">
        <v>23</v>
      </c>
      <c r="C4" s="5" t="s">
        <v>222</v>
      </c>
      <c r="D4" s="5" t="s">
        <v>7</v>
      </c>
      <c r="E4" s="5" t="s">
        <v>223</v>
      </c>
      <c r="F4" s="5" t="s">
        <v>224</v>
      </c>
      <c r="G4" s="5" t="s">
        <v>225</v>
      </c>
    </row>
    <row r="5" spans="1:7">
      <c r="A5" s="5" t="s">
        <v>226</v>
      </c>
      <c r="B5" s="5" t="s">
        <v>23</v>
      </c>
      <c r="C5" s="5" t="s">
        <v>227</v>
      </c>
      <c r="D5" s="5" t="s">
        <v>7</v>
      </c>
      <c r="E5" s="5" t="s">
        <v>228</v>
      </c>
      <c r="F5" s="5" t="s">
        <v>229</v>
      </c>
      <c r="G5" s="5" t="s">
        <v>230</v>
      </c>
    </row>
    <row r="6" spans="1:7">
      <c r="A6" t="s">
        <v>103</v>
      </c>
      <c r="B6" t="s">
        <v>23</v>
      </c>
      <c r="C6" t="s">
        <v>231</v>
      </c>
      <c r="D6" t="s">
        <v>7</v>
      </c>
      <c r="E6" t="s">
        <v>232</v>
      </c>
      <c r="F6" t="s">
        <v>233</v>
      </c>
      <c r="G6" t="s">
        <v>234</v>
      </c>
    </row>
    <row r="7" spans="1:7">
      <c r="A7" t="s">
        <v>117</v>
      </c>
      <c r="B7" t="s">
        <v>110</v>
      </c>
      <c r="C7" t="s">
        <v>235</v>
      </c>
      <c r="D7" t="s">
        <v>7</v>
      </c>
      <c r="E7" t="s">
        <v>236</v>
      </c>
      <c r="F7" t="s">
        <v>237</v>
      </c>
      <c r="G7" t="s">
        <v>238</v>
      </c>
    </row>
    <row r="8" spans="1:7">
      <c r="A8" t="s">
        <v>131</v>
      </c>
      <c r="B8" t="s">
        <v>110</v>
      </c>
      <c r="C8" t="s">
        <v>239</v>
      </c>
      <c r="D8" t="s">
        <v>7</v>
      </c>
      <c r="E8" t="s">
        <v>240</v>
      </c>
      <c r="F8" t="s">
        <v>241</v>
      </c>
      <c r="G8" t="s">
        <v>242</v>
      </c>
    </row>
    <row r="9" spans="1:7">
      <c r="A9" t="s">
        <v>158</v>
      </c>
      <c r="B9" t="s">
        <v>110</v>
      </c>
      <c r="C9" t="s">
        <v>243</v>
      </c>
      <c r="D9" t="s">
        <v>7</v>
      </c>
      <c r="E9" t="s">
        <v>244</v>
      </c>
      <c r="F9" t="s">
        <v>245</v>
      </c>
      <c r="G9" t="s">
        <v>246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/>
  </sheetViews>
  <sheetFormatPr baseColWidth="10" defaultColWidth="9" defaultRowHeight="14.25"/>
  <cols>
    <col min="1" max="1" width="38" customWidth="1"/>
    <col min="2" max="2" width="62" customWidth="1"/>
    <col min="3" max="3" width="30" customWidth="1"/>
    <col min="4" max="4" width="52" customWidth="1"/>
    <col min="5" max="5" width="20" customWidth="1"/>
    <col min="6" max="6" width="16" customWidth="1"/>
    <col min="7" max="7" width="14" customWidth="1"/>
  </cols>
  <sheetData>
    <row r="1" spans="1:7" ht="15">
      <c r="A1" s="2" t="s">
        <v>247</v>
      </c>
      <c r="B1" s="2" t="s">
        <v>248</v>
      </c>
      <c r="C1" s="2" t="s">
        <v>249</v>
      </c>
      <c r="D1" s="2" t="s">
        <v>250</v>
      </c>
      <c r="E1" s="2" t="s">
        <v>251</v>
      </c>
      <c r="F1" s="2" t="s">
        <v>20</v>
      </c>
      <c r="G1" s="2" t="s">
        <v>252</v>
      </c>
    </row>
    <row r="2" spans="1:7">
      <c r="A2" s="5" t="s">
        <v>253</v>
      </c>
      <c r="B2" s="5" t="s">
        <v>63</v>
      </c>
      <c r="C2" s="5" t="s">
        <v>254</v>
      </c>
      <c r="D2" s="5" t="s">
        <v>255</v>
      </c>
      <c r="E2" s="5" t="s">
        <v>256</v>
      </c>
      <c r="F2" s="5" t="s">
        <v>257</v>
      </c>
      <c r="G2" s="5" t="s">
        <v>258</v>
      </c>
    </row>
    <row r="3" spans="1:7" ht="28.5">
      <c r="A3" s="5" t="s">
        <v>259</v>
      </c>
      <c r="B3" s="5" t="s">
        <v>260</v>
      </c>
      <c r="C3" s="5" t="s">
        <v>261</v>
      </c>
      <c r="D3" s="5" t="s">
        <v>262</v>
      </c>
      <c r="E3" s="5" t="s">
        <v>256</v>
      </c>
      <c r="F3" s="5" t="s">
        <v>263</v>
      </c>
      <c r="G3" s="5" t="s">
        <v>81</v>
      </c>
    </row>
    <row r="4" spans="1:7" ht="28.5">
      <c r="A4" s="5" t="s">
        <v>264</v>
      </c>
      <c r="B4" s="5" t="s">
        <v>265</v>
      </c>
      <c r="C4" s="5" t="s">
        <v>261</v>
      </c>
      <c r="D4" s="5" t="s">
        <v>262</v>
      </c>
      <c r="E4" s="5" t="s">
        <v>256</v>
      </c>
      <c r="F4" s="5" t="s">
        <v>263</v>
      </c>
      <c r="G4" s="5" t="s">
        <v>81</v>
      </c>
    </row>
    <row r="5" spans="1:7" ht="28.5">
      <c r="A5" s="5" t="s">
        <v>266</v>
      </c>
      <c r="B5" s="5" t="s">
        <v>267</v>
      </c>
      <c r="C5" s="5" t="s">
        <v>268</v>
      </c>
      <c r="D5" s="5" t="s">
        <v>262</v>
      </c>
      <c r="E5" s="5" t="s">
        <v>256</v>
      </c>
      <c r="F5" s="5" t="s">
        <v>263</v>
      </c>
      <c r="G5" s="5" t="s">
        <v>81</v>
      </c>
    </row>
    <row r="6" spans="1:7" ht="28.5">
      <c r="A6" s="5" t="s">
        <v>269</v>
      </c>
      <c r="B6" s="5" t="s">
        <v>270</v>
      </c>
      <c r="C6" s="5" t="s">
        <v>271</v>
      </c>
      <c r="D6" s="5" t="s">
        <v>272</v>
      </c>
      <c r="E6" s="5" t="s">
        <v>256</v>
      </c>
      <c r="F6" s="5" t="s">
        <v>263</v>
      </c>
      <c r="G6" s="5" t="s">
        <v>156</v>
      </c>
    </row>
    <row r="7" spans="1:7" ht="28.5">
      <c r="A7" s="5" t="s">
        <v>273</v>
      </c>
      <c r="B7" s="5" t="s">
        <v>274</v>
      </c>
      <c r="C7" s="5" t="s">
        <v>271</v>
      </c>
      <c r="D7" s="5" t="s">
        <v>272</v>
      </c>
      <c r="E7" s="5" t="s">
        <v>256</v>
      </c>
      <c r="F7" s="5" t="s">
        <v>263</v>
      </c>
      <c r="G7" s="5" t="s">
        <v>156</v>
      </c>
    </row>
    <row r="8" spans="1:7" ht="28.5">
      <c r="A8" s="5" t="s">
        <v>275</v>
      </c>
      <c r="B8" s="5" t="s">
        <v>276</v>
      </c>
      <c r="C8" s="5" t="s">
        <v>271</v>
      </c>
      <c r="D8" s="5" t="s">
        <v>272</v>
      </c>
      <c r="E8" s="5" t="s">
        <v>256</v>
      </c>
      <c r="F8" s="5" t="s">
        <v>263</v>
      </c>
      <c r="G8" s="5" t="s">
        <v>156</v>
      </c>
    </row>
    <row r="9" spans="1:7">
      <c r="A9" s="5" t="s">
        <v>277</v>
      </c>
      <c r="B9" s="5" t="s">
        <v>278</v>
      </c>
      <c r="C9" s="5" t="s">
        <v>279</v>
      </c>
      <c r="D9" s="5" t="s">
        <v>272</v>
      </c>
      <c r="E9" s="5" t="s">
        <v>256</v>
      </c>
      <c r="F9" s="5" t="s">
        <v>263</v>
      </c>
      <c r="G9" s="5" t="s">
        <v>156</v>
      </c>
    </row>
    <row r="10" spans="1:7">
      <c r="A10" s="5" t="s">
        <v>280</v>
      </c>
      <c r="B10" s="5" t="s">
        <v>278</v>
      </c>
      <c r="C10" s="5" t="s">
        <v>279</v>
      </c>
      <c r="D10" s="5" t="s">
        <v>272</v>
      </c>
      <c r="E10" s="5" t="s">
        <v>256</v>
      </c>
      <c r="F10" s="5" t="s">
        <v>263</v>
      </c>
      <c r="G10" s="5" t="s">
        <v>156</v>
      </c>
    </row>
    <row r="11" spans="1:7">
      <c r="A11" s="5" t="s">
        <v>281</v>
      </c>
      <c r="B11" s="5" t="s">
        <v>278</v>
      </c>
      <c r="C11" s="5" t="s">
        <v>279</v>
      </c>
      <c r="D11" s="5" t="s">
        <v>272</v>
      </c>
      <c r="E11" s="5" t="s">
        <v>256</v>
      </c>
      <c r="F11" s="5" t="s">
        <v>263</v>
      </c>
      <c r="G11" s="5" t="s">
        <v>156</v>
      </c>
    </row>
    <row r="12" spans="1:7">
      <c r="A12" s="5" t="s">
        <v>282</v>
      </c>
      <c r="B12" s="5" t="s">
        <v>278</v>
      </c>
      <c r="C12" s="5" t="s">
        <v>279</v>
      </c>
      <c r="D12" s="5" t="s">
        <v>272</v>
      </c>
      <c r="E12" s="5" t="s">
        <v>256</v>
      </c>
      <c r="F12" s="5" t="s">
        <v>263</v>
      </c>
      <c r="G12" s="5" t="s">
        <v>156</v>
      </c>
    </row>
    <row r="13" spans="1:7">
      <c r="A13" t="s">
        <v>283</v>
      </c>
      <c r="B13" t="s">
        <v>284</v>
      </c>
      <c r="C13" t="s">
        <v>285</v>
      </c>
      <c r="D13" t="s">
        <v>262</v>
      </c>
      <c r="E13" t="s">
        <v>256</v>
      </c>
      <c r="F13" t="s">
        <v>263</v>
      </c>
      <c r="G13" t="s">
        <v>100</v>
      </c>
    </row>
    <row r="14" spans="1:7">
      <c r="A14" t="s">
        <v>286</v>
      </c>
      <c r="B14" t="s">
        <v>287</v>
      </c>
      <c r="C14" t="s">
        <v>285</v>
      </c>
      <c r="D14" t="s">
        <v>262</v>
      </c>
      <c r="E14" t="s">
        <v>256</v>
      </c>
      <c r="F14" t="s">
        <v>263</v>
      </c>
      <c r="G14" t="s">
        <v>100</v>
      </c>
    </row>
    <row r="15" spans="1:7">
      <c r="A15" t="s">
        <v>288</v>
      </c>
      <c r="B15" t="s">
        <v>289</v>
      </c>
      <c r="C15" t="s">
        <v>285</v>
      </c>
      <c r="D15" t="s">
        <v>262</v>
      </c>
      <c r="E15" t="s">
        <v>256</v>
      </c>
      <c r="F15" t="s">
        <v>263</v>
      </c>
      <c r="G15" t="s">
        <v>100</v>
      </c>
    </row>
    <row r="16" spans="1:7">
      <c r="A16" t="s">
        <v>290</v>
      </c>
      <c r="B16" t="s">
        <v>291</v>
      </c>
      <c r="C16" t="s">
        <v>285</v>
      </c>
      <c r="D16" t="s">
        <v>262</v>
      </c>
      <c r="E16" t="s">
        <v>256</v>
      </c>
      <c r="F16" t="s">
        <v>263</v>
      </c>
      <c r="G16" t="s">
        <v>115</v>
      </c>
    </row>
    <row r="17" spans="1:7">
      <c r="A17" t="s">
        <v>292</v>
      </c>
      <c r="B17" t="s">
        <v>293</v>
      </c>
      <c r="C17" t="s">
        <v>285</v>
      </c>
      <c r="D17" t="s">
        <v>262</v>
      </c>
      <c r="E17" t="s">
        <v>256</v>
      </c>
      <c r="F17" t="s">
        <v>263</v>
      </c>
      <c r="G17" t="s">
        <v>115</v>
      </c>
    </row>
    <row r="18" spans="1:7">
      <c r="A18" t="s">
        <v>294</v>
      </c>
      <c r="B18" t="s">
        <v>295</v>
      </c>
      <c r="C18" t="s">
        <v>285</v>
      </c>
      <c r="D18" t="s">
        <v>262</v>
      </c>
      <c r="E18" t="s">
        <v>256</v>
      </c>
      <c r="F18" t="s">
        <v>263</v>
      </c>
      <c r="G18" t="s">
        <v>115</v>
      </c>
    </row>
    <row r="19" spans="1:7">
      <c r="A19" t="s">
        <v>296</v>
      </c>
      <c r="B19" t="s">
        <v>297</v>
      </c>
      <c r="C19" t="s">
        <v>285</v>
      </c>
      <c r="D19" t="s">
        <v>298</v>
      </c>
      <c r="E19" t="s">
        <v>256</v>
      </c>
      <c r="F19" t="s">
        <v>263</v>
      </c>
      <c r="G19" t="s">
        <v>129</v>
      </c>
    </row>
    <row r="20" spans="1:7">
      <c r="A20" t="s">
        <v>299</v>
      </c>
      <c r="B20" t="s">
        <v>300</v>
      </c>
      <c r="C20" t="s">
        <v>285</v>
      </c>
      <c r="D20" t="s">
        <v>298</v>
      </c>
      <c r="E20" t="s">
        <v>256</v>
      </c>
      <c r="F20" t="s">
        <v>263</v>
      </c>
      <c r="G20" t="s">
        <v>129</v>
      </c>
    </row>
    <row r="21" spans="1:7">
      <c r="A21" t="s">
        <v>301</v>
      </c>
      <c r="B21" t="s">
        <v>302</v>
      </c>
      <c r="C21" t="s">
        <v>285</v>
      </c>
      <c r="D21" t="s">
        <v>298</v>
      </c>
      <c r="E21" t="s">
        <v>256</v>
      </c>
      <c r="F21" t="s">
        <v>263</v>
      </c>
      <c r="G21" t="s">
        <v>129</v>
      </c>
    </row>
    <row r="22" spans="1:7">
      <c r="A22" t="s">
        <v>303</v>
      </c>
      <c r="B22" t="s">
        <v>304</v>
      </c>
      <c r="C22" t="s">
        <v>285</v>
      </c>
      <c r="D22" t="s">
        <v>298</v>
      </c>
      <c r="E22" t="s">
        <v>256</v>
      </c>
      <c r="F22" t="s">
        <v>263</v>
      </c>
      <c r="G22" t="s">
        <v>129</v>
      </c>
    </row>
    <row r="23" spans="1:7">
      <c r="A23" t="s">
        <v>305</v>
      </c>
      <c r="B23" t="s">
        <v>306</v>
      </c>
      <c r="C23" t="s">
        <v>279</v>
      </c>
      <c r="D23" t="s">
        <v>272</v>
      </c>
      <c r="E23" t="s">
        <v>256</v>
      </c>
      <c r="F23" t="s">
        <v>263</v>
      </c>
      <c r="G23" t="s">
        <v>156</v>
      </c>
    </row>
    <row r="24" spans="1:7">
      <c r="A24" t="s">
        <v>307</v>
      </c>
      <c r="B24" t="s">
        <v>308</v>
      </c>
      <c r="C24" t="s">
        <v>279</v>
      </c>
      <c r="D24" t="s">
        <v>272</v>
      </c>
      <c r="E24" t="s">
        <v>256</v>
      </c>
      <c r="F24" t="s">
        <v>263</v>
      </c>
      <c r="G24" t="s">
        <v>156</v>
      </c>
    </row>
    <row r="25" spans="1:7">
      <c r="A25" t="s">
        <v>309</v>
      </c>
      <c r="B25" t="s">
        <v>310</v>
      </c>
      <c r="C25" t="s">
        <v>279</v>
      </c>
      <c r="D25" t="s">
        <v>272</v>
      </c>
      <c r="E25" t="s">
        <v>256</v>
      </c>
      <c r="F25" t="s">
        <v>263</v>
      </c>
      <c r="G25" t="s">
        <v>156</v>
      </c>
    </row>
    <row r="26" spans="1:7">
      <c r="A26" t="s">
        <v>311</v>
      </c>
      <c r="B26" t="s">
        <v>312</v>
      </c>
      <c r="C26" t="s">
        <v>279</v>
      </c>
      <c r="D26" t="s">
        <v>272</v>
      </c>
      <c r="E26" t="s">
        <v>256</v>
      </c>
      <c r="F26" t="s">
        <v>263</v>
      </c>
      <c r="G26" t="s">
        <v>156</v>
      </c>
    </row>
    <row r="27" spans="1:7">
      <c r="A27" t="s">
        <v>313</v>
      </c>
      <c r="B27" t="s">
        <v>314</v>
      </c>
      <c r="C27" t="s">
        <v>279</v>
      </c>
      <c r="D27" t="s">
        <v>272</v>
      </c>
      <c r="E27" t="s">
        <v>256</v>
      </c>
      <c r="F27" t="s">
        <v>263</v>
      </c>
      <c r="G27" t="s">
        <v>156</v>
      </c>
    </row>
    <row r="28" spans="1:7">
      <c r="A28" t="s">
        <v>315</v>
      </c>
      <c r="B28" t="s">
        <v>316</v>
      </c>
      <c r="C28" t="s">
        <v>279</v>
      </c>
      <c r="D28" t="s">
        <v>272</v>
      </c>
      <c r="E28" t="s">
        <v>256</v>
      </c>
      <c r="F28" t="s">
        <v>263</v>
      </c>
      <c r="G28" t="s">
        <v>156</v>
      </c>
    </row>
    <row r="29" spans="1:7">
      <c r="A29" t="s">
        <v>317</v>
      </c>
      <c r="B29" t="s">
        <v>318</v>
      </c>
      <c r="C29" t="s">
        <v>279</v>
      </c>
      <c r="D29" t="s">
        <v>272</v>
      </c>
      <c r="E29" t="s">
        <v>256</v>
      </c>
      <c r="F29" t="s">
        <v>263</v>
      </c>
      <c r="G29" t="s">
        <v>156</v>
      </c>
    </row>
    <row r="30" spans="1:7">
      <c r="A30" t="s">
        <v>319</v>
      </c>
      <c r="B30" t="s">
        <v>320</v>
      </c>
      <c r="C30" t="s">
        <v>279</v>
      </c>
      <c r="D30" t="s">
        <v>272</v>
      </c>
      <c r="E30" t="s">
        <v>256</v>
      </c>
      <c r="F30" t="s">
        <v>263</v>
      </c>
      <c r="G30" t="s">
        <v>156</v>
      </c>
    </row>
    <row r="31" spans="1:7">
      <c r="A31" t="s">
        <v>321</v>
      </c>
      <c r="B31" t="s">
        <v>322</v>
      </c>
      <c r="C31" t="s">
        <v>323</v>
      </c>
      <c r="D31" t="s">
        <v>272</v>
      </c>
      <c r="E31" t="s">
        <v>256</v>
      </c>
      <c r="F31" t="s">
        <v>263</v>
      </c>
      <c r="G31" t="s">
        <v>156</v>
      </c>
    </row>
  </sheetData>
  <conditionalFormatting sqref="F2:F12">
    <cfRule type="expression" dxfId="13" priority="1">
      <formula>F2="Pending"</formula>
    </cfRule>
    <cfRule type="expression" dxfId="12" priority="2">
      <formula>F2="Complete"</formula>
    </cfRule>
  </conditionalFormatting>
  <dataValidations count="1">
    <dataValidation type="list" sqref="F2:F12" xr:uid="{00000000-0002-0000-0300-000000000000}">
      <formula1>"No change,Pending,In progress,Complete,Deferred"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baseColWidth="10" defaultColWidth="9" defaultRowHeight="14.25"/>
  <cols>
    <col min="1" max="1" width="10" customWidth="1"/>
    <col min="2" max="2" width="46" customWidth="1"/>
    <col min="3" max="3" width="54" customWidth="1"/>
    <col min="4" max="4" width="14" customWidth="1"/>
    <col min="5" max="5" width="90" customWidth="1"/>
  </cols>
  <sheetData>
    <row r="1" spans="1:5" ht="15">
      <c r="A1" s="2" t="s">
        <v>324</v>
      </c>
      <c r="B1" s="2" t="s">
        <v>325</v>
      </c>
      <c r="C1" s="2" t="s">
        <v>326</v>
      </c>
      <c r="D1" s="2" t="s">
        <v>327</v>
      </c>
      <c r="E1" s="2" t="s">
        <v>328</v>
      </c>
    </row>
    <row r="2" spans="1:5" ht="28.5">
      <c r="A2" s="5">
        <v>1</v>
      </c>
      <c r="B2" s="5" t="s">
        <v>329</v>
      </c>
      <c r="C2" s="5" t="s">
        <v>330</v>
      </c>
      <c r="D2" s="5" t="s">
        <v>331</v>
      </c>
      <c r="E2" s="5" t="s">
        <v>332</v>
      </c>
    </row>
    <row r="3" spans="1:5" ht="28.5">
      <c r="A3" s="5">
        <v>2</v>
      </c>
      <c r="B3" s="5" t="s">
        <v>333</v>
      </c>
      <c r="C3" s="5" t="s">
        <v>334</v>
      </c>
      <c r="D3" s="5" t="s">
        <v>43</v>
      </c>
      <c r="E3" s="5" t="s">
        <v>335</v>
      </c>
    </row>
    <row r="4" spans="1:5" ht="28.5">
      <c r="A4" s="5">
        <v>3</v>
      </c>
      <c r="B4" s="5" t="s">
        <v>336</v>
      </c>
      <c r="C4" s="5" t="s">
        <v>337</v>
      </c>
      <c r="D4" s="5" t="s">
        <v>43</v>
      </c>
      <c r="E4" s="5" t="s">
        <v>338</v>
      </c>
    </row>
    <row r="5" spans="1:5" ht="28.5">
      <c r="A5" s="5">
        <v>4</v>
      </c>
      <c r="B5" s="5" t="s">
        <v>339</v>
      </c>
      <c r="C5" s="5" t="s">
        <v>340</v>
      </c>
      <c r="D5" s="5" t="s">
        <v>56</v>
      </c>
      <c r="E5" s="5" t="s">
        <v>341</v>
      </c>
    </row>
    <row r="6" spans="1:5" ht="28.5">
      <c r="A6" s="5">
        <v>5</v>
      </c>
      <c r="B6" s="5" t="s">
        <v>342</v>
      </c>
      <c r="C6" s="5" t="s">
        <v>343</v>
      </c>
      <c r="D6" s="5" t="s">
        <v>67</v>
      </c>
      <c r="E6" s="5" t="s">
        <v>344</v>
      </c>
    </row>
    <row r="7" spans="1:5">
      <c r="A7">
        <v>6</v>
      </c>
      <c r="B7" t="s">
        <v>345</v>
      </c>
      <c r="C7" t="s">
        <v>346</v>
      </c>
      <c r="D7" t="s">
        <v>81</v>
      </c>
      <c r="E7" t="s">
        <v>347</v>
      </c>
    </row>
    <row r="8" spans="1:5">
      <c r="A8">
        <v>7</v>
      </c>
      <c r="B8" t="s">
        <v>348</v>
      </c>
      <c r="C8" t="s">
        <v>349</v>
      </c>
      <c r="D8" t="s">
        <v>100</v>
      </c>
      <c r="E8" t="s">
        <v>350</v>
      </c>
    </row>
    <row r="9" spans="1:5">
      <c r="A9">
        <v>8</v>
      </c>
      <c r="B9" t="s">
        <v>351</v>
      </c>
      <c r="C9" t="s">
        <v>352</v>
      </c>
      <c r="D9" t="s">
        <v>100</v>
      </c>
      <c r="E9" t="s">
        <v>353</v>
      </c>
    </row>
    <row r="10" spans="1:5">
      <c r="A10">
        <v>9</v>
      </c>
      <c r="B10" t="s">
        <v>354</v>
      </c>
      <c r="C10" t="s">
        <v>355</v>
      </c>
      <c r="D10" t="s">
        <v>100</v>
      </c>
      <c r="E10" t="s">
        <v>356</v>
      </c>
    </row>
    <row r="11" spans="1:5">
      <c r="A11">
        <v>10</v>
      </c>
      <c r="B11" t="s">
        <v>357</v>
      </c>
      <c r="C11" t="s">
        <v>358</v>
      </c>
      <c r="D11" t="s">
        <v>115</v>
      </c>
      <c r="E11" t="s">
        <v>359</v>
      </c>
    </row>
    <row r="12" spans="1:5">
      <c r="A12">
        <v>11</v>
      </c>
      <c r="B12" t="s">
        <v>360</v>
      </c>
      <c r="C12" t="s">
        <v>361</v>
      </c>
      <c r="D12" t="s">
        <v>129</v>
      </c>
      <c r="E12" t="s">
        <v>362</v>
      </c>
    </row>
    <row r="13" spans="1:5">
      <c r="A13">
        <v>12</v>
      </c>
      <c r="B13" t="s">
        <v>363</v>
      </c>
      <c r="C13" t="s">
        <v>364</v>
      </c>
      <c r="D13" t="s">
        <v>365</v>
      </c>
      <c r="E13" t="s">
        <v>366</v>
      </c>
    </row>
    <row r="14" spans="1:5">
      <c r="A14">
        <v>13</v>
      </c>
      <c r="B14" t="s">
        <v>367</v>
      </c>
      <c r="C14" t="s">
        <v>368</v>
      </c>
      <c r="D14" t="s">
        <v>156</v>
      </c>
      <c r="E14" t="s">
        <v>369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/>
  </sheetViews>
  <sheetFormatPr baseColWidth="10" defaultColWidth="9" defaultRowHeight="14.25"/>
  <cols>
    <col min="1" max="1" width="28" customWidth="1"/>
  </cols>
  <sheetData>
    <row r="1" spans="1:1" ht="15">
      <c r="A1" s="2" t="s">
        <v>370</v>
      </c>
    </row>
    <row r="2" spans="1:1">
      <c r="A2" s="1" t="s">
        <v>66</v>
      </c>
    </row>
    <row r="3" spans="1:1">
      <c r="A3" s="1" t="s">
        <v>77</v>
      </c>
    </row>
    <row r="4" spans="1:1">
      <c r="A4" s="1" t="s">
        <v>371</v>
      </c>
    </row>
    <row r="5" spans="1:1">
      <c r="A5" s="1" t="s">
        <v>372</v>
      </c>
    </row>
    <row r="6" spans="1:1">
      <c r="A6" s="1" t="s">
        <v>61</v>
      </c>
    </row>
    <row r="7" spans="1:1">
      <c r="A7" s="1" t="s">
        <v>373</v>
      </c>
    </row>
    <row r="8" spans="1:1">
      <c r="A8" s="1" t="s">
        <v>374</v>
      </c>
    </row>
    <row r="9" spans="1:1">
      <c r="A9" s="1" t="s">
        <v>375</v>
      </c>
    </row>
    <row r="10" spans="1:1">
      <c r="A10" s="1" t="s">
        <v>376</v>
      </c>
    </row>
    <row r="11" spans="1:1">
      <c r="A1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Change_Log</vt:lpstr>
      <vt:lpstr>Decision_Log</vt:lpstr>
      <vt:lpstr>Document_Update_Matrix</vt:lpstr>
      <vt:lpstr>Commit_Register</vt:lpstr>
      <vt:lpstr>Allowed_Types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Blas Luis Rocha Gonzalez</cp:lastModifiedBy>
  <dcterms:modified xsi:type="dcterms:W3CDTF">2026-06-22T20:53:10Z</dcterms:modified>
</cp:coreProperties>
</file>