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5ca6d0be8e4d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492b54f12e54df7"/>
    <x:sheet xmlns:r="http://schemas.openxmlformats.org/officeDocument/2006/relationships" name="Sprint_Status" sheetId="2" r:id="R8e86923042a04405"/>
    <x:sheet xmlns:r="http://schemas.openxmlformats.org/officeDocument/2006/relationships" name="Deliverables" sheetId="3" r:id="R9f1f88513890428c"/>
    <x:sheet xmlns:r="http://schemas.openxmlformats.org/officeDocument/2006/relationships" name="Risks" sheetId="4" r:id="Rda66567076c641b4"/>
    <x:sheet xmlns:r="http://schemas.openxmlformats.org/officeDocument/2006/relationships" name="Decisions" sheetId="5" r:id="Re95f6f1651924506"/>
    <x:sheet xmlns:r="http://schemas.openxmlformats.org/officeDocument/2006/relationships" name="Package_Baseline" sheetId="6" r:id="R2ce01d5fc163406d"/>
    <x:sheet xmlns:r="http://schemas.openxmlformats.org/officeDocument/2006/relationships" name="Weekly_Review" sheetId="7" r:id="Rc4872c50eb8c48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660"/>
      <x:name val="Carlito"/>
    </x:font>
    <x:font>
      <x:b/>
      <x:sz val="11"/>
      <x:color rgb="FFFFFFFF"/>
      <x:name val="Carlito"/>
    </x:font>
    <x:font>
      <x:b/>
      <x:sz val="11"/>
      <x:color rgb="FF101716"/>
      <x:name val="Carlito"/>
    </x:font>
    <x:font>
      <x:b/>
      <x:sz val="12"/>
      <x:color rgb="FF008F4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1716"/>
      </x:patternFill>
    </x:fill>
    <x:fill>
      <x:patternFill patternType="solid">
        <x:fgColor rgb="FFF3F5F4"/>
      </x:patternFill>
    </x:fill>
    <x:fill>
      <x:patternFill patternType="solid">
        <x:fgColor rgb="FF008F46"/>
      </x:patternFill>
    </x:fill>
    <x:fill>
      <x:patternFill patternType="solid">
        <x:fgColor rgb="FFDFF3E8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101716"/>
      </x:font>
      <x:fill>
        <x:patternFill>
          <x:bgColor rgb="FFDFF3E8"/>
        </x:patternFill>
      </x:fill>
    </x:dxf>
    <x:dxf>
      <x:font>
        <x:b/>
        <x:color rgb="FF101716"/>
      </x:font>
      <x:fill>
        <x:patternFill>
          <x:bgColor rgb="FFF6E7B0"/>
        </x:patternFill>
      </x:fill>
    </x:dxf>
    <x:dxf>
      <x:font>
        <x:color rgb="FF5B6660"/>
      </x:font>
      <x:fill>
        <x:patternFill>
          <x:bgColor rgb="FFF3F5F4"/>
        </x:patternFill>
      </x:fill>
    </x:dxf>
    <x:dxf>
      <x:font>
        <x:b/>
      </x:font>
      <x:fill>
        <x:patternFill>
          <x:bgColor rgb="FFF6E7B0"/>
        </x:patternFill>
      </x:fill>
    </x:dxf>
    <x:dxf>
      <x:font>
        <x:b/>
      </x:font>
      <x:fill>
        <x:patternFill>
          <x:bgColor rgb="FFF8D7DA"/>
        </x:patternFill>
      </x:fill>
    </x:dxf>
    <x:dxf>
      <x:fill>
        <x:patternFill>
          <x:bgColor rgb="FFF3F5F4"/>
        </x:patternFill>
      </x:fill>
    </x:dxf>
    <x:dxf>
      <x:font>
        <x:b/>
      </x:font>
      <x:fill>
        <x:patternFill>
          <x:bgColor rgb="FFF6E7B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84507546514a67" /><Relationship Type="http://schemas.openxmlformats.org/officeDocument/2006/relationships/theme" Target="/xl/theme/theme1.xml" Id="Rf9b82e0374e24388" /><Relationship Type="http://schemas.openxmlformats.org/officeDocument/2006/relationships/sharedStrings" Target="/xl/sharedStrings.xml" Id="R06f2a1304ff34225" /><Relationship Type="http://schemas.openxmlformats.org/officeDocument/2006/relationships/worksheet" Target="/xl/worksheets/sheet1.xml" Id="Ra492b54f12e54df7" /><Relationship Type="http://schemas.openxmlformats.org/officeDocument/2006/relationships/worksheet" Target="/xl/worksheets/sheet2.xml" Id="R8e86923042a04405" /><Relationship Type="http://schemas.openxmlformats.org/officeDocument/2006/relationships/worksheet" Target="/xl/worksheets/sheet3.xml" Id="R9f1f88513890428c" /><Relationship Type="http://schemas.openxmlformats.org/officeDocument/2006/relationships/worksheet" Target="/xl/worksheets/sheet4.xml" Id="Rda66567076c641b4" /><Relationship Type="http://schemas.openxmlformats.org/officeDocument/2006/relationships/worksheet" Target="/xl/worksheets/sheet5.xml" Id="Re95f6f1651924506" /><Relationship Type="http://schemas.openxmlformats.org/officeDocument/2006/relationships/worksheet" Target="/xl/worksheets/sheet6.xml" Id="R2ce01d5fc163406d" /><Relationship Type="http://schemas.openxmlformats.org/officeDocument/2006/relationships/worksheet" Target="/xl/worksheets/sheet7.xml" Id="Rc4872c50eb8c487f" /></Relationships>
</file>

<file path=xl/tables/table1.xml><?xml version="1.0" encoding="utf-8"?>
<x:table xmlns:x="http://schemas.openxmlformats.org/spreadsheetml/2006/main" id="1" name="SprintStatusTable" displayName="SprintStatusTable" ref="A1:H12" headerRowCount="1">
  <x:tableColumns count="8">
    <x:tableColumn id="1" name="Block"/>
    <x:tableColumn id="2" name="Name"/>
    <x:tableColumn id="3" name="Goal"/>
    <x:tableColumn id="4" name="Status"/>
    <x:tableColumn id="5" name="Progress"/>
    <x:tableColumn id="6" name="Validation"/>
    <x:tableColumn id="7" name="Evidence / Commit"/>
    <x:tableColumn id="8" name="Next action"/>
  </x:tableColumns>
  <x:tableStyleInfo name="TableStyleMedium2" showRowStripes="1"/>
</x:table>
</file>

<file path=xl/tables/table2.xml><?xml version="1.0" encoding="utf-8"?>
<x:table xmlns:x="http://schemas.openxmlformats.org/spreadsheetml/2006/main" id="2" name="DeliverablesTable" displayName="DeliverablesTable" ref="A1:H15" headerRowCount="1">
  <x:tableColumns count="8">
    <x:tableColumn id="1" name="ID"/>
    <x:tableColumn id="2" name="Block"/>
    <x:tableColumn id="3" name="Deliverable"/>
    <x:tableColumn id="4" name="Path / Reference"/>
    <x:tableColumn id="5" name="Type"/>
    <x:tableColumn id="6" name="State"/>
    <x:tableColumn id="7" name="Tracking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isksTable" displayName="RisksTable" ref="A1:H7" headerRowCount="1">
  <x:tableColumns count="8">
    <x:tableColumn id="1" name="ID"/>
    <x:tableColumn id="2" name="Risk"/>
    <x:tableColumn id="3" name="Area"/>
    <x:tableColumn id="4" name="Probability"/>
    <x:tableColumn id="5" name="Impact"/>
    <x:tableColumn id="6" name="Mitigation"/>
    <x:tableColumn id="7" name="Status"/>
    <x:tableColumn id="8" name="Owner / Review"/>
  </x:tableColumns>
  <x:tableStyleInfo name="TableStyleMedium2" showRowStripes="1"/>
</x:table>
</file>

<file path=xl/tables/table4.xml><?xml version="1.0" encoding="utf-8"?>
<x:table xmlns:x="http://schemas.openxmlformats.org/spreadsheetml/2006/main" id="4" name="DecisionsTable" displayName="DecisionsTable" ref="A1:G5" headerRowCount="1">
  <x:tableColumns count="7">
    <x:tableColumn id="1" name="ADR"/>
    <x:tableColumn id="2" name="Decision"/>
    <x:tableColumn id="3" name="Status"/>
    <x:tableColumn id="4" name="Date"/>
    <x:tableColumn id="5" name="Scope"/>
    <x:tableColumn id="6" name="Consequence"/>
    <x:tableColumn id="7" name="Document"/>
  </x:tableColumns>
  <x:tableStyleInfo name="TableStyleMedium2" showRowStripes="1"/>
</x:table>
</file>

<file path=xl/tables/table5.xml><?xml version="1.0" encoding="utf-8"?>
<x:table xmlns:x="http://schemas.openxmlformats.org/spreadsheetml/2006/main" id="5" name="PackageBaselineTable" displayName="PackageBaselineTable" ref="A1:G13" headerRowCount="1">
  <x:tableColumns count="7">
    <x:tableColumn id="1" name="Package"/>
    <x:tableColumn id="2" name="ID"/>
    <x:tableColumn id="3" name="Version"/>
    <x:tableColumn id="4" name="Required for slice"/>
    <x:tableColumn id="5" name="Current decision"/>
    <x:tableColumn id="6" name="Action"/>
    <x:tableColumn id="7" name="Source"/>
  </x:tableColumns>
  <x:tableStyleInfo name="TableStyleMedium2" showRowStripes="1"/>
</x:table>
</file>

<file path=xl/tables/table6.xml><?xml version="1.0" encoding="utf-8"?>
<x:table xmlns:x="http://schemas.openxmlformats.org/spreadsheetml/2006/main" id="6" name="WeeklyReviewTable" displayName="WeeklyReviewTable" ref="A1:G20" headerRowCount="1">
  <x:tableColumns count="7">
    <x:tableColumn id="1" name="Date"/>
    <x:tableColumn id="2" name="Sprint"/>
    <x:tableColumn id="3" name="Completed"/>
    <x:tableColumn id="4" name="In progress"/>
    <x:tableColumn id="5" name="Risks / blockers"/>
    <x:tableColumn id="6" name="Decisions"/>
    <x:tableColumn id="7" name="Next revie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0a1c2c50414b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69bb3ebead4e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e7e1c8435d41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048b185d844d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9f6c63fa4a4c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f406b8452345b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Cartridge &amp; Cloud — Production Tracking</x:v>
      </x:c>
      <x:c r="B1" s="5"/>
      <x:c r="C1" s="5"/>
      <x:c r="D1" s="5"/>
      <x:c r="E1" s="5"/>
      <x:c r="F1" s="5"/>
      <x:c r="G1" s="5"/>
      <x:c r="H1" s="5"/>
    </x:row>
    <x:row r="2" ht="20" customHeight="1">
      <x:c r="A2" s="12" t="str">
        <x:v>Operational workbook v0.3.2 — S0.7 scene baseline, 2026-06-21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KPI</x:v>
      </x:c>
      <x:c r="B4" s="20" t="str">
        <x:v>Value</x:v>
      </x:c>
      <x:c r="D4" s="20" t="str">
        <x:v>Current status</x:v>
      </x:c>
      <x:c r="E4" s="20"/>
      <x:c r="F4" s="20"/>
      <x:c r="G4" s="20"/>
      <x:c r="H4" s="20"/>
    </x:row>
    <x:row r="5" ht="24" customHeight="1">
      <x:c r="A5" s="29" t="str">
        <x:v>Sprint blocks total</x:v>
      </x:c>
      <x:c r="B5" s="31" t="n">
        <x:f>COUNTA(Sprint_Status!A2:A12)</x:f>
        <x:v>11</x:v>
      </x:c>
      <x:c r="D5" s="37" t="str">
        <x:v>Repository</x:v>
      </x:c>
      <x:c r="E5" s="38" t="str">
        <x:v>BLRochaGonzalez93/U012_CartridgeAndCloud</x:v>
      </x:c>
      <x:c r="F5" s="38" t="str"/>
      <x:c r="G5" s="38" t="str"/>
      <x:c r="H5" s="38" t="str"/>
    </x:row>
    <x:row r="6" ht="24" customHeight="1">
      <x:c r="A6" s="29" t="str">
        <x:v>Closed blocks</x:v>
      </x:c>
      <x:c r="B6" s="31" t="n">
        <x:f>COUNTIF(Sprint_Status!D2:D12,"Closed")</x:f>
        <x:v>7</x:v>
      </x:c>
      <x:c r="D6" s="37" t="str">
        <x:v>Branch</x:v>
      </x:c>
      <x:c r="E6" s="38" t="str">
        <x:v>main</x:v>
      </x:c>
      <x:c r="F6" s="38" t="str"/>
      <x:c r="G6" s="38" t="str"/>
      <x:c r="H6" s="38" t="str"/>
    </x:row>
    <x:row r="7" ht="24" customHeight="1">
      <x:c r="A7" s="29" t="str">
        <x:v>In progress</x:v>
      </x:c>
      <x:c r="B7" s="31" t="n">
        <x:f>COUNTIF(Sprint_Status!D2:D12,"In Progress")</x:f>
        <x:v>1</x:v>
      </x:c>
      <x:c r="D7" s="37" t="str">
        <x:v>Unity</x:v>
      </x:c>
      <x:c r="E7" s="38" t="str">
        <x:v>6000.3.18f1</x:v>
      </x:c>
      <x:c r="F7" s="38" t="str"/>
      <x:c r="G7" s="38" t="str"/>
      <x:c r="H7" s="38" t="str"/>
    </x:row>
    <x:row r="8" ht="24" customHeight="1">
      <x:c r="A8" s="29" t="str">
        <x:v>Pending</x:v>
      </x:c>
      <x:c r="B8" s="31" t="n">
        <x:f>COUNTIF(Sprint_Status!D2:D12,"Pending")</x:f>
        <x:v>3</x:v>
      </x:c>
      <x:c r="D8" s="37" t="str">
        <x:v>Latest audited commit</x:v>
      </x:c>
      <x:c r="E8" s="38" t="str">
        <x:v>31a77be358a3</x:v>
      </x:c>
      <x:c r="F8" s="38" t="str"/>
      <x:c r="G8" s="38" t="str"/>
      <x:c r="H8" s="38" t="str"/>
    </x:row>
    <x:row r="9" ht="24" customHeight="1">
      <x:c r="A9" s="29" t="str">
        <x:v>Completion</x:v>
      </x:c>
      <x:c r="B9" s="32" t="n">
        <x:f>SUM(Sprint_Status!E2:E12)/COUNTA(Sprint_Status!A2:A12)</x:f>
        <x:v>0.6545454545454545</x:v>
      </x:c>
      <x:c r="D9" s="37" t="str">
        <x:v>Current block</x:v>
      </x:c>
      <x:c r="E9" s="38" t="str">
        <x:v>S0.7 — Scene Baseline</x:v>
      </x:c>
      <x:c r="F9" s="38" t="str"/>
      <x:c r="G9" s="38" t="str"/>
      <x:c r="H9" s="38" t="str"/>
    </x:row>
    <x:row r="10" ht="24" customHeight="1">
      <x:c r="A10" s="29" t="str">
        <x:v>Open risks</x:v>
      </x:c>
      <x:c r="B10" s="31" t="n">
        <x:f>COUNTIF(Risks!G2:G20,"Open")</x:f>
        <x:v>3</x:v>
      </x:c>
      <x:c r="D10" s="37" t="str">
        <x:v>Next block</x:v>
      </x:c>
      <x:c r="E10" s="38" t="str">
        <x:v>S0.8 — Smoke Tests</x:v>
      </x:c>
      <x:c r="F10" s="38" t="str"/>
      <x:c r="G10" s="38" t="str"/>
      <x:c r="H10" s="38" t="str"/>
    </x:row>
    <x:row r="11">
      <x:c r="A11" s="29" t="str">
        <x:v>Open documentation debts</x:v>
      </x:c>
      <x:c r="B11" s="31" t="n">
        <x:f>COUNTIF(Deliverables!G2:G30,"Debt")</x:f>
        <x:v>1</x:v>
      </x:c>
    </x:row>
    <x:row r="13">
      <x:c r="A13" s="44" t="str">
        <x:v>Production notes</x:v>
      </x:c>
      <x:c r="B13" s="44"/>
      <x:c r="C13" s="44"/>
      <x:c r="D13" s="44"/>
      <x:c r="E13" s="44"/>
      <x:c r="F13" s="44"/>
      <x:c r="G13" s="44"/>
      <x:c r="H13" s="44"/>
    </x:row>
    <x:row r="14">
      <x:c r="A14" s="51" t="str">
        <x:v>The official v0.3 baseline remains immutable. S0.6D is closed and published in commit 31a77be358a3b8e9268cd69abb02a1f52d429fbd. S0.7 is now in progress: the four scene assets and their global Scene List order remain pending local creation and validation.</x:v>
      </x:c>
      <x:c r="B14" s="51"/>
      <x:c r="C14" s="51"/>
      <x:c r="D14" s="51"/>
      <x:c r="E14" s="51"/>
      <x:c r="F14" s="51"/>
      <x:c r="G14" s="51"/>
      <x:c r="H14" s="51"/>
    </x:row>
    <x:row r="15">
      <x:c r="A15" s="51"/>
      <x:c r="B15" s="51"/>
      <x:c r="C15" s="51"/>
      <x:c r="D15" s="51"/>
      <x:c r="E15" s="51"/>
      <x:c r="F15" s="51"/>
      <x:c r="G15" s="51"/>
      <x:c r="H15" s="51"/>
    </x:row>
    <x:row r="16">
      <x:c r="A16" s="51"/>
      <x:c r="B16" s="51"/>
      <x:c r="C16" s="51"/>
      <x:c r="D16" s="51"/>
      <x:c r="E16" s="51"/>
      <x:c r="F16" s="51"/>
      <x:c r="G16" s="51"/>
      <x:c r="H16" s="51"/>
    </x:row>
    <x:row r="17">
      <x:c r="A17" s="51"/>
      <x:c r="B17" s="51"/>
      <x:c r="C17" s="51"/>
      <x:c r="D17" s="51"/>
      <x:c r="E17" s="51"/>
      <x:c r="F17" s="51"/>
      <x:c r="G17" s="51"/>
      <x:c r="H17" s="51"/>
    </x:row>
    <x:row r="18">
      <x:c r="A18" s="51"/>
      <x:c r="B18" s="51"/>
      <x:c r="C18" s="51"/>
      <x:c r="D18" s="51"/>
      <x:c r="E18" s="51"/>
      <x:c r="F18" s="51"/>
      <x:c r="G18" s="51"/>
      <x:c r="H18" s="51"/>
    </x:row>
  </x:sheetData>
  <x:mergeCells>
    <x:mergeCell ref="A1:H1"/>
    <x:mergeCell ref="A2:H2"/>
    <x:mergeCell ref="D4:H4"/>
    <x:mergeCell ref="A13:H13"/>
    <x:mergeCell ref="A14:H18"/>
    <x:mergeCell ref="E5:H5"/>
    <x:mergeCell ref="E6:H6"/>
    <x:mergeCell ref="E7:H7"/>
    <x:mergeCell ref="E8:H8"/>
    <x:mergeCell ref="E9:H9"/>
    <x:mergeCell ref="E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38" hidden="0" customWidth="1"/>
    <x:col min="4" max="4" width="14" hidden="0" customWidth="1"/>
    <x:col min="5" max="5" width="12" hidden="0" customWidth="1"/>
    <x:col min="6" max="6" width="28" hidden="0" customWidth="1"/>
    <x:col min="7" max="7" width="42" hidden="0" customWidth="1"/>
    <x:col min="8" max="8" width="34" hidden="0" customWidth="1"/>
  </x:cols>
  <x:sheetData>
    <x:row r="1">
      <x:c r="A1" s="20" t="str">
        <x:v>Block</x:v>
      </x:c>
      <x:c r="B1" s="20" t="str">
        <x:v>Name</x:v>
      </x:c>
      <x:c r="C1" s="20" t="str">
        <x:v>Goal</x:v>
      </x:c>
      <x:c r="D1" s="20" t="str">
        <x:v>Status</x:v>
      </x:c>
      <x:c r="E1" s="20" t="str">
        <x:v>Progress</x:v>
      </x:c>
      <x:c r="F1" s="20" t="str">
        <x:v>Validation</x:v>
      </x:c>
      <x:c r="G1" s="20" t="str">
        <x:v>Evidence / Commit</x:v>
      </x:c>
      <x:c r="H1" s="20" t="str">
        <x:v>Next action</x:v>
      </x:c>
    </x:row>
    <x:row r="2">
      <x:c r="A2" s="35" t="str">
        <x:v>S0.1</x:v>
      </x:c>
      <x:c r="B2" s="35" t="str">
        <x:v>Toolchain</x:v>
      </x:c>
      <x:c r="C2" s="35" t="str">
        <x:v>Fix editor and development environment</x:v>
      </x:c>
      <x:c r="D2" s="35" t="str">
        <x:v>Closed</x:v>
      </x:c>
      <x:c r="E2" s="55" t="n">
        <x:v>1</x:v>
      </x:c>
      <x:c r="F2" s="35" t="str">
        <x:v>PASS with non-blocking documentation debt</x:v>
      </x:c>
      <x:c r="G2" s="35" t="str">
        <x:v>Evidence/S0.1_UnityHub_EditorVersion.png; Evidence/S0.1_AboutUnity.png</x:v>
      </x:c>
      <x:c r="H2" s="35" t="str">
        <x:v>Complete DevelopmentEnvironment_Record before S0.10</x:v>
      </x:c>
    </x:row>
    <x:row r="3">
      <x:c r="A3" s="35" t="str">
        <x:v>S0.2</x:v>
      </x:c>
      <x:c r="B3" s="35" t="str">
        <x:v>Unity Project</x:v>
      </x:c>
      <x:c r="C3" s="35" t="str">
        <x:v>Create clean URP project and base settings</x:v>
      </x:c>
      <x:c r="D3" s="35" t="str">
        <x:v>Closed</x:v>
      </x:c>
      <x:c r="E3" s="55" t="n">
        <x:v>1</x:v>
      </x:c>
      <x:c r="F3" s="35" t="str">
        <x:v>PASS</x:v>
      </x:c>
      <x:c r="G3" s="35" t="str">
        <x:v>Commit 6429c7cff05fb8e77e7161ce72f28fb79d03383f</x:v>
      </x:c>
      <x:c r="H3" s="35" t="str">
        <x:v>None</x:v>
      </x:c>
    </x:row>
    <x:row r="4">
      <x:c r="A4" s="35" t="str">
        <x:v>S0.3</x:v>
      </x:c>
      <x:c r="B4" s="35" t="str">
        <x:v>Package Baseline</x:v>
      </x:c>
      <x:c r="C4" s="35" t="str">
        <x:v>Install and lock required Unity packages</x:v>
      </x:c>
      <x:c r="D4" s="35" t="str">
        <x:v>Closed</x:v>
      </x:c>
      <x:c r="E4" s="55" t="n">
        <x:v>1</x:v>
      </x:c>
      <x:c r="F4" s="35" t="str">
        <x:v>PASS with observation</x:v>
      </x:c>
      <x:c r="G4" s="35" t="str">
        <x:v>Packages/manifest.json; Packages/packages-lock.json</x:v>
      </x:c>
      <x:c r="H4" s="35" t="str">
        <x:v>Review/removal of unused template packages</x:v>
      </x:c>
    </x:row>
    <x:row r="5">
      <x:c r="A5" s="35" t="str">
        <x:v>S0.4</x:v>
      </x:c>
      <x:c r="B5" s="35" t="str">
        <x:v>Repository</x:v>
      </x:c>
      <x:c r="C5" s="35" t="str">
        <x:v>Configure GitHub Desktop, ignore rules and attributes</x:v>
      </x:c>
      <x:c r="D5" s="35" t="str">
        <x:v>Closed</x:v>
      </x:c>
      <x:c r="E5" s="55" t="n">
        <x:v>1</x:v>
      </x:c>
      <x:c r="F5" s="35" t="str">
        <x:v>PASS</x:v>
      </x:c>
      <x:c r="G5" s="35" t="str">
        <x:v>Commits 46c7631 and 3d49ef4</x:v>
      </x:c>
      <x:c r="H5" s="35" t="str">
        <x:v>None</x:v>
      </x:c>
    </x:row>
    <x:row r="6">
      <x:c r="A6" s="35" t="str">
        <x:v>S0.5</x:v>
      </x:c>
      <x:c r="B6" s="35" t="str">
        <x:v>Project Structure</x:v>
      </x:c>
      <x:c r="C6" s="35" t="str">
        <x:v>Create Assets/_Project and documentation hierarchy</x:v>
      </x:c>
      <x:c r="D6" s="35" t="str">
        <x:v>Closed</x:v>
      </x:c>
      <x:c r="E6" s="55" t="n">
        <x:v>1</x:v>
      </x:c>
      <x:c r="F6" s="35" t="str">
        <x:v>PASS</x:v>
      </x:c>
      <x:c r="G6" s="35" t="str">
        <x:v>Commit 1cc30ad69a2c093a8e1e0686451302689eb632bb</x:v>
      </x:c>
      <x:c r="H6" s="35" t="str">
        <x:v>Replace status document with closed version</x:v>
      </x:c>
    </x:row>
    <x:row r="7">
      <x:c r="A7" s="35" t="str">
        <x:v>S0.6</x:v>
      </x:c>
      <x:c r="B7" s="35" t="str">
        <x:v>Assembly Boundaries</x:v>
      </x:c>
      <x:c r="C7" s="35" t="str">
        <x:v>Create six assemblies and dependency rules</x:v>
      </x:c>
      <x:c r="D7" s="35" t="str">
        <x:v>Closed</x:v>
      </x:c>
      <x:c r="E7" s="55" t="n">
        <x:v>1</x:v>
      </x:c>
      <x:c r="F7" s="35" t="str">
        <x:v>PASS</x:v>
      </x:c>
      <x:c r="G7" s="35" t="str">
        <x:v>Commit 7f32381d94af98f283fa0cb26b4cbf5b0ba84fe9</x:v>
      </x:c>
      <x:c r="H7" s="35" t="str">
        <x:v>Replace validation checklist with completed version</x:v>
      </x:c>
    </x:row>
    <x:row r="8">
      <x:c r="A8" s="35" t="str">
        <x:v>S0.6D</x:v>
      </x:c>
      <x:c r="B8" s="35" t="str">
        <x:v>Documentation Sync</x:v>
      </x:c>
      <x:c r="C8" s="35" t="str">
        <x:v>Synchronize operational documents, QA and tracking</x:v>
      </x:c>
      <x:c r="D8" s="35" t="str">
        <x:v>Closed</x:v>
      </x:c>
      <x:c r="E8" s="55" t="n">
        <x:v>1</x:v>
      </x:c>
      <x:c r="F8" s="35" t="str">
        <x:v>PASS</x:v>
      </x:c>
      <x:c r="G8" s="35" t="str">
        <x:v>Commit 31a77be358a3b8e9268cd69abb02a1f52d429fbd</x:v>
      </x:c>
      <x:c r="H8" s="35" t="str">
        <x:v>None</x:v>
      </x:c>
    </x:row>
    <x:row r="9">
      <x:c r="A9" s="35" t="str">
        <x:v>S0.7</x:v>
      </x:c>
      <x:c r="B9" s="35" t="str">
        <x:v>Scene Baseline</x:v>
      </x:c>
      <x:c r="C9" s="35" t="str">
        <x:v>Create Bootstrap, MainMenu, Store and TestLab</x:v>
      </x:c>
      <x:c r="D9" s="35" t="str">
        <x:v>In Progress</x:v>
      </x:c>
      <x:c r="E9" s="55" t="n">
        <x:v>0.2</x:v>
      </x:c>
      <x:c r="F9" s="35" t="str">
        <x:v>Documentation prepared; local Unity validation pending</x:v>
      </x:c>
      <x:c r="G9" s="35" t="str">
        <x:v>S0.7 package; ADR-0005</x:v>
      </x:c>
      <x:c r="H9" s="35" t="str">
        <x:v>Create scenes, configure Scene List, capture evidence and validate</x:v>
      </x:c>
    </x:row>
    <x:row r="10">
      <x:c r="A10" s="35" t="str">
        <x:v>S0.8</x:v>
      </x:c>
      <x:c r="B10" s="35" t="str">
        <x:v>Smoke Tests</x:v>
      </x:c>
      <x:c r="C10" s="35" t="str">
        <x:v>Implement EditMode and PlayMode smoke tests</x:v>
      </x:c>
      <x:c r="D10" s="35" t="str">
        <x:v>Pending</x:v>
      </x:c>
      <x:c r="E10" s="55" t="n">
        <x:v>0</x:v>
      </x:c>
      <x:c r="F10" s="35" t="str">
        <x:v>Not started</x:v>
      </x:c>
      <x:c r="G10" s="35" t="str"/>
      <x:c r="H10" s="35" t="str">
        <x:v>After S0.7</x:v>
      </x:c>
    </x:row>
    <x:row r="11">
      <x:c r="A11" s="35" t="str">
        <x:v>S0.9</x:v>
      </x:c>
      <x:c r="B11" s="35" t="str">
        <x:v>Windows Build</x:v>
      </x:c>
      <x:c r="C11" s="35" t="str">
        <x:v>Generate first Windows x64 build</x:v>
      </x:c>
      <x:c r="D11" s="35" t="str">
        <x:v>Pending</x:v>
      </x:c>
      <x:c r="E11" s="55" t="n">
        <x:v>0</x:v>
      </x:c>
      <x:c r="F11" s="35" t="str">
        <x:v>Not started</x:v>
      </x:c>
      <x:c r="G11" s="35" t="str"/>
      <x:c r="H11" s="35" t="str">
        <x:v>After S0.8</x:v>
      </x:c>
    </x:row>
    <x:row r="12">
      <x:c r="A12" s="35" t="str">
        <x:v>S0.10</x:v>
      </x:c>
      <x:c r="B12" s="35" t="str">
        <x:v>Sprint Closure</x:v>
      </x:c>
      <x:c r="C12" s="35" t="str">
        <x:v>Final ADR, QA, traceability and documentation closure</x:v>
      </x:c>
      <x:c r="D12" s="35" t="str">
        <x:v>Pending</x:v>
      </x:c>
      <x:c r="E12" s="55" t="n">
        <x:v>0</x:v>
      </x:c>
      <x:c r="F12" s="35" t="str">
        <x:v>Not started</x:v>
      </x:c>
      <x:c r="G12" s="35" t="str"/>
      <x:c r="H12" s="35" t="str">
        <x:v>After S0.9</x:v>
      </x:c>
    </x:row>
  </x:sheetData>
  <x:conditionalFormatting sqref="D2:D12">
    <x:cfRule type="expression" dxfId="0" priority="1">
      <x:formula>D2="Closed"</x:formula>
    </x:cfRule>
    <x:cfRule type="expression" dxfId="1" priority="2">
      <x:formula>D2="In Progress"</x:formula>
    </x:cfRule>
    <x:cfRule type="expression" dxfId="2" priority="3">
      <x:formula>D2="Pending"</x:formula>
    </x:cfRule>
  </x:conditionalFormatting>
  <x:conditionalFormatting sqref="E2:E12">
    <x:cfRule type="dataBar" priority="4">
      <x:dataBar>
        <x:cfvo type="min"/>
        <x:cfvo type="max"/>
        <x:color rgb="FF008F46"/>
      </x:dataBar>
      <x:extLst>
        <x:ext xmlns:x14="http://schemas.microsoft.com/office/spreadsheetml/2009/9/main" uri="{B025F937-C7B1-47D3-B67F-A62EFF666E3E}">
          <x14:id>{29C05AE6-0FFC-9E32-A078-7F13BD050A4A}</x14:id>
        </x:ext>
      </x:extLst>
    </x:cfRule>
  </x:conditionalFormatting>
  <x:dataValidations count="1">
    <x:dataValidation type="list" sqref="D2:D12">
      <x:formula1>"Closed,In Progress,Pending,Blocked"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0a1c2c50414b8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29C05AE6-0FFC-9E32-A078-7F13BD050A4A}">
            <x14:dataBar gradient="1">
              <x14:cfvo type="min"/>
              <x14:cfvo type="max"/>
              <x14:fillColor rgb="FF008F46"/>
            </x14:dataBar>
          </x14:cfRule>
          <xm:sqref>E2:E12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4" hidden="0" customWidth="1"/>
    <x:col min="4" max="4" width="58" hidden="0" customWidth="1"/>
    <x:col min="5" max="5" width="16" hidden="0" customWidth="1"/>
    <x:col min="6" max="6" width="14" hidden="0" customWidth="1"/>
    <x:col min="7" max="7" width="14" hidden="0" customWidth="1"/>
    <x:col min="8" max="8" width="35" hidden="0" customWidth="1"/>
  </x:cols>
  <x:sheetData>
    <x:row r="1">
      <x:c r="A1" s="20" t="str">
        <x:v>ID</x:v>
      </x:c>
      <x:c r="B1" s="20" t="str">
        <x:v>Block</x:v>
      </x:c>
      <x:c r="C1" s="20" t="str">
        <x:v>Deliverable</x:v>
      </x:c>
      <x:c r="D1" s="20" t="str">
        <x:v>Path / Reference</x:v>
      </x:c>
      <x:c r="E1" s="20" t="str">
        <x:v>Type</x:v>
      </x:c>
      <x:c r="F1" s="20" t="str">
        <x:v>State</x:v>
      </x:c>
      <x:c r="G1" s="20" t="str">
        <x:v>Tracking</x:v>
      </x:c>
      <x:c r="H1" s="20" t="str">
        <x:v>Notes</x:v>
      </x:c>
    </x:row>
    <x:row r="2">
      <x:c r="A2" s="35" t="str">
        <x:v>DEL-001</x:v>
      </x:c>
      <x:c r="B2" s="35" t="str">
        <x:v>S0.1</x:v>
      </x:c>
      <x:c r="C2" s="35" t="str">
        <x:v>Unity Hub version evidence</x:v>
      </x:c>
      <x:c r="D2" s="35" t="str">
        <x:v>Evidence/S0.1_UnityHub_EditorVersion.png</x:v>
      </x:c>
      <x:c r="E2" s="35" t="str">
        <x:v>Evidence</x:v>
      </x:c>
      <x:c r="F2" s="35" t="str">
        <x:v>Complete</x:v>
      </x:c>
      <x:c r="G2" s="35" t="str">
        <x:v>Tracked</x:v>
      </x:c>
      <x:c r="H2" s="35" t="str">
        <x:v>Developer confirmed</x:v>
      </x:c>
    </x:row>
    <x:row r="3">
      <x:c r="A3" s="35" t="str">
        <x:v>DEL-002</x:v>
      </x:c>
      <x:c r="B3" s="35" t="str">
        <x:v>S0.1</x:v>
      </x:c>
      <x:c r="C3" s="35" t="str">
        <x:v>About Unity evidence</x:v>
      </x:c>
      <x:c r="D3" s="35" t="str">
        <x:v>Evidence/S0.1_AboutUnity.png</x:v>
      </x:c>
      <x:c r="E3" s="35" t="str">
        <x:v>Evidence</x:v>
      </x:c>
      <x:c r="F3" s="35" t="str">
        <x:v>Complete</x:v>
      </x:c>
      <x:c r="G3" s="35" t="str">
        <x:v>Tracked</x:v>
      </x:c>
      <x:c r="H3" s="35" t="str">
        <x:v>Present in latest assembly commit</x:v>
      </x:c>
    </x:row>
    <x:row r="4">
      <x:c r="A4" s="35" t="str">
        <x:v>DEL-003</x:v>
      </x:c>
      <x:c r="B4" s="35" t="str">
        <x:v>S0.1</x:v>
      </x:c>
      <x:c r="C4" s="35" t="str">
        <x:v>Development environment record</x:v>
      </x:c>
      <x:c r="D4" s="35" t="str">
        <x:v>Documentation/10_Development_Records/Environment/DevelopmentEnvironment_Record.md</x:v>
      </x:c>
      <x:c r="E4" s="35" t="str">
        <x:v>Documentation</x:v>
      </x:c>
      <x:c r="F4" s="35" t="str">
        <x:v>Deferred</x:v>
      </x:c>
      <x:c r="G4" s="35" t="str">
        <x:v>Debt</x:v>
      </x:c>
      <x:c r="H4" s="35" t="str">
        <x:v>Must be completed before S0.10</x:v>
      </x:c>
    </x:row>
    <x:row r="5">
      <x:c r="A5" s="35" t="str">
        <x:v>DEL-004</x:v>
      </x:c>
      <x:c r="B5" s="35" t="str">
        <x:v>S0.3</x:v>
      </x:c>
      <x:c r="C5" s="35" t="str">
        <x:v>Package manifest</x:v>
      </x:c>
      <x:c r="D5" s="35" t="str">
        <x:v>Packages/manifest.json</x:v>
      </x:c>
      <x:c r="E5" s="35" t="str">
        <x:v>Configuration</x:v>
      </x:c>
      <x:c r="F5" s="35" t="str">
        <x:v>Complete</x:v>
      </x:c>
      <x:c r="G5" s="35" t="str">
        <x:v>Tracked</x:v>
      </x:c>
      <x:c r="H5" s="35" t="str">
        <x:v>Audited on main</x:v>
      </x:c>
    </x:row>
    <x:row r="6">
      <x:c r="A6" s="35" t="str">
        <x:v>DEL-005</x:v>
      </x:c>
      <x:c r="B6" s="35" t="str">
        <x:v>S0.3</x:v>
      </x:c>
      <x:c r="C6" s="35" t="str">
        <x:v>Package lock</x:v>
      </x:c>
      <x:c r="D6" s="35" t="str">
        <x:v>Packages/packages-lock.json</x:v>
      </x:c>
      <x:c r="E6" s="35" t="str">
        <x:v>Configuration</x:v>
      </x:c>
      <x:c r="F6" s="35" t="str">
        <x:v>Complete</x:v>
      </x:c>
      <x:c r="G6" s="35" t="str">
        <x:v>Tracked</x:v>
      </x:c>
      <x:c r="H6" s="35" t="str">
        <x:v>Must remain versioned</x:v>
      </x:c>
    </x:row>
    <x:row r="7">
      <x:c r="A7" s="35" t="str">
        <x:v>DEL-006</x:v>
      </x:c>
      <x:c r="B7" s="35" t="str">
        <x:v>S0.4</x:v>
      </x:c>
      <x:c r="C7" s="35" t="str">
        <x:v>.gitignore</x:v>
      </x:c>
      <x:c r="D7" s="35" t="str">
        <x:v>.gitignore</x:v>
      </x:c>
      <x:c r="E7" s="35" t="str">
        <x:v>Process</x:v>
      </x:c>
      <x:c r="F7" s="35" t="str">
        <x:v>Complete</x:v>
      </x:c>
      <x:c r="G7" s="35" t="str">
        <x:v>Tracked</x:v>
      </x:c>
      <x:c r="H7" s="35" t="str">
        <x:v>Generated files correctly ignored</x:v>
      </x:c>
    </x:row>
    <x:row r="8">
      <x:c r="A8" s="35" t="str">
        <x:v>DEL-007</x:v>
      </x:c>
      <x:c r="B8" s="35" t="str">
        <x:v>S0.4</x:v>
      </x:c>
      <x:c r="C8" s="35" t="str">
        <x:v>.gitattributes</x:v>
      </x:c>
      <x:c r="D8" s="35" t="str">
        <x:v>.gitattributes</x:v>
      </x:c>
      <x:c r="E8" s="35" t="str">
        <x:v>Process</x:v>
      </x:c>
      <x:c r="F8" s="35" t="str">
        <x:v>Complete</x:v>
      </x:c>
      <x:c r="G8" s="35" t="str">
        <x:v>Tracked</x:v>
      </x:c>
      <x:c r="H8" s="35" t="str">
        <x:v>Text/binary classification</x:v>
      </x:c>
    </x:row>
    <x:row r="9">
      <x:c r="A9" s="35" t="str">
        <x:v>DEL-008</x:v>
      </x:c>
      <x:c r="B9" s="35" t="str">
        <x:v>S0.5</x:v>
      </x:c>
      <x:c r="C9" s="35" t="str">
        <x:v>Assets/_Project hierarchy</x:v>
      </x:c>
      <x:c r="D9" s="35" t="str">
        <x:v>Assets/_Project</x:v>
      </x:c>
      <x:c r="E9" s="35" t="str">
        <x:v>Process</x:v>
      </x:c>
      <x:c r="F9" s="35" t="str">
        <x:v>Complete</x:v>
      </x:c>
      <x:c r="G9" s="35" t="str">
        <x:v>Tracked</x:v>
      </x:c>
      <x:c r="H9" s="35" t="str">
        <x:v>Confirmed and committed</x:v>
      </x:c>
    </x:row>
    <x:row r="10">
      <x:c r="A10" s="35" t="str">
        <x:v>DEL-009</x:v>
      </x:c>
      <x:c r="B10" s="35" t="str">
        <x:v>S0.5</x:v>
      </x:c>
      <x:c r="C10" s="35" t="str">
        <x:v>Official documentation baseline</x:v>
      </x:c>
      <x:c r="D10" s="35" t="str">
        <x:v>Documentation/00_Official_Baseline/v0.3</x:v>
      </x:c>
      <x:c r="E10" s="35" t="str">
        <x:v>Documentation</x:v>
      </x:c>
      <x:c r="F10" s="35" t="str">
        <x:v>Complete</x:v>
      </x:c>
      <x:c r="G10" s="35" t="str">
        <x:v>Tracked</x:v>
      </x:c>
      <x:c r="H10" s="35" t="str">
        <x:v>Immutable 61-file baseline</x:v>
      </x:c>
    </x:row>
    <x:row r="11">
      <x:c r="A11" s="35" t="str">
        <x:v>DEL-010</x:v>
      </x:c>
      <x:c r="B11" s="35" t="str">
        <x:v>S0.6</x:v>
      </x:c>
      <x:c r="C11" s="35" t="str">
        <x:v>Production assemblies</x:v>
      </x:c>
      <x:c r="D11" s="35" t="str">
        <x:v>Assets/_Project/Scripts</x:v>
      </x:c>
      <x:c r="E11" s="35" t="str">
        <x:v>Code new</x:v>
      </x:c>
      <x:c r="F11" s="35" t="str">
        <x:v>Complete</x:v>
      </x:c>
      <x:c r="G11" s="35" t="str">
        <x:v>Tracked</x:v>
      </x:c>
      <x:c r="H11" s="35" t="str">
        <x:v>Four production asmdefs</x:v>
      </x:c>
    </x:row>
    <x:row r="12">
      <x:c r="A12" s="35" t="str">
        <x:v>DEL-011</x:v>
      </x:c>
      <x:c r="B12" s="35" t="str">
        <x:v>S0.6</x:v>
      </x:c>
      <x:c r="C12" s="35" t="str">
        <x:v>Test assemblies</x:v>
      </x:c>
      <x:c r="D12" s="35" t="str">
        <x:v>Assets/_Project/Tests</x:v>
      </x:c>
      <x:c r="E12" s="35" t="str">
        <x:v>Code new</x:v>
      </x:c>
      <x:c r="F12" s="35" t="str">
        <x:v>Complete</x:v>
      </x:c>
      <x:c r="G12" s="35" t="str">
        <x:v>Tracked</x:v>
      </x:c>
      <x:c r="H12" s="35" t="str">
        <x:v>EditMode and PlayMode asmdefs</x:v>
      </x:c>
    </x:row>
    <x:row r="13">
      <x:c r="A13" s="35" t="str">
        <x:v>DEL-012</x:v>
      </x:c>
      <x:c r="B13" s="35" t="str">
        <x:v>S0.6D</x:v>
      </x:c>
      <x:c r="C13" s="35" t="str">
        <x:v>Operational master workbook</x:v>
      </x:c>
      <x:c r="D13" s="35" t="str">
        <x:v>Documentation/10_Development_Records/Production_Tracking/Cartridge_And_Cloud_Production_Tracking_Operational_v0.3.1.xlsx</x:v>
      </x:c>
      <x:c r="E13" s="35" t="str">
        <x:v>Documentation</x:v>
      </x:c>
      <x:c r="F13" s="35" t="str">
        <x:v>Complete</x:v>
      </x:c>
      <x:c r="G13" s="35" t="str">
        <x:v>Tracked</x:v>
      </x:c>
      <x:c r="H13" s="35" t="str">
        <x:v>Published in commit 31a77be</x:v>
      </x:c>
    </x:row>
    <x:row r="14">
      <x:c r="A14" s="35" t="str">
        <x:v>DEL-013</x:v>
      </x:c>
      <x:c r="B14" s="35" t="str">
        <x:v>S0.6D</x:v>
      </x:c>
      <x:c r="C14" s="35" t="str">
        <x:v>Operational QA workbook</x:v>
      </x:c>
      <x:c r="D14" s="35" t="str">
        <x:v>Documentation/10_Development_Records/Production_Tracking/Cartridge_And_Cloud_QA_Operational_v0.3.1.xlsx</x:v>
      </x:c>
      <x:c r="E14" s="35" t="str">
        <x:v>Documentation</x:v>
      </x:c>
      <x:c r="F14" s="35" t="str">
        <x:v>Complete</x:v>
      </x:c>
      <x:c r="G14" s="35" t="str">
        <x:v>Tracked</x:v>
      </x:c>
      <x:c r="H14" s="35" t="str">
        <x:v>Published in commit 31a77be</x:v>
      </x:c>
    </x:row>
    <x:row r="15">
      <x:c r="A15" s="35" t="str">
        <x:v>DEL-014</x:v>
      </x:c>
      <x:c r="B15" s="35" t="str">
        <x:v>S0.6D</x:v>
      </x:c>
      <x:c r="C15" s="35" t="str">
        <x:v>Operational traceability workbook</x:v>
      </x:c>
      <x:c r="D15" s="35" t="str">
        <x:v>Documentation/10_Development_Records/Production_Tracking/Cartridge_And_Cloud_Traceability_Operational_v0.3.1.xlsx</x:v>
      </x:c>
      <x:c r="E15" s="35" t="str">
        <x:v>Documentation</x:v>
      </x:c>
      <x:c r="F15" s="35" t="str">
        <x:v>Complete</x:v>
      </x:c>
      <x:c r="G15" s="35" t="str">
        <x:v>Tracked</x:v>
      </x:c>
      <x:c r="H15" s="35" t="str">
        <x:v>Published in commit 31a77be</x:v>
      </x:c>
    </x:row>
    <x:row r="16">
      <x:c r="A16" t="str">
        <x:v>DEL-015</x:v>
      </x:c>
      <x:c r="B16" t="str">
        <x:v>S0.7</x:v>
      </x:c>
      <x:c r="C16" t="str">
        <x:v>Scene baseline ADR</x:v>
      </x:c>
      <x:c r="D16" t="str">
        <x:v>Documentation/10_Development_Records/ADR/ADR-0005-Scene-Baseline-and-Build-Order.md</x:v>
      </x:c>
      <x:c r="E16" t="str">
        <x:v>Documentation</x:v>
      </x:c>
      <x:c r="F16" t="str">
        <x:v>Prepared</x:v>
      </x:c>
      <x:c r="G16" t="str">
        <x:v>Tracked</x:v>
      </x:c>
      <x:c r="H16" t="str">
        <x:v>Decision accepted; commit pending</x:v>
      </x:c>
    </x:row>
    <x:row r="17">
      <x:c r="A17" t="str">
        <x:v>DEL-016</x:v>
      </x:c>
      <x:c r="B17" t="str">
        <x:v>S0.7</x:v>
      </x:c>
      <x:c r="C17" t="str">
        <x:v>Scene baseline procedure</x:v>
      </x:c>
      <x:c r="D17" t="str">
        <x:v>Documentation/10_Development_Records/Sprints/Sprint_00/S0.7_Scene_Baseline.md</x:v>
      </x:c>
      <x:c r="E17" t="str">
        <x:v>Documentation</x:v>
      </x:c>
      <x:c r="F17" t="str">
        <x:v>Prepared</x:v>
      </x:c>
      <x:c r="G17" t="str">
        <x:v>Tracked</x:v>
      </x:c>
      <x:c r="H17" t="str">
        <x:v>Local execution pending</x:v>
      </x:c>
    </x:row>
    <x:row r="18">
      <x:c r="A18" t="str">
        <x:v>DEL-017</x:v>
      </x:c>
      <x:c r="B18" t="str">
        <x:v>S0.7</x:v>
      </x:c>
      <x:c r="C18" t="str">
        <x:v>Bootstrap scene</x:v>
      </x:c>
      <x:c r="D18" t="str">
        <x:v>Assets/_Project/Scenes/Bootstrap.unity</x:v>
      </x:c>
      <x:c r="E18" t="str">
        <x:v>Asset</x:v>
      </x:c>
      <x:c r="F18" t="str">
        <x:v>Pending</x:v>
      </x:c>
      <x:c r="G18" t="str">
        <x:v>Pending validation</x:v>
      </x:c>
      <x:c r="H18" t="str">
        <x:v>Create in Unity only</x:v>
      </x:c>
    </x:row>
    <x:row r="19">
      <x:c r="A19" t="str">
        <x:v>DEL-018</x:v>
      </x:c>
      <x:c r="B19" t="str">
        <x:v>S0.7</x:v>
      </x:c>
      <x:c r="C19" t="str">
        <x:v>MainMenu scene</x:v>
      </x:c>
      <x:c r="D19" t="str">
        <x:v>Assets/_Project/Scenes/MainMenu.unity</x:v>
      </x:c>
      <x:c r="E19" t="str">
        <x:v>Asset</x:v>
      </x:c>
      <x:c r="F19" t="str">
        <x:v>Pending</x:v>
      </x:c>
      <x:c r="G19" t="str">
        <x:v>Pending validation</x:v>
      </x:c>
      <x:c r="H19" t="str">
        <x:v>Basic URP: camera and directional light</x:v>
      </x:c>
    </x:row>
    <x:row r="20">
      <x:c r="A20" t="str">
        <x:v>DEL-019</x:v>
      </x:c>
      <x:c r="B20" t="str">
        <x:v>S0.7</x:v>
      </x:c>
      <x:c r="C20" t="str">
        <x:v>Store scene</x:v>
      </x:c>
      <x:c r="D20" t="str">
        <x:v>Assets/_Project/Scenes/Store.unity</x:v>
      </x:c>
      <x:c r="E20" t="str">
        <x:v>Asset</x:v>
      </x:c>
      <x:c r="F20" t="str">
        <x:v>Pending</x:v>
      </x:c>
      <x:c r="G20" t="str">
        <x:v>Pending validation</x:v>
      </x:c>
      <x:c r="H20" t="str">
        <x:v>Basic URP: camera and directional light</x:v>
      </x:c>
    </x:row>
    <x:row r="21">
      <x:c r="A21" t="str">
        <x:v>DEL-020</x:v>
      </x:c>
      <x:c r="B21" t="str">
        <x:v>S0.7</x:v>
      </x:c>
      <x:c r="C21" t="str">
        <x:v>TestLab scene</x:v>
      </x:c>
      <x:c r="D21" t="str">
        <x:v>Assets/_Project/Scenes/TestLab.unity</x:v>
      </x:c>
      <x:c r="E21" t="str">
        <x:v>Asset</x:v>
      </x:c>
      <x:c r="F21" t="str">
        <x:v>Pending</x:v>
      </x:c>
      <x:c r="G21" t="str">
        <x:v>Pending validation</x:v>
      </x:c>
      <x:c r="H21" t="str">
        <x:v>Basic URP: camera and directional light</x:v>
      </x:c>
    </x:row>
    <x:row r="22">
      <x:c r="A22" t="str">
        <x:v>DEL-021</x:v>
      </x:c>
      <x:c r="B22" t="str">
        <x:v>S0.7</x:v>
      </x:c>
      <x:c r="C22" t="str">
        <x:v>Global Scene List</x:v>
      </x:c>
      <x:c r="D22" t="str">
        <x:v>ProjectSettings/EditorBuildSettings.asset</x:v>
      </x:c>
      <x:c r="E22" t="str">
        <x:v>Configuration</x:v>
      </x:c>
      <x:c r="F22" t="str">
        <x:v>Pending</x:v>
      </x:c>
      <x:c r="G22" t="str">
        <x:v>Pending validation</x:v>
      </x:c>
      <x:c r="H22" t="str">
        <x:v>Order Bootstrap, MainMenu, Store, TestLab</x:v>
      </x:c>
    </x:row>
    <x:row r="23">
      <x:c r="A23" t="str">
        <x:v>DEL-022</x:v>
      </x:c>
      <x:c r="B23" t="str">
        <x:v>S0.7</x:v>
      </x:c>
      <x:c r="C23" t="str">
        <x:v>Scene evidence set</x:v>
      </x:c>
      <x:c r="D23" t="str">
        <x:v>Evidence/S0.7_*</x:v>
      </x:c>
      <x:c r="E23" t="str">
        <x:v>Evidence</x:v>
      </x:c>
      <x:c r="F23" t="str">
        <x:v>Pending</x:v>
      </x:c>
      <x:c r="G23" t="str">
        <x:v>Pending validation</x:v>
      </x:c>
      <x:c r="H23" t="str">
        <x:v>Scene assets, Scene List and clean Console</x:v>
      </x:c>
    </x:row>
    <x:row r="24">
      <x:c r="A24" t="str">
        <x:v>DEL-023</x:v>
      </x:c>
      <x:c r="B24" t="str">
        <x:v>S0.7</x:v>
      </x:c>
      <x:c r="C24" t="str">
        <x:v>Operational workbooks v0.3.2</x:v>
      </x:c>
      <x:c r="D24" t="str">
        <x:v>Documentation/10_Development_Records/Production_Tracking</x:v>
      </x:c>
      <x:c r="E24" t="str">
        <x:v>Documentation</x:v>
      </x:c>
      <x:c r="F24" t="str">
        <x:v>Prepared</x:v>
      </x:c>
      <x:c r="G24" t="str">
        <x:v>Tracked</x:v>
      </x:c>
      <x:c r="H24" t="str">
        <x:v>Replace v0.3.1 current files after integration</x:v>
      </x:c>
    </x:row>
  </x:sheetData>
  <x:conditionalFormatting sqref="G2:G15">
    <x:cfRule type="expression" dxfId="3" priority="1">
      <x:formula>G2="Debt"</x:formula>
    </x:cfRule>
  </x:conditionalFormatting>
  <x:dataValidations count="2">
    <x:dataValidation type="list" sqref="F2:F15">
      <x:formula1>"Complete,In progress,Deferred,Missing"</x:formula1>
    </x:dataValidation>
    <x:dataValidation type="list" sqref="G2:G15">
      <x:formula1>"Tracked,Debt,Not tracked"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69bb3ebead4e5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0" hidden="0" customWidth="1"/>
    <x:col min="3" max="3" width="18" hidden="0" customWidth="1"/>
    <x:col min="4" max="4" width="13" hidden="0" customWidth="1"/>
    <x:col min="5" max="5" width="13" hidden="0" customWidth="1"/>
    <x:col min="6" max="6" width="48" hidden="0" customWidth="1"/>
    <x:col min="7" max="7" width="14" hidden="0" customWidth="1"/>
    <x:col min="8" max="8" width="22" hidden="0" customWidth="1"/>
  </x:cols>
  <x:sheetData>
    <x:row r="1">
      <x:c r="A1" s="20" t="str">
        <x:v>ID</x:v>
      </x:c>
      <x:c r="B1" s="20" t="str">
        <x:v>Risk</x:v>
      </x:c>
      <x:c r="C1" s="20" t="str">
        <x:v>Area</x:v>
      </x:c>
      <x:c r="D1" s="20" t="str">
        <x:v>Probability</x:v>
      </x:c>
      <x:c r="E1" s="20" t="str">
        <x:v>Impact</x:v>
      </x:c>
      <x:c r="F1" s="20" t="str">
        <x:v>Mitigation</x:v>
      </x:c>
      <x:c r="G1" s="20" t="str">
        <x:v>Status</x:v>
      </x:c>
      <x:c r="H1" s="20" t="str">
        <x:v>Owner / Review</x:v>
      </x:c>
    </x:row>
    <x:row r="2">
      <x:c r="A2" s="35" t="str">
        <x:v>R-S0-001</x:v>
      </x:c>
      <x:c r="B2" s="35" t="str">
        <x:v>Operational documents diverge from implementation</x:v>
      </x:c>
      <x:c r="C2" s="35" t="str">
        <x:v>Documentation</x:v>
      </x:c>
      <x:c r="D2" s="35" t="str">
        <x:v>Low</x:v>
      </x:c>
      <x:c r="E2" s="35" t="str">
        <x:v>High</x:v>
      </x:c>
      <x:c r="F2" s="35" t="str">
        <x:v>Update operational workbooks at block start and closure</x:v>
      </x:c>
      <x:c r="G2" s="35" t="str">
        <x:v>Mitigated</x:v>
      </x:c>
      <x:c r="H2" s="35" t="str">
        <x:v>Continuous</x:v>
      </x:c>
    </x:row>
    <x:row r="3">
      <x:c r="A3" s="35" t="str">
        <x:v>R-S0-002</x:v>
      </x:c>
      <x:c r="B3" s="35" t="str">
        <x:v>Unused template packages expand dependencies</x:v>
      </x:c>
      <x:c r="C3" s="35" t="str">
        <x:v>Technical</x:v>
      </x:c>
      <x:c r="D3" s="35" t="str">
        <x:v>Medium</x:v>
      </x:c>
      <x:c r="E3" s="35" t="str">
        <x:v>Medium</x:v>
      </x:c>
      <x:c r="F3" s="35" t="str">
        <x:v>Review package list; remove only through Package Manager with regression check</x:v>
      </x:c>
      <x:c r="G3" s="35" t="str">
        <x:v>Open</x:v>
      </x:c>
      <x:c r="H3" s="35" t="str">
        <x:v>Before S0.7 or S0.10</x:v>
      </x:c>
    </x:row>
    <x:row r="4">
      <x:c r="A4" s="35" t="str">
        <x:v>R-S0-003</x:v>
      </x:c>
      <x:c r="B4" s="35" t="str">
        <x:v>Baseline documents are edited silently</x:v>
      </x:c>
      <x:c r="C4" s="35" t="str">
        <x:v>Governance</x:v>
      </x:c>
      <x:c r="D4" s="35" t="str">
        <x:v>Low</x:v>
      </x:c>
      <x:c r="E4" s="35" t="str">
        <x:v>High</x:v>
      </x:c>
      <x:c r="F4" s="35" t="str">
        <x:v>Keep 00_Official_Baseline immutable; update only operational copies</x:v>
      </x:c>
      <x:c r="G4" s="35" t="str">
        <x:v>Mitigated</x:v>
      </x:c>
      <x:c r="H4" s="35" t="str">
        <x:v>Continuous</x:v>
      </x:c>
    </x:row>
    <x:row r="5">
      <x:c r="A5" s="35" t="str">
        <x:v>R-S0-004</x:v>
      </x:c>
      <x:c r="B5" s="35" t="str">
        <x:v>Environment record remains incomplete</x:v>
      </x:c>
      <x:c r="C5" s="35" t="str">
        <x:v>Documentation</x:v>
      </x:c>
      <x:c r="D5" s="35" t="str">
        <x:v>Medium</x:v>
      </x:c>
      <x:c r="E5" s="35" t="str">
        <x:v>Low</x:v>
      </x:c>
      <x:c r="F5" s="35" t="str">
        <x:v>Complete manually before S0.10</x:v>
      </x:c>
      <x:c r="G5" s="35" t="str">
        <x:v>Accepted</x:v>
      </x:c>
      <x:c r="H5" s="35" t="str">
        <x:v>S0.10</x:v>
      </x:c>
    </x:row>
    <x:row r="6">
      <x:c r="A6" s="35" t="str">
        <x:v>R-S0-005</x:v>
      </x:c>
      <x:c r="B6" s="35" t="str">
        <x:v>GitHub public visibility exposes internal documentation</x:v>
      </x:c>
      <x:c r="C6" s="35" t="str">
        <x:v>Repository</x:v>
      </x:c>
      <x:c r="D6" s="35" t="str">
        <x:v>Medium</x:v>
      </x:c>
      <x:c r="E6" s="35" t="str">
        <x:v>Medium</x:v>
      </x:c>
      <x:c r="F6" s="35" t="str">
        <x:v>Review visibility and sensitive content before future releases</x:v>
      </x:c>
      <x:c r="G6" s="35" t="str">
        <x:v>Open</x:v>
      </x:c>
      <x:c r="H6" s="35" t="str">
        <x:v>Owner decision</x:v>
      </x:c>
    </x:row>
    <x:row r="7">
      <x:c r="A7" s="35" t="str">
        <x:v>R-S0-006</x:v>
      </x:c>
      <x:c r="B7" s="35" t="str">
        <x:v>Assembly meta rename may obscure provenance</x:v>
      </x:c>
      <x:c r="C7" s="35" t="str">
        <x:v>Technical</x:v>
      </x:c>
      <x:c r="D7" s="35" t="str">
        <x:v>Low</x:v>
      </x:c>
      <x:c r="E7" s="35" t="str">
        <x:v>Low</x:v>
      </x:c>
      <x:c r="F7" s="35" t="str">
        <x:v>Unity compilation and GUID validity already confirmed by developer</x:v>
      </x:c>
      <x:c r="G7" s="35" t="str">
        <x:v>Mitigated</x:v>
      </x:c>
      <x:c r="H7" s="35" t="str">
        <x:v>S0.6</x:v>
      </x:c>
    </x:row>
    <x:row r="8">
      <x:c r="A8" t="str">
        <x:v>R-S0-007</x:v>
      </x:c>
      <x:c r="B8" t="str">
        <x:v>Scene assets created or copied outside Unity produce invalid metadata</x:v>
      </x:c>
      <x:c r="C8" t="str">
        <x:v>Technical</x:v>
      </x:c>
      <x:c r="D8" t="str">
        <x:v>Low</x:v>
      </x:c>
      <x:c r="E8" t="str">
        <x:v>High</x:v>
      </x:c>
      <x:c r="F8" t="str">
        <x:v>Create and save every scene in Unity; never copy generated scene/meta templates</x:v>
      </x:c>
      <x:c r="G8" t="str">
        <x:v>Mitigated</x:v>
      </x:c>
      <x:c r="H8" t="str">
        <x:v>S0.7</x:v>
      </x:c>
    </x:row>
    <x:row r="9">
      <x:c r="A9" t="str">
        <x:v>R-S0-008</x:v>
      </x:c>
      <x:c r="B9" t="str">
        <x:v>Global Scene List has wrong order or disabled entries</x:v>
      </x:c>
      <x:c r="C9" t="str">
        <x:v>Build</x:v>
      </x:c>
      <x:c r="D9" t="str">
        <x:v>Medium</x:v>
      </x:c>
      <x:c r="E9" t="str">
        <x:v>High</x:v>
      </x:c>
      <x:c r="F9" t="str">
        <x:v>Capture Scene List evidence and verify exact indices 0–3</x:v>
      </x:c>
      <x:c r="G9" t="str">
        <x:v>Open</x:v>
      </x:c>
      <x:c r="H9" t="str">
        <x:v>S0.7</x:v>
      </x:c>
    </x:row>
  </x:sheetData>
  <x:conditionalFormatting sqref="G2:G7">
    <x:cfRule type="expression" dxfId="4" priority="1">
      <x:formula>G2="Open"</x:formula>
    </x:cfRule>
  </x:conditionalFormatting>
  <x:dataValidations count="2">
    <x:dataValidation type="list" sqref="D2:E7">
      <x:formula1>"Low,Medium,High,Critical"</x:formula1>
    </x:dataValidation>
    <x:dataValidation type="list" sqref="G2:G7">
      <x:formula1>"Open,Mitigated,Accepted,Closed"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e7e1c8435d416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8" hidden="0" customWidth="1"/>
    <x:col min="3" max="3" width="14" hidden="0" customWidth="1"/>
    <x:col min="4" max="4" width="14" hidden="0" customWidth="1"/>
    <x:col min="5" max="5" width="22" hidden="0" customWidth="1"/>
    <x:col min="6" max="6" width="48" hidden="0" customWidth="1"/>
    <x:col min="7" max="7" width="48" hidden="0" customWidth="1"/>
  </x:cols>
  <x:sheetData>
    <x:row r="1">
      <x:c r="A1" s="20" t="str">
        <x:v>ADR</x:v>
      </x:c>
      <x:c r="B1" s="20" t="str">
        <x:v>Decision</x:v>
      </x:c>
      <x:c r="C1" s="20" t="str">
        <x:v>Status</x:v>
      </x:c>
      <x:c r="D1" s="20" t="str">
        <x:v>Date</x:v>
      </x:c>
      <x:c r="E1" s="20" t="str">
        <x:v>Scope</x:v>
      </x:c>
      <x:c r="F1" s="20" t="str">
        <x:v>Consequence</x:v>
      </x:c>
      <x:c r="G1" s="20" t="str">
        <x:v>Document</x:v>
      </x:c>
    </x:row>
    <x:row r="2">
      <x:c r="A2" s="35" t="str">
        <x:v>ADR-0001</x:v>
      </x:c>
      <x:c r="B2" s="35" t="str">
        <x:v>Use Unity 6.3 LTS 6000.3.18f1, URP and resolved Released packages</x:v>
      </x:c>
      <x:c r="C2" s="35" t="str">
        <x:v>Accepted</x:v>
      </x:c>
      <x:c r="D2" s="35" t="str">
        <x:v>2026-06-21</x:v>
      </x:c>
      <x:c r="E2" s="35" t="str">
        <x:v>Toolchain / Packages</x:v>
      </x:c>
      <x:c r="F2" s="35" t="str">
        <x:v>Upgrades require validation and traceability</x:v>
      </x:c>
      <x:c r="G2" s="35" t="str">
        <x:v>ADR/ADR-0001-Unity-and-Package-Baseline.md</x:v>
      </x:c>
    </x:row>
    <x:row r="3">
      <x:c r="A3" s="35" t="str">
        <x:v>ADR-0002</x:v>
      </x:c>
      <x:c r="B3" s="35" t="str">
        <x:v>Use GitHub Desktop and main branch for the solo workflow</x:v>
      </x:c>
      <x:c r="C3" s="35" t="str">
        <x:v>Accepted</x:v>
      </x:c>
      <x:c r="D3" s="35" t="str">
        <x:v>2026-06-21</x:v>
      </x:c>
      <x:c r="E3" s="35" t="str">
        <x:v>Version control</x:v>
      </x:c>
      <x:c r="F3" s="35" t="str">
        <x:v>No PowerShell required for daily Git operations</x:v>
      </x:c>
      <x:c r="G3" s="35" t="str">
        <x:v>ADR/ADR-0002-Version-Control-and-Repository-Workflow.md</x:v>
      </x:c>
    </x:row>
    <x:row r="4">
      <x:c r="A4" s="35" t="str">
        <x:v>ADR-0003</x:v>
      </x:c>
      <x:c r="B4" s="35" t="str">
        <x:v>Keep official v0.3 baseline immutable and add operational tracking copies</x:v>
      </x:c>
      <x:c r="C4" s="35" t="str">
        <x:v>Accepted</x:v>
      </x:c>
      <x:c r="D4" s="35" t="str">
        <x:v>2026-06-21</x:v>
      </x:c>
      <x:c r="E4" s="35" t="str">
        <x:v>Documentation</x:v>
      </x:c>
      <x:c r="F4" s="35" t="str">
        <x:v>Implemented state no longer overwrites baseline evidence</x:v>
      </x:c>
      <x:c r="G4" s="35" t="str">
        <x:v>ADR/ADR-0003-Documentation-Baseline-and-Operational-Layer.md</x:v>
      </x:c>
    </x:row>
    <x:row r="5">
      <x:c r="A5" s="35" t="str">
        <x:v>ADR-0004</x:v>
      </x:c>
      <x:c r="B5" s="35" t="str">
        <x:v>Use Domain, Application, Infrastructure, Presentation and two test assemblies</x:v>
      </x:c>
      <x:c r="C5" s="35" t="str">
        <x:v>Accepted</x:v>
      </x:c>
      <x:c r="D5" s="35" t="str">
        <x:v>2026-06-21</x:v>
      </x:c>
      <x:c r="E5" s="35" t="str">
        <x:v>Architecture</x:v>
      </x:c>
      <x:c r="F5" s="35" t="str">
        <x:v>Domain/Application remain independent of Unity</x:v>
      </x:c>
      <x:c r="G5" s="35" t="str">
        <x:v>ADR/ADR-0004-Assembly-Dependency-Boundaries.md</x:v>
      </x:c>
    </x:row>
    <x:row r="6">
      <x:c r="A6" t="str">
        <x:v>ADR-0005</x:v>
      </x:c>
      <x:c r="B6" t="str">
        <x:v>Use Bootstrap, MainMenu, Store and TestLab with a fixed global build order</x:v>
      </x:c>
      <x:c r="C6" t="str">
        <x:v>Accepted</x:v>
      </x:c>
      <x:c r="D6" t="str">
        <x:v>2026-06-21</x:v>
      </x:c>
      <x:c r="E6" t="str">
        <x:v>Scenes / Build</x:v>
      </x:c>
      <x:c r="F6" t="str">
        <x:v>Bootstrap is index 0; TestLab remains development-only in future distribution profiles</x:v>
      </x:c>
      <x:c r="G6" t="str">
        <x:v>ADR/ADR-0005-Scene-Baseline-and-Build-Order.md</x:v>
      </x:c>
    </x:row>
  </x:sheetData>
  <x:pageMargins left="0.7" right="0.7" top="0.75" bottom="0.75" header="0.3" footer="0.3"/>
  <x:tableParts count="1">
    <x:tablePart xmlns:r="http://schemas.openxmlformats.org/officeDocument/2006/relationships" r:id="Rd4048b185d844d5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4" hidden="0" customWidth="1"/>
    <x:col min="4" max="4" width="18" hidden="0" customWidth="1"/>
    <x:col min="5" max="5" width="18" hidden="0" customWidth="1"/>
    <x:col min="6" max="6" width="48" hidden="0" customWidth="1"/>
    <x:col min="7" max="7" width="26" hidden="0" customWidth="1"/>
  </x:cols>
  <x:sheetData>
    <x:row r="1">
      <x:c r="A1" s="20" t="str">
        <x:v>Package</x:v>
      </x:c>
      <x:c r="B1" s="20" t="str">
        <x:v>ID</x:v>
      </x:c>
      <x:c r="C1" s="20" t="str">
        <x:v>Version</x:v>
      </x:c>
      <x:c r="D1" s="20" t="str">
        <x:v>Required for slice</x:v>
      </x:c>
      <x:c r="E1" s="20" t="str">
        <x:v>Current decision</x:v>
      </x:c>
      <x:c r="F1" s="20" t="str">
        <x:v>Action</x:v>
      </x:c>
      <x:c r="G1" s="20" t="str">
        <x:v>Source</x:v>
      </x:c>
    </x:row>
    <x:row r="2">
      <x:c r="A2" s="35" t="str">
        <x:v>AI Navigation</x:v>
      </x:c>
      <x:c r="B2" s="35" t="str">
        <x:v>com.unity.ai.navigation</x:v>
      </x:c>
      <x:c r="C2" s="35" t="str">
        <x:v>2.0.13</x:v>
      </x:c>
      <x:c r="D2" s="35" t="str">
        <x:v>Yes</x:v>
      </x:c>
      <x:c r="E2" s="35" t="str">
        <x:v>Keep</x:v>
      </x:c>
      <x:c r="F2" s="35" t="str">
        <x:v>None</x:v>
      </x:c>
      <x:c r="G2" s="35" t="str">
        <x:v>Packages/manifest.json</x:v>
      </x:c>
    </x:row>
    <x:row r="3">
      <x:c r="A3" s="35" t="str">
        <x:v>Rider Editor</x:v>
      </x:c>
      <x:c r="B3" s="35" t="str">
        <x:v>com.unity.ide.rider</x:v>
      </x:c>
      <x:c r="C3" s="35" t="str">
        <x:v>3.0.40</x:v>
      </x:c>
      <x:c r="D3" s="35" t="str">
        <x:v>No</x:v>
      </x:c>
      <x:c r="E3" s="35" t="str">
        <x:v>Optional</x:v>
      </x:c>
      <x:c r="F3" s="35" t="str">
        <x:v>Can keep or remove if unused</x:v>
      </x:c>
      <x:c r="G3" s="35" t="str">
        <x:v>Packages/manifest.json</x:v>
      </x:c>
    </x:row>
    <x:row r="4">
      <x:c r="A4" s="35" t="str">
        <x:v>Visual Studio Editor</x:v>
      </x:c>
      <x:c r="B4" s="35" t="str">
        <x:v>com.unity.ide.visualstudio</x:v>
      </x:c>
      <x:c r="C4" s="35" t="str">
        <x:v>2.0.26</x:v>
      </x:c>
      <x:c r="D4" s="35" t="str">
        <x:v>Yes</x:v>
      </x:c>
      <x:c r="E4" s="35" t="str">
        <x:v>Keep</x:v>
      </x:c>
      <x:c r="F4" s="35" t="str">
        <x:v>None</x:v>
      </x:c>
      <x:c r="G4" s="35" t="str">
        <x:v>Packages/manifest.json</x:v>
      </x:c>
    </x:row>
    <x:row r="5">
      <x:c r="A5" s="35" t="str">
        <x:v>Input System</x:v>
      </x:c>
      <x:c r="B5" s="35" t="str">
        <x:v>com.unity.inputsystem</x:v>
      </x:c>
      <x:c r="C5" s="35" t="str">
        <x:v>1.19.0</x:v>
      </x:c>
      <x:c r="D5" s="35" t="str">
        <x:v>Yes</x:v>
      </x:c>
      <x:c r="E5" s="35" t="str">
        <x:v>Keep</x:v>
      </x:c>
      <x:c r="F5" s="35" t="str">
        <x:v>None</x:v>
      </x:c>
      <x:c r="G5" s="35" t="str">
        <x:v>Packages/manifest.json</x:v>
      </x:c>
    </x:row>
    <x:row r="6">
      <x:c r="A6" s="35" t="str">
        <x:v>Localization</x:v>
      </x:c>
      <x:c r="B6" s="35" t="str">
        <x:v>com.unity.localization</x:v>
      </x:c>
      <x:c r="C6" s="35" t="str">
        <x:v>1.5.12</x:v>
      </x:c>
      <x:c r="D6" s="35" t="str">
        <x:v>Yes</x:v>
      </x:c>
      <x:c r="E6" s="35" t="str">
        <x:v>Keep</x:v>
      </x:c>
      <x:c r="F6" s="35" t="str">
        <x:v>None</x:v>
      </x:c>
      <x:c r="G6" s="35" t="str">
        <x:v>Packages/manifest.json</x:v>
      </x:c>
    </x:row>
    <x:row r="7">
      <x:c r="A7" s="35" t="str">
        <x:v>Universal RP</x:v>
      </x:c>
      <x:c r="B7" s="35" t="str">
        <x:v>com.unity.render-pipelines.universal</x:v>
      </x:c>
      <x:c r="C7" s="35" t="str">
        <x:v>17.3.0</x:v>
      </x:c>
      <x:c r="D7" s="35" t="str">
        <x:v>Yes</x:v>
      </x:c>
      <x:c r="E7" s="35" t="str">
        <x:v>Keep</x:v>
      </x:c>
      <x:c r="F7" s="35" t="str">
        <x:v>None</x:v>
      </x:c>
      <x:c r="G7" s="35" t="str">
        <x:v>Packages/manifest.json</x:v>
      </x:c>
    </x:row>
    <x:row r="8">
      <x:c r="A8" s="35" t="str">
        <x:v>Test Framework</x:v>
      </x:c>
      <x:c r="B8" s="35" t="str">
        <x:v>com.unity.test-framework</x:v>
      </x:c>
      <x:c r="C8" s="35" t="str">
        <x:v>1.6.0</x:v>
      </x:c>
      <x:c r="D8" s="35" t="str">
        <x:v>Yes</x:v>
      </x:c>
      <x:c r="E8" s="35" t="str">
        <x:v>Keep</x:v>
      </x:c>
      <x:c r="F8" s="35" t="str">
        <x:v>None</x:v>
      </x:c>
      <x:c r="G8" s="35" t="str">
        <x:v>Packages/manifest.json</x:v>
      </x:c>
    </x:row>
    <x:row r="9">
      <x:c r="A9" s="35" t="str">
        <x:v>Unity UI</x:v>
      </x:c>
      <x:c r="B9" s="35" t="str">
        <x:v>com.unity.ugui</x:v>
      </x:c>
      <x:c r="C9" s="35" t="str">
        <x:v>2.0.0</x:v>
      </x:c>
      <x:c r="D9" s="35" t="str">
        <x:v>Yes</x:v>
      </x:c>
      <x:c r="E9" s="35" t="str">
        <x:v>Keep</x:v>
      </x:c>
      <x:c r="F9" s="35" t="str">
        <x:v>None</x:v>
      </x:c>
      <x:c r="G9" s="35" t="str">
        <x:v>Packages/manifest.json</x:v>
      </x:c>
    </x:row>
    <x:row r="10">
      <x:c r="A10" s="35" t="str">
        <x:v>Collab Proxy</x:v>
      </x:c>
      <x:c r="B10" s="35" t="str">
        <x:v>com.unity.collab-proxy</x:v>
      </x:c>
      <x:c r="C10" s="35" t="str">
        <x:v>2.12.4</x:v>
      </x:c>
      <x:c r="D10" s="35" t="str">
        <x:v>No</x:v>
      </x:c>
      <x:c r="E10" s="35" t="str">
        <x:v>Review</x:v>
      </x:c>
      <x:c r="F10" s="35" t="str">
        <x:v>Remove through Package Manager if no dependency blocks it</x:v>
      </x:c>
      <x:c r="G10" s="35" t="str">
        <x:v>Packages/manifest.json</x:v>
      </x:c>
    </x:row>
    <x:row r="11">
      <x:c r="A11" s="35" t="str">
        <x:v>Multiplayer Center</x:v>
      </x:c>
      <x:c r="B11" s="35" t="str">
        <x:v>com.unity.multiplayer.center</x:v>
      </x:c>
      <x:c r="C11" s="35" t="str">
        <x:v>1.0.1</x:v>
      </x:c>
      <x:c r="D11" s="35" t="str">
        <x:v>No</x:v>
      </x:c>
      <x:c r="E11" s="35" t="str">
        <x:v>Review</x:v>
      </x:c>
      <x:c r="F11" s="35" t="str">
        <x:v>Remove through Package Manager</x:v>
      </x:c>
      <x:c r="G11" s="35" t="str">
        <x:v>Packages/manifest.json</x:v>
      </x:c>
    </x:row>
    <x:row r="12">
      <x:c r="A12" s="35" t="str">
        <x:v>Visual Scripting</x:v>
      </x:c>
      <x:c r="B12" s="35" t="str">
        <x:v>com.unity.visualscripting</x:v>
      </x:c>
      <x:c r="C12" s="35" t="str">
        <x:v>1.9.11</x:v>
      </x:c>
      <x:c r="D12" s="35" t="str">
        <x:v>No</x:v>
      </x:c>
      <x:c r="E12" s="35" t="str">
        <x:v>Review</x:v>
      </x:c>
      <x:c r="F12" s="35" t="str">
        <x:v>Remove through Package Manager</x:v>
      </x:c>
      <x:c r="G12" s="35" t="str">
        <x:v>Packages/manifest.json</x:v>
      </x:c>
    </x:row>
    <x:row r="13">
      <x:c r="A13" s="35" t="str">
        <x:v>Timeline</x:v>
      </x:c>
      <x:c r="B13" s="35" t="str">
        <x:v>com.unity.timeline</x:v>
      </x:c>
      <x:c r="C13" s="35" t="str">
        <x:v>1.8.12</x:v>
      </x:c>
      <x:c r="D13" s="35" t="str">
        <x:v>No</x:v>
      </x:c>
      <x:c r="E13" s="35" t="str">
        <x:v>Review</x:v>
      </x:c>
      <x:c r="F13" s="35" t="str">
        <x:v>Keep only if a near-term use is identified</x:v>
      </x:c>
      <x:c r="G13" s="35" t="str">
        <x:v>Packages/manifest.json</x:v>
      </x:c>
    </x:row>
  </x:sheetData>
  <x:conditionalFormatting sqref="D2:E13">
    <x:cfRule type="expression" dxfId="5" priority="1">
      <x:formula>D2="No"</x:formula>
    </x:cfRule>
  </x:conditionalFormatting>
  <x:conditionalFormatting sqref="E2:E13">
    <x:cfRule type="expression" dxfId="6" priority="2">
      <x:formula>E2="Review"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79f6c63fa4a4cf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35" hidden="0" customWidth="1"/>
    <x:col min="4" max="4" width="30" hidden="0" customWidth="1"/>
    <x:col min="5" max="5" width="48" hidden="0" customWidth="1"/>
    <x:col min="6" max="6" width="48" hidden="0" customWidth="1"/>
    <x:col min="7" max="7" width="24" hidden="0" customWidth="1"/>
  </x:cols>
  <x:sheetData>
    <x:row r="1">
      <x:c r="A1" s="20" t="str">
        <x:v>Date</x:v>
      </x:c>
      <x:c r="B1" s="20" t="str">
        <x:v>Sprint</x:v>
      </x:c>
      <x:c r="C1" s="20" t="str">
        <x:v>Completed</x:v>
      </x:c>
      <x:c r="D1" s="20" t="str">
        <x:v>In progress</x:v>
      </x:c>
      <x:c r="E1" s="20" t="str">
        <x:v>Risks / blockers</x:v>
      </x:c>
      <x:c r="F1" s="20" t="str">
        <x:v>Decisions</x:v>
      </x:c>
      <x:c r="G1" s="20" t="str">
        <x:v>Next review</x:v>
      </x:c>
    </x:row>
    <x:row r="2">
      <x:c r="A2" s="35" t="str">
        <x:v>2026-06-21</x:v>
      </x:c>
      <x:c r="B2" s="35" t="str">
        <x:v>Sprint 0</x:v>
      </x:c>
      <x:c r="C2" s="35" t="str">
        <x:v>S0.1–S0.6</x:v>
      </x:c>
      <x:c r="D2" s="35" t="str">
        <x:v>S0.6D</x:v>
      </x:c>
      <x:c r="E2" s="35" t="str">
        <x:v>Documentation and tracking were behind implementation</x:v>
      </x:c>
      <x:c r="F2" s="35" t="str">
        <x:v>Create operational tracking layer</x:v>
      </x:c>
      <x:c r="G2" s="35" t="str">
        <x:v>After S0.6D integration</x:v>
      </x:c>
    </x:row>
    <x:row r="3">
      <x:c r="A3" s="35" t="str">
        <x:v>2026-06-21</x:v>
      </x:c>
      <x:c r="B3" s="35" t="str">
        <x:v>Sprint 0</x:v>
      </x:c>
      <x:c r="C3" s="35" t="str">
        <x:v>S0.6D</x:v>
      </x:c>
      <x:c r="D3" s="35" t="str">
        <x:v>S0.7</x:v>
      </x:c>
      <x:c r="E3" s="35" t="str">
        <x:v>Scene assets and Scene List not yet created</x:v>
      </x:c>
      <x:c r="F3" s="35" t="str">
        <x:v>Freeze four scene names and exact order through ADR-0005</x:v>
      </x:c>
      <x:c r="G3" s="35" t="str">
        <x:v>After S0.7 local validation</x:v>
      </x:c>
    </x:row>
    <x:row r="4">
      <x:c r="A4" s="35"/>
      <x:c r="B4" s="35"/>
      <x:c r="C4" s="35"/>
      <x:c r="D4" s="35"/>
      <x:c r="E4" s="35"/>
      <x:c r="F4" s="35"/>
      <x:c r="G4" s="35"/>
    </x:row>
    <x:row r="5">
      <x:c r="A5" s="35"/>
      <x:c r="B5" s="35"/>
      <x:c r="C5" s="35"/>
      <x:c r="D5" s="35"/>
      <x:c r="E5" s="35"/>
      <x:c r="F5" s="35"/>
      <x:c r="G5" s="35"/>
    </x:row>
    <x:row r="6">
      <x:c r="A6" s="35"/>
      <x:c r="B6" s="35"/>
      <x:c r="C6" s="35"/>
      <x:c r="D6" s="35"/>
      <x:c r="E6" s="35"/>
      <x:c r="F6" s="35"/>
      <x:c r="G6" s="35"/>
    </x:row>
    <x:row r="7">
      <x:c r="A7" s="35"/>
      <x:c r="B7" s="35"/>
      <x:c r="C7" s="35"/>
      <x:c r="D7" s="35"/>
      <x:c r="E7" s="35"/>
      <x:c r="F7" s="35"/>
      <x:c r="G7" s="35"/>
    </x:row>
    <x:row r="8">
      <x:c r="A8" s="35"/>
      <x:c r="B8" s="35"/>
      <x:c r="C8" s="35"/>
      <x:c r="D8" s="35"/>
      <x:c r="E8" s="35"/>
      <x:c r="F8" s="35"/>
      <x:c r="G8" s="35"/>
    </x:row>
    <x:row r="9">
      <x:c r="A9" s="35"/>
      <x:c r="B9" s="35"/>
      <x:c r="C9" s="35"/>
      <x:c r="D9" s="35"/>
      <x:c r="E9" s="35"/>
      <x:c r="F9" s="35"/>
      <x:c r="G9" s="35"/>
    </x:row>
    <x:row r="10">
      <x:c r="A10" s="35"/>
      <x:c r="B10" s="35"/>
      <x:c r="C10" s="35"/>
      <x:c r="D10" s="35"/>
      <x:c r="E10" s="35"/>
      <x:c r="F10" s="35"/>
      <x:c r="G10" s="35"/>
    </x:row>
    <x:row r="11">
      <x:c r="A11" s="35"/>
      <x:c r="B11" s="35"/>
      <x:c r="C11" s="35"/>
      <x:c r="D11" s="35"/>
      <x:c r="E11" s="35"/>
      <x:c r="F11" s="35"/>
      <x:c r="G11" s="35"/>
    </x:row>
    <x:row r="12">
      <x:c r="A12" s="35"/>
      <x:c r="B12" s="35"/>
      <x:c r="C12" s="35"/>
      <x:c r="D12" s="35"/>
      <x:c r="E12" s="35"/>
      <x:c r="F12" s="35"/>
      <x:c r="G12" s="35"/>
    </x:row>
    <x:row r="13">
      <x:c r="A13" s="35"/>
      <x:c r="B13" s="35"/>
      <x:c r="C13" s="35"/>
      <x:c r="D13" s="35"/>
      <x:c r="E13" s="35"/>
      <x:c r="F13" s="35"/>
      <x:c r="G13" s="35"/>
    </x:row>
    <x:row r="14">
      <x:c r="A14" s="35"/>
      <x:c r="B14" s="35"/>
      <x:c r="C14" s="35"/>
      <x:c r="D14" s="35"/>
      <x:c r="E14" s="35"/>
      <x:c r="F14" s="35"/>
      <x:c r="G14" s="35"/>
    </x:row>
    <x:row r="15">
      <x:c r="A15" s="35"/>
      <x:c r="B15" s="35"/>
      <x:c r="C15" s="35"/>
      <x:c r="D15" s="35"/>
      <x:c r="E15" s="35"/>
      <x:c r="F15" s="35"/>
      <x:c r="G15" s="35"/>
    </x:row>
    <x:row r="16">
      <x:c r="A16" s="35"/>
      <x:c r="B16" s="35"/>
      <x:c r="C16" s="35"/>
      <x:c r="D16" s="35"/>
      <x:c r="E16" s="35"/>
      <x:c r="F16" s="35"/>
      <x:c r="G16" s="35"/>
    </x:row>
    <x:row r="17">
      <x:c r="A17" s="35"/>
      <x:c r="B17" s="35"/>
      <x:c r="C17" s="35"/>
      <x:c r="D17" s="35"/>
      <x:c r="E17" s="35"/>
      <x:c r="F17" s="35"/>
      <x:c r="G17" s="35"/>
    </x:row>
    <x:row r="18">
      <x:c r="A18" s="35"/>
      <x:c r="B18" s="35"/>
      <x:c r="C18" s="35"/>
      <x:c r="D18" s="35"/>
      <x:c r="E18" s="35"/>
      <x:c r="F18" s="35"/>
      <x:c r="G18" s="35"/>
    </x:row>
    <x:row r="19">
      <x:c r="A19" s="35"/>
      <x:c r="B19" s="35"/>
      <x:c r="C19" s="35"/>
      <x:c r="D19" s="35"/>
      <x:c r="E19" s="35"/>
      <x:c r="F19" s="35"/>
      <x:c r="G19" s="35"/>
    </x:row>
    <x:row r="20">
      <x:c r="A20" s="35"/>
      <x:c r="B20" s="35"/>
      <x:c r="C20" s="35"/>
      <x:c r="D20" s="35"/>
      <x:c r="E20" s="35"/>
      <x:c r="F20" s="35"/>
      <x:c r="G20" s="35"/>
    </x:row>
  </x:sheetData>
  <x:pageMargins left="0.7" right="0.7" top="0.75" bottom="0.75" header="0.3" footer="0.3"/>
  <x:tableParts count="1">
    <x:tablePart xmlns:r="http://schemas.openxmlformats.org/officeDocument/2006/relationships" r:id="R0ff406b8452345b4"/>
  </x:tableParts>
</x:worksheet>
</file>