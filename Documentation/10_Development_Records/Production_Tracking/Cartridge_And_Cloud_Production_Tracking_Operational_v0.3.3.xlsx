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d729286e7c24250" /></Relationships>
</file>

<file path=xl/workbook.xml><?xml version="1.0" encoding="utf-8"?>
<x:workbook xmlns:x="http://schemas.openxmlformats.org/spreadsheetml/2006/main">
  <x:sheets>
    <x:sheet xmlns:r="http://schemas.openxmlformats.org/officeDocument/2006/relationships" name="Dashboard" sheetId="1" r:id="R809b51ffb37540c2"/>
    <x:sheet xmlns:r="http://schemas.openxmlformats.org/officeDocument/2006/relationships" name="Sprint_Status" sheetId="2" r:id="R6e2aaf8629854f2a"/>
    <x:sheet xmlns:r="http://schemas.openxmlformats.org/officeDocument/2006/relationships" name="Deliverables" sheetId="3" r:id="Rf8d1f5d87c10425b"/>
    <x:sheet xmlns:r="http://schemas.openxmlformats.org/officeDocument/2006/relationships" name="Risks" sheetId="4" r:id="Rcd661e7836ca4c92"/>
    <x:sheet xmlns:r="http://schemas.openxmlformats.org/officeDocument/2006/relationships" name="Decisions" sheetId="5" r:id="R39cc56e37a944303"/>
    <x:sheet xmlns:r="http://schemas.openxmlformats.org/officeDocument/2006/relationships" name="Package_Baseline" sheetId="6" r:id="R411029e6c1854fb0"/>
    <x:sheet xmlns:r="http://schemas.openxmlformats.org/officeDocument/2006/relationships" name="Weekly_Review" sheetId="7" r:id="R36a52ca48b3d4fc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6"/>
      <x:color rgb="FFFFFFFF"/>
      <x:name val="Carlito"/>
    </x:font>
    <x:font>
      <x:i/>
      <x:sz val="11"/>
      <x:color rgb="FF5B6660"/>
      <x:name val="Carlito"/>
    </x:font>
    <x:font>
      <x:b/>
      <x:sz val="11"/>
      <x:color rgb="FFFFFFFF"/>
      <x:name val="Carlito"/>
    </x:font>
    <x:font>
      <x:b/>
      <x:sz val="11"/>
      <x:color rgb="FF101716"/>
      <x:name val="Carlito"/>
    </x:font>
    <x:font>
      <x:b/>
      <x:sz val="12"/>
      <x:color rgb="FF008F46"/>
      <x:name val="Carlito"/>
    </x:font>
  </x:fonts>
  <x:fills count="7">
    <x:fill>
      <x:patternFill patternType="none"/>
    </x:fill>
    <x:fill>
      <x:patternFill patternType="gray125"/>
    </x:fill>
    <x:fill>
      <x:patternFill patternType="solid">
        <x:fgColor rgb="FF101716"/>
      </x:patternFill>
    </x:fill>
    <x:fill>
      <x:patternFill patternType="solid">
        <x:fgColor rgb="FFF3F5F4"/>
      </x:patternFill>
    </x:fill>
    <x:fill>
      <x:patternFill patternType="solid">
        <x:fgColor rgb="FF008F46"/>
      </x:patternFill>
    </x:fill>
    <x:fill>
      <x:patternFill patternType="solid">
        <x:fgColor rgb="FFDFF3E8"/>
      </x:patternFill>
    </x:fill>
    <x:fill>
      <x:patternFill patternType="solid">
        <x:fgColor rgb="FFFFFFFF"/>
      </x:patternFill>
    </x:fill>
  </x:fills>
  <x:borders count="2">
    <x:border/>
    <x:border/>
  </x:borders>
  <x:cellStyleXfs count="1">
    <x:xf numFmtId="0" fontId="0" fillId="0" borderId="0"/>
  </x:cellStyleXfs>
  <x:cellXfs count="5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x:xf numFmtId="0" fontId="4" fillId="0" borderId="0" xfId="0" applyNumberFormat="1" applyFont="1" applyFill="1" applyBorder="1"/>
    <x:xf numFmtId="0" fontId="4" fillId="0" borderId="1" xfId="0" applyNumberFormat="1" applyFont="1" applyFill="1" applyBorder="1"/>
    <x:xf numFmtId="0" fontId="5" fillId="0" borderId="0" xfId="0" applyNumberFormat="1" applyFont="1" applyFill="1" applyBorder="1"/>
    <x:xf numFmtId="200" fontId="5" fillId="0" borderId="0" xfId="0" applyNumberFormat="1" applyFont="1" applyFill="1" applyBorder="1"/>
    <x:xf numFmtId="0" fontId="5" fillId="0" borderId="1" xfId="0" applyNumberFormat="1" applyFont="1" applyFill="1" applyBorder="1"/>
    <x:xf numFmtId="200" fontId="5"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3" borderId="0" xfId="0" applyNumberFormat="1" applyFont="1" applyFill="1" applyBorder="1"/>
    <x:xf numFmtId="0" fontId="0" fillId="3" borderId="0" xfId="0" applyNumberFormat="1" applyFont="1" applyFill="1" applyBorder="1" applyAlignment="1">
      <x:alignment wrapText="1"/>
    </x:xf>
    <x:xf numFmtId="0" fontId="4" fillId="3" borderId="1" xfId="0" applyNumberFormat="1" applyFont="1" applyFill="1" applyBorder="1"/>
    <x:xf numFmtId="0" fontId="0" fillId="3"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left"/>
    </x:xf>
    <x:xf numFmtId="0" fontId="4" fillId="5" borderId="0" xfId="0" applyNumberFormat="1" applyFont="1" applyFill="1" applyBorder="1" applyAlignment="1">
      <x:alignment horizontal="lef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left"/>
    </x:xf>
    <x:xf numFmtId="0" fontId="4" fillId="5" borderId="1" xfId="0" applyNumberFormat="1" applyFont="1" applyFill="1" applyBorder="1" applyAlignment="1">
      <x:alignment horizontal="left" vertical="center"/>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0" fillId="6" borderId="1" xfId="0" applyNumberFormat="1" applyFont="1" applyFill="1" applyBorder="1"/>
    <x:xf numFmtId="0" fontId="0" fillId="6" borderId="1" xfId="0" applyNumberFormat="1" applyFont="1" applyFill="1" applyBorder="1" applyAlignment="1">
      <x:alignment wrapText="1"/>
    </x:xf>
    <x:xf numFmtId="0" fontId="0" fillId="6" borderId="1" xfId="0" applyNumberFormat="1" applyFont="1" applyFill="1" applyBorder="1" applyAlignment="1">
      <x:alignment vertical="top"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cellXfs>
  <x:cellStyles count="1">
    <x:cellStyle name="Normal" xfId="0"/>
  </x:cellStyles>
  <x:dxfs count="7">
    <x:dxf>
      <x:font>
        <x:b/>
        <x:color rgb="FF101716"/>
      </x:font>
      <x:fill>
        <x:patternFill>
          <x:bgColor rgb="FFDFF3E8"/>
        </x:patternFill>
      </x:fill>
    </x:dxf>
    <x:dxf>
      <x:font>
        <x:b/>
        <x:color rgb="FF101716"/>
      </x:font>
      <x:fill>
        <x:patternFill>
          <x:bgColor rgb="FFF6E7B0"/>
        </x:patternFill>
      </x:fill>
    </x:dxf>
    <x:dxf>
      <x:font>
        <x:color rgb="FF5B6660"/>
      </x:font>
      <x:fill>
        <x:patternFill>
          <x:bgColor rgb="FFF3F5F4"/>
        </x:patternFill>
      </x:fill>
    </x:dxf>
    <x:dxf>
      <x:font>
        <x:b/>
      </x:font>
      <x:fill>
        <x:patternFill>
          <x:bgColor rgb="FFF6E7B0"/>
        </x:patternFill>
      </x:fill>
    </x:dxf>
    <x:dxf>
      <x:font>
        <x:b/>
      </x:font>
      <x:fill>
        <x:patternFill>
          <x:bgColor rgb="FFF8D7DA"/>
        </x:patternFill>
      </x:fill>
    </x:dxf>
    <x:dxf>
      <x:fill>
        <x:patternFill>
          <x:bgColor rgb="FFF3F5F4"/>
        </x:patternFill>
      </x:fill>
    </x:dxf>
    <x:dxf>
      <x:font>
        <x:b/>
      </x:font>
      <x:fill>
        <x:patternFill>
          <x:bgColor rgb="FFF6E7B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575c89465cb4f30" /><Relationship Type="http://schemas.openxmlformats.org/officeDocument/2006/relationships/theme" Target="/xl/theme/theme1.xml" Id="R3ac78c8dbc8344f7" /><Relationship Type="http://schemas.openxmlformats.org/officeDocument/2006/relationships/sharedStrings" Target="/xl/sharedStrings.xml" Id="R6453adedf98f4a14" /><Relationship Type="http://schemas.openxmlformats.org/officeDocument/2006/relationships/worksheet" Target="/xl/worksheets/sheet1.xml" Id="R809b51ffb37540c2" /><Relationship Type="http://schemas.openxmlformats.org/officeDocument/2006/relationships/worksheet" Target="/xl/worksheets/sheet2.xml" Id="R6e2aaf8629854f2a" /><Relationship Type="http://schemas.openxmlformats.org/officeDocument/2006/relationships/worksheet" Target="/xl/worksheets/sheet3.xml" Id="Rf8d1f5d87c10425b" /><Relationship Type="http://schemas.openxmlformats.org/officeDocument/2006/relationships/worksheet" Target="/xl/worksheets/sheet4.xml" Id="Rcd661e7836ca4c92" /><Relationship Type="http://schemas.openxmlformats.org/officeDocument/2006/relationships/worksheet" Target="/xl/worksheets/sheet5.xml" Id="R39cc56e37a944303" /><Relationship Type="http://schemas.openxmlformats.org/officeDocument/2006/relationships/worksheet" Target="/xl/worksheets/sheet6.xml" Id="R411029e6c1854fb0" /><Relationship Type="http://schemas.openxmlformats.org/officeDocument/2006/relationships/worksheet" Target="/xl/worksheets/sheet7.xml" Id="R36a52ca48b3d4fca" /></Relationships>
</file>

<file path=xl/tables/table1.xml><?xml version="1.0" encoding="utf-8"?>
<x:table xmlns:x="http://schemas.openxmlformats.org/spreadsheetml/2006/main" id="1" name="SprintStatusTable" displayName="SprintStatusTable" ref="A1:H12" headerRowCount="1">
  <x:tableColumns count="8">
    <x:tableColumn id="1" name="Block"/>
    <x:tableColumn id="2" name="Name"/>
    <x:tableColumn id="3" name="Goal"/>
    <x:tableColumn id="4" name="Status"/>
    <x:tableColumn id="5" name="Progress"/>
    <x:tableColumn id="6" name="Validation"/>
    <x:tableColumn id="7" name="Evidence / Commit"/>
    <x:tableColumn id="8" name="Next action"/>
  </x:tableColumns>
  <x:tableStyleInfo name="TableStyleMedium2" showRowStripes="1"/>
</x:table>
</file>

<file path=xl/tables/table2.xml><?xml version="1.0" encoding="utf-8"?>
<x:table xmlns:x="http://schemas.openxmlformats.org/spreadsheetml/2006/main" id="2" name="DeliverablesTable" displayName="DeliverablesTable" ref="A1:H15" headerRowCount="1">
  <x:tableColumns count="8">
    <x:tableColumn id="1" name="ID"/>
    <x:tableColumn id="2" name="Block"/>
    <x:tableColumn id="3" name="Deliverable"/>
    <x:tableColumn id="4" name="Path / Reference"/>
    <x:tableColumn id="5" name="Type"/>
    <x:tableColumn id="6" name="State"/>
    <x:tableColumn id="7" name="Tracking"/>
    <x:tableColumn id="8" name="Notes"/>
  </x:tableColumns>
  <x:tableStyleInfo name="TableStyleMedium2" showRowStripes="1"/>
</x:table>
</file>

<file path=xl/tables/table3.xml><?xml version="1.0" encoding="utf-8"?>
<x:table xmlns:x="http://schemas.openxmlformats.org/spreadsheetml/2006/main" id="3" name="RisksTable" displayName="RisksTable" ref="A1:H7" headerRowCount="1">
  <x:tableColumns count="8">
    <x:tableColumn id="1" name="ID"/>
    <x:tableColumn id="2" name="Risk"/>
    <x:tableColumn id="3" name="Area"/>
    <x:tableColumn id="4" name="Probability"/>
    <x:tableColumn id="5" name="Impact"/>
    <x:tableColumn id="6" name="Mitigation"/>
    <x:tableColumn id="7" name="Status"/>
    <x:tableColumn id="8" name="Owner / Review"/>
  </x:tableColumns>
  <x:tableStyleInfo name="TableStyleMedium2" showRowStripes="1"/>
</x:table>
</file>

<file path=xl/tables/table4.xml><?xml version="1.0" encoding="utf-8"?>
<x:table xmlns:x="http://schemas.openxmlformats.org/spreadsheetml/2006/main" id="4" name="DecisionsTable" displayName="DecisionsTable" ref="A1:G5" headerRowCount="1">
  <x:tableColumns count="7">
    <x:tableColumn id="1" name="ADR"/>
    <x:tableColumn id="2" name="Decision"/>
    <x:tableColumn id="3" name="Status"/>
    <x:tableColumn id="4" name="Date"/>
    <x:tableColumn id="5" name="Scope"/>
    <x:tableColumn id="6" name="Consequence"/>
    <x:tableColumn id="7" name="Document"/>
  </x:tableColumns>
  <x:tableStyleInfo name="TableStyleMedium2" showRowStripes="1"/>
</x:table>
</file>

<file path=xl/tables/table5.xml><?xml version="1.0" encoding="utf-8"?>
<x:table xmlns:x="http://schemas.openxmlformats.org/spreadsheetml/2006/main" id="5" name="PackageBaselineTable" displayName="PackageBaselineTable" ref="A1:G13" headerRowCount="1">
  <x:tableColumns count="7">
    <x:tableColumn id="1" name="Package"/>
    <x:tableColumn id="2" name="ID"/>
    <x:tableColumn id="3" name="Version"/>
    <x:tableColumn id="4" name="Required for slice"/>
    <x:tableColumn id="5" name="Current decision"/>
    <x:tableColumn id="6" name="Action"/>
    <x:tableColumn id="7" name="Source"/>
  </x:tableColumns>
  <x:tableStyleInfo name="TableStyleMedium2" showRowStripes="1"/>
</x:table>
</file>

<file path=xl/tables/table6.xml><?xml version="1.0" encoding="utf-8"?>
<x:table xmlns:x="http://schemas.openxmlformats.org/spreadsheetml/2006/main" id="6" name="WeeklyReviewTable" displayName="WeeklyReviewTable" ref="A1:G20" headerRowCount="1">
  <x:tableColumns count="7">
    <x:tableColumn id="1" name="Date"/>
    <x:tableColumn id="2" name="Sprint"/>
    <x:tableColumn id="3" name="Completed"/>
    <x:tableColumn id="4" name="In progress"/>
    <x:tableColumn id="5" name="Risks / blockers"/>
    <x:tableColumn id="6" name="Decisions"/>
    <x:tableColumn id="7" name="Next review"/>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55fb2dff83e4ae6" /></Relationships>
</file>

<file path=xl/worksheets/_rels/sheet3.xml.rels>&#65279;<?xml version="1.0" encoding="utf-8"?><Relationships xmlns="http://schemas.openxmlformats.org/package/2006/relationships"><Relationship Type="http://schemas.openxmlformats.org/officeDocument/2006/relationships/table" Target="/xl/tables/table2.xml" Id="R18b06ef3ec294832" /></Relationships>
</file>

<file path=xl/worksheets/_rels/sheet4.xml.rels>&#65279;<?xml version="1.0" encoding="utf-8"?><Relationships xmlns="http://schemas.openxmlformats.org/package/2006/relationships"><Relationship Type="http://schemas.openxmlformats.org/officeDocument/2006/relationships/table" Target="/xl/tables/table3.xml" Id="Ra3bfff6216424a51" /></Relationships>
</file>

<file path=xl/worksheets/_rels/sheet5.xml.rels>&#65279;<?xml version="1.0" encoding="utf-8"?><Relationships xmlns="http://schemas.openxmlformats.org/package/2006/relationships"><Relationship Type="http://schemas.openxmlformats.org/officeDocument/2006/relationships/table" Target="/xl/tables/table4.xml" Id="R9cf6bdab480d4f11" /></Relationships>
</file>

<file path=xl/worksheets/_rels/sheet6.xml.rels>&#65279;<?xml version="1.0" encoding="utf-8"?><Relationships xmlns="http://schemas.openxmlformats.org/package/2006/relationships"><Relationship Type="http://schemas.openxmlformats.org/officeDocument/2006/relationships/table" Target="/xl/tables/table5.xml" Id="Ref3ee837c4d243cb" /></Relationships>
</file>

<file path=xl/worksheets/_rels/sheet7.xml.rels>&#65279;<?xml version="1.0" encoding="utf-8"?><Relationships xmlns="http://schemas.openxmlformats.org/package/2006/relationships"><Relationship Type="http://schemas.openxmlformats.org/officeDocument/2006/relationships/table" Target="/xl/tables/table6.xml" Id="Rb8be5da90f1d4e41" /></Relationships>
</file>

<file path=xl/worksheets/sheet1.xml><?xml version="1.0" encoding="utf-8"?>
<x:worksheet xmlns:x="http://schemas.openxmlformats.org/spreadsheetml/2006/main">
  <x:sheetFormatPr defaultRowHeight="15"/>
  <x:cols>
    <x:col min="1" max="1" width="24" hidden="0" customWidth="1"/>
    <x:col min="2" max="2" width="18" hidden="0" customWidth="1"/>
    <x:col min="3" max="3" width="4" hidden="0" customWidth="1"/>
    <x:col min="4" max="4" width="22" hidden="0" customWidth="1"/>
    <x:col min="5" max="5" width="18" hidden="0" customWidth="1"/>
    <x:col min="6" max="6" width="18" hidden="0" customWidth="1"/>
    <x:col min="7" max="7" width="18" hidden="0" customWidth="1"/>
    <x:col min="8" max="8" width="18" hidden="0" customWidth="1"/>
  </x:cols>
  <x:sheetData>
    <x:row r="1" ht="28" customHeight="1">
      <x:c r="A1" s="5" t="str">
        <x:v>Cartridge &amp; Cloud — Production Tracking</x:v>
      </x:c>
      <x:c r="B1" s="5"/>
      <x:c r="C1" s="5"/>
      <x:c r="D1" s="5"/>
      <x:c r="E1" s="5"/>
      <x:c r="F1" s="5"/>
      <x:c r="G1" s="5"/>
      <x:c r="H1" s="5"/>
    </x:row>
    <x:row r="2" ht="20" customHeight="1">
      <x:c r="A2" s="12" t="str">
        <x:v>Operational workbook v0.3.3 — S0.7 closed, 2026-06-22</x:v>
      </x:c>
      <x:c r="B2" s="12"/>
      <x:c r="C2" s="12"/>
      <x:c r="D2" s="12"/>
      <x:c r="E2" s="12"/>
      <x:c r="F2" s="12"/>
      <x:c r="G2" s="12"/>
      <x:c r="H2" s="12"/>
    </x:row>
    <x:row r="4">
      <x:c r="A4" s="20" t="str">
        <x:v>KPI</x:v>
      </x:c>
      <x:c r="B4" s="20" t="str">
        <x:v>Value</x:v>
      </x:c>
      <x:c r="D4" s="20" t="str">
        <x:v>Current status</x:v>
      </x:c>
      <x:c r="E4" s="20"/>
      <x:c r="F4" s="20"/>
      <x:c r="G4" s="20"/>
      <x:c r="H4" s="20"/>
    </x:row>
    <x:row r="5" ht="24" customHeight="1">
      <x:c r="A5" s="29" t="str">
        <x:v>Sprint blocks total</x:v>
      </x:c>
      <x:c r="B5" s="31" t="n">
        <x:f>COUNTA(Sprint_Status!A2:A12)</x:f>
        <x:v>11</x:v>
      </x:c>
      <x:c r="D5" s="37" t="str">
        <x:v>Repository</x:v>
      </x:c>
      <x:c r="E5" s="38" t="str">
        <x:v>BLRochaGonzalez93/U012_CartridgeAndCloud</x:v>
      </x:c>
      <x:c r="F5" s="38" t="str"/>
      <x:c r="G5" s="38" t="str"/>
      <x:c r="H5" s="38" t="str"/>
    </x:row>
    <x:row r="6" ht="24" customHeight="1">
      <x:c r="A6" s="29" t="str">
        <x:v>Closed blocks</x:v>
      </x:c>
      <x:c r="B6" s="31" t="n">
        <x:f>COUNTIF(Sprint_Status!D2:D12,"Closed")</x:f>
        <x:v>8</x:v>
      </x:c>
      <x:c r="D6" s="37" t="str">
        <x:v>Branch</x:v>
      </x:c>
      <x:c r="E6" s="38" t="str">
        <x:v>main</x:v>
      </x:c>
      <x:c r="F6" s="38" t="str"/>
      <x:c r="G6" s="38" t="str"/>
      <x:c r="H6" s="38" t="str"/>
    </x:row>
    <x:row r="7" ht="24" customHeight="1">
      <x:c r="A7" s="29" t="str">
        <x:v>In progress</x:v>
      </x:c>
      <x:c r="B7" s="31" t="n">
        <x:f>COUNTIF(Sprint_Status!D2:D12,"In Progress")</x:f>
        <x:v>0</x:v>
      </x:c>
      <x:c r="D7" s="37" t="str">
        <x:v>Unity</x:v>
      </x:c>
      <x:c r="E7" s="38" t="str">
        <x:v>6000.3.18f1</x:v>
      </x:c>
      <x:c r="F7" s="38" t="str"/>
      <x:c r="G7" s="38" t="str"/>
      <x:c r="H7" s="38" t="str"/>
    </x:row>
    <x:row r="8" ht="24" customHeight="1">
      <x:c r="A8" s="29" t="str">
        <x:v>Pending</x:v>
      </x:c>
      <x:c r="B8" s="31" t="n">
        <x:f>COUNTIF(Sprint_Status!D2:D12,"Pending")</x:f>
        <x:v>3</x:v>
      </x:c>
      <x:c r="D8" s="37" t="str">
        <x:v>Latest audited commit</x:v>
      </x:c>
      <x:c r="E8" s="38" t="str">
        <x:v>6416ca107509</x:v>
      </x:c>
      <x:c r="F8" s="38" t="str"/>
      <x:c r="G8" s="38" t="str"/>
      <x:c r="H8" s="38" t="str"/>
    </x:row>
    <x:row r="9" ht="24" customHeight="1">
      <x:c r="A9" s="29" t="str">
        <x:v>Completion</x:v>
      </x:c>
      <x:c r="B9" s="32" t="n">
        <x:f>SUM(Sprint_Status!E2:E12)/B5</x:f>
        <x:v>0.7272727272727273</x:v>
      </x:c>
      <x:c r="D9" s="37" t="str">
        <x:v>Current block</x:v>
      </x:c>
      <x:c r="E9" s="38" t="str">
        <x:v>S0.7 — Closed / PASS</x:v>
      </x:c>
      <x:c r="F9" s="38" t="str"/>
      <x:c r="G9" s="38" t="str"/>
      <x:c r="H9" s="38" t="str"/>
    </x:row>
    <x:row r="10" ht="24" customHeight="1">
      <x:c r="A10" s="29" t="str">
        <x:v>Open risks</x:v>
      </x:c>
      <x:c r="B10" s="31" t="n">
        <x:f>COUNTIF(Risks!G2:G9,"Open")</x:f>
        <x:v>2</x:v>
      </x:c>
      <x:c r="D10" s="37" t="str">
        <x:v>Next block</x:v>
      </x:c>
      <x:c r="E10" s="38" t="str">
        <x:v>S0.8 — Smoke Tests</x:v>
      </x:c>
      <x:c r="F10" s="38" t="str"/>
      <x:c r="G10" s="38" t="str"/>
      <x:c r="H10" s="38" t="str"/>
    </x:row>
    <x:row r="11">
      <x:c r="A11" s="29" t="str">
        <x:v>Open documentation debts</x:v>
      </x:c>
      <x:c r="B11" s="31" t="n">
        <x:f>COUNTIF(Deliverables!F2:F24,"Deferred")</x:f>
        <x:v>1</x:v>
      </x:c>
    </x:row>
    <x:row r="13">
      <x:c r="A13" s="44" t="str">
        <x:v>Production notes</x:v>
      </x:c>
      <x:c r="B13" s="44"/>
      <x:c r="C13" s="44"/>
      <x:c r="D13" s="44"/>
      <x:c r="E13" s="44"/>
      <x:c r="F13" s="44"/>
      <x:c r="G13" s="44"/>
      <x:c r="H13" s="44"/>
    </x:row>
    <x:row r="14">
      <x:c r="A14" s="51" t="str">
        <x:v>The official v0.3 baseline remains immutable. S0.7 is closed with PASS. The scene baseline was published in commit 72af6f82cc4458c716d751f5846075bfe47aa093 and the stale disabled SampleScene entry was removed in commit 6416ca107509dd81428575ff9400215022bc7610. S0.8 is authorized.</x:v>
      </x:c>
      <x:c r="B14" s="51"/>
      <x:c r="C14" s="51"/>
      <x:c r="D14" s="51"/>
      <x:c r="E14" s="51"/>
      <x:c r="F14" s="51"/>
      <x:c r="G14" s="51"/>
      <x:c r="H14" s="51"/>
    </x:row>
    <x:row r="15">
      <x:c r="A15" s="51"/>
      <x:c r="B15" s="51"/>
      <x:c r="C15" s="51"/>
      <x:c r="D15" s="51"/>
      <x:c r="E15" s="51"/>
      <x:c r="F15" s="51"/>
      <x:c r="G15" s="51"/>
      <x:c r="H15" s="51"/>
    </x:row>
    <x:row r="16">
      <x:c r="A16" s="51"/>
      <x:c r="B16" s="51"/>
      <x:c r="C16" s="51"/>
      <x:c r="D16" s="51"/>
      <x:c r="E16" s="51"/>
      <x:c r="F16" s="51"/>
      <x:c r="G16" s="51"/>
      <x:c r="H16" s="51"/>
    </x:row>
    <x:row r="17">
      <x:c r="A17" s="51"/>
      <x:c r="B17" s="51"/>
      <x:c r="C17" s="51"/>
      <x:c r="D17" s="51"/>
      <x:c r="E17" s="51"/>
      <x:c r="F17" s="51"/>
      <x:c r="G17" s="51"/>
      <x:c r="H17" s="51"/>
    </x:row>
    <x:row r="18">
      <x:c r="A18" s="51"/>
      <x:c r="B18" s="51"/>
      <x:c r="C18" s="51"/>
      <x:c r="D18" s="51"/>
      <x:c r="E18" s="51"/>
      <x:c r="F18" s="51"/>
      <x:c r="G18" s="51"/>
      <x:c r="H18" s="51"/>
    </x:row>
  </x:sheetData>
  <x:mergeCells>
    <x:mergeCell ref="A1:H1"/>
    <x:mergeCell ref="A2:H2"/>
    <x:mergeCell ref="D4:H4"/>
    <x:mergeCell ref="A13:H13"/>
    <x:mergeCell ref="A14:H18"/>
    <x:mergeCell ref="E5:H5"/>
    <x:mergeCell ref="E6:H6"/>
    <x:mergeCell ref="E7:H7"/>
    <x:mergeCell ref="E8:H8"/>
    <x:mergeCell ref="E9:H9"/>
    <x:mergeCell ref="E10:H10"/>
  </x:mergeCells>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24" hidden="0" customWidth="1"/>
    <x:col min="3" max="3" width="38" hidden="0" customWidth="1"/>
    <x:col min="4" max="4" width="14" hidden="0" customWidth="1"/>
    <x:col min="5" max="5" width="12" hidden="0" customWidth="1"/>
    <x:col min="6" max="6" width="28" hidden="0" customWidth="1"/>
    <x:col min="7" max="7" width="42" hidden="0" customWidth="1"/>
    <x:col min="8" max="8" width="34" hidden="0" customWidth="1"/>
  </x:cols>
  <x:sheetData>
    <x:row r="1">
      <x:c r="A1" s="20" t="str">
        <x:v>Block</x:v>
      </x:c>
      <x:c r="B1" s="20" t="str">
        <x:v>Name</x:v>
      </x:c>
      <x:c r="C1" s="20" t="str">
        <x:v>Goal</x:v>
      </x:c>
      <x:c r="D1" s="20" t="str">
        <x:v>Status</x:v>
      </x:c>
      <x:c r="E1" s="20" t="str">
        <x:v>Progress</x:v>
      </x:c>
      <x:c r="F1" s="20" t="str">
        <x:v>Validation</x:v>
      </x:c>
      <x:c r="G1" s="20" t="str">
        <x:v>Evidence / Commit</x:v>
      </x:c>
      <x:c r="H1" s="20" t="str">
        <x:v>Next action</x:v>
      </x:c>
    </x:row>
    <x:row r="2">
      <x:c r="A2" s="35" t="str">
        <x:v>S0.1</x:v>
      </x:c>
      <x:c r="B2" s="35" t="str">
        <x:v>Toolchain</x:v>
      </x:c>
      <x:c r="C2" s="35" t="str">
        <x:v>Fix editor and development environment</x:v>
      </x:c>
      <x:c r="D2" s="35" t="str">
        <x:v>Closed</x:v>
      </x:c>
      <x:c r="E2" s="55" t="n">
        <x:v>1</x:v>
      </x:c>
      <x:c r="F2" s="35" t="str">
        <x:v>PASS with non-blocking documentation debt</x:v>
      </x:c>
      <x:c r="G2" s="35" t="str">
        <x:v>Evidence/S0.1_UnityHub_EditorVersion.png; Evidence/S0.1_AboutUnity.png</x:v>
      </x:c>
      <x:c r="H2" s="35" t="str">
        <x:v>Complete DevelopmentEnvironment_Record before S0.10</x:v>
      </x:c>
    </x:row>
    <x:row r="3">
      <x:c r="A3" s="35" t="str">
        <x:v>S0.2</x:v>
      </x:c>
      <x:c r="B3" s="35" t="str">
        <x:v>Unity Project</x:v>
      </x:c>
      <x:c r="C3" s="35" t="str">
        <x:v>Create clean URP project and base settings</x:v>
      </x:c>
      <x:c r="D3" s="35" t="str">
        <x:v>Closed</x:v>
      </x:c>
      <x:c r="E3" s="55" t="n">
        <x:v>1</x:v>
      </x:c>
      <x:c r="F3" s="35" t="str">
        <x:v>PASS</x:v>
      </x:c>
      <x:c r="G3" s="35" t="str">
        <x:v>Commit 6429c7cff05fb8e77e7161ce72f28fb79d03383f</x:v>
      </x:c>
      <x:c r="H3" s="35" t="str">
        <x:v>None</x:v>
      </x:c>
    </x:row>
    <x:row r="4">
      <x:c r="A4" s="35" t="str">
        <x:v>S0.3</x:v>
      </x:c>
      <x:c r="B4" s="35" t="str">
        <x:v>Package Baseline</x:v>
      </x:c>
      <x:c r="C4" s="35" t="str">
        <x:v>Install and lock required Unity packages</x:v>
      </x:c>
      <x:c r="D4" s="35" t="str">
        <x:v>Closed</x:v>
      </x:c>
      <x:c r="E4" s="55" t="n">
        <x:v>1</x:v>
      </x:c>
      <x:c r="F4" s="35" t="str">
        <x:v>PASS with observation</x:v>
      </x:c>
      <x:c r="G4" s="35" t="str">
        <x:v>Packages/manifest.json; Packages/packages-lock.json</x:v>
      </x:c>
      <x:c r="H4" s="35" t="str">
        <x:v>Review/removal of unused template packages</x:v>
      </x:c>
    </x:row>
    <x:row r="5">
      <x:c r="A5" s="35" t="str">
        <x:v>S0.4</x:v>
      </x:c>
      <x:c r="B5" s="35" t="str">
        <x:v>Repository</x:v>
      </x:c>
      <x:c r="C5" s="35" t="str">
        <x:v>Configure GitHub Desktop, ignore rules and attributes</x:v>
      </x:c>
      <x:c r="D5" s="35" t="str">
        <x:v>Closed</x:v>
      </x:c>
      <x:c r="E5" s="55" t="n">
        <x:v>1</x:v>
      </x:c>
      <x:c r="F5" s="35" t="str">
        <x:v>PASS</x:v>
      </x:c>
      <x:c r="G5" s="35" t="str">
        <x:v>Commits 46c7631 and 3d49ef4</x:v>
      </x:c>
      <x:c r="H5" s="35" t="str">
        <x:v>None</x:v>
      </x:c>
    </x:row>
    <x:row r="6">
      <x:c r="A6" s="35" t="str">
        <x:v>S0.5</x:v>
      </x:c>
      <x:c r="B6" s="35" t="str">
        <x:v>Project Structure</x:v>
      </x:c>
      <x:c r="C6" s="35" t="str">
        <x:v>Create Assets/_Project and documentation hierarchy</x:v>
      </x:c>
      <x:c r="D6" s="35" t="str">
        <x:v>Closed</x:v>
      </x:c>
      <x:c r="E6" s="55" t="n">
        <x:v>1</x:v>
      </x:c>
      <x:c r="F6" s="35" t="str">
        <x:v>PASS</x:v>
      </x:c>
      <x:c r="G6" s="35" t="str">
        <x:v>Commit 1cc30ad69a2c093a8e1e0686451302689eb632bb</x:v>
      </x:c>
      <x:c r="H6" s="35" t="str">
        <x:v>None</x:v>
      </x:c>
    </x:row>
    <x:row r="7">
      <x:c r="A7" s="35" t="str">
        <x:v>S0.6</x:v>
      </x:c>
      <x:c r="B7" s="35" t="str">
        <x:v>Assembly Boundaries</x:v>
      </x:c>
      <x:c r="C7" s="35" t="str">
        <x:v>Create six assemblies and dependency rules</x:v>
      </x:c>
      <x:c r="D7" s="35" t="str">
        <x:v>Closed</x:v>
      </x:c>
      <x:c r="E7" s="55" t="n">
        <x:v>1</x:v>
      </x:c>
      <x:c r="F7" s="35" t="str">
        <x:v>PASS</x:v>
      </x:c>
      <x:c r="G7" s="35" t="str">
        <x:v>Commit 7f32381d94af98f283fa0cb26b4cbf5b0ba84fe9</x:v>
      </x:c>
      <x:c r="H7" s="35" t="str">
        <x:v>None</x:v>
      </x:c>
    </x:row>
    <x:row r="8">
      <x:c r="A8" s="35" t="str">
        <x:v>S0.6D</x:v>
      </x:c>
      <x:c r="B8" s="35" t="str">
        <x:v>Documentation Sync</x:v>
      </x:c>
      <x:c r="C8" s="35" t="str">
        <x:v>Synchronize operational documents, QA and tracking</x:v>
      </x:c>
      <x:c r="D8" s="35" t="str">
        <x:v>Closed</x:v>
      </x:c>
      <x:c r="E8" s="55" t="n">
        <x:v>1</x:v>
      </x:c>
      <x:c r="F8" s="35" t="str">
        <x:v>PASS</x:v>
      </x:c>
      <x:c r="G8" s="35" t="str">
        <x:v>Commit 31a77be358a3b8e9268cd69abb02a1f52d429fbd</x:v>
      </x:c>
      <x:c r="H8" s="35" t="str">
        <x:v>None</x:v>
      </x:c>
    </x:row>
    <x:row r="9">
      <x:c r="A9" s="35" t="str">
        <x:v>S0.7</x:v>
      </x:c>
      <x:c r="B9" s="35" t="str">
        <x:v>Scene Baseline</x:v>
      </x:c>
      <x:c r="C9" s="35" t="str">
        <x:v>Create Bootstrap, MainMenu, Store and TestLab</x:v>
      </x:c>
      <x:c r="D9" s="35" t="str">
        <x:v>Closed</x:v>
      </x:c>
      <x:c r="E9" s="55" t="n">
        <x:v>1</x:v>
      </x:c>
      <x:c r="F9" s="35" t="str">
        <x:v>PASS</x:v>
      </x:c>
      <x:c r="G9" s="35" t="str">
        <x:v>Commits 72af6f82cc44 and 6416ca107509</x:v>
      </x:c>
      <x:c r="H9" s="35" t="str">
        <x:v>None</x:v>
      </x:c>
    </x:row>
    <x:row r="10">
      <x:c r="A10" s="35" t="str">
        <x:v>S0.8</x:v>
      </x:c>
      <x:c r="B10" s="35" t="str">
        <x:v>Smoke Tests</x:v>
      </x:c>
      <x:c r="C10" s="35" t="str">
        <x:v>Implement EditMode and PlayMode smoke tests</x:v>
      </x:c>
      <x:c r="D10" s="35" t="str">
        <x:v>Pending</x:v>
      </x:c>
      <x:c r="E10" s="55" t="n">
        <x:v>0</x:v>
      </x:c>
      <x:c r="F10" s="35" t="str">
        <x:v>Authorized after S0.7 PASS</x:v>
      </x:c>
      <x:c r="G10" s="35" t="str">
        <x:v>S0.7 closure record</x:v>
      </x:c>
      <x:c r="H10" s="35" t="str">
        <x:v>Implement and validate smoke tests</x:v>
      </x:c>
    </x:row>
    <x:row r="11">
      <x:c r="A11" s="35" t="str">
        <x:v>S0.9</x:v>
      </x:c>
      <x:c r="B11" s="35" t="str">
        <x:v>Windows Build</x:v>
      </x:c>
      <x:c r="C11" s="35" t="str">
        <x:v>Generate first Windows x64 build</x:v>
      </x:c>
      <x:c r="D11" s="35" t="str">
        <x:v>Pending</x:v>
      </x:c>
      <x:c r="E11" s="55" t="n">
        <x:v>0</x:v>
      </x:c>
      <x:c r="F11" s="35" t="str">
        <x:v>Not started</x:v>
      </x:c>
      <x:c r="G11" s="35"/>
      <x:c r="H11" s="35" t="str">
        <x:v>After S0.8</x:v>
      </x:c>
    </x:row>
    <x:row r="12">
      <x:c r="A12" s="35" t="str">
        <x:v>S0.10</x:v>
      </x:c>
      <x:c r="B12" s="35" t="str">
        <x:v>Sprint Closure</x:v>
      </x:c>
      <x:c r="C12" s="35" t="str">
        <x:v>Final ADR, QA, traceability and documentation closure</x:v>
      </x:c>
      <x:c r="D12" s="35" t="str">
        <x:v>Pending</x:v>
      </x:c>
      <x:c r="E12" s="55" t="n">
        <x:v>0</x:v>
      </x:c>
      <x:c r="F12" s="35" t="str">
        <x:v>Not started</x:v>
      </x:c>
      <x:c r="G12" s="35"/>
      <x:c r="H12" s="35" t="str">
        <x:v>After S0.9</x:v>
      </x:c>
    </x:row>
  </x:sheetData>
  <x:conditionalFormatting sqref="D2:D12">
    <x:cfRule type="expression" dxfId="0" priority="1">
      <x:formula>D2="Closed"</x:formula>
    </x:cfRule>
    <x:cfRule type="expression" dxfId="1" priority="2">
      <x:formula>D2="In Progress"</x:formula>
    </x:cfRule>
    <x:cfRule type="expression" dxfId="2" priority="3">
      <x:formula>D2="Pending"</x:formula>
    </x:cfRule>
  </x:conditionalFormatting>
  <x:conditionalFormatting sqref="E2:E12">
    <x:cfRule type="dataBar" priority="4">
      <x:dataBar>
        <x:cfvo type="min"/>
        <x:cfvo type="max"/>
        <x:color rgb="FF008F46"/>
      </x:dataBar>
      <x:extLst>
        <x:ext xmlns:x14="http://schemas.microsoft.com/office/spreadsheetml/2009/9/main" uri="{B025F937-C7B1-47D3-B67F-A62EFF666E3E}">
          <x14:id>{29C05AE6-0FFC-9E32-A078-7F13BD050A4A}</x14:id>
        </x:ext>
      </x:extLst>
    </x:cfRule>
  </x:conditionalFormatting>
  <x:dataValidations count="1">
    <x:dataValidation type="list" sqref="D2:D12">
      <x:formula1>"Closed,In Progress,Pending,Blocked"</x:formula1>
    </x:dataValidation>
  </x:dataValidations>
  <x:pageMargins left="0.7" right="0.7" top="0.75" bottom="0.75" header="0.3" footer="0.3"/>
  <x:tableParts count="1">
    <x:tablePart xmlns:r="http://schemas.openxmlformats.org/officeDocument/2006/relationships" r:id="R155fb2dff83e4ae6"/>
  </x:tableParts>
  <x:extLst>
    <x:ext xmlns:x14="http://schemas.microsoft.com/office/spreadsheetml/2009/9/main" xmlns:xm="http://schemas.microsoft.com/office/excel/2006/main" uri="{78C0D931-6437-407d-A8EE-F0AAD7539E65}">
      <x14:conditionalFormattings>
        <x14:conditionalFormatting>
          <x14:cfRule type="dataBar" priority="4" id="{29C05AE6-0FFC-9E32-A078-7F13BD050A4A}">
            <x14:dataBar gradient="1">
              <x14:cfvo type="min"/>
              <x14:cfvo type="max"/>
              <x14:fillColor rgb="FF008F46"/>
            </x14:dataBar>
          </x14:cfRule>
          <xm:sqref>E2:E12</xm:sqref>
        </x14:conditionalFormatting>
      </x14:conditionalFormattings>
    </x:ext>
  </x:extLst>
</x:worksheet>
</file>

<file path=xl/worksheets/sheet3.xml><?xml version="1.0" encoding="utf-8"?>
<x:worksheet xmlns:x="http://schemas.openxmlformats.org/spreadsheetml/2006/main">
  <x:sheetFormatPr defaultRowHeight="15"/>
  <x:cols>
    <x:col min="1" max="1" width="12" hidden="0" customWidth="1"/>
    <x:col min="2" max="2" width="10" hidden="0" customWidth="1"/>
    <x:col min="3" max="3" width="34" hidden="0" customWidth="1"/>
    <x:col min="4" max="4" width="58" hidden="0" customWidth="1"/>
    <x:col min="5" max="5" width="16" hidden="0" customWidth="1"/>
    <x:col min="6" max="6" width="14" hidden="0" customWidth="1"/>
    <x:col min="7" max="7" width="14" hidden="0" customWidth="1"/>
    <x:col min="8" max="8" width="35" hidden="0" customWidth="1"/>
  </x:cols>
  <x:sheetData>
    <x:row r="1">
      <x:c r="A1" s="20" t="str">
        <x:v>ID</x:v>
      </x:c>
      <x:c r="B1" s="20" t="str">
        <x:v>Block</x:v>
      </x:c>
      <x:c r="C1" s="20" t="str">
        <x:v>Deliverable</x:v>
      </x:c>
      <x:c r="D1" s="20" t="str">
        <x:v>Path / Reference</x:v>
      </x:c>
      <x:c r="E1" s="20" t="str">
        <x:v>Type</x:v>
      </x:c>
      <x:c r="F1" s="20" t="str">
        <x:v>State</x:v>
      </x:c>
      <x:c r="G1" s="20" t="str">
        <x:v>Tracking</x:v>
      </x:c>
      <x:c r="H1" s="20" t="str">
        <x:v>Notes</x:v>
      </x:c>
    </x:row>
    <x:row r="2">
      <x:c r="A2" s="35" t="str">
        <x:v>DEL-001</x:v>
      </x:c>
      <x:c r="B2" s="35" t="str">
        <x:v>S0.1</x:v>
      </x:c>
      <x:c r="C2" s="35" t="str">
        <x:v>Unity Hub version evidence</x:v>
      </x:c>
      <x:c r="D2" s="35" t="str">
        <x:v>Evidence/S0.1_UnityHub_EditorVersion.png</x:v>
      </x:c>
      <x:c r="E2" s="35" t="str">
        <x:v>Evidence</x:v>
      </x:c>
      <x:c r="F2" s="35" t="str">
        <x:v>Complete</x:v>
      </x:c>
      <x:c r="G2" s="35" t="str">
        <x:v>Tracked</x:v>
      </x:c>
      <x:c r="H2" s="35" t="str">
        <x:v>Developer confirmed</x:v>
      </x:c>
    </x:row>
    <x:row r="3">
      <x:c r="A3" s="35" t="str">
        <x:v>DEL-002</x:v>
      </x:c>
      <x:c r="B3" s="35" t="str">
        <x:v>S0.1</x:v>
      </x:c>
      <x:c r="C3" s="35" t="str">
        <x:v>About Unity evidence</x:v>
      </x:c>
      <x:c r="D3" s="35" t="str">
        <x:v>Evidence/S0.1_AboutUnity.png</x:v>
      </x:c>
      <x:c r="E3" s="35" t="str">
        <x:v>Evidence</x:v>
      </x:c>
      <x:c r="F3" s="35" t="str">
        <x:v>Complete</x:v>
      </x:c>
      <x:c r="G3" s="35" t="str">
        <x:v>Tracked</x:v>
      </x:c>
      <x:c r="H3" s="35" t="str">
        <x:v>Present in latest assembly commit</x:v>
      </x:c>
    </x:row>
    <x:row r="4">
      <x:c r="A4" s="35" t="str">
        <x:v>DEL-003</x:v>
      </x:c>
      <x:c r="B4" s="35" t="str">
        <x:v>S0.1</x:v>
      </x:c>
      <x:c r="C4" s="35" t="str">
        <x:v>Development environment record</x:v>
      </x:c>
      <x:c r="D4" s="35" t="str">
        <x:v>Documentation/10_Development_Records/Environment/DevelopmentEnvironment_Record.md</x:v>
      </x:c>
      <x:c r="E4" s="35" t="str">
        <x:v>Documentation</x:v>
      </x:c>
      <x:c r="F4" s="35" t="str">
        <x:v>Deferred</x:v>
      </x:c>
      <x:c r="G4" s="35" t="str">
        <x:v>Debt</x:v>
      </x:c>
      <x:c r="H4" s="35" t="str">
        <x:v>Must be completed before S0.10</x:v>
      </x:c>
    </x:row>
    <x:row r="5">
      <x:c r="A5" s="35" t="str">
        <x:v>DEL-004</x:v>
      </x:c>
      <x:c r="B5" s="35" t="str">
        <x:v>S0.3</x:v>
      </x:c>
      <x:c r="C5" s="35" t="str">
        <x:v>Package manifest</x:v>
      </x:c>
      <x:c r="D5" s="35" t="str">
        <x:v>Packages/manifest.json</x:v>
      </x:c>
      <x:c r="E5" s="35" t="str">
        <x:v>Configuration</x:v>
      </x:c>
      <x:c r="F5" s="35" t="str">
        <x:v>Complete</x:v>
      </x:c>
      <x:c r="G5" s="35" t="str">
        <x:v>Tracked</x:v>
      </x:c>
      <x:c r="H5" s="35" t="str">
        <x:v>Audited on main</x:v>
      </x:c>
    </x:row>
    <x:row r="6">
      <x:c r="A6" s="35" t="str">
        <x:v>DEL-005</x:v>
      </x:c>
      <x:c r="B6" s="35" t="str">
        <x:v>S0.3</x:v>
      </x:c>
      <x:c r="C6" s="35" t="str">
        <x:v>Package lock</x:v>
      </x:c>
      <x:c r="D6" s="35" t="str">
        <x:v>Packages/packages-lock.json</x:v>
      </x:c>
      <x:c r="E6" s="35" t="str">
        <x:v>Configuration</x:v>
      </x:c>
      <x:c r="F6" s="35" t="str">
        <x:v>Complete</x:v>
      </x:c>
      <x:c r="G6" s="35" t="str">
        <x:v>Tracked</x:v>
      </x:c>
      <x:c r="H6" s="35" t="str">
        <x:v>Must remain versioned</x:v>
      </x:c>
    </x:row>
    <x:row r="7">
      <x:c r="A7" s="35" t="str">
        <x:v>DEL-006</x:v>
      </x:c>
      <x:c r="B7" s="35" t="str">
        <x:v>S0.4</x:v>
      </x:c>
      <x:c r="C7" s="35" t="str">
        <x:v>.gitignore</x:v>
      </x:c>
      <x:c r="D7" s="35" t="str">
        <x:v>.gitignore</x:v>
      </x:c>
      <x:c r="E7" s="35" t="str">
        <x:v>Process</x:v>
      </x:c>
      <x:c r="F7" s="35" t="str">
        <x:v>Complete</x:v>
      </x:c>
      <x:c r="G7" s="35" t="str">
        <x:v>Tracked</x:v>
      </x:c>
      <x:c r="H7" s="35" t="str">
        <x:v>Generated files correctly ignored</x:v>
      </x:c>
    </x:row>
    <x:row r="8">
      <x:c r="A8" s="35" t="str">
        <x:v>DEL-007</x:v>
      </x:c>
      <x:c r="B8" s="35" t="str">
        <x:v>S0.4</x:v>
      </x:c>
      <x:c r="C8" s="35" t="str">
        <x:v>.gitattributes</x:v>
      </x:c>
      <x:c r="D8" s="35" t="str">
        <x:v>.gitattributes</x:v>
      </x:c>
      <x:c r="E8" s="35" t="str">
        <x:v>Process</x:v>
      </x:c>
      <x:c r="F8" s="35" t="str">
        <x:v>Complete</x:v>
      </x:c>
      <x:c r="G8" s="35" t="str">
        <x:v>Tracked</x:v>
      </x:c>
      <x:c r="H8" s="35" t="str">
        <x:v>Text/binary classification</x:v>
      </x:c>
    </x:row>
    <x:row r="9">
      <x:c r="A9" s="35" t="str">
        <x:v>DEL-008</x:v>
      </x:c>
      <x:c r="B9" s="35" t="str">
        <x:v>S0.5</x:v>
      </x:c>
      <x:c r="C9" s="35" t="str">
        <x:v>Assets/_Project hierarchy</x:v>
      </x:c>
      <x:c r="D9" s="35" t="str">
        <x:v>Assets/_Project</x:v>
      </x:c>
      <x:c r="E9" s="35" t="str">
        <x:v>Process</x:v>
      </x:c>
      <x:c r="F9" s="35" t="str">
        <x:v>Complete</x:v>
      </x:c>
      <x:c r="G9" s="35" t="str">
        <x:v>Tracked</x:v>
      </x:c>
      <x:c r="H9" s="35" t="str">
        <x:v>Confirmed and committed</x:v>
      </x:c>
    </x:row>
    <x:row r="10">
      <x:c r="A10" s="35" t="str">
        <x:v>DEL-009</x:v>
      </x:c>
      <x:c r="B10" s="35" t="str">
        <x:v>S0.5</x:v>
      </x:c>
      <x:c r="C10" s="35" t="str">
        <x:v>Official documentation baseline</x:v>
      </x:c>
      <x:c r="D10" s="35" t="str">
        <x:v>Documentation/00_Official_Baseline/v0.3</x:v>
      </x:c>
      <x:c r="E10" s="35" t="str">
        <x:v>Documentation</x:v>
      </x:c>
      <x:c r="F10" s="35" t="str">
        <x:v>Complete</x:v>
      </x:c>
      <x:c r="G10" s="35" t="str">
        <x:v>Tracked</x:v>
      </x:c>
      <x:c r="H10" s="35" t="str">
        <x:v>Immutable 61-file baseline</x:v>
      </x:c>
    </x:row>
    <x:row r="11">
      <x:c r="A11" s="35" t="str">
        <x:v>DEL-010</x:v>
      </x:c>
      <x:c r="B11" s="35" t="str">
        <x:v>S0.6</x:v>
      </x:c>
      <x:c r="C11" s="35" t="str">
        <x:v>Production assemblies</x:v>
      </x:c>
      <x:c r="D11" s="35" t="str">
        <x:v>Assets/_Project/Scripts</x:v>
      </x:c>
      <x:c r="E11" s="35" t="str">
        <x:v>Code new</x:v>
      </x:c>
      <x:c r="F11" s="35" t="str">
        <x:v>Complete</x:v>
      </x:c>
      <x:c r="G11" s="35" t="str">
        <x:v>Tracked</x:v>
      </x:c>
      <x:c r="H11" s="35" t="str">
        <x:v>Four production asmdefs</x:v>
      </x:c>
    </x:row>
    <x:row r="12">
      <x:c r="A12" s="35" t="str">
        <x:v>DEL-011</x:v>
      </x:c>
      <x:c r="B12" s="35" t="str">
        <x:v>S0.6</x:v>
      </x:c>
      <x:c r="C12" s="35" t="str">
        <x:v>Test assemblies</x:v>
      </x:c>
      <x:c r="D12" s="35" t="str">
        <x:v>Assets/_Project/Tests</x:v>
      </x:c>
      <x:c r="E12" s="35" t="str">
        <x:v>Code new</x:v>
      </x:c>
      <x:c r="F12" s="35" t="str">
        <x:v>Complete</x:v>
      </x:c>
      <x:c r="G12" s="35" t="str">
        <x:v>Tracked</x:v>
      </x:c>
      <x:c r="H12" s="35" t="str">
        <x:v>EditMode and PlayMode asmdefs</x:v>
      </x:c>
    </x:row>
    <x:row r="13">
      <x:c r="A13" s="35" t="str">
        <x:v>DEL-012</x:v>
      </x:c>
      <x:c r="B13" s="35" t="str">
        <x:v>S0.6D</x:v>
      </x:c>
      <x:c r="C13" s="35" t="str">
        <x:v>Operational master workbook</x:v>
      </x:c>
      <x:c r="D13" s="35" t="str">
        <x:v>Documentation/10_Development_Records/Production_Tracking/Cartridge_And_Cloud_Production_Tracking_Operational_v0.3.1.xlsx</x:v>
      </x:c>
      <x:c r="E13" s="35" t="str">
        <x:v>Documentation</x:v>
      </x:c>
      <x:c r="F13" s="35" t="str">
        <x:v>Complete</x:v>
      </x:c>
      <x:c r="G13" s="35" t="str">
        <x:v>Tracked</x:v>
      </x:c>
      <x:c r="H13" s="35" t="str">
        <x:v>Published in commit 31a77be</x:v>
      </x:c>
    </x:row>
    <x:row r="14">
      <x:c r="A14" s="35" t="str">
        <x:v>DEL-013</x:v>
      </x:c>
      <x:c r="B14" s="35" t="str">
        <x:v>S0.6D</x:v>
      </x:c>
      <x:c r="C14" s="35" t="str">
        <x:v>Operational QA workbook</x:v>
      </x:c>
      <x:c r="D14" s="35" t="str">
        <x:v>Documentation/10_Development_Records/Production_Tracking/Cartridge_And_Cloud_QA_Operational_v0.3.1.xlsx</x:v>
      </x:c>
      <x:c r="E14" s="35" t="str">
        <x:v>Documentation</x:v>
      </x:c>
      <x:c r="F14" s="35" t="str">
        <x:v>Complete</x:v>
      </x:c>
      <x:c r="G14" s="35" t="str">
        <x:v>Tracked</x:v>
      </x:c>
      <x:c r="H14" s="35" t="str">
        <x:v>Published in commit 31a77be</x:v>
      </x:c>
    </x:row>
    <x:row r="15">
      <x:c r="A15" s="35" t="str">
        <x:v>DEL-014</x:v>
      </x:c>
      <x:c r="B15" s="35" t="str">
        <x:v>S0.6D</x:v>
      </x:c>
      <x:c r="C15" s="35" t="str">
        <x:v>Operational traceability workbook</x:v>
      </x:c>
      <x:c r="D15" s="35" t="str">
        <x:v>Documentation/10_Development_Records/Production_Tracking/Cartridge_And_Cloud_Traceability_Operational_v0.3.1.xlsx</x:v>
      </x:c>
      <x:c r="E15" s="35" t="str">
        <x:v>Documentation</x:v>
      </x:c>
      <x:c r="F15" s="35" t="str">
        <x:v>Complete</x:v>
      </x:c>
      <x:c r="G15" s="35" t="str">
        <x:v>Tracked</x:v>
      </x:c>
      <x:c r="H15" s="35" t="str">
        <x:v>Published in commit 31a77be</x:v>
      </x:c>
    </x:row>
    <x:row r="16">
      <x:c r="A16" t="str">
        <x:v>DEL-015</x:v>
      </x:c>
      <x:c r="B16" t="str">
        <x:v>S0.7</x:v>
      </x:c>
      <x:c r="C16" t="str">
        <x:v>Scene baseline ADR</x:v>
      </x:c>
      <x:c r="D16" t="str">
        <x:v>Documentation/10_Development_Records/ADR/ADR-0005-Scene-Baseline-and-Build-Order.md</x:v>
      </x:c>
      <x:c r="E16" t="str">
        <x:v>Documentation</x:v>
      </x:c>
      <x:c r="F16" t="str">
        <x:v>Complete</x:v>
      </x:c>
      <x:c r="G16" t="str">
        <x:v>Tracked</x:v>
      </x:c>
      <x:c r="H16" t="str">
        <x:v>Accepted and published in 72af6f82cc44</x:v>
      </x:c>
    </x:row>
    <x:row r="17">
      <x:c r="A17" t="str">
        <x:v>DEL-016</x:v>
      </x:c>
      <x:c r="B17" t="str">
        <x:v>S0.7</x:v>
      </x:c>
      <x:c r="C17" t="str">
        <x:v>Scene baseline procedure</x:v>
      </x:c>
      <x:c r="D17" t="str">
        <x:v>Documentation/10_Development_Records/Sprints/Sprint_00/S0.7_Scene_Baseline.md</x:v>
      </x:c>
      <x:c r="E17" t="str">
        <x:v>Documentation</x:v>
      </x:c>
      <x:c r="F17" t="str">
        <x:v>Complete</x:v>
      </x:c>
      <x:c r="G17" t="str">
        <x:v>Tracked</x:v>
      </x:c>
      <x:c r="H17" t="str">
        <x:v>Executed and published in 72af6f82cc44</x:v>
      </x:c>
    </x:row>
    <x:row r="18">
      <x:c r="A18" t="str">
        <x:v>DEL-017</x:v>
      </x:c>
      <x:c r="B18" t="str">
        <x:v>S0.7</x:v>
      </x:c>
      <x:c r="C18" t="str">
        <x:v>Bootstrap scene</x:v>
      </x:c>
      <x:c r="D18" t="str">
        <x:v>Assets/_Project/Scenes/Bootstrap.unity</x:v>
      </x:c>
      <x:c r="E18" t="str">
        <x:v>Asset</x:v>
      </x:c>
      <x:c r="F18" t="str">
        <x:v>Complete</x:v>
      </x:c>
      <x:c r="G18" t="str">
        <x:v>Validated</x:v>
      </x:c>
      <x:c r="H18" t="str">
        <x:v>Published in 72af6f82cc44</x:v>
      </x:c>
    </x:row>
    <x:row r="19">
      <x:c r="A19" t="str">
        <x:v>DEL-018</x:v>
      </x:c>
      <x:c r="B19" t="str">
        <x:v>S0.7</x:v>
      </x:c>
      <x:c r="C19" t="str">
        <x:v>MainMenu scene</x:v>
      </x:c>
      <x:c r="D19" t="str">
        <x:v>Assets/_Project/Scenes/MainMenu.unity</x:v>
      </x:c>
      <x:c r="E19" t="str">
        <x:v>Asset</x:v>
      </x:c>
      <x:c r="F19" t="str">
        <x:v>Complete</x:v>
      </x:c>
      <x:c r="G19" t="str">
        <x:v>Validated</x:v>
      </x:c>
      <x:c r="H19" t="str">
        <x:v>Published in 72af6f82cc44</x:v>
      </x:c>
    </x:row>
    <x:row r="20">
      <x:c r="A20" t="str">
        <x:v>DEL-019</x:v>
      </x:c>
      <x:c r="B20" t="str">
        <x:v>S0.7</x:v>
      </x:c>
      <x:c r="C20" t="str">
        <x:v>Store scene</x:v>
      </x:c>
      <x:c r="D20" t="str">
        <x:v>Assets/_Project/Scenes/Store.unity</x:v>
      </x:c>
      <x:c r="E20" t="str">
        <x:v>Asset</x:v>
      </x:c>
      <x:c r="F20" t="str">
        <x:v>Complete</x:v>
      </x:c>
      <x:c r="G20" t="str">
        <x:v>Validated</x:v>
      </x:c>
      <x:c r="H20" t="str">
        <x:v>Published in 72af6f82cc44</x:v>
      </x:c>
    </x:row>
    <x:row r="21">
      <x:c r="A21" t="str">
        <x:v>DEL-020</x:v>
      </x:c>
      <x:c r="B21" t="str">
        <x:v>S0.7</x:v>
      </x:c>
      <x:c r="C21" t="str">
        <x:v>TestLab scene</x:v>
      </x:c>
      <x:c r="D21" t="str">
        <x:v>Assets/_Project/Scenes/TestLab.unity</x:v>
      </x:c>
      <x:c r="E21" t="str">
        <x:v>Asset</x:v>
      </x:c>
      <x:c r="F21" t="str">
        <x:v>Complete</x:v>
      </x:c>
      <x:c r="G21" t="str">
        <x:v>Validated</x:v>
      </x:c>
      <x:c r="H21" t="str">
        <x:v>Published in 72af6f82cc44</x:v>
      </x:c>
    </x:row>
    <x:row r="22">
      <x:c r="A22" t="str">
        <x:v>DEL-021</x:v>
      </x:c>
      <x:c r="B22" t="str">
        <x:v>S0.7</x:v>
      </x:c>
      <x:c r="C22" t="str">
        <x:v>Global Scene List</x:v>
      </x:c>
      <x:c r="D22" t="str">
        <x:v>ProjectSettings/EditorBuildSettings.asset</x:v>
      </x:c>
      <x:c r="E22" t="str">
        <x:v>Configuration</x:v>
      </x:c>
      <x:c r="F22" t="str">
        <x:v>Complete</x:v>
      </x:c>
      <x:c r="G22" t="str">
        <x:v>Validated</x:v>
      </x:c>
      <x:c r="H22" t="str">
        <x:v>Final order fixed by 6416ca107509</x:v>
      </x:c>
    </x:row>
    <x:row r="23">
      <x:c r="A23" t="str">
        <x:v>DEL-022</x:v>
      </x:c>
      <x:c r="B23" t="str">
        <x:v>S0.7</x:v>
      </x:c>
      <x:c r="C23" t="str">
        <x:v>Scene evidence set</x:v>
      </x:c>
      <x:c r="D23" t="str">
        <x:v>Evidence/S0.7_*</x:v>
      </x:c>
      <x:c r="E23" t="str">
        <x:v>Evidence</x:v>
      </x:c>
      <x:c r="F23" t="str">
        <x:v>Complete</x:v>
      </x:c>
      <x:c r="G23" t="str">
        <x:v>Validated</x:v>
      </x:c>
      <x:c r="H23" t="str">
        <x:v>Developer-confirmed evidence set</x:v>
      </x:c>
    </x:row>
    <x:row r="24">
      <x:c r="A24" t="str">
        <x:v>DEL-023</x:v>
      </x:c>
      <x:c r="B24" t="str">
        <x:v>S0.7</x:v>
      </x:c>
      <x:c r="C24" t="str">
        <x:v>Operational workbooks v0.3.3</x:v>
      </x:c>
      <x:c r="D24" t="str">
        <x:v>Documentation/10_Development_Records/Production_Tracking</x:v>
      </x:c>
      <x:c r="E24" t="str">
        <x:v>Documentation</x:v>
      </x:c>
      <x:c r="F24" t="str">
        <x:v>Complete</x:v>
      </x:c>
      <x:c r="G24" t="str">
        <x:v>Tracked</x:v>
      </x:c>
      <x:c r="H24" t="str">
        <x:v>Current closure version v0.3.3</x:v>
      </x:c>
    </x:row>
  </x:sheetData>
  <x:conditionalFormatting sqref="G2:G15">
    <x:cfRule type="expression" dxfId="3" priority="1">
      <x:formula>G2="Debt"</x:formula>
    </x:cfRule>
  </x:conditionalFormatting>
  <x:dataValidations count="2">
    <x:dataValidation type="list" sqref="F2:F15">
      <x:formula1>"Complete,In progress,Deferred,Missing"</x:formula1>
    </x:dataValidation>
    <x:dataValidation type="list" sqref="G2:G15">
      <x:formula1>"Tracked,Debt,Not tracked"</x:formula1>
    </x:dataValidation>
  </x:dataValidations>
  <x:pageMargins left="0.7" right="0.7" top="0.75" bottom="0.75" header="0.3" footer="0.3"/>
  <x:tableParts count="1">
    <x:tablePart xmlns:r="http://schemas.openxmlformats.org/officeDocument/2006/relationships" r:id="R18b06ef3ec294832"/>
  </x:tableParts>
</x:worksheet>
</file>

<file path=xl/worksheets/sheet4.xml><?xml version="1.0" encoding="utf-8"?>
<x:worksheet xmlns:x="http://schemas.openxmlformats.org/spreadsheetml/2006/main">
  <x:sheetFormatPr defaultRowHeight="15"/>
  <x:cols>
    <x:col min="1" max="1" width="13" hidden="0" customWidth="1"/>
    <x:col min="2" max="2" width="40" hidden="0" customWidth="1"/>
    <x:col min="3" max="3" width="18" hidden="0" customWidth="1"/>
    <x:col min="4" max="4" width="13" hidden="0" customWidth="1"/>
    <x:col min="5" max="5" width="13" hidden="0" customWidth="1"/>
    <x:col min="6" max="6" width="48" hidden="0" customWidth="1"/>
    <x:col min="7" max="7" width="14" hidden="0" customWidth="1"/>
    <x:col min="8" max="8" width="22" hidden="0" customWidth="1"/>
  </x:cols>
  <x:sheetData>
    <x:row r="1">
      <x:c r="A1" s="20" t="str">
        <x:v>ID</x:v>
      </x:c>
      <x:c r="B1" s="20" t="str">
        <x:v>Risk</x:v>
      </x:c>
      <x:c r="C1" s="20" t="str">
        <x:v>Area</x:v>
      </x:c>
      <x:c r="D1" s="20" t="str">
        <x:v>Probability</x:v>
      </x:c>
      <x:c r="E1" s="20" t="str">
        <x:v>Impact</x:v>
      </x:c>
      <x:c r="F1" s="20" t="str">
        <x:v>Mitigation</x:v>
      </x:c>
      <x:c r="G1" s="20" t="str">
        <x:v>Status</x:v>
      </x:c>
      <x:c r="H1" s="20" t="str">
        <x:v>Owner / Review</x:v>
      </x:c>
    </x:row>
    <x:row r="2">
      <x:c r="A2" s="35" t="str">
        <x:v>R-S0-001</x:v>
      </x:c>
      <x:c r="B2" s="35" t="str">
        <x:v>Operational documents diverge from implementation</x:v>
      </x:c>
      <x:c r="C2" s="35" t="str">
        <x:v>Documentation</x:v>
      </x:c>
      <x:c r="D2" s="35" t="str">
        <x:v>Low</x:v>
      </x:c>
      <x:c r="E2" s="35" t="str">
        <x:v>High</x:v>
      </x:c>
      <x:c r="F2" s="35" t="str">
        <x:v>Update operational workbooks at block start and closure</x:v>
      </x:c>
      <x:c r="G2" s="35" t="str">
        <x:v>Mitigated</x:v>
      </x:c>
      <x:c r="H2" s="35" t="str">
        <x:v>Continuous</x:v>
      </x:c>
    </x:row>
    <x:row r="3">
      <x:c r="A3" s="35" t="str">
        <x:v>R-S0-002</x:v>
      </x:c>
      <x:c r="B3" s="35" t="str">
        <x:v>Unused template packages expand dependencies</x:v>
      </x:c>
      <x:c r="C3" s="35" t="str">
        <x:v>Technical</x:v>
      </x:c>
      <x:c r="D3" s="35" t="str">
        <x:v>Medium</x:v>
      </x:c>
      <x:c r="E3" s="35" t="str">
        <x:v>Medium</x:v>
      </x:c>
      <x:c r="F3" s="35" t="str">
        <x:v>Review package list; remove only through Package Manager with regression check</x:v>
      </x:c>
      <x:c r="G3" s="35" t="str">
        <x:v>Open</x:v>
      </x:c>
      <x:c r="H3" s="35" t="str">
        <x:v>Before S0.7 or S0.10</x:v>
      </x:c>
    </x:row>
    <x:row r="4">
      <x:c r="A4" s="35" t="str">
        <x:v>R-S0-003</x:v>
      </x:c>
      <x:c r="B4" s="35" t="str">
        <x:v>Baseline documents are edited silently</x:v>
      </x:c>
      <x:c r="C4" s="35" t="str">
        <x:v>Governance</x:v>
      </x:c>
      <x:c r="D4" s="35" t="str">
        <x:v>Low</x:v>
      </x:c>
      <x:c r="E4" s="35" t="str">
        <x:v>High</x:v>
      </x:c>
      <x:c r="F4" s="35" t="str">
        <x:v>Keep 00_Official_Baseline immutable; update only operational copies</x:v>
      </x:c>
      <x:c r="G4" s="35" t="str">
        <x:v>Mitigated</x:v>
      </x:c>
      <x:c r="H4" s="35" t="str">
        <x:v>Continuous</x:v>
      </x:c>
    </x:row>
    <x:row r="5">
      <x:c r="A5" s="35" t="str">
        <x:v>R-S0-004</x:v>
      </x:c>
      <x:c r="B5" s="35" t="str">
        <x:v>Environment record remains incomplete</x:v>
      </x:c>
      <x:c r="C5" s="35" t="str">
        <x:v>Documentation</x:v>
      </x:c>
      <x:c r="D5" s="35" t="str">
        <x:v>Medium</x:v>
      </x:c>
      <x:c r="E5" s="35" t="str">
        <x:v>Low</x:v>
      </x:c>
      <x:c r="F5" s="35" t="str">
        <x:v>Complete manually before S0.10</x:v>
      </x:c>
      <x:c r="G5" s="35" t="str">
        <x:v>Accepted</x:v>
      </x:c>
      <x:c r="H5" s="35" t="str">
        <x:v>S0.10</x:v>
      </x:c>
    </x:row>
    <x:row r="6">
      <x:c r="A6" s="35" t="str">
        <x:v>R-S0-005</x:v>
      </x:c>
      <x:c r="B6" s="35" t="str">
        <x:v>GitHub public visibility exposes internal documentation</x:v>
      </x:c>
      <x:c r="C6" s="35" t="str">
        <x:v>Repository</x:v>
      </x:c>
      <x:c r="D6" s="35" t="str">
        <x:v>Medium</x:v>
      </x:c>
      <x:c r="E6" s="35" t="str">
        <x:v>Medium</x:v>
      </x:c>
      <x:c r="F6" s="35" t="str">
        <x:v>Review visibility and sensitive content before future releases</x:v>
      </x:c>
      <x:c r="G6" s="35" t="str">
        <x:v>Open</x:v>
      </x:c>
      <x:c r="H6" s="35" t="str">
        <x:v>Owner decision</x:v>
      </x:c>
    </x:row>
    <x:row r="7">
      <x:c r="A7" s="35" t="str">
        <x:v>R-S0-006</x:v>
      </x:c>
      <x:c r="B7" s="35" t="str">
        <x:v>Assembly meta rename may obscure provenance</x:v>
      </x:c>
      <x:c r="C7" s="35" t="str">
        <x:v>Technical</x:v>
      </x:c>
      <x:c r="D7" s="35" t="str">
        <x:v>Low</x:v>
      </x:c>
      <x:c r="E7" s="35" t="str">
        <x:v>Low</x:v>
      </x:c>
      <x:c r="F7" s="35" t="str">
        <x:v>Unity compilation and GUID validity already confirmed by developer</x:v>
      </x:c>
      <x:c r="G7" s="35" t="str">
        <x:v>Mitigated</x:v>
      </x:c>
      <x:c r="H7" s="35" t="str">
        <x:v>S0.6</x:v>
      </x:c>
    </x:row>
    <x:row r="8">
      <x:c r="A8" t="str">
        <x:v>R-S0-007</x:v>
      </x:c>
      <x:c r="B8" t="str">
        <x:v>Scene assets created or copied outside Unity produce invalid metadata</x:v>
      </x:c>
      <x:c r="C8" t="str">
        <x:v>Technical</x:v>
      </x:c>
      <x:c r="D8" t="str">
        <x:v>Low</x:v>
      </x:c>
      <x:c r="E8" t="str">
        <x:v>High</x:v>
      </x:c>
      <x:c r="F8" t="str">
        <x:v>Create and save every scene in Unity; never copy generated scene/meta templates</x:v>
      </x:c>
      <x:c r="G8" t="str">
        <x:v>Mitigated</x:v>
      </x:c>
      <x:c r="H8" t="str">
        <x:v>S0.7</x:v>
      </x:c>
    </x:row>
    <x:row r="9">
      <x:c r="A9" t="str">
        <x:v>R-S0-008</x:v>
      </x:c>
      <x:c r="B9" t="str">
        <x:v>Global Scene List has wrong order or disabled entries</x:v>
      </x:c>
      <x:c r="C9" t="str">
        <x:v>Build</x:v>
      </x:c>
      <x:c r="D9" t="str">
        <x:v>Medium</x:v>
      </x:c>
      <x:c r="E9" t="str">
        <x:v>High</x:v>
      </x:c>
      <x:c r="F9" t="str">
        <x:v>Verified exact order and removed stale SampleScene entry in 6416ca107509</x:v>
      </x:c>
      <x:c r="G9" t="str">
        <x:v>Mitigated</x:v>
      </x:c>
      <x:c r="H9" t="str">
        <x:v>Closed in S0.7</x:v>
      </x:c>
    </x:row>
  </x:sheetData>
  <x:conditionalFormatting sqref="G2:G7">
    <x:cfRule type="expression" dxfId="4" priority="1">
      <x:formula>G2="Open"</x:formula>
    </x:cfRule>
  </x:conditionalFormatting>
  <x:dataValidations count="2">
    <x:dataValidation type="list" sqref="D2:E7">
      <x:formula1>"Low,Medium,High,Critical"</x:formula1>
    </x:dataValidation>
    <x:dataValidation type="list" sqref="G2:G7">
      <x:formula1>"Open,Mitigated,Accepted,Closed"</x:formula1>
    </x:dataValidation>
  </x:dataValidations>
  <x:pageMargins left="0.7" right="0.7" top="0.75" bottom="0.75" header="0.3" footer="0.3"/>
  <x:tableParts count="1">
    <x:tablePart xmlns:r="http://schemas.openxmlformats.org/officeDocument/2006/relationships" r:id="Ra3bfff6216424a51"/>
  </x:tableParts>
</x:worksheet>
</file>

<file path=xl/worksheets/sheet5.xml><?xml version="1.0" encoding="utf-8"?>
<x:worksheet xmlns:x="http://schemas.openxmlformats.org/spreadsheetml/2006/main">
  <x:sheetFormatPr defaultRowHeight="15"/>
  <x:cols>
    <x:col min="1" max="1" width="13" hidden="0" customWidth="1"/>
    <x:col min="2" max="2" width="48" hidden="0" customWidth="1"/>
    <x:col min="3" max="3" width="14" hidden="0" customWidth="1"/>
    <x:col min="4" max="4" width="14" hidden="0" customWidth="1"/>
    <x:col min="5" max="5" width="22" hidden="0" customWidth="1"/>
    <x:col min="6" max="6" width="48" hidden="0" customWidth="1"/>
    <x:col min="7" max="7" width="48" hidden="0" customWidth="1"/>
  </x:cols>
  <x:sheetData>
    <x:row r="1">
      <x:c r="A1" s="20" t="str">
        <x:v>ADR</x:v>
      </x:c>
      <x:c r="B1" s="20" t="str">
        <x:v>Decision</x:v>
      </x:c>
      <x:c r="C1" s="20" t="str">
        <x:v>Status</x:v>
      </x:c>
      <x:c r="D1" s="20" t="str">
        <x:v>Date</x:v>
      </x:c>
      <x:c r="E1" s="20" t="str">
        <x:v>Scope</x:v>
      </x:c>
      <x:c r="F1" s="20" t="str">
        <x:v>Consequence</x:v>
      </x:c>
      <x:c r="G1" s="20" t="str">
        <x:v>Document</x:v>
      </x:c>
    </x:row>
    <x:row r="2">
      <x:c r="A2" s="35" t="str">
        <x:v>ADR-0001</x:v>
      </x:c>
      <x:c r="B2" s="35" t="str">
        <x:v>Use Unity 6.3 LTS 6000.3.18f1, URP and resolved Released packages</x:v>
      </x:c>
      <x:c r="C2" s="35" t="str">
        <x:v>Accepted</x:v>
      </x:c>
      <x:c r="D2" s="35" t="str">
        <x:v>2026-06-21</x:v>
      </x:c>
      <x:c r="E2" s="35" t="str">
        <x:v>Toolchain / Packages</x:v>
      </x:c>
      <x:c r="F2" s="35" t="str">
        <x:v>Upgrades require validation and traceability</x:v>
      </x:c>
      <x:c r="G2" s="35" t="str">
        <x:v>ADR/ADR-0001-Unity-and-Package-Baseline.md</x:v>
      </x:c>
    </x:row>
    <x:row r="3">
      <x:c r="A3" s="35" t="str">
        <x:v>ADR-0002</x:v>
      </x:c>
      <x:c r="B3" s="35" t="str">
        <x:v>Use GitHub Desktop and main branch for the solo workflow</x:v>
      </x:c>
      <x:c r="C3" s="35" t="str">
        <x:v>Accepted</x:v>
      </x:c>
      <x:c r="D3" s="35" t="str">
        <x:v>2026-06-21</x:v>
      </x:c>
      <x:c r="E3" s="35" t="str">
        <x:v>Version control</x:v>
      </x:c>
      <x:c r="F3" s="35" t="str">
        <x:v>No PowerShell required for daily Git operations</x:v>
      </x:c>
      <x:c r="G3" s="35" t="str">
        <x:v>ADR/ADR-0002-Version-Control-and-Repository-Workflow.md</x:v>
      </x:c>
    </x:row>
    <x:row r="4">
      <x:c r="A4" s="35" t="str">
        <x:v>ADR-0003</x:v>
      </x:c>
      <x:c r="B4" s="35" t="str">
        <x:v>Keep official v0.3 baseline immutable and add operational tracking copies</x:v>
      </x:c>
      <x:c r="C4" s="35" t="str">
        <x:v>Accepted</x:v>
      </x:c>
      <x:c r="D4" s="35" t="str">
        <x:v>2026-06-21</x:v>
      </x:c>
      <x:c r="E4" s="35" t="str">
        <x:v>Documentation</x:v>
      </x:c>
      <x:c r="F4" s="35" t="str">
        <x:v>Implemented state no longer overwrites baseline evidence</x:v>
      </x:c>
      <x:c r="G4" s="35" t="str">
        <x:v>ADR/ADR-0003-Documentation-Baseline-and-Operational-Layer.md</x:v>
      </x:c>
    </x:row>
    <x:row r="5">
      <x:c r="A5" s="35" t="str">
        <x:v>ADR-0004</x:v>
      </x:c>
      <x:c r="B5" s="35" t="str">
        <x:v>Use Domain, Application, Infrastructure, Presentation and two test assemblies</x:v>
      </x:c>
      <x:c r="C5" s="35" t="str">
        <x:v>Accepted</x:v>
      </x:c>
      <x:c r="D5" s="35" t="str">
        <x:v>2026-06-21</x:v>
      </x:c>
      <x:c r="E5" s="35" t="str">
        <x:v>Architecture</x:v>
      </x:c>
      <x:c r="F5" s="35" t="str">
        <x:v>Domain/Application remain independent of Unity</x:v>
      </x:c>
      <x:c r="G5" s="35" t="str">
        <x:v>ADR/ADR-0004-Assembly-Dependency-Boundaries.md</x:v>
      </x:c>
    </x:row>
    <x:row r="6">
      <x:c r="A6" t="str">
        <x:v>ADR-0005</x:v>
      </x:c>
      <x:c r="B6" t="str">
        <x:v>Use Bootstrap, MainMenu, Store and TestLab with a fixed global build order</x:v>
      </x:c>
      <x:c r="C6" t="str">
        <x:v>Accepted</x:v>
      </x:c>
      <x:c r="D6" t="str">
        <x:v>2026-06-21</x:v>
      </x:c>
      <x:c r="E6" t="str">
        <x:v>Scenes / Build</x:v>
      </x:c>
      <x:c r="F6" t="str">
        <x:v>Bootstrap is index 0; TestLab remains development-only in future distribution profiles</x:v>
      </x:c>
      <x:c r="G6" t="str">
        <x:v>ADR/ADR-0005-Scene-Baseline-and-Build-Order.md</x:v>
      </x:c>
    </x:row>
  </x:sheetData>
  <x:pageMargins left="0.7" right="0.7" top="0.75" bottom="0.75" header="0.3" footer="0.3"/>
  <x:tableParts count="1">
    <x:tablePart xmlns:r="http://schemas.openxmlformats.org/officeDocument/2006/relationships" r:id="R9cf6bdab480d4f11"/>
  </x:tableParts>
</x:worksheet>
</file>

<file path=xl/worksheets/sheet6.xml><?xml version="1.0" encoding="utf-8"?>
<x:worksheet xmlns:x="http://schemas.openxmlformats.org/spreadsheetml/2006/main">
  <x:sheetFormatPr defaultRowHeight="15"/>
  <x:cols>
    <x:col min="1" max="1" width="24" hidden="0" customWidth="1"/>
    <x:col min="2" max="2" width="42" hidden="0" customWidth="1"/>
    <x:col min="3" max="3" width="14" hidden="0" customWidth="1"/>
    <x:col min="4" max="4" width="18" hidden="0" customWidth="1"/>
    <x:col min="5" max="5" width="18" hidden="0" customWidth="1"/>
    <x:col min="6" max="6" width="48" hidden="0" customWidth="1"/>
    <x:col min="7" max="7" width="26" hidden="0" customWidth="1"/>
  </x:cols>
  <x:sheetData>
    <x:row r="1">
      <x:c r="A1" s="20" t="str">
        <x:v>Package</x:v>
      </x:c>
      <x:c r="B1" s="20" t="str">
        <x:v>ID</x:v>
      </x:c>
      <x:c r="C1" s="20" t="str">
        <x:v>Version</x:v>
      </x:c>
      <x:c r="D1" s="20" t="str">
        <x:v>Required for slice</x:v>
      </x:c>
      <x:c r="E1" s="20" t="str">
        <x:v>Current decision</x:v>
      </x:c>
      <x:c r="F1" s="20" t="str">
        <x:v>Action</x:v>
      </x:c>
      <x:c r="G1" s="20" t="str">
        <x:v>Source</x:v>
      </x:c>
    </x:row>
    <x:row r="2">
      <x:c r="A2" s="35" t="str">
        <x:v>AI Navigation</x:v>
      </x:c>
      <x:c r="B2" s="35" t="str">
        <x:v>com.unity.ai.navigation</x:v>
      </x:c>
      <x:c r="C2" s="35" t="str">
        <x:v>2.0.13</x:v>
      </x:c>
      <x:c r="D2" s="35" t="str">
        <x:v>Yes</x:v>
      </x:c>
      <x:c r="E2" s="35" t="str">
        <x:v>Keep</x:v>
      </x:c>
      <x:c r="F2" s="35" t="str">
        <x:v>None</x:v>
      </x:c>
      <x:c r="G2" s="35" t="str">
        <x:v>Packages/manifest.json</x:v>
      </x:c>
    </x:row>
    <x:row r="3">
      <x:c r="A3" s="35" t="str">
        <x:v>Rider Editor</x:v>
      </x:c>
      <x:c r="B3" s="35" t="str">
        <x:v>com.unity.ide.rider</x:v>
      </x:c>
      <x:c r="C3" s="35" t="str">
        <x:v>3.0.40</x:v>
      </x:c>
      <x:c r="D3" s="35" t="str">
        <x:v>No</x:v>
      </x:c>
      <x:c r="E3" s="35" t="str">
        <x:v>Optional</x:v>
      </x:c>
      <x:c r="F3" s="35" t="str">
        <x:v>Can keep or remove if unused</x:v>
      </x:c>
      <x:c r="G3" s="35" t="str">
        <x:v>Packages/manifest.json</x:v>
      </x:c>
    </x:row>
    <x:row r="4">
      <x:c r="A4" s="35" t="str">
        <x:v>Visual Studio Editor</x:v>
      </x:c>
      <x:c r="B4" s="35" t="str">
        <x:v>com.unity.ide.visualstudio</x:v>
      </x:c>
      <x:c r="C4" s="35" t="str">
        <x:v>2.0.26</x:v>
      </x:c>
      <x:c r="D4" s="35" t="str">
        <x:v>Yes</x:v>
      </x:c>
      <x:c r="E4" s="35" t="str">
        <x:v>Keep</x:v>
      </x:c>
      <x:c r="F4" s="35" t="str">
        <x:v>None</x:v>
      </x:c>
      <x:c r="G4" s="35" t="str">
        <x:v>Packages/manifest.json</x:v>
      </x:c>
    </x:row>
    <x:row r="5">
      <x:c r="A5" s="35" t="str">
        <x:v>Input System</x:v>
      </x:c>
      <x:c r="B5" s="35" t="str">
        <x:v>com.unity.inputsystem</x:v>
      </x:c>
      <x:c r="C5" s="35" t="str">
        <x:v>1.19.0</x:v>
      </x:c>
      <x:c r="D5" s="35" t="str">
        <x:v>Yes</x:v>
      </x:c>
      <x:c r="E5" s="35" t="str">
        <x:v>Keep</x:v>
      </x:c>
      <x:c r="F5" s="35" t="str">
        <x:v>None</x:v>
      </x:c>
      <x:c r="G5" s="35" t="str">
        <x:v>Packages/manifest.json</x:v>
      </x:c>
    </x:row>
    <x:row r="6">
      <x:c r="A6" s="35" t="str">
        <x:v>Localization</x:v>
      </x:c>
      <x:c r="B6" s="35" t="str">
        <x:v>com.unity.localization</x:v>
      </x:c>
      <x:c r="C6" s="35" t="str">
        <x:v>1.5.12</x:v>
      </x:c>
      <x:c r="D6" s="35" t="str">
        <x:v>Yes</x:v>
      </x:c>
      <x:c r="E6" s="35" t="str">
        <x:v>Keep</x:v>
      </x:c>
      <x:c r="F6" s="35" t="str">
        <x:v>None</x:v>
      </x:c>
      <x:c r="G6" s="35" t="str">
        <x:v>Packages/manifest.json</x:v>
      </x:c>
    </x:row>
    <x:row r="7">
      <x:c r="A7" s="35" t="str">
        <x:v>Universal RP</x:v>
      </x:c>
      <x:c r="B7" s="35" t="str">
        <x:v>com.unity.render-pipelines.universal</x:v>
      </x:c>
      <x:c r="C7" s="35" t="str">
        <x:v>17.3.0</x:v>
      </x:c>
      <x:c r="D7" s="35" t="str">
        <x:v>Yes</x:v>
      </x:c>
      <x:c r="E7" s="35" t="str">
        <x:v>Keep</x:v>
      </x:c>
      <x:c r="F7" s="35" t="str">
        <x:v>None</x:v>
      </x:c>
      <x:c r="G7" s="35" t="str">
        <x:v>Packages/manifest.json</x:v>
      </x:c>
    </x:row>
    <x:row r="8">
      <x:c r="A8" s="35" t="str">
        <x:v>Test Framework</x:v>
      </x:c>
      <x:c r="B8" s="35" t="str">
        <x:v>com.unity.test-framework</x:v>
      </x:c>
      <x:c r="C8" s="35" t="str">
        <x:v>1.6.0</x:v>
      </x:c>
      <x:c r="D8" s="35" t="str">
        <x:v>Yes</x:v>
      </x:c>
      <x:c r="E8" s="35" t="str">
        <x:v>Keep</x:v>
      </x:c>
      <x:c r="F8" s="35" t="str">
        <x:v>None</x:v>
      </x:c>
      <x:c r="G8" s="35" t="str">
        <x:v>Packages/manifest.json</x:v>
      </x:c>
    </x:row>
    <x:row r="9">
      <x:c r="A9" s="35" t="str">
        <x:v>Unity UI</x:v>
      </x:c>
      <x:c r="B9" s="35" t="str">
        <x:v>com.unity.ugui</x:v>
      </x:c>
      <x:c r="C9" s="35" t="str">
        <x:v>2.0.0</x:v>
      </x:c>
      <x:c r="D9" s="35" t="str">
        <x:v>Yes</x:v>
      </x:c>
      <x:c r="E9" s="35" t="str">
        <x:v>Keep</x:v>
      </x:c>
      <x:c r="F9" s="35" t="str">
        <x:v>None</x:v>
      </x:c>
      <x:c r="G9" s="35" t="str">
        <x:v>Packages/manifest.json</x:v>
      </x:c>
    </x:row>
    <x:row r="10">
      <x:c r="A10" s="35" t="str">
        <x:v>Collab Proxy</x:v>
      </x:c>
      <x:c r="B10" s="35" t="str">
        <x:v>com.unity.collab-proxy</x:v>
      </x:c>
      <x:c r="C10" s="35" t="str">
        <x:v>2.12.4</x:v>
      </x:c>
      <x:c r="D10" s="35" t="str">
        <x:v>No</x:v>
      </x:c>
      <x:c r="E10" s="35" t="str">
        <x:v>Review</x:v>
      </x:c>
      <x:c r="F10" s="35" t="str">
        <x:v>Remove through Package Manager if no dependency blocks it</x:v>
      </x:c>
      <x:c r="G10" s="35" t="str">
        <x:v>Packages/manifest.json</x:v>
      </x:c>
    </x:row>
    <x:row r="11">
      <x:c r="A11" s="35" t="str">
        <x:v>Multiplayer Center</x:v>
      </x:c>
      <x:c r="B11" s="35" t="str">
        <x:v>com.unity.multiplayer.center</x:v>
      </x:c>
      <x:c r="C11" s="35" t="str">
        <x:v>1.0.1</x:v>
      </x:c>
      <x:c r="D11" s="35" t="str">
        <x:v>No</x:v>
      </x:c>
      <x:c r="E11" s="35" t="str">
        <x:v>Review</x:v>
      </x:c>
      <x:c r="F11" s="35" t="str">
        <x:v>Remove through Package Manager</x:v>
      </x:c>
      <x:c r="G11" s="35" t="str">
        <x:v>Packages/manifest.json</x:v>
      </x:c>
    </x:row>
    <x:row r="12">
      <x:c r="A12" s="35" t="str">
        <x:v>Visual Scripting</x:v>
      </x:c>
      <x:c r="B12" s="35" t="str">
        <x:v>com.unity.visualscripting</x:v>
      </x:c>
      <x:c r="C12" s="35" t="str">
        <x:v>1.9.11</x:v>
      </x:c>
      <x:c r="D12" s="35" t="str">
        <x:v>No</x:v>
      </x:c>
      <x:c r="E12" s="35" t="str">
        <x:v>Review</x:v>
      </x:c>
      <x:c r="F12" s="35" t="str">
        <x:v>Remove through Package Manager</x:v>
      </x:c>
      <x:c r="G12" s="35" t="str">
        <x:v>Packages/manifest.json</x:v>
      </x:c>
    </x:row>
    <x:row r="13">
      <x:c r="A13" s="35" t="str">
        <x:v>Timeline</x:v>
      </x:c>
      <x:c r="B13" s="35" t="str">
        <x:v>com.unity.timeline</x:v>
      </x:c>
      <x:c r="C13" s="35" t="str">
        <x:v>1.8.12</x:v>
      </x:c>
      <x:c r="D13" s="35" t="str">
        <x:v>No</x:v>
      </x:c>
      <x:c r="E13" s="35" t="str">
        <x:v>Review</x:v>
      </x:c>
      <x:c r="F13" s="35" t="str">
        <x:v>Keep only if a near-term use is identified</x:v>
      </x:c>
      <x:c r="G13" s="35" t="str">
        <x:v>Packages/manifest.json</x:v>
      </x:c>
    </x:row>
  </x:sheetData>
  <x:conditionalFormatting sqref="D2:E13">
    <x:cfRule type="expression" dxfId="5" priority="1">
      <x:formula>D2="No"</x:formula>
    </x:cfRule>
  </x:conditionalFormatting>
  <x:conditionalFormatting sqref="E2:E13">
    <x:cfRule type="expression" dxfId="6" priority="2">
      <x:formula>E2="Review"</x:formula>
    </x:cfRule>
  </x:conditionalFormatting>
  <x:pageMargins left="0.7" right="0.7" top="0.75" bottom="0.75" header="0.3" footer="0.3"/>
  <x:tableParts count="1">
    <x:tablePart xmlns:r="http://schemas.openxmlformats.org/officeDocument/2006/relationships" r:id="Ref3ee837c4d243cb"/>
  </x:tableParts>
</x:worksheet>
</file>

<file path=xl/worksheets/sheet7.xml><?xml version="1.0" encoding="utf-8"?>
<x:worksheet xmlns:x="http://schemas.openxmlformats.org/spreadsheetml/2006/main">
  <x:sheetFormatPr defaultRowHeight="15"/>
  <x:cols>
    <x:col min="1" max="1" width="14" hidden="0" customWidth="1"/>
    <x:col min="2" max="2" width="15" hidden="0" customWidth="1"/>
    <x:col min="3" max="3" width="35" hidden="0" customWidth="1"/>
    <x:col min="4" max="4" width="30" hidden="0" customWidth="1"/>
    <x:col min="5" max="5" width="48" hidden="0" customWidth="1"/>
    <x:col min="6" max="6" width="48" hidden="0" customWidth="1"/>
    <x:col min="7" max="7" width="24" hidden="0" customWidth="1"/>
  </x:cols>
  <x:sheetData>
    <x:row r="1">
      <x:c r="A1" s="20" t="str">
        <x:v>Date</x:v>
      </x:c>
      <x:c r="B1" s="20" t="str">
        <x:v>Sprint</x:v>
      </x:c>
      <x:c r="C1" s="20" t="str">
        <x:v>Completed</x:v>
      </x:c>
      <x:c r="D1" s="20" t="str">
        <x:v>In progress</x:v>
      </x:c>
      <x:c r="E1" s="20" t="str">
        <x:v>Risks / blockers</x:v>
      </x:c>
      <x:c r="F1" s="20" t="str">
        <x:v>Decisions</x:v>
      </x:c>
      <x:c r="G1" s="20" t="str">
        <x:v>Next review</x:v>
      </x:c>
    </x:row>
    <x:row r="2">
      <x:c r="A2" s="35" t="str">
        <x:v>2026-06-21</x:v>
      </x:c>
      <x:c r="B2" s="35" t="str">
        <x:v>Sprint 0</x:v>
      </x:c>
      <x:c r="C2" s="35" t="str">
        <x:v>S0.1–S0.6</x:v>
      </x:c>
      <x:c r="D2" s="35" t="str">
        <x:v>S0.6D</x:v>
      </x:c>
      <x:c r="E2" s="35" t="str">
        <x:v>Documentation and tracking were behind implementation</x:v>
      </x:c>
      <x:c r="F2" s="35" t="str">
        <x:v>Create operational tracking layer</x:v>
      </x:c>
      <x:c r="G2" s="35" t="str">
        <x:v>After S0.6D integration</x:v>
      </x:c>
    </x:row>
    <x:row r="3">
      <x:c r="A3" s="35" t="str">
        <x:v>2026-06-21</x:v>
      </x:c>
      <x:c r="B3" s="35" t="str">
        <x:v>Sprint 0</x:v>
      </x:c>
      <x:c r="C3" s="35" t="str">
        <x:v>S0.6D</x:v>
      </x:c>
      <x:c r="D3" s="35" t="str">
        <x:v>S0.7</x:v>
      </x:c>
      <x:c r="E3" s="35" t="str">
        <x:v>Scene assets and Scene List not yet created</x:v>
      </x:c>
      <x:c r="F3" s="35" t="str">
        <x:v>Freeze four scene names and exact order through ADR-0005</x:v>
      </x:c>
      <x:c r="G3" s="35" t="str">
        <x:v>After S0.7 local validation</x:v>
      </x:c>
    </x:row>
    <x:row r="4">
      <x:c r="A4" s="35" t="str">
        <x:v>2026-06-22</x:v>
      </x:c>
      <x:c r="B4" s="35" t="str">
        <x:v>Sprint 0</x:v>
      </x:c>
      <x:c r="C4" s="35" t="str">
        <x:v>S0.7</x:v>
      </x:c>
      <x:c r="D4" s="35" t="str">
        <x:v>None</x:v>
      </x:c>
      <x:c r="E4" s="35" t="str">
        <x:v>No blocking scene-baseline risks remain</x:v>
      </x:c>
      <x:c r="F4" s="35" t="str">
        <x:v>Close S0.7 with PASS and authorize S0.8</x:v>
      </x:c>
      <x:c r="G4" s="35" t="str">
        <x:v>After S0.8 validation</x:v>
      </x:c>
    </x:row>
    <x:row r="5">
      <x:c r="A5" s="35"/>
      <x:c r="B5" s="35"/>
      <x:c r="C5" s="35"/>
      <x:c r="D5" s="35"/>
      <x:c r="E5" s="35"/>
      <x:c r="F5" s="35"/>
      <x:c r="G5" s="35"/>
    </x:row>
    <x:row r="6">
      <x:c r="A6" s="35"/>
      <x:c r="B6" s="35"/>
      <x:c r="C6" s="35"/>
      <x:c r="D6" s="35"/>
      <x:c r="E6" s="35"/>
      <x:c r="F6" s="35"/>
      <x:c r="G6" s="35"/>
    </x:row>
    <x:row r="7">
      <x:c r="A7" s="35"/>
      <x:c r="B7" s="35"/>
      <x:c r="C7" s="35"/>
      <x:c r="D7" s="35"/>
      <x:c r="E7" s="35"/>
      <x:c r="F7" s="35"/>
      <x:c r="G7" s="35"/>
    </x:row>
    <x:row r="8">
      <x:c r="A8" s="35"/>
      <x:c r="B8" s="35"/>
      <x:c r="C8" s="35"/>
      <x:c r="D8" s="35"/>
      <x:c r="E8" s="35"/>
      <x:c r="F8" s="35"/>
      <x:c r="G8" s="35"/>
    </x:row>
    <x:row r="9">
      <x:c r="A9" s="35"/>
      <x:c r="B9" s="35"/>
      <x:c r="C9" s="35"/>
      <x:c r="D9" s="35"/>
      <x:c r="E9" s="35"/>
      <x:c r="F9" s="35"/>
      <x:c r="G9" s="35"/>
    </x:row>
    <x:row r="10">
      <x:c r="A10" s="35"/>
      <x:c r="B10" s="35"/>
      <x:c r="C10" s="35"/>
      <x:c r="D10" s="35"/>
      <x:c r="E10" s="35"/>
      <x:c r="F10" s="35"/>
      <x:c r="G10" s="35"/>
    </x:row>
    <x:row r="11">
      <x:c r="A11" s="35"/>
      <x:c r="B11" s="35"/>
      <x:c r="C11" s="35"/>
      <x:c r="D11" s="35"/>
      <x:c r="E11" s="35"/>
      <x:c r="F11" s="35"/>
      <x:c r="G11" s="35"/>
    </x:row>
    <x:row r="12">
      <x:c r="A12" s="35"/>
      <x:c r="B12" s="35"/>
      <x:c r="C12" s="35"/>
      <x:c r="D12" s="35"/>
      <x:c r="E12" s="35"/>
      <x:c r="F12" s="35"/>
      <x:c r="G12" s="35"/>
    </x:row>
    <x:row r="13">
      <x:c r="A13" s="35"/>
      <x:c r="B13" s="35"/>
      <x:c r="C13" s="35"/>
      <x:c r="D13" s="35"/>
      <x:c r="E13" s="35"/>
      <x:c r="F13" s="35"/>
      <x:c r="G13" s="35"/>
    </x:row>
    <x:row r="14">
      <x:c r="A14" s="35"/>
      <x:c r="B14" s="35"/>
      <x:c r="C14" s="35"/>
      <x:c r="D14" s="35"/>
      <x:c r="E14" s="35"/>
      <x:c r="F14" s="35"/>
      <x:c r="G14" s="35"/>
    </x:row>
    <x:row r="15">
      <x:c r="A15" s="35"/>
      <x:c r="B15" s="35"/>
      <x:c r="C15" s="35"/>
      <x:c r="D15" s="35"/>
      <x:c r="E15" s="35"/>
      <x:c r="F15" s="35"/>
      <x:c r="G15" s="35"/>
    </x:row>
    <x:row r="16">
      <x:c r="A16" s="35"/>
      <x:c r="B16" s="35"/>
      <x:c r="C16" s="35"/>
      <x:c r="D16" s="35"/>
      <x:c r="E16" s="35"/>
      <x:c r="F16" s="35"/>
      <x:c r="G16" s="35"/>
    </x:row>
    <x:row r="17">
      <x:c r="A17" s="35"/>
      <x:c r="B17" s="35"/>
      <x:c r="C17" s="35"/>
      <x:c r="D17" s="35"/>
      <x:c r="E17" s="35"/>
      <x:c r="F17" s="35"/>
      <x:c r="G17" s="35"/>
    </x:row>
    <x:row r="18">
      <x:c r="A18" s="35"/>
      <x:c r="B18" s="35"/>
      <x:c r="C18" s="35"/>
      <x:c r="D18" s="35"/>
      <x:c r="E18" s="35"/>
      <x:c r="F18" s="35"/>
      <x:c r="G18" s="35"/>
    </x:row>
    <x:row r="19">
      <x:c r="A19" s="35"/>
      <x:c r="B19" s="35"/>
      <x:c r="C19" s="35"/>
      <x:c r="D19" s="35"/>
      <x:c r="E19" s="35"/>
      <x:c r="F19" s="35"/>
      <x:c r="G19" s="35"/>
    </x:row>
    <x:row r="20">
      <x:c r="A20" s="35"/>
      <x:c r="B20" s="35"/>
      <x:c r="C20" s="35"/>
      <x:c r="D20" s="35"/>
      <x:c r="E20" s="35"/>
      <x:c r="F20" s="35"/>
      <x:c r="G20" s="35"/>
    </x:row>
  </x:sheetData>
  <x:pageMargins left="0.7" right="0.7" top="0.75" bottom="0.75" header="0.3" footer="0.3"/>
  <x:tableParts count="1">
    <x:tablePart xmlns:r="http://schemas.openxmlformats.org/officeDocument/2006/relationships" r:id="Rb8be5da90f1d4e41"/>
  </x:tableParts>
</x:worksheet>
</file>