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b29c72af5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6c51084b56a94b42"/>
    <x:sheet xmlns:r="http://schemas.openxmlformats.org/officeDocument/2006/relationships" name="01_Dashboard" sheetId="2" r:id="R5cfb5a642d814ded"/>
    <x:sheet xmlns:r="http://schemas.openxmlformats.org/officeDocument/2006/relationships" name="02_Entidades_Legales" sheetId="3" r:id="Rc6eab8ac7b4e49b1"/>
    <x:sheet xmlns:r="http://schemas.openxmlformats.org/officeDocument/2006/relationships" name="03_Assets_Internos" sheetId="4" r:id="Rd00e32fc6ef042b3"/>
    <x:sheet xmlns:r="http://schemas.openxmlformats.org/officeDocument/2006/relationships" name="04_Assets_Externos" sheetId="5" r:id="R93eafec5623345d6"/>
    <x:sheet xmlns:r="http://schemas.openxmlformats.org/officeDocument/2006/relationships" name="05_Contenido_Generado" sheetId="6" r:id="Rd10605d67667408b"/>
    <x:sheet xmlns:r="http://schemas.openxmlformats.org/officeDocument/2006/relationships" name="06_Modelos_3D" sheetId="7" r:id="R680a71d6b9e64b20"/>
    <x:sheet xmlns:r="http://schemas.openxmlformats.org/officeDocument/2006/relationships" name="07_Texturas_Materiales" sheetId="8" r:id="R117c05d52e1a4772"/>
    <x:sheet xmlns:r="http://schemas.openxmlformats.org/officeDocument/2006/relationships" name="08_Audio_Musica" sheetId="9" r:id="R04ad23619f8d4b7d"/>
    <x:sheet xmlns:r="http://schemas.openxmlformats.org/officeDocument/2006/relationships" name="09_Fuentes_Iconos_UI" sheetId="10" r:id="R7cf52eba30a344c2"/>
    <x:sheet xmlns:r="http://schemas.openxmlformats.org/officeDocument/2006/relationships" name="10_Localizacion_Traduccion" sheetId="11" r:id="R6da862c41f0948a7"/>
    <x:sheet xmlns:r="http://schemas.openxmlformats.org/officeDocument/2006/relationships" name="11_Software_Paquetes" sheetId="12" r:id="R0718c58baed04b8e"/>
    <x:sheet xmlns:r="http://schemas.openxmlformats.org/officeDocument/2006/relationships" name="12_Marcas_IP" sheetId="13" r:id="R940b228ff4cb44cf"/>
    <x:sheet xmlns:r="http://schemas.openxmlformats.org/officeDocument/2006/relationships" name="13_Creditos" sheetId="14" r:id="R4527748980724d83"/>
    <x:sheet xmlns:r="http://schemas.openxmlformats.org/officeDocument/2006/relationships" name="14_Atribuciones" sheetId="15" r:id="R16a65e77569841e4"/>
    <x:sheet xmlns:r="http://schemas.openxmlformats.org/officeDocument/2006/relationships" name="15_Restricciones" sheetId="16" r:id="Rd2e5a226ec4e4240"/>
    <x:sheet xmlns:r="http://schemas.openxmlformats.org/officeDocument/2006/relationships" name="16_Pruebas_Documentales" sheetId="17" r:id="Rb32a4d75f00346ca"/>
    <x:sheet xmlns:r="http://schemas.openxmlformats.org/officeDocument/2006/relationships" name="17_Builds_Distribucion" sheetId="18" r:id="Re65caeaeb47744d8"/>
    <x:sheet xmlns:r="http://schemas.openxmlformats.org/officeDocument/2006/relationships" name="18_Riesgos_Legales" sheetId="19" r:id="R44647dd579694f81"/>
    <x:sheet xmlns:r="http://schemas.openxmlformats.org/officeDocument/2006/relationships" name="19_Deuda_Pendiente" sheetId="20" r:id="R3e1c186b995842d6"/>
    <x:sheet xmlns:r="http://schemas.openxmlformats.org/officeDocument/2006/relationships" name="20_Historico_Registros" sheetId="21" r:id="Ra12e1da13c164de5"/>
    <x:sheet xmlns:r="http://schemas.openxmlformats.org/officeDocument/2006/relationships" name="21_Catalogos_Controlados" sheetId="22" r:id="R5154bc065e194cd4"/>
    <x:sheet xmlns:r="http://schemas.openxmlformats.org/officeDocument/2006/relationships" name="22_Fuentes" sheetId="23" r:id="Re17d05e5a24d4fb6"/>
    <x:sheet xmlns:r="http://schemas.openxmlformats.org/officeDocument/2006/relationships" name="23_Trazabilidad" sheetId="24" r:id="R19385d94786b4262"/>
    <x:sheet xmlns:r="http://schemas.openxmlformats.org/officeDocument/2006/relationships" name="24_Integracion_00_34" sheetId="25" r:id="R7f5ec96b4b584003"/>
    <x:sheet xmlns:r="http://schemas.openxmlformats.org/officeDocument/2006/relationships" name="25_Control_Cambios" sheetId="26" r:id="R747dda86c09441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FFFFFF"/>
      <x:name val="Carlito"/>
    </x:font>
    <x:font>
      <x:b/>
      <x:sz val="9"/>
      <x:color rgb="FFFFFFFF"/>
      <x:name val="Carlito"/>
    </x:font>
    <x:font>
      <x:sz val="9"/>
      <x:color rgb="FF17201E"/>
      <x:name val="Carlito"/>
    </x:font>
    <x:font>
      <x:b/>
      <x:sz val="11"/>
      <x:color rgb="FF17352D"/>
      <x:name val="Carlito"/>
    </x:font>
    <x:font>
      <x:b/>
      <x:sz val="10"/>
      <x:color rgb="FFFFFFFF"/>
      <x:name val="Carlito"/>
    </x:font>
    <x:font>
      <x:b/>
      <x:sz val="14"/>
      <x:color rgb="FF17352D"/>
      <x:name val="Carlito"/>
    </x:font>
    <x:font>
      <x:sz val="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C1311"/>
      </x:patternFill>
    </x:fill>
    <x:fill>
      <x:patternFill patternType="solid">
        <x:fgColor rgb="FF17352D"/>
      </x:patternFill>
    </x:fill>
    <x:fill>
      <x:patternFill patternType="solid">
        <x:fgColor rgb="FFDDF8ED"/>
      </x:patternFill>
    </x:fill>
    <x:fill>
      <x:patternFill patternType="solid">
        <x:fgColor rgb="FF0C1311"/>
      </x:patternFill>
    </x:fill>
    <x:fill>
      <x:patternFill patternType="solid">
        <x:fgColor rgb="FF17352D"/>
      </x:patternFill>
    </x:fill>
  </x:fills>
  <x:borders count="4">
    <x:border/>
    <x:border/>
    <x:border>
      <x:top style="thin">
        <x:color rgb="FFA7B8B1"/>
      </x:top>
      <x:bottom style="thin">
        <x:color rgb="FFA7B8B1"/>
      </x:bottom>
    </x:border>
    <x:border>
      <x:bottom style="hair">
        <x:color rgb="FFD9E2DE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 vertical="center"/>
    </x:xf>
    <x:xf numFmtId="201" fontId="7" fillId="4" borderId="0" xfId="0" applyNumberFormat="1" applyFont="1" applyFill="1" applyBorder="1" applyAlignment="1">
      <x:alignment horizontal="center" vertical="center"/>
    </x:xf>
    <x:xf numFmtId="201" fontId="7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left" wrapText="1"/>
    </x:xf>
    <x:xf numFmtId="0" fontId="2" fillId="6" borderId="0" xfId="0" applyNumberFormat="1" applyFont="1" applyFill="1" applyBorder="1" applyAlignment="1">
      <x:alignment horizontal="left" vertical="center" wrapText="1"/>
    </x:xf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xfId="0" applyNumberFormat="1" applyFont="1" applyFill="1" applyBorder="0"/>
    <x:xf numFmtId="0" fontId="8" fillId="0" borderId="3" xfId="0" applyNumberFormat="1" applyFont="1" applyFill="1" applyBorder="1"/>
    <x:xf numFmtId="0" fontId="8" fillId="0" xfId="0" applyNumberFormat="1" applyFont="1" applyFill="1" applyBorder="0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xfId="0" applyNumberFormat="1" applyFont="1" applyFill="1" applyBorder="0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1" fontId="7" fillId="4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157"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b/>
        <x:color rgb="FF166534"/>
      </x:font>
      <x:fill>
        <x:patternFill>
          <x:bgColor rgb="FFDDF8ED"/>
        </x:patternFill>
      </x:fill>
    </x:dxf>
    <x:dxf>
      <x:font>
        <x:b/>
        <x:color rgb="FFC62828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7C3AED"/>
      </x:font>
      <x:fill>
        <x:patternFill>
          <x:bgColor rgb="FFEDE9FE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e9d6aba0d44cd6" /><Relationship Type="http://schemas.openxmlformats.org/officeDocument/2006/relationships/theme" Target="/xl/theme/theme1.xml" Id="R47b72532733d4b82" /><Relationship Type="http://schemas.openxmlformats.org/officeDocument/2006/relationships/sharedStrings" Target="/xl/sharedStrings.xml" Id="Re13fedb1810d4342" /><Relationship Type="http://schemas.openxmlformats.org/officeDocument/2006/relationships/worksheet" Target="/xl/worksheets/sheet1.xml" Id="R6c51084b56a94b42" /><Relationship Type="http://schemas.openxmlformats.org/officeDocument/2006/relationships/worksheet" Target="/xl/worksheets/sheet2.xml" Id="R5cfb5a642d814ded" /><Relationship Type="http://schemas.openxmlformats.org/officeDocument/2006/relationships/worksheet" Target="/xl/worksheets/sheet3.xml" Id="Rc6eab8ac7b4e49b1" /><Relationship Type="http://schemas.openxmlformats.org/officeDocument/2006/relationships/worksheet" Target="/xl/worksheets/sheet4.xml" Id="Rd00e32fc6ef042b3" /><Relationship Type="http://schemas.openxmlformats.org/officeDocument/2006/relationships/worksheet" Target="/xl/worksheets/sheet5.xml" Id="R93eafec5623345d6" /><Relationship Type="http://schemas.openxmlformats.org/officeDocument/2006/relationships/worksheet" Target="/xl/worksheets/sheet6.xml" Id="Rd10605d67667408b" /><Relationship Type="http://schemas.openxmlformats.org/officeDocument/2006/relationships/worksheet" Target="/xl/worksheets/sheet7.xml" Id="R680a71d6b9e64b20" /><Relationship Type="http://schemas.openxmlformats.org/officeDocument/2006/relationships/worksheet" Target="/xl/worksheets/sheet8.xml" Id="R117c05d52e1a4772" /><Relationship Type="http://schemas.openxmlformats.org/officeDocument/2006/relationships/worksheet" Target="/xl/worksheets/sheet9.xml" Id="R04ad23619f8d4b7d" /><Relationship Type="http://schemas.openxmlformats.org/officeDocument/2006/relationships/worksheet" Target="/xl/worksheets/sheet10.xml" Id="R7cf52eba30a344c2" /><Relationship Type="http://schemas.openxmlformats.org/officeDocument/2006/relationships/worksheet" Target="/xl/worksheets/sheet11.xml" Id="R6da862c41f0948a7" /><Relationship Type="http://schemas.openxmlformats.org/officeDocument/2006/relationships/worksheet" Target="/xl/worksheets/sheet12.xml" Id="R0718c58baed04b8e" /><Relationship Type="http://schemas.openxmlformats.org/officeDocument/2006/relationships/worksheet" Target="/xl/worksheets/sheet13.xml" Id="R940b228ff4cb44cf" /><Relationship Type="http://schemas.openxmlformats.org/officeDocument/2006/relationships/worksheet" Target="/xl/worksheets/sheet14.xml" Id="R4527748980724d83" /><Relationship Type="http://schemas.openxmlformats.org/officeDocument/2006/relationships/worksheet" Target="/xl/worksheets/sheet15.xml" Id="R16a65e77569841e4" /><Relationship Type="http://schemas.openxmlformats.org/officeDocument/2006/relationships/worksheet" Target="/xl/worksheets/sheet16.xml" Id="Rd2e5a226ec4e4240" /><Relationship Type="http://schemas.openxmlformats.org/officeDocument/2006/relationships/worksheet" Target="/xl/worksheets/sheet17.xml" Id="Rb32a4d75f00346ca" /><Relationship Type="http://schemas.openxmlformats.org/officeDocument/2006/relationships/worksheet" Target="/xl/worksheets/sheet18.xml" Id="Re65caeaeb47744d8" /><Relationship Type="http://schemas.openxmlformats.org/officeDocument/2006/relationships/worksheet" Target="/xl/worksheets/sheet19.xml" Id="R44647dd579694f81" /><Relationship Type="http://schemas.openxmlformats.org/officeDocument/2006/relationships/worksheet" Target="/xl/worksheets/sheet20.xml" Id="R3e1c186b995842d6" /><Relationship Type="http://schemas.openxmlformats.org/officeDocument/2006/relationships/worksheet" Target="/xl/worksheets/sheet21.xml" Id="Ra12e1da13c164de5" /><Relationship Type="http://schemas.openxmlformats.org/officeDocument/2006/relationships/worksheet" Target="/xl/worksheets/sheet22.xml" Id="R5154bc065e194cd4" /><Relationship Type="http://schemas.openxmlformats.org/officeDocument/2006/relationships/worksheet" Target="/xl/worksheets/sheet23.xml" Id="Re17d05e5a24d4fb6" /><Relationship Type="http://schemas.openxmlformats.org/officeDocument/2006/relationships/worksheet" Target="/xl/worksheets/sheet24.xml" Id="R19385d94786b4262" /><Relationship Type="http://schemas.openxmlformats.org/officeDocument/2006/relationships/worksheet" Target="/xl/worksheets/sheet25.xml" Id="R7f5ec96b4b584003" /><Relationship Type="http://schemas.openxmlformats.org/officeDocument/2006/relationships/worksheet" Target="/xl/worksheets/sheet26.xml" Id="R747dda86c09441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0ad878dc5944314" /><Relationship Type="http://schemas.openxmlformats.org/officeDocument/2006/relationships/chart" Target="/xl/drawings/charts/chart2.xml" Id="R0287a5a828ee499e" /><Relationship Type="http://schemas.openxmlformats.org/officeDocument/2006/relationships/chart" Target="/xl/drawings/charts/chart3.xml" Id="R0e7f485409544e6f" /><Relationship Type="http://schemas.openxmlformats.org/officeDocument/2006/relationships/chart" Target="/xl/drawings/charts/chart4.xml" Id="R012af45599714fe0" /><Relationship Type="http://schemas.openxmlformats.org/officeDocument/2006/relationships/chart" Target="/xl/drawings/charts/chart5.xml" Id="Rcff265ec86544a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Assets internos por categoría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'01_Dashboard'!$A$22:$A$31</c:f>
              <c:strCache>
                <c:ptCount val="0"/>
              </c:strCache>
            </c:strRef>
          </c:cat>
          <c:val>
            <c:numRef>
              <c:f>'01_Dashboard'!$B$22:$B$31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Riesgos por banda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'01_Dashboard'!$D$22:$D$25</c:f>
              <c:strCache>
                <c:ptCount val="0"/>
              </c:strCache>
            </c:strRef>
          </c:cat>
          <c:val>
            <c:numRef>
              <c:f>'01_Dashboard'!$E$22:$E$25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Deuda por severidad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'01_Dashboard'!$G$22:$G$26</c:f>
              <c:strCache>
                <c:ptCount val="0"/>
              </c:strCache>
            </c:strRef>
          </c:cat>
          <c:val>
            <c:numRef>
              <c:f>'01_Dashboard'!$H$22:$H$26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Cobertura legal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'01_Dashboard'!$J$22:$J$27</c:f>
              <c:strCache>
                <c:ptCount val="0"/>
              </c:strCache>
            </c:strRef>
          </c:cat>
          <c:val>
            <c:numRef>
              <c:f>'01_Dashboard'!$K$22:$K$27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Estado de créditos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'01_Dashboard'!$A$36:$A$42</c:f>
              <c:strCache>
                <c:ptCount val="0"/>
              </c:strCache>
            </c:strRef>
          </c:cat>
          <c:val>
            <c:numRef>
              <c:f>'01_Dashboard'!$B$36:$B$42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ad878dc5944314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87a5a828ee499e"/>
        </a:graphicData>
      </a:graphic>
    </xdr:graphicFrame>
    <xdr:clientData/>
  </xdr:twoCellAnchor>
  <xdr:twoCellAnchor>
    <xdr:from>
      <xdr:col>12</xdr:col>
      <xdr:colOff>0</xdr:colOff>
      <xdr:row>31</xdr:row>
      <xdr:rowOff>0</xdr:rowOff>
    </xdr:from>
    <xdr:to>
      <xdr:col>20</xdr:col>
      <xdr:colOff>0</xdr:colOff>
      <xdr:row>44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7f485409544e6f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8</xdr:col>
      <xdr:colOff>0</xdr:colOff>
      <xdr:row>60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2af45599714fe0"/>
        </a:graphicData>
      </a:graphic>
    </xdr:graphicFrame>
    <xdr:clientData/>
  </xdr:twoCellAnchor>
  <xdr:twoCellAnchor>
    <xdr:from>
      <xdr:col>8</xdr:col>
      <xdr:colOff>0</xdr:colOff>
      <xdr:row>45</xdr:row>
      <xdr:rowOff>0</xdr:rowOff>
    </xdr:from>
    <xdr:to>
      <xdr:col>16</xdr:col>
      <xdr:colOff>0</xdr:colOff>
      <xdr:row>60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f265ec86544a0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LegalEntitiesTable" displayName="LegalEntitiesTable" ref="A4:P9" headerRowCount="1">
  <x:tableColumns count="16">
    <x:tableColumn id="1" name="Entity ID"/>
    <x:tableColumn id="2" name="Nombre legal/operativo"/>
    <x:tableColumn id="3" name="Tipo"/>
    <x:tableColumn id="4" name="Persona/Entidad"/>
    <x:tableColumn id="5" name="Rol"/>
    <x:tableColumn id="6" name="País/Jurisdicción"/>
    <x:tableColumn id="7" name="Titular del proyecto"/>
    <x:tableColumn id="8" name="Titular de código interno"/>
    <x:tableColumn id="9" name="Titular de assets internos"/>
    <x:tableColumn id="10" name="Contacto legal"/>
    <x:tableColumn id="11" name="Identificación fiscal"/>
    <x:tableColumn id="12" name="Estado"/>
    <x:tableColumn id="13" name="Prueba"/>
    <x:tableColumn id="14" name="Revisión requerida"/>
    <x:tableColumn id="15" name="Owner"/>
    <x:tableColumn id="16" name="Notas"/>
  </x:tableColumns>
  <x:tableStyleInfo name="TableStyleMedium2" showRowStripes="1"/>
</x:table>
</file>

<file path=xl/tables/table2.xml><?xml version="1.0" encoding="utf-8"?>
<x:table xmlns:x="http://schemas.openxmlformats.org/spreadsheetml/2006/main" id="3" name="InternalAssetsLegalTable" displayName="InternalAssetsLegalTable" ref="A4:AB731" headerRowCount="1">
  <x:tableColumns count="28">
    <x:tableColumn id="1" name="Record ID"/>
    <x:tableColumn id="2" name="Asset ID"/>
    <x:tableColumn id="3" name="Nombre"/>
    <x:tableColumn id="4" name="Categoría"/>
    <x:tableColumn id="5" name="Subcategoría"/>
    <x:tableColumn id="6" name="Autor declarado"/>
    <x:tableColumn id="7" name="Propietario declarado"/>
    <x:tableColumn id="8" name="Origen"/>
    <x:tableColumn id="9" name="Fecha de obtención"/>
    <x:tableColumn id="10" name="Licencia"/>
    <x:tableColumn id="11" name="Versión de licencia"/>
    <x:tableColumn id="12" name="Prueba documental"/>
    <x:tableColumn id="13" name="SHA-256"/>
    <x:tableColumn id="14" name="Ruta"/>
    <x:tableColumn id="15" name="GUID"/>
    <x:tableColumn id="16" name="Modificación permitida"/>
    <x:tableColumn id="17" name="Uso comercial permitido"/>
    <x:tableColumn id="18" name="Redistribución permitida"/>
    <x:tableColumn id="19" name="Atribución requerida"/>
    <x:tableColumn id="20" name="Texto de atribución"/>
    <x:tableColumn id="21" name="Estado canónico"/>
    <x:tableColumn id="22" name="Estado legal"/>
    <x:tableColumn id="23" name="Evidencia completa"/>
    <x:tableColumn id="24" name="Riesgo"/>
    <x:tableColumn id="25" name="Builds autorizadas"/>
    <x:tableColumn id="26" name="Revisión"/>
    <x:tableColumn id="27" name="Owner"/>
    <x:tableColumn id="28" name="Notas"/>
  </x:tableColumns>
  <x:tableStyleInfo name="TableStyleMedium2" showRowStripes="1"/>
</x:table>
</file>

<file path=xl/tables/table3.xml><?xml version="1.0" encoding="utf-8"?>
<x:table xmlns:x="http://schemas.openxmlformats.org/spreadsheetml/2006/main" id="4" name="ExternalAssetsLegalTable" displayName="ExternalAssetsLegalTable" ref="A4:T8" headerRowCount="1">
  <x:tableColumns count="20">
    <x:tableColumn id="1" name="Record ID"/>
    <x:tableColumn id="2" name="Asset ID"/>
    <x:tableColumn id="3" name="Nombre"/>
    <x:tableColumn id="4" name="Categoría"/>
    <x:tableColumn id="5" name="Proveedor"/>
    <x:tableColumn id="6" name="Origen"/>
    <x:tableColumn id="7" name="Licencia"/>
    <x:tableColumn id="8" name="Prueba documental"/>
    <x:tableColumn id="9" name="SHA-256"/>
    <x:tableColumn id="10" name="Ruta"/>
    <x:tableColumn id="11" name="Modificación permitida"/>
    <x:tableColumn id="12" name="Uso comercial permitido"/>
    <x:tableColumn id="13" name="Redistribución permitida"/>
    <x:tableColumn id="14" name="Atribución requerida"/>
    <x:tableColumn id="15" name="Estado legal"/>
    <x:tableColumn id="16" name="Riesgo"/>
    <x:tableColumn id="17" name="Builds autorizadas"/>
    <x:tableColumn id="18" name="Sustituto previsto"/>
    <x:tableColumn id="19" name="Owner"/>
    <x:tableColumn id="20" name="Notas"/>
  </x:tableColumns>
  <x:tableStyleInfo name="TableStyleMedium2" showRowStripes="1"/>
</x:table>
</file>

<file path=xl/tables/table4.xml><?xml version="1.0" encoding="utf-8"?>
<x:table xmlns:x="http://schemas.openxmlformats.org/spreadsheetml/2006/main" id="5" name="GeneratedContentLegalTable" displayName="GeneratedContentLegalTable" ref="A4:X54" headerRowCount="1">
  <x:tableColumns count="24">
    <x:tableColumn id="1" name="Record ID"/>
    <x:tableColumn id="2" name="Asset ID"/>
    <x:tableColumn id="3" name="Nombre"/>
    <x:tableColumn id="4" name="Categoría"/>
    <x:tableColumn id="5" name="Herramienta"/>
    <x:tableColumn id="6" name="Proveedor"/>
    <x:tableColumn id="7" name="Fecha"/>
    <x:tableColumn id="8" name="Prompt/Resumen"/>
    <x:tableColumn id="9" name="Edición humana"/>
    <x:tableColumn id="10" name="Destino"/>
    <x:tableColumn id="11" name="Origen"/>
    <x:tableColumn id="12" name="Términos aplicables"/>
    <x:tableColumn id="13" name="Prueba documental"/>
    <x:tableColumn id="14" name="SHA-256"/>
    <x:tableColumn id="15" name="Ruta"/>
    <x:tableColumn id="16" name="Uso comercial"/>
    <x:tableColumn id="17" name="Modificación"/>
    <x:tableColumn id="18" name="Atribución"/>
    <x:tableColumn id="19" name="Revisión de similitud"/>
    <x:tableColumn id="20" name="Estado legal"/>
    <x:tableColumn id="21" name="Riesgo"/>
    <x:tableColumn id="22" name="Builds autorizadas"/>
    <x:tableColumn id="23" name="Owner"/>
    <x:tableColumn id="24" name="Notas"/>
  </x:tableColumns>
  <x:tableStyleInfo name="TableStyleMedium2" showRowStripes="1"/>
</x:table>
</file>

<file path=xl/tables/table5.xml><?xml version="1.0" encoding="utf-8"?>
<x:table xmlns:x="http://schemas.openxmlformats.org/spreadsheetml/2006/main" id="6" name="ModelsLegalTable" displayName="ModelsLegalTable" ref="A4:AA66" headerRowCount="1">
  <x:tableColumns count="27">
    <x:tableColumn id="1" name="License Record ID"/>
    <x:tableColumn id="2" name="Asset ID"/>
    <x:tableColumn id="3" name="Nombre"/>
    <x:tableColumn id="4" name="Familia"/>
    <x:tableColumn id="5" name="Tipo"/>
    <x:tableColumn id="6" name="Autor"/>
    <x:tableColumn id="7" name="Propietario"/>
    <x:tableColumn id="8" name="Proveedor"/>
    <x:tableColumn id="9" name="Origen"/>
    <x:tableColumn id="10" name="Fecha de obtención"/>
    <x:tableColumn id="11" name="Licencia"/>
    <x:tableColumn id="12" name="Versión"/>
    <x:tableColumn id="13" name="Prueba documental"/>
    <x:tableColumn id="14" name="SHA-256"/>
    <x:tableColumn id="15" name="Ruta"/>
    <x:tableColumn id="16" name="GUID"/>
    <x:tableColumn id="17" name="Modificación permitida"/>
    <x:tableColumn id="18" name="Uso comercial permitido"/>
    <x:tableColumn id="19" name="Redistribución permitida"/>
    <x:tableColumn id="20" name="Atribución requerida"/>
    <x:tableColumn id="21" name="Restricciones"/>
    <x:tableColumn id="22" name="Estado legal"/>
    <x:tableColumn id="23" name="Estado de integración"/>
    <x:tableColumn id="24" name="Builds autorizadas"/>
    <x:tableColumn id="25" name="Riesgo"/>
    <x:tableColumn id="26" name="Owner"/>
    <x:tableColumn id="27" name="Notas"/>
  </x:tableColumns>
  <x:tableStyleInfo name="TableStyleMedium2" showRowStripes="1"/>
</x:table>
</file>

<file path=xl/tables/table6.xml><?xml version="1.0" encoding="utf-8"?>
<x:table xmlns:x="http://schemas.openxmlformats.org/spreadsheetml/2006/main" id="7" name="MaterialsTexturesLegalTable" displayName="MaterialsTexturesLegalTable" ref="A4:X68" headerRowCount="1">
  <x:tableColumns count="24">
    <x:tableColumn id="1" name="License Record ID"/>
    <x:tableColumn id="2" name="Asset ID"/>
    <x:tableColumn id="3" name="Nombre"/>
    <x:tableColumn id="4" name="Tipo"/>
    <x:tableColumn id="5" name="Familia"/>
    <x:tableColumn id="6" name="Autor"/>
    <x:tableColumn id="7" name="Propietario"/>
    <x:tableColumn id="8" name="Origen"/>
    <x:tableColumn id="9" name="Licencia"/>
    <x:tableColumn id="10" name="Prueba documental"/>
    <x:tableColumn id="11" name="SHA-256"/>
    <x:tableColumn id="12" name="Ruta"/>
    <x:tableColumn id="13" name="GUID"/>
    <x:tableColumn id="14" name="Modificación permitida"/>
    <x:tableColumn id="15" name="Uso comercial permitido"/>
    <x:tableColumn id="16" name="Redistribución permitida"/>
    <x:tableColumn id="17" name="Atribución requerida"/>
    <x:tableColumn id="18" name="Restricciones"/>
    <x:tableColumn id="19" name="Estado legal"/>
    <x:tableColumn id="20" name="Estado de integración"/>
    <x:tableColumn id="21" name="Builds autorizadas"/>
    <x:tableColumn id="22" name="Riesgo"/>
    <x:tableColumn id="23" name="Owner"/>
    <x:tableColumn id="24" name="Notas"/>
  </x:tableColumns>
  <x:tableStyleInfo name="TableStyleMedium2" showRowStripes="1"/>
</x:table>
</file>

<file path=xl/tables/table7.xml><?xml version="1.0" encoding="utf-8"?>
<x:table xmlns:x="http://schemas.openxmlformats.org/spreadsheetml/2006/main" id="8" name="AudioLegalTable" displayName="AudioLegalTable" ref="A4:Z14" headerRowCount="1">
  <x:tableColumns count="26">
    <x:tableColumn id="1" name="License Record ID"/>
    <x:tableColumn id="2" name="Asset ID"/>
    <x:tableColumn id="3" name="Nombre"/>
    <x:tableColumn id="4" name="Tipo"/>
    <x:tableColumn id="5" name="Canal/Familia"/>
    <x:tableColumn id="6" name="Autor declarado"/>
    <x:tableColumn id="7" name="Propietario declarado"/>
    <x:tableColumn id="8" name="Proveedor"/>
    <x:tableColumn id="9" name="Origen"/>
    <x:tableColumn id="10" name="Fecha de obtención"/>
    <x:tableColumn id="11" name="Licencia"/>
    <x:tableColumn id="12" name="Prueba documental"/>
    <x:tableColumn id="13" name="SHA-256"/>
    <x:tableColumn id="14" name="Ruta"/>
    <x:tableColumn id="15" name="GUID"/>
    <x:tableColumn id="16" name="Modificación permitida"/>
    <x:tableColumn id="17" name="Uso comercial permitido"/>
    <x:tableColumn id="18" name="Redistribución permitida"/>
    <x:tableColumn id="19" name="Atribución requerida"/>
    <x:tableColumn id="20" name="Restricciones"/>
    <x:tableColumn id="21" name="Estado legal"/>
    <x:tableColumn id="22" name="Builds autorizadas"/>
    <x:tableColumn id="23" name="Riesgo"/>
    <x:tableColumn id="24" name="Revisión"/>
    <x:tableColumn id="25" name="Owner"/>
    <x:tableColumn id="26" name="Notas"/>
  </x:tableColumns>
  <x:tableStyleInfo name="TableStyleMedium2" showRowStripes="1"/>
</x:table>
</file>

<file path=xl/tables/table8.xml><?xml version="1.0" encoding="utf-8"?>
<x:table xmlns:x="http://schemas.openxmlformats.org/spreadsheetml/2006/main" id="9" name="FontsIconsLegalTable" displayName="FontsIconsLegalTable" ref="A4:S12" headerRowCount="1">
  <x:tableColumns count="19">
    <x:tableColumn id="1" name="License Record ID"/>
    <x:tableColumn id="2" name="Asset ID"/>
    <x:tableColumn id="3" name="Nombre"/>
    <x:tableColumn id="4" name="Tipo"/>
    <x:tableColumn id="5" name="Autor/Proveedor"/>
    <x:tableColumn id="6" name="Origen"/>
    <x:tableColumn id="7" name="Licencia"/>
    <x:tableColumn id="8" name="Prueba documental"/>
    <x:tableColumn id="9" name="SHA-256"/>
    <x:tableColumn id="10" name="Ruta"/>
    <x:tableColumn id="11" name="GUID"/>
    <x:tableColumn id="12" name="Uso comercial"/>
    <x:tableColumn id="13" name="Redistribución"/>
    <x:tableColumn id="14" name="Atribución"/>
    <x:tableColumn id="15" name="Estado legal"/>
    <x:tableColumn id="16" name="Riesgo"/>
    <x:tableColumn id="17" name="Builds autorizadas"/>
    <x:tableColumn id="18" name="Owner"/>
    <x:tableColumn id="19" name="Notas"/>
  </x:tableColumns>
  <x:tableStyleInfo name="TableStyleMedium2" showRowStripes="1"/>
</x:table>
</file>

<file path=xl/tables/table9.xml><?xml version="1.0" encoding="utf-8"?>
<x:table xmlns:x="http://schemas.openxmlformats.org/spreadsheetml/2006/main" id="10" name="LocalizationLegalTable" displayName="LocalizationLegalTable" ref="A4:P8" headerRowCount="1">
  <x:tableColumns count="16">
    <x:tableColumn id="1" name="Record ID"/>
    <x:tableColumn id="2" name="Idioma/Servicio"/>
    <x:tableColumn id="3" name="Tipo"/>
    <x:tableColumn id="4" name="Proveedor/Autor"/>
    <x:tableColumn id="5" name="Herramienta"/>
    <x:tableColumn id="6" name="Alcance"/>
    <x:tableColumn id="7" name="Contrato/Licencia"/>
    <x:tableColumn id="8" name="Prueba"/>
    <x:tableColumn id="9" name="Confidencialidad"/>
    <x:tableColumn id="10" name="Uso comercial"/>
    <x:tableColumn id="11" name="Atribución"/>
    <x:tableColumn id="12" name="Estado"/>
    <x:tableColumn id="13" name="Calidad"/>
    <x:tableColumn id="14" name="Builds autorizadas"/>
    <x:tableColumn id="15" name="Owner"/>
    <x:tableColumn id="16" name="Notas"/>
  </x:tableColumns>
  <x:tableStyleInfo name="TableStyleMedium2" showRowStripes="1"/>
</x:table>
</file>

<file path=xl/tables/table10.xml><?xml version="1.0" encoding="utf-8"?>
<x:table xmlns:x="http://schemas.openxmlformats.org/spreadsheetml/2006/main" id="11" name="SoftwarePackagesLegalTable" displayName="SoftwarePackagesLegalTable" ref="A4:S64" headerRowCount="1">
  <x:tableColumns count="19">
    <x:tableColumn id="1" name="Software ID"/>
    <x:tableColumn id="2" name="Nombre"/>
    <x:tableColumn id="3" name="Package/Component"/>
    <x:tableColumn id="4" name="Versión"/>
    <x:tableColumn id="5" name="Tipo"/>
    <x:tableColumn id="6" name="Directo"/>
    <x:tableColumn id="7" name="Proveedor"/>
    <x:tableColumn id="8" name="Fuente"/>
    <x:tableColumn id="9" name="Licencia/Terms"/>
    <x:tableColumn id="10" name="LICENSE/NOTICE conservado"/>
    <x:tableColumn id="11" name="Uso"/>
    <x:tableColumn id="12" name="Modificaciones"/>
    <x:tableColumn id="13" name="Redistribución"/>
    <x:tableColumn id="14" name="Atribución"/>
    <x:tableColumn id="15" name="Estado"/>
    <x:tableColumn id="16" name="Riesgo"/>
    <x:tableColumn id="17" name="Revisión"/>
    <x:tableColumn id="18" name="Owner"/>
    <x:tableColumn id="19" name="Notas"/>
  </x:tableColumns>
  <x:tableStyleInfo name="TableStyleMedium2" showRowStripes="1"/>
</x:table>
</file>

<file path=xl/tables/table11.xml><?xml version="1.0" encoding="utf-8"?>
<x:table xmlns:x="http://schemas.openxmlformats.org/spreadsheetml/2006/main" id="12" name="BrandsIpLegalTable" displayName="BrandsIpLegalTable" ref="A4:R20" headerRowCount="1">
  <x:tableColumns count="18">
    <x:tableColumn id="1" name="IP Record ID"/>
    <x:tableColumn id="2" name="Nombre/Signo"/>
    <x:tableColumn id="3" name="Tipo"/>
    <x:tableColumn id="4" name="Titular declarado"/>
    <x:tableColumn id="5" name="Origen"/>
    <x:tableColumn id="6" name="Territorio objetivo"/>
    <x:tableColumn id="7" name="Clase/Ámbito"/>
    <x:tableColumn id="8" name="Búsqueda preliminar"/>
    <x:tableColumn id="9" name="Registro formal"/>
    <x:tableColumn id="10" name="Uso autorizado"/>
    <x:tableColumn id="11" name="Estado"/>
    <x:tableColumn id="12" name="Riesgo"/>
    <x:tableColumn id="13" name="Conflicto conocido"/>
    <x:tableColumn id="14" name="Restricciones"/>
    <x:tableColumn id="15" name="Prueba"/>
    <x:tableColumn id="16" name="Owner"/>
    <x:tableColumn id="17" name="Acción"/>
    <x:tableColumn id="18" name="Notas"/>
  </x:tableColumns>
  <x:tableStyleInfo name="TableStyleMedium2" showRowStripes="1"/>
</x:table>
</file>

<file path=xl/tables/table12.xml><?xml version="1.0" encoding="utf-8"?>
<x:table xmlns:x="http://schemas.openxmlformats.org/spreadsheetml/2006/main" id="13" name="CreditsRegisterTable" displayName="CreditsRegisterTable" ref="A4:M16" headerRowCount="1">
  <x:tableColumns count="13">
    <x:tableColumn id="1" name="Credit ID"/>
    <x:tableColumn id="2" name="Sección"/>
    <x:tableColumn id="3" name="Rol"/>
    <x:tableColumn id="4" name="Nombre"/>
    <x:tableColumn id="5" name="Entidad"/>
    <x:tableColumn id="6" name="Obligatorio"/>
    <x:tableColumn id="7" name="Fuente"/>
    <x:tableColumn id="8" name="Estado"/>
    <x:tableColumn id="9" name="Orden"/>
    <x:tableColumn id="10" name="Texto corto"/>
    <x:tableColumn id="11" name="Texto largo"/>
    <x:tableColumn id="12" name="Build/Release"/>
    <x:tableColumn id="13" name="Notas"/>
  </x:tableColumns>
  <x:tableStyleInfo name="TableStyleMedium2" showRowStripes="1"/>
</x:table>
</file>

<file path=xl/tables/table13.xml><?xml version="1.0" encoding="utf-8"?>
<x:table xmlns:x="http://schemas.openxmlformats.org/spreadsheetml/2006/main" id="14" name="AttributionsTable" displayName="AttributionsTable" ref="A4:J10" headerRowCount="1">
  <x:tableColumns count="10">
    <x:tableColumn id="1" name="Attribution ID"/>
    <x:tableColumn id="2" name="Elemento"/>
    <x:tableColumn id="3" name="Aplica a"/>
    <x:tableColumn id="4" name="Requerida"/>
    <x:tableColumn id="5" name="Texto propuesto"/>
    <x:tableColumn id="6" name="Fuente legal"/>
    <x:tableColumn id="7" name="Ubicación"/>
    <x:tableColumn id="8" name="Estado"/>
    <x:tableColumn id="9" name="Owner"/>
    <x:tableColumn id="10" name="Notas"/>
  </x:tableColumns>
  <x:tableStyleInfo name="TableStyleMedium2" showRowStripes="1"/>
</x:table>
</file>

<file path=xl/tables/table14.xml><?xml version="1.0" encoding="utf-8"?>
<x:table xmlns:x="http://schemas.openxmlformats.org/spreadsheetml/2006/main" id="15" name="LegalRestrictionsTable" displayName="LegalRestrictionsTable" ref="A4:K24" headerRowCount="1">
  <x:tableColumns count="11">
    <x:tableColumn id="1" name="Restriction ID"/>
    <x:tableColumn id="2" name="Regla"/>
    <x:tableColumn id="3" name="Ámbito"/>
    <x:tableColumn id="4" name="Superficie"/>
    <x:tableColumn id="5" name="Nivel"/>
    <x:tableColumn id="6" name="Criterio"/>
    <x:tableColumn id="7" name="Remediación"/>
    <x:tableColumn id="8" name="Fuente"/>
    <x:tableColumn id="9" name="Owner"/>
    <x:tableColumn id="10" name="Estado"/>
    <x:tableColumn id="11" name="Notas"/>
  </x:tableColumns>
  <x:tableStyleInfo name="TableStyleMedium2" showRowStripes="1"/>
</x:table>
</file>

<file path=xl/tables/table15.xml><?xml version="1.0" encoding="utf-8"?>
<x:table xmlns:x="http://schemas.openxmlformats.org/spreadsheetml/2006/main" id="16" name="DocumentaryEvidenceTable" displayName="DocumentaryEvidenceTable" ref="A4:N41" headerRowCount="1">
  <x:tableColumns count="14">
    <x:tableColumn id="1" name="Evidence ID"/>
    <x:tableColumn id="2" name="Tipo"/>
    <x:tableColumn id="3" name="Nombre"/>
    <x:tableColumn id="4" name="Fuente/Ruta"/>
    <x:tableColumn id="5" name="Fecha/Versión"/>
    <x:tableColumn id="6" name="SHA-256"/>
    <x:tableColumn id="7" name="Custodia"/>
    <x:tableColumn id="8" name="Relaciona"/>
    <x:tableColumn id="9" name="Validez"/>
    <x:tableColumn id="10" name="Confidencial"/>
    <x:tableColumn id="11" name="Estado"/>
    <x:tableColumn id="12" name="Revisión"/>
    <x:tableColumn id="13" name="Owner"/>
    <x:tableColumn id="14" name="Notas"/>
  </x:tableColumns>
  <x:tableStyleInfo name="TableStyleMedium2" showRowStripes="1"/>
</x:table>
</file>

<file path=xl/tables/table16.xml><?xml version="1.0" encoding="utf-8"?>
<x:table xmlns:x="http://schemas.openxmlformats.org/spreadsheetml/2006/main" id="17" name="BuildDistributionTable" displayName="BuildDistributionTable" ref="A4:X24" headerRowCount="1">
  <x:tableColumns count="24">
    <x:tableColumn id="1" name="Build Record ID"/>
    <x:tableColumn id="2" name="Build ID"/>
    <x:tableColumn id="3" name="Versión"/>
    <x:tableColumn id="4" name="Commit/SHA"/>
    <x:tableColumn id="5" name="Plataforma"/>
    <x:tableColumn id="6" name="Tipo"/>
    <x:tableColumn id="7" name="Sprint/Hito"/>
    <x:tableColumn id="8" name="Estado técnico"/>
    <x:tableColumn id="9" name="Artefacto"/>
    <x:tableColumn id="10" name="Checksum"/>
    <x:tableColumn id="11" name="Contenido autorizado"/>
    <x:tableColumn id="12" name="Software autorizado"/>
    <x:tableColumn id="13" name="Audio autorizado"/>
    <x:tableColumn id="14" name="Fuente autorizada"/>
    <x:tableColumn id="15" name="Localización autorizada"/>
    <x:tableColumn id="16" name="Marca/título"/>
    <x:tableColumn id="17" name="Créditos/Notices"/>
    <x:tableColumn id="18" name="Privacidad/Online"/>
    <x:tableColumn id="19" name="Estado legal"/>
    <x:tableColumn id="20" name="Distribución permitida"/>
    <x:tableColumn id="21" name="Criterios pendientes"/>
    <x:tableColumn id="22" name="Decisión"/>
    <x:tableColumn id="23" name="Owner"/>
    <x:tableColumn id="24" name="Notas"/>
  </x:tableColumns>
  <x:tableStyleInfo name="TableStyleMedium2" showRowStripes="1"/>
</x:table>
</file>

<file path=xl/tables/table17.xml><?xml version="1.0" encoding="utf-8"?>
<x:table xmlns:x="http://schemas.openxmlformats.org/spreadsheetml/2006/main" id="18" name="LegalRisksTable" displayName="LegalRisksTable" ref="A4:O24" headerRowCount="1">
  <x:tableColumns count="15">
    <x:tableColumn id="1" name="Risk ID"/>
    <x:tableColumn id="2" name="Área"/>
    <x:tableColumn id="3" name="Descripción"/>
    <x:tableColumn id="4" name="Nivel cualitativo"/>
    <x:tableColumn id="5" name="Probabilidad"/>
    <x:tableColumn id="6" name="Impacto"/>
    <x:tableColumn id="7" name="Exposición"/>
    <x:tableColumn id="8" name="Consecuencia"/>
    <x:tableColumn id="9" name="Mitigación/Acción"/>
    <x:tableColumn id="10" name="Objetivo"/>
    <x:tableColumn id="11" name="Estado"/>
    <x:tableColumn id="12" name="Owner"/>
    <x:tableColumn id="13" name="Gate"/>
    <x:tableColumn id="14" name="Evidencia de cierre"/>
    <x:tableColumn id="15" name="Notas"/>
  </x:tableColumns>
  <x:tableStyleInfo name="TableStyleMedium2" showRowStripes="1"/>
</x:table>
</file>

<file path=xl/tables/table18.xml><?xml version="1.0" encoding="utf-8"?>
<x:table xmlns:x="http://schemas.openxmlformats.org/spreadsheetml/2006/main" id="19" name="LegalDebtTable" displayName="LegalDebtTable" ref="A4:O20" headerRowCount="1">
  <x:tableColumns count="15">
    <x:tableColumn id="1" name="Debt ID"/>
    <x:tableColumn id="2" name="Tipo"/>
    <x:tableColumn id="3" name="Severidad"/>
    <x:tableColumn id="4" name="Área"/>
    <x:tableColumn id="5" name="Descripción"/>
    <x:tableColumn id="6" name="Estado"/>
    <x:tableColumn id="7" name="Acción requerida"/>
    <x:tableColumn id="8" name="Objetivo"/>
    <x:tableColumn id="9" name="Gate"/>
    <x:tableColumn id="10" name="Fuente"/>
    <x:tableColumn id="11" name="Registro relacionado"/>
    <x:tableColumn id="12" name="Bloquea distribución"/>
    <x:tableColumn id="13" name="Evidencia de cierre"/>
    <x:tableColumn id="14" name="Owner"/>
    <x:tableColumn id="15" name="Notas"/>
  </x:tableColumns>
  <x:tableStyleInfo name="TableStyleMedium2" showRowStripes="1"/>
</x:table>
</file>

<file path=xl/tables/table19.xml><?xml version="1.0" encoding="utf-8"?>
<x:table xmlns:x="http://schemas.openxmlformats.org/spreadsheetml/2006/main" id="20" name="HistoricalLegalRegistersTable" displayName="HistoricalLegalRegistersTable" ref="A4:L12" headerRowCount="1">
  <x:tableColumns count="12">
    <x:tableColumn id="1" name="History ID"/>
    <x:tableColumn id="2" name="Baseline"/>
    <x:tableColumn id="3" name="Documento"/>
    <x:tableColumn id="4" name="Tipo"/>
    <x:tableColumn id="5" name="Ruta"/>
    <x:tableColumn id="6" name="SHA-256"/>
    <x:tableColumn id="7" name="Estado histórico"/>
    <x:tableColumn id="8" name="Política/Contenido"/>
    <x:tableColumn id="9" name="Autoridad actual"/>
    <x:tableColumn id="10" name="Cambios relevantes"/>
    <x:tableColumn id="11" name="Acción"/>
    <x:tableColumn id="12" name="Notas"/>
  </x:tableColumns>
  <x:tableStyleInfo name="TableStyleMedium2" showRowStripes="1"/>
</x:table>
</file>

<file path=xl/tables/table20.xml><?xml version="1.0" encoding="utf-8"?>
<x:table xmlns:x="http://schemas.openxmlformats.org/spreadsheetml/2006/main" id="1" name="LegalControlledCatalogsTable" displayName="LegalControlledCatalogsTable" ref="A4:L16" headerRowCount="1">
  <x:tableColumns count="12">
    <x:tableColumn id="1" name="Estado legal"/>
    <x:tableColumn id="2" name="Evidencia"/>
    <x:tableColumn id="3" name="Riesgo"/>
    <x:tableColumn id="4" name="Severidad"/>
    <x:tableColumn id="5" name="Estado deuda"/>
    <x:tableColumn id="6" name="Estado crédito"/>
    <x:tableColumn id="7" name="Distribución"/>
    <x:tableColumn id="8" name="Atribución"/>
    <x:tableColumn id="9" name="Tipo asset"/>
    <x:tableColumn id="10" name="Cobertura"/>
    <x:tableColumn id="11" name="Gate"/>
    <x:tableColumn id="12" name="Decisión"/>
  </x:tableColumns>
  <x:tableStyleInfo name="TableStyleMedium2" showRowStripes="1"/>
</x:table>
</file>

<file path=xl/tables/table21.xml><?xml version="1.0" encoding="utf-8"?>
<x:table xmlns:x="http://schemas.openxmlformats.org/spreadsheetml/2006/main" id="21" name="LegalSourcesTable" displayName="LegalSourcesTable" ref="A4:L41" headerRowCount="1">
  <x:tableColumns count="12">
    <x:tableColumn id="1" name="Source ID"/>
    <x:tableColumn id="2" name="Fuente"/>
    <x:tableColumn id="3" name="Nombre"/>
    <x:tableColumn id="4" name="Tipo"/>
    <x:tableColumn id="5" name="Versión/Fecha"/>
    <x:tableColumn id="6" name="SHA-256"/>
    <x:tableColumn id="7" name="Autoridad/Uso"/>
    <x:tableColumn id="8" name="Custodia"/>
    <x:tableColumn id="9" name="Estado"/>
    <x:tableColumn id="10" name="Confidencial"/>
    <x:tableColumn id="11" name="Revisión"/>
    <x:tableColumn id="12" name="Notas"/>
  </x:tableColumns>
  <x:tableStyleInfo name="TableStyleMedium2" showRowStripes="1"/>
</x:table>
</file>

<file path=xl/tables/table22.xml><?xml version="1.0" encoding="utf-8"?>
<x:table xmlns:x="http://schemas.openxmlformats.org/spreadsheetml/2006/main" id="22" name="LegalTraceabilityTable" displayName="LegalTraceabilityTable" ref="A4:V865" headerRowCount="1">
  <x:tableColumns count="22">
    <x:tableColumn id="1" name="Trace ID"/>
    <x:tableColumn id="2" name="Objeto ID"/>
    <x:tableColumn id="3" name="Nombre"/>
    <x:tableColumn id="4" name="Categoría"/>
    <x:tableColumn id="5" name="Fuente hoja"/>
    <x:tableColumn id="6" name="Registro legal"/>
    <x:tableColumn id="7" name="Autor/Proveedor"/>
    <x:tableColumn id="8" name="Licencia/Terms"/>
    <x:tableColumn id="9" name="Prueba documental"/>
    <x:tableColumn id="10" name="SHA-256"/>
    <x:tableColumn id="11" name="Ruta/Referencia"/>
    <x:tableColumn id="12" name="Crédito"/>
    <x:tableColumn id="13" name="Atribución"/>
    <x:tableColumn id="14" name="Restricción"/>
    <x:tableColumn id="15" name="Builds autorizadas"/>
    <x:tableColumn id="16" name="Estado legal"/>
    <x:tableColumn id="17" name="Riesgo"/>
    <x:tableColumn id="18" name="Deuda"/>
    <x:tableColumn id="19" name="Evidencia completa"/>
    <x:tableColumn id="20" name="Cobertura"/>
    <x:tableColumn id="21" name="Owner"/>
    <x:tableColumn id="22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8769b29e2c74b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97061f1a7134c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0649ca4f1674d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657cf07ecb94f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0c9f5ee8ad041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480856f1e2040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8a991b0194442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5cbf6d4c32c473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4a57b24dcb243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c18c39972d4ce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ead7ba359ef4ec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d97e8fd322c84ed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85574bf1573b4a5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5e81ec4f7a32426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94ce439115314fa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9281020e0ffe453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d04eb0066a8f4fc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16830079527f476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33c5a32b66624ae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9eba28b370d048b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6233c86e2366465d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0d1562655481414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76fc05da04bd4eef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5" hidden="0" customWidth="1"/>
  </x:cols>
  <x:sheetData>
    <x:row r="1" ht="30" customHeight="1">
      <x:c r="A1" s="4" t="str">
        <x:v>23_Legal_Credits_and_Licenses_Register.xlsx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Registro operativo de propiedad, procedencia, licencias, créditos, atribuciones y autorización de distribución, integrado con la baseline candidata 00–34.</x:v>
      </x:c>
      <x:c r="B2" s="10"/>
      <x:c r="C2" s="10"/>
      <x:c r="D2" s="10"/>
      <x:c r="E2" s="10"/>
      <x:c r="F2" s="10"/>
      <x:c r="G2" s="10"/>
      <x:c r="H2" s="10"/>
    </x:row>
    <x:row r="4">
      <x:c r="A4" s="17" t="str">
        <x:v>Campo</x:v>
      </x:c>
      <x:c r="B4" s="17" t="str">
        <x:v>Regla</x:v>
      </x:c>
    </x:row>
    <x:row r="5">
      <x:c r="A5" s="24" t="str">
        <x:v>Autoridad</x:v>
      </x:c>
      <x:c r="B5" s="24" t="str">
        <x:v>Este libro consolida registros históricos, assets reales, paquetes, documentos 00–34 y evidencias. No constituye asesoramiento jurídico profesional.</x:v>
      </x:c>
    </x:row>
    <x:row r="6">
      <x:c r="A6" s="24" t="str">
        <x:v>Regla de seguridad</x:v>
      </x:c>
      <x:c r="B6" s="24" t="str">
        <x:v>Ningún recurso entra en build pública, Steam, tráiler, web o press kit sin origen, permiso comercial, atribución y evidencia.</x:v>
      </x:c>
    </x:row>
    <x:row r="7">
      <x:c r="A7" s="24" t="str">
        <x:v>Separación de estados</x:v>
      </x:c>
      <x:c r="B7" s="24" t="str">
        <x:v>La presencia en el repositorio, la integración técnica y la autorización legal son estados distintos.</x:v>
      </x:c>
    </x:row>
    <x:row r="8">
      <x:c r="A8" s="24" t="str">
        <x:v>Assets internos</x:v>
      </x:c>
      <x:c r="B8" s="24" t="str">
        <x:v>Registrar también autoría interna, fuente, hash y colaboradores; “interno” no elimina la necesidad de prueba.</x:v>
      </x:c>
    </x:row>
    <x:row r="9">
      <x:c r="A9" s="24" t="str">
        <x:v>Assets externos</x:v>
      </x:c>
      <x:c r="B9" s="24" t="str">
        <x:v>Conservar licencia, versión, factura/URL archivada, archivo original, hash, restricciones y texto de atribución.</x:v>
      </x:c>
    </x:row>
    <x:row r="10">
      <x:c r="A10" s="24" t="str">
        <x:v>Contenido generado</x:v>
      </x:c>
      <x:c r="B10" s="24" t="str">
        <x:v>Registrar herramienta, fecha, prompt/resumen, edición humana, destino, términos y revisión de similitud.</x:v>
      </x:c>
    </x:row>
    <x:row r="11">
      <x:c r="A11" s="24" t="str">
        <x:v>Software</x:v>
      </x:c>
      <x:c r="B11" s="24" t="str">
        <x:v>Conservar manifest/lock y recopilar LICENSE/NOTICE exactos por versión antes de una candidata pública.</x:v>
      </x:c>
    </x:row>
    <x:row r="12">
      <x:c r="A12" s="24" t="str">
        <x:v>Marcas</x:v>
      </x:c>
      <x:c r="B12" s="24" t="str">
        <x:v>Los nombres provisionales y ficticios requieren revisión de similitud; no usar marcas, logos o trade dress reales.</x:v>
      </x:c>
    </x:row>
    <x:row r="13">
      <x:c r="A13" s="24" t="str">
        <x:v>Créditos</x:v>
      </x:c>
      <x:c r="B13" s="24" t="str">
        <x:v>No publicar nombres de colaboradores/testers sin consentimiento; respetar wording contractual y atribuciones.</x:v>
      </x:c>
    </x:row>
    <x:row r="14">
      <x:c r="A14" s="24" t="str">
        <x:v>Builds</x:v>
      </x:c>
      <x:c r="B14" s="24" t="str">
        <x:v>Cada build posee estado legal independiente. PASS técnico no equivale a permiso de distribución.</x:v>
      </x:c>
    </x:row>
    <x:row r="15">
      <x:c r="A15" s="24" t="str">
        <x:v>Privacidad</x:v>
      </x:c>
      <x:c r="B15" s="24" t="str">
        <x:v>No guardar datos fiscales/personales sensibles en el repositorio; mantener sistemas online/telemetría cerrados hasta revisión.</x:v>
      </x:c>
    </x:row>
    <x:row r="16">
      <x:c r="A16" s="24" t="str">
        <x:v>Histórico</x:v>
      </x:c>
      <x:c r="B16" s="24" t="str">
        <x:v>No borrar registros sustituidos. Marcar histórico, conservar hash y enlazar autoridad actual.</x:v>
      </x:c>
    </x:row>
    <x:row r="17">
      <x:c r="A17" s="24" t="str">
        <x:v>Actualización</x:v>
      </x:c>
      <x:c r="B17" s="24" t="str">
        <x:v>Todo asset, paquete, traducción, colaborador, nombre, claim, proveedor, dato, build o medio nuevo debe registrarse antes de integrarse en una build o comunicación distribuible.</x:v>
      </x:c>
    </x:row>
    <x:row r="18">
      <x:c r="A18" s="24" t="str">
        <x:v>Baseline actual</x:v>
      </x:c>
      <x:c r="B18" s="24" t="str">
        <x:v>Documentación RC1 00–34; aplicación 0.0.17; Sprints 0–15 cerrados; Sprint 16 en curso; Sprint 17/H6 sin ejecutar; release, Steam y campaña pública no abiertos.</x:v>
      </x:c>
    </x:row>
    <x:row r="20">
      <x:c r="A20" s="29" t="str">
        <x:v>Procedimiento de alta y aprobación</x:v>
      </x:c>
      <x:c r="B20" s="29"/>
      <x:c r="C20" s="29"/>
      <x:c r="D20" s="29"/>
      <x:c r="E20" s="29"/>
      <x:c r="F20" s="29"/>
      <x:c r="G20" s="29"/>
      <x:c r="H20" s="29"/>
    </x:row>
    <x:row r="21">
      <x:c r="A21" s="24" t="str">
        <x:v>1</x:v>
      </x:c>
      <x:c r="B21" s="24" t="str">
        <x:v>Crear License Record ID y clasificar el recurso.</x:v>
      </x:c>
    </x:row>
    <x:row r="22">
      <x:c r="A22" s="24" t="str">
        <x:v>2</x:v>
      </x:c>
      <x:c r="B22" s="24" t="str">
        <x:v>Identificar autor, propietario, proveedor, origen y fecha.</x:v>
      </x:c>
    </x:row>
    <x:row r="23">
      <x:c r="A23" s="24" t="str">
        <x:v>3</x:v>
      </x:c>
      <x:c r="B23" s="24" t="str">
        <x:v>Archivar licencia/contrato/términos, versión, prueba y hash.</x:v>
      </x:c>
    </x:row>
    <x:row r="24">
      <x:c r="A24" s="24" t="str">
        <x:v>4</x:v>
      </x:c>
      <x:c r="B24" s="24" t="str">
        <x:v>Evaluar uso comercial, modificación, redistribución y atribución.</x:v>
      </x:c>
    </x:row>
    <x:row r="25">
      <x:c r="A25" s="24" t="str">
        <x:v>5</x:v>
      </x:c>
      <x:c r="B25" s="24" t="str">
        <x:v>Asignar créditos, restricciones, riesgo, gate y builds autorizadas.</x:v>
      </x:c>
    </x:row>
    <x:row r="26">
      <x:c r="A26" s="24" t="str">
        <x:v>6</x:v>
      </x:c>
      <x:c r="B26" s="24" t="str">
        <x:v>Revisar marca, privacidad, datos y contenido generado cuando aplique.</x:v>
      </x:c>
    </x:row>
    <x:row r="27">
      <x:c r="A27" s="24" t="str">
        <x:v>7</x:v>
      </x:c>
      <x:c r="B27" s="24" t="str">
        <x:v>Ejecutar QA legal de la build y generar notices/créditos.</x:v>
      </x:c>
    </x:row>
    <x:row r="28">
      <x:c r="A28" s="24" t="str">
        <x:v>8</x:v>
      </x:c>
      <x:c r="B28" s="24" t="str">
        <x:v>Registrar decisión manual: aprobado, interno, bloqueado o rechazado.</x:v>
      </x:c>
    </x:row>
    <x:row r="30" ht="15" hidden="0" customHeight="1">
      <x:c r="A30" s="47" t="str">
        <x:v>Integración documental 00–34</x:v>
      </x:c>
      <x:c r="B30" s="47"/>
    </x:row>
    <x:row r="31" ht="26.399999618530273" hidden="0" customHeight="1">
      <x:c r="A31" s="47" t="str">
        <x:v>Steam y release</x:v>
      </x:c>
      <x:c r="B31" s="47" t="str">
        <x:v>24, 25 y 31 gobiernan onboarding, store, builds, candidatas, publicación y postlanzamiento. La existencia de un asset o PASS técnico no concede permiso de distribución.</x:v>
      </x:c>
    </x:row>
    <x:row r="32" ht="15" hidden="0" customHeight="1">
      <x:c r="A32" s="47" t="str">
        <x:v>Privacidad y telemetría</x:v>
      </x:c>
      <x:c r="B32" s="47" t="str">
        <x:v>26 exige inventario de datos, finalidad, base, retención, proveedores y wording exacto antes de activar online, telemetría, soporte o analítica.</x:v>
      </x:c>
    </x:row>
    <x:row r="33" ht="15" hidden="0" customHeight="1">
      <x:c r="A33" s="47" t="str">
        <x:v>Seguridad</x:v>
      </x:c>
      <x:c r="B33" s="47" t="str">
        <x:v>27 exige control de secretos, dependencias, cuentas, accesos, incidentes y revisión del paquete público antes de cualquier upload o entrega externa.</x:v>
      </x:c>
    </x:row>
    <x:row r="34" ht="15" hidden="0" customHeight="1">
      <x:c r="A34" s="47" t="str">
        <x:v>Marketing y claims</x:v>
      </x:c>
      <x:c r="B34" s="47" t="str">
        <x:v>28 exige vincular cada claim, captura, GIF, tráiler o press asset con una build, evidencia, licencia, aprobación y vigencia verificables.</x:v>
      </x:c>
    </x:row>
    <x:row r="35" ht="15" hidden="0" customHeight="1">
      <x:c r="A35" s="47" t="str">
        <x:v>Accesibilidad</x:v>
      </x:c>
      <x:c r="B35" s="47" t="str">
        <x:v>29 exige que cualquier declaración pública de accesibilidad describa únicamente capacidades implementadas y probadas, sin claims aspiracionales.</x:v>
      </x:c>
    </x:row>
    <x:row r="36" ht="15" hidden="0" customHeight="1">
      <x:c r="A36" s="47" t="str">
        <x:v>Rendimiento</x:v>
      </x:c>
      <x:c r="B36" s="47" t="str">
        <x:v>30 exige benchmarks reproducibles antes de publicar requisitos de sistema, claims de rendimiento o compatibilidad de hardware.</x:v>
      </x:c>
    </x:row>
    <x:row r="37" ht="15" hidden="0" customHeight="1">
      <x:c r="A37" s="47" t="str">
        <x:v>H6 y Release Readiness</x:v>
      </x:c>
      <x:c r="B37" s="47" t="str">
        <x:v>31 es el gate operativo. Ninguna fila de este registro sustituye sus controles, evidencias, defectos, excepciones y signoff.</x:v>
      </x:c>
    </x:row>
    <x:row r="38" ht="15" hidden="0" customHeight="1">
      <x:c r="A38" s="47" t="str">
        <x:v>Baseline, riesgos y continuidad</x:v>
      </x:c>
      <x:c r="B38" s="47" t="str">
        <x:v>32 y 33 gobiernan integridad, hashes, riesgos, backups, RTO/RPO, restauración y disponibilidad de evidencias legales.</x:v>
      </x:c>
    </x:row>
    <x:row r="39" ht="15" hidden="0" customHeight="1">
      <x:c r="A39" s="47" t="str">
        <x:v>Handoff y operaciones</x:v>
      </x:c>
      <x:c r="B39" s="47" t="str">
        <x:v>34 exige que licencias, contratos, notices, accesos, decisiones, rutas y recuperación puedan retomarse sin depender del chat o de una sola cuenta.</x:v>
      </x:c>
    </x:row>
    <x:row r="40" ht="26.399999618530273" hidden="0" customHeight="1">
      <x:c r="A40" s="47" t="str">
        <x:v>Próxima consolidación</x:v>
      </x:c>
      <x:c r="B40" s="47" t="str">
        <x:v>Actualizar 31_H6_and_Release_Readiness_Checklist.xlsx y propagar el hash final de este libro mediante 13 y, posteriormente, 32/CHECKSUMS externos.</x:v>
      </x:c>
    </x:row>
    <x:row r="41" ht="15" hidden="0" customHeight="1">
      <x:c r="A41" s="47" t="str">
        <x:v>Regla de self-hash</x:v>
      </x:c>
      <x:c r="B41" s="47" t="str">
        <x:v>El SHA-256 definitivo de este XLSX se registra fuera del propio archivo; insertarlo dentro invalidaría de nuevo el hash.</x:v>
      </x:c>
    </x:row>
  </x:sheetData>
  <x:mergeCells>
    <x:mergeCell ref="A1:H1"/>
    <x:mergeCell ref="A2:H2"/>
    <x:mergeCell ref="A20:H20"/>
    <x:mergeCell ref="A30:B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8" hidden="0" customWidth="1"/>
    <x:col min="4" max="4" width="24" hidden="0" customWidth="1"/>
    <x:col min="5" max="5" width="24" hidden="0" customWidth="1"/>
    <x:col min="6" max="6" width="40" hidden="0" customWidth="1"/>
    <x:col min="7" max="7" width="18" hidden="0" customWidth="1"/>
    <x:col min="8" max="8" width="12" hidden="0" customWidth="1"/>
    <x:col min="9" max="9" width="12" hidden="0" customWidth="1"/>
    <x:col min="10" max="10" width="14" hidden="0" customWidth="1"/>
    <x:col min="11" max="11" width="14" hidden="0" customWidth="1"/>
  </x:cols>
  <x:sheetData>
    <x:row r="1" ht="38.400001525878906" hidden="0" customHeight="1">
      <x:c r="A1" s="69" t="str">
        <x:v>Dashboard legal, créditos y licencias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4"/>
      <x:c r="M1" s="4"/>
      <x:c r="N1" s="4"/>
      <x:c r="O1" s="4"/>
      <x:c r="P1" s="4"/>
      <x:c r="Q1" s="4"/>
      <x:c r="R1" s="4"/>
      <x:c r="S1" s="4"/>
      <x:c r="T1" s="4"/>
    </x:row>
    <x:row r="2" ht="60" hidden="0" customHeight="1">
      <x:c r="A2" s="70" t="str">
        <x:v>Estado de assets, pruebas, riesgos, deuda, créditos, builds, distribución y controles transversales de la baseline 00–34.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10"/>
      <x:c r="M2" s="10"/>
      <x:c r="N2" s="10"/>
      <x:c r="O2" s="10"/>
      <x:c r="P2" s="10"/>
      <x:c r="Q2" s="10"/>
      <x:c r="R2" s="10"/>
      <x:c r="S2" s="10"/>
      <x:c r="T2" s="10"/>
    </x:row>
    <x:row r="3" ht="15" hidden="0" customHeight="1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</x:row>
    <x:row r="4" ht="24" hidden="0" customHeight="1">
      <x:c r="A4" s="71" t="str">
        <x:v>Assets internos</x:v>
      </x:c>
      <x:c r="B4" s="71"/>
      <x:c r="C4" s="47"/>
      <x:c r="D4" s="71" t="str">
        <x:v>Evidencia completa</x:v>
      </x:c>
      <x:c r="E4" s="71"/>
      <x:c r="F4" s="47"/>
      <x:c r="G4" s="71" t="str">
        <x:v>Contenido generado</x:v>
      </x:c>
      <x:c r="H4" s="71"/>
      <x:c r="I4" s="47"/>
      <x:c r="J4" s="71" t="str">
        <x:v>Software/paquetes</x:v>
      </x:c>
      <x:c r="K4" s="71"/>
    </x:row>
    <x:row r="5" ht="16.799999237060547" hidden="0" customHeight="1">
      <x:c r="A5" s="72" t="n">
        <x:f>COUNTA('03_Assets_Internos'!$A$5:$A$731)</x:f>
        <x:v>727</x:v>
      </x:c>
      <x:c r="B5" s="72"/>
      <x:c r="C5" s="47"/>
      <x:c r="D5" s="72" t="n">
        <x:f>COUNTIF('03_Assets_Internos'!$W$5:$W$731,"Sí")</x:f>
        <x:v>516</x:v>
      </x:c>
      <x:c r="E5" s="72"/>
      <x:c r="F5" s="47"/>
      <x:c r="G5" s="72" t="n">
        <x:f>COUNTA('05_Contenido_Generado'!$A$5:$A$54)</x:f>
        <x:v>50</x:v>
      </x:c>
      <x:c r="H5" s="72"/>
      <x:c r="I5" s="47"/>
      <x:c r="J5" s="72" t="n">
        <x:f>COUNTA('11_Software_Paquetes'!$A$5:$A$64)</x:f>
        <x:v>60</x:v>
      </x:c>
      <x:c r="K5" s="72"/>
    </x:row>
    <x:row r="6" ht="15" hidden="0" customHeight="1">
      <x:c r="A6" s="47"/>
      <x:c r="B6" s="47"/>
      <x:c r="C6" s="47"/>
      <x:c r="D6" s="47"/>
      <x:c r="E6" s="47"/>
      <x:c r="F6" s="47"/>
      <x:c r="G6" s="47"/>
      <x:c r="H6" s="47"/>
      <x:c r="I6" s="47"/>
      <x:c r="J6" s="47"/>
      <x:c r="K6" s="47"/>
    </x:row>
    <x:row r="7" ht="36" hidden="0" customHeight="1">
      <x:c r="A7" s="71" t="str">
        <x:v>Riesgos High/Critical</x:v>
      </x:c>
      <x:c r="B7" s="71"/>
      <x:c r="C7" s="47"/>
      <x:c r="D7" s="71" t="str">
        <x:v>Deuda S1 abierta</x:v>
      </x:c>
      <x:c r="E7" s="71"/>
      <x:c r="F7" s="47"/>
      <x:c r="G7" s="71" t="str">
        <x:v>Créditos bloqueados</x:v>
      </x:c>
      <x:c r="H7" s="71"/>
      <x:c r="I7" s="47"/>
      <x:c r="J7" s="71" t="str">
        <x:v>Builds elegibles</x:v>
      </x:c>
      <x:c r="K7" s="71"/>
    </x:row>
    <x:row r="8" ht="16.799999237060547" hidden="0" customHeight="1">
      <x:c r="A8" s="72" t="n">
        <x:f>COUNTIFS('18_Riesgos_Legales'!$P$5:$P$32,"High",'18_Riesgos_Legales'!$K$5:$K$32,"&lt;&gt;Closed")+COUNTIFS('18_Riesgos_Legales'!$P$5:$P$32,"Critical",'18_Riesgos_Legales'!$K$5:$K$32,"&lt;&gt;Closed")</x:f>
        <x:v>17</x:v>
      </x:c>
      <x:c r="B8" s="72"/>
      <x:c r="C8" s="47"/>
      <x:c r="D8" s="72" t="n">
        <x:f>COUNTIFS('19_Deuda_Pendiente'!$C$5:$C$26,"S1",'19_Deuda_Pendiente'!$F$5:$F$26,"&lt;&gt;Closed")</x:f>
        <x:v>12</x:v>
      </x:c>
      <x:c r="E8" s="72"/>
      <x:c r="F8" s="47"/>
      <x:c r="G8" s="72" t="n">
        <x:f>COUNTIF('13_Creditos'!$H$5:$H$19,"BLOCKED")</x:f>
        <x:v>1</x:v>
      </x:c>
      <x:c r="H8" s="72"/>
      <x:c r="I8" s="47"/>
      <x:c r="J8" s="72" t="n">
        <x:f>COUNTIF('17_Builds_Distribucion'!$Y$5:$Y$28,"ELIGIBLE FOR MANUAL APPROVAL")</x:f>
        <x:v>0</x:v>
      </x:c>
      <x:c r="K8" s="72"/>
    </x:row>
    <x:row r="9" ht="15" hidden="0" customHeight="1">
      <x:c r="A9" s="47"/>
      <x:c r="B9" s="47"/>
      <x:c r="C9" s="47"/>
      <x:c r="D9" s="47"/>
      <x:c r="E9" s="47"/>
      <x:c r="F9" s="47"/>
      <x:c r="G9" s="47"/>
      <x:c r="H9" s="47"/>
      <x:c r="I9" s="47"/>
      <x:c r="J9" s="47"/>
      <x:c r="K9" s="47"/>
    </x:row>
    <x:row r="10" ht="24" hidden="0" customHeight="1">
      <x:c r="A10" s="71" t="str">
        <x:v>Cobertura legal T5+</x:v>
      </x:c>
      <x:c r="B10" s="71"/>
      <x:c r="C10" s="47"/>
      <x:c r="D10" s="71" t="str">
        <x:v>Marcas a revisar</x:v>
      </x:c>
      <x:c r="E10" s="71"/>
      <x:c r="F10" s="47"/>
      <x:c r="G10" s="71" t="str">
        <x:v>Registros históricos</x:v>
      </x:c>
      <x:c r="H10" s="71"/>
      <x:c r="I10" s="47"/>
      <x:c r="J10" s="71" t="str">
        <x:v>Fuentes con hash</x:v>
      </x:c>
      <x:c r="K10" s="71"/>
    </x:row>
    <x:row r="11" ht="16.799999237060547" hidden="0" customHeight="1">
      <x:c r="A11" s="73" t="n">
        <x:f>(COUNTIF('23_Trazabilidad'!$T$5:$T$877,"T5")+COUNTIF('23_Trazabilidad'!$T$5:$T$877,"T6"))/COUNTA('23_Trazabilidad'!$A$5:$A$877)</x:f>
        <x:v>0.5990836197021764</x:v>
      </x:c>
      <x:c r="B11" s="73"/>
      <x:c r="C11" s="47"/>
      <x:c r="D11" s="72" t="n">
        <x:f>COUNTA('12_Marcas_IP'!$A$5:$A$20)</x:f>
        <x:v>16</x:v>
      </x:c>
      <x:c r="E11" s="72"/>
      <x:c r="F11" s="47"/>
      <x:c r="G11" s="72" t="n">
        <x:f>COUNTA('20_Historico_Registros'!$A$5:$A$14)</x:f>
        <x:v>10</x:v>
      </x:c>
      <x:c r="H11" s="72"/>
      <x:c r="I11" s="47"/>
      <x:c r="J11" s="72" t="n">
        <x:f>COUNTIF('22_Fuentes'!$F$5:$F$53,"&lt;&gt;")</x:f>
        <x:v>49</x:v>
      </x:c>
      <x:c r="K11" s="72"/>
    </x:row>
    <x:row r="12" ht="15" hidden="0" customHeight="1">
      <x:c r="A12" s="47"/>
      <x:c r="B12" s="47"/>
      <x:c r="C12" s="47"/>
      <x:c r="D12" s="47"/>
      <x:c r="E12" s="47"/>
      <x:c r="F12" s="47"/>
      <x:c r="G12" s="47"/>
      <x:c r="H12" s="47"/>
      <x:c r="I12" s="47"/>
      <x:c r="J12" s="47"/>
      <x:c r="K12" s="47"/>
    </x:row>
    <x:row r="13" ht="15" hidden="0" customHeight="1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</x:row>
    <x:row r="14" ht="26.399999618530273" hidden="0" customHeight="1">
      <x:c r="A14" s="74" t="str">
        <x:v>Estado ejecutivo de distribución</x:v>
      </x:c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</x:row>
    <x:row r="15" ht="15" hidden="0" customHeight="1">
      <x:c r="A15" s="24" t="str">
        <x:v>Aplicación</x:v>
      </x:c>
      <x:c r="B15" s="24" t="str">
        <x:v>0.0.17</x:v>
      </x:c>
      <x:c r="C15" s="24" t="str">
        <x:v>Estado técnico</x:v>
      </x:c>
      <x:c r="D15" s="24" t="str">
        <x:v>S0–15 PASS; S16 IN PROGRESS</x:v>
      </x:c>
      <x:c r="E15" s="24" t="str">
        <x:v>Estado público</x:v>
      </x:c>
      <x:c r="F15" s="24" t="str">
        <x:v>BLOCKED</x:v>
      </x:c>
      <x:c r="G15" s="47"/>
      <x:c r="H15" s="47"/>
      <x:c r="I15" s="47"/>
      <x:c r="J15" s="47"/>
      <x:c r="K15" s="47"/>
    </x:row>
    <x:row r="16" ht="15" hidden="0" customHeight="1">
      <x:c r="A16" s="24" t="str">
        <x:v>Distribución permitida</x:v>
      </x:c>
      <x:c r="B16" s="24" t="str">
        <x:v>Local / QA interna</x:v>
      </x:c>
      <x:c r="C16" s="24" t="str">
        <x:v>H6</x:v>
      </x:c>
      <x:c r="D16" s="24" t="str">
        <x:v>PENDING</x:v>
      </x:c>
      <x:c r="E16" s="24" t="str">
        <x:v>Steam</x:v>
      </x:c>
      <x:c r="F16" s="24" t="str">
        <x:v>NOT ONBOARDED</x:v>
      </x:c>
      <x:c r="G16" s="47"/>
      <x:c r="H16" s="47"/>
      <x:c r="I16" s="47"/>
      <x:c r="J16" s="47"/>
      <x:c r="K16" s="47"/>
    </x:row>
    <x:row r="17" ht="15" hidden="0" customHeight="1">
      <x:c r="A17" s="24" t="str">
        <x:v>Bloqueos legales</x:v>
      </x:c>
      <x:c r="B17" s="24" t="str">
        <x:v>Audio, font, notices, trademark, localization, credits</x:v>
      </x:c>
      <x:c r="C17" s="24" t="str">
        <x:v>Generated concepts</x:v>
      </x:c>
      <x:c r="D17" s="24" t="str">
        <x:v>Internal reference</x:v>
      </x:c>
      <x:c r="E17" s="24" t="str">
        <x:v>Expansion assets</x:v>
      </x:c>
      <x:c r="F17" s="24" t="str">
        <x:v>NOT OPEN</x:v>
      </x:c>
      <x:c r="G17" s="47"/>
      <x:c r="H17" s="47"/>
      <x:c r="I17" s="47"/>
      <x:c r="J17" s="47"/>
      <x:c r="K17" s="47"/>
    </x:row>
    <x:row r="18" ht="15" hidden="0" customHeight="1">
      <x:c r="A18" s="24" t="str">
        <x:v>Próximo documento</x:v>
      </x:c>
      <x:c r="B18" s="24" t="str">
        <x:v>31_H6_and_Release_Readiness_Checklist.xlsx</x:v>
      </x:c>
      <x:c r="C18" s="24" t="str">
        <x:v>Revisión final</x:v>
      </x:c>
      <x:c r="D18" s="24" t="str">
        <x:v>Tras 31, 33, 34, 32 candidata y auditoría 16</x:v>
      </x:c>
      <x:c r="E18" s="24" t="str">
        <x:v>Owner</x:v>
      </x:c>
      <x:c r="F18" s="24" t="str">
        <x:v>VRM Games</x:v>
      </x:c>
      <x:c r="G18" s="47"/>
      <x:c r="H18" s="47"/>
      <x:c r="I18" s="47"/>
      <x:c r="J18" s="47"/>
      <x:c r="K18" s="47"/>
    </x:row>
    <x:row r="19" ht="15" hidden="0" customHeight="1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</x:row>
    <x:row r="20" ht="15" hidden="0" customHeight="1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</x:row>
    <x:row r="21" ht="15" hidden="0" customHeight="1">
      <x:c r="A21" s="17" t="str">
        <x:v>Categoría asset</x:v>
      </x:c>
      <x:c r="B21" s="17" t="str">
        <x:v>Cantidad</x:v>
      </x:c>
      <x:c r="C21" s="47"/>
      <x:c r="D21" s="17" t="str">
        <x:v>Banda riesgo</x:v>
      </x:c>
      <x:c r="E21" s="17" t="str">
        <x:v>Cantidad</x:v>
      </x:c>
      <x:c r="F21" s="47"/>
      <x:c r="G21" s="17" t="str">
        <x:v>Deuda</x:v>
      </x:c>
      <x:c r="H21" s="17" t="str">
        <x:v>Cantidad</x:v>
      </x:c>
      <x:c r="I21" s="47"/>
      <x:c r="J21" s="17" t="str">
        <x:v>Cobertura</x:v>
      </x:c>
      <x:c r="K21" s="17" t="str">
        <x:v>Cantidad</x:v>
      </x:c>
    </x:row>
    <x:row r="22" ht="15" hidden="0" customHeight="1">
      <x:c r="A22" s="47" t="str">
        <x:v>Code</x:v>
      </x:c>
      <x:c r="B22" s="47" t="n">
        <x:f>COUNTIF('03_Assets_Internos'!$D$5:$D$731,A22)</x:f>
        <x:v>457</x:v>
      </x:c>
      <x:c r="C22" s="47"/>
      <x:c r="D22" s="47" t="str">
        <x:v>Low</x:v>
      </x:c>
      <x:c r="E22" s="47" t="n">
        <x:f>COUNTIF('18_Riesgos_Legales'!$P$5:$P$32,D22)</x:f>
        <x:v>1</x:v>
      </x:c>
      <x:c r="F22" s="47"/>
      <x:c r="G22" s="47" t="str">
        <x:v>S0</x:v>
      </x:c>
      <x:c r="H22" s="47" t="n">
        <x:f>COUNTIF('19_Deuda_Pendiente'!$C$5:$C$26,G22)</x:f>
        <x:v>0</x:v>
      </x:c>
      <x:c r="I22" s="47"/>
      <x:c r="J22" s="47" t="str">
        <x:v>T1</x:v>
      </x:c>
      <x:c r="K22" s="47" t="n">
        <x:f>COUNTIF('23_Trazabilidad'!$T$5:$T$877,J22)</x:f>
        <x:v>0</x:v>
      </x:c>
    </x:row>
    <x:row r="23" ht="15" hidden="0" customHeight="1">
      <x:c r="A23" s="47" t="str">
        <x:v>Assembly definition</x:v>
      </x:c>
      <x:c r="B23" s="47" t="n">
        <x:f>COUNTIF('03_Assets_Internos'!$D$5:$D$731,A23)</x:f>
        <x:v>12</x:v>
      </x:c>
      <x:c r="C23" s="47"/>
      <x:c r="D23" s="47" t="str">
        <x:v>Medium</x:v>
      </x:c>
      <x:c r="E23" s="47" t="n">
        <x:f>COUNTIF('18_Riesgos_Legales'!$P$5:$P$32,D23)</x:f>
        <x:v>10</x:v>
      </x:c>
      <x:c r="F23" s="47"/>
      <x:c r="G23" s="47" t="str">
        <x:v>S1</x:v>
      </x:c>
      <x:c r="H23" s="47" t="n">
        <x:f>COUNTIF('19_Deuda_Pendiente'!$C$5:$C$26,G23)</x:f>
        <x:v>12</x:v>
      </x:c>
      <x:c r="I23" s="47"/>
      <x:c r="J23" s="47" t="str">
        <x:v>T2</x:v>
      </x:c>
      <x:c r="K23" s="47" t="n">
        <x:f>COUNTIF('23_Trazabilidad'!$T$5:$T$877,J23)</x:f>
        <x:v>0</x:v>
      </x:c>
    </x:row>
    <x:row r="24" ht="15" hidden="0" customHeight="1">
      <x:c r="A24" s="47" t="str">
        <x:v>Prefab</x:v>
      </x:c>
      <x:c r="B24" s="47" t="n">
        <x:f>COUNTIF('03_Assets_Internos'!$D$5:$D$731,A24)</x:f>
        <x:v>64</x:v>
      </x:c>
      <x:c r="C24" s="47"/>
      <x:c r="D24" s="47" t="str">
        <x:v>High</x:v>
      </x:c>
      <x:c r="E24" s="47" t="n">
        <x:f>COUNTIF('18_Riesgos_Legales'!$P$5:$P$32,D24)</x:f>
        <x:v>11</x:v>
      </x:c>
      <x:c r="F24" s="47"/>
      <x:c r="G24" s="47" t="str">
        <x:v>S2</x:v>
      </x:c>
      <x:c r="H24" s="47" t="n">
        <x:f>COUNTIF('19_Deuda_Pendiente'!$C$5:$C$26,G24)</x:f>
        <x:v>10</x:v>
      </x:c>
      <x:c r="I24" s="47"/>
      <x:c r="J24" s="47" t="str">
        <x:v>T3</x:v>
      </x:c>
      <x:c r="K24" s="47" t="n">
        <x:f>COUNTIF('23_Trazabilidad'!$T$5:$T$877,J24)</x:f>
        <x:v>24</x:v>
      </x:c>
    </x:row>
    <x:row r="25" ht="15" hidden="0" customHeight="1">
      <x:c r="A25" s="47" t="str">
        <x:v>3D model</x:v>
      </x:c>
      <x:c r="B25" s="47" t="n">
        <x:f>COUNTIF('03_Assets_Internos'!$D$5:$D$731,A25)</x:f>
        <x:v>62</x:v>
      </x:c>
      <x:c r="C25" s="47"/>
      <x:c r="D25" s="47" t="str">
        <x:v>Critical</x:v>
      </x:c>
      <x:c r="E25" s="47" t="n">
        <x:f>COUNTIF('18_Riesgos_Legales'!$P$5:$P$32,D25)</x:f>
        <x:v>6</x:v>
      </x:c>
      <x:c r="F25" s="47"/>
      <x:c r="G25" s="47" t="str">
        <x:v>S3</x:v>
      </x:c>
      <x:c r="H25" s="47" t="n">
        <x:f>COUNTIF('19_Deuda_Pendiente'!$C$5:$C$26,G25)</x:f>
        <x:v>0</x:v>
      </x:c>
      <x:c r="I25" s="47"/>
      <x:c r="J25" s="47" t="str">
        <x:v>T4</x:v>
      </x:c>
      <x:c r="K25" s="47" t="n">
        <x:f>COUNTIF('23_Trazabilidad'!$T$5:$T$877,J25)</x:f>
        <x:v>326</x:v>
      </x:c>
    </x:row>
    <x:row r="26" ht="15" hidden="0" customHeight="1">
      <x:c r="A26" s="47" t="str">
        <x:v>Material</x:v>
      </x:c>
      <x:c r="B26" s="47" t="n">
        <x:f>COUNTIF('03_Assets_Internos'!$D$5:$D$731,A26)</x:f>
        <x:v>52</x:v>
      </x:c>
      <x:c r="C26" s="47"/>
      <x:c r="D26" s="47"/>
      <x:c r="E26" s="47"/>
      <x:c r="F26" s="47"/>
      <x:c r="G26" s="47" t="str">
        <x:v>S4</x:v>
      </x:c>
      <x:c r="H26" s="47" t="n">
        <x:f>COUNTIF('19_Deuda_Pendiente'!$C$5:$C$26,G26)</x:f>
        <x:v>0</x:v>
      </x:c>
      <x:c r="I26" s="47"/>
      <x:c r="J26" s="47" t="str">
        <x:v>T5</x:v>
      </x:c>
      <x:c r="K26" s="47" t="n">
        <x:f>COUNTIF('23_Trazabilidad'!$T$5:$T$877,J26)</x:f>
        <x:v>523</x:v>
      </x:c>
    </x:row>
    <x:row r="27" ht="15" hidden="0" customHeight="1">
      <x:c r="A27" s="47" t="str">
        <x:v>Texture/Icon</x:v>
      </x:c>
      <x:c r="B27" s="47" t="n">
        <x:f>COUNTIF('03_Assets_Internos'!$D$5:$D$731,A27)</x:f>
        <x:v>12</x:v>
      </x:c>
      <x:c r="C27" s="47"/>
      <x:c r="D27" s="47"/>
      <x:c r="E27" s="47"/>
      <x:c r="F27" s="47"/>
      <x:c r="G27" s="47"/>
      <x:c r="H27" s="47"/>
      <x:c r="I27" s="47"/>
      <x:c r="J27" s="47" t="str">
        <x:v>T6</x:v>
      </x:c>
      <x:c r="K27" s="47" t="n">
        <x:f>COUNTIF('23_Trazabilidad'!$T$5:$T$877,J27)</x:f>
        <x:v>0</x:v>
      </x:c>
    </x:row>
    <x:row r="28" ht="15" hidden="0" customHeight="1">
      <x:c r="A28" s="47" t="str">
        <x:v>Audio</x:v>
      </x:c>
      <x:c r="B28" s="47" t="n">
        <x:f>COUNTIF('03_Assets_Internos'!$D$5:$D$731,A28)</x:f>
        <x:v>10</x:v>
      </x:c>
      <x:c r="C28" s="47"/>
      <x:c r="D28" s="47"/>
      <x:c r="E28" s="47"/>
      <x:c r="F28" s="47"/>
      <x:c r="G28" s="47"/>
      <x:c r="H28" s="47"/>
      <x:c r="I28" s="47"/>
      <x:c r="J28" s="47"/>
      <x:c r="K28" s="47"/>
    </x:row>
    <x:row r="29" ht="15" hidden="0" customHeight="1">
      <x:c r="A29" s="47" t="str">
        <x:v>Animation</x:v>
      </x:c>
      <x:c r="B29" s="47" t="n">
        <x:f>COUNTIF('03_Assets_Internos'!$D$5:$D$731,A29)</x:f>
        <x:v>11</x:v>
      </x:c>
      <x:c r="C29" s="47"/>
      <x:c r="D29" s="47"/>
      <x:c r="E29" s="47"/>
      <x:c r="F29" s="47"/>
      <x:c r="G29" s="47"/>
      <x:c r="H29" s="47"/>
      <x:c r="I29" s="47"/>
      <x:c r="J29" s="47"/>
      <x:c r="K29" s="47"/>
    </x:row>
    <x:row r="30" ht="15" hidden="0" customHeight="1">
      <x:c r="A30" s="47" t="str">
        <x:v>Scene</x:v>
      </x:c>
      <x:c r="B30" s="47" t="n">
        <x:f>COUNTIF('03_Assets_Internos'!$D$5:$D$731,A30)</x:f>
        <x:v>5</x:v>
      </x:c>
      <x:c r="C30" s="47"/>
      <x:c r="D30" s="47"/>
      <x:c r="E30" s="47"/>
      <x:c r="F30" s="47"/>
      <x:c r="G30" s="47"/>
      <x:c r="H30" s="47"/>
      <x:c r="I30" s="47"/>
      <x:c r="J30" s="47"/>
      <x:c r="K30" s="47"/>
    </x:row>
    <x:row r="31" ht="15" hidden="0" customHeight="1">
      <x:c r="A31" s="47" t="str">
        <x:v>Unity data asset</x:v>
      </x:c>
      <x:c r="B31" s="47" t="n">
        <x:f>COUNTIF('03_Assets_Internos'!$D$5:$D$731,A31)</x:f>
        <x:v>42</x:v>
      </x:c>
      <x:c r="C31" s="47"/>
      <x:c r="D31" s="47"/>
      <x:c r="E31" s="47"/>
      <x:c r="F31" s="47"/>
      <x:c r="G31" s="47"/>
      <x:c r="H31" s="47"/>
      <x:c r="I31" s="47"/>
      <x:c r="J31" s="47"/>
      <x:c r="K31" s="47"/>
    </x:row>
    <x:row r="32" ht="15" hidden="0" customHeight="1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</x:row>
    <x:row r="33" ht="15" hidden="0" customHeight="1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</x:row>
    <x:row r="34" ht="15" hidden="0" customHeight="1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</x:row>
    <x:row r="35" ht="26.399999618530273" hidden="0" customHeight="1">
      <x:c r="A35" s="17" t="str">
        <x:v>Créditos</x:v>
      </x:c>
      <x:c r="B35" s="17" t="str">
        <x:v>Cantidad</x:v>
      </x:c>
      <x:c r="C35" s="47"/>
      <x:c r="D35" s="17" t="str">
        <x:v>Gate build</x:v>
      </x:c>
      <x:c r="E35" s="17" t="str">
        <x:v>Cantidad</x:v>
      </x:c>
      <x:c r="F35" s="47"/>
      <x:c r="G35" s="74" t="str">
        <x:v>Alertas de release</x:v>
      </x:c>
      <x:c r="H35" s="74"/>
      <x:c r="I35" s="74"/>
      <x:c r="J35" s="74"/>
      <x:c r="K35" s="74"/>
    </x:row>
    <x:row r="36" ht="15" hidden="0" customHeight="1">
      <x:c r="A36" s="47" t="str">
        <x:v>READY</x:v>
      </x:c>
      <x:c r="B36" s="47" t="n">
        <x:f>COUNTIF('13_Creditos'!$H$5:$H$19,"READY")</x:f>
        <x:v>3</x:v>
      </x:c>
      <x:c r="C36" s="47"/>
      <x:c r="D36" s="47" t="str">
        <x:v>BLOCKED</x:v>
      </x:c>
      <x:c r="E36" s="47" t="n">
        <x:f>COUNTIF('17_Builds_Distribucion'!$Y$5:$Y$28,D36)</x:f>
        <x:v>24</x:v>
      </x:c>
      <x:c r="F36" s="47"/>
      <x:c r="G36" s="17" t="str">
        <x:v>Área</x:v>
      </x:c>
      <x:c r="H36" s="17" t="str">
        <x:v>Alerta</x:v>
      </x:c>
      <x:c r="I36" s="17" t="str">
        <x:v>Gate</x:v>
      </x:c>
      <x:c r="J36" s="17" t="str">
        <x:v>Deuda</x:v>
      </x:c>
      <x:c r="K36" s="47"/>
    </x:row>
    <x:row r="37" ht="21.600000381469727" hidden="0" customHeight="1">
      <x:c r="A37" s="47" t="str">
        <x:v>PARTIAL</x:v>
      </x:c>
      <x:c r="B37" s="47" t="n">
        <x:f>COUNTIF('13_Creditos'!$H$5:$H$19,"PARTIAL")</x:f>
        <x:v>2</x:v>
      </x:c>
      <x:c r="C37" s="47"/>
      <x:c r="D37" s="47" t="str">
        <x:v>ELIGIBLE FOR MANUAL APPROVAL</x:v>
      </x:c>
      <x:c r="E37" s="47" t="n">
        <x:f>COUNTIF('17_Builds_Distribucion'!$Y$5:$Y$28,D37)</x:f>
        <x:v>0</x:v>
      </x:c>
      <x:c r="F37" s="47"/>
      <x:c r="G37" s="24" t="str">
        <x:v>Título/estudio</x:v>
      </x:c>
      <x:c r="H37" s="24" t="str">
        <x:v>Clearance no realizado</x:v>
      </x:c>
      <x:c r="I37" s="24" t="str">
        <x:v>Pre-Steam</x:v>
      </x:c>
      <x:c r="J37" s="24" t="str">
        <x:v>LEG-DEBT-001</x:v>
      </x:c>
      <x:c r="K37" s="47"/>
    </x:row>
    <x:row r="38" ht="32.400001525878906" hidden="0" customHeight="1">
      <x:c r="A38" s="47" t="str">
        <x:v>BLOCKED</x:v>
      </x:c>
      <x:c r="B38" s="47" t="n">
        <x:f>COUNTIF('13_Creditos'!$H$5:$H$19,"BLOCKED")</x:f>
        <x:v>1</x:v>
      </x:c>
      <x:c r="C38" s="47"/>
      <x:c r="D38" s="47"/>
      <x:c r="E38" s="47"/>
      <x:c r="F38" s="47"/>
      <x:c r="G38" s="24" t="str">
        <x:v>Audio</x:v>
      </x:c>
      <x:c r="H38" s="24" t="str">
        <x:v>Procedencia por clip incompleta</x:v>
      </x:c>
      <x:c r="I38" s="24" t="str">
        <x:v>H6</x:v>
      </x:c>
      <x:c r="J38" s="24" t="str">
        <x:v>LEG-DEBT-002</x:v>
      </x:c>
      <x:c r="K38" s="47"/>
    </x:row>
    <x:row r="39" ht="43.20000076293945" hidden="0" customHeight="1">
      <x:c r="A39" s="47" t="str">
        <x:v>NOT STARTED</x:v>
      </x:c>
      <x:c r="B39" s="47" t="n">
        <x:f>COUNTIF('13_Creditos'!$H$5:$H$19,"NOT STARTED")</x:f>
        <x:v>2</x:v>
      </x:c>
      <x:c r="C39" s="47"/>
      <x:c r="D39" s="47"/>
      <x:c r="E39" s="47"/>
      <x:c r="F39" s="47"/>
      <x:c r="G39" s="24" t="str">
        <x:v>Fuente</x:v>
      </x:c>
      <x:c r="H39" s="24" t="str">
        <x:v>Tipografía de producción ausente</x:v>
      </x:c>
      <x:c r="I39" s="24" t="str">
        <x:v>H6</x:v>
      </x:c>
      <x:c r="J39" s="24" t="str">
        <x:v>LEG-DEBT-003</x:v>
      </x:c>
      <x:c r="K39" s="47"/>
    </x:row>
    <x:row r="40" ht="32.400001525878906" hidden="0" customHeight="1">
      <x:c r="A40" s="47" t="str">
        <x:v>PENDING</x:v>
      </x:c>
      <x:c r="B40" s="47" t="n">
        <x:f>COUNTIF('13_Creditos'!$H$5:$H$19,"PENDING")</x:f>
        <x:v>1</x:v>
      </x:c>
      <x:c r="C40" s="47"/>
      <x:c r="D40" s="47"/>
      <x:c r="E40" s="47"/>
      <x:c r="F40" s="47"/>
      <x:c r="G40" s="24" t="str">
        <x:v>Packages</x:v>
      </x:c>
      <x:c r="H40" s="24" t="str">
        <x:v>THIRD_PARTY_NOTICES pendiente</x:v>
      </x:c>
      <x:c r="I40" s="24" t="str">
        <x:v>H6</x:v>
      </x:c>
      <x:c r="J40" s="24" t="str">
        <x:v>LEG-DEBT-004</x:v>
      </x:c>
      <x:c r="K40" s="47"/>
    </x:row>
    <x:row r="41" ht="32.400001525878906" hidden="0" customHeight="1">
      <x:c r="A41" s="47" t="str">
        <x:v>REVIEW</x:v>
      </x:c>
      <x:c r="B41" s="47" t="n">
        <x:f>COUNTIF('13_Creditos'!$H$5:$H$19,"REVIEW")+COUNTIF('13_Creditos'!$H$5:$H$19,"OPTIONAL/REVIEW")+COUNTIF('13_Creditos'!$H$5:$H$19,"INTERNAL DISCLOSURE / REVIEW")</x:f>
        <x:v>4</x:v>
      </x:c>
      <x:c r="C41" s="47"/>
      <x:c r="D41" s="47"/>
      <x:c r="E41" s="47"/>
      <x:c r="F41" s="47"/>
      <x:c r="G41" s="24" t="str">
        <x:v>Localización</x:v>
      </x:c>
      <x:c r="H41" s="24" t="str">
        <x:v>ES/EN no implementado</x:v>
      </x:c>
      <x:c r="I41" s="24" t="str">
        <x:v>H6</x:v>
      </x:c>
      <x:c r="J41" s="24" t="str">
        <x:v>LEG-DEBT-007</x:v>
      </x:c>
      <x:c r="K41" s="47"/>
    </x:row>
    <x:row r="42" ht="32.400001525878906" hidden="0" customHeight="1">
      <x:c r="A42" s="47" t="str">
        <x:v>OPTIONAL</x:v>
      </x:c>
      <x:c r="B42" s="47" t="n">
        <x:f>COUNTIF('13_Creditos'!$H$5:$H$19,"OPTIONAL")+COUNTIF('13_Creditos'!$H$5:$H$19,"OPTIONAL/REVIEW")</x:f>
        <x:v>3</x:v>
      </x:c>
      <x:c r="C42" s="47"/>
      <x:c r="D42" s="47"/>
      <x:c r="E42" s="47"/>
      <x:c r="F42" s="47"/>
      <x:c r="G42" s="24" t="str">
        <x:v>Build legal</x:v>
      </x:c>
      <x:c r="H42" s="24" t="str">
        <x:v>Ninguna candidata aprobada</x:v>
      </x:c>
      <x:c r="I42" s="24" t="str">
        <x:v>H6</x:v>
      </x:c>
      <x:c r="J42" s="24" t="str">
        <x:v>LEG-DEBT-009</x:v>
      </x:c>
      <x:c r="K42" s="47"/>
    </x:row>
    <x:row r="43" ht="15" hidden="0" customHeight="1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</x:row>
    <x:row r="44" ht="26.399999618530273" hidden="0" customHeight="1">
      <x:c r="A44" s="47" t="str">
        <x:v>Integración 00–34 y readiness legal</x:v>
      </x:c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</x:row>
    <x:row r="45" ht="26.399999618530273" hidden="0" customHeight="1">
      <x:c r="A45" s="47" t="str">
        <x:v>Controles vigentes</x:v>
      </x:c>
      <x:c r="B45" s="47" t="n">
        <x:v>18</x:v>
      </x:c>
      <x:c r="C45" s="47"/>
      <x:c r="D45" s="47" t="str">
        <x:v>Steam / release</x:v>
      </x:c>
      <x:c r="E45" s="47" t="str">
        <x:v>NOT OPEN</x:v>
      </x:c>
      <x:c r="F45" s="47" t="str">
        <x:v>Ejecutar onboarding, build y signoff 24/31</x:v>
      </x:c>
      <x:c r="G45" s="47" t="str">
        <x:v>Steam / RC</x:v>
      </x:c>
      <x:c r="H45" s="47"/>
      <x:c r="I45" s="47"/>
      <x:c r="J45" s="47"/>
      <x:c r="K45" s="47"/>
    </x:row>
    <x:row r="46" ht="26.399999618530273" hidden="0" customHeight="1">
      <x:c r="A46" s="47" t="str">
        <x:v>Documentos actuales</x:v>
      </x:c>
      <x:c r="B46" s="47" t="n">
        <x:v>35</x:v>
      </x:c>
      <x:c r="C46" s="47"/>
      <x:c r="D46" s="47" t="str">
        <x:v>Marketing / claims</x:v>
      </x:c>
      <x:c r="E46" s="47" t="str">
        <x:v>NOT OPEN</x:v>
      </x:c>
      <x:c r="F46" s="47" t="str">
        <x:v>Vincular claim y media a build/evidencia 23/28/31</x:v>
      </x:c>
      <x:c r="G46" s="47" t="str">
        <x:v>Premarketing</x:v>
      </x:c>
      <x:c r="H46" s="47"/>
      <x:c r="I46" s="47"/>
      <x:c r="J46" s="47"/>
      <x:c r="K46" s="47"/>
    </x:row>
    <x:row r="47" ht="26.399999618530273" hidden="0" customHeight="1">
      <x:c r="A47" s="47" t="str">
        <x:v>Fuentes registradas</x:v>
      </x:c>
      <x:c r="B47" s="47" t="n">
        <x:f>COUNTA('22_Fuentes'!$A$5:$A$53)</x:f>
        <x:v>49</x:v>
      </x:c>
      <x:c r="C47" s="47"/>
      <x:c r="D47" s="47" t="str">
        <x:v>Privacidad / seguridad</x:v>
      </x:c>
      <x:c r="E47" s="47" t="str">
        <x:v>OPEN</x:v>
      </x:c>
      <x:c r="F47" s="47" t="str">
        <x:v>Inventario, scans, accesos e incident response 26/27</x:v>
      </x:c>
      <x:c r="G47" s="47" t="str">
        <x:v>H6 / RC</x:v>
      </x:c>
      <x:c r="H47" s="47"/>
      <x:c r="I47" s="47"/>
      <x:c r="J47" s="47"/>
      <x:c r="K47" s="47"/>
    </x:row>
    <x:row r="48" ht="26.399999618530273" hidden="0" customHeight="1">
      <x:c r="A48" s="47" t="str">
        <x:v>Riesgos cross-domain</x:v>
      </x:c>
      <x:c r="B48" s="47" t="n">
        <x:f>COUNTA('18_Riesgos_Legales'!$A$25:$A$32)</x:f>
        <x:v>8</x:v>
      </x:c>
      <x:c r="C48" s="47"/>
      <x:c r="D48" s="47" t="str">
        <x:v>Accesibilidad</x:v>
      </x:c>
      <x:c r="E48" s="47" t="str">
        <x:v>OPEN</x:v>
      </x:c>
      <x:c r="F48" s="47" t="str">
        <x:v>Probar feature scope y aprobar wording 29/31</x:v>
      </x:c>
      <x:c r="G48" s="47" t="str">
        <x:v>H6 / Store</x:v>
      </x:c>
      <x:c r="H48" s="47"/>
      <x:c r="I48" s="47"/>
      <x:c r="J48" s="47"/>
      <x:c r="K48" s="47"/>
    </x:row>
    <x:row r="49" ht="15" hidden="0" customHeight="1">
      <x:c r="A49" s="47" t="str">
        <x:v>Deuda nueva</x:v>
      </x:c>
      <x:c r="B49" s="47" t="n">
        <x:f>COUNTA('19_Deuda_Pendiente'!$A$21:$A$26)</x:f>
        <x:v>6</x:v>
      </x:c>
      <x:c r="C49" s="47"/>
      <x:c r="D49" s="47" t="str">
        <x:v>Rendimiento</x:v>
      </x:c>
      <x:c r="E49" s="47" t="str">
        <x:v>OPEN</x:v>
      </x:c>
      <x:c r="F49" s="47" t="str">
        <x:v>Benchmark y aprobar requisitos 30/31</x:v>
      </x:c>
      <x:c r="G49" s="47" t="str">
        <x:v>H6 / Store</x:v>
      </x:c>
      <x:c r="H49" s="47"/>
      <x:c r="I49" s="47"/>
      <x:c r="J49" s="47"/>
      <x:c r="K49" s="47"/>
    </x:row>
    <x:row r="50" ht="26.399999618530273" hidden="0" customHeight="1">
      <x:c r="A50" s="47" t="str">
        <x:v>Baseline manifest</x:v>
      </x:c>
      <x:c r="B50" s="47" t="str">
        <x:v>CANDIDATE</x:v>
      </x:c>
      <x:c r="C50" s="47"/>
      <x:c r="D50" s="47" t="str">
        <x:v>H6 / Release Readiness</x:v>
      </x:c>
      <x:c r="E50" s="47" t="str">
        <x:v>NOT RUN</x:v>
      </x:c>
      <x:c r="F50" s="47" t="str">
        <x:v>Ejecutar controles, evidencias y signoff 31</x:v>
      </x:c>
      <x:c r="G50" s="47" t="str">
        <x:v>H6 / RC / Launch</x:v>
      </x:c>
      <x:c r="H50" s="47"/>
      <x:c r="I50" s="47"/>
      <x:c r="J50" s="47"/>
      <x:c r="K50" s="47"/>
    </x:row>
    <x:row r="51" ht="26.399999618530273" hidden="0" customHeight="1">
      <x:c r="A51" s="47" t="str">
        <x:v>Continuidad</x:v>
      </x:c>
      <x:c r="B51" s="47" t="str">
        <x:v>UNVERIFIED</x:v>
      </x:c>
      <x:c r="C51" s="47"/>
      <x:c r="D51" s="47" t="str">
        <x:v>Backup / restore / accounts</x:v>
      </x:c>
      <x:c r="E51" s="47" t="str">
        <x:v>OPEN</x:v>
      </x:c>
      <x:c r="F51" s="47" t="str">
        <x:v>Tratar riesgos y probar restauración 33/34</x:v>
      </x:c>
      <x:c r="G51" s="47" t="str">
        <x:v>Final Baseline</x:v>
      </x:c>
      <x:c r="H51" s="47"/>
      <x:c r="I51" s="47"/>
      <x:c r="J51" s="47"/>
      <x:c r="K51" s="47"/>
    </x:row>
    <x:row r="52" ht="26.399999618530273" hidden="0" customHeight="1">
      <x:c r="A52" s="47" t="str">
        <x:v>Próximo documento</x:v>
      </x:c>
      <x:c r="B52" s="47" t="str">
        <x:v>31</x:v>
      </x:c>
      <x:c r="C52" s="47"/>
      <x:c r="D52" s="47" t="str">
        <x:v>Handoff independiente</x:v>
      </x:c>
      <x:c r="E52" s="47" t="str">
        <x:v>UNTESTED</x:v>
      </x:c>
      <x:c r="F52" s="47" t="str">
        <x:v>Completar y probar runbook 34</x:v>
      </x:c>
      <x:c r="G52" s="47" t="str">
        <x:v>Operations</x:v>
      </x:c>
      <x:c r="H52" s="47"/>
      <x:c r="I52" s="47"/>
      <x:c r="J52" s="47"/>
      <x:c r="K52" s="47"/>
    </x:row>
  </x:sheetData>
  <x:mergeCells>
    <x:mergeCell ref="A1:T1"/>
    <x:mergeCell ref="A2:T2"/>
    <x:mergeCell ref="A4:B4"/>
    <x:mergeCell ref="A5:B5"/>
    <x:mergeCell ref="D4:E4"/>
    <x:mergeCell ref="D5:E5"/>
    <x:mergeCell ref="G4:H4"/>
    <x:mergeCell ref="G5:H5"/>
    <x:mergeCell ref="J4:K4"/>
    <x:mergeCell ref="J5:K5"/>
    <x:mergeCell ref="A7:B7"/>
    <x:mergeCell ref="A8:B8"/>
    <x:mergeCell ref="D7:E7"/>
    <x:mergeCell ref="D8:E8"/>
    <x:mergeCell ref="G7:H7"/>
    <x:mergeCell ref="G8:H8"/>
    <x:mergeCell ref="J7:K7"/>
    <x:mergeCell ref="J8:K8"/>
    <x:mergeCell ref="A10:B10"/>
    <x:mergeCell ref="A11:B11"/>
    <x:mergeCell ref="D10:E10"/>
    <x:mergeCell ref="D11:E11"/>
    <x:mergeCell ref="G10:H10"/>
    <x:mergeCell ref="G11:H11"/>
    <x:mergeCell ref="J10:K10"/>
    <x:mergeCell ref="J11:K11"/>
    <x:mergeCell ref="A14:K14"/>
    <x:mergeCell ref="G35:K35"/>
    <x:mergeCell ref="A44:K44"/>
  </x:mergeCells>
  <x:pageMargins left="0.7" right="0.7" top="0.75" bottom="0.75" header="0.3" footer="0.3"/>
  <x:drawing xmlns:r="http://schemas.openxmlformats.org/officeDocument/2006/relationships" r:id="R58769b29e2c74b3f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4" hidden="0" customWidth="1"/>
    <x:col min="4" max="4" width="34" hidden="0" customWidth="1"/>
    <x:col min="5" max="5" width="34" hidden="0" customWidth="1"/>
    <x:col min="6" max="6" width="20" hidden="0" customWidth="1"/>
    <x:col min="7" max="7" width="24" hidden="0" customWidth="1"/>
    <x:col min="8" max="8" width="30" hidden="0" customWidth="1"/>
    <x:col min="9" max="9" width="18" hidden="0" customWidth="1"/>
    <x:col min="10" max="10" width="28" hidden="0" customWidth="1"/>
    <x:col min="11" max="11" width="22" hidden="0" customWidth="1"/>
    <x:col min="12" max="12" width="26" hidden="0" customWidth="1"/>
    <x:col min="13" max="13" width="42" hidden="0" customWidth="1"/>
    <x:col min="14" max="14" width="50" hidden="0" customWidth="1"/>
    <x:col min="15" max="15" width="38" hidden="0" customWidth="1"/>
    <x:col min="16" max="16" width="20" hidden="0" customWidth="1"/>
    <x:col min="17" max="17" width="40" hidden="0" customWidth="1"/>
    <x:col min="18" max="18" width="24" hidden="0" customWidth="1"/>
    <x:col min="19" max="19" width="55" hidden="0" customWidth="1"/>
  </x:cols>
  <x:sheetData>
    <x:row r="1" ht="30" customHeight="1">
      <x:c r="A1" s="4" t="str">
        <x:v>Entidades legales y responsables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2" customHeight="1">
      <x:c r="A2" s="10" t="str">
        <x:v>Titularidad, proveedores, plataformas y responsables del proyecto.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4" ht="38" customHeight="1">
      <x:c r="A4" s="17" t="str">
        <x:v>Entity ID</x:v>
      </x:c>
      <x:c r="B4" s="17" t="str">
        <x:v>Nombre legal/operativo</x:v>
      </x:c>
      <x:c r="C4" s="17" t="str">
        <x:v>Tipo</x:v>
      </x:c>
      <x:c r="D4" s="17" t="str">
        <x:v>Persona/Entidad</x:v>
      </x:c>
      <x:c r="E4" s="17" t="str">
        <x:v>Rol</x:v>
      </x:c>
      <x:c r="F4" s="17" t="str">
        <x:v>País/Jurisdicción</x:v>
      </x:c>
      <x:c r="G4" s="17" t="str">
        <x:v>Titular del proyecto</x:v>
      </x:c>
      <x:c r="H4" s="17" t="str">
        <x:v>Titular de código interno</x:v>
      </x:c>
      <x:c r="I4" s="17" t="str">
        <x:v>Titular de assets internos</x:v>
      </x:c>
      <x:c r="J4" s="17" t="str">
        <x:v>Contacto legal</x:v>
      </x:c>
      <x:c r="K4" s="17" t="str">
        <x:v>Identificación fiscal</x:v>
      </x:c>
      <x:c r="L4" s="17" t="str">
        <x:v>Estado</x:v>
      </x:c>
      <x:c r="M4" s="17" t="str">
        <x:v>Prueba</x:v>
      </x:c>
      <x:c r="N4" s="17" t="str">
        <x:v>Revisión requerida</x:v>
      </x:c>
      <x:c r="O4" s="17" t="str">
        <x:v>Owner</x:v>
      </x:c>
      <x:c r="P4" s="17" t="str">
        <x:v>Notas</x:v>
      </x:c>
    </x:row>
    <x:row r="5" ht="34" customHeight="1">
      <x:c r="A5" s="24" t="str">
        <x:v>ENT-001</x:v>
      </x:c>
      <x:c r="B5" s="24" t="str">
        <x:v>VRM Games</x:v>
      </x:c>
      <x:c r="C5" s="24" t="str">
        <x:v>Studio / trade name</x:v>
      </x:c>
      <x:c r="D5" s="24" t="str">
        <x:v>Blas Luis Rocha González</x:v>
      </x:c>
      <x:c r="E5" s="24" t="str">
        <x:v>Developer / publisher candidate</x:v>
      </x:c>
      <x:c r="F5" s="24" t="str">
        <x:v>España</x:v>
      </x:c>
      <x:c r="G5" s="24" t="str">
        <x:v>Sí</x:v>
      </x:c>
      <x:c r="H5" s="24" t="str">
        <x:v>Sí, sujeto a aportaciones futuras</x:v>
      </x:c>
      <x:c r="I5" s="24" t="str">
        <x:v>Sí, según evidencia y aportaciones</x:v>
      </x:c>
      <x:c r="J5" s="24" t="str">
        <x:v>TBD before public release</x:v>
      </x:c>
      <x:c r="K5" s="24" t="str">
        <x:v>Not stored in public documentation</x:v>
      </x:c>
      <x:c r="L5" s="24" t="str">
        <x:v>ACTIVE / INTERNAL</x:v>
      </x:c>
      <x:c r="M5" s="24" t="str">
        <x:v>Project documents, repository and source packages</x:v>
      </x:c>
      <x:c r="N5" s="24" t="str">
        <x:v>Trademark/trade-name and publishing account verification</x:v>
      </x:c>
      <x:c r="O5" s="24" t="str">
        <x:v>Blas Luis Rocha González</x:v>
      </x:c>
      <x:c r="P5" s="24" t="str">
        <x:v>Nombre operativo del estudio; verificar forma jurídica y datos de Steamworks antes de publicación.</x:v>
      </x:c>
    </x:row>
    <x:row r="6" ht="34" customHeight="1">
      <x:c r="A6" s="24" t="str">
        <x:v>ENT-002</x:v>
      </x:c>
      <x:c r="B6" s="24" t="str">
        <x:v>Blas Luis Rocha González</x:v>
      </x:c>
      <x:c r="C6" s="24" t="str">
        <x:v>Natural person / author</x:v>
      </x:c>
      <x:c r="D6" s="24" t="str">
        <x:v>Blas Luis Rocha González</x:v>
      </x:c>
      <x:c r="E6" s="24" t="str">
        <x:v>Creator, designer, programmer and project owner</x:v>
      </x:c>
      <x:c r="F6" s="24" t="str">
        <x:v>España</x:v>
      </x:c>
      <x:c r="G6" s="24" t="str">
        <x:v>Sí</x:v>
      </x:c>
      <x:c r="H6" s="24" t="str">
        <x:v>Sí</x:v>
      </x:c>
      <x:c r="I6" s="24" t="str">
        <x:v>Sí, salvo recursos de terceros o generados sujetos a términos</x:v>
      </x:c>
      <x:c r="J6" s="24" t="str">
        <x:v>TBD before public release</x:v>
      </x:c>
      <x:c r="K6" s="24" t="str">
        <x:v>Confidential / outside repository</x:v>
      </x:c>
      <x:c r="L6" s="24" t="str">
        <x:v>ACTIVE / OWNER</x:v>
      </x:c>
      <x:c r="M6" s="24" t="str">
        <x:v>Authorship metadata in consolidated documentation</x:v>
      </x:c>
      <x:c r="N6" s="24" t="str">
        <x:v>Contributor and assignment records if collaborators join</x:v>
      </x:c>
      <x:c r="O6" s="24" t="str">
        <x:v>Blas Luis Rocha González</x:v>
      </x:c>
      <x:c r="P6" s="24" t="str">
        <x:v>No almacenar documentos personales sensibles en el repositorio.</x:v>
      </x:c>
    </x:row>
    <x:row r="7" ht="34" customHeight="1">
      <x:c r="A7" s="24" t="str">
        <x:v>ENT-003</x:v>
      </x:c>
      <x:c r="B7" s="24" t="str">
        <x:v>Valve / Steam</x:v>
      </x:c>
      <x:c r="C7" s="24" t="str">
        <x:v>Distribution platform</x:v>
      </x:c>
      <x:c r="D7" s="24" t="str">
        <x:v>Valve Corporation / applicable Steamworks entity</x:v>
      </x:c>
      <x:c r="E7" s="24" t="str">
        <x:v>Future distributor/platform</x:v>
      </x:c>
      <x:c r="F7" s="24" t="str">
        <x:v>Per Steamworks agreement</x:v>
      </x:c>
      <x:c r="G7" s="24" t="str">
        <x:v>No</x:v>
      </x:c>
      <x:c r="H7" s="24" t="str">
        <x:v>No</x:v>
      </x:c>
      <x:c r="I7" s="24" t="str">
        <x:v>No</x:v>
      </x:c>
      <x:c r="J7" s="24" t="str">
        <x:v>Steamworks channels</x:v>
      </x:c>
      <x:c r="K7" s="24" t="str">
        <x:v>Handled in Steamworks</x:v>
      </x:c>
      <x:c r="L7" s="24" t="str">
        <x:v>NOT YET ONBOARDED / REVIEW</x:v>
      </x:c>
      <x:c r="M7" s="24" t="str">
        <x:v>Future Steamworks agreements</x:v>
      </x:c>
      <x:c r="N7" s="24" t="str">
        <x:v>Current terms, tax, banking, store assets and release checklist</x:v>
      </x:c>
      <x:c r="O7" s="24" t="str">
        <x:v>VRM Games</x:v>
      </x:c>
      <x:c r="P7" s="24" t="str">
        <x:v>No asumir requisitos contractuales actuales sin revalidación antes de onboarding.</x:v>
      </x:c>
    </x:row>
    <x:row r="8" ht="34" customHeight="1">
      <x:c r="A8" s="24" t="str">
        <x:v>ENT-004</x:v>
      </x:c>
      <x:c r="B8" s="24" t="str">
        <x:v>Unity Technologies</x:v>
      </x:c>
      <x:c r="C8" s="24" t="str">
        <x:v>Technology provider</x:v>
      </x:c>
      <x:c r="D8" s="24" t="str">
        <x:v>Unity Technologies / applicable contracting entity</x:v>
      </x:c>
      <x:c r="E8" s="24" t="str">
        <x:v>Engine and package provider</x:v>
      </x:c>
      <x:c r="F8" s="24" t="str">
        <x:v>Per Unity terms</x:v>
      </x:c>
      <x:c r="G8" s="24" t="str">
        <x:v>No</x:v>
      </x:c>
      <x:c r="H8" s="24" t="str">
        <x:v>No</x:v>
      </x:c>
      <x:c r="I8" s="24" t="str">
        <x:v>No</x:v>
      </x:c>
      <x:c r="J8" s="24" t="str">
        <x:v>Unity legal/support channels</x:v>
      </x:c>
      <x:c r="K8" s="24" t="str">
        <x:v>N/A</x:v>
      </x:c>
      <x:c r="L8" s="24" t="str">
        <x:v>ACTIVE DEPENDENCY</x:v>
      </x:c>
      <x:c r="M8" s="24" t="str">
        <x:v>Unity project version and Package Manager manifests</x:v>
      </x:c>
      <x:c r="N8" s="24" t="str">
        <x:v>Verify editor/package terms at candidate release</x:v>
      </x:c>
      <x:c r="O8" s="24" t="str">
        <x:v>VRM Games</x:v>
      </x:c>
      <x:c r="P8" s="24" t="str">
        <x:v>Separate engine terms, package licenses and generated build redistribution conditions.</x:v>
      </x:c>
    </x:row>
    <x:row r="9" ht="34" customHeight="1">
      <x:c r="A9" s="24" t="str">
        <x:v>ENT-005</x:v>
      </x:c>
      <x:c r="B9" s="24" t="str">
        <x:v>OpenAI</x:v>
      </x:c>
      <x:c r="C9" s="24" t="str">
        <x:v>Generative tool provider</x:v>
      </x:c>
      <x:c r="D9" s="24" t="str">
        <x:v>OpenAI, applicable service entity</x:v>
      </x:c>
      <x:c r="E9" s="24" t="str">
        <x:v>Tool used for concept images and documentation assistance</x:v>
      </x:c>
      <x:c r="F9" s="24" t="str">
        <x:v>Per applicable service terms</x:v>
      </x:c>
      <x:c r="G9" s="24" t="str">
        <x:v>No</x:v>
      </x:c>
      <x:c r="H9" s="24" t="str">
        <x:v>No</x:v>
      </x:c>
      <x:c r="I9" s="24" t="str">
        <x:v>Terms-dependent output use</x:v>
      </x:c>
      <x:c r="J9" s="24" t="str">
        <x:v>Official service/legal channels</x:v>
      </x:c>
      <x:c r="K9" s="24" t="str">
        <x:v>N/A</x:v>
      </x:c>
      <x:c r="L9" s="24" t="str">
        <x:v>TOOL / REVIEW PER OUTPUT</x:v>
      </x:c>
      <x:c r="M9" s="24" t="str">
        <x:v>Concept filenames, project conversation and generated artifacts</x:v>
      </x:c>
      <x:c r="N9" s="24" t="str">
        <x:v>Record tool/date/prompt/use decision and applicable terms before public use</x:v>
      </x:c>
      <x:c r="O9" s="24" t="str">
        <x:v>VRM Games</x:v>
      </x:c>
      <x:c r="P9" s="24" t="str">
        <x:v>Generated output is not treated as proof of exclusive ownership or clearance.</x:v>
      </x:c>
    </x:row>
  </x:sheetData>
  <x:mergeCells>
    <x:mergeCell ref="A1:P1"/>
    <x:mergeCell ref="A2:P2"/>
  </x:mergeCells>
  <x:conditionalFormatting sqref="L5:L9">
    <x:cfRule type="expression" dxfId="0" priority="1">
      <x:formula>OR(ISNUMBER(SEARCH("APPROVED",L5)),ISNUMBER(SEARCH("READY",L5)),ISNUMBER(SEARCH("ACTIVE",L5)),ISNUMBER(SEARCH("VERIFIED",L5)))</x:formula>
    </x:cfRule>
    <x:cfRule type="expression" dxfId="1" priority="2">
      <x:formula>OR(ISNUMBER(SEARCH("BLOCK",L5)),ISNUMBER(SEARCH("PROHIBITED",L5)),ISNUMBER(SEARCH("CRITICAL",L5)),ISNUMBER(SEARCH("MISSING",L5)))</x:formula>
    </x:cfRule>
    <x:cfRule type="expression" dxfId="2" priority="3">
      <x:formula>OR(ISNUMBER(SEARCH("PENDING",L5)),ISNUMBER(SEARCH("PARTIAL",L5)),ISNUMBER(SEARCH("REVIEW",L5)),ISNUMBER(SEARCH("CONDITIONAL",L5)))</x:formula>
    </x:cfRule>
    <x:cfRule type="expression" dxfId="3" priority="4">
      <x:formula>OR(ISNUMBER(SEARCH("HISTORICAL",L5)),ISNUMBER(SEARCH("VISION",L5)),ISNUMBER(SEARCH("OPTIONAL",L5)))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7061f1a7134c1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6" hidden="0" customWidth="1"/>
    <x:col min="4" max="4" width="20" hidden="0" customWidth="1"/>
    <x:col min="5" max="5" width="22" hidden="0" customWidth="1"/>
    <x:col min="6" max="6" width="34" hidden="0" customWidth="1"/>
    <x:col min="7" max="7" width="34" hidden="0" customWidth="1"/>
    <x:col min="8" max="8" width="28" hidden="0" customWidth="1"/>
    <x:col min="9" max="9" width="18" hidden="0" customWidth="1"/>
    <x:col min="10" max="10" width="30" hidden="0" customWidth="1"/>
    <x:col min="11" max="11" width="18" hidden="0" customWidth="1"/>
    <x:col min="12" max="12" width="42" hidden="0" customWidth="1"/>
    <x:col min="13" max="13" width="68" hidden="0" customWidth="1"/>
    <x:col min="14" max="14" width="72" hidden="0" customWidth="1"/>
    <x:col min="15" max="15" width="36" hidden="0" customWidth="1"/>
    <x:col min="16" max="16" width="16" hidden="0" customWidth="1"/>
    <x:col min="17" max="17" width="16" hidden="0" customWidth="1"/>
    <x:col min="18" max="18" width="24" hidden="0" customWidth="1"/>
    <x:col min="19" max="19" width="26" hidden="0" customWidth="1"/>
    <x:col min="20" max="20" width="34" hidden="0" customWidth="1"/>
    <x:col min="21" max="21" width="30" hidden="0" customWidth="1"/>
    <x:col min="22" max="22" width="26" hidden="0" customWidth="1"/>
    <x:col min="23" max="23" width="16" hidden="0" customWidth="1"/>
    <x:col min="24" max="24" width="28" hidden="0" customWidth="1"/>
    <x:col min="25" max="25" width="16" hidden="0" customWidth="1"/>
    <x:col min="26" max="26" width="30" hidden="0" customWidth="1"/>
    <x:col min="27" max="27" width="34" hidden="0" customWidth="1"/>
    <x:col min="28" max="28" width="20" hidden="0" customWidth="1"/>
    <x:col min="29" max="29" width="34" hidden="0" customWidth="1"/>
    <x:col min="30" max="30" width="20" hidden="0" customWidth="1"/>
    <x:col min="31" max="31" width="55" hidden="0" customWidth="1"/>
  </x:cols>
  <x:sheetData>
    <x:row r="1" ht="30" customHeight="1">
      <x:c r="A1" s="4" t="str">
        <x:v>Assets internos — registro maestro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2" ht="22" customHeight="1">
      <x:c r="A2" s="10" t="str">
        <x:v>Inventario exhaustivo del contenido interno con autoría, evidencia y autorización.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</x:row>
    <x:row r="4" ht="38" customHeight="1">
      <x:c r="A4" s="17" t="str">
        <x:v>Record ID</x:v>
      </x:c>
      <x:c r="B4" s="17" t="str">
        <x:v>Asset ID</x:v>
      </x:c>
      <x:c r="C4" s="17" t="str">
        <x:v>Nombre</x:v>
      </x:c>
      <x:c r="D4" s="17" t="str">
        <x:v>Categoría</x:v>
      </x:c>
      <x:c r="E4" s="17" t="str">
        <x:v>Subcategoría</x:v>
      </x:c>
      <x:c r="F4" s="17" t="str">
        <x:v>Autor declarado</x:v>
      </x:c>
      <x:c r="G4" s="17" t="str">
        <x:v>Propietario declarado</x:v>
      </x:c>
      <x:c r="H4" s="17" t="str">
        <x:v>Origen</x:v>
      </x:c>
      <x:c r="I4" s="17" t="str">
        <x:v>Fecha de obtención</x:v>
      </x:c>
      <x:c r="J4" s="17" t="str">
        <x:v>Licencia</x:v>
      </x:c>
      <x:c r="K4" s="17" t="str">
        <x:v>Versión de licencia</x:v>
      </x:c>
      <x:c r="L4" s="17" t="str">
        <x:v>Prueba documental</x:v>
      </x:c>
      <x:c r="M4" s="17" t="str">
        <x:v>SHA-256</x:v>
      </x:c>
      <x:c r="N4" s="17" t="str">
        <x:v>Ruta</x:v>
      </x:c>
      <x:c r="O4" s="17" t="str">
        <x:v>GUID</x:v>
      </x:c>
      <x:c r="P4" s="17" t="str">
        <x:v>Modificación permitida</x:v>
      </x:c>
      <x:c r="Q4" s="17" t="str">
        <x:v>Uso comercial permitido</x:v>
      </x:c>
      <x:c r="R4" s="17" t="str">
        <x:v>Redistribución permitida</x:v>
      </x:c>
      <x:c r="S4" s="17" t="str">
        <x:v>Atribución requerida</x:v>
      </x:c>
      <x:c r="T4" s="17" t="str">
        <x:v>Texto de atribución</x:v>
      </x:c>
      <x:c r="U4" s="17" t="str">
        <x:v>Estado canónico</x:v>
      </x:c>
      <x:c r="V4" s="17" t="str">
        <x:v>Estado legal</x:v>
      </x:c>
      <x:c r="W4" s="17" t="str">
        <x:v>Evidencia completa</x:v>
      </x:c>
      <x:c r="X4" s="17" t="str">
        <x:v>Riesgo</x:v>
      </x:c>
      <x:c r="Y4" s="17" t="str">
        <x:v>Builds autorizadas</x:v>
      </x:c>
      <x:c r="Z4" s="17" t="str">
        <x:v>Revisión</x:v>
      </x:c>
      <x:c r="AA4" s="17" t="str">
        <x:v>Owner</x:v>
      </x:c>
      <x:c r="AB4" s="17" t="str">
        <x:v>Notas</x:v>
      </x:c>
    </x:row>
    <x:row r="5" ht="34" customHeight="1">
      <x:c r="A5" s="24" t="str">
        <x:v>INT-0001</x:v>
      </x:c>
      <x:c r="B5" s="24" t="str">
        <x:v>b3bb35a4ebf1741da87f244f45e51cbd</x:v>
      </x:c>
      <x:c r="C5" s="24" t="str">
        <x:v>Checkout.anim</x:v>
      </x:c>
      <x:c r="D5" s="24" t="str">
        <x:v>Animation</x:v>
      </x:c>
      <x:c r="E5" s="24" t="str">
        <x:v>Characters</x:v>
      </x:c>
      <x:c r="F5" s="24" t="str">
        <x:v>VRM Games / Blas Luis Rocha González</x:v>
      </x:c>
      <x:c r="G5" s="24" t="str">
        <x:v>VRM Games / Blas Luis Rocha González</x:v>
      </x:c>
      <x:c r="H5" s="24" t="str">
        <x:v>Internal project production</x:v>
      </x:c>
      <x:c r="I5" s="24" t="str">
        <x:v>2026 project timeline</x:v>
      </x:c>
      <x:c r="J5" s="24" t="str">
        <x:v>Internal project IP / authorship claim</x:v>
      </x:c>
      <x:c r="K5" s="24" t="str">
        <x:v>N/A</x:v>
      </x:c>
      <x:c r="L5" s="24" t="str">
        <x:v>Source package + repository path + hash</x:v>
      </x:c>
      <x:c r="M5" s="24" t="str">
        <x:v>07cc540f0eec0e061d388e39826a54cba0bdb3d0fbbf921b5e1624dc2a298267</x:v>
      </x:c>
      <x:c r="N5" s="24" t="str">
        <x:v>Assets/_Project/Animations/Characters/Checkout.anim</x:v>
      </x:c>
      <x:c r="O5" s="24" t="str">
        <x:v>b3bb35a4ebf1741da87f244f45e51cbd</x:v>
      </x:c>
      <x:c r="P5" s="24" t="str">
        <x:v>Sí</x:v>
      </x:c>
      <x:c r="Q5" s="24" t="str">
        <x:v>Condicionado a autoría/procedencia final</x:v>
      </x:c>
      <x:c r="R5" s="24" t="str">
        <x:v>Solo dentro del producto/build autorizado</x:v>
      </x:c>
      <x:c r="S5" s="24" t="str">
        <x:v>Crédito general del estudio; individual si aplica</x:v>
      </x:c>
      <x:c r="T5" s="24" t="str">
        <x:v>VRM Games / Blas Luis Rocha González</x:v>
      </x:c>
      <x:c r="U5" s="24" t="str">
        <x:v>CURRENT PROJECT ASSET</x:v>
      </x:c>
      <x:c r="V5" s="24" t="str">
        <x:v>CONDITIONALLY APPROVED</x:v>
      </x:c>
      <x:c r="W5" s="24" t="str">
        <x:v>Parcial</x:v>
      </x:c>
      <x:c r="X5" s="24" t="str">
        <x:v>Medium</x:v>
      </x:c>
      <x:c r="Y5" s="24" t="str">
        <x:v>Internal development; public candidate requires gate</x:v>
      </x:c>
      <x:c r="Z5" s="24" t="str">
        <x:v>H6 legal/content audit</x:v>
      </x:c>
      <x:c r="AA5" s="24" t="str">
        <x:v>VRM Games</x:v>
      </x:c>
      <x:c r="AB5" s="24" t="str">
        <x:v>No se detectó proveedor externo en la ruta; confirmar autoría por lote antes de release público.</x:v>
      </x:c>
    </x:row>
    <x:row r="6" ht="34" customHeight="1">
      <x:c r="A6" s="24" t="str">
        <x:v>INT-0002</x:v>
      </x:c>
      <x:c r="B6" s="24" t="str">
        <x:v>3ac28672d02429830e5ec6c5e7d09d82</x:v>
      </x:c>
      <x:c r="C6" s="24" t="str">
        <x:v>Frustrated.anim</x:v>
      </x:c>
      <x:c r="D6" s="24" t="str">
        <x:v>Animation</x:v>
      </x:c>
      <x:c r="E6" s="24" t="str">
        <x:v>Characters</x:v>
      </x:c>
      <x:c r="F6" s="24" t="str">
        <x:v>VRM Games / Blas Luis Rocha González</x:v>
      </x:c>
      <x:c r="G6" s="24" t="str">
        <x:v>VRM Games / Blas Luis Rocha González</x:v>
      </x:c>
      <x:c r="H6" s="24" t="str">
        <x:v>Internal project production</x:v>
      </x:c>
      <x:c r="I6" s="24" t="str">
        <x:v>2026 project timeline</x:v>
      </x:c>
      <x:c r="J6" s="24" t="str">
        <x:v>Internal project IP / authorship claim</x:v>
      </x:c>
      <x:c r="K6" s="24" t="str">
        <x:v>N/A</x:v>
      </x:c>
      <x:c r="L6" s="24" t="str">
        <x:v>Source package + repository path + hash</x:v>
      </x:c>
      <x:c r="M6" s="24" t="str">
        <x:v>6abc2a67725bb6dcd8df807438ba8f8ff2135c8541f64fb94c8361548d16719f</x:v>
      </x:c>
      <x:c r="N6" s="24" t="str">
        <x:v>Assets/_Project/Animations/Characters/Frustrated.anim</x:v>
      </x:c>
      <x:c r="O6" s="24" t="str">
        <x:v>3ac28672d02429830e5ec6c5e7d09d82</x:v>
      </x:c>
      <x:c r="P6" s="24" t="str">
        <x:v>Sí</x:v>
      </x:c>
      <x:c r="Q6" s="24" t="str">
        <x:v>Condicionado a autoría/procedencia final</x:v>
      </x:c>
      <x:c r="R6" s="24" t="str">
        <x:v>Solo dentro del producto/build autorizado</x:v>
      </x:c>
      <x:c r="S6" s="24" t="str">
        <x:v>Crédito general del estudio; individual si aplica</x:v>
      </x:c>
      <x:c r="T6" s="24" t="str">
        <x:v>VRM Games / Blas Luis Rocha González</x:v>
      </x:c>
      <x:c r="U6" s="24" t="str">
        <x:v>CURRENT PROJECT ASSET</x:v>
      </x:c>
      <x:c r="V6" s="24" t="str">
        <x:v>CONDITIONALLY APPROVED</x:v>
      </x:c>
      <x:c r="W6" s="24" t="str">
        <x:v>Parcial</x:v>
      </x:c>
      <x:c r="X6" s="24" t="str">
        <x:v>Medium</x:v>
      </x:c>
      <x:c r="Y6" s="24" t="str">
        <x:v>Internal development; public candidate requires gate</x:v>
      </x:c>
      <x:c r="Z6" s="24" t="str">
        <x:v>H6 legal/content audit</x:v>
      </x:c>
      <x:c r="AA6" s="24" t="str">
        <x:v>VRM Games</x:v>
      </x:c>
      <x:c r="AB6" s="24" t="str">
        <x:v>No se detectó proveedor externo en la ruta; confirmar autoría por lote antes de release público.</x:v>
      </x:c>
    </x:row>
    <x:row r="7" ht="34" customHeight="1">
      <x:c r="A7" s="24" t="str">
        <x:v>INT-0003</x:v>
      </x:c>
      <x:c r="B7" s="24" t="str">
        <x:v>00b8a0a5b29b4bd340b6c524f0a1137a</x:v>
      </x:c>
      <x:c r="C7" s="24" t="str">
        <x:v>Idle.anim</x:v>
      </x:c>
      <x:c r="D7" s="24" t="str">
        <x:v>Animation</x:v>
      </x:c>
      <x:c r="E7" s="24" t="str">
        <x:v>Characters</x:v>
      </x:c>
      <x:c r="F7" s="24" t="str">
        <x:v>VRM Games / Blas Luis Rocha González</x:v>
      </x:c>
      <x:c r="G7" s="24" t="str">
        <x:v>VRM Games / Blas Luis Rocha González</x:v>
      </x:c>
      <x:c r="H7" s="24" t="str">
        <x:v>Internal project production</x:v>
      </x:c>
      <x:c r="I7" s="24" t="str">
        <x:v>2026 project timeline</x:v>
      </x:c>
      <x:c r="J7" s="24" t="str">
        <x:v>Internal project IP / authorship claim</x:v>
      </x:c>
      <x:c r="K7" s="24" t="str">
        <x:v>N/A</x:v>
      </x:c>
      <x:c r="L7" s="24" t="str">
        <x:v>Source package + repository path + hash</x:v>
      </x:c>
      <x:c r="M7" s="24" t="str">
        <x:v>bd88ea9b4600a052122405227af854dcd452f5f3274552483bf293cb36501098</x:v>
      </x:c>
      <x:c r="N7" s="24" t="str">
        <x:v>Assets/_Project/Animations/Characters/Idle.anim</x:v>
      </x:c>
      <x:c r="O7" s="24" t="str">
        <x:v>00b8a0a5b29b4bd340b6c524f0a1137a</x:v>
      </x:c>
      <x:c r="P7" s="24" t="str">
        <x:v>Sí</x:v>
      </x:c>
      <x:c r="Q7" s="24" t="str">
        <x:v>Condicionado a autoría/procedencia final</x:v>
      </x:c>
      <x:c r="R7" s="24" t="str">
        <x:v>Solo dentro del producto/build autorizado</x:v>
      </x:c>
      <x:c r="S7" s="24" t="str">
        <x:v>Crédito general del estudio; individual si aplica</x:v>
      </x:c>
      <x:c r="T7" s="24" t="str">
        <x:v>VRM Games / Blas Luis Rocha González</x:v>
      </x:c>
      <x:c r="U7" s="24" t="str">
        <x:v>CURRENT PROJECT ASSET</x:v>
      </x:c>
      <x:c r="V7" s="24" t="str">
        <x:v>CONDITIONALLY APPROVED</x:v>
      </x:c>
      <x:c r="W7" s="24" t="str">
        <x:v>Parcial</x:v>
      </x:c>
      <x:c r="X7" s="24" t="str">
        <x:v>Medium</x:v>
      </x:c>
      <x:c r="Y7" s="24" t="str">
        <x:v>Internal development; public candidate requires gate</x:v>
      </x:c>
      <x:c r="Z7" s="24" t="str">
        <x:v>H6 legal/content audit</x:v>
      </x:c>
      <x:c r="AA7" s="24" t="str">
        <x:v>VRM Games</x:v>
      </x:c>
      <x:c r="AB7" s="24" t="str">
        <x:v>No se detectó proveedor externo en la ruta; confirmar autoría por lote antes de release público.</x:v>
      </x:c>
    </x:row>
    <x:row r="8" ht="34" customHeight="1">
      <x:c r="A8" s="24" t="str">
        <x:v>INT-0004</x:v>
      </x:c>
      <x:c r="B8" s="24" t="str">
        <x:v>f52ffcf3371527d29e26f3d0d549d19d</x:v>
      </x:c>
      <x:c r="C8" s="24" t="str">
        <x:v>MoveCrate.anim</x:v>
      </x:c>
      <x:c r="D8" s="24" t="str">
        <x:v>Animation</x:v>
      </x:c>
      <x:c r="E8" s="24" t="str">
        <x:v>Characters</x:v>
      </x:c>
      <x:c r="F8" s="24" t="str">
        <x:v>VRM Games / Blas Luis Rocha González</x:v>
      </x:c>
      <x:c r="G8" s="24" t="str">
        <x:v>VRM Games / Blas Luis Rocha González</x:v>
      </x:c>
      <x:c r="H8" s="24" t="str">
        <x:v>Internal project production</x:v>
      </x:c>
      <x:c r="I8" s="24" t="str">
        <x:v>2026 project timeline</x:v>
      </x:c>
      <x:c r="J8" s="24" t="str">
        <x:v>Internal project IP / authorship claim</x:v>
      </x:c>
      <x:c r="K8" s="24" t="str">
        <x:v>N/A</x:v>
      </x:c>
      <x:c r="L8" s="24" t="str">
        <x:v>Source package + repository path + hash</x:v>
      </x:c>
      <x:c r="M8" s="24" t="str">
        <x:v>00e941f9c90417371db7e77b520f6a692e6603d8a50719ff604401f06877ef4f</x:v>
      </x:c>
      <x:c r="N8" s="24" t="str">
        <x:v>Assets/_Project/Animations/Characters/MoveCrate.anim</x:v>
      </x:c>
      <x:c r="O8" s="24" t="str">
        <x:v>f52ffcf3371527d29e26f3d0d549d19d</x:v>
      </x:c>
      <x:c r="P8" s="24" t="str">
        <x:v>Sí</x:v>
      </x:c>
      <x:c r="Q8" s="24" t="str">
        <x:v>Condicionado a autoría/procedencia final</x:v>
      </x:c>
      <x:c r="R8" s="24" t="str">
        <x:v>Solo dentro del producto/build autorizado</x:v>
      </x:c>
      <x:c r="S8" s="24" t="str">
        <x:v>Crédito general del estudio; individual si aplica</x:v>
      </x:c>
      <x:c r="T8" s="24" t="str">
        <x:v>VRM Games / Blas Luis Rocha González</x:v>
      </x:c>
      <x:c r="U8" s="24" t="str">
        <x:v>CURRENT PROJECT ASSET</x:v>
      </x:c>
      <x:c r="V8" s="24" t="str">
        <x:v>CONDITIONALLY APPROVED</x:v>
      </x:c>
      <x:c r="W8" s="24" t="str">
        <x:v>Parcial</x:v>
      </x:c>
      <x:c r="X8" s="24" t="str">
        <x:v>Medium</x:v>
      </x:c>
      <x:c r="Y8" s="24" t="str">
        <x:v>Internal development; public candidate requires gate</x:v>
      </x:c>
      <x:c r="Z8" s="24" t="str">
        <x:v>H6 legal/content audit</x:v>
      </x:c>
      <x:c r="AA8" s="24" t="str">
        <x:v>VRM Games</x:v>
      </x:c>
      <x:c r="AB8" s="24" t="str">
        <x:v>No se detectó proveedor externo en la ruta; confirmar autoría por lote antes de release público.</x:v>
      </x:c>
    </x:row>
    <x:row r="9" ht="34" customHeight="1">
      <x:c r="A9" s="24" t="str">
        <x:v>INT-0005</x:v>
      </x:c>
      <x:c r="B9" s="24" t="str">
        <x:v>7bbf91dbfdf8f766043333960b92fc7e</x:v>
      </x:c>
      <x:c r="C9" s="24" t="str">
        <x:v>Observe.anim</x:v>
      </x:c>
      <x:c r="D9" s="24" t="str">
        <x:v>Animation</x:v>
      </x:c>
      <x:c r="E9" s="24" t="str">
        <x:v>Characters</x:v>
      </x:c>
      <x:c r="F9" s="24" t="str">
        <x:v>VRM Games / Blas Luis Rocha González</x:v>
      </x:c>
      <x:c r="G9" s="24" t="str">
        <x:v>VRM Games / Blas Luis Rocha González</x:v>
      </x:c>
      <x:c r="H9" s="24" t="str">
        <x:v>Internal project production</x:v>
      </x:c>
      <x:c r="I9" s="24" t="str">
        <x:v>2026 project timeline</x:v>
      </x:c>
      <x:c r="J9" s="24" t="str">
        <x:v>Internal project IP / authorship claim</x:v>
      </x:c>
      <x:c r="K9" s="24" t="str">
        <x:v>N/A</x:v>
      </x:c>
      <x:c r="L9" s="24" t="str">
        <x:v>Source package + repository path + hash</x:v>
      </x:c>
      <x:c r="M9" s="24" t="str">
        <x:v>2b4a83fbabf7c07283918b372f8ab67565a4bdef10bcddd4f7d379a04c4e2c87</x:v>
      </x:c>
      <x:c r="N9" s="24" t="str">
        <x:v>Assets/_Project/Animations/Characters/Observe.anim</x:v>
      </x:c>
      <x:c r="O9" s="24" t="str">
        <x:v>7bbf91dbfdf8f766043333960b92fc7e</x:v>
      </x:c>
      <x:c r="P9" s="24" t="str">
        <x:v>Sí</x:v>
      </x:c>
      <x:c r="Q9" s="24" t="str">
        <x:v>Condicionado a autoría/procedencia final</x:v>
      </x:c>
      <x:c r="R9" s="24" t="str">
        <x:v>Solo dentro del producto/build autorizado</x:v>
      </x:c>
      <x:c r="S9" s="24" t="str">
        <x:v>Crédito general del estudio; individual si aplica</x:v>
      </x:c>
      <x:c r="T9" s="24" t="str">
        <x:v>VRM Games / Blas Luis Rocha González</x:v>
      </x:c>
      <x:c r="U9" s="24" t="str">
        <x:v>CURRENT PROJECT ASSET</x:v>
      </x:c>
      <x:c r="V9" s="24" t="str">
        <x:v>CONDITIONALLY APPROVED</x:v>
      </x:c>
      <x:c r="W9" s="24" t="str">
        <x:v>Parcial</x:v>
      </x:c>
      <x:c r="X9" s="24" t="str">
        <x:v>Medium</x:v>
      </x:c>
      <x:c r="Y9" s="24" t="str">
        <x:v>Internal development; public candidate requires gate</x:v>
      </x:c>
      <x:c r="Z9" s="24" t="str">
        <x:v>H6 legal/content audit</x:v>
      </x:c>
      <x:c r="AA9" s="24" t="str">
        <x:v>VRM Games</x:v>
      </x:c>
      <x:c r="AB9" s="24" t="str">
        <x:v>No se detectó proveedor externo en la ruta; confirmar autoría por lote antes de release público.</x:v>
      </x:c>
    </x:row>
    <x:row r="10" ht="34" customHeight="1">
      <x:c r="A10" s="24" t="str">
        <x:v>INT-0006</x:v>
      </x:c>
      <x:c r="B10" s="24" t="str">
        <x:v>df5fd4a5d0068ad75bd607aa764805bd</x:v>
      </x:c>
      <x:c r="C10" s="24" t="str">
        <x:v>PickProduct.anim</x:v>
      </x:c>
      <x:c r="D10" s="24" t="str">
        <x:v>Animation</x:v>
      </x:c>
      <x:c r="E10" s="24" t="str">
        <x:v>Characters</x:v>
      </x:c>
      <x:c r="F10" s="24" t="str">
        <x:v>VRM Games / Blas Luis Rocha González</x:v>
      </x:c>
      <x:c r="G10" s="24" t="str">
        <x:v>VRM Games / Blas Luis Rocha González</x:v>
      </x:c>
      <x:c r="H10" s="24" t="str">
        <x:v>Internal project production</x:v>
      </x:c>
      <x:c r="I10" s="24" t="str">
        <x:v>2026 project timeline</x:v>
      </x:c>
      <x:c r="J10" s="24" t="str">
        <x:v>Internal project IP / authorship claim</x:v>
      </x:c>
      <x:c r="K10" s="24" t="str">
        <x:v>N/A</x:v>
      </x:c>
      <x:c r="L10" s="24" t="str">
        <x:v>Source package + repository path + hash</x:v>
      </x:c>
      <x:c r="M10" s="24" t="str">
        <x:v>0497e883440ec89887d95ccd72b05485b7ff6762d11fa7a62d4b5a88c8df0096</x:v>
      </x:c>
      <x:c r="N10" s="24" t="str">
        <x:v>Assets/_Project/Animations/Characters/PickProduct.anim</x:v>
      </x:c>
      <x:c r="O10" s="24" t="str">
        <x:v>df5fd4a5d0068ad75bd607aa764805bd</x:v>
      </x:c>
      <x:c r="P10" s="24" t="str">
        <x:v>Sí</x:v>
      </x:c>
      <x:c r="Q10" s="24" t="str">
        <x:v>Condicionado a autoría/procedencia final</x:v>
      </x:c>
      <x:c r="R10" s="24" t="str">
        <x:v>Solo dentro del producto/build autorizado</x:v>
      </x:c>
      <x:c r="S10" s="24" t="str">
        <x:v>Crédito general del estudio; individual si aplica</x:v>
      </x:c>
      <x:c r="T10" s="24" t="str">
        <x:v>VRM Games / Blas Luis Rocha González</x:v>
      </x:c>
      <x:c r="U10" s="24" t="str">
        <x:v>CURRENT PROJECT ASSET</x:v>
      </x:c>
      <x:c r="V10" s="24" t="str">
        <x:v>CONDITIONALLY APPROVED</x:v>
      </x:c>
      <x:c r="W10" s="24" t="str">
        <x:v>Parcial</x:v>
      </x:c>
      <x:c r="X10" s="24" t="str">
        <x:v>Medium</x:v>
      </x:c>
      <x:c r="Y10" s="24" t="str">
        <x:v>Internal development; public candidate requires gate</x:v>
      </x:c>
      <x:c r="Z10" s="24" t="str">
        <x:v>H6 legal/content audit</x:v>
      </x:c>
      <x:c r="AA10" s="24" t="str">
        <x:v>VRM Games</x:v>
      </x:c>
      <x:c r="AB10" s="24" t="str">
        <x:v>No se detectó proveedor externo en la ruta; confirmar autoría por lote antes de release público.</x:v>
      </x:c>
    </x:row>
    <x:row r="11" ht="34" customHeight="1">
      <x:c r="A11" s="24" t="str">
        <x:v>INT-0007</x:v>
      </x:c>
      <x:c r="B11" s="24" t="str">
        <x:v>d936bbd9c9cbae26a1c5dc0b58eb9437</x:v>
      </x:c>
      <x:c r="C11" s="24" t="str">
        <x:v>PlayerPlace.anim</x:v>
      </x:c>
      <x:c r="D11" s="24" t="str">
        <x:v>Animation</x:v>
      </x:c>
      <x:c r="E11" s="24" t="str">
        <x:v>Characters</x:v>
      </x:c>
      <x:c r="F11" s="24" t="str">
        <x:v>VRM Games / Blas Luis Rocha González</x:v>
      </x:c>
      <x:c r="G11" s="24" t="str">
        <x:v>VRM Games / Blas Luis Rocha González</x:v>
      </x:c>
      <x:c r="H11" s="24" t="str">
        <x:v>Internal project production</x:v>
      </x:c>
      <x:c r="I11" s="24" t="str">
        <x:v>2026 project timeline</x:v>
      </x:c>
      <x:c r="J11" s="24" t="str">
        <x:v>Internal project IP / authorship claim</x:v>
      </x:c>
      <x:c r="K11" s="24" t="str">
        <x:v>N/A</x:v>
      </x:c>
      <x:c r="L11" s="24" t="str">
        <x:v>Source package + repository path + hash</x:v>
      </x:c>
      <x:c r="M11" s="24" t="str">
        <x:v>8da2f2905ded4d15ec2f0439c8b67f14ea16d8d7feae9ce283d6b02f925375c5</x:v>
      </x:c>
      <x:c r="N11" s="24" t="str">
        <x:v>Assets/_Project/Animations/Characters/PlayerPlace.anim</x:v>
      </x:c>
      <x:c r="O11" s="24" t="str">
        <x:v>d936bbd9c9cbae26a1c5dc0b58eb9437</x:v>
      </x:c>
      <x:c r="P11" s="24" t="str">
        <x:v>Sí</x:v>
      </x:c>
      <x:c r="Q11" s="24" t="str">
        <x:v>Condicionado a autoría/procedencia final</x:v>
      </x:c>
      <x:c r="R11" s="24" t="str">
        <x:v>Solo dentro del producto/build autorizado</x:v>
      </x:c>
      <x:c r="S11" s="24" t="str">
        <x:v>Crédito general del estudio; individual si aplica</x:v>
      </x:c>
      <x:c r="T11" s="24" t="str">
        <x:v>VRM Games / Blas Luis Rocha González</x:v>
      </x:c>
      <x:c r="U11" s="24" t="str">
        <x:v>CURRENT PROJECT ASSET</x:v>
      </x:c>
      <x:c r="V11" s="24" t="str">
        <x:v>CONDITIONALLY APPROVED</x:v>
      </x:c>
      <x:c r="W11" s="24" t="str">
        <x:v>Parcial</x:v>
      </x:c>
      <x:c r="X11" s="24" t="str">
        <x:v>Medium</x:v>
      </x:c>
      <x:c r="Y11" s="24" t="str">
        <x:v>Internal development; public candidate requires gate</x:v>
      </x:c>
      <x:c r="Z11" s="24" t="str">
        <x:v>H6 legal/content audit</x:v>
      </x:c>
      <x:c r="AA11" s="24" t="str">
        <x:v>VRM Games</x:v>
      </x:c>
      <x:c r="AB11" s="24" t="str">
        <x:v>No se detectó proveedor externo en la ruta; confirmar autoría por lote antes de release público.</x:v>
      </x:c>
    </x:row>
    <x:row r="12" ht="34" customHeight="1">
      <x:c r="A12" s="24" t="str">
        <x:v>INT-0008</x:v>
      </x:c>
      <x:c r="B12" s="24" t="str">
        <x:v>84c4837405aef34de6df41828111ba2e</x:v>
      </x:c>
      <x:c r="C12" s="24" t="str">
        <x:v>PlayerRemove.anim</x:v>
      </x:c>
      <x:c r="D12" s="24" t="str">
        <x:v>Animation</x:v>
      </x:c>
      <x:c r="E12" s="24" t="str">
        <x:v>Characters</x:v>
      </x:c>
      <x:c r="F12" s="24" t="str">
        <x:v>VRM Games / Blas Luis Rocha González</x:v>
      </x:c>
      <x:c r="G12" s="24" t="str">
        <x:v>VRM Games / Blas Luis Rocha González</x:v>
      </x:c>
      <x:c r="H12" s="24" t="str">
        <x:v>Internal project production</x:v>
      </x:c>
      <x:c r="I12" s="24" t="str">
        <x:v>2026 project timeline</x:v>
      </x:c>
      <x:c r="J12" s="24" t="str">
        <x:v>Internal project IP / authorship claim</x:v>
      </x:c>
      <x:c r="K12" s="24" t="str">
        <x:v>N/A</x:v>
      </x:c>
      <x:c r="L12" s="24" t="str">
        <x:v>Source package + repository path + hash</x:v>
      </x:c>
      <x:c r="M12" s="24" t="str">
        <x:v>82642a6b961bd7d04f7885851d93b4bd6ede1f644fd98b107f7fbaa7f5f79639</x:v>
      </x:c>
      <x:c r="N12" s="24" t="str">
        <x:v>Assets/_Project/Animations/Characters/PlayerRemove.anim</x:v>
      </x:c>
      <x:c r="O12" s="24" t="str">
        <x:v>84c4837405aef34de6df41828111ba2e</x:v>
      </x:c>
      <x:c r="P12" s="24" t="str">
        <x:v>Sí</x:v>
      </x:c>
      <x:c r="Q12" s="24" t="str">
        <x:v>Condicionado a autoría/procedencia final</x:v>
      </x:c>
      <x:c r="R12" s="24" t="str">
        <x:v>Solo dentro del producto/build autorizado</x:v>
      </x:c>
      <x:c r="S12" s="24" t="str">
        <x:v>Crédito general del estudio; individual si aplica</x:v>
      </x:c>
      <x:c r="T12" s="24" t="str">
        <x:v>VRM Games / Blas Luis Rocha González</x:v>
      </x:c>
      <x:c r="U12" s="24" t="str">
        <x:v>CURRENT PROJECT ASSET</x:v>
      </x:c>
      <x:c r="V12" s="24" t="str">
        <x:v>CONDITIONALLY APPROVED</x:v>
      </x:c>
      <x:c r="W12" s="24" t="str">
        <x:v>Parcial</x:v>
      </x:c>
      <x:c r="X12" s="24" t="str">
        <x:v>Medium</x:v>
      </x:c>
      <x:c r="Y12" s="24" t="str">
        <x:v>Internal development; public candidate requires gate</x:v>
      </x:c>
      <x:c r="Z12" s="24" t="str">
        <x:v>H6 legal/content audit</x:v>
      </x:c>
      <x:c r="AA12" s="24" t="str">
        <x:v>VRM Games</x:v>
      </x:c>
      <x:c r="AB12" s="24" t="str">
        <x:v>No se detectó proveedor externo en la ruta; confirmar autoría por lote antes de release público.</x:v>
      </x:c>
    </x:row>
    <x:row r="13" ht="34" customHeight="1">
      <x:c r="A13" s="24" t="str">
        <x:v>INT-0009</x:v>
      </x:c>
      <x:c r="B13" s="24" t="str">
        <x:v>c6ebe55717d652582cbd7f1690e8d84c</x:v>
      </x:c>
      <x:c r="C13" s="24" t="str">
        <x:v>QueueWait.anim</x:v>
      </x:c>
      <x:c r="D13" s="24" t="str">
        <x:v>Animation</x:v>
      </x:c>
      <x:c r="E13" s="24" t="str">
        <x:v>Characters</x:v>
      </x:c>
      <x:c r="F13" s="24" t="str">
        <x:v>VRM Games / Blas Luis Rocha González</x:v>
      </x:c>
      <x:c r="G13" s="24" t="str">
        <x:v>VRM Games / Blas Luis Rocha González</x:v>
      </x:c>
      <x:c r="H13" s="24" t="str">
        <x:v>Internal project production</x:v>
      </x:c>
      <x:c r="I13" s="24" t="str">
        <x:v>2026 project timeline</x:v>
      </x:c>
      <x:c r="J13" s="24" t="str">
        <x:v>Internal project IP / authorship claim</x:v>
      </x:c>
      <x:c r="K13" s="24" t="str">
        <x:v>N/A</x:v>
      </x:c>
      <x:c r="L13" s="24" t="str">
        <x:v>Source package + repository path + hash</x:v>
      </x:c>
      <x:c r="M13" s="24" t="str">
        <x:v>4e6e51c5c673f827f0c3c0374091b39f870c00a4f029b97a876eb2fa7f2a260e</x:v>
      </x:c>
      <x:c r="N13" s="24" t="str">
        <x:v>Assets/_Project/Animations/Characters/QueueWait.anim</x:v>
      </x:c>
      <x:c r="O13" s="24" t="str">
        <x:v>c6ebe55717d652582cbd7f1690e8d84c</x:v>
      </x:c>
      <x:c r="P13" s="24" t="str">
        <x:v>Sí</x:v>
      </x:c>
      <x:c r="Q13" s="24" t="str">
        <x:v>Condicionado a autoría/procedencia final</x:v>
      </x:c>
      <x:c r="R13" s="24" t="str">
        <x:v>Solo dentro del producto/build autorizado</x:v>
      </x:c>
      <x:c r="S13" s="24" t="str">
        <x:v>Crédito general del estudio; individual si aplica</x:v>
      </x:c>
      <x:c r="T13" s="24" t="str">
        <x:v>VRM Games / Blas Luis Rocha González</x:v>
      </x:c>
      <x:c r="U13" s="24" t="str">
        <x:v>CURRENT PROJECT ASSET</x:v>
      </x:c>
      <x:c r="V13" s="24" t="str">
        <x:v>CONDITIONALLY APPROVED</x:v>
      </x:c>
      <x:c r="W13" s="24" t="str">
        <x:v>Parcial</x:v>
      </x:c>
      <x:c r="X13" s="24" t="str">
        <x:v>Medium</x:v>
      </x:c>
      <x:c r="Y13" s="24" t="str">
        <x:v>Internal development; public candidate requires gate</x:v>
      </x:c>
      <x:c r="Z13" s="24" t="str">
        <x:v>H6 legal/content audit</x:v>
      </x:c>
      <x:c r="AA13" s="24" t="str">
        <x:v>VRM Games</x:v>
      </x:c>
      <x:c r="AB13" s="24" t="str">
        <x:v>No se detectó proveedor externo en la ruta; confirmar autoría por lote antes de release público.</x:v>
      </x:c>
    </x:row>
    <x:row r="14" ht="34" customHeight="1">
      <x:c r="A14" s="24" t="str">
        <x:v>INT-0010</x:v>
      </x:c>
      <x:c r="B14" s="24" t="str">
        <x:v>4b84f7b6061bcf8a6c324f4dc5f2f96d</x:v>
      </x:c>
      <x:c r="C14" s="24" t="str">
        <x:v>Satisfied.anim</x:v>
      </x:c>
      <x:c r="D14" s="24" t="str">
        <x:v>Animation</x:v>
      </x:c>
      <x:c r="E14" s="24" t="str">
        <x:v>Characters</x:v>
      </x:c>
      <x:c r="F14" s="24" t="str">
        <x:v>VRM Games / Blas Luis Rocha González</x:v>
      </x:c>
      <x:c r="G14" s="24" t="str">
        <x:v>VRM Games / Blas Luis Rocha González</x:v>
      </x:c>
      <x:c r="H14" s="24" t="str">
        <x:v>Internal project production</x:v>
      </x:c>
      <x:c r="I14" s="24" t="str">
        <x:v>2026 project timeline</x:v>
      </x:c>
      <x:c r="J14" s="24" t="str">
        <x:v>Internal project IP / authorship claim</x:v>
      </x:c>
      <x:c r="K14" s="24" t="str">
        <x:v>N/A</x:v>
      </x:c>
      <x:c r="L14" s="24" t="str">
        <x:v>Source package + repository path + hash</x:v>
      </x:c>
      <x:c r="M14" s="24" t="str">
        <x:v>73397d1a3f8c596b841268a47df06fe2d931e1cc6cd839f21a5eb32d0a4e8ca1</x:v>
      </x:c>
      <x:c r="N14" s="24" t="str">
        <x:v>Assets/_Project/Animations/Characters/Satisfied.anim</x:v>
      </x:c>
      <x:c r="O14" s="24" t="str">
        <x:v>4b84f7b6061bcf8a6c324f4dc5f2f96d</x:v>
      </x:c>
      <x:c r="P14" s="24" t="str">
        <x:v>Sí</x:v>
      </x:c>
      <x:c r="Q14" s="24" t="str">
        <x:v>Condicionado a autoría/procedencia final</x:v>
      </x:c>
      <x:c r="R14" s="24" t="str">
        <x:v>Solo dentro del producto/build autorizado</x:v>
      </x:c>
      <x:c r="S14" s="24" t="str">
        <x:v>Crédito general del estudio; individual si aplica</x:v>
      </x:c>
      <x:c r="T14" s="24" t="str">
        <x:v>VRM Games / Blas Luis Rocha González</x:v>
      </x:c>
      <x:c r="U14" s="24" t="str">
        <x:v>CURRENT PROJECT ASSET</x:v>
      </x:c>
      <x:c r="V14" s="24" t="str">
        <x:v>CONDITIONALLY APPROVED</x:v>
      </x:c>
      <x:c r="W14" s="24" t="str">
        <x:v>Parcial</x:v>
      </x:c>
      <x:c r="X14" s="24" t="str">
        <x:v>Medium</x:v>
      </x:c>
      <x:c r="Y14" s="24" t="str">
        <x:v>Internal development; public candidate requires gate</x:v>
      </x:c>
      <x:c r="Z14" s="24" t="str">
        <x:v>H6 legal/content audit</x:v>
      </x:c>
      <x:c r="AA14" s="24" t="str">
        <x:v>VRM Games</x:v>
      </x:c>
      <x:c r="AB14" s="24" t="str">
        <x:v>No se detectó proveedor externo en la ruta; confirmar autoría por lote antes de release público.</x:v>
      </x:c>
    </x:row>
    <x:row r="15" ht="34" customHeight="1">
      <x:c r="A15" s="24" t="str">
        <x:v>INT-0011</x:v>
      </x:c>
      <x:c r="B15" s="24" t="str">
        <x:v>9ab8e0041fe30860d769d97c4cd5c961</x:v>
      </x:c>
      <x:c r="C15" s="24" t="str">
        <x:v>Walk.anim</x:v>
      </x:c>
      <x:c r="D15" s="24" t="str">
        <x:v>Animation</x:v>
      </x:c>
      <x:c r="E15" s="24" t="str">
        <x:v>Characters</x:v>
      </x:c>
      <x:c r="F15" s="24" t="str">
        <x:v>VRM Games / Blas Luis Rocha González</x:v>
      </x:c>
      <x:c r="G15" s="24" t="str">
        <x:v>VRM Games / Blas Luis Rocha González</x:v>
      </x:c>
      <x:c r="H15" s="24" t="str">
        <x:v>Internal project production</x:v>
      </x:c>
      <x:c r="I15" s="24" t="str">
        <x:v>2026 project timeline</x:v>
      </x:c>
      <x:c r="J15" s="24" t="str">
        <x:v>Internal project IP / authorship claim</x:v>
      </x:c>
      <x:c r="K15" s="24" t="str">
        <x:v>N/A</x:v>
      </x:c>
      <x:c r="L15" s="24" t="str">
        <x:v>Source package + repository path + hash</x:v>
      </x:c>
      <x:c r="M15" s="24" t="str">
        <x:v>df13ab10ca2d551b8ae4129ccddd04ace2dd3f412af5386041ef74ec329f1192</x:v>
      </x:c>
      <x:c r="N15" s="24" t="str">
        <x:v>Assets/_Project/Animations/Characters/Walk.anim</x:v>
      </x:c>
      <x:c r="O15" s="24" t="str">
        <x:v>9ab8e0041fe30860d769d97c4cd5c961</x:v>
      </x:c>
      <x:c r="P15" s="24" t="str">
        <x:v>Sí</x:v>
      </x:c>
      <x:c r="Q15" s="24" t="str">
        <x:v>Condicionado a autoría/procedencia final</x:v>
      </x:c>
      <x:c r="R15" s="24" t="str">
        <x:v>Solo dentro del producto/build autorizado</x:v>
      </x:c>
      <x:c r="S15" s="24" t="str">
        <x:v>Crédito general del estudio; individual si aplica</x:v>
      </x:c>
      <x:c r="T15" s="24" t="str">
        <x:v>VRM Games / Blas Luis Rocha González</x:v>
      </x:c>
      <x:c r="U15" s="24" t="str">
        <x:v>CURRENT PROJECT ASSET</x:v>
      </x:c>
      <x:c r="V15" s="24" t="str">
        <x:v>CONDITIONALLY APPROVED</x:v>
      </x:c>
      <x:c r="W15" s="24" t="str">
        <x:v>Parcial</x:v>
      </x:c>
      <x:c r="X15" s="24" t="str">
        <x:v>Medium</x:v>
      </x:c>
      <x:c r="Y15" s="24" t="str">
        <x:v>Internal development; public candidate requires gate</x:v>
      </x:c>
      <x:c r="Z15" s="24" t="str">
        <x:v>H6 legal/content audit</x:v>
      </x:c>
      <x:c r="AA15" s="24" t="str">
        <x:v>VRM Games</x:v>
      </x:c>
      <x:c r="AB15" s="24" t="str">
        <x:v>No se detectó proveedor externo en la ruta; confirmar autoría por lote antes de release público.</x:v>
      </x:c>
    </x:row>
    <x:row r="16" ht="34" customHeight="1">
      <x:c r="A16" s="24" t="str">
        <x:v>INT-0012</x:v>
      </x:c>
      <x:c r="B16" s="24" t="str">
        <x:v>35787df586ad5129d27061d5e7aeea65</x:v>
      </x:c>
      <x:c r="C16" s="24" t="str">
        <x:v>ShellFloor.mat</x:v>
      </x:c>
      <x:c r="D16" s="24" t="str">
        <x:v>Material</x:v>
      </x:c>
      <x:c r="E16" s="24" t="str">
        <x:v>Materials</x:v>
      </x:c>
      <x:c r="F16" s="24" t="str">
        <x:v>VRM Games / Blas Luis Rocha González</x:v>
      </x:c>
      <x:c r="G16" s="24" t="str">
        <x:v>VRM Games / Blas Luis Rocha González</x:v>
      </x:c>
      <x:c r="H16" s="24" t="str">
        <x:v>Internal project production</x:v>
      </x:c>
      <x:c r="I16" s="24" t="str">
        <x:v>2026 project timeline</x:v>
      </x:c>
      <x:c r="J16" s="24" t="str">
        <x:v>Internal project IP / authorship claim</x:v>
      </x:c>
      <x:c r="K16" s="24" t="str">
        <x:v>N/A</x:v>
      </x:c>
      <x:c r="L16" s="24" t="str">
        <x:v>Source package + repository path + hash</x:v>
      </x:c>
      <x:c r="M16" s="24" t="str">
        <x:v>d0fe951273c5c9fb2e86912599c1a29a78d2d76213e369533cd99d740537ef03</x:v>
      </x:c>
      <x:c r="N16" s="24" t="str">
        <x:v>Assets/_Project/Art/Materials/Architecture/ShellFloor.mat</x:v>
      </x:c>
      <x:c r="O16" s="24" t="str">
        <x:v>35787df586ad5129d27061d5e7aeea65</x:v>
      </x:c>
      <x:c r="P16" s="24" t="str">
        <x:v>Sí</x:v>
      </x:c>
      <x:c r="Q16" s="24" t="str">
        <x:v>Condicionado a autoría/procedencia final</x:v>
      </x:c>
      <x:c r="R16" s="24" t="str">
        <x:v>Solo dentro del producto/build autorizado</x:v>
      </x:c>
      <x:c r="S16" s="24" t="str">
        <x:v>Crédito general del estudio; individual si aplica</x:v>
      </x:c>
      <x:c r="T16" s="24" t="str">
        <x:v>VRM Games / Blas Luis Rocha González</x:v>
      </x:c>
      <x:c r="U16" s="24" t="str">
        <x:v>CURRENT PROJECT ASSET</x:v>
      </x:c>
      <x:c r="V16" s="24" t="str">
        <x:v>CONDITIONALLY APPROVED</x:v>
      </x:c>
      <x:c r="W16" s="24" t="str">
        <x:v>Parcial</x:v>
      </x:c>
      <x:c r="X16" s="24" t="str">
        <x:v>Medium</x:v>
      </x:c>
      <x:c r="Y16" s="24" t="str">
        <x:v>Internal development; public candidate requires gate</x:v>
      </x:c>
      <x:c r="Z16" s="24" t="str">
        <x:v>H6 legal/content audit</x:v>
      </x:c>
      <x:c r="AA16" s="24" t="str">
        <x:v>VRM Games</x:v>
      </x:c>
      <x:c r="AB16" s="24" t="str">
        <x:v>No se detectó proveedor externo en la ruta; confirmar autoría por lote antes de release público.</x:v>
      </x:c>
    </x:row>
    <x:row r="17" ht="34" customHeight="1">
      <x:c r="A17" s="24" t="str">
        <x:v>INT-0013</x:v>
      </x:c>
      <x:c r="B17" s="24" t="str">
        <x:v>1a9b44fd5329085763b0f345145d40c9</x:v>
      </x:c>
      <x:c r="C17" s="24" t="str">
        <x:v>ShellGlass.mat</x:v>
      </x:c>
      <x:c r="D17" s="24" t="str">
        <x:v>Material</x:v>
      </x:c>
      <x:c r="E17" s="24" t="str">
        <x:v>Materials</x:v>
      </x:c>
      <x:c r="F17" s="24" t="str">
        <x:v>VRM Games / Blas Luis Rocha González</x:v>
      </x:c>
      <x:c r="G17" s="24" t="str">
        <x:v>VRM Games / Blas Luis Rocha González</x:v>
      </x:c>
      <x:c r="H17" s="24" t="str">
        <x:v>Internal project production</x:v>
      </x:c>
      <x:c r="I17" s="24" t="str">
        <x:v>2026 project timeline</x:v>
      </x:c>
      <x:c r="J17" s="24" t="str">
        <x:v>Internal project IP / authorship claim</x:v>
      </x:c>
      <x:c r="K17" s="24" t="str">
        <x:v>N/A</x:v>
      </x:c>
      <x:c r="L17" s="24" t="str">
        <x:v>Source package + repository path + hash</x:v>
      </x:c>
      <x:c r="M17" s="24" t="str">
        <x:v>5c6157600dbdca131da48bd6ba4047344d38312141bad10b4d45f42668ee61bf</x:v>
      </x:c>
      <x:c r="N17" s="24" t="str">
        <x:v>Assets/_Project/Art/Materials/Architecture/ShellGlass.mat</x:v>
      </x:c>
      <x:c r="O17" s="24" t="str">
        <x:v>1a9b44fd5329085763b0f345145d40c9</x:v>
      </x:c>
      <x:c r="P17" s="24" t="str">
        <x:v>Sí</x:v>
      </x:c>
      <x:c r="Q17" s="24" t="str">
        <x:v>Condicionado a autoría/procedencia final</x:v>
      </x:c>
      <x:c r="R17" s="24" t="str">
        <x:v>Solo dentro del producto/build autorizado</x:v>
      </x:c>
      <x:c r="S17" s="24" t="str">
        <x:v>Crédito general del estudio; individual si aplica</x:v>
      </x:c>
      <x:c r="T17" s="24" t="str">
        <x:v>VRM Games / Blas Luis Rocha González</x:v>
      </x:c>
      <x:c r="U17" s="24" t="str">
        <x:v>CURRENT PROJECT ASSET</x:v>
      </x:c>
      <x:c r="V17" s="24" t="str">
        <x:v>CONDITIONALLY APPROVED</x:v>
      </x:c>
      <x:c r="W17" s="24" t="str">
        <x:v>Parcial</x:v>
      </x:c>
      <x:c r="X17" s="24" t="str">
        <x:v>Medium</x:v>
      </x:c>
      <x:c r="Y17" s="24" t="str">
        <x:v>Internal development; public candidate requires gate</x:v>
      </x:c>
      <x:c r="Z17" s="24" t="str">
        <x:v>H6 legal/content audit</x:v>
      </x:c>
      <x:c r="AA17" s="24" t="str">
        <x:v>VRM Games</x:v>
      </x:c>
      <x:c r="AB17" s="24" t="str">
        <x:v>No se detectó proveedor externo en la ruta; confirmar autoría por lote antes de release público.</x:v>
      </x:c>
    </x:row>
    <x:row r="18" ht="34" customHeight="1">
      <x:c r="A18" s="24" t="str">
        <x:v>INT-0014</x:v>
      </x:c>
      <x:c r="B18" s="24" t="str">
        <x:v>99ceafb6c0982bae467daab3dfa2984c</x:v>
      </x:c>
      <x:c r="C18" s="24" t="str">
        <x:v>ShellWall.mat</x:v>
      </x:c>
      <x:c r="D18" s="24" t="str">
        <x:v>Material</x:v>
      </x:c>
      <x:c r="E18" s="24" t="str">
        <x:v>Materials</x:v>
      </x:c>
      <x:c r="F18" s="24" t="str">
        <x:v>VRM Games / Blas Luis Rocha González</x:v>
      </x:c>
      <x:c r="G18" s="24" t="str">
        <x:v>VRM Games / Blas Luis Rocha González</x:v>
      </x:c>
      <x:c r="H18" s="24" t="str">
        <x:v>Internal project production</x:v>
      </x:c>
      <x:c r="I18" s="24" t="str">
        <x:v>2026 project timeline</x:v>
      </x:c>
      <x:c r="J18" s="24" t="str">
        <x:v>Internal project IP / authorship claim</x:v>
      </x:c>
      <x:c r="K18" s="24" t="str">
        <x:v>N/A</x:v>
      </x:c>
      <x:c r="L18" s="24" t="str">
        <x:v>Source package + repository path + hash</x:v>
      </x:c>
      <x:c r="M18" s="24" t="str">
        <x:v>ec641f52b6806c16cefdd08aa422e10fa6300a92501a32ccc687ad48707001ed</x:v>
      </x:c>
      <x:c r="N18" s="24" t="str">
        <x:v>Assets/_Project/Art/Materials/Architecture/ShellWall.mat</x:v>
      </x:c>
      <x:c r="O18" s="24" t="str">
        <x:v>99ceafb6c0982bae467daab3dfa2984c</x:v>
      </x:c>
      <x:c r="P18" s="24" t="str">
        <x:v>Sí</x:v>
      </x:c>
      <x:c r="Q18" s="24" t="str">
        <x:v>Condicionado a autoría/procedencia final</x:v>
      </x:c>
      <x:c r="R18" s="24" t="str">
        <x:v>Solo dentro del producto/build autorizado</x:v>
      </x:c>
      <x:c r="S18" s="24" t="str">
        <x:v>Crédito general del estudio; individual si aplica</x:v>
      </x:c>
      <x:c r="T18" s="24" t="str">
        <x:v>VRM Games / Blas Luis Rocha González</x:v>
      </x:c>
      <x:c r="U18" s="24" t="str">
        <x:v>CURRENT PROJECT ASSET</x:v>
      </x:c>
      <x:c r="V18" s="24" t="str">
        <x:v>CONDITIONALLY APPROVED</x:v>
      </x:c>
      <x:c r="W18" s="24" t="str">
        <x:v>Parcial</x:v>
      </x:c>
      <x:c r="X18" s="24" t="str">
        <x:v>Medium</x:v>
      </x:c>
      <x:c r="Y18" s="24" t="str">
        <x:v>Internal development; public candidate requires gate</x:v>
      </x:c>
      <x:c r="Z18" s="24" t="str">
        <x:v>H6 legal/content audit</x:v>
      </x:c>
      <x:c r="AA18" s="24" t="str">
        <x:v>VRM Games</x:v>
      </x:c>
      <x:c r="AB18" s="24" t="str">
        <x:v>No se detectó proveedor externo en la ruta; confirmar autoría por lote antes de release público.</x:v>
      </x:c>
    </x:row>
    <x:row r="19" ht="34" customHeight="1">
      <x:c r="A19" s="24" t="str">
        <x:v>INT-0015</x:v>
      </x:c>
      <x:c r="B19" s="24" t="str">
        <x:v>c782c4414c516742462a774199fed352</x:v>
      </x:c>
      <x:c r="C19" s="24" t="str">
        <x:v>ZoneBackroom.mat</x:v>
      </x:c>
      <x:c r="D19" s="24" t="str">
        <x:v>Material</x:v>
      </x:c>
      <x:c r="E19" s="24" t="str">
        <x:v>Materials</x:v>
      </x:c>
      <x:c r="F19" s="24" t="str">
        <x:v>VRM Games / Blas Luis Rocha González</x:v>
      </x:c>
      <x:c r="G19" s="24" t="str">
        <x:v>VRM Games / Blas Luis Rocha González</x:v>
      </x:c>
      <x:c r="H19" s="24" t="str">
        <x:v>Internal project production</x:v>
      </x:c>
      <x:c r="I19" s="24" t="str">
        <x:v>2026 project timeline</x:v>
      </x:c>
      <x:c r="J19" s="24" t="str">
        <x:v>Internal project IP / authorship claim</x:v>
      </x:c>
      <x:c r="K19" s="24" t="str">
        <x:v>N/A</x:v>
      </x:c>
      <x:c r="L19" s="24" t="str">
        <x:v>Source package + repository path + hash</x:v>
      </x:c>
      <x:c r="M19" s="24" t="str">
        <x:v>b236aaa68fbc9bdcffad1031947b8665b923c6811b57299d0f08cdbe3a371aed</x:v>
      </x:c>
      <x:c r="N19" s="24" t="str">
        <x:v>Assets/_Project/Art/Materials/Architecture/ZoneBackroom.mat</x:v>
      </x:c>
      <x:c r="O19" s="24" t="str">
        <x:v>c782c4414c516742462a774199fed352</x:v>
      </x:c>
      <x:c r="P19" s="24" t="str">
        <x:v>Sí</x:v>
      </x:c>
      <x:c r="Q19" s="24" t="str">
        <x:v>Condicionado a autoría/procedencia final</x:v>
      </x:c>
      <x:c r="R19" s="24" t="str">
        <x:v>Solo dentro del producto/build autorizado</x:v>
      </x:c>
      <x:c r="S19" s="24" t="str">
        <x:v>Crédito general del estudio; individual si aplica</x:v>
      </x:c>
      <x:c r="T19" s="24" t="str">
        <x:v>VRM Games / Blas Luis Rocha González</x:v>
      </x:c>
      <x:c r="U19" s="24" t="str">
        <x:v>CURRENT PROJECT ASSET</x:v>
      </x:c>
      <x:c r="V19" s="24" t="str">
        <x:v>CONDITIONALLY APPROVED</x:v>
      </x:c>
      <x:c r="W19" s="24" t="str">
        <x:v>Parcial</x:v>
      </x:c>
      <x:c r="X19" s="24" t="str">
        <x:v>Medium</x:v>
      </x:c>
      <x:c r="Y19" s="24" t="str">
        <x:v>Internal development; public candidate requires gate</x:v>
      </x:c>
      <x:c r="Z19" s="24" t="str">
        <x:v>H6 legal/content audit</x:v>
      </x:c>
      <x:c r="AA19" s="24" t="str">
        <x:v>VRM Games</x:v>
      </x:c>
      <x:c r="AB19" s="24" t="str">
        <x:v>No se detectó proveedor externo en la ruta; confirmar autoría por lote antes de release público.</x:v>
      </x:c>
    </x:row>
    <x:row r="20" ht="34" customHeight="1">
      <x:c r="A20" s="24" t="str">
        <x:v>INT-0016</x:v>
      </x:c>
      <x:c r="B20" s="24" t="str">
        <x:v>5a3312c0cbd9a8960940d3122e5329a6</x:v>
      </x:c>
      <x:c r="C20" s="24" t="str">
        <x:v>ZoneCheckout.mat</x:v>
      </x:c>
      <x:c r="D20" s="24" t="str">
        <x:v>Material</x:v>
      </x:c>
      <x:c r="E20" s="24" t="str">
        <x:v>Materials</x:v>
      </x:c>
      <x:c r="F20" s="24" t="str">
        <x:v>VRM Games / Blas Luis Rocha González</x:v>
      </x:c>
      <x:c r="G20" s="24" t="str">
        <x:v>VRM Games / Blas Luis Rocha González</x:v>
      </x:c>
      <x:c r="H20" s="24" t="str">
        <x:v>Internal project production</x:v>
      </x:c>
      <x:c r="I20" s="24" t="str">
        <x:v>2026 project timeline</x:v>
      </x:c>
      <x:c r="J20" s="24" t="str">
        <x:v>Internal project IP / authorship claim</x:v>
      </x:c>
      <x:c r="K20" s="24" t="str">
        <x:v>N/A</x:v>
      </x:c>
      <x:c r="L20" s="24" t="str">
        <x:v>Source package + repository path + hash</x:v>
      </x:c>
      <x:c r="M20" s="24" t="str">
        <x:v>8120bdc2a26b062bf42183b37fe06733dc05f5156fcae5e233e1bb185ced675a</x:v>
      </x:c>
      <x:c r="N20" s="24" t="str">
        <x:v>Assets/_Project/Art/Materials/Architecture/ZoneCheckout.mat</x:v>
      </x:c>
      <x:c r="O20" s="24" t="str">
        <x:v>5a3312c0cbd9a8960940d3122e5329a6</x:v>
      </x:c>
      <x:c r="P20" s="24" t="str">
        <x:v>Sí</x:v>
      </x:c>
      <x:c r="Q20" s="24" t="str">
        <x:v>Condicionado a autoría/procedencia final</x:v>
      </x:c>
      <x:c r="R20" s="24" t="str">
        <x:v>Solo dentro del producto/build autorizado</x:v>
      </x:c>
      <x:c r="S20" s="24" t="str">
        <x:v>Crédito general del estudio; individual si aplica</x:v>
      </x:c>
      <x:c r="T20" s="24" t="str">
        <x:v>VRM Games / Blas Luis Rocha González</x:v>
      </x:c>
      <x:c r="U20" s="24" t="str">
        <x:v>CURRENT PROJECT ASSET</x:v>
      </x:c>
      <x:c r="V20" s="24" t="str">
        <x:v>CONDITIONALLY APPROVED</x:v>
      </x:c>
      <x:c r="W20" s="24" t="str">
        <x:v>Parcial</x:v>
      </x:c>
      <x:c r="X20" s="24" t="str">
        <x:v>Medium</x:v>
      </x:c>
      <x:c r="Y20" s="24" t="str">
        <x:v>Internal development; public candidate requires gate</x:v>
      </x:c>
      <x:c r="Z20" s="24" t="str">
        <x:v>H6 legal/content audit</x:v>
      </x:c>
      <x:c r="AA20" s="24" t="str">
        <x:v>VRM Games</x:v>
      </x:c>
      <x:c r="AB20" s="24" t="str">
        <x:v>No se detectó proveedor externo en la ruta; confirmar autoría por lote antes de release público.</x:v>
      </x:c>
    </x:row>
    <x:row r="21" ht="34" customHeight="1">
      <x:c r="A21" s="24" t="str">
        <x:v>INT-0017</x:v>
      </x:c>
      <x:c r="B21" s="24" t="str">
        <x:v>193d039aa473c0a93826ea14a72c4680</x:v>
      </x:c>
      <x:c r="C21" s="24" t="str">
        <x:v>ZoneMarker.mat</x:v>
      </x:c>
      <x:c r="D21" s="24" t="str">
        <x:v>Material</x:v>
      </x:c>
      <x:c r="E21" s="24" t="str">
        <x:v>Materials</x:v>
      </x:c>
      <x:c r="F21" s="24" t="str">
        <x:v>VRM Games / Blas Luis Rocha González</x:v>
      </x:c>
      <x:c r="G21" s="24" t="str">
        <x:v>VRM Games / Blas Luis Rocha González</x:v>
      </x:c>
      <x:c r="H21" s="24" t="str">
        <x:v>Internal project production</x:v>
      </x:c>
      <x:c r="I21" s="24" t="str">
        <x:v>2026 project timeline</x:v>
      </x:c>
      <x:c r="J21" s="24" t="str">
        <x:v>Internal project IP / authorship claim</x:v>
      </x:c>
      <x:c r="K21" s="24" t="str">
        <x:v>N/A</x:v>
      </x:c>
      <x:c r="L21" s="24" t="str">
        <x:v>Source package + repository path + hash</x:v>
      </x:c>
      <x:c r="M21" s="24" t="str">
        <x:v>31d4824c2cb1e819ad6b860aa77119e7e2f239cfe2a4b369671d4bbe4ada4652</x:v>
      </x:c>
      <x:c r="N21" s="24" t="str">
        <x:v>Assets/_Project/Art/Materials/Architecture/ZoneMarker.mat</x:v>
      </x:c>
      <x:c r="O21" s="24" t="str">
        <x:v>193d039aa473c0a93826ea14a72c4680</x:v>
      </x:c>
      <x:c r="P21" s="24" t="str">
        <x:v>Sí</x:v>
      </x:c>
      <x:c r="Q21" s="24" t="str">
        <x:v>Condicionado a autoría/procedencia final</x:v>
      </x:c>
      <x:c r="R21" s="24" t="str">
        <x:v>Solo dentro del producto/build autorizado</x:v>
      </x:c>
      <x:c r="S21" s="24" t="str">
        <x:v>Crédito general del estudio; individual si aplica</x:v>
      </x:c>
      <x:c r="T21" s="24" t="str">
        <x:v>VRM Games / Blas Luis Rocha González</x:v>
      </x:c>
      <x:c r="U21" s="24" t="str">
        <x:v>CURRENT PROJECT ASSET</x:v>
      </x:c>
      <x:c r="V21" s="24" t="str">
        <x:v>CONDITIONALLY APPROVED</x:v>
      </x:c>
      <x:c r="W21" s="24" t="str">
        <x:v>Parcial</x:v>
      </x:c>
      <x:c r="X21" s="24" t="str">
        <x:v>Medium</x:v>
      </x:c>
      <x:c r="Y21" s="24" t="str">
        <x:v>Internal development; public candidate requires gate</x:v>
      </x:c>
      <x:c r="Z21" s="24" t="str">
        <x:v>H6 legal/content audit</x:v>
      </x:c>
      <x:c r="AA21" s="24" t="str">
        <x:v>VRM Games</x:v>
      </x:c>
      <x:c r="AB21" s="24" t="str">
        <x:v>No se detectó proveedor externo en la ruta; confirmar autoría por lote antes de release público.</x:v>
      </x:c>
    </x:row>
    <x:row r="22" ht="34" customHeight="1">
      <x:c r="A22" s="24" t="str">
        <x:v>INT-0018</x:v>
      </x:c>
      <x:c r="B22" s="24" t="str">
        <x:v>b0e960507b1e1a1abd814dbed7612c7c</x:v>
      </x:c>
      <x:c r="C22" s="24" t="str">
        <x:v>ZoneReceiving.mat</x:v>
      </x:c>
      <x:c r="D22" s="24" t="str">
        <x:v>Material</x:v>
      </x:c>
      <x:c r="E22" s="24" t="str">
        <x:v>Materials</x:v>
      </x:c>
      <x:c r="F22" s="24" t="str">
        <x:v>VRM Games / Blas Luis Rocha González</x:v>
      </x:c>
      <x:c r="G22" s="24" t="str">
        <x:v>VRM Games / Blas Luis Rocha González</x:v>
      </x:c>
      <x:c r="H22" s="24" t="str">
        <x:v>Internal project production</x:v>
      </x:c>
      <x:c r="I22" s="24" t="str">
        <x:v>2026 project timeline</x:v>
      </x:c>
      <x:c r="J22" s="24" t="str">
        <x:v>Internal project IP / authorship claim</x:v>
      </x:c>
      <x:c r="K22" s="24" t="str">
        <x:v>N/A</x:v>
      </x:c>
      <x:c r="L22" s="24" t="str">
        <x:v>Source package + repository path + hash</x:v>
      </x:c>
      <x:c r="M22" s="24" t="str">
        <x:v>2dbfd1659688cf496309ca738809105ff5da47b82f6f01b356eb15e25077178d</x:v>
      </x:c>
      <x:c r="N22" s="24" t="str">
        <x:v>Assets/_Project/Art/Materials/Architecture/ZoneReceiving.mat</x:v>
      </x:c>
      <x:c r="O22" s="24" t="str">
        <x:v>b0e960507b1e1a1abd814dbed7612c7c</x:v>
      </x:c>
      <x:c r="P22" s="24" t="str">
        <x:v>Sí</x:v>
      </x:c>
      <x:c r="Q22" s="24" t="str">
        <x:v>Condicionado a autoría/procedencia final</x:v>
      </x:c>
      <x:c r="R22" s="24" t="str">
        <x:v>Solo dentro del producto/build autorizado</x:v>
      </x:c>
      <x:c r="S22" s="24" t="str">
        <x:v>Crédito general del estudio; individual si aplica</x:v>
      </x:c>
      <x:c r="T22" s="24" t="str">
        <x:v>VRM Games / Blas Luis Rocha González</x:v>
      </x:c>
      <x:c r="U22" s="24" t="str">
        <x:v>CURRENT PROJECT ASSET</x:v>
      </x:c>
      <x:c r="V22" s="24" t="str">
        <x:v>CONDITIONALLY APPROVED</x:v>
      </x:c>
      <x:c r="W22" s="24" t="str">
        <x:v>Parcial</x:v>
      </x:c>
      <x:c r="X22" s="24" t="str">
        <x:v>Medium</x:v>
      </x:c>
      <x:c r="Y22" s="24" t="str">
        <x:v>Internal development; public candidate requires gate</x:v>
      </x:c>
      <x:c r="Z22" s="24" t="str">
        <x:v>H6 legal/content audit</x:v>
      </x:c>
      <x:c r="AA22" s="24" t="str">
        <x:v>VRM Games</x:v>
      </x:c>
      <x:c r="AB22" s="24" t="str">
        <x:v>No se detectó proveedor externo en la ruta; confirmar autoría por lote antes de release público.</x:v>
      </x:c>
    </x:row>
    <x:row r="23" ht="34" customHeight="1">
      <x:c r="A23" s="24" t="str">
        <x:v>INT-0019</x:v>
      </x:c>
      <x:c r="B23" s="24" t="str">
        <x:v>450505c32f7e3e847f6347db0ac01057</x:v>
      </x:c>
      <x:c r="C23" s="24" t="str">
        <x:v>CharacterCustomer.mat</x:v>
      </x:c>
      <x:c r="D23" s="24" t="str">
        <x:v>Material</x:v>
      </x:c>
      <x:c r="E23" s="24" t="str">
        <x:v>Materials</x:v>
      </x:c>
      <x:c r="F23" s="24" t="str">
        <x:v>VRM Games / Blas Luis Rocha González</x:v>
      </x:c>
      <x:c r="G23" s="24" t="str">
        <x:v>VRM Games / Blas Luis Rocha González</x:v>
      </x:c>
      <x:c r="H23" s="24" t="str">
        <x:v>Internal project production</x:v>
      </x:c>
      <x:c r="I23" s="24" t="str">
        <x:v>2026 project timeline</x:v>
      </x:c>
      <x:c r="J23" s="24" t="str">
        <x:v>Internal project IP / authorship claim</x:v>
      </x:c>
      <x:c r="K23" s="24" t="str">
        <x:v>N/A</x:v>
      </x:c>
      <x:c r="L23" s="24" t="str">
        <x:v>Source package + repository path + hash</x:v>
      </x:c>
      <x:c r="M23" s="24" t="str">
        <x:v>10412c41d67729dd61a89d13db008b32ca3552f08d6459c954efbc8a156d7390</x:v>
      </x:c>
      <x:c r="N23" s="24" t="str">
        <x:v>Assets/_Project/Art/Materials/Characters/CharacterCustomer.mat</x:v>
      </x:c>
      <x:c r="O23" s="24" t="str">
        <x:v>450505c32f7e3e847f6347db0ac01057</x:v>
      </x:c>
      <x:c r="P23" s="24" t="str">
        <x:v>Sí</x:v>
      </x:c>
      <x:c r="Q23" s="24" t="str">
        <x:v>Condicionado a autoría/procedencia final</x:v>
      </x:c>
      <x:c r="R23" s="24" t="str">
        <x:v>Solo dentro del producto/build autorizado</x:v>
      </x:c>
      <x:c r="S23" s="24" t="str">
        <x:v>Crédito general del estudio; individual si aplica</x:v>
      </x:c>
      <x:c r="T23" s="24" t="str">
        <x:v>VRM Games / Blas Luis Rocha González</x:v>
      </x:c>
      <x:c r="U23" s="24" t="str">
        <x:v>CURRENT PROJECT ASSET</x:v>
      </x:c>
      <x:c r="V23" s="24" t="str">
        <x:v>CONDITIONALLY APPROVED</x:v>
      </x:c>
      <x:c r="W23" s="24" t="str">
        <x:v>Parcial</x:v>
      </x:c>
      <x:c r="X23" s="24" t="str">
        <x:v>Medium</x:v>
      </x:c>
      <x:c r="Y23" s="24" t="str">
        <x:v>Internal development; public candidate requires gate</x:v>
      </x:c>
      <x:c r="Z23" s="24" t="str">
        <x:v>H6 legal/content audit</x:v>
      </x:c>
      <x:c r="AA23" s="24" t="str">
        <x:v>VRM Games</x:v>
      </x:c>
      <x:c r="AB23" s="24" t="str">
        <x:v>No se detectó proveedor externo en la ruta; confirmar autoría por lote antes de release público.</x:v>
      </x:c>
    </x:row>
    <x:row r="24" ht="34" customHeight="1">
      <x:c r="A24" s="24" t="str">
        <x:v>INT-0020</x:v>
      </x:c>
      <x:c r="B24" s="24" t="str">
        <x:v>742683d58b0e90e474c01b05742063b0</x:v>
      </x:c>
      <x:c r="C24" s="24" t="str">
        <x:v>CharacterEmployee.mat</x:v>
      </x:c>
      <x:c r="D24" s="24" t="str">
        <x:v>Material</x:v>
      </x:c>
      <x:c r="E24" s="24" t="str">
        <x:v>Materials</x:v>
      </x:c>
      <x:c r="F24" s="24" t="str">
        <x:v>VRM Games / Blas Luis Rocha González</x:v>
      </x:c>
      <x:c r="G24" s="24" t="str">
        <x:v>VRM Games / Blas Luis Rocha González</x:v>
      </x:c>
      <x:c r="H24" s="24" t="str">
        <x:v>Internal project production</x:v>
      </x:c>
      <x:c r="I24" s="24" t="str">
        <x:v>2026 project timeline</x:v>
      </x:c>
      <x:c r="J24" s="24" t="str">
        <x:v>Internal project IP / authorship claim</x:v>
      </x:c>
      <x:c r="K24" s="24" t="str">
        <x:v>N/A</x:v>
      </x:c>
      <x:c r="L24" s="24" t="str">
        <x:v>Source package + repository path + hash</x:v>
      </x:c>
      <x:c r="M24" s="24" t="str">
        <x:v>ac69a559c9bf9fce3f89305992cbf1409a8a9bcd0912d9c64661815c28a70a4a</x:v>
      </x:c>
      <x:c r="N24" s="24" t="str">
        <x:v>Assets/_Project/Art/Materials/Characters/CharacterEmployee.mat</x:v>
      </x:c>
      <x:c r="O24" s="24" t="str">
        <x:v>742683d58b0e90e474c01b05742063b0</x:v>
      </x:c>
      <x:c r="P24" s="24" t="str">
        <x:v>Sí</x:v>
      </x:c>
      <x:c r="Q24" s="24" t="str">
        <x:v>Condicionado a autoría/procedencia final</x:v>
      </x:c>
      <x:c r="R24" s="24" t="str">
        <x:v>Solo dentro del producto/build autorizado</x:v>
      </x:c>
      <x:c r="S24" s="24" t="str">
        <x:v>Crédito general del estudio; individual si aplica</x:v>
      </x:c>
      <x:c r="T24" s="24" t="str">
        <x:v>VRM Games / Blas Luis Rocha González</x:v>
      </x:c>
      <x:c r="U24" s="24" t="str">
        <x:v>CURRENT PROJECT ASSET</x:v>
      </x:c>
      <x:c r="V24" s="24" t="str">
        <x:v>CONDITIONALLY APPROVED</x:v>
      </x:c>
      <x:c r="W24" s="24" t="str">
        <x:v>Parcial</x:v>
      </x:c>
      <x:c r="X24" s="24" t="str">
        <x:v>Medium</x:v>
      </x:c>
      <x:c r="Y24" s="24" t="str">
        <x:v>Internal development; public candidate requires gate</x:v>
      </x:c>
      <x:c r="Z24" s="24" t="str">
        <x:v>H6 legal/content audit</x:v>
      </x:c>
      <x:c r="AA24" s="24" t="str">
        <x:v>VRM Games</x:v>
      </x:c>
      <x:c r="AB24" s="24" t="str">
        <x:v>No se detectó proveedor externo en la ruta; confirmar autoría por lote antes de release público.</x:v>
      </x:c>
    </x:row>
    <x:row r="25" ht="34" customHeight="1">
      <x:c r="A25" s="24" t="str">
        <x:v>INT-0021</x:v>
      </x:c>
      <x:c r="B25" s="24" t="str">
        <x:v>3625b86ddf190a169cdb4f1f16066794</x:v>
      </x:c>
      <x:c r="C25" s="24" t="str">
        <x:v>CharacterSupplier.mat</x:v>
      </x:c>
      <x:c r="D25" s="24" t="str">
        <x:v>Material</x:v>
      </x:c>
      <x:c r="E25" s="24" t="str">
        <x:v>Materials</x:v>
      </x:c>
      <x:c r="F25" s="24" t="str">
        <x:v>VRM Games / Blas Luis Rocha González</x:v>
      </x:c>
      <x:c r="G25" s="24" t="str">
        <x:v>VRM Games / Blas Luis Rocha González</x:v>
      </x:c>
      <x:c r="H25" s="24" t="str">
        <x:v>Internal project production</x:v>
      </x:c>
      <x:c r="I25" s="24" t="str">
        <x:v>2026 project timeline</x:v>
      </x:c>
      <x:c r="J25" s="24" t="str">
        <x:v>Internal project IP / authorship claim</x:v>
      </x:c>
      <x:c r="K25" s="24" t="str">
        <x:v>N/A</x:v>
      </x:c>
      <x:c r="L25" s="24" t="str">
        <x:v>Source package + repository path + hash</x:v>
      </x:c>
      <x:c r="M25" s="24" t="str">
        <x:v>140dc16872341edc2c0f6a0930d47d169b5c311cce8a4824eac9fb49ec403ce7</x:v>
      </x:c>
      <x:c r="N25" s="24" t="str">
        <x:v>Assets/_Project/Art/Materials/Characters/CharacterSupplier.mat</x:v>
      </x:c>
      <x:c r="O25" s="24" t="str">
        <x:v>3625b86ddf190a169cdb4f1f16066794</x:v>
      </x:c>
      <x:c r="P25" s="24" t="str">
        <x:v>Sí</x:v>
      </x:c>
      <x:c r="Q25" s="24" t="str">
        <x:v>Condicionado a autoría/procedencia final</x:v>
      </x:c>
      <x:c r="R25" s="24" t="str">
        <x:v>Solo dentro del producto/build autorizado</x:v>
      </x:c>
      <x:c r="S25" s="24" t="str">
        <x:v>Crédito general del estudio; individual si aplica</x:v>
      </x:c>
      <x:c r="T25" s="24" t="str">
        <x:v>VRM Games / Blas Luis Rocha González</x:v>
      </x:c>
      <x:c r="U25" s="24" t="str">
        <x:v>CURRENT PROJECT ASSET</x:v>
      </x:c>
      <x:c r="V25" s="24" t="str">
        <x:v>CONDITIONALLY APPROVED</x:v>
      </x:c>
      <x:c r="W25" s="24" t="str">
        <x:v>Parcial</x:v>
      </x:c>
      <x:c r="X25" s="24" t="str">
        <x:v>Medium</x:v>
      </x:c>
      <x:c r="Y25" s="24" t="str">
        <x:v>Internal development; public candidate requires gate</x:v>
      </x:c>
      <x:c r="Z25" s="24" t="str">
        <x:v>H6 legal/content audit</x:v>
      </x:c>
      <x:c r="AA25" s="24" t="str">
        <x:v>VRM Games</x:v>
      </x:c>
      <x:c r="AB25" s="24" t="str">
        <x:v>No se detectó proveedor externo en la ruta; confirmar autoría por lote antes de release público.</x:v>
      </x:c>
    </x:row>
    <x:row r="26" ht="34" customHeight="1">
      <x:c r="A26" s="24" t="str">
        <x:v>INT-0022</x:v>
      </x:c>
      <x:c r="B26" s="24" t="str">
        <x:v>b3fe4bf4ecc4e4728253176b4c0d4a5d</x:v>
      </x:c>
      <x:c r="C26" s="24" t="str">
        <x:v>FeedbackInvalid.mat</x:v>
      </x:c>
      <x:c r="D26" s="24" t="str">
        <x:v>Material</x:v>
      </x:c>
      <x:c r="E26" s="24" t="str">
        <x:v>Materials</x:v>
      </x:c>
      <x:c r="F26" s="24" t="str">
        <x:v>VRM Games / Blas Luis Rocha González</x:v>
      </x:c>
      <x:c r="G26" s="24" t="str">
        <x:v>VRM Games / Blas Luis Rocha González</x:v>
      </x:c>
      <x:c r="H26" s="24" t="str">
        <x:v>Internal project production</x:v>
      </x:c>
      <x:c r="I26" s="24" t="str">
        <x:v>2026 project timeline</x:v>
      </x:c>
      <x:c r="J26" s="24" t="str">
        <x:v>Internal project IP / authorship claim</x:v>
      </x:c>
      <x:c r="K26" s="24" t="str">
        <x:v>N/A</x:v>
      </x:c>
      <x:c r="L26" s="24" t="str">
        <x:v>Source package + repository path + hash</x:v>
      </x:c>
      <x:c r="M26" s="24" t="str">
        <x:v>b61725227eb2c8d1030b9f345c85eae1d6162b2d315dfd1ab091f06562808d73</x:v>
      </x:c>
      <x:c r="N26" s="24" t="str">
        <x:v>Assets/_Project/Art/Materials/Feedback/FeedbackInvalid.mat</x:v>
      </x:c>
      <x:c r="O26" s="24" t="str">
        <x:v>b3fe4bf4ecc4e4728253176b4c0d4a5d</x:v>
      </x:c>
      <x:c r="P26" s="24" t="str">
        <x:v>Sí</x:v>
      </x:c>
      <x:c r="Q26" s="24" t="str">
        <x:v>Condicionado a autoría/procedencia final</x:v>
      </x:c>
      <x:c r="R26" s="24" t="str">
        <x:v>Solo dentro del producto/build autorizado</x:v>
      </x:c>
      <x:c r="S26" s="24" t="str">
        <x:v>Crédito general del estudio; individual si aplica</x:v>
      </x:c>
      <x:c r="T26" s="24" t="str">
        <x:v>VRM Games / Blas Luis Rocha González</x:v>
      </x:c>
      <x:c r="U26" s="24" t="str">
        <x:v>CURRENT PROJECT ASSET</x:v>
      </x:c>
      <x:c r="V26" s="24" t="str">
        <x:v>CONDITIONALLY APPROVED</x:v>
      </x:c>
      <x:c r="W26" s="24" t="str">
        <x:v>Parcial</x:v>
      </x:c>
      <x:c r="X26" s="24" t="str">
        <x:v>Medium</x:v>
      </x:c>
      <x:c r="Y26" s="24" t="str">
        <x:v>Internal development; public candidate requires gate</x:v>
      </x:c>
      <x:c r="Z26" s="24" t="str">
        <x:v>H6 legal/content audit</x:v>
      </x:c>
      <x:c r="AA26" s="24" t="str">
        <x:v>VRM Games</x:v>
      </x:c>
      <x:c r="AB26" s="24" t="str">
        <x:v>No se detectó proveedor externo en la ruta; confirmar autoría por lote antes de release público.</x:v>
      </x:c>
    </x:row>
    <x:row r="27" ht="34" customHeight="1">
      <x:c r="A27" s="24" t="str">
        <x:v>INT-0023</x:v>
      </x:c>
      <x:c r="B27" s="24" t="str">
        <x:v>9634685bae2bcc88df5569bdd3f78957</x:v>
      </x:c>
      <x:c r="C27" s="24" t="str">
        <x:v>FeedbackValid.mat</x:v>
      </x:c>
      <x:c r="D27" s="24" t="str">
        <x:v>Material</x:v>
      </x:c>
      <x:c r="E27" s="24" t="str">
        <x:v>Materials</x:v>
      </x:c>
      <x:c r="F27" s="24" t="str">
        <x:v>VRM Games / Blas Luis Rocha González</x:v>
      </x:c>
      <x:c r="G27" s="24" t="str">
        <x:v>VRM Games / Blas Luis Rocha González</x:v>
      </x:c>
      <x:c r="H27" s="24" t="str">
        <x:v>Internal project production</x:v>
      </x:c>
      <x:c r="I27" s="24" t="str">
        <x:v>2026 project timeline</x:v>
      </x:c>
      <x:c r="J27" s="24" t="str">
        <x:v>Internal project IP / authorship claim</x:v>
      </x:c>
      <x:c r="K27" s="24" t="str">
        <x:v>N/A</x:v>
      </x:c>
      <x:c r="L27" s="24" t="str">
        <x:v>Source package + repository path + hash</x:v>
      </x:c>
      <x:c r="M27" s="24" t="str">
        <x:v>652a2447766dabf80abd745e8ee4069c714e92a78c3ace65612e5ebf2b193cc1</x:v>
      </x:c>
      <x:c r="N27" s="24" t="str">
        <x:v>Assets/_Project/Art/Materials/Feedback/FeedbackValid.mat</x:v>
      </x:c>
      <x:c r="O27" s="24" t="str">
        <x:v>9634685bae2bcc88df5569bdd3f78957</x:v>
      </x:c>
      <x:c r="P27" s="24" t="str">
        <x:v>Sí</x:v>
      </x:c>
      <x:c r="Q27" s="24" t="str">
        <x:v>Condicionado a autoría/procedencia final</x:v>
      </x:c>
      <x:c r="R27" s="24" t="str">
        <x:v>Solo dentro del producto/build autorizado</x:v>
      </x:c>
      <x:c r="S27" s="24" t="str">
        <x:v>Crédito general del estudio; individual si aplica</x:v>
      </x:c>
      <x:c r="T27" s="24" t="str">
        <x:v>VRM Games / Blas Luis Rocha González</x:v>
      </x:c>
      <x:c r="U27" s="24" t="str">
        <x:v>CURRENT PROJECT ASSET</x:v>
      </x:c>
      <x:c r="V27" s="24" t="str">
        <x:v>CONDITIONALLY APPROVED</x:v>
      </x:c>
      <x:c r="W27" s="24" t="str">
        <x:v>Parcial</x:v>
      </x:c>
      <x:c r="X27" s="24" t="str">
        <x:v>Medium</x:v>
      </x:c>
      <x:c r="Y27" s="24" t="str">
        <x:v>Internal development; public candidate requires gate</x:v>
      </x:c>
      <x:c r="Z27" s="24" t="str">
        <x:v>H6 legal/content audit</x:v>
      </x:c>
      <x:c r="AA27" s="24" t="str">
        <x:v>VRM Games</x:v>
      </x:c>
      <x:c r="AB27" s="24" t="str">
        <x:v>No se detectó proveedor externo en la ruta; confirmar autoría por lote antes de release público.</x:v>
      </x:c>
    </x:row>
    <x:row r="28" ht="34" customHeight="1">
      <x:c r="A28" s="24" t="str">
        <x:v>INT-0024</x:v>
      </x:c>
      <x:c r="B28" s="24" t="str">
        <x:v>85fc7825d05ea003423e646cfeeedf70</x:v>
      </x:c>
      <x:c r="C28" s="24" t="str">
        <x:v>FeedbackWarning.mat</x:v>
      </x:c>
      <x:c r="D28" s="24" t="str">
        <x:v>Material</x:v>
      </x:c>
      <x:c r="E28" s="24" t="str">
        <x:v>Materials</x:v>
      </x:c>
      <x:c r="F28" s="24" t="str">
        <x:v>VRM Games / Blas Luis Rocha González</x:v>
      </x:c>
      <x:c r="G28" s="24" t="str">
        <x:v>VRM Games / Blas Luis Rocha González</x:v>
      </x:c>
      <x:c r="H28" s="24" t="str">
        <x:v>Internal project production</x:v>
      </x:c>
      <x:c r="I28" s="24" t="str">
        <x:v>2026 project timeline</x:v>
      </x:c>
      <x:c r="J28" s="24" t="str">
        <x:v>Internal project IP / authorship claim</x:v>
      </x:c>
      <x:c r="K28" s="24" t="str">
        <x:v>N/A</x:v>
      </x:c>
      <x:c r="L28" s="24" t="str">
        <x:v>Source package + repository path + hash</x:v>
      </x:c>
      <x:c r="M28" s="24" t="str">
        <x:v>f51c174f61ade75df0358d744b93a59003776eee6fe14ab566a395ccd9ea38fd</x:v>
      </x:c>
      <x:c r="N28" s="24" t="str">
        <x:v>Assets/_Project/Art/Materials/Feedback/FeedbackWarning.mat</x:v>
      </x:c>
      <x:c r="O28" s="24" t="str">
        <x:v>85fc7825d05ea003423e646cfeeedf70</x:v>
      </x:c>
      <x:c r="P28" s="24" t="str">
        <x:v>Sí</x:v>
      </x:c>
      <x:c r="Q28" s="24" t="str">
        <x:v>Condicionado a autoría/procedencia final</x:v>
      </x:c>
      <x:c r="R28" s="24" t="str">
        <x:v>Solo dentro del producto/build autorizado</x:v>
      </x:c>
      <x:c r="S28" s="24" t="str">
        <x:v>Crédito general del estudio; individual si aplica</x:v>
      </x:c>
      <x:c r="T28" s="24" t="str">
        <x:v>VRM Games / Blas Luis Rocha González</x:v>
      </x:c>
      <x:c r="U28" s="24" t="str">
        <x:v>CURRENT PROJECT ASSET</x:v>
      </x:c>
      <x:c r="V28" s="24" t="str">
        <x:v>CONDITIONALLY APPROVED</x:v>
      </x:c>
      <x:c r="W28" s="24" t="str">
        <x:v>Parcial</x:v>
      </x:c>
      <x:c r="X28" s="24" t="str">
        <x:v>Medium</x:v>
      </x:c>
      <x:c r="Y28" s="24" t="str">
        <x:v>Internal development; public candidate requires gate</x:v>
      </x:c>
      <x:c r="Z28" s="24" t="str">
        <x:v>H6 legal/content audit</x:v>
      </x:c>
      <x:c r="AA28" s="24" t="str">
        <x:v>VRM Games</x:v>
      </x:c>
      <x:c r="AB28" s="24" t="str">
        <x:v>No se detectó proveedor externo en la ruta; confirmar autoría por lote antes de release público.</x:v>
      </x:c>
    </x:row>
    <x:row r="29" ht="34" customHeight="1">
      <x:c r="A29" s="24" t="str">
        <x:v>INT-0025</x:v>
      </x:c>
      <x:c r="B29" s="24" t="str">
        <x:v>f6b8ad1a77540220bcfd0341d169cf09</x:v>
      </x:c>
      <x:c r="C29" s="24" t="str">
        <x:v>Decoration.mat</x:v>
      </x:c>
      <x:c r="D29" s="24" t="str">
        <x:v>Material</x:v>
      </x:c>
      <x:c r="E29" s="24" t="str">
        <x:v>Materials</x:v>
      </x:c>
      <x:c r="F29" s="24" t="str">
        <x:v>VRM Games / Blas Luis Rocha González</x:v>
      </x:c>
      <x:c r="G29" s="24" t="str">
        <x:v>VRM Games / Blas Luis Rocha González</x:v>
      </x:c>
      <x:c r="H29" s="24" t="str">
        <x:v>Internal project production</x:v>
      </x:c>
      <x:c r="I29" s="24" t="str">
        <x:v>2026 project timeline</x:v>
      </x:c>
      <x:c r="J29" s="24" t="str">
        <x:v>Internal project IP / authorship claim</x:v>
      </x:c>
      <x:c r="K29" s="24" t="str">
        <x:v>N/A</x:v>
      </x:c>
      <x:c r="L29" s="24" t="str">
        <x:v>Source package + repository path + hash</x:v>
      </x:c>
      <x:c r="M29" s="24" t="str">
        <x:v>09bac2621ec910e35a8bb3460a51d846a58ba3808239fc927fe2f9db0de2d08a</x:v>
      </x:c>
      <x:c r="N29" s="24" t="str">
        <x:v>Assets/_Project/Art/Materials/Furniture/Decoration.mat</x:v>
      </x:c>
      <x:c r="O29" s="24" t="str">
        <x:v>f6b8ad1a77540220bcfd0341d169cf09</x:v>
      </x:c>
      <x:c r="P29" s="24" t="str">
        <x:v>Sí</x:v>
      </x:c>
      <x:c r="Q29" s="24" t="str">
        <x:v>Condicionado a autoría/procedencia final</x:v>
      </x:c>
      <x:c r="R29" s="24" t="str">
        <x:v>Solo dentro del producto/build autorizado</x:v>
      </x:c>
      <x:c r="S29" s="24" t="str">
        <x:v>Crédito general del estudio; individual si aplica</x:v>
      </x:c>
      <x:c r="T29" s="24" t="str">
        <x:v>VRM Games / Blas Luis Rocha González</x:v>
      </x:c>
      <x:c r="U29" s="24" t="str">
        <x:v>CURRENT PROJECT ASSET</x:v>
      </x:c>
      <x:c r="V29" s="24" t="str">
        <x:v>CONDITIONALLY APPROVED</x:v>
      </x:c>
      <x:c r="W29" s="24" t="str">
        <x:v>Parcial</x:v>
      </x:c>
      <x:c r="X29" s="24" t="str">
        <x:v>Medium</x:v>
      </x:c>
      <x:c r="Y29" s="24" t="str">
        <x:v>Internal development; public candidate requires gate</x:v>
      </x:c>
      <x:c r="Z29" s="24" t="str">
        <x:v>H6 legal/content audit</x:v>
      </x:c>
      <x:c r="AA29" s="24" t="str">
        <x:v>VRM Games</x:v>
      </x:c>
      <x:c r="AB29" s="24" t="str">
        <x:v>No se detectó proveedor externo en la ruta; confirmar autoría por lote antes de release público.</x:v>
      </x:c>
    </x:row>
    <x:row r="30" ht="34" customHeight="1">
      <x:c r="A30" s="24" t="str">
        <x:v>INT-0026</x:v>
      </x:c>
      <x:c r="B30" s="24" t="str">
        <x:v>c24be953a6037fcc6e90961127549a86</x:v>
      </x:c>
      <x:c r="C30" s="24" t="str">
        <x:v>FurnitureCentralShelf.mat</x:v>
      </x:c>
      <x:c r="D30" s="24" t="str">
        <x:v>Material</x:v>
      </x:c>
      <x:c r="E30" s="24" t="str">
        <x:v>Materials</x:v>
      </x:c>
      <x:c r="F30" s="24" t="str">
        <x:v>VRM Games / Blas Luis Rocha González</x:v>
      </x:c>
      <x:c r="G30" s="24" t="str">
        <x:v>VRM Games / Blas Luis Rocha González</x:v>
      </x:c>
      <x:c r="H30" s="24" t="str">
        <x:v>Internal project production</x:v>
      </x:c>
      <x:c r="I30" s="24" t="str">
        <x:v>2026 project timeline</x:v>
      </x:c>
      <x:c r="J30" s="24" t="str">
        <x:v>Internal project IP / authorship claim</x:v>
      </x:c>
      <x:c r="K30" s="24" t="str">
        <x:v>N/A</x:v>
      </x:c>
      <x:c r="L30" s="24" t="str">
        <x:v>Source package + repository path + hash</x:v>
      </x:c>
      <x:c r="M30" s="24" t="str">
        <x:v>a38be52b5c875a5b0dd0fe34b05cafd39ceca532fec87adf80730220d5c28d8d</x:v>
      </x:c>
      <x:c r="N30" s="24" t="str">
        <x:v>Assets/_Project/Art/Materials/Furniture/FurnitureCentralShelf.mat</x:v>
      </x:c>
      <x:c r="O30" s="24" t="str">
        <x:v>c24be953a6037fcc6e90961127549a86</x:v>
      </x:c>
      <x:c r="P30" s="24" t="str">
        <x:v>Sí</x:v>
      </x:c>
      <x:c r="Q30" s="24" t="str">
        <x:v>Condicionado a autoría/procedencia final</x:v>
      </x:c>
      <x:c r="R30" s="24" t="str">
        <x:v>Solo dentro del producto/build autorizado</x:v>
      </x:c>
      <x:c r="S30" s="24" t="str">
        <x:v>Crédito general del estudio; individual si aplica</x:v>
      </x:c>
      <x:c r="T30" s="24" t="str">
        <x:v>VRM Games / Blas Luis Rocha González</x:v>
      </x:c>
      <x:c r="U30" s="24" t="str">
        <x:v>CURRENT PROJECT ASSET</x:v>
      </x:c>
      <x:c r="V30" s="24" t="str">
        <x:v>CONDITIONALLY APPROVED</x:v>
      </x:c>
      <x:c r="W30" s="24" t="str">
        <x:v>Parcial</x:v>
      </x:c>
      <x:c r="X30" s="24" t="str">
        <x:v>Medium</x:v>
      </x:c>
      <x:c r="Y30" s="24" t="str">
        <x:v>Internal development; public candidate requires gate</x:v>
      </x:c>
      <x:c r="Z30" s="24" t="str">
        <x:v>H6 legal/content audit</x:v>
      </x:c>
      <x:c r="AA30" s="24" t="str">
        <x:v>VRM Games</x:v>
      </x:c>
      <x:c r="AB30" s="24" t="str">
        <x:v>No se detectó proveedor externo en la ruta; confirmar autoría por lote antes de release público.</x:v>
      </x:c>
    </x:row>
    <x:row r="31" ht="34" customHeight="1">
      <x:c r="A31" s="24" t="str">
        <x:v>INT-0027</x:v>
      </x:c>
      <x:c r="B31" s="24" t="str">
        <x:v>774d28a5615ff64312780a0dd1cda67a</x:v>
      </x:c>
      <x:c r="C31" s="24" t="str">
        <x:v>FurnitureCheckout.mat</x:v>
      </x:c>
      <x:c r="D31" s="24" t="str">
        <x:v>Material</x:v>
      </x:c>
      <x:c r="E31" s="24" t="str">
        <x:v>Materials</x:v>
      </x:c>
      <x:c r="F31" s="24" t="str">
        <x:v>VRM Games / Blas Luis Rocha González</x:v>
      </x:c>
      <x:c r="G31" s="24" t="str">
        <x:v>VRM Games / Blas Luis Rocha González</x:v>
      </x:c>
      <x:c r="H31" s="24" t="str">
        <x:v>Internal project production</x:v>
      </x:c>
      <x:c r="I31" s="24" t="str">
        <x:v>2026 project timeline</x:v>
      </x:c>
      <x:c r="J31" s="24" t="str">
        <x:v>Internal project IP / authorship claim</x:v>
      </x:c>
      <x:c r="K31" s="24" t="str">
        <x:v>N/A</x:v>
      </x:c>
      <x:c r="L31" s="24" t="str">
        <x:v>Source package + repository path + hash</x:v>
      </x:c>
      <x:c r="M31" s="24" t="str">
        <x:v>9bc93a2949c8a9831017d72fd193cd917c5865bad3bb10679a8cf7adb0db64ec</x:v>
      </x:c>
      <x:c r="N31" s="24" t="str">
        <x:v>Assets/_Project/Art/Materials/Furniture/FurnitureCheckout.mat</x:v>
      </x:c>
      <x:c r="O31" s="24" t="str">
        <x:v>774d28a5615ff64312780a0dd1cda67a</x:v>
      </x:c>
      <x:c r="P31" s="24" t="str">
        <x:v>Sí</x:v>
      </x:c>
      <x:c r="Q31" s="24" t="str">
        <x:v>Condicionado a autoría/procedencia final</x:v>
      </x:c>
      <x:c r="R31" s="24" t="str">
        <x:v>Solo dentro del producto/build autorizado</x:v>
      </x:c>
      <x:c r="S31" s="24" t="str">
        <x:v>Crédito general del estudio; individual si aplica</x:v>
      </x:c>
      <x:c r="T31" s="24" t="str">
        <x:v>VRM Games / Blas Luis Rocha González</x:v>
      </x:c>
      <x:c r="U31" s="24" t="str">
        <x:v>CURRENT PROJECT ASSET</x:v>
      </x:c>
      <x:c r="V31" s="24" t="str">
        <x:v>CONDITIONALLY APPROVED</x:v>
      </x:c>
      <x:c r="W31" s="24" t="str">
        <x:v>Parcial</x:v>
      </x:c>
      <x:c r="X31" s="24" t="str">
        <x:v>Medium</x:v>
      </x:c>
      <x:c r="Y31" s="24" t="str">
        <x:v>Internal development; public candidate requires gate</x:v>
      </x:c>
      <x:c r="Z31" s="24" t="str">
        <x:v>H6 legal/content audit</x:v>
      </x:c>
      <x:c r="AA31" s="24" t="str">
        <x:v>VRM Games</x:v>
      </x:c>
      <x:c r="AB31" s="24" t="str">
        <x:v>No se detectó proveedor externo en la ruta; confirmar autoría por lote antes de release público.</x:v>
      </x:c>
    </x:row>
    <x:row r="32" ht="34" customHeight="1">
      <x:c r="A32" s="24" t="str">
        <x:v>INT-0028</x:v>
      </x:c>
      <x:c r="B32" s="24" t="str">
        <x:v>2056a1f3145d493024412a9453580fd1</x:v>
      </x:c>
      <x:c r="C32" s="24" t="str">
        <x:v>FurnitureCrate.mat</x:v>
      </x:c>
      <x:c r="D32" s="24" t="str">
        <x:v>Material</x:v>
      </x:c>
      <x:c r="E32" s="24" t="str">
        <x:v>Materials</x:v>
      </x:c>
      <x:c r="F32" s="24" t="str">
        <x:v>VRM Games / Blas Luis Rocha González</x:v>
      </x:c>
      <x:c r="G32" s="24" t="str">
        <x:v>VRM Games / Blas Luis Rocha González</x:v>
      </x:c>
      <x:c r="H32" s="24" t="str">
        <x:v>Internal project production</x:v>
      </x:c>
      <x:c r="I32" s="24" t="str">
        <x:v>2026 project timeline</x:v>
      </x:c>
      <x:c r="J32" s="24" t="str">
        <x:v>Internal project IP / authorship claim</x:v>
      </x:c>
      <x:c r="K32" s="24" t="str">
        <x:v>N/A</x:v>
      </x:c>
      <x:c r="L32" s="24" t="str">
        <x:v>Source package + repository path + hash</x:v>
      </x:c>
      <x:c r="M32" s="24" t="str">
        <x:v>fd200e26d41a6bbaf04a960006557ec29489113d19cd3e8b777c7b914d392931</x:v>
      </x:c>
      <x:c r="N32" s="24" t="str">
        <x:v>Assets/_Project/Art/Materials/Furniture/FurnitureCrate.mat</x:v>
      </x:c>
      <x:c r="O32" s="24" t="str">
        <x:v>2056a1f3145d493024412a9453580fd1</x:v>
      </x:c>
      <x:c r="P32" s="24" t="str">
        <x:v>Sí</x:v>
      </x:c>
      <x:c r="Q32" s="24" t="str">
        <x:v>Condicionado a autoría/procedencia final</x:v>
      </x:c>
      <x:c r="R32" s="24" t="str">
        <x:v>Solo dentro del producto/build autorizado</x:v>
      </x:c>
      <x:c r="S32" s="24" t="str">
        <x:v>Crédito general del estudio; individual si aplica</x:v>
      </x:c>
      <x:c r="T32" s="24" t="str">
        <x:v>VRM Games / Blas Luis Rocha González</x:v>
      </x:c>
      <x:c r="U32" s="24" t="str">
        <x:v>CURRENT PROJECT ASSET</x:v>
      </x:c>
      <x:c r="V32" s="24" t="str">
        <x:v>CONDITIONALLY APPROVED</x:v>
      </x:c>
      <x:c r="W32" s="24" t="str">
        <x:v>Parcial</x:v>
      </x:c>
      <x:c r="X32" s="24" t="str">
        <x:v>Medium</x:v>
      </x:c>
      <x:c r="Y32" s="24" t="str">
        <x:v>Internal development; public candidate requires gate</x:v>
      </x:c>
      <x:c r="Z32" s="24" t="str">
        <x:v>H6 legal/content audit</x:v>
      </x:c>
      <x:c r="AA32" s="24" t="str">
        <x:v>VRM Games</x:v>
      </x:c>
      <x:c r="AB32" s="24" t="str">
        <x:v>No se detectó proveedor externo en la ruta; confirmar autoría por lote antes de release público.</x:v>
      </x:c>
    </x:row>
    <x:row r="33" ht="34" customHeight="1">
      <x:c r="A33" s="24" t="str">
        <x:v>INT-0029</x:v>
      </x:c>
      <x:c r="B33" s="24" t="str">
        <x:v>5fe21f7983022016f5221ddaa19189f1</x:v>
      </x:c>
      <x:c r="C33" s="24" t="str">
        <x:v>FurnitureFeatured.mat</x:v>
      </x:c>
      <x:c r="D33" s="24" t="str">
        <x:v>Material</x:v>
      </x:c>
      <x:c r="E33" s="24" t="str">
        <x:v>Materials</x:v>
      </x:c>
      <x:c r="F33" s="24" t="str">
        <x:v>VRM Games / Blas Luis Rocha González</x:v>
      </x:c>
      <x:c r="G33" s="24" t="str">
        <x:v>VRM Games / Blas Luis Rocha González</x:v>
      </x:c>
      <x:c r="H33" s="24" t="str">
        <x:v>Internal project production</x:v>
      </x:c>
      <x:c r="I33" s="24" t="str">
        <x:v>2026 project timeline</x:v>
      </x:c>
      <x:c r="J33" s="24" t="str">
        <x:v>Internal project IP / authorship claim</x:v>
      </x:c>
      <x:c r="K33" s="24" t="str">
        <x:v>N/A</x:v>
      </x:c>
      <x:c r="L33" s="24" t="str">
        <x:v>Source package + repository path + hash</x:v>
      </x:c>
      <x:c r="M33" s="24" t="str">
        <x:v>df254ccb32ee6483562abc0d71f62fa51ecd053e27fe99c0252096e54fa4d869</x:v>
      </x:c>
      <x:c r="N33" s="24" t="str">
        <x:v>Assets/_Project/Art/Materials/Furniture/FurnitureFeatured.mat</x:v>
      </x:c>
      <x:c r="O33" s="24" t="str">
        <x:v>5fe21f7983022016f5221ddaa19189f1</x:v>
      </x:c>
      <x:c r="P33" s="24" t="str">
        <x:v>Sí</x:v>
      </x:c>
      <x:c r="Q33" s="24" t="str">
        <x:v>Condicionado a autoría/procedencia final</x:v>
      </x:c>
      <x:c r="R33" s="24" t="str">
        <x:v>Solo dentro del producto/build autorizado</x:v>
      </x:c>
      <x:c r="S33" s="24" t="str">
        <x:v>Crédito general del estudio; individual si aplica</x:v>
      </x:c>
      <x:c r="T33" s="24" t="str">
        <x:v>VRM Games / Blas Luis Rocha González</x:v>
      </x:c>
      <x:c r="U33" s="24" t="str">
        <x:v>CURRENT PROJECT ASSET</x:v>
      </x:c>
      <x:c r="V33" s="24" t="str">
        <x:v>CONDITIONALLY APPROVED</x:v>
      </x:c>
      <x:c r="W33" s="24" t="str">
        <x:v>Parcial</x:v>
      </x:c>
      <x:c r="X33" s="24" t="str">
        <x:v>Medium</x:v>
      </x:c>
      <x:c r="Y33" s="24" t="str">
        <x:v>Internal development; public candidate requires gate</x:v>
      </x:c>
      <x:c r="Z33" s="24" t="str">
        <x:v>H6 legal/content audit</x:v>
      </x:c>
      <x:c r="AA33" s="24" t="str">
        <x:v>VRM Games</x:v>
      </x:c>
      <x:c r="AB33" s="24" t="str">
        <x:v>No se detectó proveedor externo en la ruta; confirmar autoría por lote antes de release público.</x:v>
      </x:c>
    </x:row>
    <x:row r="34" ht="34" customHeight="1">
      <x:c r="A34" s="24" t="str">
        <x:v>INT-0030</x:v>
      </x:c>
      <x:c r="B34" s="24" t="str">
        <x:v>3581cddeb260abc6af819d45d50d4088</x:v>
      </x:c>
      <x:c r="C34" s="24" t="str">
        <x:v>FurnitureLowDisplay.mat</x:v>
      </x:c>
      <x:c r="D34" s="24" t="str">
        <x:v>Material</x:v>
      </x:c>
      <x:c r="E34" s="24" t="str">
        <x:v>Materials</x:v>
      </x:c>
      <x:c r="F34" s="24" t="str">
        <x:v>VRM Games / Blas Luis Rocha González</x:v>
      </x:c>
      <x:c r="G34" s="24" t="str">
        <x:v>VRM Games / Blas Luis Rocha González</x:v>
      </x:c>
      <x:c r="H34" s="24" t="str">
        <x:v>Internal project production</x:v>
      </x:c>
      <x:c r="I34" s="24" t="str">
        <x:v>2026 project timeline</x:v>
      </x:c>
      <x:c r="J34" s="24" t="str">
        <x:v>Internal project IP / authorship claim</x:v>
      </x:c>
      <x:c r="K34" s="24" t="str">
        <x:v>N/A</x:v>
      </x:c>
      <x:c r="L34" s="24" t="str">
        <x:v>Source package + repository path + hash</x:v>
      </x:c>
      <x:c r="M34" s="24" t="str">
        <x:v>7135a4169acb6ea603c1bcc4930dfc4cd8e322141360cf46bf7462c7af92c741</x:v>
      </x:c>
      <x:c r="N34" s="24" t="str">
        <x:v>Assets/_Project/Art/Materials/Furniture/FurnitureLowDisplay.mat</x:v>
      </x:c>
      <x:c r="O34" s="24" t="str">
        <x:v>3581cddeb260abc6af819d45d50d4088</x:v>
      </x:c>
      <x:c r="P34" s="24" t="str">
        <x:v>Sí</x:v>
      </x:c>
      <x:c r="Q34" s="24" t="str">
        <x:v>Condicionado a autoría/procedencia final</x:v>
      </x:c>
      <x:c r="R34" s="24" t="str">
        <x:v>Solo dentro del producto/build autorizado</x:v>
      </x:c>
      <x:c r="S34" s="24" t="str">
        <x:v>Crédito general del estudio; individual si aplica</x:v>
      </x:c>
      <x:c r="T34" s="24" t="str">
        <x:v>VRM Games / Blas Luis Rocha González</x:v>
      </x:c>
      <x:c r="U34" s="24" t="str">
        <x:v>CURRENT PROJECT ASSET</x:v>
      </x:c>
      <x:c r="V34" s="24" t="str">
        <x:v>CONDITIONALLY APPROVED</x:v>
      </x:c>
      <x:c r="W34" s="24" t="str">
        <x:v>Parcial</x:v>
      </x:c>
      <x:c r="X34" s="24" t="str">
        <x:v>Medium</x:v>
      </x:c>
      <x:c r="Y34" s="24" t="str">
        <x:v>Internal development; public candidate requires gate</x:v>
      </x:c>
      <x:c r="Z34" s="24" t="str">
        <x:v>H6 legal/content audit</x:v>
      </x:c>
      <x:c r="AA34" s="24" t="str">
        <x:v>VRM Games</x:v>
      </x:c>
      <x:c r="AB34" s="24" t="str">
        <x:v>No se detectó proveedor externo en la ruta; confirmar autoría por lote antes de release público.</x:v>
      </x:c>
    </x:row>
    <x:row r="35" ht="34" customHeight="1">
      <x:c r="A35" s="24" t="str">
        <x:v>INT-0031</x:v>
      </x:c>
      <x:c r="B35" s="24" t="str">
        <x:v>8ac885c5b01be0dbc5dcb92550b137c3</x:v>
      </x:c>
      <x:c r="C35" s="24" t="str">
        <x:v>FurnitureStorage.mat</x:v>
      </x:c>
      <x:c r="D35" s="24" t="str">
        <x:v>Material</x:v>
      </x:c>
      <x:c r="E35" s="24" t="str">
        <x:v>Materials</x:v>
      </x:c>
      <x:c r="F35" s="24" t="str">
        <x:v>VRM Games / Blas Luis Rocha González</x:v>
      </x:c>
      <x:c r="G35" s="24" t="str">
        <x:v>VRM Games / Blas Luis Rocha González</x:v>
      </x:c>
      <x:c r="H35" s="24" t="str">
        <x:v>Internal project production</x:v>
      </x:c>
      <x:c r="I35" s="24" t="str">
        <x:v>2026 project timeline</x:v>
      </x:c>
      <x:c r="J35" s="24" t="str">
        <x:v>Internal project IP / authorship claim</x:v>
      </x:c>
      <x:c r="K35" s="24" t="str">
        <x:v>N/A</x:v>
      </x:c>
      <x:c r="L35" s="24" t="str">
        <x:v>Source package + repository path + hash</x:v>
      </x:c>
      <x:c r="M35" s="24" t="str">
        <x:v>67f5eb3cc36d7799a9659c8d92b6f470a0d65191b6c0d6d32674675c45aac948</x:v>
      </x:c>
      <x:c r="N35" s="24" t="str">
        <x:v>Assets/_Project/Art/Materials/Furniture/FurnitureStorage.mat</x:v>
      </x:c>
      <x:c r="O35" s="24" t="str">
        <x:v>8ac885c5b01be0dbc5dcb92550b137c3</x:v>
      </x:c>
      <x:c r="P35" s="24" t="str">
        <x:v>Sí</x:v>
      </x:c>
      <x:c r="Q35" s="24" t="str">
        <x:v>Condicionado a autoría/procedencia final</x:v>
      </x:c>
      <x:c r="R35" s="24" t="str">
        <x:v>Solo dentro del producto/build autorizado</x:v>
      </x:c>
      <x:c r="S35" s="24" t="str">
        <x:v>Crédito general del estudio; individual si aplica</x:v>
      </x:c>
      <x:c r="T35" s="24" t="str">
        <x:v>VRM Games / Blas Luis Rocha González</x:v>
      </x:c>
      <x:c r="U35" s="24" t="str">
        <x:v>CURRENT PROJECT ASSET</x:v>
      </x:c>
      <x:c r="V35" s="24" t="str">
        <x:v>CONDITIONALLY APPROVED</x:v>
      </x:c>
      <x:c r="W35" s="24" t="str">
        <x:v>Parcial</x:v>
      </x:c>
      <x:c r="X35" s="24" t="str">
        <x:v>Medium</x:v>
      </x:c>
      <x:c r="Y35" s="24" t="str">
        <x:v>Internal development; public candidate requires gate</x:v>
      </x:c>
      <x:c r="Z35" s="24" t="str">
        <x:v>H6 legal/content audit</x:v>
      </x:c>
      <x:c r="AA35" s="24" t="str">
        <x:v>VRM Games</x:v>
      </x:c>
      <x:c r="AB35" s="24" t="str">
        <x:v>No se detectó proveedor externo en la ruta; confirmar autoría por lote antes de release público.</x:v>
      </x:c>
    </x:row>
    <x:row r="36" ht="34" customHeight="1">
      <x:c r="A36" s="24" t="str">
        <x:v>INT-0032</x:v>
      </x:c>
      <x:c r="B36" s="24" t="str">
        <x:v>aa560f38bb0d79f36343458850d48646</x:v>
      </x:c>
      <x:c r="C36" s="24" t="str">
        <x:v>FurnitureWallShelf.mat</x:v>
      </x:c>
      <x:c r="D36" s="24" t="str">
        <x:v>Material</x:v>
      </x:c>
      <x:c r="E36" s="24" t="str">
        <x:v>Materials</x:v>
      </x:c>
      <x:c r="F36" s="24" t="str">
        <x:v>VRM Games / Blas Luis Rocha González</x:v>
      </x:c>
      <x:c r="G36" s="24" t="str">
        <x:v>VRM Games / Blas Luis Rocha González</x:v>
      </x:c>
      <x:c r="H36" s="24" t="str">
        <x:v>Internal project production</x:v>
      </x:c>
      <x:c r="I36" s="24" t="str">
        <x:v>2026 project timeline</x:v>
      </x:c>
      <x:c r="J36" s="24" t="str">
        <x:v>Internal project IP / authorship claim</x:v>
      </x:c>
      <x:c r="K36" s="24" t="str">
        <x:v>N/A</x:v>
      </x:c>
      <x:c r="L36" s="24" t="str">
        <x:v>Source package + repository path + hash</x:v>
      </x:c>
      <x:c r="M36" s="24" t="str">
        <x:v>c2e952b1e3eb77da9dd1f9aa669ccbd8595854b822fc9a038adae76f27aa9cea</x:v>
      </x:c>
      <x:c r="N36" s="24" t="str">
        <x:v>Assets/_Project/Art/Materials/Furniture/FurnitureWallShelf.mat</x:v>
      </x:c>
      <x:c r="O36" s="24" t="str">
        <x:v>aa560f38bb0d79f36343458850d48646</x:v>
      </x:c>
      <x:c r="P36" s="24" t="str">
        <x:v>Sí</x:v>
      </x:c>
      <x:c r="Q36" s="24" t="str">
        <x:v>Condicionado a autoría/procedencia final</x:v>
      </x:c>
      <x:c r="R36" s="24" t="str">
        <x:v>Solo dentro del producto/build autorizado</x:v>
      </x:c>
      <x:c r="S36" s="24" t="str">
        <x:v>Crédito general del estudio; individual si aplica</x:v>
      </x:c>
      <x:c r="T36" s="24" t="str">
        <x:v>VRM Games / Blas Luis Rocha González</x:v>
      </x:c>
      <x:c r="U36" s="24" t="str">
        <x:v>CURRENT PROJECT ASSET</x:v>
      </x:c>
      <x:c r="V36" s="24" t="str">
        <x:v>CONDITIONALLY APPROVED</x:v>
      </x:c>
      <x:c r="W36" s="24" t="str">
        <x:v>Parcial</x:v>
      </x:c>
      <x:c r="X36" s="24" t="str">
        <x:v>Medium</x:v>
      </x:c>
      <x:c r="Y36" s="24" t="str">
        <x:v>Internal development; public candidate requires gate</x:v>
      </x:c>
      <x:c r="Z36" s="24" t="str">
        <x:v>H6 legal/content audit</x:v>
      </x:c>
      <x:c r="AA36" s="24" t="str">
        <x:v>VRM Games</x:v>
      </x:c>
      <x:c r="AB36" s="24" t="str">
        <x:v>No se detectó proveedor externo en la ruta; confirmar autoría por lote antes de release público.</x:v>
      </x:c>
    </x:row>
    <x:row r="37" ht="34" customHeight="1">
      <x:c r="A37" s="24" t="str">
        <x:v>INT-0033</x:v>
      </x:c>
      <x:c r="B37" s="24" t="str">
        <x:v>08e87121591997032ca879eaaa356a07</x:v>
      </x:c>
      <x:c r="C37" s="24" t="str">
        <x:v>ProductAccessory.mat</x:v>
      </x:c>
      <x:c r="D37" s="24" t="str">
        <x:v>Material</x:v>
      </x:c>
      <x:c r="E37" s="24" t="str">
        <x:v>Materials</x:v>
      </x:c>
      <x:c r="F37" s="24" t="str">
        <x:v>VRM Games / Blas Luis Rocha González</x:v>
      </x:c>
      <x:c r="G37" s="24" t="str">
        <x:v>VRM Games / Blas Luis Rocha González</x:v>
      </x:c>
      <x:c r="H37" s="24" t="str">
        <x:v>Internal project production</x:v>
      </x:c>
      <x:c r="I37" s="24" t="str">
        <x:v>2026 project timeline</x:v>
      </x:c>
      <x:c r="J37" s="24" t="str">
        <x:v>Internal project IP / authorship claim</x:v>
      </x:c>
      <x:c r="K37" s="24" t="str">
        <x:v>N/A</x:v>
      </x:c>
      <x:c r="L37" s="24" t="str">
        <x:v>Source package + repository path + hash</x:v>
      </x:c>
      <x:c r="M37" s="24" t="str">
        <x:v>71e0b3b587284ccb8d8318cd9fe38c4e035171525de61d9d7414df91cbf66f80</x:v>
      </x:c>
      <x:c r="N37" s="24" t="str">
        <x:v>Assets/_Project/Art/Materials/Products/ProductAccessory.mat</x:v>
      </x:c>
      <x:c r="O37" s="24" t="str">
        <x:v>08e87121591997032ca879eaaa356a07</x:v>
      </x:c>
      <x:c r="P37" s="24" t="str">
        <x:v>Sí</x:v>
      </x:c>
      <x:c r="Q37" s="24" t="str">
        <x:v>Condicionado a autoría/procedencia final</x:v>
      </x:c>
      <x:c r="R37" s="24" t="str">
        <x:v>Solo dentro del producto/build autorizado</x:v>
      </x:c>
      <x:c r="S37" s="24" t="str">
        <x:v>Crédito general del estudio; individual si aplica</x:v>
      </x:c>
      <x:c r="T37" s="24" t="str">
        <x:v>VRM Games / Blas Luis Rocha González</x:v>
      </x:c>
      <x:c r="U37" s="24" t="str">
        <x:v>CURRENT PROJECT ASSET</x:v>
      </x:c>
      <x:c r="V37" s="24" t="str">
        <x:v>CONDITIONALLY APPROVED</x:v>
      </x:c>
      <x:c r="W37" s="24" t="str">
        <x:v>Parcial</x:v>
      </x:c>
      <x:c r="X37" s="24" t="str">
        <x:v>Medium</x:v>
      </x:c>
      <x:c r="Y37" s="24" t="str">
        <x:v>Internal development; public candidate requires gate</x:v>
      </x:c>
      <x:c r="Z37" s="24" t="str">
        <x:v>H6 legal/content audit</x:v>
      </x:c>
      <x:c r="AA37" s="24" t="str">
        <x:v>VRM Games</x:v>
      </x:c>
      <x:c r="AB37" s="24" t="str">
        <x:v>No se detectó proveedor externo en la ruta; confirmar autoría por lote antes de release público.</x:v>
      </x:c>
    </x:row>
    <x:row r="38" ht="34" customHeight="1">
      <x:c r="A38" s="24" t="str">
        <x:v>INT-0034</x:v>
      </x:c>
      <x:c r="B38" s="24" t="str">
        <x:v>af1c448dfd8137fe79bd9438ff09be1b</x:v>
      </x:c>
      <x:c r="C38" s="24" t="str">
        <x:v>ProductCase.mat</x:v>
      </x:c>
      <x:c r="D38" s="24" t="str">
        <x:v>Material</x:v>
      </x:c>
      <x:c r="E38" s="24" t="str">
        <x:v>Materials</x:v>
      </x:c>
      <x:c r="F38" s="24" t="str">
        <x:v>VRM Games / Blas Luis Rocha González</x:v>
      </x:c>
      <x:c r="G38" s="24" t="str">
        <x:v>VRM Games / Blas Luis Rocha González</x:v>
      </x:c>
      <x:c r="H38" s="24" t="str">
        <x:v>Internal project production</x:v>
      </x:c>
      <x:c r="I38" s="24" t="str">
        <x:v>2026 project timeline</x:v>
      </x:c>
      <x:c r="J38" s="24" t="str">
        <x:v>Internal project IP / authorship claim</x:v>
      </x:c>
      <x:c r="K38" s="24" t="str">
        <x:v>N/A</x:v>
      </x:c>
      <x:c r="L38" s="24" t="str">
        <x:v>Source package + repository path + hash</x:v>
      </x:c>
      <x:c r="M38" s="24" t="str">
        <x:v>834b583e79f73a78e7594d054c599b9f67d62bcd16c48b0e3ad1cf6fd4e36c93</x:v>
      </x:c>
      <x:c r="N38" s="24" t="str">
        <x:v>Assets/_Project/Art/Materials/Products/ProductCase.mat</x:v>
      </x:c>
      <x:c r="O38" s="24" t="str">
        <x:v>af1c448dfd8137fe79bd9438ff09be1b</x:v>
      </x:c>
      <x:c r="P38" s="24" t="str">
        <x:v>Sí</x:v>
      </x:c>
      <x:c r="Q38" s="24" t="str">
        <x:v>Condicionado a autoría/procedencia final</x:v>
      </x:c>
      <x:c r="R38" s="24" t="str">
        <x:v>Solo dentro del producto/build autorizado</x:v>
      </x:c>
      <x:c r="S38" s="24" t="str">
        <x:v>Crédito general del estudio; individual si aplica</x:v>
      </x:c>
      <x:c r="T38" s="24" t="str">
        <x:v>VRM Games / Blas Luis Rocha González</x:v>
      </x:c>
      <x:c r="U38" s="24" t="str">
        <x:v>CURRENT PROJECT ASSET</x:v>
      </x:c>
      <x:c r="V38" s="24" t="str">
        <x:v>CONDITIONALLY APPROVED</x:v>
      </x:c>
      <x:c r="W38" s="24" t="str">
        <x:v>Parcial</x:v>
      </x:c>
      <x:c r="X38" s="24" t="str">
        <x:v>Medium</x:v>
      </x:c>
      <x:c r="Y38" s="24" t="str">
        <x:v>Internal development; public candidate requires gate</x:v>
      </x:c>
      <x:c r="Z38" s="24" t="str">
        <x:v>H6 legal/content audit</x:v>
      </x:c>
      <x:c r="AA38" s="24" t="str">
        <x:v>VRM Games</x:v>
      </x:c>
      <x:c r="AB38" s="24" t="str">
        <x:v>No se detectó proveedor externo en la ruta; confirmar autoría por lote antes de release público.</x:v>
      </x:c>
    </x:row>
    <x:row r="39" ht="34" customHeight="1">
      <x:c r="A39" s="24" t="str">
        <x:v>INT-0035</x:v>
      </x:c>
      <x:c r="B39" s="24" t="str">
        <x:v>91fb5d72264906772aa10997a671c030</x:v>
      </x:c>
      <x:c r="C39" s="24" t="str">
        <x:v>ProductConsole.mat</x:v>
      </x:c>
      <x:c r="D39" s="24" t="str">
        <x:v>Material</x:v>
      </x:c>
      <x:c r="E39" s="24" t="str">
        <x:v>Materials</x:v>
      </x:c>
      <x:c r="F39" s="24" t="str">
        <x:v>VRM Games / Blas Luis Rocha González</x:v>
      </x:c>
      <x:c r="G39" s="24" t="str">
        <x:v>VRM Games / Blas Luis Rocha González</x:v>
      </x:c>
      <x:c r="H39" s="24" t="str">
        <x:v>Internal project production</x:v>
      </x:c>
      <x:c r="I39" s="24" t="str">
        <x:v>2026 project timeline</x:v>
      </x:c>
      <x:c r="J39" s="24" t="str">
        <x:v>Internal project IP / authorship claim</x:v>
      </x:c>
      <x:c r="K39" s="24" t="str">
        <x:v>N/A</x:v>
      </x:c>
      <x:c r="L39" s="24" t="str">
        <x:v>Source package + repository path + hash</x:v>
      </x:c>
      <x:c r="M39" s="24" t="str">
        <x:v>a5d532ea13f610139d55a058954ab6cd2a4e81e108153f743254ea062fa73613</x:v>
      </x:c>
      <x:c r="N39" s="24" t="str">
        <x:v>Assets/_Project/Art/Materials/Products/ProductConsole.mat</x:v>
      </x:c>
      <x:c r="O39" s="24" t="str">
        <x:v>91fb5d72264906772aa10997a671c030</x:v>
      </x:c>
      <x:c r="P39" s="24" t="str">
        <x:v>Sí</x:v>
      </x:c>
      <x:c r="Q39" s="24" t="str">
        <x:v>Condicionado a autoría/procedencia final</x:v>
      </x:c>
      <x:c r="R39" s="24" t="str">
        <x:v>Solo dentro del producto/build autorizado</x:v>
      </x:c>
      <x:c r="S39" s="24" t="str">
        <x:v>Crédito general del estudio; individual si aplica</x:v>
      </x:c>
      <x:c r="T39" s="24" t="str">
        <x:v>VRM Games / Blas Luis Rocha González</x:v>
      </x:c>
      <x:c r="U39" s="24" t="str">
        <x:v>CURRENT PROJECT ASSET</x:v>
      </x:c>
      <x:c r="V39" s="24" t="str">
        <x:v>CONDITIONALLY APPROVED</x:v>
      </x:c>
      <x:c r="W39" s="24" t="str">
        <x:v>Parcial</x:v>
      </x:c>
      <x:c r="X39" s="24" t="str">
        <x:v>Medium</x:v>
      </x:c>
      <x:c r="Y39" s="24" t="str">
        <x:v>Internal development; public candidate requires gate</x:v>
      </x:c>
      <x:c r="Z39" s="24" t="str">
        <x:v>H6 legal/content audit</x:v>
      </x:c>
      <x:c r="AA39" s="24" t="str">
        <x:v>VRM Games</x:v>
      </x:c>
      <x:c r="AB39" s="24" t="str">
        <x:v>No se detectó proveedor externo en la ruta; confirmar autoría por lote antes de release público.</x:v>
      </x:c>
    </x:row>
    <x:row r="40" ht="34" customHeight="1">
      <x:c r="A40" s="24" t="str">
        <x:v>INT-0036</x:v>
      </x:c>
      <x:c r="B40" s="24" t="str">
        <x:v>040fec7468929c920b836d7e60a9dbda</x:v>
      </x:c>
      <x:c r="C40" s="24" t="str">
        <x:v>ProductController.mat</x:v>
      </x:c>
      <x:c r="D40" s="24" t="str">
        <x:v>Material</x:v>
      </x:c>
      <x:c r="E40" s="24" t="str">
        <x:v>Materials</x:v>
      </x:c>
      <x:c r="F40" s="24" t="str">
        <x:v>VRM Games / Blas Luis Rocha González</x:v>
      </x:c>
      <x:c r="G40" s="24" t="str">
        <x:v>VRM Games / Blas Luis Rocha González</x:v>
      </x:c>
      <x:c r="H40" s="24" t="str">
        <x:v>Internal project production</x:v>
      </x:c>
      <x:c r="I40" s="24" t="str">
        <x:v>2026 project timeline</x:v>
      </x:c>
      <x:c r="J40" s="24" t="str">
        <x:v>Internal project IP / authorship claim</x:v>
      </x:c>
      <x:c r="K40" s="24" t="str">
        <x:v>N/A</x:v>
      </x:c>
      <x:c r="L40" s="24" t="str">
        <x:v>Source package + repository path + hash</x:v>
      </x:c>
      <x:c r="M40" s="24" t="str">
        <x:v>c31cf694323b395a0abe9064711cfde500a265bdb019814629b01eb5a4b7e652</x:v>
      </x:c>
      <x:c r="N40" s="24" t="str">
        <x:v>Assets/_Project/Art/Materials/Products/ProductController.mat</x:v>
      </x:c>
      <x:c r="O40" s="24" t="str">
        <x:v>040fec7468929c920b836d7e60a9dbda</x:v>
      </x:c>
      <x:c r="P40" s="24" t="str">
        <x:v>Sí</x:v>
      </x:c>
      <x:c r="Q40" s="24" t="str">
        <x:v>Condicionado a autoría/procedencia final</x:v>
      </x:c>
      <x:c r="R40" s="24" t="str">
        <x:v>Solo dentro del producto/build autorizado</x:v>
      </x:c>
      <x:c r="S40" s="24" t="str">
        <x:v>Crédito general del estudio; individual si aplica</x:v>
      </x:c>
      <x:c r="T40" s="24" t="str">
        <x:v>VRM Games / Blas Luis Rocha González</x:v>
      </x:c>
      <x:c r="U40" s="24" t="str">
        <x:v>CURRENT PROJECT ASSET</x:v>
      </x:c>
      <x:c r="V40" s="24" t="str">
        <x:v>CONDITIONALLY APPROVED</x:v>
      </x:c>
      <x:c r="W40" s="24" t="str">
        <x:v>Parcial</x:v>
      </x:c>
      <x:c r="X40" s="24" t="str">
        <x:v>Medium</x:v>
      </x:c>
      <x:c r="Y40" s="24" t="str">
        <x:v>Internal development; public candidate requires gate</x:v>
      </x:c>
      <x:c r="Z40" s="24" t="str">
        <x:v>H6 legal/content audit</x:v>
      </x:c>
      <x:c r="AA40" s="24" t="str">
        <x:v>VRM Games</x:v>
      </x:c>
      <x:c r="AB40" s="24" t="str">
        <x:v>No se detectó proveedor externo en la ruta; confirmar autoría por lote antes de release público.</x:v>
      </x:c>
    </x:row>
    <x:row r="41" ht="34" customHeight="1">
      <x:c r="A41" s="24" t="str">
        <x:v>INT-0037</x:v>
      </x:c>
      <x:c r="B41" s="24" t="str">
        <x:v>9cf2ce93cf9b7a3ced6951ffcf43df73</x:v>
      </x:c>
      <x:c r="C41" s="24" t="str">
        <x:v>ProductGame.mat</x:v>
      </x:c>
      <x:c r="D41" s="24" t="str">
        <x:v>Material</x:v>
      </x:c>
      <x:c r="E41" s="24" t="str">
        <x:v>Materials</x:v>
      </x:c>
      <x:c r="F41" s="24" t="str">
        <x:v>VRM Games / Blas Luis Rocha González</x:v>
      </x:c>
      <x:c r="G41" s="24" t="str">
        <x:v>VRM Games / Blas Luis Rocha González</x:v>
      </x:c>
      <x:c r="H41" s="24" t="str">
        <x:v>Internal project production</x:v>
      </x:c>
      <x:c r="I41" s="24" t="str">
        <x:v>2026 project timeline</x:v>
      </x:c>
      <x:c r="J41" s="24" t="str">
        <x:v>Internal project IP / authorship claim</x:v>
      </x:c>
      <x:c r="K41" s="24" t="str">
        <x:v>N/A</x:v>
      </x:c>
      <x:c r="L41" s="24" t="str">
        <x:v>Source package + repository path + hash</x:v>
      </x:c>
      <x:c r="M41" s="24" t="str">
        <x:v>46f739d2d6ef1d819082423a419c7992e28453c1c13420709aa4c663eed92e17</x:v>
      </x:c>
      <x:c r="N41" s="24" t="str">
        <x:v>Assets/_Project/Art/Materials/Products/ProductGame.mat</x:v>
      </x:c>
      <x:c r="O41" s="24" t="str">
        <x:v>9cf2ce93cf9b7a3ced6951ffcf43df73</x:v>
      </x:c>
      <x:c r="P41" s="24" t="str">
        <x:v>Sí</x:v>
      </x:c>
      <x:c r="Q41" s="24" t="str">
        <x:v>Condicionado a autoría/procedencia final</x:v>
      </x:c>
      <x:c r="R41" s="24" t="str">
        <x:v>Solo dentro del producto/build autorizado</x:v>
      </x:c>
      <x:c r="S41" s="24" t="str">
        <x:v>Crédito general del estudio; individual si aplica</x:v>
      </x:c>
      <x:c r="T41" s="24" t="str">
        <x:v>VRM Games / Blas Luis Rocha González</x:v>
      </x:c>
      <x:c r="U41" s="24" t="str">
        <x:v>CURRENT PROJECT ASSET</x:v>
      </x:c>
      <x:c r="V41" s="24" t="str">
        <x:v>CONDITIONALLY APPROVED</x:v>
      </x:c>
      <x:c r="W41" s="24" t="str">
        <x:v>Parcial</x:v>
      </x:c>
      <x:c r="X41" s="24" t="str">
        <x:v>Medium</x:v>
      </x:c>
      <x:c r="Y41" s="24" t="str">
        <x:v>Internal development; public candidate requires gate</x:v>
      </x:c>
      <x:c r="Z41" s="24" t="str">
        <x:v>H6 legal/content audit</x:v>
      </x:c>
      <x:c r="AA41" s="24" t="str">
        <x:v>VRM Games</x:v>
      </x:c>
      <x:c r="AB41" s="24" t="str">
        <x:v>No se detectó proveedor externo en la ruta; confirmar autoría por lote antes de release público.</x:v>
      </x:c>
    </x:row>
    <x:row r="42" ht="34" customHeight="1">
      <x:c r="A42" s="24" t="str">
        <x:v>INT-0038</x:v>
      </x:c>
      <x:c r="B42" s="24" t="str">
        <x:v>9353ad2fbbce45937735cde7a1cc2ea7</x:v>
      </x:c>
      <x:c r="C42" s="24" t="str">
        <x:v>ProductHeadset.mat</x:v>
      </x:c>
      <x:c r="D42" s="24" t="str">
        <x:v>Material</x:v>
      </x:c>
      <x:c r="E42" s="24" t="str">
        <x:v>Materials</x:v>
      </x:c>
      <x:c r="F42" s="24" t="str">
        <x:v>VRM Games / Blas Luis Rocha González</x:v>
      </x:c>
      <x:c r="G42" s="24" t="str">
        <x:v>VRM Games / Blas Luis Rocha González</x:v>
      </x:c>
      <x:c r="H42" s="24" t="str">
        <x:v>Internal project production</x:v>
      </x:c>
      <x:c r="I42" s="24" t="str">
        <x:v>2026 project timeline</x:v>
      </x:c>
      <x:c r="J42" s="24" t="str">
        <x:v>Internal project IP / authorship claim</x:v>
      </x:c>
      <x:c r="K42" s="24" t="str">
        <x:v>N/A</x:v>
      </x:c>
      <x:c r="L42" s="24" t="str">
        <x:v>Source package + repository path + hash</x:v>
      </x:c>
      <x:c r="M42" s="24" t="str">
        <x:v>5f5bd2966de5b86944b581d21d45381c1412f2623d4e087283c125ec7be3c3ea</x:v>
      </x:c>
      <x:c r="N42" s="24" t="str">
        <x:v>Assets/_Project/Art/Materials/Products/ProductHeadset.mat</x:v>
      </x:c>
      <x:c r="O42" s="24" t="str">
        <x:v>9353ad2fbbce45937735cde7a1cc2ea7</x:v>
      </x:c>
      <x:c r="P42" s="24" t="str">
        <x:v>Sí</x:v>
      </x:c>
      <x:c r="Q42" s="24" t="str">
        <x:v>Condicionado a autoría/procedencia final</x:v>
      </x:c>
      <x:c r="R42" s="24" t="str">
        <x:v>Solo dentro del producto/build autorizado</x:v>
      </x:c>
      <x:c r="S42" s="24" t="str">
        <x:v>Crédito general del estudio; individual si aplica</x:v>
      </x:c>
      <x:c r="T42" s="24" t="str">
        <x:v>VRM Games / Blas Luis Rocha González</x:v>
      </x:c>
      <x:c r="U42" s="24" t="str">
        <x:v>CURRENT PROJECT ASSET</x:v>
      </x:c>
      <x:c r="V42" s="24" t="str">
        <x:v>CONDITIONALLY APPROVED</x:v>
      </x:c>
      <x:c r="W42" s="24" t="str">
        <x:v>Parcial</x:v>
      </x:c>
      <x:c r="X42" s="24" t="str">
        <x:v>Medium</x:v>
      </x:c>
      <x:c r="Y42" s="24" t="str">
        <x:v>Internal development; public candidate requires gate</x:v>
      </x:c>
      <x:c r="Z42" s="24" t="str">
        <x:v>H6 legal/content audit</x:v>
      </x:c>
      <x:c r="AA42" s="24" t="str">
        <x:v>VRM Games</x:v>
      </x:c>
      <x:c r="AB42" s="24" t="str">
        <x:v>No se detectó proveedor externo en la ruta; confirmar autoría por lote antes de release público.</x:v>
      </x:c>
    </x:row>
    <x:row r="43" ht="34" customHeight="1">
      <x:c r="A43" s="24" t="str">
        <x:v>INT-0039</x:v>
      </x:c>
      <x:c r="B43" s="24" t="str">
        <x:v>e9a7e6ead29c07a46837f46d7f45583f</x:v>
      </x:c>
      <x:c r="C43" s="24" t="str">
        <x:v>Amber.mat</x:v>
      </x:c>
      <x:c r="D43" s="24" t="str">
        <x:v>Material</x:v>
      </x:c>
      <x:c r="E43" s="24" t="str">
        <x:v>Materials</x:v>
      </x:c>
      <x:c r="F43" s="24" t="str">
        <x:v>VRM Games / Blas Luis Rocha González</x:v>
      </x:c>
      <x:c r="G43" s="24" t="str">
        <x:v>VRM Games / Blas Luis Rocha González</x:v>
      </x:c>
      <x:c r="H43" s="24" t="str">
        <x:v>Internal project production</x:v>
      </x:c>
      <x:c r="I43" s="24" t="str">
        <x:v>2026 project timeline</x:v>
      </x:c>
      <x:c r="J43" s="24" t="str">
        <x:v>Internal project IP / authorship claim</x:v>
      </x:c>
      <x:c r="K43" s="24" t="str">
        <x:v>N/A</x:v>
      </x:c>
      <x:c r="L43" s="24" t="str">
        <x:v>Source package + repository path + hash</x:v>
      </x:c>
      <x:c r="M43" s="24" t="str">
        <x:v>0bcd14604b8bc35e0584cf663eaccc980ee39974d32a72a6ef94b55a7d438f85</x:v>
      </x:c>
      <x:c r="N43" s="24" t="str">
        <x:v>Assets/_Project/Art/Materials/Representative/Amber.mat</x:v>
      </x:c>
      <x:c r="O43" s="24" t="str">
        <x:v>e9a7e6ead29c07a46837f46d7f45583f</x:v>
      </x:c>
      <x:c r="P43" s="24" t="str">
        <x:v>Sí</x:v>
      </x:c>
      <x:c r="Q43" s="24" t="str">
        <x:v>Condicionado a autoría/procedencia final</x:v>
      </x:c>
      <x:c r="R43" s="24" t="str">
        <x:v>Solo dentro del producto/build autorizado</x:v>
      </x:c>
      <x:c r="S43" s="24" t="str">
        <x:v>Crédito general del estudio; individual si aplica</x:v>
      </x:c>
      <x:c r="T43" s="24" t="str">
        <x:v>VRM Games / Blas Luis Rocha González</x:v>
      </x:c>
      <x:c r="U43" s="24" t="str">
        <x:v>CURRENT PROJECT ASSET</x:v>
      </x:c>
      <x:c r="V43" s="24" t="str">
        <x:v>CONDITIONALLY APPROVED</x:v>
      </x:c>
      <x:c r="W43" s="24" t="str">
        <x:v>Parcial</x:v>
      </x:c>
      <x:c r="X43" s="24" t="str">
        <x:v>Medium</x:v>
      </x:c>
      <x:c r="Y43" s="24" t="str">
        <x:v>Internal development; public candidate requires gate</x:v>
      </x:c>
      <x:c r="Z43" s="24" t="str">
        <x:v>H6 legal/content audit</x:v>
      </x:c>
      <x:c r="AA43" s="24" t="str">
        <x:v>VRM Games</x:v>
      </x:c>
      <x:c r="AB43" s="24" t="str">
        <x:v>No se detectó proveedor externo en la ruta; confirmar autoría por lote antes de release público.</x:v>
      </x:c>
    </x:row>
    <x:row r="44" ht="34" customHeight="1">
      <x:c r="A44" s="24" t="str">
        <x:v>INT-0040</x:v>
      </x:c>
      <x:c r="B44" s="24" t="str">
        <x:v>5aace571ca03cfa478e96975a7ee5667</x:v>
      </x:c>
      <x:c r="C44" s="24" t="str">
        <x:v>BlueGray.mat</x:v>
      </x:c>
      <x:c r="D44" s="24" t="str">
        <x:v>Material</x:v>
      </x:c>
      <x:c r="E44" s="24" t="str">
        <x:v>Materials</x:v>
      </x:c>
      <x:c r="F44" s="24" t="str">
        <x:v>VRM Games / Blas Luis Rocha González</x:v>
      </x:c>
      <x:c r="G44" s="24" t="str">
        <x:v>VRM Games / Blas Luis Rocha González</x:v>
      </x:c>
      <x:c r="H44" s="24" t="str">
        <x:v>Internal project production</x:v>
      </x:c>
      <x:c r="I44" s="24" t="str">
        <x:v>2026 project timeline</x:v>
      </x:c>
      <x:c r="J44" s="24" t="str">
        <x:v>Internal project IP / authorship claim</x:v>
      </x:c>
      <x:c r="K44" s="24" t="str">
        <x:v>N/A</x:v>
      </x:c>
      <x:c r="L44" s="24" t="str">
        <x:v>Source package + repository path + hash</x:v>
      </x:c>
      <x:c r="M44" s="24" t="str">
        <x:v>1a58e2b7f761b298af95b342c8d6fe4b43fffbafe5f7ff1516616ba86b94c971</x:v>
      </x:c>
      <x:c r="N44" s="24" t="str">
        <x:v>Assets/_Project/Art/Materials/Representative/BlueGray.mat</x:v>
      </x:c>
      <x:c r="O44" s="24" t="str">
        <x:v>5aace571ca03cfa478e96975a7ee5667</x:v>
      </x:c>
      <x:c r="P44" s="24" t="str">
        <x:v>Sí</x:v>
      </x:c>
      <x:c r="Q44" s="24" t="str">
        <x:v>Condicionado a autoría/procedencia final</x:v>
      </x:c>
      <x:c r="R44" s="24" t="str">
        <x:v>Solo dentro del producto/build autorizado</x:v>
      </x:c>
      <x:c r="S44" s="24" t="str">
        <x:v>Crédito general del estudio; individual si aplica</x:v>
      </x:c>
      <x:c r="T44" s="24" t="str">
        <x:v>VRM Games / Blas Luis Rocha González</x:v>
      </x:c>
      <x:c r="U44" s="24" t="str">
        <x:v>CURRENT PROJECT ASSET</x:v>
      </x:c>
      <x:c r="V44" s="24" t="str">
        <x:v>CONDITIONALLY APPROVED</x:v>
      </x:c>
      <x:c r="W44" s="24" t="str">
        <x:v>Parcial</x:v>
      </x:c>
      <x:c r="X44" s="24" t="str">
        <x:v>Medium</x:v>
      </x:c>
      <x:c r="Y44" s="24" t="str">
        <x:v>Internal development; public candidate requires gate</x:v>
      </x:c>
      <x:c r="Z44" s="24" t="str">
        <x:v>H6 legal/content audit</x:v>
      </x:c>
      <x:c r="AA44" s="24" t="str">
        <x:v>VRM Games</x:v>
      </x:c>
      <x:c r="AB44" s="24" t="str">
        <x:v>No se detectó proveedor externo en la ruta; confirmar autoría por lote antes de release público.</x:v>
      </x:c>
    </x:row>
    <x:row r="45" ht="34" customHeight="1">
      <x:c r="A45" s="24" t="str">
        <x:v>INT-0041</x:v>
      </x:c>
      <x:c r="B45" s="24" t="str">
        <x:v>fabc9b019c8a2e0459d607e051183e8f</x:v>
      </x:c>
      <x:c r="C45" s="24" t="str">
        <x:v>Cardboard.mat</x:v>
      </x:c>
      <x:c r="D45" s="24" t="str">
        <x:v>Material</x:v>
      </x:c>
      <x:c r="E45" s="24" t="str">
        <x:v>Materials</x:v>
      </x:c>
      <x:c r="F45" s="24" t="str">
        <x:v>VRM Games / Blas Luis Rocha González</x:v>
      </x:c>
      <x:c r="G45" s="24" t="str">
        <x:v>VRM Games / Blas Luis Rocha González</x:v>
      </x:c>
      <x:c r="H45" s="24" t="str">
        <x:v>Internal project production</x:v>
      </x:c>
      <x:c r="I45" s="24" t="str">
        <x:v>2026 project timeline</x:v>
      </x:c>
      <x:c r="J45" s="24" t="str">
        <x:v>Internal project IP / authorship claim</x:v>
      </x:c>
      <x:c r="K45" s="24" t="str">
        <x:v>N/A</x:v>
      </x:c>
      <x:c r="L45" s="24" t="str">
        <x:v>Source package + repository path + hash</x:v>
      </x:c>
      <x:c r="M45" s="24" t="str">
        <x:v>0c00085dd7b187af1493205d396d6964fa254e51548c508244ba804061ea5908</x:v>
      </x:c>
      <x:c r="N45" s="24" t="str">
        <x:v>Assets/_Project/Art/Materials/Representative/Cardboard.mat</x:v>
      </x:c>
      <x:c r="O45" s="24" t="str">
        <x:v>fabc9b019c8a2e0459d607e051183e8f</x:v>
      </x:c>
      <x:c r="P45" s="24" t="str">
        <x:v>Sí</x:v>
      </x:c>
      <x:c r="Q45" s="24" t="str">
        <x:v>Condicionado a autoría/procedencia final</x:v>
      </x:c>
      <x:c r="R45" s="24" t="str">
        <x:v>Solo dentro del producto/build autorizado</x:v>
      </x:c>
      <x:c r="S45" s="24" t="str">
        <x:v>Crédito general del estudio; individual si aplica</x:v>
      </x:c>
      <x:c r="T45" s="24" t="str">
        <x:v>VRM Games / Blas Luis Rocha González</x:v>
      </x:c>
      <x:c r="U45" s="24" t="str">
        <x:v>CURRENT PROJECT ASSET</x:v>
      </x:c>
      <x:c r="V45" s="24" t="str">
        <x:v>CONDITIONALLY APPROVED</x:v>
      </x:c>
      <x:c r="W45" s="24" t="str">
        <x:v>Parcial</x:v>
      </x:c>
      <x:c r="X45" s="24" t="str">
        <x:v>Medium</x:v>
      </x:c>
      <x:c r="Y45" s="24" t="str">
        <x:v>Internal development; public candidate requires gate</x:v>
      </x:c>
      <x:c r="Z45" s="24" t="str">
        <x:v>H6 legal/content audit</x:v>
      </x:c>
      <x:c r="AA45" s="24" t="str">
        <x:v>VRM Games</x:v>
      </x:c>
      <x:c r="AB45" s="24" t="str">
        <x:v>No se detectó proveedor externo en la ruta; confirmar autoría por lote antes de release público.</x:v>
      </x:c>
    </x:row>
    <x:row r="46" ht="34" customHeight="1">
      <x:c r="A46" s="24" t="str">
        <x:v>INT-0042</x:v>
      </x:c>
      <x:c r="B46" s="24" t="str">
        <x:v>bc3fad4479f8bb641a96ab3d7412ab6a</x:v>
      </x:c>
      <x:c r="C46" s="24" t="str">
        <x:v>Cyan.mat</x:v>
      </x:c>
      <x:c r="D46" s="24" t="str">
        <x:v>Material</x:v>
      </x:c>
      <x:c r="E46" s="24" t="str">
        <x:v>Materials</x:v>
      </x:c>
      <x:c r="F46" s="24" t="str">
        <x:v>VRM Games / Blas Luis Rocha González</x:v>
      </x:c>
      <x:c r="G46" s="24" t="str">
        <x:v>VRM Games / Blas Luis Rocha González</x:v>
      </x:c>
      <x:c r="H46" s="24" t="str">
        <x:v>Internal project production</x:v>
      </x:c>
      <x:c r="I46" s="24" t="str">
        <x:v>2026 project timeline</x:v>
      </x:c>
      <x:c r="J46" s="24" t="str">
        <x:v>Internal project IP / authorship claim</x:v>
      </x:c>
      <x:c r="K46" s="24" t="str">
        <x:v>N/A</x:v>
      </x:c>
      <x:c r="L46" s="24" t="str">
        <x:v>Source package + repository path + hash</x:v>
      </x:c>
      <x:c r="M46" s="24" t="str">
        <x:v>52da5b53e2e42ac5b572a1731e2ed7fe3e6f792b2b6b625a15f42c30d742e07c</x:v>
      </x:c>
      <x:c r="N46" s="24" t="str">
        <x:v>Assets/_Project/Art/Materials/Representative/Cyan.mat</x:v>
      </x:c>
      <x:c r="O46" s="24" t="str">
        <x:v>bc3fad4479f8bb641a96ab3d7412ab6a</x:v>
      </x:c>
      <x:c r="P46" s="24" t="str">
        <x:v>Sí</x:v>
      </x:c>
      <x:c r="Q46" s="24" t="str">
        <x:v>Condicionado a autoría/procedencia final</x:v>
      </x:c>
      <x:c r="R46" s="24" t="str">
        <x:v>Solo dentro del producto/build autorizado</x:v>
      </x:c>
      <x:c r="S46" s="24" t="str">
        <x:v>Crédito general del estudio; individual si aplica</x:v>
      </x:c>
      <x:c r="T46" s="24" t="str">
        <x:v>VRM Games / Blas Luis Rocha González</x:v>
      </x:c>
      <x:c r="U46" s="24" t="str">
        <x:v>CURRENT PROJECT ASSET</x:v>
      </x:c>
      <x:c r="V46" s="24" t="str">
        <x:v>CONDITIONALLY APPROVED</x:v>
      </x:c>
      <x:c r="W46" s="24" t="str">
        <x:v>Parcial</x:v>
      </x:c>
      <x:c r="X46" s="24" t="str">
        <x:v>Medium</x:v>
      </x:c>
      <x:c r="Y46" s="24" t="str">
        <x:v>Internal development; public candidate requires gate</x:v>
      </x:c>
      <x:c r="Z46" s="24" t="str">
        <x:v>H6 legal/content audit</x:v>
      </x:c>
      <x:c r="AA46" s="24" t="str">
        <x:v>VRM Games</x:v>
      </x:c>
      <x:c r="AB46" s="24" t="str">
        <x:v>No se detectó proveedor externo en la ruta; confirmar autoría por lote antes de release público.</x:v>
      </x:c>
    </x:row>
    <x:row r="47" ht="34" customHeight="1">
      <x:c r="A47" s="24" t="str">
        <x:v>INT-0043</x:v>
      </x:c>
      <x:c r="B47" s="24" t="str">
        <x:v>5478184d5a9c7a847924b46f518809ab</x:v>
      </x:c>
      <x:c r="C47" s="24" t="str">
        <x:v>CyanEmissive.mat</x:v>
      </x:c>
      <x:c r="D47" s="24" t="str">
        <x:v>Material</x:v>
      </x:c>
      <x:c r="E47" s="24" t="str">
        <x:v>Materials</x:v>
      </x:c>
      <x:c r="F47" s="24" t="str">
        <x:v>VRM Games / Blas Luis Rocha González</x:v>
      </x:c>
      <x:c r="G47" s="24" t="str">
        <x:v>VRM Games / Blas Luis Rocha González</x:v>
      </x:c>
      <x:c r="H47" s="24" t="str">
        <x:v>Internal project production</x:v>
      </x:c>
      <x:c r="I47" s="24" t="str">
        <x:v>2026 project timeline</x:v>
      </x:c>
      <x:c r="J47" s="24" t="str">
        <x:v>Internal project IP / authorship claim</x:v>
      </x:c>
      <x:c r="K47" s="24" t="str">
        <x:v>N/A</x:v>
      </x:c>
      <x:c r="L47" s="24" t="str">
        <x:v>Source package + repository path + hash</x:v>
      </x:c>
      <x:c r="M47" s="24" t="str">
        <x:v>3821918a11574ed5ce7ef04d06cdd109122d25573b25997a1b01f3c2c936d64a</x:v>
      </x:c>
      <x:c r="N47" s="24" t="str">
        <x:v>Assets/_Project/Art/Materials/Representative/CyanEmissive.mat</x:v>
      </x:c>
      <x:c r="O47" s="24" t="str">
        <x:v>5478184d5a9c7a847924b46f518809ab</x:v>
      </x:c>
      <x:c r="P47" s="24" t="str">
        <x:v>Sí</x:v>
      </x:c>
      <x:c r="Q47" s="24" t="str">
        <x:v>Condicionado a autoría/procedencia final</x:v>
      </x:c>
      <x:c r="R47" s="24" t="str">
        <x:v>Solo dentro del producto/build autorizado</x:v>
      </x:c>
      <x:c r="S47" s="24" t="str">
        <x:v>Crédito general del estudio; individual si aplica</x:v>
      </x:c>
      <x:c r="T47" s="24" t="str">
        <x:v>VRM Games / Blas Luis Rocha González</x:v>
      </x:c>
      <x:c r="U47" s="24" t="str">
        <x:v>CURRENT PROJECT ASSET</x:v>
      </x:c>
      <x:c r="V47" s="24" t="str">
        <x:v>CONDITIONALLY APPROVED</x:v>
      </x:c>
      <x:c r="W47" s="24" t="str">
        <x:v>Parcial</x:v>
      </x:c>
      <x:c r="X47" s="24" t="str">
        <x:v>Medium</x:v>
      </x:c>
      <x:c r="Y47" s="24" t="str">
        <x:v>Internal development; public candidate requires gate</x:v>
      </x:c>
      <x:c r="Z47" s="24" t="str">
        <x:v>H6 legal/content audit</x:v>
      </x:c>
      <x:c r="AA47" s="24" t="str">
        <x:v>VRM Games</x:v>
      </x:c>
      <x:c r="AB47" s="24" t="str">
        <x:v>No se detectó proveedor externo en la ruta; confirmar autoría por lote antes de release público.</x:v>
      </x:c>
    </x:row>
    <x:row r="48" ht="34" customHeight="1">
      <x:c r="A48" s="24" t="str">
        <x:v>INT-0044</x:v>
      </x:c>
      <x:c r="B48" s="24" t="str">
        <x:v>fd2d442dc1f37c54184a14e0f0ccff98</x:v>
      </x:c>
      <x:c r="C48" s="24" t="str">
        <x:v>DarkSurface.mat</x:v>
      </x:c>
      <x:c r="D48" s="24" t="str">
        <x:v>Material</x:v>
      </x:c>
      <x:c r="E48" s="24" t="str">
        <x:v>Materials</x:v>
      </x:c>
      <x:c r="F48" s="24" t="str">
        <x:v>VRM Games / Blas Luis Rocha González</x:v>
      </x:c>
      <x:c r="G48" s="24" t="str">
        <x:v>VRM Games / Blas Luis Rocha González</x:v>
      </x:c>
      <x:c r="H48" s="24" t="str">
        <x:v>Internal project production</x:v>
      </x:c>
      <x:c r="I48" s="24" t="str">
        <x:v>2026 project timeline</x:v>
      </x:c>
      <x:c r="J48" s="24" t="str">
        <x:v>Internal project IP / authorship claim</x:v>
      </x:c>
      <x:c r="K48" s="24" t="str">
        <x:v>N/A</x:v>
      </x:c>
      <x:c r="L48" s="24" t="str">
        <x:v>Source package + repository path + hash</x:v>
      </x:c>
      <x:c r="M48" s="24" t="str">
        <x:v>e1d42c315bee2b70323ff002dfd39e3fdac8c4f80cdd3b2fdec6efa69221457d</x:v>
      </x:c>
      <x:c r="N48" s="24" t="str">
        <x:v>Assets/_Project/Art/Materials/Representative/DarkSurface.mat</x:v>
      </x:c>
      <x:c r="O48" s="24" t="str">
        <x:v>fd2d442dc1f37c54184a14e0f0ccff98</x:v>
      </x:c>
      <x:c r="P48" s="24" t="str">
        <x:v>Sí</x:v>
      </x:c>
      <x:c r="Q48" s="24" t="str">
        <x:v>Condicionado a autoría/procedencia final</x:v>
      </x:c>
      <x:c r="R48" s="24" t="str">
        <x:v>Solo dentro del producto/build autorizado</x:v>
      </x:c>
      <x:c r="S48" s="24" t="str">
        <x:v>Crédito general del estudio; individual si aplica</x:v>
      </x:c>
      <x:c r="T48" s="24" t="str">
        <x:v>VRM Games / Blas Luis Rocha González</x:v>
      </x:c>
      <x:c r="U48" s="24" t="str">
        <x:v>CURRENT PROJECT ASSET</x:v>
      </x:c>
      <x:c r="V48" s="24" t="str">
        <x:v>CONDITIONALLY APPROVED</x:v>
      </x:c>
      <x:c r="W48" s="24" t="str">
        <x:v>Parcial</x:v>
      </x:c>
      <x:c r="X48" s="24" t="str">
        <x:v>Medium</x:v>
      </x:c>
      <x:c r="Y48" s="24" t="str">
        <x:v>Internal development; public candidate requires gate</x:v>
      </x:c>
      <x:c r="Z48" s="24" t="str">
        <x:v>H6 legal/content audit</x:v>
      </x:c>
      <x:c r="AA48" s="24" t="str">
        <x:v>VRM Games</x:v>
      </x:c>
      <x:c r="AB48" s="24" t="str">
        <x:v>No se detectó proveedor externo en la ruta; confirmar autoría por lote antes de release público.</x:v>
      </x:c>
    </x:row>
    <x:row r="49" ht="34" customHeight="1">
      <x:c r="A49" s="24" t="str">
        <x:v>INT-0045</x:v>
      </x:c>
      <x:c r="B49" s="24" t="str">
        <x:v>c5ce338d6ad18e44898ebe940b4b9cd3</x:v>
      </x:c>
      <x:c r="C49" s="24" t="str">
        <x:v>Glass.mat</x:v>
      </x:c>
      <x:c r="D49" s="24" t="str">
        <x:v>Material</x:v>
      </x:c>
      <x:c r="E49" s="24" t="str">
        <x:v>Materials</x:v>
      </x:c>
      <x:c r="F49" s="24" t="str">
        <x:v>VRM Games / Blas Luis Rocha González</x:v>
      </x:c>
      <x:c r="G49" s="24" t="str">
        <x:v>VRM Games / Blas Luis Rocha González</x:v>
      </x:c>
      <x:c r="H49" s="24" t="str">
        <x:v>Internal project production</x:v>
      </x:c>
      <x:c r="I49" s="24" t="str">
        <x:v>2026 project timeline</x:v>
      </x:c>
      <x:c r="J49" s="24" t="str">
        <x:v>Internal project IP / authorship claim</x:v>
      </x:c>
      <x:c r="K49" s="24" t="str">
        <x:v>N/A</x:v>
      </x:c>
      <x:c r="L49" s="24" t="str">
        <x:v>Source package + repository path + hash</x:v>
      </x:c>
      <x:c r="M49" s="24" t="str">
        <x:v>548acbafff9f28c1a688b49fa6fc705c65122b14b05a15f870dbf16a43b39201</x:v>
      </x:c>
      <x:c r="N49" s="24" t="str">
        <x:v>Assets/_Project/Art/Materials/Representative/Glass.mat</x:v>
      </x:c>
      <x:c r="O49" s="24" t="str">
        <x:v>c5ce338d6ad18e44898ebe940b4b9cd3</x:v>
      </x:c>
      <x:c r="P49" s="24" t="str">
        <x:v>Sí</x:v>
      </x:c>
      <x:c r="Q49" s="24" t="str">
        <x:v>Condicionado a autoría/procedencia final</x:v>
      </x:c>
      <x:c r="R49" s="24" t="str">
        <x:v>Solo dentro del producto/build autorizado</x:v>
      </x:c>
      <x:c r="S49" s="24" t="str">
        <x:v>Crédito general del estudio; individual si aplica</x:v>
      </x:c>
      <x:c r="T49" s="24" t="str">
        <x:v>VRM Games / Blas Luis Rocha González</x:v>
      </x:c>
      <x:c r="U49" s="24" t="str">
        <x:v>CURRENT PROJECT ASSET</x:v>
      </x:c>
      <x:c r="V49" s="24" t="str">
        <x:v>CONDITIONALLY APPROVED</x:v>
      </x:c>
      <x:c r="W49" s="24" t="str">
        <x:v>Parcial</x:v>
      </x:c>
      <x:c r="X49" s="24" t="str">
        <x:v>Medium</x:v>
      </x:c>
      <x:c r="Y49" s="24" t="str">
        <x:v>Internal development; public candidate requires gate</x:v>
      </x:c>
      <x:c r="Z49" s="24" t="str">
        <x:v>H6 legal/content audit</x:v>
      </x:c>
      <x:c r="AA49" s="24" t="str">
        <x:v>VRM Games</x:v>
      </x:c>
      <x:c r="AB49" s="24" t="str">
        <x:v>No se detectó proveedor externo en la ruta; confirmar autoría por lote antes de release público.</x:v>
      </x:c>
    </x:row>
    <x:row r="50" ht="34" customHeight="1">
      <x:c r="A50" s="24" t="str">
        <x:v>INT-0046</x:v>
      </x:c>
      <x:c r="B50" s="24" t="str">
        <x:v>c3ef741ec3b5b5144a95f70d7cf83b1a</x:v>
      </x:c>
      <x:c r="C50" s="24" t="str">
        <x:v>Graphite.mat</x:v>
      </x:c>
      <x:c r="D50" s="24" t="str">
        <x:v>Material</x:v>
      </x:c>
      <x:c r="E50" s="24" t="str">
        <x:v>Materials</x:v>
      </x:c>
      <x:c r="F50" s="24" t="str">
        <x:v>VRM Games / Blas Luis Rocha González</x:v>
      </x:c>
      <x:c r="G50" s="24" t="str">
        <x:v>VRM Games / Blas Luis Rocha González</x:v>
      </x:c>
      <x:c r="H50" s="24" t="str">
        <x:v>Internal project production</x:v>
      </x:c>
      <x:c r="I50" s="24" t="str">
        <x:v>2026 project timeline</x:v>
      </x:c>
      <x:c r="J50" s="24" t="str">
        <x:v>Internal project IP / authorship claim</x:v>
      </x:c>
      <x:c r="K50" s="24" t="str">
        <x:v>N/A</x:v>
      </x:c>
      <x:c r="L50" s="24" t="str">
        <x:v>Source package + repository path + hash</x:v>
      </x:c>
      <x:c r="M50" s="24" t="str">
        <x:v>c48c8dd86340f75e1655a1a8771c13549a172d00d688301f6e2e5700fe5b6e89</x:v>
      </x:c>
      <x:c r="N50" s="24" t="str">
        <x:v>Assets/_Project/Art/Materials/Representative/Graphite.mat</x:v>
      </x:c>
      <x:c r="O50" s="24" t="str">
        <x:v>c3ef741ec3b5b5144a95f70d7cf83b1a</x:v>
      </x:c>
      <x:c r="P50" s="24" t="str">
        <x:v>Sí</x:v>
      </x:c>
      <x:c r="Q50" s="24" t="str">
        <x:v>Condicionado a autoría/procedencia final</x:v>
      </x:c>
      <x:c r="R50" s="24" t="str">
        <x:v>Solo dentro del producto/build autorizado</x:v>
      </x:c>
      <x:c r="S50" s="24" t="str">
        <x:v>Crédito general del estudio; individual si aplica</x:v>
      </x:c>
      <x:c r="T50" s="24" t="str">
        <x:v>VRM Games / Blas Luis Rocha González</x:v>
      </x:c>
      <x:c r="U50" s="24" t="str">
        <x:v>CURRENT PROJECT ASSET</x:v>
      </x:c>
      <x:c r="V50" s="24" t="str">
        <x:v>CONDITIONALLY APPROVED</x:v>
      </x:c>
      <x:c r="W50" s="24" t="str">
        <x:v>Parcial</x:v>
      </x:c>
      <x:c r="X50" s="24" t="str">
        <x:v>Medium</x:v>
      </x:c>
      <x:c r="Y50" s="24" t="str">
        <x:v>Internal development; public candidate requires gate</x:v>
      </x:c>
      <x:c r="Z50" s="24" t="str">
        <x:v>H6 legal/content audit</x:v>
      </x:c>
      <x:c r="AA50" s="24" t="str">
        <x:v>VRM Games</x:v>
      </x:c>
      <x:c r="AB50" s="24" t="str">
        <x:v>No se detectó proveedor externo en la ruta; confirmar autoría por lote antes de release público.</x:v>
      </x:c>
    </x:row>
    <x:row r="51" ht="34" customHeight="1">
      <x:c r="A51" s="24" t="str">
        <x:v>INT-0047</x:v>
      </x:c>
      <x:c r="B51" s="24" t="str">
        <x:v>7825ba7dd6bdae94e9269af8b70ab14f</x:v>
      </x:c>
      <x:c r="C51" s="24" t="str">
        <x:v>LightNeutral.mat</x:v>
      </x:c>
      <x:c r="D51" s="24" t="str">
        <x:v>Material</x:v>
      </x:c>
      <x:c r="E51" s="24" t="str">
        <x:v>Materials</x:v>
      </x:c>
      <x:c r="F51" s="24" t="str">
        <x:v>VRM Games / Blas Luis Rocha González</x:v>
      </x:c>
      <x:c r="G51" s="24" t="str">
        <x:v>VRM Games / Blas Luis Rocha González</x:v>
      </x:c>
      <x:c r="H51" s="24" t="str">
        <x:v>Internal project production</x:v>
      </x:c>
      <x:c r="I51" s="24" t="str">
        <x:v>2026 project timeline</x:v>
      </x:c>
      <x:c r="J51" s="24" t="str">
        <x:v>Internal project IP / authorship claim</x:v>
      </x:c>
      <x:c r="K51" s="24" t="str">
        <x:v>N/A</x:v>
      </x:c>
      <x:c r="L51" s="24" t="str">
        <x:v>Source package + repository path + hash</x:v>
      </x:c>
      <x:c r="M51" s="24" t="str">
        <x:v>779143a44de3039e8a74f894b2d43b8a2196972e4c4e34652856772c635f4466</x:v>
      </x:c>
      <x:c r="N51" s="24" t="str">
        <x:v>Assets/_Project/Art/Materials/Representative/LightNeutral.mat</x:v>
      </x:c>
      <x:c r="O51" s="24" t="str">
        <x:v>7825ba7dd6bdae94e9269af8b70ab14f</x:v>
      </x:c>
      <x:c r="P51" s="24" t="str">
        <x:v>Sí</x:v>
      </x:c>
      <x:c r="Q51" s="24" t="str">
        <x:v>Condicionado a autoría/procedencia final</x:v>
      </x:c>
      <x:c r="R51" s="24" t="str">
        <x:v>Solo dentro del producto/build autorizado</x:v>
      </x:c>
      <x:c r="S51" s="24" t="str">
        <x:v>Crédito general del estudio; individual si aplica</x:v>
      </x:c>
      <x:c r="T51" s="24" t="str">
        <x:v>VRM Games / Blas Luis Rocha González</x:v>
      </x:c>
      <x:c r="U51" s="24" t="str">
        <x:v>CURRENT PROJECT ASSET</x:v>
      </x:c>
      <x:c r="V51" s="24" t="str">
        <x:v>CONDITIONALLY APPROVED</x:v>
      </x:c>
      <x:c r="W51" s="24" t="str">
        <x:v>Parcial</x:v>
      </x:c>
      <x:c r="X51" s="24" t="str">
        <x:v>Medium</x:v>
      </x:c>
      <x:c r="Y51" s="24" t="str">
        <x:v>Internal development; public candidate requires gate</x:v>
      </x:c>
      <x:c r="Z51" s="24" t="str">
        <x:v>H6 legal/content audit</x:v>
      </x:c>
      <x:c r="AA51" s="24" t="str">
        <x:v>VRM Games</x:v>
      </x:c>
      <x:c r="AB51" s="24" t="str">
        <x:v>No se detectó proveedor externo en la ruta; confirmar autoría por lote antes de release público.</x:v>
      </x:c>
    </x:row>
    <x:row r="52" ht="34" customHeight="1">
      <x:c r="A52" s="24" t="str">
        <x:v>INT-0048</x:v>
      </x:c>
      <x:c r="B52" s="24" t="str">
        <x:v>66acee09c9b77a4448e19515fb417ec9</x:v>
      </x:c>
      <x:c r="C52" s="24" t="str">
        <x:v>Red.mat</x:v>
      </x:c>
      <x:c r="D52" s="24" t="str">
        <x:v>Material</x:v>
      </x:c>
      <x:c r="E52" s="24" t="str">
        <x:v>Materials</x:v>
      </x:c>
      <x:c r="F52" s="24" t="str">
        <x:v>VRM Games / Blas Luis Rocha González</x:v>
      </x:c>
      <x:c r="G52" s="24" t="str">
        <x:v>VRM Games / Blas Luis Rocha González</x:v>
      </x:c>
      <x:c r="H52" s="24" t="str">
        <x:v>Internal project production</x:v>
      </x:c>
      <x:c r="I52" s="24" t="str">
        <x:v>2026 project timeline</x:v>
      </x:c>
      <x:c r="J52" s="24" t="str">
        <x:v>Internal project IP / authorship claim</x:v>
      </x:c>
      <x:c r="K52" s="24" t="str">
        <x:v>N/A</x:v>
      </x:c>
      <x:c r="L52" s="24" t="str">
        <x:v>Source package + repository path + hash</x:v>
      </x:c>
      <x:c r="M52" s="24" t="str">
        <x:v>a0369df4d4440f79644fc3809cf70c129cc518ac72a1cf8ba4cf89696640c58c</x:v>
      </x:c>
      <x:c r="N52" s="24" t="str">
        <x:v>Assets/_Project/Art/Materials/Representative/Red.mat</x:v>
      </x:c>
      <x:c r="O52" s="24" t="str">
        <x:v>66acee09c9b77a4448e19515fb417ec9</x:v>
      </x:c>
      <x:c r="P52" s="24" t="str">
        <x:v>Sí</x:v>
      </x:c>
      <x:c r="Q52" s="24" t="str">
        <x:v>Condicionado a autoría/procedencia final</x:v>
      </x:c>
      <x:c r="R52" s="24" t="str">
        <x:v>Solo dentro del producto/build autorizado</x:v>
      </x:c>
      <x:c r="S52" s="24" t="str">
        <x:v>Crédito general del estudio; individual si aplica</x:v>
      </x:c>
      <x:c r="T52" s="24" t="str">
        <x:v>VRM Games / Blas Luis Rocha González</x:v>
      </x:c>
      <x:c r="U52" s="24" t="str">
        <x:v>CURRENT PROJECT ASSET</x:v>
      </x:c>
      <x:c r="V52" s="24" t="str">
        <x:v>CONDITIONALLY APPROVED</x:v>
      </x:c>
      <x:c r="W52" s="24" t="str">
        <x:v>Parcial</x:v>
      </x:c>
      <x:c r="X52" s="24" t="str">
        <x:v>Medium</x:v>
      </x:c>
      <x:c r="Y52" s="24" t="str">
        <x:v>Internal development; public candidate requires gate</x:v>
      </x:c>
      <x:c r="Z52" s="24" t="str">
        <x:v>H6 legal/content audit</x:v>
      </x:c>
      <x:c r="AA52" s="24" t="str">
        <x:v>VRM Games</x:v>
      </x:c>
      <x:c r="AB52" s="24" t="str">
        <x:v>No se detectó proveedor externo en la ruta; confirmar autoría por lote antes de release público.</x:v>
      </x:c>
    </x:row>
    <x:row r="53" ht="34" customHeight="1">
      <x:c r="A53" s="24" t="str">
        <x:v>INT-0049</x:v>
      </x:c>
      <x:c r="B53" s="24" t="str">
        <x:v>deadbc48b5d1847419439baba3abb446</x:v>
      </x:c>
      <x:c r="C53" s="24" t="str">
        <x:v>VRMGreen.mat</x:v>
      </x:c>
      <x:c r="D53" s="24" t="str">
        <x:v>Material</x:v>
      </x:c>
      <x:c r="E53" s="24" t="str">
        <x:v>Materials</x:v>
      </x:c>
      <x:c r="F53" s="24" t="str">
        <x:v>VRM Games / Blas Luis Rocha González</x:v>
      </x:c>
      <x:c r="G53" s="24" t="str">
        <x:v>VRM Games / Blas Luis Rocha González</x:v>
      </x:c>
      <x:c r="H53" s="24" t="str">
        <x:v>Internal project production</x:v>
      </x:c>
      <x:c r="I53" s="24" t="str">
        <x:v>2026 project timeline</x:v>
      </x:c>
      <x:c r="J53" s="24" t="str">
        <x:v>Internal project IP / authorship claim</x:v>
      </x:c>
      <x:c r="K53" s="24" t="str">
        <x:v>N/A</x:v>
      </x:c>
      <x:c r="L53" s="24" t="str">
        <x:v>Source package + repository path + hash</x:v>
      </x:c>
      <x:c r="M53" s="24" t="str">
        <x:v>c744fc6073c10e4941b6d4b30107319f5e997cc1b13425dcba98b76397da66a1</x:v>
      </x:c>
      <x:c r="N53" s="24" t="str">
        <x:v>Assets/_Project/Art/Materials/Representative/VRMGreen.mat</x:v>
      </x:c>
      <x:c r="O53" s="24" t="str">
        <x:v>deadbc48b5d1847419439baba3abb446</x:v>
      </x:c>
      <x:c r="P53" s="24" t="str">
        <x:v>Sí</x:v>
      </x:c>
      <x:c r="Q53" s="24" t="str">
        <x:v>Condicionado a autoría/procedencia final</x:v>
      </x:c>
      <x:c r="R53" s="24" t="str">
        <x:v>Solo dentro del producto/build autorizado</x:v>
      </x:c>
      <x:c r="S53" s="24" t="str">
        <x:v>Crédito general del estudio; individual si aplica</x:v>
      </x:c>
      <x:c r="T53" s="24" t="str">
        <x:v>VRM Games / Blas Luis Rocha González</x:v>
      </x:c>
      <x:c r="U53" s="24" t="str">
        <x:v>CURRENT PROJECT ASSET</x:v>
      </x:c>
      <x:c r="V53" s="24" t="str">
        <x:v>CONDITIONALLY APPROVED</x:v>
      </x:c>
      <x:c r="W53" s="24" t="str">
        <x:v>Parcial</x:v>
      </x:c>
      <x:c r="X53" s="24" t="str">
        <x:v>Medium</x:v>
      </x:c>
      <x:c r="Y53" s="24" t="str">
        <x:v>Internal development; public candidate requires gate</x:v>
      </x:c>
      <x:c r="Z53" s="24" t="str">
        <x:v>H6 legal/content audit</x:v>
      </x:c>
      <x:c r="AA53" s="24" t="str">
        <x:v>VRM Games</x:v>
      </x:c>
      <x:c r="AB53" s="24" t="str">
        <x:v>No se detectó proveedor externo en la ruta; confirmar autoría por lote antes de release público.</x:v>
      </x:c>
    </x:row>
    <x:row r="54" ht="34" customHeight="1">
      <x:c r="A54" s="24" t="str">
        <x:v>INT-0050</x:v>
      </x:c>
      <x:c r="B54" s="24" t="str">
        <x:v>0b36bf9c749064348bba97bbec2942c9</x:v>
      </x:c>
      <x:c r="C54" s="24" t="str">
        <x:v>VRMGreenEmissive.mat</x:v>
      </x:c>
      <x:c r="D54" s="24" t="str">
        <x:v>Material</x:v>
      </x:c>
      <x:c r="E54" s="24" t="str">
        <x:v>Materials</x:v>
      </x:c>
      <x:c r="F54" s="24" t="str">
        <x:v>VRM Games / Blas Luis Rocha González</x:v>
      </x:c>
      <x:c r="G54" s="24" t="str">
        <x:v>VRM Games / Blas Luis Rocha González</x:v>
      </x:c>
      <x:c r="H54" s="24" t="str">
        <x:v>Internal project production</x:v>
      </x:c>
      <x:c r="I54" s="24" t="str">
        <x:v>2026 project timeline</x:v>
      </x:c>
      <x:c r="J54" s="24" t="str">
        <x:v>Internal project IP / authorship claim</x:v>
      </x:c>
      <x:c r="K54" s="24" t="str">
        <x:v>N/A</x:v>
      </x:c>
      <x:c r="L54" s="24" t="str">
        <x:v>Source package + repository path + hash</x:v>
      </x:c>
      <x:c r="M54" s="24" t="str">
        <x:v>b2cf4e50c17cd0adc30088d0086652ed551d3d4fff636222a711eb801b406a6a</x:v>
      </x:c>
      <x:c r="N54" s="24" t="str">
        <x:v>Assets/_Project/Art/Materials/Representative/VRMGreenEmissive.mat</x:v>
      </x:c>
      <x:c r="O54" s="24" t="str">
        <x:v>0b36bf9c749064348bba97bbec2942c9</x:v>
      </x:c>
      <x:c r="P54" s="24" t="str">
        <x:v>Sí</x:v>
      </x:c>
      <x:c r="Q54" s="24" t="str">
        <x:v>Condicionado a autoría/procedencia final</x:v>
      </x:c>
      <x:c r="R54" s="24" t="str">
        <x:v>Solo dentro del producto/build autorizado</x:v>
      </x:c>
      <x:c r="S54" s="24" t="str">
        <x:v>Crédito general del estudio; individual si aplica</x:v>
      </x:c>
      <x:c r="T54" s="24" t="str">
        <x:v>VRM Games / Blas Luis Rocha González</x:v>
      </x:c>
      <x:c r="U54" s="24" t="str">
        <x:v>CURRENT PROJECT ASSET</x:v>
      </x:c>
      <x:c r="V54" s="24" t="str">
        <x:v>CONDITIONALLY APPROVED</x:v>
      </x:c>
      <x:c r="W54" s="24" t="str">
        <x:v>Parcial</x:v>
      </x:c>
      <x:c r="X54" s="24" t="str">
        <x:v>Medium</x:v>
      </x:c>
      <x:c r="Y54" s="24" t="str">
        <x:v>Internal development; public candidate requires gate</x:v>
      </x:c>
      <x:c r="Z54" s="24" t="str">
        <x:v>H6 legal/content audit</x:v>
      </x:c>
      <x:c r="AA54" s="24" t="str">
        <x:v>VRM Games</x:v>
      </x:c>
      <x:c r="AB54" s="24" t="str">
        <x:v>No se detectó proveedor externo en la ruta; confirmar autoría por lote antes de release público.</x:v>
      </x:c>
    </x:row>
    <x:row r="55" ht="34" customHeight="1">
      <x:c r="A55" s="24" t="str">
        <x:v>INT-0051</x:v>
      </x:c>
      <x:c r="B55" s="24" t="str">
        <x:v>f29c9f5017f38184bb87ca20fcb77015</x:v>
      </x:c>
      <x:c r="C55" s="24" t="str">
        <x:v>WarmWood.mat</x:v>
      </x:c>
      <x:c r="D55" s="24" t="str">
        <x:v>Material</x:v>
      </x:c>
      <x:c r="E55" s="24" t="str">
        <x:v>Materials</x:v>
      </x:c>
      <x:c r="F55" s="24" t="str">
        <x:v>VRM Games / Blas Luis Rocha González</x:v>
      </x:c>
      <x:c r="G55" s="24" t="str">
        <x:v>VRM Games / Blas Luis Rocha González</x:v>
      </x:c>
      <x:c r="H55" s="24" t="str">
        <x:v>Internal project production</x:v>
      </x:c>
      <x:c r="I55" s="24" t="str">
        <x:v>2026 project timeline</x:v>
      </x:c>
      <x:c r="J55" s="24" t="str">
        <x:v>Internal project IP / authorship claim</x:v>
      </x:c>
      <x:c r="K55" s="24" t="str">
        <x:v>N/A</x:v>
      </x:c>
      <x:c r="L55" s="24" t="str">
        <x:v>Source package + repository path + hash</x:v>
      </x:c>
      <x:c r="M55" s="24" t="str">
        <x:v>69090921169d5b51a2d6541b371b19397e54a3ad7daeba396db35406c620aab8</x:v>
      </x:c>
      <x:c r="N55" s="24" t="str">
        <x:v>Assets/_Project/Art/Materials/Representative/WarmWood.mat</x:v>
      </x:c>
      <x:c r="O55" s="24" t="str">
        <x:v>f29c9f5017f38184bb87ca20fcb77015</x:v>
      </x:c>
      <x:c r="P55" s="24" t="str">
        <x:v>Sí</x:v>
      </x:c>
      <x:c r="Q55" s="24" t="str">
        <x:v>Condicionado a autoría/procedencia final</x:v>
      </x:c>
      <x:c r="R55" s="24" t="str">
        <x:v>Solo dentro del producto/build autorizado</x:v>
      </x:c>
      <x:c r="S55" s="24" t="str">
        <x:v>Crédito general del estudio; individual si aplica</x:v>
      </x:c>
      <x:c r="T55" s="24" t="str">
        <x:v>VRM Games / Blas Luis Rocha González</x:v>
      </x:c>
      <x:c r="U55" s="24" t="str">
        <x:v>CURRENT PROJECT ASSET</x:v>
      </x:c>
      <x:c r="V55" s="24" t="str">
        <x:v>CONDITIONALLY APPROVED</x:v>
      </x:c>
      <x:c r="W55" s="24" t="str">
        <x:v>Parcial</x:v>
      </x:c>
      <x:c r="X55" s="24" t="str">
        <x:v>Medium</x:v>
      </x:c>
      <x:c r="Y55" s="24" t="str">
        <x:v>Internal development; public candidate requires gate</x:v>
      </x:c>
      <x:c r="Z55" s="24" t="str">
        <x:v>H6 legal/content audit</x:v>
      </x:c>
      <x:c r="AA55" s="24" t="str">
        <x:v>VRM Games</x:v>
      </x:c>
      <x:c r="AB55" s="24" t="str">
        <x:v>No se detectó proveedor externo en la ruta; confirmar autoría por lote antes de release público.</x:v>
      </x:c>
    </x:row>
    <x:row r="56" ht="34" customHeight="1">
      <x:c r="A56" s="24" t="str">
        <x:v>INT-0052</x:v>
      </x:c>
      <x:c r="B56" s="24" t="str">
        <x:v>93e1a822e9cc2bd45a73e82e53b83c83</x:v>
      </x:c>
      <x:c r="C56" s="24" t="str">
        <x:v>CC_S4_GhostInvalid.mat</x:v>
      </x:c>
      <x:c r="D56" s="24" t="str">
        <x:v>Material</x:v>
      </x:c>
      <x:c r="E56" s="24" t="str">
        <x:v>Materials</x:v>
      </x:c>
      <x:c r="F56" s="24" t="str">
        <x:v>VRM Games / Blas Luis Rocha González</x:v>
      </x:c>
      <x:c r="G56" s="24" t="str">
        <x:v>VRM Games / Blas Luis Rocha González</x:v>
      </x:c>
      <x:c r="H56" s="24" t="str">
        <x:v>Internal project production</x:v>
      </x:c>
      <x:c r="I56" s="24" t="str">
        <x:v>2026 project timeline</x:v>
      </x:c>
      <x:c r="J56" s="24" t="str">
        <x:v>Internal project IP / authorship claim</x:v>
      </x:c>
      <x:c r="K56" s="24" t="str">
        <x:v>N/A</x:v>
      </x:c>
      <x:c r="L56" s="24" t="str">
        <x:v>Source package + repository path + hash</x:v>
      </x:c>
      <x:c r="M56" s="24" t="str">
        <x:v>b2eae76ee2d085b9b57f3cc3f4ed318c3b9daa3dfce6af08acd57dda17e908f1</x:v>
      </x:c>
      <x:c r="N56" s="24" t="str">
        <x:v>Assets/_Project/Art/Materials/Technical/CC_S4_GhostInvalid.mat</x:v>
      </x:c>
      <x:c r="O56" s="24" t="str">
        <x:v>93e1a822e9cc2bd45a73e82e53b83c83</x:v>
      </x:c>
      <x:c r="P56" s="24" t="str">
        <x:v>Sí</x:v>
      </x:c>
      <x:c r="Q56" s="24" t="str">
        <x:v>Condicionado a autoría/procedencia final</x:v>
      </x:c>
      <x:c r="R56" s="24" t="str">
        <x:v>Solo dentro del producto/build autorizado</x:v>
      </x:c>
      <x:c r="S56" s="24" t="str">
        <x:v>Crédito general del estudio; individual si aplica</x:v>
      </x:c>
      <x:c r="T56" s="24" t="str">
        <x:v>VRM Games / Blas Luis Rocha González</x:v>
      </x:c>
      <x:c r="U56" s="24" t="str">
        <x:v>CURRENT PROJECT ASSET</x:v>
      </x:c>
      <x:c r="V56" s="24" t="str">
        <x:v>CONDITIONALLY APPROVED</x:v>
      </x:c>
      <x:c r="W56" s="24" t="str">
        <x:v>Parcial</x:v>
      </x:c>
      <x:c r="X56" s="24" t="str">
        <x:v>Medium</x:v>
      </x:c>
      <x:c r="Y56" s="24" t="str">
        <x:v>Internal development; public candidate requires gate</x:v>
      </x:c>
      <x:c r="Z56" s="24" t="str">
        <x:v>H6 legal/content audit</x:v>
      </x:c>
      <x:c r="AA56" s="24" t="str">
        <x:v>VRM Games</x:v>
      </x:c>
      <x:c r="AB56" s="24" t="str">
        <x:v>No se detectó proveedor externo en la ruta; confirmar autoría por lote antes de release público.</x:v>
      </x:c>
    </x:row>
    <x:row r="57" ht="34" customHeight="1">
      <x:c r="A57" s="24" t="str">
        <x:v>INT-0053</x:v>
      </x:c>
      <x:c r="B57" s="24" t="str">
        <x:v>2c5dceb53ebc55240bae2b0418adb5c4</x:v>
      </x:c>
      <x:c r="C57" s="24" t="str">
        <x:v>CC_S4_GhostValid.mat</x:v>
      </x:c>
      <x:c r="D57" s="24" t="str">
        <x:v>Material</x:v>
      </x:c>
      <x:c r="E57" s="24" t="str">
        <x:v>Materials</x:v>
      </x:c>
      <x:c r="F57" s="24" t="str">
        <x:v>VRM Games / Blas Luis Rocha González</x:v>
      </x:c>
      <x:c r="G57" s="24" t="str">
        <x:v>VRM Games / Blas Luis Rocha González</x:v>
      </x:c>
      <x:c r="H57" s="24" t="str">
        <x:v>Internal project production</x:v>
      </x:c>
      <x:c r="I57" s="24" t="str">
        <x:v>2026 project timeline</x:v>
      </x:c>
      <x:c r="J57" s="24" t="str">
        <x:v>Internal project IP / authorship claim</x:v>
      </x:c>
      <x:c r="K57" s="24" t="str">
        <x:v>N/A</x:v>
      </x:c>
      <x:c r="L57" s="24" t="str">
        <x:v>Source package + repository path + hash</x:v>
      </x:c>
      <x:c r="M57" s="24" t="str">
        <x:v>e3f2c7f0cf18ae9e21c5dc6973baa7aa6579fd4befbaa1e803758c4aa683da56</x:v>
      </x:c>
      <x:c r="N57" s="24" t="str">
        <x:v>Assets/_Project/Art/Materials/Technical/CC_S4_GhostValid.mat</x:v>
      </x:c>
      <x:c r="O57" s="24" t="str">
        <x:v>2c5dceb53ebc55240bae2b0418adb5c4</x:v>
      </x:c>
      <x:c r="P57" s="24" t="str">
        <x:v>Sí</x:v>
      </x:c>
      <x:c r="Q57" s="24" t="str">
        <x:v>Condicionado a autoría/procedencia final</x:v>
      </x:c>
      <x:c r="R57" s="24" t="str">
        <x:v>Solo dentro del producto/build autorizado</x:v>
      </x:c>
      <x:c r="S57" s="24" t="str">
        <x:v>Crédito general del estudio; individual si aplica</x:v>
      </x:c>
      <x:c r="T57" s="24" t="str">
        <x:v>VRM Games / Blas Luis Rocha González</x:v>
      </x:c>
      <x:c r="U57" s="24" t="str">
        <x:v>CURRENT PROJECT ASSET</x:v>
      </x:c>
      <x:c r="V57" s="24" t="str">
        <x:v>CONDITIONALLY APPROVED</x:v>
      </x:c>
      <x:c r="W57" s="24" t="str">
        <x:v>Parcial</x:v>
      </x:c>
      <x:c r="X57" s="24" t="str">
        <x:v>Medium</x:v>
      </x:c>
      <x:c r="Y57" s="24" t="str">
        <x:v>Internal development; public candidate requires gate</x:v>
      </x:c>
      <x:c r="Z57" s="24" t="str">
        <x:v>H6 legal/content audit</x:v>
      </x:c>
      <x:c r="AA57" s="24" t="str">
        <x:v>VRM Games</x:v>
      </x:c>
      <x:c r="AB57" s="24" t="str">
        <x:v>No se detectó proveedor externo en la ruta; confirmar autoría por lote antes de release público.</x:v>
      </x:c>
    </x:row>
    <x:row r="58" ht="34" customHeight="1">
      <x:c r="A58" s="24" t="str">
        <x:v>INT-0054</x:v>
      </x:c>
      <x:c r="B58" s="24" t="str">
        <x:v>73280ea062c7a6940aa81ddf62e17915</x:v>
      </x:c>
      <x:c r="C58" s="24" t="str">
        <x:v>CC_S4_PlacedTechnical.mat</x:v>
      </x:c>
      <x:c r="D58" s="24" t="str">
        <x:v>Material</x:v>
      </x:c>
      <x:c r="E58" s="24" t="str">
        <x:v>Materials</x:v>
      </x:c>
      <x:c r="F58" s="24" t="str">
        <x:v>VRM Games / Blas Luis Rocha González</x:v>
      </x:c>
      <x:c r="G58" s="24" t="str">
        <x:v>VRM Games / Blas Luis Rocha González</x:v>
      </x:c>
      <x:c r="H58" s="24" t="str">
        <x:v>Internal project production</x:v>
      </x:c>
      <x:c r="I58" s="24" t="str">
        <x:v>2026 project timeline</x:v>
      </x:c>
      <x:c r="J58" s="24" t="str">
        <x:v>Internal project IP / authorship claim</x:v>
      </x:c>
      <x:c r="K58" s="24" t="str">
        <x:v>N/A</x:v>
      </x:c>
      <x:c r="L58" s="24" t="str">
        <x:v>Source package + repository path + hash</x:v>
      </x:c>
      <x:c r="M58" s="24" t="str">
        <x:v>117f9aa38ed541305668a41db94d33e22ea3c0f14979b6ea758ef5a57b42ee8c</x:v>
      </x:c>
      <x:c r="N58" s="24" t="str">
        <x:v>Assets/_Project/Art/Materials/Technical/CC_S4_PlacedTechnical.mat</x:v>
      </x:c>
      <x:c r="O58" s="24" t="str">
        <x:v>73280ea062c7a6940aa81ddf62e17915</x:v>
      </x:c>
      <x:c r="P58" s="24" t="str">
        <x:v>Sí</x:v>
      </x:c>
      <x:c r="Q58" s="24" t="str">
        <x:v>Condicionado a autoría/procedencia final</x:v>
      </x:c>
      <x:c r="R58" s="24" t="str">
        <x:v>Solo dentro del producto/build autorizado</x:v>
      </x:c>
      <x:c r="S58" s="24" t="str">
        <x:v>Crédito general del estudio; individual si aplica</x:v>
      </x:c>
      <x:c r="T58" s="24" t="str">
        <x:v>VRM Games / Blas Luis Rocha González</x:v>
      </x:c>
      <x:c r="U58" s="24" t="str">
        <x:v>CURRENT PROJECT ASSET</x:v>
      </x:c>
      <x:c r="V58" s="24" t="str">
        <x:v>CONDITIONALLY APPROVED</x:v>
      </x:c>
      <x:c r="W58" s="24" t="str">
        <x:v>Parcial</x:v>
      </x:c>
      <x:c r="X58" s="24" t="str">
        <x:v>Medium</x:v>
      </x:c>
      <x:c r="Y58" s="24" t="str">
        <x:v>Internal development; public candidate requires gate</x:v>
      </x:c>
      <x:c r="Z58" s="24" t="str">
        <x:v>H6 legal/content audit</x:v>
      </x:c>
      <x:c r="AA58" s="24" t="str">
        <x:v>VRM Games</x:v>
      </x:c>
      <x:c r="AB58" s="24" t="str">
        <x:v>No se detectó proveedor externo en la ruta; confirmar autoría por lote antes de release público.</x:v>
      </x:c>
    </x:row>
    <x:row r="59" ht="34" customHeight="1">
      <x:c r="A59" s="24" t="str">
        <x:v>INT-0055</x:v>
      </x:c>
      <x:c r="B59" s="24" t="str">
        <x:v>d97a3c4e4a87ce14cbdac1f7b41cbf4c</x:v>
      </x:c>
      <x:c r="C59" s="24" t="str">
        <x:v>CC_S5_AccessAnchorMarker.mat</x:v>
      </x:c>
      <x:c r="D59" s="24" t="str">
        <x:v>Material</x:v>
      </x:c>
      <x:c r="E59" s="24" t="str">
        <x:v>Materials</x:v>
      </x:c>
      <x:c r="F59" s="24" t="str">
        <x:v>VRM Games / Blas Luis Rocha González</x:v>
      </x:c>
      <x:c r="G59" s="24" t="str">
        <x:v>VRM Games / Blas Luis Rocha González</x:v>
      </x:c>
      <x:c r="H59" s="24" t="str">
        <x:v>Internal project production</x:v>
      </x:c>
      <x:c r="I59" s="24" t="str">
        <x:v>2026 project timeline</x:v>
      </x:c>
      <x:c r="J59" s="24" t="str">
        <x:v>Internal project IP / authorship claim</x:v>
      </x:c>
      <x:c r="K59" s="24" t="str">
        <x:v>N/A</x:v>
      </x:c>
      <x:c r="L59" s="24" t="str">
        <x:v>Source package + repository path + hash</x:v>
      </x:c>
      <x:c r="M59" s="24" t="str">
        <x:v>afe9f7e50e51b143a38a867d6c5ede653a9d5563203fa1ba80144c7cacbdbf07</x:v>
      </x:c>
      <x:c r="N59" s="24" t="str">
        <x:v>Assets/_Project/Art/Materials/Technical/CC_S5_AccessAnchorMarker.mat</x:v>
      </x:c>
      <x:c r="O59" s="24" t="str">
        <x:v>d97a3c4e4a87ce14cbdac1f7b41cbf4c</x:v>
      </x:c>
      <x:c r="P59" s="24" t="str">
        <x:v>Sí</x:v>
      </x:c>
      <x:c r="Q59" s="24" t="str">
        <x:v>Condicionado a autoría/procedencia final</x:v>
      </x:c>
      <x:c r="R59" s="24" t="str">
        <x:v>Solo dentro del producto/build autorizado</x:v>
      </x:c>
      <x:c r="S59" s="24" t="str">
        <x:v>Crédito general del estudio; individual si aplica</x:v>
      </x:c>
      <x:c r="T59" s="24" t="str">
        <x:v>VRM Games / Blas Luis Rocha González</x:v>
      </x:c>
      <x:c r="U59" s="24" t="str">
        <x:v>CURRENT PROJECT ASSET</x:v>
      </x:c>
      <x:c r="V59" s="24" t="str">
        <x:v>CONDITIONALLY APPROVED</x:v>
      </x:c>
      <x:c r="W59" s="24" t="str">
        <x:v>Parcial</x:v>
      </x:c>
      <x:c r="X59" s="24" t="str">
        <x:v>Medium</x:v>
      </x:c>
      <x:c r="Y59" s="24" t="str">
        <x:v>Internal development; public candidate requires gate</x:v>
      </x:c>
      <x:c r="Z59" s="24" t="str">
        <x:v>H6 legal/content audit</x:v>
      </x:c>
      <x:c r="AA59" s="24" t="str">
        <x:v>VRM Games</x:v>
      </x:c>
      <x:c r="AB59" s="24" t="str">
        <x:v>No se detectó proveedor externo en la ruta; confirmar autoría por lote antes de release público.</x:v>
      </x:c>
    </x:row>
    <x:row r="60" ht="34" customHeight="1">
      <x:c r="A60" s="24" t="str">
        <x:v>INT-0056</x:v>
      </x:c>
      <x:c r="B60" s="24" t="str">
        <x:v>a43d2c00f454bf844b1ee7275211c2bd</x:v>
      </x:c>
      <x:c r="C60" s="24" t="str">
        <x:v>CC_S5_EntranceReserveMarker.mat</x:v>
      </x:c>
      <x:c r="D60" s="24" t="str">
        <x:v>Material</x:v>
      </x:c>
      <x:c r="E60" s="24" t="str">
        <x:v>Materials</x:v>
      </x:c>
      <x:c r="F60" s="24" t="str">
        <x:v>VRM Games / Blas Luis Rocha González</x:v>
      </x:c>
      <x:c r="G60" s="24" t="str">
        <x:v>VRM Games / Blas Luis Rocha González</x:v>
      </x:c>
      <x:c r="H60" s="24" t="str">
        <x:v>Internal project production</x:v>
      </x:c>
      <x:c r="I60" s="24" t="str">
        <x:v>2026 project timeline</x:v>
      </x:c>
      <x:c r="J60" s="24" t="str">
        <x:v>Internal project IP / authorship claim</x:v>
      </x:c>
      <x:c r="K60" s="24" t="str">
        <x:v>N/A</x:v>
      </x:c>
      <x:c r="L60" s="24" t="str">
        <x:v>Source package + repository path + hash</x:v>
      </x:c>
      <x:c r="M60" s="24" t="str">
        <x:v>3810beff98bc2bbc41be26404d0d3587450ce4f49f082406407e3adbadee0491</x:v>
      </x:c>
      <x:c r="N60" s="24" t="str">
        <x:v>Assets/_Project/Art/Materials/Technical/CC_S5_EntranceReserveMarker.mat</x:v>
      </x:c>
      <x:c r="O60" s="24" t="str">
        <x:v>a43d2c00f454bf844b1ee7275211c2bd</x:v>
      </x:c>
      <x:c r="P60" s="24" t="str">
        <x:v>Sí</x:v>
      </x:c>
      <x:c r="Q60" s="24" t="str">
        <x:v>Condicionado a autoría/procedencia final</x:v>
      </x:c>
      <x:c r="R60" s="24" t="str">
        <x:v>Solo dentro del producto/build autorizado</x:v>
      </x:c>
      <x:c r="S60" s="24" t="str">
        <x:v>Crédito general del estudio; individual si aplica</x:v>
      </x:c>
      <x:c r="T60" s="24" t="str">
        <x:v>VRM Games / Blas Luis Rocha González</x:v>
      </x:c>
      <x:c r="U60" s="24" t="str">
        <x:v>CURRENT PROJECT ASSET</x:v>
      </x:c>
      <x:c r="V60" s="24" t="str">
        <x:v>CONDITIONALLY APPROVED</x:v>
      </x:c>
      <x:c r="W60" s="24" t="str">
        <x:v>Parcial</x:v>
      </x:c>
      <x:c r="X60" s="24" t="str">
        <x:v>Medium</x:v>
      </x:c>
      <x:c r="Y60" s="24" t="str">
        <x:v>Internal development; public candidate requires gate</x:v>
      </x:c>
      <x:c r="Z60" s="24" t="str">
        <x:v>H6 legal/content audit</x:v>
      </x:c>
      <x:c r="AA60" s="24" t="str">
        <x:v>VRM Games</x:v>
      </x:c>
      <x:c r="AB60" s="24" t="str">
        <x:v>No se detectó proveedor externo en la ruta; confirmar autoría por lote antes de release público.</x:v>
      </x:c>
    </x:row>
    <x:row r="61" ht="34" customHeight="1">
      <x:c r="A61" s="24" t="str">
        <x:v>INT-0057</x:v>
      </x:c>
      <x:c r="B61" s="24" t="str">
        <x:v>d430dbea45d18d54fa22f394bb09e5e8</x:v>
      </x:c>
      <x:c r="C61" s="24" t="str">
        <x:v>CC_S5_PlacedTechnical.mat</x:v>
      </x:c>
      <x:c r="D61" s="24" t="str">
        <x:v>Material</x:v>
      </x:c>
      <x:c r="E61" s="24" t="str">
        <x:v>Materials</x:v>
      </x:c>
      <x:c r="F61" s="24" t="str">
        <x:v>VRM Games / Blas Luis Rocha González</x:v>
      </x:c>
      <x:c r="G61" s="24" t="str">
        <x:v>VRM Games / Blas Luis Rocha González</x:v>
      </x:c>
      <x:c r="H61" s="24" t="str">
        <x:v>Internal project production</x:v>
      </x:c>
      <x:c r="I61" s="24" t="str">
        <x:v>2026 project timeline</x:v>
      </x:c>
      <x:c r="J61" s="24" t="str">
        <x:v>Internal project IP / authorship claim</x:v>
      </x:c>
      <x:c r="K61" s="24" t="str">
        <x:v>N/A</x:v>
      </x:c>
      <x:c r="L61" s="24" t="str">
        <x:v>Source package + repository path + hash</x:v>
      </x:c>
      <x:c r="M61" s="24" t="str">
        <x:v>602eee0ebba6317d58f1d353572c096d5883aca1198b4e13fda6abbe1aa3a352</x:v>
      </x:c>
      <x:c r="N61" s="24" t="str">
        <x:v>Assets/_Project/Art/Materials/Technical/CC_S5_PlacedTechnical.mat</x:v>
      </x:c>
      <x:c r="O61" s="24" t="str">
        <x:v>d430dbea45d18d54fa22f394bb09e5e8</x:v>
      </x:c>
      <x:c r="P61" s="24" t="str">
        <x:v>Sí</x:v>
      </x:c>
      <x:c r="Q61" s="24" t="str">
        <x:v>Condicionado a autoría/procedencia final</x:v>
      </x:c>
      <x:c r="R61" s="24" t="str">
        <x:v>Solo dentro del producto/build autorizado</x:v>
      </x:c>
      <x:c r="S61" s="24" t="str">
        <x:v>Crédito general del estudio; individual si aplica</x:v>
      </x:c>
      <x:c r="T61" s="24" t="str">
        <x:v>VRM Games / Blas Luis Rocha González</x:v>
      </x:c>
      <x:c r="U61" s="24" t="str">
        <x:v>CURRENT PROJECT ASSET</x:v>
      </x:c>
      <x:c r="V61" s="24" t="str">
        <x:v>CONDITIONALLY APPROVED</x:v>
      </x:c>
      <x:c r="W61" s="24" t="str">
        <x:v>Parcial</x:v>
      </x:c>
      <x:c r="X61" s="24" t="str">
        <x:v>Medium</x:v>
      </x:c>
      <x:c r="Y61" s="24" t="str">
        <x:v>Internal development; public candidate requires gate</x:v>
      </x:c>
      <x:c r="Z61" s="24" t="str">
        <x:v>H6 legal/content audit</x:v>
      </x:c>
      <x:c r="AA61" s="24" t="str">
        <x:v>VRM Games</x:v>
      </x:c>
      <x:c r="AB61" s="24" t="str">
        <x:v>No se detectó proveedor externo en la ruta; confirmar autoría por lote antes de release público.</x:v>
      </x:c>
    </x:row>
    <x:row r="62" ht="34" customHeight="1">
      <x:c r="A62" s="24" t="str">
        <x:v>INT-0058</x:v>
      </x:c>
      <x:c r="B62" s="24" t="str">
        <x:v>7a6d13ecba35b6142833314c6d3dd4e3</x:v>
      </x:c>
      <x:c r="C62" s="24" t="str">
        <x:v>CC_S5_PlacementInvalid.mat</x:v>
      </x:c>
      <x:c r="D62" s="24" t="str">
        <x:v>Material</x:v>
      </x:c>
      <x:c r="E62" s="24" t="str">
        <x:v>Materials</x:v>
      </x:c>
      <x:c r="F62" s="24" t="str">
        <x:v>VRM Games / Blas Luis Rocha González</x:v>
      </x:c>
      <x:c r="G62" s="24" t="str">
        <x:v>VRM Games / Blas Luis Rocha González</x:v>
      </x:c>
      <x:c r="H62" s="24" t="str">
        <x:v>Internal project production</x:v>
      </x:c>
      <x:c r="I62" s="24" t="str">
        <x:v>2026 project timeline</x:v>
      </x:c>
      <x:c r="J62" s="24" t="str">
        <x:v>Internal project IP / authorship claim</x:v>
      </x:c>
      <x:c r="K62" s="24" t="str">
        <x:v>N/A</x:v>
      </x:c>
      <x:c r="L62" s="24" t="str">
        <x:v>Source package + repository path + hash</x:v>
      </x:c>
      <x:c r="M62" s="24" t="str">
        <x:v>39bdb2a5a81c07ace4f937cd41a6f0b83a06e3e11144c95126d33717d8f2bfb8</x:v>
      </x:c>
      <x:c r="N62" s="24" t="str">
        <x:v>Assets/_Project/Art/Materials/Technical/CC_S5_PlacementInvalid.mat</x:v>
      </x:c>
      <x:c r="O62" s="24" t="str">
        <x:v>7a6d13ecba35b6142833314c6d3dd4e3</x:v>
      </x:c>
      <x:c r="P62" s="24" t="str">
        <x:v>Sí</x:v>
      </x:c>
      <x:c r="Q62" s="24" t="str">
        <x:v>Condicionado a autoría/procedencia final</x:v>
      </x:c>
      <x:c r="R62" s="24" t="str">
        <x:v>Solo dentro del producto/build autorizado</x:v>
      </x:c>
      <x:c r="S62" s="24" t="str">
        <x:v>Crédito general del estudio; individual si aplica</x:v>
      </x:c>
      <x:c r="T62" s="24" t="str">
        <x:v>VRM Games / Blas Luis Rocha González</x:v>
      </x:c>
      <x:c r="U62" s="24" t="str">
        <x:v>CURRENT PROJECT ASSET</x:v>
      </x:c>
      <x:c r="V62" s="24" t="str">
        <x:v>CONDITIONALLY APPROVED</x:v>
      </x:c>
      <x:c r="W62" s="24" t="str">
        <x:v>Parcial</x:v>
      </x:c>
      <x:c r="X62" s="24" t="str">
        <x:v>Medium</x:v>
      </x:c>
      <x:c r="Y62" s="24" t="str">
        <x:v>Internal development; public candidate requires gate</x:v>
      </x:c>
      <x:c r="Z62" s="24" t="str">
        <x:v>H6 legal/content audit</x:v>
      </x:c>
      <x:c r="AA62" s="24" t="str">
        <x:v>VRM Games</x:v>
      </x:c>
      <x:c r="AB62" s="24" t="str">
        <x:v>No se detectó proveedor externo en la ruta; confirmar autoría por lote antes de release público.</x:v>
      </x:c>
    </x:row>
    <x:row r="63" ht="34" customHeight="1">
      <x:c r="A63" s="24" t="str">
        <x:v>INT-0059</x:v>
      </x:c>
      <x:c r="B63" s="24" t="str">
        <x:v>0b21e154d6a431344bce6ed394378c0b</x:v>
      </x:c>
      <x:c r="C63" s="24" t="str">
        <x:v>CC_S5_PlacementValid.mat</x:v>
      </x:c>
      <x:c r="D63" s="24" t="str">
        <x:v>Material</x:v>
      </x:c>
      <x:c r="E63" s="24" t="str">
        <x:v>Materials</x:v>
      </x:c>
      <x:c r="F63" s="24" t="str">
        <x:v>VRM Games / Blas Luis Rocha González</x:v>
      </x:c>
      <x:c r="G63" s="24" t="str">
        <x:v>VRM Games / Blas Luis Rocha González</x:v>
      </x:c>
      <x:c r="H63" s="24" t="str">
        <x:v>Internal project production</x:v>
      </x:c>
      <x:c r="I63" s="24" t="str">
        <x:v>2026 project timeline</x:v>
      </x:c>
      <x:c r="J63" s="24" t="str">
        <x:v>Internal project IP / authorship claim</x:v>
      </x:c>
      <x:c r="K63" s="24" t="str">
        <x:v>N/A</x:v>
      </x:c>
      <x:c r="L63" s="24" t="str">
        <x:v>Source package + repository path + hash</x:v>
      </x:c>
      <x:c r="M63" s="24" t="str">
        <x:v>c1f1d2674bef8bca1ea0b4e4c32e4b5358cb564e6b4f05606b4fe3777bd6064a</x:v>
      </x:c>
      <x:c r="N63" s="24" t="str">
        <x:v>Assets/_Project/Art/Materials/Technical/CC_S5_PlacementValid.mat</x:v>
      </x:c>
      <x:c r="O63" s="24" t="str">
        <x:v>0b21e154d6a431344bce6ed394378c0b</x:v>
      </x:c>
      <x:c r="P63" s="24" t="str">
        <x:v>Sí</x:v>
      </x:c>
      <x:c r="Q63" s="24" t="str">
        <x:v>Condicionado a autoría/procedencia final</x:v>
      </x:c>
      <x:c r="R63" s="24" t="str">
        <x:v>Solo dentro del producto/build autorizado</x:v>
      </x:c>
      <x:c r="S63" s="24" t="str">
        <x:v>Crédito general del estudio; individual si aplica</x:v>
      </x:c>
      <x:c r="T63" s="24" t="str">
        <x:v>VRM Games / Blas Luis Rocha González</x:v>
      </x:c>
      <x:c r="U63" s="24" t="str">
        <x:v>CURRENT PROJECT ASSET</x:v>
      </x:c>
      <x:c r="V63" s="24" t="str">
        <x:v>CONDITIONALLY APPROVED</x:v>
      </x:c>
      <x:c r="W63" s="24" t="str">
        <x:v>Parcial</x:v>
      </x:c>
      <x:c r="X63" s="24" t="str">
        <x:v>Medium</x:v>
      </x:c>
      <x:c r="Y63" s="24" t="str">
        <x:v>Internal development; public candidate requires gate</x:v>
      </x:c>
      <x:c r="Z63" s="24" t="str">
        <x:v>H6 legal/content audit</x:v>
      </x:c>
      <x:c r="AA63" s="24" t="str">
        <x:v>VRM Games</x:v>
      </x:c>
      <x:c r="AB63" s="24" t="str">
        <x:v>No se detectó proveedor externo en la ruta; confirmar autoría por lote antes de release público.</x:v>
      </x:c>
    </x:row>
    <x:row r="64" ht="34" customHeight="1">
      <x:c r="A64" s="24" t="str">
        <x:v>INT-0060</x:v>
      </x:c>
      <x:c r="B64" s="24" t="str">
        <x:v>b96b73b4ca6f8e141abf7154d79f03f1</x:v>
      </x:c>
      <x:c r="C64" s="24" t="str">
        <x:v>CC_S5_StoreEntranceTechnical.mat</x:v>
      </x:c>
      <x:c r="D64" s="24" t="str">
        <x:v>Material</x:v>
      </x:c>
      <x:c r="E64" s="24" t="str">
        <x:v>Materials</x:v>
      </x:c>
      <x:c r="F64" s="24" t="str">
        <x:v>VRM Games / Blas Luis Rocha González</x:v>
      </x:c>
      <x:c r="G64" s="24" t="str">
        <x:v>VRM Games / Blas Luis Rocha González</x:v>
      </x:c>
      <x:c r="H64" s="24" t="str">
        <x:v>Internal project production</x:v>
      </x:c>
      <x:c r="I64" s="24" t="str">
        <x:v>2026 project timeline</x:v>
      </x:c>
      <x:c r="J64" s="24" t="str">
        <x:v>Internal project IP / authorship claim</x:v>
      </x:c>
      <x:c r="K64" s="24" t="str">
        <x:v>N/A</x:v>
      </x:c>
      <x:c r="L64" s="24" t="str">
        <x:v>Source package + repository path + hash</x:v>
      </x:c>
      <x:c r="M64" s="24" t="str">
        <x:v>b600db18248169c160b26714eebcf2c5d98d2a919bedd5f60526d7faa96eb82c</x:v>
      </x:c>
      <x:c r="N64" s="24" t="str">
        <x:v>Assets/_Project/Art/Materials/Technical/CC_S5_StoreEntranceTechnical.mat</x:v>
      </x:c>
      <x:c r="O64" s="24" t="str">
        <x:v>b96b73b4ca6f8e141abf7154d79f03f1</x:v>
      </x:c>
      <x:c r="P64" s="24" t="str">
        <x:v>Sí</x:v>
      </x:c>
      <x:c r="Q64" s="24" t="str">
        <x:v>Condicionado a autoría/procedencia final</x:v>
      </x:c>
      <x:c r="R64" s="24" t="str">
        <x:v>Solo dentro del producto/build autorizado</x:v>
      </x:c>
      <x:c r="S64" s="24" t="str">
        <x:v>Crédito general del estudio; individual si aplica</x:v>
      </x:c>
      <x:c r="T64" s="24" t="str">
        <x:v>VRM Games / Blas Luis Rocha González</x:v>
      </x:c>
      <x:c r="U64" s="24" t="str">
        <x:v>CURRENT PROJECT ASSET</x:v>
      </x:c>
      <x:c r="V64" s="24" t="str">
        <x:v>CONDITIONALLY APPROVED</x:v>
      </x:c>
      <x:c r="W64" s="24" t="str">
        <x:v>Parcial</x:v>
      </x:c>
      <x:c r="X64" s="24" t="str">
        <x:v>Medium</x:v>
      </x:c>
      <x:c r="Y64" s="24" t="str">
        <x:v>Internal development; public candidate requires gate</x:v>
      </x:c>
      <x:c r="Z64" s="24" t="str">
        <x:v>H6 legal/content audit</x:v>
      </x:c>
      <x:c r="AA64" s="24" t="str">
        <x:v>VRM Games</x:v>
      </x:c>
      <x:c r="AB64" s="24" t="str">
        <x:v>No se detectó proveedor externo en la ruta; confirmar autoría por lote antes de release público.</x:v>
      </x:c>
    </x:row>
    <x:row r="65" ht="34" customHeight="1">
      <x:c r="A65" s="24" t="str">
        <x:v>INT-0061</x:v>
      </x:c>
      <x:c r="B65" s="24" t="str">
        <x:v>dc20a3078d485984f9c7a9d258600732</x:v>
      </x:c>
      <x:c r="C65" s="24" t="str">
        <x:v>CC_S5_StoreFloorTechnical.mat</x:v>
      </x:c>
      <x:c r="D65" s="24" t="str">
        <x:v>Material</x:v>
      </x:c>
      <x:c r="E65" s="24" t="str">
        <x:v>Materials</x:v>
      </x:c>
      <x:c r="F65" s="24" t="str">
        <x:v>VRM Games / Blas Luis Rocha González</x:v>
      </x:c>
      <x:c r="G65" s="24" t="str">
        <x:v>VRM Games / Blas Luis Rocha González</x:v>
      </x:c>
      <x:c r="H65" s="24" t="str">
        <x:v>Internal project production</x:v>
      </x:c>
      <x:c r="I65" s="24" t="str">
        <x:v>2026 project timeline</x:v>
      </x:c>
      <x:c r="J65" s="24" t="str">
        <x:v>Internal project IP / authorship claim</x:v>
      </x:c>
      <x:c r="K65" s="24" t="str">
        <x:v>N/A</x:v>
      </x:c>
      <x:c r="L65" s="24" t="str">
        <x:v>Source package + repository path + hash</x:v>
      </x:c>
      <x:c r="M65" s="24" t="str">
        <x:v>194810c1b0699d9f7366c1b64c0dca214a042282fe753d38e306ac2a286b97c5</x:v>
      </x:c>
      <x:c r="N65" s="24" t="str">
        <x:v>Assets/_Project/Art/Materials/Technical/CC_S5_StoreFloorTechnical.mat</x:v>
      </x:c>
      <x:c r="O65" s="24" t="str">
        <x:v>dc20a3078d485984f9c7a9d258600732</x:v>
      </x:c>
      <x:c r="P65" s="24" t="str">
        <x:v>Sí</x:v>
      </x:c>
      <x:c r="Q65" s="24" t="str">
        <x:v>Condicionado a autoría/procedencia final</x:v>
      </x:c>
      <x:c r="R65" s="24" t="str">
        <x:v>Solo dentro del producto/build autorizado</x:v>
      </x:c>
      <x:c r="S65" s="24" t="str">
        <x:v>Crédito general del estudio; individual si aplica</x:v>
      </x:c>
      <x:c r="T65" s="24" t="str">
        <x:v>VRM Games / Blas Luis Rocha González</x:v>
      </x:c>
      <x:c r="U65" s="24" t="str">
        <x:v>CURRENT PROJECT ASSET</x:v>
      </x:c>
      <x:c r="V65" s="24" t="str">
        <x:v>CONDITIONALLY APPROVED</x:v>
      </x:c>
      <x:c r="W65" s="24" t="str">
        <x:v>Parcial</x:v>
      </x:c>
      <x:c r="X65" s="24" t="str">
        <x:v>Medium</x:v>
      </x:c>
      <x:c r="Y65" s="24" t="str">
        <x:v>Internal development; public candidate requires gate</x:v>
      </x:c>
      <x:c r="Z65" s="24" t="str">
        <x:v>H6 legal/content audit</x:v>
      </x:c>
      <x:c r="AA65" s="24" t="str">
        <x:v>VRM Games</x:v>
      </x:c>
      <x:c r="AB65" s="24" t="str">
        <x:v>No se detectó proveedor externo en la ruta; confirmar autoría por lote antes de release público.</x:v>
      </x:c>
    </x:row>
    <x:row r="66" ht="34" customHeight="1">
      <x:c r="A66" s="24" t="str">
        <x:v>INT-0062</x:v>
      </x:c>
      <x:c r="B66" s="24" t="str">
        <x:v>d61fc2385715d4746ba4b2b689248d3b</x:v>
      </x:c>
      <x:c r="C66" s="24" t="str">
        <x:v>CC_S5_StorePlayerTechnical.mat</x:v>
      </x:c>
      <x:c r="D66" s="24" t="str">
        <x:v>Material</x:v>
      </x:c>
      <x:c r="E66" s="24" t="str">
        <x:v>Materials</x:v>
      </x:c>
      <x:c r="F66" s="24" t="str">
        <x:v>VRM Games / Blas Luis Rocha González</x:v>
      </x:c>
      <x:c r="G66" s="24" t="str">
        <x:v>VRM Games / Blas Luis Rocha González</x:v>
      </x:c>
      <x:c r="H66" s="24" t="str">
        <x:v>Internal project production</x:v>
      </x:c>
      <x:c r="I66" s="24" t="str">
        <x:v>2026 project timeline</x:v>
      </x:c>
      <x:c r="J66" s="24" t="str">
        <x:v>Internal project IP / authorship claim</x:v>
      </x:c>
      <x:c r="K66" s="24" t="str">
        <x:v>N/A</x:v>
      </x:c>
      <x:c r="L66" s="24" t="str">
        <x:v>Source package + repository path + hash</x:v>
      </x:c>
      <x:c r="M66" s="24" t="str">
        <x:v>2e6969a23ea2cdfed571f2e49a780e66ac68d15df52bbfdc32011ef903280c0c</x:v>
      </x:c>
      <x:c r="N66" s="24" t="str">
        <x:v>Assets/_Project/Art/Materials/Technical/CC_S5_StorePlayerTechnical.mat</x:v>
      </x:c>
      <x:c r="O66" s="24" t="str">
        <x:v>d61fc2385715d4746ba4b2b689248d3b</x:v>
      </x:c>
      <x:c r="P66" s="24" t="str">
        <x:v>Sí</x:v>
      </x:c>
      <x:c r="Q66" s="24" t="str">
        <x:v>Condicionado a autoría/procedencia final</x:v>
      </x:c>
      <x:c r="R66" s="24" t="str">
        <x:v>Solo dentro del producto/build autorizado</x:v>
      </x:c>
      <x:c r="S66" s="24" t="str">
        <x:v>Crédito general del estudio; individual si aplica</x:v>
      </x:c>
      <x:c r="T66" s="24" t="str">
        <x:v>VRM Games / Blas Luis Rocha González</x:v>
      </x:c>
      <x:c r="U66" s="24" t="str">
        <x:v>CURRENT PROJECT ASSET</x:v>
      </x:c>
      <x:c r="V66" s="24" t="str">
        <x:v>CONDITIONALLY APPROVED</x:v>
      </x:c>
      <x:c r="W66" s="24" t="str">
        <x:v>Parcial</x:v>
      </x:c>
      <x:c r="X66" s="24" t="str">
        <x:v>Medium</x:v>
      </x:c>
      <x:c r="Y66" s="24" t="str">
        <x:v>Internal development; public candidate requires gate</x:v>
      </x:c>
      <x:c r="Z66" s="24" t="str">
        <x:v>H6 legal/content audit</x:v>
      </x:c>
      <x:c r="AA66" s="24" t="str">
        <x:v>VRM Games</x:v>
      </x:c>
      <x:c r="AB66" s="24" t="str">
        <x:v>No se detectó proveedor externo en la ruta; confirmar autoría por lote antes de release público.</x:v>
      </x:c>
    </x:row>
    <x:row r="67" ht="34" customHeight="1">
      <x:c r="A67" s="24" t="str">
        <x:v>INT-0063</x:v>
      </x:c>
      <x:c r="B67" s="24" t="str">
        <x:v>056ccf5de784b274da4b4e809060173c</x:v>
      </x:c>
      <x:c r="C67" s="24" t="str">
        <x:v>CC_S5_StoreWallTechnical.mat</x:v>
      </x:c>
      <x:c r="D67" s="24" t="str">
        <x:v>Material</x:v>
      </x:c>
      <x:c r="E67" s="24" t="str">
        <x:v>Materials</x:v>
      </x:c>
      <x:c r="F67" s="24" t="str">
        <x:v>VRM Games / Blas Luis Rocha González</x:v>
      </x:c>
      <x:c r="G67" s="24" t="str">
        <x:v>VRM Games / Blas Luis Rocha González</x:v>
      </x:c>
      <x:c r="H67" s="24" t="str">
        <x:v>Internal project production</x:v>
      </x:c>
      <x:c r="I67" s="24" t="str">
        <x:v>2026 project timeline</x:v>
      </x:c>
      <x:c r="J67" s="24" t="str">
        <x:v>Internal project IP / authorship claim</x:v>
      </x:c>
      <x:c r="K67" s="24" t="str">
        <x:v>N/A</x:v>
      </x:c>
      <x:c r="L67" s="24" t="str">
        <x:v>Source package + repository path + hash</x:v>
      </x:c>
      <x:c r="M67" s="24" t="str">
        <x:v>7cfe50d37a404ff711acac62a1207af8fd10b24cde5ab878df91e7cff58268f8</x:v>
      </x:c>
      <x:c r="N67" s="24" t="str">
        <x:v>Assets/_Project/Art/Materials/Technical/CC_S5_StoreWallTechnical.mat</x:v>
      </x:c>
      <x:c r="O67" s="24" t="str">
        <x:v>056ccf5de784b274da4b4e809060173c</x:v>
      </x:c>
      <x:c r="P67" s="24" t="str">
        <x:v>Sí</x:v>
      </x:c>
      <x:c r="Q67" s="24" t="str">
        <x:v>Condicionado a autoría/procedencia final</x:v>
      </x:c>
      <x:c r="R67" s="24" t="str">
        <x:v>Solo dentro del producto/build autorizado</x:v>
      </x:c>
      <x:c r="S67" s="24" t="str">
        <x:v>Crédito general del estudio; individual si aplica</x:v>
      </x:c>
      <x:c r="T67" s="24" t="str">
        <x:v>VRM Games / Blas Luis Rocha González</x:v>
      </x:c>
      <x:c r="U67" s="24" t="str">
        <x:v>CURRENT PROJECT ASSET</x:v>
      </x:c>
      <x:c r="V67" s="24" t="str">
        <x:v>CONDITIONALLY APPROVED</x:v>
      </x:c>
      <x:c r="W67" s="24" t="str">
        <x:v>Parcial</x:v>
      </x:c>
      <x:c r="X67" s="24" t="str">
        <x:v>Medium</x:v>
      </x:c>
      <x:c r="Y67" s="24" t="str">
        <x:v>Internal development; public candidate requires gate</x:v>
      </x:c>
      <x:c r="Z67" s="24" t="str">
        <x:v>H6 legal/content audit</x:v>
      </x:c>
      <x:c r="AA67" s="24" t="str">
        <x:v>VRM Games</x:v>
      </x:c>
      <x:c r="AB67" s="24" t="str">
        <x:v>No se detectó proveedor externo en la ruta; confirmar autoría por lote antes de release público.</x:v>
      </x:c>
    </x:row>
    <x:row r="68" ht="34" customHeight="1">
      <x:c r="A68" s="24" t="str">
        <x:v>INT-0064</x:v>
      </x:c>
      <x:c r="B68" s="24" t="str">
        <x:v>260150304c11e7a44b6d8b97dc4b669d</x:v>
      </x:c>
      <x:c r="C68" s="24" t="str">
        <x:v>CC_S16_P2_Architecture_AutoDoor_Root.fbx</x:v>
      </x:c>
      <x:c r="D68" s="24" t="str">
        <x:v>3D model</x:v>
      </x:c>
      <x:c r="E68" s="24" t="str">
        <x:v>Models</x:v>
      </x:c>
      <x:c r="F68" s="24" t="str">
        <x:v>VRM Games / Blas Luis Rocha González</x:v>
      </x:c>
      <x:c r="G68" s="24" t="str">
        <x:v>VRM Games / Blas Luis Rocha González</x:v>
      </x:c>
      <x:c r="H68" s="24" t="str">
        <x:v>Internal project production</x:v>
      </x:c>
      <x:c r="I68" s="24" t="str">
        <x:v>2026 project timeline</x:v>
      </x:c>
      <x:c r="J68" s="24" t="str">
        <x:v>Internal project IP / authorship claim</x:v>
      </x:c>
      <x:c r="K68" s="24" t="str">
        <x:v>N/A</x:v>
      </x:c>
      <x:c r="L68" s="24" t="str">
        <x:v>Source package + repository path + hash</x:v>
      </x:c>
      <x:c r="M68" s="24" t="str">
        <x:v>a063f4afe11e51e1198be8c769d59c5ed7248b6ebf4bcac97e14a983ea64edaa</x:v>
      </x:c>
      <x:c r="N68" s="24" t="str">
        <x:v>Assets/_Project/Art/Models/Architecture/CC_S16_P2_Architecture_AutoDoor_Root.fbx</x:v>
      </x:c>
      <x:c r="O68" s="24" t="str">
        <x:v>260150304c11e7a44b6d8b97dc4b669d</x:v>
      </x:c>
      <x:c r="P68" s="24" t="str">
        <x:v>Sí</x:v>
      </x:c>
      <x:c r="Q68" s="24" t="str">
        <x:v>Condicionado a autoría/procedencia final</x:v>
      </x:c>
      <x:c r="R68" s="24" t="str">
        <x:v>Solo dentro del producto/build autorizado</x:v>
      </x:c>
      <x:c r="S68" s="24" t="str">
        <x:v>Crédito general del estudio; individual si aplica</x:v>
      </x:c>
      <x:c r="T68" s="24" t="str">
        <x:v>VRM Games / Blas Luis Rocha González</x:v>
      </x:c>
      <x:c r="U68" s="24" t="str">
        <x:v>CURRENT PROJECT ASSET</x:v>
      </x:c>
      <x:c r="V68" s="24" t="str">
        <x:v>CONDITIONALLY APPROVED</x:v>
      </x:c>
      <x:c r="W68" s="24" t="str">
        <x:v>Parcial</x:v>
      </x:c>
      <x:c r="X68" s="24" t="str">
        <x:v>Medium</x:v>
      </x:c>
      <x:c r="Y68" s="24" t="str">
        <x:v>Internal development; public candidate requires gate</x:v>
      </x:c>
      <x:c r="Z68" s="24" t="str">
        <x:v>H6 legal/content audit</x:v>
      </x:c>
      <x:c r="AA68" s="24" t="str">
        <x:v>VRM Games</x:v>
      </x:c>
      <x:c r="AB68" s="24" t="str">
        <x:v>No se detectó proveedor externo en la ruta; confirmar autoría por lote antes de release público.</x:v>
      </x:c>
    </x:row>
    <x:row r="69" ht="34" customHeight="1">
      <x:c r="A69" s="24" t="str">
        <x:v>INT-0065</x:v>
      </x:c>
      <x:c r="B69" s="24" t="str">
        <x:v>4510eb49f8a894643844998321745148</x:v>
      </x:c>
      <x:c r="C69" s="24" t="str">
        <x:v>CC_S16_P2_Architecture_BackroomPartition_LOD0.fbx</x:v>
      </x:c>
      <x:c r="D69" s="24" t="str">
        <x:v>3D model</x:v>
      </x:c>
      <x:c r="E69" s="24" t="str">
        <x:v>Models</x:v>
      </x:c>
      <x:c r="F69" s="24" t="str">
        <x:v>VRM Games / Blas Luis Rocha González</x:v>
      </x:c>
      <x:c r="G69" s="24" t="str">
        <x:v>VRM Games / Blas Luis Rocha González</x:v>
      </x:c>
      <x:c r="H69" s="24" t="str">
        <x:v>Internal project production</x:v>
      </x:c>
      <x:c r="I69" s="24" t="str">
        <x:v>2026 project timeline</x:v>
      </x:c>
      <x:c r="J69" s="24" t="str">
        <x:v>Internal project IP / authorship claim</x:v>
      </x:c>
      <x:c r="K69" s="24" t="str">
        <x:v>N/A</x:v>
      </x:c>
      <x:c r="L69" s="24" t="str">
        <x:v>Source package + repository path + hash</x:v>
      </x:c>
      <x:c r="M69" s="24" t="str">
        <x:v>b49b5e954ba3fb15b3ddeb397016211fd2fd62f113557cd5ba3c579be555eaa1</x:v>
      </x:c>
      <x:c r="N69" s="24" t="str">
        <x:v>Assets/_Project/Art/Models/Architecture/CC_S16_P2_Architecture_BackroomPartition_LOD0.fbx</x:v>
      </x:c>
      <x:c r="O69" s="24" t="str">
        <x:v>4510eb49f8a894643844998321745148</x:v>
      </x:c>
      <x:c r="P69" s="24" t="str">
        <x:v>Sí</x:v>
      </x:c>
      <x:c r="Q69" s="24" t="str">
        <x:v>Condicionado a autoría/procedencia final</x:v>
      </x:c>
      <x:c r="R69" s="24" t="str">
        <x:v>Solo dentro del producto/build autorizado</x:v>
      </x:c>
      <x:c r="S69" s="24" t="str">
        <x:v>Crédito general del estudio; individual si aplica</x:v>
      </x:c>
      <x:c r="T69" s="24" t="str">
        <x:v>VRM Games / Blas Luis Rocha González</x:v>
      </x:c>
      <x:c r="U69" s="24" t="str">
        <x:v>CURRENT PROJECT ASSET</x:v>
      </x:c>
      <x:c r="V69" s="24" t="str">
        <x:v>CONDITIONALLY APPROVED</x:v>
      </x:c>
      <x:c r="W69" s="24" t="str">
        <x:v>Parcial</x:v>
      </x:c>
      <x:c r="X69" s="24" t="str">
        <x:v>Medium</x:v>
      </x:c>
      <x:c r="Y69" s="24" t="str">
        <x:v>Internal development; public candidate requires gate</x:v>
      </x:c>
      <x:c r="Z69" s="24" t="str">
        <x:v>H6 legal/content audit</x:v>
      </x:c>
      <x:c r="AA69" s="24" t="str">
        <x:v>VRM Games</x:v>
      </x:c>
      <x:c r="AB69" s="24" t="str">
        <x:v>No se detectó proveedor externo en la ruta; confirmar autoría por lote antes de release público.</x:v>
      </x:c>
    </x:row>
    <x:row r="70" ht="34" customHeight="1">
      <x:c r="A70" s="24" t="str">
        <x:v>INT-0066</x:v>
      </x:c>
      <x:c r="B70" s="24" t="str">
        <x:v>e4da385572533f7499d46bb3e7432b84</x:v>
      </x:c>
      <x:c r="C70" s="24" t="str">
        <x:v>CC_S16_P2_Architecture_CornerInner_LOD0.fbx</x:v>
      </x:c>
      <x:c r="D70" s="24" t="str">
        <x:v>3D model</x:v>
      </x:c>
      <x:c r="E70" s="24" t="str">
        <x:v>Models</x:v>
      </x:c>
      <x:c r="F70" s="24" t="str">
        <x:v>VRM Games / Blas Luis Rocha González</x:v>
      </x:c>
      <x:c r="G70" s="24" t="str">
        <x:v>VRM Games / Blas Luis Rocha González</x:v>
      </x:c>
      <x:c r="H70" s="24" t="str">
        <x:v>Internal project production</x:v>
      </x:c>
      <x:c r="I70" s="24" t="str">
        <x:v>2026 project timeline</x:v>
      </x:c>
      <x:c r="J70" s="24" t="str">
        <x:v>Internal project IP / authorship claim</x:v>
      </x:c>
      <x:c r="K70" s="24" t="str">
        <x:v>N/A</x:v>
      </x:c>
      <x:c r="L70" s="24" t="str">
        <x:v>Source package + repository path + hash</x:v>
      </x:c>
      <x:c r="M70" s="24" t="str">
        <x:v>f8f36846a8585c8c607b6be0d22a9bfb6ce2b94419ff87b7811929befe4a6128</x:v>
      </x:c>
      <x:c r="N70" s="24" t="str">
        <x:v>Assets/_Project/Art/Models/Architecture/CC_S16_P2_Architecture_CornerInner_LOD0.fbx</x:v>
      </x:c>
      <x:c r="O70" s="24" t="str">
        <x:v>e4da385572533f7499d46bb3e7432b84</x:v>
      </x:c>
      <x:c r="P70" s="24" t="str">
        <x:v>Sí</x:v>
      </x:c>
      <x:c r="Q70" s="24" t="str">
        <x:v>Condicionado a autoría/procedencia final</x:v>
      </x:c>
      <x:c r="R70" s="24" t="str">
        <x:v>Solo dentro del producto/build autorizado</x:v>
      </x:c>
      <x:c r="S70" s="24" t="str">
        <x:v>Crédito general del estudio; individual si aplica</x:v>
      </x:c>
      <x:c r="T70" s="24" t="str">
        <x:v>VRM Games / Blas Luis Rocha González</x:v>
      </x:c>
      <x:c r="U70" s="24" t="str">
        <x:v>CURRENT PROJECT ASSET</x:v>
      </x:c>
      <x:c r="V70" s="24" t="str">
        <x:v>CONDITIONALLY APPROVED</x:v>
      </x:c>
      <x:c r="W70" s="24" t="str">
        <x:v>Parcial</x:v>
      </x:c>
      <x:c r="X70" s="24" t="str">
        <x:v>Medium</x:v>
      </x:c>
      <x:c r="Y70" s="24" t="str">
        <x:v>Internal development; public candidate requires gate</x:v>
      </x:c>
      <x:c r="Z70" s="24" t="str">
        <x:v>H6 legal/content audit</x:v>
      </x:c>
      <x:c r="AA70" s="24" t="str">
        <x:v>VRM Games</x:v>
      </x:c>
      <x:c r="AB70" s="24" t="str">
        <x:v>No se detectó proveedor externo en la ruta; confirmar autoría por lote antes de release público.</x:v>
      </x:c>
    </x:row>
    <x:row r="71" ht="34" customHeight="1">
      <x:c r="A71" s="24" t="str">
        <x:v>INT-0067</x:v>
      </x:c>
      <x:c r="B71" s="24" t="str">
        <x:v>c7161ca6e911d0a4d87a5452d660d616</x:v>
      </x:c>
      <x:c r="C71" s="24" t="str">
        <x:v>CC_S16_P2_Architecture_CornerOuter_LOD0.fbx</x:v>
      </x:c>
      <x:c r="D71" s="24" t="str">
        <x:v>3D model</x:v>
      </x:c>
      <x:c r="E71" s="24" t="str">
        <x:v>Models</x:v>
      </x:c>
      <x:c r="F71" s="24" t="str">
        <x:v>VRM Games / Blas Luis Rocha González</x:v>
      </x:c>
      <x:c r="G71" s="24" t="str">
        <x:v>VRM Games / Blas Luis Rocha González</x:v>
      </x:c>
      <x:c r="H71" s="24" t="str">
        <x:v>Internal project production</x:v>
      </x:c>
      <x:c r="I71" s="24" t="str">
        <x:v>2026 project timeline</x:v>
      </x:c>
      <x:c r="J71" s="24" t="str">
        <x:v>Internal project IP / authorship claim</x:v>
      </x:c>
      <x:c r="K71" s="24" t="str">
        <x:v>N/A</x:v>
      </x:c>
      <x:c r="L71" s="24" t="str">
        <x:v>Source package + repository path + hash</x:v>
      </x:c>
      <x:c r="M71" s="24" t="str">
        <x:v>89fc3d7fe59462a667fb0c8ad121a0bd0fdeaa9a5889e2f354dc5ed69e1909fc</x:v>
      </x:c>
      <x:c r="N71" s="24" t="str">
        <x:v>Assets/_Project/Art/Models/Architecture/CC_S16_P2_Architecture_CornerOuter_LOD0.fbx</x:v>
      </x:c>
      <x:c r="O71" s="24" t="str">
        <x:v>c7161ca6e911d0a4d87a5452d660d616</x:v>
      </x:c>
      <x:c r="P71" s="24" t="str">
        <x:v>Sí</x:v>
      </x:c>
      <x:c r="Q71" s="24" t="str">
        <x:v>Condicionado a autoría/procedencia final</x:v>
      </x:c>
      <x:c r="R71" s="24" t="str">
        <x:v>Solo dentro del producto/build autorizado</x:v>
      </x:c>
      <x:c r="S71" s="24" t="str">
        <x:v>Crédito general del estudio; individual si aplica</x:v>
      </x:c>
      <x:c r="T71" s="24" t="str">
        <x:v>VRM Games / Blas Luis Rocha González</x:v>
      </x:c>
      <x:c r="U71" s="24" t="str">
        <x:v>CURRENT PROJECT ASSET</x:v>
      </x:c>
      <x:c r="V71" s="24" t="str">
        <x:v>CONDITIONALLY APPROVED</x:v>
      </x:c>
      <x:c r="W71" s="24" t="str">
        <x:v>Parcial</x:v>
      </x:c>
      <x:c r="X71" s="24" t="str">
        <x:v>Medium</x:v>
      </x:c>
      <x:c r="Y71" s="24" t="str">
        <x:v>Internal development; public candidate requires gate</x:v>
      </x:c>
      <x:c r="Z71" s="24" t="str">
        <x:v>H6 legal/content audit</x:v>
      </x:c>
      <x:c r="AA71" s="24" t="str">
        <x:v>VRM Games</x:v>
      </x:c>
      <x:c r="AB71" s="24" t="str">
        <x:v>No se detectó proveedor externo en la ruta; confirmar autoría por lote antes de release público.</x:v>
      </x:c>
    </x:row>
    <x:row r="72" ht="34" customHeight="1">
      <x:c r="A72" s="24" t="str">
        <x:v>INT-0068</x:v>
      </x:c>
      <x:c r="B72" s="24" t="str">
        <x:v>52e9d18ef16581c4bb6ff8dd1472d314</x:v>
      </x:c>
      <x:c r="C72" s="24" t="str">
        <x:v>CC_S16_P2_Architecture_EndCap_LOD0.fbx</x:v>
      </x:c>
      <x:c r="D72" s="24" t="str">
        <x:v>3D model</x:v>
      </x:c>
      <x:c r="E72" s="24" t="str">
        <x:v>Models</x:v>
      </x:c>
      <x:c r="F72" s="24" t="str">
        <x:v>VRM Games / Blas Luis Rocha González</x:v>
      </x:c>
      <x:c r="G72" s="24" t="str">
        <x:v>VRM Games / Blas Luis Rocha González</x:v>
      </x:c>
      <x:c r="H72" s="24" t="str">
        <x:v>Internal project production</x:v>
      </x:c>
      <x:c r="I72" s="24" t="str">
        <x:v>2026 project timeline</x:v>
      </x:c>
      <x:c r="J72" s="24" t="str">
        <x:v>Internal project IP / authorship claim</x:v>
      </x:c>
      <x:c r="K72" s="24" t="str">
        <x:v>N/A</x:v>
      </x:c>
      <x:c r="L72" s="24" t="str">
        <x:v>Source package + repository path + hash</x:v>
      </x:c>
      <x:c r="M72" s="24" t="str">
        <x:v>1b9d42af8c1f29e3210e29a2c1b53f4dbd1a6ffe12ef3b3cac8c810cf8a4ac87</x:v>
      </x:c>
      <x:c r="N72" s="24" t="str">
        <x:v>Assets/_Project/Art/Models/Architecture/CC_S16_P2_Architecture_EndCap_LOD0.fbx</x:v>
      </x:c>
      <x:c r="O72" s="24" t="str">
        <x:v>52e9d18ef16581c4bb6ff8dd1472d314</x:v>
      </x:c>
      <x:c r="P72" s="24" t="str">
        <x:v>Sí</x:v>
      </x:c>
      <x:c r="Q72" s="24" t="str">
        <x:v>Condicionado a autoría/procedencia final</x:v>
      </x:c>
      <x:c r="R72" s="24" t="str">
        <x:v>Solo dentro del producto/build autorizado</x:v>
      </x:c>
      <x:c r="S72" s="24" t="str">
        <x:v>Crédito general del estudio; individual si aplica</x:v>
      </x:c>
      <x:c r="T72" s="24" t="str">
        <x:v>VRM Games / Blas Luis Rocha González</x:v>
      </x:c>
      <x:c r="U72" s="24" t="str">
        <x:v>CURRENT PROJECT ASSET</x:v>
      </x:c>
      <x:c r="V72" s="24" t="str">
        <x:v>CONDITIONALLY APPROVED</x:v>
      </x:c>
      <x:c r="W72" s="24" t="str">
        <x:v>Parcial</x:v>
      </x:c>
      <x:c r="X72" s="24" t="str">
        <x:v>Medium</x:v>
      </x:c>
      <x:c r="Y72" s="24" t="str">
        <x:v>Internal development; public candidate requires gate</x:v>
      </x:c>
      <x:c r="Z72" s="24" t="str">
        <x:v>H6 legal/content audit</x:v>
      </x:c>
      <x:c r="AA72" s="24" t="str">
        <x:v>VRM Games</x:v>
      </x:c>
      <x:c r="AB72" s="24" t="str">
        <x:v>No se detectó proveedor externo en la ruta; confirmar autoría por lote antes de release público.</x:v>
      </x:c>
    </x:row>
    <x:row r="73" ht="34" customHeight="1">
      <x:c r="A73" s="24" t="str">
        <x:v>INT-0069</x:v>
      </x:c>
      <x:c r="B73" s="24" t="str">
        <x:v>5136cd5af5055954fbc58b6c20d30b72</x:v>
      </x:c>
      <x:c r="C73" s="24" t="str">
        <x:v>CC_S16_P2_Architecture_EntranceThreshold_LOD0.fbx</x:v>
      </x:c>
      <x:c r="D73" s="24" t="str">
        <x:v>3D model</x:v>
      </x:c>
      <x:c r="E73" s="24" t="str">
        <x:v>Models</x:v>
      </x:c>
      <x:c r="F73" s="24" t="str">
        <x:v>VRM Games / Blas Luis Rocha González</x:v>
      </x:c>
      <x:c r="G73" s="24" t="str">
        <x:v>VRM Games / Blas Luis Rocha González</x:v>
      </x:c>
      <x:c r="H73" s="24" t="str">
        <x:v>Internal project production</x:v>
      </x:c>
      <x:c r="I73" s="24" t="str">
        <x:v>2026 project timeline</x:v>
      </x:c>
      <x:c r="J73" s="24" t="str">
        <x:v>Internal project IP / authorship claim</x:v>
      </x:c>
      <x:c r="K73" s="24" t="str">
        <x:v>N/A</x:v>
      </x:c>
      <x:c r="L73" s="24" t="str">
        <x:v>Source package + repository path + hash</x:v>
      </x:c>
      <x:c r="M73" s="24" t="str">
        <x:v>184b889aacde35a310f4b00e23cc2da1dbac035ea2c7cec379dd42aa9fbc6041</x:v>
      </x:c>
      <x:c r="N73" s="24" t="str">
        <x:v>Assets/_Project/Art/Models/Architecture/CC_S16_P2_Architecture_EntranceThreshold_LOD0.fbx</x:v>
      </x:c>
      <x:c r="O73" s="24" t="str">
        <x:v>5136cd5af5055954fbc58b6c20d30b72</x:v>
      </x:c>
      <x:c r="P73" s="24" t="str">
        <x:v>Sí</x:v>
      </x:c>
      <x:c r="Q73" s="24" t="str">
        <x:v>Condicionado a autoría/procedencia final</x:v>
      </x:c>
      <x:c r="R73" s="24" t="str">
        <x:v>Solo dentro del producto/build autorizado</x:v>
      </x:c>
      <x:c r="S73" s="24" t="str">
        <x:v>Crédito general del estudio; individual si aplica</x:v>
      </x:c>
      <x:c r="T73" s="24" t="str">
        <x:v>VRM Games / Blas Luis Rocha González</x:v>
      </x:c>
      <x:c r="U73" s="24" t="str">
        <x:v>CURRENT PROJECT ASSET</x:v>
      </x:c>
      <x:c r="V73" s="24" t="str">
        <x:v>CONDITIONALLY APPROVED</x:v>
      </x:c>
      <x:c r="W73" s="24" t="str">
        <x:v>Parcial</x:v>
      </x:c>
      <x:c r="X73" s="24" t="str">
        <x:v>Medium</x:v>
      </x:c>
      <x:c r="Y73" s="24" t="str">
        <x:v>Internal development; public candidate requires gate</x:v>
      </x:c>
      <x:c r="Z73" s="24" t="str">
        <x:v>H6 legal/content audit</x:v>
      </x:c>
      <x:c r="AA73" s="24" t="str">
        <x:v>VRM Games</x:v>
      </x:c>
      <x:c r="AB73" s="24" t="str">
        <x:v>No se detectó proveedor externo en la ruta; confirmar autoría por lote antes de release público.</x:v>
      </x:c>
    </x:row>
    <x:row r="74" ht="34" customHeight="1">
      <x:c r="A74" s="24" t="str">
        <x:v>INT-0070</x:v>
      </x:c>
      <x:c r="B74" s="24" t="str">
        <x:v>3f9be7c6bb4416b4fab77e8346fdbef7</x:v>
      </x:c>
      <x:c r="C74" s="24" t="str">
        <x:v>CC_S16_P2_Architecture_FloorEdge_100_LOD0.fbx</x:v>
      </x:c>
      <x:c r="D74" s="24" t="str">
        <x:v>3D model</x:v>
      </x:c>
      <x:c r="E74" s="24" t="str">
        <x:v>Models</x:v>
      </x:c>
      <x:c r="F74" s="24" t="str">
        <x:v>VRM Games / Blas Luis Rocha González</x:v>
      </x:c>
      <x:c r="G74" s="24" t="str">
        <x:v>VRM Games / Blas Luis Rocha González</x:v>
      </x:c>
      <x:c r="H74" s="24" t="str">
        <x:v>Internal project production</x:v>
      </x:c>
      <x:c r="I74" s="24" t="str">
        <x:v>2026 project timeline</x:v>
      </x:c>
      <x:c r="J74" s="24" t="str">
        <x:v>Internal project IP / authorship claim</x:v>
      </x:c>
      <x:c r="K74" s="24" t="str">
        <x:v>N/A</x:v>
      </x:c>
      <x:c r="L74" s="24" t="str">
        <x:v>Source package + repository path + hash</x:v>
      </x:c>
      <x:c r="M74" s="24" t="str">
        <x:v>715d29c15074533edd3c4ec5475002e571092a5d745be227969ebe9bed873c1d</x:v>
      </x:c>
      <x:c r="N74" s="24" t="str">
        <x:v>Assets/_Project/Art/Models/Architecture/CC_S16_P2_Architecture_FloorEdge_100_LOD0.fbx</x:v>
      </x:c>
      <x:c r="O74" s="24" t="str">
        <x:v>3f9be7c6bb4416b4fab77e8346fdbef7</x:v>
      </x:c>
      <x:c r="P74" s="24" t="str">
        <x:v>Sí</x:v>
      </x:c>
      <x:c r="Q74" s="24" t="str">
        <x:v>Condicionado a autoría/procedencia final</x:v>
      </x:c>
      <x:c r="R74" s="24" t="str">
        <x:v>Solo dentro del producto/build autorizado</x:v>
      </x:c>
      <x:c r="S74" s="24" t="str">
        <x:v>Crédito general del estudio; individual si aplica</x:v>
      </x:c>
      <x:c r="T74" s="24" t="str">
        <x:v>VRM Games / Blas Luis Rocha González</x:v>
      </x:c>
      <x:c r="U74" s="24" t="str">
        <x:v>CURRENT PROJECT ASSET</x:v>
      </x:c>
      <x:c r="V74" s="24" t="str">
        <x:v>CONDITIONALLY APPROVED</x:v>
      </x:c>
      <x:c r="W74" s="24" t="str">
        <x:v>Parcial</x:v>
      </x:c>
      <x:c r="X74" s="24" t="str">
        <x:v>Medium</x:v>
      </x:c>
      <x:c r="Y74" s="24" t="str">
        <x:v>Internal development; public candidate requires gate</x:v>
      </x:c>
      <x:c r="Z74" s="24" t="str">
        <x:v>H6 legal/content audit</x:v>
      </x:c>
      <x:c r="AA74" s="24" t="str">
        <x:v>VRM Games</x:v>
      </x:c>
      <x:c r="AB74" s="24" t="str">
        <x:v>No se detectó proveedor externo en la ruta; confirmar autoría por lote antes de release público.</x:v>
      </x:c>
    </x:row>
    <x:row r="75" ht="34" customHeight="1">
      <x:c r="A75" s="24" t="str">
        <x:v>INT-0071</x:v>
      </x:c>
      <x:c r="B75" s="24" t="str">
        <x:v>495aa7fc13cc0c04cb1e71f075d90fe4</x:v>
      </x:c>
      <x:c r="C75" s="24" t="str">
        <x:v>CC_S16_P2_Architecture_FloorTransition_100_LOD0.fbx</x:v>
      </x:c>
      <x:c r="D75" s="24" t="str">
        <x:v>3D model</x:v>
      </x:c>
      <x:c r="E75" s="24" t="str">
        <x:v>Models</x:v>
      </x:c>
      <x:c r="F75" s="24" t="str">
        <x:v>VRM Games / Blas Luis Rocha González</x:v>
      </x:c>
      <x:c r="G75" s="24" t="str">
        <x:v>VRM Games / Blas Luis Rocha González</x:v>
      </x:c>
      <x:c r="H75" s="24" t="str">
        <x:v>Internal project production</x:v>
      </x:c>
      <x:c r="I75" s="24" t="str">
        <x:v>2026 project timeline</x:v>
      </x:c>
      <x:c r="J75" s="24" t="str">
        <x:v>Internal project IP / authorship claim</x:v>
      </x:c>
      <x:c r="K75" s="24" t="str">
        <x:v>N/A</x:v>
      </x:c>
      <x:c r="L75" s="24" t="str">
        <x:v>Source package + repository path + hash</x:v>
      </x:c>
      <x:c r="M75" s="24" t="str">
        <x:v>0a13586cc34e20951f86416030f74a1946e8abedf9dd9f7e55727e9d86490658</x:v>
      </x:c>
      <x:c r="N75" s="24" t="str">
        <x:v>Assets/_Project/Art/Models/Architecture/CC_S16_P2_Architecture_FloorTransition_100_LOD0.fbx</x:v>
      </x:c>
      <x:c r="O75" s="24" t="str">
        <x:v>495aa7fc13cc0c04cb1e71f075d90fe4</x:v>
      </x:c>
      <x:c r="P75" s="24" t="str">
        <x:v>Sí</x:v>
      </x:c>
      <x:c r="Q75" s="24" t="str">
        <x:v>Condicionado a autoría/procedencia final</x:v>
      </x:c>
      <x:c r="R75" s="24" t="str">
        <x:v>Solo dentro del producto/build autorizado</x:v>
      </x:c>
      <x:c r="S75" s="24" t="str">
        <x:v>Crédito general del estudio; individual si aplica</x:v>
      </x:c>
      <x:c r="T75" s="24" t="str">
        <x:v>VRM Games / Blas Luis Rocha González</x:v>
      </x:c>
      <x:c r="U75" s="24" t="str">
        <x:v>CURRENT PROJECT ASSET</x:v>
      </x:c>
      <x:c r="V75" s="24" t="str">
        <x:v>CONDITIONALLY APPROVED</x:v>
      </x:c>
      <x:c r="W75" s="24" t="str">
        <x:v>Parcial</x:v>
      </x:c>
      <x:c r="X75" s="24" t="str">
        <x:v>Medium</x:v>
      </x:c>
      <x:c r="Y75" s="24" t="str">
        <x:v>Internal development; public candidate requires gate</x:v>
      </x:c>
      <x:c r="Z75" s="24" t="str">
        <x:v>H6 legal/content audit</x:v>
      </x:c>
      <x:c r="AA75" s="24" t="str">
        <x:v>VRM Games</x:v>
      </x:c>
      <x:c r="AB75" s="24" t="str">
        <x:v>No se detectó proveedor externo en la ruta; confirmar autoría por lote antes de release público.</x:v>
      </x:c>
    </x:row>
    <x:row r="76" ht="34" customHeight="1">
      <x:c r="A76" s="24" t="str">
        <x:v>INT-0072</x:v>
      </x:c>
      <x:c r="B76" s="24" t="str">
        <x:v>aab6ff15134ac4a48b5a42b8ec896aaf</x:v>
      </x:c>
      <x:c r="C76" s="24" t="str">
        <x:v>CC_S16_P2_Architecture_Floor_100_LOD0.fbx</x:v>
      </x:c>
      <x:c r="D76" s="24" t="str">
        <x:v>3D model</x:v>
      </x:c>
      <x:c r="E76" s="24" t="str">
        <x:v>Models</x:v>
      </x:c>
      <x:c r="F76" s="24" t="str">
        <x:v>VRM Games / Blas Luis Rocha González</x:v>
      </x:c>
      <x:c r="G76" s="24" t="str">
        <x:v>VRM Games / Blas Luis Rocha González</x:v>
      </x:c>
      <x:c r="H76" s="24" t="str">
        <x:v>Internal project production</x:v>
      </x:c>
      <x:c r="I76" s="24" t="str">
        <x:v>2026 project timeline</x:v>
      </x:c>
      <x:c r="J76" s="24" t="str">
        <x:v>Internal project IP / authorship claim</x:v>
      </x:c>
      <x:c r="K76" s="24" t="str">
        <x:v>N/A</x:v>
      </x:c>
      <x:c r="L76" s="24" t="str">
        <x:v>Source package + repository path + hash</x:v>
      </x:c>
      <x:c r="M76" s="24" t="str">
        <x:v>83e57e98d998db88cbad91c55ffe05f16ba6f27815626b5d2c9d3c57048c4c5f</x:v>
      </x:c>
      <x:c r="N76" s="24" t="str">
        <x:v>Assets/_Project/Art/Models/Architecture/CC_S16_P2_Architecture_Floor_100_LOD0.fbx</x:v>
      </x:c>
      <x:c r="O76" s="24" t="str">
        <x:v>aab6ff15134ac4a48b5a42b8ec896aaf</x:v>
      </x:c>
      <x:c r="P76" s="24" t="str">
        <x:v>Sí</x:v>
      </x:c>
      <x:c r="Q76" s="24" t="str">
        <x:v>Condicionado a autoría/procedencia final</x:v>
      </x:c>
      <x:c r="R76" s="24" t="str">
        <x:v>Solo dentro del producto/build autorizado</x:v>
      </x:c>
      <x:c r="S76" s="24" t="str">
        <x:v>Crédito general del estudio; individual si aplica</x:v>
      </x:c>
      <x:c r="T76" s="24" t="str">
        <x:v>VRM Games / Blas Luis Rocha González</x:v>
      </x:c>
      <x:c r="U76" s="24" t="str">
        <x:v>CURRENT PROJECT ASSET</x:v>
      </x:c>
      <x:c r="V76" s="24" t="str">
        <x:v>CONDITIONALLY APPROVED</x:v>
      </x:c>
      <x:c r="W76" s="24" t="str">
        <x:v>Parcial</x:v>
      </x:c>
      <x:c r="X76" s="24" t="str">
        <x:v>Medium</x:v>
      </x:c>
      <x:c r="Y76" s="24" t="str">
        <x:v>Internal development; public candidate requires gate</x:v>
      </x:c>
      <x:c r="Z76" s="24" t="str">
        <x:v>H6 legal/content audit</x:v>
      </x:c>
      <x:c r="AA76" s="24" t="str">
        <x:v>VRM Games</x:v>
      </x:c>
      <x:c r="AB76" s="24" t="str">
        <x:v>No se detectó proveedor externo en la ruta; confirmar autoría por lote antes de release público.</x:v>
      </x:c>
    </x:row>
    <x:row r="77" ht="34" customHeight="1">
      <x:c r="A77" s="24" t="str">
        <x:v>INT-0073</x:v>
      </x:c>
      <x:c r="B77" s="24" t="str">
        <x:v>42fbba6170ed9974f85c2d9da30cadde</x:v>
      </x:c>
      <x:c r="C77" s="24" t="str">
        <x:v>CC_S16_P2_Architecture_Floor_200_LOD0.fbx</x:v>
      </x:c>
      <x:c r="D77" s="24" t="str">
        <x:v>3D model</x:v>
      </x:c>
      <x:c r="E77" s="24" t="str">
        <x:v>Models</x:v>
      </x:c>
      <x:c r="F77" s="24" t="str">
        <x:v>VRM Games / Blas Luis Rocha González</x:v>
      </x:c>
      <x:c r="G77" s="24" t="str">
        <x:v>VRM Games / Blas Luis Rocha González</x:v>
      </x:c>
      <x:c r="H77" s="24" t="str">
        <x:v>Internal project production</x:v>
      </x:c>
      <x:c r="I77" s="24" t="str">
        <x:v>2026 project timeline</x:v>
      </x:c>
      <x:c r="J77" s="24" t="str">
        <x:v>Internal project IP / authorship claim</x:v>
      </x:c>
      <x:c r="K77" s="24" t="str">
        <x:v>N/A</x:v>
      </x:c>
      <x:c r="L77" s="24" t="str">
        <x:v>Source package + repository path + hash</x:v>
      </x:c>
      <x:c r="M77" s="24" t="str">
        <x:v>d5090ad15177a3f8296be3992339c10d2dac398d8c554f2fd45d46a4053a6a98</x:v>
      </x:c>
      <x:c r="N77" s="24" t="str">
        <x:v>Assets/_Project/Art/Models/Architecture/CC_S16_P2_Architecture_Floor_200_LOD0.fbx</x:v>
      </x:c>
      <x:c r="O77" s="24" t="str">
        <x:v>42fbba6170ed9974f85c2d9da30cadde</x:v>
      </x:c>
      <x:c r="P77" s="24" t="str">
        <x:v>Sí</x:v>
      </x:c>
      <x:c r="Q77" s="24" t="str">
        <x:v>Condicionado a autoría/procedencia final</x:v>
      </x:c>
      <x:c r="R77" s="24" t="str">
        <x:v>Solo dentro del producto/build autorizado</x:v>
      </x:c>
      <x:c r="S77" s="24" t="str">
        <x:v>Crédito general del estudio; individual si aplica</x:v>
      </x:c>
      <x:c r="T77" s="24" t="str">
        <x:v>VRM Games / Blas Luis Rocha González</x:v>
      </x:c>
      <x:c r="U77" s="24" t="str">
        <x:v>CURRENT PROJECT ASSET</x:v>
      </x:c>
      <x:c r="V77" s="24" t="str">
        <x:v>CONDITIONALLY APPROVED</x:v>
      </x:c>
      <x:c r="W77" s="24" t="str">
        <x:v>Parcial</x:v>
      </x:c>
      <x:c r="X77" s="24" t="str">
        <x:v>Medium</x:v>
      </x:c>
      <x:c r="Y77" s="24" t="str">
        <x:v>Internal development; public candidate requires gate</x:v>
      </x:c>
      <x:c r="Z77" s="24" t="str">
        <x:v>H6 legal/content audit</x:v>
      </x:c>
      <x:c r="AA77" s="24" t="str">
        <x:v>VRM Games</x:v>
      </x:c>
      <x:c r="AB77" s="24" t="str">
        <x:v>No se detectó proveedor externo en la ruta; confirmar autoría por lote antes de release público.</x:v>
      </x:c>
    </x:row>
    <x:row r="78" ht="34" customHeight="1">
      <x:c r="A78" s="24" t="str">
        <x:v>INT-0074</x:v>
      </x:c>
      <x:c r="B78" s="24" t="str">
        <x:v>864e2e17997ef2f43b7336bc19133aed</x:v>
      </x:c>
      <x:c r="C78" s="24" t="str">
        <x:v>CC_S16_P2_Architecture_LightRail_100_LOD0.fbx</x:v>
      </x:c>
      <x:c r="D78" s="24" t="str">
        <x:v>3D model</x:v>
      </x:c>
      <x:c r="E78" s="24" t="str">
        <x:v>Models</x:v>
      </x:c>
      <x:c r="F78" s="24" t="str">
        <x:v>VRM Games / Blas Luis Rocha González</x:v>
      </x:c>
      <x:c r="G78" s="24" t="str">
        <x:v>VRM Games / Blas Luis Rocha González</x:v>
      </x:c>
      <x:c r="H78" s="24" t="str">
        <x:v>Internal project production</x:v>
      </x:c>
      <x:c r="I78" s="24" t="str">
        <x:v>2026 project timeline</x:v>
      </x:c>
      <x:c r="J78" s="24" t="str">
        <x:v>Internal project IP / authorship claim</x:v>
      </x:c>
      <x:c r="K78" s="24" t="str">
        <x:v>N/A</x:v>
      </x:c>
      <x:c r="L78" s="24" t="str">
        <x:v>Source package + repository path + hash</x:v>
      </x:c>
      <x:c r="M78" s="24" t="str">
        <x:v>a094a08bb865505551e69ddbd1a1ab83f682442d4eab1b5869874e131ba0e30f</x:v>
      </x:c>
      <x:c r="N78" s="24" t="str">
        <x:v>Assets/_Project/Art/Models/Architecture/CC_S16_P2_Architecture_LightRail_100_LOD0.fbx</x:v>
      </x:c>
      <x:c r="O78" s="24" t="str">
        <x:v>864e2e17997ef2f43b7336bc19133aed</x:v>
      </x:c>
      <x:c r="P78" s="24" t="str">
        <x:v>Sí</x:v>
      </x:c>
      <x:c r="Q78" s="24" t="str">
        <x:v>Condicionado a autoría/procedencia final</x:v>
      </x:c>
      <x:c r="R78" s="24" t="str">
        <x:v>Solo dentro del producto/build autorizado</x:v>
      </x:c>
      <x:c r="S78" s="24" t="str">
        <x:v>Crédito general del estudio; individual si aplica</x:v>
      </x:c>
      <x:c r="T78" s="24" t="str">
        <x:v>VRM Games / Blas Luis Rocha González</x:v>
      </x:c>
      <x:c r="U78" s="24" t="str">
        <x:v>CURRENT PROJECT ASSET</x:v>
      </x:c>
      <x:c r="V78" s="24" t="str">
        <x:v>CONDITIONALLY APPROVED</x:v>
      </x:c>
      <x:c r="W78" s="24" t="str">
        <x:v>Parcial</x:v>
      </x:c>
      <x:c r="X78" s="24" t="str">
        <x:v>Medium</x:v>
      </x:c>
      <x:c r="Y78" s="24" t="str">
        <x:v>Internal development; public candidate requires gate</x:v>
      </x:c>
      <x:c r="Z78" s="24" t="str">
        <x:v>H6 legal/content audit</x:v>
      </x:c>
      <x:c r="AA78" s="24" t="str">
        <x:v>VRM Games</x:v>
      </x:c>
      <x:c r="AB78" s="24" t="str">
        <x:v>No se detectó proveedor externo en la ruta; confirmar autoría por lote antes de release público.</x:v>
      </x:c>
    </x:row>
    <x:row r="79" ht="34" customHeight="1">
      <x:c r="A79" s="24" t="str">
        <x:v>INT-0075</x:v>
      </x:c>
      <x:c r="B79" s="24" t="str">
        <x:v>88499b783ac785a4ab108e1a0800e38e</x:v>
      </x:c>
      <x:c r="C79" s="24" t="str">
        <x:v>CC_S16_P2_Architecture_LightRail_200_LOD0.fbx</x:v>
      </x:c>
      <x:c r="D79" s="24" t="str">
        <x:v>3D model</x:v>
      </x:c>
      <x:c r="E79" s="24" t="str">
        <x:v>Models</x:v>
      </x:c>
      <x:c r="F79" s="24" t="str">
        <x:v>VRM Games / Blas Luis Rocha González</x:v>
      </x:c>
      <x:c r="G79" s="24" t="str">
        <x:v>VRM Games / Blas Luis Rocha González</x:v>
      </x:c>
      <x:c r="H79" s="24" t="str">
        <x:v>Internal project production</x:v>
      </x:c>
      <x:c r="I79" s="24" t="str">
        <x:v>2026 project timeline</x:v>
      </x:c>
      <x:c r="J79" s="24" t="str">
        <x:v>Internal project IP / authorship claim</x:v>
      </x:c>
      <x:c r="K79" s="24" t="str">
        <x:v>N/A</x:v>
      </x:c>
      <x:c r="L79" s="24" t="str">
        <x:v>Source package + repository path + hash</x:v>
      </x:c>
      <x:c r="M79" s="24" t="str">
        <x:v>feb376953f3f1e5a11702cc1433bab851eab0b84770d50659cc141d601146d7a</x:v>
      </x:c>
      <x:c r="N79" s="24" t="str">
        <x:v>Assets/_Project/Art/Models/Architecture/CC_S16_P2_Architecture_LightRail_200_LOD0.fbx</x:v>
      </x:c>
      <x:c r="O79" s="24" t="str">
        <x:v>88499b783ac785a4ab108e1a0800e38e</x:v>
      </x:c>
      <x:c r="P79" s="24" t="str">
        <x:v>Sí</x:v>
      </x:c>
      <x:c r="Q79" s="24" t="str">
        <x:v>Condicionado a autoría/procedencia final</x:v>
      </x:c>
      <x:c r="R79" s="24" t="str">
        <x:v>Solo dentro del producto/build autorizado</x:v>
      </x:c>
      <x:c r="S79" s="24" t="str">
        <x:v>Crédito general del estudio; individual si aplica</x:v>
      </x:c>
      <x:c r="T79" s="24" t="str">
        <x:v>VRM Games / Blas Luis Rocha González</x:v>
      </x:c>
      <x:c r="U79" s="24" t="str">
        <x:v>CURRENT PROJECT ASSET</x:v>
      </x:c>
      <x:c r="V79" s="24" t="str">
        <x:v>CONDITIONALLY APPROVED</x:v>
      </x:c>
      <x:c r="W79" s="24" t="str">
        <x:v>Parcial</x:v>
      </x:c>
      <x:c r="X79" s="24" t="str">
        <x:v>Medium</x:v>
      </x:c>
      <x:c r="Y79" s="24" t="str">
        <x:v>Internal development; public candidate requires gate</x:v>
      </x:c>
      <x:c r="Z79" s="24" t="str">
        <x:v>H6 legal/content audit</x:v>
      </x:c>
      <x:c r="AA79" s="24" t="str">
        <x:v>VRM Games</x:v>
      </x:c>
      <x:c r="AB79" s="24" t="str">
        <x:v>No se detectó proveedor externo en la ruta; confirmar autoría por lote antes de release público.</x:v>
      </x:c>
    </x:row>
    <x:row r="80" ht="34" customHeight="1">
      <x:c r="A80" s="24" t="str">
        <x:v>INT-0076</x:v>
      </x:c>
      <x:c r="B80" s="24" t="str">
        <x:v>af023954a29dec14f9fa2ff12ea783f9</x:v>
      </x:c>
      <x:c r="C80" s="24" t="str">
        <x:v>CC_S16_P2_Architecture_LinearPanel_LOD0.fbx</x:v>
      </x:c>
      <x:c r="D80" s="24" t="str">
        <x:v>3D model</x:v>
      </x:c>
      <x:c r="E80" s="24" t="str">
        <x:v>Models</x:v>
      </x:c>
      <x:c r="F80" s="24" t="str">
        <x:v>VRM Games / Blas Luis Rocha González</x:v>
      </x:c>
      <x:c r="G80" s="24" t="str">
        <x:v>VRM Games / Blas Luis Rocha González</x:v>
      </x:c>
      <x:c r="H80" s="24" t="str">
        <x:v>Internal project production</x:v>
      </x:c>
      <x:c r="I80" s="24" t="str">
        <x:v>2026 project timeline</x:v>
      </x:c>
      <x:c r="J80" s="24" t="str">
        <x:v>Internal project IP / authorship claim</x:v>
      </x:c>
      <x:c r="K80" s="24" t="str">
        <x:v>N/A</x:v>
      </x:c>
      <x:c r="L80" s="24" t="str">
        <x:v>Source package + repository path + hash</x:v>
      </x:c>
      <x:c r="M80" s="24" t="str">
        <x:v>ff153e46836ae8297211a5fc15714fdd8b7bc7fe9168836853faef51830c4fe2</x:v>
      </x:c>
      <x:c r="N80" s="24" t="str">
        <x:v>Assets/_Project/Art/Models/Architecture/CC_S16_P2_Architecture_LinearPanel_LOD0.fbx</x:v>
      </x:c>
      <x:c r="O80" s="24" t="str">
        <x:v>af023954a29dec14f9fa2ff12ea783f9</x:v>
      </x:c>
      <x:c r="P80" s="24" t="str">
        <x:v>Sí</x:v>
      </x:c>
      <x:c r="Q80" s="24" t="str">
        <x:v>Condicionado a autoría/procedencia final</x:v>
      </x:c>
      <x:c r="R80" s="24" t="str">
        <x:v>Solo dentro del producto/build autorizado</x:v>
      </x:c>
      <x:c r="S80" s="24" t="str">
        <x:v>Crédito general del estudio; individual si aplica</x:v>
      </x:c>
      <x:c r="T80" s="24" t="str">
        <x:v>VRM Games / Blas Luis Rocha González</x:v>
      </x:c>
      <x:c r="U80" s="24" t="str">
        <x:v>CURRENT PROJECT ASSET</x:v>
      </x:c>
      <x:c r="V80" s="24" t="str">
        <x:v>CONDITIONALLY APPROVED</x:v>
      </x:c>
      <x:c r="W80" s="24" t="str">
        <x:v>Parcial</x:v>
      </x:c>
      <x:c r="X80" s="24" t="str">
        <x:v>Medium</x:v>
      </x:c>
      <x:c r="Y80" s="24" t="str">
        <x:v>Internal development; public candidate requires gate</x:v>
      </x:c>
      <x:c r="Z80" s="24" t="str">
        <x:v>H6 legal/content audit</x:v>
      </x:c>
      <x:c r="AA80" s="24" t="str">
        <x:v>VRM Games</x:v>
      </x:c>
      <x:c r="AB80" s="24" t="str">
        <x:v>No se detectó proveedor externo en la ruta; confirmar autoría por lote antes de release público.</x:v>
      </x:c>
    </x:row>
    <x:row r="81" ht="34" customHeight="1">
      <x:c r="A81" s="24" t="str">
        <x:v>INT-0077</x:v>
      </x:c>
      <x:c r="B81" s="24" t="str">
        <x:v>007e905b11046184a907b1da3fd14e8a</x:v>
      </x:c>
      <x:c r="C81" s="24" t="str">
        <x:v>CC_S16_P2_Architecture_SpotLight_LOD0.fbx</x:v>
      </x:c>
      <x:c r="D81" s="24" t="str">
        <x:v>3D model</x:v>
      </x:c>
      <x:c r="E81" s="24" t="str">
        <x:v>Models</x:v>
      </x:c>
      <x:c r="F81" s="24" t="str">
        <x:v>VRM Games / Blas Luis Rocha González</x:v>
      </x:c>
      <x:c r="G81" s="24" t="str">
        <x:v>VRM Games / Blas Luis Rocha González</x:v>
      </x:c>
      <x:c r="H81" s="24" t="str">
        <x:v>Internal project production</x:v>
      </x:c>
      <x:c r="I81" s="24" t="str">
        <x:v>2026 project timeline</x:v>
      </x:c>
      <x:c r="J81" s="24" t="str">
        <x:v>Internal project IP / authorship claim</x:v>
      </x:c>
      <x:c r="K81" s="24" t="str">
        <x:v>N/A</x:v>
      </x:c>
      <x:c r="L81" s="24" t="str">
        <x:v>Source package + repository path + hash</x:v>
      </x:c>
      <x:c r="M81" s="24" t="str">
        <x:v>a779e89b674c12fc66183495ac340094ff961e007342725e01eb2cc77f1eb39b</x:v>
      </x:c>
      <x:c r="N81" s="24" t="str">
        <x:v>Assets/_Project/Art/Models/Architecture/CC_S16_P2_Architecture_SpotLight_LOD0.fbx</x:v>
      </x:c>
      <x:c r="O81" s="24" t="str">
        <x:v>007e905b11046184a907b1da3fd14e8a</x:v>
      </x:c>
      <x:c r="P81" s="24" t="str">
        <x:v>Sí</x:v>
      </x:c>
      <x:c r="Q81" s="24" t="str">
        <x:v>Condicionado a autoría/procedencia final</x:v>
      </x:c>
      <x:c r="R81" s="24" t="str">
        <x:v>Solo dentro del producto/build autorizado</x:v>
      </x:c>
      <x:c r="S81" s="24" t="str">
        <x:v>Crédito general del estudio; individual si aplica</x:v>
      </x:c>
      <x:c r="T81" s="24" t="str">
        <x:v>VRM Games / Blas Luis Rocha González</x:v>
      </x:c>
      <x:c r="U81" s="24" t="str">
        <x:v>CURRENT PROJECT ASSET</x:v>
      </x:c>
      <x:c r="V81" s="24" t="str">
        <x:v>CONDITIONALLY APPROVED</x:v>
      </x:c>
      <x:c r="W81" s="24" t="str">
        <x:v>Parcial</x:v>
      </x:c>
      <x:c r="X81" s="24" t="str">
        <x:v>Medium</x:v>
      </x:c>
      <x:c r="Y81" s="24" t="str">
        <x:v>Internal development; public candidate requires gate</x:v>
      </x:c>
      <x:c r="Z81" s="24" t="str">
        <x:v>H6 legal/content audit</x:v>
      </x:c>
      <x:c r="AA81" s="24" t="str">
        <x:v>VRM Games</x:v>
      </x:c>
      <x:c r="AB81" s="24" t="str">
        <x:v>No se detectó proveedor externo en la ruta; confirmar autoría por lote antes de release público.</x:v>
      </x:c>
    </x:row>
    <x:row r="82" ht="34" customHeight="1">
      <x:c r="A82" s="24" t="str">
        <x:v>INT-0078</x:v>
      </x:c>
      <x:c r="B82" s="24" t="str">
        <x:v>d45130bb326b77a45affb4a5e9dffd2d</x:v>
      </x:c>
      <x:c r="C82" s="24" t="str">
        <x:v>CC_S16_P2_Architecture_StoreGlass_Left_LOD0.fbx</x:v>
      </x:c>
      <x:c r="D82" s="24" t="str">
        <x:v>3D model</x:v>
      </x:c>
      <x:c r="E82" s="24" t="str">
        <x:v>Models</x:v>
      </x:c>
      <x:c r="F82" s="24" t="str">
        <x:v>VRM Games / Blas Luis Rocha González</x:v>
      </x:c>
      <x:c r="G82" s="24" t="str">
        <x:v>VRM Games / Blas Luis Rocha González</x:v>
      </x:c>
      <x:c r="H82" s="24" t="str">
        <x:v>Internal project production</x:v>
      </x:c>
      <x:c r="I82" s="24" t="str">
        <x:v>2026 project timeline</x:v>
      </x:c>
      <x:c r="J82" s="24" t="str">
        <x:v>Internal project IP / authorship claim</x:v>
      </x:c>
      <x:c r="K82" s="24" t="str">
        <x:v>N/A</x:v>
      </x:c>
      <x:c r="L82" s="24" t="str">
        <x:v>Source package + repository path + hash</x:v>
      </x:c>
      <x:c r="M82" s="24" t="str">
        <x:v>ba0a62188260b2a58c7f7c46b6121dec3291992515a4e9bb27de2da26dec93ad</x:v>
      </x:c>
      <x:c r="N82" s="24" t="str">
        <x:v>Assets/_Project/Art/Models/Architecture/CC_S16_P2_Architecture_StoreGlass_Left_LOD0.fbx</x:v>
      </x:c>
      <x:c r="O82" s="24" t="str">
        <x:v>d45130bb326b77a45affb4a5e9dffd2d</x:v>
      </x:c>
      <x:c r="P82" s="24" t="str">
        <x:v>Sí</x:v>
      </x:c>
      <x:c r="Q82" s="24" t="str">
        <x:v>Condicionado a autoría/procedencia final</x:v>
      </x:c>
      <x:c r="R82" s="24" t="str">
        <x:v>Solo dentro del producto/build autorizado</x:v>
      </x:c>
      <x:c r="S82" s="24" t="str">
        <x:v>Crédito general del estudio; individual si aplica</x:v>
      </x:c>
      <x:c r="T82" s="24" t="str">
        <x:v>VRM Games / Blas Luis Rocha González</x:v>
      </x:c>
      <x:c r="U82" s="24" t="str">
        <x:v>CURRENT PROJECT ASSET</x:v>
      </x:c>
      <x:c r="V82" s="24" t="str">
        <x:v>CONDITIONALLY APPROVED</x:v>
      </x:c>
      <x:c r="W82" s="24" t="str">
        <x:v>Parcial</x:v>
      </x:c>
      <x:c r="X82" s="24" t="str">
        <x:v>Medium</x:v>
      </x:c>
      <x:c r="Y82" s="24" t="str">
        <x:v>Internal development; public candidate requires gate</x:v>
      </x:c>
      <x:c r="Z82" s="24" t="str">
        <x:v>H6 legal/content audit</x:v>
      </x:c>
      <x:c r="AA82" s="24" t="str">
        <x:v>VRM Games</x:v>
      </x:c>
      <x:c r="AB82" s="24" t="str">
        <x:v>No se detectó proveedor externo en la ruta; confirmar autoría por lote antes de release público.</x:v>
      </x:c>
    </x:row>
    <x:row r="83" ht="34" customHeight="1">
      <x:c r="A83" s="24" t="str">
        <x:v>INT-0079</x:v>
      </x:c>
      <x:c r="B83" s="24" t="str">
        <x:v>974b55e4efe70d5469eb42fe2648baea</x:v>
      </x:c>
      <x:c r="C83" s="24" t="str">
        <x:v>CC_S16_P2_Architecture_StoreGlass_Right_LOD0.fbx</x:v>
      </x:c>
      <x:c r="D83" s="24" t="str">
        <x:v>3D model</x:v>
      </x:c>
      <x:c r="E83" s="24" t="str">
        <x:v>Models</x:v>
      </x:c>
      <x:c r="F83" s="24" t="str">
        <x:v>VRM Games / Blas Luis Rocha González</x:v>
      </x:c>
      <x:c r="G83" s="24" t="str">
        <x:v>VRM Games / Blas Luis Rocha González</x:v>
      </x:c>
      <x:c r="H83" s="24" t="str">
        <x:v>Internal project production</x:v>
      </x:c>
      <x:c r="I83" s="24" t="str">
        <x:v>2026 project timeline</x:v>
      </x:c>
      <x:c r="J83" s="24" t="str">
        <x:v>Internal project IP / authorship claim</x:v>
      </x:c>
      <x:c r="K83" s="24" t="str">
        <x:v>N/A</x:v>
      </x:c>
      <x:c r="L83" s="24" t="str">
        <x:v>Source package + repository path + hash</x:v>
      </x:c>
      <x:c r="M83" s="24" t="str">
        <x:v>d0c5ee92af7552cf0084b2ce2791687daf39a6498b963cb19a4af9e1f305d3e7</x:v>
      </x:c>
      <x:c r="N83" s="24" t="str">
        <x:v>Assets/_Project/Art/Models/Architecture/CC_S16_P2_Architecture_StoreGlass_Right_LOD0.fbx</x:v>
      </x:c>
      <x:c r="O83" s="24" t="str">
        <x:v>974b55e4efe70d5469eb42fe2648baea</x:v>
      </x:c>
      <x:c r="P83" s="24" t="str">
        <x:v>Sí</x:v>
      </x:c>
      <x:c r="Q83" s="24" t="str">
        <x:v>Condicionado a autoría/procedencia final</x:v>
      </x:c>
      <x:c r="R83" s="24" t="str">
        <x:v>Solo dentro del producto/build autorizado</x:v>
      </x:c>
      <x:c r="S83" s="24" t="str">
        <x:v>Crédito general del estudio; individual si aplica</x:v>
      </x:c>
      <x:c r="T83" s="24" t="str">
        <x:v>VRM Games / Blas Luis Rocha González</x:v>
      </x:c>
      <x:c r="U83" s="24" t="str">
        <x:v>CURRENT PROJECT ASSET</x:v>
      </x:c>
      <x:c r="V83" s="24" t="str">
        <x:v>CONDITIONALLY APPROVED</x:v>
      </x:c>
      <x:c r="W83" s="24" t="str">
        <x:v>Parcial</x:v>
      </x:c>
      <x:c r="X83" s="24" t="str">
        <x:v>Medium</x:v>
      </x:c>
      <x:c r="Y83" s="24" t="str">
        <x:v>Internal development; public candidate requires gate</x:v>
      </x:c>
      <x:c r="Z83" s="24" t="str">
        <x:v>H6 legal/content audit</x:v>
      </x:c>
      <x:c r="AA83" s="24" t="str">
        <x:v>VRM Games</x:v>
      </x:c>
      <x:c r="AB83" s="24" t="str">
        <x:v>No se detectó proveedor externo en la ruta; confirmar autoría por lote antes de release público.</x:v>
      </x:c>
    </x:row>
    <x:row r="84" ht="34" customHeight="1">
      <x:c r="A84" s="24" t="str">
        <x:v>INT-0080</x:v>
      </x:c>
      <x:c r="B84" s="24" t="str">
        <x:v>544eb76a67a2bd44a9bec931a4eaba58</x:v>
      </x:c>
      <x:c r="C84" s="24" t="str">
        <x:v>CC_S16_P2_Architecture_StoreSign_LOD0.fbx</x:v>
      </x:c>
      <x:c r="D84" s="24" t="str">
        <x:v>3D model</x:v>
      </x:c>
      <x:c r="E84" s="24" t="str">
        <x:v>Models</x:v>
      </x:c>
      <x:c r="F84" s="24" t="str">
        <x:v>VRM Games / Blas Luis Rocha González</x:v>
      </x:c>
      <x:c r="G84" s="24" t="str">
        <x:v>VRM Games / Blas Luis Rocha González</x:v>
      </x:c>
      <x:c r="H84" s="24" t="str">
        <x:v>Internal project production</x:v>
      </x:c>
      <x:c r="I84" s="24" t="str">
        <x:v>2026 project timeline</x:v>
      </x:c>
      <x:c r="J84" s="24" t="str">
        <x:v>Internal project IP / authorship claim</x:v>
      </x:c>
      <x:c r="K84" s="24" t="str">
        <x:v>N/A</x:v>
      </x:c>
      <x:c r="L84" s="24" t="str">
        <x:v>Source package + repository path + hash</x:v>
      </x:c>
      <x:c r="M84" s="24" t="str">
        <x:v>3d5366d0f15ea0a48ff3d1559c8d84887304f345824702ad3cdb24705b255a4e</x:v>
      </x:c>
      <x:c r="N84" s="24" t="str">
        <x:v>Assets/_Project/Art/Models/Architecture/CC_S16_P2_Architecture_StoreSign_LOD0.fbx</x:v>
      </x:c>
      <x:c r="O84" s="24" t="str">
        <x:v>544eb76a67a2bd44a9bec931a4eaba58</x:v>
      </x:c>
      <x:c r="P84" s="24" t="str">
        <x:v>Sí</x:v>
      </x:c>
      <x:c r="Q84" s="24" t="str">
        <x:v>Condicionado a autoría/procedencia final</x:v>
      </x:c>
      <x:c r="R84" s="24" t="str">
        <x:v>Solo dentro del producto/build autorizado</x:v>
      </x:c>
      <x:c r="S84" s="24" t="str">
        <x:v>Crédito general del estudio; individual si aplica</x:v>
      </x:c>
      <x:c r="T84" s="24" t="str">
        <x:v>VRM Games / Blas Luis Rocha González</x:v>
      </x:c>
      <x:c r="U84" s="24" t="str">
        <x:v>CURRENT PROJECT ASSET</x:v>
      </x:c>
      <x:c r="V84" s="24" t="str">
        <x:v>CONDITIONALLY APPROVED</x:v>
      </x:c>
      <x:c r="W84" s="24" t="str">
        <x:v>Parcial</x:v>
      </x:c>
      <x:c r="X84" s="24" t="str">
        <x:v>Medium</x:v>
      </x:c>
      <x:c r="Y84" s="24" t="str">
        <x:v>Internal development; public candidate requires gate</x:v>
      </x:c>
      <x:c r="Z84" s="24" t="str">
        <x:v>H6 legal/content audit</x:v>
      </x:c>
      <x:c r="AA84" s="24" t="str">
        <x:v>VRM Games</x:v>
      </x:c>
      <x:c r="AB84" s="24" t="str">
        <x:v>No se detectó proveedor externo en la ruta; confirmar autoría por lote antes de release público.</x:v>
      </x:c>
    </x:row>
    <x:row r="85" ht="34" customHeight="1">
      <x:c r="A85" s="24" t="str">
        <x:v>INT-0081</x:v>
      </x:c>
      <x:c r="B85" s="24" t="str">
        <x:v>dee5e71b70190c9479bf738c46653083</x:v>
      </x:c>
      <x:c r="C85" s="24" t="str">
        <x:v>CC_S16_P2_Architecture_StorefrontFacade_LOD0.fbx</x:v>
      </x:c>
      <x:c r="D85" s="24" t="str">
        <x:v>3D model</x:v>
      </x:c>
      <x:c r="E85" s="24" t="str">
        <x:v>Models</x:v>
      </x:c>
      <x:c r="F85" s="24" t="str">
        <x:v>VRM Games / Blas Luis Rocha González</x:v>
      </x:c>
      <x:c r="G85" s="24" t="str">
        <x:v>VRM Games / Blas Luis Rocha González</x:v>
      </x:c>
      <x:c r="H85" s="24" t="str">
        <x:v>Internal project production</x:v>
      </x:c>
      <x:c r="I85" s="24" t="str">
        <x:v>2026 project timeline</x:v>
      </x:c>
      <x:c r="J85" s="24" t="str">
        <x:v>Internal project IP / authorship claim</x:v>
      </x:c>
      <x:c r="K85" s="24" t="str">
        <x:v>N/A</x:v>
      </x:c>
      <x:c r="L85" s="24" t="str">
        <x:v>Source package + repository path + hash</x:v>
      </x:c>
      <x:c r="M85" s="24" t="str">
        <x:v>0acabe2655f122cb5eb528733a0e973d9c8af1f388ebf7ac0bc496f90a7b8155</x:v>
      </x:c>
      <x:c r="N85" s="24" t="str">
        <x:v>Assets/_Project/Art/Models/Architecture/CC_S16_P2_Architecture_StorefrontFacade_LOD0.fbx</x:v>
      </x:c>
      <x:c r="O85" s="24" t="str">
        <x:v>dee5e71b70190c9479bf738c46653083</x:v>
      </x:c>
      <x:c r="P85" s="24" t="str">
        <x:v>Sí</x:v>
      </x:c>
      <x:c r="Q85" s="24" t="str">
        <x:v>Condicionado a autoría/procedencia final</x:v>
      </x:c>
      <x:c r="R85" s="24" t="str">
        <x:v>Solo dentro del producto/build autorizado</x:v>
      </x:c>
      <x:c r="S85" s="24" t="str">
        <x:v>Crédito general del estudio; individual si aplica</x:v>
      </x:c>
      <x:c r="T85" s="24" t="str">
        <x:v>VRM Games / Blas Luis Rocha González</x:v>
      </x:c>
      <x:c r="U85" s="24" t="str">
        <x:v>CURRENT PROJECT ASSET</x:v>
      </x:c>
      <x:c r="V85" s="24" t="str">
        <x:v>CONDITIONALLY APPROVED</x:v>
      </x:c>
      <x:c r="W85" s="24" t="str">
        <x:v>Parcial</x:v>
      </x:c>
      <x:c r="X85" s="24" t="str">
        <x:v>Medium</x:v>
      </x:c>
      <x:c r="Y85" s="24" t="str">
        <x:v>Internal development; public candidate requires gate</x:v>
      </x:c>
      <x:c r="Z85" s="24" t="str">
        <x:v>H6 legal/content audit</x:v>
      </x:c>
      <x:c r="AA85" s="24" t="str">
        <x:v>VRM Games</x:v>
      </x:c>
      <x:c r="AB85" s="24" t="str">
        <x:v>No se detectó proveedor externo en la ruta; confirmar autoría por lote antes de release público.</x:v>
      </x:c>
    </x:row>
    <x:row r="86" ht="34" customHeight="1">
      <x:c r="A86" s="24" t="str">
        <x:v>INT-0082</x:v>
      </x:c>
      <x:c r="B86" s="24" t="str">
        <x:v>4aa586a80c309e041a20c6c55a8247d0</x:v>
      </x:c>
      <x:c r="C86" s="24" t="str">
        <x:v>CC_S16_P2_Architecture_Wall_100_LOD0.fbx</x:v>
      </x:c>
      <x:c r="D86" s="24" t="str">
        <x:v>3D model</x:v>
      </x:c>
      <x:c r="E86" s="24" t="str">
        <x:v>Models</x:v>
      </x:c>
      <x:c r="F86" s="24" t="str">
        <x:v>VRM Games / Blas Luis Rocha González</x:v>
      </x:c>
      <x:c r="G86" s="24" t="str">
        <x:v>VRM Games / Blas Luis Rocha González</x:v>
      </x:c>
      <x:c r="H86" s="24" t="str">
        <x:v>Internal project production</x:v>
      </x:c>
      <x:c r="I86" s="24" t="str">
        <x:v>2026 project timeline</x:v>
      </x:c>
      <x:c r="J86" s="24" t="str">
        <x:v>Internal project IP / authorship claim</x:v>
      </x:c>
      <x:c r="K86" s="24" t="str">
        <x:v>N/A</x:v>
      </x:c>
      <x:c r="L86" s="24" t="str">
        <x:v>Source package + repository path + hash</x:v>
      </x:c>
      <x:c r="M86" s="24" t="str">
        <x:v>99d686bd4ac96fc67445f9b3f5a100d3ee56f9254373f34eff966cf00747acfc</x:v>
      </x:c>
      <x:c r="N86" s="24" t="str">
        <x:v>Assets/_Project/Art/Models/Architecture/CC_S16_P2_Architecture_Wall_100_LOD0.fbx</x:v>
      </x:c>
      <x:c r="O86" s="24" t="str">
        <x:v>4aa586a80c309e041a20c6c55a8247d0</x:v>
      </x:c>
      <x:c r="P86" s="24" t="str">
        <x:v>Sí</x:v>
      </x:c>
      <x:c r="Q86" s="24" t="str">
        <x:v>Condicionado a autoría/procedencia final</x:v>
      </x:c>
      <x:c r="R86" s="24" t="str">
        <x:v>Solo dentro del producto/build autorizado</x:v>
      </x:c>
      <x:c r="S86" s="24" t="str">
        <x:v>Crédito general del estudio; individual si aplica</x:v>
      </x:c>
      <x:c r="T86" s="24" t="str">
        <x:v>VRM Games / Blas Luis Rocha González</x:v>
      </x:c>
      <x:c r="U86" s="24" t="str">
        <x:v>CURRENT PROJECT ASSET</x:v>
      </x:c>
      <x:c r="V86" s="24" t="str">
        <x:v>CONDITIONALLY APPROVED</x:v>
      </x:c>
      <x:c r="W86" s="24" t="str">
        <x:v>Parcial</x:v>
      </x:c>
      <x:c r="X86" s="24" t="str">
        <x:v>Medium</x:v>
      </x:c>
      <x:c r="Y86" s="24" t="str">
        <x:v>Internal development; public candidate requires gate</x:v>
      </x:c>
      <x:c r="Z86" s="24" t="str">
        <x:v>H6 legal/content audit</x:v>
      </x:c>
      <x:c r="AA86" s="24" t="str">
        <x:v>VRM Games</x:v>
      </x:c>
      <x:c r="AB86" s="24" t="str">
        <x:v>No se detectó proveedor externo en la ruta; confirmar autoría por lote antes de release público.</x:v>
      </x:c>
    </x:row>
    <x:row r="87" ht="34" customHeight="1">
      <x:c r="A87" s="24" t="str">
        <x:v>INT-0083</x:v>
      </x:c>
      <x:c r="B87" s="24" t="str">
        <x:v>e353e2191b0a90941bdefad00d9960d4</x:v>
      </x:c>
      <x:c r="C87" s="24" t="str">
        <x:v>CC_S16_P2_Architecture_Wall_200_LOD0.fbx</x:v>
      </x:c>
      <x:c r="D87" s="24" t="str">
        <x:v>3D model</x:v>
      </x:c>
      <x:c r="E87" s="24" t="str">
        <x:v>Models</x:v>
      </x:c>
      <x:c r="F87" s="24" t="str">
        <x:v>VRM Games / Blas Luis Rocha González</x:v>
      </x:c>
      <x:c r="G87" s="24" t="str">
        <x:v>VRM Games / Blas Luis Rocha González</x:v>
      </x:c>
      <x:c r="H87" s="24" t="str">
        <x:v>Internal project production</x:v>
      </x:c>
      <x:c r="I87" s="24" t="str">
        <x:v>2026 project timeline</x:v>
      </x:c>
      <x:c r="J87" s="24" t="str">
        <x:v>Internal project IP / authorship claim</x:v>
      </x:c>
      <x:c r="K87" s="24" t="str">
        <x:v>N/A</x:v>
      </x:c>
      <x:c r="L87" s="24" t="str">
        <x:v>Source package + repository path + hash</x:v>
      </x:c>
      <x:c r="M87" s="24" t="str">
        <x:v>2bbcbe4f8b54af34b000c0948c18c48a17f4cc4f3b0c229db2718d39baecadf6</x:v>
      </x:c>
      <x:c r="N87" s="24" t="str">
        <x:v>Assets/_Project/Art/Models/Architecture/CC_S16_P2_Architecture_Wall_200_LOD0.fbx</x:v>
      </x:c>
      <x:c r="O87" s="24" t="str">
        <x:v>e353e2191b0a90941bdefad00d9960d4</x:v>
      </x:c>
      <x:c r="P87" s="24" t="str">
        <x:v>Sí</x:v>
      </x:c>
      <x:c r="Q87" s="24" t="str">
        <x:v>Condicionado a autoría/procedencia final</x:v>
      </x:c>
      <x:c r="R87" s="24" t="str">
        <x:v>Solo dentro del producto/build autorizado</x:v>
      </x:c>
      <x:c r="S87" s="24" t="str">
        <x:v>Crédito general del estudio; individual si aplica</x:v>
      </x:c>
      <x:c r="T87" s="24" t="str">
        <x:v>VRM Games / Blas Luis Rocha González</x:v>
      </x:c>
      <x:c r="U87" s="24" t="str">
        <x:v>CURRENT PROJECT ASSET</x:v>
      </x:c>
      <x:c r="V87" s="24" t="str">
        <x:v>CONDITIONALLY APPROVED</x:v>
      </x:c>
      <x:c r="W87" s="24" t="str">
        <x:v>Parcial</x:v>
      </x:c>
      <x:c r="X87" s="24" t="str">
        <x:v>Medium</x:v>
      </x:c>
      <x:c r="Y87" s="24" t="str">
        <x:v>Internal development; public candidate requires gate</x:v>
      </x:c>
      <x:c r="Z87" s="24" t="str">
        <x:v>H6 legal/content audit</x:v>
      </x:c>
      <x:c r="AA87" s="24" t="str">
        <x:v>VRM Games</x:v>
      </x:c>
      <x:c r="AB87" s="24" t="str">
        <x:v>No se detectó proveedor externo en la ruta; confirmar autoría por lote antes de release público.</x:v>
      </x:c>
    </x:row>
    <x:row r="88" ht="34" customHeight="1">
      <x:c r="A88" s="24" t="str">
        <x:v>INT-0084</x:v>
      </x:c>
      <x:c r="B88" s="24" t="str">
        <x:v>b824b8033d3d90845a4ed0be74f084af</x:v>
      </x:c>
      <x:c r="C88" s="24" t="str">
        <x:v>CC_S16_P2_Architecture_Wall_400_LOD0.fbx</x:v>
      </x:c>
      <x:c r="D88" s="24" t="str">
        <x:v>3D model</x:v>
      </x:c>
      <x:c r="E88" s="24" t="str">
        <x:v>Models</x:v>
      </x:c>
      <x:c r="F88" s="24" t="str">
        <x:v>VRM Games / Blas Luis Rocha González</x:v>
      </x:c>
      <x:c r="G88" s="24" t="str">
        <x:v>VRM Games / Blas Luis Rocha González</x:v>
      </x:c>
      <x:c r="H88" s="24" t="str">
        <x:v>Internal project production</x:v>
      </x:c>
      <x:c r="I88" s="24" t="str">
        <x:v>2026 project timeline</x:v>
      </x:c>
      <x:c r="J88" s="24" t="str">
        <x:v>Internal project IP / authorship claim</x:v>
      </x:c>
      <x:c r="K88" s="24" t="str">
        <x:v>N/A</x:v>
      </x:c>
      <x:c r="L88" s="24" t="str">
        <x:v>Source package + repository path + hash</x:v>
      </x:c>
      <x:c r="M88" s="24" t="str">
        <x:v>c8918845a74e8dca892cc9b88a3c516923c6b05952704784e3dfea9ccebd5b88</x:v>
      </x:c>
      <x:c r="N88" s="24" t="str">
        <x:v>Assets/_Project/Art/Models/Architecture/CC_S16_P2_Architecture_Wall_400_LOD0.fbx</x:v>
      </x:c>
      <x:c r="O88" s="24" t="str">
        <x:v>b824b8033d3d90845a4ed0be74f084af</x:v>
      </x:c>
      <x:c r="P88" s="24" t="str">
        <x:v>Sí</x:v>
      </x:c>
      <x:c r="Q88" s="24" t="str">
        <x:v>Condicionado a autoría/procedencia final</x:v>
      </x:c>
      <x:c r="R88" s="24" t="str">
        <x:v>Solo dentro del producto/build autorizado</x:v>
      </x:c>
      <x:c r="S88" s="24" t="str">
        <x:v>Crédito general del estudio; individual si aplica</x:v>
      </x:c>
      <x:c r="T88" s="24" t="str">
        <x:v>VRM Games / Blas Luis Rocha González</x:v>
      </x:c>
      <x:c r="U88" s="24" t="str">
        <x:v>CURRENT PROJECT ASSET</x:v>
      </x:c>
      <x:c r="V88" s="24" t="str">
        <x:v>CONDITIONALLY APPROVED</x:v>
      </x:c>
      <x:c r="W88" s="24" t="str">
        <x:v>Parcial</x:v>
      </x:c>
      <x:c r="X88" s="24" t="str">
        <x:v>Medium</x:v>
      </x:c>
      <x:c r="Y88" s="24" t="str">
        <x:v>Internal development; public candidate requires gate</x:v>
      </x:c>
      <x:c r="Z88" s="24" t="str">
        <x:v>H6 legal/content audit</x:v>
      </x:c>
      <x:c r="AA88" s="24" t="str">
        <x:v>VRM Games</x:v>
      </x:c>
      <x:c r="AB88" s="24" t="str">
        <x:v>No se detectó proveedor externo en la ruta; confirmar autoría por lote antes de release público.</x:v>
      </x:c>
    </x:row>
    <x:row r="89" ht="34" customHeight="1">
      <x:c r="A89" s="24" t="str">
        <x:v>INT-0085</x:v>
      </x:c>
      <x:c r="B89" s="24" t="str">
        <x:v>e641408631203c349abeb5059cb863fa</x:v>
      </x:c>
      <x:c r="C89" s="24" t="str">
        <x:v>CC_S16_P2_Architecture_ZoneBackroom_LOD0.fbx</x:v>
      </x:c>
      <x:c r="D89" s="24" t="str">
        <x:v>3D model</x:v>
      </x:c>
      <x:c r="E89" s="24" t="str">
        <x:v>Models</x:v>
      </x:c>
      <x:c r="F89" s="24" t="str">
        <x:v>VRM Games / Blas Luis Rocha González</x:v>
      </x:c>
      <x:c r="G89" s="24" t="str">
        <x:v>VRM Games / Blas Luis Rocha González</x:v>
      </x:c>
      <x:c r="H89" s="24" t="str">
        <x:v>Internal project production</x:v>
      </x:c>
      <x:c r="I89" s="24" t="str">
        <x:v>2026 project timeline</x:v>
      </x:c>
      <x:c r="J89" s="24" t="str">
        <x:v>Internal project IP / authorship claim</x:v>
      </x:c>
      <x:c r="K89" s="24" t="str">
        <x:v>N/A</x:v>
      </x:c>
      <x:c r="L89" s="24" t="str">
        <x:v>Source package + repository path + hash</x:v>
      </x:c>
      <x:c r="M89" s="24" t="str">
        <x:v>f743b353bd8f2e863758b034407e7c8d052ed55bd278dc6b3e55e981263c91d1</x:v>
      </x:c>
      <x:c r="N89" s="24" t="str">
        <x:v>Assets/_Project/Art/Models/Architecture/CC_S16_P2_Architecture_ZoneBackroom_LOD0.fbx</x:v>
      </x:c>
      <x:c r="O89" s="24" t="str">
        <x:v>e641408631203c349abeb5059cb863fa</x:v>
      </x:c>
      <x:c r="P89" s="24" t="str">
        <x:v>Sí</x:v>
      </x:c>
      <x:c r="Q89" s="24" t="str">
        <x:v>Condicionado a autoría/procedencia final</x:v>
      </x:c>
      <x:c r="R89" s="24" t="str">
        <x:v>Solo dentro del producto/build autorizado</x:v>
      </x:c>
      <x:c r="S89" s="24" t="str">
        <x:v>Crédito general del estudio; individual si aplica</x:v>
      </x:c>
      <x:c r="T89" s="24" t="str">
        <x:v>VRM Games / Blas Luis Rocha González</x:v>
      </x:c>
      <x:c r="U89" s="24" t="str">
        <x:v>CURRENT PROJECT ASSET</x:v>
      </x:c>
      <x:c r="V89" s="24" t="str">
        <x:v>CONDITIONALLY APPROVED</x:v>
      </x:c>
      <x:c r="W89" s="24" t="str">
        <x:v>Parcial</x:v>
      </x:c>
      <x:c r="X89" s="24" t="str">
        <x:v>Medium</x:v>
      </x:c>
      <x:c r="Y89" s="24" t="str">
        <x:v>Internal development; public candidate requires gate</x:v>
      </x:c>
      <x:c r="Z89" s="24" t="str">
        <x:v>H6 legal/content audit</x:v>
      </x:c>
      <x:c r="AA89" s="24" t="str">
        <x:v>VRM Games</x:v>
      </x:c>
      <x:c r="AB89" s="24" t="str">
        <x:v>No se detectó proveedor externo en la ruta; confirmar autoría por lote antes de release público.</x:v>
      </x:c>
    </x:row>
    <x:row r="90" ht="34" customHeight="1">
      <x:c r="A90" s="24" t="str">
        <x:v>INT-0086</x:v>
      </x:c>
      <x:c r="B90" s="24" t="str">
        <x:v>9b63907c5be795240a22c773ad61a3b0</x:v>
      </x:c>
      <x:c r="C90" s="24" t="str">
        <x:v>CC_S16_P2_Architecture_ZoneCheckout_LOD0.fbx</x:v>
      </x:c>
      <x:c r="D90" s="24" t="str">
        <x:v>3D model</x:v>
      </x:c>
      <x:c r="E90" s="24" t="str">
        <x:v>Models</x:v>
      </x:c>
      <x:c r="F90" s="24" t="str">
        <x:v>VRM Games / Blas Luis Rocha González</x:v>
      </x:c>
      <x:c r="G90" s="24" t="str">
        <x:v>VRM Games / Blas Luis Rocha González</x:v>
      </x:c>
      <x:c r="H90" s="24" t="str">
        <x:v>Internal project production</x:v>
      </x:c>
      <x:c r="I90" s="24" t="str">
        <x:v>2026 project timeline</x:v>
      </x:c>
      <x:c r="J90" s="24" t="str">
        <x:v>Internal project IP / authorship claim</x:v>
      </x:c>
      <x:c r="K90" s="24" t="str">
        <x:v>N/A</x:v>
      </x:c>
      <x:c r="L90" s="24" t="str">
        <x:v>Source package + repository path + hash</x:v>
      </x:c>
      <x:c r="M90" s="24" t="str">
        <x:v>dfcc527c11094d7feaf92e28e07c0bb7278b3a8101c8686d18b18e42e8f3096d</x:v>
      </x:c>
      <x:c r="N90" s="24" t="str">
        <x:v>Assets/_Project/Art/Models/Architecture/CC_S16_P2_Architecture_ZoneCheckout_LOD0.fbx</x:v>
      </x:c>
      <x:c r="O90" s="24" t="str">
        <x:v>9b63907c5be795240a22c773ad61a3b0</x:v>
      </x:c>
      <x:c r="P90" s="24" t="str">
        <x:v>Sí</x:v>
      </x:c>
      <x:c r="Q90" s="24" t="str">
        <x:v>Condicionado a autoría/procedencia final</x:v>
      </x:c>
      <x:c r="R90" s="24" t="str">
        <x:v>Solo dentro del producto/build autorizado</x:v>
      </x:c>
      <x:c r="S90" s="24" t="str">
        <x:v>Crédito general del estudio; individual si aplica</x:v>
      </x:c>
      <x:c r="T90" s="24" t="str">
        <x:v>VRM Games / Blas Luis Rocha González</x:v>
      </x:c>
      <x:c r="U90" s="24" t="str">
        <x:v>CURRENT PROJECT ASSET</x:v>
      </x:c>
      <x:c r="V90" s="24" t="str">
        <x:v>CONDITIONALLY APPROVED</x:v>
      </x:c>
      <x:c r="W90" s="24" t="str">
        <x:v>Parcial</x:v>
      </x:c>
      <x:c r="X90" s="24" t="str">
        <x:v>Medium</x:v>
      </x:c>
      <x:c r="Y90" s="24" t="str">
        <x:v>Internal development; public candidate requires gate</x:v>
      </x:c>
      <x:c r="Z90" s="24" t="str">
        <x:v>H6 legal/content audit</x:v>
      </x:c>
      <x:c r="AA90" s="24" t="str">
        <x:v>VRM Games</x:v>
      </x:c>
      <x:c r="AB90" s="24" t="str">
        <x:v>No se detectó proveedor externo en la ruta; confirmar autoría por lote antes de release público.</x:v>
      </x:c>
    </x:row>
    <x:row r="91" ht="34" customHeight="1">
      <x:c r="A91" s="24" t="str">
        <x:v>INT-0087</x:v>
      </x:c>
      <x:c r="B91" s="24" t="str">
        <x:v>065bf64b81b82ee44b01b10ed498673f</x:v>
      </x:c>
      <x:c r="C91" s="24" t="str">
        <x:v>CC_S16_P2_Architecture_ZoneReceiving_LOD0.fbx</x:v>
      </x:c>
      <x:c r="D91" s="24" t="str">
        <x:v>3D model</x:v>
      </x:c>
      <x:c r="E91" s="24" t="str">
        <x:v>Models</x:v>
      </x:c>
      <x:c r="F91" s="24" t="str">
        <x:v>VRM Games / Blas Luis Rocha González</x:v>
      </x:c>
      <x:c r="G91" s="24" t="str">
        <x:v>VRM Games / Blas Luis Rocha González</x:v>
      </x:c>
      <x:c r="H91" s="24" t="str">
        <x:v>Internal project production</x:v>
      </x:c>
      <x:c r="I91" s="24" t="str">
        <x:v>2026 project timeline</x:v>
      </x:c>
      <x:c r="J91" s="24" t="str">
        <x:v>Internal project IP / authorship claim</x:v>
      </x:c>
      <x:c r="K91" s="24" t="str">
        <x:v>N/A</x:v>
      </x:c>
      <x:c r="L91" s="24" t="str">
        <x:v>Source package + repository path + hash</x:v>
      </x:c>
      <x:c r="M91" s="24" t="str">
        <x:v>112f1cb074ac24efca52c9fea068ddca1bdee154433c098ac7e020efa6991cdf</x:v>
      </x:c>
      <x:c r="N91" s="24" t="str">
        <x:v>Assets/_Project/Art/Models/Architecture/CC_S16_P2_Architecture_ZoneReceiving_LOD0.fbx</x:v>
      </x:c>
      <x:c r="O91" s="24" t="str">
        <x:v>065bf64b81b82ee44b01b10ed498673f</x:v>
      </x:c>
      <x:c r="P91" s="24" t="str">
        <x:v>Sí</x:v>
      </x:c>
      <x:c r="Q91" s="24" t="str">
        <x:v>Condicionado a autoría/procedencia final</x:v>
      </x:c>
      <x:c r="R91" s="24" t="str">
        <x:v>Solo dentro del producto/build autorizado</x:v>
      </x:c>
      <x:c r="S91" s="24" t="str">
        <x:v>Crédito general del estudio; individual si aplica</x:v>
      </x:c>
      <x:c r="T91" s="24" t="str">
        <x:v>VRM Games / Blas Luis Rocha González</x:v>
      </x:c>
      <x:c r="U91" s="24" t="str">
        <x:v>CURRENT PROJECT ASSET</x:v>
      </x:c>
      <x:c r="V91" s="24" t="str">
        <x:v>CONDITIONALLY APPROVED</x:v>
      </x:c>
      <x:c r="W91" s="24" t="str">
        <x:v>Parcial</x:v>
      </x:c>
      <x:c r="X91" s="24" t="str">
        <x:v>Medium</x:v>
      </x:c>
      <x:c r="Y91" s="24" t="str">
        <x:v>Internal development; public candidate requires gate</x:v>
      </x:c>
      <x:c r="Z91" s="24" t="str">
        <x:v>H6 legal/content audit</x:v>
      </x:c>
      <x:c r="AA91" s="24" t="str">
        <x:v>VRM Games</x:v>
      </x:c>
      <x:c r="AB91" s="24" t="str">
        <x:v>No se detectó proveedor externo en la ruta; confirmar autoría por lote antes de release público.</x:v>
      </x:c>
    </x:row>
    <x:row r="92" ht="34" customHeight="1">
      <x:c r="A92" s="24" t="str">
        <x:v>INT-0088</x:v>
      </x:c>
      <x:c r="B92" s="24" t="str">
        <x:v>e6b4d7fe891fb2e4e970d5089bb7596d</x:v>
      </x:c>
      <x:c r="C92" s="24" t="str">
        <x:v>CC_S16_P2_Expansion_Digital_CodeCardRack_LOD0.fbx</x:v>
      </x:c>
      <x:c r="D92" s="24" t="str">
        <x:v>3D model</x:v>
      </x:c>
      <x:c r="E92" s="24" t="str">
        <x:v>Models</x:v>
      </x:c>
      <x:c r="F92" s="24" t="str">
        <x:v>VRM Games / Blas Luis Rocha González</x:v>
      </x:c>
      <x:c r="G92" s="24" t="str">
        <x:v>VRM Games / Blas Luis Rocha González</x:v>
      </x:c>
      <x:c r="H92" s="24" t="str">
        <x:v>Internal project production</x:v>
      </x:c>
      <x:c r="I92" s="24" t="str">
        <x:v>2026 project timeline</x:v>
      </x:c>
      <x:c r="J92" s="24" t="str">
        <x:v>Internal project IP / authorship claim</x:v>
      </x:c>
      <x:c r="K92" s="24" t="str">
        <x:v>N/A</x:v>
      </x:c>
      <x:c r="L92" s="24" t="str">
        <x:v>Source package + repository path + hash</x:v>
      </x:c>
      <x:c r="M92" s="24" t="str">
        <x:v>8d69e014f7a6709110357898a9562ae96c268ebcaadd21281cad768ee793795d</x:v>
      </x:c>
      <x:c r="N92" s="24" t="str">
        <x:v>Assets/_Project/Art/Models/Expansions/CC_S16_P2_Expansion_Digital_CodeCardRack_LOD0.fbx</x:v>
      </x:c>
      <x:c r="O92" s="24" t="str">
        <x:v>e6b4d7fe891fb2e4e970d5089bb7596d</x:v>
      </x:c>
      <x:c r="P92" s="24" t="str">
        <x:v>Sí</x:v>
      </x:c>
      <x:c r="Q92" s="24" t="str">
        <x:v>Condicionado a autoría/procedencia final</x:v>
      </x:c>
      <x:c r="R92" s="24" t="str">
        <x:v>Solo dentro del producto/build autorizado</x:v>
      </x:c>
      <x:c r="S92" s="24" t="str">
        <x:v>Crédito general del estudio; individual si aplica</x:v>
      </x:c>
      <x:c r="T92" s="24" t="str">
        <x:v>VRM Games / Blas Luis Rocha González</x:v>
      </x:c>
      <x:c r="U92" s="24" t="str">
        <x:v>VISION / NOT OPEN</x:v>
      </x:c>
      <x:c r="V92" s="24" t="str">
        <x:v>NOT AUTHORIZED</x:v>
      </x:c>
      <x:c r="W92" s="24" t="str">
        <x:v>Parcial</x:v>
      </x:c>
      <x:c r="X92" s="24" t="str">
        <x:v>Medium</x:v>
      </x:c>
      <x:c r="Y92" s="24" t="str">
        <x:v>Internal development; public candidate requires gate</x:v>
      </x:c>
      <x:c r="Z92" s="24" t="str">
        <x:v>H6 legal/content audit</x:v>
      </x:c>
      <x:c r="AA92" s="24" t="str">
        <x:v>VRM Games</x:v>
      </x:c>
      <x:c r="AB92" s="24" t="str">
        <x:v>No se detectó proveedor externo en la ruta; confirmar autoría por lote antes de release público.</x:v>
      </x:c>
    </x:row>
    <x:row r="93" ht="34" customHeight="1">
      <x:c r="A93" s="24" t="str">
        <x:v>INT-0089</x:v>
      </x:c>
      <x:c r="B93" s="24" t="str">
        <x:v>2c8ff385e33e790438ae7f4fb327391b</x:v>
      </x:c>
      <x:c r="C93" s="24" t="str">
        <x:v>CC_S16_P2_Expansion_Digital_Kiosk_LOD0.fbx</x:v>
      </x:c>
      <x:c r="D93" s="24" t="str">
        <x:v>3D model</x:v>
      </x:c>
      <x:c r="E93" s="24" t="str">
        <x:v>Models</x:v>
      </x:c>
      <x:c r="F93" s="24" t="str">
        <x:v>VRM Games / Blas Luis Rocha González</x:v>
      </x:c>
      <x:c r="G93" s="24" t="str">
        <x:v>VRM Games / Blas Luis Rocha González</x:v>
      </x:c>
      <x:c r="H93" s="24" t="str">
        <x:v>Internal project production</x:v>
      </x:c>
      <x:c r="I93" s="24" t="str">
        <x:v>2026 project timeline</x:v>
      </x:c>
      <x:c r="J93" s="24" t="str">
        <x:v>Internal project IP / authorship claim</x:v>
      </x:c>
      <x:c r="K93" s="24" t="str">
        <x:v>N/A</x:v>
      </x:c>
      <x:c r="L93" s="24" t="str">
        <x:v>Source package + repository path + hash</x:v>
      </x:c>
      <x:c r="M93" s="24" t="str">
        <x:v>5906c221011dcf5ab71756b77626e5b15cf12c46f7c1a7c9cb72932de18e41f3</x:v>
      </x:c>
      <x:c r="N93" s="24" t="str">
        <x:v>Assets/_Project/Art/Models/Expansions/CC_S16_P2_Expansion_Digital_Kiosk_LOD0.fbx</x:v>
      </x:c>
      <x:c r="O93" s="24" t="str">
        <x:v>2c8ff385e33e790438ae7f4fb327391b</x:v>
      </x:c>
      <x:c r="P93" s="24" t="str">
        <x:v>Sí</x:v>
      </x:c>
      <x:c r="Q93" s="24" t="str">
        <x:v>Condicionado a autoría/procedencia final</x:v>
      </x:c>
      <x:c r="R93" s="24" t="str">
        <x:v>Solo dentro del producto/build autorizado</x:v>
      </x:c>
      <x:c r="S93" s="24" t="str">
        <x:v>Crédito general del estudio; individual si aplica</x:v>
      </x:c>
      <x:c r="T93" s="24" t="str">
        <x:v>VRM Games / Blas Luis Rocha González</x:v>
      </x:c>
      <x:c r="U93" s="24" t="str">
        <x:v>VISION / NOT OPEN</x:v>
      </x:c>
      <x:c r="V93" s="24" t="str">
        <x:v>NOT AUTHORIZED</x:v>
      </x:c>
      <x:c r="W93" s="24" t="str">
        <x:v>Parcial</x:v>
      </x:c>
      <x:c r="X93" s="24" t="str">
        <x:v>Medium</x:v>
      </x:c>
      <x:c r="Y93" s="24" t="str">
        <x:v>Internal development; public candidate requires gate</x:v>
      </x:c>
      <x:c r="Z93" s="24" t="str">
        <x:v>H6 legal/content audit</x:v>
      </x:c>
      <x:c r="AA93" s="24" t="str">
        <x:v>VRM Games</x:v>
      </x:c>
      <x:c r="AB93" s="24" t="str">
        <x:v>No se detectó proveedor externo en la ruta; confirmar autoría por lote antes de release público.</x:v>
      </x:c>
    </x:row>
    <x:row r="94" ht="34" customHeight="1">
      <x:c r="A94" s="24" t="str">
        <x:v>INT-0090</x:v>
      </x:c>
      <x:c r="B94" s="24" t="str">
        <x:v>2143c4f0a77adb84fb538b257198b550</x:v>
      </x:c>
      <x:c r="C94" s="24" t="str">
        <x:v>CC_S16_P2_Expansion_Ecommerce_OrderDesk_LOD0.fbx</x:v>
      </x:c>
      <x:c r="D94" s="24" t="str">
        <x:v>3D model</x:v>
      </x:c>
      <x:c r="E94" s="24" t="str">
        <x:v>Models</x:v>
      </x:c>
      <x:c r="F94" s="24" t="str">
        <x:v>VRM Games / Blas Luis Rocha González</x:v>
      </x:c>
      <x:c r="G94" s="24" t="str">
        <x:v>VRM Games / Blas Luis Rocha González</x:v>
      </x:c>
      <x:c r="H94" s="24" t="str">
        <x:v>Internal project production</x:v>
      </x:c>
      <x:c r="I94" s="24" t="str">
        <x:v>2026 project timeline</x:v>
      </x:c>
      <x:c r="J94" s="24" t="str">
        <x:v>Internal project IP / authorship claim</x:v>
      </x:c>
      <x:c r="K94" s="24" t="str">
        <x:v>N/A</x:v>
      </x:c>
      <x:c r="L94" s="24" t="str">
        <x:v>Source package + repository path + hash</x:v>
      </x:c>
      <x:c r="M94" s="24" t="str">
        <x:v>e3fd82002353740cb7e1c66d306501c2ecfbe9751340ef5384a6ff986d745a9c</x:v>
      </x:c>
      <x:c r="N94" s="24" t="str">
        <x:v>Assets/_Project/Art/Models/Expansions/CC_S16_P2_Expansion_Ecommerce_OrderDesk_LOD0.fbx</x:v>
      </x:c>
      <x:c r="O94" s="24" t="str">
        <x:v>2143c4f0a77adb84fb538b257198b550</x:v>
      </x:c>
      <x:c r="P94" s="24" t="str">
        <x:v>Sí</x:v>
      </x:c>
      <x:c r="Q94" s="24" t="str">
        <x:v>Condicionado a autoría/procedencia final</x:v>
      </x:c>
      <x:c r="R94" s="24" t="str">
        <x:v>Solo dentro del producto/build autorizado</x:v>
      </x:c>
      <x:c r="S94" s="24" t="str">
        <x:v>Crédito general del estudio; individual si aplica</x:v>
      </x:c>
      <x:c r="T94" s="24" t="str">
        <x:v>VRM Games / Blas Luis Rocha González</x:v>
      </x:c>
      <x:c r="U94" s="24" t="str">
        <x:v>VISION / NOT OPEN</x:v>
      </x:c>
      <x:c r="V94" s="24" t="str">
        <x:v>NOT AUTHORIZED</x:v>
      </x:c>
      <x:c r="W94" s="24" t="str">
        <x:v>Parcial</x:v>
      </x:c>
      <x:c r="X94" s="24" t="str">
        <x:v>Medium</x:v>
      </x:c>
      <x:c r="Y94" s="24" t="str">
        <x:v>Internal development; public candidate requires gate</x:v>
      </x:c>
      <x:c r="Z94" s="24" t="str">
        <x:v>H6 legal/content audit</x:v>
      </x:c>
      <x:c r="AA94" s="24" t="str">
        <x:v>VRM Games</x:v>
      </x:c>
      <x:c r="AB94" s="24" t="str">
        <x:v>No se detectó proveedor externo en la ruta; confirmar autoría por lote antes de release público.</x:v>
      </x:c>
    </x:row>
    <x:row r="95" ht="34" customHeight="1">
      <x:c r="A95" s="24" t="str">
        <x:v>INT-0091</x:v>
      </x:c>
      <x:c r="B95" s="24" t="str">
        <x:v>24c54534aabefea448bb311c1801f05a</x:v>
      </x:c>
      <x:c r="C95" s="24" t="str">
        <x:v>CC_S16_P2_Expansion_Ecommerce_SortBins_LOD0.fbx</x:v>
      </x:c>
      <x:c r="D95" s="24" t="str">
        <x:v>3D model</x:v>
      </x:c>
      <x:c r="E95" s="24" t="str">
        <x:v>Models</x:v>
      </x:c>
      <x:c r="F95" s="24" t="str">
        <x:v>VRM Games / Blas Luis Rocha González</x:v>
      </x:c>
      <x:c r="G95" s="24" t="str">
        <x:v>VRM Games / Blas Luis Rocha González</x:v>
      </x:c>
      <x:c r="H95" s="24" t="str">
        <x:v>Internal project production</x:v>
      </x:c>
      <x:c r="I95" s="24" t="str">
        <x:v>2026 project timeline</x:v>
      </x:c>
      <x:c r="J95" s="24" t="str">
        <x:v>Internal project IP / authorship claim</x:v>
      </x:c>
      <x:c r="K95" s="24" t="str">
        <x:v>N/A</x:v>
      </x:c>
      <x:c r="L95" s="24" t="str">
        <x:v>Source package + repository path + hash</x:v>
      </x:c>
      <x:c r="M95" s="24" t="str">
        <x:v>c87ad746c00902282f0c92af8daf49dd7398f51b8a242dac01d24b09769340b5</x:v>
      </x:c>
      <x:c r="N95" s="24" t="str">
        <x:v>Assets/_Project/Art/Models/Expansions/CC_S16_P2_Expansion_Ecommerce_SortBins_LOD0.fbx</x:v>
      </x:c>
      <x:c r="O95" s="24" t="str">
        <x:v>24c54534aabefea448bb311c1801f05a</x:v>
      </x:c>
      <x:c r="P95" s="24" t="str">
        <x:v>Sí</x:v>
      </x:c>
      <x:c r="Q95" s="24" t="str">
        <x:v>Condicionado a autoría/procedencia final</x:v>
      </x:c>
      <x:c r="R95" s="24" t="str">
        <x:v>Solo dentro del producto/build autorizado</x:v>
      </x:c>
      <x:c r="S95" s="24" t="str">
        <x:v>Crédito general del estudio; individual si aplica</x:v>
      </x:c>
      <x:c r="T95" s="24" t="str">
        <x:v>VRM Games / Blas Luis Rocha González</x:v>
      </x:c>
      <x:c r="U95" s="24" t="str">
        <x:v>VISION / NOT OPEN</x:v>
      </x:c>
      <x:c r="V95" s="24" t="str">
        <x:v>NOT AUTHORIZED</x:v>
      </x:c>
      <x:c r="W95" s="24" t="str">
        <x:v>Parcial</x:v>
      </x:c>
      <x:c r="X95" s="24" t="str">
        <x:v>Medium</x:v>
      </x:c>
      <x:c r="Y95" s="24" t="str">
        <x:v>Internal development; public candidate requires gate</x:v>
      </x:c>
      <x:c r="Z95" s="24" t="str">
        <x:v>H6 legal/content audit</x:v>
      </x:c>
      <x:c r="AA95" s="24" t="str">
        <x:v>VRM Games</x:v>
      </x:c>
      <x:c r="AB95" s="24" t="str">
        <x:v>No se detectó proveedor externo en la ruta; confirmar autoría por lote antes de release público.</x:v>
      </x:c>
    </x:row>
    <x:row r="96" ht="34" customHeight="1">
      <x:c r="A96" s="24" t="str">
        <x:v>INT-0092</x:v>
      </x:c>
      <x:c r="B96" s="24" t="str">
        <x:v>b04ecb2fb4854264987e00391cbd02ad</x:v>
      </x:c>
      <x:c r="C96" s="24" t="str">
        <x:v>CC_S16_P2_Expansion_Logistics_Conveyor_LOD0.fbx</x:v>
      </x:c>
      <x:c r="D96" s="24" t="str">
        <x:v>3D model</x:v>
      </x:c>
      <x:c r="E96" s="24" t="str">
        <x:v>Models</x:v>
      </x:c>
      <x:c r="F96" s="24" t="str">
        <x:v>VRM Games / Blas Luis Rocha González</x:v>
      </x:c>
      <x:c r="G96" s="24" t="str">
        <x:v>VRM Games / Blas Luis Rocha González</x:v>
      </x:c>
      <x:c r="H96" s="24" t="str">
        <x:v>Internal project production</x:v>
      </x:c>
      <x:c r="I96" s="24" t="str">
        <x:v>2026 project timeline</x:v>
      </x:c>
      <x:c r="J96" s="24" t="str">
        <x:v>Internal project IP / authorship claim</x:v>
      </x:c>
      <x:c r="K96" s="24" t="str">
        <x:v>N/A</x:v>
      </x:c>
      <x:c r="L96" s="24" t="str">
        <x:v>Source package + repository path + hash</x:v>
      </x:c>
      <x:c r="M96" s="24" t="str">
        <x:v>305ba35f3c673e599add1d1db217972943cdd196f3aa89d1124e4e3d20f3e8f9</x:v>
      </x:c>
      <x:c r="N96" s="24" t="str">
        <x:v>Assets/_Project/Art/Models/Expansions/CC_S16_P2_Expansion_Logistics_Conveyor_LOD0.fbx</x:v>
      </x:c>
      <x:c r="O96" s="24" t="str">
        <x:v>b04ecb2fb4854264987e00391cbd02ad</x:v>
      </x:c>
      <x:c r="P96" s="24" t="str">
        <x:v>Sí</x:v>
      </x:c>
      <x:c r="Q96" s="24" t="str">
        <x:v>Condicionado a autoría/procedencia final</x:v>
      </x:c>
      <x:c r="R96" s="24" t="str">
        <x:v>Solo dentro del producto/build autorizado</x:v>
      </x:c>
      <x:c r="S96" s="24" t="str">
        <x:v>Crédito general del estudio; individual si aplica</x:v>
      </x:c>
      <x:c r="T96" s="24" t="str">
        <x:v>VRM Games / Blas Luis Rocha González</x:v>
      </x:c>
      <x:c r="U96" s="24" t="str">
        <x:v>VISION / NOT OPEN</x:v>
      </x:c>
      <x:c r="V96" s="24" t="str">
        <x:v>NOT AUTHORIZED</x:v>
      </x:c>
      <x:c r="W96" s="24" t="str">
        <x:v>Parcial</x:v>
      </x:c>
      <x:c r="X96" s="24" t="str">
        <x:v>Medium</x:v>
      </x:c>
      <x:c r="Y96" s="24" t="str">
        <x:v>Internal development; public candidate requires gate</x:v>
      </x:c>
      <x:c r="Z96" s="24" t="str">
        <x:v>H6 legal/content audit</x:v>
      </x:c>
      <x:c r="AA96" s="24" t="str">
        <x:v>VRM Games</x:v>
      </x:c>
      <x:c r="AB96" s="24" t="str">
        <x:v>No se detectó proveedor externo en la ruta; confirmar autoría por lote antes de release público.</x:v>
      </x:c>
    </x:row>
    <x:row r="97" ht="34" customHeight="1">
      <x:c r="A97" s="24" t="str">
        <x:v>INT-0093</x:v>
      </x:c>
      <x:c r="B97" s="24" t="str">
        <x:v>a51368b9c94c45443ba4dce7586cb1f4</x:v>
      </x:c>
      <x:c r="C97" s="24" t="str">
        <x:v>CC_S16_P2_Expansion_Logistics_PackingStation_LOD0.fbx</x:v>
      </x:c>
      <x:c r="D97" s="24" t="str">
        <x:v>3D model</x:v>
      </x:c>
      <x:c r="E97" s="24" t="str">
        <x:v>Models</x:v>
      </x:c>
      <x:c r="F97" s="24" t="str">
        <x:v>VRM Games / Blas Luis Rocha González</x:v>
      </x:c>
      <x:c r="G97" s="24" t="str">
        <x:v>VRM Games / Blas Luis Rocha González</x:v>
      </x:c>
      <x:c r="H97" s="24" t="str">
        <x:v>Internal project production</x:v>
      </x:c>
      <x:c r="I97" s="24" t="str">
        <x:v>2026 project timeline</x:v>
      </x:c>
      <x:c r="J97" s="24" t="str">
        <x:v>Internal project IP / authorship claim</x:v>
      </x:c>
      <x:c r="K97" s="24" t="str">
        <x:v>N/A</x:v>
      </x:c>
      <x:c r="L97" s="24" t="str">
        <x:v>Source package + repository path + hash</x:v>
      </x:c>
      <x:c r="M97" s="24" t="str">
        <x:v>3068ef90bb6b01016edcd3e241774e542b77d7018c0cb20473cde8e2fec09b48</x:v>
      </x:c>
      <x:c r="N97" s="24" t="str">
        <x:v>Assets/_Project/Art/Models/Expansions/CC_S16_P2_Expansion_Logistics_PackingStation_LOD0.fbx</x:v>
      </x:c>
      <x:c r="O97" s="24" t="str">
        <x:v>a51368b9c94c45443ba4dce7586cb1f4</x:v>
      </x:c>
      <x:c r="P97" s="24" t="str">
        <x:v>Sí</x:v>
      </x:c>
      <x:c r="Q97" s="24" t="str">
        <x:v>Condicionado a autoría/procedencia final</x:v>
      </x:c>
      <x:c r="R97" s="24" t="str">
        <x:v>Solo dentro del producto/build autorizado</x:v>
      </x:c>
      <x:c r="S97" s="24" t="str">
        <x:v>Crédito general del estudio; individual si aplica</x:v>
      </x:c>
      <x:c r="T97" s="24" t="str">
        <x:v>VRM Games / Blas Luis Rocha González</x:v>
      </x:c>
      <x:c r="U97" s="24" t="str">
        <x:v>VISION / NOT OPEN</x:v>
      </x:c>
      <x:c r="V97" s="24" t="str">
        <x:v>NOT AUTHORIZED</x:v>
      </x:c>
      <x:c r="W97" s="24" t="str">
        <x:v>Parcial</x:v>
      </x:c>
      <x:c r="X97" s="24" t="str">
        <x:v>Medium</x:v>
      </x:c>
      <x:c r="Y97" s="24" t="str">
        <x:v>Internal development; public candidate requires gate</x:v>
      </x:c>
      <x:c r="Z97" s="24" t="str">
        <x:v>H6 legal/content audit</x:v>
      </x:c>
      <x:c r="AA97" s="24" t="str">
        <x:v>VRM Games</x:v>
      </x:c>
      <x:c r="AB97" s="24" t="str">
        <x:v>No se detectó proveedor externo en la ruta; confirmar autoría por lote antes de release público.</x:v>
      </x:c>
    </x:row>
    <x:row r="98" ht="34" customHeight="1">
      <x:c r="A98" s="24" t="str">
        <x:v>INT-0094</x:v>
      </x:c>
      <x:c r="B98" s="24" t="str">
        <x:v>0fa4164ed7d39704996193fb645bcded</x:v>
      </x:c>
      <x:c r="C98" s="24" t="str">
        <x:v>CC_S16_P2_Expansion_Logistics_RollingCart_LOD0.fbx</x:v>
      </x:c>
      <x:c r="D98" s="24" t="str">
        <x:v>3D model</x:v>
      </x:c>
      <x:c r="E98" s="24" t="str">
        <x:v>Models</x:v>
      </x:c>
      <x:c r="F98" s="24" t="str">
        <x:v>VRM Games / Blas Luis Rocha González</x:v>
      </x:c>
      <x:c r="G98" s="24" t="str">
        <x:v>VRM Games / Blas Luis Rocha González</x:v>
      </x:c>
      <x:c r="H98" s="24" t="str">
        <x:v>Internal project production</x:v>
      </x:c>
      <x:c r="I98" s="24" t="str">
        <x:v>2026 project timeline</x:v>
      </x:c>
      <x:c r="J98" s="24" t="str">
        <x:v>Internal project IP / authorship claim</x:v>
      </x:c>
      <x:c r="K98" s="24" t="str">
        <x:v>N/A</x:v>
      </x:c>
      <x:c r="L98" s="24" t="str">
        <x:v>Source package + repository path + hash</x:v>
      </x:c>
      <x:c r="M98" s="24" t="str">
        <x:v>f6dfcd7b9ac8dae16c1b19be4b7c9e91980282a46cac8f129586104132222f09</x:v>
      </x:c>
      <x:c r="N98" s="24" t="str">
        <x:v>Assets/_Project/Art/Models/Expansions/CC_S16_P2_Expansion_Logistics_RollingCart_LOD0.fbx</x:v>
      </x:c>
      <x:c r="O98" s="24" t="str">
        <x:v>0fa4164ed7d39704996193fb645bcded</x:v>
      </x:c>
      <x:c r="P98" s="24" t="str">
        <x:v>Sí</x:v>
      </x:c>
      <x:c r="Q98" s="24" t="str">
        <x:v>Condicionado a autoría/procedencia final</x:v>
      </x:c>
      <x:c r="R98" s="24" t="str">
        <x:v>Solo dentro del producto/build autorizado</x:v>
      </x:c>
      <x:c r="S98" s="24" t="str">
        <x:v>Crédito general del estudio; individual si aplica</x:v>
      </x:c>
      <x:c r="T98" s="24" t="str">
        <x:v>VRM Games / Blas Luis Rocha González</x:v>
      </x:c>
      <x:c r="U98" s="24" t="str">
        <x:v>VISION / NOT OPEN</x:v>
      </x:c>
      <x:c r="V98" s="24" t="str">
        <x:v>NOT AUTHORIZED</x:v>
      </x:c>
      <x:c r="W98" s="24" t="str">
        <x:v>Parcial</x:v>
      </x:c>
      <x:c r="X98" s="24" t="str">
        <x:v>Medium</x:v>
      </x:c>
      <x:c r="Y98" s="24" t="str">
        <x:v>Internal development; public candidate requires gate</x:v>
      </x:c>
      <x:c r="Z98" s="24" t="str">
        <x:v>H6 legal/content audit</x:v>
      </x:c>
      <x:c r="AA98" s="24" t="str">
        <x:v>VRM Games</x:v>
      </x:c>
      <x:c r="AB98" s="24" t="str">
        <x:v>No se detectó proveedor externo en la ruta; confirmar autoría por lote antes de release público.</x:v>
      </x:c>
    </x:row>
    <x:row r="99" ht="34" customHeight="1">
      <x:c r="A99" s="24" t="str">
        <x:v>INT-0095</x:v>
      </x:c>
      <x:c r="B99" s="24" t="str">
        <x:v>cb0dfed80858bad408443931deea902a</x:v>
      </x:c>
      <x:c r="C99" s="24" t="str">
        <x:v>CC_S16_P2_Expansion_Market_AnalysisWall_LOD0.fbx</x:v>
      </x:c>
      <x:c r="D99" s="24" t="str">
        <x:v>3D model</x:v>
      </x:c>
      <x:c r="E99" s="24" t="str">
        <x:v>Models</x:v>
      </x:c>
      <x:c r="F99" s="24" t="str">
        <x:v>VRM Games / Blas Luis Rocha González</x:v>
      </x:c>
      <x:c r="G99" s="24" t="str">
        <x:v>VRM Games / Blas Luis Rocha González</x:v>
      </x:c>
      <x:c r="H99" s="24" t="str">
        <x:v>Internal project production</x:v>
      </x:c>
      <x:c r="I99" s="24" t="str">
        <x:v>2026 project timeline</x:v>
      </x:c>
      <x:c r="J99" s="24" t="str">
        <x:v>Internal project IP / authorship claim</x:v>
      </x:c>
      <x:c r="K99" s="24" t="str">
        <x:v>N/A</x:v>
      </x:c>
      <x:c r="L99" s="24" t="str">
        <x:v>Source package + repository path + hash</x:v>
      </x:c>
      <x:c r="M99" s="24" t="str">
        <x:v>a594dcbcc6e01bfb3183b72c78b2ecdf263ce6e933adb4442a87150e139145aa</x:v>
      </x:c>
      <x:c r="N99" s="24" t="str">
        <x:v>Assets/_Project/Art/Models/Expansions/CC_S16_P2_Expansion_Market_AnalysisWall_LOD0.fbx</x:v>
      </x:c>
      <x:c r="O99" s="24" t="str">
        <x:v>cb0dfed80858bad408443931deea902a</x:v>
      </x:c>
      <x:c r="P99" s="24" t="str">
        <x:v>Sí</x:v>
      </x:c>
      <x:c r="Q99" s="24" t="str">
        <x:v>Condicionado a autoría/procedencia final</x:v>
      </x:c>
      <x:c r="R99" s="24" t="str">
        <x:v>Solo dentro del producto/build autorizado</x:v>
      </x:c>
      <x:c r="S99" s="24" t="str">
        <x:v>Crédito general del estudio; individual si aplica</x:v>
      </x:c>
      <x:c r="T99" s="24" t="str">
        <x:v>VRM Games / Blas Luis Rocha González</x:v>
      </x:c>
      <x:c r="U99" s="24" t="str">
        <x:v>VISION / NOT OPEN</x:v>
      </x:c>
      <x:c r="V99" s="24" t="str">
        <x:v>NOT AUTHORIZED</x:v>
      </x:c>
      <x:c r="W99" s="24" t="str">
        <x:v>Parcial</x:v>
      </x:c>
      <x:c r="X99" s="24" t="str">
        <x:v>Medium</x:v>
      </x:c>
      <x:c r="Y99" s="24" t="str">
        <x:v>Internal development; public candidate requires gate</x:v>
      </x:c>
      <x:c r="Z99" s="24" t="str">
        <x:v>H6 legal/content audit</x:v>
      </x:c>
      <x:c r="AA99" s="24" t="str">
        <x:v>VRM Games</x:v>
      </x:c>
      <x:c r="AB99" s="24" t="str">
        <x:v>No se detectó proveedor externo en la ruta; confirmar autoría por lote antes de release público.</x:v>
      </x:c>
    </x:row>
    <x:row r="100" ht="34" customHeight="1">
      <x:c r="A100" s="24" t="str">
        <x:v>INT-0096</x:v>
      </x:c>
      <x:c r="B100" s="24" t="str">
        <x:v>cc0c519fc2bef5b4ba565287a828941d</x:v>
      </x:c>
      <x:c r="C100" s="24" t="str">
        <x:v>CC_S16_P2_Expansion_Market_PlanningTable_LOD0.fbx</x:v>
      </x:c>
      <x:c r="D100" s="24" t="str">
        <x:v>3D model</x:v>
      </x:c>
      <x:c r="E100" s="24" t="str">
        <x:v>Models</x:v>
      </x:c>
      <x:c r="F100" s="24" t="str">
        <x:v>VRM Games / Blas Luis Rocha González</x:v>
      </x:c>
      <x:c r="G100" s="24" t="str">
        <x:v>VRM Games / Blas Luis Rocha González</x:v>
      </x:c>
      <x:c r="H100" s="24" t="str">
        <x:v>Internal project production</x:v>
      </x:c>
      <x:c r="I100" s="24" t="str">
        <x:v>2026 project timeline</x:v>
      </x:c>
      <x:c r="J100" s="24" t="str">
        <x:v>Internal project IP / authorship claim</x:v>
      </x:c>
      <x:c r="K100" s="24" t="str">
        <x:v>N/A</x:v>
      </x:c>
      <x:c r="L100" s="24" t="str">
        <x:v>Source package + repository path + hash</x:v>
      </x:c>
      <x:c r="M100" s="24" t="str">
        <x:v>a612b7894c3e6acda54589ba76b1bcd2b05a4965e65138ef461fc1ef529a2f65</x:v>
      </x:c>
      <x:c r="N100" s="24" t="str">
        <x:v>Assets/_Project/Art/Models/Expansions/CC_S16_P2_Expansion_Market_PlanningTable_LOD0.fbx</x:v>
      </x:c>
      <x:c r="O100" s="24" t="str">
        <x:v>cc0c519fc2bef5b4ba565287a828941d</x:v>
      </x:c>
      <x:c r="P100" s="24" t="str">
        <x:v>Sí</x:v>
      </x:c>
      <x:c r="Q100" s="24" t="str">
        <x:v>Condicionado a autoría/procedencia final</x:v>
      </x:c>
      <x:c r="R100" s="24" t="str">
        <x:v>Solo dentro del producto/build autorizado</x:v>
      </x:c>
      <x:c r="S100" s="24" t="str">
        <x:v>Crédito general del estudio; individual si aplica</x:v>
      </x:c>
      <x:c r="T100" s="24" t="str">
        <x:v>VRM Games / Blas Luis Rocha González</x:v>
      </x:c>
      <x:c r="U100" s="24" t="str">
        <x:v>VISION / NOT OPEN</x:v>
      </x:c>
      <x:c r="V100" s="24" t="str">
        <x:v>NOT AUTHORIZED</x:v>
      </x:c>
      <x:c r="W100" s="24" t="str">
        <x:v>Parcial</x:v>
      </x:c>
      <x:c r="X100" s="24" t="str">
        <x:v>Medium</x:v>
      </x:c>
      <x:c r="Y100" s="24" t="str">
        <x:v>Internal development; public candidate requires gate</x:v>
      </x:c>
      <x:c r="Z100" s="24" t="str">
        <x:v>H6 legal/content audit</x:v>
      </x:c>
      <x:c r="AA100" s="24" t="str">
        <x:v>VRM Games</x:v>
      </x:c>
      <x:c r="AB100" s="24" t="str">
        <x:v>No se detectó proveedor externo en la ruta; confirmar autoría por lote antes de release público.</x:v>
      </x:c>
    </x:row>
    <x:row r="101" ht="34" customHeight="1">
      <x:c r="A101" s="24" t="str">
        <x:v>INT-0097</x:v>
      </x:c>
      <x:c r="B101" s="24" t="str">
        <x:v>b50029fd4e3ba70419973f37abf637eb</x:v>
      </x:c>
      <x:c r="C101" s="24" t="str">
        <x:v>CC_S16_P2_Expansion_Publishing_LineupWall_LOD0.fbx</x:v>
      </x:c>
      <x:c r="D101" s="24" t="str">
        <x:v>3D model</x:v>
      </x:c>
      <x:c r="E101" s="24" t="str">
        <x:v>Models</x:v>
      </x:c>
      <x:c r="F101" s="24" t="str">
        <x:v>VRM Games / Blas Luis Rocha González</x:v>
      </x:c>
      <x:c r="G101" s="24" t="str">
        <x:v>VRM Games / Blas Luis Rocha González</x:v>
      </x:c>
      <x:c r="H101" s="24" t="str">
        <x:v>Internal project production</x:v>
      </x:c>
      <x:c r="I101" s="24" t="str">
        <x:v>2026 project timeline</x:v>
      </x:c>
      <x:c r="J101" s="24" t="str">
        <x:v>Internal project IP / authorship claim</x:v>
      </x:c>
      <x:c r="K101" s="24" t="str">
        <x:v>N/A</x:v>
      </x:c>
      <x:c r="L101" s="24" t="str">
        <x:v>Source package + repository path + hash</x:v>
      </x:c>
      <x:c r="M101" s="24" t="str">
        <x:v>4e94db58372070b9b35e7f7a1e9f835f4450814a7715ea0e228e9800cdf4bb36</x:v>
      </x:c>
      <x:c r="N101" s="24" t="str">
        <x:v>Assets/_Project/Art/Models/Expansions/CC_S16_P2_Expansion_Publishing_LineupWall_LOD0.fbx</x:v>
      </x:c>
      <x:c r="O101" s="24" t="str">
        <x:v>b50029fd4e3ba70419973f37abf637eb</x:v>
      </x:c>
      <x:c r="P101" s="24" t="str">
        <x:v>Sí</x:v>
      </x:c>
      <x:c r="Q101" s="24" t="str">
        <x:v>Condicionado a autoría/procedencia final</x:v>
      </x:c>
      <x:c r="R101" s="24" t="str">
        <x:v>Solo dentro del producto/build autorizado</x:v>
      </x:c>
      <x:c r="S101" s="24" t="str">
        <x:v>Crédito general del estudio; individual si aplica</x:v>
      </x:c>
      <x:c r="T101" s="24" t="str">
        <x:v>VRM Games / Blas Luis Rocha González</x:v>
      </x:c>
      <x:c r="U101" s="24" t="str">
        <x:v>VISION / NOT OPEN</x:v>
      </x:c>
      <x:c r="V101" s="24" t="str">
        <x:v>NOT AUTHORIZED</x:v>
      </x:c>
      <x:c r="W101" s="24" t="str">
        <x:v>Parcial</x:v>
      </x:c>
      <x:c r="X101" s="24" t="str">
        <x:v>Medium</x:v>
      </x:c>
      <x:c r="Y101" s="24" t="str">
        <x:v>Internal development; public candidate requires gate</x:v>
      </x:c>
      <x:c r="Z101" s="24" t="str">
        <x:v>H6 legal/content audit</x:v>
      </x:c>
      <x:c r="AA101" s="24" t="str">
        <x:v>VRM Games</x:v>
      </x:c>
      <x:c r="AB101" s="24" t="str">
        <x:v>No se detectó proveedor externo en la ruta; confirmar autoría por lote antes de release público.</x:v>
      </x:c>
    </x:row>
    <x:row r="102" ht="34" customHeight="1">
      <x:c r="A102" s="24" t="str">
        <x:v>INT-0098</x:v>
      </x:c>
      <x:c r="B102" s="24" t="str">
        <x:v>6c141e31332fc604c8f1f0a0d9cc885a</x:v>
      </x:c>
      <x:c r="C102" s="24" t="str">
        <x:v>CC_S16_P2_Expansion_Publishing_MeetingTable_LOD0.fbx</x:v>
      </x:c>
      <x:c r="D102" s="24" t="str">
        <x:v>3D model</x:v>
      </x:c>
      <x:c r="E102" s="24" t="str">
        <x:v>Models</x:v>
      </x:c>
      <x:c r="F102" s="24" t="str">
        <x:v>VRM Games / Blas Luis Rocha González</x:v>
      </x:c>
      <x:c r="G102" s="24" t="str">
        <x:v>VRM Games / Blas Luis Rocha González</x:v>
      </x:c>
      <x:c r="H102" s="24" t="str">
        <x:v>Internal project production</x:v>
      </x:c>
      <x:c r="I102" s="24" t="str">
        <x:v>2026 project timeline</x:v>
      </x:c>
      <x:c r="J102" s="24" t="str">
        <x:v>Internal project IP / authorship claim</x:v>
      </x:c>
      <x:c r="K102" s="24" t="str">
        <x:v>N/A</x:v>
      </x:c>
      <x:c r="L102" s="24" t="str">
        <x:v>Source package + repository path + hash</x:v>
      </x:c>
      <x:c r="M102" s="24" t="str">
        <x:v>f7c61da61dd21b6c830f0ad3889d2a1ce0065dcbbc23ebf9c4e55937a641ab63</x:v>
      </x:c>
      <x:c r="N102" s="24" t="str">
        <x:v>Assets/_Project/Art/Models/Expansions/CC_S16_P2_Expansion_Publishing_MeetingTable_LOD0.fbx</x:v>
      </x:c>
      <x:c r="O102" s="24" t="str">
        <x:v>6c141e31332fc604c8f1f0a0d9cc885a</x:v>
      </x:c>
      <x:c r="P102" s="24" t="str">
        <x:v>Sí</x:v>
      </x:c>
      <x:c r="Q102" s="24" t="str">
        <x:v>Condicionado a autoría/procedencia final</x:v>
      </x:c>
      <x:c r="R102" s="24" t="str">
        <x:v>Solo dentro del producto/build autorizado</x:v>
      </x:c>
      <x:c r="S102" s="24" t="str">
        <x:v>Crédito general del estudio; individual si aplica</x:v>
      </x:c>
      <x:c r="T102" s="24" t="str">
        <x:v>VRM Games / Blas Luis Rocha González</x:v>
      </x:c>
      <x:c r="U102" s="24" t="str">
        <x:v>VISION / NOT OPEN</x:v>
      </x:c>
      <x:c r="V102" s="24" t="str">
        <x:v>NOT AUTHORIZED</x:v>
      </x:c>
      <x:c r="W102" s="24" t="str">
        <x:v>Parcial</x:v>
      </x:c>
      <x:c r="X102" s="24" t="str">
        <x:v>Medium</x:v>
      </x:c>
      <x:c r="Y102" s="24" t="str">
        <x:v>Internal development; public candidate requires gate</x:v>
      </x:c>
      <x:c r="Z102" s="24" t="str">
        <x:v>H6 legal/content audit</x:v>
      </x:c>
      <x:c r="AA102" s="24" t="str">
        <x:v>VRM Games</x:v>
      </x:c>
      <x:c r="AB102" s="24" t="str">
        <x:v>No se detectó proveedor externo en la ruta; confirmar autoría por lote antes de release público.</x:v>
      </x:c>
    </x:row>
    <x:row r="103" ht="34" customHeight="1">
      <x:c r="A103" s="24" t="str">
        <x:v>INT-0099</x:v>
      </x:c>
      <x:c r="B103" s="24" t="str">
        <x:v>17846925eb6921c428a2f5ce773935d2</x:v>
      </x:c>
      <x:c r="C103" s="24" t="str">
        <x:v>CC_S16_P2_Expansion_Server_OperationsDesk_LOD0.fbx</x:v>
      </x:c>
      <x:c r="D103" s="24" t="str">
        <x:v>3D model</x:v>
      </x:c>
      <x:c r="E103" s="24" t="str">
        <x:v>Models</x:v>
      </x:c>
      <x:c r="F103" s="24" t="str">
        <x:v>VRM Games / Blas Luis Rocha González</x:v>
      </x:c>
      <x:c r="G103" s="24" t="str">
        <x:v>VRM Games / Blas Luis Rocha González</x:v>
      </x:c>
      <x:c r="H103" s="24" t="str">
        <x:v>Internal project production</x:v>
      </x:c>
      <x:c r="I103" s="24" t="str">
        <x:v>2026 project timeline</x:v>
      </x:c>
      <x:c r="J103" s="24" t="str">
        <x:v>Internal project IP / authorship claim</x:v>
      </x:c>
      <x:c r="K103" s="24" t="str">
        <x:v>N/A</x:v>
      </x:c>
      <x:c r="L103" s="24" t="str">
        <x:v>Source package + repository path + hash</x:v>
      </x:c>
      <x:c r="M103" s="24" t="str">
        <x:v>9d37a881f666825dfd614eaa3224e225794b095f523282201fb663c4ca47df89</x:v>
      </x:c>
      <x:c r="N103" s="24" t="str">
        <x:v>Assets/_Project/Art/Models/Expansions/CC_S16_P2_Expansion_Server_OperationsDesk_LOD0.fbx</x:v>
      </x:c>
      <x:c r="O103" s="24" t="str">
        <x:v>17846925eb6921c428a2f5ce773935d2</x:v>
      </x:c>
      <x:c r="P103" s="24" t="str">
        <x:v>Sí</x:v>
      </x:c>
      <x:c r="Q103" s="24" t="str">
        <x:v>Condicionado a autoría/procedencia final</x:v>
      </x:c>
      <x:c r="R103" s="24" t="str">
        <x:v>Solo dentro del producto/build autorizado</x:v>
      </x:c>
      <x:c r="S103" s="24" t="str">
        <x:v>Crédito general del estudio; individual si aplica</x:v>
      </x:c>
      <x:c r="T103" s="24" t="str">
        <x:v>VRM Games / Blas Luis Rocha González</x:v>
      </x:c>
      <x:c r="U103" s="24" t="str">
        <x:v>VISION / NOT OPEN</x:v>
      </x:c>
      <x:c r="V103" s="24" t="str">
        <x:v>NOT AUTHORIZED</x:v>
      </x:c>
      <x:c r="W103" s="24" t="str">
        <x:v>Parcial</x:v>
      </x:c>
      <x:c r="X103" s="24" t="str">
        <x:v>Medium</x:v>
      </x:c>
      <x:c r="Y103" s="24" t="str">
        <x:v>Internal development; public candidate requires gate</x:v>
      </x:c>
      <x:c r="Z103" s="24" t="str">
        <x:v>H6 legal/content audit</x:v>
      </x:c>
      <x:c r="AA103" s="24" t="str">
        <x:v>VRM Games</x:v>
      </x:c>
      <x:c r="AB103" s="24" t="str">
        <x:v>No se detectó proveedor externo en la ruta; confirmar autoría por lote antes de release público.</x:v>
      </x:c>
    </x:row>
    <x:row r="104" ht="34" customHeight="1">
      <x:c r="A104" s="24" t="str">
        <x:v>INT-0100</x:v>
      </x:c>
      <x:c r="B104" s="24" t="str">
        <x:v>204399e5da28adb439aebf0cde285bd0</x:v>
      </x:c>
      <x:c r="C104" s="24" t="str">
        <x:v>CC_S16_P2_Expansion_Server_Rack_LOD0.fbx</x:v>
      </x:c>
      <x:c r="D104" s="24" t="str">
        <x:v>3D model</x:v>
      </x:c>
      <x:c r="E104" s="24" t="str">
        <x:v>Models</x:v>
      </x:c>
      <x:c r="F104" s="24" t="str">
        <x:v>VRM Games / Blas Luis Rocha González</x:v>
      </x:c>
      <x:c r="G104" s="24" t="str">
        <x:v>VRM Games / Blas Luis Rocha González</x:v>
      </x:c>
      <x:c r="H104" s="24" t="str">
        <x:v>Internal project production</x:v>
      </x:c>
      <x:c r="I104" s="24" t="str">
        <x:v>2026 project timeline</x:v>
      </x:c>
      <x:c r="J104" s="24" t="str">
        <x:v>Internal project IP / authorship claim</x:v>
      </x:c>
      <x:c r="K104" s="24" t="str">
        <x:v>N/A</x:v>
      </x:c>
      <x:c r="L104" s="24" t="str">
        <x:v>Source package + repository path + hash</x:v>
      </x:c>
      <x:c r="M104" s="24" t="str">
        <x:v>18eba25930b3c683e59d3b83e9bf8cea1d7e3a09051b675babe771aba9d0ab6e</x:v>
      </x:c>
      <x:c r="N104" s="24" t="str">
        <x:v>Assets/_Project/Art/Models/Expansions/CC_S16_P2_Expansion_Server_Rack_LOD0.fbx</x:v>
      </x:c>
      <x:c r="O104" s="24" t="str">
        <x:v>204399e5da28adb439aebf0cde285bd0</x:v>
      </x:c>
      <x:c r="P104" s="24" t="str">
        <x:v>Sí</x:v>
      </x:c>
      <x:c r="Q104" s="24" t="str">
        <x:v>Condicionado a autoría/procedencia final</x:v>
      </x:c>
      <x:c r="R104" s="24" t="str">
        <x:v>Solo dentro del producto/build autorizado</x:v>
      </x:c>
      <x:c r="S104" s="24" t="str">
        <x:v>Crédito general del estudio; individual si aplica</x:v>
      </x:c>
      <x:c r="T104" s="24" t="str">
        <x:v>VRM Games / Blas Luis Rocha González</x:v>
      </x:c>
      <x:c r="U104" s="24" t="str">
        <x:v>VISION / NOT OPEN</x:v>
      </x:c>
      <x:c r="V104" s="24" t="str">
        <x:v>NOT AUTHORIZED</x:v>
      </x:c>
      <x:c r="W104" s="24" t="str">
        <x:v>Parcial</x:v>
      </x:c>
      <x:c r="X104" s="24" t="str">
        <x:v>Medium</x:v>
      </x:c>
      <x:c r="Y104" s="24" t="str">
        <x:v>Internal development; public candidate requires gate</x:v>
      </x:c>
      <x:c r="Z104" s="24" t="str">
        <x:v>H6 legal/content audit</x:v>
      </x:c>
      <x:c r="AA104" s="24" t="str">
        <x:v>VRM Games</x:v>
      </x:c>
      <x:c r="AB104" s="24" t="str">
        <x:v>No se detectó proveedor externo en la ruta; confirmar autoría por lote antes de release público.</x:v>
      </x:c>
    </x:row>
    <x:row r="105" ht="34" customHeight="1">
      <x:c r="A105" s="24" t="str">
        <x:v>INT-0101</x:v>
      </x:c>
      <x:c r="B105" s="24" t="str">
        <x:v>74aea53309a8b58468b5d7dff2f1544c</x:v>
      </x:c>
      <x:c r="C105" s="24" t="str">
        <x:v>CC_S16_P2_Expansion_Server_UPS_LOD0.fbx</x:v>
      </x:c>
      <x:c r="D105" s="24" t="str">
        <x:v>3D model</x:v>
      </x:c>
      <x:c r="E105" s="24" t="str">
        <x:v>Models</x:v>
      </x:c>
      <x:c r="F105" s="24" t="str">
        <x:v>VRM Games / Blas Luis Rocha González</x:v>
      </x:c>
      <x:c r="G105" s="24" t="str">
        <x:v>VRM Games / Blas Luis Rocha González</x:v>
      </x:c>
      <x:c r="H105" s="24" t="str">
        <x:v>Internal project production</x:v>
      </x:c>
      <x:c r="I105" s="24" t="str">
        <x:v>2026 project timeline</x:v>
      </x:c>
      <x:c r="J105" s="24" t="str">
        <x:v>Internal project IP / authorship claim</x:v>
      </x:c>
      <x:c r="K105" s="24" t="str">
        <x:v>N/A</x:v>
      </x:c>
      <x:c r="L105" s="24" t="str">
        <x:v>Source package + repository path + hash</x:v>
      </x:c>
      <x:c r="M105" s="24" t="str">
        <x:v>ce53d5dabbb2374f2319a42c104ad39f51e08d54ebba79d07ea16cac2abab413</x:v>
      </x:c>
      <x:c r="N105" s="24" t="str">
        <x:v>Assets/_Project/Art/Models/Expansions/CC_S16_P2_Expansion_Server_UPS_LOD0.fbx</x:v>
      </x:c>
      <x:c r="O105" s="24" t="str">
        <x:v>74aea53309a8b58468b5d7dff2f1544c</x:v>
      </x:c>
      <x:c r="P105" s="24" t="str">
        <x:v>Sí</x:v>
      </x:c>
      <x:c r="Q105" s="24" t="str">
        <x:v>Condicionado a autoría/procedencia final</x:v>
      </x:c>
      <x:c r="R105" s="24" t="str">
        <x:v>Solo dentro del producto/build autorizado</x:v>
      </x:c>
      <x:c r="S105" s="24" t="str">
        <x:v>Crédito general del estudio; individual si aplica</x:v>
      </x:c>
      <x:c r="T105" s="24" t="str">
        <x:v>VRM Games / Blas Luis Rocha González</x:v>
      </x:c>
      <x:c r="U105" s="24" t="str">
        <x:v>VISION / NOT OPEN</x:v>
      </x:c>
      <x:c r="V105" s="24" t="str">
        <x:v>NOT AUTHORIZED</x:v>
      </x:c>
      <x:c r="W105" s="24" t="str">
        <x:v>Parcial</x:v>
      </x:c>
      <x:c r="X105" s="24" t="str">
        <x:v>Medium</x:v>
      </x:c>
      <x:c r="Y105" s="24" t="str">
        <x:v>Internal development; public candidate requires gate</x:v>
      </x:c>
      <x:c r="Z105" s="24" t="str">
        <x:v>H6 legal/content audit</x:v>
      </x:c>
      <x:c r="AA105" s="24" t="str">
        <x:v>VRM Games</x:v>
      </x:c>
      <x:c r="AB105" s="24" t="str">
        <x:v>No se detectó proveedor externo en la ruta; confirmar autoría por lote antes de release público.</x:v>
      </x:c>
    </x:row>
    <x:row r="106" ht="34" customHeight="1">
      <x:c r="A106" s="24" t="str">
        <x:v>INT-0102</x:v>
      </x:c>
      <x:c r="B106" s="24" t="str">
        <x:v>fa15200d66b290f47aeb00d882793ab4</x:v>
      </x:c>
      <x:c r="C106" s="24" t="str">
        <x:v>CC_S16_P2_Expansion_Staff_Locker_LOD0.fbx</x:v>
      </x:c>
      <x:c r="D106" s="24" t="str">
        <x:v>3D model</x:v>
      </x:c>
      <x:c r="E106" s="24" t="str">
        <x:v>Models</x:v>
      </x:c>
      <x:c r="F106" s="24" t="str">
        <x:v>VRM Games / Blas Luis Rocha González</x:v>
      </x:c>
      <x:c r="G106" s="24" t="str">
        <x:v>VRM Games / Blas Luis Rocha González</x:v>
      </x:c>
      <x:c r="H106" s="24" t="str">
        <x:v>Internal project production</x:v>
      </x:c>
      <x:c r="I106" s="24" t="str">
        <x:v>2026 project timeline</x:v>
      </x:c>
      <x:c r="J106" s="24" t="str">
        <x:v>Internal project IP / authorship claim</x:v>
      </x:c>
      <x:c r="K106" s="24" t="str">
        <x:v>N/A</x:v>
      </x:c>
      <x:c r="L106" s="24" t="str">
        <x:v>Source package + repository path + hash</x:v>
      </x:c>
      <x:c r="M106" s="24" t="str">
        <x:v>32480272093b7113f3fc07b7a284a75642f5e24a392c4b1417bc82dafcb3df5e</x:v>
      </x:c>
      <x:c r="N106" s="24" t="str">
        <x:v>Assets/_Project/Art/Models/Expansions/CC_S16_P2_Expansion_Staff_Locker_LOD0.fbx</x:v>
      </x:c>
      <x:c r="O106" s="24" t="str">
        <x:v>fa15200d66b290f47aeb00d882793ab4</x:v>
      </x:c>
      <x:c r="P106" s="24" t="str">
        <x:v>Sí</x:v>
      </x:c>
      <x:c r="Q106" s="24" t="str">
        <x:v>Condicionado a autoría/procedencia final</x:v>
      </x:c>
      <x:c r="R106" s="24" t="str">
        <x:v>Solo dentro del producto/build autorizado</x:v>
      </x:c>
      <x:c r="S106" s="24" t="str">
        <x:v>Crédito general del estudio; individual si aplica</x:v>
      </x:c>
      <x:c r="T106" s="24" t="str">
        <x:v>VRM Games / Blas Luis Rocha González</x:v>
      </x:c>
      <x:c r="U106" s="24" t="str">
        <x:v>VISION / NOT OPEN</x:v>
      </x:c>
      <x:c r="V106" s="24" t="str">
        <x:v>NOT AUTHORIZED</x:v>
      </x:c>
      <x:c r="W106" s="24" t="str">
        <x:v>Parcial</x:v>
      </x:c>
      <x:c r="X106" s="24" t="str">
        <x:v>Medium</x:v>
      </x:c>
      <x:c r="Y106" s="24" t="str">
        <x:v>Internal development; public candidate requires gate</x:v>
      </x:c>
      <x:c r="Z106" s="24" t="str">
        <x:v>H6 legal/content audit</x:v>
      </x:c>
      <x:c r="AA106" s="24" t="str">
        <x:v>VRM Games</x:v>
      </x:c>
      <x:c r="AB106" s="24" t="str">
        <x:v>No se detectó proveedor externo en la ruta; confirmar autoría por lote antes de release público.</x:v>
      </x:c>
    </x:row>
    <x:row r="107" ht="34" customHeight="1">
      <x:c r="A107" s="24" t="str">
        <x:v>INT-0103</x:v>
      </x:c>
      <x:c r="B107" s="24" t="str">
        <x:v>0078898a24a29dc41a65dee8b477dd29</x:v>
      </x:c>
      <x:c r="C107" s="24" t="str">
        <x:v>CC_S16_P2_Expansion_Staff_TaskBoard_LOD0.fbx</x:v>
      </x:c>
      <x:c r="D107" s="24" t="str">
        <x:v>3D model</x:v>
      </x:c>
      <x:c r="E107" s="24" t="str">
        <x:v>Models</x:v>
      </x:c>
      <x:c r="F107" s="24" t="str">
        <x:v>VRM Games / Blas Luis Rocha González</x:v>
      </x:c>
      <x:c r="G107" s="24" t="str">
        <x:v>VRM Games / Blas Luis Rocha González</x:v>
      </x:c>
      <x:c r="H107" s="24" t="str">
        <x:v>Internal project production</x:v>
      </x:c>
      <x:c r="I107" s="24" t="str">
        <x:v>2026 project timeline</x:v>
      </x:c>
      <x:c r="J107" s="24" t="str">
        <x:v>Internal project IP / authorship claim</x:v>
      </x:c>
      <x:c r="K107" s="24" t="str">
        <x:v>N/A</x:v>
      </x:c>
      <x:c r="L107" s="24" t="str">
        <x:v>Source package + repository path + hash</x:v>
      </x:c>
      <x:c r="M107" s="24" t="str">
        <x:v>3e74bc8cfcd90bd028cee1b6c5b3e3f982b1e0c1a74bd823bcb1b77ffe30f2d8</x:v>
      </x:c>
      <x:c r="N107" s="24" t="str">
        <x:v>Assets/_Project/Art/Models/Expansions/CC_S16_P2_Expansion_Staff_TaskBoard_LOD0.fbx</x:v>
      </x:c>
      <x:c r="O107" s="24" t="str">
        <x:v>0078898a24a29dc41a65dee8b477dd29</x:v>
      </x:c>
      <x:c r="P107" s="24" t="str">
        <x:v>Sí</x:v>
      </x:c>
      <x:c r="Q107" s="24" t="str">
        <x:v>Condicionado a autoría/procedencia final</x:v>
      </x:c>
      <x:c r="R107" s="24" t="str">
        <x:v>Solo dentro del producto/build autorizado</x:v>
      </x:c>
      <x:c r="S107" s="24" t="str">
        <x:v>Crédito general del estudio; individual si aplica</x:v>
      </x:c>
      <x:c r="T107" s="24" t="str">
        <x:v>VRM Games / Blas Luis Rocha González</x:v>
      </x:c>
      <x:c r="U107" s="24" t="str">
        <x:v>VISION / NOT OPEN</x:v>
      </x:c>
      <x:c r="V107" s="24" t="str">
        <x:v>NOT AUTHORIZED</x:v>
      </x:c>
      <x:c r="W107" s="24" t="str">
        <x:v>Parcial</x:v>
      </x:c>
      <x:c r="X107" s="24" t="str">
        <x:v>Medium</x:v>
      </x:c>
      <x:c r="Y107" s="24" t="str">
        <x:v>Internal development; public candidate requires gate</x:v>
      </x:c>
      <x:c r="Z107" s="24" t="str">
        <x:v>H6 legal/content audit</x:v>
      </x:c>
      <x:c r="AA107" s="24" t="str">
        <x:v>VRM Games</x:v>
      </x:c>
      <x:c r="AB107" s="24" t="str">
        <x:v>No se detectó proveedor externo en la ruta; confirmar autoría por lote antes de release público.</x:v>
      </x:c>
    </x:row>
    <x:row r="108" ht="34" customHeight="1">
      <x:c r="A108" s="24" t="str">
        <x:v>INT-0104</x:v>
      </x:c>
      <x:c r="B108" s="24" t="str">
        <x:v>9af269fcf34719d489ffe10ff65e5b30</x:v>
      </x:c>
      <x:c r="C108" s="24" t="str">
        <x:v>CC_S16_P2_Expansion_Studio_ArtDesk_LOD0.fbx</x:v>
      </x:c>
      <x:c r="D108" s="24" t="str">
        <x:v>3D model</x:v>
      </x:c>
      <x:c r="E108" s="24" t="str">
        <x:v>Models</x:v>
      </x:c>
      <x:c r="F108" s="24" t="str">
        <x:v>VRM Games / Blas Luis Rocha González</x:v>
      </x:c>
      <x:c r="G108" s="24" t="str">
        <x:v>VRM Games / Blas Luis Rocha González</x:v>
      </x:c>
      <x:c r="H108" s="24" t="str">
        <x:v>Internal project production</x:v>
      </x:c>
      <x:c r="I108" s="24" t="str">
        <x:v>2026 project timeline</x:v>
      </x:c>
      <x:c r="J108" s="24" t="str">
        <x:v>Internal project IP / authorship claim</x:v>
      </x:c>
      <x:c r="K108" s="24" t="str">
        <x:v>N/A</x:v>
      </x:c>
      <x:c r="L108" s="24" t="str">
        <x:v>Source package + repository path + hash</x:v>
      </x:c>
      <x:c r="M108" s="24" t="str">
        <x:v>8bb2db04b636d7ba053de3df2e783e4fbef56da4185f82f2210bec3591dc8663</x:v>
      </x:c>
      <x:c r="N108" s="24" t="str">
        <x:v>Assets/_Project/Art/Models/Expansions/CC_S16_P2_Expansion_Studio_ArtDesk_LOD0.fbx</x:v>
      </x:c>
      <x:c r="O108" s="24" t="str">
        <x:v>9af269fcf34719d489ffe10ff65e5b30</x:v>
      </x:c>
      <x:c r="P108" s="24" t="str">
        <x:v>Sí</x:v>
      </x:c>
      <x:c r="Q108" s="24" t="str">
        <x:v>Condicionado a autoría/procedencia final</x:v>
      </x:c>
      <x:c r="R108" s="24" t="str">
        <x:v>Solo dentro del producto/build autorizado</x:v>
      </x:c>
      <x:c r="S108" s="24" t="str">
        <x:v>Crédito general del estudio; individual si aplica</x:v>
      </x:c>
      <x:c r="T108" s="24" t="str">
        <x:v>VRM Games / Blas Luis Rocha González</x:v>
      </x:c>
      <x:c r="U108" s="24" t="str">
        <x:v>VISION / NOT OPEN</x:v>
      </x:c>
      <x:c r="V108" s="24" t="str">
        <x:v>NOT AUTHORIZED</x:v>
      </x:c>
      <x:c r="W108" s="24" t="str">
        <x:v>Parcial</x:v>
      </x:c>
      <x:c r="X108" s="24" t="str">
        <x:v>Medium</x:v>
      </x:c>
      <x:c r="Y108" s="24" t="str">
        <x:v>Internal development; public candidate requires gate</x:v>
      </x:c>
      <x:c r="Z108" s="24" t="str">
        <x:v>H6 legal/content audit</x:v>
      </x:c>
      <x:c r="AA108" s="24" t="str">
        <x:v>VRM Games</x:v>
      </x:c>
      <x:c r="AB108" s="24" t="str">
        <x:v>No se detectó proveedor externo en la ruta; confirmar autoría por lote antes de release público.</x:v>
      </x:c>
    </x:row>
    <x:row r="109" ht="34" customHeight="1">
      <x:c r="A109" s="24" t="str">
        <x:v>INT-0105</x:v>
      </x:c>
      <x:c r="B109" s="24" t="str">
        <x:v>0d4831e8c9d56654c845d8ab5d008481</x:v>
      </x:c>
      <x:c r="C109" s="24" t="str">
        <x:v>CC_S16_P2_Expansion_Studio_AudioStation_LOD0.fbx</x:v>
      </x:c>
      <x:c r="D109" s="24" t="str">
        <x:v>3D model</x:v>
      </x:c>
      <x:c r="E109" s="24" t="str">
        <x:v>Models</x:v>
      </x:c>
      <x:c r="F109" s="24" t="str">
        <x:v>VRM Games / Blas Luis Rocha González</x:v>
      </x:c>
      <x:c r="G109" s="24" t="str">
        <x:v>VRM Games / Blas Luis Rocha González</x:v>
      </x:c>
      <x:c r="H109" s="24" t="str">
        <x:v>Internal project production</x:v>
      </x:c>
      <x:c r="I109" s="24" t="str">
        <x:v>2026 project timeline</x:v>
      </x:c>
      <x:c r="J109" s="24" t="str">
        <x:v>Internal project IP / authorship claim</x:v>
      </x:c>
      <x:c r="K109" s="24" t="str">
        <x:v>N/A</x:v>
      </x:c>
      <x:c r="L109" s="24" t="str">
        <x:v>Source package + repository path + hash</x:v>
      </x:c>
      <x:c r="M109" s="24" t="str">
        <x:v>4932a1747a15c0dacd560a8e3c81ed55a9ab80928a294311762471279429621c</x:v>
      </x:c>
      <x:c r="N109" s="24" t="str">
        <x:v>Assets/_Project/Art/Models/Expansions/CC_S16_P2_Expansion_Studio_AudioStation_LOD0.fbx</x:v>
      </x:c>
      <x:c r="O109" s="24" t="str">
        <x:v>0d4831e8c9d56654c845d8ab5d008481</x:v>
      </x:c>
      <x:c r="P109" s="24" t="str">
        <x:v>Sí</x:v>
      </x:c>
      <x:c r="Q109" s="24" t="str">
        <x:v>Condicionado a autoría/procedencia final</x:v>
      </x:c>
      <x:c r="R109" s="24" t="str">
        <x:v>Solo dentro del producto/build autorizado</x:v>
      </x:c>
      <x:c r="S109" s="24" t="str">
        <x:v>Crédito general del estudio; individual si aplica</x:v>
      </x:c>
      <x:c r="T109" s="24" t="str">
        <x:v>VRM Games / Blas Luis Rocha González</x:v>
      </x:c>
      <x:c r="U109" s="24" t="str">
        <x:v>VISION / NOT OPEN</x:v>
      </x:c>
      <x:c r="V109" s="24" t="str">
        <x:v>NOT AUTHORIZED</x:v>
      </x:c>
      <x:c r="W109" s="24" t="str">
        <x:v>Parcial</x:v>
      </x:c>
      <x:c r="X109" s="24" t="str">
        <x:v>Medium</x:v>
      </x:c>
      <x:c r="Y109" s="24" t="str">
        <x:v>Internal development; public candidate requires gate</x:v>
      </x:c>
      <x:c r="Z109" s="24" t="str">
        <x:v>H6 legal/content audit</x:v>
      </x:c>
      <x:c r="AA109" s="24" t="str">
        <x:v>VRM Games</x:v>
      </x:c>
      <x:c r="AB109" s="24" t="str">
        <x:v>No se detectó proveedor externo en la ruta; confirmar autoría por lote antes de release público.</x:v>
      </x:c>
    </x:row>
    <x:row r="110" ht="34" customHeight="1">
      <x:c r="A110" s="24" t="str">
        <x:v>INT-0106</x:v>
      </x:c>
      <x:c r="B110" s="24" t="str">
        <x:v>dd410bcf3e55c5f49bbf3e1241e777f5</x:v>
      </x:c>
      <x:c r="C110" s="24" t="str">
        <x:v>CC_S16_P2_Expansion_Studio_DevDesk_LOD0.fbx</x:v>
      </x:c>
      <x:c r="D110" s="24" t="str">
        <x:v>3D model</x:v>
      </x:c>
      <x:c r="E110" s="24" t="str">
        <x:v>Models</x:v>
      </x:c>
      <x:c r="F110" s="24" t="str">
        <x:v>VRM Games / Blas Luis Rocha González</x:v>
      </x:c>
      <x:c r="G110" s="24" t="str">
        <x:v>VRM Games / Blas Luis Rocha González</x:v>
      </x:c>
      <x:c r="H110" s="24" t="str">
        <x:v>Internal project production</x:v>
      </x:c>
      <x:c r="I110" s="24" t="str">
        <x:v>2026 project timeline</x:v>
      </x:c>
      <x:c r="J110" s="24" t="str">
        <x:v>Internal project IP / authorship claim</x:v>
      </x:c>
      <x:c r="K110" s="24" t="str">
        <x:v>N/A</x:v>
      </x:c>
      <x:c r="L110" s="24" t="str">
        <x:v>Source package + repository path + hash</x:v>
      </x:c>
      <x:c r="M110" s="24" t="str">
        <x:v>151a622bcc7626d96385005fd5c5a6c3cd876fad78f72770ad06a1d2f89594f8</x:v>
      </x:c>
      <x:c r="N110" s="24" t="str">
        <x:v>Assets/_Project/Art/Models/Expansions/CC_S16_P2_Expansion_Studio_DevDesk_LOD0.fbx</x:v>
      </x:c>
      <x:c r="O110" s="24" t="str">
        <x:v>dd410bcf3e55c5f49bbf3e1241e777f5</x:v>
      </x:c>
      <x:c r="P110" s="24" t="str">
        <x:v>Sí</x:v>
      </x:c>
      <x:c r="Q110" s="24" t="str">
        <x:v>Condicionado a autoría/procedencia final</x:v>
      </x:c>
      <x:c r="R110" s="24" t="str">
        <x:v>Solo dentro del producto/build autorizado</x:v>
      </x:c>
      <x:c r="S110" s="24" t="str">
        <x:v>Crédito general del estudio; individual si aplica</x:v>
      </x:c>
      <x:c r="T110" s="24" t="str">
        <x:v>VRM Games / Blas Luis Rocha González</x:v>
      </x:c>
      <x:c r="U110" s="24" t="str">
        <x:v>VISION / NOT OPEN</x:v>
      </x:c>
      <x:c r="V110" s="24" t="str">
        <x:v>NOT AUTHORIZED</x:v>
      </x:c>
      <x:c r="W110" s="24" t="str">
        <x:v>Parcial</x:v>
      </x:c>
      <x:c r="X110" s="24" t="str">
        <x:v>Medium</x:v>
      </x:c>
      <x:c r="Y110" s="24" t="str">
        <x:v>Internal development; public candidate requires gate</x:v>
      </x:c>
      <x:c r="Z110" s="24" t="str">
        <x:v>H6 legal/content audit</x:v>
      </x:c>
      <x:c r="AA110" s="24" t="str">
        <x:v>VRM Games</x:v>
      </x:c>
      <x:c r="AB110" s="24" t="str">
        <x:v>No se detectó proveedor externo en la ruta; confirmar autoría por lote antes de release público.</x:v>
      </x:c>
    </x:row>
    <x:row r="111" ht="34" customHeight="1">
      <x:c r="A111" s="24" t="str">
        <x:v>INT-0107</x:v>
      </x:c>
      <x:c r="B111" s="24" t="str">
        <x:v>caa4ecf609f0333479ac4127e9107679</x:v>
      </x:c>
      <x:c r="C111" s="24" t="str">
        <x:v>CC_S16_P2_Furniture_BackroomStorage_LOD0.fbx</x:v>
      </x:c>
      <x:c r="D111" s="24" t="str">
        <x:v>3D model</x:v>
      </x:c>
      <x:c r="E111" s="24" t="str">
        <x:v>Models</x:v>
      </x:c>
      <x:c r="F111" s="24" t="str">
        <x:v>VRM Games / Blas Luis Rocha González</x:v>
      </x:c>
      <x:c r="G111" s="24" t="str">
        <x:v>VRM Games / Blas Luis Rocha González</x:v>
      </x:c>
      <x:c r="H111" s="24" t="str">
        <x:v>Internal project production</x:v>
      </x:c>
      <x:c r="I111" s="24" t="str">
        <x:v>2026 project timeline</x:v>
      </x:c>
      <x:c r="J111" s="24" t="str">
        <x:v>Internal project IP / authorship claim</x:v>
      </x:c>
      <x:c r="K111" s="24" t="str">
        <x:v>N/A</x:v>
      </x:c>
      <x:c r="L111" s="24" t="str">
        <x:v>Source package + repository path + hash</x:v>
      </x:c>
      <x:c r="M111" s="24" t="str">
        <x:v>8c763b7cb85764edddb28b83b9d337f6d153afb7033121143a3136da59dcead6</x:v>
      </x:c>
      <x:c r="N111" s="24" t="str">
        <x:v>Assets/_Project/Art/Models/Furniture/CC_S16_P2_Furniture_BackroomStorage_LOD0.fbx</x:v>
      </x:c>
      <x:c r="O111" s="24" t="str">
        <x:v>caa4ecf609f0333479ac4127e9107679</x:v>
      </x:c>
      <x:c r="P111" s="24" t="str">
        <x:v>Sí</x:v>
      </x:c>
      <x:c r="Q111" s="24" t="str">
        <x:v>Condicionado a autoría/procedencia final</x:v>
      </x:c>
      <x:c r="R111" s="24" t="str">
        <x:v>Solo dentro del producto/build autorizado</x:v>
      </x:c>
      <x:c r="S111" s="24" t="str">
        <x:v>Crédito general del estudio; individual si aplica</x:v>
      </x:c>
      <x:c r="T111" s="24" t="str">
        <x:v>VRM Games / Blas Luis Rocha González</x:v>
      </x:c>
      <x:c r="U111" s="24" t="str">
        <x:v>CURRENT PROJECT ASSET</x:v>
      </x:c>
      <x:c r="V111" s="24" t="str">
        <x:v>CONDITIONALLY APPROVED</x:v>
      </x:c>
      <x:c r="W111" s="24" t="str">
        <x:v>Parcial</x:v>
      </x:c>
      <x:c r="X111" s="24" t="str">
        <x:v>Medium</x:v>
      </x:c>
      <x:c r="Y111" s="24" t="str">
        <x:v>Internal development; public candidate requires gate</x:v>
      </x:c>
      <x:c r="Z111" s="24" t="str">
        <x:v>H6 legal/content audit</x:v>
      </x:c>
      <x:c r="AA111" s="24" t="str">
        <x:v>VRM Games</x:v>
      </x:c>
      <x:c r="AB111" s="24" t="str">
        <x:v>No se detectó proveedor externo en la ruta; confirmar autoría por lote antes de release público.</x:v>
      </x:c>
    </x:row>
    <x:row r="112" ht="34" customHeight="1">
      <x:c r="A112" s="24" t="str">
        <x:v>INT-0108</x:v>
      </x:c>
      <x:c r="B112" s="24" t="str">
        <x:v>5d2c13b48c956bc46b826c9dee5e6400</x:v>
      </x:c>
      <x:c r="C112" s="24" t="str">
        <x:v>CC_S16_P2_Furniture_CentralShelf_LOD0.fbx</x:v>
      </x:c>
      <x:c r="D112" s="24" t="str">
        <x:v>3D model</x:v>
      </x:c>
      <x:c r="E112" s="24" t="str">
        <x:v>Models</x:v>
      </x:c>
      <x:c r="F112" s="24" t="str">
        <x:v>VRM Games / Blas Luis Rocha González</x:v>
      </x:c>
      <x:c r="G112" s="24" t="str">
        <x:v>VRM Games / Blas Luis Rocha González</x:v>
      </x:c>
      <x:c r="H112" s="24" t="str">
        <x:v>Internal project production</x:v>
      </x:c>
      <x:c r="I112" s="24" t="str">
        <x:v>2026 project timeline</x:v>
      </x:c>
      <x:c r="J112" s="24" t="str">
        <x:v>Internal project IP / authorship claim</x:v>
      </x:c>
      <x:c r="K112" s="24" t="str">
        <x:v>N/A</x:v>
      </x:c>
      <x:c r="L112" s="24" t="str">
        <x:v>Source package + repository path + hash</x:v>
      </x:c>
      <x:c r="M112" s="24" t="str">
        <x:v>ac4c523a61c0835b43bfca403a46032659d48f038aa6216e9f286af2b646fda4</x:v>
      </x:c>
      <x:c r="N112" s="24" t="str">
        <x:v>Assets/_Project/Art/Models/Furniture/CC_S16_P2_Furniture_CentralShelf_LOD0.fbx</x:v>
      </x:c>
      <x:c r="O112" s="24" t="str">
        <x:v>5d2c13b48c956bc46b826c9dee5e6400</x:v>
      </x:c>
      <x:c r="P112" s="24" t="str">
        <x:v>Sí</x:v>
      </x:c>
      <x:c r="Q112" s="24" t="str">
        <x:v>Condicionado a autoría/procedencia final</x:v>
      </x:c>
      <x:c r="R112" s="24" t="str">
        <x:v>Solo dentro del producto/build autorizado</x:v>
      </x:c>
      <x:c r="S112" s="24" t="str">
        <x:v>Crédito general del estudio; individual si aplica</x:v>
      </x:c>
      <x:c r="T112" s="24" t="str">
        <x:v>VRM Games / Blas Luis Rocha González</x:v>
      </x:c>
      <x:c r="U112" s="24" t="str">
        <x:v>CURRENT PROJECT ASSET</x:v>
      </x:c>
      <x:c r="V112" s="24" t="str">
        <x:v>CONDITIONALLY APPROVED</x:v>
      </x:c>
      <x:c r="W112" s="24" t="str">
        <x:v>Parcial</x:v>
      </x:c>
      <x:c r="X112" s="24" t="str">
        <x:v>Medium</x:v>
      </x:c>
      <x:c r="Y112" s="24" t="str">
        <x:v>Internal development; public candidate requires gate</x:v>
      </x:c>
      <x:c r="Z112" s="24" t="str">
        <x:v>H6 legal/content audit</x:v>
      </x:c>
      <x:c r="AA112" s="24" t="str">
        <x:v>VRM Games</x:v>
      </x:c>
      <x:c r="AB112" s="24" t="str">
        <x:v>No se detectó proveedor externo en la ruta; confirmar autoría por lote antes de release público.</x:v>
      </x:c>
    </x:row>
    <x:row r="113" ht="34" customHeight="1">
      <x:c r="A113" s="24" t="str">
        <x:v>INT-0109</x:v>
      </x:c>
      <x:c r="B113" s="24" t="str">
        <x:v>6a8e518eca8fdc54480401ab55849fdd</x:v>
      </x:c>
      <x:c r="C113" s="24" t="str">
        <x:v>CC_S16_P2_Furniture_CheckoutCounter_LOD0.fbx</x:v>
      </x:c>
      <x:c r="D113" s="24" t="str">
        <x:v>3D model</x:v>
      </x:c>
      <x:c r="E113" s="24" t="str">
        <x:v>Models</x:v>
      </x:c>
      <x:c r="F113" s="24" t="str">
        <x:v>VRM Games / Blas Luis Rocha González</x:v>
      </x:c>
      <x:c r="G113" s="24" t="str">
        <x:v>VRM Games / Blas Luis Rocha González</x:v>
      </x:c>
      <x:c r="H113" s="24" t="str">
        <x:v>Internal project production</x:v>
      </x:c>
      <x:c r="I113" s="24" t="str">
        <x:v>2026 project timeline</x:v>
      </x:c>
      <x:c r="J113" s="24" t="str">
        <x:v>Internal project IP / authorship claim</x:v>
      </x:c>
      <x:c r="K113" s="24" t="str">
        <x:v>N/A</x:v>
      </x:c>
      <x:c r="L113" s="24" t="str">
        <x:v>Source package + repository path + hash</x:v>
      </x:c>
      <x:c r="M113" s="24" t="str">
        <x:v>dbfb07cf0f01b0f2118817318adde191158cba517d99a6ec69ce3f4da5456354</x:v>
      </x:c>
      <x:c r="N113" s="24" t="str">
        <x:v>Assets/_Project/Art/Models/Furniture/CC_S16_P2_Furniture_CheckoutCounter_LOD0.fbx</x:v>
      </x:c>
      <x:c r="O113" s="24" t="str">
        <x:v>6a8e518eca8fdc54480401ab55849fdd</x:v>
      </x:c>
      <x:c r="P113" s="24" t="str">
        <x:v>Sí</x:v>
      </x:c>
      <x:c r="Q113" s="24" t="str">
        <x:v>Condicionado a autoría/procedencia final</x:v>
      </x:c>
      <x:c r="R113" s="24" t="str">
        <x:v>Solo dentro del producto/build autorizado</x:v>
      </x:c>
      <x:c r="S113" s="24" t="str">
        <x:v>Crédito general del estudio; individual si aplica</x:v>
      </x:c>
      <x:c r="T113" s="24" t="str">
        <x:v>VRM Games / Blas Luis Rocha González</x:v>
      </x:c>
      <x:c r="U113" s="24" t="str">
        <x:v>CURRENT PROJECT ASSET</x:v>
      </x:c>
      <x:c r="V113" s="24" t="str">
        <x:v>CONDITIONALLY APPROVED</x:v>
      </x:c>
      <x:c r="W113" s="24" t="str">
        <x:v>Parcial</x:v>
      </x:c>
      <x:c r="X113" s="24" t="str">
        <x:v>Medium</x:v>
      </x:c>
      <x:c r="Y113" s="24" t="str">
        <x:v>Internal development; public candidate requires gate</x:v>
      </x:c>
      <x:c r="Z113" s="24" t="str">
        <x:v>H6 legal/content audit</x:v>
      </x:c>
      <x:c r="AA113" s="24" t="str">
        <x:v>VRM Games</x:v>
      </x:c>
      <x:c r="AB113" s="24" t="str">
        <x:v>No se detectó proveedor externo en la ruta; confirmar autoría por lote antes de release público.</x:v>
      </x:c>
    </x:row>
    <x:row r="114" ht="34" customHeight="1">
      <x:c r="A114" s="24" t="str">
        <x:v>INT-0110</x:v>
      </x:c>
      <x:c r="B114" s="24" t="str">
        <x:v>d000e3c5e4dc91643af5db8d5a682a59</x:v>
      </x:c>
      <x:c r="C114" s="24" t="str">
        <x:v>CC_S16_P2_Furniture_DecorativePlant_LOD0.fbx</x:v>
      </x:c>
      <x:c r="D114" s="24" t="str">
        <x:v>3D model</x:v>
      </x:c>
      <x:c r="E114" s="24" t="str">
        <x:v>Models</x:v>
      </x:c>
      <x:c r="F114" s="24" t="str">
        <x:v>VRM Games / Blas Luis Rocha González</x:v>
      </x:c>
      <x:c r="G114" s="24" t="str">
        <x:v>VRM Games / Blas Luis Rocha González</x:v>
      </x:c>
      <x:c r="H114" s="24" t="str">
        <x:v>Internal project production</x:v>
      </x:c>
      <x:c r="I114" s="24" t="str">
        <x:v>2026 project timeline</x:v>
      </x:c>
      <x:c r="J114" s="24" t="str">
        <x:v>Internal project IP / authorship claim</x:v>
      </x:c>
      <x:c r="K114" s="24" t="str">
        <x:v>N/A</x:v>
      </x:c>
      <x:c r="L114" s="24" t="str">
        <x:v>Source package + repository path + hash</x:v>
      </x:c>
      <x:c r="M114" s="24" t="str">
        <x:v>ae324a9a47261e6a30e75d0c1487df72d8dd5f7e9de60d1a7569c1e7d4cb5c71</x:v>
      </x:c>
      <x:c r="N114" s="24" t="str">
        <x:v>Assets/_Project/Art/Models/Furniture/CC_S16_P2_Furniture_DecorativePlant_LOD0.fbx</x:v>
      </x:c>
      <x:c r="O114" s="24" t="str">
        <x:v>d000e3c5e4dc91643af5db8d5a682a59</x:v>
      </x:c>
      <x:c r="P114" s="24" t="str">
        <x:v>Sí</x:v>
      </x:c>
      <x:c r="Q114" s="24" t="str">
        <x:v>Condicionado a autoría/procedencia final</x:v>
      </x:c>
      <x:c r="R114" s="24" t="str">
        <x:v>Solo dentro del producto/build autorizado</x:v>
      </x:c>
      <x:c r="S114" s="24" t="str">
        <x:v>Crédito general del estudio; individual si aplica</x:v>
      </x:c>
      <x:c r="T114" s="24" t="str">
        <x:v>VRM Games / Blas Luis Rocha González</x:v>
      </x:c>
      <x:c r="U114" s="24" t="str">
        <x:v>CURRENT PROJECT ASSET</x:v>
      </x:c>
      <x:c r="V114" s="24" t="str">
        <x:v>CONDITIONALLY APPROVED</x:v>
      </x:c>
      <x:c r="W114" s="24" t="str">
        <x:v>Parcial</x:v>
      </x:c>
      <x:c r="X114" s="24" t="str">
        <x:v>Medium</x:v>
      </x:c>
      <x:c r="Y114" s="24" t="str">
        <x:v>Internal development; public candidate requires gate</x:v>
      </x:c>
      <x:c r="Z114" s="24" t="str">
        <x:v>H6 legal/content audit</x:v>
      </x:c>
      <x:c r="AA114" s="24" t="str">
        <x:v>VRM Games</x:v>
      </x:c>
      <x:c r="AB114" s="24" t="str">
        <x:v>No se detectó proveedor externo en la ruta; confirmar autoría por lote antes de release público.</x:v>
      </x:c>
    </x:row>
    <x:row r="115" ht="34" customHeight="1">
      <x:c r="A115" s="24" t="str">
        <x:v>INT-0111</x:v>
      </x:c>
      <x:c r="B115" s="24" t="str">
        <x:v>366b6e46f77550c47bd5cf6abc4acfc1</x:v>
      </x:c>
      <x:c r="C115" s="24" t="str">
        <x:v>CC_S16_P2_Furniture_FeaturedDisplay_LOD0.fbx</x:v>
      </x:c>
      <x:c r="D115" s="24" t="str">
        <x:v>3D model</x:v>
      </x:c>
      <x:c r="E115" s="24" t="str">
        <x:v>Models</x:v>
      </x:c>
      <x:c r="F115" s="24" t="str">
        <x:v>VRM Games / Blas Luis Rocha González</x:v>
      </x:c>
      <x:c r="G115" s="24" t="str">
        <x:v>VRM Games / Blas Luis Rocha González</x:v>
      </x:c>
      <x:c r="H115" s="24" t="str">
        <x:v>Internal project production</x:v>
      </x:c>
      <x:c r="I115" s="24" t="str">
        <x:v>2026 project timeline</x:v>
      </x:c>
      <x:c r="J115" s="24" t="str">
        <x:v>Internal project IP / authorship claim</x:v>
      </x:c>
      <x:c r="K115" s="24" t="str">
        <x:v>N/A</x:v>
      </x:c>
      <x:c r="L115" s="24" t="str">
        <x:v>Source package + repository path + hash</x:v>
      </x:c>
      <x:c r="M115" s="24" t="str">
        <x:v>0d49181fbd45d065cd5e4c4875249856fad7f9bad8a0f98735302603bb79bce4</x:v>
      </x:c>
      <x:c r="N115" s="24" t="str">
        <x:v>Assets/_Project/Art/Models/Furniture/CC_S16_P2_Furniture_FeaturedDisplay_LOD0.fbx</x:v>
      </x:c>
      <x:c r="O115" s="24" t="str">
        <x:v>366b6e46f77550c47bd5cf6abc4acfc1</x:v>
      </x:c>
      <x:c r="P115" s="24" t="str">
        <x:v>Sí</x:v>
      </x:c>
      <x:c r="Q115" s="24" t="str">
        <x:v>Condicionado a autoría/procedencia final</x:v>
      </x:c>
      <x:c r="R115" s="24" t="str">
        <x:v>Solo dentro del producto/build autorizado</x:v>
      </x:c>
      <x:c r="S115" s="24" t="str">
        <x:v>Crédito general del estudio; individual si aplica</x:v>
      </x:c>
      <x:c r="T115" s="24" t="str">
        <x:v>VRM Games / Blas Luis Rocha González</x:v>
      </x:c>
      <x:c r="U115" s="24" t="str">
        <x:v>CURRENT PROJECT ASSET</x:v>
      </x:c>
      <x:c r="V115" s="24" t="str">
        <x:v>CONDITIONALLY APPROVED</x:v>
      </x:c>
      <x:c r="W115" s="24" t="str">
        <x:v>Parcial</x:v>
      </x:c>
      <x:c r="X115" s="24" t="str">
        <x:v>Medium</x:v>
      </x:c>
      <x:c r="Y115" s="24" t="str">
        <x:v>Internal development; public candidate requires gate</x:v>
      </x:c>
      <x:c r="Z115" s="24" t="str">
        <x:v>H6 legal/content audit</x:v>
      </x:c>
      <x:c r="AA115" s="24" t="str">
        <x:v>VRM Games</x:v>
      </x:c>
      <x:c r="AB115" s="24" t="str">
        <x:v>No se detectó proveedor externo en la ruta; confirmar autoría por lote antes de release público.</x:v>
      </x:c>
    </x:row>
    <x:row r="116" ht="34" customHeight="1">
      <x:c r="A116" s="24" t="str">
        <x:v>INT-0112</x:v>
      </x:c>
      <x:c r="B116" s="24" t="str">
        <x:v>d74b514638edac2439009f1e23ad7479</x:v>
      </x:c>
      <x:c r="C116" s="24" t="str">
        <x:v>CC_S16_P2_Furniture_LowDisplay_LOD0.fbx</x:v>
      </x:c>
      <x:c r="D116" s="24" t="str">
        <x:v>3D model</x:v>
      </x:c>
      <x:c r="E116" s="24" t="str">
        <x:v>Models</x:v>
      </x:c>
      <x:c r="F116" s="24" t="str">
        <x:v>VRM Games / Blas Luis Rocha González</x:v>
      </x:c>
      <x:c r="G116" s="24" t="str">
        <x:v>VRM Games / Blas Luis Rocha González</x:v>
      </x:c>
      <x:c r="H116" s="24" t="str">
        <x:v>Internal project production</x:v>
      </x:c>
      <x:c r="I116" s="24" t="str">
        <x:v>2026 project timeline</x:v>
      </x:c>
      <x:c r="J116" s="24" t="str">
        <x:v>Internal project IP / authorship claim</x:v>
      </x:c>
      <x:c r="K116" s="24" t="str">
        <x:v>N/A</x:v>
      </x:c>
      <x:c r="L116" s="24" t="str">
        <x:v>Source package + repository path + hash</x:v>
      </x:c>
      <x:c r="M116" s="24" t="str">
        <x:v>a2f6f6543d73aab04eb0b73018c1c8a48421441b1e1d6939263adf4972be523e</x:v>
      </x:c>
      <x:c r="N116" s="24" t="str">
        <x:v>Assets/_Project/Art/Models/Furniture/CC_S16_P2_Furniture_LowDisplay_LOD0.fbx</x:v>
      </x:c>
      <x:c r="O116" s="24" t="str">
        <x:v>d74b514638edac2439009f1e23ad7479</x:v>
      </x:c>
      <x:c r="P116" s="24" t="str">
        <x:v>Sí</x:v>
      </x:c>
      <x:c r="Q116" s="24" t="str">
        <x:v>Condicionado a autoría/procedencia final</x:v>
      </x:c>
      <x:c r="R116" s="24" t="str">
        <x:v>Solo dentro del producto/build autorizado</x:v>
      </x:c>
      <x:c r="S116" s="24" t="str">
        <x:v>Crédito general del estudio; individual si aplica</x:v>
      </x:c>
      <x:c r="T116" s="24" t="str">
        <x:v>VRM Games / Blas Luis Rocha González</x:v>
      </x:c>
      <x:c r="U116" s="24" t="str">
        <x:v>CURRENT PROJECT ASSET</x:v>
      </x:c>
      <x:c r="V116" s="24" t="str">
        <x:v>CONDITIONALLY APPROVED</x:v>
      </x:c>
      <x:c r="W116" s="24" t="str">
        <x:v>Parcial</x:v>
      </x:c>
      <x:c r="X116" s="24" t="str">
        <x:v>Medium</x:v>
      </x:c>
      <x:c r="Y116" s="24" t="str">
        <x:v>Internal development; public candidate requires gate</x:v>
      </x:c>
      <x:c r="Z116" s="24" t="str">
        <x:v>H6 legal/content audit</x:v>
      </x:c>
      <x:c r="AA116" s="24" t="str">
        <x:v>VRM Games</x:v>
      </x:c>
      <x:c r="AB116" s="24" t="str">
        <x:v>No se detectó proveedor externo en la ruta; confirmar autoría por lote antes de release público.</x:v>
      </x:c>
    </x:row>
    <x:row r="117" ht="34" customHeight="1">
      <x:c r="A117" s="24" t="str">
        <x:v>INT-0113</x:v>
      </x:c>
      <x:c r="B117" s="24" t="str">
        <x:v>bb90e34ce1c024842a2ef7a99c00ae01</x:v>
      </x:c>
      <x:c r="C117" s="24" t="str">
        <x:v>CC_S16_P2_Furniture_ReceivingCrate_LOD0.fbx</x:v>
      </x:c>
      <x:c r="D117" s="24" t="str">
        <x:v>3D model</x:v>
      </x:c>
      <x:c r="E117" s="24" t="str">
        <x:v>Models</x:v>
      </x:c>
      <x:c r="F117" s="24" t="str">
        <x:v>VRM Games / Blas Luis Rocha González</x:v>
      </x:c>
      <x:c r="G117" s="24" t="str">
        <x:v>VRM Games / Blas Luis Rocha González</x:v>
      </x:c>
      <x:c r="H117" s="24" t="str">
        <x:v>Internal project production</x:v>
      </x:c>
      <x:c r="I117" s="24" t="str">
        <x:v>2026 project timeline</x:v>
      </x:c>
      <x:c r="J117" s="24" t="str">
        <x:v>Internal project IP / authorship claim</x:v>
      </x:c>
      <x:c r="K117" s="24" t="str">
        <x:v>N/A</x:v>
      </x:c>
      <x:c r="L117" s="24" t="str">
        <x:v>Source package + repository path + hash</x:v>
      </x:c>
      <x:c r="M117" s="24" t="str">
        <x:v>fbc14bc267a2256361330081b5e04413483259564c53b60e250828f186525798</x:v>
      </x:c>
      <x:c r="N117" s="24" t="str">
        <x:v>Assets/_Project/Art/Models/Furniture/CC_S16_P2_Furniture_ReceivingCrate_LOD0.fbx</x:v>
      </x:c>
      <x:c r="O117" s="24" t="str">
        <x:v>bb90e34ce1c024842a2ef7a99c00ae01</x:v>
      </x:c>
      <x:c r="P117" s="24" t="str">
        <x:v>Sí</x:v>
      </x:c>
      <x:c r="Q117" s="24" t="str">
        <x:v>Condicionado a autoría/procedencia final</x:v>
      </x:c>
      <x:c r="R117" s="24" t="str">
        <x:v>Solo dentro del producto/build autorizado</x:v>
      </x:c>
      <x:c r="S117" s="24" t="str">
        <x:v>Crédito general del estudio; individual si aplica</x:v>
      </x:c>
      <x:c r="T117" s="24" t="str">
        <x:v>VRM Games / Blas Luis Rocha González</x:v>
      </x:c>
      <x:c r="U117" s="24" t="str">
        <x:v>CURRENT PROJECT ASSET</x:v>
      </x:c>
      <x:c r="V117" s="24" t="str">
        <x:v>CONDITIONALLY APPROVED</x:v>
      </x:c>
      <x:c r="W117" s="24" t="str">
        <x:v>Parcial</x:v>
      </x:c>
      <x:c r="X117" s="24" t="str">
        <x:v>Medium</x:v>
      </x:c>
      <x:c r="Y117" s="24" t="str">
        <x:v>Internal development; public candidate requires gate</x:v>
      </x:c>
      <x:c r="Z117" s="24" t="str">
        <x:v>H6 legal/content audit</x:v>
      </x:c>
      <x:c r="AA117" s="24" t="str">
        <x:v>VRM Games</x:v>
      </x:c>
      <x:c r="AB117" s="24" t="str">
        <x:v>No se detectó proveedor externo en la ruta; confirmar autoría por lote antes de release público.</x:v>
      </x:c>
    </x:row>
    <x:row r="118" ht="34" customHeight="1">
      <x:c r="A118" s="24" t="str">
        <x:v>INT-0114</x:v>
      </x:c>
      <x:c r="B118" s="24" t="str">
        <x:v>3f5aff978cf86e64caf314275af67e77</x:v>
      </x:c>
      <x:c r="C118" s="24" t="str">
        <x:v>CC_S16_P2_Furniture_WallShelf_LOD0.fbx</x:v>
      </x:c>
      <x:c r="D118" s="24" t="str">
        <x:v>3D model</x:v>
      </x:c>
      <x:c r="E118" s="24" t="str">
        <x:v>Models</x:v>
      </x:c>
      <x:c r="F118" s="24" t="str">
        <x:v>VRM Games / Blas Luis Rocha González</x:v>
      </x:c>
      <x:c r="G118" s="24" t="str">
        <x:v>VRM Games / Blas Luis Rocha González</x:v>
      </x:c>
      <x:c r="H118" s="24" t="str">
        <x:v>Internal project production</x:v>
      </x:c>
      <x:c r="I118" s="24" t="str">
        <x:v>2026 project timeline</x:v>
      </x:c>
      <x:c r="J118" s="24" t="str">
        <x:v>Internal project IP / authorship claim</x:v>
      </x:c>
      <x:c r="K118" s="24" t="str">
        <x:v>N/A</x:v>
      </x:c>
      <x:c r="L118" s="24" t="str">
        <x:v>Source package + repository path + hash</x:v>
      </x:c>
      <x:c r="M118" s="24" t="str">
        <x:v>2c7387bcaa497c5e56f6d9aa4a30f2dafb7ecbcf9f923a3dae0024cdae706bac</x:v>
      </x:c>
      <x:c r="N118" s="24" t="str">
        <x:v>Assets/_Project/Art/Models/Furniture/CC_S16_P2_Furniture_WallShelf_LOD0.fbx</x:v>
      </x:c>
      <x:c r="O118" s="24" t="str">
        <x:v>3f5aff978cf86e64caf314275af67e77</x:v>
      </x:c>
      <x:c r="P118" s="24" t="str">
        <x:v>Sí</x:v>
      </x:c>
      <x:c r="Q118" s="24" t="str">
        <x:v>Condicionado a autoría/procedencia final</x:v>
      </x:c>
      <x:c r="R118" s="24" t="str">
        <x:v>Solo dentro del producto/build autorizado</x:v>
      </x:c>
      <x:c r="S118" s="24" t="str">
        <x:v>Crédito general del estudio; individual si aplica</x:v>
      </x:c>
      <x:c r="T118" s="24" t="str">
        <x:v>VRM Games / Blas Luis Rocha González</x:v>
      </x:c>
      <x:c r="U118" s="24" t="str">
        <x:v>CURRENT PROJECT ASSET</x:v>
      </x:c>
      <x:c r="V118" s="24" t="str">
        <x:v>CONDITIONALLY APPROVED</x:v>
      </x:c>
      <x:c r="W118" s="24" t="str">
        <x:v>Parcial</x:v>
      </x:c>
      <x:c r="X118" s="24" t="str">
        <x:v>Medium</x:v>
      </x:c>
      <x:c r="Y118" s="24" t="str">
        <x:v>Internal development; public candidate requires gate</x:v>
      </x:c>
      <x:c r="Z118" s="24" t="str">
        <x:v>H6 legal/content audit</x:v>
      </x:c>
      <x:c r="AA118" s="24" t="str">
        <x:v>VRM Games</x:v>
      </x:c>
      <x:c r="AB118" s="24" t="str">
        <x:v>No se detectó proveedor externo en la ruta; confirmar autoría por lote antes de release público.</x:v>
      </x:c>
    </x:row>
    <x:row r="119" ht="34" customHeight="1">
      <x:c r="A119" s="24" t="str">
        <x:v>INT-0115</x:v>
      </x:c>
      <x:c r="B119" s="24" t="str">
        <x:v>a77141c3d81ed9c4fb7589effc023554</x:v>
      </x:c>
      <x:c r="C119" s="24" t="str">
        <x:v>CC_S16_P2_Product_CloudRunnerCase_Box_LOD0.fbx</x:v>
      </x:c>
      <x:c r="D119" s="24" t="str">
        <x:v>3D model</x:v>
      </x:c>
      <x:c r="E119" s="24" t="str">
        <x:v>Models</x:v>
      </x:c>
      <x:c r="F119" s="24" t="str">
        <x:v>VRM Games / Blas Luis Rocha González</x:v>
      </x:c>
      <x:c r="G119" s="24" t="str">
        <x:v>VRM Games / Blas Luis Rocha González</x:v>
      </x:c>
      <x:c r="H119" s="24" t="str">
        <x:v>Internal project production</x:v>
      </x:c>
      <x:c r="I119" s="24" t="str">
        <x:v>2026 project timeline</x:v>
      </x:c>
      <x:c r="J119" s="24" t="str">
        <x:v>Internal project IP / authorship claim</x:v>
      </x:c>
      <x:c r="K119" s="24" t="str">
        <x:v>N/A</x:v>
      </x:c>
      <x:c r="L119" s="24" t="str">
        <x:v>Source package + repository path + hash</x:v>
      </x:c>
      <x:c r="M119" s="24" t="str">
        <x:v>c1eedf8195e0694b20b19293ccc44e91abc5a3ba2ce5cff4ed4891b009239638</x:v>
      </x:c>
      <x:c r="N119" s="24" t="str">
        <x:v>Assets/_Project/Art/Models/Products/CC_S16_P2_Product_CloudRunnerCase_Box_LOD0.fbx</x:v>
      </x:c>
      <x:c r="O119" s="24" t="str">
        <x:v>a77141c3d81ed9c4fb7589effc023554</x:v>
      </x:c>
      <x:c r="P119" s="24" t="str">
        <x:v>Sí</x:v>
      </x:c>
      <x:c r="Q119" s="24" t="str">
        <x:v>Condicionado a autoría/procedencia final</x:v>
      </x:c>
      <x:c r="R119" s="24" t="str">
        <x:v>Solo dentro del producto/build autorizado</x:v>
      </x:c>
      <x:c r="S119" s="24" t="str">
        <x:v>Crédito general del estudio; individual si aplica</x:v>
      </x:c>
      <x:c r="T119" s="24" t="str">
        <x:v>VRM Games / Blas Luis Rocha González</x:v>
      </x:c>
      <x:c r="U119" s="24" t="str">
        <x:v>CURRENT PROJECT ASSET</x:v>
      </x:c>
      <x:c r="V119" s="24" t="str">
        <x:v>CONDITIONALLY APPROVED</x:v>
      </x:c>
      <x:c r="W119" s="24" t="str">
        <x:v>Parcial</x:v>
      </x:c>
      <x:c r="X119" s="24" t="str">
        <x:v>Medium</x:v>
      </x:c>
      <x:c r="Y119" s="24" t="str">
        <x:v>Internal development; public candidate requires gate</x:v>
      </x:c>
      <x:c r="Z119" s="24" t="str">
        <x:v>H6 legal/content audit</x:v>
      </x:c>
      <x:c r="AA119" s="24" t="str">
        <x:v>VRM Games</x:v>
      </x:c>
      <x:c r="AB119" s="24" t="str">
        <x:v>No se detectó proveedor externo en la ruta; confirmar autoría por lote antes de release público.</x:v>
      </x:c>
    </x:row>
    <x:row r="120" ht="34" customHeight="1">
      <x:c r="A120" s="24" t="str">
        <x:v>INT-0116</x:v>
      </x:c>
      <x:c r="B120" s="24" t="str">
        <x:v>99ca15e906cfec640aa6bf7bab3052cb</x:v>
      </x:c>
      <x:c r="C120" s="24" t="str">
        <x:v>CC_S16_P2_Product_CloudRunnerCase_LOD0.fbx</x:v>
      </x:c>
      <x:c r="D120" s="24" t="str">
        <x:v>3D model</x:v>
      </x:c>
      <x:c r="E120" s="24" t="str">
        <x:v>Models</x:v>
      </x:c>
      <x:c r="F120" s="24" t="str">
        <x:v>VRM Games / Blas Luis Rocha González</x:v>
      </x:c>
      <x:c r="G120" s="24" t="str">
        <x:v>VRM Games / Blas Luis Rocha González</x:v>
      </x:c>
      <x:c r="H120" s="24" t="str">
        <x:v>Internal project production</x:v>
      </x:c>
      <x:c r="I120" s="24" t="str">
        <x:v>2026 project timeline</x:v>
      </x:c>
      <x:c r="J120" s="24" t="str">
        <x:v>Internal project IP / authorship claim</x:v>
      </x:c>
      <x:c r="K120" s="24" t="str">
        <x:v>N/A</x:v>
      </x:c>
      <x:c r="L120" s="24" t="str">
        <x:v>Source package + repository path + hash</x:v>
      </x:c>
      <x:c r="M120" s="24" t="str">
        <x:v>53bb9523ca139d47620882ec031933f4f798c18b78e5ea1372613dba57240b6c</x:v>
      </x:c>
      <x:c r="N120" s="24" t="str">
        <x:v>Assets/_Project/Art/Models/Products/CC_S16_P2_Product_CloudRunnerCase_LOD0.fbx</x:v>
      </x:c>
      <x:c r="O120" s="24" t="str">
        <x:v>99ca15e906cfec640aa6bf7bab3052cb</x:v>
      </x:c>
      <x:c r="P120" s="24" t="str">
        <x:v>Sí</x:v>
      </x:c>
      <x:c r="Q120" s="24" t="str">
        <x:v>Condicionado a autoría/procedencia final</x:v>
      </x:c>
      <x:c r="R120" s="24" t="str">
        <x:v>Solo dentro del producto/build autorizado</x:v>
      </x:c>
      <x:c r="S120" s="24" t="str">
        <x:v>Crédito general del estudio; individual si aplica</x:v>
      </x:c>
      <x:c r="T120" s="24" t="str">
        <x:v>VRM Games / Blas Luis Rocha González</x:v>
      </x:c>
      <x:c r="U120" s="24" t="str">
        <x:v>CURRENT PROJECT ASSET</x:v>
      </x:c>
      <x:c r="V120" s="24" t="str">
        <x:v>CONDITIONALLY APPROVED</x:v>
      </x:c>
      <x:c r="W120" s="24" t="str">
        <x:v>Parcial</x:v>
      </x:c>
      <x:c r="X120" s="24" t="str">
        <x:v>Medium</x:v>
      </x:c>
      <x:c r="Y120" s="24" t="str">
        <x:v>Internal development; public candidate requires gate</x:v>
      </x:c>
      <x:c r="Z120" s="24" t="str">
        <x:v>H6 legal/content audit</x:v>
      </x:c>
      <x:c r="AA120" s="24" t="str">
        <x:v>VRM Games</x:v>
      </x:c>
      <x:c r="AB120" s="24" t="str">
        <x:v>No se detectó proveedor externo en la ruta; confirmar autoría por lote antes de release público.</x:v>
      </x:c>
    </x:row>
    <x:row r="121" ht="34" customHeight="1">
      <x:c r="A121" s="24" t="str">
        <x:v>INT-0117</x:v>
      </x:c>
      <x:c r="B121" s="24" t="str">
        <x:v>a1b7b4404aa4b714f917609c87c8565d</x:v>
      </x:c>
      <x:c r="C121" s="24" t="str">
        <x:v>CC_S16_P2_Product_MemoryCore_Box_LOD0.fbx</x:v>
      </x:c>
      <x:c r="D121" s="24" t="str">
        <x:v>3D model</x:v>
      </x:c>
      <x:c r="E121" s="24" t="str">
        <x:v>Models</x:v>
      </x:c>
      <x:c r="F121" s="24" t="str">
        <x:v>VRM Games / Blas Luis Rocha González</x:v>
      </x:c>
      <x:c r="G121" s="24" t="str">
        <x:v>VRM Games / Blas Luis Rocha González</x:v>
      </x:c>
      <x:c r="H121" s="24" t="str">
        <x:v>Internal project production</x:v>
      </x:c>
      <x:c r="I121" s="24" t="str">
        <x:v>2026 project timeline</x:v>
      </x:c>
      <x:c r="J121" s="24" t="str">
        <x:v>Internal project IP / authorship claim</x:v>
      </x:c>
      <x:c r="K121" s="24" t="str">
        <x:v>N/A</x:v>
      </x:c>
      <x:c r="L121" s="24" t="str">
        <x:v>Source package + repository path + hash</x:v>
      </x:c>
      <x:c r="M121" s="24" t="str">
        <x:v>e77cc37a98593081859fed6035835d89a9eafcd15058ebae3c75bfd9411c3908</x:v>
      </x:c>
      <x:c r="N121" s="24" t="str">
        <x:v>Assets/_Project/Art/Models/Products/CC_S16_P2_Product_MemoryCore_Box_LOD0.fbx</x:v>
      </x:c>
      <x:c r="O121" s="24" t="str">
        <x:v>a1b7b4404aa4b714f917609c87c8565d</x:v>
      </x:c>
      <x:c r="P121" s="24" t="str">
        <x:v>Sí</x:v>
      </x:c>
      <x:c r="Q121" s="24" t="str">
        <x:v>Condicionado a autoría/procedencia final</x:v>
      </x:c>
      <x:c r="R121" s="24" t="str">
        <x:v>Solo dentro del producto/build autorizado</x:v>
      </x:c>
      <x:c r="S121" s="24" t="str">
        <x:v>Crédito general del estudio; individual si aplica</x:v>
      </x:c>
      <x:c r="T121" s="24" t="str">
        <x:v>VRM Games / Blas Luis Rocha González</x:v>
      </x:c>
      <x:c r="U121" s="24" t="str">
        <x:v>CURRENT PROJECT ASSET</x:v>
      </x:c>
      <x:c r="V121" s="24" t="str">
        <x:v>CONDITIONALLY APPROVED</x:v>
      </x:c>
      <x:c r="W121" s="24" t="str">
        <x:v>Parcial</x:v>
      </x:c>
      <x:c r="X121" s="24" t="str">
        <x:v>Medium</x:v>
      </x:c>
      <x:c r="Y121" s="24" t="str">
        <x:v>Internal development; public candidate requires gate</x:v>
      </x:c>
      <x:c r="Z121" s="24" t="str">
        <x:v>H6 legal/content audit</x:v>
      </x:c>
      <x:c r="AA121" s="24" t="str">
        <x:v>VRM Games</x:v>
      </x:c>
      <x:c r="AB121" s="24" t="str">
        <x:v>No se detectó proveedor externo en la ruta; confirmar autoría por lote antes de release público.</x:v>
      </x:c>
    </x:row>
    <x:row r="122" ht="34" customHeight="1">
      <x:c r="A122" s="24" t="str">
        <x:v>INT-0118</x:v>
      </x:c>
      <x:c r="B122" s="24" t="str">
        <x:v>5462512357d03424f9609d9617697c19</x:v>
      </x:c>
      <x:c r="C122" s="24" t="str">
        <x:v>CC_S16_P2_Product_MemoryCore_LOD0.fbx</x:v>
      </x:c>
      <x:c r="D122" s="24" t="str">
        <x:v>3D model</x:v>
      </x:c>
      <x:c r="E122" s="24" t="str">
        <x:v>Models</x:v>
      </x:c>
      <x:c r="F122" s="24" t="str">
        <x:v>VRM Games / Blas Luis Rocha González</x:v>
      </x:c>
      <x:c r="G122" s="24" t="str">
        <x:v>VRM Games / Blas Luis Rocha González</x:v>
      </x:c>
      <x:c r="H122" s="24" t="str">
        <x:v>Internal project production</x:v>
      </x:c>
      <x:c r="I122" s="24" t="str">
        <x:v>2026 project timeline</x:v>
      </x:c>
      <x:c r="J122" s="24" t="str">
        <x:v>Internal project IP / authorship claim</x:v>
      </x:c>
      <x:c r="K122" s="24" t="str">
        <x:v>N/A</x:v>
      </x:c>
      <x:c r="L122" s="24" t="str">
        <x:v>Source package + repository path + hash</x:v>
      </x:c>
      <x:c r="M122" s="24" t="str">
        <x:v>a3a3aba6ad7b1f24843416ad9bb283d80355d1bbe2ccbad15621bbbf038a00e5</x:v>
      </x:c>
      <x:c r="N122" s="24" t="str">
        <x:v>Assets/_Project/Art/Models/Products/CC_S16_P2_Product_MemoryCore_LOD0.fbx</x:v>
      </x:c>
      <x:c r="O122" s="24" t="str">
        <x:v>5462512357d03424f9609d9617697c19</x:v>
      </x:c>
      <x:c r="P122" s="24" t="str">
        <x:v>Sí</x:v>
      </x:c>
      <x:c r="Q122" s="24" t="str">
        <x:v>Condicionado a autoría/procedencia final</x:v>
      </x:c>
      <x:c r="R122" s="24" t="str">
        <x:v>Solo dentro del producto/build autorizado</x:v>
      </x:c>
      <x:c r="S122" s="24" t="str">
        <x:v>Crédito general del estudio; individual si aplica</x:v>
      </x:c>
      <x:c r="T122" s="24" t="str">
        <x:v>VRM Games / Blas Luis Rocha González</x:v>
      </x:c>
      <x:c r="U122" s="24" t="str">
        <x:v>CURRENT PROJECT ASSET</x:v>
      </x:c>
      <x:c r="V122" s="24" t="str">
        <x:v>CONDITIONALLY APPROVED</x:v>
      </x:c>
      <x:c r="W122" s="24" t="str">
        <x:v>Parcial</x:v>
      </x:c>
      <x:c r="X122" s="24" t="str">
        <x:v>Medium</x:v>
      </x:c>
      <x:c r="Y122" s="24" t="str">
        <x:v>Internal development; public candidate requires gate</x:v>
      </x:c>
      <x:c r="Z122" s="24" t="str">
        <x:v>H6 legal/content audit</x:v>
      </x:c>
      <x:c r="AA122" s="24" t="str">
        <x:v>VRM Games</x:v>
      </x:c>
      <x:c r="AB122" s="24" t="str">
        <x:v>No se detectó proveedor externo en la ruta; confirmar autoría por lote antes de release público.</x:v>
      </x:c>
    </x:row>
    <x:row r="123" ht="34" customHeight="1">
      <x:c r="A123" s="24" t="str">
        <x:v>INT-0119</x:v>
      </x:c>
      <x:c r="B123" s="24" t="str">
        <x:v>cd575d7e9f65a2f4ebe585507d455523</x:v>
      </x:c>
      <x:c r="C123" s="24" t="str">
        <x:v>CC_S16_P2_Product_NeonDrift_LOD0.fbx</x:v>
      </x:c>
      <x:c r="D123" s="24" t="str">
        <x:v>3D model</x:v>
      </x:c>
      <x:c r="E123" s="24" t="str">
        <x:v>Models</x:v>
      </x:c>
      <x:c r="F123" s="24" t="str">
        <x:v>VRM Games / Blas Luis Rocha González</x:v>
      </x:c>
      <x:c r="G123" s="24" t="str">
        <x:v>VRM Games / Blas Luis Rocha González</x:v>
      </x:c>
      <x:c r="H123" s="24" t="str">
        <x:v>Internal project production</x:v>
      </x:c>
      <x:c r="I123" s="24" t="str">
        <x:v>2026 project timeline</x:v>
      </x:c>
      <x:c r="J123" s="24" t="str">
        <x:v>Internal project IP / authorship claim</x:v>
      </x:c>
      <x:c r="K123" s="24" t="str">
        <x:v>N/A</x:v>
      </x:c>
      <x:c r="L123" s="24" t="str">
        <x:v>Source package + repository path + hash</x:v>
      </x:c>
      <x:c r="M123" s="24" t="str">
        <x:v>078321464844e67de1c27b11992ad3bd965f6cb3b3999ca89a5354d5e35d67da</x:v>
      </x:c>
      <x:c r="N123" s="24" t="str">
        <x:v>Assets/_Project/Art/Models/Products/CC_S16_P2_Product_NeonDrift_LOD0.fbx</x:v>
      </x:c>
      <x:c r="O123" s="24" t="str">
        <x:v>cd575d7e9f65a2f4ebe585507d455523</x:v>
      </x:c>
      <x:c r="P123" s="24" t="str">
        <x:v>Sí</x:v>
      </x:c>
      <x:c r="Q123" s="24" t="str">
        <x:v>Condicionado a autoría/procedencia final</x:v>
      </x:c>
      <x:c r="R123" s="24" t="str">
        <x:v>Solo dentro del producto/build autorizado</x:v>
      </x:c>
      <x:c r="S123" s="24" t="str">
        <x:v>Crédito general del estudio; individual si aplica</x:v>
      </x:c>
      <x:c r="T123" s="24" t="str">
        <x:v>VRM Games / Blas Luis Rocha González</x:v>
      </x:c>
      <x:c r="U123" s="24" t="str">
        <x:v>CURRENT PROJECT ASSET</x:v>
      </x:c>
      <x:c r="V123" s="24" t="str">
        <x:v>CONDITIONALLY APPROVED</x:v>
      </x:c>
      <x:c r="W123" s="24" t="str">
        <x:v>Parcial</x:v>
      </x:c>
      <x:c r="X123" s="24" t="str">
        <x:v>Medium</x:v>
      </x:c>
      <x:c r="Y123" s="24" t="str">
        <x:v>Internal development; public candidate requires gate</x:v>
      </x:c>
      <x:c r="Z123" s="24" t="str">
        <x:v>H6 legal/content audit</x:v>
      </x:c>
      <x:c r="AA123" s="24" t="str">
        <x:v>VRM Games</x:v>
      </x:c>
      <x:c r="AB123" s="24" t="str">
        <x:v>No se detectó proveedor externo en la ruta; confirmar autoría por lote antes de release público.</x:v>
      </x:c>
    </x:row>
    <x:row r="124" ht="34" customHeight="1">
      <x:c r="A124" s="24" t="str">
        <x:v>INT-0120</x:v>
      </x:c>
      <x:c r="B124" s="24" t="str">
        <x:v>0ae1338aaae756b458789c7ad0287d78</x:v>
      </x:c>
      <x:c r="C124" s="24" t="str">
        <x:v>CC_S16_P2_Product_OrbitPad_Box_LOD0.fbx</x:v>
      </x:c>
      <x:c r="D124" s="24" t="str">
        <x:v>3D model</x:v>
      </x:c>
      <x:c r="E124" s="24" t="str">
        <x:v>Models</x:v>
      </x:c>
      <x:c r="F124" s="24" t="str">
        <x:v>VRM Games / Blas Luis Rocha González</x:v>
      </x:c>
      <x:c r="G124" s="24" t="str">
        <x:v>VRM Games / Blas Luis Rocha González</x:v>
      </x:c>
      <x:c r="H124" s="24" t="str">
        <x:v>Internal project production</x:v>
      </x:c>
      <x:c r="I124" s="24" t="str">
        <x:v>2026 project timeline</x:v>
      </x:c>
      <x:c r="J124" s="24" t="str">
        <x:v>Internal project IP / authorship claim</x:v>
      </x:c>
      <x:c r="K124" s="24" t="str">
        <x:v>N/A</x:v>
      </x:c>
      <x:c r="L124" s="24" t="str">
        <x:v>Source package + repository path + hash</x:v>
      </x:c>
      <x:c r="M124" s="24" t="str">
        <x:v>049a2b8b79f5dde49b66ea0ae0ffbc9fe46e4ab1a7ea379162388289ebadd1c5</x:v>
      </x:c>
      <x:c r="N124" s="24" t="str">
        <x:v>Assets/_Project/Art/Models/Products/CC_S16_P2_Product_OrbitPad_Box_LOD0.fbx</x:v>
      </x:c>
      <x:c r="O124" s="24" t="str">
        <x:v>0ae1338aaae756b458789c7ad0287d78</x:v>
      </x:c>
      <x:c r="P124" s="24" t="str">
        <x:v>Sí</x:v>
      </x:c>
      <x:c r="Q124" s="24" t="str">
        <x:v>Condicionado a autoría/procedencia final</x:v>
      </x:c>
      <x:c r="R124" s="24" t="str">
        <x:v>Solo dentro del producto/build autorizado</x:v>
      </x:c>
      <x:c r="S124" s="24" t="str">
        <x:v>Crédito general del estudio; individual si aplica</x:v>
      </x:c>
      <x:c r="T124" s="24" t="str">
        <x:v>VRM Games / Blas Luis Rocha González</x:v>
      </x:c>
      <x:c r="U124" s="24" t="str">
        <x:v>CURRENT PROJECT ASSET</x:v>
      </x:c>
      <x:c r="V124" s="24" t="str">
        <x:v>CONDITIONALLY APPROVED</x:v>
      </x:c>
      <x:c r="W124" s="24" t="str">
        <x:v>Parcial</x:v>
      </x:c>
      <x:c r="X124" s="24" t="str">
        <x:v>Medium</x:v>
      </x:c>
      <x:c r="Y124" s="24" t="str">
        <x:v>Internal development; public candidate requires gate</x:v>
      </x:c>
      <x:c r="Z124" s="24" t="str">
        <x:v>H6 legal/content audit</x:v>
      </x:c>
      <x:c r="AA124" s="24" t="str">
        <x:v>VRM Games</x:v>
      </x:c>
      <x:c r="AB124" s="24" t="str">
        <x:v>No se detectó proveedor externo en la ruta; confirmar autoría por lote antes de release público.</x:v>
      </x:c>
    </x:row>
    <x:row r="125" ht="34" customHeight="1">
      <x:c r="A125" s="24" t="str">
        <x:v>INT-0121</x:v>
      </x:c>
      <x:c r="B125" s="24" t="str">
        <x:v>5fd66b34d59bcdc409a5134b16c8683d</x:v>
      </x:c>
      <x:c r="C125" s="24" t="str">
        <x:v>CC_S16_P2_Product_OrbitPad_LOD0.fbx</x:v>
      </x:c>
      <x:c r="D125" s="24" t="str">
        <x:v>3D model</x:v>
      </x:c>
      <x:c r="E125" s="24" t="str">
        <x:v>Models</x:v>
      </x:c>
      <x:c r="F125" s="24" t="str">
        <x:v>VRM Games / Blas Luis Rocha González</x:v>
      </x:c>
      <x:c r="G125" s="24" t="str">
        <x:v>VRM Games / Blas Luis Rocha González</x:v>
      </x:c>
      <x:c r="H125" s="24" t="str">
        <x:v>Internal project production</x:v>
      </x:c>
      <x:c r="I125" s="24" t="str">
        <x:v>2026 project timeline</x:v>
      </x:c>
      <x:c r="J125" s="24" t="str">
        <x:v>Internal project IP / authorship claim</x:v>
      </x:c>
      <x:c r="K125" s="24" t="str">
        <x:v>N/A</x:v>
      </x:c>
      <x:c r="L125" s="24" t="str">
        <x:v>Source package + repository path + hash</x:v>
      </x:c>
      <x:c r="M125" s="24" t="str">
        <x:v>3823f056c1776a380ae543e1d914a55d2d3b6090c16f7edbae7ba1a65fb33f67</x:v>
      </x:c>
      <x:c r="N125" s="24" t="str">
        <x:v>Assets/_Project/Art/Models/Products/CC_S16_P2_Product_OrbitPad_LOD0.fbx</x:v>
      </x:c>
      <x:c r="O125" s="24" t="str">
        <x:v>5fd66b34d59bcdc409a5134b16c8683d</x:v>
      </x:c>
      <x:c r="P125" s="24" t="str">
        <x:v>Sí</x:v>
      </x:c>
      <x:c r="Q125" s="24" t="str">
        <x:v>Condicionado a autoría/procedencia final</x:v>
      </x:c>
      <x:c r="R125" s="24" t="str">
        <x:v>Solo dentro del producto/build autorizado</x:v>
      </x:c>
      <x:c r="S125" s="24" t="str">
        <x:v>Crédito general del estudio; individual si aplica</x:v>
      </x:c>
      <x:c r="T125" s="24" t="str">
        <x:v>VRM Games / Blas Luis Rocha González</x:v>
      </x:c>
      <x:c r="U125" s="24" t="str">
        <x:v>CURRENT PROJECT ASSET</x:v>
      </x:c>
      <x:c r="V125" s="24" t="str">
        <x:v>CONDITIONALLY APPROVED</x:v>
      </x:c>
      <x:c r="W125" s="24" t="str">
        <x:v>Parcial</x:v>
      </x:c>
      <x:c r="X125" s="24" t="str">
        <x:v>Medium</x:v>
      </x:c>
      <x:c r="Y125" s="24" t="str">
        <x:v>Internal development; public candidate requires gate</x:v>
      </x:c>
      <x:c r="Z125" s="24" t="str">
        <x:v>H6 legal/content audit</x:v>
      </x:c>
      <x:c r="AA125" s="24" t="str">
        <x:v>VRM Games</x:v>
      </x:c>
      <x:c r="AB125" s="24" t="str">
        <x:v>No se detectó proveedor externo en la ruta; confirmar autoría por lote antes de release público.</x:v>
      </x:c>
    </x:row>
    <x:row r="126" ht="34" customHeight="1">
      <x:c r="A126" s="24" t="str">
        <x:v>INT-0122</x:v>
      </x:c>
      <x:c r="B126" s="24" t="str">
        <x:v>d3231e93f43119d40b47ac8fb7b78251</x:v>
      </x:c>
      <x:c r="C126" s="24" t="str">
        <x:v>CC_S16_P2_Product_SignalProHeadset_LOD0.fbx</x:v>
      </x:c>
      <x:c r="D126" s="24" t="str">
        <x:v>3D model</x:v>
      </x:c>
      <x:c r="E126" s="24" t="str">
        <x:v>Models</x:v>
      </x:c>
      <x:c r="F126" s="24" t="str">
        <x:v>VRM Games / Blas Luis Rocha González</x:v>
      </x:c>
      <x:c r="G126" s="24" t="str">
        <x:v>VRM Games / Blas Luis Rocha González</x:v>
      </x:c>
      <x:c r="H126" s="24" t="str">
        <x:v>Internal project production</x:v>
      </x:c>
      <x:c r="I126" s="24" t="str">
        <x:v>2026 project timeline</x:v>
      </x:c>
      <x:c r="J126" s="24" t="str">
        <x:v>Internal project IP / authorship claim</x:v>
      </x:c>
      <x:c r="K126" s="24" t="str">
        <x:v>N/A</x:v>
      </x:c>
      <x:c r="L126" s="24" t="str">
        <x:v>Source package + repository path + hash</x:v>
      </x:c>
      <x:c r="M126" s="24" t="str">
        <x:v>67ca2bdfd58becd8724fcfd276f148abd089d6059fb4f8b234084413d0c11c6e</x:v>
      </x:c>
      <x:c r="N126" s="24" t="str">
        <x:v>Assets/_Project/Art/Models/Products/CC_S16_P2_Product_SignalProHeadset_LOD0.fbx</x:v>
      </x:c>
      <x:c r="O126" s="24" t="str">
        <x:v>d3231e93f43119d40b47ac8fb7b78251</x:v>
      </x:c>
      <x:c r="P126" s="24" t="str">
        <x:v>Sí</x:v>
      </x:c>
      <x:c r="Q126" s="24" t="str">
        <x:v>Condicionado a autoría/procedencia final</x:v>
      </x:c>
      <x:c r="R126" s="24" t="str">
        <x:v>Solo dentro del producto/build autorizado</x:v>
      </x:c>
      <x:c r="S126" s="24" t="str">
        <x:v>Crédito general del estudio; individual si aplica</x:v>
      </x:c>
      <x:c r="T126" s="24" t="str">
        <x:v>VRM Games / Blas Luis Rocha González</x:v>
      </x:c>
      <x:c r="U126" s="24" t="str">
        <x:v>CURRENT PROJECT ASSET</x:v>
      </x:c>
      <x:c r="V126" s="24" t="str">
        <x:v>CONDITIONALLY APPROVED</x:v>
      </x:c>
      <x:c r="W126" s="24" t="str">
        <x:v>Parcial</x:v>
      </x:c>
      <x:c r="X126" s="24" t="str">
        <x:v>Medium</x:v>
      </x:c>
      <x:c r="Y126" s="24" t="str">
        <x:v>Internal development; public candidate requires gate</x:v>
      </x:c>
      <x:c r="Z126" s="24" t="str">
        <x:v>H6 legal/content audit</x:v>
      </x:c>
      <x:c r="AA126" s="24" t="str">
        <x:v>VRM Games</x:v>
      </x:c>
      <x:c r="AB126" s="24" t="str">
        <x:v>No se detectó proveedor externo en la ruta; confirmar autoría por lote antes de release público.</x:v>
      </x:c>
    </x:row>
    <x:row r="127" ht="34" customHeight="1">
      <x:c r="A127" s="24" t="str">
        <x:v>INT-0123</x:v>
      </x:c>
      <x:c r="B127" s="24" t="str">
        <x:v>9c5f88fa3f3bfc14dae291700dea108a</x:v>
      </x:c>
      <x:c r="C127" s="24" t="str">
        <x:v>CC_S16_P2_Product_SignalPro_Box_LOD0.fbx</x:v>
      </x:c>
      <x:c r="D127" s="24" t="str">
        <x:v>3D model</x:v>
      </x:c>
      <x:c r="E127" s="24" t="str">
        <x:v>Models</x:v>
      </x:c>
      <x:c r="F127" s="24" t="str">
        <x:v>VRM Games / Blas Luis Rocha González</x:v>
      </x:c>
      <x:c r="G127" s="24" t="str">
        <x:v>VRM Games / Blas Luis Rocha González</x:v>
      </x:c>
      <x:c r="H127" s="24" t="str">
        <x:v>Internal project production</x:v>
      </x:c>
      <x:c r="I127" s="24" t="str">
        <x:v>2026 project timeline</x:v>
      </x:c>
      <x:c r="J127" s="24" t="str">
        <x:v>Internal project IP / authorship claim</x:v>
      </x:c>
      <x:c r="K127" s="24" t="str">
        <x:v>N/A</x:v>
      </x:c>
      <x:c r="L127" s="24" t="str">
        <x:v>Source package + repository path + hash</x:v>
      </x:c>
      <x:c r="M127" s="24" t="str">
        <x:v>7ab8f088e6f50fe7bd89ec8a980ff4aea71408cd47b51606b1aa2798d7ca780e</x:v>
      </x:c>
      <x:c r="N127" s="24" t="str">
        <x:v>Assets/_Project/Art/Models/Products/CC_S16_P2_Product_SignalPro_Box_LOD0.fbx</x:v>
      </x:c>
      <x:c r="O127" s="24" t="str">
        <x:v>9c5f88fa3f3bfc14dae291700dea108a</x:v>
      </x:c>
      <x:c r="P127" s="24" t="str">
        <x:v>Sí</x:v>
      </x:c>
      <x:c r="Q127" s="24" t="str">
        <x:v>Condicionado a autoría/procedencia final</x:v>
      </x:c>
      <x:c r="R127" s="24" t="str">
        <x:v>Solo dentro del producto/build autorizado</x:v>
      </x:c>
      <x:c r="S127" s="24" t="str">
        <x:v>Crédito general del estudio; individual si aplica</x:v>
      </x:c>
      <x:c r="T127" s="24" t="str">
        <x:v>VRM Games / Blas Luis Rocha González</x:v>
      </x:c>
      <x:c r="U127" s="24" t="str">
        <x:v>CURRENT PROJECT ASSET</x:v>
      </x:c>
      <x:c r="V127" s="24" t="str">
        <x:v>CONDITIONALLY APPROVED</x:v>
      </x:c>
      <x:c r="W127" s="24" t="str">
        <x:v>Parcial</x:v>
      </x:c>
      <x:c r="X127" s="24" t="str">
        <x:v>Medium</x:v>
      </x:c>
      <x:c r="Y127" s="24" t="str">
        <x:v>Internal development; public candidate requires gate</x:v>
      </x:c>
      <x:c r="Z127" s="24" t="str">
        <x:v>H6 legal/content audit</x:v>
      </x:c>
      <x:c r="AA127" s="24" t="str">
        <x:v>VRM Games</x:v>
      </x:c>
      <x:c r="AB127" s="24" t="str">
        <x:v>No se detectó proveedor externo en la ruta; confirmar autoría por lote antes de release público.</x:v>
      </x:c>
    </x:row>
    <x:row r="128" ht="34" customHeight="1">
      <x:c r="A128" s="24" t="str">
        <x:v>INT-0124</x:v>
      </x:c>
      <x:c r="B128" s="24" t="str">
        <x:v>f9d4cf6bb7e802d4e94e31cbce40ba82</x:v>
      </x:c>
      <x:c r="C128" s="24" t="str">
        <x:v>CC_S16_P2_Product_VertexOneConsole_LOD0.fbx</x:v>
      </x:c>
      <x:c r="D128" s="24" t="str">
        <x:v>3D model</x:v>
      </x:c>
      <x:c r="E128" s="24" t="str">
        <x:v>Models</x:v>
      </x:c>
      <x:c r="F128" s="24" t="str">
        <x:v>VRM Games / Blas Luis Rocha González</x:v>
      </x:c>
      <x:c r="G128" s="24" t="str">
        <x:v>VRM Games / Blas Luis Rocha González</x:v>
      </x:c>
      <x:c r="H128" s="24" t="str">
        <x:v>Internal project production</x:v>
      </x:c>
      <x:c r="I128" s="24" t="str">
        <x:v>2026 project timeline</x:v>
      </x:c>
      <x:c r="J128" s="24" t="str">
        <x:v>Internal project IP / authorship claim</x:v>
      </x:c>
      <x:c r="K128" s="24" t="str">
        <x:v>N/A</x:v>
      </x:c>
      <x:c r="L128" s="24" t="str">
        <x:v>Source package + repository path + hash</x:v>
      </x:c>
      <x:c r="M128" s="24" t="str">
        <x:v>1d5fe536e805e0900aa45bfff348625d297657671927efcc9edda05fb722a268</x:v>
      </x:c>
      <x:c r="N128" s="24" t="str">
        <x:v>Assets/_Project/Art/Models/Products/CC_S16_P2_Product_VertexOneConsole_LOD0.fbx</x:v>
      </x:c>
      <x:c r="O128" s="24" t="str">
        <x:v>f9d4cf6bb7e802d4e94e31cbce40ba82</x:v>
      </x:c>
      <x:c r="P128" s="24" t="str">
        <x:v>Sí</x:v>
      </x:c>
      <x:c r="Q128" s="24" t="str">
        <x:v>Condicionado a autoría/procedencia final</x:v>
      </x:c>
      <x:c r="R128" s="24" t="str">
        <x:v>Solo dentro del producto/build autorizado</x:v>
      </x:c>
      <x:c r="S128" s="24" t="str">
        <x:v>Crédito general del estudio; individual si aplica</x:v>
      </x:c>
      <x:c r="T128" s="24" t="str">
        <x:v>VRM Games / Blas Luis Rocha González</x:v>
      </x:c>
      <x:c r="U128" s="24" t="str">
        <x:v>CURRENT PROJECT ASSET</x:v>
      </x:c>
      <x:c r="V128" s="24" t="str">
        <x:v>CONDITIONALLY APPROVED</x:v>
      </x:c>
      <x:c r="W128" s="24" t="str">
        <x:v>Parcial</x:v>
      </x:c>
      <x:c r="X128" s="24" t="str">
        <x:v>Medium</x:v>
      </x:c>
      <x:c r="Y128" s="24" t="str">
        <x:v>Internal development; public candidate requires gate</x:v>
      </x:c>
      <x:c r="Z128" s="24" t="str">
        <x:v>H6 legal/content audit</x:v>
      </x:c>
      <x:c r="AA128" s="24" t="str">
        <x:v>VRM Games</x:v>
      </x:c>
      <x:c r="AB128" s="24" t="str">
        <x:v>No se detectó proveedor externo en la ruta; confirmar autoría por lote antes de release público.</x:v>
      </x:c>
    </x:row>
    <x:row r="129" ht="34" customHeight="1">
      <x:c r="A129" s="24" t="str">
        <x:v>INT-0125</x:v>
      </x:c>
      <x:c r="B129" s="24" t="str">
        <x:v>967d692d9cc65d343b6533abb59e1b22</x:v>
      </x:c>
      <x:c r="C129" s="24" t="str">
        <x:v>CC_S16_P2_Product_VertexOne_Box_LOD0.fbx</x:v>
      </x:c>
      <x:c r="D129" s="24" t="str">
        <x:v>3D model</x:v>
      </x:c>
      <x:c r="E129" s="24" t="str">
        <x:v>Models</x:v>
      </x:c>
      <x:c r="F129" s="24" t="str">
        <x:v>VRM Games / Blas Luis Rocha González</x:v>
      </x:c>
      <x:c r="G129" s="24" t="str">
        <x:v>VRM Games / Blas Luis Rocha González</x:v>
      </x:c>
      <x:c r="H129" s="24" t="str">
        <x:v>Internal project production</x:v>
      </x:c>
      <x:c r="I129" s="24" t="str">
        <x:v>2026 project timeline</x:v>
      </x:c>
      <x:c r="J129" s="24" t="str">
        <x:v>Internal project IP / authorship claim</x:v>
      </x:c>
      <x:c r="K129" s="24" t="str">
        <x:v>N/A</x:v>
      </x:c>
      <x:c r="L129" s="24" t="str">
        <x:v>Source package + repository path + hash</x:v>
      </x:c>
      <x:c r="M129" s="24" t="str">
        <x:v>2c1a74761dd91a91d908f8776d33efb7538ed264008ffe1d3933440850f477bf</x:v>
      </x:c>
      <x:c r="N129" s="24" t="str">
        <x:v>Assets/_Project/Art/Models/Products/CC_S16_P2_Product_VertexOne_Box_LOD0.fbx</x:v>
      </x:c>
      <x:c r="O129" s="24" t="str">
        <x:v>967d692d9cc65d343b6533abb59e1b22</x:v>
      </x:c>
      <x:c r="P129" s="24" t="str">
        <x:v>Sí</x:v>
      </x:c>
      <x:c r="Q129" s="24" t="str">
        <x:v>Condicionado a autoría/procedencia final</x:v>
      </x:c>
      <x:c r="R129" s="24" t="str">
        <x:v>Solo dentro del producto/build autorizado</x:v>
      </x:c>
      <x:c r="S129" s="24" t="str">
        <x:v>Crédito general del estudio; individual si aplica</x:v>
      </x:c>
      <x:c r="T129" s="24" t="str">
        <x:v>VRM Games / Blas Luis Rocha González</x:v>
      </x:c>
      <x:c r="U129" s="24" t="str">
        <x:v>CURRENT PROJECT ASSET</x:v>
      </x:c>
      <x:c r="V129" s="24" t="str">
        <x:v>CONDITIONALLY APPROVED</x:v>
      </x:c>
      <x:c r="W129" s="24" t="str">
        <x:v>Parcial</x:v>
      </x:c>
      <x:c r="X129" s="24" t="str">
        <x:v>Medium</x:v>
      </x:c>
      <x:c r="Y129" s="24" t="str">
        <x:v>Internal development; public candidate requires gate</x:v>
      </x:c>
      <x:c r="Z129" s="24" t="str">
        <x:v>H6 legal/content audit</x:v>
      </x:c>
      <x:c r="AA129" s="24" t="str">
        <x:v>VRM Games</x:v>
      </x:c>
      <x:c r="AB129" s="24" t="str">
        <x:v>No se detectó proveedor externo en la ruta; confirmar autoría por lote antes de release público.</x:v>
      </x:c>
    </x:row>
    <x:row r="130" ht="34" customHeight="1">
      <x:c r="A130" s="24" t="str">
        <x:v>INT-0126</x:v>
      </x:c>
      <x:c r="B130" s="24" t="str">
        <x:v>99ad8e1cc769d203874d34b007d6b1fb</x:v>
      </x:c>
      <x:c r="C130" s="24" t="str">
        <x:v>accessory-memory-core_cover.png</x:v>
      </x:c>
      <x:c r="D130" s="24" t="str">
        <x:v>Texture/Icon</x:v>
      </x:c>
      <x:c r="E130" s="24" t="str">
        <x:v>Textures</x:v>
      </x:c>
      <x:c r="F130" s="24" t="str">
        <x:v>VRM Games / Blas Luis Rocha González</x:v>
      </x:c>
      <x:c r="G130" s="24" t="str">
        <x:v>VRM Games / Blas Luis Rocha González</x:v>
      </x:c>
      <x:c r="H130" s="24" t="str">
        <x:v>Internal project production</x:v>
      </x:c>
      <x:c r="I130" s="24" t="str">
        <x:v>2026 project timeline</x:v>
      </x:c>
      <x:c r="J130" s="24" t="str">
        <x:v>Internal project IP / authorship claim</x:v>
      </x:c>
      <x:c r="K130" s="24" t="str">
        <x:v>N/A</x:v>
      </x:c>
      <x:c r="L130" s="24" t="str">
        <x:v>Source package + repository path + hash</x:v>
      </x:c>
      <x:c r="M130" s="24" t="str">
        <x:v>23093ed99ade7984b50a548095c52039533cf77233e1e164d4fd238b1f378ac2</x:v>
      </x:c>
      <x:c r="N130" s="24" t="str">
        <x:v>Assets/_Project/Art/Textures/Products/Covers/accessory-memory-core_cover.png</x:v>
      </x:c>
      <x:c r="O130" s="24" t="str">
        <x:v>99ad8e1cc769d203874d34b007d6b1fb</x:v>
      </x:c>
      <x:c r="P130" s="24" t="str">
        <x:v>Sí</x:v>
      </x:c>
      <x:c r="Q130" s="24" t="str">
        <x:v>Condicionado a autoría/procedencia final</x:v>
      </x:c>
      <x:c r="R130" s="24" t="str">
        <x:v>Solo dentro del producto/build autorizado</x:v>
      </x:c>
      <x:c r="S130" s="24" t="str">
        <x:v>Crédito general del estudio; individual si aplica</x:v>
      </x:c>
      <x:c r="T130" s="24" t="str">
        <x:v>VRM Games / Blas Luis Rocha González</x:v>
      </x:c>
      <x:c r="U130" s="24" t="str">
        <x:v>CURRENT PROJECT ASSET</x:v>
      </x:c>
      <x:c r="V130" s="24" t="str">
        <x:v>CONDITIONALLY APPROVED</x:v>
      </x:c>
      <x:c r="W130" s="24" t="str">
        <x:v>Parcial</x:v>
      </x:c>
      <x:c r="X130" s="24" t="str">
        <x:v>Medium</x:v>
      </x:c>
      <x:c r="Y130" s="24" t="str">
        <x:v>Internal development; public candidate requires gate</x:v>
      </x:c>
      <x:c r="Z130" s="24" t="str">
        <x:v>H6 legal/content audit</x:v>
      </x:c>
      <x:c r="AA130" s="24" t="str">
        <x:v>VRM Games</x:v>
      </x:c>
      <x:c r="AB130" s="24" t="str">
        <x:v>No se detectó proveedor externo en la ruta; confirmar autoría por lote antes de release público.</x:v>
      </x:c>
    </x:row>
    <x:row r="131" ht="34" customHeight="1">
      <x:c r="A131" s="24" t="str">
        <x:v>INT-0127</x:v>
      </x:c>
      <x:c r="B131" s="24" t="str">
        <x:v>02a2a492a281853daab6388d0ee18a34</x:v>
      </x:c>
      <x:c r="C131" s="24" t="str">
        <x:v>case-cloud-runner_cover.png</x:v>
      </x:c>
      <x:c r="D131" s="24" t="str">
        <x:v>Texture/Icon</x:v>
      </x:c>
      <x:c r="E131" s="24" t="str">
        <x:v>Textures</x:v>
      </x:c>
      <x:c r="F131" s="24" t="str">
        <x:v>VRM Games / Blas Luis Rocha González</x:v>
      </x:c>
      <x:c r="G131" s="24" t="str">
        <x:v>VRM Games / Blas Luis Rocha González</x:v>
      </x:c>
      <x:c r="H131" s="24" t="str">
        <x:v>Internal project production</x:v>
      </x:c>
      <x:c r="I131" s="24" t="str">
        <x:v>2026 project timeline</x:v>
      </x:c>
      <x:c r="J131" s="24" t="str">
        <x:v>Internal project IP / authorship claim</x:v>
      </x:c>
      <x:c r="K131" s="24" t="str">
        <x:v>N/A</x:v>
      </x:c>
      <x:c r="L131" s="24" t="str">
        <x:v>Source package + repository path + hash</x:v>
      </x:c>
      <x:c r="M131" s="24" t="str">
        <x:v>042248c96d5107781d0a133d55211fb06f5393895cb79628fe0c5c8512e262e7</x:v>
      </x:c>
      <x:c r="N131" s="24" t="str">
        <x:v>Assets/_Project/Art/Textures/Products/Covers/case-cloud-runner_cover.png</x:v>
      </x:c>
      <x:c r="O131" s="24" t="str">
        <x:v>02a2a492a281853daab6388d0ee18a34</x:v>
      </x:c>
      <x:c r="P131" s="24" t="str">
        <x:v>Sí</x:v>
      </x:c>
      <x:c r="Q131" s="24" t="str">
        <x:v>Condicionado a autoría/procedencia final</x:v>
      </x:c>
      <x:c r="R131" s="24" t="str">
        <x:v>Solo dentro del producto/build autorizado</x:v>
      </x:c>
      <x:c r="S131" s="24" t="str">
        <x:v>Crédito general del estudio; individual si aplica</x:v>
      </x:c>
      <x:c r="T131" s="24" t="str">
        <x:v>VRM Games / Blas Luis Rocha González</x:v>
      </x:c>
      <x:c r="U131" s="24" t="str">
        <x:v>CURRENT PROJECT ASSET</x:v>
      </x:c>
      <x:c r="V131" s="24" t="str">
        <x:v>CONDITIONALLY APPROVED</x:v>
      </x:c>
      <x:c r="W131" s="24" t="str">
        <x:v>Parcial</x:v>
      </x:c>
      <x:c r="X131" s="24" t="str">
        <x:v>Medium</x:v>
      </x:c>
      <x:c r="Y131" s="24" t="str">
        <x:v>Internal development; public candidate requires gate</x:v>
      </x:c>
      <x:c r="Z131" s="24" t="str">
        <x:v>H6 legal/content audit</x:v>
      </x:c>
      <x:c r="AA131" s="24" t="str">
        <x:v>VRM Games</x:v>
      </x:c>
      <x:c r="AB131" s="24" t="str">
        <x:v>No se detectó proveedor externo en la ruta; confirmar autoría por lote antes de release público.</x:v>
      </x:c>
    </x:row>
    <x:row r="132" ht="34" customHeight="1">
      <x:c r="A132" s="24" t="str">
        <x:v>INT-0128</x:v>
      </x:c>
      <x:c r="B132" s="24" t="str">
        <x:v>36c44215e08a5796632b24c7f3fd1ebd</x:v>
      </x:c>
      <x:c r="C132" s="24" t="str">
        <x:v>console-vertex-one_cover.png</x:v>
      </x:c>
      <x:c r="D132" s="24" t="str">
        <x:v>Texture/Icon</x:v>
      </x:c>
      <x:c r="E132" s="24" t="str">
        <x:v>Textures</x:v>
      </x:c>
      <x:c r="F132" s="24" t="str">
        <x:v>VRM Games / Blas Luis Rocha González</x:v>
      </x:c>
      <x:c r="G132" s="24" t="str">
        <x:v>VRM Games / Blas Luis Rocha González</x:v>
      </x:c>
      <x:c r="H132" s="24" t="str">
        <x:v>Internal project production</x:v>
      </x:c>
      <x:c r="I132" s="24" t="str">
        <x:v>2026 project timeline</x:v>
      </x:c>
      <x:c r="J132" s="24" t="str">
        <x:v>Internal project IP / authorship claim</x:v>
      </x:c>
      <x:c r="K132" s="24" t="str">
        <x:v>N/A</x:v>
      </x:c>
      <x:c r="L132" s="24" t="str">
        <x:v>Source package + repository path + hash</x:v>
      </x:c>
      <x:c r="M132" s="24" t="str">
        <x:v>45754fda3c0b992594de591e938520df3cd905e0d4145d13638a2678ee11b2e6</x:v>
      </x:c>
      <x:c r="N132" s="24" t="str">
        <x:v>Assets/_Project/Art/Textures/Products/Covers/console-vertex-one_cover.png</x:v>
      </x:c>
      <x:c r="O132" s="24" t="str">
        <x:v>36c44215e08a5796632b24c7f3fd1ebd</x:v>
      </x:c>
      <x:c r="P132" s="24" t="str">
        <x:v>Sí</x:v>
      </x:c>
      <x:c r="Q132" s="24" t="str">
        <x:v>Condicionado a autoría/procedencia final</x:v>
      </x:c>
      <x:c r="R132" s="24" t="str">
        <x:v>Solo dentro del producto/build autorizado</x:v>
      </x:c>
      <x:c r="S132" s="24" t="str">
        <x:v>Crédito general del estudio; individual si aplica</x:v>
      </x:c>
      <x:c r="T132" s="24" t="str">
        <x:v>VRM Games / Blas Luis Rocha González</x:v>
      </x:c>
      <x:c r="U132" s="24" t="str">
        <x:v>CURRENT PROJECT ASSET</x:v>
      </x:c>
      <x:c r="V132" s="24" t="str">
        <x:v>CONDITIONALLY APPROVED</x:v>
      </x:c>
      <x:c r="W132" s="24" t="str">
        <x:v>Parcial</x:v>
      </x:c>
      <x:c r="X132" s="24" t="str">
        <x:v>Medium</x:v>
      </x:c>
      <x:c r="Y132" s="24" t="str">
        <x:v>Internal development; public candidate requires gate</x:v>
      </x:c>
      <x:c r="Z132" s="24" t="str">
        <x:v>H6 legal/content audit</x:v>
      </x:c>
      <x:c r="AA132" s="24" t="str">
        <x:v>VRM Games</x:v>
      </x:c>
      <x:c r="AB132" s="24" t="str">
        <x:v>No se detectó proveedor externo en la ruta; confirmar autoría por lote antes de release público.</x:v>
      </x:c>
    </x:row>
    <x:row r="133" ht="34" customHeight="1">
      <x:c r="A133" s="24" t="str">
        <x:v>INT-0129</x:v>
      </x:c>
      <x:c r="B133" s="24" t="str">
        <x:v>1df6feaefb37bee2c723271f297c84fa</x:v>
      </x:c>
      <x:c r="C133" s="24" t="str">
        <x:v>controller-orbit-pad_cover.png</x:v>
      </x:c>
      <x:c r="D133" s="24" t="str">
        <x:v>Texture/Icon</x:v>
      </x:c>
      <x:c r="E133" s="24" t="str">
        <x:v>Textures</x:v>
      </x:c>
      <x:c r="F133" s="24" t="str">
        <x:v>VRM Games / Blas Luis Rocha González</x:v>
      </x:c>
      <x:c r="G133" s="24" t="str">
        <x:v>VRM Games / Blas Luis Rocha González</x:v>
      </x:c>
      <x:c r="H133" s="24" t="str">
        <x:v>Internal project production</x:v>
      </x:c>
      <x:c r="I133" s="24" t="str">
        <x:v>2026 project timeline</x:v>
      </x:c>
      <x:c r="J133" s="24" t="str">
        <x:v>Internal project IP / authorship claim</x:v>
      </x:c>
      <x:c r="K133" s="24" t="str">
        <x:v>N/A</x:v>
      </x:c>
      <x:c r="L133" s="24" t="str">
        <x:v>Source package + repository path + hash</x:v>
      </x:c>
      <x:c r="M133" s="24" t="str">
        <x:v>753bbda1be3534e086347c32bdeac3ff6e8c595affab3b4a45cb27fe98611646</x:v>
      </x:c>
      <x:c r="N133" s="24" t="str">
        <x:v>Assets/_Project/Art/Textures/Products/Covers/controller-orbit-pad_cover.png</x:v>
      </x:c>
      <x:c r="O133" s="24" t="str">
        <x:v>1df6feaefb37bee2c723271f297c84fa</x:v>
      </x:c>
      <x:c r="P133" s="24" t="str">
        <x:v>Sí</x:v>
      </x:c>
      <x:c r="Q133" s="24" t="str">
        <x:v>Condicionado a autoría/procedencia final</x:v>
      </x:c>
      <x:c r="R133" s="24" t="str">
        <x:v>Solo dentro del producto/build autorizado</x:v>
      </x:c>
      <x:c r="S133" s="24" t="str">
        <x:v>Crédito general del estudio; individual si aplica</x:v>
      </x:c>
      <x:c r="T133" s="24" t="str">
        <x:v>VRM Games / Blas Luis Rocha González</x:v>
      </x:c>
      <x:c r="U133" s="24" t="str">
        <x:v>CURRENT PROJECT ASSET</x:v>
      </x:c>
      <x:c r="V133" s="24" t="str">
        <x:v>CONDITIONALLY APPROVED</x:v>
      </x:c>
      <x:c r="W133" s="24" t="str">
        <x:v>Parcial</x:v>
      </x:c>
      <x:c r="X133" s="24" t="str">
        <x:v>Medium</x:v>
      </x:c>
      <x:c r="Y133" s="24" t="str">
        <x:v>Internal development; public candidate requires gate</x:v>
      </x:c>
      <x:c r="Z133" s="24" t="str">
        <x:v>H6 legal/content audit</x:v>
      </x:c>
      <x:c r="AA133" s="24" t="str">
        <x:v>VRM Games</x:v>
      </x:c>
      <x:c r="AB133" s="24" t="str">
        <x:v>No se detectó proveedor externo en la ruta; confirmar autoría por lote antes de release público.</x:v>
      </x:c>
    </x:row>
    <x:row r="134" ht="34" customHeight="1">
      <x:c r="A134" s="24" t="str">
        <x:v>INT-0130</x:v>
      </x:c>
      <x:c r="B134" s="24" t="str">
        <x:v>95a08376e01a66e9fb8be705367e8e70</x:v>
      </x:c>
      <x:c r="C134" s="24" t="str">
        <x:v>game-neon-drift_cover.png</x:v>
      </x:c>
      <x:c r="D134" s="24" t="str">
        <x:v>Texture/Icon</x:v>
      </x:c>
      <x:c r="E134" s="24" t="str">
        <x:v>Textures</x:v>
      </x:c>
      <x:c r="F134" s="24" t="str">
        <x:v>VRM Games / Blas Luis Rocha González</x:v>
      </x:c>
      <x:c r="G134" s="24" t="str">
        <x:v>VRM Games / Blas Luis Rocha González</x:v>
      </x:c>
      <x:c r="H134" s="24" t="str">
        <x:v>Internal project production</x:v>
      </x:c>
      <x:c r="I134" s="24" t="str">
        <x:v>2026 project timeline</x:v>
      </x:c>
      <x:c r="J134" s="24" t="str">
        <x:v>Internal project IP / authorship claim</x:v>
      </x:c>
      <x:c r="K134" s="24" t="str">
        <x:v>N/A</x:v>
      </x:c>
      <x:c r="L134" s="24" t="str">
        <x:v>Source package + repository path + hash</x:v>
      </x:c>
      <x:c r="M134" s="24" t="str">
        <x:v>959600e550e3c4f42571a8258adf7f034bd3448bc63bd9cd1e6d24a41dc82d2b</x:v>
      </x:c>
      <x:c r="N134" s="24" t="str">
        <x:v>Assets/_Project/Art/Textures/Products/Covers/game-neon-drift_cover.png</x:v>
      </x:c>
      <x:c r="O134" s="24" t="str">
        <x:v>95a08376e01a66e9fb8be705367e8e70</x:v>
      </x:c>
      <x:c r="P134" s="24" t="str">
        <x:v>Sí</x:v>
      </x:c>
      <x:c r="Q134" s="24" t="str">
        <x:v>Condicionado a autoría/procedencia final</x:v>
      </x:c>
      <x:c r="R134" s="24" t="str">
        <x:v>Solo dentro del producto/build autorizado</x:v>
      </x:c>
      <x:c r="S134" s="24" t="str">
        <x:v>Crédito general del estudio; individual si aplica</x:v>
      </x:c>
      <x:c r="T134" s="24" t="str">
        <x:v>VRM Games / Blas Luis Rocha González</x:v>
      </x:c>
      <x:c r="U134" s="24" t="str">
        <x:v>CURRENT PROJECT ASSET</x:v>
      </x:c>
      <x:c r="V134" s="24" t="str">
        <x:v>CONDITIONALLY APPROVED</x:v>
      </x:c>
      <x:c r="W134" s="24" t="str">
        <x:v>Parcial</x:v>
      </x:c>
      <x:c r="X134" s="24" t="str">
        <x:v>Medium</x:v>
      </x:c>
      <x:c r="Y134" s="24" t="str">
        <x:v>Internal development; public candidate requires gate</x:v>
      </x:c>
      <x:c r="Z134" s="24" t="str">
        <x:v>H6 legal/content audit</x:v>
      </x:c>
      <x:c r="AA134" s="24" t="str">
        <x:v>VRM Games</x:v>
      </x:c>
      <x:c r="AB134" s="24" t="str">
        <x:v>No se detectó proveedor externo en la ruta; confirmar autoría por lote antes de release público.</x:v>
      </x:c>
    </x:row>
    <x:row r="135" ht="34" customHeight="1">
      <x:c r="A135" s="24" t="str">
        <x:v>INT-0131</x:v>
      </x:c>
      <x:c r="B135" s="24" t="str">
        <x:v>555516fd940c23a935886572fcb5dbda</x:v>
      </x:c>
      <x:c r="C135" s="24" t="str">
        <x:v>headset-signal-pro_cover.png</x:v>
      </x:c>
      <x:c r="D135" s="24" t="str">
        <x:v>Texture/Icon</x:v>
      </x:c>
      <x:c r="E135" s="24" t="str">
        <x:v>Textures</x:v>
      </x:c>
      <x:c r="F135" s="24" t="str">
        <x:v>VRM Games / Blas Luis Rocha González</x:v>
      </x:c>
      <x:c r="G135" s="24" t="str">
        <x:v>VRM Games / Blas Luis Rocha González</x:v>
      </x:c>
      <x:c r="H135" s="24" t="str">
        <x:v>Internal project production</x:v>
      </x:c>
      <x:c r="I135" s="24" t="str">
        <x:v>2026 project timeline</x:v>
      </x:c>
      <x:c r="J135" s="24" t="str">
        <x:v>Internal project IP / authorship claim</x:v>
      </x:c>
      <x:c r="K135" s="24" t="str">
        <x:v>N/A</x:v>
      </x:c>
      <x:c r="L135" s="24" t="str">
        <x:v>Source package + repository path + hash</x:v>
      </x:c>
      <x:c r="M135" s="24" t="str">
        <x:v>6aa019355a4239b448e5cce81b19263f999b5d0a2f159c34cbe0395dd3e20f36</x:v>
      </x:c>
      <x:c r="N135" s="24" t="str">
        <x:v>Assets/_Project/Art/Textures/Products/Covers/headset-signal-pro_cover.png</x:v>
      </x:c>
      <x:c r="O135" s="24" t="str">
        <x:v>555516fd940c23a935886572fcb5dbda</x:v>
      </x:c>
      <x:c r="P135" s="24" t="str">
        <x:v>Sí</x:v>
      </x:c>
      <x:c r="Q135" s="24" t="str">
        <x:v>Condicionado a autoría/procedencia final</x:v>
      </x:c>
      <x:c r="R135" s="24" t="str">
        <x:v>Solo dentro del producto/build autorizado</x:v>
      </x:c>
      <x:c r="S135" s="24" t="str">
        <x:v>Crédito general del estudio; individual si aplica</x:v>
      </x:c>
      <x:c r="T135" s="24" t="str">
        <x:v>VRM Games / Blas Luis Rocha González</x:v>
      </x:c>
      <x:c r="U135" s="24" t="str">
        <x:v>CURRENT PROJECT ASSET</x:v>
      </x:c>
      <x:c r="V135" s="24" t="str">
        <x:v>CONDITIONALLY APPROVED</x:v>
      </x:c>
      <x:c r="W135" s="24" t="str">
        <x:v>Parcial</x:v>
      </x:c>
      <x:c r="X135" s="24" t="str">
        <x:v>Medium</x:v>
      </x:c>
      <x:c r="Y135" s="24" t="str">
        <x:v>Internal development; public candidate requires gate</x:v>
      </x:c>
      <x:c r="Z135" s="24" t="str">
        <x:v>H6 legal/content audit</x:v>
      </x:c>
      <x:c r="AA135" s="24" t="str">
        <x:v>VRM Games</x:v>
      </x:c>
      <x:c r="AB135" s="24" t="str">
        <x:v>No se detectó proveedor externo en la ruta; confirmar autoría por lote antes de release público.</x:v>
      </x:c>
    </x:row>
    <x:row r="136" ht="34" customHeight="1">
      <x:c r="A136" s="24" t="str">
        <x:v>INT-0132</x:v>
      </x:c>
      <x:c r="B136" s="24" t="str">
        <x:v>6d1ad708b4e4aafaed261b3d970bad30</x:v>
      </x:c>
      <x:c r="C136" s="24" t="str">
        <x:v>accessory-memory-core_icon.png</x:v>
      </x:c>
      <x:c r="D136" s="24" t="str">
        <x:v>Texture/Icon</x:v>
      </x:c>
      <x:c r="E136" s="24" t="str">
        <x:v>Textures</x:v>
      </x:c>
      <x:c r="F136" s="24" t="str">
        <x:v>VRM Games / Blas Luis Rocha González</x:v>
      </x:c>
      <x:c r="G136" s="24" t="str">
        <x:v>VRM Games / Blas Luis Rocha González</x:v>
      </x:c>
      <x:c r="H136" s="24" t="str">
        <x:v>Internal project production</x:v>
      </x:c>
      <x:c r="I136" s="24" t="str">
        <x:v>2026 project timeline</x:v>
      </x:c>
      <x:c r="J136" s="24" t="str">
        <x:v>Internal project IP / authorship claim</x:v>
      </x:c>
      <x:c r="K136" s="24" t="str">
        <x:v>N/A</x:v>
      </x:c>
      <x:c r="L136" s="24" t="str">
        <x:v>Source package + repository path + hash</x:v>
      </x:c>
      <x:c r="M136" s="24" t="str">
        <x:v>d7a5f75ece0ce0bf4a33206760bd3162bb5e939f27b128def13ac35febd121df</x:v>
      </x:c>
      <x:c r="N136" s="24" t="str">
        <x:v>Assets/_Project/Art/Textures/Products/Icons/accessory-memory-core_icon.png</x:v>
      </x:c>
      <x:c r="O136" s="24" t="str">
        <x:v>6d1ad708b4e4aafaed261b3d970bad30</x:v>
      </x:c>
      <x:c r="P136" s="24" t="str">
        <x:v>Sí</x:v>
      </x:c>
      <x:c r="Q136" s="24" t="str">
        <x:v>Condicionado a autoría/procedencia final</x:v>
      </x:c>
      <x:c r="R136" s="24" t="str">
        <x:v>Solo dentro del producto/build autorizado</x:v>
      </x:c>
      <x:c r="S136" s="24" t="str">
        <x:v>Crédito general del estudio; individual si aplica</x:v>
      </x:c>
      <x:c r="T136" s="24" t="str">
        <x:v>VRM Games / Blas Luis Rocha González</x:v>
      </x:c>
      <x:c r="U136" s="24" t="str">
        <x:v>CURRENT PROJECT ASSET</x:v>
      </x:c>
      <x:c r="V136" s="24" t="str">
        <x:v>CONDITIONALLY APPROVED</x:v>
      </x:c>
      <x:c r="W136" s="24" t="str">
        <x:v>Parcial</x:v>
      </x:c>
      <x:c r="X136" s="24" t="str">
        <x:v>Medium</x:v>
      </x:c>
      <x:c r="Y136" s="24" t="str">
        <x:v>Internal development; public candidate requires gate</x:v>
      </x:c>
      <x:c r="Z136" s="24" t="str">
        <x:v>H6 legal/content audit</x:v>
      </x:c>
      <x:c r="AA136" s="24" t="str">
        <x:v>VRM Games</x:v>
      </x:c>
      <x:c r="AB136" s="24" t="str">
        <x:v>No se detectó proveedor externo en la ruta; confirmar autoría por lote antes de release público.</x:v>
      </x:c>
    </x:row>
    <x:row r="137" ht="34" customHeight="1">
      <x:c r="A137" s="24" t="str">
        <x:v>INT-0133</x:v>
      </x:c>
      <x:c r="B137" s="24" t="str">
        <x:v>8c0a1718ad8cc09611a641f822dd6876</x:v>
      </x:c>
      <x:c r="C137" s="24" t="str">
        <x:v>case-cloud-runner_icon.png</x:v>
      </x:c>
      <x:c r="D137" s="24" t="str">
        <x:v>Texture/Icon</x:v>
      </x:c>
      <x:c r="E137" s="24" t="str">
        <x:v>Textures</x:v>
      </x:c>
      <x:c r="F137" s="24" t="str">
        <x:v>VRM Games / Blas Luis Rocha González</x:v>
      </x:c>
      <x:c r="G137" s="24" t="str">
        <x:v>VRM Games / Blas Luis Rocha González</x:v>
      </x:c>
      <x:c r="H137" s="24" t="str">
        <x:v>Internal project production</x:v>
      </x:c>
      <x:c r="I137" s="24" t="str">
        <x:v>2026 project timeline</x:v>
      </x:c>
      <x:c r="J137" s="24" t="str">
        <x:v>Internal project IP / authorship claim</x:v>
      </x:c>
      <x:c r="K137" s="24" t="str">
        <x:v>N/A</x:v>
      </x:c>
      <x:c r="L137" s="24" t="str">
        <x:v>Source package + repository path + hash</x:v>
      </x:c>
      <x:c r="M137" s="24" t="str">
        <x:v>1f2ce96685cd3ca1d33413d2e5bb3bd1c2dad848e8421821777452b50671465a</x:v>
      </x:c>
      <x:c r="N137" s="24" t="str">
        <x:v>Assets/_Project/Art/Textures/Products/Icons/case-cloud-runner_icon.png</x:v>
      </x:c>
      <x:c r="O137" s="24" t="str">
        <x:v>8c0a1718ad8cc09611a641f822dd6876</x:v>
      </x:c>
      <x:c r="P137" s="24" t="str">
        <x:v>Sí</x:v>
      </x:c>
      <x:c r="Q137" s="24" t="str">
        <x:v>Condicionado a autoría/procedencia final</x:v>
      </x:c>
      <x:c r="R137" s="24" t="str">
        <x:v>Solo dentro del producto/build autorizado</x:v>
      </x:c>
      <x:c r="S137" s="24" t="str">
        <x:v>Crédito general del estudio; individual si aplica</x:v>
      </x:c>
      <x:c r="T137" s="24" t="str">
        <x:v>VRM Games / Blas Luis Rocha González</x:v>
      </x:c>
      <x:c r="U137" s="24" t="str">
        <x:v>CURRENT PROJECT ASSET</x:v>
      </x:c>
      <x:c r="V137" s="24" t="str">
        <x:v>CONDITIONALLY APPROVED</x:v>
      </x:c>
      <x:c r="W137" s="24" t="str">
        <x:v>Parcial</x:v>
      </x:c>
      <x:c r="X137" s="24" t="str">
        <x:v>Medium</x:v>
      </x:c>
      <x:c r="Y137" s="24" t="str">
        <x:v>Internal development; public candidate requires gate</x:v>
      </x:c>
      <x:c r="Z137" s="24" t="str">
        <x:v>H6 legal/content audit</x:v>
      </x:c>
      <x:c r="AA137" s="24" t="str">
        <x:v>VRM Games</x:v>
      </x:c>
      <x:c r="AB137" s="24" t="str">
        <x:v>No se detectó proveedor externo en la ruta; confirmar autoría por lote antes de release público.</x:v>
      </x:c>
    </x:row>
    <x:row r="138" ht="34" customHeight="1">
      <x:c r="A138" s="24" t="str">
        <x:v>INT-0134</x:v>
      </x:c>
      <x:c r="B138" s="24" t="str">
        <x:v>6aa6b1239ca9f6cdfd2bb6023eb4c1c4</x:v>
      </x:c>
      <x:c r="C138" s="24" t="str">
        <x:v>console-vertex-one_icon.png</x:v>
      </x:c>
      <x:c r="D138" s="24" t="str">
        <x:v>Texture/Icon</x:v>
      </x:c>
      <x:c r="E138" s="24" t="str">
        <x:v>Textures</x:v>
      </x:c>
      <x:c r="F138" s="24" t="str">
        <x:v>VRM Games / Blas Luis Rocha González</x:v>
      </x:c>
      <x:c r="G138" s="24" t="str">
        <x:v>VRM Games / Blas Luis Rocha González</x:v>
      </x:c>
      <x:c r="H138" s="24" t="str">
        <x:v>Internal project production</x:v>
      </x:c>
      <x:c r="I138" s="24" t="str">
        <x:v>2026 project timeline</x:v>
      </x:c>
      <x:c r="J138" s="24" t="str">
        <x:v>Internal project IP / authorship claim</x:v>
      </x:c>
      <x:c r="K138" s="24" t="str">
        <x:v>N/A</x:v>
      </x:c>
      <x:c r="L138" s="24" t="str">
        <x:v>Source package + repository path + hash</x:v>
      </x:c>
      <x:c r="M138" s="24" t="str">
        <x:v>420b32b4ca770ab2f6c6356236ff6f08a14116438e847872d4b5af622878ca36</x:v>
      </x:c>
      <x:c r="N138" s="24" t="str">
        <x:v>Assets/_Project/Art/Textures/Products/Icons/console-vertex-one_icon.png</x:v>
      </x:c>
      <x:c r="O138" s="24" t="str">
        <x:v>6aa6b1239ca9f6cdfd2bb6023eb4c1c4</x:v>
      </x:c>
      <x:c r="P138" s="24" t="str">
        <x:v>Sí</x:v>
      </x:c>
      <x:c r="Q138" s="24" t="str">
        <x:v>Condicionado a autoría/procedencia final</x:v>
      </x:c>
      <x:c r="R138" s="24" t="str">
        <x:v>Solo dentro del producto/build autorizado</x:v>
      </x:c>
      <x:c r="S138" s="24" t="str">
        <x:v>Crédito general del estudio; individual si aplica</x:v>
      </x:c>
      <x:c r="T138" s="24" t="str">
        <x:v>VRM Games / Blas Luis Rocha González</x:v>
      </x:c>
      <x:c r="U138" s="24" t="str">
        <x:v>CURRENT PROJECT ASSET</x:v>
      </x:c>
      <x:c r="V138" s="24" t="str">
        <x:v>CONDITIONALLY APPROVED</x:v>
      </x:c>
      <x:c r="W138" s="24" t="str">
        <x:v>Parcial</x:v>
      </x:c>
      <x:c r="X138" s="24" t="str">
        <x:v>Medium</x:v>
      </x:c>
      <x:c r="Y138" s="24" t="str">
        <x:v>Internal development; public candidate requires gate</x:v>
      </x:c>
      <x:c r="Z138" s="24" t="str">
        <x:v>H6 legal/content audit</x:v>
      </x:c>
      <x:c r="AA138" s="24" t="str">
        <x:v>VRM Games</x:v>
      </x:c>
      <x:c r="AB138" s="24" t="str">
        <x:v>No se detectó proveedor externo en la ruta; confirmar autoría por lote antes de release público.</x:v>
      </x:c>
    </x:row>
    <x:row r="139" ht="34" customHeight="1">
      <x:c r="A139" s="24" t="str">
        <x:v>INT-0135</x:v>
      </x:c>
      <x:c r="B139" s="24" t="str">
        <x:v>a5a7682e0808b2d2d51bdf3ef57fe2a1</x:v>
      </x:c>
      <x:c r="C139" s="24" t="str">
        <x:v>controller-orbit-pad_icon.png</x:v>
      </x:c>
      <x:c r="D139" s="24" t="str">
        <x:v>Texture/Icon</x:v>
      </x:c>
      <x:c r="E139" s="24" t="str">
        <x:v>Textures</x:v>
      </x:c>
      <x:c r="F139" s="24" t="str">
        <x:v>VRM Games / Blas Luis Rocha González</x:v>
      </x:c>
      <x:c r="G139" s="24" t="str">
        <x:v>VRM Games / Blas Luis Rocha González</x:v>
      </x:c>
      <x:c r="H139" s="24" t="str">
        <x:v>Internal project production</x:v>
      </x:c>
      <x:c r="I139" s="24" t="str">
        <x:v>2026 project timeline</x:v>
      </x:c>
      <x:c r="J139" s="24" t="str">
        <x:v>Internal project IP / authorship claim</x:v>
      </x:c>
      <x:c r="K139" s="24" t="str">
        <x:v>N/A</x:v>
      </x:c>
      <x:c r="L139" s="24" t="str">
        <x:v>Source package + repository path + hash</x:v>
      </x:c>
      <x:c r="M139" s="24" t="str">
        <x:v>b8e2f451c763a0b2a29052f44d78029476716d8f8940ba70327c44729c07900e</x:v>
      </x:c>
      <x:c r="N139" s="24" t="str">
        <x:v>Assets/_Project/Art/Textures/Products/Icons/controller-orbit-pad_icon.png</x:v>
      </x:c>
      <x:c r="O139" s="24" t="str">
        <x:v>a5a7682e0808b2d2d51bdf3ef57fe2a1</x:v>
      </x:c>
      <x:c r="P139" s="24" t="str">
        <x:v>Sí</x:v>
      </x:c>
      <x:c r="Q139" s="24" t="str">
        <x:v>Condicionado a autoría/procedencia final</x:v>
      </x:c>
      <x:c r="R139" s="24" t="str">
        <x:v>Solo dentro del producto/build autorizado</x:v>
      </x:c>
      <x:c r="S139" s="24" t="str">
        <x:v>Crédito general del estudio; individual si aplica</x:v>
      </x:c>
      <x:c r="T139" s="24" t="str">
        <x:v>VRM Games / Blas Luis Rocha González</x:v>
      </x:c>
      <x:c r="U139" s="24" t="str">
        <x:v>CURRENT PROJECT ASSET</x:v>
      </x:c>
      <x:c r="V139" s="24" t="str">
        <x:v>CONDITIONALLY APPROVED</x:v>
      </x:c>
      <x:c r="W139" s="24" t="str">
        <x:v>Parcial</x:v>
      </x:c>
      <x:c r="X139" s="24" t="str">
        <x:v>Medium</x:v>
      </x:c>
      <x:c r="Y139" s="24" t="str">
        <x:v>Internal development; public candidate requires gate</x:v>
      </x:c>
      <x:c r="Z139" s="24" t="str">
        <x:v>H6 legal/content audit</x:v>
      </x:c>
      <x:c r="AA139" s="24" t="str">
        <x:v>VRM Games</x:v>
      </x:c>
      <x:c r="AB139" s="24" t="str">
        <x:v>No se detectó proveedor externo en la ruta; confirmar autoría por lote antes de release público.</x:v>
      </x:c>
    </x:row>
    <x:row r="140" ht="34" customHeight="1">
      <x:c r="A140" s="24" t="str">
        <x:v>INT-0136</x:v>
      </x:c>
      <x:c r="B140" s="24" t="str">
        <x:v>5446fc2e413d4c4501d24e5f36c02441</x:v>
      </x:c>
      <x:c r="C140" s="24" t="str">
        <x:v>game-neon-drift_icon.png</x:v>
      </x:c>
      <x:c r="D140" s="24" t="str">
        <x:v>Texture/Icon</x:v>
      </x:c>
      <x:c r="E140" s="24" t="str">
        <x:v>Textures</x:v>
      </x:c>
      <x:c r="F140" s="24" t="str">
        <x:v>VRM Games / Blas Luis Rocha González</x:v>
      </x:c>
      <x:c r="G140" s="24" t="str">
        <x:v>VRM Games / Blas Luis Rocha González</x:v>
      </x:c>
      <x:c r="H140" s="24" t="str">
        <x:v>Internal project production</x:v>
      </x:c>
      <x:c r="I140" s="24" t="str">
        <x:v>2026 project timeline</x:v>
      </x:c>
      <x:c r="J140" s="24" t="str">
        <x:v>Internal project IP / authorship claim</x:v>
      </x:c>
      <x:c r="K140" s="24" t="str">
        <x:v>N/A</x:v>
      </x:c>
      <x:c r="L140" s="24" t="str">
        <x:v>Source package + repository path + hash</x:v>
      </x:c>
      <x:c r="M140" s="24" t="str">
        <x:v>5bfa677ba7d80c67d80a1dc7823d9f31a2d1074f2b6bf954258eab8142a5db09</x:v>
      </x:c>
      <x:c r="N140" s="24" t="str">
        <x:v>Assets/_Project/Art/Textures/Products/Icons/game-neon-drift_icon.png</x:v>
      </x:c>
      <x:c r="O140" s="24" t="str">
        <x:v>5446fc2e413d4c4501d24e5f36c02441</x:v>
      </x:c>
      <x:c r="P140" s="24" t="str">
        <x:v>Sí</x:v>
      </x:c>
      <x:c r="Q140" s="24" t="str">
        <x:v>Condicionado a autoría/procedencia final</x:v>
      </x:c>
      <x:c r="R140" s="24" t="str">
        <x:v>Solo dentro del producto/build autorizado</x:v>
      </x:c>
      <x:c r="S140" s="24" t="str">
        <x:v>Crédito general del estudio; individual si aplica</x:v>
      </x:c>
      <x:c r="T140" s="24" t="str">
        <x:v>VRM Games / Blas Luis Rocha González</x:v>
      </x:c>
      <x:c r="U140" s="24" t="str">
        <x:v>CURRENT PROJECT ASSET</x:v>
      </x:c>
      <x:c r="V140" s="24" t="str">
        <x:v>CONDITIONALLY APPROVED</x:v>
      </x:c>
      <x:c r="W140" s="24" t="str">
        <x:v>Parcial</x:v>
      </x:c>
      <x:c r="X140" s="24" t="str">
        <x:v>Medium</x:v>
      </x:c>
      <x:c r="Y140" s="24" t="str">
        <x:v>Internal development; public candidate requires gate</x:v>
      </x:c>
      <x:c r="Z140" s="24" t="str">
        <x:v>H6 legal/content audit</x:v>
      </x:c>
      <x:c r="AA140" s="24" t="str">
        <x:v>VRM Games</x:v>
      </x:c>
      <x:c r="AB140" s="24" t="str">
        <x:v>No se detectó proveedor externo en la ruta; confirmar autoría por lote antes de release público.</x:v>
      </x:c>
    </x:row>
    <x:row r="141" ht="34" customHeight="1">
      <x:c r="A141" s="24" t="str">
        <x:v>INT-0137</x:v>
      </x:c>
      <x:c r="B141" s="24" t="str">
        <x:v>c2eab608e2f22d55399d6e4ae9b1b706</x:v>
      </x:c>
      <x:c r="C141" s="24" t="str">
        <x:v>headset-signal-pro_icon.png</x:v>
      </x:c>
      <x:c r="D141" s="24" t="str">
        <x:v>Texture/Icon</x:v>
      </x:c>
      <x:c r="E141" s="24" t="str">
        <x:v>Textures</x:v>
      </x:c>
      <x:c r="F141" s="24" t="str">
        <x:v>VRM Games / Blas Luis Rocha González</x:v>
      </x:c>
      <x:c r="G141" s="24" t="str">
        <x:v>VRM Games / Blas Luis Rocha González</x:v>
      </x:c>
      <x:c r="H141" s="24" t="str">
        <x:v>Internal project production</x:v>
      </x:c>
      <x:c r="I141" s="24" t="str">
        <x:v>2026 project timeline</x:v>
      </x:c>
      <x:c r="J141" s="24" t="str">
        <x:v>Internal project IP / authorship claim</x:v>
      </x:c>
      <x:c r="K141" s="24" t="str">
        <x:v>N/A</x:v>
      </x:c>
      <x:c r="L141" s="24" t="str">
        <x:v>Source package + repository path + hash</x:v>
      </x:c>
      <x:c r="M141" s="24" t="str">
        <x:v>2a2b0b19b66f8dd43f7256591f348e7b2fbd6605a466105b2e77c6acdab51500</x:v>
      </x:c>
      <x:c r="N141" s="24" t="str">
        <x:v>Assets/_Project/Art/Textures/Products/Icons/headset-signal-pro_icon.png</x:v>
      </x:c>
      <x:c r="O141" s="24" t="str">
        <x:v>c2eab608e2f22d55399d6e4ae9b1b706</x:v>
      </x:c>
      <x:c r="P141" s="24" t="str">
        <x:v>Sí</x:v>
      </x:c>
      <x:c r="Q141" s="24" t="str">
        <x:v>Condicionado a autoría/procedencia final</x:v>
      </x:c>
      <x:c r="R141" s="24" t="str">
        <x:v>Solo dentro del producto/build autorizado</x:v>
      </x:c>
      <x:c r="S141" s="24" t="str">
        <x:v>Crédito general del estudio; individual si aplica</x:v>
      </x:c>
      <x:c r="T141" s="24" t="str">
        <x:v>VRM Games / Blas Luis Rocha González</x:v>
      </x:c>
      <x:c r="U141" s="24" t="str">
        <x:v>CURRENT PROJECT ASSET</x:v>
      </x:c>
      <x:c r="V141" s="24" t="str">
        <x:v>CONDITIONALLY APPROVED</x:v>
      </x:c>
      <x:c r="W141" s="24" t="str">
        <x:v>Parcial</x:v>
      </x:c>
      <x:c r="X141" s="24" t="str">
        <x:v>Medium</x:v>
      </x:c>
      <x:c r="Y141" s="24" t="str">
        <x:v>Internal development; public candidate requires gate</x:v>
      </x:c>
      <x:c r="Z141" s="24" t="str">
        <x:v>H6 legal/content audit</x:v>
      </x:c>
      <x:c r="AA141" s="24" t="str">
        <x:v>VRM Games</x:v>
      </x:c>
      <x:c r="AB141" s="24" t="str">
        <x:v>No se detectó proveedor externo en la ruta; confirmar autoría por lote antes de release público.</x:v>
      </x:c>
    </x:row>
    <x:row r="142" ht="34" customHeight="1">
      <x:c r="A142" s="24" t="str">
        <x:v>INT-0138</x:v>
      </x:c>
      <x:c r="B142" s="24" t="str">
        <x:v>cb709afe7703b9cab572cc895a085ff2</x:v>
      </x:c>
      <x:c r="C142" s="24" t="str">
        <x:v>StoreAmbience.wav</x:v>
      </x:c>
      <x:c r="D142" s="24" t="str">
        <x:v>Audio</x:v>
      </x:c>
      <x:c r="E142" s="24" t="str">
        <x:v>Ambience</x:v>
      </x:c>
      <x:c r="F142" s="24" t="str">
        <x:v>VRM Games / Blas Luis Rocha González</x:v>
      </x:c>
      <x:c r="G142" s="24" t="str">
        <x:v>VRM Games / Blas Luis Rocha González</x:v>
      </x:c>
      <x:c r="H142" s="24" t="str">
        <x:v>Internal project production</x:v>
      </x:c>
      <x:c r="I142" s="24" t="str">
        <x:v>2026 project timeline</x:v>
      </x:c>
      <x:c r="J142" s="24" t="str">
        <x:v>Internal project IP / authorship claim</x:v>
      </x:c>
      <x:c r="K142" s="24" t="str">
        <x:v>N/A</x:v>
      </x:c>
      <x:c r="L142" s="24" t="str">
        <x:v>Source package + repository path + hash</x:v>
      </x:c>
      <x:c r="M142" s="24" t="str">
        <x:v>2faead25215be67735257d0cbdf6912b852da904f069d9298703e3c1baf88b1f</x:v>
      </x:c>
      <x:c r="N142" s="24" t="str">
        <x:v>Assets/_Project/Audio/Ambience/StoreAmbience.wav</x:v>
      </x:c>
      <x:c r="O142" s="24" t="str">
        <x:v>cb709afe7703b9cab572cc895a085ff2</x:v>
      </x:c>
      <x:c r="P142" s="24" t="str">
        <x:v>Sí</x:v>
      </x:c>
      <x:c r="Q142" s="24" t="str">
        <x:v>Condicionado a autoría/procedencia final</x:v>
      </x:c>
      <x:c r="R142" s="24" t="str">
        <x:v>Solo dentro del producto/build autorizado</x:v>
      </x:c>
      <x:c r="S142" s="24" t="str">
        <x:v>Crédito general del estudio; individual si aplica</x:v>
      </x:c>
      <x:c r="T142" s="24" t="str">
        <x:v>VRM Games / Blas Luis Rocha González</x:v>
      </x:c>
      <x:c r="U142" s="24" t="str">
        <x:v>REPRESENTATIVE / CURRENT</x:v>
      </x:c>
      <x:c r="V142" s="24" t="str">
        <x:v>INTERNAL ONLY / PUBLIC REVIEW</x:v>
      </x:c>
      <x:c r="W142" s="24" t="str">
        <x:v>Parcial</x:v>
      </x:c>
      <x:c r="X142" s="24" t="str">
        <x:v>Medium</x:v>
      </x:c>
      <x:c r="Y142" s="24" t="str">
        <x:v>Internal development; public candidate requires gate</x:v>
      </x:c>
      <x:c r="Z142" s="24" t="str">
        <x:v>H6 legal/content audit</x:v>
      </x:c>
      <x:c r="AA142" s="24" t="str">
        <x:v>VRM Games</x:v>
      </x:c>
      <x:c r="AB142" s="24" t="str">
        <x:v>No se detectó proveedor externo en la ruta; confirmar autoría por lote antes de release público.</x:v>
      </x:c>
    </x:row>
    <x:row r="143" ht="34" customHeight="1">
      <x:c r="A143" s="24" t="str">
        <x:v>INT-0139</x:v>
      </x:c>
      <x:c r="B143" s="24" t="str">
        <x:v>0690c7c8ed5fb2713089b8f9a4ac688f</x:v>
      </x:c>
      <x:c r="C143" s="24" t="str">
        <x:v>StoreMusic.wav</x:v>
      </x:c>
      <x:c r="D143" s="24" t="str">
        <x:v>Audio</x:v>
      </x:c>
      <x:c r="E143" s="24" t="str">
        <x:v>Music</x:v>
      </x:c>
      <x:c r="F143" s="24" t="str">
        <x:v>VRM Games / Blas Luis Rocha González</x:v>
      </x:c>
      <x:c r="G143" s="24" t="str">
        <x:v>VRM Games / Blas Luis Rocha González</x:v>
      </x:c>
      <x:c r="H143" s="24" t="str">
        <x:v>Internal project production</x:v>
      </x:c>
      <x:c r="I143" s="24" t="str">
        <x:v>2026 project timeline</x:v>
      </x:c>
      <x:c r="J143" s="24" t="str">
        <x:v>Internal project IP / authorship claim</x:v>
      </x:c>
      <x:c r="K143" s="24" t="str">
        <x:v>N/A</x:v>
      </x:c>
      <x:c r="L143" s="24" t="str">
        <x:v>Source package + repository path + hash</x:v>
      </x:c>
      <x:c r="M143" s="24" t="str">
        <x:v>db0e76e00a881fb36c8865510db3aeb52e8ab574c185eff0d7cb58febafcd9bc</x:v>
      </x:c>
      <x:c r="N143" s="24" t="str">
        <x:v>Assets/_Project/Audio/Music/StoreMusic.wav</x:v>
      </x:c>
      <x:c r="O143" s="24" t="str">
        <x:v>0690c7c8ed5fb2713089b8f9a4ac688f</x:v>
      </x:c>
      <x:c r="P143" s="24" t="str">
        <x:v>Sí</x:v>
      </x:c>
      <x:c r="Q143" s="24" t="str">
        <x:v>Condicionado a autoría/procedencia final</x:v>
      </x:c>
      <x:c r="R143" s="24" t="str">
        <x:v>Solo dentro del producto/build autorizado</x:v>
      </x:c>
      <x:c r="S143" s="24" t="str">
        <x:v>Crédito general del estudio; individual si aplica</x:v>
      </x:c>
      <x:c r="T143" s="24" t="str">
        <x:v>VRM Games / Blas Luis Rocha González</x:v>
      </x:c>
      <x:c r="U143" s="24" t="str">
        <x:v>REPRESENTATIVE / CURRENT</x:v>
      </x:c>
      <x:c r="V143" s="24" t="str">
        <x:v>INTERNAL ONLY / PUBLIC REVIEW</x:v>
      </x:c>
      <x:c r="W143" s="24" t="str">
        <x:v>Parcial</x:v>
      </x:c>
      <x:c r="X143" s="24" t="str">
        <x:v>Medium</x:v>
      </x:c>
      <x:c r="Y143" s="24" t="str">
        <x:v>Internal development; public candidate requires gate</x:v>
      </x:c>
      <x:c r="Z143" s="24" t="str">
        <x:v>H6 legal/content audit</x:v>
      </x:c>
      <x:c r="AA143" s="24" t="str">
        <x:v>VRM Games</x:v>
      </x:c>
      <x:c r="AB143" s="24" t="str">
        <x:v>No se detectó proveedor externo en la ruta; confirmar autoría por lote antes de release público.</x:v>
      </x:c>
    </x:row>
    <x:row r="144" ht="34" customHeight="1">
      <x:c r="A144" s="24" t="str">
        <x:v>INT-0140</x:v>
      </x:c>
      <x:c r="B144" s="24" t="str">
        <x:v>ba31e4719471578fa9cae09368b54822</x:v>
      </x:c>
      <x:c r="C144" s="24" t="str">
        <x:v>Checkout.wav</x:v>
      </x:c>
      <x:c r="D144" s="24" t="str">
        <x:v>Audio</x:v>
      </x:c>
      <x:c r="E144" s="24" t="str">
        <x:v>SFX</x:v>
      </x:c>
      <x:c r="F144" s="24" t="str">
        <x:v>VRM Games / Blas Luis Rocha González</x:v>
      </x:c>
      <x:c r="G144" s="24" t="str">
        <x:v>VRM Games / Blas Luis Rocha González</x:v>
      </x:c>
      <x:c r="H144" s="24" t="str">
        <x:v>Internal project production</x:v>
      </x:c>
      <x:c r="I144" s="24" t="str">
        <x:v>2026 project timeline</x:v>
      </x:c>
      <x:c r="J144" s="24" t="str">
        <x:v>Internal project IP / authorship claim</x:v>
      </x:c>
      <x:c r="K144" s="24" t="str">
        <x:v>N/A</x:v>
      </x:c>
      <x:c r="L144" s="24" t="str">
        <x:v>Source package + repository path + hash</x:v>
      </x:c>
      <x:c r="M144" s="24" t="str">
        <x:v>007c220b2d74180a975910331e738ab7911356ac8f01a8bc51b1e6790a807114</x:v>
      </x:c>
      <x:c r="N144" s="24" t="str">
        <x:v>Assets/_Project/Audio/SFX/Checkout.wav</x:v>
      </x:c>
      <x:c r="O144" s="24" t="str">
        <x:v>ba31e4719471578fa9cae09368b54822</x:v>
      </x:c>
      <x:c r="P144" s="24" t="str">
        <x:v>Sí</x:v>
      </x:c>
      <x:c r="Q144" s="24" t="str">
        <x:v>Condicionado a autoría/procedencia final</x:v>
      </x:c>
      <x:c r="R144" s="24" t="str">
        <x:v>Solo dentro del producto/build autorizado</x:v>
      </x:c>
      <x:c r="S144" s="24" t="str">
        <x:v>Crédito general del estudio; individual si aplica</x:v>
      </x:c>
      <x:c r="T144" s="24" t="str">
        <x:v>VRM Games / Blas Luis Rocha González</x:v>
      </x:c>
      <x:c r="U144" s="24" t="str">
        <x:v>REPRESENTATIVE / CURRENT</x:v>
      </x:c>
      <x:c r="V144" s="24" t="str">
        <x:v>INTERNAL ONLY / PUBLIC REVIEW</x:v>
      </x:c>
      <x:c r="W144" s="24" t="str">
        <x:v>Parcial</x:v>
      </x:c>
      <x:c r="X144" s="24" t="str">
        <x:v>Medium</x:v>
      </x:c>
      <x:c r="Y144" s="24" t="str">
        <x:v>Internal development; public candidate requires gate</x:v>
      </x:c>
      <x:c r="Z144" s="24" t="str">
        <x:v>H6 legal/content audit</x:v>
      </x:c>
      <x:c r="AA144" s="24" t="str">
        <x:v>VRM Games</x:v>
      </x:c>
      <x:c r="AB144" s="24" t="str">
        <x:v>No se detectó proveedor externo en la ruta; confirmar autoría por lote antes de release público.</x:v>
      </x:c>
    </x:row>
    <x:row r="145" ht="34" customHeight="1">
      <x:c r="A145" s="24" t="str">
        <x:v>INT-0141</x:v>
      </x:c>
      <x:c r="B145" s="24" t="str">
        <x:v>afa05dd2e9a4ff3ace16f07967ef65c9</x:v>
      </x:c>
      <x:c r="C145" s="24" t="str">
        <x:v>DayClosed.wav</x:v>
      </x:c>
      <x:c r="D145" s="24" t="str">
        <x:v>Audio</x:v>
      </x:c>
      <x:c r="E145" s="24" t="str">
        <x:v>SFX</x:v>
      </x:c>
      <x:c r="F145" s="24" t="str">
        <x:v>VRM Games / Blas Luis Rocha González</x:v>
      </x:c>
      <x:c r="G145" s="24" t="str">
        <x:v>VRM Games / Blas Luis Rocha González</x:v>
      </x:c>
      <x:c r="H145" s="24" t="str">
        <x:v>Internal project production</x:v>
      </x:c>
      <x:c r="I145" s="24" t="str">
        <x:v>2026 project timeline</x:v>
      </x:c>
      <x:c r="J145" s="24" t="str">
        <x:v>Internal project IP / authorship claim</x:v>
      </x:c>
      <x:c r="K145" s="24" t="str">
        <x:v>N/A</x:v>
      </x:c>
      <x:c r="L145" s="24" t="str">
        <x:v>Source package + repository path + hash</x:v>
      </x:c>
      <x:c r="M145" s="24" t="str">
        <x:v>31705ae11eda7f71a53ddfb9a2af66fa120c1e19f0c86a9c98d5e1c490dcfdf1</x:v>
      </x:c>
      <x:c r="N145" s="24" t="str">
        <x:v>Assets/_Project/Audio/SFX/DayClosed.wav</x:v>
      </x:c>
      <x:c r="O145" s="24" t="str">
        <x:v>afa05dd2e9a4ff3ace16f07967ef65c9</x:v>
      </x:c>
      <x:c r="P145" s="24" t="str">
        <x:v>Sí</x:v>
      </x:c>
      <x:c r="Q145" s="24" t="str">
        <x:v>Condicionado a autoría/procedencia final</x:v>
      </x:c>
      <x:c r="R145" s="24" t="str">
        <x:v>Solo dentro del producto/build autorizado</x:v>
      </x:c>
      <x:c r="S145" s="24" t="str">
        <x:v>Crédito general del estudio; individual si aplica</x:v>
      </x:c>
      <x:c r="T145" s="24" t="str">
        <x:v>VRM Games / Blas Luis Rocha González</x:v>
      </x:c>
      <x:c r="U145" s="24" t="str">
        <x:v>REPRESENTATIVE / CURRENT</x:v>
      </x:c>
      <x:c r="V145" s="24" t="str">
        <x:v>INTERNAL ONLY / PUBLIC REVIEW</x:v>
      </x:c>
      <x:c r="W145" s="24" t="str">
        <x:v>Parcial</x:v>
      </x:c>
      <x:c r="X145" s="24" t="str">
        <x:v>Medium</x:v>
      </x:c>
      <x:c r="Y145" s="24" t="str">
        <x:v>Internal development; public candidate requires gate</x:v>
      </x:c>
      <x:c r="Z145" s="24" t="str">
        <x:v>H6 legal/content audit</x:v>
      </x:c>
      <x:c r="AA145" s="24" t="str">
        <x:v>VRM Games</x:v>
      </x:c>
      <x:c r="AB145" s="24" t="str">
        <x:v>No se detectó proveedor externo en la ruta; confirmar autoría por lote antes de release público.</x:v>
      </x:c>
    </x:row>
    <x:row r="146" ht="34" customHeight="1">
      <x:c r="A146" s="24" t="str">
        <x:v>INT-0142</x:v>
      </x:c>
      <x:c r="B146" s="24" t="str">
        <x:v>2a3bd6d7753bf8508bed82d14fa64b9f</x:v>
      </x:c>
      <x:c r="C146" s="24" t="str">
        <x:v>Door.wav</x:v>
      </x:c>
      <x:c r="D146" s="24" t="str">
        <x:v>Audio</x:v>
      </x:c>
      <x:c r="E146" s="24" t="str">
        <x:v>SFX</x:v>
      </x:c>
      <x:c r="F146" s="24" t="str">
        <x:v>VRM Games / Blas Luis Rocha González</x:v>
      </x:c>
      <x:c r="G146" s="24" t="str">
        <x:v>VRM Games / Blas Luis Rocha González</x:v>
      </x:c>
      <x:c r="H146" s="24" t="str">
        <x:v>Internal project production</x:v>
      </x:c>
      <x:c r="I146" s="24" t="str">
        <x:v>2026 project timeline</x:v>
      </x:c>
      <x:c r="J146" s="24" t="str">
        <x:v>Internal project IP / authorship claim</x:v>
      </x:c>
      <x:c r="K146" s="24" t="str">
        <x:v>N/A</x:v>
      </x:c>
      <x:c r="L146" s="24" t="str">
        <x:v>Source package + repository path + hash</x:v>
      </x:c>
      <x:c r="M146" s="24" t="str">
        <x:v>6c93c93ae3aaa6c97ea5eb372b762c330521534ff1c31f742caf1de7c7477e6e</x:v>
      </x:c>
      <x:c r="N146" s="24" t="str">
        <x:v>Assets/_Project/Audio/SFX/Door.wav</x:v>
      </x:c>
      <x:c r="O146" s="24" t="str">
        <x:v>2a3bd6d7753bf8508bed82d14fa64b9f</x:v>
      </x:c>
      <x:c r="P146" s="24" t="str">
        <x:v>Sí</x:v>
      </x:c>
      <x:c r="Q146" s="24" t="str">
        <x:v>Condicionado a autoría/procedencia final</x:v>
      </x:c>
      <x:c r="R146" s="24" t="str">
        <x:v>Solo dentro del producto/build autorizado</x:v>
      </x:c>
      <x:c r="S146" s="24" t="str">
        <x:v>Crédito general del estudio; individual si aplica</x:v>
      </x:c>
      <x:c r="T146" s="24" t="str">
        <x:v>VRM Games / Blas Luis Rocha González</x:v>
      </x:c>
      <x:c r="U146" s="24" t="str">
        <x:v>REPRESENTATIVE / CURRENT</x:v>
      </x:c>
      <x:c r="V146" s="24" t="str">
        <x:v>INTERNAL ONLY / PUBLIC REVIEW</x:v>
      </x:c>
      <x:c r="W146" s="24" t="str">
        <x:v>Parcial</x:v>
      </x:c>
      <x:c r="X146" s="24" t="str">
        <x:v>Medium</x:v>
      </x:c>
      <x:c r="Y146" s="24" t="str">
        <x:v>Internal development; public candidate requires gate</x:v>
      </x:c>
      <x:c r="Z146" s="24" t="str">
        <x:v>H6 legal/content audit</x:v>
      </x:c>
      <x:c r="AA146" s="24" t="str">
        <x:v>VRM Games</x:v>
      </x:c>
      <x:c r="AB146" s="24" t="str">
        <x:v>No se detectó proveedor externo en la ruta; confirmar autoría por lote antes de release público.</x:v>
      </x:c>
    </x:row>
    <x:row r="147" ht="34" customHeight="1">
      <x:c r="A147" s="24" t="str">
        <x:v>INT-0143</x:v>
      </x:c>
      <x:c r="B147" s="24" t="str">
        <x:v>8e2b37d1127285ee1cc44a3d0a8a98c4</x:v>
      </x:c>
      <x:c r="C147" s="24" t="str">
        <x:v>OrderReceived.wav</x:v>
      </x:c>
      <x:c r="D147" s="24" t="str">
        <x:v>Audio</x:v>
      </x:c>
      <x:c r="E147" s="24" t="str">
        <x:v>SFX</x:v>
      </x:c>
      <x:c r="F147" s="24" t="str">
        <x:v>VRM Games / Blas Luis Rocha González</x:v>
      </x:c>
      <x:c r="G147" s="24" t="str">
        <x:v>VRM Games / Blas Luis Rocha González</x:v>
      </x:c>
      <x:c r="H147" s="24" t="str">
        <x:v>Internal project production</x:v>
      </x:c>
      <x:c r="I147" s="24" t="str">
        <x:v>2026 project timeline</x:v>
      </x:c>
      <x:c r="J147" s="24" t="str">
        <x:v>Internal project IP / authorship claim</x:v>
      </x:c>
      <x:c r="K147" s="24" t="str">
        <x:v>N/A</x:v>
      </x:c>
      <x:c r="L147" s="24" t="str">
        <x:v>Source package + repository path + hash</x:v>
      </x:c>
      <x:c r="M147" s="24" t="str">
        <x:v>2f7ea1961f60dfb3656d86656b1249116c3b71461a9756777622de77baf0517b</x:v>
      </x:c>
      <x:c r="N147" s="24" t="str">
        <x:v>Assets/_Project/Audio/SFX/OrderReceived.wav</x:v>
      </x:c>
      <x:c r="O147" s="24" t="str">
        <x:v>8e2b37d1127285ee1cc44a3d0a8a98c4</x:v>
      </x:c>
      <x:c r="P147" s="24" t="str">
        <x:v>Sí</x:v>
      </x:c>
      <x:c r="Q147" s="24" t="str">
        <x:v>Condicionado a autoría/procedencia final</x:v>
      </x:c>
      <x:c r="R147" s="24" t="str">
        <x:v>Solo dentro del producto/build autorizado</x:v>
      </x:c>
      <x:c r="S147" s="24" t="str">
        <x:v>Crédito general del estudio; individual si aplica</x:v>
      </x:c>
      <x:c r="T147" s="24" t="str">
        <x:v>VRM Games / Blas Luis Rocha González</x:v>
      </x:c>
      <x:c r="U147" s="24" t="str">
        <x:v>REPRESENTATIVE / CURRENT</x:v>
      </x:c>
      <x:c r="V147" s="24" t="str">
        <x:v>INTERNAL ONLY / PUBLIC REVIEW</x:v>
      </x:c>
      <x:c r="W147" s="24" t="str">
        <x:v>Parcial</x:v>
      </x:c>
      <x:c r="X147" s="24" t="str">
        <x:v>Medium</x:v>
      </x:c>
      <x:c r="Y147" s="24" t="str">
        <x:v>Internal development; public candidate requires gate</x:v>
      </x:c>
      <x:c r="Z147" s="24" t="str">
        <x:v>H6 legal/content audit</x:v>
      </x:c>
      <x:c r="AA147" s="24" t="str">
        <x:v>VRM Games</x:v>
      </x:c>
      <x:c r="AB147" s="24" t="str">
        <x:v>No se detectó proveedor externo en la ruta; confirmar autoría por lote antes de release público.</x:v>
      </x:c>
    </x:row>
    <x:row r="148" ht="34" customHeight="1">
      <x:c r="A148" s="24" t="str">
        <x:v>INT-0144</x:v>
      </x:c>
      <x:c r="B148" s="24" t="str">
        <x:v>ee743d39450d02dbca20e8ce90864804</x:v>
      </x:c>
      <x:c r="C148" s="24" t="str">
        <x:v>PlacementInvalid.wav</x:v>
      </x:c>
      <x:c r="D148" s="24" t="str">
        <x:v>Audio</x:v>
      </x:c>
      <x:c r="E148" s="24" t="str">
        <x:v>SFX</x:v>
      </x:c>
      <x:c r="F148" s="24" t="str">
        <x:v>VRM Games / Blas Luis Rocha González</x:v>
      </x:c>
      <x:c r="G148" s="24" t="str">
        <x:v>VRM Games / Blas Luis Rocha González</x:v>
      </x:c>
      <x:c r="H148" s="24" t="str">
        <x:v>Internal project production</x:v>
      </x:c>
      <x:c r="I148" s="24" t="str">
        <x:v>2026 project timeline</x:v>
      </x:c>
      <x:c r="J148" s="24" t="str">
        <x:v>Internal project IP / authorship claim</x:v>
      </x:c>
      <x:c r="K148" s="24" t="str">
        <x:v>N/A</x:v>
      </x:c>
      <x:c r="L148" s="24" t="str">
        <x:v>Source package + repository path + hash</x:v>
      </x:c>
      <x:c r="M148" s="24" t="str">
        <x:v>93fea3a564062cd9488922b3f079c9d18fb6bba2d0200bef2b4e5c28610a9b58</x:v>
      </x:c>
      <x:c r="N148" s="24" t="str">
        <x:v>Assets/_Project/Audio/SFX/PlacementInvalid.wav</x:v>
      </x:c>
      <x:c r="O148" s="24" t="str">
        <x:v>ee743d39450d02dbca20e8ce90864804</x:v>
      </x:c>
      <x:c r="P148" s="24" t="str">
        <x:v>Sí</x:v>
      </x:c>
      <x:c r="Q148" s="24" t="str">
        <x:v>Condicionado a autoría/procedencia final</x:v>
      </x:c>
      <x:c r="R148" s="24" t="str">
        <x:v>Solo dentro del producto/build autorizado</x:v>
      </x:c>
      <x:c r="S148" s="24" t="str">
        <x:v>Crédito general del estudio; individual si aplica</x:v>
      </x:c>
      <x:c r="T148" s="24" t="str">
        <x:v>VRM Games / Blas Luis Rocha González</x:v>
      </x:c>
      <x:c r="U148" s="24" t="str">
        <x:v>REPRESENTATIVE / CURRENT</x:v>
      </x:c>
      <x:c r="V148" s="24" t="str">
        <x:v>INTERNAL ONLY / PUBLIC REVIEW</x:v>
      </x:c>
      <x:c r="W148" s="24" t="str">
        <x:v>Parcial</x:v>
      </x:c>
      <x:c r="X148" s="24" t="str">
        <x:v>Medium</x:v>
      </x:c>
      <x:c r="Y148" s="24" t="str">
        <x:v>Internal development; public candidate requires gate</x:v>
      </x:c>
      <x:c r="Z148" s="24" t="str">
        <x:v>H6 legal/content audit</x:v>
      </x:c>
      <x:c r="AA148" s="24" t="str">
        <x:v>VRM Games</x:v>
      </x:c>
      <x:c r="AB148" s="24" t="str">
        <x:v>No se detectó proveedor externo en la ruta; confirmar autoría por lote antes de release público.</x:v>
      </x:c>
    </x:row>
    <x:row r="149" ht="34" customHeight="1">
      <x:c r="A149" s="24" t="str">
        <x:v>INT-0145</x:v>
      </x:c>
      <x:c r="B149" s="24" t="str">
        <x:v>7481deec07256d3dfc630e4a8f73719e</x:v>
      </x:c>
      <x:c r="C149" s="24" t="str">
        <x:v>PlacementValid.wav</x:v>
      </x:c>
      <x:c r="D149" s="24" t="str">
        <x:v>Audio</x:v>
      </x:c>
      <x:c r="E149" s="24" t="str">
        <x:v>SFX</x:v>
      </x:c>
      <x:c r="F149" s="24" t="str">
        <x:v>VRM Games / Blas Luis Rocha González</x:v>
      </x:c>
      <x:c r="G149" s="24" t="str">
        <x:v>VRM Games / Blas Luis Rocha González</x:v>
      </x:c>
      <x:c r="H149" s="24" t="str">
        <x:v>Internal project production</x:v>
      </x:c>
      <x:c r="I149" s="24" t="str">
        <x:v>2026 project timeline</x:v>
      </x:c>
      <x:c r="J149" s="24" t="str">
        <x:v>Internal project IP / authorship claim</x:v>
      </x:c>
      <x:c r="K149" s="24" t="str">
        <x:v>N/A</x:v>
      </x:c>
      <x:c r="L149" s="24" t="str">
        <x:v>Source package + repository path + hash</x:v>
      </x:c>
      <x:c r="M149" s="24" t="str">
        <x:v>65e6ea5eb176a8f2953abb4f37c2b472899471f404a51407dfd0a7fa4f68224b</x:v>
      </x:c>
      <x:c r="N149" s="24" t="str">
        <x:v>Assets/_Project/Audio/SFX/PlacementValid.wav</x:v>
      </x:c>
      <x:c r="O149" s="24" t="str">
        <x:v>7481deec07256d3dfc630e4a8f73719e</x:v>
      </x:c>
      <x:c r="P149" s="24" t="str">
        <x:v>Sí</x:v>
      </x:c>
      <x:c r="Q149" s="24" t="str">
        <x:v>Condicionado a autoría/procedencia final</x:v>
      </x:c>
      <x:c r="R149" s="24" t="str">
        <x:v>Solo dentro del producto/build autorizado</x:v>
      </x:c>
      <x:c r="S149" s="24" t="str">
        <x:v>Crédito general del estudio; individual si aplica</x:v>
      </x:c>
      <x:c r="T149" s="24" t="str">
        <x:v>VRM Games / Blas Luis Rocha González</x:v>
      </x:c>
      <x:c r="U149" s="24" t="str">
        <x:v>REPRESENTATIVE / CURRENT</x:v>
      </x:c>
      <x:c r="V149" s="24" t="str">
        <x:v>INTERNAL ONLY / PUBLIC REVIEW</x:v>
      </x:c>
      <x:c r="W149" s="24" t="str">
        <x:v>Parcial</x:v>
      </x:c>
      <x:c r="X149" s="24" t="str">
        <x:v>Medium</x:v>
      </x:c>
      <x:c r="Y149" s="24" t="str">
        <x:v>Internal development; public candidate requires gate</x:v>
      </x:c>
      <x:c r="Z149" s="24" t="str">
        <x:v>H6 legal/content audit</x:v>
      </x:c>
      <x:c r="AA149" s="24" t="str">
        <x:v>VRM Games</x:v>
      </x:c>
      <x:c r="AB149" s="24" t="str">
        <x:v>No se detectó proveedor externo en la ruta; confirmar autoría por lote antes de release público.</x:v>
      </x:c>
    </x:row>
    <x:row r="150" ht="34" customHeight="1">
      <x:c r="A150" s="24" t="str">
        <x:v>INT-0146</x:v>
      </x:c>
      <x:c r="B150" s="24" t="str">
        <x:v>d9bc385fea51b0ff5f60db1d28fe4650</x:v>
      </x:c>
      <x:c r="C150" s="24" t="str">
        <x:v>UiConfirm.wav</x:v>
      </x:c>
      <x:c r="D150" s="24" t="str">
        <x:v>Audio</x:v>
      </x:c>
      <x:c r="E150" s="24" t="str">
        <x:v>UI</x:v>
      </x:c>
      <x:c r="F150" s="24" t="str">
        <x:v>VRM Games / Blas Luis Rocha González</x:v>
      </x:c>
      <x:c r="G150" s="24" t="str">
        <x:v>VRM Games / Blas Luis Rocha González</x:v>
      </x:c>
      <x:c r="H150" s="24" t="str">
        <x:v>Internal project production</x:v>
      </x:c>
      <x:c r="I150" s="24" t="str">
        <x:v>2026 project timeline</x:v>
      </x:c>
      <x:c r="J150" s="24" t="str">
        <x:v>Internal project IP / authorship claim</x:v>
      </x:c>
      <x:c r="K150" s="24" t="str">
        <x:v>N/A</x:v>
      </x:c>
      <x:c r="L150" s="24" t="str">
        <x:v>Source package + repository path + hash</x:v>
      </x:c>
      <x:c r="M150" s="24" t="str">
        <x:v>7ffea9f36d9c6b6f76941ac5ba8196b8a51b71cc0175d1b888e82e0305296c03</x:v>
      </x:c>
      <x:c r="N150" s="24" t="str">
        <x:v>Assets/_Project/Audio/UI/UiConfirm.wav</x:v>
      </x:c>
      <x:c r="O150" s="24" t="str">
        <x:v>d9bc385fea51b0ff5f60db1d28fe4650</x:v>
      </x:c>
      <x:c r="P150" s="24" t="str">
        <x:v>Sí</x:v>
      </x:c>
      <x:c r="Q150" s="24" t="str">
        <x:v>Condicionado a autoría/procedencia final</x:v>
      </x:c>
      <x:c r="R150" s="24" t="str">
        <x:v>Solo dentro del producto/build autorizado</x:v>
      </x:c>
      <x:c r="S150" s="24" t="str">
        <x:v>Crédito general del estudio; individual si aplica</x:v>
      </x:c>
      <x:c r="T150" s="24" t="str">
        <x:v>VRM Games / Blas Luis Rocha González</x:v>
      </x:c>
      <x:c r="U150" s="24" t="str">
        <x:v>REPRESENTATIVE / CURRENT</x:v>
      </x:c>
      <x:c r="V150" s="24" t="str">
        <x:v>INTERNAL ONLY / PUBLIC REVIEW</x:v>
      </x:c>
      <x:c r="W150" s="24" t="str">
        <x:v>Parcial</x:v>
      </x:c>
      <x:c r="X150" s="24" t="str">
        <x:v>Medium</x:v>
      </x:c>
      <x:c r="Y150" s="24" t="str">
        <x:v>Internal development; public candidate requires gate</x:v>
      </x:c>
      <x:c r="Z150" s="24" t="str">
        <x:v>H6 legal/content audit</x:v>
      </x:c>
      <x:c r="AA150" s="24" t="str">
        <x:v>VRM Games</x:v>
      </x:c>
      <x:c r="AB150" s="24" t="str">
        <x:v>No se detectó proveedor externo en la ruta; confirmar autoría por lote antes de release público.</x:v>
      </x:c>
    </x:row>
    <x:row r="151" ht="34" customHeight="1">
      <x:c r="A151" s="24" t="str">
        <x:v>INT-0147</x:v>
      </x:c>
      <x:c r="B151" s="24" t="str">
        <x:v>b2633481fff90cc387bf1bf6d7429bc1</x:v>
      </x:c>
      <x:c r="C151" s="24" t="str">
        <x:v>UiError.wav</x:v>
      </x:c>
      <x:c r="D151" s="24" t="str">
        <x:v>Audio</x:v>
      </x:c>
      <x:c r="E151" s="24" t="str">
        <x:v>UI</x:v>
      </x:c>
      <x:c r="F151" s="24" t="str">
        <x:v>VRM Games / Blas Luis Rocha González</x:v>
      </x:c>
      <x:c r="G151" s="24" t="str">
        <x:v>VRM Games / Blas Luis Rocha González</x:v>
      </x:c>
      <x:c r="H151" s="24" t="str">
        <x:v>Internal project production</x:v>
      </x:c>
      <x:c r="I151" s="24" t="str">
        <x:v>2026 project timeline</x:v>
      </x:c>
      <x:c r="J151" s="24" t="str">
        <x:v>Internal project IP / authorship claim</x:v>
      </x:c>
      <x:c r="K151" s="24" t="str">
        <x:v>N/A</x:v>
      </x:c>
      <x:c r="L151" s="24" t="str">
        <x:v>Source package + repository path + hash</x:v>
      </x:c>
      <x:c r="M151" s="24" t="str">
        <x:v>e11141e228dc3d95422b0609d0e271cf562eb43a465d6bf4680d69e7ecb3ba96</x:v>
      </x:c>
      <x:c r="N151" s="24" t="str">
        <x:v>Assets/_Project/Audio/UI/UiError.wav</x:v>
      </x:c>
      <x:c r="O151" s="24" t="str">
        <x:v>b2633481fff90cc387bf1bf6d7429bc1</x:v>
      </x:c>
      <x:c r="P151" s="24" t="str">
        <x:v>Sí</x:v>
      </x:c>
      <x:c r="Q151" s="24" t="str">
        <x:v>Condicionado a autoría/procedencia final</x:v>
      </x:c>
      <x:c r="R151" s="24" t="str">
        <x:v>Solo dentro del producto/build autorizado</x:v>
      </x:c>
      <x:c r="S151" s="24" t="str">
        <x:v>Crédito general del estudio; individual si aplica</x:v>
      </x:c>
      <x:c r="T151" s="24" t="str">
        <x:v>VRM Games / Blas Luis Rocha González</x:v>
      </x:c>
      <x:c r="U151" s="24" t="str">
        <x:v>REPRESENTATIVE / CURRENT</x:v>
      </x:c>
      <x:c r="V151" s="24" t="str">
        <x:v>INTERNAL ONLY / PUBLIC REVIEW</x:v>
      </x:c>
      <x:c r="W151" s="24" t="str">
        <x:v>Parcial</x:v>
      </x:c>
      <x:c r="X151" s="24" t="str">
        <x:v>Medium</x:v>
      </x:c>
      <x:c r="Y151" s="24" t="str">
        <x:v>Internal development; public candidate requires gate</x:v>
      </x:c>
      <x:c r="Z151" s="24" t="str">
        <x:v>H6 legal/content audit</x:v>
      </x:c>
      <x:c r="AA151" s="24" t="str">
        <x:v>VRM Games</x:v>
      </x:c>
      <x:c r="AB151" s="24" t="str">
        <x:v>No se detectó proveedor externo en la ruta; confirmar autoría por lote antes de release público.</x:v>
      </x:c>
    </x:row>
    <x:row r="152" ht="34" customHeight="1">
      <x:c r="A152" s="24" t="str">
        <x:v>INT-0148</x:v>
      </x:c>
      <x:c r="B152" s="24" t="str">
        <x:v>abce973f3500d5704e237a9c1030f3df</x:v>
      </x:c>
      <x:c r="C152" s="24" t="str">
        <x:v>AudioCatalog.asset</x:v>
      </x:c>
      <x:c r="D152" s="24" t="str">
        <x:v>Unity data asset</x:v>
      </x:c>
      <x:c r="E152" s="24" t="str">
        <x:v>Catalogs</x:v>
      </x:c>
      <x:c r="F152" s="24" t="str">
        <x:v>VRM Games / Blas Luis Rocha González</x:v>
      </x:c>
      <x:c r="G152" s="24" t="str">
        <x:v>VRM Games / Blas Luis Rocha González</x:v>
      </x:c>
      <x:c r="H152" s="24" t="str">
        <x:v>Internal project production</x:v>
      </x:c>
      <x:c r="I152" s="24" t="str">
        <x:v>2026 project timeline</x:v>
      </x:c>
      <x:c r="J152" s="24" t="str">
        <x:v>Internal project IP / authorship claim</x:v>
      </x:c>
      <x:c r="K152" s="24" t="str">
        <x:v>N/A</x:v>
      </x:c>
      <x:c r="L152" s="24" t="str">
        <x:v>Source package + repository path + hash</x:v>
      </x:c>
      <x:c r="M152" s="24" t="str">
        <x:v>e7dcc0563f7809149498cc46c53826b87bcd49de05eef2a4939611134a8847fe</x:v>
      </x:c>
      <x:c r="N152" s="24" t="str">
        <x:v>Assets/_Project/Data/Catalogs/AudioCatalog.asset</x:v>
      </x:c>
      <x:c r="O152" s="24" t="str">
        <x:v>abce973f3500d5704e237a9c1030f3df</x:v>
      </x:c>
      <x:c r="P152" s="24" t="str">
        <x:v>Sí</x:v>
      </x:c>
      <x:c r="Q152" s="24" t="str">
        <x:v>Condicionado a autoría/procedencia final</x:v>
      </x:c>
      <x:c r="R152" s="24" t="str">
        <x:v>Solo dentro del producto/build autorizado</x:v>
      </x:c>
      <x:c r="S152" s="24" t="str">
        <x:v>Crédito general del estudio; individual si aplica</x:v>
      </x:c>
      <x:c r="T152" s="24" t="str">
        <x:v>VRM Games / Blas Luis Rocha González</x:v>
      </x:c>
      <x:c r="U152" s="24" t="str">
        <x:v>CURRENT PROJECT ASSET</x:v>
      </x:c>
      <x:c r="V152" s="24" t="str">
        <x:v>CONDITIONALLY APPROVED</x:v>
      </x:c>
      <x:c r="W152" s="24" t="str">
        <x:v>Sí</x:v>
      </x:c>
      <x:c r="X152" s="24" t="str">
        <x:v>Low</x:v>
      </x:c>
      <x:c r="Y152" s="24" t="str">
        <x:v>Internal development; public candidate requires gate</x:v>
      </x:c>
      <x:c r="Z152" s="24" t="str">
        <x:v>H6 legal/content audit</x:v>
      </x:c>
      <x:c r="AA152" s="24" t="str">
        <x:v>VRM Games</x:v>
      </x:c>
      <x:c r="AB152" s="24" t="str">
        <x:v>No se detectó proveedor externo en la ruta; confirmar autoría por lote antes de release público.</x:v>
      </x:c>
    </x:row>
    <x:row r="153" ht="34" customHeight="1">
      <x:c r="A153" s="24" t="str">
        <x:v>INT-0149</x:v>
      </x:c>
      <x:c r="B153" s="24" t="str">
        <x:v>83499b8c0808ba3e4d494a7c1c52a9d2</x:v>
      </x:c>
      <x:c r="C153" s="24" t="str">
        <x:v>ContentCatalog.asset</x:v>
      </x:c>
      <x:c r="D153" s="24" t="str">
        <x:v>Unity data asset</x:v>
      </x:c>
      <x:c r="E153" s="24" t="str">
        <x:v>Catalogs</x:v>
      </x:c>
      <x:c r="F153" s="24" t="str">
        <x:v>VRM Games / Blas Luis Rocha González</x:v>
      </x:c>
      <x:c r="G153" s="24" t="str">
        <x:v>VRM Games / Blas Luis Rocha González</x:v>
      </x:c>
      <x:c r="H153" s="24" t="str">
        <x:v>Internal project production</x:v>
      </x:c>
      <x:c r="I153" s="24" t="str">
        <x:v>2026 project timeline</x:v>
      </x:c>
      <x:c r="J153" s="24" t="str">
        <x:v>Internal project IP / authorship claim</x:v>
      </x:c>
      <x:c r="K153" s="24" t="str">
        <x:v>N/A</x:v>
      </x:c>
      <x:c r="L153" s="24" t="str">
        <x:v>Source package + repository path + hash</x:v>
      </x:c>
      <x:c r="M153" s="24" t="str">
        <x:v>5f4e477f62b29dd4a39a6a2549b15249aa15885dbcac99e0fd320ab865081daf</x:v>
      </x:c>
      <x:c r="N153" s="24" t="str">
        <x:v>Assets/_Project/Data/Catalogs/ContentCatalog.asset</x:v>
      </x:c>
      <x:c r="O153" s="24" t="str">
        <x:v>83499b8c0808ba3e4d494a7c1c52a9d2</x:v>
      </x:c>
      <x:c r="P153" s="24" t="str">
        <x:v>Sí</x:v>
      </x:c>
      <x:c r="Q153" s="24" t="str">
        <x:v>Condicionado a autoría/procedencia final</x:v>
      </x:c>
      <x:c r="R153" s="24" t="str">
        <x:v>Solo dentro del producto/build autorizado</x:v>
      </x:c>
      <x:c r="S153" s="24" t="str">
        <x:v>Crédito general del estudio; individual si aplica</x:v>
      </x:c>
      <x:c r="T153" s="24" t="str">
        <x:v>VRM Games / Blas Luis Rocha González</x:v>
      </x:c>
      <x:c r="U153" s="24" t="str">
        <x:v>CURRENT PROJECT ASSET</x:v>
      </x:c>
      <x:c r="V153" s="24" t="str">
        <x:v>CONDITIONALLY APPROVED</x:v>
      </x:c>
      <x:c r="W153" s="24" t="str">
        <x:v>Sí</x:v>
      </x:c>
      <x:c r="X153" s="24" t="str">
        <x:v>Low</x:v>
      </x:c>
      <x:c r="Y153" s="24" t="str">
        <x:v>Internal development; public candidate requires gate</x:v>
      </x:c>
      <x:c r="Z153" s="24" t="str">
        <x:v>H6 legal/content audit</x:v>
      </x:c>
      <x:c r="AA153" s="24" t="str">
        <x:v>VRM Games</x:v>
      </x:c>
      <x:c r="AB153" s="24" t="str">
        <x:v>No se detectó proveedor externo en la ruta; confirmar autoría por lote antes de release público.</x:v>
      </x:c>
    </x:row>
    <x:row r="154" ht="34" customHeight="1">
      <x:c r="A154" s="24" t="str">
        <x:v>INT-0150</x:v>
      </x:c>
      <x:c r="B154" s="24" t="str">
        <x:v>a20e0b0558be3f1d3d781b49cfc99403</x:v>
      </x:c>
      <x:c r="C154" s="24" t="str">
        <x:v>MaterialPalette.asset</x:v>
      </x:c>
      <x:c r="D154" s="24" t="str">
        <x:v>Unity data asset</x:v>
      </x:c>
      <x:c r="E154" s="24" t="str">
        <x:v>Catalogs</x:v>
      </x:c>
      <x:c r="F154" s="24" t="str">
        <x:v>VRM Games / Blas Luis Rocha González</x:v>
      </x:c>
      <x:c r="G154" s="24" t="str">
        <x:v>VRM Games / Blas Luis Rocha González</x:v>
      </x:c>
      <x:c r="H154" s="24" t="str">
        <x:v>Internal project production</x:v>
      </x:c>
      <x:c r="I154" s="24" t="str">
        <x:v>2026 project timeline</x:v>
      </x:c>
      <x:c r="J154" s="24" t="str">
        <x:v>Internal project IP / authorship claim</x:v>
      </x:c>
      <x:c r="K154" s="24" t="str">
        <x:v>N/A</x:v>
      </x:c>
      <x:c r="L154" s="24" t="str">
        <x:v>Source package + repository path + hash</x:v>
      </x:c>
      <x:c r="M154" s="24" t="str">
        <x:v>d8f2928e280eabb39006f87d177c85ba28fca1a35c1fabacbb52b624e3111c2c</x:v>
      </x:c>
      <x:c r="N154" s="24" t="str">
        <x:v>Assets/_Project/Data/Catalogs/MaterialPalette.asset</x:v>
      </x:c>
      <x:c r="O154" s="24" t="str">
        <x:v>a20e0b0558be3f1d3d781b49cfc99403</x:v>
      </x:c>
      <x:c r="P154" s="24" t="str">
        <x:v>Sí</x:v>
      </x:c>
      <x:c r="Q154" s="24" t="str">
        <x:v>Condicionado a autoría/procedencia final</x:v>
      </x:c>
      <x:c r="R154" s="24" t="str">
        <x:v>Solo dentro del producto/build autorizado</x:v>
      </x:c>
      <x:c r="S154" s="24" t="str">
        <x:v>Crédito general del estudio; individual si aplica</x:v>
      </x:c>
      <x:c r="T154" s="24" t="str">
        <x:v>VRM Games / Blas Luis Rocha González</x:v>
      </x:c>
      <x:c r="U154" s="24" t="str">
        <x:v>CURRENT PROJECT ASSET</x:v>
      </x:c>
      <x:c r="V154" s="24" t="str">
        <x:v>CONDITIONALLY APPROVED</x:v>
      </x:c>
      <x:c r="W154" s="24" t="str">
        <x:v>Sí</x:v>
      </x:c>
      <x:c r="X154" s="24" t="str">
        <x:v>Low</x:v>
      </x:c>
      <x:c r="Y154" s="24" t="str">
        <x:v>Internal development; public candidate requires gate</x:v>
      </x:c>
      <x:c r="Z154" s="24" t="str">
        <x:v>H6 legal/content audit</x:v>
      </x:c>
      <x:c r="AA154" s="24" t="str">
        <x:v>VRM Games</x:v>
      </x:c>
      <x:c r="AB154" s="24" t="str">
        <x:v>No se detectó proveedor externo en la ruta; confirmar autoría por lote antes de release público.</x:v>
      </x:c>
    </x:row>
    <x:row r="155" ht="34" customHeight="1">
      <x:c r="A155" s="24" t="str">
        <x:v>INT-0151</x:v>
      </x:c>
      <x:c r="B155" s="24" t="str">
        <x:v>0c42349cfba6aa4db3c45d877eba589e</x:v>
      </x:c>
      <x:c r="C155" s="24" t="str">
        <x:v>PresentationCatalog.asset</x:v>
      </x:c>
      <x:c r="D155" s="24" t="str">
        <x:v>Unity data asset</x:v>
      </x:c>
      <x:c r="E155" s="24" t="str">
        <x:v>Catalogs</x:v>
      </x:c>
      <x:c r="F155" s="24" t="str">
        <x:v>VRM Games / Blas Luis Rocha González</x:v>
      </x:c>
      <x:c r="G155" s="24" t="str">
        <x:v>VRM Games / Blas Luis Rocha González</x:v>
      </x:c>
      <x:c r="H155" s="24" t="str">
        <x:v>Internal project production</x:v>
      </x:c>
      <x:c r="I155" s="24" t="str">
        <x:v>2026 project timeline</x:v>
      </x:c>
      <x:c r="J155" s="24" t="str">
        <x:v>Internal project IP / authorship claim</x:v>
      </x:c>
      <x:c r="K155" s="24" t="str">
        <x:v>N/A</x:v>
      </x:c>
      <x:c r="L155" s="24" t="str">
        <x:v>Source package + repository path + hash</x:v>
      </x:c>
      <x:c r="M155" s="24" t="str">
        <x:v>268f22b00c73fecadeb4d8d0e37e0bbbeb271067a4ce777cc7466b74a3dadf06</x:v>
      </x:c>
      <x:c r="N155" s="24" t="str">
        <x:v>Assets/_Project/Data/Catalogs/PresentationCatalog.asset</x:v>
      </x:c>
      <x:c r="O155" s="24" t="str">
        <x:v>0c42349cfba6aa4db3c45d877eba589e</x:v>
      </x:c>
      <x:c r="P155" s="24" t="str">
        <x:v>Sí</x:v>
      </x:c>
      <x:c r="Q155" s="24" t="str">
        <x:v>Condicionado a autoría/procedencia final</x:v>
      </x:c>
      <x:c r="R155" s="24" t="str">
        <x:v>Solo dentro del producto/build autorizado</x:v>
      </x:c>
      <x:c r="S155" s="24" t="str">
        <x:v>Crédito general del estudio; individual si aplica</x:v>
      </x:c>
      <x:c r="T155" s="24" t="str">
        <x:v>VRM Games / Blas Luis Rocha González</x:v>
      </x:c>
      <x:c r="U155" s="24" t="str">
        <x:v>CURRENT PROJECT ASSET</x:v>
      </x:c>
      <x:c r="V155" s="24" t="str">
        <x:v>CONDITIONALLY APPROVED</x:v>
      </x:c>
      <x:c r="W155" s="24" t="str">
        <x:v>Sí</x:v>
      </x:c>
      <x:c r="X155" s="24" t="str">
        <x:v>Low</x:v>
      </x:c>
      <x:c r="Y155" s="24" t="str">
        <x:v>Internal development; public candidate requires gate</x:v>
      </x:c>
      <x:c r="Z155" s="24" t="str">
        <x:v>H6 legal/content audit</x:v>
      </x:c>
      <x:c r="AA155" s="24" t="str">
        <x:v>VRM Games</x:v>
      </x:c>
      <x:c r="AB155" s="24" t="str">
        <x:v>No se detectó proveedor externo en la ruta; confirmar autoría por lote antes de release público.</x:v>
      </x:c>
    </x:row>
    <x:row r="156" ht="34" customHeight="1">
      <x:c r="A156" s="24" t="str">
        <x:v>INT-0152</x:v>
      </x:c>
      <x:c r="B156" s="24" t="str">
        <x:v>17c4e5c5ea042bd4dbf99c493a2a9298</x:v>
      </x:c>
      <x:c r="C156" s="24" t="str">
        <x:v>RepresentativePrefabCatalog.asset</x:v>
      </x:c>
      <x:c r="D156" s="24" t="str">
        <x:v>Unity data asset</x:v>
      </x:c>
      <x:c r="E156" s="24" t="str">
        <x:v>Catalogs</x:v>
      </x:c>
      <x:c r="F156" s="24" t="str">
        <x:v>VRM Games / Blas Luis Rocha González</x:v>
      </x:c>
      <x:c r="G156" s="24" t="str">
        <x:v>VRM Games / Blas Luis Rocha González</x:v>
      </x:c>
      <x:c r="H156" s="24" t="str">
        <x:v>Internal project production</x:v>
      </x:c>
      <x:c r="I156" s="24" t="str">
        <x:v>2026 project timeline</x:v>
      </x:c>
      <x:c r="J156" s="24" t="str">
        <x:v>Internal project IP / authorship claim</x:v>
      </x:c>
      <x:c r="K156" s="24" t="str">
        <x:v>N/A</x:v>
      </x:c>
      <x:c r="L156" s="24" t="str">
        <x:v>Source package + repository path + hash</x:v>
      </x:c>
      <x:c r="M156" s="24" t="str">
        <x:v>d699a654b81b8028f9c8b78b99c09fd7760a783a9650e36462246e49b141637d</x:v>
      </x:c>
      <x:c r="N156" s="24" t="str">
        <x:v>Assets/_Project/Data/Catalogs/RepresentativePrefabCatalog.asset</x:v>
      </x:c>
      <x:c r="O156" s="24" t="str">
        <x:v>17c4e5c5ea042bd4dbf99c493a2a9298</x:v>
      </x:c>
      <x:c r="P156" s="24" t="str">
        <x:v>Sí</x:v>
      </x:c>
      <x:c r="Q156" s="24" t="str">
        <x:v>Condicionado a autoría/procedencia final</x:v>
      </x:c>
      <x:c r="R156" s="24" t="str">
        <x:v>Solo dentro del producto/build autorizado</x:v>
      </x:c>
      <x:c r="S156" s="24" t="str">
        <x:v>Crédito general del estudio; individual si aplica</x:v>
      </x:c>
      <x:c r="T156" s="24" t="str">
        <x:v>VRM Games / Blas Luis Rocha González</x:v>
      </x:c>
      <x:c r="U156" s="24" t="str">
        <x:v>CURRENT PROJECT ASSET</x:v>
      </x:c>
      <x:c r="V156" s="24" t="str">
        <x:v>CONDITIONALLY APPROVED</x:v>
      </x:c>
      <x:c r="W156" s="24" t="str">
        <x:v>Sí</x:v>
      </x:c>
      <x:c r="X156" s="24" t="str">
        <x:v>Low</x:v>
      </x:c>
      <x:c r="Y156" s="24" t="str">
        <x:v>Internal development; public candidate requires gate</x:v>
      </x:c>
      <x:c r="Z156" s="24" t="str">
        <x:v>H6 legal/content audit</x:v>
      </x:c>
      <x:c r="AA156" s="24" t="str">
        <x:v>VRM Games</x:v>
      </x:c>
      <x:c r="AB156" s="24" t="str">
        <x:v>No se detectó proveedor externo en la ruta; confirmar autoría por lote antes de release público.</x:v>
      </x:c>
    </x:row>
    <x:row r="157" ht="34" customHeight="1">
      <x:c r="A157" s="24" t="str">
        <x:v>INT-0153</x:v>
      </x:c>
      <x:c r="B157" s="24" t="str">
        <x:v>385ca15f42f547e9af5c27a28dbbd1b3</x:v>
      </x:c>
      <x:c r="C157" s="24" t="str">
        <x:v>CC_CheckoutSettings_Technical.asset</x:v>
      </x:c>
      <x:c r="D157" s="24" t="str">
        <x:v>Unity data asset</x:v>
      </x:c>
      <x:c r="E157" s="24" t="str">
        <x:v>Checkout</x:v>
      </x:c>
      <x:c r="F157" s="24" t="str">
        <x:v>VRM Games / Blas Luis Rocha González</x:v>
      </x:c>
      <x:c r="G157" s="24" t="str">
        <x:v>VRM Games / Blas Luis Rocha González</x:v>
      </x:c>
      <x:c r="H157" s="24" t="str">
        <x:v>Internal project production</x:v>
      </x:c>
      <x:c r="I157" s="24" t="str">
        <x:v>2026 project timeline</x:v>
      </x:c>
      <x:c r="J157" s="24" t="str">
        <x:v>Internal project IP / authorship claim</x:v>
      </x:c>
      <x:c r="K157" s="24" t="str">
        <x:v>N/A</x:v>
      </x:c>
      <x:c r="L157" s="24" t="str">
        <x:v>Source package + repository path + hash</x:v>
      </x:c>
      <x:c r="M157" s="24" t="str">
        <x:v>63333c777b727886ee96fafbb5566e503b59f2fb5c3d83e80dcbe50ae27b567a</x:v>
      </x:c>
      <x:c r="N157" s="24" t="str">
        <x:v>Assets/_Project/Data/Checkout/Technical/CC_CheckoutSettings_Technical.asset</x:v>
      </x:c>
      <x:c r="O157" s="24" t="str">
        <x:v>385ca15f42f547e9af5c27a28dbbd1b3</x:v>
      </x:c>
      <x:c r="P157" s="24" t="str">
        <x:v>Sí</x:v>
      </x:c>
      <x:c r="Q157" s="24" t="str">
        <x:v>Condicionado a autoría/procedencia final</x:v>
      </x:c>
      <x:c r="R157" s="24" t="str">
        <x:v>Solo dentro del producto/build autorizado</x:v>
      </x:c>
      <x:c r="S157" s="24" t="str">
        <x:v>Crédito general del estudio; individual si aplica</x:v>
      </x:c>
      <x:c r="T157" s="24" t="str">
        <x:v>VRM Games / Blas Luis Rocha González</x:v>
      </x:c>
      <x:c r="U157" s="24" t="str">
        <x:v>CURRENT PROJECT ASSET</x:v>
      </x:c>
      <x:c r="V157" s="24" t="str">
        <x:v>CONDITIONALLY APPROVED</x:v>
      </x:c>
      <x:c r="W157" s="24" t="str">
        <x:v>Sí</x:v>
      </x:c>
      <x:c r="X157" s="24" t="str">
        <x:v>Low</x:v>
      </x:c>
      <x:c r="Y157" s="24" t="str">
        <x:v>Internal development; public candidate requires gate</x:v>
      </x:c>
      <x:c r="Z157" s="24" t="str">
        <x:v>H6 legal/content audit</x:v>
      </x:c>
      <x:c r="AA157" s="24" t="str">
        <x:v>VRM Games</x:v>
      </x:c>
      <x:c r="AB157" s="24" t="str">
        <x:v>No se detectó proveedor externo en la ruta; confirmar autoría por lote antes de release público.</x:v>
      </x:c>
    </x:row>
    <x:row r="158" ht="34" customHeight="1">
      <x:c r="A158" s="24" t="str">
        <x:v>INT-0154</x:v>
      </x:c>
      <x:c r="B158" s="24" t="str">
        <x:v>98e635ed7fa645eb9e7cac002784342d</x:v>
      </x:c>
      <x:c r="C158" s="24" t="str">
        <x:v>CC_CustomerProfileCatalog_Technical.asset</x:v>
      </x:c>
      <x:c r="D158" s="24" t="str">
        <x:v>Unity data asset</x:v>
      </x:c>
      <x:c r="E158" s="24" t="str">
        <x:v>Customers</x:v>
      </x:c>
      <x:c r="F158" s="24" t="str">
        <x:v>VRM Games / Blas Luis Rocha González</x:v>
      </x:c>
      <x:c r="G158" s="24" t="str">
        <x:v>VRM Games / Blas Luis Rocha González</x:v>
      </x:c>
      <x:c r="H158" s="24" t="str">
        <x:v>Internal project production</x:v>
      </x:c>
      <x:c r="I158" s="24" t="str">
        <x:v>2026 project timeline</x:v>
      </x:c>
      <x:c r="J158" s="24" t="str">
        <x:v>Internal project IP / authorship claim</x:v>
      </x:c>
      <x:c r="K158" s="24" t="str">
        <x:v>N/A</x:v>
      </x:c>
      <x:c r="L158" s="24" t="str">
        <x:v>Source package + repository path + hash</x:v>
      </x:c>
      <x:c r="M158" s="24" t="str">
        <x:v>2c21cf947a470f9508adca854453f4b6a3dd47244c44bc64b0df59837432f1c6</x:v>
      </x:c>
      <x:c r="N158" s="24" t="str">
        <x:v>Assets/_Project/Data/Customers/Technical/CC_CustomerProfileCatalog_Technical.asset</x:v>
      </x:c>
      <x:c r="O158" s="24" t="str">
        <x:v>98e635ed7fa645eb9e7cac002784342d</x:v>
      </x:c>
      <x:c r="P158" s="24" t="str">
        <x:v>Sí</x:v>
      </x:c>
      <x:c r="Q158" s="24" t="str">
        <x:v>Condicionado a autoría/procedencia final</x:v>
      </x:c>
      <x:c r="R158" s="24" t="str">
        <x:v>Solo dentro del producto/build autorizado</x:v>
      </x:c>
      <x:c r="S158" s="24" t="str">
        <x:v>Crédito general del estudio; individual si aplica</x:v>
      </x:c>
      <x:c r="T158" s="24" t="str">
        <x:v>VRM Games / Blas Luis Rocha González</x:v>
      </x:c>
      <x:c r="U158" s="24" t="str">
        <x:v>CURRENT PROJECT ASSET</x:v>
      </x:c>
      <x:c r="V158" s="24" t="str">
        <x:v>CONDITIONALLY APPROVED</x:v>
      </x:c>
      <x:c r="W158" s="24" t="str">
        <x:v>Sí</x:v>
      </x:c>
      <x:c r="X158" s="24" t="str">
        <x:v>Low</x:v>
      </x:c>
      <x:c r="Y158" s="24" t="str">
        <x:v>Internal development; public candidate requires gate</x:v>
      </x:c>
      <x:c r="Z158" s="24" t="str">
        <x:v>H6 legal/content audit</x:v>
      </x:c>
      <x:c r="AA158" s="24" t="str">
        <x:v>VRM Games</x:v>
      </x:c>
      <x:c r="AB158" s="24" t="str">
        <x:v>No se detectó proveedor externo en la ruta; confirmar autoría por lote antes de release público.</x:v>
      </x:c>
    </x:row>
    <x:row r="159" ht="34" customHeight="1">
      <x:c r="A159" s="24" t="str">
        <x:v>INT-0155</x:v>
      </x:c>
      <x:c r="B159" s="24" t="str">
        <x:v>e5261bc6a55b4ea59352e5f66b46bc29</x:v>
      </x:c>
      <x:c r="C159" s="24" t="str">
        <x:v>CC_CustomerProfile_CasualBrowser.asset</x:v>
      </x:c>
      <x:c r="D159" s="24" t="str">
        <x:v>Unity data asset</x:v>
      </x:c>
      <x:c r="E159" s="24" t="str">
        <x:v>Customers</x:v>
      </x:c>
      <x:c r="F159" s="24" t="str">
        <x:v>VRM Games / Blas Luis Rocha González</x:v>
      </x:c>
      <x:c r="G159" s="24" t="str">
        <x:v>VRM Games / Blas Luis Rocha González</x:v>
      </x:c>
      <x:c r="H159" s="24" t="str">
        <x:v>Internal project production</x:v>
      </x:c>
      <x:c r="I159" s="24" t="str">
        <x:v>2026 project timeline</x:v>
      </x:c>
      <x:c r="J159" s="24" t="str">
        <x:v>Internal project IP / authorship claim</x:v>
      </x:c>
      <x:c r="K159" s="24" t="str">
        <x:v>N/A</x:v>
      </x:c>
      <x:c r="L159" s="24" t="str">
        <x:v>Source package + repository path + hash</x:v>
      </x:c>
      <x:c r="M159" s="24" t="str">
        <x:v>f14b9d6f87df65aa81b7c814c2d6c590c42b54d33ec21186f1fb2fd676d79062</x:v>
      </x:c>
      <x:c r="N159" s="24" t="str">
        <x:v>Assets/_Project/Data/Customers/Technical/CC_CustomerProfile_CasualBrowser.asset</x:v>
      </x:c>
      <x:c r="O159" s="24" t="str">
        <x:v>e5261bc6a55b4ea59352e5f66b46bc29</x:v>
      </x:c>
      <x:c r="P159" s="24" t="str">
        <x:v>Sí</x:v>
      </x:c>
      <x:c r="Q159" s="24" t="str">
        <x:v>Condicionado a autoría/procedencia final</x:v>
      </x:c>
      <x:c r="R159" s="24" t="str">
        <x:v>Solo dentro del producto/build autorizado</x:v>
      </x:c>
      <x:c r="S159" s="24" t="str">
        <x:v>Crédito general del estudio; individual si aplica</x:v>
      </x:c>
      <x:c r="T159" s="24" t="str">
        <x:v>VRM Games / Blas Luis Rocha González</x:v>
      </x:c>
      <x:c r="U159" s="24" t="str">
        <x:v>CURRENT PROJECT ASSET</x:v>
      </x:c>
      <x:c r="V159" s="24" t="str">
        <x:v>CONDITIONALLY APPROVED</x:v>
      </x:c>
      <x:c r="W159" s="24" t="str">
        <x:v>Sí</x:v>
      </x:c>
      <x:c r="X159" s="24" t="str">
        <x:v>Low</x:v>
      </x:c>
      <x:c r="Y159" s="24" t="str">
        <x:v>Internal development; public candidate requires gate</x:v>
      </x:c>
      <x:c r="Z159" s="24" t="str">
        <x:v>H6 legal/content audit</x:v>
      </x:c>
      <x:c r="AA159" s="24" t="str">
        <x:v>VRM Games</x:v>
      </x:c>
      <x:c r="AB159" s="24" t="str">
        <x:v>No se detectó proveedor externo en la ruta; confirmar autoría por lote antes de release público.</x:v>
      </x:c>
    </x:row>
    <x:row r="160" ht="34" customHeight="1">
      <x:c r="A160" s="24" t="str">
        <x:v>INT-0156</x:v>
      </x:c>
      <x:c r="B160" s="24" t="str">
        <x:v>b7f01ec48a7f4583971ef1dc7af1b959</x:v>
      </x:c>
      <x:c r="C160" s="24" t="str">
        <x:v>CC_CustomerProfile_Collector.asset</x:v>
      </x:c>
      <x:c r="D160" s="24" t="str">
        <x:v>Unity data asset</x:v>
      </x:c>
      <x:c r="E160" s="24" t="str">
        <x:v>Customers</x:v>
      </x:c>
      <x:c r="F160" s="24" t="str">
        <x:v>VRM Games / Blas Luis Rocha González</x:v>
      </x:c>
      <x:c r="G160" s="24" t="str">
        <x:v>VRM Games / Blas Luis Rocha González</x:v>
      </x:c>
      <x:c r="H160" s="24" t="str">
        <x:v>Internal project production</x:v>
      </x:c>
      <x:c r="I160" s="24" t="str">
        <x:v>2026 project timeline</x:v>
      </x:c>
      <x:c r="J160" s="24" t="str">
        <x:v>Internal project IP / authorship claim</x:v>
      </x:c>
      <x:c r="K160" s="24" t="str">
        <x:v>N/A</x:v>
      </x:c>
      <x:c r="L160" s="24" t="str">
        <x:v>Source package + repository path + hash</x:v>
      </x:c>
      <x:c r="M160" s="24" t="str">
        <x:v>a610873b55c4bca89ab4b78aebea97edafc06ce7486da50d34fa3d639a21ac96</x:v>
      </x:c>
      <x:c r="N160" s="24" t="str">
        <x:v>Assets/_Project/Data/Customers/Technical/CC_CustomerProfile_Collector.asset</x:v>
      </x:c>
      <x:c r="O160" s="24" t="str">
        <x:v>b7f01ec48a7f4583971ef1dc7af1b959</x:v>
      </x:c>
      <x:c r="P160" s="24" t="str">
        <x:v>Sí</x:v>
      </x:c>
      <x:c r="Q160" s="24" t="str">
        <x:v>Condicionado a autoría/procedencia final</x:v>
      </x:c>
      <x:c r="R160" s="24" t="str">
        <x:v>Solo dentro del producto/build autorizado</x:v>
      </x:c>
      <x:c r="S160" s="24" t="str">
        <x:v>Crédito general del estudio; individual si aplica</x:v>
      </x:c>
      <x:c r="T160" s="24" t="str">
        <x:v>VRM Games / Blas Luis Rocha González</x:v>
      </x:c>
      <x:c r="U160" s="24" t="str">
        <x:v>CURRENT PROJECT ASSET</x:v>
      </x:c>
      <x:c r="V160" s="24" t="str">
        <x:v>CONDITIONALLY APPROVED</x:v>
      </x:c>
      <x:c r="W160" s="24" t="str">
        <x:v>Sí</x:v>
      </x:c>
      <x:c r="X160" s="24" t="str">
        <x:v>Low</x:v>
      </x:c>
      <x:c r="Y160" s="24" t="str">
        <x:v>Internal development; public candidate requires gate</x:v>
      </x:c>
      <x:c r="Z160" s="24" t="str">
        <x:v>H6 legal/content audit</x:v>
      </x:c>
      <x:c r="AA160" s="24" t="str">
        <x:v>VRM Games</x:v>
      </x:c>
      <x:c r="AB160" s="24" t="str">
        <x:v>No se detectó proveedor externo en la ruta; confirmar autoría por lote antes de release público.</x:v>
      </x:c>
    </x:row>
    <x:row r="161" ht="34" customHeight="1">
      <x:c r="A161" s="24" t="str">
        <x:v>INT-0157</x:v>
      </x:c>
      <x:c r="B161" s="24" t="str">
        <x:v>8cf292b4749a4552a94eeee32cd5e324</x:v>
      </x:c>
      <x:c r="C161" s="24" t="str">
        <x:v>CC_CustomerProfile_FocusedBuyer.asset</x:v>
      </x:c>
      <x:c r="D161" s="24" t="str">
        <x:v>Unity data asset</x:v>
      </x:c>
      <x:c r="E161" s="24" t="str">
        <x:v>Customers</x:v>
      </x:c>
      <x:c r="F161" s="24" t="str">
        <x:v>VRM Games / Blas Luis Rocha González</x:v>
      </x:c>
      <x:c r="G161" s="24" t="str">
        <x:v>VRM Games / Blas Luis Rocha González</x:v>
      </x:c>
      <x:c r="H161" s="24" t="str">
        <x:v>Internal project production</x:v>
      </x:c>
      <x:c r="I161" s="24" t="str">
        <x:v>2026 project timeline</x:v>
      </x:c>
      <x:c r="J161" s="24" t="str">
        <x:v>Internal project IP / authorship claim</x:v>
      </x:c>
      <x:c r="K161" s="24" t="str">
        <x:v>N/A</x:v>
      </x:c>
      <x:c r="L161" s="24" t="str">
        <x:v>Source package + repository path + hash</x:v>
      </x:c>
      <x:c r="M161" s="24" t="str">
        <x:v>768e8eaba2511b461e3c46bd0459a3815e003980d2e6fb6f5df0dbe2d78b6c78</x:v>
      </x:c>
      <x:c r="N161" s="24" t="str">
        <x:v>Assets/_Project/Data/Customers/Technical/CC_CustomerProfile_FocusedBuyer.asset</x:v>
      </x:c>
      <x:c r="O161" s="24" t="str">
        <x:v>8cf292b4749a4552a94eeee32cd5e324</x:v>
      </x:c>
      <x:c r="P161" s="24" t="str">
        <x:v>Sí</x:v>
      </x:c>
      <x:c r="Q161" s="24" t="str">
        <x:v>Condicionado a autoría/procedencia final</x:v>
      </x:c>
      <x:c r="R161" s="24" t="str">
        <x:v>Solo dentro del producto/build autorizado</x:v>
      </x:c>
      <x:c r="S161" s="24" t="str">
        <x:v>Crédito general del estudio; individual si aplica</x:v>
      </x:c>
      <x:c r="T161" s="24" t="str">
        <x:v>VRM Games / Blas Luis Rocha González</x:v>
      </x:c>
      <x:c r="U161" s="24" t="str">
        <x:v>CURRENT PROJECT ASSET</x:v>
      </x:c>
      <x:c r="V161" s="24" t="str">
        <x:v>CONDITIONALLY APPROVED</x:v>
      </x:c>
      <x:c r="W161" s="24" t="str">
        <x:v>Sí</x:v>
      </x:c>
      <x:c r="X161" s="24" t="str">
        <x:v>Low</x:v>
      </x:c>
      <x:c r="Y161" s="24" t="str">
        <x:v>Internal development; public candidate requires gate</x:v>
      </x:c>
      <x:c r="Z161" s="24" t="str">
        <x:v>H6 legal/content audit</x:v>
      </x:c>
      <x:c r="AA161" s="24" t="str">
        <x:v>VRM Games</x:v>
      </x:c>
      <x:c r="AB161" s="24" t="str">
        <x:v>No se detectó proveedor externo en la ruta; confirmar autoría por lote antes de release público.</x:v>
      </x:c>
    </x:row>
    <x:row r="162" ht="34" customHeight="1">
      <x:c r="A162" s="24" t="str">
        <x:v>INT-0158</x:v>
      </x:c>
      <x:c r="B162" s="24" t="str">
        <x:v>bce2c4fc2afb44848fb74572ae1a2676</x:v>
      </x:c>
      <x:c r="C162" s="24" t="str">
        <x:v>CC_CustomerProfile_ImpatientVisitor.asset</x:v>
      </x:c>
      <x:c r="D162" s="24" t="str">
        <x:v>Unity data asset</x:v>
      </x:c>
      <x:c r="E162" s="24" t="str">
        <x:v>Customers</x:v>
      </x:c>
      <x:c r="F162" s="24" t="str">
        <x:v>VRM Games / Blas Luis Rocha González</x:v>
      </x:c>
      <x:c r="G162" s="24" t="str">
        <x:v>VRM Games / Blas Luis Rocha González</x:v>
      </x:c>
      <x:c r="H162" s="24" t="str">
        <x:v>Internal project production</x:v>
      </x:c>
      <x:c r="I162" s="24" t="str">
        <x:v>2026 project timeline</x:v>
      </x:c>
      <x:c r="J162" s="24" t="str">
        <x:v>Internal project IP / authorship claim</x:v>
      </x:c>
      <x:c r="K162" s="24" t="str">
        <x:v>N/A</x:v>
      </x:c>
      <x:c r="L162" s="24" t="str">
        <x:v>Source package + repository path + hash</x:v>
      </x:c>
      <x:c r="M162" s="24" t="str">
        <x:v>bf46466f34d3907c5d6229be1a547de10ab7949ebc46ac111404e957af29e0fe</x:v>
      </x:c>
      <x:c r="N162" s="24" t="str">
        <x:v>Assets/_Project/Data/Customers/Technical/CC_CustomerProfile_ImpatientVisitor.asset</x:v>
      </x:c>
      <x:c r="O162" s="24" t="str">
        <x:v>bce2c4fc2afb44848fb74572ae1a2676</x:v>
      </x:c>
      <x:c r="P162" s="24" t="str">
        <x:v>Sí</x:v>
      </x:c>
      <x:c r="Q162" s="24" t="str">
        <x:v>Condicionado a autoría/procedencia final</x:v>
      </x:c>
      <x:c r="R162" s="24" t="str">
        <x:v>Solo dentro del producto/build autorizado</x:v>
      </x:c>
      <x:c r="S162" s="24" t="str">
        <x:v>Crédito general del estudio; individual si aplica</x:v>
      </x:c>
      <x:c r="T162" s="24" t="str">
        <x:v>VRM Games / Blas Luis Rocha González</x:v>
      </x:c>
      <x:c r="U162" s="24" t="str">
        <x:v>CURRENT PROJECT ASSET</x:v>
      </x:c>
      <x:c r="V162" s="24" t="str">
        <x:v>CONDITIONALLY APPROVED</x:v>
      </x:c>
      <x:c r="W162" s="24" t="str">
        <x:v>Sí</x:v>
      </x:c>
      <x:c r="X162" s="24" t="str">
        <x:v>Low</x:v>
      </x:c>
      <x:c r="Y162" s="24" t="str">
        <x:v>Internal development; public candidate requires gate</x:v>
      </x:c>
      <x:c r="Z162" s="24" t="str">
        <x:v>H6 legal/content audit</x:v>
      </x:c>
      <x:c r="AA162" s="24" t="str">
        <x:v>VRM Games</x:v>
      </x:c>
      <x:c r="AB162" s="24" t="str">
        <x:v>No se detectó proveedor externo en la ruta; confirmar autoría por lote antes de release público.</x:v>
      </x:c>
    </x:row>
    <x:row r="163" ht="34" customHeight="1">
      <x:c r="A163" s="24" t="str">
        <x:v>INT-0159</x:v>
      </x:c>
      <x:c r="B163" s="24" t="str">
        <x:v>bf0c15d82f2841ce9f9b0232da1384ae</x:v>
      </x:c>
      <x:c r="C163" s="24" t="str">
        <x:v>CC_CustomerSpawnSettings_Technical.asset</x:v>
      </x:c>
      <x:c r="D163" s="24" t="str">
        <x:v>Unity data asset</x:v>
      </x:c>
      <x:c r="E163" s="24" t="str">
        <x:v>Customers</x:v>
      </x:c>
      <x:c r="F163" s="24" t="str">
        <x:v>VRM Games / Blas Luis Rocha González</x:v>
      </x:c>
      <x:c r="G163" s="24" t="str">
        <x:v>VRM Games / Blas Luis Rocha González</x:v>
      </x:c>
      <x:c r="H163" s="24" t="str">
        <x:v>Internal project production</x:v>
      </x:c>
      <x:c r="I163" s="24" t="str">
        <x:v>2026 project timeline</x:v>
      </x:c>
      <x:c r="J163" s="24" t="str">
        <x:v>Internal project IP / authorship claim</x:v>
      </x:c>
      <x:c r="K163" s="24" t="str">
        <x:v>N/A</x:v>
      </x:c>
      <x:c r="L163" s="24" t="str">
        <x:v>Source package + repository path + hash</x:v>
      </x:c>
      <x:c r="M163" s="24" t="str">
        <x:v>0c07fb82252169bea9a14b8bc1763c527b422c6b59a51bf00ab8cbddb320cf53</x:v>
      </x:c>
      <x:c r="N163" s="24" t="str">
        <x:v>Assets/_Project/Data/Customers/Technical/CC_CustomerSpawnSettings_Technical.asset</x:v>
      </x:c>
      <x:c r="O163" s="24" t="str">
        <x:v>bf0c15d82f2841ce9f9b0232da1384ae</x:v>
      </x:c>
      <x:c r="P163" s="24" t="str">
        <x:v>Sí</x:v>
      </x:c>
      <x:c r="Q163" s="24" t="str">
        <x:v>Condicionado a autoría/procedencia final</x:v>
      </x:c>
      <x:c r="R163" s="24" t="str">
        <x:v>Solo dentro del producto/build autorizado</x:v>
      </x:c>
      <x:c r="S163" s="24" t="str">
        <x:v>Crédito general del estudio; individual si aplica</x:v>
      </x:c>
      <x:c r="T163" s="24" t="str">
        <x:v>VRM Games / Blas Luis Rocha González</x:v>
      </x:c>
      <x:c r="U163" s="24" t="str">
        <x:v>CURRENT PROJECT ASSET</x:v>
      </x:c>
      <x:c r="V163" s="24" t="str">
        <x:v>CONDITIONALLY APPROVED</x:v>
      </x:c>
      <x:c r="W163" s="24" t="str">
        <x:v>Sí</x:v>
      </x:c>
      <x:c r="X163" s="24" t="str">
        <x:v>Low</x:v>
      </x:c>
      <x:c r="Y163" s="24" t="str">
        <x:v>Internal development; public candidate requires gate</x:v>
      </x:c>
      <x:c r="Z163" s="24" t="str">
        <x:v>H6 legal/content audit</x:v>
      </x:c>
      <x:c r="AA163" s="24" t="str">
        <x:v>VRM Games</x:v>
      </x:c>
      <x:c r="AB163" s="24" t="str">
        <x:v>No se detectó proveedor externo en la ruta; confirmar autoría por lote antes de release público.</x:v>
      </x:c>
    </x:row>
    <x:row r="164" ht="34" customHeight="1">
      <x:c r="A164" s="24" t="str">
        <x:v>INT-0160</x:v>
      </x:c>
      <x:c r="B164" s="24" t="str">
        <x:v>a33da2946e164af7858c86805aa654f9</x:v>
      </x:c>
      <x:c r="C164" s="24" t="str">
        <x:v>CC_StoreDaySettings_Technical.asset</x:v>
      </x:c>
      <x:c r="D164" s="24" t="str">
        <x:v>Unity data asset</x:v>
      </x:c>
      <x:c r="E164" s="24" t="str">
        <x:v>DayCycle</x:v>
      </x:c>
      <x:c r="F164" s="24" t="str">
        <x:v>VRM Games / Blas Luis Rocha González</x:v>
      </x:c>
      <x:c r="G164" s="24" t="str">
        <x:v>VRM Games / Blas Luis Rocha González</x:v>
      </x:c>
      <x:c r="H164" s="24" t="str">
        <x:v>Internal project production</x:v>
      </x:c>
      <x:c r="I164" s="24" t="str">
        <x:v>2026 project timeline</x:v>
      </x:c>
      <x:c r="J164" s="24" t="str">
        <x:v>Internal project IP / authorship claim</x:v>
      </x:c>
      <x:c r="K164" s="24" t="str">
        <x:v>N/A</x:v>
      </x:c>
      <x:c r="L164" s="24" t="str">
        <x:v>Source package + repository path + hash</x:v>
      </x:c>
      <x:c r="M164" s="24" t="str">
        <x:v>9590d09f54b3c53ea4f335d416f034a7b7a4946f53d140542e7ec138921fe05a</x:v>
      </x:c>
      <x:c r="N164" s="24" t="str">
        <x:v>Assets/_Project/Data/DayCycle/Technical/CC_StoreDaySettings_Technical.asset</x:v>
      </x:c>
      <x:c r="O164" s="24" t="str">
        <x:v>a33da2946e164af7858c86805aa654f9</x:v>
      </x:c>
      <x:c r="P164" s="24" t="str">
        <x:v>Sí</x:v>
      </x:c>
      <x:c r="Q164" s="24" t="str">
        <x:v>Condicionado a autoría/procedencia final</x:v>
      </x:c>
      <x:c r="R164" s="24" t="str">
        <x:v>Solo dentro del producto/build autorizado</x:v>
      </x:c>
      <x:c r="S164" s="24" t="str">
        <x:v>Crédito general del estudio; individual si aplica</x:v>
      </x:c>
      <x:c r="T164" s="24" t="str">
        <x:v>VRM Games / Blas Luis Rocha González</x:v>
      </x:c>
      <x:c r="U164" s="24" t="str">
        <x:v>CURRENT PROJECT ASSET</x:v>
      </x:c>
      <x:c r="V164" s="24" t="str">
        <x:v>CONDITIONALLY APPROVED</x:v>
      </x:c>
      <x:c r="W164" s="24" t="str">
        <x:v>Sí</x:v>
      </x:c>
      <x:c r="X164" s="24" t="str">
        <x:v>Low</x:v>
      </x:c>
      <x:c r="Y164" s="24" t="str">
        <x:v>Internal development; public candidate requires gate</x:v>
      </x:c>
      <x:c r="Z164" s="24" t="str">
        <x:v>H6 legal/content audit</x:v>
      </x:c>
      <x:c r="AA164" s="24" t="str">
        <x:v>VRM Games</x:v>
      </x:c>
      <x:c r="AB164" s="24" t="str">
        <x:v>No se detectó proveedor externo en la ruta; confirmar autoría por lote antes de release público.</x:v>
      </x:c>
    </x:row>
    <x:row r="165" ht="34" customHeight="1">
      <x:c r="A165" s="24" t="str">
        <x:v>INT-0161</x:v>
      </x:c>
      <x:c r="B165" s="24" t="str">
        <x:v>d651da75dac94b57938c2d21fb487e60</x:v>
      </x:c>
      <x:c r="C165" s="24" t="str">
        <x:v>CC_DisplayCatalog_Technical.asset</x:v>
      </x:c>
      <x:c r="D165" s="24" t="str">
        <x:v>Unity data asset</x:v>
      </x:c>
      <x:c r="E165" s="24" t="str">
        <x:v>Displays</x:v>
      </x:c>
      <x:c r="F165" s="24" t="str">
        <x:v>VRM Games / Blas Luis Rocha González</x:v>
      </x:c>
      <x:c r="G165" s="24" t="str">
        <x:v>VRM Games / Blas Luis Rocha González</x:v>
      </x:c>
      <x:c r="H165" s="24" t="str">
        <x:v>Internal project production</x:v>
      </x:c>
      <x:c r="I165" s="24" t="str">
        <x:v>2026 project timeline</x:v>
      </x:c>
      <x:c r="J165" s="24" t="str">
        <x:v>Internal project IP / authorship claim</x:v>
      </x:c>
      <x:c r="K165" s="24" t="str">
        <x:v>N/A</x:v>
      </x:c>
      <x:c r="L165" s="24" t="str">
        <x:v>Source package + repository path + hash</x:v>
      </x:c>
      <x:c r="M165" s="24" t="str">
        <x:v>db752e7e7947659af0979764964fd7ebd83bf6fb16163ab0486f358fe9bae1c1</x:v>
      </x:c>
      <x:c r="N165" s="24" t="str">
        <x:v>Assets/_Project/Data/Displays/Technical/CC_DisplayCatalog_Technical.asset</x:v>
      </x:c>
      <x:c r="O165" s="24" t="str">
        <x:v>d651da75dac94b57938c2d21fb487e60</x:v>
      </x:c>
      <x:c r="P165" s="24" t="str">
        <x:v>Sí</x:v>
      </x:c>
      <x:c r="Q165" s="24" t="str">
        <x:v>Condicionado a autoría/procedencia final</x:v>
      </x:c>
      <x:c r="R165" s="24" t="str">
        <x:v>Solo dentro del producto/build autorizado</x:v>
      </x:c>
      <x:c r="S165" s="24" t="str">
        <x:v>Crédito general del estudio; individual si aplica</x:v>
      </x:c>
      <x:c r="T165" s="24" t="str">
        <x:v>VRM Games / Blas Luis Rocha González</x:v>
      </x:c>
      <x:c r="U165" s="24" t="str">
        <x:v>CURRENT PROJECT ASSET</x:v>
      </x:c>
      <x:c r="V165" s="24" t="str">
        <x:v>CONDITIONALLY APPROVED</x:v>
      </x:c>
      <x:c r="W165" s="24" t="str">
        <x:v>Sí</x:v>
      </x:c>
      <x:c r="X165" s="24" t="str">
        <x:v>Low</x:v>
      </x:c>
      <x:c r="Y165" s="24" t="str">
        <x:v>Internal development; public candidate requires gate</x:v>
      </x:c>
      <x:c r="Z165" s="24" t="str">
        <x:v>H6 legal/content audit</x:v>
      </x:c>
      <x:c r="AA165" s="24" t="str">
        <x:v>VRM Games</x:v>
      </x:c>
      <x:c r="AB165" s="24" t="str">
        <x:v>No se detectó proveedor externo en la ruta; confirmar autoría por lote antes de release público.</x:v>
      </x:c>
    </x:row>
    <x:row r="166" ht="34" customHeight="1">
      <x:c r="A166" s="24" t="str">
        <x:v>INT-0162</x:v>
      </x:c>
      <x:c r="B166" s="24" t="str">
        <x:v>1f98f7b04dd74a48b73627285c1b01b6</x:v>
      </x:c>
      <x:c r="C166" s="24" t="str">
        <x:v>CC_Display_CountertopRack.asset</x:v>
      </x:c>
      <x:c r="D166" s="24" t="str">
        <x:v>Unity data asset</x:v>
      </x:c>
      <x:c r="E166" s="24" t="str">
        <x:v>Displays</x:v>
      </x:c>
      <x:c r="F166" s="24" t="str">
        <x:v>VRM Games / Blas Luis Rocha González</x:v>
      </x:c>
      <x:c r="G166" s="24" t="str">
        <x:v>VRM Games / Blas Luis Rocha González</x:v>
      </x:c>
      <x:c r="H166" s="24" t="str">
        <x:v>Internal project production</x:v>
      </x:c>
      <x:c r="I166" s="24" t="str">
        <x:v>2026 project timeline</x:v>
      </x:c>
      <x:c r="J166" s="24" t="str">
        <x:v>Internal project IP / authorship claim</x:v>
      </x:c>
      <x:c r="K166" s="24" t="str">
        <x:v>N/A</x:v>
      </x:c>
      <x:c r="L166" s="24" t="str">
        <x:v>Source package + repository path + hash</x:v>
      </x:c>
      <x:c r="M166" s="24" t="str">
        <x:v>e58fba4999f3a79b888ad07c3eeb99620eed3275068233bb8622c58e670d58c4</x:v>
      </x:c>
      <x:c r="N166" s="24" t="str">
        <x:v>Assets/_Project/Data/Displays/Technical/CC_Display_CountertopRack.asset</x:v>
      </x:c>
      <x:c r="O166" s="24" t="str">
        <x:v>1f98f7b04dd74a48b73627285c1b01b6</x:v>
      </x:c>
      <x:c r="P166" s="24" t="str">
        <x:v>Sí</x:v>
      </x:c>
      <x:c r="Q166" s="24" t="str">
        <x:v>Condicionado a autoría/procedencia final</x:v>
      </x:c>
      <x:c r="R166" s="24" t="str">
        <x:v>Solo dentro del producto/build autorizado</x:v>
      </x:c>
      <x:c r="S166" s="24" t="str">
        <x:v>Crédito general del estudio; individual si aplica</x:v>
      </x:c>
      <x:c r="T166" s="24" t="str">
        <x:v>VRM Games / Blas Luis Rocha González</x:v>
      </x:c>
      <x:c r="U166" s="24" t="str">
        <x:v>CURRENT PROJECT ASSET</x:v>
      </x:c>
      <x:c r="V166" s="24" t="str">
        <x:v>CONDITIONALLY APPROVED</x:v>
      </x:c>
      <x:c r="W166" s="24" t="str">
        <x:v>Sí</x:v>
      </x:c>
      <x:c r="X166" s="24" t="str">
        <x:v>Low</x:v>
      </x:c>
      <x:c r="Y166" s="24" t="str">
        <x:v>Internal development; public candidate requires gate</x:v>
      </x:c>
      <x:c r="Z166" s="24" t="str">
        <x:v>H6 legal/content audit</x:v>
      </x:c>
      <x:c r="AA166" s="24" t="str">
        <x:v>VRM Games</x:v>
      </x:c>
      <x:c r="AB166" s="24" t="str">
        <x:v>No se detectó proveedor externo en la ruta; confirmar autoría por lote antes de release público.</x:v>
      </x:c>
    </x:row>
    <x:row r="167" ht="34" customHeight="1">
      <x:c r="A167" s="24" t="str">
        <x:v>INT-0163</x:v>
      </x:c>
      <x:c r="B167" s="24" t="str">
        <x:v>9173e71110e34e659d9a23c6c946af94</x:v>
      </x:c>
      <x:c r="C167" s="24" t="str">
        <x:v>CC_Display_FloorStand.asset</x:v>
      </x:c>
      <x:c r="D167" s="24" t="str">
        <x:v>Unity data asset</x:v>
      </x:c>
      <x:c r="E167" s="24" t="str">
        <x:v>Displays</x:v>
      </x:c>
      <x:c r="F167" s="24" t="str">
        <x:v>VRM Games / Blas Luis Rocha González</x:v>
      </x:c>
      <x:c r="G167" s="24" t="str">
        <x:v>VRM Games / Blas Luis Rocha González</x:v>
      </x:c>
      <x:c r="H167" s="24" t="str">
        <x:v>Internal project production</x:v>
      </x:c>
      <x:c r="I167" s="24" t="str">
        <x:v>2026 project timeline</x:v>
      </x:c>
      <x:c r="J167" s="24" t="str">
        <x:v>Internal project IP / authorship claim</x:v>
      </x:c>
      <x:c r="K167" s="24" t="str">
        <x:v>N/A</x:v>
      </x:c>
      <x:c r="L167" s="24" t="str">
        <x:v>Source package + repository path + hash</x:v>
      </x:c>
      <x:c r="M167" s="24" t="str">
        <x:v>e6e56b9af2b8560e7a6a4ab02f4fc0415ee3682616f2cc97e94defd89fe9830e</x:v>
      </x:c>
      <x:c r="N167" s="24" t="str">
        <x:v>Assets/_Project/Data/Displays/Technical/CC_Display_FloorStand.asset</x:v>
      </x:c>
      <x:c r="O167" s="24" t="str">
        <x:v>9173e71110e34e659d9a23c6c946af94</x:v>
      </x:c>
      <x:c r="P167" s="24" t="str">
        <x:v>Sí</x:v>
      </x:c>
      <x:c r="Q167" s="24" t="str">
        <x:v>Condicionado a autoría/procedencia final</x:v>
      </x:c>
      <x:c r="R167" s="24" t="str">
        <x:v>Solo dentro del producto/build autorizado</x:v>
      </x:c>
      <x:c r="S167" s="24" t="str">
        <x:v>Crédito general del estudio; individual si aplica</x:v>
      </x:c>
      <x:c r="T167" s="24" t="str">
        <x:v>VRM Games / Blas Luis Rocha González</x:v>
      </x:c>
      <x:c r="U167" s="24" t="str">
        <x:v>CURRENT PROJECT ASSET</x:v>
      </x:c>
      <x:c r="V167" s="24" t="str">
        <x:v>CONDITIONALLY APPROVED</x:v>
      </x:c>
      <x:c r="W167" s="24" t="str">
        <x:v>Sí</x:v>
      </x:c>
      <x:c r="X167" s="24" t="str">
        <x:v>Low</x:v>
      </x:c>
      <x:c r="Y167" s="24" t="str">
        <x:v>Internal development; public candidate requires gate</x:v>
      </x:c>
      <x:c r="Z167" s="24" t="str">
        <x:v>H6 legal/content audit</x:v>
      </x:c>
      <x:c r="AA167" s="24" t="str">
        <x:v>VRM Games</x:v>
      </x:c>
      <x:c r="AB167" s="24" t="str">
        <x:v>No se detectó proveedor externo en la ruta; confirmar autoría por lote antes de release público.</x:v>
      </x:c>
    </x:row>
    <x:row r="168" ht="34" customHeight="1">
      <x:c r="A168" s="24" t="str">
        <x:v>INT-0164</x:v>
      </x:c>
      <x:c r="B168" s="24" t="str">
        <x:v>0039b71c7ee1483b8d905409b7f6841c</x:v>
      </x:c>
      <x:c r="C168" s="24" t="str">
        <x:v>CC_Display_SingleShelf.asset</x:v>
      </x:c>
      <x:c r="D168" s="24" t="str">
        <x:v>Unity data asset</x:v>
      </x:c>
      <x:c r="E168" s="24" t="str">
        <x:v>Displays</x:v>
      </x:c>
      <x:c r="F168" s="24" t="str">
        <x:v>VRM Games / Blas Luis Rocha González</x:v>
      </x:c>
      <x:c r="G168" s="24" t="str">
        <x:v>VRM Games / Blas Luis Rocha González</x:v>
      </x:c>
      <x:c r="H168" s="24" t="str">
        <x:v>Internal project production</x:v>
      </x:c>
      <x:c r="I168" s="24" t="str">
        <x:v>2026 project timeline</x:v>
      </x:c>
      <x:c r="J168" s="24" t="str">
        <x:v>Internal project IP / authorship claim</x:v>
      </x:c>
      <x:c r="K168" s="24" t="str">
        <x:v>N/A</x:v>
      </x:c>
      <x:c r="L168" s="24" t="str">
        <x:v>Source package + repository path + hash</x:v>
      </x:c>
      <x:c r="M168" s="24" t="str">
        <x:v>bb2d13c30464fb75f66a344ef05fb4e69f7091f7cfcdbf38474a64597add7986</x:v>
      </x:c>
      <x:c r="N168" s="24" t="str">
        <x:v>Assets/_Project/Data/Displays/Technical/CC_Display_SingleShelf.asset</x:v>
      </x:c>
      <x:c r="O168" s="24" t="str">
        <x:v>0039b71c7ee1483b8d905409b7f6841c</x:v>
      </x:c>
      <x:c r="P168" s="24" t="str">
        <x:v>Sí</x:v>
      </x:c>
      <x:c r="Q168" s="24" t="str">
        <x:v>Condicionado a autoría/procedencia final</x:v>
      </x:c>
      <x:c r="R168" s="24" t="str">
        <x:v>Solo dentro del producto/build autorizado</x:v>
      </x:c>
      <x:c r="S168" s="24" t="str">
        <x:v>Crédito general del estudio; individual si aplica</x:v>
      </x:c>
      <x:c r="T168" s="24" t="str">
        <x:v>VRM Games / Blas Luis Rocha González</x:v>
      </x:c>
      <x:c r="U168" s="24" t="str">
        <x:v>CURRENT PROJECT ASSET</x:v>
      </x:c>
      <x:c r="V168" s="24" t="str">
        <x:v>CONDITIONALLY APPROVED</x:v>
      </x:c>
      <x:c r="W168" s="24" t="str">
        <x:v>Sí</x:v>
      </x:c>
      <x:c r="X168" s="24" t="str">
        <x:v>Low</x:v>
      </x:c>
      <x:c r="Y168" s="24" t="str">
        <x:v>Internal development; public candidate requires gate</x:v>
      </x:c>
      <x:c r="Z168" s="24" t="str">
        <x:v>H6 legal/content audit</x:v>
      </x:c>
      <x:c r="AA168" s="24" t="str">
        <x:v>VRM Games</x:v>
      </x:c>
      <x:c r="AB168" s="24" t="str">
        <x:v>No se detectó proveedor externo en la ruta; confirmar autoría por lote antes de release público.</x:v>
      </x:c>
    </x:row>
    <x:row r="169" ht="34" customHeight="1">
      <x:c r="A169" s="24" t="str">
        <x:v>INT-0165</x:v>
      </x:c>
      <x:c r="B169" s="24" t="str">
        <x:v>f4181b69ace54e9db0d249b132da7fd1</x:v>
      </x:c>
      <x:c r="C169" s="24" t="str">
        <x:v>CC_EconomySettings_Technical.asset</x:v>
      </x:c>
      <x:c r="D169" s="24" t="str">
        <x:v>Unity data asset</x:v>
      </x:c>
      <x:c r="E169" s="24" t="str">
        <x:v>Economy</x:v>
      </x:c>
      <x:c r="F169" s="24" t="str">
        <x:v>VRM Games / Blas Luis Rocha González</x:v>
      </x:c>
      <x:c r="G169" s="24" t="str">
        <x:v>VRM Games / Blas Luis Rocha González</x:v>
      </x:c>
      <x:c r="H169" s="24" t="str">
        <x:v>Internal project production</x:v>
      </x:c>
      <x:c r="I169" s="24" t="str">
        <x:v>2026 project timeline</x:v>
      </x:c>
      <x:c r="J169" s="24" t="str">
        <x:v>Internal project IP / authorship claim</x:v>
      </x:c>
      <x:c r="K169" s="24" t="str">
        <x:v>N/A</x:v>
      </x:c>
      <x:c r="L169" s="24" t="str">
        <x:v>Source package + repository path + hash</x:v>
      </x:c>
      <x:c r="M169" s="24" t="str">
        <x:v>c0bf10b6798349f574cee479f3989d3ab7c08db72e648d53586fa9c3cfead1d5</x:v>
      </x:c>
      <x:c r="N169" s="24" t="str">
        <x:v>Assets/_Project/Data/Economy/Technical/CC_EconomySettings_Technical.asset</x:v>
      </x:c>
      <x:c r="O169" s="24" t="str">
        <x:v>f4181b69ace54e9db0d249b132da7fd1</x:v>
      </x:c>
      <x:c r="P169" s="24" t="str">
        <x:v>Sí</x:v>
      </x:c>
      <x:c r="Q169" s="24" t="str">
        <x:v>Condicionado a autoría/procedencia final</x:v>
      </x:c>
      <x:c r="R169" s="24" t="str">
        <x:v>Solo dentro del producto/build autorizado</x:v>
      </x:c>
      <x:c r="S169" s="24" t="str">
        <x:v>Crédito general del estudio; individual si aplica</x:v>
      </x:c>
      <x:c r="T169" s="24" t="str">
        <x:v>VRM Games / Blas Luis Rocha González</x:v>
      </x:c>
      <x:c r="U169" s="24" t="str">
        <x:v>CURRENT PROJECT ASSET</x:v>
      </x:c>
      <x:c r="V169" s="24" t="str">
        <x:v>CONDITIONALLY APPROVED</x:v>
      </x:c>
      <x:c r="W169" s="24" t="str">
        <x:v>Sí</x:v>
      </x:c>
      <x:c r="X169" s="24" t="str">
        <x:v>Low</x:v>
      </x:c>
      <x:c r="Y169" s="24" t="str">
        <x:v>Internal development; public candidate requires gate</x:v>
      </x:c>
      <x:c r="Z169" s="24" t="str">
        <x:v>H6 legal/content audit</x:v>
      </x:c>
      <x:c r="AA169" s="24" t="str">
        <x:v>VRM Games</x:v>
      </x:c>
      <x:c r="AB169" s="24" t="str">
        <x:v>No se detectó proveedor externo en la ruta; confirmar autoría por lote antes de release público.</x:v>
      </x:c>
    </x:row>
    <x:row r="170" ht="34" customHeight="1">
      <x:c r="A170" s="24" t="str">
        <x:v>INT-0166</x:v>
      </x:c>
      <x:c r="B170" s="24" t="str">
        <x:v>5dc15dfb7ab041c1bdc56cdab15cdfa8</x:v>
      </x:c>
      <x:c r="C170" s="24" t="str">
        <x:v>CC_ProductSalePriceCatalog_Technical.asset</x:v>
      </x:c>
      <x:c r="D170" s="24" t="str">
        <x:v>Unity data asset</x:v>
      </x:c>
      <x:c r="E170" s="24" t="str">
        <x:v>Economy</x:v>
      </x:c>
      <x:c r="F170" s="24" t="str">
        <x:v>VRM Games / Blas Luis Rocha González</x:v>
      </x:c>
      <x:c r="G170" s="24" t="str">
        <x:v>VRM Games / Blas Luis Rocha González</x:v>
      </x:c>
      <x:c r="H170" s="24" t="str">
        <x:v>Internal project production</x:v>
      </x:c>
      <x:c r="I170" s="24" t="str">
        <x:v>2026 project timeline</x:v>
      </x:c>
      <x:c r="J170" s="24" t="str">
        <x:v>Internal project IP / authorship claim</x:v>
      </x:c>
      <x:c r="K170" s="24" t="str">
        <x:v>N/A</x:v>
      </x:c>
      <x:c r="L170" s="24" t="str">
        <x:v>Source package + repository path + hash</x:v>
      </x:c>
      <x:c r="M170" s="24" t="str">
        <x:v>b249f25cac254e3473439c32c8c5d5ae8c287559a64a41dd05274526781aadff</x:v>
      </x:c>
      <x:c r="N170" s="24" t="str">
        <x:v>Assets/_Project/Data/Economy/Technical/CC_ProductSalePriceCatalog_Technical.asset</x:v>
      </x:c>
      <x:c r="O170" s="24" t="str">
        <x:v>5dc15dfb7ab041c1bdc56cdab15cdfa8</x:v>
      </x:c>
      <x:c r="P170" s="24" t="str">
        <x:v>Sí</x:v>
      </x:c>
      <x:c r="Q170" s="24" t="str">
        <x:v>Condicionado a autoría/procedencia final</x:v>
      </x:c>
      <x:c r="R170" s="24" t="str">
        <x:v>Solo dentro del producto/build autorizado</x:v>
      </x:c>
      <x:c r="S170" s="24" t="str">
        <x:v>Crédito general del estudio; individual si aplica</x:v>
      </x:c>
      <x:c r="T170" s="24" t="str">
        <x:v>VRM Games / Blas Luis Rocha González</x:v>
      </x:c>
      <x:c r="U170" s="24" t="str">
        <x:v>CURRENT PROJECT ASSET</x:v>
      </x:c>
      <x:c r="V170" s="24" t="str">
        <x:v>CONDITIONALLY APPROVED</x:v>
      </x:c>
      <x:c r="W170" s="24" t="str">
        <x:v>Sí</x:v>
      </x:c>
      <x:c r="X170" s="24" t="str">
        <x:v>Low</x:v>
      </x:c>
      <x:c r="Y170" s="24" t="str">
        <x:v>Internal development; public candidate requires gate</x:v>
      </x:c>
      <x:c r="Z170" s="24" t="str">
        <x:v>H6 legal/content audit</x:v>
      </x:c>
      <x:c r="AA170" s="24" t="str">
        <x:v>VRM Games</x:v>
      </x:c>
      <x:c r="AB170" s="24" t="str">
        <x:v>No se detectó proveedor externo en la ruta; confirmar autoría por lote antes de release público.</x:v>
      </x:c>
    </x:row>
    <x:row r="171" ht="34" customHeight="1">
      <x:c r="A171" s="24" t="str">
        <x:v>INT-0167</x:v>
      </x:c>
      <x:c r="B171" s="24" t="str">
        <x:v>cbd2f70c2a1d403296c0813f33873423</x:v>
      </x:c>
      <x:c r="C171" s="24" t="str">
        <x:v>CC_SaveIntegrationSettings_Technical.asset</x:v>
      </x:c>
      <x:c r="D171" s="24" t="str">
        <x:v>Unity data asset</x:v>
      </x:c>
      <x:c r="E171" s="24" t="str">
        <x:v>Persistence</x:v>
      </x:c>
      <x:c r="F171" s="24" t="str">
        <x:v>VRM Games / Blas Luis Rocha González</x:v>
      </x:c>
      <x:c r="G171" s="24" t="str">
        <x:v>VRM Games / Blas Luis Rocha González</x:v>
      </x:c>
      <x:c r="H171" s="24" t="str">
        <x:v>Internal project production</x:v>
      </x:c>
      <x:c r="I171" s="24" t="str">
        <x:v>2026 project timeline</x:v>
      </x:c>
      <x:c r="J171" s="24" t="str">
        <x:v>Internal project IP / authorship claim</x:v>
      </x:c>
      <x:c r="K171" s="24" t="str">
        <x:v>N/A</x:v>
      </x:c>
      <x:c r="L171" s="24" t="str">
        <x:v>Source package + repository path + hash</x:v>
      </x:c>
      <x:c r="M171" s="24" t="str">
        <x:v>997cfc2d6c5dbb7bf5dcf87c277be2a2b60635afe412e916c213315153d6bad9</x:v>
      </x:c>
      <x:c r="N171" s="24" t="str">
        <x:v>Assets/_Project/Data/Persistence/Technical/CC_SaveIntegrationSettings_Technical.asset</x:v>
      </x:c>
      <x:c r="O171" s="24" t="str">
        <x:v>cbd2f70c2a1d403296c0813f33873423</x:v>
      </x:c>
      <x:c r="P171" s="24" t="str">
        <x:v>Sí</x:v>
      </x:c>
      <x:c r="Q171" s="24" t="str">
        <x:v>Condicionado a autoría/procedencia final</x:v>
      </x:c>
      <x:c r="R171" s="24" t="str">
        <x:v>Solo dentro del producto/build autorizado</x:v>
      </x:c>
      <x:c r="S171" s="24" t="str">
        <x:v>Crédito general del estudio; individual si aplica</x:v>
      </x:c>
      <x:c r="T171" s="24" t="str">
        <x:v>VRM Games / Blas Luis Rocha González</x:v>
      </x:c>
      <x:c r="U171" s="24" t="str">
        <x:v>CURRENT PROJECT ASSET</x:v>
      </x:c>
      <x:c r="V171" s="24" t="str">
        <x:v>CONDITIONALLY APPROVED</x:v>
      </x:c>
      <x:c r="W171" s="24" t="str">
        <x:v>Sí</x:v>
      </x:c>
      <x:c r="X171" s="24" t="str">
        <x:v>Low</x:v>
      </x:c>
      <x:c r="Y171" s="24" t="str">
        <x:v>Internal development; public candidate requires gate</x:v>
      </x:c>
      <x:c r="Z171" s="24" t="str">
        <x:v>H6 legal/content audit</x:v>
      </x:c>
      <x:c r="AA171" s="24" t="str">
        <x:v>VRM Games</x:v>
      </x:c>
      <x:c r="AB171" s="24" t="str">
        <x:v>No se detectó proveedor externo en la ruta; confirmar autoría por lote antes de release público.</x:v>
      </x:c>
    </x:row>
    <x:row r="172" ht="34" customHeight="1">
      <x:c r="A172" s="24" t="str">
        <x:v>INT-0168</x:v>
      </x:c>
      <x:c r="B172" s="24" t="str">
        <x:v>8124c7290407b9c035671ed1805a5b6c</x:v>
      </x:c>
      <x:c r="C172" s="24" t="str">
        <x:v>BackroomStorage.asset</x:v>
      </x:c>
      <x:c r="D172" s="24" t="str">
        <x:v>Unity data asset</x:v>
      </x:c>
      <x:c r="E172" s="24" t="str">
        <x:v>Placement</x:v>
      </x:c>
      <x:c r="F172" s="24" t="str">
        <x:v>VRM Games / Blas Luis Rocha González</x:v>
      </x:c>
      <x:c r="G172" s="24" t="str">
        <x:v>VRM Games / Blas Luis Rocha González</x:v>
      </x:c>
      <x:c r="H172" s="24" t="str">
        <x:v>Internal project production</x:v>
      </x:c>
      <x:c r="I172" s="24" t="str">
        <x:v>2026 project timeline</x:v>
      </x:c>
      <x:c r="J172" s="24" t="str">
        <x:v>Internal project IP / authorship claim</x:v>
      </x:c>
      <x:c r="K172" s="24" t="str">
        <x:v>N/A</x:v>
      </x:c>
      <x:c r="L172" s="24" t="str">
        <x:v>Source package + repository path + hash</x:v>
      </x:c>
      <x:c r="M172" s="24" t="str">
        <x:v>1d5e8e975638ba41a2080a1c9a2e6cf8a0171dc02d984b502b0ed0687a7a0ec9</x:v>
      </x:c>
      <x:c r="N172" s="24" t="str">
        <x:v>Assets/_Project/Data/Placement/Definitions/BackroomStorage.asset</x:v>
      </x:c>
      <x:c r="O172" s="24" t="str">
        <x:v>8124c7290407b9c035671ed1805a5b6c</x:v>
      </x:c>
      <x:c r="P172" s="24" t="str">
        <x:v>Sí</x:v>
      </x:c>
      <x:c r="Q172" s="24" t="str">
        <x:v>Condicionado a autoría/procedencia final</x:v>
      </x:c>
      <x:c r="R172" s="24" t="str">
        <x:v>Solo dentro del producto/build autorizado</x:v>
      </x:c>
      <x:c r="S172" s="24" t="str">
        <x:v>Crédito general del estudio; individual si aplica</x:v>
      </x:c>
      <x:c r="T172" s="24" t="str">
        <x:v>VRM Games / Blas Luis Rocha González</x:v>
      </x:c>
      <x:c r="U172" s="24" t="str">
        <x:v>CURRENT PROJECT ASSET</x:v>
      </x:c>
      <x:c r="V172" s="24" t="str">
        <x:v>CONDITIONALLY APPROVED</x:v>
      </x:c>
      <x:c r="W172" s="24" t="str">
        <x:v>Sí</x:v>
      </x:c>
      <x:c r="X172" s="24" t="str">
        <x:v>Low</x:v>
      </x:c>
      <x:c r="Y172" s="24" t="str">
        <x:v>Internal development; public candidate requires gate</x:v>
      </x:c>
      <x:c r="Z172" s="24" t="str">
        <x:v>H6 legal/content audit</x:v>
      </x:c>
      <x:c r="AA172" s="24" t="str">
        <x:v>VRM Games</x:v>
      </x:c>
      <x:c r="AB172" s="24" t="str">
        <x:v>No se detectó proveedor externo en la ruta; confirmar autoría por lote antes de release público.</x:v>
      </x:c>
    </x:row>
    <x:row r="173" ht="34" customHeight="1">
      <x:c r="A173" s="24" t="str">
        <x:v>INT-0169</x:v>
      </x:c>
      <x:c r="B173" s="24" t="str">
        <x:v>9546f0e0c162fbb0688005c088fd6ebc</x:v>
      </x:c>
      <x:c r="C173" s="24" t="str">
        <x:v>CentralShelf.asset</x:v>
      </x:c>
      <x:c r="D173" s="24" t="str">
        <x:v>Unity data asset</x:v>
      </x:c>
      <x:c r="E173" s="24" t="str">
        <x:v>Placement</x:v>
      </x:c>
      <x:c r="F173" s="24" t="str">
        <x:v>VRM Games / Blas Luis Rocha González</x:v>
      </x:c>
      <x:c r="G173" s="24" t="str">
        <x:v>VRM Games / Blas Luis Rocha González</x:v>
      </x:c>
      <x:c r="H173" s="24" t="str">
        <x:v>Internal project production</x:v>
      </x:c>
      <x:c r="I173" s="24" t="str">
        <x:v>2026 project timeline</x:v>
      </x:c>
      <x:c r="J173" s="24" t="str">
        <x:v>Internal project IP / authorship claim</x:v>
      </x:c>
      <x:c r="K173" s="24" t="str">
        <x:v>N/A</x:v>
      </x:c>
      <x:c r="L173" s="24" t="str">
        <x:v>Source package + repository path + hash</x:v>
      </x:c>
      <x:c r="M173" s="24" t="str">
        <x:v>2718012a5b6c91051de948489db551127609b31e4095375570c7c43fa7701453</x:v>
      </x:c>
      <x:c r="N173" s="24" t="str">
        <x:v>Assets/_Project/Data/Placement/Definitions/CentralShelf.asset</x:v>
      </x:c>
      <x:c r="O173" s="24" t="str">
        <x:v>9546f0e0c162fbb0688005c088fd6ebc</x:v>
      </x:c>
      <x:c r="P173" s="24" t="str">
        <x:v>Sí</x:v>
      </x:c>
      <x:c r="Q173" s="24" t="str">
        <x:v>Condicionado a autoría/procedencia final</x:v>
      </x:c>
      <x:c r="R173" s="24" t="str">
        <x:v>Solo dentro del producto/build autorizado</x:v>
      </x:c>
      <x:c r="S173" s="24" t="str">
        <x:v>Crédito general del estudio; individual si aplica</x:v>
      </x:c>
      <x:c r="T173" s="24" t="str">
        <x:v>VRM Games / Blas Luis Rocha González</x:v>
      </x:c>
      <x:c r="U173" s="24" t="str">
        <x:v>CURRENT PROJECT ASSET</x:v>
      </x:c>
      <x:c r="V173" s="24" t="str">
        <x:v>CONDITIONALLY APPROVED</x:v>
      </x:c>
      <x:c r="W173" s="24" t="str">
        <x:v>Sí</x:v>
      </x:c>
      <x:c r="X173" s="24" t="str">
        <x:v>Low</x:v>
      </x:c>
      <x:c r="Y173" s="24" t="str">
        <x:v>Internal development; public candidate requires gate</x:v>
      </x:c>
      <x:c r="Z173" s="24" t="str">
        <x:v>H6 legal/content audit</x:v>
      </x:c>
      <x:c r="AA173" s="24" t="str">
        <x:v>VRM Games</x:v>
      </x:c>
      <x:c r="AB173" s="24" t="str">
        <x:v>No se detectó proveedor externo en la ruta; confirmar autoría por lote antes de release público.</x:v>
      </x:c>
    </x:row>
    <x:row r="174" ht="34" customHeight="1">
      <x:c r="A174" s="24" t="str">
        <x:v>INT-0170</x:v>
      </x:c>
      <x:c r="B174" s="24" t="str">
        <x:v>b87068af03d7f38ad333269e0847a7e5</x:v>
      </x:c>
      <x:c r="C174" s="24" t="str">
        <x:v>CheckoutCounter.asset</x:v>
      </x:c>
      <x:c r="D174" s="24" t="str">
        <x:v>Unity data asset</x:v>
      </x:c>
      <x:c r="E174" s="24" t="str">
        <x:v>Placement</x:v>
      </x:c>
      <x:c r="F174" s="24" t="str">
        <x:v>VRM Games / Blas Luis Rocha González</x:v>
      </x:c>
      <x:c r="G174" s="24" t="str">
        <x:v>VRM Games / Blas Luis Rocha González</x:v>
      </x:c>
      <x:c r="H174" s="24" t="str">
        <x:v>Internal project production</x:v>
      </x:c>
      <x:c r="I174" s="24" t="str">
        <x:v>2026 project timeline</x:v>
      </x:c>
      <x:c r="J174" s="24" t="str">
        <x:v>Internal project IP / authorship claim</x:v>
      </x:c>
      <x:c r="K174" s="24" t="str">
        <x:v>N/A</x:v>
      </x:c>
      <x:c r="L174" s="24" t="str">
        <x:v>Source package + repository path + hash</x:v>
      </x:c>
      <x:c r="M174" s="24" t="str">
        <x:v>cad01fb5fbcfd2df0d5876c420e9f939d962ffe08029b0b72746a4443567c688</x:v>
      </x:c>
      <x:c r="N174" s="24" t="str">
        <x:v>Assets/_Project/Data/Placement/Definitions/CheckoutCounter.asset</x:v>
      </x:c>
      <x:c r="O174" s="24" t="str">
        <x:v>b87068af03d7f38ad333269e0847a7e5</x:v>
      </x:c>
      <x:c r="P174" s="24" t="str">
        <x:v>Sí</x:v>
      </x:c>
      <x:c r="Q174" s="24" t="str">
        <x:v>Condicionado a autoría/procedencia final</x:v>
      </x:c>
      <x:c r="R174" s="24" t="str">
        <x:v>Solo dentro del producto/build autorizado</x:v>
      </x:c>
      <x:c r="S174" s="24" t="str">
        <x:v>Crédito general del estudio; individual si aplica</x:v>
      </x:c>
      <x:c r="T174" s="24" t="str">
        <x:v>VRM Games / Blas Luis Rocha González</x:v>
      </x:c>
      <x:c r="U174" s="24" t="str">
        <x:v>CURRENT PROJECT ASSET</x:v>
      </x:c>
      <x:c r="V174" s="24" t="str">
        <x:v>CONDITIONALLY APPROVED</x:v>
      </x:c>
      <x:c r="W174" s="24" t="str">
        <x:v>Sí</x:v>
      </x:c>
      <x:c r="X174" s="24" t="str">
        <x:v>Low</x:v>
      </x:c>
      <x:c r="Y174" s="24" t="str">
        <x:v>Internal development; public candidate requires gate</x:v>
      </x:c>
      <x:c r="Z174" s="24" t="str">
        <x:v>H6 legal/content audit</x:v>
      </x:c>
      <x:c r="AA174" s="24" t="str">
        <x:v>VRM Games</x:v>
      </x:c>
      <x:c r="AB174" s="24" t="str">
        <x:v>No se detectó proveedor externo en la ruta; confirmar autoría por lote antes de release público.</x:v>
      </x:c>
    </x:row>
    <x:row r="175" ht="34" customHeight="1">
      <x:c r="A175" s="24" t="str">
        <x:v>INT-0171</x:v>
      </x:c>
      <x:c r="B175" s="24" t="str">
        <x:v>98479d81b42947ab3f846ff62e0467ca</x:v>
      </x:c>
      <x:c r="C175" s="24" t="str">
        <x:v>DecorationPlant.asset</x:v>
      </x:c>
      <x:c r="D175" s="24" t="str">
        <x:v>Unity data asset</x:v>
      </x:c>
      <x:c r="E175" s="24" t="str">
        <x:v>Placement</x:v>
      </x:c>
      <x:c r="F175" s="24" t="str">
        <x:v>VRM Games / Blas Luis Rocha González</x:v>
      </x:c>
      <x:c r="G175" s="24" t="str">
        <x:v>VRM Games / Blas Luis Rocha González</x:v>
      </x:c>
      <x:c r="H175" s="24" t="str">
        <x:v>Internal project production</x:v>
      </x:c>
      <x:c r="I175" s="24" t="str">
        <x:v>2026 project timeline</x:v>
      </x:c>
      <x:c r="J175" s="24" t="str">
        <x:v>Internal project IP / authorship claim</x:v>
      </x:c>
      <x:c r="K175" s="24" t="str">
        <x:v>N/A</x:v>
      </x:c>
      <x:c r="L175" s="24" t="str">
        <x:v>Source package + repository path + hash</x:v>
      </x:c>
      <x:c r="M175" s="24" t="str">
        <x:v>11236df2a4d76f15730db2cb499b5a3af4fd7edc25d18c3d29a2d65d5911b778</x:v>
      </x:c>
      <x:c r="N175" s="24" t="str">
        <x:v>Assets/_Project/Data/Placement/Definitions/DecorationPlant.asset</x:v>
      </x:c>
      <x:c r="O175" s="24" t="str">
        <x:v>98479d81b42947ab3f846ff62e0467ca</x:v>
      </x:c>
      <x:c r="P175" s="24" t="str">
        <x:v>Sí</x:v>
      </x:c>
      <x:c r="Q175" s="24" t="str">
        <x:v>Condicionado a autoría/procedencia final</x:v>
      </x:c>
      <x:c r="R175" s="24" t="str">
        <x:v>Solo dentro del producto/build autorizado</x:v>
      </x:c>
      <x:c r="S175" s="24" t="str">
        <x:v>Crédito general del estudio; individual si aplica</x:v>
      </x:c>
      <x:c r="T175" s="24" t="str">
        <x:v>VRM Games / Blas Luis Rocha González</x:v>
      </x:c>
      <x:c r="U175" s="24" t="str">
        <x:v>CURRENT PROJECT ASSET</x:v>
      </x:c>
      <x:c r="V175" s="24" t="str">
        <x:v>CONDITIONALLY APPROVED</x:v>
      </x:c>
      <x:c r="W175" s="24" t="str">
        <x:v>Sí</x:v>
      </x:c>
      <x:c r="X175" s="24" t="str">
        <x:v>Low</x:v>
      </x:c>
      <x:c r="Y175" s="24" t="str">
        <x:v>Internal development; public candidate requires gate</x:v>
      </x:c>
      <x:c r="Z175" s="24" t="str">
        <x:v>H6 legal/content audit</x:v>
      </x:c>
      <x:c r="AA175" s="24" t="str">
        <x:v>VRM Games</x:v>
      </x:c>
      <x:c r="AB175" s="24" t="str">
        <x:v>No se detectó proveedor externo en la ruta; confirmar autoría por lote antes de release público.</x:v>
      </x:c>
    </x:row>
    <x:row r="176" ht="34" customHeight="1">
      <x:c r="A176" s="24" t="str">
        <x:v>INT-0172</x:v>
      </x:c>
      <x:c r="B176" s="24" t="str">
        <x:v>07393abf3e5cea9bdf908fdd0fb0e69e</x:v>
      </x:c>
      <x:c r="C176" s="24" t="str">
        <x:v>FeaturedDisplay.asset</x:v>
      </x:c>
      <x:c r="D176" s="24" t="str">
        <x:v>Unity data asset</x:v>
      </x:c>
      <x:c r="E176" s="24" t="str">
        <x:v>Placement</x:v>
      </x:c>
      <x:c r="F176" s="24" t="str">
        <x:v>VRM Games / Blas Luis Rocha González</x:v>
      </x:c>
      <x:c r="G176" s="24" t="str">
        <x:v>VRM Games / Blas Luis Rocha González</x:v>
      </x:c>
      <x:c r="H176" s="24" t="str">
        <x:v>Internal project production</x:v>
      </x:c>
      <x:c r="I176" s="24" t="str">
        <x:v>2026 project timeline</x:v>
      </x:c>
      <x:c r="J176" s="24" t="str">
        <x:v>Internal project IP / authorship claim</x:v>
      </x:c>
      <x:c r="K176" s="24" t="str">
        <x:v>N/A</x:v>
      </x:c>
      <x:c r="L176" s="24" t="str">
        <x:v>Source package + repository path + hash</x:v>
      </x:c>
      <x:c r="M176" s="24" t="str">
        <x:v>abe0b4f398f1d89a2eb6f34b47d4e5abe693fe5f769a6a571087a352b8e45bbe</x:v>
      </x:c>
      <x:c r="N176" s="24" t="str">
        <x:v>Assets/_Project/Data/Placement/Definitions/FeaturedDisplay.asset</x:v>
      </x:c>
      <x:c r="O176" s="24" t="str">
        <x:v>07393abf3e5cea9bdf908fdd0fb0e69e</x:v>
      </x:c>
      <x:c r="P176" s="24" t="str">
        <x:v>Sí</x:v>
      </x:c>
      <x:c r="Q176" s="24" t="str">
        <x:v>Condicionado a autoría/procedencia final</x:v>
      </x:c>
      <x:c r="R176" s="24" t="str">
        <x:v>Solo dentro del producto/build autorizado</x:v>
      </x:c>
      <x:c r="S176" s="24" t="str">
        <x:v>Crédito general del estudio; individual si aplica</x:v>
      </x:c>
      <x:c r="T176" s="24" t="str">
        <x:v>VRM Games / Blas Luis Rocha González</x:v>
      </x:c>
      <x:c r="U176" s="24" t="str">
        <x:v>CURRENT PROJECT ASSET</x:v>
      </x:c>
      <x:c r="V176" s="24" t="str">
        <x:v>CONDITIONALLY APPROVED</x:v>
      </x:c>
      <x:c r="W176" s="24" t="str">
        <x:v>Sí</x:v>
      </x:c>
      <x:c r="X176" s="24" t="str">
        <x:v>Low</x:v>
      </x:c>
      <x:c r="Y176" s="24" t="str">
        <x:v>Internal development; public candidate requires gate</x:v>
      </x:c>
      <x:c r="Z176" s="24" t="str">
        <x:v>H6 legal/content audit</x:v>
      </x:c>
      <x:c r="AA176" s="24" t="str">
        <x:v>VRM Games</x:v>
      </x:c>
      <x:c r="AB176" s="24" t="str">
        <x:v>No se detectó proveedor externo en la ruta; confirmar autoría por lote antes de release público.</x:v>
      </x:c>
    </x:row>
    <x:row r="177" ht="34" customHeight="1">
      <x:c r="A177" s="24" t="str">
        <x:v>INT-0173</x:v>
      </x:c>
      <x:c r="B177" s="24" t="str">
        <x:v>85b89ccd9ad146e9c16d558381c093ba</x:v>
      </x:c>
      <x:c r="C177" s="24" t="str">
        <x:v>LowDisplay.asset</x:v>
      </x:c>
      <x:c r="D177" s="24" t="str">
        <x:v>Unity data asset</x:v>
      </x:c>
      <x:c r="E177" s="24" t="str">
        <x:v>Placement</x:v>
      </x:c>
      <x:c r="F177" s="24" t="str">
        <x:v>VRM Games / Blas Luis Rocha González</x:v>
      </x:c>
      <x:c r="G177" s="24" t="str">
        <x:v>VRM Games / Blas Luis Rocha González</x:v>
      </x:c>
      <x:c r="H177" s="24" t="str">
        <x:v>Internal project production</x:v>
      </x:c>
      <x:c r="I177" s="24" t="str">
        <x:v>2026 project timeline</x:v>
      </x:c>
      <x:c r="J177" s="24" t="str">
        <x:v>Internal project IP / authorship claim</x:v>
      </x:c>
      <x:c r="K177" s="24" t="str">
        <x:v>N/A</x:v>
      </x:c>
      <x:c r="L177" s="24" t="str">
        <x:v>Source package + repository path + hash</x:v>
      </x:c>
      <x:c r="M177" s="24" t="str">
        <x:v>f005a898c0c76669137e48ae4bc4c3108b2ea39dada1b5e3f070b60aab42489e</x:v>
      </x:c>
      <x:c r="N177" s="24" t="str">
        <x:v>Assets/_Project/Data/Placement/Definitions/LowDisplay.asset</x:v>
      </x:c>
      <x:c r="O177" s="24" t="str">
        <x:v>85b89ccd9ad146e9c16d558381c093ba</x:v>
      </x:c>
      <x:c r="P177" s="24" t="str">
        <x:v>Sí</x:v>
      </x:c>
      <x:c r="Q177" s="24" t="str">
        <x:v>Condicionado a autoría/procedencia final</x:v>
      </x:c>
      <x:c r="R177" s="24" t="str">
        <x:v>Solo dentro del producto/build autorizado</x:v>
      </x:c>
      <x:c r="S177" s="24" t="str">
        <x:v>Crédito general del estudio; individual si aplica</x:v>
      </x:c>
      <x:c r="T177" s="24" t="str">
        <x:v>VRM Games / Blas Luis Rocha González</x:v>
      </x:c>
      <x:c r="U177" s="24" t="str">
        <x:v>CURRENT PROJECT ASSET</x:v>
      </x:c>
      <x:c r="V177" s="24" t="str">
        <x:v>CONDITIONALLY APPROVED</x:v>
      </x:c>
      <x:c r="W177" s="24" t="str">
        <x:v>Sí</x:v>
      </x:c>
      <x:c r="X177" s="24" t="str">
        <x:v>Low</x:v>
      </x:c>
      <x:c r="Y177" s="24" t="str">
        <x:v>Internal development; public candidate requires gate</x:v>
      </x:c>
      <x:c r="Z177" s="24" t="str">
        <x:v>H6 legal/content audit</x:v>
      </x:c>
      <x:c r="AA177" s="24" t="str">
        <x:v>VRM Games</x:v>
      </x:c>
      <x:c r="AB177" s="24" t="str">
        <x:v>No se detectó proveedor externo en la ruta; confirmar autoría por lote antes de release público.</x:v>
      </x:c>
    </x:row>
    <x:row r="178" ht="34" customHeight="1">
      <x:c r="A178" s="24" t="str">
        <x:v>INT-0174</x:v>
      </x:c>
      <x:c r="B178" s="24" t="str">
        <x:v>782c2ba3ad1e23d19ba0672596bf0584</x:v>
      </x:c>
      <x:c r="C178" s="24" t="str">
        <x:v>ReceivingCrate.asset</x:v>
      </x:c>
      <x:c r="D178" s="24" t="str">
        <x:v>Unity data asset</x:v>
      </x:c>
      <x:c r="E178" s="24" t="str">
        <x:v>Placement</x:v>
      </x:c>
      <x:c r="F178" s="24" t="str">
        <x:v>VRM Games / Blas Luis Rocha González</x:v>
      </x:c>
      <x:c r="G178" s="24" t="str">
        <x:v>VRM Games / Blas Luis Rocha González</x:v>
      </x:c>
      <x:c r="H178" s="24" t="str">
        <x:v>Internal project production</x:v>
      </x:c>
      <x:c r="I178" s="24" t="str">
        <x:v>2026 project timeline</x:v>
      </x:c>
      <x:c r="J178" s="24" t="str">
        <x:v>Internal project IP / authorship claim</x:v>
      </x:c>
      <x:c r="K178" s="24" t="str">
        <x:v>N/A</x:v>
      </x:c>
      <x:c r="L178" s="24" t="str">
        <x:v>Source package + repository path + hash</x:v>
      </x:c>
      <x:c r="M178" s="24" t="str">
        <x:v>1dafe02545debb040a074393c897a7005c5d68d3e9f460584a02bf685dc8e424</x:v>
      </x:c>
      <x:c r="N178" s="24" t="str">
        <x:v>Assets/_Project/Data/Placement/Definitions/ReceivingCrate.asset</x:v>
      </x:c>
      <x:c r="O178" s="24" t="str">
        <x:v>782c2ba3ad1e23d19ba0672596bf0584</x:v>
      </x:c>
      <x:c r="P178" s="24" t="str">
        <x:v>Sí</x:v>
      </x:c>
      <x:c r="Q178" s="24" t="str">
        <x:v>Condicionado a autoría/procedencia final</x:v>
      </x:c>
      <x:c r="R178" s="24" t="str">
        <x:v>Solo dentro del producto/build autorizado</x:v>
      </x:c>
      <x:c r="S178" s="24" t="str">
        <x:v>Crédito general del estudio; individual si aplica</x:v>
      </x:c>
      <x:c r="T178" s="24" t="str">
        <x:v>VRM Games / Blas Luis Rocha González</x:v>
      </x:c>
      <x:c r="U178" s="24" t="str">
        <x:v>CURRENT PROJECT ASSET</x:v>
      </x:c>
      <x:c r="V178" s="24" t="str">
        <x:v>CONDITIONALLY APPROVED</x:v>
      </x:c>
      <x:c r="W178" s="24" t="str">
        <x:v>Sí</x:v>
      </x:c>
      <x:c r="X178" s="24" t="str">
        <x:v>Low</x:v>
      </x:c>
      <x:c r="Y178" s="24" t="str">
        <x:v>Internal development; public candidate requires gate</x:v>
      </x:c>
      <x:c r="Z178" s="24" t="str">
        <x:v>H6 legal/content audit</x:v>
      </x:c>
      <x:c r="AA178" s="24" t="str">
        <x:v>VRM Games</x:v>
      </x:c>
      <x:c r="AB178" s="24" t="str">
        <x:v>No se detectó proveedor externo en la ruta; confirmar autoría por lote antes de release público.</x:v>
      </x:c>
    </x:row>
    <x:row r="179" ht="34" customHeight="1">
      <x:c r="A179" s="24" t="str">
        <x:v>INT-0175</x:v>
      </x:c>
      <x:c r="B179" s="24" t="str">
        <x:v>79ce826766404ac570968dd398ff6460</x:v>
      </x:c>
      <x:c r="C179" s="24" t="str">
        <x:v>WallShelf.asset</x:v>
      </x:c>
      <x:c r="D179" s="24" t="str">
        <x:v>Unity data asset</x:v>
      </x:c>
      <x:c r="E179" s="24" t="str">
        <x:v>Placement</x:v>
      </x:c>
      <x:c r="F179" s="24" t="str">
        <x:v>VRM Games / Blas Luis Rocha González</x:v>
      </x:c>
      <x:c r="G179" s="24" t="str">
        <x:v>VRM Games / Blas Luis Rocha González</x:v>
      </x:c>
      <x:c r="H179" s="24" t="str">
        <x:v>Internal project production</x:v>
      </x:c>
      <x:c r="I179" s="24" t="str">
        <x:v>2026 project timeline</x:v>
      </x:c>
      <x:c r="J179" s="24" t="str">
        <x:v>Internal project IP / authorship claim</x:v>
      </x:c>
      <x:c r="K179" s="24" t="str">
        <x:v>N/A</x:v>
      </x:c>
      <x:c r="L179" s="24" t="str">
        <x:v>Source package + repository path + hash</x:v>
      </x:c>
      <x:c r="M179" s="24" t="str">
        <x:v>f15dd69980573410a50b26c6cad69265991607d6947817be6631cc2f9fc990d5</x:v>
      </x:c>
      <x:c r="N179" s="24" t="str">
        <x:v>Assets/_Project/Data/Placement/Definitions/WallShelf.asset</x:v>
      </x:c>
      <x:c r="O179" s="24" t="str">
        <x:v>79ce826766404ac570968dd398ff6460</x:v>
      </x:c>
      <x:c r="P179" s="24" t="str">
        <x:v>Sí</x:v>
      </x:c>
      <x:c r="Q179" s="24" t="str">
        <x:v>Condicionado a autoría/procedencia final</x:v>
      </x:c>
      <x:c r="R179" s="24" t="str">
        <x:v>Solo dentro del producto/build autorizado</x:v>
      </x:c>
      <x:c r="S179" s="24" t="str">
        <x:v>Crédito general del estudio; individual si aplica</x:v>
      </x:c>
      <x:c r="T179" s="24" t="str">
        <x:v>VRM Games / Blas Luis Rocha González</x:v>
      </x:c>
      <x:c r="U179" s="24" t="str">
        <x:v>CURRENT PROJECT ASSET</x:v>
      </x:c>
      <x:c r="V179" s="24" t="str">
        <x:v>CONDITIONALLY APPROVED</x:v>
      </x:c>
      <x:c r="W179" s="24" t="str">
        <x:v>Sí</x:v>
      </x:c>
      <x:c r="X179" s="24" t="str">
        <x:v>Low</x:v>
      </x:c>
      <x:c r="Y179" s="24" t="str">
        <x:v>Internal development; public candidate requires gate</x:v>
      </x:c>
      <x:c r="Z179" s="24" t="str">
        <x:v>H6 legal/content audit</x:v>
      </x:c>
      <x:c r="AA179" s="24" t="str">
        <x:v>VRM Games</x:v>
      </x:c>
      <x:c r="AB179" s="24" t="str">
        <x:v>No se detectó proveedor externo en la ruta; confirmar autoría por lote antes de release público.</x:v>
      </x:c>
    </x:row>
    <x:row r="180" ht="34" customHeight="1">
      <x:c r="A180" s="24" t="str">
        <x:v>INT-0176</x:v>
      </x:c>
      <x:c r="B180" s="24" t="str">
        <x:v>51d86e6c646c6ef47bc08a7149b0587f</x:v>
      </x:c>
      <x:c r="C180" s="24" t="str">
        <x:v>CC_S5_TechnicalShelf4x2.asset</x:v>
      </x:c>
      <x:c r="D180" s="24" t="str">
        <x:v>Unity data asset</x:v>
      </x:c>
      <x:c r="E180" s="24" t="str">
        <x:v>Placement</x:v>
      </x:c>
      <x:c r="F180" s="24" t="str">
        <x:v>VRM Games / Blas Luis Rocha González</x:v>
      </x:c>
      <x:c r="G180" s="24" t="str">
        <x:v>VRM Games / Blas Luis Rocha González</x:v>
      </x:c>
      <x:c r="H180" s="24" t="str">
        <x:v>Internal project production</x:v>
      </x:c>
      <x:c r="I180" s="24" t="str">
        <x:v>2026 project timeline</x:v>
      </x:c>
      <x:c r="J180" s="24" t="str">
        <x:v>Internal project IP / authorship claim</x:v>
      </x:c>
      <x:c r="K180" s="24" t="str">
        <x:v>N/A</x:v>
      </x:c>
      <x:c r="L180" s="24" t="str">
        <x:v>Source package + repository path + hash</x:v>
      </x:c>
      <x:c r="M180" s="24" t="str">
        <x:v>f25720e78c7c049a9cd7337751cf0c0d5d4786495afd7afacef0981f68393976</x:v>
      </x:c>
      <x:c r="N180" s="24" t="str">
        <x:v>Assets/_Project/Data/Placement/Technical/CC_S5_TechnicalShelf4x2.asset</x:v>
      </x:c>
      <x:c r="O180" s="24" t="str">
        <x:v>51d86e6c646c6ef47bc08a7149b0587f</x:v>
      </x:c>
      <x:c r="P180" s="24" t="str">
        <x:v>Sí</x:v>
      </x:c>
      <x:c r="Q180" s="24" t="str">
        <x:v>Condicionado a autoría/procedencia final</x:v>
      </x:c>
      <x:c r="R180" s="24" t="str">
        <x:v>Solo dentro del producto/build autorizado</x:v>
      </x:c>
      <x:c r="S180" s="24" t="str">
        <x:v>Crédito general del estudio; individual si aplica</x:v>
      </x:c>
      <x:c r="T180" s="24" t="str">
        <x:v>VRM Games / Blas Luis Rocha González</x:v>
      </x:c>
      <x:c r="U180" s="24" t="str">
        <x:v>CURRENT PROJECT ASSET</x:v>
      </x:c>
      <x:c r="V180" s="24" t="str">
        <x:v>CONDITIONALLY APPROVED</x:v>
      </x:c>
      <x:c r="W180" s="24" t="str">
        <x:v>Sí</x:v>
      </x:c>
      <x:c r="X180" s="24" t="str">
        <x:v>Low</x:v>
      </x:c>
      <x:c r="Y180" s="24" t="str">
        <x:v>Internal development; public candidate requires gate</x:v>
      </x:c>
      <x:c r="Z180" s="24" t="str">
        <x:v>H6 legal/content audit</x:v>
      </x:c>
      <x:c r="AA180" s="24" t="str">
        <x:v>VRM Games</x:v>
      </x:c>
      <x:c r="AB180" s="24" t="str">
        <x:v>No se detectó proveedor externo en la ruta; confirmar autoría por lote antes de release público.</x:v>
      </x:c>
    </x:row>
    <x:row r="181" ht="34" customHeight="1">
      <x:c r="A181" s="24" t="str">
        <x:v>INT-0177</x:v>
      </x:c>
      <x:c r="B181" s="24" t="str">
        <x:v>81c580a2fb544c9d9eccac12c15163bf</x:v>
      </x:c>
      <x:c r="C181" s="24" t="str">
        <x:v>CC_ProductCatalog_Technical.asset</x:v>
      </x:c>
      <x:c r="D181" s="24" t="str">
        <x:v>Unity data asset</x:v>
      </x:c>
      <x:c r="E181" s="24" t="str">
        <x:v>Products</x:v>
      </x:c>
      <x:c r="F181" s="24" t="str">
        <x:v>VRM Games / Blas Luis Rocha González</x:v>
      </x:c>
      <x:c r="G181" s="24" t="str">
        <x:v>VRM Games / Blas Luis Rocha González</x:v>
      </x:c>
      <x:c r="H181" s="24" t="str">
        <x:v>Internal project production</x:v>
      </x:c>
      <x:c r="I181" s="24" t="str">
        <x:v>2026 project timeline</x:v>
      </x:c>
      <x:c r="J181" s="24" t="str">
        <x:v>Internal project IP / authorship claim</x:v>
      </x:c>
      <x:c r="K181" s="24" t="str">
        <x:v>N/A</x:v>
      </x:c>
      <x:c r="L181" s="24" t="str">
        <x:v>Source package + repository path + hash</x:v>
      </x:c>
      <x:c r="M181" s="24" t="str">
        <x:v>e5edfa29856c4ef2c636a23b867992a856c204a5a8f93050ba5529e05445756d</x:v>
      </x:c>
      <x:c r="N181" s="24" t="str">
        <x:v>Assets/_Project/Data/Products/Technical/CC_ProductCatalog_Technical.asset</x:v>
      </x:c>
      <x:c r="O181" s="24" t="str">
        <x:v>81c580a2fb544c9d9eccac12c15163bf</x:v>
      </x:c>
      <x:c r="P181" s="24" t="str">
        <x:v>Sí</x:v>
      </x:c>
      <x:c r="Q181" s="24" t="str">
        <x:v>Condicionado a autoría/procedencia final</x:v>
      </x:c>
      <x:c r="R181" s="24" t="str">
        <x:v>Solo dentro del producto/build autorizado</x:v>
      </x:c>
      <x:c r="S181" s="24" t="str">
        <x:v>Crédito general del estudio; individual si aplica</x:v>
      </x:c>
      <x:c r="T181" s="24" t="str">
        <x:v>VRM Games / Blas Luis Rocha González</x:v>
      </x:c>
      <x:c r="U181" s="24" t="str">
        <x:v>CURRENT PROJECT ASSET</x:v>
      </x:c>
      <x:c r="V181" s="24" t="str">
        <x:v>CONDITIONALLY APPROVED</x:v>
      </x:c>
      <x:c r="W181" s="24" t="str">
        <x:v>Sí</x:v>
      </x:c>
      <x:c r="X181" s="24" t="str">
        <x:v>Low</x:v>
      </x:c>
      <x:c r="Y181" s="24" t="str">
        <x:v>Internal development; public candidate requires gate</x:v>
      </x:c>
      <x:c r="Z181" s="24" t="str">
        <x:v>H6 legal/content audit</x:v>
      </x:c>
      <x:c r="AA181" s="24" t="str">
        <x:v>VRM Games</x:v>
      </x:c>
      <x:c r="AB181" s="24" t="str">
        <x:v>No se detectó proveedor externo en la ruta; confirmar autoría por lote antes de release público.</x:v>
      </x:c>
    </x:row>
    <x:row r="182" ht="34" customHeight="1">
      <x:c r="A182" s="24" t="str">
        <x:v>INT-0178</x:v>
      </x:c>
      <x:c r="B182" s="24" t="str">
        <x:v>b9f100846f074d75ba09c52b44f28b3a</x:v>
      </x:c>
      <x:c r="C182" s="24" t="str">
        <x:v>CC_Product_CloudHero.asset</x:v>
      </x:c>
      <x:c r="D182" s="24" t="str">
        <x:v>Unity data asset</x:v>
      </x:c>
      <x:c r="E182" s="24" t="str">
        <x:v>Products</x:v>
      </x:c>
      <x:c r="F182" s="24" t="str">
        <x:v>VRM Games / Blas Luis Rocha González</x:v>
      </x:c>
      <x:c r="G182" s="24" t="str">
        <x:v>VRM Games / Blas Luis Rocha González</x:v>
      </x:c>
      <x:c r="H182" s="24" t="str">
        <x:v>Internal project production</x:v>
      </x:c>
      <x:c r="I182" s="24" t="str">
        <x:v>2026 project timeline</x:v>
      </x:c>
      <x:c r="J182" s="24" t="str">
        <x:v>Internal project IP / authorship claim</x:v>
      </x:c>
      <x:c r="K182" s="24" t="str">
        <x:v>N/A</x:v>
      </x:c>
      <x:c r="L182" s="24" t="str">
        <x:v>Source package + repository path + hash</x:v>
      </x:c>
      <x:c r="M182" s="24" t="str">
        <x:v>b592d524b3d901ec8e2bfa79fce0157e204f781a110e70f13b0200d98608d4e0</x:v>
      </x:c>
      <x:c r="N182" s="24" t="str">
        <x:v>Assets/_Project/Data/Products/Technical/CC_Product_CloudHero.asset</x:v>
      </x:c>
      <x:c r="O182" s="24" t="str">
        <x:v>b9f100846f074d75ba09c52b44f28b3a</x:v>
      </x:c>
      <x:c r="P182" s="24" t="str">
        <x:v>Sí</x:v>
      </x:c>
      <x:c r="Q182" s="24" t="str">
        <x:v>Condicionado a autoría/procedencia final</x:v>
      </x:c>
      <x:c r="R182" s="24" t="str">
        <x:v>Solo dentro del producto/build autorizado</x:v>
      </x:c>
      <x:c r="S182" s="24" t="str">
        <x:v>Crédito general del estudio; individual si aplica</x:v>
      </x:c>
      <x:c r="T182" s="24" t="str">
        <x:v>VRM Games / Blas Luis Rocha González</x:v>
      </x:c>
      <x:c r="U182" s="24" t="str">
        <x:v>CURRENT PROJECT ASSET</x:v>
      </x:c>
      <x:c r="V182" s="24" t="str">
        <x:v>CONDITIONALLY APPROVED</x:v>
      </x:c>
      <x:c r="W182" s="24" t="str">
        <x:v>Sí</x:v>
      </x:c>
      <x:c r="X182" s="24" t="str">
        <x:v>Low</x:v>
      </x:c>
      <x:c r="Y182" s="24" t="str">
        <x:v>Internal development; public candidate requires gate</x:v>
      </x:c>
      <x:c r="Z182" s="24" t="str">
        <x:v>H6 legal/content audit</x:v>
      </x:c>
      <x:c r="AA182" s="24" t="str">
        <x:v>VRM Games</x:v>
      </x:c>
      <x:c r="AB182" s="24" t="str">
        <x:v>No se detectó proveedor externo en la ruta; confirmar autoría por lote antes de release público.</x:v>
      </x:c>
    </x:row>
    <x:row r="183" ht="34" customHeight="1">
      <x:c r="A183" s="24" t="str">
        <x:v>INT-0179</x:v>
      </x:c>
      <x:c r="B183" s="24" t="str">
        <x:v>5d7be371bd8a4bc48df30a4adc2a1a48</x:v>
      </x:c>
      <x:c r="C183" s="24" t="str">
        <x:v>CC_Product_CloudRacers.asset</x:v>
      </x:c>
      <x:c r="D183" s="24" t="str">
        <x:v>Unity data asset</x:v>
      </x:c>
      <x:c r="E183" s="24" t="str">
        <x:v>Products</x:v>
      </x:c>
      <x:c r="F183" s="24" t="str">
        <x:v>VRM Games / Blas Luis Rocha González</x:v>
      </x:c>
      <x:c r="G183" s="24" t="str">
        <x:v>VRM Games / Blas Luis Rocha González</x:v>
      </x:c>
      <x:c r="H183" s="24" t="str">
        <x:v>Internal project production</x:v>
      </x:c>
      <x:c r="I183" s="24" t="str">
        <x:v>2026 project timeline</x:v>
      </x:c>
      <x:c r="J183" s="24" t="str">
        <x:v>Internal project IP / authorship claim</x:v>
      </x:c>
      <x:c r="K183" s="24" t="str">
        <x:v>N/A</x:v>
      </x:c>
      <x:c r="L183" s="24" t="str">
        <x:v>Source package + repository path + hash</x:v>
      </x:c>
      <x:c r="M183" s="24" t="str">
        <x:v>c780f64a17ea7c8ef499653321847d4b0694f07e28a544e293362587a5623d03</x:v>
      </x:c>
      <x:c r="N183" s="24" t="str">
        <x:v>Assets/_Project/Data/Products/Technical/CC_Product_CloudRacers.asset</x:v>
      </x:c>
      <x:c r="O183" s="24" t="str">
        <x:v>5d7be371bd8a4bc48df30a4adc2a1a48</x:v>
      </x:c>
      <x:c r="P183" s="24" t="str">
        <x:v>Sí</x:v>
      </x:c>
      <x:c r="Q183" s="24" t="str">
        <x:v>Condicionado a autoría/procedencia final</x:v>
      </x:c>
      <x:c r="R183" s="24" t="str">
        <x:v>Solo dentro del producto/build autorizado</x:v>
      </x:c>
      <x:c r="S183" s="24" t="str">
        <x:v>Crédito general del estudio; individual si aplica</x:v>
      </x:c>
      <x:c r="T183" s="24" t="str">
        <x:v>VRM Games / Blas Luis Rocha González</x:v>
      </x:c>
      <x:c r="U183" s="24" t="str">
        <x:v>CURRENT PROJECT ASSET</x:v>
      </x:c>
      <x:c r="V183" s="24" t="str">
        <x:v>CONDITIONALLY APPROVED</x:v>
      </x:c>
      <x:c r="W183" s="24" t="str">
        <x:v>Sí</x:v>
      </x:c>
      <x:c r="X183" s="24" t="str">
        <x:v>Low</x:v>
      </x:c>
      <x:c r="Y183" s="24" t="str">
        <x:v>Internal development; public candidate requires gate</x:v>
      </x:c>
      <x:c r="Z183" s="24" t="str">
        <x:v>H6 legal/content audit</x:v>
      </x:c>
      <x:c r="AA183" s="24" t="str">
        <x:v>VRM Games</x:v>
      </x:c>
      <x:c r="AB183" s="24" t="str">
        <x:v>No se detectó proveedor externo en la ruta; confirmar autoría por lote antes de release público.</x:v>
      </x:c>
    </x:row>
    <x:row r="184" ht="34" customHeight="1">
      <x:c r="A184" s="24" t="str">
        <x:v>INT-0180</x:v>
      </x:c>
      <x:c r="B184" s="24" t="str">
        <x:v>6c8ada0566d54a159b381be668324fc5</x:v>
      </x:c>
      <x:c r="C184" s="24" t="str">
        <x:v>CC_Product_MemoryCard64.asset</x:v>
      </x:c>
      <x:c r="D184" s="24" t="str">
        <x:v>Unity data asset</x:v>
      </x:c>
      <x:c r="E184" s="24" t="str">
        <x:v>Products</x:v>
      </x:c>
      <x:c r="F184" s="24" t="str">
        <x:v>VRM Games / Blas Luis Rocha González</x:v>
      </x:c>
      <x:c r="G184" s="24" t="str">
        <x:v>VRM Games / Blas Luis Rocha González</x:v>
      </x:c>
      <x:c r="H184" s="24" t="str">
        <x:v>Internal project production</x:v>
      </x:c>
      <x:c r="I184" s="24" t="str">
        <x:v>2026 project timeline</x:v>
      </x:c>
      <x:c r="J184" s="24" t="str">
        <x:v>Internal project IP / authorship claim</x:v>
      </x:c>
      <x:c r="K184" s="24" t="str">
        <x:v>N/A</x:v>
      </x:c>
      <x:c r="L184" s="24" t="str">
        <x:v>Source package + repository path + hash</x:v>
      </x:c>
      <x:c r="M184" s="24" t="str">
        <x:v>67b827d6f22ce2fde2b5bde61991aee65555f9a7e245852d7651560d3596b609</x:v>
      </x:c>
      <x:c r="N184" s="24" t="str">
        <x:v>Assets/_Project/Data/Products/Technical/CC_Product_MemoryCard64.asset</x:v>
      </x:c>
      <x:c r="O184" s="24" t="str">
        <x:v>6c8ada0566d54a159b381be668324fc5</x:v>
      </x:c>
      <x:c r="P184" s="24" t="str">
        <x:v>Sí</x:v>
      </x:c>
      <x:c r="Q184" s="24" t="str">
        <x:v>Condicionado a autoría/procedencia final</x:v>
      </x:c>
      <x:c r="R184" s="24" t="str">
        <x:v>Solo dentro del producto/build autorizado</x:v>
      </x:c>
      <x:c r="S184" s="24" t="str">
        <x:v>Crédito general del estudio; individual si aplica</x:v>
      </x:c>
      <x:c r="T184" s="24" t="str">
        <x:v>VRM Games / Blas Luis Rocha González</x:v>
      </x:c>
      <x:c r="U184" s="24" t="str">
        <x:v>CURRENT PROJECT ASSET</x:v>
      </x:c>
      <x:c r="V184" s="24" t="str">
        <x:v>CONDITIONALLY APPROVED</x:v>
      </x:c>
      <x:c r="W184" s="24" t="str">
        <x:v>Sí</x:v>
      </x:c>
      <x:c r="X184" s="24" t="str">
        <x:v>Low</x:v>
      </x:c>
      <x:c r="Y184" s="24" t="str">
        <x:v>Internal development; public candidate requires gate</x:v>
      </x:c>
      <x:c r="Z184" s="24" t="str">
        <x:v>H6 legal/content audit</x:v>
      </x:c>
      <x:c r="AA184" s="24" t="str">
        <x:v>VRM Games</x:v>
      </x:c>
      <x:c r="AB184" s="24" t="str">
        <x:v>No se detectó proveedor externo en la ruta; confirmar autoría por lote antes de release público.</x:v>
      </x:c>
    </x:row>
    <x:row r="185" ht="34" customHeight="1">
      <x:c r="A185" s="24" t="str">
        <x:v>INT-0181</x:v>
      </x:c>
      <x:c r="B185" s="24" t="str">
        <x:v>d91ff75141954b1589b244fa20228938</x:v>
      </x:c>
      <x:c r="C185" s="24" t="str">
        <x:v>CC_Product_Nebula8.asset</x:v>
      </x:c>
      <x:c r="D185" s="24" t="str">
        <x:v>Unity data asset</x:v>
      </x:c>
      <x:c r="E185" s="24" t="str">
        <x:v>Products</x:v>
      </x:c>
      <x:c r="F185" s="24" t="str">
        <x:v>VRM Games / Blas Luis Rocha González</x:v>
      </x:c>
      <x:c r="G185" s="24" t="str">
        <x:v>VRM Games / Blas Luis Rocha González</x:v>
      </x:c>
      <x:c r="H185" s="24" t="str">
        <x:v>Internal project production</x:v>
      </x:c>
      <x:c r="I185" s="24" t="str">
        <x:v>2026 project timeline</x:v>
      </x:c>
      <x:c r="J185" s="24" t="str">
        <x:v>Internal project IP / authorship claim</x:v>
      </x:c>
      <x:c r="K185" s="24" t="str">
        <x:v>N/A</x:v>
      </x:c>
      <x:c r="L185" s="24" t="str">
        <x:v>Source package + repository path + hash</x:v>
      </x:c>
      <x:c r="M185" s="24" t="str">
        <x:v>e808ddb962e3d4dfa017e1ecf92b93592378dca28fb51110d83a0e5da4c0cd73</x:v>
      </x:c>
      <x:c r="N185" s="24" t="str">
        <x:v>Assets/_Project/Data/Products/Technical/CC_Product_Nebula8.asset</x:v>
      </x:c>
      <x:c r="O185" s="24" t="str">
        <x:v>d91ff75141954b1589b244fa20228938</x:v>
      </x:c>
      <x:c r="P185" s="24" t="str">
        <x:v>Sí</x:v>
      </x:c>
      <x:c r="Q185" s="24" t="str">
        <x:v>Condicionado a autoría/procedencia final</x:v>
      </x:c>
      <x:c r="R185" s="24" t="str">
        <x:v>Solo dentro del producto/build autorizado</x:v>
      </x:c>
      <x:c r="S185" s="24" t="str">
        <x:v>Crédito general del estudio; individual si aplica</x:v>
      </x:c>
      <x:c r="T185" s="24" t="str">
        <x:v>VRM Games / Blas Luis Rocha González</x:v>
      </x:c>
      <x:c r="U185" s="24" t="str">
        <x:v>CURRENT PROJECT ASSET</x:v>
      </x:c>
      <x:c r="V185" s="24" t="str">
        <x:v>CONDITIONALLY APPROVED</x:v>
      </x:c>
      <x:c r="W185" s="24" t="str">
        <x:v>Sí</x:v>
      </x:c>
      <x:c r="X185" s="24" t="str">
        <x:v>Low</x:v>
      </x:c>
      <x:c r="Y185" s="24" t="str">
        <x:v>Internal development; public candidate requires gate</x:v>
      </x:c>
      <x:c r="Z185" s="24" t="str">
        <x:v>H6 legal/content audit</x:v>
      </x:c>
      <x:c r="AA185" s="24" t="str">
        <x:v>VRM Games</x:v>
      </x:c>
      <x:c r="AB185" s="24" t="str">
        <x:v>No se detectó proveedor externo en la ruta; confirmar autoría por lote antes de release público.</x:v>
      </x:c>
    </x:row>
    <x:row r="186" ht="34" customHeight="1">
      <x:c r="A186" s="24" t="str">
        <x:v>INT-0182</x:v>
      </x:c>
      <x:c r="B186" s="24" t="str">
        <x:v>8da4aa2a2154473a8ed3ed4cabd673c7</x:v>
      </x:c>
      <x:c r="C186" s="24" t="str">
        <x:v>CC_Product_OrbitPad.asset</x:v>
      </x:c>
      <x:c r="D186" s="24" t="str">
        <x:v>Unity data asset</x:v>
      </x:c>
      <x:c r="E186" s="24" t="str">
        <x:v>Products</x:v>
      </x:c>
      <x:c r="F186" s="24" t="str">
        <x:v>VRM Games / Blas Luis Rocha González</x:v>
      </x:c>
      <x:c r="G186" s="24" t="str">
        <x:v>VRM Games / Blas Luis Rocha González</x:v>
      </x:c>
      <x:c r="H186" s="24" t="str">
        <x:v>Internal project production</x:v>
      </x:c>
      <x:c r="I186" s="24" t="str">
        <x:v>2026 project timeline</x:v>
      </x:c>
      <x:c r="J186" s="24" t="str">
        <x:v>Internal project IP / authorship claim</x:v>
      </x:c>
      <x:c r="K186" s="24" t="str">
        <x:v>N/A</x:v>
      </x:c>
      <x:c r="L186" s="24" t="str">
        <x:v>Source package + repository path + hash</x:v>
      </x:c>
      <x:c r="M186" s="24" t="str">
        <x:v>3543de6d3bb520ae72b626591b3355b5ca64fb081f5a08ebdc8efeb7b4c78e24</x:v>
      </x:c>
      <x:c r="N186" s="24" t="str">
        <x:v>Assets/_Project/Data/Products/Technical/CC_Product_OrbitPad.asset</x:v>
      </x:c>
      <x:c r="O186" s="24" t="str">
        <x:v>8da4aa2a2154473a8ed3ed4cabd673c7</x:v>
      </x:c>
      <x:c r="P186" s="24" t="str">
        <x:v>Sí</x:v>
      </x:c>
      <x:c r="Q186" s="24" t="str">
        <x:v>Condicionado a autoría/procedencia final</x:v>
      </x:c>
      <x:c r="R186" s="24" t="str">
        <x:v>Solo dentro del producto/build autorizado</x:v>
      </x:c>
      <x:c r="S186" s="24" t="str">
        <x:v>Crédito general del estudio; individual si aplica</x:v>
      </x:c>
      <x:c r="T186" s="24" t="str">
        <x:v>VRM Games / Blas Luis Rocha González</x:v>
      </x:c>
      <x:c r="U186" s="24" t="str">
        <x:v>CURRENT PROJECT ASSET</x:v>
      </x:c>
      <x:c r="V186" s="24" t="str">
        <x:v>CONDITIONALLY APPROVED</x:v>
      </x:c>
      <x:c r="W186" s="24" t="str">
        <x:v>Sí</x:v>
      </x:c>
      <x:c r="X186" s="24" t="str">
        <x:v>Low</x:v>
      </x:c>
      <x:c r="Y186" s="24" t="str">
        <x:v>Internal development; public candidate requires gate</x:v>
      </x:c>
      <x:c r="Z186" s="24" t="str">
        <x:v>H6 legal/content audit</x:v>
      </x:c>
      <x:c r="AA186" s="24" t="str">
        <x:v>VRM Games</x:v>
      </x:c>
      <x:c r="AB186" s="24" t="str">
        <x:v>No se detectó proveedor externo en la ruta; confirmar autoría por lote antes de release público.</x:v>
      </x:c>
    </x:row>
    <x:row r="187" ht="34" customHeight="1">
      <x:c r="A187" s="24" t="str">
        <x:v>INT-0183</x:v>
      </x:c>
      <x:c r="B187" s="24" t="str">
        <x:v>b43b3ab75c6e45c69fbb1fb70efa9bc8</x:v>
      </x:c>
      <x:c r="C187" s="24" t="str">
        <x:v>CC_Product_PixelQuest.asset</x:v>
      </x:c>
      <x:c r="D187" s="24" t="str">
        <x:v>Unity data asset</x:v>
      </x:c>
      <x:c r="E187" s="24" t="str">
        <x:v>Products</x:v>
      </x:c>
      <x:c r="F187" s="24" t="str">
        <x:v>VRM Games / Blas Luis Rocha González</x:v>
      </x:c>
      <x:c r="G187" s="24" t="str">
        <x:v>VRM Games / Blas Luis Rocha González</x:v>
      </x:c>
      <x:c r="H187" s="24" t="str">
        <x:v>Internal project production</x:v>
      </x:c>
      <x:c r="I187" s="24" t="str">
        <x:v>2026 project timeline</x:v>
      </x:c>
      <x:c r="J187" s="24" t="str">
        <x:v>Internal project IP / authorship claim</x:v>
      </x:c>
      <x:c r="K187" s="24" t="str">
        <x:v>N/A</x:v>
      </x:c>
      <x:c r="L187" s="24" t="str">
        <x:v>Source package + repository path + hash</x:v>
      </x:c>
      <x:c r="M187" s="24" t="str">
        <x:v>faee7d6c4937fde88a19957827744d4021d4150bcf68e1458eff7cad79c53ab1</x:v>
      </x:c>
      <x:c r="N187" s="24" t="str">
        <x:v>Assets/_Project/Data/Products/Technical/CC_Product_PixelQuest.asset</x:v>
      </x:c>
      <x:c r="O187" s="24" t="str">
        <x:v>b43b3ab75c6e45c69fbb1fb70efa9bc8</x:v>
      </x:c>
      <x:c r="P187" s="24" t="str">
        <x:v>Sí</x:v>
      </x:c>
      <x:c r="Q187" s="24" t="str">
        <x:v>Condicionado a autoría/procedencia final</x:v>
      </x:c>
      <x:c r="R187" s="24" t="str">
        <x:v>Solo dentro del producto/build autorizado</x:v>
      </x:c>
      <x:c r="S187" s="24" t="str">
        <x:v>Crédito general del estudio; individual si aplica</x:v>
      </x:c>
      <x:c r="T187" s="24" t="str">
        <x:v>VRM Games / Blas Luis Rocha González</x:v>
      </x:c>
      <x:c r="U187" s="24" t="str">
        <x:v>CURRENT PROJECT ASSET</x:v>
      </x:c>
      <x:c r="V187" s="24" t="str">
        <x:v>CONDITIONALLY APPROVED</x:v>
      </x:c>
      <x:c r="W187" s="24" t="str">
        <x:v>Sí</x:v>
      </x:c>
      <x:c r="X187" s="24" t="str">
        <x:v>Low</x:v>
      </x:c>
      <x:c r="Y187" s="24" t="str">
        <x:v>Internal development; public candidate requires gate</x:v>
      </x:c>
      <x:c r="Z187" s="24" t="str">
        <x:v>H6 legal/content audit</x:v>
      </x:c>
      <x:c r="AA187" s="24" t="str">
        <x:v>VRM Games</x:v>
      </x:c>
      <x:c r="AB187" s="24" t="str">
        <x:v>No se detectó proveedor externo en la ruta; confirmar autoría por lote antes de release público.</x:v>
      </x:c>
    </x:row>
    <x:row r="188" ht="34" customHeight="1">
      <x:c r="A188" s="24" t="str">
        <x:v>INT-0184</x:v>
      </x:c>
      <x:c r="B188" s="24" t="str">
        <x:v>eb68022dcb5c40609f8acb66bf981a4f</x:v>
      </x:c>
      <x:c r="C188" s="24" t="str">
        <x:v>CC_ShoppingSettings_Technical.asset</x:v>
      </x:c>
      <x:c r="D188" s="24" t="str">
        <x:v>Unity data asset</x:v>
      </x:c>
      <x:c r="E188" s="24" t="str">
        <x:v>Shopping</x:v>
      </x:c>
      <x:c r="F188" s="24" t="str">
        <x:v>VRM Games / Blas Luis Rocha González</x:v>
      </x:c>
      <x:c r="G188" s="24" t="str">
        <x:v>VRM Games / Blas Luis Rocha González</x:v>
      </x:c>
      <x:c r="H188" s="24" t="str">
        <x:v>Internal project production</x:v>
      </x:c>
      <x:c r="I188" s="24" t="str">
        <x:v>2026 project timeline</x:v>
      </x:c>
      <x:c r="J188" s="24" t="str">
        <x:v>Internal project IP / authorship claim</x:v>
      </x:c>
      <x:c r="K188" s="24" t="str">
        <x:v>N/A</x:v>
      </x:c>
      <x:c r="L188" s="24" t="str">
        <x:v>Source package + repository path + hash</x:v>
      </x:c>
      <x:c r="M188" s="24" t="str">
        <x:v>19d2261232a43dc0c645e2ccee22fbe8eb94e10d81cee373e1bb353646225adc</x:v>
      </x:c>
      <x:c r="N188" s="24" t="str">
        <x:v>Assets/_Project/Data/Shopping/Technical/CC_ShoppingSettings_Technical.asset</x:v>
      </x:c>
      <x:c r="O188" s="24" t="str">
        <x:v>eb68022dcb5c40609f8acb66bf981a4f</x:v>
      </x:c>
      <x:c r="P188" s="24" t="str">
        <x:v>Sí</x:v>
      </x:c>
      <x:c r="Q188" s="24" t="str">
        <x:v>Condicionado a autoría/procedencia final</x:v>
      </x:c>
      <x:c r="R188" s="24" t="str">
        <x:v>Solo dentro del producto/build autorizado</x:v>
      </x:c>
      <x:c r="S188" s="24" t="str">
        <x:v>Crédito general del estudio; individual si aplica</x:v>
      </x:c>
      <x:c r="T188" s="24" t="str">
        <x:v>VRM Games / Blas Luis Rocha González</x:v>
      </x:c>
      <x:c r="U188" s="24" t="str">
        <x:v>CURRENT PROJECT ASSET</x:v>
      </x:c>
      <x:c r="V188" s="24" t="str">
        <x:v>CONDITIONALLY APPROVED</x:v>
      </x:c>
      <x:c r="W188" s="24" t="str">
        <x:v>Sí</x:v>
      </x:c>
      <x:c r="X188" s="24" t="str">
        <x:v>Low</x:v>
      </x:c>
      <x:c r="Y188" s="24" t="str">
        <x:v>Internal development; public candidate requires gate</x:v>
      </x:c>
      <x:c r="Z188" s="24" t="str">
        <x:v>H6 legal/content audit</x:v>
      </x:c>
      <x:c r="AA188" s="24" t="str">
        <x:v>VRM Games</x:v>
      </x:c>
      <x:c r="AB188" s="24" t="str">
        <x:v>No se detectó proveedor externo en la ruta; confirmar autoría por lote antes de release público.</x:v>
      </x:c>
    </x:row>
    <x:row r="189" ht="34" customHeight="1">
      <x:c r="A189" s="24" t="str">
        <x:v>INT-0185</x:v>
      </x:c>
      <x:c r="B189" s="24" t="str">
        <x:v>246c0ab3f76cd3e070433c6651cf32c7</x:v>
      </x:c>
      <x:c r="C189" s="24" t="str">
        <x:v>StoreShell.asset</x:v>
      </x:c>
      <x:c r="D189" s="24" t="str">
        <x:v>Unity data asset</x:v>
      </x:c>
      <x:c r="E189" s="24" t="str">
        <x:v>Store</x:v>
      </x:c>
      <x:c r="F189" s="24" t="str">
        <x:v>VRM Games / Blas Luis Rocha González</x:v>
      </x:c>
      <x:c r="G189" s="24" t="str">
        <x:v>VRM Games / Blas Luis Rocha González</x:v>
      </x:c>
      <x:c r="H189" s="24" t="str">
        <x:v>Internal project production</x:v>
      </x:c>
      <x:c r="I189" s="24" t="str">
        <x:v>2026 project timeline</x:v>
      </x:c>
      <x:c r="J189" s="24" t="str">
        <x:v>Internal project IP / authorship claim</x:v>
      </x:c>
      <x:c r="K189" s="24" t="str">
        <x:v>N/A</x:v>
      </x:c>
      <x:c r="L189" s="24" t="str">
        <x:v>Source package + repository path + hash</x:v>
      </x:c>
      <x:c r="M189" s="24" t="str">
        <x:v>141fa47e0757d68088ed636ddc458f496c3460b2dbc1a15cd8542577ccc655d8</x:v>
      </x:c>
      <x:c r="N189" s="24" t="str">
        <x:v>Assets/_Project/Data/Store/StoreShell.asset</x:v>
      </x:c>
      <x:c r="O189" s="24" t="str">
        <x:v>246c0ab3f76cd3e070433c6651cf32c7</x:v>
      </x:c>
      <x:c r="P189" s="24" t="str">
        <x:v>Sí</x:v>
      </x:c>
      <x:c r="Q189" s="24" t="str">
        <x:v>Condicionado a autoría/procedencia final</x:v>
      </x:c>
      <x:c r="R189" s="24" t="str">
        <x:v>Solo dentro del producto/build autorizado</x:v>
      </x:c>
      <x:c r="S189" s="24" t="str">
        <x:v>Crédito general del estudio; individual si aplica</x:v>
      </x:c>
      <x:c r="T189" s="24" t="str">
        <x:v>VRM Games / Blas Luis Rocha González</x:v>
      </x:c>
      <x:c r="U189" s="24" t="str">
        <x:v>CURRENT PROJECT ASSET</x:v>
      </x:c>
      <x:c r="V189" s="24" t="str">
        <x:v>CONDITIONALLY APPROVED</x:v>
      </x:c>
      <x:c r="W189" s="24" t="str">
        <x:v>Sí</x:v>
      </x:c>
      <x:c r="X189" s="24" t="str">
        <x:v>Low</x:v>
      </x:c>
      <x:c r="Y189" s="24" t="str">
        <x:v>Internal development; public candidate requires gate</x:v>
      </x:c>
      <x:c r="Z189" s="24" t="str">
        <x:v>H6 legal/content audit</x:v>
      </x:c>
      <x:c r="AA189" s="24" t="str">
        <x:v>VRM Games</x:v>
      </x:c>
      <x:c r="AB189" s="24" t="str">
        <x:v>No se detectó proveedor externo en la ruta; confirmar autoría por lote antes de release público.</x:v>
      </x:c>
    </x:row>
    <x:row r="190" ht="34" customHeight="1">
      <x:c r="A190" s="24" t="str">
        <x:v>INT-0186</x:v>
      </x:c>
      <x:c r="B190" s="24" t="str">
        <x:v>2650103f7ceb496e94c5bc7eb4c23541</x:v>
      </x:c>
      <x:c r="C190" s="24" t="str">
        <x:v>CC_SupplierCatalog_NebulaDistribution.asset</x:v>
      </x:c>
      <x:c r="D190" s="24" t="str">
        <x:v>Unity data asset</x:v>
      </x:c>
      <x:c r="E190" s="24" t="str">
        <x:v>Suppliers</x:v>
      </x:c>
      <x:c r="F190" s="24" t="str">
        <x:v>VRM Games / Blas Luis Rocha González</x:v>
      </x:c>
      <x:c r="G190" s="24" t="str">
        <x:v>VRM Games / Blas Luis Rocha González</x:v>
      </x:c>
      <x:c r="H190" s="24" t="str">
        <x:v>Internal project production</x:v>
      </x:c>
      <x:c r="I190" s="24" t="str">
        <x:v>2026 project timeline</x:v>
      </x:c>
      <x:c r="J190" s="24" t="str">
        <x:v>Internal project IP / authorship claim</x:v>
      </x:c>
      <x:c r="K190" s="24" t="str">
        <x:v>N/A</x:v>
      </x:c>
      <x:c r="L190" s="24" t="str">
        <x:v>Source package + repository path + hash</x:v>
      </x:c>
      <x:c r="M190" s="24" t="str">
        <x:v>e4b4dea8cdbf7e9d7d501ff6985d7ca737d409978d3cf05077a7b237f67af713</x:v>
      </x:c>
      <x:c r="N190" s="24" t="str">
        <x:v>Assets/_Project/Data/Suppliers/Technical/CC_SupplierCatalog_NebulaDistribution.asset</x:v>
      </x:c>
      <x:c r="O190" s="24" t="str">
        <x:v>2650103f7ceb496e94c5bc7eb4c23541</x:v>
      </x:c>
      <x:c r="P190" s="24" t="str">
        <x:v>Sí</x:v>
      </x:c>
      <x:c r="Q190" s="24" t="str">
        <x:v>Condicionado a autoría/procedencia final</x:v>
      </x:c>
      <x:c r="R190" s="24" t="str">
        <x:v>Solo dentro del producto/build autorizado</x:v>
      </x:c>
      <x:c r="S190" s="24" t="str">
        <x:v>Crédito general del estudio; individual si aplica</x:v>
      </x:c>
      <x:c r="T190" s="24" t="str">
        <x:v>VRM Games / Blas Luis Rocha González</x:v>
      </x:c>
      <x:c r="U190" s="24" t="str">
        <x:v>CURRENT PROJECT ASSET</x:v>
      </x:c>
      <x:c r="V190" s="24" t="str">
        <x:v>CONDITIONALLY APPROVED</x:v>
      </x:c>
      <x:c r="W190" s="24" t="str">
        <x:v>Sí</x:v>
      </x:c>
      <x:c r="X190" s="24" t="str">
        <x:v>Low</x:v>
      </x:c>
      <x:c r="Y190" s="24" t="str">
        <x:v>Internal development; public candidate requires gate</x:v>
      </x:c>
      <x:c r="Z190" s="24" t="str">
        <x:v>H6 legal/content audit</x:v>
      </x:c>
      <x:c r="AA190" s="24" t="str">
        <x:v>VRM Games</x:v>
      </x:c>
      <x:c r="AB190" s="24" t="str">
        <x:v>No se detectó proveedor externo en la ruta; confirmar autoría por lote antes de release público.</x:v>
      </x:c>
    </x:row>
    <x:row r="191" ht="34" customHeight="1">
      <x:c r="A191" s="24" t="str">
        <x:v>INT-0187</x:v>
      </x:c>
      <x:c r="B191" s="24" t="str">
        <x:v>f6038ebb4cba4fa480fce1f14d3b51df</x:v>
      </x:c>
      <x:c r="C191" s="24" t="str">
        <x:v>CC_SupplierCatalog_PixelParcel.asset</x:v>
      </x:c>
      <x:c r="D191" s="24" t="str">
        <x:v>Unity data asset</x:v>
      </x:c>
      <x:c r="E191" s="24" t="str">
        <x:v>Suppliers</x:v>
      </x:c>
      <x:c r="F191" s="24" t="str">
        <x:v>VRM Games / Blas Luis Rocha González</x:v>
      </x:c>
      <x:c r="G191" s="24" t="str">
        <x:v>VRM Games / Blas Luis Rocha González</x:v>
      </x:c>
      <x:c r="H191" s="24" t="str">
        <x:v>Internal project production</x:v>
      </x:c>
      <x:c r="I191" s="24" t="str">
        <x:v>2026 project timeline</x:v>
      </x:c>
      <x:c r="J191" s="24" t="str">
        <x:v>Internal project IP / authorship claim</x:v>
      </x:c>
      <x:c r="K191" s="24" t="str">
        <x:v>N/A</x:v>
      </x:c>
      <x:c r="L191" s="24" t="str">
        <x:v>Source package + repository path + hash</x:v>
      </x:c>
      <x:c r="M191" s="24" t="str">
        <x:v>687f612f0e40faed8fa2894cf071890bc22226b403bce847b3015a60af9cc6e9</x:v>
      </x:c>
      <x:c r="N191" s="24" t="str">
        <x:v>Assets/_Project/Data/Suppliers/Technical/CC_SupplierCatalog_PixelParcel.asset</x:v>
      </x:c>
      <x:c r="O191" s="24" t="str">
        <x:v>f6038ebb4cba4fa480fce1f14d3b51df</x:v>
      </x:c>
      <x:c r="P191" s="24" t="str">
        <x:v>Sí</x:v>
      </x:c>
      <x:c r="Q191" s="24" t="str">
        <x:v>Condicionado a autoría/procedencia final</x:v>
      </x:c>
      <x:c r="R191" s="24" t="str">
        <x:v>Solo dentro del producto/build autorizado</x:v>
      </x:c>
      <x:c r="S191" s="24" t="str">
        <x:v>Crédito general del estudio; individual si aplica</x:v>
      </x:c>
      <x:c r="T191" s="24" t="str">
        <x:v>VRM Games / Blas Luis Rocha González</x:v>
      </x:c>
      <x:c r="U191" s="24" t="str">
        <x:v>CURRENT PROJECT ASSET</x:v>
      </x:c>
      <x:c r="V191" s="24" t="str">
        <x:v>CONDITIONALLY APPROVED</x:v>
      </x:c>
      <x:c r="W191" s="24" t="str">
        <x:v>Sí</x:v>
      </x:c>
      <x:c r="X191" s="24" t="str">
        <x:v>Low</x:v>
      </x:c>
      <x:c r="Y191" s="24" t="str">
        <x:v>Internal development; public candidate requires gate</x:v>
      </x:c>
      <x:c r="Z191" s="24" t="str">
        <x:v>H6 legal/content audit</x:v>
      </x:c>
      <x:c r="AA191" s="24" t="str">
        <x:v>VRM Games</x:v>
      </x:c>
      <x:c r="AB191" s="24" t="str">
        <x:v>No se detectó proveedor externo en la ruta; confirmar autoría por lote antes de release público.</x:v>
      </x:c>
    </x:row>
    <x:row r="192" ht="34" customHeight="1">
      <x:c r="A192" s="24" t="str">
        <x:v>INT-0188</x:v>
      </x:c>
      <x:c r="B192" s="24" t="str">
        <x:v>1cf16838a1df4081b0e95eac47a700c2</x:v>
      </x:c>
      <x:c r="C192" s="24" t="str">
        <x:v>CC_Supplier_NebulaDistribution.asset</x:v>
      </x:c>
      <x:c r="D192" s="24" t="str">
        <x:v>Unity data asset</x:v>
      </x:c>
      <x:c r="E192" s="24" t="str">
        <x:v>Suppliers</x:v>
      </x:c>
      <x:c r="F192" s="24" t="str">
        <x:v>VRM Games / Blas Luis Rocha González</x:v>
      </x:c>
      <x:c r="G192" s="24" t="str">
        <x:v>VRM Games / Blas Luis Rocha González</x:v>
      </x:c>
      <x:c r="H192" s="24" t="str">
        <x:v>Internal project production</x:v>
      </x:c>
      <x:c r="I192" s="24" t="str">
        <x:v>2026 project timeline</x:v>
      </x:c>
      <x:c r="J192" s="24" t="str">
        <x:v>Internal project IP / authorship claim</x:v>
      </x:c>
      <x:c r="K192" s="24" t="str">
        <x:v>N/A</x:v>
      </x:c>
      <x:c r="L192" s="24" t="str">
        <x:v>Source package + repository path + hash</x:v>
      </x:c>
      <x:c r="M192" s="24" t="str">
        <x:v>17ac76951a57d5ac30e8fbb78f76ab76e15c0e2c66d0155ecdb8b93b17b2b22c</x:v>
      </x:c>
      <x:c r="N192" s="24" t="str">
        <x:v>Assets/_Project/Data/Suppliers/Technical/CC_Supplier_NebulaDistribution.asset</x:v>
      </x:c>
      <x:c r="O192" s="24" t="str">
        <x:v>1cf16838a1df4081b0e95eac47a700c2</x:v>
      </x:c>
      <x:c r="P192" s="24" t="str">
        <x:v>Sí</x:v>
      </x:c>
      <x:c r="Q192" s="24" t="str">
        <x:v>Condicionado a autoría/procedencia final</x:v>
      </x:c>
      <x:c r="R192" s="24" t="str">
        <x:v>Solo dentro del producto/build autorizado</x:v>
      </x:c>
      <x:c r="S192" s="24" t="str">
        <x:v>Crédito general del estudio; individual si aplica</x:v>
      </x:c>
      <x:c r="T192" s="24" t="str">
        <x:v>VRM Games / Blas Luis Rocha González</x:v>
      </x:c>
      <x:c r="U192" s="24" t="str">
        <x:v>CURRENT PROJECT ASSET</x:v>
      </x:c>
      <x:c r="V192" s="24" t="str">
        <x:v>CONDITIONALLY APPROVED</x:v>
      </x:c>
      <x:c r="W192" s="24" t="str">
        <x:v>Sí</x:v>
      </x:c>
      <x:c r="X192" s="24" t="str">
        <x:v>Low</x:v>
      </x:c>
      <x:c r="Y192" s="24" t="str">
        <x:v>Internal development; public candidate requires gate</x:v>
      </x:c>
      <x:c r="Z192" s="24" t="str">
        <x:v>H6 legal/content audit</x:v>
      </x:c>
      <x:c r="AA192" s="24" t="str">
        <x:v>VRM Games</x:v>
      </x:c>
      <x:c r="AB192" s="24" t="str">
        <x:v>No se detectó proveedor externo en la ruta; confirmar autoría por lote antes de release público.</x:v>
      </x:c>
    </x:row>
    <x:row r="193" ht="34" customHeight="1">
      <x:c r="A193" s="24" t="str">
        <x:v>INT-0189</x:v>
      </x:c>
      <x:c r="B193" s="24" t="str">
        <x:v>58adf7b912ac4984a21146cb7e7ccc72</x:v>
      </x:c>
      <x:c r="C193" s="24" t="str">
        <x:v>CC_Supplier_PixelParcel.asset</x:v>
      </x:c>
      <x:c r="D193" s="24" t="str">
        <x:v>Unity data asset</x:v>
      </x:c>
      <x:c r="E193" s="24" t="str">
        <x:v>Suppliers</x:v>
      </x:c>
      <x:c r="F193" s="24" t="str">
        <x:v>VRM Games / Blas Luis Rocha González</x:v>
      </x:c>
      <x:c r="G193" s="24" t="str">
        <x:v>VRM Games / Blas Luis Rocha González</x:v>
      </x:c>
      <x:c r="H193" s="24" t="str">
        <x:v>Internal project production</x:v>
      </x:c>
      <x:c r="I193" s="24" t="str">
        <x:v>2026 project timeline</x:v>
      </x:c>
      <x:c r="J193" s="24" t="str">
        <x:v>Internal project IP / authorship claim</x:v>
      </x:c>
      <x:c r="K193" s="24" t="str">
        <x:v>N/A</x:v>
      </x:c>
      <x:c r="L193" s="24" t="str">
        <x:v>Source package + repository path + hash</x:v>
      </x:c>
      <x:c r="M193" s="24" t="str">
        <x:v>233346e575b9c4ccdd26896cce364f031bc8cbd009ded2d27f790125bf49d5b3</x:v>
      </x:c>
      <x:c r="N193" s="24" t="str">
        <x:v>Assets/_Project/Data/Suppliers/Technical/CC_Supplier_PixelParcel.asset</x:v>
      </x:c>
      <x:c r="O193" s="24" t="str">
        <x:v>58adf7b912ac4984a21146cb7e7ccc72</x:v>
      </x:c>
      <x:c r="P193" s="24" t="str">
        <x:v>Sí</x:v>
      </x:c>
      <x:c r="Q193" s="24" t="str">
        <x:v>Condicionado a autoría/procedencia final</x:v>
      </x:c>
      <x:c r="R193" s="24" t="str">
        <x:v>Solo dentro del producto/build autorizado</x:v>
      </x:c>
      <x:c r="S193" s="24" t="str">
        <x:v>Crédito general del estudio; individual si aplica</x:v>
      </x:c>
      <x:c r="T193" s="24" t="str">
        <x:v>VRM Games / Blas Luis Rocha González</x:v>
      </x:c>
      <x:c r="U193" s="24" t="str">
        <x:v>CURRENT PROJECT ASSET</x:v>
      </x:c>
      <x:c r="V193" s="24" t="str">
        <x:v>CONDITIONALLY APPROVED</x:v>
      </x:c>
      <x:c r="W193" s="24" t="str">
        <x:v>Sí</x:v>
      </x:c>
      <x:c r="X193" s="24" t="str">
        <x:v>Low</x:v>
      </x:c>
      <x:c r="Y193" s="24" t="str">
        <x:v>Internal development; public candidate requires gate</x:v>
      </x:c>
      <x:c r="Z193" s="24" t="str">
        <x:v>H6 legal/content audit</x:v>
      </x:c>
      <x:c r="AA193" s="24" t="str">
        <x:v>VRM Games</x:v>
      </x:c>
      <x:c r="AB193" s="24" t="str">
        <x:v>No se detectó proveedor externo en la ruta; confirmar autoría por lote antes de release público.</x:v>
      </x:c>
    </x:row>
    <x:row r="194" ht="34" customHeight="1">
      <x:c r="A194" s="24" t="str">
        <x:v>INT-0190</x:v>
      </x:c>
      <x:c r="B194" s="24" t="str">
        <x:v>f62921b990178964e95d3da7e94ed5be</x:v>
      </x:c>
      <x:c r="C194" s="24" t="str">
        <x:v>ProjectAssetOrganizationMigration.cs</x:v>
      </x:c>
      <x:c r="D194" s="24" t="str">
        <x:v>Code</x:v>
      </x:c>
      <x:c r="E194" s="24" t="str">
        <x:v>ProjectOrganization</x:v>
      </x:c>
      <x:c r="F194" s="24" t="str">
        <x:v>VRM Games / Blas Luis Rocha González</x:v>
      </x:c>
      <x:c r="G194" s="24" t="str">
        <x:v>VRM Games / Blas Luis Rocha González</x:v>
      </x:c>
      <x:c r="H194" s="24" t="str">
        <x:v>Internal project production</x:v>
      </x:c>
      <x:c r="I194" s="24" t="str">
        <x:v>2026 project timeline</x:v>
      </x:c>
      <x:c r="J194" s="24" t="str">
        <x:v>Internal project IP / authorship claim</x:v>
      </x:c>
      <x:c r="K194" s="24" t="str">
        <x:v>N/A</x:v>
      </x:c>
      <x:c r="L194" s="24" t="str">
        <x:v>Source package + repository path + hash</x:v>
      </x:c>
      <x:c r="M194" s="24" t="str">
        <x:v>44b80af342c4b00a788a607a1a0f2a796f920c610acabef911d2481a599aba45</x:v>
      </x:c>
      <x:c r="N194" s="24" t="str">
        <x:v>Assets/_Project/Editor/ProjectOrganization/ProjectAssetOrganizationMigration.cs</x:v>
      </x:c>
      <x:c r="O194" s="24" t="str">
        <x:v>f62921b990178964e95d3da7e94ed5be</x:v>
      </x:c>
      <x:c r="P194" s="24" t="str">
        <x:v>Sí</x:v>
      </x:c>
      <x:c r="Q194" s="24" t="str">
        <x:v>Condicionado a autoría/procedencia final</x:v>
      </x:c>
      <x:c r="R194" s="24" t="str">
        <x:v>Solo dentro del producto/build autorizado</x:v>
      </x:c>
      <x:c r="S194" s="24" t="str">
        <x:v>Crédito general del estudio; individual si aplica</x:v>
      </x:c>
      <x:c r="T194" s="24" t="str">
        <x:v>VRM Games / Blas Luis Rocha González</x:v>
      </x:c>
      <x:c r="U194" s="24" t="str">
        <x:v>CURRENT PROJECT ASSET</x:v>
      </x:c>
      <x:c r="V194" s="24" t="str">
        <x:v>CONDITIONALLY APPROVED</x:v>
      </x:c>
      <x:c r="W194" s="24" t="str">
        <x:v>Sí</x:v>
      </x:c>
      <x:c r="X194" s="24" t="str">
        <x:v>Low</x:v>
      </x:c>
      <x:c r="Y194" s="24" t="str">
        <x:v>Internal development; public candidate requires gate</x:v>
      </x:c>
      <x:c r="Z194" s="24" t="str">
        <x:v>H6 legal/content audit</x:v>
      </x:c>
      <x:c r="AA194" s="24" t="str">
        <x:v>VRM Games</x:v>
      </x:c>
      <x:c r="AB194" s="24" t="str">
        <x:v>No se detectó proveedor externo en la ruta; confirmar autoría por lote antes de release público.</x:v>
      </x:c>
    </x:row>
    <x:row r="195" ht="34" customHeight="1">
      <x:c r="A195" s="24" t="str">
        <x:v>INT-0191</x:v>
      </x:c>
      <x:c r="B195" s="24" t="str">
        <x:v>4c6f7d8432b752b4695fea129c160281</x:v>
      </x:c>
      <x:c r="C195" s="24" t="str">
        <x:v>ProjectAssetOrganizationPlayModeRepair.cs</x:v>
      </x:c>
      <x:c r="D195" s="24" t="str">
        <x:v>Code</x:v>
      </x:c>
      <x:c r="E195" s="24" t="str">
        <x:v>ProjectOrganization</x:v>
      </x:c>
      <x:c r="F195" s="24" t="str">
        <x:v>VRM Games / Blas Luis Rocha González</x:v>
      </x:c>
      <x:c r="G195" s="24" t="str">
        <x:v>VRM Games / Blas Luis Rocha González</x:v>
      </x:c>
      <x:c r="H195" s="24" t="str">
        <x:v>Internal project production</x:v>
      </x:c>
      <x:c r="I195" s="24" t="str">
        <x:v>2026 project timeline</x:v>
      </x:c>
      <x:c r="J195" s="24" t="str">
        <x:v>Internal project IP / authorship claim</x:v>
      </x:c>
      <x:c r="K195" s="24" t="str">
        <x:v>N/A</x:v>
      </x:c>
      <x:c r="L195" s="24" t="str">
        <x:v>Source package + repository path + hash</x:v>
      </x:c>
      <x:c r="M195" s="24" t="str">
        <x:v>af5c29b2ba2fc89e20f19cf932b7e5f05b80bd36dcfb7fabdbb7688e7ae95c3d</x:v>
      </x:c>
      <x:c r="N195" s="24" t="str">
        <x:v>Assets/_Project/Editor/ProjectOrganization/ProjectAssetOrganizationPlayModeRepair.cs</x:v>
      </x:c>
      <x:c r="O195" s="24" t="str">
        <x:v>4c6f7d8432b752b4695fea129c160281</x:v>
      </x:c>
      <x:c r="P195" s="24" t="str">
        <x:v>Sí</x:v>
      </x:c>
      <x:c r="Q195" s="24" t="str">
        <x:v>Condicionado a autoría/procedencia final</x:v>
      </x:c>
      <x:c r="R195" s="24" t="str">
        <x:v>Solo dentro del producto/build autorizado</x:v>
      </x:c>
      <x:c r="S195" s="24" t="str">
        <x:v>Crédito general del estudio; individual si aplica</x:v>
      </x:c>
      <x:c r="T195" s="24" t="str">
        <x:v>VRM Games / Blas Luis Rocha González</x:v>
      </x:c>
      <x:c r="U195" s="24" t="str">
        <x:v>CURRENT PROJECT ASSET</x:v>
      </x:c>
      <x:c r="V195" s="24" t="str">
        <x:v>CONDITIONALLY APPROVED</x:v>
      </x:c>
      <x:c r="W195" s="24" t="str">
        <x:v>Sí</x:v>
      </x:c>
      <x:c r="X195" s="24" t="str">
        <x:v>Low</x:v>
      </x:c>
      <x:c r="Y195" s="24" t="str">
        <x:v>Internal development; public candidate requires gate</x:v>
      </x:c>
      <x:c r="Z195" s="24" t="str">
        <x:v>H6 legal/content audit</x:v>
      </x:c>
      <x:c r="AA195" s="24" t="str">
        <x:v>VRM Games</x:v>
      </x:c>
      <x:c r="AB195" s="24" t="str">
        <x:v>No se detectó proveedor externo en la ruta; confirmar autoría por lote antes de release público.</x:v>
      </x:c>
    </x:row>
    <x:row r="196" ht="34" customHeight="1">
      <x:c r="A196" s="24" t="str">
        <x:v>INT-0192</x:v>
      </x:c>
      <x:c r="B196" s="24" t="str">
        <x:v>0c09cd87d0772084ba0008ad10adcdec</x:v>
      </x:c>
      <x:c r="C196" s="24" t="str">
        <x:v>ProjectAssetOrganizationPrefabFixtureRepair.cs</x:v>
      </x:c>
      <x:c r="D196" s="24" t="str">
        <x:v>Code</x:v>
      </x:c>
      <x:c r="E196" s="24" t="str">
        <x:v>ProjectOrganization</x:v>
      </x:c>
      <x:c r="F196" s="24" t="str">
        <x:v>VRM Games / Blas Luis Rocha González</x:v>
      </x:c>
      <x:c r="G196" s="24" t="str">
        <x:v>VRM Games / Blas Luis Rocha González</x:v>
      </x:c>
      <x:c r="H196" s="24" t="str">
        <x:v>Internal project production</x:v>
      </x:c>
      <x:c r="I196" s="24" t="str">
        <x:v>2026 project timeline</x:v>
      </x:c>
      <x:c r="J196" s="24" t="str">
        <x:v>Internal project IP / authorship claim</x:v>
      </x:c>
      <x:c r="K196" s="24" t="str">
        <x:v>N/A</x:v>
      </x:c>
      <x:c r="L196" s="24" t="str">
        <x:v>Source package + repository path + hash</x:v>
      </x:c>
      <x:c r="M196" s="24" t="str">
        <x:v>f7dafd7afaa07968e46ff88f6729769875ca4d86e9943166b01561e93dfe8f6e</x:v>
      </x:c>
      <x:c r="N196" s="24" t="str">
        <x:v>Assets/_Project/Editor/ProjectOrganization/ProjectAssetOrganizationPrefabFixtureRepair.cs</x:v>
      </x:c>
      <x:c r="O196" s="24" t="str">
        <x:v>0c09cd87d0772084ba0008ad10adcdec</x:v>
      </x:c>
      <x:c r="P196" s="24" t="str">
        <x:v>Sí</x:v>
      </x:c>
      <x:c r="Q196" s="24" t="str">
        <x:v>Condicionado a autoría/procedencia final</x:v>
      </x:c>
      <x:c r="R196" s="24" t="str">
        <x:v>Solo dentro del producto/build autorizado</x:v>
      </x:c>
      <x:c r="S196" s="24" t="str">
        <x:v>Crédito general del estudio; individual si aplica</x:v>
      </x:c>
      <x:c r="T196" s="24" t="str">
        <x:v>VRM Games / Blas Luis Rocha González</x:v>
      </x:c>
      <x:c r="U196" s="24" t="str">
        <x:v>CURRENT PROJECT ASSET</x:v>
      </x:c>
      <x:c r="V196" s="24" t="str">
        <x:v>CONDITIONALLY APPROVED</x:v>
      </x:c>
      <x:c r="W196" s="24" t="str">
        <x:v>Sí</x:v>
      </x:c>
      <x:c r="X196" s="24" t="str">
        <x:v>Low</x:v>
      </x:c>
      <x:c r="Y196" s="24" t="str">
        <x:v>Internal development; public candidate requires gate</x:v>
      </x:c>
      <x:c r="Z196" s="24" t="str">
        <x:v>H6 legal/content audit</x:v>
      </x:c>
      <x:c r="AA196" s="24" t="str">
        <x:v>VRM Games</x:v>
      </x:c>
      <x:c r="AB196" s="24" t="str">
        <x:v>No se detectó proveedor externo en la ruta; confirmar autoría por lote antes de release público.</x:v>
      </x:c>
    </x:row>
    <x:row r="197" ht="34" customHeight="1">
      <x:c r="A197" s="24" t="str">
        <x:v>INT-0193</x:v>
      </x:c>
      <x:c r="B197" s="24" t="str">
        <x:v>337e402295a55f3499cf2cf19ddd5089</x:v>
      </x:c>
      <x:c r="C197" s="24" t="str">
        <x:v>RepresentativeAssetIntegrationTool.cs</x:v>
      </x:c>
      <x:c r="D197" s="24" t="str">
        <x:v>Code</x:v>
      </x:c>
      <x:c r="E197" s="24" t="str">
        <x:v>ProjectOrganization</x:v>
      </x:c>
      <x:c r="F197" s="24" t="str">
        <x:v>VRM Games / Blas Luis Rocha González</x:v>
      </x:c>
      <x:c r="G197" s="24" t="str">
        <x:v>VRM Games / Blas Luis Rocha González</x:v>
      </x:c>
      <x:c r="H197" s="24" t="str">
        <x:v>Internal project production</x:v>
      </x:c>
      <x:c r="I197" s="24" t="str">
        <x:v>2026 project timeline</x:v>
      </x:c>
      <x:c r="J197" s="24" t="str">
        <x:v>Internal project IP / authorship claim</x:v>
      </x:c>
      <x:c r="K197" s="24" t="str">
        <x:v>N/A</x:v>
      </x:c>
      <x:c r="L197" s="24" t="str">
        <x:v>Source package + repository path + hash</x:v>
      </x:c>
      <x:c r="M197" s="24" t="str">
        <x:v>a3eeb7a24781d809db58aec9c8a3d8d02882e5ede008249677751d0ee84da214</x:v>
      </x:c>
      <x:c r="N197" s="24" t="str">
        <x:v>Assets/_Project/Editor/ProjectOrganization/RepresentativeAssetIntegrationTool.cs</x:v>
      </x:c>
      <x:c r="O197" s="24" t="str">
        <x:v>337e402295a55f3499cf2cf19ddd5089</x:v>
      </x:c>
      <x:c r="P197" s="24" t="str">
        <x:v>Sí</x:v>
      </x:c>
      <x:c r="Q197" s="24" t="str">
        <x:v>Condicionado a autoría/procedencia final</x:v>
      </x:c>
      <x:c r="R197" s="24" t="str">
        <x:v>Solo dentro del producto/build autorizado</x:v>
      </x:c>
      <x:c r="S197" s="24" t="str">
        <x:v>Crédito general del estudio; individual si aplica</x:v>
      </x:c>
      <x:c r="T197" s="24" t="str">
        <x:v>VRM Games / Blas Luis Rocha González</x:v>
      </x:c>
      <x:c r="U197" s="24" t="str">
        <x:v>CURRENT PROJECT ASSET</x:v>
      </x:c>
      <x:c r="V197" s="24" t="str">
        <x:v>CONDITIONALLY APPROVED</x:v>
      </x:c>
      <x:c r="W197" s="24" t="str">
        <x:v>Sí</x:v>
      </x:c>
      <x:c r="X197" s="24" t="str">
        <x:v>Low</x:v>
      </x:c>
      <x:c r="Y197" s="24" t="str">
        <x:v>Internal development; public candidate requires gate</x:v>
      </x:c>
      <x:c r="Z197" s="24" t="str">
        <x:v>H6 legal/content audit</x:v>
      </x:c>
      <x:c r="AA197" s="24" t="str">
        <x:v>VRM Games</x:v>
      </x:c>
      <x:c r="AB197" s="24" t="str">
        <x:v>No se detectó proveedor externo en la ruta; confirmar autoría por lote antes de release público.</x:v>
      </x:c>
    </x:row>
    <x:row r="198" ht="34" customHeight="1">
      <x:c r="A198" s="24" t="str">
        <x:v>INT-0194</x:v>
      </x:c>
      <x:c r="B198" s="24" t="str">
        <x:v>19c613806cb559a438ce24b5dc57639a</x:v>
      </x:c>
      <x:c r="C198" s="24" t="str">
        <x:v>RepresentativeRuntimeCatalogLinkRepair.cs</x:v>
      </x:c>
      <x:c r="D198" s="24" t="str">
        <x:v>Code</x:v>
      </x:c>
      <x:c r="E198" s="24" t="str">
        <x:v>ProjectOrganization</x:v>
      </x:c>
      <x:c r="F198" s="24" t="str">
        <x:v>VRM Games / Blas Luis Rocha González</x:v>
      </x:c>
      <x:c r="G198" s="24" t="str">
        <x:v>VRM Games / Blas Luis Rocha González</x:v>
      </x:c>
      <x:c r="H198" s="24" t="str">
        <x:v>Internal project production</x:v>
      </x:c>
      <x:c r="I198" s="24" t="str">
        <x:v>2026 project timeline</x:v>
      </x:c>
      <x:c r="J198" s="24" t="str">
        <x:v>Internal project IP / authorship claim</x:v>
      </x:c>
      <x:c r="K198" s="24" t="str">
        <x:v>N/A</x:v>
      </x:c>
      <x:c r="L198" s="24" t="str">
        <x:v>Source package + repository path + hash</x:v>
      </x:c>
      <x:c r="M198" s="24" t="str">
        <x:v>43bf03c4037353c791a571bd3cfbe214b061080d815e00f04bda0ca4583970e4</x:v>
      </x:c>
      <x:c r="N198" s="24" t="str">
        <x:v>Assets/_Project/Editor/ProjectOrganization/RepresentativeRuntimeCatalogLinkRepair.cs</x:v>
      </x:c>
      <x:c r="O198" s="24" t="str">
        <x:v>19c613806cb559a438ce24b5dc57639a</x:v>
      </x:c>
      <x:c r="P198" s="24" t="str">
        <x:v>Sí</x:v>
      </x:c>
      <x:c r="Q198" s="24" t="str">
        <x:v>Condicionado a autoría/procedencia final</x:v>
      </x:c>
      <x:c r="R198" s="24" t="str">
        <x:v>Solo dentro del producto/build autorizado</x:v>
      </x:c>
      <x:c r="S198" s="24" t="str">
        <x:v>Crédito general del estudio; individual si aplica</x:v>
      </x:c>
      <x:c r="T198" s="24" t="str">
        <x:v>VRM Games / Blas Luis Rocha González</x:v>
      </x:c>
      <x:c r="U198" s="24" t="str">
        <x:v>CURRENT PROJECT ASSET</x:v>
      </x:c>
      <x:c r="V198" s="24" t="str">
        <x:v>CONDITIONALLY APPROVED</x:v>
      </x:c>
      <x:c r="W198" s="24" t="str">
        <x:v>Sí</x:v>
      </x:c>
      <x:c r="X198" s="24" t="str">
        <x:v>Low</x:v>
      </x:c>
      <x:c r="Y198" s="24" t="str">
        <x:v>Internal development; public candidate requires gate</x:v>
      </x:c>
      <x:c r="Z198" s="24" t="str">
        <x:v>H6 legal/content audit</x:v>
      </x:c>
      <x:c r="AA198" s="24" t="str">
        <x:v>VRM Games</x:v>
      </x:c>
      <x:c r="AB198" s="24" t="str">
        <x:v>No se detectó proveedor externo en la ruta; confirmar autoría por lote antes de release público.</x:v>
      </x:c>
    </x:row>
    <x:row r="199" ht="34" customHeight="1">
      <x:c r="A199" s="24" t="str">
        <x:v>INT-0195</x:v>
      </x:c>
      <x:c r="B199" s="24" t="str">
        <x:v>07a194b787d98924fba5b0c2a9acfa54</x:v>
      </x:c>
      <x:c r="C199" s="24" t="str">
        <x:v>VRMGames.CartridgeAndCloud.Editor.ProjectOrganization.asmdef</x:v>
      </x:c>
      <x:c r="D199" s="24" t="str">
        <x:v>Assembly definition</x:v>
      </x:c>
      <x:c r="E199" s="24" t="str">
        <x:v>ProjectOrganization</x:v>
      </x:c>
      <x:c r="F199" s="24" t="str">
        <x:v>VRM Games / Blas Luis Rocha González</x:v>
      </x:c>
      <x:c r="G199" s="24" t="str">
        <x:v>VRM Games / Blas Luis Rocha González</x:v>
      </x:c>
      <x:c r="H199" s="24" t="str">
        <x:v>Internal project production</x:v>
      </x:c>
      <x:c r="I199" s="24" t="str">
        <x:v>2026 project timeline</x:v>
      </x:c>
      <x:c r="J199" s="24" t="str">
        <x:v>Internal project IP / authorship claim</x:v>
      </x:c>
      <x:c r="K199" s="24" t="str">
        <x:v>N/A</x:v>
      </x:c>
      <x:c r="L199" s="24" t="str">
        <x:v>Source package + repository path + hash</x:v>
      </x:c>
      <x:c r="M199" s="24" t="str">
        <x:v>62d8c89abcf75ef1a1f3c39063638e6270f05742ca33f0b2b3983afb60027712</x:v>
      </x:c>
      <x:c r="N199" s="24" t="str">
        <x:v>Assets/_Project/Editor/ProjectOrganization/VRMGames.CartridgeAndCloud.Editor.ProjectOrganization.asmdef</x:v>
      </x:c>
      <x:c r="O199" s="24" t="str">
        <x:v>07a194b787d98924fba5b0c2a9acfa54</x:v>
      </x:c>
      <x:c r="P199" s="24" t="str">
        <x:v>Sí</x:v>
      </x:c>
      <x:c r="Q199" s="24" t="str">
        <x:v>Condicionado a autoría/procedencia final</x:v>
      </x:c>
      <x:c r="R199" s="24" t="str">
        <x:v>Solo dentro del producto/build autorizado</x:v>
      </x:c>
      <x:c r="S199" s="24" t="str">
        <x:v>Crédito general del estudio; individual si aplica</x:v>
      </x:c>
      <x:c r="T199" s="24" t="str">
        <x:v>VRM Games / Blas Luis Rocha González</x:v>
      </x:c>
      <x:c r="U199" s="24" t="str">
        <x:v>CURRENT PROJECT ASSET</x:v>
      </x:c>
      <x:c r="V199" s="24" t="str">
        <x:v>CONDITIONALLY APPROVED</x:v>
      </x:c>
      <x:c r="W199" s="24" t="str">
        <x:v>Sí</x:v>
      </x:c>
      <x:c r="X199" s="24" t="str">
        <x:v>Low</x:v>
      </x:c>
      <x:c r="Y199" s="24" t="str">
        <x:v>Internal development; public candidate requires gate</x:v>
      </x:c>
      <x:c r="Z199" s="24" t="str">
        <x:v>H6 legal/content audit</x:v>
      </x:c>
      <x:c r="AA199" s="24" t="str">
        <x:v>VRM Games</x:v>
      </x:c>
      <x:c r="AB199" s="24" t="str">
        <x:v>No se detectó proveedor externo en la ruta; confirmar autoría por lote antes de release público.</x:v>
      </x:c>
    </x:row>
    <x:row r="200" ht="34" customHeight="1">
      <x:c r="A200" s="24" t="str">
        <x:v>INT-0196</x:v>
      </x:c>
      <x:c r="B200" s="24" t="str">
        <x:v>90b142bd336e4f23b6125c399c26cb0f</x:v>
      </x:c>
      <x:c r="C200" s="24" t="str">
        <x:v>CCS32ClickToMoveInstaller.cs</x:v>
      </x:c>
      <x:c r="D200" s="24" t="str">
        <x:v>Code</x:v>
      </x:c>
      <x:c r="E200" s="24" t="str">
        <x:v>Sprint3</x:v>
      </x:c>
      <x:c r="F200" s="24" t="str">
        <x:v>VRM Games / Blas Luis Rocha González</x:v>
      </x:c>
      <x:c r="G200" s="24" t="str">
        <x:v>VRM Games / Blas Luis Rocha González</x:v>
      </x:c>
      <x:c r="H200" s="24" t="str">
        <x:v>Internal project production</x:v>
      </x:c>
      <x:c r="I200" s="24" t="str">
        <x:v>2026 project timeline</x:v>
      </x:c>
      <x:c r="J200" s="24" t="str">
        <x:v>Internal project IP / authorship claim</x:v>
      </x:c>
      <x:c r="K200" s="24" t="str">
        <x:v>N/A</x:v>
      </x:c>
      <x:c r="L200" s="24" t="str">
        <x:v>Source package + repository path + hash</x:v>
      </x:c>
      <x:c r="M200" s="24" t="str">
        <x:v>8403a6c1b6e367ecffebc82f5ec0012c69fdb2b4819fb1addca405a19d67360e</x:v>
      </x:c>
      <x:c r="N200" s="24" t="str">
        <x:v>Assets/_Project/Editor/Sprint3/CCS32ClickToMoveInstaller.cs</x:v>
      </x:c>
      <x:c r="O200" s="24" t="str">
        <x:v>90b142bd336e4f23b6125c399c26cb0f</x:v>
      </x:c>
      <x:c r="P200" s="24" t="str">
        <x:v>Sí</x:v>
      </x:c>
      <x:c r="Q200" s="24" t="str">
        <x:v>Condicionado a autoría/procedencia final</x:v>
      </x:c>
      <x:c r="R200" s="24" t="str">
        <x:v>Solo dentro del producto/build autorizado</x:v>
      </x:c>
      <x:c r="S200" s="24" t="str">
        <x:v>Crédito general del estudio; individual si aplica</x:v>
      </x:c>
      <x:c r="T200" s="24" t="str">
        <x:v>VRM Games / Blas Luis Rocha González</x:v>
      </x:c>
      <x:c r="U200" s="24" t="str">
        <x:v>CURRENT PROJECT ASSET</x:v>
      </x:c>
      <x:c r="V200" s="24" t="str">
        <x:v>CONDITIONALLY APPROVED</x:v>
      </x:c>
      <x:c r="W200" s="24" t="str">
        <x:v>Sí</x:v>
      </x:c>
      <x:c r="X200" s="24" t="str">
        <x:v>Low</x:v>
      </x:c>
      <x:c r="Y200" s="24" t="str">
        <x:v>Internal development; public candidate requires gate</x:v>
      </x:c>
      <x:c r="Z200" s="24" t="str">
        <x:v>H6 legal/content audit</x:v>
      </x:c>
      <x:c r="AA200" s="24" t="str">
        <x:v>VRM Games</x:v>
      </x:c>
      <x:c r="AB200" s="24" t="str">
        <x:v>No se detectó proveedor externo en la ruta; confirmar autoría por lote antes de release público.</x:v>
      </x:c>
    </x:row>
    <x:row r="201" ht="34" customHeight="1">
      <x:c r="A201" s="24" t="str">
        <x:v>INT-0197</x:v>
      </x:c>
      <x:c r="B201" s="24" t="str">
        <x:v>f3a73828fa4c494ba0896cd221a2fed1</x:v>
      </x:c>
      <x:c r="C201" s="24" t="str">
        <x:v>CCS33OrbitZoomCameraInstaller.cs</x:v>
      </x:c>
      <x:c r="D201" s="24" t="str">
        <x:v>Code</x:v>
      </x:c>
      <x:c r="E201" s="24" t="str">
        <x:v>Sprint3</x:v>
      </x:c>
      <x:c r="F201" s="24" t="str">
        <x:v>VRM Games / Blas Luis Rocha González</x:v>
      </x:c>
      <x:c r="G201" s="24" t="str">
        <x:v>VRM Games / Blas Luis Rocha González</x:v>
      </x:c>
      <x:c r="H201" s="24" t="str">
        <x:v>Internal project production</x:v>
      </x:c>
      <x:c r="I201" s="24" t="str">
        <x:v>2026 project timeline</x:v>
      </x:c>
      <x:c r="J201" s="24" t="str">
        <x:v>Internal project IP / authorship claim</x:v>
      </x:c>
      <x:c r="K201" s="24" t="str">
        <x:v>N/A</x:v>
      </x:c>
      <x:c r="L201" s="24" t="str">
        <x:v>Source package + repository path + hash</x:v>
      </x:c>
      <x:c r="M201" s="24" t="str">
        <x:v>32266d2f45d78bce44304e96ed221ba7eb7920bcefc52b4c68ffa9f52ed5fd92</x:v>
      </x:c>
      <x:c r="N201" s="24" t="str">
        <x:v>Assets/_Project/Editor/Sprint3/CCS33OrbitZoomCameraInstaller.cs</x:v>
      </x:c>
      <x:c r="O201" s="24" t="str">
        <x:v>f3a73828fa4c494ba0896cd221a2fed1</x:v>
      </x:c>
      <x:c r="P201" s="24" t="str">
        <x:v>Sí</x:v>
      </x:c>
      <x:c r="Q201" s="24" t="str">
        <x:v>Condicionado a autoría/procedencia final</x:v>
      </x:c>
      <x:c r="R201" s="24" t="str">
        <x:v>Solo dentro del producto/build autorizado</x:v>
      </x:c>
      <x:c r="S201" s="24" t="str">
        <x:v>Crédito general del estudio; individual si aplica</x:v>
      </x:c>
      <x:c r="T201" s="24" t="str">
        <x:v>VRM Games / Blas Luis Rocha González</x:v>
      </x:c>
      <x:c r="U201" s="24" t="str">
        <x:v>CURRENT PROJECT ASSET</x:v>
      </x:c>
      <x:c r="V201" s="24" t="str">
        <x:v>CONDITIONALLY APPROVED</x:v>
      </x:c>
      <x:c r="W201" s="24" t="str">
        <x:v>Sí</x:v>
      </x:c>
      <x:c r="X201" s="24" t="str">
        <x:v>Low</x:v>
      </x:c>
      <x:c r="Y201" s="24" t="str">
        <x:v>Internal development; public candidate requires gate</x:v>
      </x:c>
      <x:c r="Z201" s="24" t="str">
        <x:v>H6 legal/content audit</x:v>
      </x:c>
      <x:c r="AA201" s="24" t="str">
        <x:v>VRM Games</x:v>
      </x:c>
      <x:c r="AB201" s="24" t="str">
        <x:v>No se detectó proveedor externo en la ruta; confirmar autoría por lote antes de release público.</x:v>
      </x:c>
    </x:row>
    <x:row r="202" ht="34" customHeight="1">
      <x:c r="A202" s="24" t="str">
        <x:v>INT-0198</x:v>
      </x:c>
      <x:c r="B202" s="24" t="str">
        <x:v>c6848fdcbc9041f594f35587b21ecc2d</x:v>
      </x:c>
      <x:c r="C202" s="24" t="str">
        <x:v>CCS34InputIntegrationClosureInstaller.cs</x:v>
      </x:c>
      <x:c r="D202" s="24" t="str">
        <x:v>Code</x:v>
      </x:c>
      <x:c r="E202" s="24" t="str">
        <x:v>Sprint3</x:v>
      </x:c>
      <x:c r="F202" s="24" t="str">
        <x:v>VRM Games / Blas Luis Rocha González</x:v>
      </x:c>
      <x:c r="G202" s="24" t="str">
        <x:v>VRM Games / Blas Luis Rocha González</x:v>
      </x:c>
      <x:c r="H202" s="24" t="str">
        <x:v>Internal project production</x:v>
      </x:c>
      <x:c r="I202" s="24" t="str">
        <x:v>2026 project timeline</x:v>
      </x:c>
      <x:c r="J202" s="24" t="str">
        <x:v>Internal project IP / authorship claim</x:v>
      </x:c>
      <x:c r="K202" s="24" t="str">
        <x:v>N/A</x:v>
      </x:c>
      <x:c r="L202" s="24" t="str">
        <x:v>Source package + repository path + hash</x:v>
      </x:c>
      <x:c r="M202" s="24" t="str">
        <x:v>c679bd9d96274a76a65d9edcdfa1299d875ba115e53edc15e54f523ffbce70ea</x:v>
      </x:c>
      <x:c r="N202" s="24" t="str">
        <x:v>Assets/_Project/Editor/Sprint3/CCS34InputIntegrationClosureInstaller.cs</x:v>
      </x:c>
      <x:c r="O202" s="24" t="str">
        <x:v>c6848fdcbc9041f594f35587b21ecc2d</x:v>
      </x:c>
      <x:c r="P202" s="24" t="str">
        <x:v>Sí</x:v>
      </x:c>
      <x:c r="Q202" s="24" t="str">
        <x:v>Condicionado a autoría/procedencia final</x:v>
      </x:c>
      <x:c r="R202" s="24" t="str">
        <x:v>Solo dentro del producto/build autorizado</x:v>
      </x:c>
      <x:c r="S202" s="24" t="str">
        <x:v>Crédito general del estudio; individual si aplica</x:v>
      </x:c>
      <x:c r="T202" s="24" t="str">
        <x:v>VRM Games / Blas Luis Rocha González</x:v>
      </x:c>
      <x:c r="U202" s="24" t="str">
        <x:v>CURRENT PROJECT ASSET</x:v>
      </x:c>
      <x:c r="V202" s="24" t="str">
        <x:v>CONDITIONALLY APPROVED</x:v>
      </x:c>
      <x:c r="W202" s="24" t="str">
        <x:v>Sí</x:v>
      </x:c>
      <x:c r="X202" s="24" t="str">
        <x:v>Low</x:v>
      </x:c>
      <x:c r="Y202" s="24" t="str">
        <x:v>Internal development; public candidate requires gate</x:v>
      </x:c>
      <x:c r="Z202" s="24" t="str">
        <x:v>H6 legal/content audit</x:v>
      </x:c>
      <x:c r="AA202" s="24" t="str">
        <x:v>VRM Games</x:v>
      </x:c>
      <x:c r="AB202" s="24" t="str">
        <x:v>No se detectó proveedor externo en la ruta; confirmar autoría por lote antes de release público.</x:v>
      </x:c>
    </x:row>
    <x:row r="203" ht="34" customHeight="1">
      <x:c r="A203" s="24" t="str">
        <x:v>INT-0199</x:v>
      </x:c>
      <x:c r="B203" s="24" t="str">
        <x:v>fd263da809f24b5186001d4ad29bbbff</x:v>
      </x:c>
      <x:c r="C203" s="24" t="str">
        <x:v>CCS42PlacementPreviewInstaller.cs</x:v>
      </x:c>
      <x:c r="D203" s="24" t="str">
        <x:v>Code</x:v>
      </x:c>
      <x:c r="E203" s="24" t="str">
        <x:v>Sprint4</x:v>
      </x:c>
      <x:c r="F203" s="24" t="str">
        <x:v>VRM Games / Blas Luis Rocha González</x:v>
      </x:c>
      <x:c r="G203" s="24" t="str">
        <x:v>VRM Games / Blas Luis Rocha González</x:v>
      </x:c>
      <x:c r="H203" s="24" t="str">
        <x:v>Internal project production</x:v>
      </x:c>
      <x:c r="I203" s="24" t="str">
        <x:v>2026 project timeline</x:v>
      </x:c>
      <x:c r="J203" s="24" t="str">
        <x:v>Internal project IP / authorship claim</x:v>
      </x:c>
      <x:c r="K203" s="24" t="str">
        <x:v>N/A</x:v>
      </x:c>
      <x:c r="L203" s="24" t="str">
        <x:v>Source package + repository path + hash</x:v>
      </x:c>
      <x:c r="M203" s="24" t="str">
        <x:v>d1e7773c26355b3edb34f0fad94e9e48e1e0cabbff53973802ddefe7cae004a3</x:v>
      </x:c>
      <x:c r="N203" s="24" t="str">
        <x:v>Assets/_Project/Editor/Sprint4/CCS42PlacementPreviewInstaller.cs</x:v>
      </x:c>
      <x:c r="O203" s="24" t="str">
        <x:v>fd263da809f24b5186001d4ad29bbbff</x:v>
      </x:c>
      <x:c r="P203" s="24" t="str">
        <x:v>Sí</x:v>
      </x:c>
      <x:c r="Q203" s="24" t="str">
        <x:v>Condicionado a autoría/procedencia final</x:v>
      </x:c>
      <x:c r="R203" s="24" t="str">
        <x:v>Solo dentro del producto/build autorizado</x:v>
      </x:c>
      <x:c r="S203" s="24" t="str">
        <x:v>Crédito general del estudio; individual si aplica</x:v>
      </x:c>
      <x:c r="T203" s="24" t="str">
        <x:v>VRM Games / Blas Luis Rocha González</x:v>
      </x:c>
      <x:c r="U203" s="24" t="str">
        <x:v>CURRENT PROJECT ASSET</x:v>
      </x:c>
      <x:c r="V203" s="24" t="str">
        <x:v>CONDITIONALLY APPROVED</x:v>
      </x:c>
      <x:c r="W203" s="24" t="str">
        <x:v>Sí</x:v>
      </x:c>
      <x:c r="X203" s="24" t="str">
        <x:v>Low</x:v>
      </x:c>
      <x:c r="Y203" s="24" t="str">
        <x:v>Internal development; public candidate requires gate</x:v>
      </x:c>
      <x:c r="Z203" s="24" t="str">
        <x:v>H6 legal/content audit</x:v>
      </x:c>
      <x:c r="AA203" s="24" t="str">
        <x:v>VRM Games</x:v>
      </x:c>
      <x:c r="AB203" s="24" t="str">
        <x:v>No se detectó proveedor externo en la ruta; confirmar autoría por lote antes de release público.</x:v>
      </x:c>
    </x:row>
    <x:row r="204" ht="34" customHeight="1">
      <x:c r="A204" s="24" t="str">
        <x:v>INT-0200</x:v>
      </x:c>
      <x:c r="B204" s="24" t="str">
        <x:v>a07e068906ab4dbda9140c201c45a5d9</x:v>
      </x:c>
      <x:c r="C204" s="24" t="str">
        <x:v>CCS43OccupancyInstaller.cs</x:v>
      </x:c>
      <x:c r="D204" s="24" t="str">
        <x:v>Code</x:v>
      </x:c>
      <x:c r="E204" s="24" t="str">
        <x:v>Sprint4</x:v>
      </x:c>
      <x:c r="F204" s="24" t="str">
        <x:v>VRM Games / Blas Luis Rocha González</x:v>
      </x:c>
      <x:c r="G204" s="24" t="str">
        <x:v>VRM Games / Blas Luis Rocha González</x:v>
      </x:c>
      <x:c r="H204" s="24" t="str">
        <x:v>Internal project production</x:v>
      </x:c>
      <x:c r="I204" s="24" t="str">
        <x:v>2026 project timeline</x:v>
      </x:c>
      <x:c r="J204" s="24" t="str">
        <x:v>Internal project IP / authorship claim</x:v>
      </x:c>
      <x:c r="K204" s="24" t="str">
        <x:v>N/A</x:v>
      </x:c>
      <x:c r="L204" s="24" t="str">
        <x:v>Source package + repository path + hash</x:v>
      </x:c>
      <x:c r="M204" s="24" t="str">
        <x:v>798214ea047cb3555d3e37b4a1c19be305dcf9af3d44fa400303ec7e1db817a3</x:v>
      </x:c>
      <x:c r="N204" s="24" t="str">
        <x:v>Assets/_Project/Editor/Sprint4/CCS43OccupancyInstaller.cs</x:v>
      </x:c>
      <x:c r="O204" s="24" t="str">
        <x:v>a07e068906ab4dbda9140c201c45a5d9</x:v>
      </x:c>
      <x:c r="P204" s="24" t="str">
        <x:v>Sí</x:v>
      </x:c>
      <x:c r="Q204" s="24" t="str">
        <x:v>Condicionado a autoría/procedencia final</x:v>
      </x:c>
      <x:c r="R204" s="24" t="str">
        <x:v>Solo dentro del producto/build autorizado</x:v>
      </x:c>
      <x:c r="S204" s="24" t="str">
        <x:v>Crédito general del estudio; individual si aplica</x:v>
      </x:c>
      <x:c r="T204" s="24" t="str">
        <x:v>VRM Games / Blas Luis Rocha González</x:v>
      </x:c>
      <x:c r="U204" s="24" t="str">
        <x:v>CURRENT PROJECT ASSET</x:v>
      </x:c>
      <x:c r="V204" s="24" t="str">
        <x:v>CONDITIONALLY APPROVED</x:v>
      </x:c>
      <x:c r="W204" s="24" t="str">
        <x:v>Sí</x:v>
      </x:c>
      <x:c r="X204" s="24" t="str">
        <x:v>Low</x:v>
      </x:c>
      <x:c r="Y204" s="24" t="str">
        <x:v>Internal development; public candidate requires gate</x:v>
      </x:c>
      <x:c r="Z204" s="24" t="str">
        <x:v>H6 legal/content audit</x:v>
      </x:c>
      <x:c r="AA204" s="24" t="str">
        <x:v>VRM Games</x:v>
      </x:c>
      <x:c r="AB204" s="24" t="str">
        <x:v>No se detectó proveedor externo en la ruta; confirmar autoría por lote antes de release público.</x:v>
      </x:c>
    </x:row>
    <x:row r="205" ht="34" customHeight="1">
      <x:c r="A205" s="24" t="str">
        <x:v>INT-0201</x:v>
      </x:c>
      <x:c r="B205" s="24" t="str">
        <x:v>ba91541a2e404f30bc7a859596353edd</x:v>
      </x:c>
      <x:c r="C205" s="24" t="str">
        <x:v>CCS44PlacementFoundationClosureInstaller.cs</x:v>
      </x:c>
      <x:c r="D205" s="24" t="str">
        <x:v>Code</x:v>
      </x:c>
      <x:c r="E205" s="24" t="str">
        <x:v>Sprint4</x:v>
      </x:c>
      <x:c r="F205" s="24" t="str">
        <x:v>VRM Games / Blas Luis Rocha González</x:v>
      </x:c>
      <x:c r="G205" s="24" t="str">
        <x:v>VRM Games / Blas Luis Rocha González</x:v>
      </x:c>
      <x:c r="H205" s="24" t="str">
        <x:v>Internal project production</x:v>
      </x:c>
      <x:c r="I205" s="24" t="str">
        <x:v>2026 project timeline</x:v>
      </x:c>
      <x:c r="J205" s="24" t="str">
        <x:v>Internal project IP / authorship claim</x:v>
      </x:c>
      <x:c r="K205" s="24" t="str">
        <x:v>N/A</x:v>
      </x:c>
      <x:c r="L205" s="24" t="str">
        <x:v>Source package + repository path + hash</x:v>
      </x:c>
      <x:c r="M205" s="24" t="str">
        <x:v>0908322eda520edfa4833ea2a1edf5e1c3758cc27434eaef2b7dc58831c65acd</x:v>
      </x:c>
      <x:c r="N205" s="24" t="str">
        <x:v>Assets/_Project/Editor/Sprint4/CCS44PlacementFoundationClosureInstaller.cs</x:v>
      </x:c>
      <x:c r="O205" s="24" t="str">
        <x:v>ba91541a2e404f30bc7a859596353edd</x:v>
      </x:c>
      <x:c r="P205" s="24" t="str">
        <x:v>Sí</x:v>
      </x:c>
      <x:c r="Q205" s="24" t="str">
        <x:v>Condicionado a autoría/procedencia final</x:v>
      </x:c>
      <x:c r="R205" s="24" t="str">
        <x:v>Solo dentro del producto/build autorizado</x:v>
      </x:c>
      <x:c r="S205" s="24" t="str">
        <x:v>Crédito general del estudio; individual si aplica</x:v>
      </x:c>
      <x:c r="T205" s="24" t="str">
        <x:v>VRM Games / Blas Luis Rocha González</x:v>
      </x:c>
      <x:c r="U205" s="24" t="str">
        <x:v>CURRENT PROJECT ASSET</x:v>
      </x:c>
      <x:c r="V205" s="24" t="str">
        <x:v>CONDITIONALLY APPROVED</x:v>
      </x:c>
      <x:c r="W205" s="24" t="str">
        <x:v>Sí</x:v>
      </x:c>
      <x:c r="X205" s="24" t="str">
        <x:v>Low</x:v>
      </x:c>
      <x:c r="Y205" s="24" t="str">
        <x:v>Internal development; public candidate requires gate</x:v>
      </x:c>
      <x:c r="Z205" s="24" t="str">
        <x:v>H6 legal/content audit</x:v>
      </x:c>
      <x:c r="AA205" s="24" t="str">
        <x:v>VRM Games</x:v>
      </x:c>
      <x:c r="AB205" s="24" t="str">
        <x:v>No se detectó proveedor externo en la ruta; confirmar autoría por lote antes de release público.</x:v>
      </x:c>
    </x:row>
    <x:row r="206" ht="34" customHeight="1">
      <x:c r="A206" s="24" t="str">
        <x:v>INT-0202</x:v>
      </x:c>
      <x:c r="B206" s="24" t="str">
        <x:v>726a0f4d152745c4bc5eabb76f6bd040</x:v>
      </x:c>
      <x:c r="C206" s="24" t="str">
        <x:v>CCS51StoreShellInstaller.cs</x:v>
      </x:c>
      <x:c r="D206" s="24" t="str">
        <x:v>Code</x:v>
      </x:c>
      <x:c r="E206" s="24" t="str">
        <x:v>Sprint5</x:v>
      </x:c>
      <x:c r="F206" s="24" t="str">
        <x:v>VRM Games / Blas Luis Rocha González</x:v>
      </x:c>
      <x:c r="G206" s="24" t="str">
        <x:v>VRM Games / Blas Luis Rocha González</x:v>
      </x:c>
      <x:c r="H206" s="24" t="str">
        <x:v>Internal project production</x:v>
      </x:c>
      <x:c r="I206" s="24" t="str">
        <x:v>2026 project timeline</x:v>
      </x:c>
      <x:c r="J206" s="24" t="str">
        <x:v>Internal project IP / authorship claim</x:v>
      </x:c>
      <x:c r="K206" s="24" t="str">
        <x:v>N/A</x:v>
      </x:c>
      <x:c r="L206" s="24" t="str">
        <x:v>Source package + repository path + hash</x:v>
      </x:c>
      <x:c r="M206" s="24" t="str">
        <x:v>025c832c93548daa64acf74fff725be80f94d2ceea30c34e8adcc1678b8a8547</x:v>
      </x:c>
      <x:c r="N206" s="24" t="str">
        <x:v>Assets/_Project/Editor/Sprint5/CCS51StoreShellInstaller.cs</x:v>
      </x:c>
      <x:c r="O206" s="24" t="str">
        <x:v>726a0f4d152745c4bc5eabb76f6bd040</x:v>
      </x:c>
      <x:c r="P206" s="24" t="str">
        <x:v>Sí</x:v>
      </x:c>
      <x:c r="Q206" s="24" t="str">
        <x:v>Condicionado a autoría/procedencia final</x:v>
      </x:c>
      <x:c r="R206" s="24" t="str">
        <x:v>Solo dentro del producto/build autorizado</x:v>
      </x:c>
      <x:c r="S206" s="24" t="str">
        <x:v>Crédito general del estudio; individual si aplica</x:v>
      </x:c>
      <x:c r="T206" s="24" t="str">
        <x:v>VRM Games / Blas Luis Rocha González</x:v>
      </x:c>
      <x:c r="U206" s="24" t="str">
        <x:v>CURRENT PROJECT ASSET</x:v>
      </x:c>
      <x:c r="V206" s="24" t="str">
        <x:v>CONDITIONALLY APPROVED</x:v>
      </x:c>
      <x:c r="W206" s="24" t="str">
        <x:v>Sí</x:v>
      </x:c>
      <x:c r="X206" s="24" t="str">
        <x:v>Low</x:v>
      </x:c>
      <x:c r="Y206" s="24" t="str">
        <x:v>Internal development; public candidate requires gate</x:v>
      </x:c>
      <x:c r="Z206" s="24" t="str">
        <x:v>H6 legal/content audit</x:v>
      </x:c>
      <x:c r="AA206" s="24" t="str">
        <x:v>VRM Games</x:v>
      </x:c>
      <x:c r="AB206" s="24" t="str">
        <x:v>No se detectó proveedor externo en la ruta; confirmar autoría por lote antes de release público.</x:v>
      </x:c>
    </x:row>
    <x:row r="207" ht="34" customHeight="1">
      <x:c r="A207" s="24" t="str">
        <x:v>INT-0203</x:v>
      </x:c>
      <x:c r="B207" s="24" t="str">
        <x:v>f8acdea1d0714d568353a2b740bf45e6</x:v>
      </x:c>
      <x:c r="C207" s="24" t="str">
        <x:v>CCS53StorePlacementIntegrationInstaller.cs</x:v>
      </x:c>
      <x:c r="D207" s="24" t="str">
        <x:v>Code</x:v>
      </x:c>
      <x:c r="E207" s="24" t="str">
        <x:v>Sprint5</x:v>
      </x:c>
      <x:c r="F207" s="24" t="str">
        <x:v>VRM Games / Blas Luis Rocha González</x:v>
      </x:c>
      <x:c r="G207" s="24" t="str">
        <x:v>VRM Games / Blas Luis Rocha González</x:v>
      </x:c>
      <x:c r="H207" s="24" t="str">
        <x:v>Internal project production</x:v>
      </x:c>
      <x:c r="I207" s="24" t="str">
        <x:v>2026 project timeline</x:v>
      </x:c>
      <x:c r="J207" s="24" t="str">
        <x:v>Internal project IP / authorship claim</x:v>
      </x:c>
      <x:c r="K207" s="24" t="str">
        <x:v>N/A</x:v>
      </x:c>
      <x:c r="L207" s="24" t="str">
        <x:v>Source package + repository path + hash</x:v>
      </x:c>
      <x:c r="M207" s="24" t="str">
        <x:v>59bf689d5d87525bb9e788629e86e60487ce4e825a930b47ad9c9692a8d5daaf</x:v>
      </x:c>
      <x:c r="N207" s="24" t="str">
        <x:v>Assets/_Project/Editor/Sprint5/CCS53StorePlacementIntegrationInstaller.cs</x:v>
      </x:c>
      <x:c r="O207" s="24" t="str">
        <x:v>f8acdea1d0714d568353a2b740bf45e6</x:v>
      </x:c>
      <x:c r="P207" s="24" t="str">
        <x:v>Sí</x:v>
      </x:c>
      <x:c r="Q207" s="24" t="str">
        <x:v>Condicionado a autoría/procedencia final</x:v>
      </x:c>
      <x:c r="R207" s="24" t="str">
        <x:v>Solo dentro del producto/build autorizado</x:v>
      </x:c>
      <x:c r="S207" s="24" t="str">
        <x:v>Crédito general del estudio; individual si aplica</x:v>
      </x:c>
      <x:c r="T207" s="24" t="str">
        <x:v>VRM Games / Blas Luis Rocha González</x:v>
      </x:c>
      <x:c r="U207" s="24" t="str">
        <x:v>CURRENT PROJECT ASSET</x:v>
      </x:c>
      <x:c r="V207" s="24" t="str">
        <x:v>CONDITIONALLY APPROVED</x:v>
      </x:c>
      <x:c r="W207" s="24" t="str">
        <x:v>Sí</x:v>
      </x:c>
      <x:c r="X207" s="24" t="str">
        <x:v>Low</x:v>
      </x:c>
      <x:c r="Y207" s="24" t="str">
        <x:v>Internal development; public candidate requires gate</x:v>
      </x:c>
      <x:c r="Z207" s="24" t="str">
        <x:v>H6 legal/content audit</x:v>
      </x:c>
      <x:c r="AA207" s="24" t="str">
        <x:v>VRM Games</x:v>
      </x:c>
      <x:c r="AB207" s="24" t="str">
        <x:v>No se detectó proveedor externo en la ruta; confirmar autoría por lote antes de release público.</x:v>
      </x:c>
    </x:row>
    <x:row r="208" ht="34" customHeight="1">
      <x:c r="A208" s="24" t="str">
        <x:v>INT-0204</x:v>
      </x:c>
      <x:c r="B208" s="24" t="str">
        <x:v>69c11610affc4b07a6f0d81453cfdab3</x:v>
      </x:c>
      <x:c r="C208" s="24" t="str">
        <x:v>CCS54StoreFoundationClosureInstaller.cs</x:v>
      </x:c>
      <x:c r="D208" s="24" t="str">
        <x:v>Code</x:v>
      </x:c>
      <x:c r="E208" s="24" t="str">
        <x:v>Sprint5</x:v>
      </x:c>
      <x:c r="F208" s="24" t="str">
        <x:v>VRM Games / Blas Luis Rocha González</x:v>
      </x:c>
      <x:c r="G208" s="24" t="str">
        <x:v>VRM Games / Blas Luis Rocha González</x:v>
      </x:c>
      <x:c r="H208" s="24" t="str">
        <x:v>Internal project production</x:v>
      </x:c>
      <x:c r="I208" s="24" t="str">
        <x:v>2026 project timeline</x:v>
      </x:c>
      <x:c r="J208" s="24" t="str">
        <x:v>Internal project IP / authorship claim</x:v>
      </x:c>
      <x:c r="K208" s="24" t="str">
        <x:v>N/A</x:v>
      </x:c>
      <x:c r="L208" s="24" t="str">
        <x:v>Source package + repository path + hash</x:v>
      </x:c>
      <x:c r="M208" s="24" t="str">
        <x:v>7517b54aafd0d9e248871a582a7145ec8b724670f0594b3970d85ae59a4dfdf8</x:v>
      </x:c>
      <x:c r="N208" s="24" t="str">
        <x:v>Assets/_Project/Editor/Sprint5/CCS54StoreFoundationClosureInstaller.cs</x:v>
      </x:c>
      <x:c r="O208" s="24" t="str">
        <x:v>69c11610affc4b07a6f0d81453cfdab3</x:v>
      </x:c>
      <x:c r="P208" s="24" t="str">
        <x:v>Sí</x:v>
      </x:c>
      <x:c r="Q208" s="24" t="str">
        <x:v>Condicionado a autoría/procedencia final</x:v>
      </x:c>
      <x:c r="R208" s="24" t="str">
        <x:v>Solo dentro del producto/build autorizado</x:v>
      </x:c>
      <x:c r="S208" s="24" t="str">
        <x:v>Crédito general del estudio; individual si aplica</x:v>
      </x:c>
      <x:c r="T208" s="24" t="str">
        <x:v>VRM Games / Blas Luis Rocha González</x:v>
      </x:c>
      <x:c r="U208" s="24" t="str">
        <x:v>CURRENT PROJECT ASSET</x:v>
      </x:c>
      <x:c r="V208" s="24" t="str">
        <x:v>CONDITIONALLY APPROVED</x:v>
      </x:c>
      <x:c r="W208" s="24" t="str">
        <x:v>Sí</x:v>
      </x:c>
      <x:c r="X208" s="24" t="str">
        <x:v>Low</x:v>
      </x:c>
      <x:c r="Y208" s="24" t="str">
        <x:v>Internal development; public candidate requires gate</x:v>
      </x:c>
      <x:c r="Z208" s="24" t="str">
        <x:v>H6 legal/content audit</x:v>
      </x:c>
      <x:c r="AA208" s="24" t="str">
        <x:v>VRM Games</x:v>
      </x:c>
      <x:c r="AB208" s="24" t="str">
        <x:v>No se detectó proveedor externo en la ruta; confirmar autoría por lote antes de release público.</x:v>
      </x:c>
    </x:row>
    <x:row r="209" ht="34" customHeight="1">
      <x:c r="A209" s="24" t="str">
        <x:v>INT-0205</x:v>
      </x:c>
      <x:c r="B209" s="24" t="str">
        <x:v>2dd796f879834e1f809c3da86d2649b8</x:v>
      </x:c>
      <x:c r="C209" s="24" t="str">
        <x:v>VRMGames.CartridgeAndCloud.Editor.asmdef</x:v>
      </x:c>
      <x:c r="D209" s="24" t="str">
        <x:v>Assembly definition</x:v>
      </x:c>
      <x:c r="E209" s="24" t="str">
        <x:v>VRMGames.CartridgeAndCloud.Editor.asmdef</x:v>
      </x:c>
      <x:c r="F209" s="24" t="str">
        <x:v>VRM Games / Blas Luis Rocha González</x:v>
      </x:c>
      <x:c r="G209" s="24" t="str">
        <x:v>VRM Games / Blas Luis Rocha González</x:v>
      </x:c>
      <x:c r="H209" s="24" t="str">
        <x:v>Internal project production</x:v>
      </x:c>
      <x:c r="I209" s="24" t="str">
        <x:v>2026 project timeline</x:v>
      </x:c>
      <x:c r="J209" s="24" t="str">
        <x:v>Internal project IP / authorship claim</x:v>
      </x:c>
      <x:c r="K209" s="24" t="str">
        <x:v>N/A</x:v>
      </x:c>
      <x:c r="L209" s="24" t="str">
        <x:v>Source package + repository path + hash</x:v>
      </x:c>
      <x:c r="M209" s="24" t="str">
        <x:v>d1e1e0e1050471037b4cce3e67929da38b7cf83737d4b892c7f371ab1bffc281</x:v>
      </x:c>
      <x:c r="N209" s="24" t="str">
        <x:v>Assets/_Project/Editor/VRMGames.CartridgeAndCloud.Editor.asmdef</x:v>
      </x:c>
      <x:c r="O209" s="24" t="str">
        <x:v>2dd796f879834e1f809c3da86d2649b8</x:v>
      </x:c>
      <x:c r="P209" s="24" t="str">
        <x:v>Sí</x:v>
      </x:c>
      <x:c r="Q209" s="24" t="str">
        <x:v>Condicionado a autoría/procedencia final</x:v>
      </x:c>
      <x:c r="R209" s="24" t="str">
        <x:v>Solo dentro del producto/build autorizado</x:v>
      </x:c>
      <x:c r="S209" s="24" t="str">
        <x:v>Crédito general del estudio; individual si aplica</x:v>
      </x:c>
      <x:c r="T209" s="24" t="str">
        <x:v>VRM Games / Blas Luis Rocha González</x:v>
      </x:c>
      <x:c r="U209" s="24" t="str">
        <x:v>CURRENT PROJECT ASSET</x:v>
      </x:c>
      <x:c r="V209" s="24" t="str">
        <x:v>CONDITIONALLY APPROVED</x:v>
      </x:c>
      <x:c r="W209" s="24" t="str">
        <x:v>Sí</x:v>
      </x:c>
      <x:c r="X209" s="24" t="str">
        <x:v>Low</x:v>
      </x:c>
      <x:c r="Y209" s="24" t="str">
        <x:v>Internal development; public candidate requires gate</x:v>
      </x:c>
      <x:c r="Z209" s="24" t="str">
        <x:v>H6 legal/content audit</x:v>
      </x:c>
      <x:c r="AA209" s="24" t="str">
        <x:v>VRM Games</x:v>
      </x:c>
      <x:c r="AB209" s="24" t="str">
        <x:v>No se detectó proveedor externo en la ruta; confirmar autoría por lote antes de release público.</x:v>
      </x:c>
    </x:row>
    <x:row r="210" ht="34" customHeight="1">
      <x:c r="A210" s="24" t="str">
        <x:v>INT-0206</x:v>
      </x:c>
      <x:c r="B210" s="24" t="str">
        <x:v>902fae9f30573af4fb83f30c0eb15af6</x:v>
      </x:c>
      <x:c r="C210" s="24" t="str">
        <x:v>AutomaticDoor.prefab</x:v>
      </x:c>
      <x:c r="D210" s="24" t="str">
        <x:v>Prefab</x:v>
      </x:c>
      <x:c r="E210" s="24" t="str">
        <x:v>Architecture</x:v>
      </x:c>
      <x:c r="F210" s="24" t="str">
        <x:v>VRM Games / Blas Luis Rocha González</x:v>
      </x:c>
      <x:c r="G210" s="24" t="str">
        <x:v>VRM Games / Blas Luis Rocha González</x:v>
      </x:c>
      <x:c r="H210" s="24" t="str">
        <x:v>Internal project production</x:v>
      </x:c>
      <x:c r="I210" s="24" t="str">
        <x:v>2026 project timeline</x:v>
      </x:c>
      <x:c r="J210" s="24" t="str">
        <x:v>Internal project IP / authorship claim</x:v>
      </x:c>
      <x:c r="K210" s="24" t="str">
        <x:v>N/A</x:v>
      </x:c>
      <x:c r="L210" s="24" t="str">
        <x:v>Source package + repository path + hash</x:v>
      </x:c>
      <x:c r="M210" s="24" t="str">
        <x:v>fbc5a6f269b85869b27b7ea5eca3344bca9444f5159c520abe48fa12a0815a70</x:v>
      </x:c>
      <x:c r="N210" s="24" t="str">
        <x:v>Assets/_Project/Prefabs/Architecture/AutomaticDoor.prefab</x:v>
      </x:c>
      <x:c r="O210" s="24" t="str">
        <x:v>902fae9f30573af4fb83f30c0eb15af6</x:v>
      </x:c>
      <x:c r="P210" s="24" t="str">
        <x:v>Sí</x:v>
      </x:c>
      <x:c r="Q210" s="24" t="str">
        <x:v>Condicionado a autoría/procedencia final</x:v>
      </x:c>
      <x:c r="R210" s="24" t="str">
        <x:v>Solo dentro del producto/build autorizado</x:v>
      </x:c>
      <x:c r="S210" s="24" t="str">
        <x:v>Crédito general del estudio; individual si aplica</x:v>
      </x:c>
      <x:c r="T210" s="24" t="str">
        <x:v>VRM Games / Blas Luis Rocha González</x:v>
      </x:c>
      <x:c r="U210" s="24" t="str">
        <x:v>CURRENT PROJECT ASSET</x:v>
      </x:c>
      <x:c r="V210" s="24" t="str">
        <x:v>CONDITIONALLY APPROVED</x:v>
      </x:c>
      <x:c r="W210" s="24" t="str">
        <x:v>Parcial</x:v>
      </x:c>
      <x:c r="X210" s="24" t="str">
        <x:v>Low</x:v>
      </x:c>
      <x:c r="Y210" s="24" t="str">
        <x:v>Internal development; public candidate requires gate</x:v>
      </x:c>
      <x:c r="Z210" s="24" t="str">
        <x:v>H6 legal/content audit</x:v>
      </x:c>
      <x:c r="AA210" s="24" t="str">
        <x:v>VRM Games</x:v>
      </x:c>
      <x:c r="AB210" s="24" t="str">
        <x:v>No se detectó proveedor externo en la ruta; confirmar autoría por lote antes de release público.</x:v>
      </x:c>
    </x:row>
    <x:row r="211" ht="34" customHeight="1">
      <x:c r="A211" s="24" t="str">
        <x:v>INT-0207</x:v>
      </x:c>
      <x:c r="B211" s="24" t="str">
        <x:v>6afaabca3fc84ce43bce0d5a571f2141</x:v>
      </x:c>
      <x:c r="C211" s="24" t="str">
        <x:v>BackroomPartition.prefab</x:v>
      </x:c>
      <x:c r="D211" s="24" t="str">
        <x:v>Prefab</x:v>
      </x:c>
      <x:c r="E211" s="24" t="str">
        <x:v>Architecture</x:v>
      </x:c>
      <x:c r="F211" s="24" t="str">
        <x:v>VRM Games / Blas Luis Rocha González</x:v>
      </x:c>
      <x:c r="G211" s="24" t="str">
        <x:v>VRM Games / Blas Luis Rocha González</x:v>
      </x:c>
      <x:c r="H211" s="24" t="str">
        <x:v>Internal project production</x:v>
      </x:c>
      <x:c r="I211" s="24" t="str">
        <x:v>2026 project timeline</x:v>
      </x:c>
      <x:c r="J211" s="24" t="str">
        <x:v>Internal project IP / authorship claim</x:v>
      </x:c>
      <x:c r="K211" s="24" t="str">
        <x:v>N/A</x:v>
      </x:c>
      <x:c r="L211" s="24" t="str">
        <x:v>Source package + repository path + hash</x:v>
      </x:c>
      <x:c r="M211" s="24" t="str">
        <x:v>661ce30657172de3591e5eb7e2b5587861fc16fc1e7bd98a979640b956842f1d</x:v>
      </x:c>
      <x:c r="N211" s="24" t="str">
        <x:v>Assets/_Project/Prefabs/Architecture/BackroomPartition.prefab</x:v>
      </x:c>
      <x:c r="O211" s="24" t="str">
        <x:v>6afaabca3fc84ce43bce0d5a571f2141</x:v>
      </x:c>
      <x:c r="P211" s="24" t="str">
        <x:v>Sí</x:v>
      </x:c>
      <x:c r="Q211" s="24" t="str">
        <x:v>Condicionado a autoría/procedencia final</x:v>
      </x:c>
      <x:c r="R211" s="24" t="str">
        <x:v>Solo dentro del producto/build autorizado</x:v>
      </x:c>
      <x:c r="S211" s="24" t="str">
        <x:v>Crédito general del estudio; individual si aplica</x:v>
      </x:c>
      <x:c r="T211" s="24" t="str">
        <x:v>VRM Games / Blas Luis Rocha González</x:v>
      </x:c>
      <x:c r="U211" s="24" t="str">
        <x:v>CURRENT PROJECT ASSET</x:v>
      </x:c>
      <x:c r="V211" s="24" t="str">
        <x:v>CONDITIONALLY APPROVED</x:v>
      </x:c>
      <x:c r="W211" s="24" t="str">
        <x:v>Parcial</x:v>
      </x:c>
      <x:c r="X211" s="24" t="str">
        <x:v>Low</x:v>
      </x:c>
      <x:c r="Y211" s="24" t="str">
        <x:v>Internal development; public candidate requires gate</x:v>
      </x:c>
      <x:c r="Z211" s="24" t="str">
        <x:v>H6 legal/content audit</x:v>
      </x:c>
      <x:c r="AA211" s="24" t="str">
        <x:v>VRM Games</x:v>
      </x:c>
      <x:c r="AB211" s="24" t="str">
        <x:v>No se detectó proveedor externo en la ruta; confirmar autoría por lote antes de release público.</x:v>
      </x:c>
    </x:row>
    <x:row r="212" ht="34" customHeight="1">
      <x:c r="A212" s="24" t="str">
        <x:v>INT-0208</x:v>
      </x:c>
      <x:c r="B212" s="24" t="str">
        <x:v>8326de81cbe6b6c488aff3e01eab441a</x:v>
      </x:c>
      <x:c r="C212" s="24" t="str">
        <x:v>CornerInner.prefab</x:v>
      </x:c>
      <x:c r="D212" s="24" t="str">
        <x:v>Prefab</x:v>
      </x:c>
      <x:c r="E212" s="24" t="str">
        <x:v>Architecture</x:v>
      </x:c>
      <x:c r="F212" s="24" t="str">
        <x:v>VRM Games / Blas Luis Rocha González</x:v>
      </x:c>
      <x:c r="G212" s="24" t="str">
        <x:v>VRM Games / Blas Luis Rocha González</x:v>
      </x:c>
      <x:c r="H212" s="24" t="str">
        <x:v>Internal project production</x:v>
      </x:c>
      <x:c r="I212" s="24" t="str">
        <x:v>2026 project timeline</x:v>
      </x:c>
      <x:c r="J212" s="24" t="str">
        <x:v>Internal project IP / authorship claim</x:v>
      </x:c>
      <x:c r="K212" s="24" t="str">
        <x:v>N/A</x:v>
      </x:c>
      <x:c r="L212" s="24" t="str">
        <x:v>Source package + repository path + hash</x:v>
      </x:c>
      <x:c r="M212" s="24" t="str">
        <x:v>6d929483bd8918b6f9a99f80a6b698f4b898fdf3ec67f32968ff761e2693eff9</x:v>
      </x:c>
      <x:c r="N212" s="24" t="str">
        <x:v>Assets/_Project/Prefabs/Architecture/CornerInner.prefab</x:v>
      </x:c>
      <x:c r="O212" s="24" t="str">
        <x:v>8326de81cbe6b6c488aff3e01eab441a</x:v>
      </x:c>
      <x:c r="P212" s="24" t="str">
        <x:v>Sí</x:v>
      </x:c>
      <x:c r="Q212" s="24" t="str">
        <x:v>Condicionado a autoría/procedencia final</x:v>
      </x:c>
      <x:c r="R212" s="24" t="str">
        <x:v>Solo dentro del producto/build autorizado</x:v>
      </x:c>
      <x:c r="S212" s="24" t="str">
        <x:v>Crédito general del estudio; individual si aplica</x:v>
      </x:c>
      <x:c r="T212" s="24" t="str">
        <x:v>VRM Games / Blas Luis Rocha González</x:v>
      </x:c>
      <x:c r="U212" s="24" t="str">
        <x:v>CURRENT PROJECT ASSET</x:v>
      </x:c>
      <x:c r="V212" s="24" t="str">
        <x:v>CONDITIONALLY APPROVED</x:v>
      </x:c>
      <x:c r="W212" s="24" t="str">
        <x:v>Parcial</x:v>
      </x:c>
      <x:c r="X212" s="24" t="str">
        <x:v>Low</x:v>
      </x:c>
      <x:c r="Y212" s="24" t="str">
        <x:v>Internal development; public candidate requires gate</x:v>
      </x:c>
      <x:c r="Z212" s="24" t="str">
        <x:v>H6 legal/content audit</x:v>
      </x:c>
      <x:c r="AA212" s="24" t="str">
        <x:v>VRM Games</x:v>
      </x:c>
      <x:c r="AB212" s="24" t="str">
        <x:v>No se detectó proveedor externo en la ruta; confirmar autoría por lote antes de release público.</x:v>
      </x:c>
    </x:row>
    <x:row r="213" ht="34" customHeight="1">
      <x:c r="A213" s="24" t="str">
        <x:v>INT-0209</x:v>
      </x:c>
      <x:c r="B213" s="24" t="str">
        <x:v>86630f8bb9a3dd44eadcc3cb99d1c653</x:v>
      </x:c>
      <x:c r="C213" s="24" t="str">
        <x:v>CornerOuter.prefab</x:v>
      </x:c>
      <x:c r="D213" s="24" t="str">
        <x:v>Prefab</x:v>
      </x:c>
      <x:c r="E213" s="24" t="str">
        <x:v>Architecture</x:v>
      </x:c>
      <x:c r="F213" s="24" t="str">
        <x:v>VRM Games / Blas Luis Rocha González</x:v>
      </x:c>
      <x:c r="G213" s="24" t="str">
        <x:v>VRM Games / Blas Luis Rocha González</x:v>
      </x:c>
      <x:c r="H213" s="24" t="str">
        <x:v>Internal project production</x:v>
      </x:c>
      <x:c r="I213" s="24" t="str">
        <x:v>2026 project timeline</x:v>
      </x:c>
      <x:c r="J213" s="24" t="str">
        <x:v>Internal project IP / authorship claim</x:v>
      </x:c>
      <x:c r="K213" s="24" t="str">
        <x:v>N/A</x:v>
      </x:c>
      <x:c r="L213" s="24" t="str">
        <x:v>Source package + repository path + hash</x:v>
      </x:c>
      <x:c r="M213" s="24" t="str">
        <x:v>ebd8436f94506688bc05965933ec463ca3f85cbc41c4827bed836cda4490dead</x:v>
      </x:c>
      <x:c r="N213" s="24" t="str">
        <x:v>Assets/_Project/Prefabs/Architecture/CornerOuter.prefab</x:v>
      </x:c>
      <x:c r="O213" s="24" t="str">
        <x:v>86630f8bb9a3dd44eadcc3cb99d1c653</x:v>
      </x:c>
      <x:c r="P213" s="24" t="str">
        <x:v>Sí</x:v>
      </x:c>
      <x:c r="Q213" s="24" t="str">
        <x:v>Condicionado a autoría/procedencia final</x:v>
      </x:c>
      <x:c r="R213" s="24" t="str">
        <x:v>Solo dentro del producto/build autorizado</x:v>
      </x:c>
      <x:c r="S213" s="24" t="str">
        <x:v>Crédito general del estudio; individual si aplica</x:v>
      </x:c>
      <x:c r="T213" s="24" t="str">
        <x:v>VRM Games / Blas Luis Rocha González</x:v>
      </x:c>
      <x:c r="U213" s="24" t="str">
        <x:v>CURRENT PROJECT ASSET</x:v>
      </x:c>
      <x:c r="V213" s="24" t="str">
        <x:v>CONDITIONALLY APPROVED</x:v>
      </x:c>
      <x:c r="W213" s="24" t="str">
        <x:v>Parcial</x:v>
      </x:c>
      <x:c r="X213" s="24" t="str">
        <x:v>Low</x:v>
      </x:c>
      <x:c r="Y213" s="24" t="str">
        <x:v>Internal development; public candidate requires gate</x:v>
      </x:c>
      <x:c r="Z213" s="24" t="str">
        <x:v>H6 legal/content audit</x:v>
      </x:c>
      <x:c r="AA213" s="24" t="str">
        <x:v>VRM Games</x:v>
      </x:c>
      <x:c r="AB213" s="24" t="str">
        <x:v>No se detectó proveedor externo en la ruta; confirmar autoría por lote antes de release público.</x:v>
      </x:c>
    </x:row>
    <x:row r="214" ht="34" customHeight="1">
      <x:c r="A214" s="24" t="str">
        <x:v>INT-0210</x:v>
      </x:c>
      <x:c r="B214" s="24" t="str">
        <x:v>922447690a287bb40b0e0637e09b8d1c</x:v>
      </x:c>
      <x:c r="C214" s="24" t="str">
        <x:v>EndCap.prefab</x:v>
      </x:c>
      <x:c r="D214" s="24" t="str">
        <x:v>Prefab</x:v>
      </x:c>
      <x:c r="E214" s="24" t="str">
        <x:v>Architecture</x:v>
      </x:c>
      <x:c r="F214" s="24" t="str">
        <x:v>VRM Games / Blas Luis Rocha González</x:v>
      </x:c>
      <x:c r="G214" s="24" t="str">
        <x:v>VRM Games / Blas Luis Rocha González</x:v>
      </x:c>
      <x:c r="H214" s="24" t="str">
        <x:v>Internal project production</x:v>
      </x:c>
      <x:c r="I214" s="24" t="str">
        <x:v>2026 project timeline</x:v>
      </x:c>
      <x:c r="J214" s="24" t="str">
        <x:v>Internal project IP / authorship claim</x:v>
      </x:c>
      <x:c r="K214" s="24" t="str">
        <x:v>N/A</x:v>
      </x:c>
      <x:c r="L214" s="24" t="str">
        <x:v>Source package + repository path + hash</x:v>
      </x:c>
      <x:c r="M214" s="24" t="str">
        <x:v>9cac3976f78206ebad2a7d6e85affe9fd0827631d568eca67791d1c6fa12050e</x:v>
      </x:c>
      <x:c r="N214" s="24" t="str">
        <x:v>Assets/_Project/Prefabs/Architecture/EndCap.prefab</x:v>
      </x:c>
      <x:c r="O214" s="24" t="str">
        <x:v>922447690a287bb40b0e0637e09b8d1c</x:v>
      </x:c>
      <x:c r="P214" s="24" t="str">
        <x:v>Sí</x:v>
      </x:c>
      <x:c r="Q214" s="24" t="str">
        <x:v>Condicionado a autoría/procedencia final</x:v>
      </x:c>
      <x:c r="R214" s="24" t="str">
        <x:v>Solo dentro del producto/build autorizado</x:v>
      </x:c>
      <x:c r="S214" s="24" t="str">
        <x:v>Crédito general del estudio; individual si aplica</x:v>
      </x:c>
      <x:c r="T214" s="24" t="str">
        <x:v>VRM Games / Blas Luis Rocha González</x:v>
      </x:c>
      <x:c r="U214" s="24" t="str">
        <x:v>CURRENT PROJECT ASSET</x:v>
      </x:c>
      <x:c r="V214" s="24" t="str">
        <x:v>CONDITIONALLY APPROVED</x:v>
      </x:c>
      <x:c r="W214" s="24" t="str">
        <x:v>Parcial</x:v>
      </x:c>
      <x:c r="X214" s="24" t="str">
        <x:v>Low</x:v>
      </x:c>
      <x:c r="Y214" s="24" t="str">
        <x:v>Internal development; public candidate requires gate</x:v>
      </x:c>
      <x:c r="Z214" s="24" t="str">
        <x:v>H6 legal/content audit</x:v>
      </x:c>
      <x:c r="AA214" s="24" t="str">
        <x:v>VRM Games</x:v>
      </x:c>
      <x:c r="AB214" s="24" t="str">
        <x:v>No se detectó proveedor externo en la ruta; confirmar autoría por lote antes de release público.</x:v>
      </x:c>
    </x:row>
    <x:row r="215" ht="34" customHeight="1">
      <x:c r="A215" s="24" t="str">
        <x:v>INT-0211</x:v>
      </x:c>
      <x:c r="B215" s="24" t="str">
        <x:v>b6fdade53717521498b183f5bae96305</x:v>
      </x:c>
      <x:c r="C215" s="24" t="str">
        <x:v>EntranceThreshold.prefab</x:v>
      </x:c>
      <x:c r="D215" s="24" t="str">
        <x:v>Prefab</x:v>
      </x:c>
      <x:c r="E215" s="24" t="str">
        <x:v>Architecture</x:v>
      </x:c>
      <x:c r="F215" s="24" t="str">
        <x:v>VRM Games / Blas Luis Rocha González</x:v>
      </x:c>
      <x:c r="G215" s="24" t="str">
        <x:v>VRM Games / Blas Luis Rocha González</x:v>
      </x:c>
      <x:c r="H215" s="24" t="str">
        <x:v>Internal project production</x:v>
      </x:c>
      <x:c r="I215" s="24" t="str">
        <x:v>2026 project timeline</x:v>
      </x:c>
      <x:c r="J215" s="24" t="str">
        <x:v>Internal project IP / authorship claim</x:v>
      </x:c>
      <x:c r="K215" s="24" t="str">
        <x:v>N/A</x:v>
      </x:c>
      <x:c r="L215" s="24" t="str">
        <x:v>Source package + repository path + hash</x:v>
      </x:c>
      <x:c r="M215" s="24" t="str">
        <x:v>0b8cd694882f8a50e050b7e3fa361f4789989f6b365e6e1f228f8a666cb278c1</x:v>
      </x:c>
      <x:c r="N215" s="24" t="str">
        <x:v>Assets/_Project/Prefabs/Architecture/EntranceThreshold.prefab</x:v>
      </x:c>
      <x:c r="O215" s="24" t="str">
        <x:v>b6fdade53717521498b183f5bae96305</x:v>
      </x:c>
      <x:c r="P215" s="24" t="str">
        <x:v>Sí</x:v>
      </x:c>
      <x:c r="Q215" s="24" t="str">
        <x:v>Condicionado a autoría/procedencia final</x:v>
      </x:c>
      <x:c r="R215" s="24" t="str">
        <x:v>Solo dentro del producto/build autorizado</x:v>
      </x:c>
      <x:c r="S215" s="24" t="str">
        <x:v>Crédito general del estudio; individual si aplica</x:v>
      </x:c>
      <x:c r="T215" s="24" t="str">
        <x:v>VRM Games / Blas Luis Rocha González</x:v>
      </x:c>
      <x:c r="U215" s="24" t="str">
        <x:v>CURRENT PROJECT ASSET</x:v>
      </x:c>
      <x:c r="V215" s="24" t="str">
        <x:v>CONDITIONALLY APPROVED</x:v>
      </x:c>
      <x:c r="W215" s="24" t="str">
        <x:v>Parcial</x:v>
      </x:c>
      <x:c r="X215" s="24" t="str">
        <x:v>Low</x:v>
      </x:c>
      <x:c r="Y215" s="24" t="str">
        <x:v>Internal development; public candidate requires gate</x:v>
      </x:c>
      <x:c r="Z215" s="24" t="str">
        <x:v>H6 legal/content audit</x:v>
      </x:c>
      <x:c r="AA215" s="24" t="str">
        <x:v>VRM Games</x:v>
      </x:c>
      <x:c r="AB215" s="24" t="str">
        <x:v>No se detectó proveedor externo en la ruta; confirmar autoría por lote antes de release público.</x:v>
      </x:c>
    </x:row>
    <x:row r="216" ht="34" customHeight="1">
      <x:c r="A216" s="24" t="str">
        <x:v>INT-0212</x:v>
      </x:c>
      <x:c r="B216" s="24" t="str">
        <x:v>94410c856fcbe9a44a4e0565b59a4810</x:v>
      </x:c>
      <x:c r="C216" s="24" t="str">
        <x:v>Floor100.prefab</x:v>
      </x:c>
      <x:c r="D216" s="24" t="str">
        <x:v>Prefab</x:v>
      </x:c>
      <x:c r="E216" s="24" t="str">
        <x:v>Architecture</x:v>
      </x:c>
      <x:c r="F216" s="24" t="str">
        <x:v>VRM Games / Blas Luis Rocha González</x:v>
      </x:c>
      <x:c r="G216" s="24" t="str">
        <x:v>VRM Games / Blas Luis Rocha González</x:v>
      </x:c>
      <x:c r="H216" s="24" t="str">
        <x:v>Internal project production</x:v>
      </x:c>
      <x:c r="I216" s="24" t="str">
        <x:v>2026 project timeline</x:v>
      </x:c>
      <x:c r="J216" s="24" t="str">
        <x:v>Internal project IP / authorship claim</x:v>
      </x:c>
      <x:c r="K216" s="24" t="str">
        <x:v>N/A</x:v>
      </x:c>
      <x:c r="L216" s="24" t="str">
        <x:v>Source package + repository path + hash</x:v>
      </x:c>
      <x:c r="M216" s="24" t="str">
        <x:v>2108067e959121e551d7e79c791706b34344b65977ecf602cb90e00c79915138</x:v>
      </x:c>
      <x:c r="N216" s="24" t="str">
        <x:v>Assets/_Project/Prefabs/Architecture/Floor100.prefab</x:v>
      </x:c>
      <x:c r="O216" s="24" t="str">
        <x:v>94410c856fcbe9a44a4e0565b59a4810</x:v>
      </x:c>
      <x:c r="P216" s="24" t="str">
        <x:v>Sí</x:v>
      </x:c>
      <x:c r="Q216" s="24" t="str">
        <x:v>Condicionado a autoría/procedencia final</x:v>
      </x:c>
      <x:c r="R216" s="24" t="str">
        <x:v>Solo dentro del producto/build autorizado</x:v>
      </x:c>
      <x:c r="S216" s="24" t="str">
        <x:v>Crédito general del estudio; individual si aplica</x:v>
      </x:c>
      <x:c r="T216" s="24" t="str">
        <x:v>VRM Games / Blas Luis Rocha González</x:v>
      </x:c>
      <x:c r="U216" s="24" t="str">
        <x:v>CURRENT PROJECT ASSET</x:v>
      </x:c>
      <x:c r="V216" s="24" t="str">
        <x:v>CONDITIONALLY APPROVED</x:v>
      </x:c>
      <x:c r="W216" s="24" t="str">
        <x:v>Parcial</x:v>
      </x:c>
      <x:c r="X216" s="24" t="str">
        <x:v>Low</x:v>
      </x:c>
      <x:c r="Y216" s="24" t="str">
        <x:v>Internal development; public candidate requires gate</x:v>
      </x:c>
      <x:c r="Z216" s="24" t="str">
        <x:v>H6 legal/content audit</x:v>
      </x:c>
      <x:c r="AA216" s="24" t="str">
        <x:v>VRM Games</x:v>
      </x:c>
      <x:c r="AB216" s="24" t="str">
        <x:v>No se detectó proveedor externo en la ruta; confirmar autoría por lote antes de release público.</x:v>
      </x:c>
    </x:row>
    <x:row r="217" ht="34" customHeight="1">
      <x:c r="A217" s="24" t="str">
        <x:v>INT-0213</x:v>
      </x:c>
      <x:c r="B217" s="24" t="str">
        <x:v>07c25de10de27694080275bb6f53c0c5</x:v>
      </x:c>
      <x:c r="C217" s="24" t="str">
        <x:v>Floor200.prefab</x:v>
      </x:c>
      <x:c r="D217" s="24" t="str">
        <x:v>Prefab</x:v>
      </x:c>
      <x:c r="E217" s="24" t="str">
        <x:v>Architecture</x:v>
      </x:c>
      <x:c r="F217" s="24" t="str">
        <x:v>VRM Games / Blas Luis Rocha González</x:v>
      </x:c>
      <x:c r="G217" s="24" t="str">
        <x:v>VRM Games / Blas Luis Rocha González</x:v>
      </x:c>
      <x:c r="H217" s="24" t="str">
        <x:v>Internal project production</x:v>
      </x:c>
      <x:c r="I217" s="24" t="str">
        <x:v>2026 project timeline</x:v>
      </x:c>
      <x:c r="J217" s="24" t="str">
        <x:v>Internal project IP / authorship claim</x:v>
      </x:c>
      <x:c r="K217" s="24" t="str">
        <x:v>N/A</x:v>
      </x:c>
      <x:c r="L217" s="24" t="str">
        <x:v>Source package + repository path + hash</x:v>
      </x:c>
      <x:c r="M217" s="24" t="str">
        <x:v>011cbcd0a6cf72a0d7e6ca05feac4f5201e8121bfb18ba6006c778ce83d26371</x:v>
      </x:c>
      <x:c r="N217" s="24" t="str">
        <x:v>Assets/_Project/Prefabs/Architecture/Floor200.prefab</x:v>
      </x:c>
      <x:c r="O217" s="24" t="str">
        <x:v>07c25de10de27694080275bb6f53c0c5</x:v>
      </x:c>
      <x:c r="P217" s="24" t="str">
        <x:v>Sí</x:v>
      </x:c>
      <x:c r="Q217" s="24" t="str">
        <x:v>Condicionado a autoría/procedencia final</x:v>
      </x:c>
      <x:c r="R217" s="24" t="str">
        <x:v>Solo dentro del producto/build autorizado</x:v>
      </x:c>
      <x:c r="S217" s="24" t="str">
        <x:v>Crédito general del estudio; individual si aplica</x:v>
      </x:c>
      <x:c r="T217" s="24" t="str">
        <x:v>VRM Games / Blas Luis Rocha González</x:v>
      </x:c>
      <x:c r="U217" s="24" t="str">
        <x:v>CURRENT PROJECT ASSET</x:v>
      </x:c>
      <x:c r="V217" s="24" t="str">
        <x:v>CONDITIONALLY APPROVED</x:v>
      </x:c>
      <x:c r="W217" s="24" t="str">
        <x:v>Parcial</x:v>
      </x:c>
      <x:c r="X217" s="24" t="str">
        <x:v>Low</x:v>
      </x:c>
      <x:c r="Y217" s="24" t="str">
        <x:v>Internal development; public candidate requires gate</x:v>
      </x:c>
      <x:c r="Z217" s="24" t="str">
        <x:v>H6 legal/content audit</x:v>
      </x:c>
      <x:c r="AA217" s="24" t="str">
        <x:v>VRM Games</x:v>
      </x:c>
      <x:c r="AB217" s="24" t="str">
        <x:v>No se detectó proveedor externo en la ruta; confirmar autoría por lote antes de release público.</x:v>
      </x:c>
    </x:row>
    <x:row r="218" ht="34" customHeight="1">
      <x:c r="A218" s="24" t="str">
        <x:v>INT-0214</x:v>
      </x:c>
      <x:c r="B218" s="24" t="str">
        <x:v>a1632d5e73519f4448f13ec11c146a6e</x:v>
      </x:c>
      <x:c r="C218" s="24" t="str">
        <x:v>FloorEdge100.prefab</x:v>
      </x:c>
      <x:c r="D218" s="24" t="str">
        <x:v>Prefab</x:v>
      </x:c>
      <x:c r="E218" s="24" t="str">
        <x:v>Architecture</x:v>
      </x:c>
      <x:c r="F218" s="24" t="str">
        <x:v>VRM Games / Blas Luis Rocha González</x:v>
      </x:c>
      <x:c r="G218" s="24" t="str">
        <x:v>VRM Games / Blas Luis Rocha González</x:v>
      </x:c>
      <x:c r="H218" s="24" t="str">
        <x:v>Internal project production</x:v>
      </x:c>
      <x:c r="I218" s="24" t="str">
        <x:v>2026 project timeline</x:v>
      </x:c>
      <x:c r="J218" s="24" t="str">
        <x:v>Internal project IP / authorship claim</x:v>
      </x:c>
      <x:c r="K218" s="24" t="str">
        <x:v>N/A</x:v>
      </x:c>
      <x:c r="L218" s="24" t="str">
        <x:v>Source package + repository path + hash</x:v>
      </x:c>
      <x:c r="M218" s="24" t="str">
        <x:v>c4e2431b62ec2a4115b9986e8791d3ce096b64dc590ccc4eadedf8654ffdeaca</x:v>
      </x:c>
      <x:c r="N218" s="24" t="str">
        <x:v>Assets/_Project/Prefabs/Architecture/FloorEdge100.prefab</x:v>
      </x:c>
      <x:c r="O218" s="24" t="str">
        <x:v>a1632d5e73519f4448f13ec11c146a6e</x:v>
      </x:c>
      <x:c r="P218" s="24" t="str">
        <x:v>Sí</x:v>
      </x:c>
      <x:c r="Q218" s="24" t="str">
        <x:v>Condicionado a autoría/procedencia final</x:v>
      </x:c>
      <x:c r="R218" s="24" t="str">
        <x:v>Solo dentro del producto/build autorizado</x:v>
      </x:c>
      <x:c r="S218" s="24" t="str">
        <x:v>Crédito general del estudio; individual si aplica</x:v>
      </x:c>
      <x:c r="T218" s="24" t="str">
        <x:v>VRM Games / Blas Luis Rocha González</x:v>
      </x:c>
      <x:c r="U218" s="24" t="str">
        <x:v>CURRENT PROJECT ASSET</x:v>
      </x:c>
      <x:c r="V218" s="24" t="str">
        <x:v>CONDITIONALLY APPROVED</x:v>
      </x:c>
      <x:c r="W218" s="24" t="str">
        <x:v>Parcial</x:v>
      </x:c>
      <x:c r="X218" s="24" t="str">
        <x:v>Low</x:v>
      </x:c>
      <x:c r="Y218" s="24" t="str">
        <x:v>Internal development; public candidate requires gate</x:v>
      </x:c>
      <x:c r="Z218" s="24" t="str">
        <x:v>H6 legal/content audit</x:v>
      </x:c>
      <x:c r="AA218" s="24" t="str">
        <x:v>VRM Games</x:v>
      </x:c>
      <x:c r="AB218" s="24" t="str">
        <x:v>No se detectó proveedor externo en la ruta; confirmar autoría por lote antes de release público.</x:v>
      </x:c>
    </x:row>
    <x:row r="219" ht="34" customHeight="1">
      <x:c r="A219" s="24" t="str">
        <x:v>INT-0215</x:v>
      </x:c>
      <x:c r="B219" s="24" t="str">
        <x:v>e41ce63b6c5c01e4b9673778fd7f2336</x:v>
      </x:c>
      <x:c r="C219" s="24" t="str">
        <x:v>FloorTransition100.prefab</x:v>
      </x:c>
      <x:c r="D219" s="24" t="str">
        <x:v>Prefab</x:v>
      </x:c>
      <x:c r="E219" s="24" t="str">
        <x:v>Architecture</x:v>
      </x:c>
      <x:c r="F219" s="24" t="str">
        <x:v>VRM Games / Blas Luis Rocha González</x:v>
      </x:c>
      <x:c r="G219" s="24" t="str">
        <x:v>VRM Games / Blas Luis Rocha González</x:v>
      </x:c>
      <x:c r="H219" s="24" t="str">
        <x:v>Internal project production</x:v>
      </x:c>
      <x:c r="I219" s="24" t="str">
        <x:v>2026 project timeline</x:v>
      </x:c>
      <x:c r="J219" s="24" t="str">
        <x:v>Internal project IP / authorship claim</x:v>
      </x:c>
      <x:c r="K219" s="24" t="str">
        <x:v>N/A</x:v>
      </x:c>
      <x:c r="L219" s="24" t="str">
        <x:v>Source package + repository path + hash</x:v>
      </x:c>
      <x:c r="M219" s="24" t="str">
        <x:v>6d14aea59490f9591909f29aefe32c65329131fe929cf53d3f6f9174db79f044</x:v>
      </x:c>
      <x:c r="N219" s="24" t="str">
        <x:v>Assets/_Project/Prefabs/Architecture/FloorTransition100.prefab</x:v>
      </x:c>
      <x:c r="O219" s="24" t="str">
        <x:v>e41ce63b6c5c01e4b9673778fd7f2336</x:v>
      </x:c>
      <x:c r="P219" s="24" t="str">
        <x:v>Sí</x:v>
      </x:c>
      <x:c r="Q219" s="24" t="str">
        <x:v>Condicionado a autoría/procedencia final</x:v>
      </x:c>
      <x:c r="R219" s="24" t="str">
        <x:v>Solo dentro del producto/build autorizado</x:v>
      </x:c>
      <x:c r="S219" s="24" t="str">
        <x:v>Crédito general del estudio; individual si aplica</x:v>
      </x:c>
      <x:c r="T219" s="24" t="str">
        <x:v>VRM Games / Blas Luis Rocha González</x:v>
      </x:c>
      <x:c r="U219" s="24" t="str">
        <x:v>CURRENT PROJECT ASSET</x:v>
      </x:c>
      <x:c r="V219" s="24" t="str">
        <x:v>CONDITIONALLY APPROVED</x:v>
      </x:c>
      <x:c r="W219" s="24" t="str">
        <x:v>Parcial</x:v>
      </x:c>
      <x:c r="X219" s="24" t="str">
        <x:v>Low</x:v>
      </x:c>
      <x:c r="Y219" s="24" t="str">
        <x:v>Internal development; public candidate requires gate</x:v>
      </x:c>
      <x:c r="Z219" s="24" t="str">
        <x:v>H6 legal/content audit</x:v>
      </x:c>
      <x:c r="AA219" s="24" t="str">
        <x:v>VRM Games</x:v>
      </x:c>
      <x:c r="AB219" s="24" t="str">
        <x:v>No se detectó proveedor externo en la ruta; confirmar autoría por lote antes de release público.</x:v>
      </x:c>
    </x:row>
    <x:row r="220" ht="34" customHeight="1">
      <x:c r="A220" s="24" t="str">
        <x:v>INT-0216</x:v>
      </x:c>
      <x:c r="B220" s="24" t="str">
        <x:v>071a65526166691439a82555489f480b</x:v>
      </x:c>
      <x:c r="C220" s="24" t="str">
        <x:v>LightRail100.prefab</x:v>
      </x:c>
      <x:c r="D220" s="24" t="str">
        <x:v>Prefab</x:v>
      </x:c>
      <x:c r="E220" s="24" t="str">
        <x:v>Architecture</x:v>
      </x:c>
      <x:c r="F220" s="24" t="str">
        <x:v>VRM Games / Blas Luis Rocha González</x:v>
      </x:c>
      <x:c r="G220" s="24" t="str">
        <x:v>VRM Games / Blas Luis Rocha González</x:v>
      </x:c>
      <x:c r="H220" s="24" t="str">
        <x:v>Internal project production</x:v>
      </x:c>
      <x:c r="I220" s="24" t="str">
        <x:v>2026 project timeline</x:v>
      </x:c>
      <x:c r="J220" s="24" t="str">
        <x:v>Internal project IP / authorship claim</x:v>
      </x:c>
      <x:c r="K220" s="24" t="str">
        <x:v>N/A</x:v>
      </x:c>
      <x:c r="L220" s="24" t="str">
        <x:v>Source package + repository path + hash</x:v>
      </x:c>
      <x:c r="M220" s="24" t="str">
        <x:v>a1a71aee47551797b8ef3f32bb09d4e5fcb4acbaaee35cc72e8d98c0bdbdc106</x:v>
      </x:c>
      <x:c r="N220" s="24" t="str">
        <x:v>Assets/_Project/Prefabs/Architecture/LightRail100.prefab</x:v>
      </x:c>
      <x:c r="O220" s="24" t="str">
        <x:v>071a65526166691439a82555489f480b</x:v>
      </x:c>
      <x:c r="P220" s="24" t="str">
        <x:v>Sí</x:v>
      </x:c>
      <x:c r="Q220" s="24" t="str">
        <x:v>Condicionado a autoría/procedencia final</x:v>
      </x:c>
      <x:c r="R220" s="24" t="str">
        <x:v>Solo dentro del producto/build autorizado</x:v>
      </x:c>
      <x:c r="S220" s="24" t="str">
        <x:v>Crédito general del estudio; individual si aplica</x:v>
      </x:c>
      <x:c r="T220" s="24" t="str">
        <x:v>VRM Games / Blas Luis Rocha González</x:v>
      </x:c>
      <x:c r="U220" s="24" t="str">
        <x:v>CURRENT PROJECT ASSET</x:v>
      </x:c>
      <x:c r="V220" s="24" t="str">
        <x:v>CONDITIONALLY APPROVED</x:v>
      </x:c>
      <x:c r="W220" s="24" t="str">
        <x:v>Parcial</x:v>
      </x:c>
      <x:c r="X220" s="24" t="str">
        <x:v>Low</x:v>
      </x:c>
      <x:c r="Y220" s="24" t="str">
        <x:v>Internal development; public candidate requires gate</x:v>
      </x:c>
      <x:c r="Z220" s="24" t="str">
        <x:v>H6 legal/content audit</x:v>
      </x:c>
      <x:c r="AA220" s="24" t="str">
        <x:v>VRM Games</x:v>
      </x:c>
      <x:c r="AB220" s="24" t="str">
        <x:v>No se detectó proveedor externo en la ruta; confirmar autoría por lote antes de release público.</x:v>
      </x:c>
    </x:row>
    <x:row r="221" ht="34" customHeight="1">
      <x:c r="A221" s="24" t="str">
        <x:v>INT-0217</x:v>
      </x:c>
      <x:c r="B221" s="24" t="str">
        <x:v>7166ef018508128479d9430b93d9f5fb</x:v>
      </x:c>
      <x:c r="C221" s="24" t="str">
        <x:v>LightRail200.prefab</x:v>
      </x:c>
      <x:c r="D221" s="24" t="str">
        <x:v>Prefab</x:v>
      </x:c>
      <x:c r="E221" s="24" t="str">
        <x:v>Architecture</x:v>
      </x:c>
      <x:c r="F221" s="24" t="str">
        <x:v>VRM Games / Blas Luis Rocha González</x:v>
      </x:c>
      <x:c r="G221" s="24" t="str">
        <x:v>VRM Games / Blas Luis Rocha González</x:v>
      </x:c>
      <x:c r="H221" s="24" t="str">
        <x:v>Internal project production</x:v>
      </x:c>
      <x:c r="I221" s="24" t="str">
        <x:v>2026 project timeline</x:v>
      </x:c>
      <x:c r="J221" s="24" t="str">
        <x:v>Internal project IP / authorship claim</x:v>
      </x:c>
      <x:c r="K221" s="24" t="str">
        <x:v>N/A</x:v>
      </x:c>
      <x:c r="L221" s="24" t="str">
        <x:v>Source package + repository path + hash</x:v>
      </x:c>
      <x:c r="M221" s="24" t="str">
        <x:v>99828e0d60a83e4399cb01ba25a8b2c4450b601cb13284eb5de6f4ea6e51a6c3</x:v>
      </x:c>
      <x:c r="N221" s="24" t="str">
        <x:v>Assets/_Project/Prefabs/Architecture/LightRail200.prefab</x:v>
      </x:c>
      <x:c r="O221" s="24" t="str">
        <x:v>7166ef018508128479d9430b93d9f5fb</x:v>
      </x:c>
      <x:c r="P221" s="24" t="str">
        <x:v>Sí</x:v>
      </x:c>
      <x:c r="Q221" s="24" t="str">
        <x:v>Condicionado a autoría/procedencia final</x:v>
      </x:c>
      <x:c r="R221" s="24" t="str">
        <x:v>Solo dentro del producto/build autorizado</x:v>
      </x:c>
      <x:c r="S221" s="24" t="str">
        <x:v>Crédito general del estudio; individual si aplica</x:v>
      </x:c>
      <x:c r="T221" s="24" t="str">
        <x:v>VRM Games / Blas Luis Rocha González</x:v>
      </x:c>
      <x:c r="U221" s="24" t="str">
        <x:v>CURRENT PROJECT ASSET</x:v>
      </x:c>
      <x:c r="V221" s="24" t="str">
        <x:v>CONDITIONALLY APPROVED</x:v>
      </x:c>
      <x:c r="W221" s="24" t="str">
        <x:v>Parcial</x:v>
      </x:c>
      <x:c r="X221" s="24" t="str">
        <x:v>Low</x:v>
      </x:c>
      <x:c r="Y221" s="24" t="str">
        <x:v>Internal development; public candidate requires gate</x:v>
      </x:c>
      <x:c r="Z221" s="24" t="str">
        <x:v>H6 legal/content audit</x:v>
      </x:c>
      <x:c r="AA221" s="24" t="str">
        <x:v>VRM Games</x:v>
      </x:c>
      <x:c r="AB221" s="24" t="str">
        <x:v>No se detectó proveedor externo en la ruta; confirmar autoría por lote antes de release público.</x:v>
      </x:c>
    </x:row>
    <x:row r="222" ht="34" customHeight="1">
      <x:c r="A222" s="24" t="str">
        <x:v>INT-0218</x:v>
      </x:c>
      <x:c r="B222" s="24" t="str">
        <x:v>aa18e2f0d783d234c9e36dc461a8d40b</x:v>
      </x:c>
      <x:c r="C222" s="24" t="str">
        <x:v>LinearPanel.prefab</x:v>
      </x:c>
      <x:c r="D222" s="24" t="str">
        <x:v>Prefab</x:v>
      </x:c>
      <x:c r="E222" s="24" t="str">
        <x:v>Architecture</x:v>
      </x:c>
      <x:c r="F222" s="24" t="str">
        <x:v>VRM Games / Blas Luis Rocha González</x:v>
      </x:c>
      <x:c r="G222" s="24" t="str">
        <x:v>VRM Games / Blas Luis Rocha González</x:v>
      </x:c>
      <x:c r="H222" s="24" t="str">
        <x:v>Internal project production</x:v>
      </x:c>
      <x:c r="I222" s="24" t="str">
        <x:v>2026 project timeline</x:v>
      </x:c>
      <x:c r="J222" s="24" t="str">
        <x:v>Internal project IP / authorship claim</x:v>
      </x:c>
      <x:c r="K222" s="24" t="str">
        <x:v>N/A</x:v>
      </x:c>
      <x:c r="L222" s="24" t="str">
        <x:v>Source package + repository path + hash</x:v>
      </x:c>
      <x:c r="M222" s="24" t="str">
        <x:v>2b76a4a30ba4cb428f25fedc03ccd6c2c504e56b048bfb6602a0027efbc2cfa6</x:v>
      </x:c>
      <x:c r="N222" s="24" t="str">
        <x:v>Assets/_Project/Prefabs/Architecture/LinearPanel.prefab</x:v>
      </x:c>
      <x:c r="O222" s="24" t="str">
        <x:v>aa18e2f0d783d234c9e36dc461a8d40b</x:v>
      </x:c>
      <x:c r="P222" s="24" t="str">
        <x:v>Sí</x:v>
      </x:c>
      <x:c r="Q222" s="24" t="str">
        <x:v>Condicionado a autoría/procedencia final</x:v>
      </x:c>
      <x:c r="R222" s="24" t="str">
        <x:v>Solo dentro del producto/build autorizado</x:v>
      </x:c>
      <x:c r="S222" s="24" t="str">
        <x:v>Crédito general del estudio; individual si aplica</x:v>
      </x:c>
      <x:c r="T222" s="24" t="str">
        <x:v>VRM Games / Blas Luis Rocha González</x:v>
      </x:c>
      <x:c r="U222" s="24" t="str">
        <x:v>CURRENT PROJECT ASSET</x:v>
      </x:c>
      <x:c r="V222" s="24" t="str">
        <x:v>CONDITIONALLY APPROVED</x:v>
      </x:c>
      <x:c r="W222" s="24" t="str">
        <x:v>Parcial</x:v>
      </x:c>
      <x:c r="X222" s="24" t="str">
        <x:v>Low</x:v>
      </x:c>
      <x:c r="Y222" s="24" t="str">
        <x:v>Internal development; public candidate requires gate</x:v>
      </x:c>
      <x:c r="Z222" s="24" t="str">
        <x:v>H6 legal/content audit</x:v>
      </x:c>
      <x:c r="AA222" s="24" t="str">
        <x:v>VRM Games</x:v>
      </x:c>
      <x:c r="AB222" s="24" t="str">
        <x:v>No se detectó proveedor externo en la ruta; confirmar autoría por lote antes de release público.</x:v>
      </x:c>
    </x:row>
    <x:row r="223" ht="34" customHeight="1">
      <x:c r="A223" s="24" t="str">
        <x:v>INT-0219</x:v>
      </x:c>
      <x:c r="B223" s="24" t="str">
        <x:v>caf5768b2fea32a43917881247aac1bb</x:v>
      </x:c>
      <x:c r="C223" s="24" t="str">
        <x:v>SpotLight.prefab</x:v>
      </x:c>
      <x:c r="D223" s="24" t="str">
        <x:v>Prefab</x:v>
      </x:c>
      <x:c r="E223" s="24" t="str">
        <x:v>Architecture</x:v>
      </x:c>
      <x:c r="F223" s="24" t="str">
        <x:v>VRM Games / Blas Luis Rocha González</x:v>
      </x:c>
      <x:c r="G223" s="24" t="str">
        <x:v>VRM Games / Blas Luis Rocha González</x:v>
      </x:c>
      <x:c r="H223" s="24" t="str">
        <x:v>Internal project production</x:v>
      </x:c>
      <x:c r="I223" s="24" t="str">
        <x:v>2026 project timeline</x:v>
      </x:c>
      <x:c r="J223" s="24" t="str">
        <x:v>Internal project IP / authorship claim</x:v>
      </x:c>
      <x:c r="K223" s="24" t="str">
        <x:v>N/A</x:v>
      </x:c>
      <x:c r="L223" s="24" t="str">
        <x:v>Source package + repository path + hash</x:v>
      </x:c>
      <x:c r="M223" s="24" t="str">
        <x:v>6733e1a8cc65d20fd919e04286e01d8ff71afa9e73226d4ed84f113fdecd9609</x:v>
      </x:c>
      <x:c r="N223" s="24" t="str">
        <x:v>Assets/_Project/Prefabs/Architecture/SpotLight.prefab</x:v>
      </x:c>
      <x:c r="O223" s="24" t="str">
        <x:v>caf5768b2fea32a43917881247aac1bb</x:v>
      </x:c>
      <x:c r="P223" s="24" t="str">
        <x:v>Sí</x:v>
      </x:c>
      <x:c r="Q223" s="24" t="str">
        <x:v>Condicionado a autoría/procedencia final</x:v>
      </x:c>
      <x:c r="R223" s="24" t="str">
        <x:v>Solo dentro del producto/build autorizado</x:v>
      </x:c>
      <x:c r="S223" s="24" t="str">
        <x:v>Crédito general del estudio; individual si aplica</x:v>
      </x:c>
      <x:c r="T223" s="24" t="str">
        <x:v>VRM Games / Blas Luis Rocha González</x:v>
      </x:c>
      <x:c r="U223" s="24" t="str">
        <x:v>CURRENT PROJECT ASSET</x:v>
      </x:c>
      <x:c r="V223" s="24" t="str">
        <x:v>CONDITIONALLY APPROVED</x:v>
      </x:c>
      <x:c r="W223" s="24" t="str">
        <x:v>Parcial</x:v>
      </x:c>
      <x:c r="X223" s="24" t="str">
        <x:v>Low</x:v>
      </x:c>
      <x:c r="Y223" s="24" t="str">
        <x:v>Internal development; public candidate requires gate</x:v>
      </x:c>
      <x:c r="Z223" s="24" t="str">
        <x:v>H6 legal/content audit</x:v>
      </x:c>
      <x:c r="AA223" s="24" t="str">
        <x:v>VRM Games</x:v>
      </x:c>
      <x:c r="AB223" s="24" t="str">
        <x:v>No se detectó proveedor externo en la ruta; confirmar autoría por lote antes de release público.</x:v>
      </x:c>
    </x:row>
    <x:row r="224" ht="34" customHeight="1">
      <x:c r="A224" s="24" t="str">
        <x:v>INT-0220</x:v>
      </x:c>
      <x:c r="B224" s="24" t="str">
        <x:v>337b1f690a30fa94c8695ded302f762c</x:v>
      </x:c>
      <x:c r="C224" s="24" t="str">
        <x:v>StoreGlassLeft.prefab</x:v>
      </x:c>
      <x:c r="D224" s="24" t="str">
        <x:v>Prefab</x:v>
      </x:c>
      <x:c r="E224" s="24" t="str">
        <x:v>Architecture</x:v>
      </x:c>
      <x:c r="F224" s="24" t="str">
        <x:v>VRM Games / Blas Luis Rocha González</x:v>
      </x:c>
      <x:c r="G224" s="24" t="str">
        <x:v>VRM Games / Blas Luis Rocha González</x:v>
      </x:c>
      <x:c r="H224" s="24" t="str">
        <x:v>Internal project production</x:v>
      </x:c>
      <x:c r="I224" s="24" t="str">
        <x:v>2026 project timeline</x:v>
      </x:c>
      <x:c r="J224" s="24" t="str">
        <x:v>Internal project IP / authorship claim</x:v>
      </x:c>
      <x:c r="K224" s="24" t="str">
        <x:v>N/A</x:v>
      </x:c>
      <x:c r="L224" s="24" t="str">
        <x:v>Source package + repository path + hash</x:v>
      </x:c>
      <x:c r="M224" s="24" t="str">
        <x:v>f2e6901ae0c9b38b21c53a3a5972aa1b0f8453ffd10779f9042fe434546d0cb2</x:v>
      </x:c>
      <x:c r="N224" s="24" t="str">
        <x:v>Assets/_Project/Prefabs/Architecture/StoreGlassLeft.prefab</x:v>
      </x:c>
      <x:c r="O224" s="24" t="str">
        <x:v>337b1f690a30fa94c8695ded302f762c</x:v>
      </x:c>
      <x:c r="P224" s="24" t="str">
        <x:v>Sí</x:v>
      </x:c>
      <x:c r="Q224" s="24" t="str">
        <x:v>Condicionado a autoría/procedencia final</x:v>
      </x:c>
      <x:c r="R224" s="24" t="str">
        <x:v>Solo dentro del producto/build autorizado</x:v>
      </x:c>
      <x:c r="S224" s="24" t="str">
        <x:v>Crédito general del estudio; individual si aplica</x:v>
      </x:c>
      <x:c r="T224" s="24" t="str">
        <x:v>VRM Games / Blas Luis Rocha González</x:v>
      </x:c>
      <x:c r="U224" s="24" t="str">
        <x:v>CURRENT PROJECT ASSET</x:v>
      </x:c>
      <x:c r="V224" s="24" t="str">
        <x:v>CONDITIONALLY APPROVED</x:v>
      </x:c>
      <x:c r="W224" s="24" t="str">
        <x:v>Parcial</x:v>
      </x:c>
      <x:c r="X224" s="24" t="str">
        <x:v>Low</x:v>
      </x:c>
      <x:c r="Y224" s="24" t="str">
        <x:v>Internal development; public candidate requires gate</x:v>
      </x:c>
      <x:c r="Z224" s="24" t="str">
        <x:v>H6 legal/content audit</x:v>
      </x:c>
      <x:c r="AA224" s="24" t="str">
        <x:v>VRM Games</x:v>
      </x:c>
      <x:c r="AB224" s="24" t="str">
        <x:v>No se detectó proveedor externo en la ruta; confirmar autoría por lote antes de release público.</x:v>
      </x:c>
    </x:row>
    <x:row r="225" ht="34" customHeight="1">
      <x:c r="A225" s="24" t="str">
        <x:v>INT-0221</x:v>
      </x:c>
      <x:c r="B225" s="24" t="str">
        <x:v>7ff16f46388b8294db98ef11934e85df</x:v>
      </x:c>
      <x:c r="C225" s="24" t="str">
        <x:v>StoreGlassRight.prefab</x:v>
      </x:c>
      <x:c r="D225" s="24" t="str">
        <x:v>Prefab</x:v>
      </x:c>
      <x:c r="E225" s="24" t="str">
        <x:v>Architecture</x:v>
      </x:c>
      <x:c r="F225" s="24" t="str">
        <x:v>VRM Games / Blas Luis Rocha González</x:v>
      </x:c>
      <x:c r="G225" s="24" t="str">
        <x:v>VRM Games / Blas Luis Rocha González</x:v>
      </x:c>
      <x:c r="H225" s="24" t="str">
        <x:v>Internal project production</x:v>
      </x:c>
      <x:c r="I225" s="24" t="str">
        <x:v>2026 project timeline</x:v>
      </x:c>
      <x:c r="J225" s="24" t="str">
        <x:v>Internal project IP / authorship claim</x:v>
      </x:c>
      <x:c r="K225" s="24" t="str">
        <x:v>N/A</x:v>
      </x:c>
      <x:c r="L225" s="24" t="str">
        <x:v>Source package + repository path + hash</x:v>
      </x:c>
      <x:c r="M225" s="24" t="str">
        <x:v>683bf7e7231d0e312051a196de122f0716d78b968aac974d643b7d92e1252cb8</x:v>
      </x:c>
      <x:c r="N225" s="24" t="str">
        <x:v>Assets/_Project/Prefabs/Architecture/StoreGlassRight.prefab</x:v>
      </x:c>
      <x:c r="O225" s="24" t="str">
        <x:v>7ff16f46388b8294db98ef11934e85df</x:v>
      </x:c>
      <x:c r="P225" s="24" t="str">
        <x:v>Sí</x:v>
      </x:c>
      <x:c r="Q225" s="24" t="str">
        <x:v>Condicionado a autoría/procedencia final</x:v>
      </x:c>
      <x:c r="R225" s="24" t="str">
        <x:v>Solo dentro del producto/build autorizado</x:v>
      </x:c>
      <x:c r="S225" s="24" t="str">
        <x:v>Crédito general del estudio; individual si aplica</x:v>
      </x:c>
      <x:c r="T225" s="24" t="str">
        <x:v>VRM Games / Blas Luis Rocha González</x:v>
      </x:c>
      <x:c r="U225" s="24" t="str">
        <x:v>CURRENT PROJECT ASSET</x:v>
      </x:c>
      <x:c r="V225" s="24" t="str">
        <x:v>CONDITIONALLY APPROVED</x:v>
      </x:c>
      <x:c r="W225" s="24" t="str">
        <x:v>Parcial</x:v>
      </x:c>
      <x:c r="X225" s="24" t="str">
        <x:v>Low</x:v>
      </x:c>
      <x:c r="Y225" s="24" t="str">
        <x:v>Internal development; public candidate requires gate</x:v>
      </x:c>
      <x:c r="Z225" s="24" t="str">
        <x:v>H6 legal/content audit</x:v>
      </x:c>
      <x:c r="AA225" s="24" t="str">
        <x:v>VRM Games</x:v>
      </x:c>
      <x:c r="AB225" s="24" t="str">
        <x:v>No se detectó proveedor externo en la ruta; confirmar autoría por lote antes de release público.</x:v>
      </x:c>
    </x:row>
    <x:row r="226" ht="34" customHeight="1">
      <x:c r="A226" s="24" t="str">
        <x:v>INT-0222</x:v>
      </x:c>
      <x:c r="B226" s="24" t="str">
        <x:v>42a748f39d94c6944a776252ad5609d9</x:v>
      </x:c>
      <x:c r="C226" s="24" t="str">
        <x:v>StoreSign.prefab</x:v>
      </x:c>
      <x:c r="D226" s="24" t="str">
        <x:v>Prefab</x:v>
      </x:c>
      <x:c r="E226" s="24" t="str">
        <x:v>Architecture</x:v>
      </x:c>
      <x:c r="F226" s="24" t="str">
        <x:v>VRM Games / Blas Luis Rocha González</x:v>
      </x:c>
      <x:c r="G226" s="24" t="str">
        <x:v>VRM Games / Blas Luis Rocha González</x:v>
      </x:c>
      <x:c r="H226" s="24" t="str">
        <x:v>Internal project production</x:v>
      </x:c>
      <x:c r="I226" s="24" t="str">
        <x:v>2026 project timeline</x:v>
      </x:c>
      <x:c r="J226" s="24" t="str">
        <x:v>Internal project IP / authorship claim</x:v>
      </x:c>
      <x:c r="K226" s="24" t="str">
        <x:v>N/A</x:v>
      </x:c>
      <x:c r="L226" s="24" t="str">
        <x:v>Source package + repository path + hash</x:v>
      </x:c>
      <x:c r="M226" s="24" t="str">
        <x:v>1fb7cd85649bf25c7493a86d0bf9e9cd8b2db921ffc069a0a2ff1e0e34885a38</x:v>
      </x:c>
      <x:c r="N226" s="24" t="str">
        <x:v>Assets/_Project/Prefabs/Architecture/StoreSign.prefab</x:v>
      </x:c>
      <x:c r="O226" s="24" t="str">
        <x:v>42a748f39d94c6944a776252ad5609d9</x:v>
      </x:c>
      <x:c r="P226" s="24" t="str">
        <x:v>Sí</x:v>
      </x:c>
      <x:c r="Q226" s="24" t="str">
        <x:v>Condicionado a autoría/procedencia final</x:v>
      </x:c>
      <x:c r="R226" s="24" t="str">
        <x:v>Solo dentro del producto/build autorizado</x:v>
      </x:c>
      <x:c r="S226" s="24" t="str">
        <x:v>Crédito general del estudio; individual si aplica</x:v>
      </x:c>
      <x:c r="T226" s="24" t="str">
        <x:v>VRM Games / Blas Luis Rocha González</x:v>
      </x:c>
      <x:c r="U226" s="24" t="str">
        <x:v>CURRENT PROJECT ASSET</x:v>
      </x:c>
      <x:c r="V226" s="24" t="str">
        <x:v>CONDITIONALLY APPROVED</x:v>
      </x:c>
      <x:c r="W226" s="24" t="str">
        <x:v>Parcial</x:v>
      </x:c>
      <x:c r="X226" s="24" t="str">
        <x:v>Low</x:v>
      </x:c>
      <x:c r="Y226" s="24" t="str">
        <x:v>Internal development; public candidate requires gate</x:v>
      </x:c>
      <x:c r="Z226" s="24" t="str">
        <x:v>H6 legal/content audit</x:v>
      </x:c>
      <x:c r="AA226" s="24" t="str">
        <x:v>VRM Games</x:v>
      </x:c>
      <x:c r="AB226" s="24" t="str">
        <x:v>No se detectó proveedor externo en la ruta; confirmar autoría por lote antes de release público.</x:v>
      </x:c>
    </x:row>
    <x:row r="227" ht="34" customHeight="1">
      <x:c r="A227" s="24" t="str">
        <x:v>INT-0223</x:v>
      </x:c>
      <x:c r="B227" s="24" t="str">
        <x:v>73650c15b9c87b74aadb4120a3ea7cb1</x:v>
      </x:c>
      <x:c r="C227" s="24" t="str">
        <x:v>StorefrontFacade.prefab</x:v>
      </x:c>
      <x:c r="D227" s="24" t="str">
        <x:v>Prefab</x:v>
      </x:c>
      <x:c r="E227" s="24" t="str">
        <x:v>Architecture</x:v>
      </x:c>
      <x:c r="F227" s="24" t="str">
        <x:v>VRM Games / Blas Luis Rocha González</x:v>
      </x:c>
      <x:c r="G227" s="24" t="str">
        <x:v>VRM Games / Blas Luis Rocha González</x:v>
      </x:c>
      <x:c r="H227" s="24" t="str">
        <x:v>Internal project production</x:v>
      </x:c>
      <x:c r="I227" s="24" t="str">
        <x:v>2026 project timeline</x:v>
      </x:c>
      <x:c r="J227" s="24" t="str">
        <x:v>Internal project IP / authorship claim</x:v>
      </x:c>
      <x:c r="K227" s="24" t="str">
        <x:v>N/A</x:v>
      </x:c>
      <x:c r="L227" s="24" t="str">
        <x:v>Source package + repository path + hash</x:v>
      </x:c>
      <x:c r="M227" s="24" t="str">
        <x:v>3bf14ced999a2517a884cd16b698f96f1a856c0fcc9e37f0d030808926d81eb3</x:v>
      </x:c>
      <x:c r="N227" s="24" t="str">
        <x:v>Assets/_Project/Prefabs/Architecture/StorefrontFacade.prefab</x:v>
      </x:c>
      <x:c r="O227" s="24" t="str">
        <x:v>73650c15b9c87b74aadb4120a3ea7cb1</x:v>
      </x:c>
      <x:c r="P227" s="24" t="str">
        <x:v>Sí</x:v>
      </x:c>
      <x:c r="Q227" s="24" t="str">
        <x:v>Condicionado a autoría/procedencia final</x:v>
      </x:c>
      <x:c r="R227" s="24" t="str">
        <x:v>Solo dentro del producto/build autorizado</x:v>
      </x:c>
      <x:c r="S227" s="24" t="str">
        <x:v>Crédito general del estudio; individual si aplica</x:v>
      </x:c>
      <x:c r="T227" s="24" t="str">
        <x:v>VRM Games / Blas Luis Rocha González</x:v>
      </x:c>
      <x:c r="U227" s="24" t="str">
        <x:v>CURRENT PROJECT ASSET</x:v>
      </x:c>
      <x:c r="V227" s="24" t="str">
        <x:v>CONDITIONALLY APPROVED</x:v>
      </x:c>
      <x:c r="W227" s="24" t="str">
        <x:v>Parcial</x:v>
      </x:c>
      <x:c r="X227" s="24" t="str">
        <x:v>Low</x:v>
      </x:c>
      <x:c r="Y227" s="24" t="str">
        <x:v>Internal development; public candidate requires gate</x:v>
      </x:c>
      <x:c r="Z227" s="24" t="str">
        <x:v>H6 legal/content audit</x:v>
      </x:c>
      <x:c r="AA227" s="24" t="str">
        <x:v>VRM Games</x:v>
      </x:c>
      <x:c r="AB227" s="24" t="str">
        <x:v>No se detectó proveedor externo en la ruta; confirmar autoría por lote antes de release público.</x:v>
      </x:c>
    </x:row>
    <x:row r="228" ht="34" customHeight="1">
      <x:c r="A228" s="24" t="str">
        <x:v>INT-0224</x:v>
      </x:c>
      <x:c r="B228" s="24" t="str">
        <x:v>7b005cd40ae5fc64fbaed6ea5b1c53c6</x:v>
      </x:c>
      <x:c r="C228" s="24" t="str">
        <x:v>Wall100.prefab</x:v>
      </x:c>
      <x:c r="D228" s="24" t="str">
        <x:v>Prefab</x:v>
      </x:c>
      <x:c r="E228" s="24" t="str">
        <x:v>Architecture</x:v>
      </x:c>
      <x:c r="F228" s="24" t="str">
        <x:v>VRM Games / Blas Luis Rocha González</x:v>
      </x:c>
      <x:c r="G228" s="24" t="str">
        <x:v>VRM Games / Blas Luis Rocha González</x:v>
      </x:c>
      <x:c r="H228" s="24" t="str">
        <x:v>Internal project production</x:v>
      </x:c>
      <x:c r="I228" s="24" t="str">
        <x:v>2026 project timeline</x:v>
      </x:c>
      <x:c r="J228" s="24" t="str">
        <x:v>Internal project IP / authorship claim</x:v>
      </x:c>
      <x:c r="K228" s="24" t="str">
        <x:v>N/A</x:v>
      </x:c>
      <x:c r="L228" s="24" t="str">
        <x:v>Source package + repository path + hash</x:v>
      </x:c>
      <x:c r="M228" s="24" t="str">
        <x:v>a186b2478c2cf4ecf577e3f4dc5bedc2a15265a817f732117598206c9517c984</x:v>
      </x:c>
      <x:c r="N228" s="24" t="str">
        <x:v>Assets/_Project/Prefabs/Architecture/Wall100.prefab</x:v>
      </x:c>
      <x:c r="O228" s="24" t="str">
        <x:v>7b005cd40ae5fc64fbaed6ea5b1c53c6</x:v>
      </x:c>
      <x:c r="P228" s="24" t="str">
        <x:v>Sí</x:v>
      </x:c>
      <x:c r="Q228" s="24" t="str">
        <x:v>Condicionado a autoría/procedencia final</x:v>
      </x:c>
      <x:c r="R228" s="24" t="str">
        <x:v>Solo dentro del producto/build autorizado</x:v>
      </x:c>
      <x:c r="S228" s="24" t="str">
        <x:v>Crédito general del estudio; individual si aplica</x:v>
      </x:c>
      <x:c r="T228" s="24" t="str">
        <x:v>VRM Games / Blas Luis Rocha González</x:v>
      </x:c>
      <x:c r="U228" s="24" t="str">
        <x:v>CURRENT PROJECT ASSET</x:v>
      </x:c>
      <x:c r="V228" s="24" t="str">
        <x:v>CONDITIONALLY APPROVED</x:v>
      </x:c>
      <x:c r="W228" s="24" t="str">
        <x:v>Parcial</x:v>
      </x:c>
      <x:c r="X228" s="24" t="str">
        <x:v>Low</x:v>
      </x:c>
      <x:c r="Y228" s="24" t="str">
        <x:v>Internal development; public candidate requires gate</x:v>
      </x:c>
      <x:c r="Z228" s="24" t="str">
        <x:v>H6 legal/content audit</x:v>
      </x:c>
      <x:c r="AA228" s="24" t="str">
        <x:v>VRM Games</x:v>
      </x:c>
      <x:c r="AB228" s="24" t="str">
        <x:v>No se detectó proveedor externo en la ruta; confirmar autoría por lote antes de release público.</x:v>
      </x:c>
    </x:row>
    <x:row r="229" ht="34" customHeight="1">
      <x:c r="A229" s="24" t="str">
        <x:v>INT-0225</x:v>
      </x:c>
      <x:c r="B229" s="24" t="str">
        <x:v>219f7c28a70241e45939b64cb1acf65e</x:v>
      </x:c>
      <x:c r="C229" s="24" t="str">
        <x:v>Wall200.prefab</x:v>
      </x:c>
      <x:c r="D229" s="24" t="str">
        <x:v>Prefab</x:v>
      </x:c>
      <x:c r="E229" s="24" t="str">
        <x:v>Architecture</x:v>
      </x:c>
      <x:c r="F229" s="24" t="str">
        <x:v>VRM Games / Blas Luis Rocha González</x:v>
      </x:c>
      <x:c r="G229" s="24" t="str">
        <x:v>VRM Games / Blas Luis Rocha González</x:v>
      </x:c>
      <x:c r="H229" s="24" t="str">
        <x:v>Internal project production</x:v>
      </x:c>
      <x:c r="I229" s="24" t="str">
        <x:v>2026 project timeline</x:v>
      </x:c>
      <x:c r="J229" s="24" t="str">
        <x:v>Internal project IP / authorship claim</x:v>
      </x:c>
      <x:c r="K229" s="24" t="str">
        <x:v>N/A</x:v>
      </x:c>
      <x:c r="L229" s="24" t="str">
        <x:v>Source package + repository path + hash</x:v>
      </x:c>
      <x:c r="M229" s="24" t="str">
        <x:v>cd8417236e9fee3a267832e42bb38e57d8abb52af7dc1741c1c4d45db2eaf5db</x:v>
      </x:c>
      <x:c r="N229" s="24" t="str">
        <x:v>Assets/_Project/Prefabs/Architecture/Wall200.prefab</x:v>
      </x:c>
      <x:c r="O229" s="24" t="str">
        <x:v>219f7c28a70241e45939b64cb1acf65e</x:v>
      </x:c>
      <x:c r="P229" s="24" t="str">
        <x:v>Sí</x:v>
      </x:c>
      <x:c r="Q229" s="24" t="str">
        <x:v>Condicionado a autoría/procedencia final</x:v>
      </x:c>
      <x:c r="R229" s="24" t="str">
        <x:v>Solo dentro del producto/build autorizado</x:v>
      </x:c>
      <x:c r="S229" s="24" t="str">
        <x:v>Crédito general del estudio; individual si aplica</x:v>
      </x:c>
      <x:c r="T229" s="24" t="str">
        <x:v>VRM Games / Blas Luis Rocha González</x:v>
      </x:c>
      <x:c r="U229" s="24" t="str">
        <x:v>CURRENT PROJECT ASSET</x:v>
      </x:c>
      <x:c r="V229" s="24" t="str">
        <x:v>CONDITIONALLY APPROVED</x:v>
      </x:c>
      <x:c r="W229" s="24" t="str">
        <x:v>Parcial</x:v>
      </x:c>
      <x:c r="X229" s="24" t="str">
        <x:v>Low</x:v>
      </x:c>
      <x:c r="Y229" s="24" t="str">
        <x:v>Internal development; public candidate requires gate</x:v>
      </x:c>
      <x:c r="Z229" s="24" t="str">
        <x:v>H6 legal/content audit</x:v>
      </x:c>
      <x:c r="AA229" s="24" t="str">
        <x:v>VRM Games</x:v>
      </x:c>
      <x:c r="AB229" s="24" t="str">
        <x:v>No se detectó proveedor externo en la ruta; confirmar autoría por lote antes de release público.</x:v>
      </x:c>
    </x:row>
    <x:row r="230" ht="34" customHeight="1">
      <x:c r="A230" s="24" t="str">
        <x:v>INT-0226</x:v>
      </x:c>
      <x:c r="B230" s="24" t="str">
        <x:v>663f1a1d303a53e4eb6308dfc89a0bbf</x:v>
      </x:c>
      <x:c r="C230" s="24" t="str">
        <x:v>Wall400.prefab</x:v>
      </x:c>
      <x:c r="D230" s="24" t="str">
        <x:v>Prefab</x:v>
      </x:c>
      <x:c r="E230" s="24" t="str">
        <x:v>Architecture</x:v>
      </x:c>
      <x:c r="F230" s="24" t="str">
        <x:v>VRM Games / Blas Luis Rocha González</x:v>
      </x:c>
      <x:c r="G230" s="24" t="str">
        <x:v>VRM Games / Blas Luis Rocha González</x:v>
      </x:c>
      <x:c r="H230" s="24" t="str">
        <x:v>Internal project production</x:v>
      </x:c>
      <x:c r="I230" s="24" t="str">
        <x:v>2026 project timeline</x:v>
      </x:c>
      <x:c r="J230" s="24" t="str">
        <x:v>Internal project IP / authorship claim</x:v>
      </x:c>
      <x:c r="K230" s="24" t="str">
        <x:v>N/A</x:v>
      </x:c>
      <x:c r="L230" s="24" t="str">
        <x:v>Source package + repository path + hash</x:v>
      </x:c>
      <x:c r="M230" s="24" t="str">
        <x:v>1da27051d5e9c6fa1e03339d1cc3b184e0fc288b13d0234aed9e90360169d705</x:v>
      </x:c>
      <x:c r="N230" s="24" t="str">
        <x:v>Assets/_Project/Prefabs/Architecture/Wall400.prefab</x:v>
      </x:c>
      <x:c r="O230" s="24" t="str">
        <x:v>663f1a1d303a53e4eb6308dfc89a0bbf</x:v>
      </x:c>
      <x:c r="P230" s="24" t="str">
        <x:v>Sí</x:v>
      </x:c>
      <x:c r="Q230" s="24" t="str">
        <x:v>Condicionado a autoría/procedencia final</x:v>
      </x:c>
      <x:c r="R230" s="24" t="str">
        <x:v>Solo dentro del producto/build autorizado</x:v>
      </x:c>
      <x:c r="S230" s="24" t="str">
        <x:v>Crédito general del estudio; individual si aplica</x:v>
      </x:c>
      <x:c r="T230" s="24" t="str">
        <x:v>VRM Games / Blas Luis Rocha González</x:v>
      </x:c>
      <x:c r="U230" s="24" t="str">
        <x:v>CURRENT PROJECT ASSET</x:v>
      </x:c>
      <x:c r="V230" s="24" t="str">
        <x:v>CONDITIONALLY APPROVED</x:v>
      </x:c>
      <x:c r="W230" s="24" t="str">
        <x:v>Parcial</x:v>
      </x:c>
      <x:c r="X230" s="24" t="str">
        <x:v>Low</x:v>
      </x:c>
      <x:c r="Y230" s="24" t="str">
        <x:v>Internal development; public candidate requires gate</x:v>
      </x:c>
      <x:c r="Z230" s="24" t="str">
        <x:v>H6 legal/content audit</x:v>
      </x:c>
      <x:c r="AA230" s="24" t="str">
        <x:v>VRM Games</x:v>
      </x:c>
      <x:c r="AB230" s="24" t="str">
        <x:v>No se detectó proveedor externo en la ruta; confirmar autoría por lote antes de release público.</x:v>
      </x:c>
    </x:row>
    <x:row r="231" ht="34" customHeight="1">
      <x:c r="A231" s="24" t="str">
        <x:v>INT-0227</x:v>
      </x:c>
      <x:c r="B231" s="24" t="str">
        <x:v>cdb9e17a4b7c43a4492d0ac23ae81da2</x:v>
      </x:c>
      <x:c r="C231" s="24" t="str">
        <x:v>ZoneBackroom.prefab</x:v>
      </x:c>
      <x:c r="D231" s="24" t="str">
        <x:v>Prefab</x:v>
      </x:c>
      <x:c r="E231" s="24" t="str">
        <x:v>Architecture</x:v>
      </x:c>
      <x:c r="F231" s="24" t="str">
        <x:v>VRM Games / Blas Luis Rocha González</x:v>
      </x:c>
      <x:c r="G231" s="24" t="str">
        <x:v>VRM Games / Blas Luis Rocha González</x:v>
      </x:c>
      <x:c r="H231" s="24" t="str">
        <x:v>Internal project production</x:v>
      </x:c>
      <x:c r="I231" s="24" t="str">
        <x:v>2026 project timeline</x:v>
      </x:c>
      <x:c r="J231" s="24" t="str">
        <x:v>Internal project IP / authorship claim</x:v>
      </x:c>
      <x:c r="K231" s="24" t="str">
        <x:v>N/A</x:v>
      </x:c>
      <x:c r="L231" s="24" t="str">
        <x:v>Source package + repository path + hash</x:v>
      </x:c>
      <x:c r="M231" s="24" t="str">
        <x:v>957bfc6f60ae38f647dd76f278c3575c97d3181be3f50c036760f984553ae5c1</x:v>
      </x:c>
      <x:c r="N231" s="24" t="str">
        <x:v>Assets/_Project/Prefabs/Architecture/ZoneBackroom.prefab</x:v>
      </x:c>
      <x:c r="O231" s="24" t="str">
        <x:v>cdb9e17a4b7c43a4492d0ac23ae81da2</x:v>
      </x:c>
      <x:c r="P231" s="24" t="str">
        <x:v>Sí</x:v>
      </x:c>
      <x:c r="Q231" s="24" t="str">
        <x:v>Condicionado a autoría/procedencia final</x:v>
      </x:c>
      <x:c r="R231" s="24" t="str">
        <x:v>Solo dentro del producto/build autorizado</x:v>
      </x:c>
      <x:c r="S231" s="24" t="str">
        <x:v>Crédito general del estudio; individual si aplica</x:v>
      </x:c>
      <x:c r="T231" s="24" t="str">
        <x:v>VRM Games / Blas Luis Rocha González</x:v>
      </x:c>
      <x:c r="U231" s="24" t="str">
        <x:v>CURRENT PROJECT ASSET</x:v>
      </x:c>
      <x:c r="V231" s="24" t="str">
        <x:v>CONDITIONALLY APPROVED</x:v>
      </x:c>
      <x:c r="W231" s="24" t="str">
        <x:v>Parcial</x:v>
      </x:c>
      <x:c r="X231" s="24" t="str">
        <x:v>Low</x:v>
      </x:c>
      <x:c r="Y231" s="24" t="str">
        <x:v>Internal development; public candidate requires gate</x:v>
      </x:c>
      <x:c r="Z231" s="24" t="str">
        <x:v>H6 legal/content audit</x:v>
      </x:c>
      <x:c r="AA231" s="24" t="str">
        <x:v>VRM Games</x:v>
      </x:c>
      <x:c r="AB231" s="24" t="str">
        <x:v>No se detectó proveedor externo en la ruta; confirmar autoría por lote antes de release público.</x:v>
      </x:c>
    </x:row>
    <x:row r="232" ht="34" customHeight="1">
      <x:c r="A232" s="24" t="str">
        <x:v>INT-0228</x:v>
      </x:c>
      <x:c r="B232" s="24" t="str">
        <x:v>c974ec151bb118a408c386f9e8bbb4dd</x:v>
      </x:c>
      <x:c r="C232" s="24" t="str">
        <x:v>ZoneCheckout.prefab</x:v>
      </x:c>
      <x:c r="D232" s="24" t="str">
        <x:v>Prefab</x:v>
      </x:c>
      <x:c r="E232" s="24" t="str">
        <x:v>Architecture</x:v>
      </x:c>
      <x:c r="F232" s="24" t="str">
        <x:v>VRM Games / Blas Luis Rocha González</x:v>
      </x:c>
      <x:c r="G232" s="24" t="str">
        <x:v>VRM Games / Blas Luis Rocha González</x:v>
      </x:c>
      <x:c r="H232" s="24" t="str">
        <x:v>Internal project production</x:v>
      </x:c>
      <x:c r="I232" s="24" t="str">
        <x:v>2026 project timeline</x:v>
      </x:c>
      <x:c r="J232" s="24" t="str">
        <x:v>Internal project IP / authorship claim</x:v>
      </x:c>
      <x:c r="K232" s="24" t="str">
        <x:v>N/A</x:v>
      </x:c>
      <x:c r="L232" s="24" t="str">
        <x:v>Source package + repository path + hash</x:v>
      </x:c>
      <x:c r="M232" s="24" t="str">
        <x:v>fbb471478a93a4e8939bbf804c630d8e94e09662f689bd11ef4d8b7887a60a1b</x:v>
      </x:c>
      <x:c r="N232" s="24" t="str">
        <x:v>Assets/_Project/Prefabs/Architecture/ZoneCheckout.prefab</x:v>
      </x:c>
      <x:c r="O232" s="24" t="str">
        <x:v>c974ec151bb118a408c386f9e8bbb4dd</x:v>
      </x:c>
      <x:c r="P232" s="24" t="str">
        <x:v>Sí</x:v>
      </x:c>
      <x:c r="Q232" s="24" t="str">
        <x:v>Condicionado a autoría/procedencia final</x:v>
      </x:c>
      <x:c r="R232" s="24" t="str">
        <x:v>Solo dentro del producto/build autorizado</x:v>
      </x:c>
      <x:c r="S232" s="24" t="str">
        <x:v>Crédito general del estudio; individual si aplica</x:v>
      </x:c>
      <x:c r="T232" s="24" t="str">
        <x:v>VRM Games / Blas Luis Rocha González</x:v>
      </x:c>
      <x:c r="U232" s="24" t="str">
        <x:v>CURRENT PROJECT ASSET</x:v>
      </x:c>
      <x:c r="V232" s="24" t="str">
        <x:v>CONDITIONALLY APPROVED</x:v>
      </x:c>
      <x:c r="W232" s="24" t="str">
        <x:v>Parcial</x:v>
      </x:c>
      <x:c r="X232" s="24" t="str">
        <x:v>Low</x:v>
      </x:c>
      <x:c r="Y232" s="24" t="str">
        <x:v>Internal development; public candidate requires gate</x:v>
      </x:c>
      <x:c r="Z232" s="24" t="str">
        <x:v>H6 legal/content audit</x:v>
      </x:c>
      <x:c r="AA232" s="24" t="str">
        <x:v>VRM Games</x:v>
      </x:c>
      <x:c r="AB232" s="24" t="str">
        <x:v>No se detectó proveedor externo en la ruta; confirmar autoría por lote antes de release público.</x:v>
      </x:c>
    </x:row>
    <x:row r="233" ht="34" customHeight="1">
      <x:c r="A233" s="24" t="str">
        <x:v>INT-0229</x:v>
      </x:c>
      <x:c r="B233" s="24" t="str">
        <x:v>c6b702ea4697f7244bb3c227e8531b22</x:v>
      </x:c>
      <x:c r="C233" s="24" t="str">
        <x:v>ZoneReceiving.prefab</x:v>
      </x:c>
      <x:c r="D233" s="24" t="str">
        <x:v>Prefab</x:v>
      </x:c>
      <x:c r="E233" s="24" t="str">
        <x:v>Architecture</x:v>
      </x:c>
      <x:c r="F233" s="24" t="str">
        <x:v>VRM Games / Blas Luis Rocha González</x:v>
      </x:c>
      <x:c r="G233" s="24" t="str">
        <x:v>VRM Games / Blas Luis Rocha González</x:v>
      </x:c>
      <x:c r="H233" s="24" t="str">
        <x:v>Internal project production</x:v>
      </x:c>
      <x:c r="I233" s="24" t="str">
        <x:v>2026 project timeline</x:v>
      </x:c>
      <x:c r="J233" s="24" t="str">
        <x:v>Internal project IP / authorship claim</x:v>
      </x:c>
      <x:c r="K233" s="24" t="str">
        <x:v>N/A</x:v>
      </x:c>
      <x:c r="L233" s="24" t="str">
        <x:v>Source package + repository path + hash</x:v>
      </x:c>
      <x:c r="M233" s="24" t="str">
        <x:v>1e74c530096a9d8976bd4bc0346ef3b6637e0ccf7cd044b1c4b9c3ab76d9da9f</x:v>
      </x:c>
      <x:c r="N233" s="24" t="str">
        <x:v>Assets/_Project/Prefabs/Architecture/ZoneReceiving.prefab</x:v>
      </x:c>
      <x:c r="O233" s="24" t="str">
        <x:v>c6b702ea4697f7244bb3c227e8531b22</x:v>
      </x:c>
      <x:c r="P233" s="24" t="str">
        <x:v>Sí</x:v>
      </x:c>
      <x:c r="Q233" s="24" t="str">
        <x:v>Condicionado a autoría/procedencia final</x:v>
      </x:c>
      <x:c r="R233" s="24" t="str">
        <x:v>Solo dentro del producto/build autorizado</x:v>
      </x:c>
      <x:c r="S233" s="24" t="str">
        <x:v>Crédito general del estudio; individual si aplica</x:v>
      </x:c>
      <x:c r="T233" s="24" t="str">
        <x:v>VRM Games / Blas Luis Rocha González</x:v>
      </x:c>
      <x:c r="U233" s="24" t="str">
        <x:v>CURRENT PROJECT ASSET</x:v>
      </x:c>
      <x:c r="V233" s="24" t="str">
        <x:v>CONDITIONALLY APPROVED</x:v>
      </x:c>
      <x:c r="W233" s="24" t="str">
        <x:v>Parcial</x:v>
      </x:c>
      <x:c r="X233" s="24" t="str">
        <x:v>Low</x:v>
      </x:c>
      <x:c r="Y233" s="24" t="str">
        <x:v>Internal development; public candidate requires gate</x:v>
      </x:c>
      <x:c r="Z233" s="24" t="str">
        <x:v>H6 legal/content audit</x:v>
      </x:c>
      <x:c r="AA233" s="24" t="str">
        <x:v>VRM Games</x:v>
      </x:c>
      <x:c r="AB233" s="24" t="str">
        <x:v>No se detectó proveedor externo en la ruta; confirmar autoría por lote antes de release público.</x:v>
      </x:c>
    </x:row>
    <x:row r="234" ht="34" customHeight="1">
      <x:c r="A234" s="24" t="str">
        <x:v>INT-0230</x:v>
      </x:c>
      <x:c r="B234" s="24" t="str">
        <x:v>4162f604c6cdaeb4b371b15c22db37d8</x:v>
      </x:c>
      <x:c r="C234" s="24" t="str">
        <x:v>Customer.prefab</x:v>
      </x:c>
      <x:c r="D234" s="24" t="str">
        <x:v>Prefab</x:v>
      </x:c>
      <x:c r="E234" s="24" t="str">
        <x:v>Characters</x:v>
      </x:c>
      <x:c r="F234" s="24" t="str">
        <x:v>VRM Games / Blas Luis Rocha González</x:v>
      </x:c>
      <x:c r="G234" s="24" t="str">
        <x:v>VRM Games / Blas Luis Rocha González</x:v>
      </x:c>
      <x:c r="H234" s="24" t="str">
        <x:v>Internal project production</x:v>
      </x:c>
      <x:c r="I234" s="24" t="str">
        <x:v>2026 project timeline</x:v>
      </x:c>
      <x:c r="J234" s="24" t="str">
        <x:v>Internal project IP / authorship claim</x:v>
      </x:c>
      <x:c r="K234" s="24" t="str">
        <x:v>N/A</x:v>
      </x:c>
      <x:c r="L234" s="24" t="str">
        <x:v>Source package + repository path + hash</x:v>
      </x:c>
      <x:c r="M234" s="24" t="str">
        <x:v>970c014fa6041d4da1cc2be125f4ebe262aa5429412c90f2c08f8dc7b0cbac5e</x:v>
      </x:c>
      <x:c r="N234" s="24" t="str">
        <x:v>Assets/_Project/Prefabs/Characters/Customer.prefab</x:v>
      </x:c>
      <x:c r="O234" s="24" t="str">
        <x:v>4162f604c6cdaeb4b371b15c22db37d8</x:v>
      </x:c>
      <x:c r="P234" s="24" t="str">
        <x:v>Sí</x:v>
      </x:c>
      <x:c r="Q234" s="24" t="str">
        <x:v>Condicionado a autoría/procedencia final</x:v>
      </x:c>
      <x:c r="R234" s="24" t="str">
        <x:v>Solo dentro del producto/build autorizado</x:v>
      </x:c>
      <x:c r="S234" s="24" t="str">
        <x:v>Crédito general del estudio; individual si aplica</x:v>
      </x:c>
      <x:c r="T234" s="24" t="str">
        <x:v>VRM Games / Blas Luis Rocha González</x:v>
      </x:c>
      <x:c r="U234" s="24" t="str">
        <x:v>CURRENT PROJECT ASSET</x:v>
      </x:c>
      <x:c r="V234" s="24" t="str">
        <x:v>CONDITIONALLY APPROVED</x:v>
      </x:c>
      <x:c r="W234" s="24" t="str">
        <x:v>Parcial</x:v>
      </x:c>
      <x:c r="X234" s="24" t="str">
        <x:v>Low</x:v>
      </x:c>
      <x:c r="Y234" s="24" t="str">
        <x:v>Internal development; public candidate requires gate</x:v>
      </x:c>
      <x:c r="Z234" s="24" t="str">
        <x:v>H6 legal/content audit</x:v>
      </x:c>
      <x:c r="AA234" s="24" t="str">
        <x:v>VRM Games</x:v>
      </x:c>
      <x:c r="AB234" s="24" t="str">
        <x:v>No se detectó proveedor externo en la ruta; confirmar autoría por lote antes de release público.</x:v>
      </x:c>
    </x:row>
    <x:row r="235" ht="34" customHeight="1">
      <x:c r="A235" s="24" t="str">
        <x:v>INT-0231</x:v>
      </x:c>
      <x:c r="B235" s="24" t="str">
        <x:v>4b1411d15857a987fb399929287686ee</x:v>
      </x:c>
      <x:c r="C235" s="24" t="str">
        <x:v>Employee.prefab</x:v>
      </x:c>
      <x:c r="D235" s="24" t="str">
        <x:v>Prefab</x:v>
      </x:c>
      <x:c r="E235" s="24" t="str">
        <x:v>Characters</x:v>
      </x:c>
      <x:c r="F235" s="24" t="str">
        <x:v>VRM Games / Blas Luis Rocha González</x:v>
      </x:c>
      <x:c r="G235" s="24" t="str">
        <x:v>VRM Games / Blas Luis Rocha González</x:v>
      </x:c>
      <x:c r="H235" s="24" t="str">
        <x:v>Internal project production</x:v>
      </x:c>
      <x:c r="I235" s="24" t="str">
        <x:v>2026 project timeline</x:v>
      </x:c>
      <x:c r="J235" s="24" t="str">
        <x:v>Internal project IP / authorship claim</x:v>
      </x:c>
      <x:c r="K235" s="24" t="str">
        <x:v>N/A</x:v>
      </x:c>
      <x:c r="L235" s="24" t="str">
        <x:v>Source package + repository path + hash</x:v>
      </x:c>
      <x:c r="M235" s="24" t="str">
        <x:v>e07cfe88858c4b9ec6b0722652058cd33263fafe2cb0a92d771ddc769a34058e</x:v>
      </x:c>
      <x:c r="N235" s="24" t="str">
        <x:v>Assets/_Project/Prefabs/Characters/Employee.prefab</x:v>
      </x:c>
      <x:c r="O235" s="24" t="str">
        <x:v>4b1411d15857a987fb399929287686ee</x:v>
      </x:c>
      <x:c r="P235" s="24" t="str">
        <x:v>Sí</x:v>
      </x:c>
      <x:c r="Q235" s="24" t="str">
        <x:v>Condicionado a autoría/procedencia final</x:v>
      </x:c>
      <x:c r="R235" s="24" t="str">
        <x:v>Solo dentro del producto/build autorizado</x:v>
      </x:c>
      <x:c r="S235" s="24" t="str">
        <x:v>Crédito general del estudio; individual si aplica</x:v>
      </x:c>
      <x:c r="T235" s="24" t="str">
        <x:v>VRM Games / Blas Luis Rocha González</x:v>
      </x:c>
      <x:c r="U235" s="24" t="str">
        <x:v>CURRENT PROJECT ASSET</x:v>
      </x:c>
      <x:c r="V235" s="24" t="str">
        <x:v>CONDITIONALLY APPROVED</x:v>
      </x:c>
      <x:c r="W235" s="24" t="str">
        <x:v>Parcial</x:v>
      </x:c>
      <x:c r="X235" s="24" t="str">
        <x:v>Low</x:v>
      </x:c>
      <x:c r="Y235" s="24" t="str">
        <x:v>Internal development; public candidate requires gate</x:v>
      </x:c>
      <x:c r="Z235" s="24" t="str">
        <x:v>H6 legal/content audit</x:v>
      </x:c>
      <x:c r="AA235" s="24" t="str">
        <x:v>VRM Games</x:v>
      </x:c>
      <x:c r="AB235" s="24" t="str">
        <x:v>No se detectó proveedor externo en la ruta; confirmar autoría por lote antes de release público.</x:v>
      </x:c>
    </x:row>
    <x:row r="236" ht="34" customHeight="1">
      <x:c r="A236" s="24" t="str">
        <x:v>INT-0232</x:v>
      </x:c>
      <x:c r="B236" s="24" t="str">
        <x:v>9b81dd090fe288d9a27264622bb20fa4</x:v>
      </x:c>
      <x:c r="C236" s="24" t="str">
        <x:v>Supplier.prefab</x:v>
      </x:c>
      <x:c r="D236" s="24" t="str">
        <x:v>Prefab</x:v>
      </x:c>
      <x:c r="E236" s="24" t="str">
        <x:v>Characters</x:v>
      </x:c>
      <x:c r="F236" s="24" t="str">
        <x:v>VRM Games / Blas Luis Rocha González</x:v>
      </x:c>
      <x:c r="G236" s="24" t="str">
        <x:v>VRM Games / Blas Luis Rocha González</x:v>
      </x:c>
      <x:c r="H236" s="24" t="str">
        <x:v>Internal project production</x:v>
      </x:c>
      <x:c r="I236" s="24" t="str">
        <x:v>2026 project timeline</x:v>
      </x:c>
      <x:c r="J236" s="24" t="str">
        <x:v>Internal project IP / authorship claim</x:v>
      </x:c>
      <x:c r="K236" s="24" t="str">
        <x:v>N/A</x:v>
      </x:c>
      <x:c r="L236" s="24" t="str">
        <x:v>Source package + repository path + hash</x:v>
      </x:c>
      <x:c r="M236" s="24" t="str">
        <x:v>2db2a904d43801f18afa988734a7f81d0f4514e20deae09533ea3ae893adfd74</x:v>
      </x:c>
      <x:c r="N236" s="24" t="str">
        <x:v>Assets/_Project/Prefabs/Characters/Supplier.prefab</x:v>
      </x:c>
      <x:c r="O236" s="24" t="str">
        <x:v>9b81dd090fe288d9a27264622bb20fa4</x:v>
      </x:c>
      <x:c r="P236" s="24" t="str">
        <x:v>Sí</x:v>
      </x:c>
      <x:c r="Q236" s="24" t="str">
        <x:v>Condicionado a autoría/procedencia final</x:v>
      </x:c>
      <x:c r="R236" s="24" t="str">
        <x:v>Solo dentro del producto/build autorizado</x:v>
      </x:c>
      <x:c r="S236" s="24" t="str">
        <x:v>Crédito general del estudio; individual si aplica</x:v>
      </x:c>
      <x:c r="T236" s="24" t="str">
        <x:v>VRM Games / Blas Luis Rocha González</x:v>
      </x:c>
      <x:c r="U236" s="24" t="str">
        <x:v>CURRENT PROJECT ASSET</x:v>
      </x:c>
      <x:c r="V236" s="24" t="str">
        <x:v>CONDITIONALLY APPROVED</x:v>
      </x:c>
      <x:c r="W236" s="24" t="str">
        <x:v>Parcial</x:v>
      </x:c>
      <x:c r="X236" s="24" t="str">
        <x:v>Low</x:v>
      </x:c>
      <x:c r="Y236" s="24" t="str">
        <x:v>Internal development; public candidate requires gate</x:v>
      </x:c>
      <x:c r="Z236" s="24" t="str">
        <x:v>H6 legal/content audit</x:v>
      </x:c>
      <x:c r="AA236" s="24" t="str">
        <x:v>VRM Games</x:v>
      </x:c>
      <x:c r="AB236" s="24" t="str">
        <x:v>No se detectó proveedor externo en la ruta; confirmar autoría por lote antes de release público.</x:v>
      </x:c>
    </x:row>
    <x:row r="237" ht="34" customHeight="1">
      <x:c r="A237" s="24" t="str">
        <x:v>INT-0233</x:v>
      </x:c>
      <x:c r="B237" s="24" t="str">
        <x:v>ad136dd934173d54ca638b8d1feaf4b5</x:v>
      </x:c>
      <x:c r="C237" s="24" t="str">
        <x:v>CodeCardRack.prefab</x:v>
      </x:c>
      <x:c r="D237" s="24" t="str">
        <x:v>Prefab</x:v>
      </x:c>
      <x:c r="E237" s="24" t="str">
        <x:v>Expansions</x:v>
      </x:c>
      <x:c r="F237" s="24" t="str">
        <x:v>VRM Games / Blas Luis Rocha González</x:v>
      </x:c>
      <x:c r="G237" s="24" t="str">
        <x:v>VRM Games / Blas Luis Rocha González</x:v>
      </x:c>
      <x:c r="H237" s="24" t="str">
        <x:v>Internal project production</x:v>
      </x:c>
      <x:c r="I237" s="24" t="str">
        <x:v>2026 project timeline</x:v>
      </x:c>
      <x:c r="J237" s="24" t="str">
        <x:v>Internal project IP / authorship claim</x:v>
      </x:c>
      <x:c r="K237" s="24" t="str">
        <x:v>N/A</x:v>
      </x:c>
      <x:c r="L237" s="24" t="str">
        <x:v>Source package + repository path + hash</x:v>
      </x:c>
      <x:c r="M237" s="24" t="str">
        <x:v>81b577bdd801ba6fdaebdb0ddc6c369a169652b0155054a53e6316e43eb7b659</x:v>
      </x:c>
      <x:c r="N237" s="24" t="str">
        <x:v>Assets/_Project/Prefabs/Expansions/Digital/CodeCardRack.prefab</x:v>
      </x:c>
      <x:c r="O237" s="24" t="str">
        <x:v>ad136dd934173d54ca638b8d1feaf4b5</x:v>
      </x:c>
      <x:c r="P237" s="24" t="str">
        <x:v>Sí</x:v>
      </x:c>
      <x:c r="Q237" s="24" t="str">
        <x:v>Condicionado a autoría/procedencia final</x:v>
      </x:c>
      <x:c r="R237" s="24" t="str">
        <x:v>Solo dentro del producto/build autorizado</x:v>
      </x:c>
      <x:c r="S237" s="24" t="str">
        <x:v>Crédito general del estudio; individual si aplica</x:v>
      </x:c>
      <x:c r="T237" s="24" t="str">
        <x:v>VRM Games / Blas Luis Rocha González</x:v>
      </x:c>
      <x:c r="U237" s="24" t="str">
        <x:v>VISION / NOT OPEN</x:v>
      </x:c>
      <x:c r="V237" s="24" t="str">
        <x:v>NOT AUTHORIZED</x:v>
      </x:c>
      <x:c r="W237" s="24" t="str">
        <x:v>Parcial</x:v>
      </x:c>
      <x:c r="X237" s="24" t="str">
        <x:v>Low</x:v>
      </x:c>
      <x:c r="Y237" s="24" t="str">
        <x:v>Internal development; public candidate requires gate</x:v>
      </x:c>
      <x:c r="Z237" s="24" t="str">
        <x:v>H6 legal/content audit</x:v>
      </x:c>
      <x:c r="AA237" s="24" t="str">
        <x:v>VRM Games</x:v>
      </x:c>
      <x:c r="AB237" s="24" t="str">
        <x:v>No se detectó proveedor externo en la ruta; confirmar autoría por lote antes de release público.</x:v>
      </x:c>
    </x:row>
    <x:row r="238" ht="34" customHeight="1">
      <x:c r="A238" s="24" t="str">
        <x:v>INT-0234</x:v>
      </x:c>
      <x:c r="B238" s="24" t="str">
        <x:v>27b991dc477438f4b89bfdcc0592b050</x:v>
      </x:c>
      <x:c r="C238" s="24" t="str">
        <x:v>Kiosk.prefab</x:v>
      </x:c>
      <x:c r="D238" s="24" t="str">
        <x:v>Prefab</x:v>
      </x:c>
      <x:c r="E238" s="24" t="str">
        <x:v>Expansions</x:v>
      </x:c>
      <x:c r="F238" s="24" t="str">
        <x:v>VRM Games / Blas Luis Rocha González</x:v>
      </x:c>
      <x:c r="G238" s="24" t="str">
        <x:v>VRM Games / Blas Luis Rocha González</x:v>
      </x:c>
      <x:c r="H238" s="24" t="str">
        <x:v>Internal project production</x:v>
      </x:c>
      <x:c r="I238" s="24" t="str">
        <x:v>2026 project timeline</x:v>
      </x:c>
      <x:c r="J238" s="24" t="str">
        <x:v>Internal project IP / authorship claim</x:v>
      </x:c>
      <x:c r="K238" s="24" t="str">
        <x:v>N/A</x:v>
      </x:c>
      <x:c r="L238" s="24" t="str">
        <x:v>Source package + repository path + hash</x:v>
      </x:c>
      <x:c r="M238" s="24" t="str">
        <x:v>a2a88dc9ebd00d31fda6da8baf2a92ffa64b12d2de98c11a9d6d7f261e2b3158</x:v>
      </x:c>
      <x:c r="N238" s="24" t="str">
        <x:v>Assets/_Project/Prefabs/Expansions/Digital/Kiosk.prefab</x:v>
      </x:c>
      <x:c r="O238" s="24" t="str">
        <x:v>27b991dc477438f4b89bfdcc0592b050</x:v>
      </x:c>
      <x:c r="P238" s="24" t="str">
        <x:v>Sí</x:v>
      </x:c>
      <x:c r="Q238" s="24" t="str">
        <x:v>Condicionado a autoría/procedencia final</x:v>
      </x:c>
      <x:c r="R238" s="24" t="str">
        <x:v>Solo dentro del producto/build autorizado</x:v>
      </x:c>
      <x:c r="S238" s="24" t="str">
        <x:v>Crédito general del estudio; individual si aplica</x:v>
      </x:c>
      <x:c r="T238" s="24" t="str">
        <x:v>VRM Games / Blas Luis Rocha González</x:v>
      </x:c>
      <x:c r="U238" s="24" t="str">
        <x:v>VISION / NOT OPEN</x:v>
      </x:c>
      <x:c r="V238" s="24" t="str">
        <x:v>NOT AUTHORIZED</x:v>
      </x:c>
      <x:c r="W238" s="24" t="str">
        <x:v>Parcial</x:v>
      </x:c>
      <x:c r="X238" s="24" t="str">
        <x:v>Low</x:v>
      </x:c>
      <x:c r="Y238" s="24" t="str">
        <x:v>Internal development; public candidate requires gate</x:v>
      </x:c>
      <x:c r="Z238" s="24" t="str">
        <x:v>H6 legal/content audit</x:v>
      </x:c>
      <x:c r="AA238" s="24" t="str">
        <x:v>VRM Games</x:v>
      </x:c>
      <x:c r="AB238" s="24" t="str">
        <x:v>No se detectó proveedor externo en la ruta; confirmar autoría por lote antes de release público.</x:v>
      </x:c>
    </x:row>
    <x:row r="239" ht="34" customHeight="1">
      <x:c r="A239" s="24" t="str">
        <x:v>INT-0235</x:v>
      </x:c>
      <x:c r="B239" s="24" t="str">
        <x:v>5a8a91561c8b8a440a5443f0eb8444c2</x:v>
      </x:c>
      <x:c r="C239" s="24" t="str">
        <x:v>OrderDesk.prefab</x:v>
      </x:c>
      <x:c r="D239" s="24" t="str">
        <x:v>Prefab</x:v>
      </x:c>
      <x:c r="E239" s="24" t="str">
        <x:v>Expansions</x:v>
      </x:c>
      <x:c r="F239" s="24" t="str">
        <x:v>VRM Games / Blas Luis Rocha González</x:v>
      </x:c>
      <x:c r="G239" s="24" t="str">
        <x:v>VRM Games / Blas Luis Rocha González</x:v>
      </x:c>
      <x:c r="H239" s="24" t="str">
        <x:v>Internal project production</x:v>
      </x:c>
      <x:c r="I239" s="24" t="str">
        <x:v>2026 project timeline</x:v>
      </x:c>
      <x:c r="J239" s="24" t="str">
        <x:v>Internal project IP / authorship claim</x:v>
      </x:c>
      <x:c r="K239" s="24" t="str">
        <x:v>N/A</x:v>
      </x:c>
      <x:c r="L239" s="24" t="str">
        <x:v>Source package + repository path + hash</x:v>
      </x:c>
      <x:c r="M239" s="24" t="str">
        <x:v>7431cd381bc1c5e2a926de5686c2bdeb4a9a54ee8dabe0ffebe2d89573be9c04</x:v>
      </x:c>
      <x:c r="N239" s="24" t="str">
        <x:v>Assets/_Project/Prefabs/Expansions/Ecommerce/OrderDesk.prefab</x:v>
      </x:c>
      <x:c r="O239" s="24" t="str">
        <x:v>5a8a91561c8b8a440a5443f0eb8444c2</x:v>
      </x:c>
      <x:c r="P239" s="24" t="str">
        <x:v>Sí</x:v>
      </x:c>
      <x:c r="Q239" s="24" t="str">
        <x:v>Condicionado a autoría/procedencia final</x:v>
      </x:c>
      <x:c r="R239" s="24" t="str">
        <x:v>Solo dentro del producto/build autorizado</x:v>
      </x:c>
      <x:c r="S239" s="24" t="str">
        <x:v>Crédito general del estudio; individual si aplica</x:v>
      </x:c>
      <x:c r="T239" s="24" t="str">
        <x:v>VRM Games / Blas Luis Rocha González</x:v>
      </x:c>
      <x:c r="U239" s="24" t="str">
        <x:v>VISION / NOT OPEN</x:v>
      </x:c>
      <x:c r="V239" s="24" t="str">
        <x:v>NOT AUTHORIZED</x:v>
      </x:c>
      <x:c r="W239" s="24" t="str">
        <x:v>Parcial</x:v>
      </x:c>
      <x:c r="X239" s="24" t="str">
        <x:v>Low</x:v>
      </x:c>
      <x:c r="Y239" s="24" t="str">
        <x:v>Internal development; public candidate requires gate</x:v>
      </x:c>
      <x:c r="Z239" s="24" t="str">
        <x:v>H6 legal/content audit</x:v>
      </x:c>
      <x:c r="AA239" s="24" t="str">
        <x:v>VRM Games</x:v>
      </x:c>
      <x:c r="AB239" s="24" t="str">
        <x:v>No se detectó proveedor externo en la ruta; confirmar autoría por lote antes de release público.</x:v>
      </x:c>
    </x:row>
    <x:row r="240" ht="34" customHeight="1">
      <x:c r="A240" s="24" t="str">
        <x:v>INT-0236</x:v>
      </x:c>
      <x:c r="B240" s="24" t="str">
        <x:v>4377692523ad661419e4bd1c2bbe7a66</x:v>
      </x:c>
      <x:c r="C240" s="24" t="str">
        <x:v>SortBins.prefab</x:v>
      </x:c>
      <x:c r="D240" s="24" t="str">
        <x:v>Prefab</x:v>
      </x:c>
      <x:c r="E240" s="24" t="str">
        <x:v>Expansions</x:v>
      </x:c>
      <x:c r="F240" s="24" t="str">
        <x:v>VRM Games / Blas Luis Rocha González</x:v>
      </x:c>
      <x:c r="G240" s="24" t="str">
        <x:v>VRM Games / Blas Luis Rocha González</x:v>
      </x:c>
      <x:c r="H240" s="24" t="str">
        <x:v>Internal project production</x:v>
      </x:c>
      <x:c r="I240" s="24" t="str">
        <x:v>2026 project timeline</x:v>
      </x:c>
      <x:c r="J240" s="24" t="str">
        <x:v>Internal project IP / authorship claim</x:v>
      </x:c>
      <x:c r="K240" s="24" t="str">
        <x:v>N/A</x:v>
      </x:c>
      <x:c r="L240" s="24" t="str">
        <x:v>Source package + repository path + hash</x:v>
      </x:c>
      <x:c r="M240" s="24" t="str">
        <x:v>84783301ee0ed8c7e00fa3058f64ebe11d6da90a99174f38d630ca011f5c6d1f</x:v>
      </x:c>
      <x:c r="N240" s="24" t="str">
        <x:v>Assets/_Project/Prefabs/Expansions/Ecommerce/SortBins.prefab</x:v>
      </x:c>
      <x:c r="O240" s="24" t="str">
        <x:v>4377692523ad661419e4bd1c2bbe7a66</x:v>
      </x:c>
      <x:c r="P240" s="24" t="str">
        <x:v>Sí</x:v>
      </x:c>
      <x:c r="Q240" s="24" t="str">
        <x:v>Condicionado a autoría/procedencia final</x:v>
      </x:c>
      <x:c r="R240" s="24" t="str">
        <x:v>Solo dentro del producto/build autorizado</x:v>
      </x:c>
      <x:c r="S240" s="24" t="str">
        <x:v>Crédito general del estudio; individual si aplica</x:v>
      </x:c>
      <x:c r="T240" s="24" t="str">
        <x:v>VRM Games / Blas Luis Rocha González</x:v>
      </x:c>
      <x:c r="U240" s="24" t="str">
        <x:v>VISION / NOT OPEN</x:v>
      </x:c>
      <x:c r="V240" s="24" t="str">
        <x:v>NOT AUTHORIZED</x:v>
      </x:c>
      <x:c r="W240" s="24" t="str">
        <x:v>Parcial</x:v>
      </x:c>
      <x:c r="X240" s="24" t="str">
        <x:v>Low</x:v>
      </x:c>
      <x:c r="Y240" s="24" t="str">
        <x:v>Internal development; public candidate requires gate</x:v>
      </x:c>
      <x:c r="Z240" s="24" t="str">
        <x:v>H6 legal/content audit</x:v>
      </x:c>
      <x:c r="AA240" s="24" t="str">
        <x:v>VRM Games</x:v>
      </x:c>
      <x:c r="AB240" s="24" t="str">
        <x:v>No se detectó proveedor externo en la ruta; confirmar autoría por lote antes de release público.</x:v>
      </x:c>
    </x:row>
    <x:row r="241" ht="34" customHeight="1">
      <x:c r="A241" s="24" t="str">
        <x:v>INT-0237</x:v>
      </x:c>
      <x:c r="B241" s="24" t="str">
        <x:v>3454415fb9851404a9c41a8b3b6aed6f</x:v>
      </x:c>
      <x:c r="C241" s="24" t="str">
        <x:v>Conveyor.prefab</x:v>
      </x:c>
      <x:c r="D241" s="24" t="str">
        <x:v>Prefab</x:v>
      </x:c>
      <x:c r="E241" s="24" t="str">
        <x:v>Expansions</x:v>
      </x:c>
      <x:c r="F241" s="24" t="str">
        <x:v>VRM Games / Blas Luis Rocha González</x:v>
      </x:c>
      <x:c r="G241" s="24" t="str">
        <x:v>VRM Games / Blas Luis Rocha González</x:v>
      </x:c>
      <x:c r="H241" s="24" t="str">
        <x:v>Internal project production</x:v>
      </x:c>
      <x:c r="I241" s="24" t="str">
        <x:v>2026 project timeline</x:v>
      </x:c>
      <x:c r="J241" s="24" t="str">
        <x:v>Internal project IP / authorship claim</x:v>
      </x:c>
      <x:c r="K241" s="24" t="str">
        <x:v>N/A</x:v>
      </x:c>
      <x:c r="L241" s="24" t="str">
        <x:v>Source package + repository path + hash</x:v>
      </x:c>
      <x:c r="M241" s="24" t="str">
        <x:v>4bb5639f0993b04504c3a68fae8a4ad3dc0870106dec6db9679e3ea3721ad091</x:v>
      </x:c>
      <x:c r="N241" s="24" t="str">
        <x:v>Assets/_Project/Prefabs/Expansions/Logistics/Conveyor.prefab</x:v>
      </x:c>
      <x:c r="O241" s="24" t="str">
        <x:v>3454415fb9851404a9c41a8b3b6aed6f</x:v>
      </x:c>
      <x:c r="P241" s="24" t="str">
        <x:v>Sí</x:v>
      </x:c>
      <x:c r="Q241" s="24" t="str">
        <x:v>Condicionado a autoría/procedencia final</x:v>
      </x:c>
      <x:c r="R241" s="24" t="str">
        <x:v>Solo dentro del producto/build autorizado</x:v>
      </x:c>
      <x:c r="S241" s="24" t="str">
        <x:v>Crédito general del estudio; individual si aplica</x:v>
      </x:c>
      <x:c r="T241" s="24" t="str">
        <x:v>VRM Games / Blas Luis Rocha González</x:v>
      </x:c>
      <x:c r="U241" s="24" t="str">
        <x:v>VISION / NOT OPEN</x:v>
      </x:c>
      <x:c r="V241" s="24" t="str">
        <x:v>NOT AUTHORIZED</x:v>
      </x:c>
      <x:c r="W241" s="24" t="str">
        <x:v>Parcial</x:v>
      </x:c>
      <x:c r="X241" s="24" t="str">
        <x:v>Low</x:v>
      </x:c>
      <x:c r="Y241" s="24" t="str">
        <x:v>Internal development; public candidate requires gate</x:v>
      </x:c>
      <x:c r="Z241" s="24" t="str">
        <x:v>H6 legal/content audit</x:v>
      </x:c>
      <x:c r="AA241" s="24" t="str">
        <x:v>VRM Games</x:v>
      </x:c>
      <x:c r="AB241" s="24" t="str">
        <x:v>No se detectó proveedor externo en la ruta; confirmar autoría por lote antes de release público.</x:v>
      </x:c>
    </x:row>
    <x:row r="242" ht="34" customHeight="1">
      <x:c r="A242" s="24" t="str">
        <x:v>INT-0238</x:v>
      </x:c>
      <x:c r="B242" s="24" t="str">
        <x:v>1f4581ac17447f64da5511d4de941fd0</x:v>
      </x:c>
      <x:c r="C242" s="24" t="str">
        <x:v>PackingStation.prefab</x:v>
      </x:c>
      <x:c r="D242" s="24" t="str">
        <x:v>Prefab</x:v>
      </x:c>
      <x:c r="E242" s="24" t="str">
        <x:v>Expansions</x:v>
      </x:c>
      <x:c r="F242" s="24" t="str">
        <x:v>VRM Games / Blas Luis Rocha González</x:v>
      </x:c>
      <x:c r="G242" s="24" t="str">
        <x:v>VRM Games / Blas Luis Rocha González</x:v>
      </x:c>
      <x:c r="H242" s="24" t="str">
        <x:v>Internal project production</x:v>
      </x:c>
      <x:c r="I242" s="24" t="str">
        <x:v>2026 project timeline</x:v>
      </x:c>
      <x:c r="J242" s="24" t="str">
        <x:v>Internal project IP / authorship claim</x:v>
      </x:c>
      <x:c r="K242" s="24" t="str">
        <x:v>N/A</x:v>
      </x:c>
      <x:c r="L242" s="24" t="str">
        <x:v>Source package + repository path + hash</x:v>
      </x:c>
      <x:c r="M242" s="24" t="str">
        <x:v>12dcafc2f1cb3d906cfe9eddc0d297bd76c478cb60625d45a5c8ddc01d3acd1e</x:v>
      </x:c>
      <x:c r="N242" s="24" t="str">
        <x:v>Assets/_Project/Prefabs/Expansions/Logistics/PackingStation.prefab</x:v>
      </x:c>
      <x:c r="O242" s="24" t="str">
        <x:v>1f4581ac17447f64da5511d4de941fd0</x:v>
      </x:c>
      <x:c r="P242" s="24" t="str">
        <x:v>Sí</x:v>
      </x:c>
      <x:c r="Q242" s="24" t="str">
        <x:v>Condicionado a autoría/procedencia final</x:v>
      </x:c>
      <x:c r="R242" s="24" t="str">
        <x:v>Solo dentro del producto/build autorizado</x:v>
      </x:c>
      <x:c r="S242" s="24" t="str">
        <x:v>Crédito general del estudio; individual si aplica</x:v>
      </x:c>
      <x:c r="T242" s="24" t="str">
        <x:v>VRM Games / Blas Luis Rocha González</x:v>
      </x:c>
      <x:c r="U242" s="24" t="str">
        <x:v>VISION / NOT OPEN</x:v>
      </x:c>
      <x:c r="V242" s="24" t="str">
        <x:v>NOT AUTHORIZED</x:v>
      </x:c>
      <x:c r="W242" s="24" t="str">
        <x:v>Parcial</x:v>
      </x:c>
      <x:c r="X242" s="24" t="str">
        <x:v>Low</x:v>
      </x:c>
      <x:c r="Y242" s="24" t="str">
        <x:v>Internal development; public candidate requires gate</x:v>
      </x:c>
      <x:c r="Z242" s="24" t="str">
        <x:v>H6 legal/content audit</x:v>
      </x:c>
      <x:c r="AA242" s="24" t="str">
        <x:v>VRM Games</x:v>
      </x:c>
      <x:c r="AB242" s="24" t="str">
        <x:v>No se detectó proveedor externo en la ruta; confirmar autoría por lote antes de release público.</x:v>
      </x:c>
    </x:row>
    <x:row r="243" ht="34" customHeight="1">
      <x:c r="A243" s="24" t="str">
        <x:v>INT-0239</x:v>
      </x:c>
      <x:c r="B243" s="24" t="str">
        <x:v>52697d70fc4c75e4b82e2cc8ebcf6142</x:v>
      </x:c>
      <x:c r="C243" s="24" t="str">
        <x:v>RollingCart.prefab</x:v>
      </x:c>
      <x:c r="D243" s="24" t="str">
        <x:v>Prefab</x:v>
      </x:c>
      <x:c r="E243" s="24" t="str">
        <x:v>Expansions</x:v>
      </x:c>
      <x:c r="F243" s="24" t="str">
        <x:v>VRM Games / Blas Luis Rocha González</x:v>
      </x:c>
      <x:c r="G243" s="24" t="str">
        <x:v>VRM Games / Blas Luis Rocha González</x:v>
      </x:c>
      <x:c r="H243" s="24" t="str">
        <x:v>Internal project production</x:v>
      </x:c>
      <x:c r="I243" s="24" t="str">
        <x:v>2026 project timeline</x:v>
      </x:c>
      <x:c r="J243" s="24" t="str">
        <x:v>Internal project IP / authorship claim</x:v>
      </x:c>
      <x:c r="K243" s="24" t="str">
        <x:v>N/A</x:v>
      </x:c>
      <x:c r="L243" s="24" t="str">
        <x:v>Source package + repository path + hash</x:v>
      </x:c>
      <x:c r="M243" s="24" t="str">
        <x:v>1c10c9ffba82d8d37eea9543048b019ec035f46b943c7049c7198883efa4e825</x:v>
      </x:c>
      <x:c r="N243" s="24" t="str">
        <x:v>Assets/_Project/Prefabs/Expansions/Logistics/RollingCart.prefab</x:v>
      </x:c>
      <x:c r="O243" s="24" t="str">
        <x:v>52697d70fc4c75e4b82e2cc8ebcf6142</x:v>
      </x:c>
      <x:c r="P243" s="24" t="str">
        <x:v>Sí</x:v>
      </x:c>
      <x:c r="Q243" s="24" t="str">
        <x:v>Condicionado a autoría/procedencia final</x:v>
      </x:c>
      <x:c r="R243" s="24" t="str">
        <x:v>Solo dentro del producto/build autorizado</x:v>
      </x:c>
      <x:c r="S243" s="24" t="str">
        <x:v>Crédito general del estudio; individual si aplica</x:v>
      </x:c>
      <x:c r="T243" s="24" t="str">
        <x:v>VRM Games / Blas Luis Rocha González</x:v>
      </x:c>
      <x:c r="U243" s="24" t="str">
        <x:v>VISION / NOT OPEN</x:v>
      </x:c>
      <x:c r="V243" s="24" t="str">
        <x:v>NOT AUTHORIZED</x:v>
      </x:c>
      <x:c r="W243" s="24" t="str">
        <x:v>Parcial</x:v>
      </x:c>
      <x:c r="X243" s="24" t="str">
        <x:v>Low</x:v>
      </x:c>
      <x:c r="Y243" s="24" t="str">
        <x:v>Internal development; public candidate requires gate</x:v>
      </x:c>
      <x:c r="Z243" s="24" t="str">
        <x:v>H6 legal/content audit</x:v>
      </x:c>
      <x:c r="AA243" s="24" t="str">
        <x:v>VRM Games</x:v>
      </x:c>
      <x:c r="AB243" s="24" t="str">
        <x:v>No se detectó proveedor externo en la ruta; confirmar autoría por lote antes de release público.</x:v>
      </x:c>
    </x:row>
    <x:row r="244" ht="34" customHeight="1">
      <x:c r="A244" s="24" t="str">
        <x:v>INT-0240</x:v>
      </x:c>
      <x:c r="B244" s="24" t="str">
        <x:v>2b6f8ccb4558f7947bf8aec7c1631ac2</x:v>
      </x:c>
      <x:c r="C244" s="24" t="str">
        <x:v>AnalysisWall.prefab</x:v>
      </x:c>
      <x:c r="D244" s="24" t="str">
        <x:v>Prefab</x:v>
      </x:c>
      <x:c r="E244" s="24" t="str">
        <x:v>Expansions</x:v>
      </x:c>
      <x:c r="F244" s="24" t="str">
        <x:v>VRM Games / Blas Luis Rocha González</x:v>
      </x:c>
      <x:c r="G244" s="24" t="str">
        <x:v>VRM Games / Blas Luis Rocha González</x:v>
      </x:c>
      <x:c r="H244" s="24" t="str">
        <x:v>Internal project production</x:v>
      </x:c>
      <x:c r="I244" s="24" t="str">
        <x:v>2026 project timeline</x:v>
      </x:c>
      <x:c r="J244" s="24" t="str">
        <x:v>Internal project IP / authorship claim</x:v>
      </x:c>
      <x:c r="K244" s="24" t="str">
        <x:v>N/A</x:v>
      </x:c>
      <x:c r="L244" s="24" t="str">
        <x:v>Source package + repository path + hash</x:v>
      </x:c>
      <x:c r="M244" s="24" t="str">
        <x:v>d6442db5cf1b4d542441668fef031ffe9c31150ec3bea2a3f2ebe9fc735de73d</x:v>
      </x:c>
      <x:c r="N244" s="24" t="str">
        <x:v>Assets/_Project/Prefabs/Expansions/Market/AnalysisWall.prefab</x:v>
      </x:c>
      <x:c r="O244" s="24" t="str">
        <x:v>2b6f8ccb4558f7947bf8aec7c1631ac2</x:v>
      </x:c>
      <x:c r="P244" s="24" t="str">
        <x:v>Sí</x:v>
      </x:c>
      <x:c r="Q244" s="24" t="str">
        <x:v>Condicionado a autoría/procedencia final</x:v>
      </x:c>
      <x:c r="R244" s="24" t="str">
        <x:v>Solo dentro del producto/build autorizado</x:v>
      </x:c>
      <x:c r="S244" s="24" t="str">
        <x:v>Crédito general del estudio; individual si aplica</x:v>
      </x:c>
      <x:c r="T244" s="24" t="str">
        <x:v>VRM Games / Blas Luis Rocha González</x:v>
      </x:c>
      <x:c r="U244" s="24" t="str">
        <x:v>VISION / NOT OPEN</x:v>
      </x:c>
      <x:c r="V244" s="24" t="str">
        <x:v>NOT AUTHORIZED</x:v>
      </x:c>
      <x:c r="W244" s="24" t="str">
        <x:v>Parcial</x:v>
      </x:c>
      <x:c r="X244" s="24" t="str">
        <x:v>Low</x:v>
      </x:c>
      <x:c r="Y244" s="24" t="str">
        <x:v>Internal development; public candidate requires gate</x:v>
      </x:c>
      <x:c r="Z244" s="24" t="str">
        <x:v>H6 legal/content audit</x:v>
      </x:c>
      <x:c r="AA244" s="24" t="str">
        <x:v>VRM Games</x:v>
      </x:c>
      <x:c r="AB244" s="24" t="str">
        <x:v>No se detectó proveedor externo en la ruta; confirmar autoría por lote antes de release público.</x:v>
      </x:c>
    </x:row>
    <x:row r="245" ht="34" customHeight="1">
      <x:c r="A245" s="24" t="str">
        <x:v>INT-0241</x:v>
      </x:c>
      <x:c r="B245" s="24" t="str">
        <x:v>d4fdbaeff51091b4585abadf721f9428</x:v>
      </x:c>
      <x:c r="C245" s="24" t="str">
        <x:v>PlanningTable.prefab</x:v>
      </x:c>
      <x:c r="D245" s="24" t="str">
        <x:v>Prefab</x:v>
      </x:c>
      <x:c r="E245" s="24" t="str">
        <x:v>Expansions</x:v>
      </x:c>
      <x:c r="F245" s="24" t="str">
        <x:v>VRM Games / Blas Luis Rocha González</x:v>
      </x:c>
      <x:c r="G245" s="24" t="str">
        <x:v>VRM Games / Blas Luis Rocha González</x:v>
      </x:c>
      <x:c r="H245" s="24" t="str">
        <x:v>Internal project production</x:v>
      </x:c>
      <x:c r="I245" s="24" t="str">
        <x:v>2026 project timeline</x:v>
      </x:c>
      <x:c r="J245" s="24" t="str">
        <x:v>Internal project IP / authorship claim</x:v>
      </x:c>
      <x:c r="K245" s="24" t="str">
        <x:v>N/A</x:v>
      </x:c>
      <x:c r="L245" s="24" t="str">
        <x:v>Source package + repository path + hash</x:v>
      </x:c>
      <x:c r="M245" s="24" t="str">
        <x:v>071cda3128fa82862951965e5af576bf83ff2807ad3132d5b9f0a9d4f68e78e2</x:v>
      </x:c>
      <x:c r="N245" s="24" t="str">
        <x:v>Assets/_Project/Prefabs/Expansions/Market/PlanningTable.prefab</x:v>
      </x:c>
      <x:c r="O245" s="24" t="str">
        <x:v>d4fdbaeff51091b4585abadf721f9428</x:v>
      </x:c>
      <x:c r="P245" s="24" t="str">
        <x:v>Sí</x:v>
      </x:c>
      <x:c r="Q245" s="24" t="str">
        <x:v>Condicionado a autoría/procedencia final</x:v>
      </x:c>
      <x:c r="R245" s="24" t="str">
        <x:v>Solo dentro del producto/build autorizado</x:v>
      </x:c>
      <x:c r="S245" s="24" t="str">
        <x:v>Crédito general del estudio; individual si aplica</x:v>
      </x:c>
      <x:c r="T245" s="24" t="str">
        <x:v>VRM Games / Blas Luis Rocha González</x:v>
      </x:c>
      <x:c r="U245" s="24" t="str">
        <x:v>VISION / NOT OPEN</x:v>
      </x:c>
      <x:c r="V245" s="24" t="str">
        <x:v>NOT AUTHORIZED</x:v>
      </x:c>
      <x:c r="W245" s="24" t="str">
        <x:v>Parcial</x:v>
      </x:c>
      <x:c r="X245" s="24" t="str">
        <x:v>Low</x:v>
      </x:c>
      <x:c r="Y245" s="24" t="str">
        <x:v>Internal development; public candidate requires gate</x:v>
      </x:c>
      <x:c r="Z245" s="24" t="str">
        <x:v>H6 legal/content audit</x:v>
      </x:c>
      <x:c r="AA245" s="24" t="str">
        <x:v>VRM Games</x:v>
      </x:c>
      <x:c r="AB245" s="24" t="str">
        <x:v>No se detectó proveedor externo en la ruta; confirmar autoría por lote antes de release público.</x:v>
      </x:c>
    </x:row>
    <x:row r="246" ht="34" customHeight="1">
      <x:c r="A246" s="24" t="str">
        <x:v>INT-0242</x:v>
      </x:c>
      <x:c r="B246" s="24" t="str">
        <x:v>814075406f2697a449f45fa440b0d7f1</x:v>
      </x:c>
      <x:c r="C246" s="24" t="str">
        <x:v>LineupWall.prefab</x:v>
      </x:c>
      <x:c r="D246" s="24" t="str">
        <x:v>Prefab</x:v>
      </x:c>
      <x:c r="E246" s="24" t="str">
        <x:v>Expansions</x:v>
      </x:c>
      <x:c r="F246" s="24" t="str">
        <x:v>VRM Games / Blas Luis Rocha González</x:v>
      </x:c>
      <x:c r="G246" s="24" t="str">
        <x:v>VRM Games / Blas Luis Rocha González</x:v>
      </x:c>
      <x:c r="H246" s="24" t="str">
        <x:v>Internal project production</x:v>
      </x:c>
      <x:c r="I246" s="24" t="str">
        <x:v>2026 project timeline</x:v>
      </x:c>
      <x:c r="J246" s="24" t="str">
        <x:v>Internal project IP / authorship claim</x:v>
      </x:c>
      <x:c r="K246" s="24" t="str">
        <x:v>N/A</x:v>
      </x:c>
      <x:c r="L246" s="24" t="str">
        <x:v>Source package + repository path + hash</x:v>
      </x:c>
      <x:c r="M246" s="24" t="str">
        <x:v>72a4b02839ecb294de660aa889bcd2514e154af549ac7b908c72d511bc7f86da</x:v>
      </x:c>
      <x:c r="N246" s="24" t="str">
        <x:v>Assets/_Project/Prefabs/Expansions/Publishing/LineupWall.prefab</x:v>
      </x:c>
      <x:c r="O246" s="24" t="str">
        <x:v>814075406f2697a449f45fa440b0d7f1</x:v>
      </x:c>
      <x:c r="P246" s="24" t="str">
        <x:v>Sí</x:v>
      </x:c>
      <x:c r="Q246" s="24" t="str">
        <x:v>Condicionado a autoría/procedencia final</x:v>
      </x:c>
      <x:c r="R246" s="24" t="str">
        <x:v>Solo dentro del producto/build autorizado</x:v>
      </x:c>
      <x:c r="S246" s="24" t="str">
        <x:v>Crédito general del estudio; individual si aplica</x:v>
      </x:c>
      <x:c r="T246" s="24" t="str">
        <x:v>VRM Games / Blas Luis Rocha González</x:v>
      </x:c>
      <x:c r="U246" s="24" t="str">
        <x:v>VISION / NOT OPEN</x:v>
      </x:c>
      <x:c r="V246" s="24" t="str">
        <x:v>NOT AUTHORIZED</x:v>
      </x:c>
      <x:c r="W246" s="24" t="str">
        <x:v>Parcial</x:v>
      </x:c>
      <x:c r="X246" s="24" t="str">
        <x:v>Low</x:v>
      </x:c>
      <x:c r="Y246" s="24" t="str">
        <x:v>Internal development; public candidate requires gate</x:v>
      </x:c>
      <x:c r="Z246" s="24" t="str">
        <x:v>H6 legal/content audit</x:v>
      </x:c>
      <x:c r="AA246" s="24" t="str">
        <x:v>VRM Games</x:v>
      </x:c>
      <x:c r="AB246" s="24" t="str">
        <x:v>No se detectó proveedor externo en la ruta; confirmar autoría por lote antes de release público.</x:v>
      </x:c>
    </x:row>
    <x:row r="247" ht="34" customHeight="1">
      <x:c r="A247" s="24" t="str">
        <x:v>INT-0243</x:v>
      </x:c>
      <x:c r="B247" s="24" t="str">
        <x:v>b15b659113d6ac347acd6eb0b047c494</x:v>
      </x:c>
      <x:c r="C247" s="24" t="str">
        <x:v>MeetingTable.prefab</x:v>
      </x:c>
      <x:c r="D247" s="24" t="str">
        <x:v>Prefab</x:v>
      </x:c>
      <x:c r="E247" s="24" t="str">
        <x:v>Expansions</x:v>
      </x:c>
      <x:c r="F247" s="24" t="str">
        <x:v>VRM Games / Blas Luis Rocha González</x:v>
      </x:c>
      <x:c r="G247" s="24" t="str">
        <x:v>VRM Games / Blas Luis Rocha González</x:v>
      </x:c>
      <x:c r="H247" s="24" t="str">
        <x:v>Internal project production</x:v>
      </x:c>
      <x:c r="I247" s="24" t="str">
        <x:v>2026 project timeline</x:v>
      </x:c>
      <x:c r="J247" s="24" t="str">
        <x:v>Internal project IP / authorship claim</x:v>
      </x:c>
      <x:c r="K247" s="24" t="str">
        <x:v>N/A</x:v>
      </x:c>
      <x:c r="L247" s="24" t="str">
        <x:v>Source package + repository path + hash</x:v>
      </x:c>
      <x:c r="M247" s="24" t="str">
        <x:v>b0f6f5472e763d1e0b1608855b30c5f1513959031bfc07c43036c30abcb262c3</x:v>
      </x:c>
      <x:c r="N247" s="24" t="str">
        <x:v>Assets/_Project/Prefabs/Expansions/Publishing/MeetingTable.prefab</x:v>
      </x:c>
      <x:c r="O247" s="24" t="str">
        <x:v>b15b659113d6ac347acd6eb0b047c494</x:v>
      </x:c>
      <x:c r="P247" s="24" t="str">
        <x:v>Sí</x:v>
      </x:c>
      <x:c r="Q247" s="24" t="str">
        <x:v>Condicionado a autoría/procedencia final</x:v>
      </x:c>
      <x:c r="R247" s="24" t="str">
        <x:v>Solo dentro del producto/build autorizado</x:v>
      </x:c>
      <x:c r="S247" s="24" t="str">
        <x:v>Crédito general del estudio; individual si aplica</x:v>
      </x:c>
      <x:c r="T247" s="24" t="str">
        <x:v>VRM Games / Blas Luis Rocha González</x:v>
      </x:c>
      <x:c r="U247" s="24" t="str">
        <x:v>VISION / NOT OPEN</x:v>
      </x:c>
      <x:c r="V247" s="24" t="str">
        <x:v>NOT AUTHORIZED</x:v>
      </x:c>
      <x:c r="W247" s="24" t="str">
        <x:v>Parcial</x:v>
      </x:c>
      <x:c r="X247" s="24" t="str">
        <x:v>Low</x:v>
      </x:c>
      <x:c r="Y247" s="24" t="str">
        <x:v>Internal development; public candidate requires gate</x:v>
      </x:c>
      <x:c r="Z247" s="24" t="str">
        <x:v>H6 legal/content audit</x:v>
      </x:c>
      <x:c r="AA247" s="24" t="str">
        <x:v>VRM Games</x:v>
      </x:c>
      <x:c r="AB247" s="24" t="str">
        <x:v>No se detectó proveedor externo en la ruta; confirmar autoría por lote antes de release público.</x:v>
      </x:c>
    </x:row>
    <x:row r="248" ht="34" customHeight="1">
      <x:c r="A248" s="24" t="str">
        <x:v>INT-0244</x:v>
      </x:c>
      <x:c r="B248" s="24" t="str">
        <x:v>5a6467f26df307d4ea9ac26a83565e70</x:v>
      </x:c>
      <x:c r="C248" s="24" t="str">
        <x:v>OperationsDesk.prefab</x:v>
      </x:c>
      <x:c r="D248" s="24" t="str">
        <x:v>Prefab</x:v>
      </x:c>
      <x:c r="E248" s="24" t="str">
        <x:v>Expansions</x:v>
      </x:c>
      <x:c r="F248" s="24" t="str">
        <x:v>VRM Games / Blas Luis Rocha González</x:v>
      </x:c>
      <x:c r="G248" s="24" t="str">
        <x:v>VRM Games / Blas Luis Rocha González</x:v>
      </x:c>
      <x:c r="H248" s="24" t="str">
        <x:v>Internal project production</x:v>
      </x:c>
      <x:c r="I248" s="24" t="str">
        <x:v>2026 project timeline</x:v>
      </x:c>
      <x:c r="J248" s="24" t="str">
        <x:v>Internal project IP / authorship claim</x:v>
      </x:c>
      <x:c r="K248" s="24" t="str">
        <x:v>N/A</x:v>
      </x:c>
      <x:c r="L248" s="24" t="str">
        <x:v>Source package + repository path + hash</x:v>
      </x:c>
      <x:c r="M248" s="24" t="str">
        <x:v>94fd4d681ad6421fb98c09d213da90b543f4542ec2b406cc52701ebfb917593b</x:v>
      </x:c>
      <x:c r="N248" s="24" t="str">
        <x:v>Assets/_Project/Prefabs/Expansions/Server/OperationsDesk.prefab</x:v>
      </x:c>
      <x:c r="O248" s="24" t="str">
        <x:v>5a6467f26df307d4ea9ac26a83565e70</x:v>
      </x:c>
      <x:c r="P248" s="24" t="str">
        <x:v>Sí</x:v>
      </x:c>
      <x:c r="Q248" s="24" t="str">
        <x:v>Condicionado a autoría/procedencia final</x:v>
      </x:c>
      <x:c r="R248" s="24" t="str">
        <x:v>Solo dentro del producto/build autorizado</x:v>
      </x:c>
      <x:c r="S248" s="24" t="str">
        <x:v>Crédito general del estudio; individual si aplica</x:v>
      </x:c>
      <x:c r="T248" s="24" t="str">
        <x:v>VRM Games / Blas Luis Rocha González</x:v>
      </x:c>
      <x:c r="U248" s="24" t="str">
        <x:v>VISION / NOT OPEN</x:v>
      </x:c>
      <x:c r="V248" s="24" t="str">
        <x:v>NOT AUTHORIZED</x:v>
      </x:c>
      <x:c r="W248" s="24" t="str">
        <x:v>Parcial</x:v>
      </x:c>
      <x:c r="X248" s="24" t="str">
        <x:v>Low</x:v>
      </x:c>
      <x:c r="Y248" s="24" t="str">
        <x:v>Internal development; public candidate requires gate</x:v>
      </x:c>
      <x:c r="Z248" s="24" t="str">
        <x:v>H6 legal/content audit</x:v>
      </x:c>
      <x:c r="AA248" s="24" t="str">
        <x:v>VRM Games</x:v>
      </x:c>
      <x:c r="AB248" s="24" t="str">
        <x:v>No se detectó proveedor externo en la ruta; confirmar autoría por lote antes de release público.</x:v>
      </x:c>
    </x:row>
    <x:row r="249" ht="34" customHeight="1">
      <x:c r="A249" s="24" t="str">
        <x:v>INT-0245</x:v>
      </x:c>
      <x:c r="B249" s="24" t="str">
        <x:v>b875fa3bb7b65054e8805c6259510992</x:v>
      </x:c>
      <x:c r="C249" s="24" t="str">
        <x:v>Rack.prefab</x:v>
      </x:c>
      <x:c r="D249" s="24" t="str">
        <x:v>Prefab</x:v>
      </x:c>
      <x:c r="E249" s="24" t="str">
        <x:v>Expansions</x:v>
      </x:c>
      <x:c r="F249" s="24" t="str">
        <x:v>VRM Games / Blas Luis Rocha González</x:v>
      </x:c>
      <x:c r="G249" s="24" t="str">
        <x:v>VRM Games / Blas Luis Rocha González</x:v>
      </x:c>
      <x:c r="H249" s="24" t="str">
        <x:v>Internal project production</x:v>
      </x:c>
      <x:c r="I249" s="24" t="str">
        <x:v>2026 project timeline</x:v>
      </x:c>
      <x:c r="J249" s="24" t="str">
        <x:v>Internal project IP / authorship claim</x:v>
      </x:c>
      <x:c r="K249" s="24" t="str">
        <x:v>N/A</x:v>
      </x:c>
      <x:c r="L249" s="24" t="str">
        <x:v>Source package + repository path + hash</x:v>
      </x:c>
      <x:c r="M249" s="24" t="str">
        <x:v>d7281880ab0d78400f0e886f155b50410a46513990754b8a31d2e903f23cff47</x:v>
      </x:c>
      <x:c r="N249" s="24" t="str">
        <x:v>Assets/_Project/Prefabs/Expansions/Server/Rack.prefab</x:v>
      </x:c>
      <x:c r="O249" s="24" t="str">
        <x:v>b875fa3bb7b65054e8805c6259510992</x:v>
      </x:c>
      <x:c r="P249" s="24" t="str">
        <x:v>Sí</x:v>
      </x:c>
      <x:c r="Q249" s="24" t="str">
        <x:v>Condicionado a autoría/procedencia final</x:v>
      </x:c>
      <x:c r="R249" s="24" t="str">
        <x:v>Solo dentro del producto/build autorizado</x:v>
      </x:c>
      <x:c r="S249" s="24" t="str">
        <x:v>Crédito general del estudio; individual si aplica</x:v>
      </x:c>
      <x:c r="T249" s="24" t="str">
        <x:v>VRM Games / Blas Luis Rocha González</x:v>
      </x:c>
      <x:c r="U249" s="24" t="str">
        <x:v>VISION / NOT OPEN</x:v>
      </x:c>
      <x:c r="V249" s="24" t="str">
        <x:v>NOT AUTHORIZED</x:v>
      </x:c>
      <x:c r="W249" s="24" t="str">
        <x:v>Parcial</x:v>
      </x:c>
      <x:c r="X249" s="24" t="str">
        <x:v>Low</x:v>
      </x:c>
      <x:c r="Y249" s="24" t="str">
        <x:v>Internal development; public candidate requires gate</x:v>
      </x:c>
      <x:c r="Z249" s="24" t="str">
        <x:v>H6 legal/content audit</x:v>
      </x:c>
      <x:c r="AA249" s="24" t="str">
        <x:v>VRM Games</x:v>
      </x:c>
      <x:c r="AB249" s="24" t="str">
        <x:v>No se detectó proveedor externo en la ruta; confirmar autoría por lote antes de release público.</x:v>
      </x:c>
    </x:row>
    <x:row r="250" ht="34" customHeight="1">
      <x:c r="A250" s="24" t="str">
        <x:v>INT-0246</x:v>
      </x:c>
      <x:c r="B250" s="24" t="str">
        <x:v>16870f8bbfc794e4c894f4fbe9c7765b</x:v>
      </x:c>
      <x:c r="C250" s="24" t="str">
        <x:v>UPS.prefab</x:v>
      </x:c>
      <x:c r="D250" s="24" t="str">
        <x:v>Prefab</x:v>
      </x:c>
      <x:c r="E250" s="24" t="str">
        <x:v>Expansions</x:v>
      </x:c>
      <x:c r="F250" s="24" t="str">
        <x:v>VRM Games / Blas Luis Rocha González</x:v>
      </x:c>
      <x:c r="G250" s="24" t="str">
        <x:v>VRM Games / Blas Luis Rocha González</x:v>
      </x:c>
      <x:c r="H250" s="24" t="str">
        <x:v>Internal project production</x:v>
      </x:c>
      <x:c r="I250" s="24" t="str">
        <x:v>2026 project timeline</x:v>
      </x:c>
      <x:c r="J250" s="24" t="str">
        <x:v>Internal project IP / authorship claim</x:v>
      </x:c>
      <x:c r="K250" s="24" t="str">
        <x:v>N/A</x:v>
      </x:c>
      <x:c r="L250" s="24" t="str">
        <x:v>Source package + repository path + hash</x:v>
      </x:c>
      <x:c r="M250" s="24" t="str">
        <x:v>46596a808fbf876011f5c2a7e667dccfa88d7b8108b5154749946db1da06ce69</x:v>
      </x:c>
      <x:c r="N250" s="24" t="str">
        <x:v>Assets/_Project/Prefabs/Expansions/Server/UPS.prefab</x:v>
      </x:c>
      <x:c r="O250" s="24" t="str">
        <x:v>16870f8bbfc794e4c894f4fbe9c7765b</x:v>
      </x:c>
      <x:c r="P250" s="24" t="str">
        <x:v>Sí</x:v>
      </x:c>
      <x:c r="Q250" s="24" t="str">
        <x:v>Condicionado a autoría/procedencia final</x:v>
      </x:c>
      <x:c r="R250" s="24" t="str">
        <x:v>Solo dentro del producto/build autorizado</x:v>
      </x:c>
      <x:c r="S250" s="24" t="str">
        <x:v>Crédito general del estudio; individual si aplica</x:v>
      </x:c>
      <x:c r="T250" s="24" t="str">
        <x:v>VRM Games / Blas Luis Rocha González</x:v>
      </x:c>
      <x:c r="U250" s="24" t="str">
        <x:v>VISION / NOT OPEN</x:v>
      </x:c>
      <x:c r="V250" s="24" t="str">
        <x:v>NOT AUTHORIZED</x:v>
      </x:c>
      <x:c r="W250" s="24" t="str">
        <x:v>Parcial</x:v>
      </x:c>
      <x:c r="X250" s="24" t="str">
        <x:v>Low</x:v>
      </x:c>
      <x:c r="Y250" s="24" t="str">
        <x:v>Internal development; public candidate requires gate</x:v>
      </x:c>
      <x:c r="Z250" s="24" t="str">
        <x:v>H6 legal/content audit</x:v>
      </x:c>
      <x:c r="AA250" s="24" t="str">
        <x:v>VRM Games</x:v>
      </x:c>
      <x:c r="AB250" s="24" t="str">
        <x:v>No se detectó proveedor externo en la ruta; confirmar autoría por lote antes de release público.</x:v>
      </x:c>
    </x:row>
    <x:row r="251" ht="34" customHeight="1">
      <x:c r="A251" s="24" t="str">
        <x:v>INT-0247</x:v>
      </x:c>
      <x:c r="B251" s="24" t="str">
        <x:v>1d815b53a5f31e245b538fac05b952d7</x:v>
      </x:c>
      <x:c r="C251" s="24" t="str">
        <x:v>Locker.prefab</x:v>
      </x:c>
      <x:c r="D251" s="24" t="str">
        <x:v>Prefab</x:v>
      </x:c>
      <x:c r="E251" s="24" t="str">
        <x:v>Expansions</x:v>
      </x:c>
      <x:c r="F251" s="24" t="str">
        <x:v>VRM Games / Blas Luis Rocha González</x:v>
      </x:c>
      <x:c r="G251" s="24" t="str">
        <x:v>VRM Games / Blas Luis Rocha González</x:v>
      </x:c>
      <x:c r="H251" s="24" t="str">
        <x:v>Internal project production</x:v>
      </x:c>
      <x:c r="I251" s="24" t="str">
        <x:v>2026 project timeline</x:v>
      </x:c>
      <x:c r="J251" s="24" t="str">
        <x:v>Internal project IP / authorship claim</x:v>
      </x:c>
      <x:c r="K251" s="24" t="str">
        <x:v>N/A</x:v>
      </x:c>
      <x:c r="L251" s="24" t="str">
        <x:v>Source package + repository path + hash</x:v>
      </x:c>
      <x:c r="M251" s="24" t="str">
        <x:v>cae7f4ea963948f48e327a7e99bac10e862254f84f88840bc54058189d904fe6</x:v>
      </x:c>
      <x:c r="N251" s="24" t="str">
        <x:v>Assets/_Project/Prefabs/Expansions/Staff/Locker.prefab</x:v>
      </x:c>
      <x:c r="O251" s="24" t="str">
        <x:v>1d815b53a5f31e245b538fac05b952d7</x:v>
      </x:c>
      <x:c r="P251" s="24" t="str">
        <x:v>Sí</x:v>
      </x:c>
      <x:c r="Q251" s="24" t="str">
        <x:v>Condicionado a autoría/procedencia final</x:v>
      </x:c>
      <x:c r="R251" s="24" t="str">
        <x:v>Solo dentro del producto/build autorizado</x:v>
      </x:c>
      <x:c r="S251" s="24" t="str">
        <x:v>Crédito general del estudio; individual si aplica</x:v>
      </x:c>
      <x:c r="T251" s="24" t="str">
        <x:v>VRM Games / Blas Luis Rocha González</x:v>
      </x:c>
      <x:c r="U251" s="24" t="str">
        <x:v>VISION / NOT OPEN</x:v>
      </x:c>
      <x:c r="V251" s="24" t="str">
        <x:v>NOT AUTHORIZED</x:v>
      </x:c>
      <x:c r="W251" s="24" t="str">
        <x:v>Parcial</x:v>
      </x:c>
      <x:c r="X251" s="24" t="str">
        <x:v>Low</x:v>
      </x:c>
      <x:c r="Y251" s="24" t="str">
        <x:v>Internal development; public candidate requires gate</x:v>
      </x:c>
      <x:c r="Z251" s="24" t="str">
        <x:v>H6 legal/content audit</x:v>
      </x:c>
      <x:c r="AA251" s="24" t="str">
        <x:v>VRM Games</x:v>
      </x:c>
      <x:c r="AB251" s="24" t="str">
        <x:v>No se detectó proveedor externo en la ruta; confirmar autoría por lote antes de release público.</x:v>
      </x:c>
    </x:row>
    <x:row r="252" ht="34" customHeight="1">
      <x:c r="A252" s="24" t="str">
        <x:v>INT-0248</x:v>
      </x:c>
      <x:c r="B252" s="24" t="str">
        <x:v>9dbed83b857d07842bf8a63bfa8ba026</x:v>
      </x:c>
      <x:c r="C252" s="24" t="str">
        <x:v>TaskBoard.prefab</x:v>
      </x:c>
      <x:c r="D252" s="24" t="str">
        <x:v>Prefab</x:v>
      </x:c>
      <x:c r="E252" s="24" t="str">
        <x:v>Expansions</x:v>
      </x:c>
      <x:c r="F252" s="24" t="str">
        <x:v>VRM Games / Blas Luis Rocha González</x:v>
      </x:c>
      <x:c r="G252" s="24" t="str">
        <x:v>VRM Games / Blas Luis Rocha González</x:v>
      </x:c>
      <x:c r="H252" s="24" t="str">
        <x:v>Internal project production</x:v>
      </x:c>
      <x:c r="I252" s="24" t="str">
        <x:v>2026 project timeline</x:v>
      </x:c>
      <x:c r="J252" s="24" t="str">
        <x:v>Internal project IP / authorship claim</x:v>
      </x:c>
      <x:c r="K252" s="24" t="str">
        <x:v>N/A</x:v>
      </x:c>
      <x:c r="L252" s="24" t="str">
        <x:v>Source package + repository path + hash</x:v>
      </x:c>
      <x:c r="M252" s="24" t="str">
        <x:v>b735548301788a2c4e092492d61c059012fcff4392b19232d273c085c8ec8efc</x:v>
      </x:c>
      <x:c r="N252" s="24" t="str">
        <x:v>Assets/_Project/Prefabs/Expansions/Staff/TaskBoard.prefab</x:v>
      </x:c>
      <x:c r="O252" s="24" t="str">
        <x:v>9dbed83b857d07842bf8a63bfa8ba026</x:v>
      </x:c>
      <x:c r="P252" s="24" t="str">
        <x:v>Sí</x:v>
      </x:c>
      <x:c r="Q252" s="24" t="str">
        <x:v>Condicionado a autoría/procedencia final</x:v>
      </x:c>
      <x:c r="R252" s="24" t="str">
        <x:v>Solo dentro del producto/build autorizado</x:v>
      </x:c>
      <x:c r="S252" s="24" t="str">
        <x:v>Crédito general del estudio; individual si aplica</x:v>
      </x:c>
      <x:c r="T252" s="24" t="str">
        <x:v>VRM Games / Blas Luis Rocha González</x:v>
      </x:c>
      <x:c r="U252" s="24" t="str">
        <x:v>VISION / NOT OPEN</x:v>
      </x:c>
      <x:c r="V252" s="24" t="str">
        <x:v>NOT AUTHORIZED</x:v>
      </x:c>
      <x:c r="W252" s="24" t="str">
        <x:v>Parcial</x:v>
      </x:c>
      <x:c r="X252" s="24" t="str">
        <x:v>Low</x:v>
      </x:c>
      <x:c r="Y252" s="24" t="str">
        <x:v>Internal development; public candidate requires gate</x:v>
      </x:c>
      <x:c r="Z252" s="24" t="str">
        <x:v>H6 legal/content audit</x:v>
      </x:c>
      <x:c r="AA252" s="24" t="str">
        <x:v>VRM Games</x:v>
      </x:c>
      <x:c r="AB252" s="24" t="str">
        <x:v>No se detectó proveedor externo en la ruta; confirmar autoría por lote antes de release público.</x:v>
      </x:c>
    </x:row>
    <x:row r="253" ht="34" customHeight="1">
      <x:c r="A253" s="24" t="str">
        <x:v>INT-0249</x:v>
      </x:c>
      <x:c r="B253" s="24" t="str">
        <x:v>ac08309937540d74792dac40dda8b45d</x:v>
      </x:c>
      <x:c r="C253" s="24" t="str">
        <x:v>ArtDesk.prefab</x:v>
      </x:c>
      <x:c r="D253" s="24" t="str">
        <x:v>Prefab</x:v>
      </x:c>
      <x:c r="E253" s="24" t="str">
        <x:v>Expansions</x:v>
      </x:c>
      <x:c r="F253" s="24" t="str">
        <x:v>VRM Games / Blas Luis Rocha González</x:v>
      </x:c>
      <x:c r="G253" s="24" t="str">
        <x:v>VRM Games / Blas Luis Rocha González</x:v>
      </x:c>
      <x:c r="H253" s="24" t="str">
        <x:v>Internal project production</x:v>
      </x:c>
      <x:c r="I253" s="24" t="str">
        <x:v>2026 project timeline</x:v>
      </x:c>
      <x:c r="J253" s="24" t="str">
        <x:v>Internal project IP / authorship claim</x:v>
      </x:c>
      <x:c r="K253" s="24" t="str">
        <x:v>N/A</x:v>
      </x:c>
      <x:c r="L253" s="24" t="str">
        <x:v>Source package + repository path + hash</x:v>
      </x:c>
      <x:c r="M253" s="24" t="str">
        <x:v>c67aa6cd9e6d548072657969be61e48d21bdc3c695b454913868e0c3a6642cac</x:v>
      </x:c>
      <x:c r="N253" s="24" t="str">
        <x:v>Assets/_Project/Prefabs/Expansions/Studio/ArtDesk.prefab</x:v>
      </x:c>
      <x:c r="O253" s="24" t="str">
        <x:v>ac08309937540d74792dac40dda8b45d</x:v>
      </x:c>
      <x:c r="P253" s="24" t="str">
        <x:v>Sí</x:v>
      </x:c>
      <x:c r="Q253" s="24" t="str">
        <x:v>Condicionado a autoría/procedencia final</x:v>
      </x:c>
      <x:c r="R253" s="24" t="str">
        <x:v>Solo dentro del producto/build autorizado</x:v>
      </x:c>
      <x:c r="S253" s="24" t="str">
        <x:v>Crédito general del estudio; individual si aplica</x:v>
      </x:c>
      <x:c r="T253" s="24" t="str">
        <x:v>VRM Games / Blas Luis Rocha González</x:v>
      </x:c>
      <x:c r="U253" s="24" t="str">
        <x:v>VISION / NOT OPEN</x:v>
      </x:c>
      <x:c r="V253" s="24" t="str">
        <x:v>NOT AUTHORIZED</x:v>
      </x:c>
      <x:c r="W253" s="24" t="str">
        <x:v>Parcial</x:v>
      </x:c>
      <x:c r="X253" s="24" t="str">
        <x:v>Low</x:v>
      </x:c>
      <x:c r="Y253" s="24" t="str">
        <x:v>Internal development; public candidate requires gate</x:v>
      </x:c>
      <x:c r="Z253" s="24" t="str">
        <x:v>H6 legal/content audit</x:v>
      </x:c>
      <x:c r="AA253" s="24" t="str">
        <x:v>VRM Games</x:v>
      </x:c>
      <x:c r="AB253" s="24" t="str">
        <x:v>No se detectó proveedor externo en la ruta; confirmar autoría por lote antes de release público.</x:v>
      </x:c>
    </x:row>
    <x:row r="254" ht="34" customHeight="1">
      <x:c r="A254" s="24" t="str">
        <x:v>INT-0250</x:v>
      </x:c>
      <x:c r="B254" s="24" t="str">
        <x:v>ec73e52504e46b447a8b28a511e31672</x:v>
      </x:c>
      <x:c r="C254" s="24" t="str">
        <x:v>AudioStation.prefab</x:v>
      </x:c>
      <x:c r="D254" s="24" t="str">
        <x:v>Prefab</x:v>
      </x:c>
      <x:c r="E254" s="24" t="str">
        <x:v>Expansions</x:v>
      </x:c>
      <x:c r="F254" s="24" t="str">
        <x:v>VRM Games / Blas Luis Rocha González</x:v>
      </x:c>
      <x:c r="G254" s="24" t="str">
        <x:v>VRM Games / Blas Luis Rocha González</x:v>
      </x:c>
      <x:c r="H254" s="24" t="str">
        <x:v>Internal project production</x:v>
      </x:c>
      <x:c r="I254" s="24" t="str">
        <x:v>2026 project timeline</x:v>
      </x:c>
      <x:c r="J254" s="24" t="str">
        <x:v>Internal project IP / authorship claim</x:v>
      </x:c>
      <x:c r="K254" s="24" t="str">
        <x:v>N/A</x:v>
      </x:c>
      <x:c r="L254" s="24" t="str">
        <x:v>Source package + repository path + hash</x:v>
      </x:c>
      <x:c r="M254" s="24" t="str">
        <x:v>4840b525c8057d5aca7cc055c0f17cd69cc705b3027ea42dd5b5bc7d33d0e651</x:v>
      </x:c>
      <x:c r="N254" s="24" t="str">
        <x:v>Assets/_Project/Prefabs/Expansions/Studio/AudioStation.prefab</x:v>
      </x:c>
      <x:c r="O254" s="24" t="str">
        <x:v>ec73e52504e46b447a8b28a511e31672</x:v>
      </x:c>
      <x:c r="P254" s="24" t="str">
        <x:v>Sí</x:v>
      </x:c>
      <x:c r="Q254" s="24" t="str">
        <x:v>Condicionado a autoría/procedencia final</x:v>
      </x:c>
      <x:c r="R254" s="24" t="str">
        <x:v>Solo dentro del producto/build autorizado</x:v>
      </x:c>
      <x:c r="S254" s="24" t="str">
        <x:v>Crédito general del estudio; individual si aplica</x:v>
      </x:c>
      <x:c r="T254" s="24" t="str">
        <x:v>VRM Games / Blas Luis Rocha González</x:v>
      </x:c>
      <x:c r="U254" s="24" t="str">
        <x:v>VISION / NOT OPEN</x:v>
      </x:c>
      <x:c r="V254" s="24" t="str">
        <x:v>NOT AUTHORIZED</x:v>
      </x:c>
      <x:c r="W254" s="24" t="str">
        <x:v>Parcial</x:v>
      </x:c>
      <x:c r="X254" s="24" t="str">
        <x:v>Low</x:v>
      </x:c>
      <x:c r="Y254" s="24" t="str">
        <x:v>Internal development; public candidate requires gate</x:v>
      </x:c>
      <x:c r="Z254" s="24" t="str">
        <x:v>H6 legal/content audit</x:v>
      </x:c>
      <x:c r="AA254" s="24" t="str">
        <x:v>VRM Games</x:v>
      </x:c>
      <x:c r="AB254" s="24" t="str">
        <x:v>No se detectó proveedor externo en la ruta; confirmar autoría por lote antes de release público.</x:v>
      </x:c>
    </x:row>
    <x:row r="255" ht="34" customHeight="1">
      <x:c r="A255" s="24" t="str">
        <x:v>INT-0251</x:v>
      </x:c>
      <x:c r="B255" s="24" t="str">
        <x:v>1f86cd44878a80a49bd1336bb2a8febf</x:v>
      </x:c>
      <x:c r="C255" s="24" t="str">
        <x:v>DevDesk.prefab</x:v>
      </x:c>
      <x:c r="D255" s="24" t="str">
        <x:v>Prefab</x:v>
      </x:c>
      <x:c r="E255" s="24" t="str">
        <x:v>Expansions</x:v>
      </x:c>
      <x:c r="F255" s="24" t="str">
        <x:v>VRM Games / Blas Luis Rocha González</x:v>
      </x:c>
      <x:c r="G255" s="24" t="str">
        <x:v>VRM Games / Blas Luis Rocha González</x:v>
      </x:c>
      <x:c r="H255" s="24" t="str">
        <x:v>Internal project production</x:v>
      </x:c>
      <x:c r="I255" s="24" t="str">
        <x:v>2026 project timeline</x:v>
      </x:c>
      <x:c r="J255" s="24" t="str">
        <x:v>Internal project IP / authorship claim</x:v>
      </x:c>
      <x:c r="K255" s="24" t="str">
        <x:v>N/A</x:v>
      </x:c>
      <x:c r="L255" s="24" t="str">
        <x:v>Source package + repository path + hash</x:v>
      </x:c>
      <x:c r="M255" s="24" t="str">
        <x:v>bd1b782e6950d553aa8701b065f76c7e318e3318629cd006c1b1f9388ae20079</x:v>
      </x:c>
      <x:c r="N255" s="24" t="str">
        <x:v>Assets/_Project/Prefabs/Expansions/Studio/DevDesk.prefab</x:v>
      </x:c>
      <x:c r="O255" s="24" t="str">
        <x:v>1f86cd44878a80a49bd1336bb2a8febf</x:v>
      </x:c>
      <x:c r="P255" s="24" t="str">
        <x:v>Sí</x:v>
      </x:c>
      <x:c r="Q255" s="24" t="str">
        <x:v>Condicionado a autoría/procedencia final</x:v>
      </x:c>
      <x:c r="R255" s="24" t="str">
        <x:v>Solo dentro del producto/build autorizado</x:v>
      </x:c>
      <x:c r="S255" s="24" t="str">
        <x:v>Crédito general del estudio; individual si aplica</x:v>
      </x:c>
      <x:c r="T255" s="24" t="str">
        <x:v>VRM Games / Blas Luis Rocha González</x:v>
      </x:c>
      <x:c r="U255" s="24" t="str">
        <x:v>VISION / NOT OPEN</x:v>
      </x:c>
      <x:c r="V255" s="24" t="str">
        <x:v>NOT AUTHORIZED</x:v>
      </x:c>
      <x:c r="W255" s="24" t="str">
        <x:v>Parcial</x:v>
      </x:c>
      <x:c r="X255" s="24" t="str">
        <x:v>Low</x:v>
      </x:c>
      <x:c r="Y255" s="24" t="str">
        <x:v>Internal development; public candidate requires gate</x:v>
      </x:c>
      <x:c r="Z255" s="24" t="str">
        <x:v>H6 legal/content audit</x:v>
      </x:c>
      <x:c r="AA255" s="24" t="str">
        <x:v>VRM Games</x:v>
      </x:c>
      <x:c r="AB255" s="24" t="str">
        <x:v>No se detectó proveedor externo en la ruta; confirmar autoría por lote antes de release público.</x:v>
      </x:c>
    </x:row>
    <x:row r="256" ht="34" customHeight="1">
      <x:c r="A256" s="24" t="str">
        <x:v>INT-0252</x:v>
      </x:c>
      <x:c r="B256" s="24" t="str">
        <x:v>6a32d46b756131d355af34feb5ec815a</x:v>
      </x:c>
      <x:c r="C256" s="24" t="str">
        <x:v>BackroomStorage.prefab</x:v>
      </x:c>
      <x:c r="D256" s="24" t="str">
        <x:v>Prefab</x:v>
      </x:c>
      <x:c r="E256" s="24" t="str">
        <x:v>Furniture</x:v>
      </x:c>
      <x:c r="F256" s="24" t="str">
        <x:v>VRM Games / Blas Luis Rocha González</x:v>
      </x:c>
      <x:c r="G256" s="24" t="str">
        <x:v>VRM Games / Blas Luis Rocha González</x:v>
      </x:c>
      <x:c r="H256" s="24" t="str">
        <x:v>Internal project production</x:v>
      </x:c>
      <x:c r="I256" s="24" t="str">
        <x:v>2026 project timeline</x:v>
      </x:c>
      <x:c r="J256" s="24" t="str">
        <x:v>Internal project IP / authorship claim</x:v>
      </x:c>
      <x:c r="K256" s="24" t="str">
        <x:v>N/A</x:v>
      </x:c>
      <x:c r="L256" s="24" t="str">
        <x:v>Source package + repository path + hash</x:v>
      </x:c>
      <x:c r="M256" s="24" t="str">
        <x:v>d8836c2777e4d2487a6a8ef692fbd6833d719b999f705a3474457938ffcb30bd</x:v>
      </x:c>
      <x:c r="N256" s="24" t="str">
        <x:v>Assets/_Project/Prefabs/Furniture/BackroomStorage.prefab</x:v>
      </x:c>
      <x:c r="O256" s="24" t="str">
        <x:v>6a32d46b756131d355af34feb5ec815a</x:v>
      </x:c>
      <x:c r="P256" s="24" t="str">
        <x:v>Sí</x:v>
      </x:c>
      <x:c r="Q256" s="24" t="str">
        <x:v>Condicionado a autoría/procedencia final</x:v>
      </x:c>
      <x:c r="R256" s="24" t="str">
        <x:v>Solo dentro del producto/build autorizado</x:v>
      </x:c>
      <x:c r="S256" s="24" t="str">
        <x:v>Crédito general del estudio; individual si aplica</x:v>
      </x:c>
      <x:c r="T256" s="24" t="str">
        <x:v>VRM Games / Blas Luis Rocha González</x:v>
      </x:c>
      <x:c r="U256" s="24" t="str">
        <x:v>CURRENT PROJECT ASSET</x:v>
      </x:c>
      <x:c r="V256" s="24" t="str">
        <x:v>CONDITIONALLY APPROVED</x:v>
      </x:c>
      <x:c r="W256" s="24" t="str">
        <x:v>Parcial</x:v>
      </x:c>
      <x:c r="X256" s="24" t="str">
        <x:v>Low</x:v>
      </x:c>
      <x:c r="Y256" s="24" t="str">
        <x:v>Internal development; public candidate requires gate</x:v>
      </x:c>
      <x:c r="Z256" s="24" t="str">
        <x:v>H6 legal/content audit</x:v>
      </x:c>
      <x:c r="AA256" s="24" t="str">
        <x:v>VRM Games</x:v>
      </x:c>
      <x:c r="AB256" s="24" t="str">
        <x:v>No se detectó proveedor externo en la ruta; confirmar autoría por lote antes de release público.</x:v>
      </x:c>
    </x:row>
    <x:row r="257" ht="34" customHeight="1">
      <x:c r="A257" s="24" t="str">
        <x:v>INT-0253</x:v>
      </x:c>
      <x:c r="B257" s="24" t="str">
        <x:v>ee68430315c3ff624c8cb39e759e3362</x:v>
      </x:c>
      <x:c r="C257" s="24" t="str">
        <x:v>CentralShelf.prefab</x:v>
      </x:c>
      <x:c r="D257" s="24" t="str">
        <x:v>Prefab</x:v>
      </x:c>
      <x:c r="E257" s="24" t="str">
        <x:v>Furniture</x:v>
      </x:c>
      <x:c r="F257" s="24" t="str">
        <x:v>VRM Games / Blas Luis Rocha González</x:v>
      </x:c>
      <x:c r="G257" s="24" t="str">
        <x:v>VRM Games / Blas Luis Rocha González</x:v>
      </x:c>
      <x:c r="H257" s="24" t="str">
        <x:v>Internal project production</x:v>
      </x:c>
      <x:c r="I257" s="24" t="str">
        <x:v>2026 project timeline</x:v>
      </x:c>
      <x:c r="J257" s="24" t="str">
        <x:v>Internal project IP / authorship claim</x:v>
      </x:c>
      <x:c r="K257" s="24" t="str">
        <x:v>N/A</x:v>
      </x:c>
      <x:c r="L257" s="24" t="str">
        <x:v>Source package + repository path + hash</x:v>
      </x:c>
      <x:c r="M257" s="24" t="str">
        <x:v>8e2ffd72ca4c1f50da39626c94698b32d19ae027feddb846ca729737eff56e80</x:v>
      </x:c>
      <x:c r="N257" s="24" t="str">
        <x:v>Assets/_Project/Prefabs/Furniture/CentralShelf.prefab</x:v>
      </x:c>
      <x:c r="O257" s="24" t="str">
        <x:v>ee68430315c3ff624c8cb39e759e3362</x:v>
      </x:c>
      <x:c r="P257" s="24" t="str">
        <x:v>Sí</x:v>
      </x:c>
      <x:c r="Q257" s="24" t="str">
        <x:v>Condicionado a autoría/procedencia final</x:v>
      </x:c>
      <x:c r="R257" s="24" t="str">
        <x:v>Solo dentro del producto/build autorizado</x:v>
      </x:c>
      <x:c r="S257" s="24" t="str">
        <x:v>Crédito general del estudio; individual si aplica</x:v>
      </x:c>
      <x:c r="T257" s="24" t="str">
        <x:v>VRM Games / Blas Luis Rocha González</x:v>
      </x:c>
      <x:c r="U257" s="24" t="str">
        <x:v>CURRENT PROJECT ASSET</x:v>
      </x:c>
      <x:c r="V257" s="24" t="str">
        <x:v>CONDITIONALLY APPROVED</x:v>
      </x:c>
      <x:c r="W257" s="24" t="str">
        <x:v>Parcial</x:v>
      </x:c>
      <x:c r="X257" s="24" t="str">
        <x:v>Low</x:v>
      </x:c>
      <x:c r="Y257" s="24" t="str">
        <x:v>Internal development; public candidate requires gate</x:v>
      </x:c>
      <x:c r="Z257" s="24" t="str">
        <x:v>H6 legal/content audit</x:v>
      </x:c>
      <x:c r="AA257" s="24" t="str">
        <x:v>VRM Games</x:v>
      </x:c>
      <x:c r="AB257" s="24" t="str">
        <x:v>No se detectó proveedor externo en la ruta; confirmar autoría por lote antes de release público.</x:v>
      </x:c>
    </x:row>
    <x:row r="258" ht="34" customHeight="1">
      <x:c r="A258" s="24" t="str">
        <x:v>INT-0254</x:v>
      </x:c>
      <x:c r="B258" s="24" t="str">
        <x:v>50cf0cf3c5cf40b6b6cb2622a64001d4</x:v>
      </x:c>
      <x:c r="C258" s="24" t="str">
        <x:v>CheckoutCounter.prefab</x:v>
      </x:c>
      <x:c r="D258" s="24" t="str">
        <x:v>Prefab</x:v>
      </x:c>
      <x:c r="E258" s="24" t="str">
        <x:v>Furniture</x:v>
      </x:c>
      <x:c r="F258" s="24" t="str">
        <x:v>VRM Games / Blas Luis Rocha González</x:v>
      </x:c>
      <x:c r="G258" s="24" t="str">
        <x:v>VRM Games / Blas Luis Rocha González</x:v>
      </x:c>
      <x:c r="H258" s="24" t="str">
        <x:v>Internal project production</x:v>
      </x:c>
      <x:c r="I258" s="24" t="str">
        <x:v>2026 project timeline</x:v>
      </x:c>
      <x:c r="J258" s="24" t="str">
        <x:v>Internal project IP / authorship claim</x:v>
      </x:c>
      <x:c r="K258" s="24" t="str">
        <x:v>N/A</x:v>
      </x:c>
      <x:c r="L258" s="24" t="str">
        <x:v>Source package + repository path + hash</x:v>
      </x:c>
      <x:c r="M258" s="24" t="str">
        <x:v>fcef6071e364473568fbfd0e27d1928bee257997787d30b9e15bd6aa4c9948bd</x:v>
      </x:c>
      <x:c r="N258" s="24" t="str">
        <x:v>Assets/_Project/Prefabs/Furniture/CheckoutCounter.prefab</x:v>
      </x:c>
      <x:c r="O258" s="24" t="str">
        <x:v>50cf0cf3c5cf40b6b6cb2622a64001d4</x:v>
      </x:c>
      <x:c r="P258" s="24" t="str">
        <x:v>Sí</x:v>
      </x:c>
      <x:c r="Q258" s="24" t="str">
        <x:v>Condicionado a autoría/procedencia final</x:v>
      </x:c>
      <x:c r="R258" s="24" t="str">
        <x:v>Solo dentro del producto/build autorizado</x:v>
      </x:c>
      <x:c r="S258" s="24" t="str">
        <x:v>Crédito general del estudio; individual si aplica</x:v>
      </x:c>
      <x:c r="T258" s="24" t="str">
        <x:v>VRM Games / Blas Luis Rocha González</x:v>
      </x:c>
      <x:c r="U258" s="24" t="str">
        <x:v>CURRENT PROJECT ASSET</x:v>
      </x:c>
      <x:c r="V258" s="24" t="str">
        <x:v>CONDITIONALLY APPROVED</x:v>
      </x:c>
      <x:c r="W258" s="24" t="str">
        <x:v>Parcial</x:v>
      </x:c>
      <x:c r="X258" s="24" t="str">
        <x:v>Low</x:v>
      </x:c>
      <x:c r="Y258" s="24" t="str">
        <x:v>Internal development; public candidate requires gate</x:v>
      </x:c>
      <x:c r="Z258" s="24" t="str">
        <x:v>H6 legal/content audit</x:v>
      </x:c>
      <x:c r="AA258" s="24" t="str">
        <x:v>VRM Games</x:v>
      </x:c>
      <x:c r="AB258" s="24" t="str">
        <x:v>No se detectó proveedor externo en la ruta; confirmar autoría por lote antes de release público.</x:v>
      </x:c>
    </x:row>
    <x:row r="259" ht="34" customHeight="1">
      <x:c r="A259" s="24" t="str">
        <x:v>INT-0255</x:v>
      </x:c>
      <x:c r="B259" s="24" t="str">
        <x:v>f75e2d3953fef002ae67aa64f5d7b9a5</x:v>
      </x:c>
      <x:c r="C259" s="24" t="str">
        <x:v>DecorationPlant.prefab</x:v>
      </x:c>
      <x:c r="D259" s="24" t="str">
        <x:v>Prefab</x:v>
      </x:c>
      <x:c r="E259" s="24" t="str">
        <x:v>Furniture</x:v>
      </x:c>
      <x:c r="F259" s="24" t="str">
        <x:v>VRM Games / Blas Luis Rocha González</x:v>
      </x:c>
      <x:c r="G259" s="24" t="str">
        <x:v>VRM Games / Blas Luis Rocha González</x:v>
      </x:c>
      <x:c r="H259" s="24" t="str">
        <x:v>Internal project production</x:v>
      </x:c>
      <x:c r="I259" s="24" t="str">
        <x:v>2026 project timeline</x:v>
      </x:c>
      <x:c r="J259" s="24" t="str">
        <x:v>Internal project IP / authorship claim</x:v>
      </x:c>
      <x:c r="K259" s="24" t="str">
        <x:v>N/A</x:v>
      </x:c>
      <x:c r="L259" s="24" t="str">
        <x:v>Source package + repository path + hash</x:v>
      </x:c>
      <x:c r="M259" s="24" t="str">
        <x:v>0ea233188c6d6d1685500595b8e6790be8c7ad13b39757f992aa1dd9b2563340</x:v>
      </x:c>
      <x:c r="N259" s="24" t="str">
        <x:v>Assets/_Project/Prefabs/Furniture/DecorationPlant.prefab</x:v>
      </x:c>
      <x:c r="O259" s="24" t="str">
        <x:v>f75e2d3953fef002ae67aa64f5d7b9a5</x:v>
      </x:c>
      <x:c r="P259" s="24" t="str">
        <x:v>Sí</x:v>
      </x:c>
      <x:c r="Q259" s="24" t="str">
        <x:v>Condicionado a autoría/procedencia final</x:v>
      </x:c>
      <x:c r="R259" s="24" t="str">
        <x:v>Solo dentro del producto/build autorizado</x:v>
      </x:c>
      <x:c r="S259" s="24" t="str">
        <x:v>Crédito general del estudio; individual si aplica</x:v>
      </x:c>
      <x:c r="T259" s="24" t="str">
        <x:v>VRM Games / Blas Luis Rocha González</x:v>
      </x:c>
      <x:c r="U259" s="24" t="str">
        <x:v>CURRENT PROJECT ASSET</x:v>
      </x:c>
      <x:c r="V259" s="24" t="str">
        <x:v>CONDITIONALLY APPROVED</x:v>
      </x:c>
      <x:c r="W259" s="24" t="str">
        <x:v>Parcial</x:v>
      </x:c>
      <x:c r="X259" s="24" t="str">
        <x:v>Low</x:v>
      </x:c>
      <x:c r="Y259" s="24" t="str">
        <x:v>Internal development; public candidate requires gate</x:v>
      </x:c>
      <x:c r="Z259" s="24" t="str">
        <x:v>H6 legal/content audit</x:v>
      </x:c>
      <x:c r="AA259" s="24" t="str">
        <x:v>VRM Games</x:v>
      </x:c>
      <x:c r="AB259" s="24" t="str">
        <x:v>No se detectó proveedor externo en la ruta; confirmar autoría por lote antes de release público.</x:v>
      </x:c>
    </x:row>
    <x:row r="260" ht="34" customHeight="1">
      <x:c r="A260" s="24" t="str">
        <x:v>INT-0256</x:v>
      </x:c>
      <x:c r="B260" s="24" t="str">
        <x:v>a220b490e14b7507c07ed1d5ebb45162</x:v>
      </x:c>
      <x:c r="C260" s="24" t="str">
        <x:v>FeaturedDisplay.prefab</x:v>
      </x:c>
      <x:c r="D260" s="24" t="str">
        <x:v>Prefab</x:v>
      </x:c>
      <x:c r="E260" s="24" t="str">
        <x:v>Furniture</x:v>
      </x:c>
      <x:c r="F260" s="24" t="str">
        <x:v>VRM Games / Blas Luis Rocha González</x:v>
      </x:c>
      <x:c r="G260" s="24" t="str">
        <x:v>VRM Games / Blas Luis Rocha González</x:v>
      </x:c>
      <x:c r="H260" s="24" t="str">
        <x:v>Internal project production</x:v>
      </x:c>
      <x:c r="I260" s="24" t="str">
        <x:v>2026 project timeline</x:v>
      </x:c>
      <x:c r="J260" s="24" t="str">
        <x:v>Internal project IP / authorship claim</x:v>
      </x:c>
      <x:c r="K260" s="24" t="str">
        <x:v>N/A</x:v>
      </x:c>
      <x:c r="L260" s="24" t="str">
        <x:v>Source package + repository path + hash</x:v>
      </x:c>
      <x:c r="M260" s="24" t="str">
        <x:v>1640c14b7e0a04ec84ad65d7435189fbeddd0924ad6f9bb3e35386107587c496</x:v>
      </x:c>
      <x:c r="N260" s="24" t="str">
        <x:v>Assets/_Project/Prefabs/Furniture/FeaturedDisplay.prefab</x:v>
      </x:c>
      <x:c r="O260" s="24" t="str">
        <x:v>a220b490e14b7507c07ed1d5ebb45162</x:v>
      </x:c>
      <x:c r="P260" s="24" t="str">
        <x:v>Sí</x:v>
      </x:c>
      <x:c r="Q260" s="24" t="str">
        <x:v>Condicionado a autoría/procedencia final</x:v>
      </x:c>
      <x:c r="R260" s="24" t="str">
        <x:v>Solo dentro del producto/build autorizado</x:v>
      </x:c>
      <x:c r="S260" s="24" t="str">
        <x:v>Crédito general del estudio; individual si aplica</x:v>
      </x:c>
      <x:c r="T260" s="24" t="str">
        <x:v>VRM Games / Blas Luis Rocha González</x:v>
      </x:c>
      <x:c r="U260" s="24" t="str">
        <x:v>CURRENT PROJECT ASSET</x:v>
      </x:c>
      <x:c r="V260" s="24" t="str">
        <x:v>CONDITIONALLY APPROVED</x:v>
      </x:c>
      <x:c r="W260" s="24" t="str">
        <x:v>Parcial</x:v>
      </x:c>
      <x:c r="X260" s="24" t="str">
        <x:v>Low</x:v>
      </x:c>
      <x:c r="Y260" s="24" t="str">
        <x:v>Internal development; public candidate requires gate</x:v>
      </x:c>
      <x:c r="Z260" s="24" t="str">
        <x:v>H6 legal/content audit</x:v>
      </x:c>
      <x:c r="AA260" s="24" t="str">
        <x:v>VRM Games</x:v>
      </x:c>
      <x:c r="AB260" s="24" t="str">
        <x:v>No se detectó proveedor externo en la ruta; confirmar autoría por lote antes de release público.</x:v>
      </x:c>
    </x:row>
    <x:row r="261" ht="34" customHeight="1">
      <x:c r="A261" s="24" t="str">
        <x:v>INT-0257</x:v>
      </x:c>
      <x:c r="B261" s="24" t="str">
        <x:v>a50740f86803ca60444851be2b42c02e</x:v>
      </x:c>
      <x:c r="C261" s="24" t="str">
        <x:v>LowDisplay.prefab</x:v>
      </x:c>
      <x:c r="D261" s="24" t="str">
        <x:v>Prefab</x:v>
      </x:c>
      <x:c r="E261" s="24" t="str">
        <x:v>Furniture</x:v>
      </x:c>
      <x:c r="F261" s="24" t="str">
        <x:v>VRM Games / Blas Luis Rocha González</x:v>
      </x:c>
      <x:c r="G261" s="24" t="str">
        <x:v>VRM Games / Blas Luis Rocha González</x:v>
      </x:c>
      <x:c r="H261" s="24" t="str">
        <x:v>Internal project production</x:v>
      </x:c>
      <x:c r="I261" s="24" t="str">
        <x:v>2026 project timeline</x:v>
      </x:c>
      <x:c r="J261" s="24" t="str">
        <x:v>Internal project IP / authorship claim</x:v>
      </x:c>
      <x:c r="K261" s="24" t="str">
        <x:v>N/A</x:v>
      </x:c>
      <x:c r="L261" s="24" t="str">
        <x:v>Source package + repository path + hash</x:v>
      </x:c>
      <x:c r="M261" s="24" t="str">
        <x:v>052bdf49b4d0d71b3746da6e2bc8ede866f53a1e3a3aeb6e3c54459533bd8326</x:v>
      </x:c>
      <x:c r="N261" s="24" t="str">
        <x:v>Assets/_Project/Prefabs/Furniture/LowDisplay.prefab</x:v>
      </x:c>
      <x:c r="O261" s="24" t="str">
        <x:v>a50740f86803ca60444851be2b42c02e</x:v>
      </x:c>
      <x:c r="P261" s="24" t="str">
        <x:v>Sí</x:v>
      </x:c>
      <x:c r="Q261" s="24" t="str">
        <x:v>Condicionado a autoría/procedencia final</x:v>
      </x:c>
      <x:c r="R261" s="24" t="str">
        <x:v>Solo dentro del producto/build autorizado</x:v>
      </x:c>
      <x:c r="S261" s="24" t="str">
        <x:v>Crédito general del estudio; individual si aplica</x:v>
      </x:c>
      <x:c r="T261" s="24" t="str">
        <x:v>VRM Games / Blas Luis Rocha González</x:v>
      </x:c>
      <x:c r="U261" s="24" t="str">
        <x:v>CURRENT PROJECT ASSET</x:v>
      </x:c>
      <x:c r="V261" s="24" t="str">
        <x:v>CONDITIONALLY APPROVED</x:v>
      </x:c>
      <x:c r="W261" s="24" t="str">
        <x:v>Parcial</x:v>
      </x:c>
      <x:c r="X261" s="24" t="str">
        <x:v>Low</x:v>
      </x:c>
      <x:c r="Y261" s="24" t="str">
        <x:v>Internal development; public candidate requires gate</x:v>
      </x:c>
      <x:c r="Z261" s="24" t="str">
        <x:v>H6 legal/content audit</x:v>
      </x:c>
      <x:c r="AA261" s="24" t="str">
        <x:v>VRM Games</x:v>
      </x:c>
      <x:c r="AB261" s="24" t="str">
        <x:v>No se detectó proveedor externo en la ruta; confirmar autoría por lote antes de release público.</x:v>
      </x:c>
    </x:row>
    <x:row r="262" ht="34" customHeight="1">
      <x:c r="A262" s="24" t="str">
        <x:v>INT-0258</x:v>
      </x:c>
      <x:c r="B262" s="24" t="str">
        <x:v>61dde0e295b6d720919f8fb896444331</x:v>
      </x:c>
      <x:c r="C262" s="24" t="str">
        <x:v>ReceivingCrate.prefab</x:v>
      </x:c>
      <x:c r="D262" s="24" t="str">
        <x:v>Prefab</x:v>
      </x:c>
      <x:c r="E262" s="24" t="str">
        <x:v>Furniture</x:v>
      </x:c>
      <x:c r="F262" s="24" t="str">
        <x:v>VRM Games / Blas Luis Rocha González</x:v>
      </x:c>
      <x:c r="G262" s="24" t="str">
        <x:v>VRM Games / Blas Luis Rocha González</x:v>
      </x:c>
      <x:c r="H262" s="24" t="str">
        <x:v>Internal project production</x:v>
      </x:c>
      <x:c r="I262" s="24" t="str">
        <x:v>2026 project timeline</x:v>
      </x:c>
      <x:c r="J262" s="24" t="str">
        <x:v>Internal project IP / authorship claim</x:v>
      </x:c>
      <x:c r="K262" s="24" t="str">
        <x:v>N/A</x:v>
      </x:c>
      <x:c r="L262" s="24" t="str">
        <x:v>Source package + repository path + hash</x:v>
      </x:c>
      <x:c r="M262" s="24" t="str">
        <x:v>ba2e9bc9727a0db46a441b8ecc91ec205c1d8860cda9330390c2add0edbaa5cb</x:v>
      </x:c>
      <x:c r="N262" s="24" t="str">
        <x:v>Assets/_Project/Prefabs/Furniture/ReceivingCrate.prefab</x:v>
      </x:c>
      <x:c r="O262" s="24" t="str">
        <x:v>61dde0e295b6d720919f8fb896444331</x:v>
      </x:c>
      <x:c r="P262" s="24" t="str">
        <x:v>Sí</x:v>
      </x:c>
      <x:c r="Q262" s="24" t="str">
        <x:v>Condicionado a autoría/procedencia final</x:v>
      </x:c>
      <x:c r="R262" s="24" t="str">
        <x:v>Solo dentro del producto/build autorizado</x:v>
      </x:c>
      <x:c r="S262" s="24" t="str">
        <x:v>Crédito general del estudio; individual si aplica</x:v>
      </x:c>
      <x:c r="T262" s="24" t="str">
        <x:v>VRM Games / Blas Luis Rocha González</x:v>
      </x:c>
      <x:c r="U262" s="24" t="str">
        <x:v>CURRENT PROJECT ASSET</x:v>
      </x:c>
      <x:c r="V262" s="24" t="str">
        <x:v>CONDITIONALLY APPROVED</x:v>
      </x:c>
      <x:c r="W262" s="24" t="str">
        <x:v>Parcial</x:v>
      </x:c>
      <x:c r="X262" s="24" t="str">
        <x:v>Low</x:v>
      </x:c>
      <x:c r="Y262" s="24" t="str">
        <x:v>Internal development; public candidate requires gate</x:v>
      </x:c>
      <x:c r="Z262" s="24" t="str">
        <x:v>H6 legal/content audit</x:v>
      </x:c>
      <x:c r="AA262" s="24" t="str">
        <x:v>VRM Games</x:v>
      </x:c>
      <x:c r="AB262" s="24" t="str">
        <x:v>No se detectó proveedor externo en la ruta; confirmar autoría por lote antes de release público.</x:v>
      </x:c>
    </x:row>
    <x:row r="263" ht="34" customHeight="1">
      <x:c r="A263" s="24" t="str">
        <x:v>INT-0259</x:v>
      </x:c>
      <x:c r="B263" s="24" t="str">
        <x:v>d85a9e733850c34695b6e866472e96ed</x:v>
      </x:c>
      <x:c r="C263" s="24" t="str">
        <x:v>WallShelf.prefab</x:v>
      </x:c>
      <x:c r="D263" s="24" t="str">
        <x:v>Prefab</x:v>
      </x:c>
      <x:c r="E263" s="24" t="str">
        <x:v>Furniture</x:v>
      </x:c>
      <x:c r="F263" s="24" t="str">
        <x:v>VRM Games / Blas Luis Rocha González</x:v>
      </x:c>
      <x:c r="G263" s="24" t="str">
        <x:v>VRM Games / Blas Luis Rocha González</x:v>
      </x:c>
      <x:c r="H263" s="24" t="str">
        <x:v>Internal project production</x:v>
      </x:c>
      <x:c r="I263" s="24" t="str">
        <x:v>2026 project timeline</x:v>
      </x:c>
      <x:c r="J263" s="24" t="str">
        <x:v>Internal project IP / authorship claim</x:v>
      </x:c>
      <x:c r="K263" s="24" t="str">
        <x:v>N/A</x:v>
      </x:c>
      <x:c r="L263" s="24" t="str">
        <x:v>Source package + repository path + hash</x:v>
      </x:c>
      <x:c r="M263" s="24" t="str">
        <x:v>e66f809bf0814d672fca0b9843c75f24d65190d59d07ef350528eaec1b635059</x:v>
      </x:c>
      <x:c r="N263" s="24" t="str">
        <x:v>Assets/_Project/Prefabs/Furniture/WallShelf.prefab</x:v>
      </x:c>
      <x:c r="O263" s="24" t="str">
        <x:v>d85a9e733850c34695b6e866472e96ed</x:v>
      </x:c>
      <x:c r="P263" s="24" t="str">
        <x:v>Sí</x:v>
      </x:c>
      <x:c r="Q263" s="24" t="str">
        <x:v>Condicionado a autoría/procedencia final</x:v>
      </x:c>
      <x:c r="R263" s="24" t="str">
        <x:v>Solo dentro del producto/build autorizado</x:v>
      </x:c>
      <x:c r="S263" s="24" t="str">
        <x:v>Crédito general del estudio; individual si aplica</x:v>
      </x:c>
      <x:c r="T263" s="24" t="str">
        <x:v>VRM Games / Blas Luis Rocha González</x:v>
      </x:c>
      <x:c r="U263" s="24" t="str">
        <x:v>CURRENT PROJECT ASSET</x:v>
      </x:c>
      <x:c r="V263" s="24" t="str">
        <x:v>CONDITIONALLY APPROVED</x:v>
      </x:c>
      <x:c r="W263" s="24" t="str">
        <x:v>Parcial</x:v>
      </x:c>
      <x:c r="X263" s="24" t="str">
        <x:v>Low</x:v>
      </x:c>
      <x:c r="Y263" s="24" t="str">
        <x:v>Internal development; public candidate requires gate</x:v>
      </x:c>
      <x:c r="Z263" s="24" t="str">
        <x:v>H6 legal/content audit</x:v>
      </x:c>
      <x:c r="AA263" s="24" t="str">
        <x:v>VRM Games</x:v>
      </x:c>
      <x:c r="AB263" s="24" t="str">
        <x:v>No se detectó proveedor externo en la ruta; confirmar autoría por lote antes de release público.</x:v>
      </x:c>
    </x:row>
    <x:row r="264" ht="34" customHeight="1">
      <x:c r="A264" s="24" t="str">
        <x:v>INT-0260</x:v>
      </x:c>
      <x:c r="B264" s="24" t="str">
        <x:v>a61666dd7120c6ca962105fa1a44ad89</x:v>
      </x:c>
      <x:c r="C264" s="24" t="str">
        <x:v>CloudRunnerCase.prefab</x:v>
      </x:c>
      <x:c r="D264" s="24" t="str">
        <x:v>Prefab</x:v>
      </x:c>
      <x:c r="E264" s="24" t="str">
        <x:v>Products</x:v>
      </x:c>
      <x:c r="F264" s="24" t="str">
        <x:v>VRM Games / Blas Luis Rocha González</x:v>
      </x:c>
      <x:c r="G264" s="24" t="str">
        <x:v>VRM Games / Blas Luis Rocha González</x:v>
      </x:c>
      <x:c r="H264" s="24" t="str">
        <x:v>Internal project production</x:v>
      </x:c>
      <x:c r="I264" s="24" t="str">
        <x:v>2026 project timeline</x:v>
      </x:c>
      <x:c r="J264" s="24" t="str">
        <x:v>Internal project IP / authorship claim</x:v>
      </x:c>
      <x:c r="K264" s="24" t="str">
        <x:v>N/A</x:v>
      </x:c>
      <x:c r="L264" s="24" t="str">
        <x:v>Source package + repository path + hash</x:v>
      </x:c>
      <x:c r="M264" s="24" t="str">
        <x:v>1b4d03c69bdecafee8a12378b090f983268471ed13a12e5ec27d47b805f90c1c</x:v>
      </x:c>
      <x:c r="N264" s="24" t="str">
        <x:v>Assets/_Project/Prefabs/Products/CloudRunnerCase.prefab</x:v>
      </x:c>
      <x:c r="O264" s="24" t="str">
        <x:v>a61666dd7120c6ca962105fa1a44ad89</x:v>
      </x:c>
      <x:c r="P264" s="24" t="str">
        <x:v>Sí</x:v>
      </x:c>
      <x:c r="Q264" s="24" t="str">
        <x:v>Condicionado a autoría/procedencia final</x:v>
      </x:c>
      <x:c r="R264" s="24" t="str">
        <x:v>Solo dentro del producto/build autorizado</x:v>
      </x:c>
      <x:c r="S264" s="24" t="str">
        <x:v>Crédito general del estudio; individual si aplica</x:v>
      </x:c>
      <x:c r="T264" s="24" t="str">
        <x:v>VRM Games / Blas Luis Rocha González</x:v>
      </x:c>
      <x:c r="U264" s="24" t="str">
        <x:v>CURRENT PROJECT ASSET</x:v>
      </x:c>
      <x:c r="V264" s="24" t="str">
        <x:v>CONDITIONALLY APPROVED</x:v>
      </x:c>
      <x:c r="W264" s="24" t="str">
        <x:v>Parcial</x:v>
      </x:c>
      <x:c r="X264" s="24" t="str">
        <x:v>Low</x:v>
      </x:c>
      <x:c r="Y264" s="24" t="str">
        <x:v>Internal development; public candidate requires gate</x:v>
      </x:c>
      <x:c r="Z264" s="24" t="str">
        <x:v>H6 legal/content audit</x:v>
      </x:c>
      <x:c r="AA264" s="24" t="str">
        <x:v>VRM Games</x:v>
      </x:c>
      <x:c r="AB264" s="24" t="str">
        <x:v>No se detectó proveedor externo en la ruta; confirmar autoría por lote antes de release público.</x:v>
      </x:c>
    </x:row>
    <x:row r="265" ht="34" customHeight="1">
      <x:c r="A265" s="24" t="str">
        <x:v>INT-0261</x:v>
      </x:c>
      <x:c r="B265" s="24" t="str">
        <x:v>5ede70c331046392f8d66c885ebe2a1e</x:v>
      </x:c>
      <x:c r="C265" s="24" t="str">
        <x:v>MemoryCoreAccessory.prefab</x:v>
      </x:c>
      <x:c r="D265" s="24" t="str">
        <x:v>Prefab</x:v>
      </x:c>
      <x:c r="E265" s="24" t="str">
        <x:v>Products</x:v>
      </x:c>
      <x:c r="F265" s="24" t="str">
        <x:v>VRM Games / Blas Luis Rocha González</x:v>
      </x:c>
      <x:c r="G265" s="24" t="str">
        <x:v>VRM Games / Blas Luis Rocha González</x:v>
      </x:c>
      <x:c r="H265" s="24" t="str">
        <x:v>Internal project production</x:v>
      </x:c>
      <x:c r="I265" s="24" t="str">
        <x:v>2026 project timeline</x:v>
      </x:c>
      <x:c r="J265" s="24" t="str">
        <x:v>Internal project IP / authorship claim</x:v>
      </x:c>
      <x:c r="K265" s="24" t="str">
        <x:v>N/A</x:v>
      </x:c>
      <x:c r="L265" s="24" t="str">
        <x:v>Source package + repository path + hash</x:v>
      </x:c>
      <x:c r="M265" s="24" t="str">
        <x:v>90541250401c3839df6810e39b2418d783e3225303a0423e9bd97fb22d9a022d</x:v>
      </x:c>
      <x:c r="N265" s="24" t="str">
        <x:v>Assets/_Project/Prefabs/Products/MemoryCoreAccessory.prefab</x:v>
      </x:c>
      <x:c r="O265" s="24" t="str">
        <x:v>5ede70c331046392f8d66c885ebe2a1e</x:v>
      </x:c>
      <x:c r="P265" s="24" t="str">
        <x:v>Sí</x:v>
      </x:c>
      <x:c r="Q265" s="24" t="str">
        <x:v>Condicionado a autoría/procedencia final</x:v>
      </x:c>
      <x:c r="R265" s="24" t="str">
        <x:v>Solo dentro del producto/build autorizado</x:v>
      </x:c>
      <x:c r="S265" s="24" t="str">
        <x:v>Crédito general del estudio; individual si aplica</x:v>
      </x:c>
      <x:c r="T265" s="24" t="str">
        <x:v>VRM Games / Blas Luis Rocha González</x:v>
      </x:c>
      <x:c r="U265" s="24" t="str">
        <x:v>CURRENT PROJECT ASSET</x:v>
      </x:c>
      <x:c r="V265" s="24" t="str">
        <x:v>CONDITIONALLY APPROVED</x:v>
      </x:c>
      <x:c r="W265" s="24" t="str">
        <x:v>Parcial</x:v>
      </x:c>
      <x:c r="X265" s="24" t="str">
        <x:v>Low</x:v>
      </x:c>
      <x:c r="Y265" s="24" t="str">
        <x:v>Internal development; public candidate requires gate</x:v>
      </x:c>
      <x:c r="Z265" s="24" t="str">
        <x:v>H6 legal/content audit</x:v>
      </x:c>
      <x:c r="AA265" s="24" t="str">
        <x:v>VRM Games</x:v>
      </x:c>
      <x:c r="AB265" s="24" t="str">
        <x:v>No se detectó proveedor externo en la ruta; confirmar autoría por lote antes de release público.</x:v>
      </x:c>
    </x:row>
    <x:row r="266" ht="34" customHeight="1">
      <x:c r="A266" s="24" t="str">
        <x:v>INT-0262</x:v>
      </x:c>
      <x:c r="B266" s="24" t="str">
        <x:v>5ff5d278aad9e48c26952b67e72c9405</x:v>
      </x:c>
      <x:c r="C266" s="24" t="str">
        <x:v>NeonDrift.prefab</x:v>
      </x:c>
      <x:c r="D266" s="24" t="str">
        <x:v>Prefab</x:v>
      </x:c>
      <x:c r="E266" s="24" t="str">
        <x:v>Products</x:v>
      </x:c>
      <x:c r="F266" s="24" t="str">
        <x:v>VRM Games / Blas Luis Rocha González</x:v>
      </x:c>
      <x:c r="G266" s="24" t="str">
        <x:v>VRM Games / Blas Luis Rocha González</x:v>
      </x:c>
      <x:c r="H266" s="24" t="str">
        <x:v>Internal project production</x:v>
      </x:c>
      <x:c r="I266" s="24" t="str">
        <x:v>2026 project timeline</x:v>
      </x:c>
      <x:c r="J266" s="24" t="str">
        <x:v>Internal project IP / authorship claim</x:v>
      </x:c>
      <x:c r="K266" s="24" t="str">
        <x:v>N/A</x:v>
      </x:c>
      <x:c r="L266" s="24" t="str">
        <x:v>Source package + repository path + hash</x:v>
      </x:c>
      <x:c r="M266" s="24" t="str">
        <x:v>1a479080c6c8f41d35bbfeda52c20022d2c868a966c9cab131efbe649b507fcc</x:v>
      </x:c>
      <x:c r="N266" s="24" t="str">
        <x:v>Assets/_Project/Prefabs/Products/NeonDrift.prefab</x:v>
      </x:c>
      <x:c r="O266" s="24" t="str">
        <x:v>5ff5d278aad9e48c26952b67e72c9405</x:v>
      </x:c>
      <x:c r="P266" s="24" t="str">
        <x:v>Sí</x:v>
      </x:c>
      <x:c r="Q266" s="24" t="str">
        <x:v>Condicionado a autoría/procedencia final</x:v>
      </x:c>
      <x:c r="R266" s="24" t="str">
        <x:v>Solo dentro del producto/build autorizado</x:v>
      </x:c>
      <x:c r="S266" s="24" t="str">
        <x:v>Crédito general del estudio; individual si aplica</x:v>
      </x:c>
      <x:c r="T266" s="24" t="str">
        <x:v>VRM Games / Blas Luis Rocha González</x:v>
      </x:c>
      <x:c r="U266" s="24" t="str">
        <x:v>CURRENT PROJECT ASSET</x:v>
      </x:c>
      <x:c r="V266" s="24" t="str">
        <x:v>CONDITIONALLY APPROVED</x:v>
      </x:c>
      <x:c r="W266" s="24" t="str">
        <x:v>Parcial</x:v>
      </x:c>
      <x:c r="X266" s="24" t="str">
        <x:v>Low</x:v>
      </x:c>
      <x:c r="Y266" s="24" t="str">
        <x:v>Internal development; public candidate requires gate</x:v>
      </x:c>
      <x:c r="Z266" s="24" t="str">
        <x:v>H6 legal/content audit</x:v>
      </x:c>
      <x:c r="AA266" s="24" t="str">
        <x:v>VRM Games</x:v>
      </x:c>
      <x:c r="AB266" s="24" t="str">
        <x:v>No se detectó proveedor externo en la ruta; confirmar autoría por lote antes de release público.</x:v>
      </x:c>
    </x:row>
    <x:row r="267" ht="34" customHeight="1">
      <x:c r="A267" s="24" t="str">
        <x:v>INT-0263</x:v>
      </x:c>
      <x:c r="B267" s="24" t="str">
        <x:v>284a9c89ea04890133aedc074bfb9780</x:v>
      </x:c>
      <x:c r="C267" s="24" t="str">
        <x:v>OrbitPadController.prefab</x:v>
      </x:c>
      <x:c r="D267" s="24" t="str">
        <x:v>Prefab</x:v>
      </x:c>
      <x:c r="E267" s="24" t="str">
        <x:v>Products</x:v>
      </x:c>
      <x:c r="F267" s="24" t="str">
        <x:v>VRM Games / Blas Luis Rocha González</x:v>
      </x:c>
      <x:c r="G267" s="24" t="str">
        <x:v>VRM Games / Blas Luis Rocha González</x:v>
      </x:c>
      <x:c r="H267" s="24" t="str">
        <x:v>Internal project production</x:v>
      </x:c>
      <x:c r="I267" s="24" t="str">
        <x:v>2026 project timeline</x:v>
      </x:c>
      <x:c r="J267" s="24" t="str">
        <x:v>Internal project IP / authorship claim</x:v>
      </x:c>
      <x:c r="K267" s="24" t="str">
        <x:v>N/A</x:v>
      </x:c>
      <x:c r="L267" s="24" t="str">
        <x:v>Source package + repository path + hash</x:v>
      </x:c>
      <x:c r="M267" s="24" t="str">
        <x:v>545b182643d460ef17abfe7a06cca25a68497ea1f5c09bd3c51a034b1862a239</x:v>
      </x:c>
      <x:c r="N267" s="24" t="str">
        <x:v>Assets/_Project/Prefabs/Products/OrbitPadController.prefab</x:v>
      </x:c>
      <x:c r="O267" s="24" t="str">
        <x:v>284a9c89ea04890133aedc074bfb9780</x:v>
      </x:c>
      <x:c r="P267" s="24" t="str">
        <x:v>Sí</x:v>
      </x:c>
      <x:c r="Q267" s="24" t="str">
        <x:v>Condicionado a autoría/procedencia final</x:v>
      </x:c>
      <x:c r="R267" s="24" t="str">
        <x:v>Solo dentro del producto/build autorizado</x:v>
      </x:c>
      <x:c r="S267" s="24" t="str">
        <x:v>Crédito general del estudio; individual si aplica</x:v>
      </x:c>
      <x:c r="T267" s="24" t="str">
        <x:v>VRM Games / Blas Luis Rocha González</x:v>
      </x:c>
      <x:c r="U267" s="24" t="str">
        <x:v>CURRENT PROJECT ASSET</x:v>
      </x:c>
      <x:c r="V267" s="24" t="str">
        <x:v>CONDITIONALLY APPROVED</x:v>
      </x:c>
      <x:c r="W267" s="24" t="str">
        <x:v>Parcial</x:v>
      </x:c>
      <x:c r="X267" s="24" t="str">
        <x:v>Low</x:v>
      </x:c>
      <x:c r="Y267" s="24" t="str">
        <x:v>Internal development; public candidate requires gate</x:v>
      </x:c>
      <x:c r="Z267" s="24" t="str">
        <x:v>H6 legal/content audit</x:v>
      </x:c>
      <x:c r="AA267" s="24" t="str">
        <x:v>VRM Games</x:v>
      </x:c>
      <x:c r="AB267" s="24" t="str">
        <x:v>No se detectó proveedor externo en la ruta; confirmar autoría por lote antes de release público.</x:v>
      </x:c>
    </x:row>
    <x:row r="268" ht="34" customHeight="1">
      <x:c r="A268" s="24" t="str">
        <x:v>INT-0264</x:v>
      </x:c>
      <x:c r="B268" s="24" t="str">
        <x:v>a811816a660cd244c8e7cdc35b3a6a29</x:v>
      </x:c>
      <x:c r="C268" s="24" t="str">
        <x:v>MemoryCoreBox.prefab</x:v>
      </x:c>
      <x:c r="D268" s="24" t="str">
        <x:v>Prefab</x:v>
      </x:c>
      <x:c r="E268" s="24" t="str">
        <x:v>Products</x:v>
      </x:c>
      <x:c r="F268" s="24" t="str">
        <x:v>VRM Games / Blas Luis Rocha González</x:v>
      </x:c>
      <x:c r="G268" s="24" t="str">
        <x:v>VRM Games / Blas Luis Rocha González</x:v>
      </x:c>
      <x:c r="H268" s="24" t="str">
        <x:v>Internal project production</x:v>
      </x:c>
      <x:c r="I268" s="24" t="str">
        <x:v>2026 project timeline</x:v>
      </x:c>
      <x:c r="J268" s="24" t="str">
        <x:v>Internal project IP / authorship claim</x:v>
      </x:c>
      <x:c r="K268" s="24" t="str">
        <x:v>N/A</x:v>
      </x:c>
      <x:c r="L268" s="24" t="str">
        <x:v>Source package + repository path + hash</x:v>
      </x:c>
      <x:c r="M268" s="24" t="str">
        <x:v>90d25a2a327cc6aa69544214bc9c2dd76163a43fae806e98115c7fbda818d76c</x:v>
      </x:c>
      <x:c r="N268" s="24" t="str">
        <x:v>Assets/_Project/Prefabs/Products/Packaging/MemoryCoreBox.prefab</x:v>
      </x:c>
      <x:c r="O268" s="24" t="str">
        <x:v>a811816a660cd244c8e7cdc35b3a6a29</x:v>
      </x:c>
      <x:c r="P268" s="24" t="str">
        <x:v>Sí</x:v>
      </x:c>
      <x:c r="Q268" s="24" t="str">
        <x:v>Condicionado a autoría/procedencia final</x:v>
      </x:c>
      <x:c r="R268" s="24" t="str">
        <x:v>Solo dentro del producto/build autorizado</x:v>
      </x:c>
      <x:c r="S268" s="24" t="str">
        <x:v>Crédito general del estudio; individual si aplica</x:v>
      </x:c>
      <x:c r="T268" s="24" t="str">
        <x:v>VRM Games / Blas Luis Rocha González</x:v>
      </x:c>
      <x:c r="U268" s="24" t="str">
        <x:v>CURRENT PROJECT ASSET</x:v>
      </x:c>
      <x:c r="V268" s="24" t="str">
        <x:v>CONDITIONALLY APPROVED</x:v>
      </x:c>
      <x:c r="W268" s="24" t="str">
        <x:v>Parcial</x:v>
      </x:c>
      <x:c r="X268" s="24" t="str">
        <x:v>Low</x:v>
      </x:c>
      <x:c r="Y268" s="24" t="str">
        <x:v>Internal development; public candidate requires gate</x:v>
      </x:c>
      <x:c r="Z268" s="24" t="str">
        <x:v>H6 legal/content audit</x:v>
      </x:c>
      <x:c r="AA268" s="24" t="str">
        <x:v>VRM Games</x:v>
      </x:c>
      <x:c r="AB268" s="24" t="str">
        <x:v>No se detectó proveedor externo en la ruta; confirmar autoría por lote antes de release público.</x:v>
      </x:c>
    </x:row>
    <x:row r="269" ht="34" customHeight="1">
      <x:c r="A269" s="24" t="str">
        <x:v>INT-0265</x:v>
      </x:c>
      <x:c r="B269" s="24" t="str">
        <x:v>deca8db8279a11b4c893b6e1db0b7d75</x:v>
      </x:c>
      <x:c r="C269" s="24" t="str">
        <x:v>OrbitPadBox.prefab</x:v>
      </x:c>
      <x:c r="D269" s="24" t="str">
        <x:v>Prefab</x:v>
      </x:c>
      <x:c r="E269" s="24" t="str">
        <x:v>Products</x:v>
      </x:c>
      <x:c r="F269" s="24" t="str">
        <x:v>VRM Games / Blas Luis Rocha González</x:v>
      </x:c>
      <x:c r="G269" s="24" t="str">
        <x:v>VRM Games / Blas Luis Rocha González</x:v>
      </x:c>
      <x:c r="H269" s="24" t="str">
        <x:v>Internal project production</x:v>
      </x:c>
      <x:c r="I269" s="24" t="str">
        <x:v>2026 project timeline</x:v>
      </x:c>
      <x:c r="J269" s="24" t="str">
        <x:v>Internal project IP / authorship claim</x:v>
      </x:c>
      <x:c r="K269" s="24" t="str">
        <x:v>N/A</x:v>
      </x:c>
      <x:c r="L269" s="24" t="str">
        <x:v>Source package + repository path + hash</x:v>
      </x:c>
      <x:c r="M269" s="24" t="str">
        <x:v>f7ae48ead9753bdabfc48b61e8bd01670b0257b32a11d58bc045401b30d086e9</x:v>
      </x:c>
      <x:c r="N269" s="24" t="str">
        <x:v>Assets/_Project/Prefabs/Products/Packaging/OrbitPadBox.prefab</x:v>
      </x:c>
      <x:c r="O269" s="24" t="str">
        <x:v>deca8db8279a11b4c893b6e1db0b7d75</x:v>
      </x:c>
      <x:c r="P269" s="24" t="str">
        <x:v>Sí</x:v>
      </x:c>
      <x:c r="Q269" s="24" t="str">
        <x:v>Condicionado a autoría/procedencia final</x:v>
      </x:c>
      <x:c r="R269" s="24" t="str">
        <x:v>Solo dentro del producto/build autorizado</x:v>
      </x:c>
      <x:c r="S269" s="24" t="str">
        <x:v>Crédito general del estudio; individual si aplica</x:v>
      </x:c>
      <x:c r="T269" s="24" t="str">
        <x:v>VRM Games / Blas Luis Rocha González</x:v>
      </x:c>
      <x:c r="U269" s="24" t="str">
        <x:v>CURRENT PROJECT ASSET</x:v>
      </x:c>
      <x:c r="V269" s="24" t="str">
        <x:v>CONDITIONALLY APPROVED</x:v>
      </x:c>
      <x:c r="W269" s="24" t="str">
        <x:v>Parcial</x:v>
      </x:c>
      <x:c r="X269" s="24" t="str">
        <x:v>Low</x:v>
      </x:c>
      <x:c r="Y269" s="24" t="str">
        <x:v>Internal development; public candidate requires gate</x:v>
      </x:c>
      <x:c r="Z269" s="24" t="str">
        <x:v>H6 legal/content audit</x:v>
      </x:c>
      <x:c r="AA269" s="24" t="str">
        <x:v>VRM Games</x:v>
      </x:c>
      <x:c r="AB269" s="24" t="str">
        <x:v>No se detectó proveedor externo en la ruta; confirmar autoría por lote antes de release público.</x:v>
      </x:c>
    </x:row>
    <x:row r="270" ht="34" customHeight="1">
      <x:c r="A270" s="24" t="str">
        <x:v>INT-0266</x:v>
      </x:c>
      <x:c r="B270" s="24" t="str">
        <x:v>9cbf9396578b87a4083154ce4c5c83b4</x:v>
      </x:c>
      <x:c r="C270" s="24" t="str">
        <x:v>SignalProBox.prefab</x:v>
      </x:c>
      <x:c r="D270" s="24" t="str">
        <x:v>Prefab</x:v>
      </x:c>
      <x:c r="E270" s="24" t="str">
        <x:v>Products</x:v>
      </x:c>
      <x:c r="F270" s="24" t="str">
        <x:v>VRM Games / Blas Luis Rocha González</x:v>
      </x:c>
      <x:c r="G270" s="24" t="str">
        <x:v>VRM Games / Blas Luis Rocha González</x:v>
      </x:c>
      <x:c r="H270" s="24" t="str">
        <x:v>Internal project production</x:v>
      </x:c>
      <x:c r="I270" s="24" t="str">
        <x:v>2026 project timeline</x:v>
      </x:c>
      <x:c r="J270" s="24" t="str">
        <x:v>Internal project IP / authorship claim</x:v>
      </x:c>
      <x:c r="K270" s="24" t="str">
        <x:v>N/A</x:v>
      </x:c>
      <x:c r="L270" s="24" t="str">
        <x:v>Source package + repository path + hash</x:v>
      </x:c>
      <x:c r="M270" s="24" t="str">
        <x:v>f4d882c66a94d77a6d86321fef7c6ca121bf493eae01da48cf25479afb2daee5</x:v>
      </x:c>
      <x:c r="N270" s="24" t="str">
        <x:v>Assets/_Project/Prefabs/Products/Packaging/SignalProBox.prefab</x:v>
      </x:c>
      <x:c r="O270" s="24" t="str">
        <x:v>9cbf9396578b87a4083154ce4c5c83b4</x:v>
      </x:c>
      <x:c r="P270" s="24" t="str">
        <x:v>Sí</x:v>
      </x:c>
      <x:c r="Q270" s="24" t="str">
        <x:v>Condicionado a autoría/procedencia final</x:v>
      </x:c>
      <x:c r="R270" s="24" t="str">
        <x:v>Solo dentro del producto/build autorizado</x:v>
      </x:c>
      <x:c r="S270" s="24" t="str">
        <x:v>Crédito general del estudio; individual si aplica</x:v>
      </x:c>
      <x:c r="T270" s="24" t="str">
        <x:v>VRM Games / Blas Luis Rocha González</x:v>
      </x:c>
      <x:c r="U270" s="24" t="str">
        <x:v>CURRENT PROJECT ASSET</x:v>
      </x:c>
      <x:c r="V270" s="24" t="str">
        <x:v>CONDITIONALLY APPROVED</x:v>
      </x:c>
      <x:c r="W270" s="24" t="str">
        <x:v>Parcial</x:v>
      </x:c>
      <x:c r="X270" s="24" t="str">
        <x:v>Low</x:v>
      </x:c>
      <x:c r="Y270" s="24" t="str">
        <x:v>Internal development; public candidate requires gate</x:v>
      </x:c>
      <x:c r="Z270" s="24" t="str">
        <x:v>H6 legal/content audit</x:v>
      </x:c>
      <x:c r="AA270" s="24" t="str">
        <x:v>VRM Games</x:v>
      </x:c>
      <x:c r="AB270" s="24" t="str">
        <x:v>No se detectó proveedor externo en la ruta; confirmar autoría por lote antes de release público.</x:v>
      </x:c>
    </x:row>
    <x:row r="271" ht="34" customHeight="1">
      <x:c r="A271" s="24" t="str">
        <x:v>INT-0267</x:v>
      </x:c>
      <x:c r="B271" s="24" t="str">
        <x:v>0be192659d3ef1d4cb8748114dfd2307</x:v>
      </x:c>
      <x:c r="C271" s="24" t="str">
        <x:v>VertexOneBox.prefab</x:v>
      </x:c>
      <x:c r="D271" s="24" t="str">
        <x:v>Prefab</x:v>
      </x:c>
      <x:c r="E271" s="24" t="str">
        <x:v>Products</x:v>
      </x:c>
      <x:c r="F271" s="24" t="str">
        <x:v>VRM Games / Blas Luis Rocha González</x:v>
      </x:c>
      <x:c r="G271" s="24" t="str">
        <x:v>VRM Games / Blas Luis Rocha González</x:v>
      </x:c>
      <x:c r="H271" s="24" t="str">
        <x:v>Internal project production</x:v>
      </x:c>
      <x:c r="I271" s="24" t="str">
        <x:v>2026 project timeline</x:v>
      </x:c>
      <x:c r="J271" s="24" t="str">
        <x:v>Internal project IP / authorship claim</x:v>
      </x:c>
      <x:c r="K271" s="24" t="str">
        <x:v>N/A</x:v>
      </x:c>
      <x:c r="L271" s="24" t="str">
        <x:v>Source package + repository path + hash</x:v>
      </x:c>
      <x:c r="M271" s="24" t="str">
        <x:v>fe9281509125834eb3289c913f303f2fa78bc9fef79de02a255727044ec4c346</x:v>
      </x:c>
      <x:c r="N271" s="24" t="str">
        <x:v>Assets/_Project/Prefabs/Products/Packaging/VertexOneBox.prefab</x:v>
      </x:c>
      <x:c r="O271" s="24" t="str">
        <x:v>0be192659d3ef1d4cb8748114dfd2307</x:v>
      </x:c>
      <x:c r="P271" s="24" t="str">
        <x:v>Sí</x:v>
      </x:c>
      <x:c r="Q271" s="24" t="str">
        <x:v>Condicionado a autoría/procedencia final</x:v>
      </x:c>
      <x:c r="R271" s="24" t="str">
        <x:v>Solo dentro del producto/build autorizado</x:v>
      </x:c>
      <x:c r="S271" s="24" t="str">
        <x:v>Crédito general del estudio; individual si aplica</x:v>
      </x:c>
      <x:c r="T271" s="24" t="str">
        <x:v>VRM Games / Blas Luis Rocha González</x:v>
      </x:c>
      <x:c r="U271" s="24" t="str">
        <x:v>CURRENT PROJECT ASSET</x:v>
      </x:c>
      <x:c r="V271" s="24" t="str">
        <x:v>CONDITIONALLY APPROVED</x:v>
      </x:c>
      <x:c r="W271" s="24" t="str">
        <x:v>Parcial</x:v>
      </x:c>
      <x:c r="X271" s="24" t="str">
        <x:v>Low</x:v>
      </x:c>
      <x:c r="Y271" s="24" t="str">
        <x:v>Internal development; public candidate requires gate</x:v>
      </x:c>
      <x:c r="Z271" s="24" t="str">
        <x:v>H6 legal/content audit</x:v>
      </x:c>
      <x:c r="AA271" s="24" t="str">
        <x:v>VRM Games</x:v>
      </x:c>
      <x:c r="AB271" s="24" t="str">
        <x:v>No se detectó proveedor externo en la ruta; confirmar autoría por lote antes de release público.</x:v>
      </x:c>
    </x:row>
    <x:row r="272" ht="34" customHeight="1">
      <x:c r="A272" s="24" t="str">
        <x:v>INT-0268</x:v>
      </x:c>
      <x:c r="B272" s="24" t="str">
        <x:v>2ef0238a34274b9d294281346ee99c23</x:v>
      </x:c>
      <x:c r="C272" s="24" t="str">
        <x:v>SignalProHeadset.prefab</x:v>
      </x:c>
      <x:c r="D272" s="24" t="str">
        <x:v>Prefab</x:v>
      </x:c>
      <x:c r="E272" s="24" t="str">
        <x:v>Products</x:v>
      </x:c>
      <x:c r="F272" s="24" t="str">
        <x:v>VRM Games / Blas Luis Rocha González</x:v>
      </x:c>
      <x:c r="G272" s="24" t="str">
        <x:v>VRM Games / Blas Luis Rocha González</x:v>
      </x:c>
      <x:c r="H272" s="24" t="str">
        <x:v>Internal project production</x:v>
      </x:c>
      <x:c r="I272" s="24" t="str">
        <x:v>2026 project timeline</x:v>
      </x:c>
      <x:c r="J272" s="24" t="str">
        <x:v>Internal project IP / authorship claim</x:v>
      </x:c>
      <x:c r="K272" s="24" t="str">
        <x:v>N/A</x:v>
      </x:c>
      <x:c r="L272" s="24" t="str">
        <x:v>Source package + repository path + hash</x:v>
      </x:c>
      <x:c r="M272" s="24" t="str">
        <x:v>b2901e97048d2f817c5858aed1fc2abc5e71003e4795cfd463f0df0ccaf3dfcd</x:v>
      </x:c>
      <x:c r="N272" s="24" t="str">
        <x:v>Assets/_Project/Prefabs/Products/SignalProHeadset.prefab</x:v>
      </x:c>
      <x:c r="O272" s="24" t="str">
        <x:v>2ef0238a34274b9d294281346ee99c23</x:v>
      </x:c>
      <x:c r="P272" s="24" t="str">
        <x:v>Sí</x:v>
      </x:c>
      <x:c r="Q272" s="24" t="str">
        <x:v>Condicionado a autoría/procedencia final</x:v>
      </x:c>
      <x:c r="R272" s="24" t="str">
        <x:v>Solo dentro del producto/build autorizado</x:v>
      </x:c>
      <x:c r="S272" s="24" t="str">
        <x:v>Crédito general del estudio; individual si aplica</x:v>
      </x:c>
      <x:c r="T272" s="24" t="str">
        <x:v>VRM Games / Blas Luis Rocha González</x:v>
      </x:c>
      <x:c r="U272" s="24" t="str">
        <x:v>CURRENT PROJECT ASSET</x:v>
      </x:c>
      <x:c r="V272" s="24" t="str">
        <x:v>CONDITIONALLY APPROVED</x:v>
      </x:c>
      <x:c r="W272" s="24" t="str">
        <x:v>Parcial</x:v>
      </x:c>
      <x:c r="X272" s="24" t="str">
        <x:v>Low</x:v>
      </x:c>
      <x:c r="Y272" s="24" t="str">
        <x:v>Internal development; public candidate requires gate</x:v>
      </x:c>
      <x:c r="Z272" s="24" t="str">
        <x:v>H6 legal/content audit</x:v>
      </x:c>
      <x:c r="AA272" s="24" t="str">
        <x:v>VRM Games</x:v>
      </x:c>
      <x:c r="AB272" s="24" t="str">
        <x:v>No se detectó proveedor externo en la ruta; confirmar autoría por lote antes de release público.</x:v>
      </x:c>
    </x:row>
    <x:row r="273" ht="34" customHeight="1">
      <x:c r="A273" s="24" t="str">
        <x:v>INT-0269</x:v>
      </x:c>
      <x:c r="B273" s="24" t="str">
        <x:v>a13d977b9b4144699385c65def0e446a</x:v>
      </x:c>
      <x:c r="C273" s="24" t="str">
        <x:v>VertexOneConsole.prefab</x:v>
      </x:c>
      <x:c r="D273" s="24" t="str">
        <x:v>Prefab</x:v>
      </x:c>
      <x:c r="E273" s="24" t="str">
        <x:v>Products</x:v>
      </x:c>
      <x:c r="F273" s="24" t="str">
        <x:v>VRM Games / Blas Luis Rocha González</x:v>
      </x:c>
      <x:c r="G273" s="24" t="str">
        <x:v>VRM Games / Blas Luis Rocha González</x:v>
      </x:c>
      <x:c r="H273" s="24" t="str">
        <x:v>Internal project production</x:v>
      </x:c>
      <x:c r="I273" s="24" t="str">
        <x:v>2026 project timeline</x:v>
      </x:c>
      <x:c r="J273" s="24" t="str">
        <x:v>Internal project IP / authorship claim</x:v>
      </x:c>
      <x:c r="K273" s="24" t="str">
        <x:v>N/A</x:v>
      </x:c>
      <x:c r="L273" s="24" t="str">
        <x:v>Source package + repository path + hash</x:v>
      </x:c>
      <x:c r="M273" s="24" t="str">
        <x:v>614e3b763433ec0ce73f052539547c12d99399c0d0ec8181783ac47d919793ac</x:v>
      </x:c>
      <x:c r="N273" s="24" t="str">
        <x:v>Assets/_Project/Prefabs/Products/VertexOneConsole.prefab</x:v>
      </x:c>
      <x:c r="O273" s="24" t="str">
        <x:v>a13d977b9b4144699385c65def0e446a</x:v>
      </x:c>
      <x:c r="P273" s="24" t="str">
        <x:v>Sí</x:v>
      </x:c>
      <x:c r="Q273" s="24" t="str">
        <x:v>Condicionado a autoría/procedencia final</x:v>
      </x:c>
      <x:c r="R273" s="24" t="str">
        <x:v>Solo dentro del producto/build autorizado</x:v>
      </x:c>
      <x:c r="S273" s="24" t="str">
        <x:v>Crédito general del estudio; individual si aplica</x:v>
      </x:c>
      <x:c r="T273" s="24" t="str">
        <x:v>VRM Games / Blas Luis Rocha González</x:v>
      </x:c>
      <x:c r="U273" s="24" t="str">
        <x:v>CURRENT PROJECT ASSET</x:v>
      </x:c>
      <x:c r="V273" s="24" t="str">
        <x:v>CONDITIONALLY APPROVED</x:v>
      </x:c>
      <x:c r="W273" s="24" t="str">
        <x:v>Parcial</x:v>
      </x:c>
      <x:c r="X273" s="24" t="str">
        <x:v>Low</x:v>
      </x:c>
      <x:c r="Y273" s="24" t="str">
        <x:v>Internal development; public candidate requires gate</x:v>
      </x:c>
      <x:c r="Z273" s="24" t="str">
        <x:v>H6 legal/content audit</x:v>
      </x:c>
      <x:c r="AA273" s="24" t="str">
        <x:v>VRM Games</x:v>
      </x:c>
      <x:c r="AB273" s="24" t="str">
        <x:v>No se detectó proveedor externo en la ruta; confirmar autoría por lote antes de release público.</x:v>
      </x:c>
    </x:row>
    <x:row r="274" ht="34" customHeight="1">
      <x:c r="A274" s="24" t="str">
        <x:v>INT-0270</x:v>
      </x:c>
      <x:c r="B274" s="24" t="str">
        <x:v>ada1e52ac6e09b9468e2109ccc7cbfc0</x:v>
      </x:c>
      <x:c r="C274" s="24" t="str">
        <x:v>Bootstrap.unity</x:v>
      </x:c>
      <x:c r="D274" s="24" t="str">
        <x:v>Scene</x:v>
      </x:c>
      <x:c r="E274" s="24" t="str">
        <x:v>Bootstrap.unity</x:v>
      </x:c>
      <x:c r="F274" s="24" t="str">
        <x:v>VRM Games / Blas Luis Rocha González</x:v>
      </x:c>
      <x:c r="G274" s="24" t="str">
        <x:v>VRM Games / Blas Luis Rocha González</x:v>
      </x:c>
      <x:c r="H274" s="24" t="str">
        <x:v>Internal project production</x:v>
      </x:c>
      <x:c r="I274" s="24" t="str">
        <x:v>2026 project timeline</x:v>
      </x:c>
      <x:c r="J274" s="24" t="str">
        <x:v>Internal project IP / authorship claim</x:v>
      </x:c>
      <x:c r="K274" s="24" t="str">
        <x:v>N/A</x:v>
      </x:c>
      <x:c r="L274" s="24" t="str">
        <x:v>Source package + repository path + hash</x:v>
      </x:c>
      <x:c r="M274" s="24" t="str">
        <x:v>aa0843d2a39cccfa6b60d5e91b8c30657ce5fb2e2c0c1fd2333b3fdf74f35923</x:v>
      </x:c>
      <x:c r="N274" s="24" t="str">
        <x:v>Assets/_Project/Scenes/Bootstrap.unity</x:v>
      </x:c>
      <x:c r="O274" s="24" t="str">
        <x:v>ada1e52ac6e09b9468e2109ccc7cbfc0</x:v>
      </x:c>
      <x:c r="P274" s="24" t="str">
        <x:v>Sí</x:v>
      </x:c>
      <x:c r="Q274" s="24" t="str">
        <x:v>Condicionado a autoría/procedencia final</x:v>
      </x:c>
      <x:c r="R274" s="24" t="str">
        <x:v>Solo dentro del producto/build autorizado</x:v>
      </x:c>
      <x:c r="S274" s="24" t="str">
        <x:v>Crédito general del estudio; individual si aplica</x:v>
      </x:c>
      <x:c r="T274" s="24" t="str">
        <x:v>VRM Games / Blas Luis Rocha González</x:v>
      </x:c>
      <x:c r="U274" s="24" t="str">
        <x:v>CURRENT PROJECT ASSET</x:v>
      </x:c>
      <x:c r="V274" s="24" t="str">
        <x:v>CONDITIONALLY APPROVED</x:v>
      </x:c>
      <x:c r="W274" s="24" t="str">
        <x:v>Sí</x:v>
      </x:c>
      <x:c r="X274" s="24" t="str">
        <x:v>Low</x:v>
      </x:c>
      <x:c r="Y274" s="24" t="str">
        <x:v>Internal development; public candidate requires gate</x:v>
      </x:c>
      <x:c r="Z274" s="24" t="str">
        <x:v>H6 legal/content audit</x:v>
      </x:c>
      <x:c r="AA274" s="24" t="str">
        <x:v>VRM Games</x:v>
      </x:c>
      <x:c r="AB274" s="24" t="str">
        <x:v>No se detectó proveedor externo en la ruta; confirmar autoría por lote antes de release público.</x:v>
      </x:c>
    </x:row>
    <x:row r="275" ht="34" customHeight="1">
      <x:c r="A275" s="24" t="str">
        <x:v>INT-0271</x:v>
      </x:c>
      <x:c r="B275" s="24" t="str">
        <x:v>b00786c6952a55d418cf16503030c766</x:v>
      </x:c>
      <x:c r="C275" s="24" t="str">
        <x:v>MainMenu.unity</x:v>
      </x:c>
      <x:c r="D275" s="24" t="str">
        <x:v>Scene</x:v>
      </x:c>
      <x:c r="E275" s="24" t="str">
        <x:v>MainMenu.unity</x:v>
      </x:c>
      <x:c r="F275" s="24" t="str">
        <x:v>VRM Games / Blas Luis Rocha González</x:v>
      </x:c>
      <x:c r="G275" s="24" t="str">
        <x:v>VRM Games / Blas Luis Rocha González</x:v>
      </x:c>
      <x:c r="H275" s="24" t="str">
        <x:v>Internal project production</x:v>
      </x:c>
      <x:c r="I275" s="24" t="str">
        <x:v>2026 project timeline</x:v>
      </x:c>
      <x:c r="J275" s="24" t="str">
        <x:v>Internal project IP / authorship claim</x:v>
      </x:c>
      <x:c r="K275" s="24" t="str">
        <x:v>N/A</x:v>
      </x:c>
      <x:c r="L275" s="24" t="str">
        <x:v>Source package + repository path + hash</x:v>
      </x:c>
      <x:c r="M275" s="24" t="str">
        <x:v>59880edaca6e2aa67f191ddbe65fd06c0d6d63a05db8b00c625212db10a8dfdb</x:v>
      </x:c>
      <x:c r="N275" s="24" t="str">
        <x:v>Assets/_Project/Scenes/MainMenu.unity</x:v>
      </x:c>
      <x:c r="O275" s="24" t="str">
        <x:v>b00786c6952a55d418cf16503030c766</x:v>
      </x:c>
      <x:c r="P275" s="24" t="str">
        <x:v>Sí</x:v>
      </x:c>
      <x:c r="Q275" s="24" t="str">
        <x:v>Condicionado a autoría/procedencia final</x:v>
      </x:c>
      <x:c r="R275" s="24" t="str">
        <x:v>Solo dentro del producto/build autorizado</x:v>
      </x:c>
      <x:c r="S275" s="24" t="str">
        <x:v>Crédito general del estudio; individual si aplica</x:v>
      </x:c>
      <x:c r="T275" s="24" t="str">
        <x:v>VRM Games / Blas Luis Rocha González</x:v>
      </x:c>
      <x:c r="U275" s="24" t="str">
        <x:v>CURRENT PROJECT ASSET</x:v>
      </x:c>
      <x:c r="V275" s="24" t="str">
        <x:v>CONDITIONALLY APPROVED</x:v>
      </x:c>
      <x:c r="W275" s="24" t="str">
        <x:v>Sí</x:v>
      </x:c>
      <x:c r="X275" s="24" t="str">
        <x:v>Low</x:v>
      </x:c>
      <x:c r="Y275" s="24" t="str">
        <x:v>Internal development; public candidate requires gate</x:v>
      </x:c>
      <x:c r="Z275" s="24" t="str">
        <x:v>H6 legal/content audit</x:v>
      </x:c>
      <x:c r="AA275" s="24" t="str">
        <x:v>VRM Games</x:v>
      </x:c>
      <x:c r="AB275" s="24" t="str">
        <x:v>No se detectó proveedor externo en la ruta; confirmar autoría por lote antes de release público.</x:v>
      </x:c>
    </x:row>
    <x:row r="276" ht="34" customHeight="1">
      <x:c r="A276" s="24" t="str">
        <x:v>INT-0272</x:v>
      </x:c>
      <x:c r="B276" s="24" t="str">
        <x:v>45adcce906944f74bad3a0fb7d62f8e5</x:v>
      </x:c>
      <x:c r="C276" s="24" t="str">
        <x:v>Store.unity</x:v>
      </x:c>
      <x:c r="D276" s="24" t="str">
        <x:v>Scene</x:v>
      </x:c>
      <x:c r="E276" s="24" t="str">
        <x:v>Store.unity</x:v>
      </x:c>
      <x:c r="F276" s="24" t="str">
        <x:v>VRM Games / Blas Luis Rocha González</x:v>
      </x:c>
      <x:c r="G276" s="24" t="str">
        <x:v>VRM Games / Blas Luis Rocha González</x:v>
      </x:c>
      <x:c r="H276" s="24" t="str">
        <x:v>Internal project production</x:v>
      </x:c>
      <x:c r="I276" s="24" t="str">
        <x:v>2026 project timeline</x:v>
      </x:c>
      <x:c r="J276" s="24" t="str">
        <x:v>Internal project IP / authorship claim</x:v>
      </x:c>
      <x:c r="K276" s="24" t="str">
        <x:v>N/A</x:v>
      </x:c>
      <x:c r="L276" s="24" t="str">
        <x:v>Source package + repository path + hash</x:v>
      </x:c>
      <x:c r="M276" s="24" t="str">
        <x:v>f8ceebcb55d1a97ca0a1205363d31f8641107e52968b9ab18aefe72d01e43a90</x:v>
      </x:c>
      <x:c r="N276" s="24" t="str">
        <x:v>Assets/_Project/Scenes/Store.unity</x:v>
      </x:c>
      <x:c r="O276" s="24" t="str">
        <x:v>45adcce906944f74bad3a0fb7d62f8e5</x:v>
      </x:c>
      <x:c r="P276" s="24" t="str">
        <x:v>Sí</x:v>
      </x:c>
      <x:c r="Q276" s="24" t="str">
        <x:v>Condicionado a autoría/procedencia final</x:v>
      </x:c>
      <x:c r="R276" s="24" t="str">
        <x:v>Solo dentro del producto/build autorizado</x:v>
      </x:c>
      <x:c r="S276" s="24" t="str">
        <x:v>Crédito general del estudio; individual si aplica</x:v>
      </x:c>
      <x:c r="T276" s="24" t="str">
        <x:v>VRM Games / Blas Luis Rocha González</x:v>
      </x:c>
      <x:c r="U276" s="24" t="str">
        <x:v>CURRENT PROJECT ASSET</x:v>
      </x:c>
      <x:c r="V276" s="24" t="str">
        <x:v>CONDITIONALLY APPROVED</x:v>
      </x:c>
      <x:c r="W276" s="24" t="str">
        <x:v>Sí</x:v>
      </x:c>
      <x:c r="X276" s="24" t="str">
        <x:v>Low</x:v>
      </x:c>
      <x:c r="Y276" s="24" t="str">
        <x:v>Internal development; public candidate requires gate</x:v>
      </x:c>
      <x:c r="Z276" s="24" t="str">
        <x:v>H6 legal/content audit</x:v>
      </x:c>
      <x:c r="AA276" s="24" t="str">
        <x:v>VRM Games</x:v>
      </x:c>
      <x:c r="AB276" s="24" t="str">
        <x:v>No se detectó proveedor externo en la ruta; confirmar autoría por lote antes de release público.</x:v>
      </x:c>
    </x:row>
    <x:row r="277" ht="34" customHeight="1">
      <x:c r="A277" s="24" t="str">
        <x:v>INT-0273</x:v>
      </x:c>
      <x:c r="B277" s="24" t="str">
        <x:v>32a95e5e16aaf15449a6f81392cf5dcf</x:v>
      </x:c>
      <x:c r="C277" s="24" t="str">
        <x:v>StoreInitial.unity</x:v>
      </x:c>
      <x:c r="D277" s="24" t="str">
        <x:v>Scene</x:v>
      </x:c>
      <x:c r="E277" s="24" t="str">
        <x:v>StoreInitial.unity</x:v>
      </x:c>
      <x:c r="F277" s="24" t="str">
        <x:v>VRM Games / Blas Luis Rocha González</x:v>
      </x:c>
      <x:c r="G277" s="24" t="str">
        <x:v>VRM Games / Blas Luis Rocha González</x:v>
      </x:c>
      <x:c r="H277" s="24" t="str">
        <x:v>Internal project production</x:v>
      </x:c>
      <x:c r="I277" s="24" t="str">
        <x:v>2026 project timeline</x:v>
      </x:c>
      <x:c r="J277" s="24" t="str">
        <x:v>Internal project IP / authorship claim</x:v>
      </x:c>
      <x:c r="K277" s="24" t="str">
        <x:v>N/A</x:v>
      </x:c>
      <x:c r="L277" s="24" t="str">
        <x:v>Source package + repository path + hash</x:v>
      </x:c>
      <x:c r="M277" s="24" t="str">
        <x:v>ca9689130ae8ad29a04af7145864451213a81d60c249c761ab10bd2401e4ea57</x:v>
      </x:c>
      <x:c r="N277" s="24" t="str">
        <x:v>Assets/_Project/Scenes/StoreInitial.unity</x:v>
      </x:c>
      <x:c r="O277" s="24" t="str">
        <x:v>32a95e5e16aaf15449a6f81392cf5dcf</x:v>
      </x:c>
      <x:c r="P277" s="24" t="str">
        <x:v>Sí</x:v>
      </x:c>
      <x:c r="Q277" s="24" t="str">
        <x:v>Condicionado a autoría/procedencia final</x:v>
      </x:c>
      <x:c r="R277" s="24" t="str">
        <x:v>Solo dentro del producto/build autorizado</x:v>
      </x:c>
      <x:c r="S277" s="24" t="str">
        <x:v>Crédito general del estudio; individual si aplica</x:v>
      </x:c>
      <x:c r="T277" s="24" t="str">
        <x:v>VRM Games / Blas Luis Rocha González</x:v>
      </x:c>
      <x:c r="U277" s="24" t="str">
        <x:v>CURRENT PROJECT ASSET</x:v>
      </x:c>
      <x:c r="V277" s="24" t="str">
        <x:v>CONDITIONALLY APPROVED</x:v>
      </x:c>
      <x:c r="W277" s="24" t="str">
        <x:v>Sí</x:v>
      </x:c>
      <x:c r="X277" s="24" t="str">
        <x:v>Low</x:v>
      </x:c>
      <x:c r="Y277" s="24" t="str">
        <x:v>Internal development; public candidate requires gate</x:v>
      </x:c>
      <x:c r="Z277" s="24" t="str">
        <x:v>H6 legal/content audit</x:v>
      </x:c>
      <x:c r="AA277" s="24" t="str">
        <x:v>VRM Games</x:v>
      </x:c>
      <x:c r="AB277" s="24" t="str">
        <x:v>No se detectó proveedor externo en la ruta; confirmar autoría por lote antes de release público.</x:v>
      </x:c>
    </x:row>
    <x:row r="278" ht="34" customHeight="1">
      <x:c r="A278" s="24" t="str">
        <x:v>INT-0274</x:v>
      </x:c>
      <x:c r="B278" s="24" t="str">
        <x:v>002b2ad62af3c614b91e32722c9452be</x:v>
      </x:c>
      <x:c r="C278" s="24" t="str">
        <x:v>TestLab.unity</x:v>
      </x:c>
      <x:c r="D278" s="24" t="str">
        <x:v>Scene</x:v>
      </x:c>
      <x:c r="E278" s="24" t="str">
        <x:v>TestLab.unity</x:v>
      </x:c>
      <x:c r="F278" s="24" t="str">
        <x:v>VRM Games / Blas Luis Rocha González</x:v>
      </x:c>
      <x:c r="G278" s="24" t="str">
        <x:v>VRM Games / Blas Luis Rocha González</x:v>
      </x:c>
      <x:c r="H278" s="24" t="str">
        <x:v>Internal project production</x:v>
      </x:c>
      <x:c r="I278" s="24" t="str">
        <x:v>2026 project timeline</x:v>
      </x:c>
      <x:c r="J278" s="24" t="str">
        <x:v>Internal project IP / authorship claim</x:v>
      </x:c>
      <x:c r="K278" s="24" t="str">
        <x:v>N/A</x:v>
      </x:c>
      <x:c r="L278" s="24" t="str">
        <x:v>Source package + repository path + hash</x:v>
      </x:c>
      <x:c r="M278" s="24" t="str">
        <x:v>b390fbb375d5f9fb97563afb01fc3e6c0e612b4463411fb6060ac63293c4332a</x:v>
      </x:c>
      <x:c r="N278" s="24" t="str">
        <x:v>Assets/_Project/Scenes/TestLab.unity</x:v>
      </x:c>
      <x:c r="O278" s="24" t="str">
        <x:v>002b2ad62af3c614b91e32722c9452be</x:v>
      </x:c>
      <x:c r="P278" s="24" t="str">
        <x:v>Sí</x:v>
      </x:c>
      <x:c r="Q278" s="24" t="str">
        <x:v>Condicionado a autoría/procedencia final</x:v>
      </x:c>
      <x:c r="R278" s="24" t="str">
        <x:v>Solo dentro del producto/build autorizado</x:v>
      </x:c>
      <x:c r="S278" s="24" t="str">
        <x:v>Crédito general del estudio; individual si aplica</x:v>
      </x:c>
      <x:c r="T278" s="24" t="str">
        <x:v>VRM Games / Blas Luis Rocha González</x:v>
      </x:c>
      <x:c r="U278" s="24" t="str">
        <x:v>CURRENT PROJECT ASSET</x:v>
      </x:c>
      <x:c r="V278" s="24" t="str">
        <x:v>CONDITIONALLY APPROVED</x:v>
      </x:c>
      <x:c r="W278" s="24" t="str">
        <x:v>Sí</x:v>
      </x:c>
      <x:c r="X278" s="24" t="str">
        <x:v>Low</x:v>
      </x:c>
      <x:c r="Y278" s="24" t="str">
        <x:v>Internal development; public candidate requires gate</x:v>
      </x:c>
      <x:c r="Z278" s="24" t="str">
        <x:v>H6 legal/content audit</x:v>
      </x:c>
      <x:c r="AA278" s="24" t="str">
        <x:v>VRM Games</x:v>
      </x:c>
      <x:c r="AB278" s="24" t="str">
        <x:v>No se detectó proveedor externo en la ruta; confirmar autoría por lote antes de release público.</x:v>
      </x:c>
    </x:row>
    <x:row r="279" ht="34" customHeight="1">
      <x:c r="A279" s="24" t="str">
        <x:v>INT-0275</x:v>
      </x:c>
      <x:c r="B279" s="24" t="str">
        <x:v>37d42ced75c74ad48faa6deb812224e3</x:v>
      </x:c>
      <x:c r="C279" s="24" t="str">
        <x:v>AccessValidationFailureReason.cs</x:v>
      </x:c>
      <x:c r="D279" s="24" t="str">
        <x:v>Code</x:v>
      </x:c>
      <x:c r="E279" s="24" t="str">
        <x:v>Application</x:v>
      </x:c>
      <x:c r="F279" s="24" t="str">
        <x:v>VRM Games / Blas Luis Rocha González</x:v>
      </x:c>
      <x:c r="G279" s="24" t="str">
        <x:v>VRM Games / Blas Luis Rocha González</x:v>
      </x:c>
      <x:c r="H279" s="24" t="str">
        <x:v>Internal project production</x:v>
      </x:c>
      <x:c r="I279" s="24" t="str">
        <x:v>2026 project timeline</x:v>
      </x:c>
      <x:c r="J279" s="24" t="str">
        <x:v>Internal project IP / authorship claim</x:v>
      </x:c>
      <x:c r="K279" s="24" t="str">
        <x:v>N/A</x:v>
      </x:c>
      <x:c r="L279" s="24" t="str">
        <x:v>Source package + repository path + hash</x:v>
      </x:c>
      <x:c r="M279" s="24" t="str">
        <x:v>164c39549d08987e45c0829f4f8594f34665cd157da5f3c97bd1c4bf2c26c8c4</x:v>
      </x:c>
      <x:c r="N279" s="24" t="str">
        <x:v>Assets/_Project/Scripts/Application/Access/AccessValidationFailureReason.cs</x:v>
      </x:c>
      <x:c r="O279" s="24" t="str">
        <x:v>37d42ced75c74ad48faa6deb812224e3</x:v>
      </x:c>
      <x:c r="P279" s="24" t="str">
        <x:v>Sí</x:v>
      </x:c>
      <x:c r="Q279" s="24" t="str">
        <x:v>Condicionado a autoría/procedencia final</x:v>
      </x:c>
      <x:c r="R279" s="24" t="str">
        <x:v>Solo dentro del producto/build autorizado</x:v>
      </x:c>
      <x:c r="S279" s="24" t="str">
        <x:v>Crédito general del estudio; individual si aplica</x:v>
      </x:c>
      <x:c r="T279" s="24" t="str">
        <x:v>VRM Games / Blas Luis Rocha González</x:v>
      </x:c>
      <x:c r="U279" s="24" t="str">
        <x:v>CURRENT PROJECT ASSET</x:v>
      </x:c>
      <x:c r="V279" s="24" t="str">
        <x:v>CONDITIONALLY APPROVED</x:v>
      </x:c>
      <x:c r="W279" s="24" t="str">
        <x:v>Sí</x:v>
      </x:c>
      <x:c r="X279" s="24" t="str">
        <x:v>Low</x:v>
      </x:c>
      <x:c r="Y279" s="24" t="str">
        <x:v>Internal development; public candidate requires gate</x:v>
      </x:c>
      <x:c r="Z279" s="24" t="str">
        <x:v>H6 legal/content audit</x:v>
      </x:c>
      <x:c r="AA279" s="24" t="str">
        <x:v>VRM Games</x:v>
      </x:c>
      <x:c r="AB279" s="24" t="str">
        <x:v>No se detectó proveedor externo en la ruta; confirmar autoría por lote antes de release público.</x:v>
      </x:c>
    </x:row>
    <x:row r="280" ht="34" customHeight="1">
      <x:c r="A280" s="24" t="str">
        <x:v>INT-0276</x:v>
      </x:c>
      <x:c r="B280" s="24" t="str">
        <x:v>fb5c1d08e7554135adaf11f069f272c0</x:v>
      </x:c>
      <x:c r="C280" s="24" t="str">
        <x:v>AccessValidationResult.cs</x:v>
      </x:c>
      <x:c r="D280" s="24" t="str">
        <x:v>Code</x:v>
      </x:c>
      <x:c r="E280" s="24" t="str">
        <x:v>Application</x:v>
      </x:c>
      <x:c r="F280" s="24" t="str">
        <x:v>VRM Games / Blas Luis Rocha González</x:v>
      </x:c>
      <x:c r="G280" s="24" t="str">
        <x:v>VRM Games / Blas Luis Rocha González</x:v>
      </x:c>
      <x:c r="H280" s="24" t="str">
        <x:v>Internal project production</x:v>
      </x:c>
      <x:c r="I280" s="24" t="str">
        <x:v>2026 project timeline</x:v>
      </x:c>
      <x:c r="J280" s="24" t="str">
        <x:v>Internal project IP / authorship claim</x:v>
      </x:c>
      <x:c r="K280" s="24" t="str">
        <x:v>N/A</x:v>
      </x:c>
      <x:c r="L280" s="24" t="str">
        <x:v>Source package + repository path + hash</x:v>
      </x:c>
      <x:c r="M280" s="24" t="str">
        <x:v>2616fa8d8908f8deec3a88a40ee6b03d3e28ff0f6505568d771f6b492121664a</x:v>
      </x:c>
      <x:c r="N280" s="24" t="str">
        <x:v>Assets/_Project/Scripts/Application/Access/AccessValidationResult.cs</x:v>
      </x:c>
      <x:c r="O280" s="24" t="str">
        <x:v>fb5c1d08e7554135adaf11f069f272c0</x:v>
      </x:c>
      <x:c r="P280" s="24" t="str">
        <x:v>Sí</x:v>
      </x:c>
      <x:c r="Q280" s="24" t="str">
        <x:v>Condicionado a autoría/procedencia final</x:v>
      </x:c>
      <x:c r="R280" s="24" t="str">
        <x:v>Solo dentro del producto/build autorizado</x:v>
      </x:c>
      <x:c r="S280" s="24" t="str">
        <x:v>Crédito general del estudio; individual si aplica</x:v>
      </x:c>
      <x:c r="T280" s="24" t="str">
        <x:v>VRM Games / Blas Luis Rocha González</x:v>
      </x:c>
      <x:c r="U280" s="24" t="str">
        <x:v>CURRENT PROJECT ASSET</x:v>
      </x:c>
      <x:c r="V280" s="24" t="str">
        <x:v>CONDITIONALLY APPROVED</x:v>
      </x:c>
      <x:c r="W280" s="24" t="str">
        <x:v>Sí</x:v>
      </x:c>
      <x:c r="X280" s="24" t="str">
        <x:v>Low</x:v>
      </x:c>
      <x:c r="Y280" s="24" t="str">
        <x:v>Internal development; public candidate requires gate</x:v>
      </x:c>
      <x:c r="Z280" s="24" t="str">
        <x:v>H6 legal/content audit</x:v>
      </x:c>
      <x:c r="AA280" s="24" t="str">
        <x:v>VRM Games</x:v>
      </x:c>
      <x:c r="AB280" s="24" t="str">
        <x:v>No se detectó proveedor externo en la ruta; confirmar autoría por lote antes de release público.</x:v>
      </x:c>
    </x:row>
    <x:row r="281" ht="34" customHeight="1">
      <x:c r="A281" s="24" t="str">
        <x:v>INT-0277</x:v>
      </x:c>
      <x:c r="B281" s="24" t="str">
        <x:v>eab4d4fd008344ffa4409b8401694be5</x:v>
      </x:c>
      <x:c r="C281" s="24" t="str">
        <x:v>GridAccessValidator.cs</x:v>
      </x:c>
      <x:c r="D281" s="24" t="str">
        <x:v>Code</x:v>
      </x:c>
      <x:c r="E281" s="24" t="str">
        <x:v>Application</x:v>
      </x:c>
      <x:c r="F281" s="24" t="str">
        <x:v>VRM Games / Blas Luis Rocha González</x:v>
      </x:c>
      <x:c r="G281" s="24" t="str">
        <x:v>VRM Games / Blas Luis Rocha González</x:v>
      </x:c>
      <x:c r="H281" s="24" t="str">
        <x:v>Internal project production</x:v>
      </x:c>
      <x:c r="I281" s="24" t="str">
        <x:v>2026 project timeline</x:v>
      </x:c>
      <x:c r="J281" s="24" t="str">
        <x:v>Internal project IP / authorship claim</x:v>
      </x:c>
      <x:c r="K281" s="24" t="str">
        <x:v>N/A</x:v>
      </x:c>
      <x:c r="L281" s="24" t="str">
        <x:v>Source package + repository path + hash</x:v>
      </x:c>
      <x:c r="M281" s="24" t="str">
        <x:v>4a3643314ee3be4da90118b9c1a4c7509c5276037ab4eef1a174c6c10551497f</x:v>
      </x:c>
      <x:c r="N281" s="24" t="str">
        <x:v>Assets/_Project/Scripts/Application/Access/GridAccessValidator.cs</x:v>
      </x:c>
      <x:c r="O281" s="24" t="str">
        <x:v>eab4d4fd008344ffa4409b8401694be5</x:v>
      </x:c>
      <x:c r="P281" s="24" t="str">
        <x:v>Sí</x:v>
      </x:c>
      <x:c r="Q281" s="24" t="str">
        <x:v>Condicionado a autoría/procedencia final</x:v>
      </x:c>
      <x:c r="R281" s="24" t="str">
        <x:v>Solo dentro del producto/build autorizado</x:v>
      </x:c>
      <x:c r="S281" s="24" t="str">
        <x:v>Crédito general del estudio; individual si aplica</x:v>
      </x:c>
      <x:c r="T281" s="24" t="str">
        <x:v>VRM Games / Blas Luis Rocha González</x:v>
      </x:c>
      <x:c r="U281" s="24" t="str">
        <x:v>CURRENT PROJECT ASSET</x:v>
      </x:c>
      <x:c r="V281" s="24" t="str">
        <x:v>CONDITIONALLY APPROVED</x:v>
      </x:c>
      <x:c r="W281" s="24" t="str">
        <x:v>Sí</x:v>
      </x:c>
      <x:c r="X281" s="24" t="str">
        <x:v>Low</x:v>
      </x:c>
      <x:c r="Y281" s="24" t="str">
        <x:v>Internal development; public candidate requires gate</x:v>
      </x:c>
      <x:c r="Z281" s="24" t="str">
        <x:v>H6 legal/content audit</x:v>
      </x:c>
      <x:c r="AA281" s="24" t="str">
        <x:v>VRM Games</x:v>
      </x:c>
      <x:c r="AB281" s="24" t="str">
        <x:v>No se detectó proveedor externo en la ruta; confirmar autoría por lote antes de release público.</x:v>
      </x:c>
    </x:row>
    <x:row r="282" ht="34" customHeight="1">
      <x:c r="A282" s="24" t="str">
        <x:v>INT-0278</x:v>
      </x:c>
      <x:c r="B282" s="24" t="str">
        <x:v>89da3805b75c4fb8a0141fd007496080</x:v>
      </x:c>
      <x:c r="C282" s="24" t="str">
        <x:v>StoreAccessLayout.cs</x:v>
      </x:c>
      <x:c r="D282" s="24" t="str">
        <x:v>Code</x:v>
      </x:c>
      <x:c r="E282" s="24" t="str">
        <x:v>Application</x:v>
      </x:c>
      <x:c r="F282" s="24" t="str">
        <x:v>VRM Games / Blas Luis Rocha González</x:v>
      </x:c>
      <x:c r="G282" s="24" t="str">
        <x:v>VRM Games / Blas Luis Rocha González</x:v>
      </x:c>
      <x:c r="H282" s="24" t="str">
        <x:v>Internal project production</x:v>
      </x:c>
      <x:c r="I282" s="24" t="str">
        <x:v>2026 project timeline</x:v>
      </x:c>
      <x:c r="J282" s="24" t="str">
        <x:v>Internal project IP / authorship claim</x:v>
      </x:c>
      <x:c r="K282" s="24" t="str">
        <x:v>N/A</x:v>
      </x:c>
      <x:c r="L282" s="24" t="str">
        <x:v>Source package + repository path + hash</x:v>
      </x:c>
      <x:c r="M282" s="24" t="str">
        <x:v>ac2bf789180a7b1be061a3dd770dea68e2c56893c1c7188625b7a9b60424a4dc</x:v>
      </x:c>
      <x:c r="N282" s="24" t="str">
        <x:v>Assets/_Project/Scripts/Application/Access/StoreAccessLayout.cs</x:v>
      </x:c>
      <x:c r="O282" s="24" t="str">
        <x:v>89da3805b75c4fb8a0141fd007496080</x:v>
      </x:c>
      <x:c r="P282" s="24" t="str">
        <x:v>Sí</x:v>
      </x:c>
      <x:c r="Q282" s="24" t="str">
        <x:v>Condicionado a autoría/procedencia final</x:v>
      </x:c>
      <x:c r="R282" s="24" t="str">
        <x:v>Solo dentro del producto/build autorizado</x:v>
      </x:c>
      <x:c r="S282" s="24" t="str">
        <x:v>Crédito general del estudio; individual si aplica</x:v>
      </x:c>
      <x:c r="T282" s="24" t="str">
        <x:v>VRM Games / Blas Luis Rocha González</x:v>
      </x:c>
      <x:c r="U282" s="24" t="str">
        <x:v>CURRENT PROJECT ASSET</x:v>
      </x:c>
      <x:c r="V282" s="24" t="str">
        <x:v>CONDITIONALLY APPROVED</x:v>
      </x:c>
      <x:c r="W282" s="24" t="str">
        <x:v>Sí</x:v>
      </x:c>
      <x:c r="X282" s="24" t="str">
        <x:v>Low</x:v>
      </x:c>
      <x:c r="Y282" s="24" t="str">
        <x:v>Internal development; public candidate requires gate</x:v>
      </x:c>
      <x:c r="Z282" s="24" t="str">
        <x:v>H6 legal/content audit</x:v>
      </x:c>
      <x:c r="AA282" s="24" t="str">
        <x:v>VRM Games</x:v>
      </x:c>
      <x:c r="AB282" s="24" t="str">
        <x:v>No se detectó proveedor externo en la ruta; confirmar autoría por lote antes de release público.</x:v>
      </x:c>
    </x:row>
    <x:row r="283" ht="34" customHeight="1">
      <x:c r="A283" s="24" t="str">
        <x:v>INT-0279</x:v>
      </x:c>
      <x:c r="B283" s="24" t="str">
        <x:v>1f377e703e4f4c2582faabc92a1aa67b</x:v>
      </x:c>
      <x:c r="C283" s="24" t="str">
        <x:v>StorePlacementAccessValidator.cs</x:v>
      </x:c>
      <x:c r="D283" s="24" t="str">
        <x:v>Code</x:v>
      </x:c>
      <x:c r="E283" s="24" t="str">
        <x:v>Application</x:v>
      </x:c>
      <x:c r="F283" s="24" t="str">
        <x:v>VRM Games / Blas Luis Rocha González</x:v>
      </x:c>
      <x:c r="G283" s="24" t="str">
        <x:v>VRM Games / Blas Luis Rocha González</x:v>
      </x:c>
      <x:c r="H283" s="24" t="str">
        <x:v>Internal project production</x:v>
      </x:c>
      <x:c r="I283" s="24" t="str">
        <x:v>2026 project timeline</x:v>
      </x:c>
      <x:c r="J283" s="24" t="str">
        <x:v>Internal project IP / authorship claim</x:v>
      </x:c>
      <x:c r="K283" s="24" t="str">
        <x:v>N/A</x:v>
      </x:c>
      <x:c r="L283" s="24" t="str">
        <x:v>Source package + repository path + hash</x:v>
      </x:c>
      <x:c r="M283" s="24" t="str">
        <x:v>0d1ec2995449aa2bba4954b00351c04e8462264c40d501b89c6d63e54a731670</x:v>
      </x:c>
      <x:c r="N283" s="24" t="str">
        <x:v>Assets/_Project/Scripts/Application/Access/StorePlacementAccessValidator.cs</x:v>
      </x:c>
      <x:c r="O283" s="24" t="str">
        <x:v>1f377e703e4f4c2582faabc92a1aa67b</x:v>
      </x:c>
      <x:c r="P283" s="24" t="str">
        <x:v>Sí</x:v>
      </x:c>
      <x:c r="Q283" s="24" t="str">
        <x:v>Condicionado a autoría/procedencia final</x:v>
      </x:c>
      <x:c r="R283" s="24" t="str">
        <x:v>Solo dentro del producto/build autorizado</x:v>
      </x:c>
      <x:c r="S283" s="24" t="str">
        <x:v>Crédito general del estudio; individual si aplica</x:v>
      </x:c>
      <x:c r="T283" s="24" t="str">
        <x:v>VRM Games / Blas Luis Rocha González</x:v>
      </x:c>
      <x:c r="U283" s="24" t="str">
        <x:v>CURRENT PROJECT ASSET</x:v>
      </x:c>
      <x:c r="V283" s="24" t="str">
        <x:v>CONDITIONALLY APPROVED</x:v>
      </x:c>
      <x:c r="W283" s="24" t="str">
        <x:v>Sí</x:v>
      </x:c>
      <x:c r="X283" s="24" t="str">
        <x:v>Low</x:v>
      </x:c>
      <x:c r="Y283" s="24" t="str">
        <x:v>Internal development; public candidate requires gate</x:v>
      </x:c>
      <x:c r="Z283" s="24" t="str">
        <x:v>H6 legal/content audit</x:v>
      </x:c>
      <x:c r="AA283" s="24" t="str">
        <x:v>VRM Games</x:v>
      </x:c>
      <x:c r="AB283" s="24" t="str">
        <x:v>No se detectó proveedor externo en la ruta; confirmar autoría por lote antes de release público.</x:v>
      </x:c>
    </x:row>
    <x:row r="284" ht="34" customHeight="1">
      <x:c r="A284" s="24" t="str">
        <x:v>INT-0280</x:v>
      </x:c>
      <x:c r="B284" s="24" t="str">
        <x:v>b9bba8d2ae8e4614bfd2ca63cb307f5f</x:v>
      </x:c>
      <x:c r="C284" s="24" t="str">
        <x:v>OrbitCameraCalculator.cs</x:v>
      </x:c>
      <x:c r="D284" s="24" t="str">
        <x:v>Code</x:v>
      </x:c>
      <x:c r="E284" s="24" t="str">
        <x:v>Application</x:v>
      </x:c>
      <x:c r="F284" s="24" t="str">
        <x:v>VRM Games / Blas Luis Rocha González</x:v>
      </x:c>
      <x:c r="G284" s="24" t="str">
        <x:v>VRM Games / Blas Luis Rocha González</x:v>
      </x:c>
      <x:c r="H284" s="24" t="str">
        <x:v>Internal project production</x:v>
      </x:c>
      <x:c r="I284" s="24" t="str">
        <x:v>2026 project timeline</x:v>
      </x:c>
      <x:c r="J284" s="24" t="str">
        <x:v>Internal project IP / authorship claim</x:v>
      </x:c>
      <x:c r="K284" s="24" t="str">
        <x:v>N/A</x:v>
      </x:c>
      <x:c r="L284" s="24" t="str">
        <x:v>Source package + repository path + hash</x:v>
      </x:c>
      <x:c r="M284" s="24" t="str">
        <x:v>164e11534c9996152f25fe896f19c3bb148891fc887a0e405572f646b35110ed</x:v>
      </x:c>
      <x:c r="N284" s="24" t="str">
        <x:v>Assets/_Project/Scripts/Application/Camera/OrbitCameraCalculator.cs</x:v>
      </x:c>
      <x:c r="O284" s="24" t="str">
        <x:v>b9bba8d2ae8e4614bfd2ca63cb307f5f</x:v>
      </x:c>
      <x:c r="P284" s="24" t="str">
        <x:v>Sí</x:v>
      </x:c>
      <x:c r="Q284" s="24" t="str">
        <x:v>Condicionado a autoría/procedencia final</x:v>
      </x:c>
      <x:c r="R284" s="24" t="str">
        <x:v>Solo dentro del producto/build autorizado</x:v>
      </x:c>
      <x:c r="S284" s="24" t="str">
        <x:v>Crédito general del estudio; individual si aplica</x:v>
      </x:c>
      <x:c r="T284" s="24" t="str">
        <x:v>VRM Games / Blas Luis Rocha González</x:v>
      </x:c>
      <x:c r="U284" s="24" t="str">
        <x:v>CURRENT PROJECT ASSET</x:v>
      </x:c>
      <x:c r="V284" s="24" t="str">
        <x:v>CONDITIONALLY APPROVED</x:v>
      </x:c>
      <x:c r="W284" s="24" t="str">
        <x:v>Sí</x:v>
      </x:c>
      <x:c r="X284" s="24" t="str">
        <x:v>Low</x:v>
      </x:c>
      <x:c r="Y284" s="24" t="str">
        <x:v>Internal development; public candidate requires gate</x:v>
      </x:c>
      <x:c r="Z284" s="24" t="str">
        <x:v>H6 legal/content audit</x:v>
      </x:c>
      <x:c r="AA284" s="24" t="str">
        <x:v>VRM Games</x:v>
      </x:c>
      <x:c r="AB284" s="24" t="str">
        <x:v>No se detectó proveedor externo en la ruta; confirmar autoría por lote antes de release público.</x:v>
      </x:c>
    </x:row>
    <x:row r="285" ht="34" customHeight="1">
      <x:c r="A285" s="24" t="str">
        <x:v>INT-0281</x:v>
      </x:c>
      <x:c r="B285" s="24" t="str">
        <x:v>7b4271ad166f4d5a95d5b186da4f6f85</x:v>
      </x:c>
      <x:c r="C285" s="24" t="str">
        <x:v>OrbitCameraConstraints.cs</x:v>
      </x:c>
      <x:c r="D285" s="24" t="str">
        <x:v>Code</x:v>
      </x:c>
      <x:c r="E285" s="24" t="str">
        <x:v>Application</x:v>
      </x:c>
      <x:c r="F285" s="24" t="str">
        <x:v>VRM Games / Blas Luis Rocha González</x:v>
      </x:c>
      <x:c r="G285" s="24" t="str">
        <x:v>VRM Games / Blas Luis Rocha González</x:v>
      </x:c>
      <x:c r="H285" s="24" t="str">
        <x:v>Internal project production</x:v>
      </x:c>
      <x:c r="I285" s="24" t="str">
        <x:v>2026 project timeline</x:v>
      </x:c>
      <x:c r="J285" s="24" t="str">
        <x:v>Internal project IP / authorship claim</x:v>
      </x:c>
      <x:c r="K285" s="24" t="str">
        <x:v>N/A</x:v>
      </x:c>
      <x:c r="L285" s="24" t="str">
        <x:v>Source package + repository path + hash</x:v>
      </x:c>
      <x:c r="M285" s="24" t="str">
        <x:v>db6bc68b879a6e3169d0b9e3af439ba091b464a26bf6b7e842edfddad01189de</x:v>
      </x:c>
      <x:c r="N285" s="24" t="str">
        <x:v>Assets/_Project/Scripts/Application/Camera/OrbitCameraConstraints.cs</x:v>
      </x:c>
      <x:c r="O285" s="24" t="str">
        <x:v>7b4271ad166f4d5a95d5b186da4f6f85</x:v>
      </x:c>
      <x:c r="P285" s="24" t="str">
        <x:v>Sí</x:v>
      </x:c>
      <x:c r="Q285" s="24" t="str">
        <x:v>Condicionado a autoría/procedencia final</x:v>
      </x:c>
      <x:c r="R285" s="24" t="str">
        <x:v>Solo dentro del producto/build autorizado</x:v>
      </x:c>
      <x:c r="S285" s="24" t="str">
        <x:v>Crédito general del estudio; individual si aplica</x:v>
      </x:c>
      <x:c r="T285" s="24" t="str">
        <x:v>VRM Games / Blas Luis Rocha González</x:v>
      </x:c>
      <x:c r="U285" s="24" t="str">
        <x:v>CURRENT PROJECT ASSET</x:v>
      </x:c>
      <x:c r="V285" s="24" t="str">
        <x:v>CONDITIONALLY APPROVED</x:v>
      </x:c>
      <x:c r="W285" s="24" t="str">
        <x:v>Sí</x:v>
      </x:c>
      <x:c r="X285" s="24" t="str">
        <x:v>Low</x:v>
      </x:c>
      <x:c r="Y285" s="24" t="str">
        <x:v>Internal development; public candidate requires gate</x:v>
      </x:c>
      <x:c r="Z285" s="24" t="str">
        <x:v>H6 legal/content audit</x:v>
      </x:c>
      <x:c r="AA285" s="24" t="str">
        <x:v>VRM Games</x:v>
      </x:c>
      <x:c r="AB285" s="24" t="str">
        <x:v>No se detectó proveedor externo en la ruta; confirmar autoría por lote antes de release público.</x:v>
      </x:c>
    </x:row>
    <x:row r="286" ht="34" customHeight="1">
      <x:c r="A286" s="24" t="str">
        <x:v>INT-0282</x:v>
      </x:c>
      <x:c r="B286" s="24" t="str">
        <x:v>77949a13cb034f428f34eb3c32aa7b7d</x:v>
      </x:c>
      <x:c r="C286" s="24" t="str">
        <x:v>OrbitCameraState.cs</x:v>
      </x:c>
      <x:c r="D286" s="24" t="str">
        <x:v>Code</x:v>
      </x:c>
      <x:c r="E286" s="24" t="str">
        <x:v>Application</x:v>
      </x:c>
      <x:c r="F286" s="24" t="str">
        <x:v>VRM Games / Blas Luis Rocha González</x:v>
      </x:c>
      <x:c r="G286" s="24" t="str">
        <x:v>VRM Games / Blas Luis Rocha González</x:v>
      </x:c>
      <x:c r="H286" s="24" t="str">
        <x:v>Internal project production</x:v>
      </x:c>
      <x:c r="I286" s="24" t="str">
        <x:v>2026 project timeline</x:v>
      </x:c>
      <x:c r="J286" s="24" t="str">
        <x:v>Internal project IP / authorship claim</x:v>
      </x:c>
      <x:c r="K286" s="24" t="str">
        <x:v>N/A</x:v>
      </x:c>
      <x:c r="L286" s="24" t="str">
        <x:v>Source package + repository path + hash</x:v>
      </x:c>
      <x:c r="M286" s="24" t="str">
        <x:v>ff5f65ee7a9b26363eab136a393ef9c619905ce464111d22393136ee1601350c</x:v>
      </x:c>
      <x:c r="N286" s="24" t="str">
        <x:v>Assets/_Project/Scripts/Application/Camera/OrbitCameraState.cs</x:v>
      </x:c>
      <x:c r="O286" s="24" t="str">
        <x:v>77949a13cb034f428f34eb3c32aa7b7d</x:v>
      </x:c>
      <x:c r="P286" s="24" t="str">
        <x:v>Sí</x:v>
      </x:c>
      <x:c r="Q286" s="24" t="str">
        <x:v>Condicionado a autoría/procedencia final</x:v>
      </x:c>
      <x:c r="R286" s="24" t="str">
        <x:v>Solo dentro del producto/build autorizado</x:v>
      </x:c>
      <x:c r="S286" s="24" t="str">
        <x:v>Crédito general del estudio; individual si aplica</x:v>
      </x:c>
      <x:c r="T286" s="24" t="str">
        <x:v>VRM Games / Blas Luis Rocha González</x:v>
      </x:c>
      <x:c r="U286" s="24" t="str">
        <x:v>CURRENT PROJECT ASSET</x:v>
      </x:c>
      <x:c r="V286" s="24" t="str">
        <x:v>CONDITIONALLY APPROVED</x:v>
      </x:c>
      <x:c r="W286" s="24" t="str">
        <x:v>Sí</x:v>
      </x:c>
      <x:c r="X286" s="24" t="str">
        <x:v>Low</x:v>
      </x:c>
      <x:c r="Y286" s="24" t="str">
        <x:v>Internal development; public candidate requires gate</x:v>
      </x:c>
      <x:c r="Z286" s="24" t="str">
        <x:v>H6 legal/content audit</x:v>
      </x:c>
      <x:c r="AA286" s="24" t="str">
        <x:v>VRM Games</x:v>
      </x:c>
      <x:c r="AB286" s="24" t="str">
        <x:v>No se detectó proveedor externo en la ruta; confirmar autoría por lote antes de release público.</x:v>
      </x:c>
    </x:row>
    <x:row r="287" ht="34" customHeight="1">
      <x:c r="A287" s="24" t="str">
        <x:v>INT-0283</x:v>
      </x:c>
      <x:c r="B287" s="24" t="str">
        <x:v>295be1580af2489cb4e9d92a8e6f7568</x:v>
      </x:c>
      <x:c r="C287" s="24" t="str">
        <x:v>CheckoutCancellationService.cs</x:v>
      </x:c>
      <x:c r="D287" s="24" t="str">
        <x:v>Code</x:v>
      </x:c>
      <x:c r="E287" s="24" t="str">
        <x:v>Application</x:v>
      </x:c>
      <x:c r="F287" s="24" t="str">
        <x:v>VRM Games / Blas Luis Rocha González</x:v>
      </x:c>
      <x:c r="G287" s="24" t="str">
        <x:v>VRM Games / Blas Luis Rocha González</x:v>
      </x:c>
      <x:c r="H287" s="24" t="str">
        <x:v>Internal project production</x:v>
      </x:c>
      <x:c r="I287" s="24" t="str">
        <x:v>2026 project timeline</x:v>
      </x:c>
      <x:c r="J287" s="24" t="str">
        <x:v>Internal project IP / authorship claim</x:v>
      </x:c>
      <x:c r="K287" s="24" t="str">
        <x:v>N/A</x:v>
      </x:c>
      <x:c r="L287" s="24" t="str">
        <x:v>Source package + repository path + hash</x:v>
      </x:c>
      <x:c r="M287" s="24" t="str">
        <x:v>ecbf71eead3ebd167ce958a7ca9e837c1ee0038582c34c72b253631a0df60499</x:v>
      </x:c>
      <x:c r="N287" s="24" t="str">
        <x:v>Assets/_Project/Scripts/Application/Checkout/CheckoutCancellationService.cs</x:v>
      </x:c>
      <x:c r="O287" s="24" t="str">
        <x:v>295be1580af2489cb4e9d92a8e6f7568</x:v>
      </x:c>
      <x:c r="P287" s="24" t="str">
        <x:v>Sí</x:v>
      </x:c>
      <x:c r="Q287" s="24" t="str">
        <x:v>Condicionado a autoría/procedencia final</x:v>
      </x:c>
      <x:c r="R287" s="24" t="str">
        <x:v>Solo dentro del producto/build autorizado</x:v>
      </x:c>
      <x:c r="S287" s="24" t="str">
        <x:v>Crédito general del estudio; individual si aplica</x:v>
      </x:c>
      <x:c r="T287" s="24" t="str">
        <x:v>VRM Games / Blas Luis Rocha González</x:v>
      </x:c>
      <x:c r="U287" s="24" t="str">
        <x:v>CURRENT PROJECT ASSET</x:v>
      </x:c>
      <x:c r="V287" s="24" t="str">
        <x:v>CONDITIONALLY APPROVED</x:v>
      </x:c>
      <x:c r="W287" s="24" t="str">
        <x:v>Sí</x:v>
      </x:c>
      <x:c r="X287" s="24" t="str">
        <x:v>Low</x:v>
      </x:c>
      <x:c r="Y287" s="24" t="str">
        <x:v>Internal development; public candidate requires gate</x:v>
      </x:c>
      <x:c r="Z287" s="24" t="str">
        <x:v>H6 legal/content audit</x:v>
      </x:c>
      <x:c r="AA287" s="24" t="str">
        <x:v>VRM Games</x:v>
      </x:c>
      <x:c r="AB287" s="24" t="str">
        <x:v>No se detectó proveedor externo en la ruta; confirmar autoría por lote antes de release público.</x:v>
      </x:c>
    </x:row>
    <x:row r="288" ht="34" customHeight="1">
      <x:c r="A288" s="24" t="str">
        <x:v>INT-0284</x:v>
      </x:c>
      <x:c r="B288" s="24" t="str">
        <x:v>5e619bba5a8d47e38212052fd9997b80</x:v>
      </x:c>
      <x:c r="C288" s="24" t="str">
        <x:v>CheckoutQueueService.cs</x:v>
      </x:c>
      <x:c r="D288" s="24" t="str">
        <x:v>Code</x:v>
      </x:c>
      <x:c r="E288" s="24" t="str">
        <x:v>Application</x:v>
      </x:c>
      <x:c r="F288" s="24" t="str">
        <x:v>VRM Games / Blas Luis Rocha González</x:v>
      </x:c>
      <x:c r="G288" s="24" t="str">
        <x:v>VRM Games / Blas Luis Rocha González</x:v>
      </x:c>
      <x:c r="H288" s="24" t="str">
        <x:v>Internal project production</x:v>
      </x:c>
      <x:c r="I288" s="24" t="str">
        <x:v>2026 project timeline</x:v>
      </x:c>
      <x:c r="J288" s="24" t="str">
        <x:v>Internal project IP / authorship claim</x:v>
      </x:c>
      <x:c r="K288" s="24" t="str">
        <x:v>N/A</x:v>
      </x:c>
      <x:c r="L288" s="24" t="str">
        <x:v>Source package + repository path + hash</x:v>
      </x:c>
      <x:c r="M288" s="24" t="str">
        <x:v>10c3004f889f16d435cbd51e69ff4f4253d079343a211ae6e6204216ca3a514c</x:v>
      </x:c>
      <x:c r="N288" s="24" t="str">
        <x:v>Assets/_Project/Scripts/Application/Checkout/CheckoutQueueService.cs</x:v>
      </x:c>
      <x:c r="O288" s="24" t="str">
        <x:v>5e619bba5a8d47e38212052fd9997b80</x:v>
      </x:c>
      <x:c r="P288" s="24" t="str">
        <x:v>Sí</x:v>
      </x:c>
      <x:c r="Q288" s="24" t="str">
        <x:v>Condicionado a autoría/procedencia final</x:v>
      </x:c>
      <x:c r="R288" s="24" t="str">
        <x:v>Solo dentro del producto/build autorizado</x:v>
      </x:c>
      <x:c r="S288" s="24" t="str">
        <x:v>Crédito general del estudio; individual si aplica</x:v>
      </x:c>
      <x:c r="T288" s="24" t="str">
        <x:v>VRM Games / Blas Luis Rocha González</x:v>
      </x:c>
      <x:c r="U288" s="24" t="str">
        <x:v>CURRENT PROJECT ASSET</x:v>
      </x:c>
      <x:c r="V288" s="24" t="str">
        <x:v>CONDITIONALLY APPROVED</x:v>
      </x:c>
      <x:c r="W288" s="24" t="str">
        <x:v>Sí</x:v>
      </x:c>
      <x:c r="X288" s="24" t="str">
        <x:v>Low</x:v>
      </x:c>
      <x:c r="Y288" s="24" t="str">
        <x:v>Internal development; public candidate requires gate</x:v>
      </x:c>
      <x:c r="Z288" s="24" t="str">
        <x:v>H6 legal/content audit</x:v>
      </x:c>
      <x:c r="AA288" s="24" t="str">
        <x:v>VRM Games</x:v>
      </x:c>
      <x:c r="AB288" s="24" t="str">
        <x:v>No se detectó proveedor externo en la ruta; confirmar autoría por lote antes de release público.</x:v>
      </x:c>
    </x:row>
    <x:row r="289" ht="34" customHeight="1">
      <x:c r="A289" s="24" t="str">
        <x:v>INT-0285</x:v>
      </x:c>
      <x:c r="B289" s="24" t="str">
        <x:v>49a088f042554020a6004d2e5ab2bc26</x:v>
      </x:c>
      <x:c r="C289" s="24" t="str">
        <x:v>CheckoutService.cs</x:v>
      </x:c>
      <x:c r="D289" s="24" t="str">
        <x:v>Code</x:v>
      </x:c>
      <x:c r="E289" s="24" t="str">
        <x:v>Application</x:v>
      </x:c>
      <x:c r="F289" s="24" t="str">
        <x:v>VRM Games / Blas Luis Rocha González</x:v>
      </x:c>
      <x:c r="G289" s="24" t="str">
        <x:v>VRM Games / Blas Luis Rocha González</x:v>
      </x:c>
      <x:c r="H289" s="24" t="str">
        <x:v>Internal project production</x:v>
      </x:c>
      <x:c r="I289" s="24" t="str">
        <x:v>2026 project timeline</x:v>
      </x:c>
      <x:c r="J289" s="24" t="str">
        <x:v>Internal project IP / authorship claim</x:v>
      </x:c>
      <x:c r="K289" s="24" t="str">
        <x:v>N/A</x:v>
      </x:c>
      <x:c r="L289" s="24" t="str">
        <x:v>Source package + repository path + hash</x:v>
      </x:c>
      <x:c r="M289" s="24" t="str">
        <x:v>4320cce06792f3ee749c72fc0b5c0359f51d9e2eb370d7588ff92c9b89d62a8f</x:v>
      </x:c>
      <x:c r="N289" s="24" t="str">
        <x:v>Assets/_Project/Scripts/Application/Checkout/CheckoutService.cs</x:v>
      </x:c>
      <x:c r="O289" s="24" t="str">
        <x:v>49a088f042554020a6004d2e5ab2bc26</x:v>
      </x:c>
      <x:c r="P289" s="24" t="str">
        <x:v>Sí</x:v>
      </x:c>
      <x:c r="Q289" s="24" t="str">
        <x:v>Condicionado a autoría/procedencia final</x:v>
      </x:c>
      <x:c r="R289" s="24" t="str">
        <x:v>Solo dentro del producto/build autorizado</x:v>
      </x:c>
      <x:c r="S289" s="24" t="str">
        <x:v>Crédito general del estudio; individual si aplica</x:v>
      </x:c>
      <x:c r="T289" s="24" t="str">
        <x:v>VRM Games / Blas Luis Rocha González</x:v>
      </x:c>
      <x:c r="U289" s="24" t="str">
        <x:v>CURRENT PROJECT ASSET</x:v>
      </x:c>
      <x:c r="V289" s="24" t="str">
        <x:v>CONDITIONALLY APPROVED</x:v>
      </x:c>
      <x:c r="W289" s="24" t="str">
        <x:v>Sí</x:v>
      </x:c>
      <x:c r="X289" s="24" t="str">
        <x:v>Low</x:v>
      </x:c>
      <x:c r="Y289" s="24" t="str">
        <x:v>Internal development; public candidate requires gate</x:v>
      </x:c>
      <x:c r="Z289" s="24" t="str">
        <x:v>H6 legal/content audit</x:v>
      </x:c>
      <x:c r="AA289" s="24" t="str">
        <x:v>VRM Games</x:v>
      </x:c>
      <x:c r="AB289" s="24" t="str">
        <x:v>No se detectó proveedor externo en la ruta; confirmar autoría por lote antes de release público.</x:v>
      </x:c>
    </x:row>
    <x:row r="290" ht="34" customHeight="1">
      <x:c r="A290" s="24" t="str">
        <x:v>INT-0286</x:v>
      </x:c>
      <x:c r="B290" s="24" t="str">
        <x:v>d217e77af7614abdaf39a6168acb9244</x:v>
      </x:c>
      <x:c r="C290" s="24" t="str">
        <x:v>CustomerPatienceService.cs</x:v>
      </x:c>
      <x:c r="D290" s="24" t="str">
        <x:v>Code</x:v>
      </x:c>
      <x:c r="E290" s="24" t="str">
        <x:v>Application</x:v>
      </x:c>
      <x:c r="F290" s="24" t="str">
        <x:v>VRM Games / Blas Luis Rocha González</x:v>
      </x:c>
      <x:c r="G290" s="24" t="str">
        <x:v>VRM Games / Blas Luis Rocha González</x:v>
      </x:c>
      <x:c r="H290" s="24" t="str">
        <x:v>Internal project production</x:v>
      </x:c>
      <x:c r="I290" s="24" t="str">
        <x:v>2026 project timeline</x:v>
      </x:c>
      <x:c r="J290" s="24" t="str">
        <x:v>Internal project IP / authorship claim</x:v>
      </x:c>
      <x:c r="K290" s="24" t="str">
        <x:v>N/A</x:v>
      </x:c>
      <x:c r="L290" s="24" t="str">
        <x:v>Source package + repository path + hash</x:v>
      </x:c>
      <x:c r="M290" s="24" t="str">
        <x:v>7407e8b410b155ef136d7f85a1a754d7737b85142cb09ffb77288c340424572b</x:v>
      </x:c>
      <x:c r="N290" s="24" t="str">
        <x:v>Assets/_Project/Scripts/Application/Customers/CustomerPatienceService.cs</x:v>
      </x:c>
      <x:c r="O290" s="24" t="str">
        <x:v>d217e77af7614abdaf39a6168acb9244</x:v>
      </x:c>
      <x:c r="P290" s="24" t="str">
        <x:v>Sí</x:v>
      </x:c>
      <x:c r="Q290" s="24" t="str">
        <x:v>Condicionado a autoría/procedencia final</x:v>
      </x:c>
      <x:c r="R290" s="24" t="str">
        <x:v>Solo dentro del producto/build autorizado</x:v>
      </x:c>
      <x:c r="S290" s="24" t="str">
        <x:v>Crédito general del estudio; individual si aplica</x:v>
      </x:c>
      <x:c r="T290" s="24" t="str">
        <x:v>VRM Games / Blas Luis Rocha González</x:v>
      </x:c>
      <x:c r="U290" s="24" t="str">
        <x:v>CURRENT PROJECT ASSET</x:v>
      </x:c>
      <x:c r="V290" s="24" t="str">
        <x:v>CONDITIONALLY APPROVED</x:v>
      </x:c>
      <x:c r="W290" s="24" t="str">
        <x:v>Sí</x:v>
      </x:c>
      <x:c r="X290" s="24" t="str">
        <x:v>Low</x:v>
      </x:c>
      <x:c r="Y290" s="24" t="str">
        <x:v>Internal development; public candidate requires gate</x:v>
      </x:c>
      <x:c r="Z290" s="24" t="str">
        <x:v>H6 legal/content audit</x:v>
      </x:c>
      <x:c r="AA290" s="24" t="str">
        <x:v>VRM Games</x:v>
      </x:c>
      <x:c r="AB290" s="24" t="str">
        <x:v>No se detectó proveedor externo en la ruta; confirmar autoría por lote antes de release público.</x:v>
      </x:c>
    </x:row>
    <x:row r="291" ht="34" customHeight="1">
      <x:c r="A291" s="24" t="str">
        <x:v>INT-0287</x:v>
      </x:c>
      <x:c r="B291" s="24" t="str">
        <x:v>43ab3529f5324b2ab2a152855ddef37d</x:v>
      </x:c>
      <x:c r="C291" s="24" t="str">
        <x:v>CustomerPatienceTickResult.cs</x:v>
      </x:c>
      <x:c r="D291" s="24" t="str">
        <x:v>Code</x:v>
      </x:c>
      <x:c r="E291" s="24" t="str">
        <x:v>Application</x:v>
      </x:c>
      <x:c r="F291" s="24" t="str">
        <x:v>VRM Games / Blas Luis Rocha González</x:v>
      </x:c>
      <x:c r="G291" s="24" t="str">
        <x:v>VRM Games / Blas Luis Rocha González</x:v>
      </x:c>
      <x:c r="H291" s="24" t="str">
        <x:v>Internal project production</x:v>
      </x:c>
      <x:c r="I291" s="24" t="str">
        <x:v>2026 project timeline</x:v>
      </x:c>
      <x:c r="J291" s="24" t="str">
        <x:v>Internal project IP / authorship claim</x:v>
      </x:c>
      <x:c r="K291" s="24" t="str">
        <x:v>N/A</x:v>
      </x:c>
      <x:c r="L291" s="24" t="str">
        <x:v>Source package + repository path + hash</x:v>
      </x:c>
      <x:c r="M291" s="24" t="str">
        <x:v>2161baf126ee792c719ceb7cac85b1960255924733866a423b7a7bd34061830e</x:v>
      </x:c>
      <x:c r="N291" s="24" t="str">
        <x:v>Assets/_Project/Scripts/Application/Customers/CustomerPatienceTickResult.cs</x:v>
      </x:c>
      <x:c r="O291" s="24" t="str">
        <x:v>43ab3529f5324b2ab2a152855ddef37d</x:v>
      </x:c>
      <x:c r="P291" s="24" t="str">
        <x:v>Sí</x:v>
      </x:c>
      <x:c r="Q291" s="24" t="str">
        <x:v>Condicionado a autoría/procedencia final</x:v>
      </x:c>
      <x:c r="R291" s="24" t="str">
        <x:v>Solo dentro del producto/build autorizado</x:v>
      </x:c>
      <x:c r="S291" s="24" t="str">
        <x:v>Crédito general del estudio; individual si aplica</x:v>
      </x:c>
      <x:c r="T291" s="24" t="str">
        <x:v>VRM Games / Blas Luis Rocha González</x:v>
      </x:c>
      <x:c r="U291" s="24" t="str">
        <x:v>CURRENT PROJECT ASSET</x:v>
      </x:c>
      <x:c r="V291" s="24" t="str">
        <x:v>CONDITIONALLY APPROVED</x:v>
      </x:c>
      <x:c r="W291" s="24" t="str">
        <x:v>Sí</x:v>
      </x:c>
      <x:c r="X291" s="24" t="str">
        <x:v>Low</x:v>
      </x:c>
      <x:c r="Y291" s="24" t="str">
        <x:v>Internal development; public candidate requires gate</x:v>
      </x:c>
      <x:c r="Z291" s="24" t="str">
        <x:v>H6 legal/content audit</x:v>
      </x:c>
      <x:c r="AA291" s="24" t="str">
        <x:v>VRM Games</x:v>
      </x:c>
      <x:c r="AB291" s="24" t="str">
        <x:v>No se detectó proveedor externo en la ruta; confirmar autoría por lote antes de release público.</x:v>
      </x:c>
    </x:row>
    <x:row r="292" ht="34" customHeight="1">
      <x:c r="A292" s="24" t="str">
        <x:v>INT-0288</x:v>
      </x:c>
      <x:c r="B292" s="24" t="str">
        <x:v>cf15d201090e467fb1d68831450476af</x:v>
      </x:c>
      <x:c r="C292" s="24" t="str">
        <x:v>CustomerProfileSelector.cs</x:v>
      </x:c>
      <x:c r="D292" s="24" t="str">
        <x:v>Code</x:v>
      </x:c>
      <x:c r="E292" s="24" t="str">
        <x:v>Application</x:v>
      </x:c>
      <x:c r="F292" s="24" t="str">
        <x:v>VRM Games / Blas Luis Rocha González</x:v>
      </x:c>
      <x:c r="G292" s="24" t="str">
        <x:v>VRM Games / Blas Luis Rocha González</x:v>
      </x:c>
      <x:c r="H292" s="24" t="str">
        <x:v>Internal project production</x:v>
      </x:c>
      <x:c r="I292" s="24" t="str">
        <x:v>2026 project timeline</x:v>
      </x:c>
      <x:c r="J292" s="24" t="str">
        <x:v>Internal project IP / authorship claim</x:v>
      </x:c>
      <x:c r="K292" s="24" t="str">
        <x:v>N/A</x:v>
      </x:c>
      <x:c r="L292" s="24" t="str">
        <x:v>Source package + repository path + hash</x:v>
      </x:c>
      <x:c r="M292" s="24" t="str">
        <x:v>ce18dabc88d5cbff77de7f59d2ff318c5ac6f34bf8166d6fc028ab571705d876</x:v>
      </x:c>
      <x:c r="N292" s="24" t="str">
        <x:v>Assets/_Project/Scripts/Application/Customers/CustomerProfileSelector.cs</x:v>
      </x:c>
      <x:c r="O292" s="24" t="str">
        <x:v>cf15d201090e467fb1d68831450476af</x:v>
      </x:c>
      <x:c r="P292" s="24" t="str">
        <x:v>Sí</x:v>
      </x:c>
      <x:c r="Q292" s="24" t="str">
        <x:v>Condicionado a autoría/procedencia final</x:v>
      </x:c>
      <x:c r="R292" s="24" t="str">
        <x:v>Solo dentro del producto/build autorizado</x:v>
      </x:c>
      <x:c r="S292" s="24" t="str">
        <x:v>Crédito general del estudio; individual si aplica</x:v>
      </x:c>
      <x:c r="T292" s="24" t="str">
        <x:v>VRM Games / Blas Luis Rocha González</x:v>
      </x:c>
      <x:c r="U292" s="24" t="str">
        <x:v>CURRENT PROJECT ASSET</x:v>
      </x:c>
      <x:c r="V292" s="24" t="str">
        <x:v>CONDITIONALLY APPROVED</x:v>
      </x:c>
      <x:c r="W292" s="24" t="str">
        <x:v>Sí</x:v>
      </x:c>
      <x:c r="X292" s="24" t="str">
        <x:v>Low</x:v>
      </x:c>
      <x:c r="Y292" s="24" t="str">
        <x:v>Internal development; public candidate requires gate</x:v>
      </x:c>
      <x:c r="Z292" s="24" t="str">
        <x:v>H6 legal/content audit</x:v>
      </x:c>
      <x:c r="AA292" s="24" t="str">
        <x:v>VRM Games</x:v>
      </x:c>
      <x:c r="AB292" s="24" t="str">
        <x:v>No se detectó proveedor externo en la ruta; confirmar autoría por lote antes de release público.</x:v>
      </x:c>
    </x:row>
    <x:row r="293" ht="34" customHeight="1">
      <x:c r="A293" s="24" t="str">
        <x:v>INT-0289</x:v>
      </x:c>
      <x:c r="B293" s="24" t="str">
        <x:v>c2fc759c5b3a429cb4f303b091a22a93</x:v>
      </x:c>
      <x:c r="C293" s="24" t="str">
        <x:v>CustomerSpawnFailureReason.cs</x:v>
      </x:c>
      <x:c r="D293" s="24" t="str">
        <x:v>Code</x:v>
      </x:c>
      <x:c r="E293" s="24" t="str">
        <x:v>Application</x:v>
      </x:c>
      <x:c r="F293" s="24" t="str">
        <x:v>VRM Games / Blas Luis Rocha González</x:v>
      </x:c>
      <x:c r="G293" s="24" t="str">
        <x:v>VRM Games / Blas Luis Rocha González</x:v>
      </x:c>
      <x:c r="H293" s="24" t="str">
        <x:v>Internal project production</x:v>
      </x:c>
      <x:c r="I293" s="24" t="str">
        <x:v>2026 project timeline</x:v>
      </x:c>
      <x:c r="J293" s="24" t="str">
        <x:v>Internal project IP / authorship claim</x:v>
      </x:c>
      <x:c r="K293" s="24" t="str">
        <x:v>N/A</x:v>
      </x:c>
      <x:c r="L293" s="24" t="str">
        <x:v>Source package + repository path + hash</x:v>
      </x:c>
      <x:c r="M293" s="24" t="str">
        <x:v>93164358776616e4f0fe24ac74ddd06a334dd339bb3818601dd7f2cefa6e2a5e</x:v>
      </x:c>
      <x:c r="N293" s="24" t="str">
        <x:v>Assets/_Project/Scripts/Application/Customers/CustomerSpawnFailureReason.cs</x:v>
      </x:c>
      <x:c r="O293" s="24" t="str">
        <x:v>c2fc759c5b3a429cb4f303b091a22a93</x:v>
      </x:c>
      <x:c r="P293" s="24" t="str">
        <x:v>Sí</x:v>
      </x:c>
      <x:c r="Q293" s="24" t="str">
        <x:v>Condicionado a autoría/procedencia final</x:v>
      </x:c>
      <x:c r="R293" s="24" t="str">
        <x:v>Solo dentro del producto/build autorizado</x:v>
      </x:c>
      <x:c r="S293" s="24" t="str">
        <x:v>Crédito general del estudio; individual si aplica</x:v>
      </x:c>
      <x:c r="T293" s="24" t="str">
        <x:v>VRM Games / Blas Luis Rocha González</x:v>
      </x:c>
      <x:c r="U293" s="24" t="str">
        <x:v>CURRENT PROJECT ASSET</x:v>
      </x:c>
      <x:c r="V293" s="24" t="str">
        <x:v>CONDITIONALLY APPROVED</x:v>
      </x:c>
      <x:c r="W293" s="24" t="str">
        <x:v>Sí</x:v>
      </x:c>
      <x:c r="X293" s="24" t="str">
        <x:v>Low</x:v>
      </x:c>
      <x:c r="Y293" s="24" t="str">
        <x:v>Internal development; public candidate requires gate</x:v>
      </x:c>
      <x:c r="Z293" s="24" t="str">
        <x:v>H6 legal/content audit</x:v>
      </x:c>
      <x:c r="AA293" s="24" t="str">
        <x:v>VRM Games</x:v>
      </x:c>
      <x:c r="AB293" s="24" t="str">
        <x:v>No se detectó proveedor externo en la ruta; confirmar autoría por lote antes de release público.</x:v>
      </x:c>
    </x:row>
    <x:row r="294" ht="34" customHeight="1">
      <x:c r="A294" s="24" t="str">
        <x:v>INT-0290</x:v>
      </x:c>
      <x:c r="B294" s="24" t="str">
        <x:v>776ae0f610854d6e9ea3aa40d111d7a0</x:v>
      </x:c>
      <x:c r="C294" s="24" t="str">
        <x:v>CustomerSpawnResult.cs</x:v>
      </x:c>
      <x:c r="D294" s="24" t="str">
        <x:v>Code</x:v>
      </x:c>
      <x:c r="E294" s="24" t="str">
        <x:v>Application</x:v>
      </x:c>
      <x:c r="F294" s="24" t="str">
        <x:v>VRM Games / Blas Luis Rocha González</x:v>
      </x:c>
      <x:c r="G294" s="24" t="str">
        <x:v>VRM Games / Blas Luis Rocha González</x:v>
      </x:c>
      <x:c r="H294" s="24" t="str">
        <x:v>Internal project production</x:v>
      </x:c>
      <x:c r="I294" s="24" t="str">
        <x:v>2026 project timeline</x:v>
      </x:c>
      <x:c r="J294" s="24" t="str">
        <x:v>Internal project IP / authorship claim</x:v>
      </x:c>
      <x:c r="K294" s="24" t="str">
        <x:v>N/A</x:v>
      </x:c>
      <x:c r="L294" s="24" t="str">
        <x:v>Source package + repository path + hash</x:v>
      </x:c>
      <x:c r="M294" s="24" t="str">
        <x:v>7099f148a74e94d594080b93c127f7c7105d10ed7aa7f2630e82968d53b1629a</x:v>
      </x:c>
      <x:c r="N294" s="24" t="str">
        <x:v>Assets/_Project/Scripts/Application/Customers/CustomerSpawnResult.cs</x:v>
      </x:c>
      <x:c r="O294" s="24" t="str">
        <x:v>776ae0f610854d6e9ea3aa40d111d7a0</x:v>
      </x:c>
      <x:c r="P294" s="24" t="str">
        <x:v>Sí</x:v>
      </x:c>
      <x:c r="Q294" s="24" t="str">
        <x:v>Condicionado a autoría/procedencia final</x:v>
      </x:c>
      <x:c r="R294" s="24" t="str">
        <x:v>Solo dentro del producto/build autorizado</x:v>
      </x:c>
      <x:c r="S294" s="24" t="str">
        <x:v>Crédito general del estudio; individual si aplica</x:v>
      </x:c>
      <x:c r="T294" s="24" t="str">
        <x:v>VRM Games / Blas Luis Rocha González</x:v>
      </x:c>
      <x:c r="U294" s="24" t="str">
        <x:v>CURRENT PROJECT ASSET</x:v>
      </x:c>
      <x:c r="V294" s="24" t="str">
        <x:v>CONDITIONALLY APPROVED</x:v>
      </x:c>
      <x:c r="W294" s="24" t="str">
        <x:v>Sí</x:v>
      </x:c>
      <x:c r="X294" s="24" t="str">
        <x:v>Low</x:v>
      </x:c>
      <x:c r="Y294" s="24" t="str">
        <x:v>Internal development; public candidate requires gate</x:v>
      </x:c>
      <x:c r="Z294" s="24" t="str">
        <x:v>H6 legal/content audit</x:v>
      </x:c>
      <x:c r="AA294" s="24" t="str">
        <x:v>VRM Games</x:v>
      </x:c>
      <x:c r="AB294" s="24" t="str">
        <x:v>No se detectó proveedor externo en la ruta; confirmar autoría por lote antes de release público.</x:v>
      </x:c>
    </x:row>
    <x:row r="295" ht="34" customHeight="1">
      <x:c r="A295" s="24" t="str">
        <x:v>INT-0291</x:v>
      </x:c>
      <x:c r="B295" s="24" t="str">
        <x:v>c6255986228b4c0b8a43d5fa592dcca3</x:v>
      </x:c>
      <x:c r="C295" s="24" t="str">
        <x:v>CustomerSpawnService.cs</x:v>
      </x:c>
      <x:c r="D295" s="24" t="str">
        <x:v>Code</x:v>
      </x:c>
      <x:c r="E295" s="24" t="str">
        <x:v>Application</x:v>
      </x:c>
      <x:c r="F295" s="24" t="str">
        <x:v>VRM Games / Blas Luis Rocha González</x:v>
      </x:c>
      <x:c r="G295" s="24" t="str">
        <x:v>VRM Games / Blas Luis Rocha González</x:v>
      </x:c>
      <x:c r="H295" s="24" t="str">
        <x:v>Internal project production</x:v>
      </x:c>
      <x:c r="I295" s="24" t="str">
        <x:v>2026 project timeline</x:v>
      </x:c>
      <x:c r="J295" s="24" t="str">
        <x:v>Internal project IP / authorship claim</x:v>
      </x:c>
      <x:c r="K295" s="24" t="str">
        <x:v>N/A</x:v>
      </x:c>
      <x:c r="L295" s="24" t="str">
        <x:v>Source package + repository path + hash</x:v>
      </x:c>
      <x:c r="M295" s="24" t="str">
        <x:v>474ee7ba1c3234c23d40735d7606731bca583c1c917ea1acbb94eb8c99902058</x:v>
      </x:c>
      <x:c r="N295" s="24" t="str">
        <x:v>Assets/_Project/Scripts/Application/Customers/CustomerSpawnService.cs</x:v>
      </x:c>
      <x:c r="O295" s="24" t="str">
        <x:v>c6255986228b4c0b8a43d5fa592dcca3</x:v>
      </x:c>
      <x:c r="P295" s="24" t="str">
        <x:v>Sí</x:v>
      </x:c>
      <x:c r="Q295" s="24" t="str">
        <x:v>Condicionado a autoría/procedencia final</x:v>
      </x:c>
      <x:c r="R295" s="24" t="str">
        <x:v>Solo dentro del producto/build autorizado</x:v>
      </x:c>
      <x:c r="S295" s="24" t="str">
        <x:v>Crédito general del estudio; individual si aplica</x:v>
      </x:c>
      <x:c r="T295" s="24" t="str">
        <x:v>VRM Games / Blas Luis Rocha González</x:v>
      </x:c>
      <x:c r="U295" s="24" t="str">
        <x:v>CURRENT PROJECT ASSET</x:v>
      </x:c>
      <x:c r="V295" s="24" t="str">
        <x:v>CONDITIONALLY APPROVED</x:v>
      </x:c>
      <x:c r="W295" s="24" t="str">
        <x:v>Sí</x:v>
      </x:c>
      <x:c r="X295" s="24" t="str">
        <x:v>Low</x:v>
      </x:c>
      <x:c r="Y295" s="24" t="str">
        <x:v>Internal development; public candidate requires gate</x:v>
      </x:c>
      <x:c r="Z295" s="24" t="str">
        <x:v>H6 legal/content audit</x:v>
      </x:c>
      <x:c r="AA295" s="24" t="str">
        <x:v>VRM Games</x:v>
      </x:c>
      <x:c r="AB295" s="24" t="str">
        <x:v>No se detectó proveedor externo en la ruta; confirmar autoría por lote antes de release público.</x:v>
      </x:c>
    </x:row>
    <x:row r="296" ht="34" customHeight="1">
      <x:c r="A296" s="24" t="str">
        <x:v>INT-0292</x:v>
      </x:c>
      <x:c r="B296" s="24" t="str">
        <x:v>94a801d20a8743ea81d78cb2507a27e9</x:v>
      </x:c>
      <x:c r="C296" s="24" t="str">
        <x:v>CustomerDrainService.cs</x:v>
      </x:c>
      <x:c r="D296" s="24" t="str">
        <x:v>Code</x:v>
      </x:c>
      <x:c r="E296" s="24" t="str">
        <x:v>Application</x:v>
      </x:c>
      <x:c r="F296" s="24" t="str">
        <x:v>VRM Games / Blas Luis Rocha González</x:v>
      </x:c>
      <x:c r="G296" s="24" t="str">
        <x:v>VRM Games / Blas Luis Rocha González</x:v>
      </x:c>
      <x:c r="H296" s="24" t="str">
        <x:v>Internal project production</x:v>
      </x:c>
      <x:c r="I296" s="24" t="str">
        <x:v>2026 project timeline</x:v>
      </x:c>
      <x:c r="J296" s="24" t="str">
        <x:v>Internal project IP / authorship claim</x:v>
      </x:c>
      <x:c r="K296" s="24" t="str">
        <x:v>N/A</x:v>
      </x:c>
      <x:c r="L296" s="24" t="str">
        <x:v>Source package + repository path + hash</x:v>
      </x:c>
      <x:c r="M296" s="24" t="str">
        <x:v>15f0a9f55d736199db5ed273037e9dfb8b6e48d86847f635fae863d4e5f9ce39</x:v>
      </x:c>
      <x:c r="N296" s="24" t="str">
        <x:v>Assets/_Project/Scripts/Application/DayCycle/CustomerDrainService.cs</x:v>
      </x:c>
      <x:c r="O296" s="24" t="str">
        <x:v>94a801d20a8743ea81d78cb2507a27e9</x:v>
      </x:c>
      <x:c r="P296" s="24" t="str">
        <x:v>Sí</x:v>
      </x:c>
      <x:c r="Q296" s="24" t="str">
        <x:v>Condicionado a autoría/procedencia final</x:v>
      </x:c>
      <x:c r="R296" s="24" t="str">
        <x:v>Solo dentro del producto/build autorizado</x:v>
      </x:c>
      <x:c r="S296" s="24" t="str">
        <x:v>Crédito general del estudio; individual si aplica</x:v>
      </x:c>
      <x:c r="T296" s="24" t="str">
        <x:v>VRM Games / Blas Luis Rocha González</x:v>
      </x:c>
      <x:c r="U296" s="24" t="str">
        <x:v>CURRENT PROJECT ASSET</x:v>
      </x:c>
      <x:c r="V296" s="24" t="str">
        <x:v>CONDITIONALLY APPROVED</x:v>
      </x:c>
      <x:c r="W296" s="24" t="str">
        <x:v>Sí</x:v>
      </x:c>
      <x:c r="X296" s="24" t="str">
        <x:v>Low</x:v>
      </x:c>
      <x:c r="Y296" s="24" t="str">
        <x:v>Internal development; public candidate requires gate</x:v>
      </x:c>
      <x:c r="Z296" s="24" t="str">
        <x:v>H6 legal/content audit</x:v>
      </x:c>
      <x:c r="AA296" s="24" t="str">
        <x:v>VRM Games</x:v>
      </x:c>
      <x:c r="AB296" s="24" t="str">
        <x:v>No se detectó proveedor externo en la ruta; confirmar autoría por lote antes de release público.</x:v>
      </x:c>
    </x:row>
    <x:row r="297" ht="34" customHeight="1">
      <x:c r="A297" s="24" t="str">
        <x:v>INT-0293</x:v>
      </x:c>
      <x:c r="B297" s="24" t="str">
        <x:v>f4afe5b0d1c14cd5b33e4a5e9b7a58f9</x:v>
      </x:c>
      <x:c r="C297" s="24" t="str">
        <x:v>StoreClosureCoordinator.cs</x:v>
      </x:c>
      <x:c r="D297" s="24" t="str">
        <x:v>Code</x:v>
      </x:c>
      <x:c r="E297" s="24" t="str">
        <x:v>Application</x:v>
      </x:c>
      <x:c r="F297" s="24" t="str">
        <x:v>VRM Games / Blas Luis Rocha González</x:v>
      </x:c>
      <x:c r="G297" s="24" t="str">
        <x:v>VRM Games / Blas Luis Rocha González</x:v>
      </x:c>
      <x:c r="H297" s="24" t="str">
        <x:v>Internal project production</x:v>
      </x:c>
      <x:c r="I297" s="24" t="str">
        <x:v>2026 project timeline</x:v>
      </x:c>
      <x:c r="J297" s="24" t="str">
        <x:v>Internal project IP / authorship claim</x:v>
      </x:c>
      <x:c r="K297" s="24" t="str">
        <x:v>N/A</x:v>
      </x:c>
      <x:c r="L297" s="24" t="str">
        <x:v>Source package + repository path + hash</x:v>
      </x:c>
      <x:c r="M297" s="24" t="str">
        <x:v>f4b134b715f32a098b11d228f38f84a2f773d7696f6c56f18cf2eaf3105e3584</x:v>
      </x:c>
      <x:c r="N297" s="24" t="str">
        <x:v>Assets/_Project/Scripts/Application/DayCycle/StoreClosureCoordinator.cs</x:v>
      </x:c>
      <x:c r="O297" s="24" t="str">
        <x:v>f4afe5b0d1c14cd5b33e4a5e9b7a58f9</x:v>
      </x:c>
      <x:c r="P297" s="24" t="str">
        <x:v>Sí</x:v>
      </x:c>
      <x:c r="Q297" s="24" t="str">
        <x:v>Condicionado a autoría/procedencia final</x:v>
      </x:c>
      <x:c r="R297" s="24" t="str">
        <x:v>Solo dentro del producto/build autorizado</x:v>
      </x:c>
      <x:c r="S297" s="24" t="str">
        <x:v>Crédito general del estudio; individual si aplica</x:v>
      </x:c>
      <x:c r="T297" s="24" t="str">
        <x:v>VRM Games / Blas Luis Rocha González</x:v>
      </x:c>
      <x:c r="U297" s="24" t="str">
        <x:v>CURRENT PROJECT ASSET</x:v>
      </x:c>
      <x:c r="V297" s="24" t="str">
        <x:v>CONDITIONALLY APPROVED</x:v>
      </x:c>
      <x:c r="W297" s="24" t="str">
        <x:v>Sí</x:v>
      </x:c>
      <x:c r="X297" s="24" t="str">
        <x:v>Low</x:v>
      </x:c>
      <x:c r="Y297" s="24" t="str">
        <x:v>Internal development; public candidate requires gate</x:v>
      </x:c>
      <x:c r="Z297" s="24" t="str">
        <x:v>H6 legal/content audit</x:v>
      </x:c>
      <x:c r="AA297" s="24" t="str">
        <x:v>VRM Games</x:v>
      </x:c>
      <x:c r="AB297" s="24" t="str">
        <x:v>No se detectó proveedor externo en la ruta; confirmar autoría por lote antes de release público.</x:v>
      </x:c>
    </x:row>
    <x:row r="298" ht="34" customHeight="1">
      <x:c r="A298" s="24" t="str">
        <x:v>INT-0294</x:v>
      </x:c>
      <x:c r="B298" s="24" t="str">
        <x:v>cd02271cfc4a4dfcb94e689edeccd56e</x:v>
      </x:c>
      <x:c r="C298" s="24" t="str">
        <x:v>StoreClosureSnapshotFactory.cs</x:v>
      </x:c>
      <x:c r="D298" s="24" t="str">
        <x:v>Code</x:v>
      </x:c>
      <x:c r="E298" s="24" t="str">
        <x:v>Application</x:v>
      </x:c>
      <x:c r="F298" s="24" t="str">
        <x:v>VRM Games / Blas Luis Rocha González</x:v>
      </x:c>
      <x:c r="G298" s="24" t="str">
        <x:v>VRM Games / Blas Luis Rocha González</x:v>
      </x:c>
      <x:c r="H298" s="24" t="str">
        <x:v>Internal project production</x:v>
      </x:c>
      <x:c r="I298" s="24" t="str">
        <x:v>2026 project timeline</x:v>
      </x:c>
      <x:c r="J298" s="24" t="str">
        <x:v>Internal project IP / authorship claim</x:v>
      </x:c>
      <x:c r="K298" s="24" t="str">
        <x:v>N/A</x:v>
      </x:c>
      <x:c r="L298" s="24" t="str">
        <x:v>Source package + repository path + hash</x:v>
      </x:c>
      <x:c r="M298" s="24" t="str">
        <x:v>96b6d3dc818f2d54781ccf9987a1c88fd942e14cce0bf03e0dc51a776c7d60ba</x:v>
      </x:c>
      <x:c r="N298" s="24" t="str">
        <x:v>Assets/_Project/Scripts/Application/DayCycle/StoreClosureSnapshotFactory.cs</x:v>
      </x:c>
      <x:c r="O298" s="24" t="str">
        <x:v>cd02271cfc4a4dfcb94e689edeccd56e</x:v>
      </x:c>
      <x:c r="P298" s="24" t="str">
        <x:v>Sí</x:v>
      </x:c>
      <x:c r="Q298" s="24" t="str">
        <x:v>Condicionado a autoría/procedencia final</x:v>
      </x:c>
      <x:c r="R298" s="24" t="str">
        <x:v>Solo dentro del producto/build autorizado</x:v>
      </x:c>
      <x:c r="S298" s="24" t="str">
        <x:v>Crédito general del estudio; individual si aplica</x:v>
      </x:c>
      <x:c r="T298" s="24" t="str">
        <x:v>VRM Games / Blas Luis Rocha González</x:v>
      </x:c>
      <x:c r="U298" s="24" t="str">
        <x:v>CURRENT PROJECT ASSET</x:v>
      </x:c>
      <x:c r="V298" s="24" t="str">
        <x:v>CONDITIONALLY APPROVED</x:v>
      </x:c>
      <x:c r="W298" s="24" t="str">
        <x:v>Sí</x:v>
      </x:c>
      <x:c r="X298" s="24" t="str">
        <x:v>Low</x:v>
      </x:c>
      <x:c r="Y298" s="24" t="str">
        <x:v>Internal development; public candidate requires gate</x:v>
      </x:c>
      <x:c r="Z298" s="24" t="str">
        <x:v>H6 legal/content audit</x:v>
      </x:c>
      <x:c r="AA298" s="24" t="str">
        <x:v>VRM Games</x:v>
      </x:c>
      <x:c r="AB298" s="24" t="str">
        <x:v>No se detectó proveedor externo en la ruta; confirmar autoría por lote antes de release público.</x:v>
      </x:c>
    </x:row>
    <x:row r="299" ht="34" customHeight="1">
      <x:c r="A299" s="24" t="str">
        <x:v>INT-0295</x:v>
      </x:c>
      <x:c r="B299" s="24" t="str">
        <x:v>d3bdc48f86ed48c295705c0b45797418</x:v>
      </x:c>
      <x:c r="C299" s="24" t="str">
        <x:v>StoreDayService.cs</x:v>
      </x:c>
      <x:c r="D299" s="24" t="str">
        <x:v>Code</x:v>
      </x:c>
      <x:c r="E299" s="24" t="str">
        <x:v>Application</x:v>
      </x:c>
      <x:c r="F299" s="24" t="str">
        <x:v>VRM Games / Blas Luis Rocha González</x:v>
      </x:c>
      <x:c r="G299" s="24" t="str">
        <x:v>VRM Games / Blas Luis Rocha González</x:v>
      </x:c>
      <x:c r="H299" s="24" t="str">
        <x:v>Internal project production</x:v>
      </x:c>
      <x:c r="I299" s="24" t="str">
        <x:v>2026 project timeline</x:v>
      </x:c>
      <x:c r="J299" s="24" t="str">
        <x:v>Internal project IP / authorship claim</x:v>
      </x:c>
      <x:c r="K299" s="24" t="str">
        <x:v>N/A</x:v>
      </x:c>
      <x:c r="L299" s="24" t="str">
        <x:v>Source package + repository path + hash</x:v>
      </x:c>
      <x:c r="M299" s="24" t="str">
        <x:v>038edf01e0068ac1378f946993efeecd827fd5d02af37cd4a1cf1b1e7c5a2c85</x:v>
      </x:c>
      <x:c r="N299" s="24" t="str">
        <x:v>Assets/_Project/Scripts/Application/DayCycle/StoreDayService.cs</x:v>
      </x:c>
      <x:c r="O299" s="24" t="str">
        <x:v>d3bdc48f86ed48c295705c0b45797418</x:v>
      </x:c>
      <x:c r="P299" s="24" t="str">
        <x:v>Sí</x:v>
      </x:c>
      <x:c r="Q299" s="24" t="str">
        <x:v>Condicionado a autoría/procedencia final</x:v>
      </x:c>
      <x:c r="R299" s="24" t="str">
        <x:v>Solo dentro del producto/build autorizado</x:v>
      </x:c>
      <x:c r="S299" s="24" t="str">
        <x:v>Crédito general del estudio; individual si aplica</x:v>
      </x:c>
      <x:c r="T299" s="24" t="str">
        <x:v>VRM Games / Blas Luis Rocha González</x:v>
      </x:c>
      <x:c r="U299" s="24" t="str">
        <x:v>CURRENT PROJECT ASSET</x:v>
      </x:c>
      <x:c r="V299" s="24" t="str">
        <x:v>CONDITIONALLY APPROVED</x:v>
      </x:c>
      <x:c r="W299" s="24" t="str">
        <x:v>Sí</x:v>
      </x:c>
      <x:c r="X299" s="24" t="str">
        <x:v>Low</x:v>
      </x:c>
      <x:c r="Y299" s="24" t="str">
        <x:v>Internal development; public candidate requires gate</x:v>
      </x:c>
      <x:c r="Z299" s="24" t="str">
        <x:v>H6 legal/content audit</x:v>
      </x:c>
      <x:c r="AA299" s="24" t="str">
        <x:v>VRM Games</x:v>
      </x:c>
      <x:c r="AB299" s="24" t="str">
        <x:v>No se detectó proveedor externo en la ruta; confirmar autoría por lote antes de release público.</x:v>
      </x:c>
    </x:row>
    <x:row r="300" ht="34" customHeight="1">
      <x:c r="A300" s="24" t="str">
        <x:v>INT-0296</x:v>
      </x:c>
      <x:c r="B300" s="24" t="str">
        <x:v>c944210b82ab45d2b8b3d359fb9a7278</x:v>
      </x:c>
      <x:c r="C300" s="24" t="str">
        <x:v>DisplayRestockFailureReason.cs</x:v>
      </x:c>
      <x:c r="D300" s="24" t="str">
        <x:v>Code</x:v>
      </x:c>
      <x:c r="E300" s="24" t="str">
        <x:v>Application</x:v>
      </x:c>
      <x:c r="F300" s="24" t="str">
        <x:v>VRM Games / Blas Luis Rocha González</x:v>
      </x:c>
      <x:c r="G300" s="24" t="str">
        <x:v>VRM Games / Blas Luis Rocha González</x:v>
      </x:c>
      <x:c r="H300" s="24" t="str">
        <x:v>Internal project production</x:v>
      </x:c>
      <x:c r="I300" s="24" t="str">
        <x:v>2026 project timeline</x:v>
      </x:c>
      <x:c r="J300" s="24" t="str">
        <x:v>Internal project IP / authorship claim</x:v>
      </x:c>
      <x:c r="K300" s="24" t="str">
        <x:v>N/A</x:v>
      </x:c>
      <x:c r="L300" s="24" t="str">
        <x:v>Source package + repository path + hash</x:v>
      </x:c>
      <x:c r="M300" s="24" t="str">
        <x:v>3c9aaf9671bb011d898cb11f2b087a175da4ad0390d90074ff507bfd4b97a569</x:v>
      </x:c>
      <x:c r="N300" s="24" t="str">
        <x:v>Assets/_Project/Scripts/Application/Displays/DisplayRestockFailureReason.cs</x:v>
      </x:c>
      <x:c r="O300" s="24" t="str">
        <x:v>c944210b82ab45d2b8b3d359fb9a7278</x:v>
      </x:c>
      <x:c r="P300" s="24" t="str">
        <x:v>Sí</x:v>
      </x:c>
      <x:c r="Q300" s="24" t="str">
        <x:v>Condicionado a autoría/procedencia final</x:v>
      </x:c>
      <x:c r="R300" s="24" t="str">
        <x:v>Solo dentro del producto/build autorizado</x:v>
      </x:c>
      <x:c r="S300" s="24" t="str">
        <x:v>Crédito general del estudio; individual si aplica</x:v>
      </x:c>
      <x:c r="T300" s="24" t="str">
        <x:v>VRM Games / Blas Luis Rocha González</x:v>
      </x:c>
      <x:c r="U300" s="24" t="str">
        <x:v>CURRENT PROJECT ASSET</x:v>
      </x:c>
      <x:c r="V300" s="24" t="str">
        <x:v>CONDITIONALLY APPROVED</x:v>
      </x:c>
      <x:c r="W300" s="24" t="str">
        <x:v>Sí</x:v>
      </x:c>
      <x:c r="X300" s="24" t="str">
        <x:v>Low</x:v>
      </x:c>
      <x:c r="Y300" s="24" t="str">
        <x:v>Internal development; public candidate requires gate</x:v>
      </x:c>
      <x:c r="Z300" s="24" t="str">
        <x:v>H6 legal/content audit</x:v>
      </x:c>
      <x:c r="AA300" s="24" t="str">
        <x:v>VRM Games</x:v>
      </x:c>
      <x:c r="AB300" s="24" t="str">
        <x:v>No se detectó proveedor externo en la ruta; confirmar autoría por lote antes de release público.</x:v>
      </x:c>
    </x:row>
    <x:row r="301" ht="34" customHeight="1">
      <x:c r="A301" s="24" t="str">
        <x:v>INT-0297</x:v>
      </x:c>
      <x:c r="B301" s="24" t="str">
        <x:v>dba5fc5aa87641f2bb7f9bd121479934</x:v>
      </x:c>
      <x:c r="C301" s="24" t="str">
        <x:v>DisplayRestockResult.cs</x:v>
      </x:c>
      <x:c r="D301" s="24" t="str">
        <x:v>Code</x:v>
      </x:c>
      <x:c r="E301" s="24" t="str">
        <x:v>Application</x:v>
      </x:c>
      <x:c r="F301" s="24" t="str">
        <x:v>VRM Games / Blas Luis Rocha González</x:v>
      </x:c>
      <x:c r="G301" s="24" t="str">
        <x:v>VRM Games / Blas Luis Rocha González</x:v>
      </x:c>
      <x:c r="H301" s="24" t="str">
        <x:v>Internal project production</x:v>
      </x:c>
      <x:c r="I301" s="24" t="str">
        <x:v>2026 project timeline</x:v>
      </x:c>
      <x:c r="J301" s="24" t="str">
        <x:v>Internal project IP / authorship claim</x:v>
      </x:c>
      <x:c r="K301" s="24" t="str">
        <x:v>N/A</x:v>
      </x:c>
      <x:c r="L301" s="24" t="str">
        <x:v>Source package + repository path + hash</x:v>
      </x:c>
      <x:c r="M301" s="24" t="str">
        <x:v>c795fa5e8bef506cb1043461f88bcb9af7bc2fcebb79562150ed7a2409e21ee9</x:v>
      </x:c>
      <x:c r="N301" s="24" t="str">
        <x:v>Assets/_Project/Scripts/Application/Displays/DisplayRestockResult.cs</x:v>
      </x:c>
      <x:c r="O301" s="24" t="str">
        <x:v>dba5fc5aa87641f2bb7f9bd121479934</x:v>
      </x:c>
      <x:c r="P301" s="24" t="str">
        <x:v>Sí</x:v>
      </x:c>
      <x:c r="Q301" s="24" t="str">
        <x:v>Condicionado a autoría/procedencia final</x:v>
      </x:c>
      <x:c r="R301" s="24" t="str">
        <x:v>Solo dentro del producto/build autorizado</x:v>
      </x:c>
      <x:c r="S301" s="24" t="str">
        <x:v>Crédito general del estudio; individual si aplica</x:v>
      </x:c>
      <x:c r="T301" s="24" t="str">
        <x:v>VRM Games / Blas Luis Rocha González</x:v>
      </x:c>
      <x:c r="U301" s="24" t="str">
        <x:v>CURRENT PROJECT ASSET</x:v>
      </x:c>
      <x:c r="V301" s="24" t="str">
        <x:v>CONDITIONALLY APPROVED</x:v>
      </x:c>
      <x:c r="W301" s="24" t="str">
        <x:v>Sí</x:v>
      </x:c>
      <x:c r="X301" s="24" t="str">
        <x:v>Low</x:v>
      </x:c>
      <x:c r="Y301" s="24" t="str">
        <x:v>Internal development; public candidate requires gate</x:v>
      </x:c>
      <x:c r="Z301" s="24" t="str">
        <x:v>H6 legal/content audit</x:v>
      </x:c>
      <x:c r="AA301" s="24" t="str">
        <x:v>VRM Games</x:v>
      </x:c>
      <x:c r="AB301" s="24" t="str">
        <x:v>No se detectó proveedor externo en la ruta; confirmar autoría por lote antes de release público.</x:v>
      </x:c>
    </x:row>
    <x:row r="302" ht="34" customHeight="1">
      <x:c r="A302" s="24" t="str">
        <x:v>INT-0298</x:v>
      </x:c>
      <x:c r="B302" s="24" t="str">
        <x:v>0591b4c6b3b54dea8435785f99406c1f</x:v>
      </x:c>
      <x:c r="C302" s="24" t="str">
        <x:v>DisplayRestockService.cs</x:v>
      </x:c>
      <x:c r="D302" s="24" t="str">
        <x:v>Code</x:v>
      </x:c>
      <x:c r="E302" s="24" t="str">
        <x:v>Application</x:v>
      </x:c>
      <x:c r="F302" s="24" t="str">
        <x:v>VRM Games / Blas Luis Rocha González</x:v>
      </x:c>
      <x:c r="G302" s="24" t="str">
        <x:v>VRM Games / Blas Luis Rocha González</x:v>
      </x:c>
      <x:c r="H302" s="24" t="str">
        <x:v>Internal project production</x:v>
      </x:c>
      <x:c r="I302" s="24" t="str">
        <x:v>2026 project timeline</x:v>
      </x:c>
      <x:c r="J302" s="24" t="str">
        <x:v>Internal project IP / authorship claim</x:v>
      </x:c>
      <x:c r="K302" s="24" t="str">
        <x:v>N/A</x:v>
      </x:c>
      <x:c r="L302" s="24" t="str">
        <x:v>Source package + repository path + hash</x:v>
      </x:c>
      <x:c r="M302" s="24" t="str">
        <x:v>662ab0d432bd64ebee089713ee3cc71fc626f48816df2dff0bb978ed0921dc37</x:v>
      </x:c>
      <x:c r="N302" s="24" t="str">
        <x:v>Assets/_Project/Scripts/Application/Displays/DisplayRestockService.cs</x:v>
      </x:c>
      <x:c r="O302" s="24" t="str">
        <x:v>0591b4c6b3b54dea8435785f99406c1f</x:v>
      </x:c>
      <x:c r="P302" s="24" t="str">
        <x:v>Sí</x:v>
      </x:c>
      <x:c r="Q302" s="24" t="str">
        <x:v>Condicionado a autoría/procedencia final</x:v>
      </x:c>
      <x:c r="R302" s="24" t="str">
        <x:v>Solo dentro del producto/build autorizado</x:v>
      </x:c>
      <x:c r="S302" s="24" t="str">
        <x:v>Crédito general del estudio; individual si aplica</x:v>
      </x:c>
      <x:c r="T302" s="24" t="str">
        <x:v>VRM Games / Blas Luis Rocha González</x:v>
      </x:c>
      <x:c r="U302" s="24" t="str">
        <x:v>CURRENT PROJECT ASSET</x:v>
      </x:c>
      <x:c r="V302" s="24" t="str">
        <x:v>CONDITIONALLY APPROVED</x:v>
      </x:c>
      <x:c r="W302" s="24" t="str">
        <x:v>Sí</x:v>
      </x:c>
      <x:c r="X302" s="24" t="str">
        <x:v>Low</x:v>
      </x:c>
      <x:c r="Y302" s="24" t="str">
        <x:v>Internal development; public candidate requires gate</x:v>
      </x:c>
      <x:c r="Z302" s="24" t="str">
        <x:v>H6 legal/content audit</x:v>
      </x:c>
      <x:c r="AA302" s="24" t="str">
        <x:v>VRM Games</x:v>
      </x:c>
      <x:c r="AB302" s="24" t="str">
        <x:v>No se detectó proveedor externo en la ruta; confirmar autoría por lote antes de release público.</x:v>
      </x:c>
    </x:row>
    <x:row r="303" ht="34" customHeight="1">
      <x:c r="A303" s="24" t="str">
        <x:v>INT-0299</x:v>
      </x:c>
      <x:c r="B303" s="24" t="str">
        <x:v>ece1d3e5d55943a59c2f0c2fbb46e13e</x:v>
      </x:c>
      <x:c r="C303" s="24" t="str">
        <x:v>DisplayReturnStockFailureReason.cs</x:v>
      </x:c>
      <x:c r="D303" s="24" t="str">
        <x:v>Code</x:v>
      </x:c>
      <x:c r="E303" s="24" t="str">
        <x:v>Application</x:v>
      </x:c>
      <x:c r="F303" s="24" t="str">
        <x:v>VRM Games / Blas Luis Rocha González</x:v>
      </x:c>
      <x:c r="G303" s="24" t="str">
        <x:v>VRM Games / Blas Luis Rocha González</x:v>
      </x:c>
      <x:c r="H303" s="24" t="str">
        <x:v>Internal project production</x:v>
      </x:c>
      <x:c r="I303" s="24" t="str">
        <x:v>2026 project timeline</x:v>
      </x:c>
      <x:c r="J303" s="24" t="str">
        <x:v>Internal project IP / authorship claim</x:v>
      </x:c>
      <x:c r="K303" s="24" t="str">
        <x:v>N/A</x:v>
      </x:c>
      <x:c r="L303" s="24" t="str">
        <x:v>Source package + repository path + hash</x:v>
      </x:c>
      <x:c r="M303" s="24" t="str">
        <x:v>1de892950850dc311d95b3f4f0255926e10e111fbaad3abd5294610b9581227d</x:v>
      </x:c>
      <x:c r="N303" s="24" t="str">
        <x:v>Assets/_Project/Scripts/Application/Displays/DisplayReturnStockFailureReason.cs</x:v>
      </x:c>
      <x:c r="O303" s="24" t="str">
        <x:v>ece1d3e5d55943a59c2f0c2fbb46e13e</x:v>
      </x:c>
      <x:c r="P303" s="24" t="str">
        <x:v>Sí</x:v>
      </x:c>
      <x:c r="Q303" s="24" t="str">
        <x:v>Condicionado a autoría/procedencia final</x:v>
      </x:c>
      <x:c r="R303" s="24" t="str">
        <x:v>Solo dentro del producto/build autorizado</x:v>
      </x:c>
      <x:c r="S303" s="24" t="str">
        <x:v>Crédito general del estudio; individual si aplica</x:v>
      </x:c>
      <x:c r="T303" s="24" t="str">
        <x:v>VRM Games / Blas Luis Rocha González</x:v>
      </x:c>
      <x:c r="U303" s="24" t="str">
        <x:v>CURRENT PROJECT ASSET</x:v>
      </x:c>
      <x:c r="V303" s="24" t="str">
        <x:v>CONDITIONALLY APPROVED</x:v>
      </x:c>
      <x:c r="W303" s="24" t="str">
        <x:v>Sí</x:v>
      </x:c>
      <x:c r="X303" s="24" t="str">
        <x:v>Low</x:v>
      </x:c>
      <x:c r="Y303" s="24" t="str">
        <x:v>Internal development; public candidate requires gate</x:v>
      </x:c>
      <x:c r="Z303" s="24" t="str">
        <x:v>H6 legal/content audit</x:v>
      </x:c>
      <x:c r="AA303" s="24" t="str">
        <x:v>VRM Games</x:v>
      </x:c>
      <x:c r="AB303" s="24" t="str">
        <x:v>No se detectó proveedor externo en la ruta; confirmar autoría por lote antes de release público.</x:v>
      </x:c>
    </x:row>
    <x:row r="304" ht="34" customHeight="1">
      <x:c r="A304" s="24" t="str">
        <x:v>INT-0300</x:v>
      </x:c>
      <x:c r="B304" s="24" t="str">
        <x:v>09e87872e6eb4d619889174f541587f8</x:v>
      </x:c>
      <x:c r="C304" s="24" t="str">
        <x:v>DisplayReturnStockResult.cs</x:v>
      </x:c>
      <x:c r="D304" s="24" t="str">
        <x:v>Code</x:v>
      </x:c>
      <x:c r="E304" s="24" t="str">
        <x:v>Application</x:v>
      </x:c>
      <x:c r="F304" s="24" t="str">
        <x:v>VRM Games / Blas Luis Rocha González</x:v>
      </x:c>
      <x:c r="G304" s="24" t="str">
        <x:v>VRM Games / Blas Luis Rocha González</x:v>
      </x:c>
      <x:c r="H304" s="24" t="str">
        <x:v>Internal project production</x:v>
      </x:c>
      <x:c r="I304" s="24" t="str">
        <x:v>2026 project timeline</x:v>
      </x:c>
      <x:c r="J304" s="24" t="str">
        <x:v>Internal project IP / authorship claim</x:v>
      </x:c>
      <x:c r="K304" s="24" t="str">
        <x:v>N/A</x:v>
      </x:c>
      <x:c r="L304" s="24" t="str">
        <x:v>Source package + repository path + hash</x:v>
      </x:c>
      <x:c r="M304" s="24" t="str">
        <x:v>91be410e2edc0b3d85a51250985b4c8550b4eb98f657cb8b33de06a88c576324</x:v>
      </x:c>
      <x:c r="N304" s="24" t="str">
        <x:v>Assets/_Project/Scripts/Application/Displays/DisplayReturnStockResult.cs</x:v>
      </x:c>
      <x:c r="O304" s="24" t="str">
        <x:v>09e87872e6eb4d619889174f541587f8</x:v>
      </x:c>
      <x:c r="P304" s="24" t="str">
        <x:v>Sí</x:v>
      </x:c>
      <x:c r="Q304" s="24" t="str">
        <x:v>Condicionado a autoría/procedencia final</x:v>
      </x:c>
      <x:c r="R304" s="24" t="str">
        <x:v>Solo dentro del producto/build autorizado</x:v>
      </x:c>
      <x:c r="S304" s="24" t="str">
        <x:v>Crédito general del estudio; individual si aplica</x:v>
      </x:c>
      <x:c r="T304" s="24" t="str">
        <x:v>VRM Games / Blas Luis Rocha González</x:v>
      </x:c>
      <x:c r="U304" s="24" t="str">
        <x:v>CURRENT PROJECT ASSET</x:v>
      </x:c>
      <x:c r="V304" s="24" t="str">
        <x:v>CONDITIONALLY APPROVED</x:v>
      </x:c>
      <x:c r="W304" s="24" t="str">
        <x:v>Sí</x:v>
      </x:c>
      <x:c r="X304" s="24" t="str">
        <x:v>Low</x:v>
      </x:c>
      <x:c r="Y304" s="24" t="str">
        <x:v>Internal development; public candidate requires gate</x:v>
      </x:c>
      <x:c r="Z304" s="24" t="str">
        <x:v>H6 legal/content audit</x:v>
      </x:c>
      <x:c r="AA304" s="24" t="str">
        <x:v>VRM Games</x:v>
      </x:c>
      <x:c r="AB304" s="24" t="str">
        <x:v>No se detectó proveedor externo en la ruta; confirmar autoría por lote antes de release público.</x:v>
      </x:c>
    </x:row>
    <x:row r="305" ht="34" customHeight="1">
      <x:c r="A305" s="24" t="str">
        <x:v>INT-0301</x:v>
      </x:c>
      <x:c r="B305" s="24" t="str">
        <x:v>22cae9906f6247059a2748595d1966da</x:v>
      </x:c>
      <x:c r="C305" s="24" t="str">
        <x:v>DisplayReturnStockService.cs</x:v>
      </x:c>
      <x:c r="D305" s="24" t="str">
        <x:v>Code</x:v>
      </x:c>
      <x:c r="E305" s="24" t="str">
        <x:v>Application</x:v>
      </x:c>
      <x:c r="F305" s="24" t="str">
        <x:v>VRM Games / Blas Luis Rocha González</x:v>
      </x:c>
      <x:c r="G305" s="24" t="str">
        <x:v>VRM Games / Blas Luis Rocha González</x:v>
      </x:c>
      <x:c r="H305" s="24" t="str">
        <x:v>Internal project production</x:v>
      </x:c>
      <x:c r="I305" s="24" t="str">
        <x:v>2026 project timeline</x:v>
      </x:c>
      <x:c r="J305" s="24" t="str">
        <x:v>Internal project IP / authorship claim</x:v>
      </x:c>
      <x:c r="K305" s="24" t="str">
        <x:v>N/A</x:v>
      </x:c>
      <x:c r="L305" s="24" t="str">
        <x:v>Source package + repository path + hash</x:v>
      </x:c>
      <x:c r="M305" s="24" t="str">
        <x:v>ccb0026a7cfa9f25a51a88f7bc47b87f07a7bc4d6cebe288f70b26b463a7d490</x:v>
      </x:c>
      <x:c r="N305" s="24" t="str">
        <x:v>Assets/_Project/Scripts/Application/Displays/DisplayReturnStockService.cs</x:v>
      </x:c>
      <x:c r="O305" s="24" t="str">
        <x:v>22cae9906f6247059a2748595d1966da</x:v>
      </x:c>
      <x:c r="P305" s="24" t="str">
        <x:v>Sí</x:v>
      </x:c>
      <x:c r="Q305" s="24" t="str">
        <x:v>Condicionado a autoría/procedencia final</x:v>
      </x:c>
      <x:c r="R305" s="24" t="str">
        <x:v>Solo dentro del producto/build autorizado</x:v>
      </x:c>
      <x:c r="S305" s="24" t="str">
        <x:v>Crédito general del estudio; individual si aplica</x:v>
      </x:c>
      <x:c r="T305" s="24" t="str">
        <x:v>VRM Games / Blas Luis Rocha González</x:v>
      </x:c>
      <x:c r="U305" s="24" t="str">
        <x:v>CURRENT PROJECT ASSET</x:v>
      </x:c>
      <x:c r="V305" s="24" t="str">
        <x:v>CONDITIONALLY APPROVED</x:v>
      </x:c>
      <x:c r="W305" s="24" t="str">
        <x:v>Sí</x:v>
      </x:c>
      <x:c r="X305" s="24" t="str">
        <x:v>Low</x:v>
      </x:c>
      <x:c r="Y305" s="24" t="str">
        <x:v>Internal development; public candidate requires gate</x:v>
      </x:c>
      <x:c r="Z305" s="24" t="str">
        <x:v>H6 legal/content audit</x:v>
      </x:c>
      <x:c r="AA305" s="24" t="str">
        <x:v>VRM Games</x:v>
      </x:c>
      <x:c r="AB305" s="24" t="str">
        <x:v>No se detectó proveedor externo en la ruta; confirmar autoría por lote antes de release público.</x:v>
      </x:c>
    </x:row>
    <x:row r="306" ht="34" customHeight="1">
      <x:c r="A306" s="24" t="str">
        <x:v>INT-0302</x:v>
      </x:c>
      <x:c r="B306" s="24" t="str">
        <x:v>c4b27336deba4fe7bdba4a1cac88e945</x:v>
      </x:c>
      <x:c r="C306" s="24" t="str">
        <x:v>CheckoutEconomyService.cs</x:v>
      </x:c>
      <x:c r="D306" s="24" t="str">
        <x:v>Code</x:v>
      </x:c>
      <x:c r="E306" s="24" t="str">
        <x:v>Application</x:v>
      </x:c>
      <x:c r="F306" s="24" t="str">
        <x:v>VRM Games / Blas Luis Rocha González</x:v>
      </x:c>
      <x:c r="G306" s="24" t="str">
        <x:v>VRM Games / Blas Luis Rocha González</x:v>
      </x:c>
      <x:c r="H306" s="24" t="str">
        <x:v>Internal project production</x:v>
      </x:c>
      <x:c r="I306" s="24" t="str">
        <x:v>2026 project timeline</x:v>
      </x:c>
      <x:c r="J306" s="24" t="str">
        <x:v>Internal project IP / authorship claim</x:v>
      </x:c>
      <x:c r="K306" s="24" t="str">
        <x:v>N/A</x:v>
      </x:c>
      <x:c r="L306" s="24" t="str">
        <x:v>Source package + repository path + hash</x:v>
      </x:c>
      <x:c r="M306" s="24" t="str">
        <x:v>82eae9476c017c52889506b857418c411d07a4bfbca47d2062fbf47a1167f5af</x:v>
      </x:c>
      <x:c r="N306" s="24" t="str">
        <x:v>Assets/_Project/Scripts/Application/Economy/CheckoutEconomyService.cs</x:v>
      </x:c>
      <x:c r="O306" s="24" t="str">
        <x:v>c4b27336deba4fe7bdba4a1cac88e945</x:v>
      </x:c>
      <x:c r="P306" s="24" t="str">
        <x:v>Sí</x:v>
      </x:c>
      <x:c r="Q306" s="24" t="str">
        <x:v>Condicionado a autoría/procedencia final</x:v>
      </x:c>
      <x:c r="R306" s="24" t="str">
        <x:v>Solo dentro del producto/build autorizado</x:v>
      </x:c>
      <x:c r="S306" s="24" t="str">
        <x:v>Crédito general del estudio; individual si aplica</x:v>
      </x:c>
      <x:c r="T306" s="24" t="str">
        <x:v>VRM Games / Blas Luis Rocha González</x:v>
      </x:c>
      <x:c r="U306" s="24" t="str">
        <x:v>CURRENT PROJECT ASSET</x:v>
      </x:c>
      <x:c r="V306" s="24" t="str">
        <x:v>CONDITIONALLY APPROVED</x:v>
      </x:c>
      <x:c r="W306" s="24" t="str">
        <x:v>Sí</x:v>
      </x:c>
      <x:c r="X306" s="24" t="str">
        <x:v>Low</x:v>
      </x:c>
      <x:c r="Y306" s="24" t="str">
        <x:v>Internal development; public candidate requires gate</x:v>
      </x:c>
      <x:c r="Z306" s="24" t="str">
        <x:v>H6 legal/content audit</x:v>
      </x:c>
      <x:c r="AA306" s="24" t="str">
        <x:v>VRM Games</x:v>
      </x:c>
      <x:c r="AB306" s="24" t="str">
        <x:v>No se detectó proveedor externo en la ruta; confirmar autoría por lote antes de release público.</x:v>
      </x:c>
    </x:row>
    <x:row r="307" ht="34" customHeight="1">
      <x:c r="A307" s="24" t="str">
        <x:v>INT-0303</x:v>
      </x:c>
      <x:c r="B307" s="24" t="str">
        <x:v>b6ddc5c1ac2e4cc99ba19d2a5f46c60f</x:v>
      </x:c>
      <x:c r="C307" s="24" t="str">
        <x:v>DailyResultsService.cs</x:v>
      </x:c>
      <x:c r="D307" s="24" t="str">
        <x:v>Code</x:v>
      </x:c>
      <x:c r="E307" s="24" t="str">
        <x:v>Application</x:v>
      </x:c>
      <x:c r="F307" s="24" t="str">
        <x:v>VRM Games / Blas Luis Rocha González</x:v>
      </x:c>
      <x:c r="G307" s="24" t="str">
        <x:v>VRM Games / Blas Luis Rocha González</x:v>
      </x:c>
      <x:c r="H307" s="24" t="str">
        <x:v>Internal project production</x:v>
      </x:c>
      <x:c r="I307" s="24" t="str">
        <x:v>2026 project timeline</x:v>
      </x:c>
      <x:c r="J307" s="24" t="str">
        <x:v>Internal project IP / authorship claim</x:v>
      </x:c>
      <x:c r="K307" s="24" t="str">
        <x:v>N/A</x:v>
      </x:c>
      <x:c r="L307" s="24" t="str">
        <x:v>Source package + repository path + hash</x:v>
      </x:c>
      <x:c r="M307" s="24" t="str">
        <x:v>04887b7ddff02df5c8b03a002331aa3918221837fe73a65e39e298ec8e995647</x:v>
      </x:c>
      <x:c r="N307" s="24" t="str">
        <x:v>Assets/_Project/Scripts/Application/Economy/DailyResultsService.cs</x:v>
      </x:c>
      <x:c r="O307" s="24" t="str">
        <x:v>b6ddc5c1ac2e4cc99ba19d2a5f46c60f</x:v>
      </x:c>
      <x:c r="P307" s="24" t="str">
        <x:v>Sí</x:v>
      </x:c>
      <x:c r="Q307" s="24" t="str">
        <x:v>Condicionado a autoría/procedencia final</x:v>
      </x:c>
      <x:c r="R307" s="24" t="str">
        <x:v>Solo dentro del producto/build autorizado</x:v>
      </x:c>
      <x:c r="S307" s="24" t="str">
        <x:v>Crédito general del estudio; individual si aplica</x:v>
      </x:c>
      <x:c r="T307" s="24" t="str">
        <x:v>VRM Games / Blas Luis Rocha González</x:v>
      </x:c>
      <x:c r="U307" s="24" t="str">
        <x:v>CURRENT PROJECT ASSET</x:v>
      </x:c>
      <x:c r="V307" s="24" t="str">
        <x:v>CONDITIONALLY APPROVED</x:v>
      </x:c>
      <x:c r="W307" s="24" t="str">
        <x:v>Sí</x:v>
      </x:c>
      <x:c r="X307" s="24" t="str">
        <x:v>Low</x:v>
      </x:c>
      <x:c r="Y307" s="24" t="str">
        <x:v>Internal development; public candidate requires gate</x:v>
      </x:c>
      <x:c r="Z307" s="24" t="str">
        <x:v>H6 legal/content audit</x:v>
      </x:c>
      <x:c r="AA307" s="24" t="str">
        <x:v>VRM Games</x:v>
      </x:c>
      <x:c r="AB307" s="24" t="str">
        <x:v>No se detectó proveedor externo en la ruta; confirmar autoría por lote antes de release público.</x:v>
      </x:c>
    </x:row>
    <x:row r="308" ht="34" customHeight="1">
      <x:c r="A308" s="24" t="str">
        <x:v>INT-0304</x:v>
      </x:c>
      <x:c r="B308" s="24" t="str">
        <x:v>f0b0d1eaa4a0494383e61a6071eb669f</x:v>
      </x:c>
      <x:c r="C308" s="24" t="str">
        <x:v>SupplierReceivingEconomyService.cs</x:v>
      </x:c>
      <x:c r="D308" s="24" t="str">
        <x:v>Code</x:v>
      </x:c>
      <x:c r="E308" s="24" t="str">
        <x:v>Application</x:v>
      </x:c>
      <x:c r="F308" s="24" t="str">
        <x:v>VRM Games / Blas Luis Rocha González</x:v>
      </x:c>
      <x:c r="G308" s="24" t="str">
        <x:v>VRM Games / Blas Luis Rocha González</x:v>
      </x:c>
      <x:c r="H308" s="24" t="str">
        <x:v>Internal project production</x:v>
      </x:c>
      <x:c r="I308" s="24" t="str">
        <x:v>2026 project timeline</x:v>
      </x:c>
      <x:c r="J308" s="24" t="str">
        <x:v>Internal project IP / authorship claim</x:v>
      </x:c>
      <x:c r="K308" s="24" t="str">
        <x:v>N/A</x:v>
      </x:c>
      <x:c r="L308" s="24" t="str">
        <x:v>Source package + repository path + hash</x:v>
      </x:c>
      <x:c r="M308" s="24" t="str">
        <x:v>cb8f09ec686130208bb73925d9d35d5c912746dc3cd7b2c83e5577cdcde84231</x:v>
      </x:c>
      <x:c r="N308" s="24" t="str">
        <x:v>Assets/_Project/Scripts/Application/Economy/SupplierReceivingEconomyService.cs</x:v>
      </x:c>
      <x:c r="O308" s="24" t="str">
        <x:v>f0b0d1eaa4a0494383e61a6071eb669f</x:v>
      </x:c>
      <x:c r="P308" s="24" t="str">
        <x:v>Sí</x:v>
      </x:c>
      <x:c r="Q308" s="24" t="str">
        <x:v>Condicionado a autoría/procedencia final</x:v>
      </x:c>
      <x:c r="R308" s="24" t="str">
        <x:v>Solo dentro del producto/build autorizado</x:v>
      </x:c>
      <x:c r="S308" s="24" t="str">
        <x:v>Crédito general del estudio; individual si aplica</x:v>
      </x:c>
      <x:c r="T308" s="24" t="str">
        <x:v>VRM Games / Blas Luis Rocha González</x:v>
      </x:c>
      <x:c r="U308" s="24" t="str">
        <x:v>CURRENT PROJECT ASSET</x:v>
      </x:c>
      <x:c r="V308" s="24" t="str">
        <x:v>CONDITIONALLY APPROVED</x:v>
      </x:c>
      <x:c r="W308" s="24" t="str">
        <x:v>Sí</x:v>
      </x:c>
      <x:c r="X308" s="24" t="str">
        <x:v>Low</x:v>
      </x:c>
      <x:c r="Y308" s="24" t="str">
        <x:v>Internal development; public candidate requires gate</x:v>
      </x:c>
      <x:c r="Z308" s="24" t="str">
        <x:v>H6 legal/content audit</x:v>
      </x:c>
      <x:c r="AA308" s="24" t="str">
        <x:v>VRM Games</x:v>
      </x:c>
      <x:c r="AB308" s="24" t="str">
        <x:v>No se detectó proveedor externo en la ruta; confirmar autoría por lote antes de release público.</x:v>
      </x:c>
    </x:row>
    <x:row r="309" ht="34" customHeight="1">
      <x:c r="A309" s="24" t="str">
        <x:v>INT-0305</x:v>
      </x:c>
      <x:c r="B309" s="24" t="str">
        <x:v>0a013daec62b40d18f9442bd1015ec2f</x:v>
      </x:c>
      <x:c r="C309" s="24" t="str">
        <x:v>GameSessionOperationResult.cs</x:v>
      </x:c>
      <x:c r="D309" s="24" t="str">
        <x:v>Code</x:v>
      </x:c>
      <x:c r="E309" s="24" t="str">
        <x:v>Application</x:v>
      </x:c>
      <x:c r="F309" s="24" t="str">
        <x:v>VRM Games / Blas Luis Rocha González</x:v>
      </x:c>
      <x:c r="G309" s="24" t="str">
        <x:v>VRM Games / Blas Luis Rocha González</x:v>
      </x:c>
      <x:c r="H309" s="24" t="str">
        <x:v>Internal project production</x:v>
      </x:c>
      <x:c r="I309" s="24" t="str">
        <x:v>2026 project timeline</x:v>
      </x:c>
      <x:c r="J309" s="24" t="str">
        <x:v>Internal project IP / authorship claim</x:v>
      </x:c>
      <x:c r="K309" s="24" t="str">
        <x:v>N/A</x:v>
      </x:c>
      <x:c r="L309" s="24" t="str">
        <x:v>Source package + repository path + hash</x:v>
      </x:c>
      <x:c r="M309" s="24" t="str">
        <x:v>e356abfc9b4db65c03d6f249595302546415ec33bbcca2f1baf2606ceea9a4b6</x:v>
      </x:c>
      <x:c r="N309" s="24" t="str">
        <x:v>Assets/_Project/Scripts/Application/GameSession/GameSessionOperationResult.cs</x:v>
      </x:c>
      <x:c r="O309" s="24" t="str">
        <x:v>0a013daec62b40d18f9442bd1015ec2f</x:v>
      </x:c>
      <x:c r="P309" s="24" t="str">
        <x:v>Sí</x:v>
      </x:c>
      <x:c r="Q309" s="24" t="str">
        <x:v>Condicionado a autoría/procedencia final</x:v>
      </x:c>
      <x:c r="R309" s="24" t="str">
        <x:v>Solo dentro del producto/build autorizado</x:v>
      </x:c>
      <x:c r="S309" s="24" t="str">
        <x:v>Crédito general del estudio; individual si aplica</x:v>
      </x:c>
      <x:c r="T309" s="24" t="str">
        <x:v>VRM Games / Blas Luis Rocha González</x:v>
      </x:c>
      <x:c r="U309" s="24" t="str">
        <x:v>CURRENT PROJECT ASSET</x:v>
      </x:c>
      <x:c r="V309" s="24" t="str">
        <x:v>CONDITIONALLY APPROVED</x:v>
      </x:c>
      <x:c r="W309" s="24" t="str">
        <x:v>Sí</x:v>
      </x:c>
      <x:c r="X309" s="24" t="str">
        <x:v>Low</x:v>
      </x:c>
      <x:c r="Y309" s="24" t="str">
        <x:v>Internal development; public candidate requires gate</x:v>
      </x:c>
      <x:c r="Z309" s="24" t="str">
        <x:v>H6 legal/content audit</x:v>
      </x:c>
      <x:c r="AA309" s="24" t="str">
        <x:v>VRM Games</x:v>
      </x:c>
      <x:c r="AB309" s="24" t="str">
        <x:v>No se detectó proveedor externo en la ruta; confirmar autoría por lote antes de release público.</x:v>
      </x:c>
    </x:row>
    <x:row r="310" ht="34" customHeight="1">
      <x:c r="A310" s="24" t="str">
        <x:v>INT-0306</x:v>
      </x:c>
      <x:c r="B310" s="24" t="str">
        <x:v>560c5b21fbc443d48126b7ec75315bec</x:v>
      </x:c>
      <x:c r="C310" s="24" t="str">
        <x:v>GameSessionService.cs</x:v>
      </x:c>
      <x:c r="D310" s="24" t="str">
        <x:v>Code</x:v>
      </x:c>
      <x:c r="E310" s="24" t="str">
        <x:v>Application</x:v>
      </x:c>
      <x:c r="F310" s="24" t="str">
        <x:v>VRM Games / Blas Luis Rocha González</x:v>
      </x:c>
      <x:c r="G310" s="24" t="str">
        <x:v>VRM Games / Blas Luis Rocha González</x:v>
      </x:c>
      <x:c r="H310" s="24" t="str">
        <x:v>Internal project production</x:v>
      </x:c>
      <x:c r="I310" s="24" t="str">
        <x:v>2026 project timeline</x:v>
      </x:c>
      <x:c r="J310" s="24" t="str">
        <x:v>Internal project IP / authorship claim</x:v>
      </x:c>
      <x:c r="K310" s="24" t="str">
        <x:v>N/A</x:v>
      </x:c>
      <x:c r="L310" s="24" t="str">
        <x:v>Source package + repository path + hash</x:v>
      </x:c>
      <x:c r="M310" s="24" t="str">
        <x:v>10873283126582cbc1dbc53a9ec1a8513c4956d9acec37bcabcac94738c9f868</x:v>
      </x:c>
      <x:c r="N310" s="24" t="str">
        <x:v>Assets/_Project/Scripts/Application/GameSession/GameSessionService.cs</x:v>
      </x:c>
      <x:c r="O310" s="24" t="str">
        <x:v>560c5b21fbc443d48126b7ec75315bec</x:v>
      </x:c>
      <x:c r="P310" s="24" t="str">
        <x:v>Sí</x:v>
      </x:c>
      <x:c r="Q310" s="24" t="str">
        <x:v>Condicionado a autoría/procedencia final</x:v>
      </x:c>
      <x:c r="R310" s="24" t="str">
        <x:v>Solo dentro del producto/build autorizado</x:v>
      </x:c>
      <x:c r="S310" s="24" t="str">
        <x:v>Crédito general del estudio; individual si aplica</x:v>
      </x:c>
      <x:c r="T310" s="24" t="str">
        <x:v>VRM Games / Blas Luis Rocha González</x:v>
      </x:c>
      <x:c r="U310" s="24" t="str">
        <x:v>CURRENT PROJECT ASSET</x:v>
      </x:c>
      <x:c r="V310" s="24" t="str">
        <x:v>CONDITIONALLY APPROVED</x:v>
      </x:c>
      <x:c r="W310" s="24" t="str">
        <x:v>Sí</x:v>
      </x:c>
      <x:c r="X310" s="24" t="str">
        <x:v>Low</x:v>
      </x:c>
      <x:c r="Y310" s="24" t="str">
        <x:v>Internal development; public candidate requires gate</x:v>
      </x:c>
      <x:c r="Z310" s="24" t="str">
        <x:v>H6 legal/content audit</x:v>
      </x:c>
      <x:c r="AA310" s="24" t="str">
        <x:v>VRM Games</x:v>
      </x:c>
      <x:c r="AB310" s="24" t="str">
        <x:v>No se detectó proveedor externo en la ruta; confirmar autoría por lote antes de release público.</x:v>
      </x:c>
    </x:row>
    <x:row r="311" ht="34" customHeight="1">
      <x:c r="A311" s="24" t="str">
        <x:v>INT-0307</x:v>
      </x:c>
      <x:c r="B311" s="24" t="str">
        <x:v>d47186a7f66244809c6caa11e17d4bc9</x:v>
      </x:c>
      <x:c r="C311" s="24" t="str">
        <x:v>IGameSessionConsumer.cs</x:v>
      </x:c>
      <x:c r="D311" s="24" t="str">
        <x:v>Code</x:v>
      </x:c>
      <x:c r="E311" s="24" t="str">
        <x:v>Application</x:v>
      </x:c>
      <x:c r="F311" s="24" t="str">
        <x:v>VRM Games / Blas Luis Rocha González</x:v>
      </x:c>
      <x:c r="G311" s="24" t="str">
        <x:v>VRM Games / Blas Luis Rocha González</x:v>
      </x:c>
      <x:c r="H311" s="24" t="str">
        <x:v>Internal project production</x:v>
      </x:c>
      <x:c r="I311" s="24" t="str">
        <x:v>2026 project timeline</x:v>
      </x:c>
      <x:c r="J311" s="24" t="str">
        <x:v>Internal project IP / authorship claim</x:v>
      </x:c>
      <x:c r="K311" s="24" t="str">
        <x:v>N/A</x:v>
      </x:c>
      <x:c r="L311" s="24" t="str">
        <x:v>Source package + repository path + hash</x:v>
      </x:c>
      <x:c r="M311" s="24" t="str">
        <x:v>19295e97db9dd129301eb841c66558d667f3e69ce580527e70e24919a3b7a822</x:v>
      </x:c>
      <x:c r="N311" s="24" t="str">
        <x:v>Assets/_Project/Scripts/Application/GameSession/IGameSessionConsumer.cs</x:v>
      </x:c>
      <x:c r="O311" s="24" t="str">
        <x:v>d47186a7f66244809c6caa11e17d4bc9</x:v>
      </x:c>
      <x:c r="P311" s="24" t="str">
        <x:v>Sí</x:v>
      </x:c>
      <x:c r="Q311" s="24" t="str">
        <x:v>Condicionado a autoría/procedencia final</x:v>
      </x:c>
      <x:c r="R311" s="24" t="str">
        <x:v>Solo dentro del producto/build autorizado</x:v>
      </x:c>
      <x:c r="S311" s="24" t="str">
        <x:v>Crédito general del estudio; individual si aplica</x:v>
      </x:c>
      <x:c r="T311" s="24" t="str">
        <x:v>VRM Games / Blas Luis Rocha González</x:v>
      </x:c>
      <x:c r="U311" s="24" t="str">
        <x:v>CURRENT PROJECT ASSET</x:v>
      </x:c>
      <x:c r="V311" s="24" t="str">
        <x:v>CONDITIONALLY APPROVED</x:v>
      </x:c>
      <x:c r="W311" s="24" t="str">
        <x:v>Sí</x:v>
      </x:c>
      <x:c r="X311" s="24" t="str">
        <x:v>Low</x:v>
      </x:c>
      <x:c r="Y311" s="24" t="str">
        <x:v>Internal development; public candidate requires gate</x:v>
      </x:c>
      <x:c r="Z311" s="24" t="str">
        <x:v>H6 legal/content audit</x:v>
      </x:c>
      <x:c r="AA311" s="24" t="str">
        <x:v>VRM Games</x:v>
      </x:c>
      <x:c r="AB311" s="24" t="str">
        <x:v>No se detectó proveedor externo en la ruta; confirmar autoría por lote antes de release público.</x:v>
      </x:c>
    </x:row>
    <x:row r="312" ht="34" customHeight="1">
      <x:c r="A312" s="24" t="str">
        <x:v>INT-0308</x:v>
      </x:c>
      <x:c r="B312" s="24" t="str">
        <x:v>dd26513922074e348e26f131149e18ce</x:v>
      </x:c>
      <x:c r="C312" s="24" t="str">
        <x:v>IGameSessionService.cs</x:v>
      </x:c>
      <x:c r="D312" s="24" t="str">
        <x:v>Code</x:v>
      </x:c>
      <x:c r="E312" s="24" t="str">
        <x:v>Application</x:v>
      </x:c>
      <x:c r="F312" s="24" t="str">
        <x:v>VRM Games / Blas Luis Rocha González</x:v>
      </x:c>
      <x:c r="G312" s="24" t="str">
        <x:v>VRM Games / Blas Luis Rocha González</x:v>
      </x:c>
      <x:c r="H312" s="24" t="str">
        <x:v>Internal project production</x:v>
      </x:c>
      <x:c r="I312" s="24" t="str">
        <x:v>2026 project timeline</x:v>
      </x:c>
      <x:c r="J312" s="24" t="str">
        <x:v>Internal project IP / authorship claim</x:v>
      </x:c>
      <x:c r="K312" s="24" t="str">
        <x:v>N/A</x:v>
      </x:c>
      <x:c r="L312" s="24" t="str">
        <x:v>Source package + repository path + hash</x:v>
      </x:c>
      <x:c r="M312" s="24" t="str">
        <x:v>1bfdc24a53a446f11adfc5b95abc0b239b0a3da1568793ac182829bbd9152c6b</x:v>
      </x:c>
      <x:c r="N312" s="24" t="str">
        <x:v>Assets/_Project/Scripts/Application/GameSession/IGameSessionService.cs</x:v>
      </x:c>
      <x:c r="O312" s="24" t="str">
        <x:v>dd26513922074e348e26f131149e18ce</x:v>
      </x:c>
      <x:c r="P312" s="24" t="str">
        <x:v>Sí</x:v>
      </x:c>
      <x:c r="Q312" s="24" t="str">
        <x:v>Condicionado a autoría/procedencia final</x:v>
      </x:c>
      <x:c r="R312" s="24" t="str">
        <x:v>Solo dentro del producto/build autorizado</x:v>
      </x:c>
      <x:c r="S312" s="24" t="str">
        <x:v>Crédito general del estudio; individual si aplica</x:v>
      </x:c>
      <x:c r="T312" s="24" t="str">
        <x:v>VRM Games / Blas Luis Rocha González</x:v>
      </x:c>
      <x:c r="U312" s="24" t="str">
        <x:v>CURRENT PROJECT ASSET</x:v>
      </x:c>
      <x:c r="V312" s="24" t="str">
        <x:v>CONDITIONALLY APPROVED</x:v>
      </x:c>
      <x:c r="W312" s="24" t="str">
        <x:v>Sí</x:v>
      </x:c>
      <x:c r="X312" s="24" t="str">
        <x:v>Low</x:v>
      </x:c>
      <x:c r="Y312" s="24" t="str">
        <x:v>Internal development; public candidate requires gate</x:v>
      </x:c>
      <x:c r="Z312" s="24" t="str">
        <x:v>H6 legal/content audit</x:v>
      </x:c>
      <x:c r="AA312" s="24" t="str">
        <x:v>VRM Games</x:v>
      </x:c>
      <x:c r="AB312" s="24" t="str">
        <x:v>No se detectó proveedor externo en la ruta; confirmar autoría por lote antes de release público.</x:v>
      </x:c>
    </x:row>
    <x:row r="313" ht="34" customHeight="1">
      <x:c r="A313" s="24" t="str">
        <x:v>INT-0309</x:v>
      </x:c>
      <x:c r="B313" s="24" t="str">
        <x:v>b41c61ee07164c4cace6ed50aca5a281</x:v>
      </x:c>
      <x:c r="C313" s="24" t="str">
        <x:v>ISaveGameRepository.cs</x:v>
      </x:c>
      <x:c r="D313" s="24" t="str">
        <x:v>Code</x:v>
      </x:c>
      <x:c r="E313" s="24" t="str">
        <x:v>Application</x:v>
      </x:c>
      <x:c r="F313" s="24" t="str">
        <x:v>VRM Games / Blas Luis Rocha González</x:v>
      </x:c>
      <x:c r="G313" s="24" t="str">
        <x:v>VRM Games / Blas Luis Rocha González</x:v>
      </x:c>
      <x:c r="H313" s="24" t="str">
        <x:v>Internal project production</x:v>
      </x:c>
      <x:c r="I313" s="24" t="str">
        <x:v>2026 project timeline</x:v>
      </x:c>
      <x:c r="J313" s="24" t="str">
        <x:v>Internal project IP / authorship claim</x:v>
      </x:c>
      <x:c r="K313" s="24" t="str">
        <x:v>N/A</x:v>
      </x:c>
      <x:c r="L313" s="24" t="str">
        <x:v>Source package + repository path + hash</x:v>
      </x:c>
      <x:c r="M313" s="24" t="str">
        <x:v>091f37105cf8a73fd6a432d16ed1f36f1f84d09b8c1dffa63bfa42b13d668ae9</x:v>
      </x:c>
      <x:c r="N313" s="24" t="str">
        <x:v>Assets/_Project/Scripts/Application/GameSession/ISaveGameRepository.cs</x:v>
      </x:c>
      <x:c r="O313" s="24" t="str">
        <x:v>b41c61ee07164c4cace6ed50aca5a281</x:v>
      </x:c>
      <x:c r="P313" s="24" t="str">
        <x:v>Sí</x:v>
      </x:c>
      <x:c r="Q313" s="24" t="str">
        <x:v>Condicionado a autoría/procedencia final</x:v>
      </x:c>
      <x:c r="R313" s="24" t="str">
        <x:v>Solo dentro del producto/build autorizado</x:v>
      </x:c>
      <x:c r="S313" s="24" t="str">
        <x:v>Crédito general del estudio; individual si aplica</x:v>
      </x:c>
      <x:c r="T313" s="24" t="str">
        <x:v>VRM Games / Blas Luis Rocha González</x:v>
      </x:c>
      <x:c r="U313" s="24" t="str">
        <x:v>CURRENT PROJECT ASSET</x:v>
      </x:c>
      <x:c r="V313" s="24" t="str">
        <x:v>CONDITIONALLY APPROVED</x:v>
      </x:c>
      <x:c r="W313" s="24" t="str">
        <x:v>Sí</x:v>
      </x:c>
      <x:c r="X313" s="24" t="str">
        <x:v>Low</x:v>
      </x:c>
      <x:c r="Y313" s="24" t="str">
        <x:v>Internal development; public candidate requires gate</x:v>
      </x:c>
      <x:c r="Z313" s="24" t="str">
        <x:v>H6 legal/content audit</x:v>
      </x:c>
      <x:c r="AA313" s="24" t="str">
        <x:v>VRM Games</x:v>
      </x:c>
      <x:c r="AB313" s="24" t="str">
        <x:v>No se detectó proveedor externo en la ruta; confirmar autoría por lote antes de release público.</x:v>
      </x:c>
    </x:row>
    <x:row r="314" ht="34" customHeight="1">
      <x:c r="A314" s="24" t="str">
        <x:v>INT-0310</x:v>
      </x:c>
      <x:c r="B314" s="24" t="str">
        <x:v>50bdbdde667240cbb891992880f24af6</x:v>
      </x:c>
      <x:c r="C314" s="24" t="str">
        <x:v>IUtcClock.cs</x:v>
      </x:c>
      <x:c r="D314" s="24" t="str">
        <x:v>Code</x:v>
      </x:c>
      <x:c r="E314" s="24" t="str">
        <x:v>Application</x:v>
      </x:c>
      <x:c r="F314" s="24" t="str">
        <x:v>VRM Games / Blas Luis Rocha González</x:v>
      </x:c>
      <x:c r="G314" s="24" t="str">
        <x:v>VRM Games / Blas Luis Rocha González</x:v>
      </x:c>
      <x:c r="H314" s="24" t="str">
        <x:v>Internal project production</x:v>
      </x:c>
      <x:c r="I314" s="24" t="str">
        <x:v>2026 project timeline</x:v>
      </x:c>
      <x:c r="J314" s="24" t="str">
        <x:v>Internal project IP / authorship claim</x:v>
      </x:c>
      <x:c r="K314" s="24" t="str">
        <x:v>N/A</x:v>
      </x:c>
      <x:c r="L314" s="24" t="str">
        <x:v>Source package + repository path + hash</x:v>
      </x:c>
      <x:c r="M314" s="24" t="str">
        <x:v>ceefbbd95f0a96e4d49c6b00fc913494c2cff88716e858f4c385efb6ead4a70d</x:v>
      </x:c>
      <x:c r="N314" s="24" t="str">
        <x:v>Assets/_Project/Scripts/Application/GameSession/IUtcClock.cs</x:v>
      </x:c>
      <x:c r="O314" s="24" t="str">
        <x:v>50bdbdde667240cbb891992880f24af6</x:v>
      </x:c>
      <x:c r="P314" s="24" t="str">
        <x:v>Sí</x:v>
      </x:c>
      <x:c r="Q314" s="24" t="str">
        <x:v>Condicionado a autoría/procedencia final</x:v>
      </x:c>
      <x:c r="R314" s="24" t="str">
        <x:v>Solo dentro del producto/build autorizado</x:v>
      </x:c>
      <x:c r="S314" s="24" t="str">
        <x:v>Crédito general del estudio; individual si aplica</x:v>
      </x:c>
      <x:c r="T314" s="24" t="str">
        <x:v>VRM Games / Blas Luis Rocha González</x:v>
      </x:c>
      <x:c r="U314" s="24" t="str">
        <x:v>CURRENT PROJECT ASSET</x:v>
      </x:c>
      <x:c r="V314" s="24" t="str">
        <x:v>CONDITIONALLY APPROVED</x:v>
      </x:c>
      <x:c r="W314" s="24" t="str">
        <x:v>Sí</x:v>
      </x:c>
      <x:c r="X314" s="24" t="str">
        <x:v>Low</x:v>
      </x:c>
      <x:c r="Y314" s="24" t="str">
        <x:v>Internal development; public candidate requires gate</x:v>
      </x:c>
      <x:c r="Z314" s="24" t="str">
        <x:v>H6 legal/content audit</x:v>
      </x:c>
      <x:c r="AA314" s="24" t="str">
        <x:v>VRM Games</x:v>
      </x:c>
      <x:c r="AB314" s="24" t="str">
        <x:v>No se detectó proveedor externo en la ruta; confirmar autoría por lote antes de release público.</x:v>
      </x:c>
    </x:row>
    <x:row r="315" ht="34" customHeight="1">
      <x:c r="A315" s="24" t="str">
        <x:v>INT-0311</x:v>
      </x:c>
      <x:c r="B315" s="24" t="str">
        <x:v>a088ce7bf16f408cbe023e4cb9bd281d</x:v>
      </x:c>
      <x:c r="C315" s="24" t="str">
        <x:v>GridProjectionCalculator.cs</x:v>
      </x:c>
      <x:c r="D315" s="24" t="str">
        <x:v>Code</x:v>
      </x:c>
      <x:c r="E315" s="24" t="str">
        <x:v>Application</x:v>
      </x:c>
      <x:c r="F315" s="24" t="str">
        <x:v>VRM Games / Blas Luis Rocha González</x:v>
      </x:c>
      <x:c r="G315" s="24" t="str">
        <x:v>VRM Games / Blas Luis Rocha González</x:v>
      </x:c>
      <x:c r="H315" s="24" t="str">
        <x:v>Internal project production</x:v>
      </x:c>
      <x:c r="I315" s="24" t="str">
        <x:v>2026 project timeline</x:v>
      </x:c>
      <x:c r="J315" s="24" t="str">
        <x:v>Internal project IP / authorship claim</x:v>
      </x:c>
      <x:c r="K315" s="24" t="str">
        <x:v>N/A</x:v>
      </x:c>
      <x:c r="L315" s="24" t="str">
        <x:v>Source package + repository path + hash</x:v>
      </x:c>
      <x:c r="M315" s="24" t="str">
        <x:v>50e27902ce08bab6e419e3ecb3ab5fb4d25f61402488a84172cf573f01ac2eb2</x:v>
      </x:c>
      <x:c r="N315" s="24" t="str">
        <x:v>Assets/_Project/Scripts/Application/Grid/GridProjectionCalculator.cs</x:v>
      </x:c>
      <x:c r="O315" s="24" t="str">
        <x:v>a088ce7bf16f408cbe023e4cb9bd281d</x:v>
      </x:c>
      <x:c r="P315" s="24" t="str">
        <x:v>Sí</x:v>
      </x:c>
      <x:c r="Q315" s="24" t="str">
        <x:v>Condicionado a autoría/procedencia final</x:v>
      </x:c>
      <x:c r="R315" s="24" t="str">
        <x:v>Solo dentro del producto/build autorizado</x:v>
      </x:c>
      <x:c r="S315" s="24" t="str">
        <x:v>Crédito general del estudio; individual si aplica</x:v>
      </x:c>
      <x:c r="T315" s="24" t="str">
        <x:v>VRM Games / Blas Luis Rocha González</x:v>
      </x:c>
      <x:c r="U315" s="24" t="str">
        <x:v>CURRENT PROJECT ASSET</x:v>
      </x:c>
      <x:c r="V315" s="24" t="str">
        <x:v>CONDITIONALLY APPROVED</x:v>
      </x:c>
      <x:c r="W315" s="24" t="str">
        <x:v>Sí</x:v>
      </x:c>
      <x:c r="X315" s="24" t="str">
        <x:v>Low</x:v>
      </x:c>
      <x:c r="Y315" s="24" t="str">
        <x:v>Internal development; public candidate requires gate</x:v>
      </x:c>
      <x:c r="Z315" s="24" t="str">
        <x:v>H6 legal/content audit</x:v>
      </x:c>
      <x:c r="AA315" s="24" t="str">
        <x:v>VRM Games</x:v>
      </x:c>
      <x:c r="AB315" s="24" t="str">
        <x:v>No se detectó proveedor externo en la ruta; confirmar autoría por lote antes de release público.</x:v>
      </x:c>
    </x:row>
    <x:row r="316" ht="34" customHeight="1">
      <x:c r="A316" s="24" t="str">
        <x:v>INT-0312</x:v>
      </x:c>
      <x:c r="B316" s="24" t="str">
        <x:v>096d1abaaf594004b2898df117f2c6ed</x:v>
      </x:c>
      <x:c r="C316" s="24" t="str">
        <x:v>GridWorldPosition.cs</x:v>
      </x:c>
      <x:c r="D316" s="24" t="str">
        <x:v>Code</x:v>
      </x:c>
      <x:c r="E316" s="24" t="str">
        <x:v>Application</x:v>
      </x:c>
      <x:c r="F316" s="24" t="str">
        <x:v>VRM Games / Blas Luis Rocha González</x:v>
      </x:c>
      <x:c r="G316" s="24" t="str">
        <x:v>VRM Games / Blas Luis Rocha González</x:v>
      </x:c>
      <x:c r="H316" s="24" t="str">
        <x:v>Internal project production</x:v>
      </x:c>
      <x:c r="I316" s="24" t="str">
        <x:v>2026 project timeline</x:v>
      </x:c>
      <x:c r="J316" s="24" t="str">
        <x:v>Internal project IP / authorship claim</x:v>
      </x:c>
      <x:c r="K316" s="24" t="str">
        <x:v>N/A</x:v>
      </x:c>
      <x:c r="L316" s="24" t="str">
        <x:v>Source package + repository path + hash</x:v>
      </x:c>
      <x:c r="M316" s="24" t="str">
        <x:v>06bee27de53f6838aa12ea2dafa4914ed4274aed5a414f9618e9c1cd97cffef4</x:v>
      </x:c>
      <x:c r="N316" s="24" t="str">
        <x:v>Assets/_Project/Scripts/Application/Grid/GridWorldPosition.cs</x:v>
      </x:c>
      <x:c r="O316" s="24" t="str">
        <x:v>096d1abaaf594004b2898df117f2c6ed</x:v>
      </x:c>
      <x:c r="P316" s="24" t="str">
        <x:v>Sí</x:v>
      </x:c>
      <x:c r="Q316" s="24" t="str">
        <x:v>Condicionado a autoría/procedencia final</x:v>
      </x:c>
      <x:c r="R316" s="24" t="str">
        <x:v>Solo dentro del producto/build autorizado</x:v>
      </x:c>
      <x:c r="S316" s="24" t="str">
        <x:v>Crédito general del estudio; individual si aplica</x:v>
      </x:c>
      <x:c r="T316" s="24" t="str">
        <x:v>VRM Games / Blas Luis Rocha González</x:v>
      </x:c>
      <x:c r="U316" s="24" t="str">
        <x:v>CURRENT PROJECT ASSET</x:v>
      </x:c>
      <x:c r="V316" s="24" t="str">
        <x:v>CONDITIONALLY APPROVED</x:v>
      </x:c>
      <x:c r="W316" s="24" t="str">
        <x:v>Sí</x:v>
      </x:c>
      <x:c r="X316" s="24" t="str">
        <x:v>Low</x:v>
      </x:c>
      <x:c r="Y316" s="24" t="str">
        <x:v>Internal development; public candidate requires gate</x:v>
      </x:c>
      <x:c r="Z316" s="24" t="str">
        <x:v>H6 legal/content audit</x:v>
      </x:c>
      <x:c r="AA316" s="24" t="str">
        <x:v>VRM Games</x:v>
      </x:c>
      <x:c r="AB316" s="24" t="str">
        <x:v>No se detectó proveedor externo en la ruta; confirmar autoría por lote antes de release público.</x:v>
      </x:c>
    </x:row>
    <x:row r="317" ht="34" customHeight="1">
      <x:c r="A317" s="24" t="str">
        <x:v>INT-0313</x:v>
      </x:c>
      <x:c r="B317" s="24" t="str">
        <x:v>d96fde8c80984deb95f9c223d2f2fd00</x:v>
      </x:c>
      <x:c r="C317" s="24" t="str">
        <x:v>IInputContextConsumer.cs</x:v>
      </x:c>
      <x:c r="D317" s="24" t="str">
        <x:v>Code</x:v>
      </x:c>
      <x:c r="E317" s="24" t="str">
        <x:v>Application</x:v>
      </x:c>
      <x:c r="F317" s="24" t="str">
        <x:v>VRM Games / Blas Luis Rocha González</x:v>
      </x:c>
      <x:c r="G317" s="24" t="str">
        <x:v>VRM Games / Blas Luis Rocha González</x:v>
      </x:c>
      <x:c r="H317" s="24" t="str">
        <x:v>Internal project production</x:v>
      </x:c>
      <x:c r="I317" s="24" t="str">
        <x:v>2026 project timeline</x:v>
      </x:c>
      <x:c r="J317" s="24" t="str">
        <x:v>Internal project IP / authorship claim</x:v>
      </x:c>
      <x:c r="K317" s="24" t="str">
        <x:v>N/A</x:v>
      </x:c>
      <x:c r="L317" s="24" t="str">
        <x:v>Source package + repository path + hash</x:v>
      </x:c>
      <x:c r="M317" s="24" t="str">
        <x:v>ebacdf7159e7a4449b05fa4230d9c7b41adcdeee07e5e36b82f0a366c541b17e</x:v>
      </x:c>
      <x:c r="N317" s="24" t="str">
        <x:v>Assets/_Project/Scripts/Application/InputContexts/IInputContextConsumer.cs</x:v>
      </x:c>
      <x:c r="O317" s="24" t="str">
        <x:v>d96fde8c80984deb95f9c223d2f2fd00</x:v>
      </x:c>
      <x:c r="P317" s="24" t="str">
        <x:v>Sí</x:v>
      </x:c>
      <x:c r="Q317" s="24" t="str">
        <x:v>Condicionado a autoría/procedencia final</x:v>
      </x:c>
      <x:c r="R317" s="24" t="str">
        <x:v>Solo dentro del producto/build autorizado</x:v>
      </x:c>
      <x:c r="S317" s="24" t="str">
        <x:v>Crédito general del estudio; individual si aplica</x:v>
      </x:c>
      <x:c r="T317" s="24" t="str">
        <x:v>VRM Games / Blas Luis Rocha González</x:v>
      </x:c>
      <x:c r="U317" s="24" t="str">
        <x:v>CURRENT PROJECT ASSET</x:v>
      </x:c>
      <x:c r="V317" s="24" t="str">
        <x:v>CONDITIONALLY APPROVED</x:v>
      </x:c>
      <x:c r="W317" s="24" t="str">
        <x:v>Sí</x:v>
      </x:c>
      <x:c r="X317" s="24" t="str">
        <x:v>Low</x:v>
      </x:c>
      <x:c r="Y317" s="24" t="str">
        <x:v>Internal development; public candidate requires gate</x:v>
      </x:c>
      <x:c r="Z317" s="24" t="str">
        <x:v>H6 legal/content audit</x:v>
      </x:c>
      <x:c r="AA317" s="24" t="str">
        <x:v>VRM Games</x:v>
      </x:c>
      <x:c r="AB317" s="24" t="str">
        <x:v>No se detectó proveedor externo en la ruta; confirmar autoría por lote antes de release público.</x:v>
      </x:c>
    </x:row>
    <x:row r="318" ht="34" customHeight="1">
      <x:c r="A318" s="24" t="str">
        <x:v>INT-0314</x:v>
      </x:c>
      <x:c r="B318" s="24" t="str">
        <x:v>d0a8bcd187f14550ace22e593da8c1e0</x:v>
      </x:c>
      <x:c r="C318" s="24" t="str">
        <x:v>IInputContextService.cs</x:v>
      </x:c>
      <x:c r="D318" s="24" t="str">
        <x:v>Code</x:v>
      </x:c>
      <x:c r="E318" s="24" t="str">
        <x:v>Application</x:v>
      </x:c>
      <x:c r="F318" s="24" t="str">
        <x:v>VRM Games / Blas Luis Rocha González</x:v>
      </x:c>
      <x:c r="G318" s="24" t="str">
        <x:v>VRM Games / Blas Luis Rocha González</x:v>
      </x:c>
      <x:c r="H318" s="24" t="str">
        <x:v>Internal project production</x:v>
      </x:c>
      <x:c r="I318" s="24" t="str">
        <x:v>2026 project timeline</x:v>
      </x:c>
      <x:c r="J318" s="24" t="str">
        <x:v>Internal project IP / authorship claim</x:v>
      </x:c>
      <x:c r="K318" s="24" t="str">
        <x:v>N/A</x:v>
      </x:c>
      <x:c r="L318" s="24" t="str">
        <x:v>Source package + repository path + hash</x:v>
      </x:c>
      <x:c r="M318" s="24" t="str">
        <x:v>2ec768f7331012ee3804d8ea84194cbfe9f493e72aa217aef4b1f4274afc2d63</x:v>
      </x:c>
      <x:c r="N318" s="24" t="str">
        <x:v>Assets/_Project/Scripts/Application/InputContexts/IInputContextService.cs</x:v>
      </x:c>
      <x:c r="O318" s="24" t="str">
        <x:v>d0a8bcd187f14550ace22e593da8c1e0</x:v>
      </x:c>
      <x:c r="P318" s="24" t="str">
        <x:v>Sí</x:v>
      </x:c>
      <x:c r="Q318" s="24" t="str">
        <x:v>Condicionado a autoría/procedencia final</x:v>
      </x:c>
      <x:c r="R318" s="24" t="str">
        <x:v>Solo dentro del producto/build autorizado</x:v>
      </x:c>
      <x:c r="S318" s="24" t="str">
        <x:v>Crédito general del estudio; individual si aplica</x:v>
      </x:c>
      <x:c r="T318" s="24" t="str">
        <x:v>VRM Games / Blas Luis Rocha González</x:v>
      </x:c>
      <x:c r="U318" s="24" t="str">
        <x:v>CURRENT PROJECT ASSET</x:v>
      </x:c>
      <x:c r="V318" s="24" t="str">
        <x:v>CONDITIONALLY APPROVED</x:v>
      </x:c>
      <x:c r="W318" s="24" t="str">
        <x:v>Sí</x:v>
      </x:c>
      <x:c r="X318" s="24" t="str">
        <x:v>Low</x:v>
      </x:c>
      <x:c r="Y318" s="24" t="str">
        <x:v>Internal development; public candidate requires gate</x:v>
      </x:c>
      <x:c r="Z318" s="24" t="str">
        <x:v>H6 legal/content audit</x:v>
      </x:c>
      <x:c r="AA318" s="24" t="str">
        <x:v>VRM Games</x:v>
      </x:c>
      <x:c r="AB318" s="24" t="str">
        <x:v>No se detectó proveedor externo en la ruta; confirmar autoría por lote antes de release público.</x:v>
      </x:c>
    </x:row>
    <x:row r="319" ht="34" customHeight="1">
      <x:c r="A319" s="24" t="str">
        <x:v>INT-0315</x:v>
      </x:c>
      <x:c r="B319" s="24" t="str">
        <x:v>a93bc91d0ab04d268b123cd5b6b61caf</x:v>
      </x:c>
      <x:c r="C319" s="24" t="str">
        <x:v>InputContextChangeResult.cs</x:v>
      </x:c>
      <x:c r="D319" s="24" t="str">
        <x:v>Code</x:v>
      </x:c>
      <x:c r="E319" s="24" t="str">
        <x:v>Application</x:v>
      </x:c>
      <x:c r="F319" s="24" t="str">
        <x:v>VRM Games / Blas Luis Rocha González</x:v>
      </x:c>
      <x:c r="G319" s="24" t="str">
        <x:v>VRM Games / Blas Luis Rocha González</x:v>
      </x:c>
      <x:c r="H319" s="24" t="str">
        <x:v>Internal project production</x:v>
      </x:c>
      <x:c r="I319" s="24" t="str">
        <x:v>2026 project timeline</x:v>
      </x:c>
      <x:c r="J319" s="24" t="str">
        <x:v>Internal project IP / authorship claim</x:v>
      </x:c>
      <x:c r="K319" s="24" t="str">
        <x:v>N/A</x:v>
      </x:c>
      <x:c r="L319" s="24" t="str">
        <x:v>Source package + repository path + hash</x:v>
      </x:c>
      <x:c r="M319" s="24" t="str">
        <x:v>3226fa5136ddd0927eea7321366d693eeab599e736b82ea0aa9d087e888cabff</x:v>
      </x:c>
      <x:c r="N319" s="24" t="str">
        <x:v>Assets/_Project/Scripts/Application/InputContexts/InputContextChangeResult.cs</x:v>
      </x:c>
      <x:c r="O319" s="24" t="str">
        <x:v>a93bc91d0ab04d268b123cd5b6b61caf</x:v>
      </x:c>
      <x:c r="P319" s="24" t="str">
        <x:v>Sí</x:v>
      </x:c>
      <x:c r="Q319" s="24" t="str">
        <x:v>Condicionado a autoría/procedencia final</x:v>
      </x:c>
      <x:c r="R319" s="24" t="str">
        <x:v>Solo dentro del producto/build autorizado</x:v>
      </x:c>
      <x:c r="S319" s="24" t="str">
        <x:v>Crédito general del estudio; individual si aplica</x:v>
      </x:c>
      <x:c r="T319" s="24" t="str">
        <x:v>VRM Games / Blas Luis Rocha González</x:v>
      </x:c>
      <x:c r="U319" s="24" t="str">
        <x:v>CURRENT PROJECT ASSET</x:v>
      </x:c>
      <x:c r="V319" s="24" t="str">
        <x:v>CONDITIONALLY APPROVED</x:v>
      </x:c>
      <x:c r="W319" s="24" t="str">
        <x:v>Sí</x:v>
      </x:c>
      <x:c r="X319" s="24" t="str">
        <x:v>Low</x:v>
      </x:c>
      <x:c r="Y319" s="24" t="str">
        <x:v>Internal development; public candidate requires gate</x:v>
      </x:c>
      <x:c r="Z319" s="24" t="str">
        <x:v>H6 legal/content audit</x:v>
      </x:c>
      <x:c r="AA319" s="24" t="str">
        <x:v>VRM Games</x:v>
      </x:c>
      <x:c r="AB319" s="24" t="str">
        <x:v>No se detectó proveedor externo en la ruta; confirmar autoría por lote antes de release público.</x:v>
      </x:c>
    </x:row>
    <x:row r="320" ht="34" customHeight="1">
      <x:c r="A320" s="24" t="str">
        <x:v>INT-0316</x:v>
      </x:c>
      <x:c r="B320" s="24" t="str">
        <x:v>cc843a9f744d4fc0a17673395cfa6509</x:v>
      </x:c>
      <x:c r="C320" s="24" t="str">
        <x:v>InputContextId.cs</x:v>
      </x:c>
      <x:c r="D320" s="24" t="str">
        <x:v>Code</x:v>
      </x:c>
      <x:c r="E320" s="24" t="str">
        <x:v>Application</x:v>
      </x:c>
      <x:c r="F320" s="24" t="str">
        <x:v>VRM Games / Blas Luis Rocha González</x:v>
      </x:c>
      <x:c r="G320" s="24" t="str">
        <x:v>VRM Games / Blas Luis Rocha González</x:v>
      </x:c>
      <x:c r="H320" s="24" t="str">
        <x:v>Internal project production</x:v>
      </x:c>
      <x:c r="I320" s="24" t="str">
        <x:v>2026 project timeline</x:v>
      </x:c>
      <x:c r="J320" s="24" t="str">
        <x:v>Internal project IP / authorship claim</x:v>
      </x:c>
      <x:c r="K320" s="24" t="str">
        <x:v>N/A</x:v>
      </x:c>
      <x:c r="L320" s="24" t="str">
        <x:v>Source package + repository path + hash</x:v>
      </x:c>
      <x:c r="M320" s="24" t="str">
        <x:v>01c10bb394469bd256c5c4cc6f9c6a91799c0b72ef29300545e38e3ce0fb43a3</x:v>
      </x:c>
      <x:c r="N320" s="24" t="str">
        <x:v>Assets/_Project/Scripts/Application/InputContexts/InputContextId.cs</x:v>
      </x:c>
      <x:c r="O320" s="24" t="str">
        <x:v>cc843a9f744d4fc0a17673395cfa6509</x:v>
      </x:c>
      <x:c r="P320" s="24" t="str">
        <x:v>Sí</x:v>
      </x:c>
      <x:c r="Q320" s="24" t="str">
        <x:v>Condicionado a autoría/procedencia final</x:v>
      </x:c>
      <x:c r="R320" s="24" t="str">
        <x:v>Solo dentro del producto/build autorizado</x:v>
      </x:c>
      <x:c r="S320" s="24" t="str">
        <x:v>Crédito general del estudio; individual si aplica</x:v>
      </x:c>
      <x:c r="T320" s="24" t="str">
        <x:v>VRM Games / Blas Luis Rocha González</x:v>
      </x:c>
      <x:c r="U320" s="24" t="str">
        <x:v>CURRENT PROJECT ASSET</x:v>
      </x:c>
      <x:c r="V320" s="24" t="str">
        <x:v>CONDITIONALLY APPROVED</x:v>
      </x:c>
      <x:c r="W320" s="24" t="str">
        <x:v>Sí</x:v>
      </x:c>
      <x:c r="X320" s="24" t="str">
        <x:v>Low</x:v>
      </x:c>
      <x:c r="Y320" s="24" t="str">
        <x:v>Internal development; public candidate requires gate</x:v>
      </x:c>
      <x:c r="Z320" s="24" t="str">
        <x:v>H6 legal/content audit</x:v>
      </x:c>
      <x:c r="AA320" s="24" t="str">
        <x:v>VRM Games</x:v>
      </x:c>
      <x:c r="AB320" s="24" t="str">
        <x:v>No se detectó proveedor externo en la ruta; confirmar autoría por lote antes de release público.</x:v>
      </x:c>
    </x:row>
    <x:row r="321" ht="34" customHeight="1">
      <x:c r="A321" s="24" t="str">
        <x:v>INT-0317</x:v>
      </x:c>
      <x:c r="B321" s="24" t="str">
        <x:v>84ff687b6f6948c8b03d1313886d7d90</x:v>
      </x:c>
      <x:c r="C321" s="24" t="str">
        <x:v>InputContextService.cs</x:v>
      </x:c>
      <x:c r="D321" s="24" t="str">
        <x:v>Code</x:v>
      </x:c>
      <x:c r="E321" s="24" t="str">
        <x:v>Application</x:v>
      </x:c>
      <x:c r="F321" s="24" t="str">
        <x:v>VRM Games / Blas Luis Rocha González</x:v>
      </x:c>
      <x:c r="G321" s="24" t="str">
        <x:v>VRM Games / Blas Luis Rocha González</x:v>
      </x:c>
      <x:c r="H321" s="24" t="str">
        <x:v>Internal project production</x:v>
      </x:c>
      <x:c r="I321" s="24" t="str">
        <x:v>2026 project timeline</x:v>
      </x:c>
      <x:c r="J321" s="24" t="str">
        <x:v>Internal project IP / authorship claim</x:v>
      </x:c>
      <x:c r="K321" s="24" t="str">
        <x:v>N/A</x:v>
      </x:c>
      <x:c r="L321" s="24" t="str">
        <x:v>Source package + repository path + hash</x:v>
      </x:c>
      <x:c r="M321" s="24" t="str">
        <x:v>f1285390083777bd8a064e986e3d93ee4ffee41b2e34c485ae199b3ce75bb20b</x:v>
      </x:c>
      <x:c r="N321" s="24" t="str">
        <x:v>Assets/_Project/Scripts/Application/InputContexts/InputContextService.cs</x:v>
      </x:c>
      <x:c r="O321" s="24" t="str">
        <x:v>84ff687b6f6948c8b03d1313886d7d90</x:v>
      </x:c>
      <x:c r="P321" s="24" t="str">
        <x:v>Sí</x:v>
      </x:c>
      <x:c r="Q321" s="24" t="str">
        <x:v>Condicionado a autoría/procedencia final</x:v>
      </x:c>
      <x:c r="R321" s="24" t="str">
        <x:v>Solo dentro del producto/build autorizado</x:v>
      </x:c>
      <x:c r="S321" s="24" t="str">
        <x:v>Crédito general del estudio; individual si aplica</x:v>
      </x:c>
      <x:c r="T321" s="24" t="str">
        <x:v>VRM Games / Blas Luis Rocha González</x:v>
      </x:c>
      <x:c r="U321" s="24" t="str">
        <x:v>CURRENT PROJECT ASSET</x:v>
      </x:c>
      <x:c r="V321" s="24" t="str">
        <x:v>CONDITIONALLY APPROVED</x:v>
      </x:c>
      <x:c r="W321" s="24" t="str">
        <x:v>Sí</x:v>
      </x:c>
      <x:c r="X321" s="24" t="str">
        <x:v>Low</x:v>
      </x:c>
      <x:c r="Y321" s="24" t="str">
        <x:v>Internal development; public candidate requires gate</x:v>
      </x:c>
      <x:c r="Z321" s="24" t="str">
        <x:v>H6 legal/content audit</x:v>
      </x:c>
      <x:c r="AA321" s="24" t="str">
        <x:v>VRM Games</x:v>
      </x:c>
      <x:c r="AB321" s="24" t="str">
        <x:v>No se detectó proveedor externo en la ruta; confirmar autoría por lote antes de release público.</x:v>
      </x:c>
    </x:row>
    <x:row r="322" ht="34" customHeight="1">
      <x:c r="A322" s="24" t="str">
        <x:v>INT-0318</x:v>
      </x:c>
      <x:c r="B322" s="24" t="str">
        <x:v>7316fbbb0a604a15afe9ebce53dd0842</x:v>
      </x:c>
      <x:c r="C322" s="24" t="str">
        <x:v>OrderCreationFailureReason.cs</x:v>
      </x:c>
      <x:c r="D322" s="24" t="str">
        <x:v>Code</x:v>
      </x:c>
      <x:c r="E322" s="24" t="str">
        <x:v>Application</x:v>
      </x:c>
      <x:c r="F322" s="24" t="str">
        <x:v>VRM Games / Blas Luis Rocha González</x:v>
      </x:c>
      <x:c r="G322" s="24" t="str">
        <x:v>VRM Games / Blas Luis Rocha González</x:v>
      </x:c>
      <x:c r="H322" s="24" t="str">
        <x:v>Internal project production</x:v>
      </x:c>
      <x:c r="I322" s="24" t="str">
        <x:v>2026 project timeline</x:v>
      </x:c>
      <x:c r="J322" s="24" t="str">
        <x:v>Internal project IP / authorship claim</x:v>
      </x:c>
      <x:c r="K322" s="24" t="str">
        <x:v>N/A</x:v>
      </x:c>
      <x:c r="L322" s="24" t="str">
        <x:v>Source package + repository path + hash</x:v>
      </x:c>
      <x:c r="M322" s="24" t="str">
        <x:v>369ec51cd70a80a2a2596fcab871f02daa4448dcd64d748e485fbcc4804bc3a2</x:v>
      </x:c>
      <x:c r="N322" s="24" t="str">
        <x:v>Assets/_Project/Scripts/Application/Orders/OrderCreationFailureReason.cs</x:v>
      </x:c>
      <x:c r="O322" s="24" t="str">
        <x:v>7316fbbb0a604a15afe9ebce53dd0842</x:v>
      </x:c>
      <x:c r="P322" s="24" t="str">
        <x:v>Sí</x:v>
      </x:c>
      <x:c r="Q322" s="24" t="str">
        <x:v>Condicionado a autoría/procedencia final</x:v>
      </x:c>
      <x:c r="R322" s="24" t="str">
        <x:v>Solo dentro del producto/build autorizado</x:v>
      </x:c>
      <x:c r="S322" s="24" t="str">
        <x:v>Crédito general del estudio; individual si aplica</x:v>
      </x:c>
      <x:c r="T322" s="24" t="str">
        <x:v>VRM Games / Blas Luis Rocha González</x:v>
      </x:c>
      <x:c r="U322" s="24" t="str">
        <x:v>CURRENT PROJECT ASSET</x:v>
      </x:c>
      <x:c r="V322" s="24" t="str">
        <x:v>CONDITIONALLY APPROVED</x:v>
      </x:c>
      <x:c r="W322" s="24" t="str">
        <x:v>Sí</x:v>
      </x:c>
      <x:c r="X322" s="24" t="str">
        <x:v>Low</x:v>
      </x:c>
      <x:c r="Y322" s="24" t="str">
        <x:v>Internal development; public candidate requires gate</x:v>
      </x:c>
      <x:c r="Z322" s="24" t="str">
        <x:v>H6 legal/content audit</x:v>
      </x:c>
      <x:c r="AA322" s="24" t="str">
        <x:v>VRM Games</x:v>
      </x:c>
      <x:c r="AB322" s="24" t="str">
        <x:v>No se detectó proveedor externo en la ruta; confirmar autoría por lote antes de release público.</x:v>
      </x:c>
    </x:row>
    <x:row r="323" ht="34" customHeight="1">
      <x:c r="A323" s="24" t="str">
        <x:v>INT-0319</x:v>
      </x:c>
      <x:c r="B323" s="24" t="str">
        <x:v>b16132785d88480e9165fad99f6ed133</x:v>
      </x:c>
      <x:c r="C323" s="24" t="str">
        <x:v>OrderCreationResult.cs</x:v>
      </x:c>
      <x:c r="D323" s="24" t="str">
        <x:v>Code</x:v>
      </x:c>
      <x:c r="E323" s="24" t="str">
        <x:v>Application</x:v>
      </x:c>
      <x:c r="F323" s="24" t="str">
        <x:v>VRM Games / Blas Luis Rocha González</x:v>
      </x:c>
      <x:c r="G323" s="24" t="str">
        <x:v>VRM Games / Blas Luis Rocha González</x:v>
      </x:c>
      <x:c r="H323" s="24" t="str">
        <x:v>Internal project production</x:v>
      </x:c>
      <x:c r="I323" s="24" t="str">
        <x:v>2026 project timeline</x:v>
      </x:c>
      <x:c r="J323" s="24" t="str">
        <x:v>Internal project IP / authorship claim</x:v>
      </x:c>
      <x:c r="K323" s="24" t="str">
        <x:v>N/A</x:v>
      </x:c>
      <x:c r="L323" s="24" t="str">
        <x:v>Source package + repository path + hash</x:v>
      </x:c>
      <x:c r="M323" s="24" t="str">
        <x:v>b8be79639aec3ba15140ab19e1b8c5159e6c0fa253788b522dcd80a41cb8b7b1</x:v>
      </x:c>
      <x:c r="N323" s="24" t="str">
        <x:v>Assets/_Project/Scripts/Application/Orders/OrderCreationResult.cs</x:v>
      </x:c>
      <x:c r="O323" s="24" t="str">
        <x:v>b16132785d88480e9165fad99f6ed133</x:v>
      </x:c>
      <x:c r="P323" s="24" t="str">
        <x:v>Sí</x:v>
      </x:c>
      <x:c r="Q323" s="24" t="str">
        <x:v>Condicionado a autoría/procedencia final</x:v>
      </x:c>
      <x:c r="R323" s="24" t="str">
        <x:v>Solo dentro del producto/build autorizado</x:v>
      </x:c>
      <x:c r="S323" s="24" t="str">
        <x:v>Crédito general del estudio; individual si aplica</x:v>
      </x:c>
      <x:c r="T323" s="24" t="str">
        <x:v>VRM Games / Blas Luis Rocha González</x:v>
      </x:c>
      <x:c r="U323" s="24" t="str">
        <x:v>CURRENT PROJECT ASSET</x:v>
      </x:c>
      <x:c r="V323" s="24" t="str">
        <x:v>CONDITIONALLY APPROVED</x:v>
      </x:c>
      <x:c r="W323" s="24" t="str">
        <x:v>Sí</x:v>
      </x:c>
      <x:c r="X323" s="24" t="str">
        <x:v>Low</x:v>
      </x:c>
      <x:c r="Y323" s="24" t="str">
        <x:v>Internal development; public candidate requires gate</x:v>
      </x:c>
      <x:c r="Z323" s="24" t="str">
        <x:v>H6 legal/content audit</x:v>
      </x:c>
      <x:c r="AA323" s="24" t="str">
        <x:v>VRM Games</x:v>
      </x:c>
      <x:c r="AB323" s="24" t="str">
        <x:v>No se detectó proveedor externo en la ruta; confirmar autoría por lote antes de release público.</x:v>
      </x:c>
    </x:row>
    <x:row r="324" ht="34" customHeight="1">
      <x:c r="A324" s="24" t="str">
        <x:v>INT-0320</x:v>
      </x:c>
      <x:c r="B324" s="24" t="str">
        <x:v>523b5b32f1e14369806bcbd7146309c2</x:v>
      </x:c>
      <x:c r="C324" s="24" t="str">
        <x:v>SupplierOrderService.cs</x:v>
      </x:c>
      <x:c r="D324" s="24" t="str">
        <x:v>Code</x:v>
      </x:c>
      <x:c r="E324" s="24" t="str">
        <x:v>Application</x:v>
      </x:c>
      <x:c r="F324" s="24" t="str">
        <x:v>VRM Games / Blas Luis Rocha González</x:v>
      </x:c>
      <x:c r="G324" s="24" t="str">
        <x:v>VRM Games / Blas Luis Rocha González</x:v>
      </x:c>
      <x:c r="H324" s="24" t="str">
        <x:v>Internal project production</x:v>
      </x:c>
      <x:c r="I324" s="24" t="str">
        <x:v>2026 project timeline</x:v>
      </x:c>
      <x:c r="J324" s="24" t="str">
        <x:v>Internal project IP / authorship claim</x:v>
      </x:c>
      <x:c r="K324" s="24" t="str">
        <x:v>N/A</x:v>
      </x:c>
      <x:c r="L324" s="24" t="str">
        <x:v>Source package + repository path + hash</x:v>
      </x:c>
      <x:c r="M324" s="24" t="str">
        <x:v>399b9cce3fec0a0978840ced8e8e5fc29c02fcb0d5eb5ff7b824d07ee04c4c0c</x:v>
      </x:c>
      <x:c r="N324" s="24" t="str">
        <x:v>Assets/_Project/Scripts/Application/Orders/SupplierOrderService.cs</x:v>
      </x:c>
      <x:c r="O324" s="24" t="str">
        <x:v>523b5b32f1e14369806bcbd7146309c2</x:v>
      </x:c>
      <x:c r="P324" s="24" t="str">
        <x:v>Sí</x:v>
      </x:c>
      <x:c r="Q324" s="24" t="str">
        <x:v>Condicionado a autoría/procedencia final</x:v>
      </x:c>
      <x:c r="R324" s="24" t="str">
        <x:v>Solo dentro del producto/build autorizado</x:v>
      </x:c>
      <x:c r="S324" s="24" t="str">
        <x:v>Crédito general del estudio; individual si aplica</x:v>
      </x:c>
      <x:c r="T324" s="24" t="str">
        <x:v>VRM Games / Blas Luis Rocha González</x:v>
      </x:c>
      <x:c r="U324" s="24" t="str">
        <x:v>CURRENT PROJECT ASSET</x:v>
      </x:c>
      <x:c r="V324" s="24" t="str">
        <x:v>CONDITIONALLY APPROVED</x:v>
      </x:c>
      <x:c r="W324" s="24" t="str">
        <x:v>Sí</x:v>
      </x:c>
      <x:c r="X324" s="24" t="str">
        <x:v>Low</x:v>
      </x:c>
      <x:c r="Y324" s="24" t="str">
        <x:v>Internal development; public candidate requires gate</x:v>
      </x:c>
      <x:c r="Z324" s="24" t="str">
        <x:v>H6 legal/content audit</x:v>
      </x:c>
      <x:c r="AA324" s="24" t="str">
        <x:v>VRM Games</x:v>
      </x:c>
      <x:c r="AB324" s="24" t="str">
        <x:v>No se detectó proveedor externo en la ruta; confirmar autoría por lote antes de release público.</x:v>
      </x:c>
    </x:row>
    <x:row r="325" ht="34" customHeight="1">
      <x:c r="A325" s="24" t="str">
        <x:v>INT-0321</x:v>
      </x:c>
      <x:c r="B325" s="24" t="str">
        <x:v>fc584b080c91488ea617afaad0e95f9c</x:v>
      </x:c>
      <x:c r="C325" s="24" t="str">
        <x:v>InMemoryRestoreTarget.cs</x:v>
      </x:c>
      <x:c r="D325" s="24" t="str">
        <x:v>Code</x:v>
      </x:c>
      <x:c r="E325" s="24" t="str">
        <x:v>Application</x:v>
      </x:c>
      <x:c r="F325" s="24" t="str">
        <x:v>VRM Games / Blas Luis Rocha González</x:v>
      </x:c>
      <x:c r="G325" s="24" t="str">
        <x:v>VRM Games / Blas Luis Rocha González</x:v>
      </x:c>
      <x:c r="H325" s="24" t="str">
        <x:v>Internal project production</x:v>
      </x:c>
      <x:c r="I325" s="24" t="str">
        <x:v>2026 project timeline</x:v>
      </x:c>
      <x:c r="J325" s="24" t="str">
        <x:v>Internal project IP / authorship claim</x:v>
      </x:c>
      <x:c r="K325" s="24" t="str">
        <x:v>N/A</x:v>
      </x:c>
      <x:c r="L325" s="24" t="str">
        <x:v>Source package + repository path + hash</x:v>
      </x:c>
      <x:c r="M325" s="24" t="str">
        <x:v>06eba107cc9aa54d15b1f491f3f4112c666d29c1d1c2900bbf1a139d979cb0d5</x:v>
      </x:c>
      <x:c r="N325" s="24" t="str">
        <x:v>Assets/_Project/Scripts/Application/Persistence/InMemoryRestoreTarget.cs</x:v>
      </x:c>
      <x:c r="O325" s="24" t="str">
        <x:v>fc584b080c91488ea617afaad0e95f9c</x:v>
      </x:c>
      <x:c r="P325" s="24" t="str">
        <x:v>Sí</x:v>
      </x:c>
      <x:c r="Q325" s="24" t="str">
        <x:v>Condicionado a autoría/procedencia final</x:v>
      </x:c>
      <x:c r="R325" s="24" t="str">
        <x:v>Solo dentro del producto/build autorizado</x:v>
      </x:c>
      <x:c r="S325" s="24" t="str">
        <x:v>Crédito general del estudio; individual si aplica</x:v>
      </x:c>
      <x:c r="T325" s="24" t="str">
        <x:v>VRM Games / Blas Luis Rocha González</x:v>
      </x:c>
      <x:c r="U325" s="24" t="str">
        <x:v>CURRENT PROJECT ASSET</x:v>
      </x:c>
      <x:c r="V325" s="24" t="str">
        <x:v>CONDITIONALLY APPROVED</x:v>
      </x:c>
      <x:c r="W325" s="24" t="str">
        <x:v>Sí</x:v>
      </x:c>
      <x:c r="X325" s="24" t="str">
        <x:v>Low</x:v>
      </x:c>
      <x:c r="Y325" s="24" t="str">
        <x:v>Internal development; public candidate requires gate</x:v>
      </x:c>
      <x:c r="Z325" s="24" t="str">
        <x:v>H6 legal/content audit</x:v>
      </x:c>
      <x:c r="AA325" s="24" t="str">
        <x:v>VRM Games</x:v>
      </x:c>
      <x:c r="AB325" s="24" t="str">
        <x:v>No se detectó proveedor externo en la ruta; confirmar autoría por lote antes de release público.</x:v>
      </x:c>
    </x:row>
    <x:row r="326" ht="34" customHeight="1">
      <x:c r="A326" s="24" t="str">
        <x:v>INT-0322</x:v>
      </x:c>
      <x:c r="B326" s="24" t="str">
        <x:v>51a2b623d8684676a317877d4442cb63</x:v>
      </x:c>
      <x:c r="C326" s="24" t="str">
        <x:v>IntegratedGameStateBuilder.cs</x:v>
      </x:c>
      <x:c r="D326" s="24" t="str">
        <x:v>Code</x:v>
      </x:c>
      <x:c r="E326" s="24" t="str">
        <x:v>Application</x:v>
      </x:c>
      <x:c r="F326" s="24" t="str">
        <x:v>VRM Games / Blas Luis Rocha González</x:v>
      </x:c>
      <x:c r="G326" s="24" t="str">
        <x:v>VRM Games / Blas Luis Rocha González</x:v>
      </x:c>
      <x:c r="H326" s="24" t="str">
        <x:v>Internal project production</x:v>
      </x:c>
      <x:c r="I326" s="24" t="str">
        <x:v>2026 project timeline</x:v>
      </x:c>
      <x:c r="J326" s="24" t="str">
        <x:v>Internal project IP / authorship claim</x:v>
      </x:c>
      <x:c r="K326" s="24" t="str">
        <x:v>N/A</x:v>
      </x:c>
      <x:c r="L326" s="24" t="str">
        <x:v>Source package + repository path + hash</x:v>
      </x:c>
      <x:c r="M326" s="24" t="str">
        <x:v>ddab83d85c2f23fd19a52b4b8142d6459531f57088c7e381aba041457d51ef7e</x:v>
      </x:c>
      <x:c r="N326" s="24" t="str">
        <x:v>Assets/_Project/Scripts/Application/Persistence/IntegratedGameStateBuilder.cs</x:v>
      </x:c>
      <x:c r="O326" s="24" t="str">
        <x:v>51a2b623d8684676a317877d4442cb63</x:v>
      </x:c>
      <x:c r="P326" s="24" t="str">
        <x:v>Sí</x:v>
      </x:c>
      <x:c r="Q326" s="24" t="str">
        <x:v>Condicionado a autoría/procedencia final</x:v>
      </x:c>
      <x:c r="R326" s="24" t="str">
        <x:v>Solo dentro del producto/build autorizado</x:v>
      </x:c>
      <x:c r="S326" s="24" t="str">
        <x:v>Crédito general del estudio; individual si aplica</x:v>
      </x:c>
      <x:c r="T326" s="24" t="str">
        <x:v>VRM Games / Blas Luis Rocha González</x:v>
      </x:c>
      <x:c r="U326" s="24" t="str">
        <x:v>CURRENT PROJECT ASSET</x:v>
      </x:c>
      <x:c r="V326" s="24" t="str">
        <x:v>CONDITIONALLY APPROVED</x:v>
      </x:c>
      <x:c r="W326" s="24" t="str">
        <x:v>Sí</x:v>
      </x:c>
      <x:c r="X326" s="24" t="str">
        <x:v>Low</x:v>
      </x:c>
      <x:c r="Y326" s="24" t="str">
        <x:v>Internal development; public candidate requires gate</x:v>
      </x:c>
      <x:c r="Z326" s="24" t="str">
        <x:v>H6 legal/content audit</x:v>
      </x:c>
      <x:c r="AA326" s="24" t="str">
        <x:v>VRM Games</x:v>
      </x:c>
      <x:c r="AB326" s="24" t="str">
        <x:v>No se detectó proveedor externo en la ruta; confirmar autoría por lote antes de release público.</x:v>
      </x:c>
    </x:row>
    <x:row r="327" ht="34" customHeight="1">
      <x:c r="A327" s="24" t="str">
        <x:v>INT-0323</x:v>
      </x:c>
      <x:c r="B327" s="24" t="str">
        <x:v>25d69b720afc4c64945d4b1cf346569f</x:v>
      </x:c>
      <x:c r="C327" s="24" t="str">
        <x:v>IntegratedSaveContracts.cs</x:v>
      </x:c>
      <x:c r="D327" s="24" t="str">
        <x:v>Code</x:v>
      </x:c>
      <x:c r="E327" s="24" t="str">
        <x:v>Application</x:v>
      </x:c>
      <x:c r="F327" s="24" t="str">
        <x:v>VRM Games / Blas Luis Rocha González</x:v>
      </x:c>
      <x:c r="G327" s="24" t="str">
        <x:v>VRM Games / Blas Luis Rocha González</x:v>
      </x:c>
      <x:c r="H327" s="24" t="str">
        <x:v>Internal project production</x:v>
      </x:c>
      <x:c r="I327" s="24" t="str">
        <x:v>2026 project timeline</x:v>
      </x:c>
      <x:c r="J327" s="24" t="str">
        <x:v>Internal project IP / authorship claim</x:v>
      </x:c>
      <x:c r="K327" s="24" t="str">
        <x:v>N/A</x:v>
      </x:c>
      <x:c r="L327" s="24" t="str">
        <x:v>Source package + repository path + hash</x:v>
      </x:c>
      <x:c r="M327" s="24" t="str">
        <x:v>2f70dacb1588aade0236f7286fffa268fa438ad0b36977a9c6164f173db84b10</x:v>
      </x:c>
      <x:c r="N327" s="24" t="str">
        <x:v>Assets/_Project/Scripts/Application/Persistence/IntegratedSaveContracts.cs</x:v>
      </x:c>
      <x:c r="O327" s="24" t="str">
        <x:v>25d69b720afc4c64945d4b1cf346569f</x:v>
      </x:c>
      <x:c r="P327" s="24" t="str">
        <x:v>Sí</x:v>
      </x:c>
      <x:c r="Q327" s="24" t="str">
        <x:v>Condicionado a autoría/procedencia final</x:v>
      </x:c>
      <x:c r="R327" s="24" t="str">
        <x:v>Solo dentro del producto/build autorizado</x:v>
      </x:c>
      <x:c r="S327" s="24" t="str">
        <x:v>Crédito general del estudio; individual si aplica</x:v>
      </x:c>
      <x:c r="T327" s="24" t="str">
        <x:v>VRM Games / Blas Luis Rocha González</x:v>
      </x:c>
      <x:c r="U327" s="24" t="str">
        <x:v>CURRENT PROJECT ASSET</x:v>
      </x:c>
      <x:c r="V327" s="24" t="str">
        <x:v>CONDITIONALLY APPROVED</x:v>
      </x:c>
      <x:c r="W327" s="24" t="str">
        <x:v>Sí</x:v>
      </x:c>
      <x:c r="X327" s="24" t="str">
        <x:v>Low</x:v>
      </x:c>
      <x:c r="Y327" s="24" t="str">
        <x:v>Internal development; public candidate requires gate</x:v>
      </x:c>
      <x:c r="Z327" s="24" t="str">
        <x:v>H6 legal/content audit</x:v>
      </x:c>
      <x:c r="AA327" s="24" t="str">
        <x:v>VRM Games</x:v>
      </x:c>
      <x:c r="AB327" s="24" t="str">
        <x:v>No se detectó proveedor externo en la ruta; confirmar autoría por lote antes de release público.</x:v>
      </x:c>
    </x:row>
    <x:row r="328" ht="34" customHeight="1">
      <x:c r="A328" s="24" t="str">
        <x:v>INT-0324</x:v>
      </x:c>
      <x:c r="B328" s="24" t="str">
        <x:v>51d2763e8c4a458eafe7cc6bc9f4fd84</x:v>
      </x:c>
      <x:c r="C328" s="24" t="str">
        <x:v>IntegratedSaveService.cs</x:v>
      </x:c>
      <x:c r="D328" s="24" t="str">
        <x:v>Code</x:v>
      </x:c>
      <x:c r="E328" s="24" t="str">
        <x:v>Application</x:v>
      </x:c>
      <x:c r="F328" s="24" t="str">
        <x:v>VRM Games / Blas Luis Rocha González</x:v>
      </x:c>
      <x:c r="G328" s="24" t="str">
        <x:v>VRM Games / Blas Luis Rocha González</x:v>
      </x:c>
      <x:c r="H328" s="24" t="str">
        <x:v>Internal project production</x:v>
      </x:c>
      <x:c r="I328" s="24" t="str">
        <x:v>2026 project timeline</x:v>
      </x:c>
      <x:c r="J328" s="24" t="str">
        <x:v>Internal project IP / authorship claim</x:v>
      </x:c>
      <x:c r="K328" s="24" t="str">
        <x:v>N/A</x:v>
      </x:c>
      <x:c r="L328" s="24" t="str">
        <x:v>Source package + repository path + hash</x:v>
      </x:c>
      <x:c r="M328" s="24" t="str">
        <x:v>e6d01c640c22205adb8a888963d33b9696147ad5ca9deaa2370d4261ce81b378</x:v>
      </x:c>
      <x:c r="N328" s="24" t="str">
        <x:v>Assets/_Project/Scripts/Application/Persistence/IntegratedSaveService.cs</x:v>
      </x:c>
      <x:c r="O328" s="24" t="str">
        <x:v>51d2763e8c4a458eafe7cc6bc9f4fd84</x:v>
      </x:c>
      <x:c r="P328" s="24" t="str">
        <x:v>Sí</x:v>
      </x:c>
      <x:c r="Q328" s="24" t="str">
        <x:v>Condicionado a autoría/procedencia final</x:v>
      </x:c>
      <x:c r="R328" s="24" t="str">
        <x:v>Solo dentro del producto/build autorizado</x:v>
      </x:c>
      <x:c r="S328" s="24" t="str">
        <x:v>Crédito general del estudio; individual si aplica</x:v>
      </x:c>
      <x:c r="T328" s="24" t="str">
        <x:v>VRM Games / Blas Luis Rocha González</x:v>
      </x:c>
      <x:c r="U328" s="24" t="str">
        <x:v>CURRENT PROJECT ASSET</x:v>
      </x:c>
      <x:c r="V328" s="24" t="str">
        <x:v>CONDITIONALLY APPROVED</x:v>
      </x:c>
      <x:c r="W328" s="24" t="str">
        <x:v>Sí</x:v>
      </x:c>
      <x:c r="X328" s="24" t="str">
        <x:v>Low</x:v>
      </x:c>
      <x:c r="Y328" s="24" t="str">
        <x:v>Internal development; public candidate requires gate</x:v>
      </x:c>
      <x:c r="Z328" s="24" t="str">
        <x:v>H6 legal/content audit</x:v>
      </x:c>
      <x:c r="AA328" s="24" t="str">
        <x:v>VRM Games</x:v>
      </x:c>
      <x:c r="AB328" s="24" t="str">
        <x:v>No se detectó proveedor externo en la ruta; confirmar autoría por lote antes de release público.</x:v>
      </x:c>
    </x:row>
    <x:row r="329" ht="34" customHeight="1">
      <x:c r="A329" s="24" t="str">
        <x:v>INT-0325</x:v>
      </x:c>
      <x:c r="B329" s="24" t="str">
        <x:v>c1d3f5444b4b4675847b63d0b73f6757</x:v>
      </x:c>
      <x:c r="C329" s="24" t="str">
        <x:v>GameplayDestinationInputPolicy.cs</x:v>
      </x:c>
      <x:c r="D329" s="24" t="str">
        <x:v>Code</x:v>
      </x:c>
      <x:c r="E329" s="24" t="str">
        <x:v>Application</x:v>
      </x:c>
      <x:c r="F329" s="24" t="str">
        <x:v>VRM Games / Blas Luis Rocha González</x:v>
      </x:c>
      <x:c r="G329" s="24" t="str">
        <x:v>VRM Games / Blas Luis Rocha González</x:v>
      </x:c>
      <x:c r="H329" s="24" t="str">
        <x:v>Internal project production</x:v>
      </x:c>
      <x:c r="I329" s="24" t="str">
        <x:v>2026 project timeline</x:v>
      </x:c>
      <x:c r="J329" s="24" t="str">
        <x:v>Internal project IP / authorship claim</x:v>
      </x:c>
      <x:c r="K329" s="24" t="str">
        <x:v>N/A</x:v>
      </x:c>
      <x:c r="L329" s="24" t="str">
        <x:v>Source package + repository path + hash</x:v>
      </x:c>
      <x:c r="M329" s="24" t="str">
        <x:v>3f101fa82b2630167ca73e14278e362702bb4c675900ba87bf9b854c794a7591</x:v>
      </x:c>
      <x:c r="N329" s="24" t="str">
        <x:v>Assets/_Project/Scripts/Application/Placement/GameplayDestinationInputPolicy.cs</x:v>
      </x:c>
      <x:c r="O329" s="24" t="str">
        <x:v>c1d3f5444b4b4675847b63d0b73f6757</x:v>
      </x:c>
      <x:c r="P329" s="24" t="str">
        <x:v>Sí</x:v>
      </x:c>
      <x:c r="Q329" s="24" t="str">
        <x:v>Condicionado a autoría/procedencia final</x:v>
      </x:c>
      <x:c r="R329" s="24" t="str">
        <x:v>Solo dentro del producto/build autorizado</x:v>
      </x:c>
      <x:c r="S329" s="24" t="str">
        <x:v>Crédito general del estudio; individual si aplica</x:v>
      </x:c>
      <x:c r="T329" s="24" t="str">
        <x:v>VRM Games / Blas Luis Rocha González</x:v>
      </x:c>
      <x:c r="U329" s="24" t="str">
        <x:v>CURRENT PROJECT ASSET</x:v>
      </x:c>
      <x:c r="V329" s="24" t="str">
        <x:v>CONDITIONALLY APPROVED</x:v>
      </x:c>
      <x:c r="W329" s="24" t="str">
        <x:v>Sí</x:v>
      </x:c>
      <x:c r="X329" s="24" t="str">
        <x:v>Low</x:v>
      </x:c>
      <x:c r="Y329" s="24" t="str">
        <x:v>Internal development; public candidate requires gate</x:v>
      </x:c>
      <x:c r="Z329" s="24" t="str">
        <x:v>H6 legal/content audit</x:v>
      </x:c>
      <x:c r="AA329" s="24" t="str">
        <x:v>VRM Games</x:v>
      </x:c>
      <x:c r="AB329" s="24" t="str">
        <x:v>No se detectó proveedor externo en la ruta; confirmar autoría por lote antes de release público.</x:v>
      </x:c>
    </x:row>
    <x:row r="330" ht="34" customHeight="1">
      <x:c r="A330" s="24" t="str">
        <x:v>INT-0326</x:v>
      </x:c>
      <x:c r="B330" s="24" t="str">
        <x:v>4e05d7fe60864245b9129af7ae9687c9</x:v>
      </x:c>
      <x:c r="C330" s="24" t="str">
        <x:v>PlacementOccupancyRegistry.cs</x:v>
      </x:c>
      <x:c r="D330" s="24" t="str">
        <x:v>Code</x:v>
      </x:c>
      <x:c r="E330" s="24" t="str">
        <x:v>Application</x:v>
      </x:c>
      <x:c r="F330" s="24" t="str">
        <x:v>VRM Games / Blas Luis Rocha González</x:v>
      </x:c>
      <x:c r="G330" s="24" t="str">
        <x:v>VRM Games / Blas Luis Rocha González</x:v>
      </x:c>
      <x:c r="H330" s="24" t="str">
        <x:v>Internal project production</x:v>
      </x:c>
      <x:c r="I330" s="24" t="str">
        <x:v>2026 project timeline</x:v>
      </x:c>
      <x:c r="J330" s="24" t="str">
        <x:v>Internal project IP / authorship claim</x:v>
      </x:c>
      <x:c r="K330" s="24" t="str">
        <x:v>N/A</x:v>
      </x:c>
      <x:c r="L330" s="24" t="str">
        <x:v>Source package + repository path + hash</x:v>
      </x:c>
      <x:c r="M330" s="24" t="str">
        <x:v>23b1c7ffb4fbfd326ea842069a53be8ad7c043ebf6cb8c1d05c16534711bc940</x:v>
      </x:c>
      <x:c r="N330" s="24" t="str">
        <x:v>Assets/_Project/Scripts/Application/Placement/PlacementOccupancyRegistry.cs</x:v>
      </x:c>
      <x:c r="O330" s="24" t="str">
        <x:v>4e05d7fe60864245b9129af7ae9687c9</x:v>
      </x:c>
      <x:c r="P330" s="24" t="str">
        <x:v>Sí</x:v>
      </x:c>
      <x:c r="Q330" s="24" t="str">
        <x:v>Condicionado a autoría/procedencia final</x:v>
      </x:c>
      <x:c r="R330" s="24" t="str">
        <x:v>Solo dentro del producto/build autorizado</x:v>
      </x:c>
      <x:c r="S330" s="24" t="str">
        <x:v>Crédito general del estudio; individual si aplica</x:v>
      </x:c>
      <x:c r="T330" s="24" t="str">
        <x:v>VRM Games / Blas Luis Rocha González</x:v>
      </x:c>
      <x:c r="U330" s="24" t="str">
        <x:v>CURRENT PROJECT ASSET</x:v>
      </x:c>
      <x:c r="V330" s="24" t="str">
        <x:v>CONDITIONALLY APPROVED</x:v>
      </x:c>
      <x:c r="W330" s="24" t="str">
        <x:v>Sí</x:v>
      </x:c>
      <x:c r="X330" s="24" t="str">
        <x:v>Low</x:v>
      </x:c>
      <x:c r="Y330" s="24" t="str">
        <x:v>Internal development; public candidate requires gate</x:v>
      </x:c>
      <x:c r="Z330" s="24" t="str">
        <x:v>H6 legal/content audit</x:v>
      </x:c>
      <x:c r="AA330" s="24" t="str">
        <x:v>VRM Games</x:v>
      </x:c>
      <x:c r="AB330" s="24" t="str">
        <x:v>No se detectó proveedor externo en la ruta; confirmar autoría por lote antes de release público.</x:v>
      </x:c>
    </x:row>
    <x:row r="331" ht="34" customHeight="1">
      <x:c r="A331" s="24" t="str">
        <x:v>INT-0327</x:v>
      </x:c>
      <x:c r="B331" s="24" t="str">
        <x:v>95f2f4307aa94b5abd5dceace0eb5e2b</x:v>
      </x:c>
      <x:c r="C331" s="24" t="str">
        <x:v>PlacementPreviewCalculator.cs</x:v>
      </x:c>
      <x:c r="D331" s="24" t="str">
        <x:v>Code</x:v>
      </x:c>
      <x:c r="E331" s="24" t="str">
        <x:v>Application</x:v>
      </x:c>
      <x:c r="F331" s="24" t="str">
        <x:v>VRM Games / Blas Luis Rocha González</x:v>
      </x:c>
      <x:c r="G331" s="24" t="str">
        <x:v>VRM Games / Blas Luis Rocha González</x:v>
      </x:c>
      <x:c r="H331" s="24" t="str">
        <x:v>Internal project production</x:v>
      </x:c>
      <x:c r="I331" s="24" t="str">
        <x:v>2026 project timeline</x:v>
      </x:c>
      <x:c r="J331" s="24" t="str">
        <x:v>Internal project IP / authorship claim</x:v>
      </x:c>
      <x:c r="K331" s="24" t="str">
        <x:v>N/A</x:v>
      </x:c>
      <x:c r="L331" s="24" t="str">
        <x:v>Source package + repository path + hash</x:v>
      </x:c>
      <x:c r="M331" s="24" t="str">
        <x:v>5361a3da8d2ecbe03676350d2b09bf1036f98dcfe2ca4df60fadaa1cde53742b</x:v>
      </x:c>
      <x:c r="N331" s="24" t="str">
        <x:v>Assets/_Project/Scripts/Application/Placement/PlacementPreviewCalculator.cs</x:v>
      </x:c>
      <x:c r="O331" s="24" t="str">
        <x:v>95f2f4307aa94b5abd5dceace0eb5e2b</x:v>
      </x:c>
      <x:c r="P331" s="24" t="str">
        <x:v>Sí</x:v>
      </x:c>
      <x:c r="Q331" s="24" t="str">
        <x:v>Condicionado a autoría/procedencia final</x:v>
      </x:c>
      <x:c r="R331" s="24" t="str">
        <x:v>Solo dentro del producto/build autorizado</x:v>
      </x:c>
      <x:c r="S331" s="24" t="str">
        <x:v>Crédito general del estudio; individual si aplica</x:v>
      </x:c>
      <x:c r="T331" s="24" t="str">
        <x:v>VRM Games / Blas Luis Rocha González</x:v>
      </x:c>
      <x:c r="U331" s="24" t="str">
        <x:v>CURRENT PROJECT ASSET</x:v>
      </x:c>
      <x:c r="V331" s="24" t="str">
        <x:v>CONDITIONALLY APPROVED</x:v>
      </x:c>
      <x:c r="W331" s="24" t="str">
        <x:v>Sí</x:v>
      </x:c>
      <x:c r="X331" s="24" t="str">
        <x:v>Low</x:v>
      </x:c>
      <x:c r="Y331" s="24" t="str">
        <x:v>Internal development; public candidate requires gate</x:v>
      </x:c>
      <x:c r="Z331" s="24" t="str">
        <x:v>H6 legal/content audit</x:v>
      </x:c>
      <x:c r="AA331" s="24" t="str">
        <x:v>VRM Games</x:v>
      </x:c>
      <x:c r="AB331" s="24" t="str">
        <x:v>No se detectó proveedor externo en la ruta; confirmar autoría por lote antes de release público.</x:v>
      </x:c>
    </x:row>
    <x:row r="332" ht="34" customHeight="1">
      <x:c r="A332" s="24" t="str">
        <x:v>INT-0328</x:v>
      </x:c>
      <x:c r="B332" s="24" t="str">
        <x:v>683fc71b119f45eab88fc8a43d1b49b2</x:v>
      </x:c>
      <x:c r="C332" s="24" t="str">
        <x:v>PlacementPreviewState.cs</x:v>
      </x:c>
      <x:c r="D332" s="24" t="str">
        <x:v>Code</x:v>
      </x:c>
      <x:c r="E332" s="24" t="str">
        <x:v>Application</x:v>
      </x:c>
      <x:c r="F332" s="24" t="str">
        <x:v>VRM Games / Blas Luis Rocha González</x:v>
      </x:c>
      <x:c r="G332" s="24" t="str">
        <x:v>VRM Games / Blas Luis Rocha González</x:v>
      </x:c>
      <x:c r="H332" s="24" t="str">
        <x:v>Internal project production</x:v>
      </x:c>
      <x:c r="I332" s="24" t="str">
        <x:v>2026 project timeline</x:v>
      </x:c>
      <x:c r="J332" s="24" t="str">
        <x:v>Internal project IP / authorship claim</x:v>
      </x:c>
      <x:c r="K332" s="24" t="str">
        <x:v>N/A</x:v>
      </x:c>
      <x:c r="L332" s="24" t="str">
        <x:v>Source package + repository path + hash</x:v>
      </x:c>
      <x:c r="M332" s="24" t="str">
        <x:v>fbcd1db0d142248df9603fb2d1a60ce109cd1483d81389363c87fb93e4d45dbd</x:v>
      </x:c>
      <x:c r="N332" s="24" t="str">
        <x:v>Assets/_Project/Scripts/Application/Placement/PlacementPreviewState.cs</x:v>
      </x:c>
      <x:c r="O332" s="24" t="str">
        <x:v>683fc71b119f45eab88fc8a43d1b49b2</x:v>
      </x:c>
      <x:c r="P332" s="24" t="str">
        <x:v>Sí</x:v>
      </x:c>
      <x:c r="Q332" s="24" t="str">
        <x:v>Condicionado a autoría/procedencia final</x:v>
      </x:c>
      <x:c r="R332" s="24" t="str">
        <x:v>Solo dentro del producto/build autorizado</x:v>
      </x:c>
      <x:c r="S332" s="24" t="str">
        <x:v>Crédito general del estudio; individual si aplica</x:v>
      </x:c>
      <x:c r="T332" s="24" t="str">
        <x:v>VRM Games / Blas Luis Rocha González</x:v>
      </x:c>
      <x:c r="U332" s="24" t="str">
        <x:v>CURRENT PROJECT ASSET</x:v>
      </x:c>
      <x:c r="V332" s="24" t="str">
        <x:v>CONDITIONALLY APPROVED</x:v>
      </x:c>
      <x:c r="W332" s="24" t="str">
        <x:v>Sí</x:v>
      </x:c>
      <x:c r="X332" s="24" t="str">
        <x:v>Low</x:v>
      </x:c>
      <x:c r="Y332" s="24" t="str">
        <x:v>Internal development; public candidate requires gate</x:v>
      </x:c>
      <x:c r="Z332" s="24" t="str">
        <x:v>H6 legal/content audit</x:v>
      </x:c>
      <x:c r="AA332" s="24" t="str">
        <x:v>VRM Games</x:v>
      </x:c>
      <x:c r="AB332" s="24" t="str">
        <x:v>No se detectó proveedor externo en la ruta; confirmar autoría por lote antes de release público.</x:v>
      </x:c>
    </x:row>
    <x:row r="333" ht="34" customHeight="1">
      <x:c r="A333" s="24" t="str">
        <x:v>INT-0329</x:v>
      </x:c>
      <x:c r="B333" s="24" t="str">
        <x:v>3d31225713d3416c9fc0b32b421e4424</x:v>
      </x:c>
      <x:c r="C333" s="24" t="str">
        <x:v>PlacementValidationResult.cs</x:v>
      </x:c>
      <x:c r="D333" s="24" t="str">
        <x:v>Code</x:v>
      </x:c>
      <x:c r="E333" s="24" t="str">
        <x:v>Application</x:v>
      </x:c>
      <x:c r="F333" s="24" t="str">
        <x:v>VRM Games / Blas Luis Rocha González</x:v>
      </x:c>
      <x:c r="G333" s="24" t="str">
        <x:v>VRM Games / Blas Luis Rocha González</x:v>
      </x:c>
      <x:c r="H333" s="24" t="str">
        <x:v>Internal project production</x:v>
      </x:c>
      <x:c r="I333" s="24" t="str">
        <x:v>2026 project timeline</x:v>
      </x:c>
      <x:c r="J333" s="24" t="str">
        <x:v>Internal project IP / authorship claim</x:v>
      </x:c>
      <x:c r="K333" s="24" t="str">
        <x:v>N/A</x:v>
      </x:c>
      <x:c r="L333" s="24" t="str">
        <x:v>Source package + repository path + hash</x:v>
      </x:c>
      <x:c r="M333" s="24" t="str">
        <x:v>40eafb518e3e367480e437e2d756f8bdee8482791d93edaf45e9cdcf291872ea</x:v>
      </x:c>
      <x:c r="N333" s="24" t="str">
        <x:v>Assets/_Project/Scripts/Application/Placement/PlacementValidationResult.cs</x:v>
      </x:c>
      <x:c r="O333" s="24" t="str">
        <x:v>3d31225713d3416c9fc0b32b421e4424</x:v>
      </x:c>
      <x:c r="P333" s="24" t="str">
        <x:v>Sí</x:v>
      </x:c>
      <x:c r="Q333" s="24" t="str">
        <x:v>Condicionado a autoría/procedencia final</x:v>
      </x:c>
      <x:c r="R333" s="24" t="str">
        <x:v>Solo dentro del producto/build autorizado</x:v>
      </x:c>
      <x:c r="S333" s="24" t="str">
        <x:v>Crédito general del estudio; individual si aplica</x:v>
      </x:c>
      <x:c r="T333" s="24" t="str">
        <x:v>VRM Games / Blas Luis Rocha González</x:v>
      </x:c>
      <x:c r="U333" s="24" t="str">
        <x:v>CURRENT PROJECT ASSET</x:v>
      </x:c>
      <x:c r="V333" s="24" t="str">
        <x:v>CONDITIONALLY APPROVED</x:v>
      </x:c>
      <x:c r="W333" s="24" t="str">
        <x:v>Sí</x:v>
      </x:c>
      <x:c r="X333" s="24" t="str">
        <x:v>Low</x:v>
      </x:c>
      <x:c r="Y333" s="24" t="str">
        <x:v>Internal development; public candidate requires gate</x:v>
      </x:c>
      <x:c r="Z333" s="24" t="str">
        <x:v>H6 legal/content audit</x:v>
      </x:c>
      <x:c r="AA333" s="24" t="str">
        <x:v>VRM Games</x:v>
      </x:c>
      <x:c r="AB333" s="24" t="str">
        <x:v>No se detectó proveedor externo en la ruta; confirmar autoría por lote antes de release público.</x:v>
      </x:c>
    </x:row>
    <x:row r="334" ht="34" customHeight="1">
      <x:c r="A334" s="24" t="str">
        <x:v>INT-0330</x:v>
      </x:c>
      <x:c r="B334" s="24" t="str">
        <x:v>128ca7d140f842c8a52cc534b908d409</x:v>
      </x:c>
      <x:c r="C334" s="24" t="str">
        <x:v>PlanarMovementCalculator.cs</x:v>
      </x:c>
      <x:c r="D334" s="24" t="str">
        <x:v>Code</x:v>
      </x:c>
      <x:c r="E334" s="24" t="str">
        <x:v>Application</x:v>
      </x:c>
      <x:c r="F334" s="24" t="str">
        <x:v>VRM Games / Blas Luis Rocha González</x:v>
      </x:c>
      <x:c r="G334" s="24" t="str">
        <x:v>VRM Games / Blas Luis Rocha González</x:v>
      </x:c>
      <x:c r="H334" s="24" t="str">
        <x:v>Internal project production</x:v>
      </x:c>
      <x:c r="I334" s="24" t="str">
        <x:v>2026 project timeline</x:v>
      </x:c>
      <x:c r="J334" s="24" t="str">
        <x:v>Internal project IP / authorship claim</x:v>
      </x:c>
      <x:c r="K334" s="24" t="str">
        <x:v>N/A</x:v>
      </x:c>
      <x:c r="L334" s="24" t="str">
        <x:v>Source package + repository path + hash</x:v>
      </x:c>
      <x:c r="M334" s="24" t="str">
        <x:v>13fa124d9395b5262ea11f39611e6a833609665caa8fd24c973ab5062b62449d</x:v>
      </x:c>
      <x:c r="N334" s="24" t="str">
        <x:v>Assets/_Project/Scripts/Application/PlayerMovement/PlanarMovementCalculator.cs</x:v>
      </x:c>
      <x:c r="O334" s="24" t="str">
        <x:v>128ca7d140f842c8a52cc534b908d409</x:v>
      </x:c>
      <x:c r="P334" s="24" t="str">
        <x:v>Sí</x:v>
      </x:c>
      <x:c r="Q334" s="24" t="str">
        <x:v>Condicionado a autoría/procedencia final</x:v>
      </x:c>
      <x:c r="R334" s="24" t="str">
        <x:v>Solo dentro del producto/build autorizado</x:v>
      </x:c>
      <x:c r="S334" s="24" t="str">
        <x:v>Crédito general del estudio; individual si aplica</x:v>
      </x:c>
      <x:c r="T334" s="24" t="str">
        <x:v>VRM Games / Blas Luis Rocha González</x:v>
      </x:c>
      <x:c r="U334" s="24" t="str">
        <x:v>CURRENT PROJECT ASSET</x:v>
      </x:c>
      <x:c r="V334" s="24" t="str">
        <x:v>CONDITIONALLY APPROVED</x:v>
      </x:c>
      <x:c r="W334" s="24" t="str">
        <x:v>Sí</x:v>
      </x:c>
      <x:c r="X334" s="24" t="str">
        <x:v>Low</x:v>
      </x:c>
      <x:c r="Y334" s="24" t="str">
        <x:v>Internal development; public candidate requires gate</x:v>
      </x:c>
      <x:c r="Z334" s="24" t="str">
        <x:v>H6 legal/content audit</x:v>
      </x:c>
      <x:c r="AA334" s="24" t="str">
        <x:v>VRM Games</x:v>
      </x:c>
      <x:c r="AB334" s="24" t="str">
        <x:v>No se detectó proveedor externo en la ruta; confirmar autoría por lote antes de release público.</x:v>
      </x:c>
    </x:row>
    <x:row r="335" ht="34" customHeight="1">
      <x:c r="A335" s="24" t="str">
        <x:v>INT-0331</x:v>
      </x:c>
      <x:c r="B335" s="24" t="str">
        <x:v>9f07edebb9fc4a0b94f1627f8488dd63</x:v>
      </x:c>
      <x:c r="C335" s="24" t="str">
        <x:v>PlanarMovementStep.cs</x:v>
      </x:c>
      <x:c r="D335" s="24" t="str">
        <x:v>Code</x:v>
      </x:c>
      <x:c r="E335" s="24" t="str">
        <x:v>Application</x:v>
      </x:c>
      <x:c r="F335" s="24" t="str">
        <x:v>VRM Games / Blas Luis Rocha González</x:v>
      </x:c>
      <x:c r="G335" s="24" t="str">
        <x:v>VRM Games / Blas Luis Rocha González</x:v>
      </x:c>
      <x:c r="H335" s="24" t="str">
        <x:v>Internal project production</x:v>
      </x:c>
      <x:c r="I335" s="24" t="str">
        <x:v>2026 project timeline</x:v>
      </x:c>
      <x:c r="J335" s="24" t="str">
        <x:v>Internal project IP / authorship claim</x:v>
      </x:c>
      <x:c r="K335" s="24" t="str">
        <x:v>N/A</x:v>
      </x:c>
      <x:c r="L335" s="24" t="str">
        <x:v>Source package + repository path + hash</x:v>
      </x:c>
      <x:c r="M335" s="24" t="str">
        <x:v>df59e2e8bfa703183b9bf255fe1d4153a10715914e55725841a391f9cb9b3c1f</x:v>
      </x:c>
      <x:c r="N335" s="24" t="str">
        <x:v>Assets/_Project/Scripts/Application/PlayerMovement/PlanarMovementStep.cs</x:v>
      </x:c>
      <x:c r="O335" s="24" t="str">
        <x:v>9f07edebb9fc4a0b94f1627f8488dd63</x:v>
      </x:c>
      <x:c r="P335" s="24" t="str">
        <x:v>Sí</x:v>
      </x:c>
      <x:c r="Q335" s="24" t="str">
        <x:v>Condicionado a autoría/procedencia final</x:v>
      </x:c>
      <x:c r="R335" s="24" t="str">
        <x:v>Solo dentro del producto/build autorizado</x:v>
      </x:c>
      <x:c r="S335" s="24" t="str">
        <x:v>Crédito general del estudio; individual si aplica</x:v>
      </x:c>
      <x:c r="T335" s="24" t="str">
        <x:v>VRM Games / Blas Luis Rocha González</x:v>
      </x:c>
      <x:c r="U335" s="24" t="str">
        <x:v>CURRENT PROJECT ASSET</x:v>
      </x:c>
      <x:c r="V335" s="24" t="str">
        <x:v>CONDITIONALLY APPROVED</x:v>
      </x:c>
      <x:c r="W335" s="24" t="str">
        <x:v>Sí</x:v>
      </x:c>
      <x:c r="X335" s="24" t="str">
        <x:v>Low</x:v>
      </x:c>
      <x:c r="Y335" s="24" t="str">
        <x:v>Internal development; public candidate requires gate</x:v>
      </x:c>
      <x:c r="Z335" s="24" t="str">
        <x:v>H6 legal/content audit</x:v>
      </x:c>
      <x:c r="AA335" s="24" t="str">
        <x:v>VRM Games</x:v>
      </x:c>
      <x:c r="AB335" s="24" t="str">
        <x:v>No se detectó proveedor externo en la ruta; confirmar autoría por lote antes de release público.</x:v>
      </x:c>
    </x:row>
    <x:row r="336" ht="34" customHeight="1">
      <x:c r="A336" s="24" t="str">
        <x:v>INT-0332</x:v>
      </x:c>
      <x:c r="B336" s="24" t="str">
        <x:v>1c62ecf783844999abf0020f4b597de5</x:v>
      </x:c>
      <x:c r="C336" s="24" t="str">
        <x:v>DeliveryCreationFailureReason.cs</x:v>
      </x:c>
      <x:c r="D336" s="24" t="str">
        <x:v>Code</x:v>
      </x:c>
      <x:c r="E336" s="24" t="str">
        <x:v>Application</x:v>
      </x:c>
      <x:c r="F336" s="24" t="str">
        <x:v>VRM Games / Blas Luis Rocha González</x:v>
      </x:c>
      <x:c r="G336" s="24" t="str">
        <x:v>VRM Games / Blas Luis Rocha González</x:v>
      </x:c>
      <x:c r="H336" s="24" t="str">
        <x:v>Internal project production</x:v>
      </x:c>
      <x:c r="I336" s="24" t="str">
        <x:v>2026 project timeline</x:v>
      </x:c>
      <x:c r="J336" s="24" t="str">
        <x:v>Internal project IP / authorship claim</x:v>
      </x:c>
      <x:c r="K336" s="24" t="str">
        <x:v>N/A</x:v>
      </x:c>
      <x:c r="L336" s="24" t="str">
        <x:v>Source package + repository path + hash</x:v>
      </x:c>
      <x:c r="M336" s="24" t="str">
        <x:v>dd3e6ad5636110c5255da947158e16c586c5b8c295404c1fb132a62bfc35d628</x:v>
      </x:c>
      <x:c r="N336" s="24" t="str">
        <x:v>Assets/_Project/Scripts/Application/Receiving/DeliveryCreationFailureReason.cs</x:v>
      </x:c>
      <x:c r="O336" s="24" t="str">
        <x:v>1c62ecf783844999abf0020f4b597de5</x:v>
      </x:c>
      <x:c r="P336" s="24" t="str">
        <x:v>Sí</x:v>
      </x:c>
      <x:c r="Q336" s="24" t="str">
        <x:v>Condicionado a autoría/procedencia final</x:v>
      </x:c>
      <x:c r="R336" s="24" t="str">
        <x:v>Solo dentro del producto/build autorizado</x:v>
      </x:c>
      <x:c r="S336" s="24" t="str">
        <x:v>Crédito general del estudio; individual si aplica</x:v>
      </x:c>
      <x:c r="T336" s="24" t="str">
        <x:v>VRM Games / Blas Luis Rocha González</x:v>
      </x:c>
      <x:c r="U336" s="24" t="str">
        <x:v>CURRENT PROJECT ASSET</x:v>
      </x:c>
      <x:c r="V336" s="24" t="str">
        <x:v>CONDITIONALLY APPROVED</x:v>
      </x:c>
      <x:c r="W336" s="24" t="str">
        <x:v>Sí</x:v>
      </x:c>
      <x:c r="X336" s="24" t="str">
        <x:v>Low</x:v>
      </x:c>
      <x:c r="Y336" s="24" t="str">
        <x:v>Internal development; public candidate requires gate</x:v>
      </x:c>
      <x:c r="Z336" s="24" t="str">
        <x:v>H6 legal/content audit</x:v>
      </x:c>
      <x:c r="AA336" s="24" t="str">
        <x:v>VRM Games</x:v>
      </x:c>
      <x:c r="AB336" s="24" t="str">
        <x:v>No se detectó proveedor externo en la ruta; confirmar autoría por lote antes de release público.</x:v>
      </x:c>
    </x:row>
    <x:row r="337" ht="34" customHeight="1">
      <x:c r="A337" s="24" t="str">
        <x:v>INT-0333</x:v>
      </x:c>
      <x:c r="B337" s="24" t="str">
        <x:v>d5abd2a908df4213814bf17d0e6b14be</x:v>
      </x:c>
      <x:c r="C337" s="24" t="str">
        <x:v>DeliveryCreationResult.cs</x:v>
      </x:c>
      <x:c r="D337" s="24" t="str">
        <x:v>Code</x:v>
      </x:c>
      <x:c r="E337" s="24" t="str">
        <x:v>Application</x:v>
      </x:c>
      <x:c r="F337" s="24" t="str">
        <x:v>VRM Games / Blas Luis Rocha González</x:v>
      </x:c>
      <x:c r="G337" s="24" t="str">
        <x:v>VRM Games / Blas Luis Rocha González</x:v>
      </x:c>
      <x:c r="H337" s="24" t="str">
        <x:v>Internal project production</x:v>
      </x:c>
      <x:c r="I337" s="24" t="str">
        <x:v>2026 project timeline</x:v>
      </x:c>
      <x:c r="J337" s="24" t="str">
        <x:v>Internal project IP / authorship claim</x:v>
      </x:c>
      <x:c r="K337" s="24" t="str">
        <x:v>N/A</x:v>
      </x:c>
      <x:c r="L337" s="24" t="str">
        <x:v>Source package + repository path + hash</x:v>
      </x:c>
      <x:c r="M337" s="24" t="str">
        <x:v>4c86016c4a278ca53d51251259f9094d179b84f52524433d1ad120f86b10d958</x:v>
      </x:c>
      <x:c r="N337" s="24" t="str">
        <x:v>Assets/_Project/Scripts/Application/Receiving/DeliveryCreationResult.cs</x:v>
      </x:c>
      <x:c r="O337" s="24" t="str">
        <x:v>d5abd2a908df4213814bf17d0e6b14be</x:v>
      </x:c>
      <x:c r="P337" s="24" t="str">
        <x:v>Sí</x:v>
      </x:c>
      <x:c r="Q337" s="24" t="str">
        <x:v>Condicionado a autoría/procedencia final</x:v>
      </x:c>
      <x:c r="R337" s="24" t="str">
        <x:v>Solo dentro del producto/build autorizado</x:v>
      </x:c>
      <x:c r="S337" s="24" t="str">
        <x:v>Crédito general del estudio; individual si aplica</x:v>
      </x:c>
      <x:c r="T337" s="24" t="str">
        <x:v>VRM Games / Blas Luis Rocha González</x:v>
      </x:c>
      <x:c r="U337" s="24" t="str">
        <x:v>CURRENT PROJECT ASSET</x:v>
      </x:c>
      <x:c r="V337" s="24" t="str">
        <x:v>CONDITIONALLY APPROVED</x:v>
      </x:c>
      <x:c r="W337" s="24" t="str">
        <x:v>Sí</x:v>
      </x:c>
      <x:c r="X337" s="24" t="str">
        <x:v>Low</x:v>
      </x:c>
      <x:c r="Y337" s="24" t="str">
        <x:v>Internal development; public candidate requires gate</x:v>
      </x:c>
      <x:c r="Z337" s="24" t="str">
        <x:v>H6 legal/content audit</x:v>
      </x:c>
      <x:c r="AA337" s="24" t="str">
        <x:v>VRM Games</x:v>
      </x:c>
      <x:c r="AB337" s="24" t="str">
        <x:v>No se detectó proveedor externo en la ruta; confirmar autoría por lote antes de release público.</x:v>
      </x:c>
    </x:row>
    <x:row r="338" ht="34" customHeight="1">
      <x:c r="A338" s="24" t="str">
        <x:v>INT-0334</x:v>
      </x:c>
      <x:c r="B338" s="24" t="str">
        <x:v>46591cf6a37d48699e210d9c93625e50</x:v>
      </x:c>
      <x:c r="C338" s="24" t="str">
        <x:v>ReceivingFailureReason.cs</x:v>
      </x:c>
      <x:c r="D338" s="24" t="str">
        <x:v>Code</x:v>
      </x:c>
      <x:c r="E338" s="24" t="str">
        <x:v>Application</x:v>
      </x:c>
      <x:c r="F338" s="24" t="str">
        <x:v>VRM Games / Blas Luis Rocha González</x:v>
      </x:c>
      <x:c r="G338" s="24" t="str">
        <x:v>VRM Games / Blas Luis Rocha González</x:v>
      </x:c>
      <x:c r="H338" s="24" t="str">
        <x:v>Internal project production</x:v>
      </x:c>
      <x:c r="I338" s="24" t="str">
        <x:v>2026 project timeline</x:v>
      </x:c>
      <x:c r="J338" s="24" t="str">
        <x:v>Internal project IP / authorship claim</x:v>
      </x:c>
      <x:c r="K338" s="24" t="str">
        <x:v>N/A</x:v>
      </x:c>
      <x:c r="L338" s="24" t="str">
        <x:v>Source package + repository path + hash</x:v>
      </x:c>
      <x:c r="M338" s="24" t="str">
        <x:v>cc9c1399c4b9e0bb0eb23e9a8d824bb9d8a2ea36ee271645e27388317dff766e</x:v>
      </x:c>
      <x:c r="N338" s="24" t="str">
        <x:v>Assets/_Project/Scripts/Application/Receiving/ReceivingFailureReason.cs</x:v>
      </x:c>
      <x:c r="O338" s="24" t="str">
        <x:v>46591cf6a37d48699e210d9c93625e50</x:v>
      </x:c>
      <x:c r="P338" s="24" t="str">
        <x:v>Sí</x:v>
      </x:c>
      <x:c r="Q338" s="24" t="str">
        <x:v>Condicionado a autoría/procedencia final</x:v>
      </x:c>
      <x:c r="R338" s="24" t="str">
        <x:v>Solo dentro del producto/build autorizado</x:v>
      </x:c>
      <x:c r="S338" s="24" t="str">
        <x:v>Crédito general del estudio; individual si aplica</x:v>
      </x:c>
      <x:c r="T338" s="24" t="str">
        <x:v>VRM Games / Blas Luis Rocha González</x:v>
      </x:c>
      <x:c r="U338" s="24" t="str">
        <x:v>CURRENT PROJECT ASSET</x:v>
      </x:c>
      <x:c r="V338" s="24" t="str">
        <x:v>CONDITIONALLY APPROVED</x:v>
      </x:c>
      <x:c r="W338" s="24" t="str">
        <x:v>Sí</x:v>
      </x:c>
      <x:c r="X338" s="24" t="str">
        <x:v>Low</x:v>
      </x:c>
      <x:c r="Y338" s="24" t="str">
        <x:v>Internal development; public candidate requires gate</x:v>
      </x:c>
      <x:c r="Z338" s="24" t="str">
        <x:v>H6 legal/content audit</x:v>
      </x:c>
      <x:c r="AA338" s="24" t="str">
        <x:v>VRM Games</x:v>
      </x:c>
      <x:c r="AB338" s="24" t="str">
        <x:v>No se detectó proveedor externo en la ruta; confirmar autoría por lote antes de release público.</x:v>
      </x:c>
    </x:row>
    <x:row r="339" ht="34" customHeight="1">
      <x:c r="A339" s="24" t="str">
        <x:v>INT-0335</x:v>
      </x:c>
      <x:c r="B339" s="24" t="str">
        <x:v>3462cafdcc4f4b1880f317fb8f571c6b</x:v>
      </x:c>
      <x:c r="C339" s="24" t="str">
        <x:v>ReceivingResult.cs</x:v>
      </x:c>
      <x:c r="D339" s="24" t="str">
        <x:v>Code</x:v>
      </x:c>
      <x:c r="E339" s="24" t="str">
        <x:v>Application</x:v>
      </x:c>
      <x:c r="F339" s="24" t="str">
        <x:v>VRM Games / Blas Luis Rocha González</x:v>
      </x:c>
      <x:c r="G339" s="24" t="str">
        <x:v>VRM Games / Blas Luis Rocha González</x:v>
      </x:c>
      <x:c r="H339" s="24" t="str">
        <x:v>Internal project production</x:v>
      </x:c>
      <x:c r="I339" s="24" t="str">
        <x:v>2026 project timeline</x:v>
      </x:c>
      <x:c r="J339" s="24" t="str">
        <x:v>Internal project IP / authorship claim</x:v>
      </x:c>
      <x:c r="K339" s="24" t="str">
        <x:v>N/A</x:v>
      </x:c>
      <x:c r="L339" s="24" t="str">
        <x:v>Source package + repository path + hash</x:v>
      </x:c>
      <x:c r="M339" s="24" t="str">
        <x:v>f7fcdaf7a1860b59018d54f1a5491d5bbc7568c923b55b2b0352c532acbabb4a</x:v>
      </x:c>
      <x:c r="N339" s="24" t="str">
        <x:v>Assets/_Project/Scripts/Application/Receiving/ReceivingResult.cs</x:v>
      </x:c>
      <x:c r="O339" s="24" t="str">
        <x:v>3462cafdcc4f4b1880f317fb8f571c6b</x:v>
      </x:c>
      <x:c r="P339" s="24" t="str">
        <x:v>Sí</x:v>
      </x:c>
      <x:c r="Q339" s="24" t="str">
        <x:v>Condicionado a autoría/procedencia final</x:v>
      </x:c>
      <x:c r="R339" s="24" t="str">
        <x:v>Solo dentro del producto/build autorizado</x:v>
      </x:c>
      <x:c r="S339" s="24" t="str">
        <x:v>Crédito general del estudio; individual si aplica</x:v>
      </x:c>
      <x:c r="T339" s="24" t="str">
        <x:v>VRM Games / Blas Luis Rocha González</x:v>
      </x:c>
      <x:c r="U339" s="24" t="str">
        <x:v>CURRENT PROJECT ASSET</x:v>
      </x:c>
      <x:c r="V339" s="24" t="str">
        <x:v>CONDITIONALLY APPROVED</x:v>
      </x:c>
      <x:c r="W339" s="24" t="str">
        <x:v>Sí</x:v>
      </x:c>
      <x:c r="X339" s="24" t="str">
        <x:v>Low</x:v>
      </x:c>
      <x:c r="Y339" s="24" t="str">
        <x:v>Internal development; public candidate requires gate</x:v>
      </x:c>
      <x:c r="Z339" s="24" t="str">
        <x:v>H6 legal/content audit</x:v>
      </x:c>
      <x:c r="AA339" s="24" t="str">
        <x:v>VRM Games</x:v>
      </x:c>
      <x:c r="AB339" s="24" t="str">
        <x:v>No se detectó proveedor externo en la ruta; confirmar autoría por lote antes de release público.</x:v>
      </x:c>
    </x:row>
    <x:row r="340" ht="34" customHeight="1">
      <x:c r="A340" s="24" t="str">
        <x:v>INT-0336</x:v>
      </x:c>
      <x:c r="B340" s="24" t="str">
        <x:v>34faa680ee9c4ad8b7a18f320e0ee136</x:v>
      </x:c>
      <x:c r="C340" s="24" t="str">
        <x:v>ReceivingService.cs</x:v>
      </x:c>
      <x:c r="D340" s="24" t="str">
        <x:v>Code</x:v>
      </x:c>
      <x:c r="E340" s="24" t="str">
        <x:v>Application</x:v>
      </x:c>
      <x:c r="F340" s="24" t="str">
        <x:v>VRM Games / Blas Luis Rocha González</x:v>
      </x:c>
      <x:c r="G340" s="24" t="str">
        <x:v>VRM Games / Blas Luis Rocha González</x:v>
      </x:c>
      <x:c r="H340" s="24" t="str">
        <x:v>Internal project production</x:v>
      </x:c>
      <x:c r="I340" s="24" t="str">
        <x:v>2026 project timeline</x:v>
      </x:c>
      <x:c r="J340" s="24" t="str">
        <x:v>Internal project IP / authorship claim</x:v>
      </x:c>
      <x:c r="K340" s="24" t="str">
        <x:v>N/A</x:v>
      </x:c>
      <x:c r="L340" s="24" t="str">
        <x:v>Source package + repository path + hash</x:v>
      </x:c>
      <x:c r="M340" s="24" t="str">
        <x:v>2413c4fae24e45e52b5aba011a979050d3c76d26044d4e19eb07b89f0d9e4c44</x:v>
      </x:c>
      <x:c r="N340" s="24" t="str">
        <x:v>Assets/_Project/Scripts/Application/Receiving/ReceivingService.cs</x:v>
      </x:c>
      <x:c r="O340" s="24" t="str">
        <x:v>34faa680ee9c4ad8b7a18f320e0ee136</x:v>
      </x:c>
      <x:c r="P340" s="24" t="str">
        <x:v>Sí</x:v>
      </x:c>
      <x:c r="Q340" s="24" t="str">
        <x:v>Condicionado a autoría/procedencia final</x:v>
      </x:c>
      <x:c r="R340" s="24" t="str">
        <x:v>Solo dentro del producto/build autorizado</x:v>
      </x:c>
      <x:c r="S340" s="24" t="str">
        <x:v>Crédito general del estudio; individual si aplica</x:v>
      </x:c>
      <x:c r="T340" s="24" t="str">
        <x:v>VRM Games / Blas Luis Rocha González</x:v>
      </x:c>
      <x:c r="U340" s="24" t="str">
        <x:v>CURRENT PROJECT ASSET</x:v>
      </x:c>
      <x:c r="V340" s="24" t="str">
        <x:v>CONDITIONALLY APPROVED</x:v>
      </x:c>
      <x:c r="W340" s="24" t="str">
        <x:v>Sí</x:v>
      </x:c>
      <x:c r="X340" s="24" t="str">
        <x:v>Low</x:v>
      </x:c>
      <x:c r="Y340" s="24" t="str">
        <x:v>Internal development; public candidate requires gate</x:v>
      </x:c>
      <x:c r="Z340" s="24" t="str">
        <x:v>H6 legal/content audit</x:v>
      </x:c>
      <x:c r="AA340" s="24" t="str">
        <x:v>VRM Games</x:v>
      </x:c>
      <x:c r="AB340" s="24" t="str">
        <x:v>No se detectó proveedor externo en la ruta; confirmar autoría por lote antes de release público.</x:v>
      </x:c>
    </x:row>
    <x:row r="341" ht="34" customHeight="1">
      <x:c r="A341" s="24" t="str">
        <x:v>INT-0337</x:v>
      </x:c>
      <x:c r="B341" s="24" t="str">
        <x:v>866314074dac4f219a81ab3d2ecc98df</x:v>
      </x:c>
      <x:c r="C341" s="24" t="str">
        <x:v>SupplierDeliveryService.cs</x:v>
      </x:c>
      <x:c r="D341" s="24" t="str">
        <x:v>Code</x:v>
      </x:c>
      <x:c r="E341" s="24" t="str">
        <x:v>Application</x:v>
      </x:c>
      <x:c r="F341" s="24" t="str">
        <x:v>VRM Games / Blas Luis Rocha González</x:v>
      </x:c>
      <x:c r="G341" s="24" t="str">
        <x:v>VRM Games / Blas Luis Rocha González</x:v>
      </x:c>
      <x:c r="H341" s="24" t="str">
        <x:v>Internal project production</x:v>
      </x:c>
      <x:c r="I341" s="24" t="str">
        <x:v>2026 project timeline</x:v>
      </x:c>
      <x:c r="J341" s="24" t="str">
        <x:v>Internal project IP / authorship claim</x:v>
      </x:c>
      <x:c r="K341" s="24" t="str">
        <x:v>N/A</x:v>
      </x:c>
      <x:c r="L341" s="24" t="str">
        <x:v>Source package + repository path + hash</x:v>
      </x:c>
      <x:c r="M341" s="24" t="str">
        <x:v>0f5b77bf7d2753c1ce9a9a58ff0e0cb7561decc53c93d3f98fafa1cc95dd99c2</x:v>
      </x:c>
      <x:c r="N341" s="24" t="str">
        <x:v>Assets/_Project/Scripts/Application/Receiving/SupplierDeliveryService.cs</x:v>
      </x:c>
      <x:c r="O341" s="24" t="str">
        <x:v>866314074dac4f219a81ab3d2ecc98df</x:v>
      </x:c>
      <x:c r="P341" s="24" t="str">
        <x:v>Sí</x:v>
      </x:c>
      <x:c r="Q341" s="24" t="str">
        <x:v>Condicionado a autoría/procedencia final</x:v>
      </x:c>
      <x:c r="R341" s="24" t="str">
        <x:v>Solo dentro del producto/build autorizado</x:v>
      </x:c>
      <x:c r="S341" s="24" t="str">
        <x:v>Crédito general del estudio; individual si aplica</x:v>
      </x:c>
      <x:c r="T341" s="24" t="str">
        <x:v>VRM Games / Blas Luis Rocha González</x:v>
      </x:c>
      <x:c r="U341" s="24" t="str">
        <x:v>CURRENT PROJECT ASSET</x:v>
      </x:c>
      <x:c r="V341" s="24" t="str">
        <x:v>CONDITIONALLY APPROVED</x:v>
      </x:c>
      <x:c r="W341" s="24" t="str">
        <x:v>Sí</x:v>
      </x:c>
      <x:c r="X341" s="24" t="str">
        <x:v>Low</x:v>
      </x:c>
      <x:c r="Y341" s="24" t="str">
        <x:v>Internal development; public candidate requires gate</x:v>
      </x:c>
      <x:c r="Z341" s="24" t="str">
        <x:v>H6 legal/content audit</x:v>
      </x:c>
      <x:c r="AA341" s="24" t="str">
        <x:v>VRM Games</x:v>
      </x:c>
      <x:c r="AB341" s="24" t="str">
        <x:v>No se detectó proveedor externo en la ruta; confirmar autoría por lote antes de release público.</x:v>
      </x:c>
    </x:row>
    <x:row r="342" ht="34" customHeight="1">
      <x:c r="A342" s="24" t="str">
        <x:v>INT-0338</x:v>
      </x:c>
      <x:c r="B342" s="24" t="str">
        <x:v>78244222a20d36d43853486b1a6d202d</x:v>
      </x:c>
      <x:c r="C342" s="24" t="str">
        <x:v>ISceneNavigationConsumer.cs</x:v>
      </x:c>
      <x:c r="D342" s="24" t="str">
        <x:v>Code</x:v>
      </x:c>
      <x:c r="E342" s="24" t="str">
        <x:v>Application</x:v>
      </x:c>
      <x:c r="F342" s="24" t="str">
        <x:v>VRM Games / Blas Luis Rocha González</x:v>
      </x:c>
      <x:c r="G342" s="24" t="str">
        <x:v>VRM Games / Blas Luis Rocha González</x:v>
      </x:c>
      <x:c r="H342" s="24" t="str">
        <x:v>Internal project production</x:v>
      </x:c>
      <x:c r="I342" s="24" t="str">
        <x:v>2026 project timeline</x:v>
      </x:c>
      <x:c r="J342" s="24" t="str">
        <x:v>Internal project IP / authorship claim</x:v>
      </x:c>
      <x:c r="K342" s="24" t="str">
        <x:v>N/A</x:v>
      </x:c>
      <x:c r="L342" s="24" t="str">
        <x:v>Source package + repository path + hash</x:v>
      </x:c>
      <x:c r="M342" s="24" t="str">
        <x:v>04cbbb1ad722035013f44543e3742bb583c39989efe3adb1460c280417298f79</x:v>
      </x:c>
      <x:c r="N342" s="24" t="str">
        <x:v>Assets/_Project/Scripts/Application/SceneFlow/ISceneNavigationConsumer.cs</x:v>
      </x:c>
      <x:c r="O342" s="24" t="str">
        <x:v>78244222a20d36d43853486b1a6d202d</x:v>
      </x:c>
      <x:c r="P342" s="24" t="str">
        <x:v>Sí</x:v>
      </x:c>
      <x:c r="Q342" s="24" t="str">
        <x:v>Condicionado a autoría/procedencia final</x:v>
      </x:c>
      <x:c r="R342" s="24" t="str">
        <x:v>Solo dentro del producto/build autorizado</x:v>
      </x:c>
      <x:c r="S342" s="24" t="str">
        <x:v>Crédito general del estudio; individual si aplica</x:v>
      </x:c>
      <x:c r="T342" s="24" t="str">
        <x:v>VRM Games / Blas Luis Rocha González</x:v>
      </x:c>
      <x:c r="U342" s="24" t="str">
        <x:v>CURRENT PROJECT ASSET</x:v>
      </x:c>
      <x:c r="V342" s="24" t="str">
        <x:v>CONDITIONALLY APPROVED</x:v>
      </x:c>
      <x:c r="W342" s="24" t="str">
        <x:v>Sí</x:v>
      </x:c>
      <x:c r="X342" s="24" t="str">
        <x:v>Low</x:v>
      </x:c>
      <x:c r="Y342" s="24" t="str">
        <x:v>Internal development; public candidate requires gate</x:v>
      </x:c>
      <x:c r="Z342" s="24" t="str">
        <x:v>H6 legal/content audit</x:v>
      </x:c>
      <x:c r="AA342" s="24" t="str">
        <x:v>VRM Games</x:v>
      </x:c>
      <x:c r="AB342" s="24" t="str">
        <x:v>No se detectó proveedor externo en la ruta; confirmar autoría por lote antes de release público.</x:v>
      </x:c>
    </x:row>
    <x:row r="343" ht="34" customHeight="1">
      <x:c r="A343" s="24" t="str">
        <x:v>INT-0339</x:v>
      </x:c>
      <x:c r="B343" s="24" t="str">
        <x:v>ea6014b26144c9544a8d3ae92bf83a4d</x:v>
      </x:c>
      <x:c r="C343" s="24" t="str">
        <x:v>ISceneNavigator.cs</x:v>
      </x:c>
      <x:c r="D343" s="24" t="str">
        <x:v>Code</x:v>
      </x:c>
      <x:c r="E343" s="24" t="str">
        <x:v>Application</x:v>
      </x:c>
      <x:c r="F343" s="24" t="str">
        <x:v>VRM Games / Blas Luis Rocha González</x:v>
      </x:c>
      <x:c r="G343" s="24" t="str">
        <x:v>VRM Games / Blas Luis Rocha González</x:v>
      </x:c>
      <x:c r="H343" s="24" t="str">
        <x:v>Internal project production</x:v>
      </x:c>
      <x:c r="I343" s="24" t="str">
        <x:v>2026 project timeline</x:v>
      </x:c>
      <x:c r="J343" s="24" t="str">
        <x:v>Internal project IP / authorship claim</x:v>
      </x:c>
      <x:c r="K343" s="24" t="str">
        <x:v>N/A</x:v>
      </x:c>
      <x:c r="L343" s="24" t="str">
        <x:v>Source package + repository path + hash</x:v>
      </x:c>
      <x:c r="M343" s="24" t="str">
        <x:v>46bd710c4baef3dc447dd2fa607e64a206e008486638b362b1f7f936a26d895b</x:v>
      </x:c>
      <x:c r="N343" s="24" t="str">
        <x:v>Assets/_Project/Scripts/Application/SceneFlow/ISceneNavigator.cs</x:v>
      </x:c>
      <x:c r="O343" s="24" t="str">
        <x:v>ea6014b26144c9544a8d3ae92bf83a4d</x:v>
      </x:c>
      <x:c r="P343" s="24" t="str">
        <x:v>Sí</x:v>
      </x:c>
      <x:c r="Q343" s="24" t="str">
        <x:v>Condicionado a autoría/procedencia final</x:v>
      </x:c>
      <x:c r="R343" s="24" t="str">
        <x:v>Solo dentro del producto/build autorizado</x:v>
      </x:c>
      <x:c r="S343" s="24" t="str">
        <x:v>Crédito general del estudio; individual si aplica</x:v>
      </x:c>
      <x:c r="T343" s="24" t="str">
        <x:v>VRM Games / Blas Luis Rocha González</x:v>
      </x:c>
      <x:c r="U343" s="24" t="str">
        <x:v>CURRENT PROJECT ASSET</x:v>
      </x:c>
      <x:c r="V343" s="24" t="str">
        <x:v>CONDITIONALLY APPROVED</x:v>
      </x:c>
      <x:c r="W343" s="24" t="str">
        <x:v>Sí</x:v>
      </x:c>
      <x:c r="X343" s="24" t="str">
        <x:v>Low</x:v>
      </x:c>
      <x:c r="Y343" s="24" t="str">
        <x:v>Internal development; public candidate requires gate</x:v>
      </x:c>
      <x:c r="Z343" s="24" t="str">
        <x:v>H6 legal/content audit</x:v>
      </x:c>
      <x:c r="AA343" s="24" t="str">
        <x:v>VRM Games</x:v>
      </x:c>
      <x:c r="AB343" s="24" t="str">
        <x:v>No se detectó proveedor externo en la ruta; confirmar autoría por lote antes de release público.</x:v>
      </x:c>
    </x:row>
    <x:row r="344" ht="34" customHeight="1">
      <x:c r="A344" s="24" t="str">
        <x:v>INT-0340</x:v>
      </x:c>
      <x:c r="B344" s="24" t="str">
        <x:v>ffc6f1aeea406cc4eb2268ccf96e3af6</x:v>
      </x:c>
      <x:c r="C344" s="24" t="str">
        <x:v>SceneId.cs</x:v>
      </x:c>
      <x:c r="D344" s="24" t="str">
        <x:v>Code</x:v>
      </x:c>
      <x:c r="E344" s="24" t="str">
        <x:v>Application</x:v>
      </x:c>
      <x:c r="F344" s="24" t="str">
        <x:v>VRM Games / Blas Luis Rocha González</x:v>
      </x:c>
      <x:c r="G344" s="24" t="str">
        <x:v>VRM Games / Blas Luis Rocha González</x:v>
      </x:c>
      <x:c r="H344" s="24" t="str">
        <x:v>Internal project production</x:v>
      </x:c>
      <x:c r="I344" s="24" t="str">
        <x:v>2026 project timeline</x:v>
      </x:c>
      <x:c r="J344" s="24" t="str">
        <x:v>Internal project IP / authorship claim</x:v>
      </x:c>
      <x:c r="K344" s="24" t="str">
        <x:v>N/A</x:v>
      </x:c>
      <x:c r="L344" s="24" t="str">
        <x:v>Source package + repository path + hash</x:v>
      </x:c>
      <x:c r="M344" s="24" t="str">
        <x:v>f27df1b8cf85b6c9fa6980102c69268daaa234affd255fe34480425c054cb889</x:v>
      </x:c>
      <x:c r="N344" s="24" t="str">
        <x:v>Assets/_Project/Scripts/Application/SceneFlow/SceneId.cs</x:v>
      </x:c>
      <x:c r="O344" s="24" t="str">
        <x:v>ffc6f1aeea406cc4eb2268ccf96e3af6</x:v>
      </x:c>
      <x:c r="P344" s="24" t="str">
        <x:v>Sí</x:v>
      </x:c>
      <x:c r="Q344" s="24" t="str">
        <x:v>Condicionado a autoría/procedencia final</x:v>
      </x:c>
      <x:c r="R344" s="24" t="str">
        <x:v>Solo dentro del producto/build autorizado</x:v>
      </x:c>
      <x:c r="S344" s="24" t="str">
        <x:v>Crédito general del estudio; individual si aplica</x:v>
      </x:c>
      <x:c r="T344" s="24" t="str">
        <x:v>VRM Games / Blas Luis Rocha González</x:v>
      </x:c>
      <x:c r="U344" s="24" t="str">
        <x:v>CURRENT PROJECT ASSET</x:v>
      </x:c>
      <x:c r="V344" s="24" t="str">
        <x:v>CONDITIONALLY APPROVED</x:v>
      </x:c>
      <x:c r="W344" s="24" t="str">
        <x:v>Sí</x:v>
      </x:c>
      <x:c r="X344" s="24" t="str">
        <x:v>Low</x:v>
      </x:c>
      <x:c r="Y344" s="24" t="str">
        <x:v>Internal development; public candidate requires gate</x:v>
      </x:c>
      <x:c r="Z344" s="24" t="str">
        <x:v>H6 legal/content audit</x:v>
      </x:c>
      <x:c r="AA344" s="24" t="str">
        <x:v>VRM Games</x:v>
      </x:c>
      <x:c r="AB344" s="24" t="str">
        <x:v>No se detectó proveedor externo en la ruta; confirmar autoría por lote antes de release público.</x:v>
      </x:c>
    </x:row>
    <x:row r="345" ht="34" customHeight="1">
      <x:c r="A345" s="24" t="str">
        <x:v>INT-0341</x:v>
      </x:c>
      <x:c r="B345" s="24" t="str">
        <x:v>6a64a37ff03602e4ca80f5d6e52631f9</x:v>
      </x:c>
      <x:c r="C345" s="24" t="str">
        <x:v>SceneTransitionGate.cs</x:v>
      </x:c>
      <x:c r="D345" s="24" t="str">
        <x:v>Code</x:v>
      </x:c>
      <x:c r="E345" s="24" t="str">
        <x:v>Application</x:v>
      </x:c>
      <x:c r="F345" s="24" t="str">
        <x:v>VRM Games / Blas Luis Rocha González</x:v>
      </x:c>
      <x:c r="G345" s="24" t="str">
        <x:v>VRM Games / Blas Luis Rocha González</x:v>
      </x:c>
      <x:c r="H345" s="24" t="str">
        <x:v>Internal project production</x:v>
      </x:c>
      <x:c r="I345" s="24" t="str">
        <x:v>2026 project timeline</x:v>
      </x:c>
      <x:c r="J345" s="24" t="str">
        <x:v>Internal project IP / authorship claim</x:v>
      </x:c>
      <x:c r="K345" s="24" t="str">
        <x:v>N/A</x:v>
      </x:c>
      <x:c r="L345" s="24" t="str">
        <x:v>Source package + repository path + hash</x:v>
      </x:c>
      <x:c r="M345" s="24" t="str">
        <x:v>3eb3d2c496988c728b0f0946260763cdeddcfc48f8f31e2102dbebd86c545880</x:v>
      </x:c>
      <x:c r="N345" s="24" t="str">
        <x:v>Assets/_Project/Scripts/Application/SceneFlow/SceneTransitionGate.cs</x:v>
      </x:c>
      <x:c r="O345" s="24" t="str">
        <x:v>6a64a37ff03602e4ca80f5d6e52631f9</x:v>
      </x:c>
      <x:c r="P345" s="24" t="str">
        <x:v>Sí</x:v>
      </x:c>
      <x:c r="Q345" s="24" t="str">
        <x:v>Condicionado a autoría/procedencia final</x:v>
      </x:c>
      <x:c r="R345" s="24" t="str">
        <x:v>Solo dentro del producto/build autorizado</x:v>
      </x:c>
      <x:c r="S345" s="24" t="str">
        <x:v>Crédito general del estudio; individual si aplica</x:v>
      </x:c>
      <x:c r="T345" s="24" t="str">
        <x:v>VRM Games / Blas Luis Rocha González</x:v>
      </x:c>
      <x:c r="U345" s="24" t="str">
        <x:v>CURRENT PROJECT ASSET</x:v>
      </x:c>
      <x:c r="V345" s="24" t="str">
        <x:v>CONDITIONALLY APPROVED</x:v>
      </x:c>
      <x:c r="W345" s="24" t="str">
        <x:v>Sí</x:v>
      </x:c>
      <x:c r="X345" s="24" t="str">
        <x:v>Low</x:v>
      </x:c>
      <x:c r="Y345" s="24" t="str">
        <x:v>Internal development; public candidate requires gate</x:v>
      </x:c>
      <x:c r="Z345" s="24" t="str">
        <x:v>H6 legal/content audit</x:v>
      </x:c>
      <x:c r="AA345" s="24" t="str">
        <x:v>VRM Games</x:v>
      </x:c>
      <x:c r="AB345" s="24" t="str">
        <x:v>No se detectó proveedor externo en la ruta; confirmar autoría por lote antes de release público.</x:v>
      </x:c>
    </x:row>
    <x:row r="346" ht="34" customHeight="1">
      <x:c r="A346" s="24" t="str">
        <x:v>INT-0342</x:v>
      </x:c>
      <x:c r="B346" s="24" t="str">
        <x:v>807af791056022948b1fbdf32f31e5f5</x:v>
      </x:c>
      <x:c r="C346" s="24" t="str">
        <x:v>SceneTransitionRequestResult.cs</x:v>
      </x:c>
      <x:c r="D346" s="24" t="str">
        <x:v>Code</x:v>
      </x:c>
      <x:c r="E346" s="24" t="str">
        <x:v>Application</x:v>
      </x:c>
      <x:c r="F346" s="24" t="str">
        <x:v>VRM Games / Blas Luis Rocha González</x:v>
      </x:c>
      <x:c r="G346" s="24" t="str">
        <x:v>VRM Games / Blas Luis Rocha González</x:v>
      </x:c>
      <x:c r="H346" s="24" t="str">
        <x:v>Internal project production</x:v>
      </x:c>
      <x:c r="I346" s="24" t="str">
        <x:v>2026 project timeline</x:v>
      </x:c>
      <x:c r="J346" s="24" t="str">
        <x:v>Internal project IP / authorship claim</x:v>
      </x:c>
      <x:c r="K346" s="24" t="str">
        <x:v>N/A</x:v>
      </x:c>
      <x:c r="L346" s="24" t="str">
        <x:v>Source package + repository path + hash</x:v>
      </x:c>
      <x:c r="M346" s="24" t="str">
        <x:v>f13e6a1287907f08edffdeca701373bc9f4cefcd6d1eb07c7bfeb5818dfb5dde</x:v>
      </x:c>
      <x:c r="N346" s="24" t="str">
        <x:v>Assets/_Project/Scripts/Application/SceneFlow/SceneTransitionRequestResult.cs</x:v>
      </x:c>
      <x:c r="O346" s="24" t="str">
        <x:v>807af791056022948b1fbdf32f31e5f5</x:v>
      </x:c>
      <x:c r="P346" s="24" t="str">
        <x:v>Sí</x:v>
      </x:c>
      <x:c r="Q346" s="24" t="str">
        <x:v>Condicionado a autoría/procedencia final</x:v>
      </x:c>
      <x:c r="R346" s="24" t="str">
        <x:v>Solo dentro del producto/build autorizado</x:v>
      </x:c>
      <x:c r="S346" s="24" t="str">
        <x:v>Crédito general del estudio; individual si aplica</x:v>
      </x:c>
      <x:c r="T346" s="24" t="str">
        <x:v>VRM Games / Blas Luis Rocha González</x:v>
      </x:c>
      <x:c r="U346" s="24" t="str">
        <x:v>CURRENT PROJECT ASSET</x:v>
      </x:c>
      <x:c r="V346" s="24" t="str">
        <x:v>CONDITIONALLY APPROVED</x:v>
      </x:c>
      <x:c r="W346" s="24" t="str">
        <x:v>Sí</x:v>
      </x:c>
      <x:c r="X346" s="24" t="str">
        <x:v>Low</x:v>
      </x:c>
      <x:c r="Y346" s="24" t="str">
        <x:v>Internal development; public candidate requires gate</x:v>
      </x:c>
      <x:c r="Z346" s="24" t="str">
        <x:v>H6 legal/content audit</x:v>
      </x:c>
      <x:c r="AA346" s="24" t="str">
        <x:v>VRM Games</x:v>
      </x:c>
      <x:c r="AB346" s="24" t="str">
        <x:v>No se detectó proveedor externo en la ruta; confirmar autoría por lote antes de release público.</x:v>
      </x:c>
    </x:row>
    <x:row r="347" ht="34" customHeight="1">
      <x:c r="A347" s="24" t="str">
        <x:v>INT-0343</x:v>
      </x:c>
      <x:c r="B347" s="24" t="str">
        <x:v>2051d19d8493477dba5528d03dd19c42</x:v>
      </x:c>
      <x:c r="C347" s="24" t="str">
        <x:v>ShoppingAvailabilityAndSearch.cs</x:v>
      </x:c>
      <x:c r="D347" s="24" t="str">
        <x:v>Code</x:v>
      </x:c>
      <x:c r="E347" s="24" t="str">
        <x:v>Application</x:v>
      </x:c>
      <x:c r="F347" s="24" t="str">
        <x:v>VRM Games / Blas Luis Rocha González</x:v>
      </x:c>
      <x:c r="G347" s="24" t="str">
        <x:v>VRM Games / Blas Luis Rocha González</x:v>
      </x:c>
      <x:c r="H347" s="24" t="str">
        <x:v>Internal project production</x:v>
      </x:c>
      <x:c r="I347" s="24" t="str">
        <x:v>2026 project timeline</x:v>
      </x:c>
      <x:c r="J347" s="24" t="str">
        <x:v>Internal project IP / authorship claim</x:v>
      </x:c>
      <x:c r="K347" s="24" t="str">
        <x:v>N/A</x:v>
      </x:c>
      <x:c r="L347" s="24" t="str">
        <x:v>Source package + repository path + hash</x:v>
      </x:c>
      <x:c r="M347" s="24" t="str">
        <x:v>3d1a5f5010a7d462ee3f20f3b3dda1637b66c952a42d37dd5db922aecb3d529e</x:v>
      </x:c>
      <x:c r="N347" s="24" t="str">
        <x:v>Assets/_Project/Scripts/Application/Shopping/ShoppingAvailabilityAndSearch.cs</x:v>
      </x:c>
      <x:c r="O347" s="24" t="str">
        <x:v>2051d19d8493477dba5528d03dd19c42</x:v>
      </x:c>
      <x:c r="P347" s="24" t="str">
        <x:v>Sí</x:v>
      </x:c>
      <x:c r="Q347" s="24" t="str">
        <x:v>Condicionado a autoría/procedencia final</x:v>
      </x:c>
      <x:c r="R347" s="24" t="str">
        <x:v>Solo dentro del producto/build autorizado</x:v>
      </x:c>
      <x:c r="S347" s="24" t="str">
        <x:v>Crédito general del estudio; individual si aplica</x:v>
      </x:c>
      <x:c r="T347" s="24" t="str">
        <x:v>VRM Games / Blas Luis Rocha González</x:v>
      </x:c>
      <x:c r="U347" s="24" t="str">
        <x:v>CURRENT PROJECT ASSET</x:v>
      </x:c>
      <x:c r="V347" s="24" t="str">
        <x:v>CONDITIONALLY APPROVED</x:v>
      </x:c>
      <x:c r="W347" s="24" t="str">
        <x:v>Sí</x:v>
      </x:c>
      <x:c r="X347" s="24" t="str">
        <x:v>Low</x:v>
      </x:c>
      <x:c r="Y347" s="24" t="str">
        <x:v>Internal development; public candidate requires gate</x:v>
      </x:c>
      <x:c r="Z347" s="24" t="str">
        <x:v>H6 legal/content audit</x:v>
      </x:c>
      <x:c r="AA347" s="24" t="str">
        <x:v>VRM Games</x:v>
      </x:c>
      <x:c r="AB347" s="24" t="str">
        <x:v>No se detectó proveedor externo en la ruta; confirmar autoría por lote antes de release público.</x:v>
      </x:c>
    </x:row>
    <x:row r="348" ht="34" customHeight="1">
      <x:c r="A348" s="24" t="str">
        <x:v>INT-0344</x:v>
      </x:c>
      <x:c r="B348" s="24" t="str">
        <x:v>10643f065ac643bebbf635b54b077ca1</x:v>
      </x:c>
      <x:c r="C348" s="24" t="str">
        <x:v>ShoppingCartAndConsistencyServices.cs</x:v>
      </x:c>
      <x:c r="D348" s="24" t="str">
        <x:v>Code</x:v>
      </x:c>
      <x:c r="E348" s="24" t="str">
        <x:v>Application</x:v>
      </x:c>
      <x:c r="F348" s="24" t="str">
        <x:v>VRM Games / Blas Luis Rocha González</x:v>
      </x:c>
      <x:c r="G348" s="24" t="str">
        <x:v>VRM Games / Blas Luis Rocha González</x:v>
      </x:c>
      <x:c r="H348" s="24" t="str">
        <x:v>Internal project production</x:v>
      </x:c>
      <x:c r="I348" s="24" t="str">
        <x:v>2026 project timeline</x:v>
      </x:c>
      <x:c r="J348" s="24" t="str">
        <x:v>Internal project IP / authorship claim</x:v>
      </x:c>
      <x:c r="K348" s="24" t="str">
        <x:v>N/A</x:v>
      </x:c>
      <x:c r="L348" s="24" t="str">
        <x:v>Source package + repository path + hash</x:v>
      </x:c>
      <x:c r="M348" s="24" t="str">
        <x:v>9575ad23d0ca95e155e04f26d18569bafe24856b89b64f11157bbf42d0bddcc9</x:v>
      </x:c>
      <x:c r="N348" s="24" t="str">
        <x:v>Assets/_Project/Scripts/Application/Shopping/ShoppingCartAndConsistencyServices.cs</x:v>
      </x:c>
      <x:c r="O348" s="24" t="str">
        <x:v>10643f065ac643bebbf635b54b077ca1</x:v>
      </x:c>
      <x:c r="P348" s="24" t="str">
        <x:v>Sí</x:v>
      </x:c>
      <x:c r="Q348" s="24" t="str">
        <x:v>Condicionado a autoría/procedencia final</x:v>
      </x:c>
      <x:c r="R348" s="24" t="str">
        <x:v>Solo dentro del producto/build autorizado</x:v>
      </x:c>
      <x:c r="S348" s="24" t="str">
        <x:v>Crédito general del estudio; individual si aplica</x:v>
      </x:c>
      <x:c r="T348" s="24" t="str">
        <x:v>VRM Games / Blas Luis Rocha González</x:v>
      </x:c>
      <x:c r="U348" s="24" t="str">
        <x:v>CURRENT PROJECT ASSET</x:v>
      </x:c>
      <x:c r="V348" s="24" t="str">
        <x:v>CONDITIONALLY APPROVED</x:v>
      </x:c>
      <x:c r="W348" s="24" t="str">
        <x:v>Sí</x:v>
      </x:c>
      <x:c r="X348" s="24" t="str">
        <x:v>Low</x:v>
      </x:c>
      <x:c r="Y348" s="24" t="str">
        <x:v>Internal development; public candidate requires gate</x:v>
      </x:c>
      <x:c r="Z348" s="24" t="str">
        <x:v>H6 legal/content audit</x:v>
      </x:c>
      <x:c r="AA348" s="24" t="str">
        <x:v>VRM Games</x:v>
      </x:c>
      <x:c r="AB348" s="24" t="str">
        <x:v>No se detectó proveedor externo en la ruta; confirmar autoría por lote antes de release público.</x:v>
      </x:c>
    </x:row>
    <x:row r="349" ht="34" customHeight="1">
      <x:c r="A349" s="24" t="str">
        <x:v>INT-0345</x:v>
      </x:c>
      <x:c r="B349" s="24" t="str">
        <x:v>405071dbf6114ed0878ba3a042b595e1</x:v>
      </x:c>
      <x:c r="C349" s="24" t="str">
        <x:v>ShoppingIntentAndFlowServices.cs</x:v>
      </x:c>
      <x:c r="D349" s="24" t="str">
        <x:v>Code</x:v>
      </x:c>
      <x:c r="E349" s="24" t="str">
        <x:v>Application</x:v>
      </x:c>
      <x:c r="F349" s="24" t="str">
        <x:v>VRM Games / Blas Luis Rocha González</x:v>
      </x:c>
      <x:c r="G349" s="24" t="str">
        <x:v>VRM Games / Blas Luis Rocha González</x:v>
      </x:c>
      <x:c r="H349" s="24" t="str">
        <x:v>Internal project production</x:v>
      </x:c>
      <x:c r="I349" s="24" t="str">
        <x:v>2026 project timeline</x:v>
      </x:c>
      <x:c r="J349" s="24" t="str">
        <x:v>Internal project IP / authorship claim</x:v>
      </x:c>
      <x:c r="K349" s="24" t="str">
        <x:v>N/A</x:v>
      </x:c>
      <x:c r="L349" s="24" t="str">
        <x:v>Source package + repository path + hash</x:v>
      </x:c>
      <x:c r="M349" s="24" t="str">
        <x:v>3a0cc81d7ad818a3e82dac47888be9e110acc78d26a18389cbb51fd8000bdf53</x:v>
      </x:c>
      <x:c r="N349" s="24" t="str">
        <x:v>Assets/_Project/Scripts/Application/Shopping/ShoppingIntentAndFlowServices.cs</x:v>
      </x:c>
      <x:c r="O349" s="24" t="str">
        <x:v>405071dbf6114ed0878ba3a042b595e1</x:v>
      </x:c>
      <x:c r="P349" s="24" t="str">
        <x:v>Sí</x:v>
      </x:c>
      <x:c r="Q349" s="24" t="str">
        <x:v>Condicionado a autoría/procedencia final</x:v>
      </x:c>
      <x:c r="R349" s="24" t="str">
        <x:v>Solo dentro del producto/build autorizado</x:v>
      </x:c>
      <x:c r="S349" s="24" t="str">
        <x:v>Crédito general del estudio; individual si aplica</x:v>
      </x:c>
      <x:c r="T349" s="24" t="str">
        <x:v>VRM Games / Blas Luis Rocha González</x:v>
      </x:c>
      <x:c r="U349" s="24" t="str">
        <x:v>CURRENT PROJECT ASSET</x:v>
      </x:c>
      <x:c r="V349" s="24" t="str">
        <x:v>CONDITIONALLY APPROVED</x:v>
      </x:c>
      <x:c r="W349" s="24" t="str">
        <x:v>Sí</x:v>
      </x:c>
      <x:c r="X349" s="24" t="str">
        <x:v>Low</x:v>
      </x:c>
      <x:c r="Y349" s="24" t="str">
        <x:v>Internal development; public candidate requires gate</x:v>
      </x:c>
      <x:c r="Z349" s="24" t="str">
        <x:v>H6 legal/content audit</x:v>
      </x:c>
      <x:c r="AA349" s="24" t="str">
        <x:v>VRM Games</x:v>
      </x:c>
      <x:c r="AB349" s="24" t="str">
        <x:v>No se detectó proveedor externo en la ruta; confirmar autoría por lote antes de release público.</x:v>
      </x:c>
    </x:row>
    <x:row r="350" ht="34" customHeight="1">
      <x:c r="A350" s="24" t="str">
        <x:v>INT-0346</x:v>
      </x:c>
      <x:c r="B350" s="24" t="str">
        <x:v>4cf5c097da37427d81caa565e7d9000a</x:v>
      </x:c>
      <x:c r="C350" s="24" t="str">
        <x:v>ShoppingReservationService.cs</x:v>
      </x:c>
      <x:c r="D350" s="24" t="str">
        <x:v>Code</x:v>
      </x:c>
      <x:c r="E350" s="24" t="str">
        <x:v>Application</x:v>
      </x:c>
      <x:c r="F350" s="24" t="str">
        <x:v>VRM Games / Blas Luis Rocha González</x:v>
      </x:c>
      <x:c r="G350" s="24" t="str">
        <x:v>VRM Games / Blas Luis Rocha González</x:v>
      </x:c>
      <x:c r="H350" s="24" t="str">
        <x:v>Internal project production</x:v>
      </x:c>
      <x:c r="I350" s="24" t="str">
        <x:v>2026 project timeline</x:v>
      </x:c>
      <x:c r="J350" s="24" t="str">
        <x:v>Internal project IP / authorship claim</x:v>
      </x:c>
      <x:c r="K350" s="24" t="str">
        <x:v>N/A</x:v>
      </x:c>
      <x:c r="L350" s="24" t="str">
        <x:v>Source package + repository path + hash</x:v>
      </x:c>
      <x:c r="M350" s="24" t="str">
        <x:v>571e367e95ddfd0cfaaec0f7368b2076581b841bf1bba5314a10ebfb4cc60ed6</x:v>
      </x:c>
      <x:c r="N350" s="24" t="str">
        <x:v>Assets/_Project/Scripts/Application/Shopping/ShoppingReservationService.cs</x:v>
      </x:c>
      <x:c r="O350" s="24" t="str">
        <x:v>4cf5c097da37427d81caa565e7d9000a</x:v>
      </x:c>
      <x:c r="P350" s="24" t="str">
        <x:v>Sí</x:v>
      </x:c>
      <x:c r="Q350" s="24" t="str">
        <x:v>Condicionado a autoría/procedencia final</x:v>
      </x:c>
      <x:c r="R350" s="24" t="str">
        <x:v>Solo dentro del producto/build autorizado</x:v>
      </x:c>
      <x:c r="S350" s="24" t="str">
        <x:v>Crédito general del estudio; individual si aplica</x:v>
      </x:c>
      <x:c r="T350" s="24" t="str">
        <x:v>VRM Games / Blas Luis Rocha González</x:v>
      </x:c>
      <x:c r="U350" s="24" t="str">
        <x:v>CURRENT PROJECT ASSET</x:v>
      </x:c>
      <x:c r="V350" s="24" t="str">
        <x:v>CONDITIONALLY APPROVED</x:v>
      </x:c>
      <x:c r="W350" s="24" t="str">
        <x:v>Sí</x:v>
      </x:c>
      <x:c r="X350" s="24" t="str">
        <x:v>Low</x:v>
      </x:c>
      <x:c r="Y350" s="24" t="str">
        <x:v>Internal development; public candidate requires gate</x:v>
      </x:c>
      <x:c r="Z350" s="24" t="str">
        <x:v>H6 legal/content audit</x:v>
      </x:c>
      <x:c r="AA350" s="24" t="str">
        <x:v>VRM Games</x:v>
      </x:c>
      <x:c r="AB350" s="24" t="str">
        <x:v>No se detectó proveedor externo en la ruta; confirmar autoría por lote antes de release público.</x:v>
      </x:c>
    </x:row>
    <x:row r="351" ht="34" customHeight="1">
      <x:c r="A351" s="24" t="str">
        <x:v>INT-0347</x:v>
      </x:c>
      <x:c r="B351" s="24" t="str">
        <x:v>452301daa4e346fdbbc52e3567c0560d</x:v>
      </x:c>
      <x:c r="C351" s="24" t="str">
        <x:v>StoreShellSpecification.cs</x:v>
      </x:c>
      <x:c r="D351" s="24" t="str">
        <x:v>Code</x:v>
      </x:c>
      <x:c r="E351" s="24" t="str">
        <x:v>Application</x:v>
      </x:c>
      <x:c r="F351" s="24" t="str">
        <x:v>VRM Games / Blas Luis Rocha González</x:v>
      </x:c>
      <x:c r="G351" s="24" t="str">
        <x:v>VRM Games / Blas Luis Rocha González</x:v>
      </x:c>
      <x:c r="H351" s="24" t="str">
        <x:v>Internal project production</x:v>
      </x:c>
      <x:c r="I351" s="24" t="str">
        <x:v>2026 project timeline</x:v>
      </x:c>
      <x:c r="J351" s="24" t="str">
        <x:v>Internal project IP / authorship claim</x:v>
      </x:c>
      <x:c r="K351" s="24" t="str">
        <x:v>N/A</x:v>
      </x:c>
      <x:c r="L351" s="24" t="str">
        <x:v>Source package + repository path + hash</x:v>
      </x:c>
      <x:c r="M351" s="24" t="str">
        <x:v>296b2a87286cb8da26d045f4def209c892cfd45510711006016fb1ee9428da8f</x:v>
      </x:c>
      <x:c r="N351" s="24" t="str">
        <x:v>Assets/_Project/Scripts/Application/Store/StoreShellSpecification.cs</x:v>
      </x:c>
      <x:c r="O351" s="24" t="str">
        <x:v>452301daa4e346fdbbc52e3567c0560d</x:v>
      </x:c>
      <x:c r="P351" s="24" t="str">
        <x:v>Sí</x:v>
      </x:c>
      <x:c r="Q351" s="24" t="str">
        <x:v>Condicionado a autoría/procedencia final</x:v>
      </x:c>
      <x:c r="R351" s="24" t="str">
        <x:v>Solo dentro del producto/build autorizado</x:v>
      </x:c>
      <x:c r="S351" s="24" t="str">
        <x:v>Crédito general del estudio; individual si aplica</x:v>
      </x:c>
      <x:c r="T351" s="24" t="str">
        <x:v>VRM Games / Blas Luis Rocha González</x:v>
      </x:c>
      <x:c r="U351" s="24" t="str">
        <x:v>CURRENT PROJECT ASSET</x:v>
      </x:c>
      <x:c r="V351" s="24" t="str">
        <x:v>CONDITIONALLY APPROVED</x:v>
      </x:c>
      <x:c r="W351" s="24" t="str">
        <x:v>Sí</x:v>
      </x:c>
      <x:c r="X351" s="24" t="str">
        <x:v>Low</x:v>
      </x:c>
      <x:c r="Y351" s="24" t="str">
        <x:v>Internal development; public candidate requires gate</x:v>
      </x:c>
      <x:c r="Z351" s="24" t="str">
        <x:v>H6 legal/content audit</x:v>
      </x:c>
      <x:c r="AA351" s="24" t="str">
        <x:v>VRM Games</x:v>
      </x:c>
      <x:c r="AB351" s="24" t="str">
        <x:v>No se detectó proveedor externo en la ruta; confirmar autoría por lote antes de release público.</x:v>
      </x:c>
    </x:row>
    <x:row r="352" ht="34" customHeight="1">
      <x:c r="A352" s="24" t="str">
        <x:v>INT-0348</x:v>
      </x:c>
      <x:c r="B352" s="24" t="str">
        <x:v>d7253a6ac5694e24afe3f095e620c1b2</x:v>
      </x:c>
      <x:c r="C352" s="24" t="str">
        <x:v>AccessibilitySettingsService.cs</x:v>
      </x:c>
      <x:c r="D352" s="24" t="str">
        <x:v>Code</x:v>
      </x:c>
      <x:c r="E352" s="24" t="str">
        <x:v>Application</x:v>
      </x:c>
      <x:c r="F352" s="24" t="str">
        <x:v>VRM Games / Blas Luis Rocha González</x:v>
      </x:c>
      <x:c r="G352" s="24" t="str">
        <x:v>VRM Games / Blas Luis Rocha González</x:v>
      </x:c>
      <x:c r="H352" s="24" t="str">
        <x:v>Internal project production</x:v>
      </x:c>
      <x:c r="I352" s="24" t="str">
        <x:v>2026 project timeline</x:v>
      </x:c>
      <x:c r="J352" s="24" t="str">
        <x:v>Internal project IP / authorship claim</x:v>
      </x:c>
      <x:c r="K352" s="24" t="str">
        <x:v>N/A</x:v>
      </x:c>
      <x:c r="L352" s="24" t="str">
        <x:v>Source package + repository path + hash</x:v>
      </x:c>
      <x:c r="M352" s="24" t="str">
        <x:v>c4474286247b5c237cc064ee580df0e8f2c322a0433cab999e2285133d8ae1be</x:v>
      </x:c>
      <x:c r="N352" s="24" t="str">
        <x:v>Assets/_Project/Scripts/Application/UIUX/AccessibilitySettingsService.cs</x:v>
      </x:c>
      <x:c r="O352" s="24" t="str">
        <x:v>d7253a6ac5694e24afe3f095e620c1b2</x:v>
      </x:c>
      <x:c r="P352" s="24" t="str">
        <x:v>Sí</x:v>
      </x:c>
      <x:c r="Q352" s="24" t="str">
        <x:v>Condicionado a autoría/procedencia final</x:v>
      </x:c>
      <x:c r="R352" s="24" t="str">
        <x:v>Solo dentro del producto/build autorizado</x:v>
      </x:c>
      <x:c r="S352" s="24" t="str">
        <x:v>Crédito general del estudio; individual si aplica</x:v>
      </x:c>
      <x:c r="T352" s="24" t="str">
        <x:v>VRM Games / Blas Luis Rocha González</x:v>
      </x:c>
      <x:c r="U352" s="24" t="str">
        <x:v>CURRENT PROJECT ASSET</x:v>
      </x:c>
      <x:c r="V352" s="24" t="str">
        <x:v>CONDITIONALLY APPROVED</x:v>
      </x:c>
      <x:c r="W352" s="24" t="str">
        <x:v>Sí</x:v>
      </x:c>
      <x:c r="X352" s="24" t="str">
        <x:v>Low</x:v>
      </x:c>
      <x:c r="Y352" s="24" t="str">
        <x:v>Internal development; public candidate requires gate</x:v>
      </x:c>
      <x:c r="Z352" s="24" t="str">
        <x:v>H6 legal/content audit</x:v>
      </x:c>
      <x:c r="AA352" s="24" t="str">
        <x:v>VRM Games</x:v>
      </x:c>
      <x:c r="AB352" s="24" t="str">
        <x:v>No se detectó proveedor externo en la ruta; confirmar autoría por lote antes de release público.</x:v>
      </x:c>
    </x:row>
    <x:row r="353" ht="34" customHeight="1">
      <x:c r="A353" s="24" t="str">
        <x:v>INT-0349</x:v>
      </x:c>
      <x:c r="B353" s="24" t="str">
        <x:v>047150129994453fad4e95966e385505</x:v>
      </x:c>
      <x:c r="C353" s="24" t="str">
        <x:v>ActiveGameSessionService.cs</x:v>
      </x:c>
      <x:c r="D353" s="24" t="str">
        <x:v>Code</x:v>
      </x:c>
      <x:c r="E353" s="24" t="str">
        <x:v>Application</x:v>
      </x:c>
      <x:c r="F353" s="24" t="str">
        <x:v>VRM Games / Blas Luis Rocha González</x:v>
      </x:c>
      <x:c r="G353" s="24" t="str">
        <x:v>VRM Games / Blas Luis Rocha González</x:v>
      </x:c>
      <x:c r="H353" s="24" t="str">
        <x:v>Internal project production</x:v>
      </x:c>
      <x:c r="I353" s="24" t="str">
        <x:v>2026 project timeline</x:v>
      </x:c>
      <x:c r="J353" s="24" t="str">
        <x:v>Internal project IP / authorship claim</x:v>
      </x:c>
      <x:c r="K353" s="24" t="str">
        <x:v>N/A</x:v>
      </x:c>
      <x:c r="L353" s="24" t="str">
        <x:v>Source package + repository path + hash</x:v>
      </x:c>
      <x:c r="M353" s="24" t="str">
        <x:v>4e94f1455721e90006b47f789fbb2879d23d9380d88e1e72fe1f16cc48269a71</x:v>
      </x:c>
      <x:c r="N353" s="24" t="str">
        <x:v>Assets/_Project/Scripts/Application/UIUX/ActiveGameSessionService.cs</x:v>
      </x:c>
      <x:c r="O353" s="24" t="str">
        <x:v>047150129994453fad4e95966e385505</x:v>
      </x:c>
      <x:c r="P353" s="24" t="str">
        <x:v>Sí</x:v>
      </x:c>
      <x:c r="Q353" s="24" t="str">
        <x:v>Condicionado a autoría/procedencia final</x:v>
      </x:c>
      <x:c r="R353" s="24" t="str">
        <x:v>Solo dentro del producto/build autorizado</x:v>
      </x:c>
      <x:c r="S353" s="24" t="str">
        <x:v>Crédito general del estudio; individual si aplica</x:v>
      </x:c>
      <x:c r="T353" s="24" t="str">
        <x:v>VRM Games / Blas Luis Rocha González</x:v>
      </x:c>
      <x:c r="U353" s="24" t="str">
        <x:v>CURRENT PROJECT ASSET</x:v>
      </x:c>
      <x:c r="V353" s="24" t="str">
        <x:v>CONDITIONALLY APPROVED</x:v>
      </x:c>
      <x:c r="W353" s="24" t="str">
        <x:v>Sí</x:v>
      </x:c>
      <x:c r="X353" s="24" t="str">
        <x:v>Low</x:v>
      </x:c>
      <x:c r="Y353" s="24" t="str">
        <x:v>Internal development; public candidate requires gate</x:v>
      </x:c>
      <x:c r="Z353" s="24" t="str">
        <x:v>H6 legal/content audit</x:v>
      </x:c>
      <x:c r="AA353" s="24" t="str">
        <x:v>VRM Games</x:v>
      </x:c>
      <x:c r="AB353" s="24" t="str">
        <x:v>No se detectó proveedor externo en la ruta; confirmar autoría por lote antes de release público.</x:v>
      </x:c>
    </x:row>
    <x:row r="354" ht="34" customHeight="1">
      <x:c r="A354" s="24" t="str">
        <x:v>INT-0350</x:v>
      </x:c>
      <x:c r="B354" s="24" t="str">
        <x:v>c3213fd8f35a469a87fc0b2ea3bad447</x:v>
      </x:c>
      <x:c r="C354" s="24" t="str">
        <x:v>DailyAutosaveService.cs</x:v>
      </x:c>
      <x:c r="D354" s="24" t="str">
        <x:v>Code</x:v>
      </x:c>
      <x:c r="E354" s="24" t="str">
        <x:v>Application</x:v>
      </x:c>
      <x:c r="F354" s="24" t="str">
        <x:v>VRM Games / Blas Luis Rocha González</x:v>
      </x:c>
      <x:c r="G354" s="24" t="str">
        <x:v>VRM Games / Blas Luis Rocha González</x:v>
      </x:c>
      <x:c r="H354" s="24" t="str">
        <x:v>Internal project production</x:v>
      </x:c>
      <x:c r="I354" s="24" t="str">
        <x:v>2026 project timeline</x:v>
      </x:c>
      <x:c r="J354" s="24" t="str">
        <x:v>Internal project IP / authorship claim</x:v>
      </x:c>
      <x:c r="K354" s="24" t="str">
        <x:v>N/A</x:v>
      </x:c>
      <x:c r="L354" s="24" t="str">
        <x:v>Source package + repository path + hash</x:v>
      </x:c>
      <x:c r="M354" s="24" t="str">
        <x:v>f28ea58bdd0efc43e539e1a1fe18531fd824558ba0fee03a947aeff4598330f4</x:v>
      </x:c>
      <x:c r="N354" s="24" t="str">
        <x:v>Assets/_Project/Scripts/Application/UIUX/DailyAutosaveService.cs</x:v>
      </x:c>
      <x:c r="O354" s="24" t="str">
        <x:v>c3213fd8f35a469a87fc0b2ea3bad447</x:v>
      </x:c>
      <x:c r="P354" s="24" t="str">
        <x:v>Sí</x:v>
      </x:c>
      <x:c r="Q354" s="24" t="str">
        <x:v>Condicionado a autoría/procedencia final</x:v>
      </x:c>
      <x:c r="R354" s="24" t="str">
        <x:v>Solo dentro del producto/build autorizado</x:v>
      </x:c>
      <x:c r="S354" s="24" t="str">
        <x:v>Crédito general del estudio; individual si aplica</x:v>
      </x:c>
      <x:c r="T354" s="24" t="str">
        <x:v>VRM Games / Blas Luis Rocha González</x:v>
      </x:c>
      <x:c r="U354" s="24" t="str">
        <x:v>CURRENT PROJECT ASSET</x:v>
      </x:c>
      <x:c r="V354" s="24" t="str">
        <x:v>CONDITIONALLY APPROVED</x:v>
      </x:c>
      <x:c r="W354" s="24" t="str">
        <x:v>Sí</x:v>
      </x:c>
      <x:c r="X354" s="24" t="str">
        <x:v>Low</x:v>
      </x:c>
      <x:c r="Y354" s="24" t="str">
        <x:v>Internal development; public candidate requires gate</x:v>
      </x:c>
      <x:c r="Z354" s="24" t="str">
        <x:v>H6 legal/content audit</x:v>
      </x:c>
      <x:c r="AA354" s="24" t="str">
        <x:v>VRM Games</x:v>
      </x:c>
      <x:c r="AB354" s="24" t="str">
        <x:v>No se detectó proveedor externo en la ruta; confirmar autoría por lote antes de release público.</x:v>
      </x:c>
    </x:row>
    <x:row r="355" ht="34" customHeight="1">
      <x:c r="A355" s="24" t="str">
        <x:v>INT-0351</x:v>
      </x:c>
      <x:c r="B355" s="24" t="str">
        <x:v>22a61e36aa8649eea2a35a0c27a6c458</x:v>
      </x:c>
      <x:c r="C355" s="24" t="str">
        <x:v>DefaultIntegratedGameStateFactory.cs</x:v>
      </x:c>
      <x:c r="D355" s="24" t="str">
        <x:v>Code</x:v>
      </x:c>
      <x:c r="E355" s="24" t="str">
        <x:v>Application</x:v>
      </x:c>
      <x:c r="F355" s="24" t="str">
        <x:v>VRM Games / Blas Luis Rocha González</x:v>
      </x:c>
      <x:c r="G355" s="24" t="str">
        <x:v>VRM Games / Blas Luis Rocha González</x:v>
      </x:c>
      <x:c r="H355" s="24" t="str">
        <x:v>Internal project production</x:v>
      </x:c>
      <x:c r="I355" s="24" t="str">
        <x:v>2026 project timeline</x:v>
      </x:c>
      <x:c r="J355" s="24" t="str">
        <x:v>Internal project IP / authorship claim</x:v>
      </x:c>
      <x:c r="K355" s="24" t="str">
        <x:v>N/A</x:v>
      </x:c>
      <x:c r="L355" s="24" t="str">
        <x:v>Source package + repository path + hash</x:v>
      </x:c>
      <x:c r="M355" s="24" t="str">
        <x:v>4d6c6a00a8e41f7a5247aa66602177a3fa9637a01999c722ce73e1d62b71e719</x:v>
      </x:c>
      <x:c r="N355" s="24" t="str">
        <x:v>Assets/_Project/Scripts/Application/UIUX/DefaultIntegratedGameStateFactory.cs</x:v>
      </x:c>
      <x:c r="O355" s="24" t="str">
        <x:v>22a61e36aa8649eea2a35a0c27a6c458</x:v>
      </x:c>
      <x:c r="P355" s="24" t="str">
        <x:v>Sí</x:v>
      </x:c>
      <x:c r="Q355" s="24" t="str">
        <x:v>Condicionado a autoría/procedencia final</x:v>
      </x:c>
      <x:c r="R355" s="24" t="str">
        <x:v>Solo dentro del producto/build autorizado</x:v>
      </x:c>
      <x:c r="S355" s="24" t="str">
        <x:v>Crédito general del estudio; individual si aplica</x:v>
      </x:c>
      <x:c r="T355" s="24" t="str">
        <x:v>VRM Games / Blas Luis Rocha González</x:v>
      </x:c>
      <x:c r="U355" s="24" t="str">
        <x:v>CURRENT PROJECT ASSET</x:v>
      </x:c>
      <x:c r="V355" s="24" t="str">
        <x:v>CONDITIONALLY APPROVED</x:v>
      </x:c>
      <x:c r="W355" s="24" t="str">
        <x:v>Sí</x:v>
      </x:c>
      <x:c r="X355" s="24" t="str">
        <x:v>Low</x:v>
      </x:c>
      <x:c r="Y355" s="24" t="str">
        <x:v>Internal development; public candidate requires gate</x:v>
      </x:c>
      <x:c r="Z355" s="24" t="str">
        <x:v>H6 legal/content audit</x:v>
      </x:c>
      <x:c r="AA355" s="24" t="str">
        <x:v>VRM Games</x:v>
      </x:c>
      <x:c r="AB355" s="24" t="str">
        <x:v>No se detectó proveedor externo en la ruta; confirmar autoría por lote antes de release público.</x:v>
      </x:c>
    </x:row>
    <x:row r="356" ht="34" customHeight="1">
      <x:c r="A356" s="24" t="str">
        <x:v>INT-0352</x:v>
      </x:c>
      <x:c r="B356" s="24" t="str">
        <x:v>c80e9c6f211a4e1f9d68b47c3c78da61</x:v>
      </x:c>
      <x:c r="C356" s="24" t="str">
        <x:v>SlotSelectionService.cs</x:v>
      </x:c>
      <x:c r="D356" s="24" t="str">
        <x:v>Code</x:v>
      </x:c>
      <x:c r="E356" s="24" t="str">
        <x:v>Application</x:v>
      </x:c>
      <x:c r="F356" s="24" t="str">
        <x:v>VRM Games / Blas Luis Rocha González</x:v>
      </x:c>
      <x:c r="G356" s="24" t="str">
        <x:v>VRM Games / Blas Luis Rocha González</x:v>
      </x:c>
      <x:c r="H356" s="24" t="str">
        <x:v>Internal project production</x:v>
      </x:c>
      <x:c r="I356" s="24" t="str">
        <x:v>2026 project timeline</x:v>
      </x:c>
      <x:c r="J356" s="24" t="str">
        <x:v>Internal project IP / authorship claim</x:v>
      </x:c>
      <x:c r="K356" s="24" t="str">
        <x:v>N/A</x:v>
      </x:c>
      <x:c r="L356" s="24" t="str">
        <x:v>Source package + repository path + hash</x:v>
      </x:c>
      <x:c r="M356" s="24" t="str">
        <x:v>2c1a2241f83001192dcd201a96287d2800ae4c92a22cf699c9f0e8398d557bdf</x:v>
      </x:c>
      <x:c r="N356" s="24" t="str">
        <x:v>Assets/_Project/Scripts/Application/UIUX/SlotSelectionService.cs</x:v>
      </x:c>
      <x:c r="O356" s="24" t="str">
        <x:v>c80e9c6f211a4e1f9d68b47c3c78da61</x:v>
      </x:c>
      <x:c r="P356" s="24" t="str">
        <x:v>Sí</x:v>
      </x:c>
      <x:c r="Q356" s="24" t="str">
        <x:v>Condicionado a autoría/procedencia final</x:v>
      </x:c>
      <x:c r="R356" s="24" t="str">
        <x:v>Solo dentro del producto/build autorizado</x:v>
      </x:c>
      <x:c r="S356" s="24" t="str">
        <x:v>Crédito general del estudio; individual si aplica</x:v>
      </x:c>
      <x:c r="T356" s="24" t="str">
        <x:v>VRM Games / Blas Luis Rocha González</x:v>
      </x:c>
      <x:c r="U356" s="24" t="str">
        <x:v>CURRENT PROJECT ASSET</x:v>
      </x:c>
      <x:c r="V356" s="24" t="str">
        <x:v>CONDITIONALLY APPROVED</x:v>
      </x:c>
      <x:c r="W356" s="24" t="str">
        <x:v>Sí</x:v>
      </x:c>
      <x:c r="X356" s="24" t="str">
        <x:v>Low</x:v>
      </x:c>
      <x:c r="Y356" s="24" t="str">
        <x:v>Internal development; public candidate requires gate</x:v>
      </x:c>
      <x:c r="Z356" s="24" t="str">
        <x:v>H6 legal/content audit</x:v>
      </x:c>
      <x:c r="AA356" s="24" t="str">
        <x:v>VRM Games</x:v>
      </x:c>
      <x:c r="AB356" s="24" t="str">
        <x:v>No se detectó proveedor externo en la ruta; confirmar autoría por lote antes de release público.</x:v>
      </x:c>
    </x:row>
    <x:row r="357" ht="34" customHeight="1">
      <x:c r="A357" s="24" t="str">
        <x:v>INT-0353</x:v>
      </x:c>
      <x:c r="B357" s="24" t="str">
        <x:v>565effce1f604b9cb3cef7d4da8402f8</x:v>
      </x:c>
      <x:c r="C357" s="24" t="str">
        <x:v>StoreUiProjectionService.cs</x:v>
      </x:c>
      <x:c r="D357" s="24" t="str">
        <x:v>Code</x:v>
      </x:c>
      <x:c r="E357" s="24" t="str">
        <x:v>Application</x:v>
      </x:c>
      <x:c r="F357" s="24" t="str">
        <x:v>VRM Games / Blas Luis Rocha González</x:v>
      </x:c>
      <x:c r="G357" s="24" t="str">
        <x:v>VRM Games / Blas Luis Rocha González</x:v>
      </x:c>
      <x:c r="H357" s="24" t="str">
        <x:v>Internal project production</x:v>
      </x:c>
      <x:c r="I357" s="24" t="str">
        <x:v>2026 project timeline</x:v>
      </x:c>
      <x:c r="J357" s="24" t="str">
        <x:v>Internal project IP / authorship claim</x:v>
      </x:c>
      <x:c r="K357" s="24" t="str">
        <x:v>N/A</x:v>
      </x:c>
      <x:c r="L357" s="24" t="str">
        <x:v>Source package + repository path + hash</x:v>
      </x:c>
      <x:c r="M357" s="24" t="str">
        <x:v>58ebb6c08400aefb50235412b42dce67a14d3a8d7a6a4a6f5ba58cd2aea57e3b</x:v>
      </x:c>
      <x:c r="N357" s="24" t="str">
        <x:v>Assets/_Project/Scripts/Application/UIUX/StoreUiProjectionService.cs</x:v>
      </x:c>
      <x:c r="O357" s="24" t="str">
        <x:v>565effce1f604b9cb3cef7d4da8402f8</x:v>
      </x:c>
      <x:c r="P357" s="24" t="str">
        <x:v>Sí</x:v>
      </x:c>
      <x:c r="Q357" s="24" t="str">
        <x:v>Condicionado a autoría/procedencia final</x:v>
      </x:c>
      <x:c r="R357" s="24" t="str">
        <x:v>Solo dentro del producto/build autorizado</x:v>
      </x:c>
      <x:c r="S357" s="24" t="str">
        <x:v>Crédito general del estudio; individual si aplica</x:v>
      </x:c>
      <x:c r="T357" s="24" t="str">
        <x:v>VRM Games / Blas Luis Rocha González</x:v>
      </x:c>
      <x:c r="U357" s="24" t="str">
        <x:v>CURRENT PROJECT ASSET</x:v>
      </x:c>
      <x:c r="V357" s="24" t="str">
        <x:v>CONDITIONALLY APPROVED</x:v>
      </x:c>
      <x:c r="W357" s="24" t="str">
        <x:v>Sí</x:v>
      </x:c>
      <x:c r="X357" s="24" t="str">
        <x:v>Low</x:v>
      </x:c>
      <x:c r="Y357" s="24" t="str">
        <x:v>Internal development; public candidate requires gate</x:v>
      </x:c>
      <x:c r="Z357" s="24" t="str">
        <x:v>H6 legal/content audit</x:v>
      </x:c>
      <x:c r="AA357" s="24" t="str">
        <x:v>VRM Games</x:v>
      </x:c>
      <x:c r="AB357" s="24" t="str">
        <x:v>No se detectó proveedor externo en la ruta; confirmar autoría por lote antes de release público.</x:v>
      </x:c>
    </x:row>
    <x:row r="358" ht="34" customHeight="1">
      <x:c r="A358" s="24" t="str">
        <x:v>INT-0354</x:v>
      </x:c>
      <x:c r="B358" s="24" t="str">
        <x:v>0b399b46c7d94a25b4563c2ef74e6d59</x:v>
      </x:c>
      <x:c r="C358" s="24" t="str">
        <x:v>TutorialService.cs</x:v>
      </x:c>
      <x:c r="D358" s="24" t="str">
        <x:v>Code</x:v>
      </x:c>
      <x:c r="E358" s="24" t="str">
        <x:v>Application</x:v>
      </x:c>
      <x:c r="F358" s="24" t="str">
        <x:v>VRM Games / Blas Luis Rocha González</x:v>
      </x:c>
      <x:c r="G358" s="24" t="str">
        <x:v>VRM Games / Blas Luis Rocha González</x:v>
      </x:c>
      <x:c r="H358" s="24" t="str">
        <x:v>Internal project production</x:v>
      </x:c>
      <x:c r="I358" s="24" t="str">
        <x:v>2026 project timeline</x:v>
      </x:c>
      <x:c r="J358" s="24" t="str">
        <x:v>Internal project IP / authorship claim</x:v>
      </x:c>
      <x:c r="K358" s="24" t="str">
        <x:v>N/A</x:v>
      </x:c>
      <x:c r="L358" s="24" t="str">
        <x:v>Source package + repository path + hash</x:v>
      </x:c>
      <x:c r="M358" s="24" t="str">
        <x:v>427a7330b5bdae676152f584824bb612f5dcc3c9928f688ee4dd38ebace3ca76</x:v>
      </x:c>
      <x:c r="N358" s="24" t="str">
        <x:v>Assets/_Project/Scripts/Application/UIUX/TutorialService.cs</x:v>
      </x:c>
      <x:c r="O358" s="24" t="str">
        <x:v>0b399b46c7d94a25b4563c2ef74e6d59</x:v>
      </x:c>
      <x:c r="P358" s="24" t="str">
        <x:v>Sí</x:v>
      </x:c>
      <x:c r="Q358" s="24" t="str">
        <x:v>Condicionado a autoría/procedencia final</x:v>
      </x:c>
      <x:c r="R358" s="24" t="str">
        <x:v>Solo dentro del producto/build autorizado</x:v>
      </x:c>
      <x:c r="S358" s="24" t="str">
        <x:v>Crédito general del estudio; individual si aplica</x:v>
      </x:c>
      <x:c r="T358" s="24" t="str">
        <x:v>VRM Games / Blas Luis Rocha González</x:v>
      </x:c>
      <x:c r="U358" s="24" t="str">
        <x:v>CURRENT PROJECT ASSET</x:v>
      </x:c>
      <x:c r="V358" s="24" t="str">
        <x:v>CONDITIONALLY APPROVED</x:v>
      </x:c>
      <x:c r="W358" s="24" t="str">
        <x:v>Sí</x:v>
      </x:c>
      <x:c r="X358" s="24" t="str">
        <x:v>Low</x:v>
      </x:c>
      <x:c r="Y358" s="24" t="str">
        <x:v>Internal development; public candidate requires gate</x:v>
      </x:c>
      <x:c r="Z358" s="24" t="str">
        <x:v>H6 legal/content audit</x:v>
      </x:c>
      <x:c r="AA358" s="24" t="str">
        <x:v>VRM Games</x:v>
      </x:c>
      <x:c r="AB358" s="24" t="str">
        <x:v>No se detectó proveedor externo en la ruta; confirmar autoría por lote antes de release público.</x:v>
      </x:c>
    </x:row>
    <x:row r="359" ht="34" customHeight="1">
      <x:c r="A359" s="24" t="str">
        <x:v>INT-0355</x:v>
      </x:c>
      <x:c r="B359" s="24" t="str">
        <x:v>a41501a0ebda46679da2f634f41d09db</x:v>
      </x:c>
      <x:c r="C359" s="24" t="str">
        <x:v>UIUXRepositoryContracts.cs</x:v>
      </x:c>
      <x:c r="D359" s="24" t="str">
        <x:v>Code</x:v>
      </x:c>
      <x:c r="E359" s="24" t="str">
        <x:v>Application</x:v>
      </x:c>
      <x:c r="F359" s="24" t="str">
        <x:v>VRM Games / Blas Luis Rocha González</x:v>
      </x:c>
      <x:c r="G359" s="24" t="str">
        <x:v>VRM Games / Blas Luis Rocha González</x:v>
      </x:c>
      <x:c r="H359" s="24" t="str">
        <x:v>Internal project production</x:v>
      </x:c>
      <x:c r="I359" s="24" t="str">
        <x:v>2026 project timeline</x:v>
      </x:c>
      <x:c r="J359" s="24" t="str">
        <x:v>Internal project IP / authorship claim</x:v>
      </x:c>
      <x:c r="K359" s="24" t="str">
        <x:v>N/A</x:v>
      </x:c>
      <x:c r="L359" s="24" t="str">
        <x:v>Source package + repository path + hash</x:v>
      </x:c>
      <x:c r="M359" s="24" t="str">
        <x:v>97088c929d191c9abdf17f5056440459dcd399c2d0320c4b92305f96ddf52d0b</x:v>
      </x:c>
      <x:c r="N359" s="24" t="str">
        <x:v>Assets/_Project/Scripts/Application/UIUX/UIUXRepositoryContracts.cs</x:v>
      </x:c>
      <x:c r="O359" s="24" t="str">
        <x:v>a41501a0ebda46679da2f634f41d09db</x:v>
      </x:c>
      <x:c r="P359" s="24" t="str">
        <x:v>Sí</x:v>
      </x:c>
      <x:c r="Q359" s="24" t="str">
        <x:v>Condicionado a autoría/procedencia final</x:v>
      </x:c>
      <x:c r="R359" s="24" t="str">
        <x:v>Solo dentro del producto/build autorizado</x:v>
      </x:c>
      <x:c r="S359" s="24" t="str">
        <x:v>Crédito general del estudio; individual si aplica</x:v>
      </x:c>
      <x:c r="T359" s="24" t="str">
        <x:v>VRM Games / Blas Luis Rocha González</x:v>
      </x:c>
      <x:c r="U359" s="24" t="str">
        <x:v>CURRENT PROJECT ASSET</x:v>
      </x:c>
      <x:c r="V359" s="24" t="str">
        <x:v>CONDITIONALLY APPROVED</x:v>
      </x:c>
      <x:c r="W359" s="24" t="str">
        <x:v>Sí</x:v>
      </x:c>
      <x:c r="X359" s="24" t="str">
        <x:v>Low</x:v>
      </x:c>
      <x:c r="Y359" s="24" t="str">
        <x:v>Internal development; public candidate requires gate</x:v>
      </x:c>
      <x:c r="Z359" s="24" t="str">
        <x:v>H6 legal/content audit</x:v>
      </x:c>
      <x:c r="AA359" s="24" t="str">
        <x:v>VRM Games</x:v>
      </x:c>
      <x:c r="AB359" s="24" t="str">
        <x:v>No se detectó proveedor externo en la ruta; confirmar autoría por lote antes de release público.</x:v>
      </x:c>
    </x:row>
    <x:row r="360" ht="34" customHeight="1">
      <x:c r="A360" s="24" t="str">
        <x:v>INT-0356</x:v>
      </x:c>
      <x:c r="B360" s="24" t="str">
        <x:v>784a2cf60a16657418f800629c2b00b3</x:v>
      </x:c>
      <x:c r="C360" s="24" t="str">
        <x:v>VRMGames.CartridgeAndCloud.Application.asmdef</x:v>
      </x:c>
      <x:c r="D360" s="24" t="str">
        <x:v>Assembly definition</x:v>
      </x:c>
      <x:c r="E360" s="24" t="str">
        <x:v>Application</x:v>
      </x:c>
      <x:c r="F360" s="24" t="str">
        <x:v>VRM Games / Blas Luis Rocha González</x:v>
      </x:c>
      <x:c r="G360" s="24" t="str">
        <x:v>VRM Games / Blas Luis Rocha González</x:v>
      </x:c>
      <x:c r="H360" s="24" t="str">
        <x:v>Internal project production</x:v>
      </x:c>
      <x:c r="I360" s="24" t="str">
        <x:v>2026 project timeline</x:v>
      </x:c>
      <x:c r="J360" s="24" t="str">
        <x:v>Internal project IP / authorship claim</x:v>
      </x:c>
      <x:c r="K360" s="24" t="str">
        <x:v>N/A</x:v>
      </x:c>
      <x:c r="L360" s="24" t="str">
        <x:v>Source package + repository path + hash</x:v>
      </x:c>
      <x:c r="M360" s="24" t="str">
        <x:v>a822e52815b039e3b6ceb4d7174070940a5112ac074012dec8ec400d0de91919</x:v>
      </x:c>
      <x:c r="N360" s="24" t="str">
        <x:v>Assets/_Project/Scripts/Application/VRMGames.CartridgeAndCloud.Application.asmdef</x:v>
      </x:c>
      <x:c r="O360" s="24" t="str">
        <x:v>784a2cf60a16657418f800629c2b00b3</x:v>
      </x:c>
      <x:c r="P360" s="24" t="str">
        <x:v>Sí</x:v>
      </x:c>
      <x:c r="Q360" s="24" t="str">
        <x:v>Condicionado a autoría/procedencia final</x:v>
      </x:c>
      <x:c r="R360" s="24" t="str">
        <x:v>Solo dentro del producto/build autorizado</x:v>
      </x:c>
      <x:c r="S360" s="24" t="str">
        <x:v>Crédito general del estudio; individual si aplica</x:v>
      </x:c>
      <x:c r="T360" s="24" t="str">
        <x:v>VRM Games / Blas Luis Rocha González</x:v>
      </x:c>
      <x:c r="U360" s="24" t="str">
        <x:v>CURRENT PROJECT ASSET</x:v>
      </x:c>
      <x:c r="V360" s="24" t="str">
        <x:v>CONDITIONALLY APPROVED</x:v>
      </x:c>
      <x:c r="W360" s="24" t="str">
        <x:v>Sí</x:v>
      </x:c>
      <x:c r="X360" s="24" t="str">
        <x:v>Low</x:v>
      </x:c>
      <x:c r="Y360" s="24" t="str">
        <x:v>Internal development; public candidate requires gate</x:v>
      </x:c>
      <x:c r="Z360" s="24" t="str">
        <x:v>H6 legal/content audit</x:v>
      </x:c>
      <x:c r="AA360" s="24" t="str">
        <x:v>VRM Games</x:v>
      </x:c>
      <x:c r="AB360" s="24" t="str">
        <x:v>No se detectó proveedor externo en la ruta; confirmar autoría por lote antes de release público.</x:v>
      </x:c>
    </x:row>
    <x:row r="361" ht="34" customHeight="1">
      <x:c r="A361" s="24" t="str">
        <x:v>INT-0357</x:v>
      </x:c>
      <x:c r="B361" s="24" t="str">
        <x:v>452a1b5ae2d7c86f11621d22300a1389</x:v>
      </x:c>
      <x:c r="C361" s="24" t="str">
        <x:v>IntegratedSnapshotPhase1Mutator.cs</x:v>
      </x:c>
      <x:c r="D361" s="24" t="str">
        <x:v>Code</x:v>
      </x:c>
      <x:c r="E361" s="24" t="str">
        <x:v>Application</x:v>
      </x:c>
      <x:c r="F361" s="24" t="str">
        <x:v>VRM Games / Blas Luis Rocha González</x:v>
      </x:c>
      <x:c r="G361" s="24" t="str">
        <x:v>VRM Games / Blas Luis Rocha González</x:v>
      </x:c>
      <x:c r="H361" s="24" t="str">
        <x:v>Internal project production</x:v>
      </x:c>
      <x:c r="I361" s="24" t="str">
        <x:v>2026 project timeline</x:v>
      </x:c>
      <x:c r="J361" s="24" t="str">
        <x:v>Internal project IP / authorship claim</x:v>
      </x:c>
      <x:c r="K361" s="24" t="str">
        <x:v>N/A</x:v>
      </x:c>
      <x:c r="L361" s="24" t="str">
        <x:v>Source package + repository path + hash</x:v>
      </x:c>
      <x:c r="M361" s="24" t="str">
        <x:v>178623373267264b20ab5b589cf081bceb874d3d817d0d446167af53dfb06fd1</x:v>
      </x:c>
      <x:c r="N361" s="24" t="str">
        <x:v>Assets/_Project/Scripts/Application/VerticalSlicePhase1/IntegratedSnapshotPhase1Mutator.cs</x:v>
      </x:c>
      <x:c r="O361" s="24" t="str">
        <x:v>452a1b5ae2d7c86f11621d22300a1389</x:v>
      </x:c>
      <x:c r="P361" s="24" t="str">
        <x:v>Sí</x:v>
      </x:c>
      <x:c r="Q361" s="24" t="str">
        <x:v>Condicionado a autoría/procedencia final</x:v>
      </x:c>
      <x:c r="R361" s="24" t="str">
        <x:v>Solo dentro del producto/build autorizado</x:v>
      </x:c>
      <x:c r="S361" s="24" t="str">
        <x:v>Crédito general del estudio; individual si aplica</x:v>
      </x:c>
      <x:c r="T361" s="24" t="str">
        <x:v>VRM Games / Blas Luis Rocha González</x:v>
      </x:c>
      <x:c r="U361" s="24" t="str">
        <x:v>CURRENT PROJECT ASSET</x:v>
      </x:c>
      <x:c r="V361" s="24" t="str">
        <x:v>CONDITIONALLY APPROVED</x:v>
      </x:c>
      <x:c r="W361" s="24" t="str">
        <x:v>Sí</x:v>
      </x:c>
      <x:c r="X361" s="24" t="str">
        <x:v>Low</x:v>
      </x:c>
      <x:c r="Y361" s="24" t="str">
        <x:v>Internal development; public candidate requires gate</x:v>
      </x:c>
      <x:c r="Z361" s="24" t="str">
        <x:v>H6 legal/content audit</x:v>
      </x:c>
      <x:c r="AA361" s="24" t="str">
        <x:v>VRM Games</x:v>
      </x:c>
      <x:c r="AB361" s="24" t="str">
        <x:v>No se detectó proveedor externo en la ruta; confirmar autoría por lote antes de release público.</x:v>
      </x:c>
    </x:row>
    <x:row r="362" ht="34" customHeight="1">
      <x:c r="A362" s="24" t="str">
        <x:v>INT-0358</x:v>
      </x:c>
      <x:c r="B362" s="24" t="str">
        <x:v>829e6c849176b9ab2c16c14b386e2f33</x:v>
      </x:c>
      <x:c r="C362" s="24" t="str">
        <x:v>Phase1Catalog.cs</x:v>
      </x:c>
      <x:c r="D362" s="24" t="str">
        <x:v>Code</x:v>
      </x:c>
      <x:c r="E362" s="24" t="str">
        <x:v>Application</x:v>
      </x:c>
      <x:c r="F362" s="24" t="str">
        <x:v>VRM Games / Blas Luis Rocha González</x:v>
      </x:c>
      <x:c r="G362" s="24" t="str">
        <x:v>VRM Games / Blas Luis Rocha González</x:v>
      </x:c>
      <x:c r="H362" s="24" t="str">
        <x:v>Internal project production</x:v>
      </x:c>
      <x:c r="I362" s="24" t="str">
        <x:v>2026 project timeline</x:v>
      </x:c>
      <x:c r="J362" s="24" t="str">
        <x:v>Internal project IP / authorship claim</x:v>
      </x:c>
      <x:c r="K362" s="24" t="str">
        <x:v>N/A</x:v>
      </x:c>
      <x:c r="L362" s="24" t="str">
        <x:v>Source package + repository path + hash</x:v>
      </x:c>
      <x:c r="M362" s="24" t="str">
        <x:v>c3217ddb803da833883b6362254dad8c1679835639adfe99df68136d7af67de0</x:v>
      </x:c>
      <x:c r="N362" s="24" t="str">
        <x:v>Assets/_Project/Scripts/Application/VerticalSlicePhase1/Phase1Catalog.cs</x:v>
      </x:c>
      <x:c r="O362" s="24" t="str">
        <x:v>829e6c849176b9ab2c16c14b386e2f33</x:v>
      </x:c>
      <x:c r="P362" s="24" t="str">
        <x:v>Sí</x:v>
      </x:c>
      <x:c r="Q362" s="24" t="str">
        <x:v>Condicionado a autoría/procedencia final</x:v>
      </x:c>
      <x:c r="R362" s="24" t="str">
        <x:v>Solo dentro del producto/build autorizado</x:v>
      </x:c>
      <x:c r="S362" s="24" t="str">
        <x:v>Crédito general del estudio; individual si aplica</x:v>
      </x:c>
      <x:c r="T362" s="24" t="str">
        <x:v>VRM Games / Blas Luis Rocha González</x:v>
      </x:c>
      <x:c r="U362" s="24" t="str">
        <x:v>CURRENT PROJECT ASSET</x:v>
      </x:c>
      <x:c r="V362" s="24" t="str">
        <x:v>CONDITIONALLY APPROVED</x:v>
      </x:c>
      <x:c r="W362" s="24" t="str">
        <x:v>Sí</x:v>
      </x:c>
      <x:c r="X362" s="24" t="str">
        <x:v>Low</x:v>
      </x:c>
      <x:c r="Y362" s="24" t="str">
        <x:v>Internal development; public candidate requires gate</x:v>
      </x:c>
      <x:c r="Z362" s="24" t="str">
        <x:v>H6 legal/content audit</x:v>
      </x:c>
      <x:c r="AA362" s="24" t="str">
        <x:v>VRM Games</x:v>
      </x:c>
      <x:c r="AB362" s="24" t="str">
        <x:v>No se detectó proveedor externo en la ruta; confirmar autoría por lote antes de release público.</x:v>
      </x:c>
    </x:row>
    <x:row r="363" ht="34" customHeight="1">
      <x:c r="A363" s="24" t="str">
        <x:v>INT-0359</x:v>
      </x:c>
      <x:c r="B363" s="24" t="str">
        <x:v>4fbccc5a51403d9dafe1e210f5647f64</x:v>
      </x:c>
      <x:c r="C363" s="24" t="str">
        <x:v>Phase1Contracts.cs</x:v>
      </x:c>
      <x:c r="D363" s="24" t="str">
        <x:v>Code</x:v>
      </x:c>
      <x:c r="E363" s="24" t="str">
        <x:v>Application</x:v>
      </x:c>
      <x:c r="F363" s="24" t="str">
        <x:v>VRM Games / Blas Luis Rocha González</x:v>
      </x:c>
      <x:c r="G363" s="24" t="str">
        <x:v>VRM Games / Blas Luis Rocha González</x:v>
      </x:c>
      <x:c r="H363" s="24" t="str">
        <x:v>Internal project production</x:v>
      </x:c>
      <x:c r="I363" s="24" t="str">
        <x:v>2026 project timeline</x:v>
      </x:c>
      <x:c r="J363" s="24" t="str">
        <x:v>Internal project IP / authorship claim</x:v>
      </x:c>
      <x:c r="K363" s="24" t="str">
        <x:v>N/A</x:v>
      </x:c>
      <x:c r="L363" s="24" t="str">
        <x:v>Source package + repository path + hash</x:v>
      </x:c>
      <x:c r="M363" s="24" t="str">
        <x:v>74da88fea1b69fe704fc2d95e6fd66fd72ab4d6dae363697e48669190c4f1fd6</x:v>
      </x:c>
      <x:c r="N363" s="24" t="str">
        <x:v>Assets/_Project/Scripts/Application/VerticalSlicePhase1/Phase1Contracts.cs</x:v>
      </x:c>
      <x:c r="O363" s="24" t="str">
        <x:v>4fbccc5a51403d9dafe1e210f5647f64</x:v>
      </x:c>
      <x:c r="P363" s="24" t="str">
        <x:v>Sí</x:v>
      </x:c>
      <x:c r="Q363" s="24" t="str">
        <x:v>Condicionado a autoría/procedencia final</x:v>
      </x:c>
      <x:c r="R363" s="24" t="str">
        <x:v>Solo dentro del producto/build autorizado</x:v>
      </x:c>
      <x:c r="S363" s="24" t="str">
        <x:v>Crédito general del estudio; individual si aplica</x:v>
      </x:c>
      <x:c r="T363" s="24" t="str">
        <x:v>VRM Games / Blas Luis Rocha González</x:v>
      </x:c>
      <x:c r="U363" s="24" t="str">
        <x:v>CURRENT PROJECT ASSET</x:v>
      </x:c>
      <x:c r="V363" s="24" t="str">
        <x:v>CONDITIONALLY APPROVED</x:v>
      </x:c>
      <x:c r="W363" s="24" t="str">
        <x:v>Sí</x:v>
      </x:c>
      <x:c r="X363" s="24" t="str">
        <x:v>Low</x:v>
      </x:c>
      <x:c r="Y363" s="24" t="str">
        <x:v>Internal development; public candidate requires gate</x:v>
      </x:c>
      <x:c r="Z363" s="24" t="str">
        <x:v>H6 legal/content audit</x:v>
      </x:c>
      <x:c r="AA363" s="24" t="str">
        <x:v>VRM Games</x:v>
      </x:c>
      <x:c r="AB363" s="24" t="str">
        <x:v>No se detectó proveedor externo en la ruta; confirmar autoría por lote antes de release público.</x:v>
      </x:c>
    </x:row>
    <x:row r="364" ht="34" customHeight="1">
      <x:c r="A364" s="24" t="str">
        <x:v>INT-0360</x:v>
      </x:c>
      <x:c r="B364" s="24" t="str">
        <x:v>c390cd7cd940b85bc678096de9a48c28</x:v>
      </x:c>
      <x:c r="C364" s="24" t="str">
        <x:v>Phase1PlayableProcedure.cs</x:v>
      </x:c>
      <x:c r="D364" s="24" t="str">
        <x:v>Code</x:v>
      </x:c>
      <x:c r="E364" s="24" t="str">
        <x:v>Application</x:v>
      </x:c>
      <x:c r="F364" s="24" t="str">
        <x:v>VRM Games / Blas Luis Rocha González</x:v>
      </x:c>
      <x:c r="G364" s="24" t="str">
        <x:v>VRM Games / Blas Luis Rocha González</x:v>
      </x:c>
      <x:c r="H364" s="24" t="str">
        <x:v>Internal project production</x:v>
      </x:c>
      <x:c r="I364" s="24" t="str">
        <x:v>2026 project timeline</x:v>
      </x:c>
      <x:c r="J364" s="24" t="str">
        <x:v>Internal project IP / authorship claim</x:v>
      </x:c>
      <x:c r="K364" s="24" t="str">
        <x:v>N/A</x:v>
      </x:c>
      <x:c r="L364" s="24" t="str">
        <x:v>Source package + repository path + hash</x:v>
      </x:c>
      <x:c r="M364" s="24" t="str">
        <x:v>3c94e4a3ed1602c8e1c65f4c521215fa5abd1c2760f800752b3d7a40cb261719</x:v>
      </x:c>
      <x:c r="N364" s="24" t="str">
        <x:v>Assets/_Project/Scripts/Application/VerticalSlicePhase1/Phase1PlayableProcedure.cs</x:v>
      </x:c>
      <x:c r="O364" s="24" t="str">
        <x:v>c390cd7cd940b85bc678096de9a48c28</x:v>
      </x:c>
      <x:c r="P364" s="24" t="str">
        <x:v>Sí</x:v>
      </x:c>
      <x:c r="Q364" s="24" t="str">
        <x:v>Condicionado a autoría/procedencia final</x:v>
      </x:c>
      <x:c r="R364" s="24" t="str">
        <x:v>Solo dentro del producto/build autorizado</x:v>
      </x:c>
      <x:c r="S364" s="24" t="str">
        <x:v>Crédito general del estudio; individual si aplica</x:v>
      </x:c>
      <x:c r="T364" s="24" t="str">
        <x:v>VRM Games / Blas Luis Rocha González</x:v>
      </x:c>
      <x:c r="U364" s="24" t="str">
        <x:v>CURRENT PROJECT ASSET</x:v>
      </x:c>
      <x:c r="V364" s="24" t="str">
        <x:v>CONDITIONALLY APPROVED</x:v>
      </x:c>
      <x:c r="W364" s="24" t="str">
        <x:v>Sí</x:v>
      </x:c>
      <x:c r="X364" s="24" t="str">
        <x:v>Low</x:v>
      </x:c>
      <x:c r="Y364" s="24" t="str">
        <x:v>Internal development; public candidate requires gate</x:v>
      </x:c>
      <x:c r="Z364" s="24" t="str">
        <x:v>H6 legal/content audit</x:v>
      </x:c>
      <x:c r="AA364" s="24" t="str">
        <x:v>VRM Games</x:v>
      </x:c>
      <x:c r="AB364" s="24" t="str">
        <x:v>No se detectó proveedor externo en la ruta; confirmar autoría por lote antes de release público.</x:v>
      </x:c>
    </x:row>
    <x:row r="365" ht="34" customHeight="1">
      <x:c r="A365" s="24" t="str">
        <x:v>INT-0361</x:v>
      </x:c>
      <x:c r="B365" s="24" t="str">
        <x:v>3cfb91ae25653650428e1ec25888ed0a</x:v>
      </x:c>
      <x:c r="C365" s="24" t="str">
        <x:v>Phase1StateBuilder.cs</x:v>
      </x:c>
      <x:c r="D365" s="24" t="str">
        <x:v>Code</x:v>
      </x:c>
      <x:c r="E365" s="24" t="str">
        <x:v>Application</x:v>
      </x:c>
      <x:c r="F365" s="24" t="str">
        <x:v>VRM Games / Blas Luis Rocha González</x:v>
      </x:c>
      <x:c r="G365" s="24" t="str">
        <x:v>VRM Games / Blas Luis Rocha González</x:v>
      </x:c>
      <x:c r="H365" s="24" t="str">
        <x:v>Internal project production</x:v>
      </x:c>
      <x:c r="I365" s="24" t="str">
        <x:v>2026 project timeline</x:v>
      </x:c>
      <x:c r="J365" s="24" t="str">
        <x:v>Internal project IP / authorship claim</x:v>
      </x:c>
      <x:c r="K365" s="24" t="str">
        <x:v>N/A</x:v>
      </x:c>
      <x:c r="L365" s="24" t="str">
        <x:v>Source package + repository path + hash</x:v>
      </x:c>
      <x:c r="M365" s="24" t="str">
        <x:v>3a508fc3ec69525d03e5b53c6a7dc3fd041968ff62c025ecc5cea937728165db</x:v>
      </x:c>
      <x:c r="N365" s="24" t="str">
        <x:v>Assets/_Project/Scripts/Application/VerticalSlicePhase1/Phase1StateBuilder.cs</x:v>
      </x:c>
      <x:c r="O365" s="24" t="str">
        <x:v>3cfb91ae25653650428e1ec25888ed0a</x:v>
      </x:c>
      <x:c r="P365" s="24" t="str">
        <x:v>Sí</x:v>
      </x:c>
      <x:c r="Q365" s="24" t="str">
        <x:v>Condicionado a autoría/procedencia final</x:v>
      </x:c>
      <x:c r="R365" s="24" t="str">
        <x:v>Solo dentro del producto/build autorizado</x:v>
      </x:c>
      <x:c r="S365" s="24" t="str">
        <x:v>Crédito general del estudio; individual si aplica</x:v>
      </x:c>
      <x:c r="T365" s="24" t="str">
        <x:v>VRM Games / Blas Luis Rocha González</x:v>
      </x:c>
      <x:c r="U365" s="24" t="str">
        <x:v>CURRENT PROJECT ASSET</x:v>
      </x:c>
      <x:c r="V365" s="24" t="str">
        <x:v>CONDITIONALLY APPROVED</x:v>
      </x:c>
      <x:c r="W365" s="24" t="str">
        <x:v>Sí</x:v>
      </x:c>
      <x:c r="X365" s="24" t="str">
        <x:v>Low</x:v>
      </x:c>
      <x:c r="Y365" s="24" t="str">
        <x:v>Internal development; public candidate requires gate</x:v>
      </x:c>
      <x:c r="Z365" s="24" t="str">
        <x:v>H6 legal/content audit</x:v>
      </x:c>
      <x:c r="AA365" s="24" t="str">
        <x:v>VRM Games</x:v>
      </x:c>
      <x:c r="AB365" s="24" t="str">
        <x:v>No se detectó proveedor externo en la ruta; confirmar autoría por lote antes de release público.</x:v>
      </x:c>
    </x:row>
    <x:row r="366" ht="34" customHeight="1">
      <x:c r="A366" s="24" t="str">
        <x:v>INT-0362</x:v>
      </x:c>
      <x:c r="B366" s="24" t="str">
        <x:v>a5d3b0da5886d7992b73ce686ec72bdc</x:v>
      </x:c>
      <x:c r="C366" s="24" t="str">
        <x:v>Phase1VerticalSliceService.cs</x:v>
      </x:c>
      <x:c r="D366" s="24" t="str">
        <x:v>Code</x:v>
      </x:c>
      <x:c r="E366" s="24" t="str">
        <x:v>Application</x:v>
      </x:c>
      <x:c r="F366" s="24" t="str">
        <x:v>VRM Games / Blas Luis Rocha González</x:v>
      </x:c>
      <x:c r="G366" s="24" t="str">
        <x:v>VRM Games / Blas Luis Rocha González</x:v>
      </x:c>
      <x:c r="H366" s="24" t="str">
        <x:v>Internal project production</x:v>
      </x:c>
      <x:c r="I366" s="24" t="str">
        <x:v>2026 project timeline</x:v>
      </x:c>
      <x:c r="J366" s="24" t="str">
        <x:v>Internal project IP / authorship claim</x:v>
      </x:c>
      <x:c r="K366" s="24" t="str">
        <x:v>N/A</x:v>
      </x:c>
      <x:c r="L366" s="24" t="str">
        <x:v>Source package + repository path + hash</x:v>
      </x:c>
      <x:c r="M366" s="24" t="str">
        <x:v>a3f65923f937b4e205a4b3b96adac98b599cad90c795d0e54d75f818205eca15</x:v>
      </x:c>
      <x:c r="N366" s="24" t="str">
        <x:v>Assets/_Project/Scripts/Application/VerticalSlicePhase1/Phase1VerticalSliceService.cs</x:v>
      </x:c>
      <x:c r="O366" s="24" t="str">
        <x:v>a5d3b0da5886d7992b73ce686ec72bdc</x:v>
      </x:c>
      <x:c r="P366" s="24" t="str">
        <x:v>Sí</x:v>
      </x:c>
      <x:c r="Q366" s="24" t="str">
        <x:v>Condicionado a autoría/procedencia final</x:v>
      </x:c>
      <x:c r="R366" s="24" t="str">
        <x:v>Solo dentro del producto/build autorizado</x:v>
      </x:c>
      <x:c r="S366" s="24" t="str">
        <x:v>Crédito general del estudio; individual si aplica</x:v>
      </x:c>
      <x:c r="T366" s="24" t="str">
        <x:v>VRM Games / Blas Luis Rocha González</x:v>
      </x:c>
      <x:c r="U366" s="24" t="str">
        <x:v>CURRENT PROJECT ASSET</x:v>
      </x:c>
      <x:c r="V366" s="24" t="str">
        <x:v>CONDITIONALLY APPROVED</x:v>
      </x:c>
      <x:c r="W366" s="24" t="str">
        <x:v>Sí</x:v>
      </x:c>
      <x:c r="X366" s="24" t="str">
        <x:v>Low</x:v>
      </x:c>
      <x:c r="Y366" s="24" t="str">
        <x:v>Internal development; public candidate requires gate</x:v>
      </x:c>
      <x:c r="Z366" s="24" t="str">
        <x:v>H6 legal/content audit</x:v>
      </x:c>
      <x:c r="AA366" s="24" t="str">
        <x:v>VRM Games</x:v>
      </x:c>
      <x:c r="AB366" s="24" t="str">
        <x:v>No se detectó proveedor externo en la ruta; confirmar autoría por lote antes de release público.</x:v>
      </x:c>
    </x:row>
    <x:row r="367" ht="34" customHeight="1">
      <x:c r="A367" s="24" t="str">
        <x:v>INT-0363</x:v>
      </x:c>
      <x:c r="B367" s="24" t="str">
        <x:v>6adefdb0183742f6af21940a591e18c3</x:v>
      </x:c>
      <x:c r="C367" s="24" t="str">
        <x:v>AccessAnchor.cs</x:v>
      </x:c>
      <x:c r="D367" s="24" t="str">
        <x:v>Code</x:v>
      </x:c>
      <x:c r="E367" s="24" t="str">
        <x:v>Domain</x:v>
      </x:c>
      <x:c r="F367" s="24" t="str">
        <x:v>VRM Games / Blas Luis Rocha González</x:v>
      </x:c>
      <x:c r="G367" s="24" t="str">
        <x:v>VRM Games / Blas Luis Rocha González</x:v>
      </x:c>
      <x:c r="H367" s="24" t="str">
        <x:v>Internal project production</x:v>
      </x:c>
      <x:c r="I367" s="24" t="str">
        <x:v>2026 project timeline</x:v>
      </x:c>
      <x:c r="J367" s="24" t="str">
        <x:v>Internal project IP / authorship claim</x:v>
      </x:c>
      <x:c r="K367" s="24" t="str">
        <x:v>N/A</x:v>
      </x:c>
      <x:c r="L367" s="24" t="str">
        <x:v>Source package + repository path + hash</x:v>
      </x:c>
      <x:c r="M367" s="24" t="str">
        <x:v>a5aee992b9856abb8faa744f3691354cce3590b5fb261fb0bb42b00528f36f47</x:v>
      </x:c>
      <x:c r="N367" s="24" t="str">
        <x:v>Assets/_Project/Scripts/Domain/Access/AccessAnchor.cs</x:v>
      </x:c>
      <x:c r="O367" s="24" t="str">
        <x:v>6adefdb0183742f6af21940a591e18c3</x:v>
      </x:c>
      <x:c r="P367" s="24" t="str">
        <x:v>Sí</x:v>
      </x:c>
      <x:c r="Q367" s="24" t="str">
        <x:v>Condicionado a autoría/procedencia final</x:v>
      </x:c>
      <x:c r="R367" s="24" t="str">
        <x:v>Solo dentro del producto/build autorizado</x:v>
      </x:c>
      <x:c r="S367" s="24" t="str">
        <x:v>Crédito general del estudio; individual si aplica</x:v>
      </x:c>
      <x:c r="T367" s="24" t="str">
        <x:v>VRM Games / Blas Luis Rocha González</x:v>
      </x:c>
      <x:c r="U367" s="24" t="str">
        <x:v>CURRENT PROJECT ASSET</x:v>
      </x:c>
      <x:c r="V367" s="24" t="str">
        <x:v>CONDITIONALLY APPROVED</x:v>
      </x:c>
      <x:c r="W367" s="24" t="str">
        <x:v>Sí</x:v>
      </x:c>
      <x:c r="X367" s="24" t="str">
        <x:v>Low</x:v>
      </x:c>
      <x:c r="Y367" s="24" t="str">
        <x:v>Internal development; public candidate requires gate</x:v>
      </x:c>
      <x:c r="Z367" s="24" t="str">
        <x:v>H6 legal/content audit</x:v>
      </x:c>
      <x:c r="AA367" s="24" t="str">
        <x:v>VRM Games</x:v>
      </x:c>
      <x:c r="AB367" s="24" t="str">
        <x:v>No se detectó proveedor externo en la ruta; confirmar autoría por lote antes de release público.</x:v>
      </x:c>
    </x:row>
    <x:row r="368" ht="34" customHeight="1">
      <x:c r="A368" s="24" t="str">
        <x:v>INT-0364</x:v>
      </x:c>
      <x:c r="B368" s="24" t="str">
        <x:v>59eac66fbc77488096f77112fd81b3a7</x:v>
      </x:c>
      <x:c r="C368" s="24" t="str">
        <x:v>AccessAnchorId.cs</x:v>
      </x:c>
      <x:c r="D368" s="24" t="str">
        <x:v>Code</x:v>
      </x:c>
      <x:c r="E368" s="24" t="str">
        <x:v>Domain</x:v>
      </x:c>
      <x:c r="F368" s="24" t="str">
        <x:v>VRM Games / Blas Luis Rocha González</x:v>
      </x:c>
      <x:c r="G368" s="24" t="str">
        <x:v>VRM Games / Blas Luis Rocha González</x:v>
      </x:c>
      <x:c r="H368" s="24" t="str">
        <x:v>Internal project production</x:v>
      </x:c>
      <x:c r="I368" s="24" t="str">
        <x:v>2026 project timeline</x:v>
      </x:c>
      <x:c r="J368" s="24" t="str">
        <x:v>Internal project IP / authorship claim</x:v>
      </x:c>
      <x:c r="K368" s="24" t="str">
        <x:v>N/A</x:v>
      </x:c>
      <x:c r="L368" s="24" t="str">
        <x:v>Source package + repository path + hash</x:v>
      </x:c>
      <x:c r="M368" s="24" t="str">
        <x:v>675119da1f0f198a61ca644a56aa7079beb4c646e5e4031473a4a95bee4bf29b</x:v>
      </x:c>
      <x:c r="N368" s="24" t="str">
        <x:v>Assets/_Project/Scripts/Domain/Access/AccessAnchorId.cs</x:v>
      </x:c>
      <x:c r="O368" s="24" t="str">
        <x:v>59eac66fbc77488096f77112fd81b3a7</x:v>
      </x:c>
      <x:c r="P368" s="24" t="str">
        <x:v>Sí</x:v>
      </x:c>
      <x:c r="Q368" s="24" t="str">
        <x:v>Condicionado a autoría/procedencia final</x:v>
      </x:c>
      <x:c r="R368" s="24" t="str">
        <x:v>Solo dentro del producto/build autorizado</x:v>
      </x:c>
      <x:c r="S368" s="24" t="str">
        <x:v>Crédito general del estudio; individual si aplica</x:v>
      </x:c>
      <x:c r="T368" s="24" t="str">
        <x:v>VRM Games / Blas Luis Rocha González</x:v>
      </x:c>
      <x:c r="U368" s="24" t="str">
        <x:v>CURRENT PROJECT ASSET</x:v>
      </x:c>
      <x:c r="V368" s="24" t="str">
        <x:v>CONDITIONALLY APPROVED</x:v>
      </x:c>
      <x:c r="W368" s="24" t="str">
        <x:v>Sí</x:v>
      </x:c>
      <x:c r="X368" s="24" t="str">
        <x:v>Low</x:v>
      </x:c>
      <x:c r="Y368" s="24" t="str">
        <x:v>Internal development; public candidate requires gate</x:v>
      </x:c>
      <x:c r="Z368" s="24" t="str">
        <x:v>H6 legal/content audit</x:v>
      </x:c>
      <x:c r="AA368" s="24" t="str">
        <x:v>VRM Games</x:v>
      </x:c>
      <x:c r="AB368" s="24" t="str">
        <x:v>No se detectó proveedor externo en la ruta; confirmar autoría por lote antes de release público.</x:v>
      </x:c>
    </x:row>
    <x:row r="369" ht="34" customHeight="1">
      <x:c r="A369" s="24" t="str">
        <x:v>INT-0365</x:v>
      </x:c>
      <x:c r="B369" s="24" t="str">
        <x:v>57bcf23ff55b4d15afe3ec347d767ae9</x:v>
      </x:c>
      <x:c r="C369" s="24" t="str">
        <x:v>CheckoutIdsAndPolicy.cs</x:v>
      </x:c>
      <x:c r="D369" s="24" t="str">
        <x:v>Code</x:v>
      </x:c>
      <x:c r="E369" s="24" t="str">
        <x:v>Domain</x:v>
      </x:c>
      <x:c r="F369" s="24" t="str">
        <x:v>VRM Games / Blas Luis Rocha González</x:v>
      </x:c>
      <x:c r="G369" s="24" t="str">
        <x:v>VRM Games / Blas Luis Rocha González</x:v>
      </x:c>
      <x:c r="H369" s="24" t="str">
        <x:v>Internal project production</x:v>
      </x:c>
      <x:c r="I369" s="24" t="str">
        <x:v>2026 project timeline</x:v>
      </x:c>
      <x:c r="J369" s="24" t="str">
        <x:v>Internal project IP / authorship claim</x:v>
      </x:c>
      <x:c r="K369" s="24" t="str">
        <x:v>N/A</x:v>
      </x:c>
      <x:c r="L369" s="24" t="str">
        <x:v>Source package + repository path + hash</x:v>
      </x:c>
      <x:c r="M369" s="24" t="str">
        <x:v>570cbc7829bb295337bc4ab8c5e863459cfa392a3bd30ff34f4dd839c8161928</x:v>
      </x:c>
      <x:c r="N369" s="24" t="str">
        <x:v>Assets/_Project/Scripts/Domain/Checkout/CheckoutIdsAndPolicy.cs</x:v>
      </x:c>
      <x:c r="O369" s="24" t="str">
        <x:v>57bcf23ff55b4d15afe3ec347d767ae9</x:v>
      </x:c>
      <x:c r="P369" s="24" t="str">
        <x:v>Sí</x:v>
      </x:c>
      <x:c r="Q369" s="24" t="str">
        <x:v>Condicionado a autoría/procedencia final</x:v>
      </x:c>
      <x:c r="R369" s="24" t="str">
        <x:v>Solo dentro del producto/build autorizado</x:v>
      </x:c>
      <x:c r="S369" s="24" t="str">
        <x:v>Crédito general del estudio; individual si aplica</x:v>
      </x:c>
      <x:c r="T369" s="24" t="str">
        <x:v>VRM Games / Blas Luis Rocha González</x:v>
      </x:c>
      <x:c r="U369" s="24" t="str">
        <x:v>CURRENT PROJECT ASSET</x:v>
      </x:c>
      <x:c r="V369" s="24" t="str">
        <x:v>CONDITIONALLY APPROVED</x:v>
      </x:c>
      <x:c r="W369" s="24" t="str">
        <x:v>Sí</x:v>
      </x:c>
      <x:c r="X369" s="24" t="str">
        <x:v>Low</x:v>
      </x:c>
      <x:c r="Y369" s="24" t="str">
        <x:v>Internal development; public candidate requires gate</x:v>
      </x:c>
      <x:c r="Z369" s="24" t="str">
        <x:v>H6 legal/content audit</x:v>
      </x:c>
      <x:c r="AA369" s="24" t="str">
        <x:v>VRM Games</x:v>
      </x:c>
      <x:c r="AB369" s="24" t="str">
        <x:v>No se detectó proveedor externo en la ruta; confirmar autoría por lote antes de release público.</x:v>
      </x:c>
    </x:row>
    <x:row r="370" ht="34" customHeight="1">
      <x:c r="A370" s="24" t="str">
        <x:v>INT-0366</x:v>
      </x:c>
      <x:c r="B370" s="24" t="str">
        <x:v>f753ee1b166b4f1db2c2195ce24a9320</x:v>
      </x:c>
      <x:c r="C370" s="24" t="str">
        <x:v>CheckoutQueue.cs</x:v>
      </x:c>
      <x:c r="D370" s="24" t="str">
        <x:v>Code</x:v>
      </x:c>
      <x:c r="E370" s="24" t="str">
        <x:v>Domain</x:v>
      </x:c>
      <x:c r="F370" s="24" t="str">
        <x:v>VRM Games / Blas Luis Rocha González</x:v>
      </x:c>
      <x:c r="G370" s="24" t="str">
        <x:v>VRM Games / Blas Luis Rocha González</x:v>
      </x:c>
      <x:c r="H370" s="24" t="str">
        <x:v>Internal project production</x:v>
      </x:c>
      <x:c r="I370" s="24" t="str">
        <x:v>2026 project timeline</x:v>
      </x:c>
      <x:c r="J370" s="24" t="str">
        <x:v>Internal project IP / authorship claim</x:v>
      </x:c>
      <x:c r="K370" s="24" t="str">
        <x:v>N/A</x:v>
      </x:c>
      <x:c r="L370" s="24" t="str">
        <x:v>Source package + repository path + hash</x:v>
      </x:c>
      <x:c r="M370" s="24" t="str">
        <x:v>9972f93a2f835229c9dd800b63cd295bb93624577b83f7d6ce3dc9862e55ddbf</x:v>
      </x:c>
      <x:c r="N370" s="24" t="str">
        <x:v>Assets/_Project/Scripts/Domain/Checkout/CheckoutQueue.cs</x:v>
      </x:c>
      <x:c r="O370" s="24" t="str">
        <x:v>f753ee1b166b4f1db2c2195ce24a9320</x:v>
      </x:c>
      <x:c r="P370" s="24" t="str">
        <x:v>Sí</x:v>
      </x:c>
      <x:c r="Q370" s="24" t="str">
        <x:v>Condicionado a autoría/procedencia final</x:v>
      </x:c>
      <x:c r="R370" s="24" t="str">
        <x:v>Solo dentro del producto/build autorizado</x:v>
      </x:c>
      <x:c r="S370" s="24" t="str">
        <x:v>Crédito general del estudio; individual si aplica</x:v>
      </x:c>
      <x:c r="T370" s="24" t="str">
        <x:v>VRM Games / Blas Luis Rocha González</x:v>
      </x:c>
      <x:c r="U370" s="24" t="str">
        <x:v>CURRENT PROJECT ASSET</x:v>
      </x:c>
      <x:c r="V370" s="24" t="str">
        <x:v>CONDITIONALLY APPROVED</x:v>
      </x:c>
      <x:c r="W370" s="24" t="str">
        <x:v>Sí</x:v>
      </x:c>
      <x:c r="X370" s="24" t="str">
        <x:v>Low</x:v>
      </x:c>
      <x:c r="Y370" s="24" t="str">
        <x:v>Internal development; public candidate requires gate</x:v>
      </x:c>
      <x:c r="Z370" s="24" t="str">
        <x:v>H6 legal/content audit</x:v>
      </x:c>
      <x:c r="AA370" s="24" t="str">
        <x:v>VRM Games</x:v>
      </x:c>
      <x:c r="AB370" s="24" t="str">
        <x:v>No se detectó proveedor externo en la ruta; confirmar autoría por lote antes de release público.</x:v>
      </x:c>
    </x:row>
    <x:row r="371" ht="34" customHeight="1">
      <x:c r="A371" s="24" t="str">
        <x:v>INT-0367</x:v>
      </x:c>
      <x:c r="B371" s="24" t="str">
        <x:v>55440bcded7c4cf7a572100e4015c5e3</x:v>
      </x:c>
      <x:c r="C371" s="24" t="str">
        <x:v>CheckoutStation.cs</x:v>
      </x:c>
      <x:c r="D371" s="24" t="str">
        <x:v>Code</x:v>
      </x:c>
      <x:c r="E371" s="24" t="str">
        <x:v>Domain</x:v>
      </x:c>
      <x:c r="F371" s="24" t="str">
        <x:v>VRM Games / Blas Luis Rocha González</x:v>
      </x:c>
      <x:c r="G371" s="24" t="str">
        <x:v>VRM Games / Blas Luis Rocha González</x:v>
      </x:c>
      <x:c r="H371" s="24" t="str">
        <x:v>Internal project production</x:v>
      </x:c>
      <x:c r="I371" s="24" t="str">
        <x:v>2026 project timeline</x:v>
      </x:c>
      <x:c r="J371" s="24" t="str">
        <x:v>Internal project IP / authorship claim</x:v>
      </x:c>
      <x:c r="K371" s="24" t="str">
        <x:v>N/A</x:v>
      </x:c>
      <x:c r="L371" s="24" t="str">
        <x:v>Source package + repository path + hash</x:v>
      </x:c>
      <x:c r="M371" s="24" t="str">
        <x:v>bd8413ea5903e7580101492a481cfc54813a5eba3c437325b9a9e3e6986e1953</x:v>
      </x:c>
      <x:c r="N371" s="24" t="str">
        <x:v>Assets/_Project/Scripts/Domain/Checkout/CheckoutStation.cs</x:v>
      </x:c>
      <x:c r="O371" s="24" t="str">
        <x:v>55440bcded7c4cf7a572100e4015c5e3</x:v>
      </x:c>
      <x:c r="P371" s="24" t="str">
        <x:v>Sí</x:v>
      </x:c>
      <x:c r="Q371" s="24" t="str">
        <x:v>Condicionado a autoría/procedencia final</x:v>
      </x:c>
      <x:c r="R371" s="24" t="str">
        <x:v>Solo dentro del producto/build autorizado</x:v>
      </x:c>
      <x:c r="S371" s="24" t="str">
        <x:v>Crédito general del estudio; individual si aplica</x:v>
      </x:c>
      <x:c r="T371" s="24" t="str">
        <x:v>VRM Games / Blas Luis Rocha González</x:v>
      </x:c>
      <x:c r="U371" s="24" t="str">
        <x:v>CURRENT PROJECT ASSET</x:v>
      </x:c>
      <x:c r="V371" s="24" t="str">
        <x:v>CONDITIONALLY APPROVED</x:v>
      </x:c>
      <x:c r="W371" s="24" t="str">
        <x:v>Sí</x:v>
      </x:c>
      <x:c r="X371" s="24" t="str">
        <x:v>Low</x:v>
      </x:c>
      <x:c r="Y371" s="24" t="str">
        <x:v>Internal development; public candidate requires gate</x:v>
      </x:c>
      <x:c r="Z371" s="24" t="str">
        <x:v>H6 legal/content audit</x:v>
      </x:c>
      <x:c r="AA371" s="24" t="str">
        <x:v>VRM Games</x:v>
      </x:c>
      <x:c r="AB371" s="24" t="str">
        <x:v>No se detectó proveedor externo en la ruta; confirmar autoría por lote antes de release público.</x:v>
      </x:c>
    </x:row>
    <x:row r="372" ht="34" customHeight="1">
      <x:c r="A372" s="24" t="str">
        <x:v>INT-0368</x:v>
      </x:c>
      <x:c r="B372" s="24" t="str">
        <x:v>a2fb5222570b4207ac0bbe64988b6dcb</x:v>
      </x:c>
      <x:c r="C372" s="24" t="str">
        <x:v>CheckoutTransaction.cs</x:v>
      </x:c>
      <x:c r="D372" s="24" t="str">
        <x:v>Code</x:v>
      </x:c>
      <x:c r="E372" s="24" t="str">
        <x:v>Domain</x:v>
      </x:c>
      <x:c r="F372" s="24" t="str">
        <x:v>VRM Games / Blas Luis Rocha González</x:v>
      </x:c>
      <x:c r="G372" s="24" t="str">
        <x:v>VRM Games / Blas Luis Rocha González</x:v>
      </x:c>
      <x:c r="H372" s="24" t="str">
        <x:v>Internal project production</x:v>
      </x:c>
      <x:c r="I372" s="24" t="str">
        <x:v>2026 project timeline</x:v>
      </x:c>
      <x:c r="J372" s="24" t="str">
        <x:v>Internal project IP / authorship claim</x:v>
      </x:c>
      <x:c r="K372" s="24" t="str">
        <x:v>N/A</x:v>
      </x:c>
      <x:c r="L372" s="24" t="str">
        <x:v>Source package + repository path + hash</x:v>
      </x:c>
      <x:c r="M372" s="24" t="str">
        <x:v>8430cb9a02f8efc7b0a154211606b27ce49fbbcf7d9aa46240ef53edd9bc513a</x:v>
      </x:c>
      <x:c r="N372" s="24" t="str">
        <x:v>Assets/_Project/Scripts/Domain/Checkout/CheckoutTransaction.cs</x:v>
      </x:c>
      <x:c r="O372" s="24" t="str">
        <x:v>a2fb5222570b4207ac0bbe64988b6dcb</x:v>
      </x:c>
      <x:c r="P372" s="24" t="str">
        <x:v>Sí</x:v>
      </x:c>
      <x:c r="Q372" s="24" t="str">
        <x:v>Condicionado a autoría/procedencia final</x:v>
      </x:c>
      <x:c r="R372" s="24" t="str">
        <x:v>Solo dentro del producto/build autorizado</x:v>
      </x:c>
      <x:c r="S372" s="24" t="str">
        <x:v>Crédito general del estudio; individual si aplica</x:v>
      </x:c>
      <x:c r="T372" s="24" t="str">
        <x:v>VRM Games / Blas Luis Rocha González</x:v>
      </x:c>
      <x:c r="U372" s="24" t="str">
        <x:v>CURRENT PROJECT ASSET</x:v>
      </x:c>
      <x:c r="V372" s="24" t="str">
        <x:v>CONDITIONALLY APPROVED</x:v>
      </x:c>
      <x:c r="W372" s="24" t="str">
        <x:v>Sí</x:v>
      </x:c>
      <x:c r="X372" s="24" t="str">
        <x:v>Low</x:v>
      </x:c>
      <x:c r="Y372" s="24" t="str">
        <x:v>Internal development; public candidate requires gate</x:v>
      </x:c>
      <x:c r="Z372" s="24" t="str">
        <x:v>H6 legal/content audit</x:v>
      </x:c>
      <x:c r="AA372" s="24" t="str">
        <x:v>VRM Games</x:v>
      </x:c>
      <x:c r="AB372" s="24" t="str">
        <x:v>No se detectó proveedor externo en la ruta; confirmar autoría por lote antes de release público.</x:v>
      </x:c>
    </x:row>
    <x:row r="373" ht="34" customHeight="1">
      <x:c r="A373" s="24" t="str">
        <x:v>INT-0369</x:v>
      </x:c>
      <x:c r="B373" s="24" t="str">
        <x:v>893336148eb64862a1056ffe8cb2b935</x:v>
      </x:c>
      <x:c r="C373" s="24" t="str">
        <x:v>CustomerArrivalClock.cs</x:v>
      </x:c>
      <x:c r="D373" s="24" t="str">
        <x:v>Code</x:v>
      </x:c>
      <x:c r="E373" s="24" t="str">
        <x:v>Domain</x:v>
      </x:c>
      <x:c r="F373" s="24" t="str">
        <x:v>VRM Games / Blas Luis Rocha González</x:v>
      </x:c>
      <x:c r="G373" s="24" t="str">
        <x:v>VRM Games / Blas Luis Rocha González</x:v>
      </x:c>
      <x:c r="H373" s="24" t="str">
        <x:v>Internal project production</x:v>
      </x:c>
      <x:c r="I373" s="24" t="str">
        <x:v>2026 project timeline</x:v>
      </x:c>
      <x:c r="J373" s="24" t="str">
        <x:v>Internal project IP / authorship claim</x:v>
      </x:c>
      <x:c r="K373" s="24" t="str">
        <x:v>N/A</x:v>
      </x:c>
      <x:c r="L373" s="24" t="str">
        <x:v>Source package + repository path + hash</x:v>
      </x:c>
      <x:c r="M373" s="24" t="str">
        <x:v>f44b396461a2fcfe19a650be95149124cab08b84cb599007965b994ecfadd4a1</x:v>
      </x:c>
      <x:c r="N373" s="24" t="str">
        <x:v>Assets/_Project/Scripts/Domain/Customers/CustomerArrivalClock.cs</x:v>
      </x:c>
      <x:c r="O373" s="24" t="str">
        <x:v>893336148eb64862a1056ffe8cb2b935</x:v>
      </x:c>
      <x:c r="P373" s="24" t="str">
        <x:v>Sí</x:v>
      </x:c>
      <x:c r="Q373" s="24" t="str">
        <x:v>Condicionado a autoría/procedencia final</x:v>
      </x:c>
      <x:c r="R373" s="24" t="str">
        <x:v>Solo dentro del producto/build autorizado</x:v>
      </x:c>
      <x:c r="S373" s="24" t="str">
        <x:v>Crédito general del estudio; individual si aplica</x:v>
      </x:c>
      <x:c r="T373" s="24" t="str">
        <x:v>VRM Games / Blas Luis Rocha González</x:v>
      </x:c>
      <x:c r="U373" s="24" t="str">
        <x:v>CURRENT PROJECT ASSET</x:v>
      </x:c>
      <x:c r="V373" s="24" t="str">
        <x:v>CONDITIONALLY APPROVED</x:v>
      </x:c>
      <x:c r="W373" s="24" t="str">
        <x:v>Sí</x:v>
      </x:c>
      <x:c r="X373" s="24" t="str">
        <x:v>Low</x:v>
      </x:c>
      <x:c r="Y373" s="24" t="str">
        <x:v>Internal development; public candidate requires gate</x:v>
      </x:c>
      <x:c r="Z373" s="24" t="str">
        <x:v>H6 legal/content audit</x:v>
      </x:c>
      <x:c r="AA373" s="24" t="str">
        <x:v>VRM Games</x:v>
      </x:c>
      <x:c r="AB373" s="24" t="str">
        <x:v>No se detectó proveedor externo en la ruta; confirmar autoría por lote antes de release público.</x:v>
      </x:c>
    </x:row>
    <x:row r="374" ht="34" customHeight="1">
      <x:c r="A374" s="24" t="str">
        <x:v>INT-0370</x:v>
      </x:c>
      <x:c r="B374" s="24" t="str">
        <x:v>9577c2abce31464fba52f114db9dddb1</x:v>
      </x:c>
      <x:c r="C374" s="24" t="str">
        <x:v>CustomerInstance.cs</x:v>
      </x:c>
      <x:c r="D374" s="24" t="str">
        <x:v>Code</x:v>
      </x:c>
      <x:c r="E374" s="24" t="str">
        <x:v>Domain</x:v>
      </x:c>
      <x:c r="F374" s="24" t="str">
        <x:v>VRM Games / Blas Luis Rocha González</x:v>
      </x:c>
      <x:c r="G374" s="24" t="str">
        <x:v>VRM Games / Blas Luis Rocha González</x:v>
      </x:c>
      <x:c r="H374" s="24" t="str">
        <x:v>Internal project production</x:v>
      </x:c>
      <x:c r="I374" s="24" t="str">
        <x:v>2026 project timeline</x:v>
      </x:c>
      <x:c r="J374" s="24" t="str">
        <x:v>Internal project IP / authorship claim</x:v>
      </x:c>
      <x:c r="K374" s="24" t="str">
        <x:v>N/A</x:v>
      </x:c>
      <x:c r="L374" s="24" t="str">
        <x:v>Source package + repository path + hash</x:v>
      </x:c>
      <x:c r="M374" s="24" t="str">
        <x:v>38589ecc07de9d8a75f164cbecbec4afea3d7b065c4d8ff4acbb67bb7913fb45</x:v>
      </x:c>
      <x:c r="N374" s="24" t="str">
        <x:v>Assets/_Project/Scripts/Domain/Customers/CustomerInstance.cs</x:v>
      </x:c>
      <x:c r="O374" s="24" t="str">
        <x:v>9577c2abce31464fba52f114db9dddb1</x:v>
      </x:c>
      <x:c r="P374" s="24" t="str">
        <x:v>Sí</x:v>
      </x:c>
      <x:c r="Q374" s="24" t="str">
        <x:v>Condicionado a autoría/procedencia final</x:v>
      </x:c>
      <x:c r="R374" s="24" t="str">
        <x:v>Solo dentro del producto/build autorizado</x:v>
      </x:c>
      <x:c r="S374" s="24" t="str">
        <x:v>Crédito general del estudio; individual si aplica</x:v>
      </x:c>
      <x:c r="T374" s="24" t="str">
        <x:v>VRM Games / Blas Luis Rocha González</x:v>
      </x:c>
      <x:c r="U374" s="24" t="str">
        <x:v>CURRENT PROJECT ASSET</x:v>
      </x:c>
      <x:c r="V374" s="24" t="str">
        <x:v>CONDITIONALLY APPROVED</x:v>
      </x:c>
      <x:c r="W374" s="24" t="str">
        <x:v>Sí</x:v>
      </x:c>
      <x:c r="X374" s="24" t="str">
        <x:v>Low</x:v>
      </x:c>
      <x:c r="Y374" s="24" t="str">
        <x:v>Internal development; public candidate requires gate</x:v>
      </x:c>
      <x:c r="Z374" s="24" t="str">
        <x:v>H6 legal/content audit</x:v>
      </x:c>
      <x:c r="AA374" s="24" t="str">
        <x:v>VRM Games</x:v>
      </x:c>
      <x:c r="AB374" s="24" t="str">
        <x:v>No se detectó proveedor externo en la ruta; confirmar autoría por lote antes de release público.</x:v>
      </x:c>
    </x:row>
    <x:row r="375" ht="34" customHeight="1">
      <x:c r="A375" s="24" t="str">
        <x:v>INT-0371</x:v>
      </x:c>
      <x:c r="B375" s="24" t="str">
        <x:v>b27c1a48b0184194bcbc07b6dd336dc6</x:v>
      </x:c>
      <x:c r="C375" s="24" t="str">
        <x:v>CustomerInstanceId.cs</x:v>
      </x:c>
      <x:c r="D375" s="24" t="str">
        <x:v>Code</x:v>
      </x:c>
      <x:c r="E375" s="24" t="str">
        <x:v>Domain</x:v>
      </x:c>
      <x:c r="F375" s="24" t="str">
        <x:v>VRM Games / Blas Luis Rocha González</x:v>
      </x:c>
      <x:c r="G375" s="24" t="str">
        <x:v>VRM Games / Blas Luis Rocha González</x:v>
      </x:c>
      <x:c r="H375" s="24" t="str">
        <x:v>Internal project production</x:v>
      </x:c>
      <x:c r="I375" s="24" t="str">
        <x:v>2026 project timeline</x:v>
      </x:c>
      <x:c r="J375" s="24" t="str">
        <x:v>Internal project IP / authorship claim</x:v>
      </x:c>
      <x:c r="K375" s="24" t="str">
        <x:v>N/A</x:v>
      </x:c>
      <x:c r="L375" s="24" t="str">
        <x:v>Source package + repository path + hash</x:v>
      </x:c>
      <x:c r="M375" s="24" t="str">
        <x:v>b444dbc7e0196ee6558c349209fa9f2d4471d0c75acc1d6380e20cfd4ed98d14</x:v>
      </x:c>
      <x:c r="N375" s="24" t="str">
        <x:v>Assets/_Project/Scripts/Domain/Customers/CustomerInstanceId.cs</x:v>
      </x:c>
      <x:c r="O375" s="24" t="str">
        <x:v>b27c1a48b0184194bcbc07b6dd336dc6</x:v>
      </x:c>
      <x:c r="P375" s="24" t="str">
        <x:v>Sí</x:v>
      </x:c>
      <x:c r="Q375" s="24" t="str">
        <x:v>Condicionado a autoría/procedencia final</x:v>
      </x:c>
      <x:c r="R375" s="24" t="str">
        <x:v>Solo dentro del producto/build autorizado</x:v>
      </x:c>
      <x:c r="S375" s="24" t="str">
        <x:v>Crédito general del estudio; individual si aplica</x:v>
      </x:c>
      <x:c r="T375" s="24" t="str">
        <x:v>VRM Games / Blas Luis Rocha González</x:v>
      </x:c>
      <x:c r="U375" s="24" t="str">
        <x:v>CURRENT PROJECT ASSET</x:v>
      </x:c>
      <x:c r="V375" s="24" t="str">
        <x:v>CONDITIONALLY APPROVED</x:v>
      </x:c>
      <x:c r="W375" s="24" t="str">
        <x:v>Sí</x:v>
      </x:c>
      <x:c r="X375" s="24" t="str">
        <x:v>Low</x:v>
      </x:c>
      <x:c r="Y375" s="24" t="str">
        <x:v>Internal development; public candidate requires gate</x:v>
      </x:c>
      <x:c r="Z375" s="24" t="str">
        <x:v>H6 legal/content audit</x:v>
      </x:c>
      <x:c r="AA375" s="24" t="str">
        <x:v>VRM Games</x:v>
      </x:c>
      <x:c r="AB375" s="24" t="str">
        <x:v>No se detectó proveedor externo en la ruta; confirmar autoría por lote antes de release público.</x:v>
      </x:c>
    </x:row>
    <x:row r="376" ht="34" customHeight="1">
      <x:c r="A376" s="24" t="str">
        <x:v>INT-0372</x:v>
      </x:c>
      <x:c r="B376" s="24" t="str">
        <x:v>ba737bd2aaaa4a099286a4e024da3bba</x:v>
      </x:c>
      <x:c r="C376" s="24" t="str">
        <x:v>CustomerInstanceRegistry.cs</x:v>
      </x:c>
      <x:c r="D376" s="24" t="str">
        <x:v>Code</x:v>
      </x:c>
      <x:c r="E376" s="24" t="str">
        <x:v>Domain</x:v>
      </x:c>
      <x:c r="F376" s="24" t="str">
        <x:v>VRM Games / Blas Luis Rocha González</x:v>
      </x:c>
      <x:c r="G376" s="24" t="str">
        <x:v>VRM Games / Blas Luis Rocha González</x:v>
      </x:c>
      <x:c r="H376" s="24" t="str">
        <x:v>Internal project production</x:v>
      </x:c>
      <x:c r="I376" s="24" t="str">
        <x:v>2026 project timeline</x:v>
      </x:c>
      <x:c r="J376" s="24" t="str">
        <x:v>Internal project IP / authorship claim</x:v>
      </x:c>
      <x:c r="K376" s="24" t="str">
        <x:v>N/A</x:v>
      </x:c>
      <x:c r="L376" s="24" t="str">
        <x:v>Source package + repository path + hash</x:v>
      </x:c>
      <x:c r="M376" s="24" t="str">
        <x:v>3ae9160260b8fdad3fd42f8884e3838d1110b5f0bdc71d5809c83367aebee6fd</x:v>
      </x:c>
      <x:c r="N376" s="24" t="str">
        <x:v>Assets/_Project/Scripts/Domain/Customers/CustomerInstanceRegistry.cs</x:v>
      </x:c>
      <x:c r="O376" s="24" t="str">
        <x:v>ba737bd2aaaa4a099286a4e024da3bba</x:v>
      </x:c>
      <x:c r="P376" s="24" t="str">
        <x:v>Sí</x:v>
      </x:c>
      <x:c r="Q376" s="24" t="str">
        <x:v>Condicionado a autoría/procedencia final</x:v>
      </x:c>
      <x:c r="R376" s="24" t="str">
        <x:v>Solo dentro del producto/build autorizado</x:v>
      </x:c>
      <x:c r="S376" s="24" t="str">
        <x:v>Crédito general del estudio; individual si aplica</x:v>
      </x:c>
      <x:c r="T376" s="24" t="str">
        <x:v>VRM Games / Blas Luis Rocha González</x:v>
      </x:c>
      <x:c r="U376" s="24" t="str">
        <x:v>CURRENT PROJECT ASSET</x:v>
      </x:c>
      <x:c r="V376" s="24" t="str">
        <x:v>CONDITIONALLY APPROVED</x:v>
      </x:c>
      <x:c r="W376" s="24" t="str">
        <x:v>Sí</x:v>
      </x:c>
      <x:c r="X376" s="24" t="str">
        <x:v>Low</x:v>
      </x:c>
      <x:c r="Y376" s="24" t="str">
        <x:v>Internal development; public candidate requires gate</x:v>
      </x:c>
      <x:c r="Z376" s="24" t="str">
        <x:v>H6 legal/content audit</x:v>
      </x:c>
      <x:c r="AA376" s="24" t="str">
        <x:v>VRM Games</x:v>
      </x:c>
      <x:c r="AB376" s="24" t="str">
        <x:v>No se detectó proveedor externo en la ruta; confirmar autoría por lote antes de release público.</x:v>
      </x:c>
    </x:row>
    <x:row r="377" ht="34" customHeight="1">
      <x:c r="A377" s="24" t="str">
        <x:v>INT-0373</x:v>
      </x:c>
      <x:c r="B377" s="24" t="str">
        <x:v>6e537767a65e4bd4a361f83647ccefd3</x:v>
      </x:c>
      <x:c r="C377" s="24" t="str">
        <x:v>CustomerNavigationPlan.cs</x:v>
      </x:c>
      <x:c r="D377" s="24" t="str">
        <x:v>Code</x:v>
      </x:c>
      <x:c r="E377" s="24" t="str">
        <x:v>Domain</x:v>
      </x:c>
      <x:c r="F377" s="24" t="str">
        <x:v>VRM Games / Blas Luis Rocha González</x:v>
      </x:c>
      <x:c r="G377" s="24" t="str">
        <x:v>VRM Games / Blas Luis Rocha González</x:v>
      </x:c>
      <x:c r="H377" s="24" t="str">
        <x:v>Internal project production</x:v>
      </x:c>
      <x:c r="I377" s="24" t="str">
        <x:v>2026 project timeline</x:v>
      </x:c>
      <x:c r="J377" s="24" t="str">
        <x:v>Internal project IP / authorship claim</x:v>
      </x:c>
      <x:c r="K377" s="24" t="str">
        <x:v>N/A</x:v>
      </x:c>
      <x:c r="L377" s="24" t="str">
        <x:v>Source package + repository path + hash</x:v>
      </x:c>
      <x:c r="M377" s="24" t="str">
        <x:v>ebcdb0a741127831467fc242f49ab4d2aed42f120e1a6655a1b5554682cfbcec</x:v>
      </x:c>
      <x:c r="N377" s="24" t="str">
        <x:v>Assets/_Project/Scripts/Domain/Customers/CustomerNavigationPlan.cs</x:v>
      </x:c>
      <x:c r="O377" s="24" t="str">
        <x:v>6e537767a65e4bd4a361f83647ccefd3</x:v>
      </x:c>
      <x:c r="P377" s="24" t="str">
        <x:v>Sí</x:v>
      </x:c>
      <x:c r="Q377" s="24" t="str">
        <x:v>Condicionado a autoría/procedencia final</x:v>
      </x:c>
      <x:c r="R377" s="24" t="str">
        <x:v>Solo dentro del producto/build autorizado</x:v>
      </x:c>
      <x:c r="S377" s="24" t="str">
        <x:v>Crédito general del estudio; individual si aplica</x:v>
      </x:c>
      <x:c r="T377" s="24" t="str">
        <x:v>VRM Games / Blas Luis Rocha González</x:v>
      </x:c>
      <x:c r="U377" s="24" t="str">
        <x:v>CURRENT PROJECT ASSET</x:v>
      </x:c>
      <x:c r="V377" s="24" t="str">
        <x:v>CONDITIONALLY APPROVED</x:v>
      </x:c>
      <x:c r="W377" s="24" t="str">
        <x:v>Sí</x:v>
      </x:c>
      <x:c r="X377" s="24" t="str">
        <x:v>Low</x:v>
      </x:c>
      <x:c r="Y377" s="24" t="str">
        <x:v>Internal development; public candidate requires gate</x:v>
      </x:c>
      <x:c r="Z377" s="24" t="str">
        <x:v>H6 legal/content audit</x:v>
      </x:c>
      <x:c r="AA377" s="24" t="str">
        <x:v>VRM Games</x:v>
      </x:c>
      <x:c r="AB377" s="24" t="str">
        <x:v>No se detectó proveedor externo en la ruta; confirmar autoría por lote antes de release público.</x:v>
      </x:c>
    </x:row>
    <x:row r="378" ht="34" customHeight="1">
      <x:c r="A378" s="24" t="str">
        <x:v>INT-0374</x:v>
      </x:c>
      <x:c r="B378" s="24" t="str">
        <x:v>b6f2ad5371814b78b5f4034e4c5cd045</x:v>
      </x:c>
      <x:c r="C378" s="24" t="str">
        <x:v>CustomerNavigationPointId.cs</x:v>
      </x:c>
      <x:c r="D378" s="24" t="str">
        <x:v>Code</x:v>
      </x:c>
      <x:c r="E378" s="24" t="str">
        <x:v>Domain</x:v>
      </x:c>
      <x:c r="F378" s="24" t="str">
        <x:v>VRM Games / Blas Luis Rocha González</x:v>
      </x:c>
      <x:c r="G378" s="24" t="str">
        <x:v>VRM Games / Blas Luis Rocha González</x:v>
      </x:c>
      <x:c r="H378" s="24" t="str">
        <x:v>Internal project production</x:v>
      </x:c>
      <x:c r="I378" s="24" t="str">
        <x:v>2026 project timeline</x:v>
      </x:c>
      <x:c r="J378" s="24" t="str">
        <x:v>Internal project IP / authorship claim</x:v>
      </x:c>
      <x:c r="K378" s="24" t="str">
        <x:v>N/A</x:v>
      </x:c>
      <x:c r="L378" s="24" t="str">
        <x:v>Source package + repository path + hash</x:v>
      </x:c>
      <x:c r="M378" s="24" t="str">
        <x:v>93ff97f03b4fcf730e354e2ad18b51f056f6239bb3954244e51817ee1d4358e3</x:v>
      </x:c>
      <x:c r="N378" s="24" t="str">
        <x:v>Assets/_Project/Scripts/Domain/Customers/CustomerNavigationPointId.cs</x:v>
      </x:c>
      <x:c r="O378" s="24" t="str">
        <x:v>b6f2ad5371814b78b5f4034e4c5cd045</x:v>
      </x:c>
      <x:c r="P378" s="24" t="str">
        <x:v>Sí</x:v>
      </x:c>
      <x:c r="Q378" s="24" t="str">
        <x:v>Condicionado a autoría/procedencia final</x:v>
      </x:c>
      <x:c r="R378" s="24" t="str">
        <x:v>Solo dentro del producto/build autorizado</x:v>
      </x:c>
      <x:c r="S378" s="24" t="str">
        <x:v>Crédito general del estudio; individual si aplica</x:v>
      </x:c>
      <x:c r="T378" s="24" t="str">
        <x:v>VRM Games / Blas Luis Rocha González</x:v>
      </x:c>
      <x:c r="U378" s="24" t="str">
        <x:v>CURRENT PROJECT ASSET</x:v>
      </x:c>
      <x:c r="V378" s="24" t="str">
        <x:v>CONDITIONALLY APPROVED</x:v>
      </x:c>
      <x:c r="W378" s="24" t="str">
        <x:v>Sí</x:v>
      </x:c>
      <x:c r="X378" s="24" t="str">
        <x:v>Low</x:v>
      </x:c>
      <x:c r="Y378" s="24" t="str">
        <x:v>Internal development; public candidate requires gate</x:v>
      </x:c>
      <x:c r="Z378" s="24" t="str">
        <x:v>H6 legal/content audit</x:v>
      </x:c>
      <x:c r="AA378" s="24" t="str">
        <x:v>VRM Games</x:v>
      </x:c>
      <x:c r="AB378" s="24" t="str">
        <x:v>No se detectó proveedor externo en la ruta; confirmar autoría por lote antes de release público.</x:v>
      </x:c>
    </x:row>
    <x:row r="379" ht="34" customHeight="1">
      <x:c r="A379" s="24" t="str">
        <x:v>INT-0375</x:v>
      </x:c>
      <x:c r="B379" s="24" t="str">
        <x:v>c03a84fe86074596ae9f50f8003f54c0</x:v>
      </x:c>
      <x:c r="C379" s="24" t="str">
        <x:v>CustomerNavigationTarget.cs</x:v>
      </x:c>
      <x:c r="D379" s="24" t="str">
        <x:v>Code</x:v>
      </x:c>
      <x:c r="E379" s="24" t="str">
        <x:v>Domain</x:v>
      </x:c>
      <x:c r="F379" s="24" t="str">
        <x:v>VRM Games / Blas Luis Rocha González</x:v>
      </x:c>
      <x:c r="G379" s="24" t="str">
        <x:v>VRM Games / Blas Luis Rocha González</x:v>
      </x:c>
      <x:c r="H379" s="24" t="str">
        <x:v>Internal project production</x:v>
      </x:c>
      <x:c r="I379" s="24" t="str">
        <x:v>2026 project timeline</x:v>
      </x:c>
      <x:c r="J379" s="24" t="str">
        <x:v>Internal project IP / authorship claim</x:v>
      </x:c>
      <x:c r="K379" s="24" t="str">
        <x:v>N/A</x:v>
      </x:c>
      <x:c r="L379" s="24" t="str">
        <x:v>Source package + repository path + hash</x:v>
      </x:c>
      <x:c r="M379" s="24" t="str">
        <x:v>8e2cd0b71bf83194df9013bab593561193d046ff7cf0ad7d4efdae673b30f2e8</x:v>
      </x:c>
      <x:c r="N379" s="24" t="str">
        <x:v>Assets/_Project/Scripts/Domain/Customers/CustomerNavigationTarget.cs</x:v>
      </x:c>
      <x:c r="O379" s="24" t="str">
        <x:v>c03a84fe86074596ae9f50f8003f54c0</x:v>
      </x:c>
      <x:c r="P379" s="24" t="str">
        <x:v>Sí</x:v>
      </x:c>
      <x:c r="Q379" s="24" t="str">
        <x:v>Condicionado a autoría/procedencia final</x:v>
      </x:c>
      <x:c r="R379" s="24" t="str">
        <x:v>Solo dentro del producto/build autorizado</x:v>
      </x:c>
      <x:c r="S379" s="24" t="str">
        <x:v>Crédito general del estudio; individual si aplica</x:v>
      </x:c>
      <x:c r="T379" s="24" t="str">
        <x:v>VRM Games / Blas Luis Rocha González</x:v>
      </x:c>
      <x:c r="U379" s="24" t="str">
        <x:v>CURRENT PROJECT ASSET</x:v>
      </x:c>
      <x:c r="V379" s="24" t="str">
        <x:v>CONDITIONALLY APPROVED</x:v>
      </x:c>
      <x:c r="W379" s="24" t="str">
        <x:v>Sí</x:v>
      </x:c>
      <x:c r="X379" s="24" t="str">
        <x:v>Low</x:v>
      </x:c>
      <x:c r="Y379" s="24" t="str">
        <x:v>Internal development; public candidate requires gate</x:v>
      </x:c>
      <x:c r="Z379" s="24" t="str">
        <x:v>H6 legal/content audit</x:v>
      </x:c>
      <x:c r="AA379" s="24" t="str">
        <x:v>VRM Games</x:v>
      </x:c>
      <x:c r="AB379" s="24" t="str">
        <x:v>No se detectó proveedor externo en la ruta; confirmar autoría por lote antes de release público.</x:v>
      </x:c>
    </x:row>
    <x:row r="380" ht="34" customHeight="1">
      <x:c r="A380" s="24" t="str">
        <x:v>INT-0376</x:v>
      </x:c>
      <x:c r="B380" s="24" t="str">
        <x:v>f10ba3d2b3c84367b57d04604e3b0ad6</x:v>
      </x:c>
      <x:c r="C380" s="24" t="str">
        <x:v>CustomerNavigationTargetType.cs</x:v>
      </x:c>
      <x:c r="D380" s="24" t="str">
        <x:v>Code</x:v>
      </x:c>
      <x:c r="E380" s="24" t="str">
        <x:v>Domain</x:v>
      </x:c>
      <x:c r="F380" s="24" t="str">
        <x:v>VRM Games / Blas Luis Rocha González</x:v>
      </x:c>
      <x:c r="G380" s="24" t="str">
        <x:v>VRM Games / Blas Luis Rocha González</x:v>
      </x:c>
      <x:c r="H380" s="24" t="str">
        <x:v>Internal project production</x:v>
      </x:c>
      <x:c r="I380" s="24" t="str">
        <x:v>2026 project timeline</x:v>
      </x:c>
      <x:c r="J380" s="24" t="str">
        <x:v>Internal project IP / authorship claim</x:v>
      </x:c>
      <x:c r="K380" s="24" t="str">
        <x:v>N/A</x:v>
      </x:c>
      <x:c r="L380" s="24" t="str">
        <x:v>Source package + repository path + hash</x:v>
      </x:c>
      <x:c r="M380" s="24" t="str">
        <x:v>3a621536acd5a4411e7145caa29293d56a4d68636173eaf74425b053ac7081da</x:v>
      </x:c>
      <x:c r="N380" s="24" t="str">
        <x:v>Assets/_Project/Scripts/Domain/Customers/CustomerNavigationTargetType.cs</x:v>
      </x:c>
      <x:c r="O380" s="24" t="str">
        <x:v>f10ba3d2b3c84367b57d04604e3b0ad6</x:v>
      </x:c>
      <x:c r="P380" s="24" t="str">
        <x:v>Sí</x:v>
      </x:c>
      <x:c r="Q380" s="24" t="str">
        <x:v>Condicionado a autoría/procedencia final</x:v>
      </x:c>
      <x:c r="R380" s="24" t="str">
        <x:v>Solo dentro del producto/build autorizado</x:v>
      </x:c>
      <x:c r="S380" s="24" t="str">
        <x:v>Crédito general del estudio; individual si aplica</x:v>
      </x:c>
      <x:c r="T380" s="24" t="str">
        <x:v>VRM Games / Blas Luis Rocha González</x:v>
      </x:c>
      <x:c r="U380" s="24" t="str">
        <x:v>CURRENT PROJECT ASSET</x:v>
      </x:c>
      <x:c r="V380" s="24" t="str">
        <x:v>CONDITIONALLY APPROVED</x:v>
      </x:c>
      <x:c r="W380" s="24" t="str">
        <x:v>Sí</x:v>
      </x:c>
      <x:c r="X380" s="24" t="str">
        <x:v>Low</x:v>
      </x:c>
      <x:c r="Y380" s="24" t="str">
        <x:v>Internal development; public candidate requires gate</x:v>
      </x:c>
      <x:c r="Z380" s="24" t="str">
        <x:v>H6 legal/content audit</x:v>
      </x:c>
      <x:c r="AA380" s="24" t="str">
        <x:v>VRM Games</x:v>
      </x:c>
      <x:c r="AB380" s="24" t="str">
        <x:v>No se detectó proveedor externo en la ruta; confirmar autoría por lote antes de release público.</x:v>
      </x:c>
    </x:row>
    <x:row r="381" ht="34" customHeight="1">
      <x:c r="A381" s="24" t="str">
        <x:v>INT-0377</x:v>
      </x:c>
      <x:c r="B381" s="24" t="str">
        <x:v>450d6f67faaa40cebbd38667e149f68a</x:v>
      </x:c>
      <x:c r="C381" s="24" t="str">
        <x:v>CustomerProfile.cs</x:v>
      </x:c>
      <x:c r="D381" s="24" t="str">
        <x:v>Code</x:v>
      </x:c>
      <x:c r="E381" s="24" t="str">
        <x:v>Domain</x:v>
      </x:c>
      <x:c r="F381" s="24" t="str">
        <x:v>VRM Games / Blas Luis Rocha González</x:v>
      </x:c>
      <x:c r="G381" s="24" t="str">
        <x:v>VRM Games / Blas Luis Rocha González</x:v>
      </x:c>
      <x:c r="H381" s="24" t="str">
        <x:v>Internal project production</x:v>
      </x:c>
      <x:c r="I381" s="24" t="str">
        <x:v>2026 project timeline</x:v>
      </x:c>
      <x:c r="J381" s="24" t="str">
        <x:v>Internal project IP / authorship claim</x:v>
      </x:c>
      <x:c r="K381" s="24" t="str">
        <x:v>N/A</x:v>
      </x:c>
      <x:c r="L381" s="24" t="str">
        <x:v>Source package + repository path + hash</x:v>
      </x:c>
      <x:c r="M381" s="24" t="str">
        <x:v>9fbd7370f8f9b6a2298f7a98c7a9df6fdb79d522911069e027964986f5146b7d</x:v>
      </x:c>
      <x:c r="N381" s="24" t="str">
        <x:v>Assets/_Project/Scripts/Domain/Customers/CustomerProfile.cs</x:v>
      </x:c>
      <x:c r="O381" s="24" t="str">
        <x:v>450d6f67faaa40cebbd38667e149f68a</x:v>
      </x:c>
      <x:c r="P381" s="24" t="str">
        <x:v>Sí</x:v>
      </x:c>
      <x:c r="Q381" s="24" t="str">
        <x:v>Condicionado a autoría/procedencia final</x:v>
      </x:c>
      <x:c r="R381" s="24" t="str">
        <x:v>Solo dentro del producto/build autorizado</x:v>
      </x:c>
      <x:c r="S381" s="24" t="str">
        <x:v>Crédito general del estudio; individual si aplica</x:v>
      </x:c>
      <x:c r="T381" s="24" t="str">
        <x:v>VRM Games / Blas Luis Rocha González</x:v>
      </x:c>
      <x:c r="U381" s="24" t="str">
        <x:v>CURRENT PROJECT ASSET</x:v>
      </x:c>
      <x:c r="V381" s="24" t="str">
        <x:v>CONDITIONALLY APPROVED</x:v>
      </x:c>
      <x:c r="W381" s="24" t="str">
        <x:v>Sí</x:v>
      </x:c>
      <x:c r="X381" s="24" t="str">
        <x:v>Low</x:v>
      </x:c>
      <x:c r="Y381" s="24" t="str">
        <x:v>Internal development; public candidate requires gate</x:v>
      </x:c>
      <x:c r="Z381" s="24" t="str">
        <x:v>H6 legal/content audit</x:v>
      </x:c>
      <x:c r="AA381" s="24" t="str">
        <x:v>VRM Games</x:v>
      </x:c>
      <x:c r="AB381" s="24" t="str">
        <x:v>No se detectó proveedor externo en la ruta; confirmar autoría por lote antes de release público.</x:v>
      </x:c>
    </x:row>
    <x:row r="382" ht="34" customHeight="1">
      <x:c r="A382" s="24" t="str">
        <x:v>INT-0378</x:v>
      </x:c>
      <x:c r="B382" s="24" t="str">
        <x:v>22e42d5317a34aacae975fe0a1eb0a73</x:v>
      </x:c>
      <x:c r="C382" s="24" t="str">
        <x:v>CustomerProfileId.cs</x:v>
      </x:c>
      <x:c r="D382" s="24" t="str">
        <x:v>Code</x:v>
      </x:c>
      <x:c r="E382" s="24" t="str">
        <x:v>Domain</x:v>
      </x:c>
      <x:c r="F382" s="24" t="str">
        <x:v>VRM Games / Blas Luis Rocha González</x:v>
      </x:c>
      <x:c r="G382" s="24" t="str">
        <x:v>VRM Games / Blas Luis Rocha González</x:v>
      </x:c>
      <x:c r="H382" s="24" t="str">
        <x:v>Internal project production</x:v>
      </x:c>
      <x:c r="I382" s="24" t="str">
        <x:v>2026 project timeline</x:v>
      </x:c>
      <x:c r="J382" s="24" t="str">
        <x:v>Internal project IP / authorship claim</x:v>
      </x:c>
      <x:c r="K382" s="24" t="str">
        <x:v>N/A</x:v>
      </x:c>
      <x:c r="L382" s="24" t="str">
        <x:v>Source package + repository path + hash</x:v>
      </x:c>
      <x:c r="M382" s="24" t="str">
        <x:v>e7d57579603c2a8f7926da0c44df243b18a24f5630367e102c248e15c94f258c</x:v>
      </x:c>
      <x:c r="N382" s="24" t="str">
        <x:v>Assets/_Project/Scripts/Domain/Customers/CustomerProfileId.cs</x:v>
      </x:c>
      <x:c r="O382" s="24" t="str">
        <x:v>22e42d5317a34aacae975fe0a1eb0a73</x:v>
      </x:c>
      <x:c r="P382" s="24" t="str">
        <x:v>Sí</x:v>
      </x:c>
      <x:c r="Q382" s="24" t="str">
        <x:v>Condicionado a autoría/procedencia final</x:v>
      </x:c>
      <x:c r="R382" s="24" t="str">
        <x:v>Solo dentro del producto/build autorizado</x:v>
      </x:c>
      <x:c r="S382" s="24" t="str">
        <x:v>Crédito general del estudio; individual si aplica</x:v>
      </x:c>
      <x:c r="T382" s="24" t="str">
        <x:v>VRM Games / Blas Luis Rocha González</x:v>
      </x:c>
      <x:c r="U382" s="24" t="str">
        <x:v>CURRENT PROJECT ASSET</x:v>
      </x:c>
      <x:c r="V382" s="24" t="str">
        <x:v>CONDITIONALLY APPROVED</x:v>
      </x:c>
      <x:c r="W382" s="24" t="str">
        <x:v>Sí</x:v>
      </x:c>
      <x:c r="X382" s="24" t="str">
        <x:v>Low</x:v>
      </x:c>
      <x:c r="Y382" s="24" t="str">
        <x:v>Internal development; public candidate requires gate</x:v>
      </x:c>
      <x:c r="Z382" s="24" t="str">
        <x:v>H6 legal/content audit</x:v>
      </x:c>
      <x:c r="AA382" s="24" t="str">
        <x:v>VRM Games</x:v>
      </x:c>
      <x:c r="AB382" s="24" t="str">
        <x:v>No se detectó proveedor externo en la ruta; confirmar autoría por lote antes de release público.</x:v>
      </x:c>
    </x:row>
    <x:row r="383" ht="34" customHeight="1">
      <x:c r="A383" s="24" t="str">
        <x:v>INT-0379</x:v>
      </x:c>
      <x:c r="B383" s="24" t="str">
        <x:v>9486b467c03846448d2869a56e427191</x:v>
      </x:c>
      <x:c r="C383" s="24" t="str">
        <x:v>CustomerProfileRegistry.cs</x:v>
      </x:c>
      <x:c r="D383" s="24" t="str">
        <x:v>Code</x:v>
      </x:c>
      <x:c r="E383" s="24" t="str">
        <x:v>Domain</x:v>
      </x:c>
      <x:c r="F383" s="24" t="str">
        <x:v>VRM Games / Blas Luis Rocha González</x:v>
      </x:c>
      <x:c r="G383" s="24" t="str">
        <x:v>VRM Games / Blas Luis Rocha González</x:v>
      </x:c>
      <x:c r="H383" s="24" t="str">
        <x:v>Internal project production</x:v>
      </x:c>
      <x:c r="I383" s="24" t="str">
        <x:v>2026 project timeline</x:v>
      </x:c>
      <x:c r="J383" s="24" t="str">
        <x:v>Internal project IP / authorship claim</x:v>
      </x:c>
      <x:c r="K383" s="24" t="str">
        <x:v>N/A</x:v>
      </x:c>
      <x:c r="L383" s="24" t="str">
        <x:v>Source package + repository path + hash</x:v>
      </x:c>
      <x:c r="M383" s="24" t="str">
        <x:v>645126970e8f36d5cbe2393ba126f7d0e62137d50091eb8702c15bf19cbfb891</x:v>
      </x:c>
      <x:c r="N383" s="24" t="str">
        <x:v>Assets/_Project/Scripts/Domain/Customers/CustomerProfileRegistry.cs</x:v>
      </x:c>
      <x:c r="O383" s="24" t="str">
        <x:v>9486b467c03846448d2869a56e427191</x:v>
      </x:c>
      <x:c r="P383" s="24" t="str">
        <x:v>Sí</x:v>
      </x:c>
      <x:c r="Q383" s="24" t="str">
        <x:v>Condicionado a autoría/procedencia final</x:v>
      </x:c>
      <x:c r="R383" s="24" t="str">
        <x:v>Solo dentro del producto/build autorizado</x:v>
      </x:c>
      <x:c r="S383" s="24" t="str">
        <x:v>Crédito general del estudio; individual si aplica</x:v>
      </x:c>
      <x:c r="T383" s="24" t="str">
        <x:v>VRM Games / Blas Luis Rocha González</x:v>
      </x:c>
      <x:c r="U383" s="24" t="str">
        <x:v>CURRENT PROJECT ASSET</x:v>
      </x:c>
      <x:c r="V383" s="24" t="str">
        <x:v>CONDITIONALLY APPROVED</x:v>
      </x:c>
      <x:c r="W383" s="24" t="str">
        <x:v>Sí</x:v>
      </x:c>
      <x:c r="X383" s="24" t="str">
        <x:v>Low</x:v>
      </x:c>
      <x:c r="Y383" s="24" t="str">
        <x:v>Internal development; public candidate requires gate</x:v>
      </x:c>
      <x:c r="Z383" s="24" t="str">
        <x:v>H6 legal/content audit</x:v>
      </x:c>
      <x:c r="AA383" s="24" t="str">
        <x:v>VRM Games</x:v>
      </x:c>
      <x:c r="AB383" s="24" t="str">
        <x:v>No se detectó proveedor externo en la ruta; confirmar autoría por lote antes de release público.</x:v>
      </x:c>
    </x:row>
    <x:row r="384" ht="34" customHeight="1">
      <x:c r="A384" s="24" t="str">
        <x:v>INT-0380</x:v>
      </x:c>
      <x:c r="B384" s="24" t="str">
        <x:v>2c9cd6330d014ee6abae470f471a37f8</x:v>
      </x:c>
      <x:c r="C384" s="24" t="str">
        <x:v>CustomerSpawnPolicy.cs</x:v>
      </x:c>
      <x:c r="D384" s="24" t="str">
        <x:v>Code</x:v>
      </x:c>
      <x:c r="E384" s="24" t="str">
        <x:v>Domain</x:v>
      </x:c>
      <x:c r="F384" s="24" t="str">
        <x:v>VRM Games / Blas Luis Rocha González</x:v>
      </x:c>
      <x:c r="G384" s="24" t="str">
        <x:v>VRM Games / Blas Luis Rocha González</x:v>
      </x:c>
      <x:c r="H384" s="24" t="str">
        <x:v>Internal project production</x:v>
      </x:c>
      <x:c r="I384" s="24" t="str">
        <x:v>2026 project timeline</x:v>
      </x:c>
      <x:c r="J384" s="24" t="str">
        <x:v>Internal project IP / authorship claim</x:v>
      </x:c>
      <x:c r="K384" s="24" t="str">
        <x:v>N/A</x:v>
      </x:c>
      <x:c r="L384" s="24" t="str">
        <x:v>Source package + repository path + hash</x:v>
      </x:c>
      <x:c r="M384" s="24" t="str">
        <x:v>89fd6907ed771df588d4760f80bb8ba7167cf9f594930ac5ba54833b3d0ba0c8</x:v>
      </x:c>
      <x:c r="N384" s="24" t="str">
        <x:v>Assets/_Project/Scripts/Domain/Customers/CustomerSpawnPolicy.cs</x:v>
      </x:c>
      <x:c r="O384" s="24" t="str">
        <x:v>2c9cd6330d014ee6abae470f471a37f8</x:v>
      </x:c>
      <x:c r="P384" s="24" t="str">
        <x:v>Sí</x:v>
      </x:c>
      <x:c r="Q384" s="24" t="str">
        <x:v>Condicionado a autoría/procedencia final</x:v>
      </x:c>
      <x:c r="R384" s="24" t="str">
        <x:v>Solo dentro del producto/build autorizado</x:v>
      </x:c>
      <x:c r="S384" s="24" t="str">
        <x:v>Crédito general del estudio; individual si aplica</x:v>
      </x:c>
      <x:c r="T384" s="24" t="str">
        <x:v>VRM Games / Blas Luis Rocha González</x:v>
      </x:c>
      <x:c r="U384" s="24" t="str">
        <x:v>CURRENT PROJECT ASSET</x:v>
      </x:c>
      <x:c r="V384" s="24" t="str">
        <x:v>CONDITIONALLY APPROVED</x:v>
      </x:c>
      <x:c r="W384" s="24" t="str">
        <x:v>Sí</x:v>
      </x:c>
      <x:c r="X384" s="24" t="str">
        <x:v>Low</x:v>
      </x:c>
      <x:c r="Y384" s="24" t="str">
        <x:v>Internal development; public candidate requires gate</x:v>
      </x:c>
      <x:c r="Z384" s="24" t="str">
        <x:v>H6 legal/content audit</x:v>
      </x:c>
      <x:c r="AA384" s="24" t="str">
        <x:v>VRM Games</x:v>
      </x:c>
      <x:c r="AB384" s="24" t="str">
        <x:v>No se detectó proveedor externo en la ruta; confirmar autoría por lote antes de release público.</x:v>
      </x:c>
    </x:row>
    <x:row r="385" ht="34" customHeight="1">
      <x:c r="A385" s="24" t="str">
        <x:v>INT-0381</x:v>
      </x:c>
      <x:c r="B385" s="24" t="str">
        <x:v>ab99821c237d45769bfed77377de1571</x:v>
      </x:c>
      <x:c r="C385" s="24" t="str">
        <x:v>CustomerSpawnQueue.cs</x:v>
      </x:c>
      <x:c r="D385" s="24" t="str">
        <x:v>Code</x:v>
      </x:c>
      <x:c r="E385" s="24" t="str">
        <x:v>Domain</x:v>
      </x:c>
      <x:c r="F385" s="24" t="str">
        <x:v>VRM Games / Blas Luis Rocha González</x:v>
      </x:c>
      <x:c r="G385" s="24" t="str">
        <x:v>VRM Games / Blas Luis Rocha González</x:v>
      </x:c>
      <x:c r="H385" s="24" t="str">
        <x:v>Internal project production</x:v>
      </x:c>
      <x:c r="I385" s="24" t="str">
        <x:v>2026 project timeline</x:v>
      </x:c>
      <x:c r="J385" s="24" t="str">
        <x:v>Internal project IP / authorship claim</x:v>
      </x:c>
      <x:c r="K385" s="24" t="str">
        <x:v>N/A</x:v>
      </x:c>
      <x:c r="L385" s="24" t="str">
        <x:v>Source package + repository path + hash</x:v>
      </x:c>
      <x:c r="M385" s="24" t="str">
        <x:v>6a3738354cc7ea63c8b38c0b049d0fa723ddbb2872ca7f2bbf5445b7fc4c0315</x:v>
      </x:c>
      <x:c r="N385" s="24" t="str">
        <x:v>Assets/_Project/Scripts/Domain/Customers/CustomerSpawnQueue.cs</x:v>
      </x:c>
      <x:c r="O385" s="24" t="str">
        <x:v>ab99821c237d45769bfed77377de1571</x:v>
      </x:c>
      <x:c r="P385" s="24" t="str">
        <x:v>Sí</x:v>
      </x:c>
      <x:c r="Q385" s="24" t="str">
        <x:v>Condicionado a autoría/procedencia final</x:v>
      </x:c>
      <x:c r="R385" s="24" t="str">
        <x:v>Solo dentro del producto/build autorizado</x:v>
      </x:c>
      <x:c r="S385" s="24" t="str">
        <x:v>Crédito general del estudio; individual si aplica</x:v>
      </x:c>
      <x:c r="T385" s="24" t="str">
        <x:v>VRM Games / Blas Luis Rocha González</x:v>
      </x:c>
      <x:c r="U385" s="24" t="str">
        <x:v>CURRENT PROJECT ASSET</x:v>
      </x:c>
      <x:c r="V385" s="24" t="str">
        <x:v>CONDITIONALLY APPROVED</x:v>
      </x:c>
      <x:c r="W385" s="24" t="str">
        <x:v>Sí</x:v>
      </x:c>
      <x:c r="X385" s="24" t="str">
        <x:v>Low</x:v>
      </x:c>
      <x:c r="Y385" s="24" t="str">
        <x:v>Internal development; public candidate requires gate</x:v>
      </x:c>
      <x:c r="Z385" s="24" t="str">
        <x:v>H6 legal/content audit</x:v>
      </x:c>
      <x:c r="AA385" s="24" t="str">
        <x:v>VRM Games</x:v>
      </x:c>
      <x:c r="AB385" s="24" t="str">
        <x:v>No se detectó proveedor externo en la ruta; confirmar autoría por lote antes de release público.</x:v>
      </x:c>
    </x:row>
    <x:row r="386" ht="34" customHeight="1">
      <x:c r="A386" s="24" t="str">
        <x:v>INT-0382</x:v>
      </x:c>
      <x:c r="B386" s="24" t="str">
        <x:v>9cd7a20d20944c539b73218578076223</x:v>
      </x:c>
      <x:c r="C386" s="24" t="str">
        <x:v>CustomerSpawnRequest.cs</x:v>
      </x:c>
      <x:c r="D386" s="24" t="str">
        <x:v>Code</x:v>
      </x:c>
      <x:c r="E386" s="24" t="str">
        <x:v>Domain</x:v>
      </x:c>
      <x:c r="F386" s="24" t="str">
        <x:v>VRM Games / Blas Luis Rocha González</x:v>
      </x:c>
      <x:c r="G386" s="24" t="str">
        <x:v>VRM Games / Blas Luis Rocha González</x:v>
      </x:c>
      <x:c r="H386" s="24" t="str">
        <x:v>Internal project production</x:v>
      </x:c>
      <x:c r="I386" s="24" t="str">
        <x:v>2026 project timeline</x:v>
      </x:c>
      <x:c r="J386" s="24" t="str">
        <x:v>Internal project IP / authorship claim</x:v>
      </x:c>
      <x:c r="K386" s="24" t="str">
        <x:v>N/A</x:v>
      </x:c>
      <x:c r="L386" s="24" t="str">
        <x:v>Source package + repository path + hash</x:v>
      </x:c>
      <x:c r="M386" s="24" t="str">
        <x:v>6083dab2b522d46b7fe437085f278e5ccc9068e81626064e1cfc7c66666b9947</x:v>
      </x:c>
      <x:c r="N386" s="24" t="str">
        <x:v>Assets/_Project/Scripts/Domain/Customers/CustomerSpawnRequest.cs</x:v>
      </x:c>
      <x:c r="O386" s="24" t="str">
        <x:v>9cd7a20d20944c539b73218578076223</x:v>
      </x:c>
      <x:c r="P386" s="24" t="str">
        <x:v>Sí</x:v>
      </x:c>
      <x:c r="Q386" s="24" t="str">
        <x:v>Condicionado a autoría/procedencia final</x:v>
      </x:c>
      <x:c r="R386" s="24" t="str">
        <x:v>Solo dentro del producto/build autorizado</x:v>
      </x:c>
      <x:c r="S386" s="24" t="str">
        <x:v>Crédito general del estudio; individual si aplica</x:v>
      </x:c>
      <x:c r="T386" s="24" t="str">
        <x:v>VRM Games / Blas Luis Rocha González</x:v>
      </x:c>
      <x:c r="U386" s="24" t="str">
        <x:v>CURRENT PROJECT ASSET</x:v>
      </x:c>
      <x:c r="V386" s="24" t="str">
        <x:v>CONDITIONALLY APPROVED</x:v>
      </x:c>
      <x:c r="W386" s="24" t="str">
        <x:v>Sí</x:v>
      </x:c>
      <x:c r="X386" s="24" t="str">
        <x:v>Low</x:v>
      </x:c>
      <x:c r="Y386" s="24" t="str">
        <x:v>Internal development; public candidate requires gate</x:v>
      </x:c>
      <x:c r="Z386" s="24" t="str">
        <x:v>H6 legal/content audit</x:v>
      </x:c>
      <x:c r="AA386" s="24" t="str">
        <x:v>VRM Games</x:v>
      </x:c>
      <x:c r="AB386" s="24" t="str">
        <x:v>No se detectó proveedor externo en la ruta; confirmar autoría por lote antes de release público.</x:v>
      </x:c>
    </x:row>
    <x:row r="387" ht="34" customHeight="1">
      <x:c r="A387" s="24" t="str">
        <x:v>INT-0383</x:v>
      </x:c>
      <x:c r="B387" s="24" t="str">
        <x:v>d37ac53f0bca4a658de9b78b4670a9e1</x:v>
      </x:c>
      <x:c r="C387" s="24" t="str">
        <x:v>CustomerSpawnRequestId.cs</x:v>
      </x:c>
      <x:c r="D387" s="24" t="str">
        <x:v>Code</x:v>
      </x:c>
      <x:c r="E387" s="24" t="str">
        <x:v>Domain</x:v>
      </x:c>
      <x:c r="F387" s="24" t="str">
        <x:v>VRM Games / Blas Luis Rocha González</x:v>
      </x:c>
      <x:c r="G387" s="24" t="str">
        <x:v>VRM Games / Blas Luis Rocha González</x:v>
      </x:c>
      <x:c r="H387" s="24" t="str">
        <x:v>Internal project production</x:v>
      </x:c>
      <x:c r="I387" s="24" t="str">
        <x:v>2026 project timeline</x:v>
      </x:c>
      <x:c r="J387" s="24" t="str">
        <x:v>Internal project IP / authorship claim</x:v>
      </x:c>
      <x:c r="K387" s="24" t="str">
        <x:v>N/A</x:v>
      </x:c>
      <x:c r="L387" s="24" t="str">
        <x:v>Source package + repository path + hash</x:v>
      </x:c>
      <x:c r="M387" s="24" t="str">
        <x:v>cbc6f18f766b2449f9ea293b9d47cd92978b5d66fb9adff168b28fa8d393d6ee</x:v>
      </x:c>
      <x:c r="N387" s="24" t="str">
        <x:v>Assets/_Project/Scripts/Domain/Customers/CustomerSpawnRequestId.cs</x:v>
      </x:c>
      <x:c r="O387" s="24" t="str">
        <x:v>d37ac53f0bca4a658de9b78b4670a9e1</x:v>
      </x:c>
      <x:c r="P387" s="24" t="str">
        <x:v>Sí</x:v>
      </x:c>
      <x:c r="Q387" s="24" t="str">
        <x:v>Condicionado a autoría/procedencia final</x:v>
      </x:c>
      <x:c r="R387" s="24" t="str">
        <x:v>Solo dentro del producto/build autorizado</x:v>
      </x:c>
      <x:c r="S387" s="24" t="str">
        <x:v>Crédito general del estudio; individual si aplica</x:v>
      </x:c>
      <x:c r="T387" s="24" t="str">
        <x:v>VRM Games / Blas Luis Rocha González</x:v>
      </x:c>
      <x:c r="U387" s="24" t="str">
        <x:v>CURRENT PROJECT ASSET</x:v>
      </x:c>
      <x:c r="V387" s="24" t="str">
        <x:v>CONDITIONALLY APPROVED</x:v>
      </x:c>
      <x:c r="W387" s="24" t="str">
        <x:v>Sí</x:v>
      </x:c>
      <x:c r="X387" s="24" t="str">
        <x:v>Low</x:v>
      </x:c>
      <x:c r="Y387" s="24" t="str">
        <x:v>Internal development; public candidate requires gate</x:v>
      </x:c>
      <x:c r="Z387" s="24" t="str">
        <x:v>H6 legal/content audit</x:v>
      </x:c>
      <x:c r="AA387" s="24" t="str">
        <x:v>VRM Games</x:v>
      </x:c>
      <x:c r="AB387" s="24" t="str">
        <x:v>No se detectó proveedor externo en la ruta; confirmar autoría por lote antes de release público.</x:v>
      </x:c>
    </x:row>
    <x:row r="388" ht="34" customHeight="1">
      <x:c r="A388" s="24" t="str">
        <x:v>INT-0384</x:v>
      </x:c>
      <x:c r="B388" s="24" t="str">
        <x:v>922b96f6f0bd42a8831dd473addf8e23</x:v>
      </x:c>
      <x:c r="C388" s="24" t="str">
        <x:v>CustomerState.cs</x:v>
      </x:c>
      <x:c r="D388" s="24" t="str">
        <x:v>Code</x:v>
      </x:c>
      <x:c r="E388" s="24" t="str">
        <x:v>Domain</x:v>
      </x:c>
      <x:c r="F388" s="24" t="str">
        <x:v>VRM Games / Blas Luis Rocha González</x:v>
      </x:c>
      <x:c r="G388" s="24" t="str">
        <x:v>VRM Games / Blas Luis Rocha González</x:v>
      </x:c>
      <x:c r="H388" s="24" t="str">
        <x:v>Internal project production</x:v>
      </x:c>
      <x:c r="I388" s="24" t="str">
        <x:v>2026 project timeline</x:v>
      </x:c>
      <x:c r="J388" s="24" t="str">
        <x:v>Internal project IP / authorship claim</x:v>
      </x:c>
      <x:c r="K388" s="24" t="str">
        <x:v>N/A</x:v>
      </x:c>
      <x:c r="L388" s="24" t="str">
        <x:v>Source package + repository path + hash</x:v>
      </x:c>
      <x:c r="M388" s="24" t="str">
        <x:v>608532a8697d55a6207ad48a6adff5804b9d1f5563a0f015e169435bb2371151</x:v>
      </x:c>
      <x:c r="N388" s="24" t="str">
        <x:v>Assets/_Project/Scripts/Domain/Customers/CustomerState.cs</x:v>
      </x:c>
      <x:c r="O388" s="24" t="str">
        <x:v>922b96f6f0bd42a8831dd473addf8e23</x:v>
      </x:c>
      <x:c r="P388" s="24" t="str">
        <x:v>Sí</x:v>
      </x:c>
      <x:c r="Q388" s="24" t="str">
        <x:v>Condicionado a autoría/procedencia final</x:v>
      </x:c>
      <x:c r="R388" s="24" t="str">
        <x:v>Solo dentro del producto/build autorizado</x:v>
      </x:c>
      <x:c r="S388" s="24" t="str">
        <x:v>Crédito general del estudio; individual si aplica</x:v>
      </x:c>
      <x:c r="T388" s="24" t="str">
        <x:v>VRM Games / Blas Luis Rocha González</x:v>
      </x:c>
      <x:c r="U388" s="24" t="str">
        <x:v>CURRENT PROJECT ASSET</x:v>
      </x:c>
      <x:c r="V388" s="24" t="str">
        <x:v>CONDITIONALLY APPROVED</x:v>
      </x:c>
      <x:c r="W388" s="24" t="str">
        <x:v>Sí</x:v>
      </x:c>
      <x:c r="X388" s="24" t="str">
        <x:v>Low</x:v>
      </x:c>
      <x:c r="Y388" s="24" t="str">
        <x:v>Internal development; public candidate requires gate</x:v>
      </x:c>
      <x:c r="Z388" s="24" t="str">
        <x:v>H6 legal/content audit</x:v>
      </x:c>
      <x:c r="AA388" s="24" t="str">
        <x:v>VRM Games</x:v>
      </x:c>
      <x:c r="AB388" s="24" t="str">
        <x:v>No se detectó proveedor externo en la ruta; confirmar autoría por lote antes de release público.</x:v>
      </x:c>
    </x:row>
    <x:row r="389" ht="34" customHeight="1">
      <x:c r="A389" s="24" t="str">
        <x:v>INT-0385</x:v>
      </x:c>
      <x:c r="B389" s="24" t="str">
        <x:v>39d13353e8b24133a13f54f1efbb23d3</x:v>
      </x:c>
      <x:c r="C389" s="24" t="str">
        <x:v>CustomerTransitionFailureReason.cs</x:v>
      </x:c>
      <x:c r="D389" s="24" t="str">
        <x:v>Code</x:v>
      </x:c>
      <x:c r="E389" s="24" t="str">
        <x:v>Domain</x:v>
      </x:c>
      <x:c r="F389" s="24" t="str">
        <x:v>VRM Games / Blas Luis Rocha González</x:v>
      </x:c>
      <x:c r="G389" s="24" t="str">
        <x:v>VRM Games / Blas Luis Rocha González</x:v>
      </x:c>
      <x:c r="H389" s="24" t="str">
        <x:v>Internal project production</x:v>
      </x:c>
      <x:c r="I389" s="24" t="str">
        <x:v>2026 project timeline</x:v>
      </x:c>
      <x:c r="J389" s="24" t="str">
        <x:v>Internal project IP / authorship claim</x:v>
      </x:c>
      <x:c r="K389" s="24" t="str">
        <x:v>N/A</x:v>
      </x:c>
      <x:c r="L389" s="24" t="str">
        <x:v>Source package + repository path + hash</x:v>
      </x:c>
      <x:c r="M389" s="24" t="str">
        <x:v>f7eb078d8c514adde03b1ebe41c6875d160a7f9dea09b10d3ab015fe043b6d27</x:v>
      </x:c>
      <x:c r="N389" s="24" t="str">
        <x:v>Assets/_Project/Scripts/Domain/Customers/CustomerTransitionFailureReason.cs</x:v>
      </x:c>
      <x:c r="O389" s="24" t="str">
        <x:v>39d13353e8b24133a13f54f1efbb23d3</x:v>
      </x:c>
      <x:c r="P389" s="24" t="str">
        <x:v>Sí</x:v>
      </x:c>
      <x:c r="Q389" s="24" t="str">
        <x:v>Condicionado a autoría/procedencia final</x:v>
      </x:c>
      <x:c r="R389" s="24" t="str">
        <x:v>Solo dentro del producto/build autorizado</x:v>
      </x:c>
      <x:c r="S389" s="24" t="str">
        <x:v>Crédito general del estudio; individual si aplica</x:v>
      </x:c>
      <x:c r="T389" s="24" t="str">
        <x:v>VRM Games / Blas Luis Rocha González</x:v>
      </x:c>
      <x:c r="U389" s="24" t="str">
        <x:v>CURRENT PROJECT ASSET</x:v>
      </x:c>
      <x:c r="V389" s="24" t="str">
        <x:v>CONDITIONALLY APPROVED</x:v>
      </x:c>
      <x:c r="W389" s="24" t="str">
        <x:v>Sí</x:v>
      </x:c>
      <x:c r="X389" s="24" t="str">
        <x:v>Low</x:v>
      </x:c>
      <x:c r="Y389" s="24" t="str">
        <x:v>Internal development; public candidate requires gate</x:v>
      </x:c>
      <x:c r="Z389" s="24" t="str">
        <x:v>H6 legal/content audit</x:v>
      </x:c>
      <x:c r="AA389" s="24" t="str">
        <x:v>VRM Games</x:v>
      </x:c>
      <x:c r="AB389" s="24" t="str">
        <x:v>No se detectó proveedor externo en la ruta; confirmar autoría por lote antes de release público.</x:v>
      </x:c>
    </x:row>
    <x:row r="390" ht="34" customHeight="1">
      <x:c r="A390" s="24" t="str">
        <x:v>INT-0386</x:v>
      </x:c>
      <x:c r="B390" s="24" t="str">
        <x:v>14e84fcd28d4431390954472fc94682e</x:v>
      </x:c>
      <x:c r="C390" s="24" t="str">
        <x:v>CustomerTransitionResult.cs</x:v>
      </x:c>
      <x:c r="D390" s="24" t="str">
        <x:v>Code</x:v>
      </x:c>
      <x:c r="E390" s="24" t="str">
        <x:v>Domain</x:v>
      </x:c>
      <x:c r="F390" s="24" t="str">
        <x:v>VRM Games / Blas Luis Rocha González</x:v>
      </x:c>
      <x:c r="G390" s="24" t="str">
        <x:v>VRM Games / Blas Luis Rocha González</x:v>
      </x:c>
      <x:c r="H390" s="24" t="str">
        <x:v>Internal project production</x:v>
      </x:c>
      <x:c r="I390" s="24" t="str">
        <x:v>2026 project timeline</x:v>
      </x:c>
      <x:c r="J390" s="24" t="str">
        <x:v>Internal project IP / authorship claim</x:v>
      </x:c>
      <x:c r="K390" s="24" t="str">
        <x:v>N/A</x:v>
      </x:c>
      <x:c r="L390" s="24" t="str">
        <x:v>Source package + repository path + hash</x:v>
      </x:c>
      <x:c r="M390" s="24" t="str">
        <x:v>95cab9f50174c04db9c335fbd673c5455c643ced22cb5edee47d5a742eb67486</x:v>
      </x:c>
      <x:c r="N390" s="24" t="str">
        <x:v>Assets/_Project/Scripts/Domain/Customers/CustomerTransitionResult.cs</x:v>
      </x:c>
      <x:c r="O390" s="24" t="str">
        <x:v>14e84fcd28d4431390954472fc94682e</x:v>
      </x:c>
      <x:c r="P390" s="24" t="str">
        <x:v>Sí</x:v>
      </x:c>
      <x:c r="Q390" s="24" t="str">
        <x:v>Condicionado a autoría/procedencia final</x:v>
      </x:c>
      <x:c r="R390" s="24" t="str">
        <x:v>Solo dentro del producto/build autorizado</x:v>
      </x:c>
      <x:c r="S390" s="24" t="str">
        <x:v>Crédito general del estudio; individual si aplica</x:v>
      </x:c>
      <x:c r="T390" s="24" t="str">
        <x:v>VRM Games / Blas Luis Rocha González</x:v>
      </x:c>
      <x:c r="U390" s="24" t="str">
        <x:v>CURRENT PROJECT ASSET</x:v>
      </x:c>
      <x:c r="V390" s="24" t="str">
        <x:v>CONDITIONALLY APPROVED</x:v>
      </x:c>
      <x:c r="W390" s="24" t="str">
        <x:v>Sí</x:v>
      </x:c>
      <x:c r="X390" s="24" t="str">
        <x:v>Low</x:v>
      </x:c>
      <x:c r="Y390" s="24" t="str">
        <x:v>Internal development; public candidate requires gate</x:v>
      </x:c>
      <x:c r="Z390" s="24" t="str">
        <x:v>H6 legal/content audit</x:v>
      </x:c>
      <x:c r="AA390" s="24" t="str">
        <x:v>VRM Games</x:v>
      </x:c>
      <x:c r="AB390" s="24" t="str">
        <x:v>No se detectó proveedor externo en la ruta; confirmar autoría por lote antes de release público.</x:v>
      </x:c>
    </x:row>
    <x:row r="391" ht="34" customHeight="1">
      <x:c r="A391" s="24" t="str">
        <x:v>INT-0387</x:v>
      </x:c>
      <x:c r="B391" s="24" t="str">
        <x:v>f7ef73bd50894af58be2df195d1163b0</x:v>
      </x:c>
      <x:c r="C391" s="24" t="str">
        <x:v>StoreClosureSnapshot.cs</x:v>
      </x:c>
      <x:c r="D391" s="24" t="str">
        <x:v>Code</x:v>
      </x:c>
      <x:c r="E391" s="24" t="str">
        <x:v>Domain</x:v>
      </x:c>
      <x:c r="F391" s="24" t="str">
        <x:v>VRM Games / Blas Luis Rocha González</x:v>
      </x:c>
      <x:c r="G391" s="24" t="str">
        <x:v>VRM Games / Blas Luis Rocha González</x:v>
      </x:c>
      <x:c r="H391" s="24" t="str">
        <x:v>Internal project production</x:v>
      </x:c>
      <x:c r="I391" s="24" t="str">
        <x:v>2026 project timeline</x:v>
      </x:c>
      <x:c r="J391" s="24" t="str">
        <x:v>Internal project IP / authorship claim</x:v>
      </x:c>
      <x:c r="K391" s="24" t="str">
        <x:v>N/A</x:v>
      </x:c>
      <x:c r="L391" s="24" t="str">
        <x:v>Source package + repository path + hash</x:v>
      </x:c>
      <x:c r="M391" s="24" t="str">
        <x:v>229d1d4dd2c341b54199dbcbf562c0383cc0faa71c5c9501ab544d40dda5e83f</x:v>
      </x:c>
      <x:c r="N391" s="24" t="str">
        <x:v>Assets/_Project/Scripts/Domain/DayCycle/StoreClosureSnapshot.cs</x:v>
      </x:c>
      <x:c r="O391" s="24" t="str">
        <x:v>f7ef73bd50894af58be2df195d1163b0</x:v>
      </x:c>
      <x:c r="P391" s="24" t="str">
        <x:v>Sí</x:v>
      </x:c>
      <x:c r="Q391" s="24" t="str">
        <x:v>Condicionado a autoría/procedencia final</x:v>
      </x:c>
      <x:c r="R391" s="24" t="str">
        <x:v>Solo dentro del producto/build autorizado</x:v>
      </x:c>
      <x:c r="S391" s="24" t="str">
        <x:v>Crédito general del estudio; individual si aplica</x:v>
      </x:c>
      <x:c r="T391" s="24" t="str">
        <x:v>VRM Games / Blas Luis Rocha González</x:v>
      </x:c>
      <x:c r="U391" s="24" t="str">
        <x:v>CURRENT PROJECT ASSET</x:v>
      </x:c>
      <x:c r="V391" s="24" t="str">
        <x:v>CONDITIONALLY APPROVED</x:v>
      </x:c>
      <x:c r="W391" s="24" t="str">
        <x:v>Sí</x:v>
      </x:c>
      <x:c r="X391" s="24" t="str">
        <x:v>Low</x:v>
      </x:c>
      <x:c r="Y391" s="24" t="str">
        <x:v>Internal development; public candidate requires gate</x:v>
      </x:c>
      <x:c r="Z391" s="24" t="str">
        <x:v>H6 legal/content audit</x:v>
      </x:c>
      <x:c r="AA391" s="24" t="str">
        <x:v>VRM Games</x:v>
      </x:c>
      <x:c r="AB391" s="24" t="str">
        <x:v>No se detectó proveedor externo en la ruta; confirmar autoría por lote antes de release público.</x:v>
      </x:c>
    </x:row>
    <x:row r="392" ht="34" customHeight="1">
      <x:c r="A392" s="24" t="str">
        <x:v>INT-0388</x:v>
      </x:c>
      <x:c r="B392" s="24" t="str">
        <x:v>a02e72d509b64883b069b401f0bce514</x:v>
      </x:c>
      <x:c r="C392" s="24" t="str">
        <x:v>StoreDayActivity.cs</x:v>
      </x:c>
      <x:c r="D392" s="24" t="str">
        <x:v>Code</x:v>
      </x:c>
      <x:c r="E392" s="24" t="str">
        <x:v>Domain</x:v>
      </x:c>
      <x:c r="F392" s="24" t="str">
        <x:v>VRM Games / Blas Luis Rocha González</x:v>
      </x:c>
      <x:c r="G392" s="24" t="str">
        <x:v>VRM Games / Blas Luis Rocha González</x:v>
      </x:c>
      <x:c r="H392" s="24" t="str">
        <x:v>Internal project production</x:v>
      </x:c>
      <x:c r="I392" s="24" t="str">
        <x:v>2026 project timeline</x:v>
      </x:c>
      <x:c r="J392" s="24" t="str">
        <x:v>Internal project IP / authorship claim</x:v>
      </x:c>
      <x:c r="K392" s="24" t="str">
        <x:v>N/A</x:v>
      </x:c>
      <x:c r="L392" s="24" t="str">
        <x:v>Source package + repository path + hash</x:v>
      </x:c>
      <x:c r="M392" s="24" t="str">
        <x:v>c5470bb033b99ee0062d979bc0907245ff4e96b8fde1cb743364aef36fb3e48f</x:v>
      </x:c>
      <x:c r="N392" s="24" t="str">
        <x:v>Assets/_Project/Scripts/Domain/DayCycle/StoreDayActivity.cs</x:v>
      </x:c>
      <x:c r="O392" s="24" t="str">
        <x:v>a02e72d509b64883b069b401f0bce514</x:v>
      </x:c>
      <x:c r="P392" s="24" t="str">
        <x:v>Sí</x:v>
      </x:c>
      <x:c r="Q392" s="24" t="str">
        <x:v>Condicionado a autoría/procedencia final</x:v>
      </x:c>
      <x:c r="R392" s="24" t="str">
        <x:v>Solo dentro del producto/build autorizado</x:v>
      </x:c>
      <x:c r="S392" s="24" t="str">
        <x:v>Crédito general del estudio; individual si aplica</x:v>
      </x:c>
      <x:c r="T392" s="24" t="str">
        <x:v>VRM Games / Blas Luis Rocha González</x:v>
      </x:c>
      <x:c r="U392" s="24" t="str">
        <x:v>CURRENT PROJECT ASSET</x:v>
      </x:c>
      <x:c r="V392" s="24" t="str">
        <x:v>CONDITIONALLY APPROVED</x:v>
      </x:c>
      <x:c r="W392" s="24" t="str">
        <x:v>Sí</x:v>
      </x:c>
      <x:c r="X392" s="24" t="str">
        <x:v>Low</x:v>
      </x:c>
      <x:c r="Y392" s="24" t="str">
        <x:v>Internal development; public candidate requires gate</x:v>
      </x:c>
      <x:c r="Z392" s="24" t="str">
        <x:v>H6 legal/content audit</x:v>
      </x:c>
      <x:c r="AA392" s="24" t="str">
        <x:v>VRM Games</x:v>
      </x:c>
      <x:c r="AB392" s="24" t="str">
        <x:v>No se detectó proveedor externo en la ruta; confirmar autoría por lote antes de release público.</x:v>
      </x:c>
    </x:row>
    <x:row r="393" ht="34" customHeight="1">
      <x:c r="A393" s="24" t="str">
        <x:v>INT-0389</x:v>
      </x:c>
      <x:c r="B393" s="24" t="str">
        <x:v>8b058ca738064636ad526a2411436145</x:v>
      </x:c>
      <x:c r="C393" s="24" t="str">
        <x:v>StoreDayCore.cs</x:v>
      </x:c>
      <x:c r="D393" s="24" t="str">
        <x:v>Code</x:v>
      </x:c>
      <x:c r="E393" s="24" t="str">
        <x:v>Domain</x:v>
      </x:c>
      <x:c r="F393" s="24" t="str">
        <x:v>VRM Games / Blas Luis Rocha González</x:v>
      </x:c>
      <x:c r="G393" s="24" t="str">
        <x:v>VRM Games / Blas Luis Rocha González</x:v>
      </x:c>
      <x:c r="H393" s="24" t="str">
        <x:v>Internal project production</x:v>
      </x:c>
      <x:c r="I393" s="24" t="str">
        <x:v>2026 project timeline</x:v>
      </x:c>
      <x:c r="J393" s="24" t="str">
        <x:v>Internal project IP / authorship claim</x:v>
      </x:c>
      <x:c r="K393" s="24" t="str">
        <x:v>N/A</x:v>
      </x:c>
      <x:c r="L393" s="24" t="str">
        <x:v>Source package + repository path + hash</x:v>
      </x:c>
      <x:c r="M393" s="24" t="str">
        <x:v>de85573e09cd889994a94e002d619837dc1e4688bd48cbb15fa32a19db482a81</x:v>
      </x:c>
      <x:c r="N393" s="24" t="str">
        <x:v>Assets/_Project/Scripts/Domain/DayCycle/StoreDayCore.cs</x:v>
      </x:c>
      <x:c r="O393" s="24" t="str">
        <x:v>8b058ca738064636ad526a2411436145</x:v>
      </x:c>
      <x:c r="P393" s="24" t="str">
        <x:v>Sí</x:v>
      </x:c>
      <x:c r="Q393" s="24" t="str">
        <x:v>Condicionado a autoría/procedencia final</x:v>
      </x:c>
      <x:c r="R393" s="24" t="str">
        <x:v>Solo dentro del producto/build autorizado</x:v>
      </x:c>
      <x:c r="S393" s="24" t="str">
        <x:v>Crédito general del estudio; individual si aplica</x:v>
      </x:c>
      <x:c r="T393" s="24" t="str">
        <x:v>VRM Games / Blas Luis Rocha González</x:v>
      </x:c>
      <x:c r="U393" s="24" t="str">
        <x:v>CURRENT PROJECT ASSET</x:v>
      </x:c>
      <x:c r="V393" s="24" t="str">
        <x:v>CONDITIONALLY APPROVED</x:v>
      </x:c>
      <x:c r="W393" s="24" t="str">
        <x:v>Sí</x:v>
      </x:c>
      <x:c r="X393" s="24" t="str">
        <x:v>Low</x:v>
      </x:c>
      <x:c r="Y393" s="24" t="str">
        <x:v>Internal development; public candidate requires gate</x:v>
      </x:c>
      <x:c r="Z393" s="24" t="str">
        <x:v>H6 legal/content audit</x:v>
      </x:c>
      <x:c r="AA393" s="24" t="str">
        <x:v>VRM Games</x:v>
      </x:c>
      <x:c r="AB393" s="24" t="str">
        <x:v>No se detectó proveedor externo en la ruta; confirmar autoría por lote antes de release público.</x:v>
      </x:c>
    </x:row>
    <x:row r="394" ht="34" customHeight="1">
      <x:c r="A394" s="24" t="str">
        <x:v>INT-0390</x:v>
      </x:c>
      <x:c r="B394" s="24" t="str">
        <x:v>c2ae154d70ac4e20895ad027b876d9d6</x:v>
      </x:c>
      <x:c r="C394" s="24" t="str">
        <x:v>DisplayAssignmentFailureReason.cs</x:v>
      </x:c>
      <x:c r="D394" s="24" t="str">
        <x:v>Code</x:v>
      </x:c>
      <x:c r="E394" s="24" t="str">
        <x:v>Domain</x:v>
      </x:c>
      <x:c r="F394" s="24" t="str">
        <x:v>VRM Games / Blas Luis Rocha González</x:v>
      </x:c>
      <x:c r="G394" s="24" t="str">
        <x:v>VRM Games / Blas Luis Rocha González</x:v>
      </x:c>
      <x:c r="H394" s="24" t="str">
        <x:v>Internal project production</x:v>
      </x:c>
      <x:c r="I394" s="24" t="str">
        <x:v>2026 project timeline</x:v>
      </x:c>
      <x:c r="J394" s="24" t="str">
        <x:v>Internal project IP / authorship claim</x:v>
      </x:c>
      <x:c r="K394" s="24" t="str">
        <x:v>N/A</x:v>
      </x:c>
      <x:c r="L394" s="24" t="str">
        <x:v>Source package + repository path + hash</x:v>
      </x:c>
      <x:c r="M394" s="24" t="str">
        <x:v>eed4de8cd7b30cb0f68baea1040b08ef57b989863aba3ecf01cb68f5acd960b6</x:v>
      </x:c>
      <x:c r="N394" s="24" t="str">
        <x:v>Assets/_Project/Scripts/Domain/Displays/DisplayAssignmentFailureReason.cs</x:v>
      </x:c>
      <x:c r="O394" s="24" t="str">
        <x:v>c2ae154d70ac4e20895ad027b876d9d6</x:v>
      </x:c>
      <x:c r="P394" s="24" t="str">
        <x:v>Sí</x:v>
      </x:c>
      <x:c r="Q394" s="24" t="str">
        <x:v>Condicionado a autoría/procedencia final</x:v>
      </x:c>
      <x:c r="R394" s="24" t="str">
        <x:v>Solo dentro del producto/build autorizado</x:v>
      </x:c>
      <x:c r="S394" s="24" t="str">
        <x:v>Crédito general del estudio; individual si aplica</x:v>
      </x:c>
      <x:c r="T394" s="24" t="str">
        <x:v>VRM Games / Blas Luis Rocha González</x:v>
      </x:c>
      <x:c r="U394" s="24" t="str">
        <x:v>CURRENT PROJECT ASSET</x:v>
      </x:c>
      <x:c r="V394" s="24" t="str">
        <x:v>CONDITIONALLY APPROVED</x:v>
      </x:c>
      <x:c r="W394" s="24" t="str">
        <x:v>Sí</x:v>
      </x:c>
      <x:c r="X394" s="24" t="str">
        <x:v>Low</x:v>
      </x:c>
      <x:c r="Y394" s="24" t="str">
        <x:v>Internal development; public candidate requires gate</x:v>
      </x:c>
      <x:c r="Z394" s="24" t="str">
        <x:v>H6 legal/content audit</x:v>
      </x:c>
      <x:c r="AA394" s="24" t="str">
        <x:v>VRM Games</x:v>
      </x:c>
      <x:c r="AB394" s="24" t="str">
        <x:v>No se detectó proveedor externo en la ruta; confirmar autoría por lote antes de release público.</x:v>
      </x:c>
    </x:row>
    <x:row r="395" ht="34" customHeight="1">
      <x:c r="A395" s="24" t="str">
        <x:v>INT-0391</x:v>
      </x:c>
      <x:c r="B395" s="24" t="str">
        <x:v>7dfbb4827e2d4d9d9e50bf1efe80d629</x:v>
      </x:c>
      <x:c r="C395" s="24" t="str">
        <x:v>DisplayAssignmentResult.cs</x:v>
      </x:c>
      <x:c r="D395" s="24" t="str">
        <x:v>Code</x:v>
      </x:c>
      <x:c r="E395" s="24" t="str">
        <x:v>Domain</x:v>
      </x:c>
      <x:c r="F395" s="24" t="str">
        <x:v>VRM Games / Blas Luis Rocha González</x:v>
      </x:c>
      <x:c r="G395" s="24" t="str">
        <x:v>VRM Games / Blas Luis Rocha González</x:v>
      </x:c>
      <x:c r="H395" s="24" t="str">
        <x:v>Internal project production</x:v>
      </x:c>
      <x:c r="I395" s="24" t="str">
        <x:v>2026 project timeline</x:v>
      </x:c>
      <x:c r="J395" s="24" t="str">
        <x:v>Internal project IP / authorship claim</x:v>
      </x:c>
      <x:c r="K395" s="24" t="str">
        <x:v>N/A</x:v>
      </x:c>
      <x:c r="L395" s="24" t="str">
        <x:v>Source package + repository path + hash</x:v>
      </x:c>
      <x:c r="M395" s="24" t="str">
        <x:v>e965641130e4cf39832d9c193e5798a978eca60d9bc73b9e9ec455b4743c4e10</x:v>
      </x:c>
      <x:c r="N395" s="24" t="str">
        <x:v>Assets/_Project/Scripts/Domain/Displays/DisplayAssignmentResult.cs</x:v>
      </x:c>
      <x:c r="O395" s="24" t="str">
        <x:v>7dfbb4827e2d4d9d9e50bf1efe80d629</x:v>
      </x:c>
      <x:c r="P395" s="24" t="str">
        <x:v>Sí</x:v>
      </x:c>
      <x:c r="Q395" s="24" t="str">
        <x:v>Condicionado a autoría/procedencia final</x:v>
      </x:c>
      <x:c r="R395" s="24" t="str">
        <x:v>Solo dentro del producto/build autorizado</x:v>
      </x:c>
      <x:c r="S395" s="24" t="str">
        <x:v>Crédito general del estudio; individual si aplica</x:v>
      </x:c>
      <x:c r="T395" s="24" t="str">
        <x:v>VRM Games / Blas Luis Rocha González</x:v>
      </x:c>
      <x:c r="U395" s="24" t="str">
        <x:v>CURRENT PROJECT ASSET</x:v>
      </x:c>
      <x:c r="V395" s="24" t="str">
        <x:v>CONDITIONALLY APPROVED</x:v>
      </x:c>
      <x:c r="W395" s="24" t="str">
        <x:v>Sí</x:v>
      </x:c>
      <x:c r="X395" s="24" t="str">
        <x:v>Low</x:v>
      </x:c>
      <x:c r="Y395" s="24" t="str">
        <x:v>Internal development; public candidate requires gate</x:v>
      </x:c>
      <x:c r="Z395" s="24" t="str">
        <x:v>H6 legal/content audit</x:v>
      </x:c>
      <x:c r="AA395" s="24" t="str">
        <x:v>VRM Games</x:v>
      </x:c>
      <x:c r="AB395" s="24" t="str">
        <x:v>No se detectó proveedor externo en la ruta; confirmar autoría por lote antes de release público.</x:v>
      </x:c>
    </x:row>
    <x:row r="396" ht="34" customHeight="1">
      <x:c r="A396" s="24" t="str">
        <x:v>INT-0392</x:v>
      </x:c>
      <x:c r="B396" s="24" t="str">
        <x:v>2bf79098eed04392a757c6170a678726</x:v>
      </x:c>
      <x:c r="C396" s="24" t="str">
        <x:v>DisplayClearAssignmentFailureReason.cs</x:v>
      </x:c>
      <x:c r="D396" s="24" t="str">
        <x:v>Code</x:v>
      </x:c>
      <x:c r="E396" s="24" t="str">
        <x:v>Domain</x:v>
      </x:c>
      <x:c r="F396" s="24" t="str">
        <x:v>VRM Games / Blas Luis Rocha González</x:v>
      </x:c>
      <x:c r="G396" s="24" t="str">
        <x:v>VRM Games / Blas Luis Rocha González</x:v>
      </x:c>
      <x:c r="H396" s="24" t="str">
        <x:v>Internal project production</x:v>
      </x:c>
      <x:c r="I396" s="24" t="str">
        <x:v>2026 project timeline</x:v>
      </x:c>
      <x:c r="J396" s="24" t="str">
        <x:v>Internal project IP / authorship claim</x:v>
      </x:c>
      <x:c r="K396" s="24" t="str">
        <x:v>N/A</x:v>
      </x:c>
      <x:c r="L396" s="24" t="str">
        <x:v>Source package + repository path + hash</x:v>
      </x:c>
      <x:c r="M396" s="24" t="str">
        <x:v>0a18d506c6d0dcd0c02dfa252b774f3f19ab5f731f71beeae4d0226928484f8e</x:v>
      </x:c>
      <x:c r="N396" s="24" t="str">
        <x:v>Assets/_Project/Scripts/Domain/Displays/DisplayClearAssignmentFailureReason.cs</x:v>
      </x:c>
      <x:c r="O396" s="24" t="str">
        <x:v>2bf79098eed04392a757c6170a678726</x:v>
      </x:c>
      <x:c r="P396" s="24" t="str">
        <x:v>Sí</x:v>
      </x:c>
      <x:c r="Q396" s="24" t="str">
        <x:v>Condicionado a autoría/procedencia final</x:v>
      </x:c>
      <x:c r="R396" s="24" t="str">
        <x:v>Solo dentro del producto/build autorizado</x:v>
      </x:c>
      <x:c r="S396" s="24" t="str">
        <x:v>Crédito general del estudio; individual si aplica</x:v>
      </x:c>
      <x:c r="T396" s="24" t="str">
        <x:v>VRM Games / Blas Luis Rocha González</x:v>
      </x:c>
      <x:c r="U396" s="24" t="str">
        <x:v>CURRENT PROJECT ASSET</x:v>
      </x:c>
      <x:c r="V396" s="24" t="str">
        <x:v>CONDITIONALLY APPROVED</x:v>
      </x:c>
      <x:c r="W396" s="24" t="str">
        <x:v>Sí</x:v>
      </x:c>
      <x:c r="X396" s="24" t="str">
        <x:v>Low</x:v>
      </x:c>
      <x:c r="Y396" s="24" t="str">
        <x:v>Internal development; public candidate requires gate</x:v>
      </x:c>
      <x:c r="Z396" s="24" t="str">
        <x:v>H6 legal/content audit</x:v>
      </x:c>
      <x:c r="AA396" s="24" t="str">
        <x:v>VRM Games</x:v>
      </x:c>
      <x:c r="AB396" s="24" t="str">
        <x:v>No se detectó proveedor externo en la ruta; confirmar autoría por lote antes de release público.</x:v>
      </x:c>
    </x:row>
    <x:row r="397" ht="34" customHeight="1">
      <x:c r="A397" s="24" t="str">
        <x:v>INT-0393</x:v>
      </x:c>
      <x:c r="B397" s="24" t="str">
        <x:v>5a9d1ce09048470d96063a5d9af7de59</x:v>
      </x:c>
      <x:c r="C397" s="24" t="str">
        <x:v>DisplayClearAssignmentResult.cs</x:v>
      </x:c>
      <x:c r="D397" s="24" t="str">
        <x:v>Code</x:v>
      </x:c>
      <x:c r="E397" s="24" t="str">
        <x:v>Domain</x:v>
      </x:c>
      <x:c r="F397" s="24" t="str">
        <x:v>VRM Games / Blas Luis Rocha González</x:v>
      </x:c>
      <x:c r="G397" s="24" t="str">
        <x:v>VRM Games / Blas Luis Rocha González</x:v>
      </x:c>
      <x:c r="H397" s="24" t="str">
        <x:v>Internal project production</x:v>
      </x:c>
      <x:c r="I397" s="24" t="str">
        <x:v>2026 project timeline</x:v>
      </x:c>
      <x:c r="J397" s="24" t="str">
        <x:v>Internal project IP / authorship claim</x:v>
      </x:c>
      <x:c r="K397" s="24" t="str">
        <x:v>N/A</x:v>
      </x:c>
      <x:c r="L397" s="24" t="str">
        <x:v>Source package + repository path + hash</x:v>
      </x:c>
      <x:c r="M397" s="24" t="str">
        <x:v>fd0c2fe4622ddc6dca2f859308bd495991747e05816867b8dbad8f6a491344bc</x:v>
      </x:c>
      <x:c r="N397" s="24" t="str">
        <x:v>Assets/_Project/Scripts/Domain/Displays/DisplayClearAssignmentResult.cs</x:v>
      </x:c>
      <x:c r="O397" s="24" t="str">
        <x:v>5a9d1ce09048470d96063a5d9af7de59</x:v>
      </x:c>
      <x:c r="P397" s="24" t="str">
        <x:v>Sí</x:v>
      </x:c>
      <x:c r="Q397" s="24" t="str">
        <x:v>Condicionado a autoría/procedencia final</x:v>
      </x:c>
      <x:c r="R397" s="24" t="str">
        <x:v>Solo dentro del producto/build autorizado</x:v>
      </x:c>
      <x:c r="S397" s="24" t="str">
        <x:v>Crédito general del estudio; individual si aplica</x:v>
      </x:c>
      <x:c r="T397" s="24" t="str">
        <x:v>VRM Games / Blas Luis Rocha González</x:v>
      </x:c>
      <x:c r="U397" s="24" t="str">
        <x:v>CURRENT PROJECT ASSET</x:v>
      </x:c>
      <x:c r="V397" s="24" t="str">
        <x:v>CONDITIONALLY APPROVED</x:v>
      </x:c>
      <x:c r="W397" s="24" t="str">
        <x:v>Sí</x:v>
      </x:c>
      <x:c r="X397" s="24" t="str">
        <x:v>Low</x:v>
      </x:c>
      <x:c r="Y397" s="24" t="str">
        <x:v>Internal development; public candidate requires gate</x:v>
      </x:c>
      <x:c r="Z397" s="24" t="str">
        <x:v>H6 legal/content audit</x:v>
      </x:c>
      <x:c r="AA397" s="24" t="str">
        <x:v>VRM Games</x:v>
      </x:c>
      <x:c r="AB397" s="24" t="str">
        <x:v>No se detectó proveedor externo en la ruta; confirmar autoría por lote antes de release público.</x:v>
      </x:c>
    </x:row>
    <x:row r="398" ht="34" customHeight="1">
      <x:c r="A398" s="24" t="str">
        <x:v>INT-0394</x:v>
      </x:c>
      <x:c r="B398" s="24" t="str">
        <x:v>f666b85a12d045eaa1550f59001e38c6</x:v>
      </x:c>
      <x:c r="C398" s="24" t="str">
        <x:v>DisplayDefinition.cs</x:v>
      </x:c>
      <x:c r="D398" s="24" t="str">
        <x:v>Code</x:v>
      </x:c>
      <x:c r="E398" s="24" t="str">
        <x:v>Domain</x:v>
      </x:c>
      <x:c r="F398" s="24" t="str">
        <x:v>VRM Games / Blas Luis Rocha González</x:v>
      </x:c>
      <x:c r="G398" s="24" t="str">
        <x:v>VRM Games / Blas Luis Rocha González</x:v>
      </x:c>
      <x:c r="H398" s="24" t="str">
        <x:v>Internal project production</x:v>
      </x:c>
      <x:c r="I398" s="24" t="str">
        <x:v>2026 project timeline</x:v>
      </x:c>
      <x:c r="J398" s="24" t="str">
        <x:v>Internal project IP / authorship claim</x:v>
      </x:c>
      <x:c r="K398" s="24" t="str">
        <x:v>N/A</x:v>
      </x:c>
      <x:c r="L398" s="24" t="str">
        <x:v>Source package + repository path + hash</x:v>
      </x:c>
      <x:c r="M398" s="24" t="str">
        <x:v>318139462955459b81888ce1ab5455b9467279e96d05b52cf23a614f6497e9d9</x:v>
      </x:c>
      <x:c r="N398" s="24" t="str">
        <x:v>Assets/_Project/Scripts/Domain/Displays/DisplayDefinition.cs</x:v>
      </x:c>
      <x:c r="O398" s="24" t="str">
        <x:v>f666b85a12d045eaa1550f59001e38c6</x:v>
      </x:c>
      <x:c r="P398" s="24" t="str">
        <x:v>Sí</x:v>
      </x:c>
      <x:c r="Q398" s="24" t="str">
        <x:v>Condicionado a autoría/procedencia final</x:v>
      </x:c>
      <x:c r="R398" s="24" t="str">
        <x:v>Solo dentro del producto/build autorizado</x:v>
      </x:c>
      <x:c r="S398" s="24" t="str">
        <x:v>Crédito general del estudio; individual si aplica</x:v>
      </x:c>
      <x:c r="T398" s="24" t="str">
        <x:v>VRM Games / Blas Luis Rocha González</x:v>
      </x:c>
      <x:c r="U398" s="24" t="str">
        <x:v>CURRENT PROJECT ASSET</x:v>
      </x:c>
      <x:c r="V398" s="24" t="str">
        <x:v>CONDITIONALLY APPROVED</x:v>
      </x:c>
      <x:c r="W398" s="24" t="str">
        <x:v>Sí</x:v>
      </x:c>
      <x:c r="X398" s="24" t="str">
        <x:v>Low</x:v>
      </x:c>
      <x:c r="Y398" s="24" t="str">
        <x:v>Internal development; public candidate requires gate</x:v>
      </x:c>
      <x:c r="Z398" s="24" t="str">
        <x:v>H6 legal/content audit</x:v>
      </x:c>
      <x:c r="AA398" s="24" t="str">
        <x:v>VRM Games</x:v>
      </x:c>
      <x:c r="AB398" s="24" t="str">
        <x:v>No se detectó proveedor externo en la ruta; confirmar autoría por lote antes de release público.</x:v>
      </x:c>
    </x:row>
    <x:row r="399" ht="34" customHeight="1">
      <x:c r="A399" s="24" t="str">
        <x:v>INT-0395</x:v>
      </x:c>
      <x:c r="B399" s="24" t="str">
        <x:v>00b0f417127240e9bf645b0f10637566</x:v>
      </x:c>
      <x:c r="C399" s="24" t="str">
        <x:v>DisplayDefinitionId.cs</x:v>
      </x:c>
      <x:c r="D399" s="24" t="str">
        <x:v>Code</x:v>
      </x:c>
      <x:c r="E399" s="24" t="str">
        <x:v>Domain</x:v>
      </x:c>
      <x:c r="F399" s="24" t="str">
        <x:v>VRM Games / Blas Luis Rocha González</x:v>
      </x:c>
      <x:c r="G399" s="24" t="str">
        <x:v>VRM Games / Blas Luis Rocha González</x:v>
      </x:c>
      <x:c r="H399" s="24" t="str">
        <x:v>Internal project production</x:v>
      </x:c>
      <x:c r="I399" s="24" t="str">
        <x:v>2026 project timeline</x:v>
      </x:c>
      <x:c r="J399" s="24" t="str">
        <x:v>Internal project IP / authorship claim</x:v>
      </x:c>
      <x:c r="K399" s="24" t="str">
        <x:v>N/A</x:v>
      </x:c>
      <x:c r="L399" s="24" t="str">
        <x:v>Source package + repository path + hash</x:v>
      </x:c>
      <x:c r="M399" s="24" t="str">
        <x:v>250ab06fed8b5f8722f50838184cd50f1a1e8e73bb2dd76f9ca6e3f879afac4d</x:v>
      </x:c>
      <x:c r="N399" s="24" t="str">
        <x:v>Assets/_Project/Scripts/Domain/Displays/DisplayDefinitionId.cs</x:v>
      </x:c>
      <x:c r="O399" s="24" t="str">
        <x:v>00b0f417127240e9bf645b0f10637566</x:v>
      </x:c>
      <x:c r="P399" s="24" t="str">
        <x:v>Sí</x:v>
      </x:c>
      <x:c r="Q399" s="24" t="str">
        <x:v>Condicionado a autoría/procedencia final</x:v>
      </x:c>
      <x:c r="R399" s="24" t="str">
        <x:v>Solo dentro del producto/build autorizado</x:v>
      </x:c>
      <x:c r="S399" s="24" t="str">
        <x:v>Crédito general del estudio; individual si aplica</x:v>
      </x:c>
      <x:c r="T399" s="24" t="str">
        <x:v>VRM Games / Blas Luis Rocha González</x:v>
      </x:c>
      <x:c r="U399" s="24" t="str">
        <x:v>CURRENT PROJECT ASSET</x:v>
      </x:c>
      <x:c r="V399" s="24" t="str">
        <x:v>CONDITIONALLY APPROVED</x:v>
      </x:c>
      <x:c r="W399" s="24" t="str">
        <x:v>Sí</x:v>
      </x:c>
      <x:c r="X399" s="24" t="str">
        <x:v>Low</x:v>
      </x:c>
      <x:c r="Y399" s="24" t="str">
        <x:v>Internal development; public candidate requires gate</x:v>
      </x:c>
      <x:c r="Z399" s="24" t="str">
        <x:v>H6 legal/content audit</x:v>
      </x:c>
      <x:c r="AA399" s="24" t="str">
        <x:v>VRM Games</x:v>
      </x:c>
      <x:c r="AB399" s="24" t="str">
        <x:v>No se detectó proveedor externo en la ruta; confirmar autoría por lote antes de release público.</x:v>
      </x:c>
    </x:row>
    <x:row r="400" ht="34" customHeight="1">
      <x:c r="A400" s="24" t="str">
        <x:v>INT-0396</x:v>
      </x:c>
      <x:c r="B400" s="24" t="str">
        <x:v>3f8482f03d5748f6a254074462d58af2</x:v>
      </x:c>
      <x:c r="C400" s="24" t="str">
        <x:v>DisplayDefinitionRegistry.cs</x:v>
      </x:c>
      <x:c r="D400" s="24" t="str">
        <x:v>Code</x:v>
      </x:c>
      <x:c r="E400" s="24" t="str">
        <x:v>Domain</x:v>
      </x:c>
      <x:c r="F400" s="24" t="str">
        <x:v>VRM Games / Blas Luis Rocha González</x:v>
      </x:c>
      <x:c r="G400" s="24" t="str">
        <x:v>VRM Games / Blas Luis Rocha González</x:v>
      </x:c>
      <x:c r="H400" s="24" t="str">
        <x:v>Internal project production</x:v>
      </x:c>
      <x:c r="I400" s="24" t="str">
        <x:v>2026 project timeline</x:v>
      </x:c>
      <x:c r="J400" s="24" t="str">
        <x:v>Internal project IP / authorship claim</x:v>
      </x:c>
      <x:c r="K400" s="24" t="str">
        <x:v>N/A</x:v>
      </x:c>
      <x:c r="L400" s="24" t="str">
        <x:v>Source package + repository path + hash</x:v>
      </x:c>
      <x:c r="M400" s="24" t="str">
        <x:v>f85eed65f9e19e966736e7ec6d91bdda990b057960335a75e15b2caa36eb80d4</x:v>
      </x:c>
      <x:c r="N400" s="24" t="str">
        <x:v>Assets/_Project/Scripts/Domain/Displays/DisplayDefinitionRegistry.cs</x:v>
      </x:c>
      <x:c r="O400" s="24" t="str">
        <x:v>3f8482f03d5748f6a254074462d58af2</x:v>
      </x:c>
      <x:c r="P400" s="24" t="str">
        <x:v>Sí</x:v>
      </x:c>
      <x:c r="Q400" s="24" t="str">
        <x:v>Condicionado a autoría/procedencia final</x:v>
      </x:c>
      <x:c r="R400" s="24" t="str">
        <x:v>Solo dentro del producto/build autorizado</x:v>
      </x:c>
      <x:c r="S400" s="24" t="str">
        <x:v>Crédito general del estudio; individual si aplica</x:v>
      </x:c>
      <x:c r="T400" s="24" t="str">
        <x:v>VRM Games / Blas Luis Rocha González</x:v>
      </x:c>
      <x:c r="U400" s="24" t="str">
        <x:v>CURRENT PROJECT ASSET</x:v>
      </x:c>
      <x:c r="V400" s="24" t="str">
        <x:v>CONDITIONALLY APPROVED</x:v>
      </x:c>
      <x:c r="W400" s="24" t="str">
        <x:v>Sí</x:v>
      </x:c>
      <x:c r="X400" s="24" t="str">
        <x:v>Low</x:v>
      </x:c>
      <x:c r="Y400" s="24" t="str">
        <x:v>Internal development; public candidate requires gate</x:v>
      </x:c>
      <x:c r="Z400" s="24" t="str">
        <x:v>H6 legal/content audit</x:v>
      </x:c>
      <x:c r="AA400" s="24" t="str">
        <x:v>VRM Games</x:v>
      </x:c>
      <x:c r="AB400" s="24" t="str">
        <x:v>No se detectó proveedor externo en la ruta; confirmar autoría por lote antes de release público.</x:v>
      </x:c>
    </x:row>
    <x:row r="401" ht="34" customHeight="1">
      <x:c r="A401" s="24" t="str">
        <x:v>INT-0397</x:v>
      </x:c>
      <x:c r="B401" s="24" t="str">
        <x:v>95c82507d9a64e9783503bf269af9b96</x:v>
      </x:c>
      <x:c r="C401" s="24" t="str">
        <x:v>DisplayInstance.cs</x:v>
      </x:c>
      <x:c r="D401" s="24" t="str">
        <x:v>Code</x:v>
      </x:c>
      <x:c r="E401" s="24" t="str">
        <x:v>Domain</x:v>
      </x:c>
      <x:c r="F401" s="24" t="str">
        <x:v>VRM Games / Blas Luis Rocha González</x:v>
      </x:c>
      <x:c r="G401" s="24" t="str">
        <x:v>VRM Games / Blas Luis Rocha González</x:v>
      </x:c>
      <x:c r="H401" s="24" t="str">
        <x:v>Internal project production</x:v>
      </x:c>
      <x:c r="I401" s="24" t="str">
        <x:v>2026 project timeline</x:v>
      </x:c>
      <x:c r="J401" s="24" t="str">
        <x:v>Internal project IP / authorship claim</x:v>
      </x:c>
      <x:c r="K401" s="24" t="str">
        <x:v>N/A</x:v>
      </x:c>
      <x:c r="L401" s="24" t="str">
        <x:v>Source package + repository path + hash</x:v>
      </x:c>
      <x:c r="M401" s="24" t="str">
        <x:v>45e007fead414dea3595f516b80ff5a88bc5f0740c9d027c62391243cc347b65</x:v>
      </x:c>
      <x:c r="N401" s="24" t="str">
        <x:v>Assets/_Project/Scripts/Domain/Displays/DisplayInstance.cs</x:v>
      </x:c>
      <x:c r="O401" s="24" t="str">
        <x:v>95c82507d9a64e9783503bf269af9b96</x:v>
      </x:c>
      <x:c r="P401" s="24" t="str">
        <x:v>Sí</x:v>
      </x:c>
      <x:c r="Q401" s="24" t="str">
        <x:v>Condicionado a autoría/procedencia final</x:v>
      </x:c>
      <x:c r="R401" s="24" t="str">
        <x:v>Solo dentro del producto/build autorizado</x:v>
      </x:c>
      <x:c r="S401" s="24" t="str">
        <x:v>Crédito general del estudio; individual si aplica</x:v>
      </x:c>
      <x:c r="T401" s="24" t="str">
        <x:v>VRM Games / Blas Luis Rocha González</x:v>
      </x:c>
      <x:c r="U401" s="24" t="str">
        <x:v>CURRENT PROJECT ASSET</x:v>
      </x:c>
      <x:c r="V401" s="24" t="str">
        <x:v>CONDITIONALLY APPROVED</x:v>
      </x:c>
      <x:c r="W401" s="24" t="str">
        <x:v>Sí</x:v>
      </x:c>
      <x:c r="X401" s="24" t="str">
        <x:v>Low</x:v>
      </x:c>
      <x:c r="Y401" s="24" t="str">
        <x:v>Internal development; public candidate requires gate</x:v>
      </x:c>
      <x:c r="Z401" s="24" t="str">
        <x:v>H6 legal/content audit</x:v>
      </x:c>
      <x:c r="AA401" s="24" t="str">
        <x:v>VRM Games</x:v>
      </x:c>
      <x:c r="AB401" s="24" t="str">
        <x:v>No se detectó proveedor externo en la ruta; confirmar autoría por lote antes de release público.</x:v>
      </x:c>
    </x:row>
    <x:row r="402" ht="34" customHeight="1">
      <x:c r="A402" s="24" t="str">
        <x:v>INT-0398</x:v>
      </x:c>
      <x:c r="B402" s="24" t="str">
        <x:v>dc57c450dddc41d9a54581324af6d519</x:v>
      </x:c>
      <x:c r="C402" s="24" t="str">
        <x:v>DisplayInstanceId.cs</x:v>
      </x:c>
      <x:c r="D402" s="24" t="str">
        <x:v>Code</x:v>
      </x:c>
      <x:c r="E402" s="24" t="str">
        <x:v>Domain</x:v>
      </x:c>
      <x:c r="F402" s="24" t="str">
        <x:v>VRM Games / Blas Luis Rocha González</x:v>
      </x:c>
      <x:c r="G402" s="24" t="str">
        <x:v>VRM Games / Blas Luis Rocha González</x:v>
      </x:c>
      <x:c r="H402" s="24" t="str">
        <x:v>Internal project production</x:v>
      </x:c>
      <x:c r="I402" s="24" t="str">
        <x:v>2026 project timeline</x:v>
      </x:c>
      <x:c r="J402" s="24" t="str">
        <x:v>Internal project IP / authorship claim</x:v>
      </x:c>
      <x:c r="K402" s="24" t="str">
        <x:v>N/A</x:v>
      </x:c>
      <x:c r="L402" s="24" t="str">
        <x:v>Source package + repository path + hash</x:v>
      </x:c>
      <x:c r="M402" s="24" t="str">
        <x:v>609641391e8c4604e0fcf813005b090db36abca6338db01badbb3b54e8b06a09</x:v>
      </x:c>
      <x:c r="N402" s="24" t="str">
        <x:v>Assets/_Project/Scripts/Domain/Displays/DisplayInstanceId.cs</x:v>
      </x:c>
      <x:c r="O402" s="24" t="str">
        <x:v>dc57c450dddc41d9a54581324af6d519</x:v>
      </x:c>
      <x:c r="P402" s="24" t="str">
        <x:v>Sí</x:v>
      </x:c>
      <x:c r="Q402" s="24" t="str">
        <x:v>Condicionado a autoría/procedencia final</x:v>
      </x:c>
      <x:c r="R402" s="24" t="str">
        <x:v>Solo dentro del producto/build autorizado</x:v>
      </x:c>
      <x:c r="S402" s="24" t="str">
        <x:v>Crédito general del estudio; individual si aplica</x:v>
      </x:c>
      <x:c r="T402" s="24" t="str">
        <x:v>VRM Games / Blas Luis Rocha González</x:v>
      </x:c>
      <x:c r="U402" s="24" t="str">
        <x:v>CURRENT PROJECT ASSET</x:v>
      </x:c>
      <x:c r="V402" s="24" t="str">
        <x:v>CONDITIONALLY APPROVED</x:v>
      </x:c>
      <x:c r="W402" s="24" t="str">
        <x:v>Sí</x:v>
      </x:c>
      <x:c r="X402" s="24" t="str">
        <x:v>Low</x:v>
      </x:c>
      <x:c r="Y402" s="24" t="str">
        <x:v>Internal development; public candidate requires gate</x:v>
      </x:c>
      <x:c r="Z402" s="24" t="str">
        <x:v>H6 legal/content audit</x:v>
      </x:c>
      <x:c r="AA402" s="24" t="str">
        <x:v>VRM Games</x:v>
      </x:c>
      <x:c r="AB402" s="24" t="str">
        <x:v>No se detectó proveedor externo en la ruta; confirmar autoría por lote antes de release público.</x:v>
      </x:c>
    </x:row>
    <x:row r="403" ht="34" customHeight="1">
      <x:c r="A403" s="24" t="str">
        <x:v>INT-0399</x:v>
      </x:c>
      <x:c r="B403" s="24" t="str">
        <x:v>50d9b8addd5b49d3942adce2ae766d0e</x:v>
      </x:c>
      <x:c r="C403" s="24" t="str">
        <x:v>DisplayInstanceRegistry.cs</x:v>
      </x:c>
      <x:c r="D403" s="24" t="str">
        <x:v>Code</x:v>
      </x:c>
      <x:c r="E403" s="24" t="str">
        <x:v>Domain</x:v>
      </x:c>
      <x:c r="F403" s="24" t="str">
        <x:v>VRM Games / Blas Luis Rocha González</x:v>
      </x:c>
      <x:c r="G403" s="24" t="str">
        <x:v>VRM Games / Blas Luis Rocha González</x:v>
      </x:c>
      <x:c r="H403" s="24" t="str">
        <x:v>Internal project production</x:v>
      </x:c>
      <x:c r="I403" s="24" t="str">
        <x:v>2026 project timeline</x:v>
      </x:c>
      <x:c r="J403" s="24" t="str">
        <x:v>Internal project IP / authorship claim</x:v>
      </x:c>
      <x:c r="K403" s="24" t="str">
        <x:v>N/A</x:v>
      </x:c>
      <x:c r="L403" s="24" t="str">
        <x:v>Source package + repository path + hash</x:v>
      </x:c>
      <x:c r="M403" s="24" t="str">
        <x:v>60514547e536234f9d45d6fde9656174d8f78a9d5f72786b2f1331b854ea822b</x:v>
      </x:c>
      <x:c r="N403" s="24" t="str">
        <x:v>Assets/_Project/Scripts/Domain/Displays/DisplayInstanceRegistry.cs</x:v>
      </x:c>
      <x:c r="O403" s="24" t="str">
        <x:v>50d9b8addd5b49d3942adce2ae766d0e</x:v>
      </x:c>
      <x:c r="P403" s="24" t="str">
        <x:v>Sí</x:v>
      </x:c>
      <x:c r="Q403" s="24" t="str">
        <x:v>Condicionado a autoría/procedencia final</x:v>
      </x:c>
      <x:c r="R403" s="24" t="str">
        <x:v>Solo dentro del producto/build autorizado</x:v>
      </x:c>
      <x:c r="S403" s="24" t="str">
        <x:v>Crédito general del estudio; individual si aplica</x:v>
      </x:c>
      <x:c r="T403" s="24" t="str">
        <x:v>VRM Games / Blas Luis Rocha González</x:v>
      </x:c>
      <x:c r="U403" s="24" t="str">
        <x:v>CURRENT PROJECT ASSET</x:v>
      </x:c>
      <x:c r="V403" s="24" t="str">
        <x:v>CONDITIONALLY APPROVED</x:v>
      </x:c>
      <x:c r="W403" s="24" t="str">
        <x:v>Sí</x:v>
      </x:c>
      <x:c r="X403" s="24" t="str">
        <x:v>Low</x:v>
      </x:c>
      <x:c r="Y403" s="24" t="str">
        <x:v>Internal development; public candidate requires gate</x:v>
      </x:c>
      <x:c r="Z403" s="24" t="str">
        <x:v>H6 legal/content audit</x:v>
      </x:c>
      <x:c r="AA403" s="24" t="str">
        <x:v>VRM Games</x:v>
      </x:c>
      <x:c r="AB403" s="24" t="str">
        <x:v>No se detectó proveedor externo en la ruta; confirmar autoría por lote antes de release público.</x:v>
      </x:c>
    </x:row>
    <x:row r="404" ht="34" customHeight="1">
      <x:c r="A404" s="24" t="str">
        <x:v>INT-0400</x:v>
      </x:c>
      <x:c r="B404" s="24" t="str">
        <x:v>716a4f7f3f8b4e0f88696f6ef214bfb5</x:v>
      </x:c>
      <x:c r="C404" s="24" t="str">
        <x:v>RestockTask.cs</x:v>
      </x:c>
      <x:c r="D404" s="24" t="str">
        <x:v>Code</x:v>
      </x:c>
      <x:c r="E404" s="24" t="str">
        <x:v>Domain</x:v>
      </x:c>
      <x:c r="F404" s="24" t="str">
        <x:v>VRM Games / Blas Luis Rocha González</x:v>
      </x:c>
      <x:c r="G404" s="24" t="str">
        <x:v>VRM Games / Blas Luis Rocha González</x:v>
      </x:c>
      <x:c r="H404" s="24" t="str">
        <x:v>Internal project production</x:v>
      </x:c>
      <x:c r="I404" s="24" t="str">
        <x:v>2026 project timeline</x:v>
      </x:c>
      <x:c r="J404" s="24" t="str">
        <x:v>Internal project IP / authorship claim</x:v>
      </x:c>
      <x:c r="K404" s="24" t="str">
        <x:v>N/A</x:v>
      </x:c>
      <x:c r="L404" s="24" t="str">
        <x:v>Source package + repository path + hash</x:v>
      </x:c>
      <x:c r="M404" s="24" t="str">
        <x:v>17db5efdcaa2320904e1e673486238cb14d9fc0ac7111b4f171e488fadbf7a3b</x:v>
      </x:c>
      <x:c r="N404" s="24" t="str">
        <x:v>Assets/_Project/Scripts/Domain/Displays/RestockTask.cs</x:v>
      </x:c>
      <x:c r="O404" s="24" t="str">
        <x:v>716a4f7f3f8b4e0f88696f6ef214bfb5</x:v>
      </x:c>
      <x:c r="P404" s="24" t="str">
        <x:v>Sí</x:v>
      </x:c>
      <x:c r="Q404" s="24" t="str">
        <x:v>Condicionado a autoría/procedencia final</x:v>
      </x:c>
      <x:c r="R404" s="24" t="str">
        <x:v>Solo dentro del producto/build autorizado</x:v>
      </x:c>
      <x:c r="S404" s="24" t="str">
        <x:v>Crédito general del estudio; individual si aplica</x:v>
      </x:c>
      <x:c r="T404" s="24" t="str">
        <x:v>VRM Games / Blas Luis Rocha González</x:v>
      </x:c>
      <x:c r="U404" s="24" t="str">
        <x:v>CURRENT PROJECT ASSET</x:v>
      </x:c>
      <x:c r="V404" s="24" t="str">
        <x:v>CONDITIONALLY APPROVED</x:v>
      </x:c>
      <x:c r="W404" s="24" t="str">
        <x:v>Sí</x:v>
      </x:c>
      <x:c r="X404" s="24" t="str">
        <x:v>Low</x:v>
      </x:c>
      <x:c r="Y404" s="24" t="str">
        <x:v>Internal development; public candidate requires gate</x:v>
      </x:c>
      <x:c r="Z404" s="24" t="str">
        <x:v>H6 legal/content audit</x:v>
      </x:c>
      <x:c r="AA404" s="24" t="str">
        <x:v>VRM Games</x:v>
      </x:c>
      <x:c r="AB404" s="24" t="str">
        <x:v>No se detectó proveedor externo en la ruta; confirmar autoría por lote antes de release público.</x:v>
      </x:c>
    </x:row>
    <x:row r="405" ht="34" customHeight="1">
      <x:c r="A405" s="24" t="str">
        <x:v>INT-0401</x:v>
      </x:c>
      <x:c r="B405" s="24" t="str">
        <x:v>91fbb8a93d9b4845b52b2c3ced494d5d</x:v>
      </x:c>
      <x:c r="C405" s="24" t="str">
        <x:v>RestockTaskId.cs</x:v>
      </x:c>
      <x:c r="D405" s="24" t="str">
        <x:v>Code</x:v>
      </x:c>
      <x:c r="E405" s="24" t="str">
        <x:v>Domain</x:v>
      </x:c>
      <x:c r="F405" s="24" t="str">
        <x:v>VRM Games / Blas Luis Rocha González</x:v>
      </x:c>
      <x:c r="G405" s="24" t="str">
        <x:v>VRM Games / Blas Luis Rocha González</x:v>
      </x:c>
      <x:c r="H405" s="24" t="str">
        <x:v>Internal project production</x:v>
      </x:c>
      <x:c r="I405" s="24" t="str">
        <x:v>2026 project timeline</x:v>
      </x:c>
      <x:c r="J405" s="24" t="str">
        <x:v>Internal project IP / authorship claim</x:v>
      </x:c>
      <x:c r="K405" s="24" t="str">
        <x:v>N/A</x:v>
      </x:c>
      <x:c r="L405" s="24" t="str">
        <x:v>Source package + repository path + hash</x:v>
      </x:c>
      <x:c r="M405" s="24" t="str">
        <x:v>70418377fe609ae5e6943368e734f5f555acb5fceedcd16a29fe2130c6f396ad</x:v>
      </x:c>
      <x:c r="N405" s="24" t="str">
        <x:v>Assets/_Project/Scripts/Domain/Displays/RestockTaskId.cs</x:v>
      </x:c>
      <x:c r="O405" s="24" t="str">
        <x:v>91fbb8a93d9b4845b52b2c3ced494d5d</x:v>
      </x:c>
      <x:c r="P405" s="24" t="str">
        <x:v>Sí</x:v>
      </x:c>
      <x:c r="Q405" s="24" t="str">
        <x:v>Condicionado a autoría/procedencia final</x:v>
      </x:c>
      <x:c r="R405" s="24" t="str">
        <x:v>Solo dentro del producto/build autorizado</x:v>
      </x:c>
      <x:c r="S405" s="24" t="str">
        <x:v>Crédito general del estudio; individual si aplica</x:v>
      </x:c>
      <x:c r="T405" s="24" t="str">
        <x:v>VRM Games / Blas Luis Rocha González</x:v>
      </x:c>
      <x:c r="U405" s="24" t="str">
        <x:v>CURRENT PROJECT ASSET</x:v>
      </x:c>
      <x:c r="V405" s="24" t="str">
        <x:v>CONDITIONALLY APPROVED</x:v>
      </x:c>
      <x:c r="W405" s="24" t="str">
        <x:v>Sí</x:v>
      </x:c>
      <x:c r="X405" s="24" t="str">
        <x:v>Low</x:v>
      </x:c>
      <x:c r="Y405" s="24" t="str">
        <x:v>Internal development; public candidate requires gate</x:v>
      </x:c>
      <x:c r="Z405" s="24" t="str">
        <x:v>H6 legal/content audit</x:v>
      </x:c>
      <x:c r="AA405" s="24" t="str">
        <x:v>VRM Games</x:v>
      </x:c>
      <x:c r="AB405" s="24" t="str">
        <x:v>No se detectó proveedor externo en la ruta; confirmar autoría por lote antes de release público.</x:v>
      </x:c>
    </x:row>
    <x:row r="406" ht="34" customHeight="1">
      <x:c r="A406" s="24" t="str">
        <x:v>INT-0402</x:v>
      </x:c>
      <x:c r="B406" s="24" t="str">
        <x:v>eaa7f22b9246404990b0eb892934b22c</x:v>
      </x:c>
      <x:c r="C406" s="24" t="str">
        <x:v>RestockTaskStatus.cs</x:v>
      </x:c>
      <x:c r="D406" s="24" t="str">
        <x:v>Code</x:v>
      </x:c>
      <x:c r="E406" s="24" t="str">
        <x:v>Domain</x:v>
      </x:c>
      <x:c r="F406" s="24" t="str">
        <x:v>VRM Games / Blas Luis Rocha González</x:v>
      </x:c>
      <x:c r="G406" s="24" t="str">
        <x:v>VRM Games / Blas Luis Rocha González</x:v>
      </x:c>
      <x:c r="H406" s="24" t="str">
        <x:v>Internal project production</x:v>
      </x:c>
      <x:c r="I406" s="24" t="str">
        <x:v>2026 project timeline</x:v>
      </x:c>
      <x:c r="J406" s="24" t="str">
        <x:v>Internal project IP / authorship claim</x:v>
      </x:c>
      <x:c r="K406" s="24" t="str">
        <x:v>N/A</x:v>
      </x:c>
      <x:c r="L406" s="24" t="str">
        <x:v>Source package + repository path + hash</x:v>
      </x:c>
      <x:c r="M406" s="24" t="str">
        <x:v>b6f83d52af6c5983d47e2df8516b9423e204bb0f1126f6b23bf533f25e328f8f</x:v>
      </x:c>
      <x:c r="N406" s="24" t="str">
        <x:v>Assets/_Project/Scripts/Domain/Displays/RestockTaskStatus.cs</x:v>
      </x:c>
      <x:c r="O406" s="24" t="str">
        <x:v>eaa7f22b9246404990b0eb892934b22c</x:v>
      </x:c>
      <x:c r="P406" s="24" t="str">
        <x:v>Sí</x:v>
      </x:c>
      <x:c r="Q406" s="24" t="str">
        <x:v>Condicionado a autoría/procedencia final</x:v>
      </x:c>
      <x:c r="R406" s="24" t="str">
        <x:v>Solo dentro del producto/build autorizado</x:v>
      </x:c>
      <x:c r="S406" s="24" t="str">
        <x:v>Crédito general del estudio; individual si aplica</x:v>
      </x:c>
      <x:c r="T406" s="24" t="str">
        <x:v>VRM Games / Blas Luis Rocha González</x:v>
      </x:c>
      <x:c r="U406" s="24" t="str">
        <x:v>CURRENT PROJECT ASSET</x:v>
      </x:c>
      <x:c r="V406" s="24" t="str">
        <x:v>CONDITIONALLY APPROVED</x:v>
      </x:c>
      <x:c r="W406" s="24" t="str">
        <x:v>Sí</x:v>
      </x:c>
      <x:c r="X406" s="24" t="str">
        <x:v>Low</x:v>
      </x:c>
      <x:c r="Y406" s="24" t="str">
        <x:v>Internal development; public candidate requires gate</x:v>
      </x:c>
      <x:c r="Z406" s="24" t="str">
        <x:v>H6 legal/content audit</x:v>
      </x:c>
      <x:c r="AA406" s="24" t="str">
        <x:v>VRM Games</x:v>
      </x:c>
      <x:c r="AB406" s="24" t="str">
        <x:v>No se detectó proveedor externo en la ruta; confirmar autoría por lote antes de release público.</x:v>
      </x:c>
    </x:row>
    <x:row r="407" ht="34" customHeight="1">
      <x:c r="A407" s="24" t="str">
        <x:v>INT-0403</x:v>
      </x:c>
      <x:c r="B407" s="24" t="str">
        <x:v>b27ce14adc5a4e0a8fc0f380262c05e5</x:v>
      </x:c>
      <x:c r="C407" s="24" t="str">
        <x:v>RestockTaskTransitionFailureReason.cs</x:v>
      </x:c>
      <x:c r="D407" s="24" t="str">
        <x:v>Code</x:v>
      </x:c>
      <x:c r="E407" s="24" t="str">
        <x:v>Domain</x:v>
      </x:c>
      <x:c r="F407" s="24" t="str">
        <x:v>VRM Games / Blas Luis Rocha González</x:v>
      </x:c>
      <x:c r="G407" s="24" t="str">
        <x:v>VRM Games / Blas Luis Rocha González</x:v>
      </x:c>
      <x:c r="H407" s="24" t="str">
        <x:v>Internal project production</x:v>
      </x:c>
      <x:c r="I407" s="24" t="str">
        <x:v>2026 project timeline</x:v>
      </x:c>
      <x:c r="J407" s="24" t="str">
        <x:v>Internal project IP / authorship claim</x:v>
      </x:c>
      <x:c r="K407" s="24" t="str">
        <x:v>N/A</x:v>
      </x:c>
      <x:c r="L407" s="24" t="str">
        <x:v>Source package + repository path + hash</x:v>
      </x:c>
      <x:c r="M407" s="24" t="str">
        <x:v>dcbc2ce531479d6c4f5674742c989d7a96cab2b8ed90055c7b596ef45e849c38</x:v>
      </x:c>
      <x:c r="N407" s="24" t="str">
        <x:v>Assets/_Project/Scripts/Domain/Displays/RestockTaskTransitionFailureReason.cs</x:v>
      </x:c>
      <x:c r="O407" s="24" t="str">
        <x:v>b27ce14adc5a4e0a8fc0f380262c05e5</x:v>
      </x:c>
      <x:c r="P407" s="24" t="str">
        <x:v>Sí</x:v>
      </x:c>
      <x:c r="Q407" s="24" t="str">
        <x:v>Condicionado a autoría/procedencia final</x:v>
      </x:c>
      <x:c r="R407" s="24" t="str">
        <x:v>Solo dentro del producto/build autorizado</x:v>
      </x:c>
      <x:c r="S407" s="24" t="str">
        <x:v>Crédito general del estudio; individual si aplica</x:v>
      </x:c>
      <x:c r="T407" s="24" t="str">
        <x:v>VRM Games / Blas Luis Rocha González</x:v>
      </x:c>
      <x:c r="U407" s="24" t="str">
        <x:v>CURRENT PROJECT ASSET</x:v>
      </x:c>
      <x:c r="V407" s="24" t="str">
        <x:v>CONDITIONALLY APPROVED</x:v>
      </x:c>
      <x:c r="W407" s="24" t="str">
        <x:v>Sí</x:v>
      </x:c>
      <x:c r="X407" s="24" t="str">
        <x:v>Low</x:v>
      </x:c>
      <x:c r="Y407" s="24" t="str">
        <x:v>Internal development; public candidate requires gate</x:v>
      </x:c>
      <x:c r="Z407" s="24" t="str">
        <x:v>H6 legal/content audit</x:v>
      </x:c>
      <x:c r="AA407" s="24" t="str">
        <x:v>VRM Games</x:v>
      </x:c>
      <x:c r="AB407" s="24" t="str">
        <x:v>No se detectó proveedor externo en la ruta; confirmar autoría por lote antes de release público.</x:v>
      </x:c>
    </x:row>
    <x:row r="408" ht="34" customHeight="1">
      <x:c r="A408" s="24" t="str">
        <x:v>INT-0404</x:v>
      </x:c>
      <x:c r="B408" s="24" t="str">
        <x:v>5c3d170581174128a019186c1b6784a8</x:v>
      </x:c>
      <x:c r="C408" s="24" t="str">
        <x:v>RestockTaskTransitionResult.cs</x:v>
      </x:c>
      <x:c r="D408" s="24" t="str">
        <x:v>Code</x:v>
      </x:c>
      <x:c r="E408" s="24" t="str">
        <x:v>Domain</x:v>
      </x:c>
      <x:c r="F408" s="24" t="str">
        <x:v>VRM Games / Blas Luis Rocha González</x:v>
      </x:c>
      <x:c r="G408" s="24" t="str">
        <x:v>VRM Games / Blas Luis Rocha González</x:v>
      </x:c>
      <x:c r="H408" s="24" t="str">
        <x:v>Internal project production</x:v>
      </x:c>
      <x:c r="I408" s="24" t="str">
        <x:v>2026 project timeline</x:v>
      </x:c>
      <x:c r="J408" s="24" t="str">
        <x:v>Internal project IP / authorship claim</x:v>
      </x:c>
      <x:c r="K408" s="24" t="str">
        <x:v>N/A</x:v>
      </x:c>
      <x:c r="L408" s="24" t="str">
        <x:v>Source package + repository path + hash</x:v>
      </x:c>
      <x:c r="M408" s="24" t="str">
        <x:v>373a44b0e05364cfa66d6a6dd49f18c9bb15f735eba36362e2df7f195b86b10f</x:v>
      </x:c>
      <x:c r="N408" s="24" t="str">
        <x:v>Assets/_Project/Scripts/Domain/Displays/RestockTaskTransitionResult.cs</x:v>
      </x:c>
      <x:c r="O408" s="24" t="str">
        <x:v>5c3d170581174128a019186c1b6784a8</x:v>
      </x:c>
      <x:c r="P408" s="24" t="str">
        <x:v>Sí</x:v>
      </x:c>
      <x:c r="Q408" s="24" t="str">
        <x:v>Condicionado a autoría/procedencia final</x:v>
      </x:c>
      <x:c r="R408" s="24" t="str">
        <x:v>Solo dentro del producto/build autorizado</x:v>
      </x:c>
      <x:c r="S408" s="24" t="str">
        <x:v>Crédito general del estudio; individual si aplica</x:v>
      </x:c>
      <x:c r="T408" s="24" t="str">
        <x:v>VRM Games / Blas Luis Rocha González</x:v>
      </x:c>
      <x:c r="U408" s="24" t="str">
        <x:v>CURRENT PROJECT ASSET</x:v>
      </x:c>
      <x:c r="V408" s="24" t="str">
        <x:v>CONDITIONALLY APPROVED</x:v>
      </x:c>
      <x:c r="W408" s="24" t="str">
        <x:v>Sí</x:v>
      </x:c>
      <x:c r="X408" s="24" t="str">
        <x:v>Low</x:v>
      </x:c>
      <x:c r="Y408" s="24" t="str">
        <x:v>Internal development; public candidate requires gate</x:v>
      </x:c>
      <x:c r="Z408" s="24" t="str">
        <x:v>H6 legal/content audit</x:v>
      </x:c>
      <x:c r="AA408" s="24" t="str">
        <x:v>VRM Games</x:v>
      </x:c>
      <x:c r="AB408" s="24" t="str">
        <x:v>No se detectó proveedor externo en la ruta; confirmar autoría por lote antes de release público.</x:v>
      </x:c>
    </x:row>
    <x:row r="409" ht="34" customHeight="1">
      <x:c r="A409" s="24" t="str">
        <x:v>INT-0405</x:v>
      </x:c>
      <x:c r="B409" s="24" t="str">
        <x:v>8448514440e34e71926c16879cff3c83</x:v>
      </x:c>
      <x:c r="C409" s="24" t="str">
        <x:v>DailyEconomicResult.cs</x:v>
      </x:c>
      <x:c r="D409" s="24" t="str">
        <x:v>Code</x:v>
      </x:c>
      <x:c r="E409" s="24" t="str">
        <x:v>Domain</x:v>
      </x:c>
      <x:c r="F409" s="24" t="str">
        <x:v>VRM Games / Blas Luis Rocha González</x:v>
      </x:c>
      <x:c r="G409" s="24" t="str">
        <x:v>VRM Games / Blas Luis Rocha González</x:v>
      </x:c>
      <x:c r="H409" s="24" t="str">
        <x:v>Internal project production</x:v>
      </x:c>
      <x:c r="I409" s="24" t="str">
        <x:v>2026 project timeline</x:v>
      </x:c>
      <x:c r="J409" s="24" t="str">
        <x:v>Internal project IP / authorship claim</x:v>
      </x:c>
      <x:c r="K409" s="24" t="str">
        <x:v>N/A</x:v>
      </x:c>
      <x:c r="L409" s="24" t="str">
        <x:v>Source package + repository path + hash</x:v>
      </x:c>
      <x:c r="M409" s="24" t="str">
        <x:v>51835e9d79611a7ae9eb53620b43a9867eaf93b25c023ce922e182f8ec4e8c8e</x:v>
      </x:c>
      <x:c r="N409" s="24" t="str">
        <x:v>Assets/_Project/Scripts/Domain/Economy/DailyEconomicResult.cs</x:v>
      </x:c>
      <x:c r="O409" s="24" t="str">
        <x:v>8448514440e34e71926c16879cff3c83</x:v>
      </x:c>
      <x:c r="P409" s="24" t="str">
        <x:v>Sí</x:v>
      </x:c>
      <x:c r="Q409" s="24" t="str">
        <x:v>Condicionado a autoría/procedencia final</x:v>
      </x:c>
      <x:c r="R409" s="24" t="str">
        <x:v>Solo dentro del producto/build autorizado</x:v>
      </x:c>
      <x:c r="S409" s="24" t="str">
        <x:v>Crédito general del estudio; individual si aplica</x:v>
      </x:c>
      <x:c r="T409" s="24" t="str">
        <x:v>VRM Games / Blas Luis Rocha González</x:v>
      </x:c>
      <x:c r="U409" s="24" t="str">
        <x:v>CURRENT PROJECT ASSET</x:v>
      </x:c>
      <x:c r="V409" s="24" t="str">
        <x:v>CONDITIONALLY APPROVED</x:v>
      </x:c>
      <x:c r="W409" s="24" t="str">
        <x:v>Sí</x:v>
      </x:c>
      <x:c r="X409" s="24" t="str">
        <x:v>Low</x:v>
      </x:c>
      <x:c r="Y409" s="24" t="str">
        <x:v>Internal development; public candidate requires gate</x:v>
      </x:c>
      <x:c r="Z409" s="24" t="str">
        <x:v>H6 legal/content audit</x:v>
      </x:c>
      <x:c r="AA409" s="24" t="str">
        <x:v>VRM Games</x:v>
      </x:c>
      <x:c r="AB409" s="24" t="str">
        <x:v>No se detectó proveedor externo en la ruta; confirmar autoría por lote antes de release público.</x:v>
      </x:c>
    </x:row>
    <x:row r="410" ht="34" customHeight="1">
      <x:c r="A410" s="24" t="str">
        <x:v>INT-0406</x:v>
      </x:c>
      <x:c r="B410" s="24" t="str">
        <x:v>53ac963db75b4346a2667fbfd1de4a89</x:v>
      </x:c>
      <x:c r="C410" s="24" t="str">
        <x:v>EconomyLedger.cs</x:v>
      </x:c>
      <x:c r="D410" s="24" t="str">
        <x:v>Code</x:v>
      </x:c>
      <x:c r="E410" s="24" t="str">
        <x:v>Domain</x:v>
      </x:c>
      <x:c r="F410" s="24" t="str">
        <x:v>VRM Games / Blas Luis Rocha González</x:v>
      </x:c>
      <x:c r="G410" s="24" t="str">
        <x:v>VRM Games / Blas Luis Rocha González</x:v>
      </x:c>
      <x:c r="H410" s="24" t="str">
        <x:v>Internal project production</x:v>
      </x:c>
      <x:c r="I410" s="24" t="str">
        <x:v>2026 project timeline</x:v>
      </x:c>
      <x:c r="J410" s="24" t="str">
        <x:v>Internal project IP / authorship claim</x:v>
      </x:c>
      <x:c r="K410" s="24" t="str">
        <x:v>N/A</x:v>
      </x:c>
      <x:c r="L410" s="24" t="str">
        <x:v>Source package + repository path + hash</x:v>
      </x:c>
      <x:c r="M410" s="24" t="str">
        <x:v>f171035b842accfc7640b45a1b70c4634e3fa379de869759ff6503ca0b58eed3</x:v>
      </x:c>
      <x:c r="N410" s="24" t="str">
        <x:v>Assets/_Project/Scripts/Domain/Economy/EconomyLedger.cs</x:v>
      </x:c>
      <x:c r="O410" s="24" t="str">
        <x:v>53ac963db75b4346a2667fbfd1de4a89</x:v>
      </x:c>
      <x:c r="P410" s="24" t="str">
        <x:v>Sí</x:v>
      </x:c>
      <x:c r="Q410" s="24" t="str">
        <x:v>Condicionado a autoría/procedencia final</x:v>
      </x:c>
      <x:c r="R410" s="24" t="str">
        <x:v>Solo dentro del producto/build autorizado</x:v>
      </x:c>
      <x:c r="S410" s="24" t="str">
        <x:v>Crédito general del estudio; individual si aplica</x:v>
      </x:c>
      <x:c r="T410" s="24" t="str">
        <x:v>VRM Games / Blas Luis Rocha González</x:v>
      </x:c>
      <x:c r="U410" s="24" t="str">
        <x:v>CURRENT PROJECT ASSET</x:v>
      </x:c>
      <x:c r="V410" s="24" t="str">
        <x:v>CONDITIONALLY APPROVED</x:v>
      </x:c>
      <x:c r="W410" s="24" t="str">
        <x:v>Sí</x:v>
      </x:c>
      <x:c r="X410" s="24" t="str">
        <x:v>Low</x:v>
      </x:c>
      <x:c r="Y410" s="24" t="str">
        <x:v>Internal development; public candidate requires gate</x:v>
      </x:c>
      <x:c r="Z410" s="24" t="str">
        <x:v>H6 legal/content audit</x:v>
      </x:c>
      <x:c r="AA410" s="24" t="str">
        <x:v>VRM Games</x:v>
      </x:c>
      <x:c r="AB410" s="24" t="str">
        <x:v>No se detectó proveedor externo en la ruta; confirmar autoría por lote antes de release público.</x:v>
      </x:c>
    </x:row>
    <x:row r="411" ht="34" customHeight="1">
      <x:c r="A411" s="24" t="str">
        <x:v>INT-0407</x:v>
      </x:c>
      <x:c r="B411" s="24" t="str">
        <x:v>3c4ec7c7020d4597a855101449995cf5</x:v>
      </x:c>
      <x:c r="C411" s="24" t="str">
        <x:v>Money.cs</x:v>
      </x:c>
      <x:c r="D411" s="24" t="str">
        <x:v>Code</x:v>
      </x:c>
      <x:c r="E411" s="24" t="str">
        <x:v>Domain</x:v>
      </x:c>
      <x:c r="F411" s="24" t="str">
        <x:v>VRM Games / Blas Luis Rocha González</x:v>
      </x:c>
      <x:c r="G411" s="24" t="str">
        <x:v>VRM Games / Blas Luis Rocha González</x:v>
      </x:c>
      <x:c r="H411" s="24" t="str">
        <x:v>Internal project production</x:v>
      </x:c>
      <x:c r="I411" s="24" t="str">
        <x:v>2026 project timeline</x:v>
      </x:c>
      <x:c r="J411" s="24" t="str">
        <x:v>Internal project IP / authorship claim</x:v>
      </x:c>
      <x:c r="K411" s="24" t="str">
        <x:v>N/A</x:v>
      </x:c>
      <x:c r="L411" s="24" t="str">
        <x:v>Source package + repository path + hash</x:v>
      </x:c>
      <x:c r="M411" s="24" t="str">
        <x:v>439da22e8642d08bc11714477080c09addac74e7a3a3e71cec17fcfb4e78245f</x:v>
      </x:c>
      <x:c r="N411" s="24" t="str">
        <x:v>Assets/_Project/Scripts/Domain/Economy/Money.cs</x:v>
      </x:c>
      <x:c r="O411" s="24" t="str">
        <x:v>3c4ec7c7020d4597a855101449995cf5</x:v>
      </x:c>
      <x:c r="P411" s="24" t="str">
        <x:v>Sí</x:v>
      </x:c>
      <x:c r="Q411" s="24" t="str">
        <x:v>Condicionado a autoría/procedencia final</x:v>
      </x:c>
      <x:c r="R411" s="24" t="str">
        <x:v>Solo dentro del producto/build autorizado</x:v>
      </x:c>
      <x:c r="S411" s="24" t="str">
        <x:v>Crédito general del estudio; individual si aplica</x:v>
      </x:c>
      <x:c r="T411" s="24" t="str">
        <x:v>VRM Games / Blas Luis Rocha González</x:v>
      </x:c>
      <x:c r="U411" s="24" t="str">
        <x:v>CURRENT PROJECT ASSET</x:v>
      </x:c>
      <x:c r="V411" s="24" t="str">
        <x:v>CONDITIONALLY APPROVED</x:v>
      </x:c>
      <x:c r="W411" s="24" t="str">
        <x:v>Sí</x:v>
      </x:c>
      <x:c r="X411" s="24" t="str">
        <x:v>Low</x:v>
      </x:c>
      <x:c r="Y411" s="24" t="str">
        <x:v>Internal development; public candidate requires gate</x:v>
      </x:c>
      <x:c r="Z411" s="24" t="str">
        <x:v>H6 legal/content audit</x:v>
      </x:c>
      <x:c r="AA411" s="24" t="str">
        <x:v>VRM Games</x:v>
      </x:c>
      <x:c r="AB411" s="24" t="str">
        <x:v>No se detectó proveedor externo en la ruta; confirmar autoría por lote antes de release público.</x:v>
      </x:c>
    </x:row>
    <x:row r="412" ht="34" customHeight="1">
      <x:c r="A412" s="24" t="str">
        <x:v>INT-0408</x:v>
      </x:c>
      <x:c r="B412" s="24" t="str">
        <x:v>16a40d93ef6542bb860e70cbe55ad6b2</x:v>
      </x:c>
      <x:c r="C412" s="24" t="str">
        <x:v>ProductSalePricing.cs</x:v>
      </x:c>
      <x:c r="D412" s="24" t="str">
        <x:v>Code</x:v>
      </x:c>
      <x:c r="E412" s="24" t="str">
        <x:v>Domain</x:v>
      </x:c>
      <x:c r="F412" s="24" t="str">
        <x:v>VRM Games / Blas Luis Rocha González</x:v>
      </x:c>
      <x:c r="G412" s="24" t="str">
        <x:v>VRM Games / Blas Luis Rocha González</x:v>
      </x:c>
      <x:c r="H412" s="24" t="str">
        <x:v>Internal project production</x:v>
      </x:c>
      <x:c r="I412" s="24" t="str">
        <x:v>2026 project timeline</x:v>
      </x:c>
      <x:c r="J412" s="24" t="str">
        <x:v>Internal project IP / authorship claim</x:v>
      </x:c>
      <x:c r="K412" s="24" t="str">
        <x:v>N/A</x:v>
      </x:c>
      <x:c r="L412" s="24" t="str">
        <x:v>Source package + repository path + hash</x:v>
      </x:c>
      <x:c r="M412" s="24" t="str">
        <x:v>dd2d49ceb432e285406cc38918805274e7d128a4f5c3cb4371029bdf617d8e49</x:v>
      </x:c>
      <x:c r="N412" s="24" t="str">
        <x:v>Assets/_Project/Scripts/Domain/Economy/ProductSalePricing.cs</x:v>
      </x:c>
      <x:c r="O412" s="24" t="str">
        <x:v>16a40d93ef6542bb860e70cbe55ad6b2</x:v>
      </x:c>
      <x:c r="P412" s="24" t="str">
        <x:v>Sí</x:v>
      </x:c>
      <x:c r="Q412" s="24" t="str">
        <x:v>Condicionado a autoría/procedencia final</x:v>
      </x:c>
      <x:c r="R412" s="24" t="str">
        <x:v>Solo dentro del producto/build autorizado</x:v>
      </x:c>
      <x:c r="S412" s="24" t="str">
        <x:v>Crédito general del estudio; individual si aplica</x:v>
      </x:c>
      <x:c r="T412" s="24" t="str">
        <x:v>VRM Games / Blas Luis Rocha González</x:v>
      </x:c>
      <x:c r="U412" s="24" t="str">
        <x:v>CURRENT PROJECT ASSET</x:v>
      </x:c>
      <x:c r="V412" s="24" t="str">
        <x:v>CONDITIONALLY APPROVED</x:v>
      </x:c>
      <x:c r="W412" s="24" t="str">
        <x:v>Sí</x:v>
      </x:c>
      <x:c r="X412" s="24" t="str">
        <x:v>Low</x:v>
      </x:c>
      <x:c r="Y412" s="24" t="str">
        <x:v>Internal development; public candidate requires gate</x:v>
      </x:c>
      <x:c r="Z412" s="24" t="str">
        <x:v>H6 legal/content audit</x:v>
      </x:c>
      <x:c r="AA412" s="24" t="str">
        <x:v>VRM Games</x:v>
      </x:c>
      <x:c r="AB412" s="24" t="str">
        <x:v>No se detectó proveedor externo en la ruta; confirmar autoría por lote antes de release público.</x:v>
      </x:c>
    </x:row>
    <x:row r="413" ht="34" customHeight="1">
      <x:c r="A413" s="24" t="str">
        <x:v>INT-0409</x:v>
      </x:c>
      <x:c r="B413" s="24" t="str">
        <x:v>8840eb6ffde441098fbba0f37187f050</x:v>
      </x:c>
      <x:c r="C413" s="24" t="str">
        <x:v>GameSession.cs</x:v>
      </x:c>
      <x:c r="D413" s="24" t="str">
        <x:v>Code</x:v>
      </x:c>
      <x:c r="E413" s="24" t="str">
        <x:v>Domain</x:v>
      </x:c>
      <x:c r="F413" s="24" t="str">
        <x:v>VRM Games / Blas Luis Rocha González</x:v>
      </x:c>
      <x:c r="G413" s="24" t="str">
        <x:v>VRM Games / Blas Luis Rocha González</x:v>
      </x:c>
      <x:c r="H413" s="24" t="str">
        <x:v>Internal project production</x:v>
      </x:c>
      <x:c r="I413" s="24" t="str">
        <x:v>2026 project timeline</x:v>
      </x:c>
      <x:c r="J413" s="24" t="str">
        <x:v>Internal project IP / authorship claim</x:v>
      </x:c>
      <x:c r="K413" s="24" t="str">
        <x:v>N/A</x:v>
      </x:c>
      <x:c r="L413" s="24" t="str">
        <x:v>Source package + repository path + hash</x:v>
      </x:c>
      <x:c r="M413" s="24" t="str">
        <x:v>7439d5208b3142565308f75b0beaed5678fad99d8c99bd2c2e36b739772cb168</x:v>
      </x:c>
      <x:c r="N413" s="24" t="str">
        <x:v>Assets/_Project/Scripts/Domain/GameSession/GameSession.cs</x:v>
      </x:c>
      <x:c r="O413" s="24" t="str">
        <x:v>8840eb6ffde441098fbba0f37187f050</x:v>
      </x:c>
      <x:c r="P413" s="24" t="str">
        <x:v>Sí</x:v>
      </x:c>
      <x:c r="Q413" s="24" t="str">
        <x:v>Condicionado a autoría/procedencia final</x:v>
      </x:c>
      <x:c r="R413" s="24" t="str">
        <x:v>Solo dentro del producto/build autorizado</x:v>
      </x:c>
      <x:c r="S413" s="24" t="str">
        <x:v>Crédito general del estudio; individual si aplica</x:v>
      </x:c>
      <x:c r="T413" s="24" t="str">
        <x:v>VRM Games / Blas Luis Rocha González</x:v>
      </x:c>
      <x:c r="U413" s="24" t="str">
        <x:v>CURRENT PROJECT ASSET</x:v>
      </x:c>
      <x:c r="V413" s="24" t="str">
        <x:v>CONDITIONALLY APPROVED</x:v>
      </x:c>
      <x:c r="W413" s="24" t="str">
        <x:v>Sí</x:v>
      </x:c>
      <x:c r="X413" s="24" t="str">
        <x:v>Low</x:v>
      </x:c>
      <x:c r="Y413" s="24" t="str">
        <x:v>Internal development; public candidate requires gate</x:v>
      </x:c>
      <x:c r="Z413" s="24" t="str">
        <x:v>H6 legal/content audit</x:v>
      </x:c>
      <x:c r="AA413" s="24" t="str">
        <x:v>VRM Games</x:v>
      </x:c>
      <x:c r="AB413" s="24" t="str">
        <x:v>No se detectó proveedor externo en la ruta; confirmar autoría por lote antes de release público.</x:v>
      </x:c>
    </x:row>
    <x:row r="414" ht="34" customHeight="1">
      <x:c r="A414" s="24" t="str">
        <x:v>INT-0410</x:v>
      </x:c>
      <x:c r="B414" s="24" t="str">
        <x:v>35e04149209f4214af251c1d2f6be6c7</x:v>
      </x:c>
      <x:c r="C414" s="24" t="str">
        <x:v>GameSessionSnapshot.cs</x:v>
      </x:c>
      <x:c r="D414" s="24" t="str">
        <x:v>Code</x:v>
      </x:c>
      <x:c r="E414" s="24" t="str">
        <x:v>Domain</x:v>
      </x:c>
      <x:c r="F414" s="24" t="str">
        <x:v>VRM Games / Blas Luis Rocha González</x:v>
      </x:c>
      <x:c r="G414" s="24" t="str">
        <x:v>VRM Games / Blas Luis Rocha González</x:v>
      </x:c>
      <x:c r="H414" s="24" t="str">
        <x:v>Internal project production</x:v>
      </x:c>
      <x:c r="I414" s="24" t="str">
        <x:v>2026 project timeline</x:v>
      </x:c>
      <x:c r="J414" s="24" t="str">
        <x:v>Internal project IP / authorship claim</x:v>
      </x:c>
      <x:c r="K414" s="24" t="str">
        <x:v>N/A</x:v>
      </x:c>
      <x:c r="L414" s="24" t="str">
        <x:v>Source package + repository path + hash</x:v>
      </x:c>
      <x:c r="M414" s="24" t="str">
        <x:v>9fd8e6a3dc15270714fd3458ecdee8e125daa307fd40880338d61b5df353c878</x:v>
      </x:c>
      <x:c r="N414" s="24" t="str">
        <x:v>Assets/_Project/Scripts/Domain/GameSession/GameSessionSnapshot.cs</x:v>
      </x:c>
      <x:c r="O414" s="24" t="str">
        <x:v>35e04149209f4214af251c1d2f6be6c7</x:v>
      </x:c>
      <x:c r="P414" s="24" t="str">
        <x:v>Sí</x:v>
      </x:c>
      <x:c r="Q414" s="24" t="str">
        <x:v>Condicionado a autoría/procedencia final</x:v>
      </x:c>
      <x:c r="R414" s="24" t="str">
        <x:v>Solo dentro del producto/build autorizado</x:v>
      </x:c>
      <x:c r="S414" s="24" t="str">
        <x:v>Crédito general del estudio; individual si aplica</x:v>
      </x:c>
      <x:c r="T414" s="24" t="str">
        <x:v>VRM Games / Blas Luis Rocha González</x:v>
      </x:c>
      <x:c r="U414" s="24" t="str">
        <x:v>CURRENT PROJECT ASSET</x:v>
      </x:c>
      <x:c r="V414" s="24" t="str">
        <x:v>CONDITIONALLY APPROVED</x:v>
      </x:c>
      <x:c r="W414" s="24" t="str">
        <x:v>Sí</x:v>
      </x:c>
      <x:c r="X414" s="24" t="str">
        <x:v>Low</x:v>
      </x:c>
      <x:c r="Y414" s="24" t="str">
        <x:v>Internal development; public candidate requires gate</x:v>
      </x:c>
      <x:c r="Z414" s="24" t="str">
        <x:v>H6 legal/content audit</x:v>
      </x:c>
      <x:c r="AA414" s="24" t="str">
        <x:v>VRM Games</x:v>
      </x:c>
      <x:c r="AB414" s="24" t="str">
        <x:v>No se detectó proveedor externo en la ruta; confirmar autoría por lote antes de release público.</x:v>
      </x:c>
    </x:row>
    <x:row r="415" ht="34" customHeight="1">
      <x:c r="A415" s="24" t="str">
        <x:v>INT-0411</x:v>
      </x:c>
      <x:c r="B415" s="24" t="str">
        <x:v>054ca221cc12455a8539dbed4403f369</x:v>
      </x:c>
      <x:c r="C415" s="24" t="str">
        <x:v>GridBounds.cs</x:v>
      </x:c>
      <x:c r="D415" s="24" t="str">
        <x:v>Code</x:v>
      </x:c>
      <x:c r="E415" s="24" t="str">
        <x:v>Domain</x:v>
      </x:c>
      <x:c r="F415" s="24" t="str">
        <x:v>VRM Games / Blas Luis Rocha González</x:v>
      </x:c>
      <x:c r="G415" s="24" t="str">
        <x:v>VRM Games / Blas Luis Rocha González</x:v>
      </x:c>
      <x:c r="H415" s="24" t="str">
        <x:v>Internal project production</x:v>
      </x:c>
      <x:c r="I415" s="24" t="str">
        <x:v>2026 project timeline</x:v>
      </x:c>
      <x:c r="J415" s="24" t="str">
        <x:v>Internal project IP / authorship claim</x:v>
      </x:c>
      <x:c r="K415" s="24" t="str">
        <x:v>N/A</x:v>
      </x:c>
      <x:c r="L415" s="24" t="str">
        <x:v>Source package + repository path + hash</x:v>
      </x:c>
      <x:c r="M415" s="24" t="str">
        <x:v>f67146075e0a6d053a2eee35b9b988db7840e566b31b1056f77f0e1d3d9a7665</x:v>
      </x:c>
      <x:c r="N415" s="24" t="str">
        <x:v>Assets/_Project/Scripts/Domain/Grid/GridBounds.cs</x:v>
      </x:c>
      <x:c r="O415" s="24" t="str">
        <x:v>054ca221cc12455a8539dbed4403f369</x:v>
      </x:c>
      <x:c r="P415" s="24" t="str">
        <x:v>Sí</x:v>
      </x:c>
      <x:c r="Q415" s="24" t="str">
        <x:v>Condicionado a autoría/procedencia final</x:v>
      </x:c>
      <x:c r="R415" s="24" t="str">
        <x:v>Solo dentro del producto/build autorizado</x:v>
      </x:c>
      <x:c r="S415" s="24" t="str">
        <x:v>Crédito general del estudio; individual si aplica</x:v>
      </x:c>
      <x:c r="T415" s="24" t="str">
        <x:v>VRM Games / Blas Luis Rocha González</x:v>
      </x:c>
      <x:c r="U415" s="24" t="str">
        <x:v>CURRENT PROJECT ASSET</x:v>
      </x:c>
      <x:c r="V415" s="24" t="str">
        <x:v>CONDITIONALLY APPROVED</x:v>
      </x:c>
      <x:c r="W415" s="24" t="str">
        <x:v>Sí</x:v>
      </x:c>
      <x:c r="X415" s="24" t="str">
        <x:v>Low</x:v>
      </x:c>
      <x:c r="Y415" s="24" t="str">
        <x:v>Internal development; public candidate requires gate</x:v>
      </x:c>
      <x:c r="Z415" s="24" t="str">
        <x:v>H6 legal/content audit</x:v>
      </x:c>
      <x:c r="AA415" s="24" t="str">
        <x:v>VRM Games</x:v>
      </x:c>
      <x:c r="AB415" s="24" t="str">
        <x:v>No se detectó proveedor externo en la ruta; confirmar autoría por lote antes de release público.</x:v>
      </x:c>
    </x:row>
    <x:row r="416" ht="34" customHeight="1">
      <x:c r="A416" s="24" t="str">
        <x:v>INT-0412</x:v>
      </x:c>
      <x:c r="B416" s="24" t="str">
        <x:v>40db6b417a664bf99dc0e9810591ad0c</x:v>
      </x:c>
      <x:c r="C416" s="24" t="str">
        <x:v>GridCoordinate.cs</x:v>
      </x:c>
      <x:c r="D416" s="24" t="str">
        <x:v>Code</x:v>
      </x:c>
      <x:c r="E416" s="24" t="str">
        <x:v>Domain</x:v>
      </x:c>
      <x:c r="F416" s="24" t="str">
        <x:v>VRM Games / Blas Luis Rocha González</x:v>
      </x:c>
      <x:c r="G416" s="24" t="str">
        <x:v>VRM Games / Blas Luis Rocha González</x:v>
      </x:c>
      <x:c r="H416" s="24" t="str">
        <x:v>Internal project production</x:v>
      </x:c>
      <x:c r="I416" s="24" t="str">
        <x:v>2026 project timeline</x:v>
      </x:c>
      <x:c r="J416" s="24" t="str">
        <x:v>Internal project IP / authorship claim</x:v>
      </x:c>
      <x:c r="K416" s="24" t="str">
        <x:v>N/A</x:v>
      </x:c>
      <x:c r="L416" s="24" t="str">
        <x:v>Source package + repository path + hash</x:v>
      </x:c>
      <x:c r="M416" s="24" t="str">
        <x:v>01bd6a06da7dedf7d231a4e4e7c39101c9275c5d74c46ebd441515476b3767ba</x:v>
      </x:c>
      <x:c r="N416" s="24" t="str">
        <x:v>Assets/_Project/Scripts/Domain/Grid/GridCoordinate.cs</x:v>
      </x:c>
      <x:c r="O416" s="24" t="str">
        <x:v>40db6b417a664bf99dc0e9810591ad0c</x:v>
      </x:c>
      <x:c r="P416" s="24" t="str">
        <x:v>Sí</x:v>
      </x:c>
      <x:c r="Q416" s="24" t="str">
        <x:v>Condicionado a autoría/procedencia final</x:v>
      </x:c>
      <x:c r="R416" s="24" t="str">
        <x:v>Solo dentro del producto/build autorizado</x:v>
      </x:c>
      <x:c r="S416" s="24" t="str">
        <x:v>Crédito general del estudio; individual si aplica</x:v>
      </x:c>
      <x:c r="T416" s="24" t="str">
        <x:v>VRM Games / Blas Luis Rocha González</x:v>
      </x:c>
      <x:c r="U416" s="24" t="str">
        <x:v>CURRENT PROJECT ASSET</x:v>
      </x:c>
      <x:c r="V416" s="24" t="str">
        <x:v>CONDITIONALLY APPROVED</x:v>
      </x:c>
      <x:c r="W416" s="24" t="str">
        <x:v>Sí</x:v>
      </x:c>
      <x:c r="X416" s="24" t="str">
        <x:v>Low</x:v>
      </x:c>
      <x:c r="Y416" s="24" t="str">
        <x:v>Internal development; public candidate requires gate</x:v>
      </x:c>
      <x:c r="Z416" s="24" t="str">
        <x:v>H6 legal/content audit</x:v>
      </x:c>
      <x:c r="AA416" s="24" t="str">
        <x:v>VRM Games</x:v>
      </x:c>
      <x:c r="AB416" s="24" t="str">
        <x:v>No se detectó proveedor externo en la ruta; confirmar autoría por lote antes de release público.</x:v>
      </x:c>
    </x:row>
    <x:row r="417" ht="34" customHeight="1">
      <x:c r="A417" s="24" t="str">
        <x:v>INT-0413</x:v>
      </x:c>
      <x:c r="B417" s="24" t="str">
        <x:v>fa0794f26cca480094e701ebc8dcfd86</x:v>
      </x:c>
      <x:c r="C417" s="24" t="str">
        <x:v>GridFootprint.cs</x:v>
      </x:c>
      <x:c r="D417" s="24" t="str">
        <x:v>Code</x:v>
      </x:c>
      <x:c r="E417" s="24" t="str">
        <x:v>Domain</x:v>
      </x:c>
      <x:c r="F417" s="24" t="str">
        <x:v>VRM Games / Blas Luis Rocha González</x:v>
      </x:c>
      <x:c r="G417" s="24" t="str">
        <x:v>VRM Games / Blas Luis Rocha González</x:v>
      </x:c>
      <x:c r="H417" s="24" t="str">
        <x:v>Internal project production</x:v>
      </x:c>
      <x:c r="I417" s="24" t="str">
        <x:v>2026 project timeline</x:v>
      </x:c>
      <x:c r="J417" s="24" t="str">
        <x:v>Internal project IP / authorship claim</x:v>
      </x:c>
      <x:c r="K417" s="24" t="str">
        <x:v>N/A</x:v>
      </x:c>
      <x:c r="L417" s="24" t="str">
        <x:v>Source package + repository path + hash</x:v>
      </x:c>
      <x:c r="M417" s="24" t="str">
        <x:v>b2640e50a6d16d2593bd1e73b2e55329b0cec37788e12b95f5af2e3abdad2b7a</x:v>
      </x:c>
      <x:c r="N417" s="24" t="str">
        <x:v>Assets/_Project/Scripts/Domain/Grid/GridFootprint.cs</x:v>
      </x:c>
      <x:c r="O417" s="24" t="str">
        <x:v>fa0794f26cca480094e701ebc8dcfd86</x:v>
      </x:c>
      <x:c r="P417" s="24" t="str">
        <x:v>Sí</x:v>
      </x:c>
      <x:c r="Q417" s="24" t="str">
        <x:v>Condicionado a autoría/procedencia final</x:v>
      </x:c>
      <x:c r="R417" s="24" t="str">
        <x:v>Solo dentro del producto/build autorizado</x:v>
      </x:c>
      <x:c r="S417" s="24" t="str">
        <x:v>Crédito general del estudio; individual si aplica</x:v>
      </x:c>
      <x:c r="T417" s="24" t="str">
        <x:v>VRM Games / Blas Luis Rocha González</x:v>
      </x:c>
      <x:c r="U417" s="24" t="str">
        <x:v>CURRENT PROJECT ASSET</x:v>
      </x:c>
      <x:c r="V417" s="24" t="str">
        <x:v>CONDITIONALLY APPROVED</x:v>
      </x:c>
      <x:c r="W417" s="24" t="str">
        <x:v>Sí</x:v>
      </x:c>
      <x:c r="X417" s="24" t="str">
        <x:v>Low</x:v>
      </x:c>
      <x:c r="Y417" s="24" t="str">
        <x:v>Internal development; public candidate requires gate</x:v>
      </x:c>
      <x:c r="Z417" s="24" t="str">
        <x:v>H6 legal/content audit</x:v>
      </x:c>
      <x:c r="AA417" s="24" t="str">
        <x:v>VRM Games</x:v>
      </x:c>
      <x:c r="AB417" s="24" t="str">
        <x:v>No se detectó proveedor externo en la ruta; confirmar autoría por lote antes de release público.</x:v>
      </x:c>
    </x:row>
    <x:row r="418" ht="34" customHeight="1">
      <x:c r="A418" s="24" t="str">
        <x:v>INT-0414</x:v>
      </x:c>
      <x:c r="B418" s="24" t="str">
        <x:v>a46d323e986c46578a38d5d9602dcb5e</x:v>
      </x:c>
      <x:c r="C418" s="24" t="str">
        <x:v>GridRotation.cs</x:v>
      </x:c>
      <x:c r="D418" s="24" t="str">
        <x:v>Code</x:v>
      </x:c>
      <x:c r="E418" s="24" t="str">
        <x:v>Domain</x:v>
      </x:c>
      <x:c r="F418" s="24" t="str">
        <x:v>VRM Games / Blas Luis Rocha González</x:v>
      </x:c>
      <x:c r="G418" s="24" t="str">
        <x:v>VRM Games / Blas Luis Rocha González</x:v>
      </x:c>
      <x:c r="H418" s="24" t="str">
        <x:v>Internal project production</x:v>
      </x:c>
      <x:c r="I418" s="24" t="str">
        <x:v>2026 project timeline</x:v>
      </x:c>
      <x:c r="J418" s="24" t="str">
        <x:v>Internal project IP / authorship claim</x:v>
      </x:c>
      <x:c r="K418" s="24" t="str">
        <x:v>N/A</x:v>
      </x:c>
      <x:c r="L418" s="24" t="str">
        <x:v>Source package + repository path + hash</x:v>
      </x:c>
      <x:c r="M418" s="24" t="str">
        <x:v>fee34b0c4d14876b9b1556fb1eceaa8254bb7b53cf271ed88766eb25280454f3</x:v>
      </x:c>
      <x:c r="N418" s="24" t="str">
        <x:v>Assets/_Project/Scripts/Domain/Grid/GridRotation.cs</x:v>
      </x:c>
      <x:c r="O418" s="24" t="str">
        <x:v>a46d323e986c46578a38d5d9602dcb5e</x:v>
      </x:c>
      <x:c r="P418" s="24" t="str">
        <x:v>Sí</x:v>
      </x:c>
      <x:c r="Q418" s="24" t="str">
        <x:v>Condicionado a autoría/procedencia final</x:v>
      </x:c>
      <x:c r="R418" s="24" t="str">
        <x:v>Solo dentro del producto/build autorizado</x:v>
      </x:c>
      <x:c r="S418" s="24" t="str">
        <x:v>Crédito general del estudio; individual si aplica</x:v>
      </x:c>
      <x:c r="T418" s="24" t="str">
        <x:v>VRM Games / Blas Luis Rocha González</x:v>
      </x:c>
      <x:c r="U418" s="24" t="str">
        <x:v>CURRENT PROJECT ASSET</x:v>
      </x:c>
      <x:c r="V418" s="24" t="str">
        <x:v>CONDITIONALLY APPROVED</x:v>
      </x:c>
      <x:c r="W418" s="24" t="str">
        <x:v>Sí</x:v>
      </x:c>
      <x:c r="X418" s="24" t="str">
        <x:v>Low</x:v>
      </x:c>
      <x:c r="Y418" s="24" t="str">
        <x:v>Internal development; public candidate requires gate</x:v>
      </x:c>
      <x:c r="Z418" s="24" t="str">
        <x:v>H6 legal/content audit</x:v>
      </x:c>
      <x:c r="AA418" s="24" t="str">
        <x:v>VRM Games</x:v>
      </x:c>
      <x:c r="AB418" s="24" t="str">
        <x:v>No se detectó proveedor externo en la ruta; confirmar autoría por lote antes de release público.</x:v>
      </x:c>
    </x:row>
    <x:row r="419" ht="34" customHeight="1">
      <x:c r="A419" s="24" t="str">
        <x:v>INT-0415</x:v>
      </x:c>
      <x:c r="B419" s="24" t="str">
        <x:v>e9b6d837e06140d2bcdae2599c10683b</x:v>
      </x:c>
      <x:c r="C419" s="24" t="str">
        <x:v>GridSize.cs</x:v>
      </x:c>
      <x:c r="D419" s="24" t="str">
        <x:v>Code</x:v>
      </x:c>
      <x:c r="E419" s="24" t="str">
        <x:v>Domain</x:v>
      </x:c>
      <x:c r="F419" s="24" t="str">
        <x:v>VRM Games / Blas Luis Rocha González</x:v>
      </x:c>
      <x:c r="G419" s="24" t="str">
        <x:v>VRM Games / Blas Luis Rocha González</x:v>
      </x:c>
      <x:c r="H419" s="24" t="str">
        <x:v>Internal project production</x:v>
      </x:c>
      <x:c r="I419" s="24" t="str">
        <x:v>2026 project timeline</x:v>
      </x:c>
      <x:c r="J419" s="24" t="str">
        <x:v>Internal project IP / authorship claim</x:v>
      </x:c>
      <x:c r="K419" s="24" t="str">
        <x:v>N/A</x:v>
      </x:c>
      <x:c r="L419" s="24" t="str">
        <x:v>Source package + repository path + hash</x:v>
      </x:c>
      <x:c r="M419" s="24" t="str">
        <x:v>c0a37477c03aa81daf8e16d2162476bf3f7168315d68ff3a794f137ba32247a2</x:v>
      </x:c>
      <x:c r="N419" s="24" t="str">
        <x:v>Assets/_Project/Scripts/Domain/Grid/GridSize.cs</x:v>
      </x:c>
      <x:c r="O419" s="24" t="str">
        <x:v>e9b6d837e06140d2bcdae2599c10683b</x:v>
      </x:c>
      <x:c r="P419" s="24" t="str">
        <x:v>Sí</x:v>
      </x:c>
      <x:c r="Q419" s="24" t="str">
        <x:v>Condicionado a autoría/procedencia final</x:v>
      </x:c>
      <x:c r="R419" s="24" t="str">
        <x:v>Solo dentro del producto/build autorizado</x:v>
      </x:c>
      <x:c r="S419" s="24" t="str">
        <x:v>Crédito general del estudio; individual si aplica</x:v>
      </x:c>
      <x:c r="T419" s="24" t="str">
        <x:v>VRM Games / Blas Luis Rocha González</x:v>
      </x:c>
      <x:c r="U419" s="24" t="str">
        <x:v>CURRENT PROJECT ASSET</x:v>
      </x:c>
      <x:c r="V419" s="24" t="str">
        <x:v>CONDITIONALLY APPROVED</x:v>
      </x:c>
      <x:c r="W419" s="24" t="str">
        <x:v>Sí</x:v>
      </x:c>
      <x:c r="X419" s="24" t="str">
        <x:v>Low</x:v>
      </x:c>
      <x:c r="Y419" s="24" t="str">
        <x:v>Internal development; public candidate requires gate</x:v>
      </x:c>
      <x:c r="Z419" s="24" t="str">
        <x:v>H6 legal/content audit</x:v>
      </x:c>
      <x:c r="AA419" s="24" t="str">
        <x:v>VRM Games</x:v>
      </x:c>
      <x:c r="AB419" s="24" t="str">
        <x:v>No se detectó proveedor externo en la ruta; confirmar autoría por lote antes de release público.</x:v>
      </x:c>
    </x:row>
    <x:row r="420" ht="34" customHeight="1">
      <x:c r="A420" s="24" t="str">
        <x:v>INT-0416</x:v>
      </x:c>
      <x:c r="B420" s="24" t="str">
        <x:v>5d712f04f1304872a7399bc16c162c3d</x:v>
      </x:c>
      <x:c r="C420" s="24" t="str">
        <x:v>SaveSlotId.cs</x:v>
      </x:c>
      <x:c r="D420" s="24" t="str">
        <x:v>Code</x:v>
      </x:c>
      <x:c r="E420" s="24" t="str">
        <x:v>Domain</x:v>
      </x:c>
      <x:c r="F420" s="24" t="str">
        <x:v>VRM Games / Blas Luis Rocha González</x:v>
      </x:c>
      <x:c r="G420" s="24" t="str">
        <x:v>VRM Games / Blas Luis Rocha González</x:v>
      </x:c>
      <x:c r="H420" s="24" t="str">
        <x:v>Internal project production</x:v>
      </x:c>
      <x:c r="I420" s="24" t="str">
        <x:v>2026 project timeline</x:v>
      </x:c>
      <x:c r="J420" s="24" t="str">
        <x:v>Internal project IP / authorship claim</x:v>
      </x:c>
      <x:c r="K420" s="24" t="str">
        <x:v>N/A</x:v>
      </x:c>
      <x:c r="L420" s="24" t="str">
        <x:v>Source package + repository path + hash</x:v>
      </x:c>
      <x:c r="M420" s="24" t="str">
        <x:v>0d1ae20f0c93b7cf99df89a97f4df75d189980c8fd6fad48f86706c5feaf5a8b</x:v>
      </x:c>
      <x:c r="N420" s="24" t="str">
        <x:v>Assets/_Project/Scripts/Domain/Identifiers/SaveSlotId.cs</x:v>
      </x:c>
      <x:c r="O420" s="24" t="str">
        <x:v>5d712f04f1304872a7399bc16c162c3d</x:v>
      </x:c>
      <x:c r="P420" s="24" t="str">
        <x:v>Sí</x:v>
      </x:c>
      <x:c r="Q420" s="24" t="str">
        <x:v>Condicionado a autoría/procedencia final</x:v>
      </x:c>
      <x:c r="R420" s="24" t="str">
        <x:v>Solo dentro del producto/build autorizado</x:v>
      </x:c>
      <x:c r="S420" s="24" t="str">
        <x:v>Crédito general del estudio; individual si aplica</x:v>
      </x:c>
      <x:c r="T420" s="24" t="str">
        <x:v>VRM Games / Blas Luis Rocha González</x:v>
      </x:c>
      <x:c r="U420" s="24" t="str">
        <x:v>CURRENT PROJECT ASSET</x:v>
      </x:c>
      <x:c r="V420" s="24" t="str">
        <x:v>CONDITIONALLY APPROVED</x:v>
      </x:c>
      <x:c r="W420" s="24" t="str">
        <x:v>Sí</x:v>
      </x:c>
      <x:c r="X420" s="24" t="str">
        <x:v>Low</x:v>
      </x:c>
      <x:c r="Y420" s="24" t="str">
        <x:v>Internal development; public candidate requires gate</x:v>
      </x:c>
      <x:c r="Z420" s="24" t="str">
        <x:v>H6 legal/content audit</x:v>
      </x:c>
      <x:c r="AA420" s="24" t="str">
        <x:v>VRM Games</x:v>
      </x:c>
      <x:c r="AB420" s="24" t="str">
        <x:v>No se detectó proveedor externo en la ruta; confirmar autoría por lote antes de release público.</x:v>
      </x:c>
    </x:row>
    <x:row r="421" ht="34" customHeight="1">
      <x:c r="A421" s="24" t="str">
        <x:v>INT-0417</x:v>
      </x:c>
      <x:c r="B421" s="24" t="str">
        <x:v>1877b118c7944bd384b3c1adf7f72558</x:v>
      </x:c>
      <x:c r="C421" s="24" t="str">
        <x:v>StableId.cs</x:v>
      </x:c>
      <x:c r="D421" s="24" t="str">
        <x:v>Code</x:v>
      </x:c>
      <x:c r="E421" s="24" t="str">
        <x:v>Domain</x:v>
      </x:c>
      <x:c r="F421" s="24" t="str">
        <x:v>VRM Games / Blas Luis Rocha González</x:v>
      </x:c>
      <x:c r="G421" s="24" t="str">
        <x:v>VRM Games / Blas Luis Rocha González</x:v>
      </x:c>
      <x:c r="H421" s="24" t="str">
        <x:v>Internal project production</x:v>
      </x:c>
      <x:c r="I421" s="24" t="str">
        <x:v>2026 project timeline</x:v>
      </x:c>
      <x:c r="J421" s="24" t="str">
        <x:v>Internal project IP / authorship claim</x:v>
      </x:c>
      <x:c r="K421" s="24" t="str">
        <x:v>N/A</x:v>
      </x:c>
      <x:c r="L421" s="24" t="str">
        <x:v>Source package + repository path + hash</x:v>
      </x:c>
      <x:c r="M421" s="24" t="str">
        <x:v>111f8f32e5b2f53a0eaadd21728a3ca1d85978944c5e9de1e130377c69eb477a</x:v>
      </x:c>
      <x:c r="N421" s="24" t="str">
        <x:v>Assets/_Project/Scripts/Domain/Identifiers/StableId.cs</x:v>
      </x:c>
      <x:c r="O421" s="24" t="str">
        <x:v>1877b118c7944bd384b3c1adf7f72558</x:v>
      </x:c>
      <x:c r="P421" s="24" t="str">
        <x:v>Sí</x:v>
      </x:c>
      <x:c r="Q421" s="24" t="str">
        <x:v>Condicionado a autoría/procedencia final</x:v>
      </x:c>
      <x:c r="R421" s="24" t="str">
        <x:v>Solo dentro del producto/build autorizado</x:v>
      </x:c>
      <x:c r="S421" s="24" t="str">
        <x:v>Crédito general del estudio; individual si aplica</x:v>
      </x:c>
      <x:c r="T421" s="24" t="str">
        <x:v>VRM Games / Blas Luis Rocha González</x:v>
      </x:c>
      <x:c r="U421" s="24" t="str">
        <x:v>CURRENT PROJECT ASSET</x:v>
      </x:c>
      <x:c r="V421" s="24" t="str">
        <x:v>CONDITIONALLY APPROVED</x:v>
      </x:c>
      <x:c r="W421" s="24" t="str">
        <x:v>Sí</x:v>
      </x:c>
      <x:c r="X421" s="24" t="str">
        <x:v>Low</x:v>
      </x:c>
      <x:c r="Y421" s="24" t="str">
        <x:v>Internal development; public candidate requires gate</x:v>
      </x:c>
      <x:c r="Z421" s="24" t="str">
        <x:v>H6 legal/content audit</x:v>
      </x:c>
      <x:c r="AA421" s="24" t="str">
        <x:v>VRM Games</x:v>
      </x:c>
      <x:c r="AB421" s="24" t="str">
        <x:v>No se detectó proveedor externo en la ruta; confirmar autoría por lote antes de release público.</x:v>
      </x:c>
    </x:row>
    <x:row r="422" ht="34" customHeight="1">
      <x:c r="A422" s="24" t="str">
        <x:v>INT-0418</x:v>
      </x:c>
      <x:c r="B422" s="24" t="str">
        <x:v>0ce24a3d789567d1032b1d7c60ff3b16</x:v>
      </x:c>
      <x:c r="C422" s="24" t="str">
        <x:v>InventoryCapacity.cs</x:v>
      </x:c>
      <x:c r="D422" s="24" t="str">
        <x:v>Code</x:v>
      </x:c>
      <x:c r="E422" s="24" t="str">
        <x:v>Domain</x:v>
      </x:c>
      <x:c r="F422" s="24" t="str">
        <x:v>VRM Games / Blas Luis Rocha González</x:v>
      </x:c>
      <x:c r="G422" s="24" t="str">
        <x:v>VRM Games / Blas Luis Rocha González</x:v>
      </x:c>
      <x:c r="H422" s="24" t="str">
        <x:v>Internal project production</x:v>
      </x:c>
      <x:c r="I422" s="24" t="str">
        <x:v>2026 project timeline</x:v>
      </x:c>
      <x:c r="J422" s="24" t="str">
        <x:v>Internal project IP / authorship claim</x:v>
      </x:c>
      <x:c r="K422" s="24" t="str">
        <x:v>N/A</x:v>
      </x:c>
      <x:c r="L422" s="24" t="str">
        <x:v>Source package + repository path + hash</x:v>
      </x:c>
      <x:c r="M422" s="24" t="str">
        <x:v>47736d3518a2162e10d42e80789607bb2454a1a2d91ae08f768645b8d6544528</x:v>
      </x:c>
      <x:c r="N422" s="24" t="str">
        <x:v>Assets/_Project/Scripts/Domain/Inventory/InventoryCapacity.cs</x:v>
      </x:c>
      <x:c r="O422" s="24" t="str">
        <x:v>0ce24a3d789567d1032b1d7c60ff3b16</x:v>
      </x:c>
      <x:c r="P422" s="24" t="str">
        <x:v>Sí</x:v>
      </x:c>
      <x:c r="Q422" s="24" t="str">
        <x:v>Condicionado a autoría/procedencia final</x:v>
      </x:c>
      <x:c r="R422" s="24" t="str">
        <x:v>Solo dentro del producto/build autorizado</x:v>
      </x:c>
      <x:c r="S422" s="24" t="str">
        <x:v>Crédito general del estudio; individual si aplica</x:v>
      </x:c>
      <x:c r="T422" s="24" t="str">
        <x:v>VRM Games / Blas Luis Rocha González</x:v>
      </x:c>
      <x:c r="U422" s="24" t="str">
        <x:v>CURRENT PROJECT ASSET</x:v>
      </x:c>
      <x:c r="V422" s="24" t="str">
        <x:v>CONDITIONALLY APPROVED</x:v>
      </x:c>
      <x:c r="W422" s="24" t="str">
        <x:v>Sí</x:v>
      </x:c>
      <x:c r="X422" s="24" t="str">
        <x:v>Low</x:v>
      </x:c>
      <x:c r="Y422" s="24" t="str">
        <x:v>Internal development; public candidate requires gate</x:v>
      </x:c>
      <x:c r="Z422" s="24" t="str">
        <x:v>H6 legal/content audit</x:v>
      </x:c>
      <x:c r="AA422" s="24" t="str">
        <x:v>VRM Games</x:v>
      </x:c>
      <x:c r="AB422" s="24" t="str">
        <x:v>No se detectó proveedor externo en la ruta; confirmar autoría por lote antes de release público.</x:v>
      </x:c>
    </x:row>
    <x:row r="423" ht="34" customHeight="1">
      <x:c r="A423" s="24" t="str">
        <x:v>INT-0419</x:v>
      </x:c>
      <x:c r="B423" s="24" t="str">
        <x:v>0bdb1ce6ef00e5705c757837800894ad</x:v>
      </x:c>
      <x:c r="C423" s="24" t="str">
        <x:v>InventoryContainer.cs</x:v>
      </x:c>
      <x:c r="D423" s="24" t="str">
        <x:v>Code</x:v>
      </x:c>
      <x:c r="E423" s="24" t="str">
        <x:v>Domain</x:v>
      </x:c>
      <x:c r="F423" s="24" t="str">
        <x:v>VRM Games / Blas Luis Rocha González</x:v>
      </x:c>
      <x:c r="G423" s="24" t="str">
        <x:v>VRM Games / Blas Luis Rocha González</x:v>
      </x:c>
      <x:c r="H423" s="24" t="str">
        <x:v>Internal project production</x:v>
      </x:c>
      <x:c r="I423" s="24" t="str">
        <x:v>2026 project timeline</x:v>
      </x:c>
      <x:c r="J423" s="24" t="str">
        <x:v>Internal project IP / authorship claim</x:v>
      </x:c>
      <x:c r="K423" s="24" t="str">
        <x:v>N/A</x:v>
      </x:c>
      <x:c r="L423" s="24" t="str">
        <x:v>Source package + repository path + hash</x:v>
      </x:c>
      <x:c r="M423" s="24" t="str">
        <x:v>6478feb06bbcaae6e5da45772f77d675ce032a8d587d753466341f2fe952428a</x:v>
      </x:c>
      <x:c r="N423" s="24" t="str">
        <x:v>Assets/_Project/Scripts/Domain/Inventory/InventoryContainer.cs</x:v>
      </x:c>
      <x:c r="O423" s="24" t="str">
        <x:v>0bdb1ce6ef00e5705c757837800894ad</x:v>
      </x:c>
      <x:c r="P423" s="24" t="str">
        <x:v>Sí</x:v>
      </x:c>
      <x:c r="Q423" s="24" t="str">
        <x:v>Condicionado a autoría/procedencia final</x:v>
      </x:c>
      <x:c r="R423" s="24" t="str">
        <x:v>Solo dentro del producto/build autorizado</x:v>
      </x:c>
      <x:c r="S423" s="24" t="str">
        <x:v>Crédito general del estudio; individual si aplica</x:v>
      </x:c>
      <x:c r="T423" s="24" t="str">
        <x:v>VRM Games / Blas Luis Rocha González</x:v>
      </x:c>
      <x:c r="U423" s="24" t="str">
        <x:v>CURRENT PROJECT ASSET</x:v>
      </x:c>
      <x:c r="V423" s="24" t="str">
        <x:v>CONDITIONALLY APPROVED</x:v>
      </x:c>
      <x:c r="W423" s="24" t="str">
        <x:v>Sí</x:v>
      </x:c>
      <x:c r="X423" s="24" t="str">
        <x:v>Low</x:v>
      </x:c>
      <x:c r="Y423" s="24" t="str">
        <x:v>Internal development; public candidate requires gate</x:v>
      </x:c>
      <x:c r="Z423" s="24" t="str">
        <x:v>H6 legal/content audit</x:v>
      </x:c>
      <x:c r="AA423" s="24" t="str">
        <x:v>VRM Games</x:v>
      </x:c>
      <x:c r="AB423" s="24" t="str">
        <x:v>No se detectó proveedor externo en la ruta; confirmar autoría por lote antes de release público.</x:v>
      </x:c>
    </x:row>
    <x:row r="424" ht="34" customHeight="1">
      <x:c r="A424" s="24" t="str">
        <x:v>INT-0420</x:v>
      </x:c>
      <x:c r="B424" s="24" t="str">
        <x:v>6684f0a2481247f6cbe5fe161d0d4dc9</x:v>
      </x:c>
      <x:c r="C424" s="24" t="str">
        <x:v>InventoryContainerId.cs</x:v>
      </x:c>
      <x:c r="D424" s="24" t="str">
        <x:v>Code</x:v>
      </x:c>
      <x:c r="E424" s="24" t="str">
        <x:v>Domain</x:v>
      </x:c>
      <x:c r="F424" s="24" t="str">
        <x:v>VRM Games / Blas Luis Rocha González</x:v>
      </x:c>
      <x:c r="G424" s="24" t="str">
        <x:v>VRM Games / Blas Luis Rocha González</x:v>
      </x:c>
      <x:c r="H424" s="24" t="str">
        <x:v>Internal project production</x:v>
      </x:c>
      <x:c r="I424" s="24" t="str">
        <x:v>2026 project timeline</x:v>
      </x:c>
      <x:c r="J424" s="24" t="str">
        <x:v>Internal project IP / authorship claim</x:v>
      </x:c>
      <x:c r="K424" s="24" t="str">
        <x:v>N/A</x:v>
      </x:c>
      <x:c r="L424" s="24" t="str">
        <x:v>Source package + repository path + hash</x:v>
      </x:c>
      <x:c r="M424" s="24" t="str">
        <x:v>e41fa1c664cbfdc4972ee020a037904c19dd8e552c6637649d89850ce2022c02</x:v>
      </x:c>
      <x:c r="N424" s="24" t="str">
        <x:v>Assets/_Project/Scripts/Domain/Inventory/InventoryContainerId.cs</x:v>
      </x:c>
      <x:c r="O424" s="24" t="str">
        <x:v>6684f0a2481247f6cbe5fe161d0d4dc9</x:v>
      </x:c>
      <x:c r="P424" s="24" t="str">
        <x:v>Sí</x:v>
      </x:c>
      <x:c r="Q424" s="24" t="str">
        <x:v>Condicionado a autoría/procedencia final</x:v>
      </x:c>
      <x:c r="R424" s="24" t="str">
        <x:v>Solo dentro del producto/build autorizado</x:v>
      </x:c>
      <x:c r="S424" s="24" t="str">
        <x:v>Crédito general del estudio; individual si aplica</x:v>
      </x:c>
      <x:c r="T424" s="24" t="str">
        <x:v>VRM Games / Blas Luis Rocha González</x:v>
      </x:c>
      <x:c r="U424" s="24" t="str">
        <x:v>CURRENT PROJECT ASSET</x:v>
      </x:c>
      <x:c r="V424" s="24" t="str">
        <x:v>CONDITIONALLY APPROVED</x:v>
      </x:c>
      <x:c r="W424" s="24" t="str">
        <x:v>Sí</x:v>
      </x:c>
      <x:c r="X424" s="24" t="str">
        <x:v>Low</x:v>
      </x:c>
      <x:c r="Y424" s="24" t="str">
        <x:v>Internal development; public candidate requires gate</x:v>
      </x:c>
      <x:c r="Z424" s="24" t="str">
        <x:v>H6 legal/content audit</x:v>
      </x:c>
      <x:c r="AA424" s="24" t="str">
        <x:v>VRM Games</x:v>
      </x:c>
      <x:c r="AB424" s="24" t="str">
        <x:v>No se detectó proveedor externo en la ruta; confirmar autoría por lote antes de release público.</x:v>
      </x:c>
    </x:row>
    <x:row r="425" ht="34" customHeight="1">
      <x:c r="A425" s="24" t="str">
        <x:v>INT-0421</x:v>
      </x:c>
      <x:c r="B425" s="24" t="str">
        <x:v>886a9557df7710bd1f11b131b9f26775</x:v>
      </x:c>
      <x:c r="C425" s="24" t="str">
        <x:v>InventoryContainerType.cs</x:v>
      </x:c>
      <x:c r="D425" s="24" t="str">
        <x:v>Code</x:v>
      </x:c>
      <x:c r="E425" s="24" t="str">
        <x:v>Domain</x:v>
      </x:c>
      <x:c r="F425" s="24" t="str">
        <x:v>VRM Games / Blas Luis Rocha González</x:v>
      </x:c>
      <x:c r="G425" s="24" t="str">
        <x:v>VRM Games / Blas Luis Rocha González</x:v>
      </x:c>
      <x:c r="H425" s="24" t="str">
        <x:v>Internal project production</x:v>
      </x:c>
      <x:c r="I425" s="24" t="str">
        <x:v>2026 project timeline</x:v>
      </x:c>
      <x:c r="J425" s="24" t="str">
        <x:v>Internal project IP / authorship claim</x:v>
      </x:c>
      <x:c r="K425" s="24" t="str">
        <x:v>N/A</x:v>
      </x:c>
      <x:c r="L425" s="24" t="str">
        <x:v>Source package + repository path + hash</x:v>
      </x:c>
      <x:c r="M425" s="24" t="str">
        <x:v>e4e6879963de5e5121f4068414347a92def6685e64f5cb43c41110cadb3aa39d</x:v>
      </x:c>
      <x:c r="N425" s="24" t="str">
        <x:v>Assets/_Project/Scripts/Domain/Inventory/InventoryContainerType.cs</x:v>
      </x:c>
      <x:c r="O425" s="24" t="str">
        <x:v>886a9557df7710bd1f11b131b9f26775</x:v>
      </x:c>
      <x:c r="P425" s="24" t="str">
        <x:v>Sí</x:v>
      </x:c>
      <x:c r="Q425" s="24" t="str">
        <x:v>Condicionado a autoría/procedencia final</x:v>
      </x:c>
      <x:c r="R425" s="24" t="str">
        <x:v>Solo dentro del producto/build autorizado</x:v>
      </x:c>
      <x:c r="S425" s="24" t="str">
        <x:v>Crédito general del estudio; individual si aplica</x:v>
      </x:c>
      <x:c r="T425" s="24" t="str">
        <x:v>VRM Games / Blas Luis Rocha González</x:v>
      </x:c>
      <x:c r="U425" s="24" t="str">
        <x:v>CURRENT PROJECT ASSET</x:v>
      </x:c>
      <x:c r="V425" s="24" t="str">
        <x:v>CONDITIONALLY APPROVED</x:v>
      </x:c>
      <x:c r="W425" s="24" t="str">
        <x:v>Sí</x:v>
      </x:c>
      <x:c r="X425" s="24" t="str">
        <x:v>Low</x:v>
      </x:c>
      <x:c r="Y425" s="24" t="str">
        <x:v>Internal development; public candidate requires gate</x:v>
      </x:c>
      <x:c r="Z425" s="24" t="str">
        <x:v>H6 legal/content audit</x:v>
      </x:c>
      <x:c r="AA425" s="24" t="str">
        <x:v>VRM Games</x:v>
      </x:c>
      <x:c r="AB425" s="24" t="str">
        <x:v>No se detectó proveedor externo en la ruta; confirmar autoría por lote antes de release público.</x:v>
      </x:c>
    </x:row>
    <x:row r="426" ht="34" customHeight="1">
      <x:c r="A426" s="24" t="str">
        <x:v>INT-0422</x:v>
      </x:c>
      <x:c r="B426" s="24" t="str">
        <x:v>06b787809bcb128187c034bc308889f8</x:v>
      </x:c>
      <x:c r="C426" s="24" t="str">
        <x:v>InventoryMutationFailureReason.cs</x:v>
      </x:c>
      <x:c r="D426" s="24" t="str">
        <x:v>Code</x:v>
      </x:c>
      <x:c r="E426" s="24" t="str">
        <x:v>Domain</x:v>
      </x:c>
      <x:c r="F426" s="24" t="str">
        <x:v>VRM Games / Blas Luis Rocha González</x:v>
      </x:c>
      <x:c r="G426" s="24" t="str">
        <x:v>VRM Games / Blas Luis Rocha González</x:v>
      </x:c>
      <x:c r="H426" s="24" t="str">
        <x:v>Internal project production</x:v>
      </x:c>
      <x:c r="I426" s="24" t="str">
        <x:v>2026 project timeline</x:v>
      </x:c>
      <x:c r="J426" s="24" t="str">
        <x:v>Internal project IP / authorship claim</x:v>
      </x:c>
      <x:c r="K426" s="24" t="str">
        <x:v>N/A</x:v>
      </x:c>
      <x:c r="L426" s="24" t="str">
        <x:v>Source package + repository path + hash</x:v>
      </x:c>
      <x:c r="M426" s="24" t="str">
        <x:v>083650088043a769e58652e37b7d7b1ba1955a7c49298b279edd569a10be7728</x:v>
      </x:c>
      <x:c r="N426" s="24" t="str">
        <x:v>Assets/_Project/Scripts/Domain/Inventory/InventoryMutationFailureReason.cs</x:v>
      </x:c>
      <x:c r="O426" s="24" t="str">
        <x:v>06b787809bcb128187c034bc308889f8</x:v>
      </x:c>
      <x:c r="P426" s="24" t="str">
        <x:v>Sí</x:v>
      </x:c>
      <x:c r="Q426" s="24" t="str">
        <x:v>Condicionado a autoría/procedencia final</x:v>
      </x:c>
      <x:c r="R426" s="24" t="str">
        <x:v>Solo dentro del producto/build autorizado</x:v>
      </x:c>
      <x:c r="S426" s="24" t="str">
        <x:v>Crédito general del estudio; individual si aplica</x:v>
      </x:c>
      <x:c r="T426" s="24" t="str">
        <x:v>VRM Games / Blas Luis Rocha González</x:v>
      </x:c>
      <x:c r="U426" s="24" t="str">
        <x:v>CURRENT PROJECT ASSET</x:v>
      </x:c>
      <x:c r="V426" s="24" t="str">
        <x:v>CONDITIONALLY APPROVED</x:v>
      </x:c>
      <x:c r="W426" s="24" t="str">
        <x:v>Sí</x:v>
      </x:c>
      <x:c r="X426" s="24" t="str">
        <x:v>Low</x:v>
      </x:c>
      <x:c r="Y426" s="24" t="str">
        <x:v>Internal development; public candidate requires gate</x:v>
      </x:c>
      <x:c r="Z426" s="24" t="str">
        <x:v>H6 legal/content audit</x:v>
      </x:c>
      <x:c r="AA426" s="24" t="str">
        <x:v>VRM Games</x:v>
      </x:c>
      <x:c r="AB426" s="24" t="str">
        <x:v>No se detectó proveedor externo en la ruta; confirmar autoría por lote antes de release público.</x:v>
      </x:c>
    </x:row>
    <x:row r="427" ht="34" customHeight="1">
      <x:c r="A427" s="24" t="str">
        <x:v>INT-0423</x:v>
      </x:c>
      <x:c r="B427" s="24" t="str">
        <x:v>479a00546dc5c2a3149a7eb48fd14ba8</x:v>
      </x:c>
      <x:c r="C427" s="24" t="str">
        <x:v>InventoryMutationResult.cs</x:v>
      </x:c>
      <x:c r="D427" s="24" t="str">
        <x:v>Code</x:v>
      </x:c>
      <x:c r="E427" s="24" t="str">
        <x:v>Domain</x:v>
      </x:c>
      <x:c r="F427" s="24" t="str">
        <x:v>VRM Games / Blas Luis Rocha González</x:v>
      </x:c>
      <x:c r="G427" s="24" t="str">
        <x:v>VRM Games / Blas Luis Rocha González</x:v>
      </x:c>
      <x:c r="H427" s="24" t="str">
        <x:v>Internal project production</x:v>
      </x:c>
      <x:c r="I427" s="24" t="str">
        <x:v>2026 project timeline</x:v>
      </x:c>
      <x:c r="J427" s="24" t="str">
        <x:v>Internal project IP / authorship claim</x:v>
      </x:c>
      <x:c r="K427" s="24" t="str">
        <x:v>N/A</x:v>
      </x:c>
      <x:c r="L427" s="24" t="str">
        <x:v>Source package + repository path + hash</x:v>
      </x:c>
      <x:c r="M427" s="24" t="str">
        <x:v>8dddb9a18f75c2d4f92a1884f3afc50d881537efb5f690b7721d169edfd582ae</x:v>
      </x:c>
      <x:c r="N427" s="24" t="str">
        <x:v>Assets/_Project/Scripts/Domain/Inventory/InventoryMutationResult.cs</x:v>
      </x:c>
      <x:c r="O427" s="24" t="str">
        <x:v>479a00546dc5c2a3149a7eb48fd14ba8</x:v>
      </x:c>
      <x:c r="P427" s="24" t="str">
        <x:v>Sí</x:v>
      </x:c>
      <x:c r="Q427" s="24" t="str">
        <x:v>Condicionado a autoría/procedencia final</x:v>
      </x:c>
      <x:c r="R427" s="24" t="str">
        <x:v>Solo dentro del producto/build autorizado</x:v>
      </x:c>
      <x:c r="S427" s="24" t="str">
        <x:v>Crédito general del estudio; individual si aplica</x:v>
      </x:c>
      <x:c r="T427" s="24" t="str">
        <x:v>VRM Games / Blas Luis Rocha González</x:v>
      </x:c>
      <x:c r="U427" s="24" t="str">
        <x:v>CURRENT PROJECT ASSET</x:v>
      </x:c>
      <x:c r="V427" s="24" t="str">
        <x:v>CONDITIONALLY APPROVED</x:v>
      </x:c>
      <x:c r="W427" s="24" t="str">
        <x:v>Sí</x:v>
      </x:c>
      <x:c r="X427" s="24" t="str">
        <x:v>Low</x:v>
      </x:c>
      <x:c r="Y427" s="24" t="str">
        <x:v>Internal development; public candidate requires gate</x:v>
      </x:c>
      <x:c r="Z427" s="24" t="str">
        <x:v>H6 legal/content audit</x:v>
      </x:c>
      <x:c r="AA427" s="24" t="str">
        <x:v>VRM Games</x:v>
      </x:c>
      <x:c r="AB427" s="24" t="str">
        <x:v>No se detectó proveedor externo en la ruta; confirmar autoría por lote antes de release público.</x:v>
      </x:c>
    </x:row>
    <x:row r="428" ht="34" customHeight="1">
      <x:c r="A428" s="24" t="str">
        <x:v>INT-0424</x:v>
      </x:c>
      <x:c r="B428" s="24" t="str">
        <x:v>cfdba2f3f1419e48f2184191a4befc50</x:v>
      </x:c>
      <x:c r="C428" s="24" t="str">
        <x:v>InventoryStack.cs</x:v>
      </x:c>
      <x:c r="D428" s="24" t="str">
        <x:v>Code</x:v>
      </x:c>
      <x:c r="E428" s="24" t="str">
        <x:v>Domain</x:v>
      </x:c>
      <x:c r="F428" s="24" t="str">
        <x:v>VRM Games / Blas Luis Rocha González</x:v>
      </x:c>
      <x:c r="G428" s="24" t="str">
        <x:v>VRM Games / Blas Luis Rocha González</x:v>
      </x:c>
      <x:c r="H428" s="24" t="str">
        <x:v>Internal project production</x:v>
      </x:c>
      <x:c r="I428" s="24" t="str">
        <x:v>2026 project timeline</x:v>
      </x:c>
      <x:c r="J428" s="24" t="str">
        <x:v>Internal project IP / authorship claim</x:v>
      </x:c>
      <x:c r="K428" s="24" t="str">
        <x:v>N/A</x:v>
      </x:c>
      <x:c r="L428" s="24" t="str">
        <x:v>Source package + repository path + hash</x:v>
      </x:c>
      <x:c r="M428" s="24" t="str">
        <x:v>9d69bb815e316b4b15788cb2f2e652b590bceb3f608e1408b129bdc928ab86e4</x:v>
      </x:c>
      <x:c r="N428" s="24" t="str">
        <x:v>Assets/_Project/Scripts/Domain/Inventory/InventoryStack.cs</x:v>
      </x:c>
      <x:c r="O428" s="24" t="str">
        <x:v>cfdba2f3f1419e48f2184191a4befc50</x:v>
      </x:c>
      <x:c r="P428" s="24" t="str">
        <x:v>Sí</x:v>
      </x:c>
      <x:c r="Q428" s="24" t="str">
        <x:v>Condicionado a autoría/procedencia final</x:v>
      </x:c>
      <x:c r="R428" s="24" t="str">
        <x:v>Solo dentro del producto/build autorizado</x:v>
      </x:c>
      <x:c r="S428" s="24" t="str">
        <x:v>Crédito general del estudio; individual si aplica</x:v>
      </x:c>
      <x:c r="T428" s="24" t="str">
        <x:v>VRM Games / Blas Luis Rocha González</x:v>
      </x:c>
      <x:c r="U428" s="24" t="str">
        <x:v>CURRENT PROJECT ASSET</x:v>
      </x:c>
      <x:c r="V428" s="24" t="str">
        <x:v>CONDITIONALLY APPROVED</x:v>
      </x:c>
      <x:c r="W428" s="24" t="str">
        <x:v>Sí</x:v>
      </x:c>
      <x:c r="X428" s="24" t="str">
        <x:v>Low</x:v>
      </x:c>
      <x:c r="Y428" s="24" t="str">
        <x:v>Internal development; public candidate requires gate</x:v>
      </x:c>
      <x:c r="Z428" s="24" t="str">
        <x:v>H6 legal/content audit</x:v>
      </x:c>
      <x:c r="AA428" s="24" t="str">
        <x:v>VRM Games</x:v>
      </x:c>
      <x:c r="AB428" s="24" t="str">
        <x:v>No se detectó proveedor externo en la ruta; confirmar autoría por lote antes de release público.</x:v>
      </x:c>
    </x:row>
    <x:row r="429" ht="34" customHeight="1">
      <x:c r="A429" s="24" t="str">
        <x:v>INT-0425</x:v>
      </x:c>
      <x:c r="B429" s="24" t="str">
        <x:v>4a081f996b903f7a539bea6a04551576</x:v>
      </x:c>
      <x:c r="C429" s="24" t="str">
        <x:v>InventoryTransferFailureReason.cs</x:v>
      </x:c>
      <x:c r="D429" s="24" t="str">
        <x:v>Code</x:v>
      </x:c>
      <x:c r="E429" s="24" t="str">
        <x:v>Domain</x:v>
      </x:c>
      <x:c r="F429" s="24" t="str">
        <x:v>VRM Games / Blas Luis Rocha González</x:v>
      </x:c>
      <x:c r="G429" s="24" t="str">
        <x:v>VRM Games / Blas Luis Rocha González</x:v>
      </x:c>
      <x:c r="H429" s="24" t="str">
        <x:v>Internal project production</x:v>
      </x:c>
      <x:c r="I429" s="24" t="str">
        <x:v>2026 project timeline</x:v>
      </x:c>
      <x:c r="J429" s="24" t="str">
        <x:v>Internal project IP / authorship claim</x:v>
      </x:c>
      <x:c r="K429" s="24" t="str">
        <x:v>N/A</x:v>
      </x:c>
      <x:c r="L429" s="24" t="str">
        <x:v>Source package + repository path + hash</x:v>
      </x:c>
      <x:c r="M429" s="24" t="str">
        <x:v>0737be68fb0c0981d9246db4df125a904a3e1d4a38c1bc4440e4f8fd873422b3</x:v>
      </x:c>
      <x:c r="N429" s="24" t="str">
        <x:v>Assets/_Project/Scripts/Domain/Inventory/InventoryTransferFailureReason.cs</x:v>
      </x:c>
      <x:c r="O429" s="24" t="str">
        <x:v>4a081f996b903f7a539bea6a04551576</x:v>
      </x:c>
      <x:c r="P429" s="24" t="str">
        <x:v>Sí</x:v>
      </x:c>
      <x:c r="Q429" s="24" t="str">
        <x:v>Condicionado a autoría/procedencia final</x:v>
      </x:c>
      <x:c r="R429" s="24" t="str">
        <x:v>Solo dentro del producto/build autorizado</x:v>
      </x:c>
      <x:c r="S429" s="24" t="str">
        <x:v>Crédito general del estudio; individual si aplica</x:v>
      </x:c>
      <x:c r="T429" s="24" t="str">
        <x:v>VRM Games / Blas Luis Rocha González</x:v>
      </x:c>
      <x:c r="U429" s="24" t="str">
        <x:v>CURRENT PROJECT ASSET</x:v>
      </x:c>
      <x:c r="V429" s="24" t="str">
        <x:v>CONDITIONALLY APPROVED</x:v>
      </x:c>
      <x:c r="W429" s="24" t="str">
        <x:v>Sí</x:v>
      </x:c>
      <x:c r="X429" s="24" t="str">
        <x:v>Low</x:v>
      </x:c>
      <x:c r="Y429" s="24" t="str">
        <x:v>Internal development; public candidate requires gate</x:v>
      </x:c>
      <x:c r="Z429" s="24" t="str">
        <x:v>H6 legal/content audit</x:v>
      </x:c>
      <x:c r="AA429" s="24" t="str">
        <x:v>VRM Games</x:v>
      </x:c>
      <x:c r="AB429" s="24" t="str">
        <x:v>No se detectó proveedor externo en la ruta; confirmar autoría por lote antes de release público.</x:v>
      </x:c>
    </x:row>
    <x:row r="430" ht="34" customHeight="1">
      <x:c r="A430" s="24" t="str">
        <x:v>INT-0426</x:v>
      </x:c>
      <x:c r="B430" s="24" t="str">
        <x:v>648244e38fbec79dea50dbdbcee599a0</x:v>
      </x:c>
      <x:c r="C430" s="24" t="str">
        <x:v>InventoryTransferResult.cs</x:v>
      </x:c>
      <x:c r="D430" s="24" t="str">
        <x:v>Code</x:v>
      </x:c>
      <x:c r="E430" s="24" t="str">
        <x:v>Domain</x:v>
      </x:c>
      <x:c r="F430" s="24" t="str">
        <x:v>VRM Games / Blas Luis Rocha González</x:v>
      </x:c>
      <x:c r="G430" s="24" t="str">
        <x:v>VRM Games / Blas Luis Rocha González</x:v>
      </x:c>
      <x:c r="H430" s="24" t="str">
        <x:v>Internal project production</x:v>
      </x:c>
      <x:c r="I430" s="24" t="str">
        <x:v>2026 project timeline</x:v>
      </x:c>
      <x:c r="J430" s="24" t="str">
        <x:v>Internal project IP / authorship claim</x:v>
      </x:c>
      <x:c r="K430" s="24" t="str">
        <x:v>N/A</x:v>
      </x:c>
      <x:c r="L430" s="24" t="str">
        <x:v>Source package + repository path + hash</x:v>
      </x:c>
      <x:c r="M430" s="24" t="str">
        <x:v>d6bb08ebb2f8c5407648090836c8eaa18b9adb238a07be259d598f39ef974ac6</x:v>
      </x:c>
      <x:c r="N430" s="24" t="str">
        <x:v>Assets/_Project/Scripts/Domain/Inventory/InventoryTransferResult.cs</x:v>
      </x:c>
      <x:c r="O430" s="24" t="str">
        <x:v>648244e38fbec79dea50dbdbcee599a0</x:v>
      </x:c>
      <x:c r="P430" s="24" t="str">
        <x:v>Sí</x:v>
      </x:c>
      <x:c r="Q430" s="24" t="str">
        <x:v>Condicionado a autoría/procedencia final</x:v>
      </x:c>
      <x:c r="R430" s="24" t="str">
        <x:v>Solo dentro del producto/build autorizado</x:v>
      </x:c>
      <x:c r="S430" s="24" t="str">
        <x:v>Crédito general del estudio; individual si aplica</x:v>
      </x:c>
      <x:c r="T430" s="24" t="str">
        <x:v>VRM Games / Blas Luis Rocha González</x:v>
      </x:c>
      <x:c r="U430" s="24" t="str">
        <x:v>CURRENT PROJECT ASSET</x:v>
      </x:c>
      <x:c r="V430" s="24" t="str">
        <x:v>CONDITIONALLY APPROVED</x:v>
      </x:c>
      <x:c r="W430" s="24" t="str">
        <x:v>Sí</x:v>
      </x:c>
      <x:c r="X430" s="24" t="str">
        <x:v>Low</x:v>
      </x:c>
      <x:c r="Y430" s="24" t="str">
        <x:v>Internal development; public candidate requires gate</x:v>
      </x:c>
      <x:c r="Z430" s="24" t="str">
        <x:v>H6 legal/content audit</x:v>
      </x:c>
      <x:c r="AA430" s="24" t="str">
        <x:v>VRM Games</x:v>
      </x:c>
      <x:c r="AB430" s="24" t="str">
        <x:v>No se detectó proveedor externo en la ruta; confirmar autoría por lote antes de release público.</x:v>
      </x:c>
    </x:row>
    <x:row r="431" ht="34" customHeight="1">
      <x:c r="A431" s="24" t="str">
        <x:v>INT-0427</x:v>
      </x:c>
      <x:c r="B431" s="24" t="str">
        <x:v>78819704cbe715e7af7127ccdde64cbc</x:v>
      </x:c>
      <x:c r="C431" s="24" t="str">
        <x:v>InventoryTransferService.cs</x:v>
      </x:c>
      <x:c r="D431" s="24" t="str">
        <x:v>Code</x:v>
      </x:c>
      <x:c r="E431" s="24" t="str">
        <x:v>Domain</x:v>
      </x:c>
      <x:c r="F431" s="24" t="str">
        <x:v>VRM Games / Blas Luis Rocha González</x:v>
      </x:c>
      <x:c r="G431" s="24" t="str">
        <x:v>VRM Games / Blas Luis Rocha González</x:v>
      </x:c>
      <x:c r="H431" s="24" t="str">
        <x:v>Internal project production</x:v>
      </x:c>
      <x:c r="I431" s="24" t="str">
        <x:v>2026 project timeline</x:v>
      </x:c>
      <x:c r="J431" s="24" t="str">
        <x:v>Internal project IP / authorship claim</x:v>
      </x:c>
      <x:c r="K431" s="24" t="str">
        <x:v>N/A</x:v>
      </x:c>
      <x:c r="L431" s="24" t="str">
        <x:v>Source package + repository path + hash</x:v>
      </x:c>
      <x:c r="M431" s="24" t="str">
        <x:v>9c287c784a3f470642a3f042d430edfd9fbb90980b20af531540b496863b1e6b</x:v>
      </x:c>
      <x:c r="N431" s="24" t="str">
        <x:v>Assets/_Project/Scripts/Domain/Inventory/InventoryTransferService.cs</x:v>
      </x:c>
      <x:c r="O431" s="24" t="str">
        <x:v>78819704cbe715e7af7127ccdde64cbc</x:v>
      </x:c>
      <x:c r="P431" s="24" t="str">
        <x:v>Sí</x:v>
      </x:c>
      <x:c r="Q431" s="24" t="str">
        <x:v>Condicionado a autoría/procedencia final</x:v>
      </x:c>
      <x:c r="R431" s="24" t="str">
        <x:v>Solo dentro del producto/build autorizado</x:v>
      </x:c>
      <x:c r="S431" s="24" t="str">
        <x:v>Crédito general del estudio; individual si aplica</x:v>
      </x:c>
      <x:c r="T431" s="24" t="str">
        <x:v>VRM Games / Blas Luis Rocha González</x:v>
      </x:c>
      <x:c r="U431" s="24" t="str">
        <x:v>CURRENT PROJECT ASSET</x:v>
      </x:c>
      <x:c r="V431" s="24" t="str">
        <x:v>CONDITIONALLY APPROVED</x:v>
      </x:c>
      <x:c r="W431" s="24" t="str">
        <x:v>Sí</x:v>
      </x:c>
      <x:c r="X431" s="24" t="str">
        <x:v>Low</x:v>
      </x:c>
      <x:c r="Y431" s="24" t="str">
        <x:v>Internal development; public candidate requires gate</x:v>
      </x:c>
      <x:c r="Z431" s="24" t="str">
        <x:v>H6 legal/content audit</x:v>
      </x:c>
      <x:c r="AA431" s="24" t="str">
        <x:v>VRM Games</x:v>
      </x:c>
      <x:c r="AB431" s="24" t="str">
        <x:v>No se detectó proveedor externo en la ruta; confirmar autoría por lote antes de release público.</x:v>
      </x:c>
    </x:row>
    <x:row r="432" ht="34" customHeight="1">
      <x:c r="A432" s="24" t="str">
        <x:v>INT-0428</x:v>
      </x:c>
      <x:c r="B432" s="24" t="str">
        <x:v>0c2fc348a3a84976139eb9f75fb5f499</x:v>
      </x:c>
      <x:c r="C432" s="24" t="str">
        <x:v>Quantity.cs</x:v>
      </x:c>
      <x:c r="D432" s="24" t="str">
        <x:v>Code</x:v>
      </x:c>
      <x:c r="E432" s="24" t="str">
        <x:v>Domain</x:v>
      </x:c>
      <x:c r="F432" s="24" t="str">
        <x:v>VRM Games / Blas Luis Rocha González</x:v>
      </x:c>
      <x:c r="G432" s="24" t="str">
        <x:v>VRM Games / Blas Luis Rocha González</x:v>
      </x:c>
      <x:c r="H432" s="24" t="str">
        <x:v>Internal project production</x:v>
      </x:c>
      <x:c r="I432" s="24" t="str">
        <x:v>2026 project timeline</x:v>
      </x:c>
      <x:c r="J432" s="24" t="str">
        <x:v>Internal project IP / authorship claim</x:v>
      </x:c>
      <x:c r="K432" s="24" t="str">
        <x:v>N/A</x:v>
      </x:c>
      <x:c r="L432" s="24" t="str">
        <x:v>Source package + repository path + hash</x:v>
      </x:c>
      <x:c r="M432" s="24" t="str">
        <x:v>fca351b180ea41a4ba0ef6c80d78ac8d94a4a8c123ee930a4ba2477a98001b4d</x:v>
      </x:c>
      <x:c r="N432" s="24" t="str">
        <x:v>Assets/_Project/Scripts/Domain/Inventory/Quantity.cs</x:v>
      </x:c>
      <x:c r="O432" s="24" t="str">
        <x:v>0c2fc348a3a84976139eb9f75fb5f499</x:v>
      </x:c>
      <x:c r="P432" s="24" t="str">
        <x:v>Sí</x:v>
      </x:c>
      <x:c r="Q432" s="24" t="str">
        <x:v>Condicionado a autoría/procedencia final</x:v>
      </x:c>
      <x:c r="R432" s="24" t="str">
        <x:v>Solo dentro del producto/build autorizado</x:v>
      </x:c>
      <x:c r="S432" s="24" t="str">
        <x:v>Crédito general del estudio; individual si aplica</x:v>
      </x:c>
      <x:c r="T432" s="24" t="str">
        <x:v>VRM Games / Blas Luis Rocha González</x:v>
      </x:c>
      <x:c r="U432" s="24" t="str">
        <x:v>CURRENT PROJECT ASSET</x:v>
      </x:c>
      <x:c r="V432" s="24" t="str">
        <x:v>CONDITIONALLY APPROVED</x:v>
      </x:c>
      <x:c r="W432" s="24" t="str">
        <x:v>Sí</x:v>
      </x:c>
      <x:c r="X432" s="24" t="str">
        <x:v>Low</x:v>
      </x:c>
      <x:c r="Y432" s="24" t="str">
        <x:v>Internal development; public candidate requires gate</x:v>
      </x:c>
      <x:c r="Z432" s="24" t="str">
        <x:v>H6 legal/content audit</x:v>
      </x:c>
      <x:c r="AA432" s="24" t="str">
        <x:v>VRM Games</x:v>
      </x:c>
      <x:c r="AB432" s="24" t="str">
        <x:v>No se detectó proveedor externo en la ruta; confirmar autoría por lote antes de release público.</x:v>
      </x:c>
    </x:row>
    <x:row r="433" ht="34" customHeight="1">
      <x:c r="A433" s="24" t="str">
        <x:v>INT-0429</x:v>
      </x:c>
      <x:c r="B433" s="24" t="str">
        <x:v>737bf196749f4a88b13b56f3ecb87d58</x:v>
      </x:c>
      <x:c r="C433" s="24" t="str">
        <x:v>PurchaseOrder.cs</x:v>
      </x:c>
      <x:c r="D433" s="24" t="str">
        <x:v>Code</x:v>
      </x:c>
      <x:c r="E433" s="24" t="str">
        <x:v>Domain</x:v>
      </x:c>
      <x:c r="F433" s="24" t="str">
        <x:v>VRM Games / Blas Luis Rocha González</x:v>
      </x:c>
      <x:c r="G433" s="24" t="str">
        <x:v>VRM Games / Blas Luis Rocha González</x:v>
      </x:c>
      <x:c r="H433" s="24" t="str">
        <x:v>Internal project production</x:v>
      </x:c>
      <x:c r="I433" s="24" t="str">
        <x:v>2026 project timeline</x:v>
      </x:c>
      <x:c r="J433" s="24" t="str">
        <x:v>Internal project IP / authorship claim</x:v>
      </x:c>
      <x:c r="K433" s="24" t="str">
        <x:v>N/A</x:v>
      </x:c>
      <x:c r="L433" s="24" t="str">
        <x:v>Source package + repository path + hash</x:v>
      </x:c>
      <x:c r="M433" s="24" t="str">
        <x:v>1e7c6c7d39c19339370ce92cefdddfe4cf025c73549909d48fe5a5865e56db74</x:v>
      </x:c>
      <x:c r="N433" s="24" t="str">
        <x:v>Assets/_Project/Scripts/Domain/Orders/PurchaseOrder.cs</x:v>
      </x:c>
      <x:c r="O433" s="24" t="str">
        <x:v>737bf196749f4a88b13b56f3ecb87d58</x:v>
      </x:c>
      <x:c r="P433" s="24" t="str">
        <x:v>Sí</x:v>
      </x:c>
      <x:c r="Q433" s="24" t="str">
        <x:v>Condicionado a autoría/procedencia final</x:v>
      </x:c>
      <x:c r="R433" s="24" t="str">
        <x:v>Solo dentro del producto/build autorizado</x:v>
      </x:c>
      <x:c r="S433" s="24" t="str">
        <x:v>Crédito general del estudio; individual si aplica</x:v>
      </x:c>
      <x:c r="T433" s="24" t="str">
        <x:v>VRM Games / Blas Luis Rocha González</x:v>
      </x:c>
      <x:c r="U433" s="24" t="str">
        <x:v>CURRENT PROJECT ASSET</x:v>
      </x:c>
      <x:c r="V433" s="24" t="str">
        <x:v>CONDITIONALLY APPROVED</x:v>
      </x:c>
      <x:c r="W433" s="24" t="str">
        <x:v>Sí</x:v>
      </x:c>
      <x:c r="X433" s="24" t="str">
        <x:v>Low</x:v>
      </x:c>
      <x:c r="Y433" s="24" t="str">
        <x:v>Internal development; public candidate requires gate</x:v>
      </x:c>
      <x:c r="Z433" s="24" t="str">
        <x:v>H6 legal/content audit</x:v>
      </x:c>
      <x:c r="AA433" s="24" t="str">
        <x:v>VRM Games</x:v>
      </x:c>
      <x:c r="AB433" s="24" t="str">
        <x:v>No se detectó proveedor externo en la ruta; confirmar autoría por lote antes de release público.</x:v>
      </x:c>
    </x:row>
    <x:row r="434" ht="34" customHeight="1">
      <x:c r="A434" s="24" t="str">
        <x:v>INT-0430</x:v>
      </x:c>
      <x:c r="B434" s="24" t="str">
        <x:v>c9a1f9de5565442caa6a12afd34999bc</x:v>
      </x:c>
      <x:c r="C434" s="24" t="str">
        <x:v>PurchaseOrderId.cs</x:v>
      </x:c>
      <x:c r="D434" s="24" t="str">
        <x:v>Code</x:v>
      </x:c>
      <x:c r="E434" s="24" t="str">
        <x:v>Domain</x:v>
      </x:c>
      <x:c r="F434" s="24" t="str">
        <x:v>VRM Games / Blas Luis Rocha González</x:v>
      </x:c>
      <x:c r="G434" s="24" t="str">
        <x:v>VRM Games / Blas Luis Rocha González</x:v>
      </x:c>
      <x:c r="H434" s="24" t="str">
        <x:v>Internal project production</x:v>
      </x:c>
      <x:c r="I434" s="24" t="str">
        <x:v>2026 project timeline</x:v>
      </x:c>
      <x:c r="J434" s="24" t="str">
        <x:v>Internal project IP / authorship claim</x:v>
      </x:c>
      <x:c r="K434" s="24" t="str">
        <x:v>N/A</x:v>
      </x:c>
      <x:c r="L434" s="24" t="str">
        <x:v>Source package + repository path + hash</x:v>
      </x:c>
      <x:c r="M434" s="24" t="str">
        <x:v>ca7d55a8481ecd3aee4dd6c83b004af61caa5f95c7e76a54df2c84c65eaff9d6</x:v>
      </x:c>
      <x:c r="N434" s="24" t="str">
        <x:v>Assets/_Project/Scripts/Domain/Orders/PurchaseOrderId.cs</x:v>
      </x:c>
      <x:c r="O434" s="24" t="str">
        <x:v>c9a1f9de5565442caa6a12afd34999bc</x:v>
      </x:c>
      <x:c r="P434" s="24" t="str">
        <x:v>Sí</x:v>
      </x:c>
      <x:c r="Q434" s="24" t="str">
        <x:v>Condicionado a autoría/procedencia final</x:v>
      </x:c>
      <x:c r="R434" s="24" t="str">
        <x:v>Solo dentro del producto/build autorizado</x:v>
      </x:c>
      <x:c r="S434" s="24" t="str">
        <x:v>Crédito general del estudio; individual si aplica</x:v>
      </x:c>
      <x:c r="T434" s="24" t="str">
        <x:v>VRM Games / Blas Luis Rocha González</x:v>
      </x:c>
      <x:c r="U434" s="24" t="str">
        <x:v>CURRENT PROJECT ASSET</x:v>
      </x:c>
      <x:c r="V434" s="24" t="str">
        <x:v>CONDITIONALLY APPROVED</x:v>
      </x:c>
      <x:c r="W434" s="24" t="str">
        <x:v>Sí</x:v>
      </x:c>
      <x:c r="X434" s="24" t="str">
        <x:v>Low</x:v>
      </x:c>
      <x:c r="Y434" s="24" t="str">
        <x:v>Internal development; public candidate requires gate</x:v>
      </x:c>
      <x:c r="Z434" s="24" t="str">
        <x:v>H6 legal/content audit</x:v>
      </x:c>
      <x:c r="AA434" s="24" t="str">
        <x:v>VRM Games</x:v>
      </x:c>
      <x:c r="AB434" s="24" t="str">
        <x:v>No se detectó proveedor externo en la ruta; confirmar autoría por lote antes de release público.</x:v>
      </x:c>
    </x:row>
    <x:row r="435" ht="34" customHeight="1">
      <x:c r="A435" s="24" t="str">
        <x:v>INT-0431</x:v>
      </x:c>
      <x:c r="B435" s="24" t="str">
        <x:v>749265ea942844cd854e92055a9a2750</x:v>
      </x:c>
      <x:c r="C435" s="24" t="str">
        <x:v>PurchaseOrderLine.cs</x:v>
      </x:c>
      <x:c r="D435" s="24" t="str">
        <x:v>Code</x:v>
      </x:c>
      <x:c r="E435" s="24" t="str">
        <x:v>Domain</x:v>
      </x:c>
      <x:c r="F435" s="24" t="str">
        <x:v>VRM Games / Blas Luis Rocha González</x:v>
      </x:c>
      <x:c r="G435" s="24" t="str">
        <x:v>VRM Games / Blas Luis Rocha González</x:v>
      </x:c>
      <x:c r="H435" s="24" t="str">
        <x:v>Internal project production</x:v>
      </x:c>
      <x:c r="I435" s="24" t="str">
        <x:v>2026 project timeline</x:v>
      </x:c>
      <x:c r="J435" s="24" t="str">
        <x:v>Internal project IP / authorship claim</x:v>
      </x:c>
      <x:c r="K435" s="24" t="str">
        <x:v>N/A</x:v>
      </x:c>
      <x:c r="L435" s="24" t="str">
        <x:v>Source package + repository path + hash</x:v>
      </x:c>
      <x:c r="M435" s="24" t="str">
        <x:v>2e5a59fb40cb5fcaa03dd237fc25725ae4e9d98a0eccb58104a07369eb66c56b</x:v>
      </x:c>
      <x:c r="N435" s="24" t="str">
        <x:v>Assets/_Project/Scripts/Domain/Orders/PurchaseOrderLine.cs</x:v>
      </x:c>
      <x:c r="O435" s="24" t="str">
        <x:v>749265ea942844cd854e92055a9a2750</x:v>
      </x:c>
      <x:c r="P435" s="24" t="str">
        <x:v>Sí</x:v>
      </x:c>
      <x:c r="Q435" s="24" t="str">
        <x:v>Condicionado a autoría/procedencia final</x:v>
      </x:c>
      <x:c r="R435" s="24" t="str">
        <x:v>Solo dentro del producto/build autorizado</x:v>
      </x:c>
      <x:c r="S435" s="24" t="str">
        <x:v>Crédito general del estudio; individual si aplica</x:v>
      </x:c>
      <x:c r="T435" s="24" t="str">
        <x:v>VRM Games / Blas Luis Rocha González</x:v>
      </x:c>
      <x:c r="U435" s="24" t="str">
        <x:v>CURRENT PROJECT ASSET</x:v>
      </x:c>
      <x:c r="V435" s="24" t="str">
        <x:v>CONDITIONALLY APPROVED</x:v>
      </x:c>
      <x:c r="W435" s="24" t="str">
        <x:v>Sí</x:v>
      </x:c>
      <x:c r="X435" s="24" t="str">
        <x:v>Low</x:v>
      </x:c>
      <x:c r="Y435" s="24" t="str">
        <x:v>Internal development; public candidate requires gate</x:v>
      </x:c>
      <x:c r="Z435" s="24" t="str">
        <x:v>H6 legal/content audit</x:v>
      </x:c>
      <x:c r="AA435" s="24" t="str">
        <x:v>VRM Games</x:v>
      </x:c>
      <x:c r="AB435" s="24" t="str">
        <x:v>No se detectó proveedor externo en la ruta; confirmar autoría por lote antes de release público.</x:v>
      </x:c>
    </x:row>
    <x:row r="436" ht="34" customHeight="1">
      <x:c r="A436" s="24" t="str">
        <x:v>INT-0432</x:v>
      </x:c>
      <x:c r="B436" s="24" t="str">
        <x:v>d667452d34024349a4b51f8e41474bf0</x:v>
      </x:c>
      <x:c r="C436" s="24" t="str">
        <x:v>PurchaseOrderRequestLine.cs</x:v>
      </x:c>
      <x:c r="D436" s="24" t="str">
        <x:v>Code</x:v>
      </x:c>
      <x:c r="E436" s="24" t="str">
        <x:v>Domain</x:v>
      </x:c>
      <x:c r="F436" s="24" t="str">
        <x:v>VRM Games / Blas Luis Rocha González</x:v>
      </x:c>
      <x:c r="G436" s="24" t="str">
        <x:v>VRM Games / Blas Luis Rocha González</x:v>
      </x:c>
      <x:c r="H436" s="24" t="str">
        <x:v>Internal project production</x:v>
      </x:c>
      <x:c r="I436" s="24" t="str">
        <x:v>2026 project timeline</x:v>
      </x:c>
      <x:c r="J436" s="24" t="str">
        <x:v>Internal project IP / authorship claim</x:v>
      </x:c>
      <x:c r="K436" s="24" t="str">
        <x:v>N/A</x:v>
      </x:c>
      <x:c r="L436" s="24" t="str">
        <x:v>Source package + repository path + hash</x:v>
      </x:c>
      <x:c r="M436" s="24" t="str">
        <x:v>74eb903061dd3b66b9bc81bf8cf900ab1e24ea22348f85dd2f81adc64c793788</x:v>
      </x:c>
      <x:c r="N436" s="24" t="str">
        <x:v>Assets/_Project/Scripts/Domain/Orders/PurchaseOrderRequestLine.cs</x:v>
      </x:c>
      <x:c r="O436" s="24" t="str">
        <x:v>d667452d34024349a4b51f8e41474bf0</x:v>
      </x:c>
      <x:c r="P436" s="24" t="str">
        <x:v>Sí</x:v>
      </x:c>
      <x:c r="Q436" s="24" t="str">
        <x:v>Condicionado a autoría/procedencia final</x:v>
      </x:c>
      <x:c r="R436" s="24" t="str">
        <x:v>Solo dentro del producto/build autorizado</x:v>
      </x:c>
      <x:c r="S436" s="24" t="str">
        <x:v>Crédito general del estudio; individual si aplica</x:v>
      </x:c>
      <x:c r="T436" s="24" t="str">
        <x:v>VRM Games / Blas Luis Rocha González</x:v>
      </x:c>
      <x:c r="U436" s="24" t="str">
        <x:v>CURRENT PROJECT ASSET</x:v>
      </x:c>
      <x:c r="V436" s="24" t="str">
        <x:v>CONDITIONALLY APPROVED</x:v>
      </x:c>
      <x:c r="W436" s="24" t="str">
        <x:v>Sí</x:v>
      </x:c>
      <x:c r="X436" s="24" t="str">
        <x:v>Low</x:v>
      </x:c>
      <x:c r="Y436" s="24" t="str">
        <x:v>Internal development; public candidate requires gate</x:v>
      </x:c>
      <x:c r="Z436" s="24" t="str">
        <x:v>H6 legal/content audit</x:v>
      </x:c>
      <x:c r="AA436" s="24" t="str">
        <x:v>VRM Games</x:v>
      </x:c>
      <x:c r="AB436" s="24" t="str">
        <x:v>No se detectó proveedor externo en la ruta; confirmar autoría por lote antes de release público.</x:v>
      </x:c>
    </x:row>
    <x:row r="437" ht="34" customHeight="1">
      <x:c r="A437" s="24" t="str">
        <x:v>INT-0433</x:v>
      </x:c>
      <x:c r="B437" s="24" t="str">
        <x:v>276ec2555f2946e48fd25ab07a320b12</x:v>
      </x:c>
      <x:c r="C437" s="24" t="str">
        <x:v>PurchaseOrderStatus.cs</x:v>
      </x:c>
      <x:c r="D437" s="24" t="str">
        <x:v>Code</x:v>
      </x:c>
      <x:c r="E437" s="24" t="str">
        <x:v>Domain</x:v>
      </x:c>
      <x:c r="F437" s="24" t="str">
        <x:v>VRM Games / Blas Luis Rocha González</x:v>
      </x:c>
      <x:c r="G437" s="24" t="str">
        <x:v>VRM Games / Blas Luis Rocha González</x:v>
      </x:c>
      <x:c r="H437" s="24" t="str">
        <x:v>Internal project production</x:v>
      </x:c>
      <x:c r="I437" s="24" t="str">
        <x:v>2026 project timeline</x:v>
      </x:c>
      <x:c r="J437" s="24" t="str">
        <x:v>Internal project IP / authorship claim</x:v>
      </x:c>
      <x:c r="K437" s="24" t="str">
        <x:v>N/A</x:v>
      </x:c>
      <x:c r="L437" s="24" t="str">
        <x:v>Source package + repository path + hash</x:v>
      </x:c>
      <x:c r="M437" s="24" t="str">
        <x:v>1dea4c093d926c7e86aa53cc5cdfd75b6b99e905335977291bea1b80ad90c0bc</x:v>
      </x:c>
      <x:c r="N437" s="24" t="str">
        <x:v>Assets/_Project/Scripts/Domain/Orders/PurchaseOrderStatus.cs</x:v>
      </x:c>
      <x:c r="O437" s="24" t="str">
        <x:v>276ec2555f2946e48fd25ab07a320b12</x:v>
      </x:c>
      <x:c r="P437" s="24" t="str">
        <x:v>Sí</x:v>
      </x:c>
      <x:c r="Q437" s="24" t="str">
        <x:v>Condicionado a autoría/procedencia final</x:v>
      </x:c>
      <x:c r="R437" s="24" t="str">
        <x:v>Solo dentro del producto/build autorizado</x:v>
      </x:c>
      <x:c r="S437" s="24" t="str">
        <x:v>Crédito general del estudio; individual si aplica</x:v>
      </x:c>
      <x:c r="T437" s="24" t="str">
        <x:v>VRM Games / Blas Luis Rocha González</x:v>
      </x:c>
      <x:c r="U437" s="24" t="str">
        <x:v>CURRENT PROJECT ASSET</x:v>
      </x:c>
      <x:c r="V437" s="24" t="str">
        <x:v>CONDITIONALLY APPROVED</x:v>
      </x:c>
      <x:c r="W437" s="24" t="str">
        <x:v>Sí</x:v>
      </x:c>
      <x:c r="X437" s="24" t="str">
        <x:v>Low</x:v>
      </x:c>
      <x:c r="Y437" s="24" t="str">
        <x:v>Internal development; public candidate requires gate</x:v>
      </x:c>
      <x:c r="Z437" s="24" t="str">
        <x:v>H6 legal/content audit</x:v>
      </x:c>
      <x:c r="AA437" s="24" t="str">
        <x:v>VRM Games</x:v>
      </x:c>
      <x:c r="AB437" s="24" t="str">
        <x:v>No se detectó proveedor externo en la ruta; confirmar autoría por lote antes de release público.</x:v>
      </x:c>
    </x:row>
    <x:row r="438" ht="34" customHeight="1">
      <x:c r="A438" s="24" t="str">
        <x:v>INT-0434</x:v>
      </x:c>
      <x:c r="B438" s="24" t="str">
        <x:v>7854d3f17bde4113989749f92abae71e</x:v>
      </x:c>
      <x:c r="C438" s="24" t="str">
        <x:v>PurchaseOrderTransitionFailureReason.cs</x:v>
      </x:c>
      <x:c r="D438" s="24" t="str">
        <x:v>Code</x:v>
      </x:c>
      <x:c r="E438" s="24" t="str">
        <x:v>Domain</x:v>
      </x:c>
      <x:c r="F438" s="24" t="str">
        <x:v>VRM Games / Blas Luis Rocha González</x:v>
      </x:c>
      <x:c r="G438" s="24" t="str">
        <x:v>VRM Games / Blas Luis Rocha González</x:v>
      </x:c>
      <x:c r="H438" s="24" t="str">
        <x:v>Internal project production</x:v>
      </x:c>
      <x:c r="I438" s="24" t="str">
        <x:v>2026 project timeline</x:v>
      </x:c>
      <x:c r="J438" s="24" t="str">
        <x:v>Internal project IP / authorship claim</x:v>
      </x:c>
      <x:c r="K438" s="24" t="str">
        <x:v>N/A</x:v>
      </x:c>
      <x:c r="L438" s="24" t="str">
        <x:v>Source package + repository path + hash</x:v>
      </x:c>
      <x:c r="M438" s="24" t="str">
        <x:v>4d2194bb85b30233e0381e3d298f0330d4676e1dd2d139d6c5c0719932a63a4d</x:v>
      </x:c>
      <x:c r="N438" s="24" t="str">
        <x:v>Assets/_Project/Scripts/Domain/Orders/PurchaseOrderTransitionFailureReason.cs</x:v>
      </x:c>
      <x:c r="O438" s="24" t="str">
        <x:v>7854d3f17bde4113989749f92abae71e</x:v>
      </x:c>
      <x:c r="P438" s="24" t="str">
        <x:v>Sí</x:v>
      </x:c>
      <x:c r="Q438" s="24" t="str">
        <x:v>Condicionado a autoría/procedencia final</x:v>
      </x:c>
      <x:c r="R438" s="24" t="str">
        <x:v>Solo dentro del producto/build autorizado</x:v>
      </x:c>
      <x:c r="S438" s="24" t="str">
        <x:v>Crédito general del estudio; individual si aplica</x:v>
      </x:c>
      <x:c r="T438" s="24" t="str">
        <x:v>VRM Games / Blas Luis Rocha González</x:v>
      </x:c>
      <x:c r="U438" s="24" t="str">
        <x:v>CURRENT PROJECT ASSET</x:v>
      </x:c>
      <x:c r="V438" s="24" t="str">
        <x:v>CONDITIONALLY APPROVED</x:v>
      </x:c>
      <x:c r="W438" s="24" t="str">
        <x:v>Sí</x:v>
      </x:c>
      <x:c r="X438" s="24" t="str">
        <x:v>Low</x:v>
      </x:c>
      <x:c r="Y438" s="24" t="str">
        <x:v>Internal development; public candidate requires gate</x:v>
      </x:c>
      <x:c r="Z438" s="24" t="str">
        <x:v>H6 legal/content audit</x:v>
      </x:c>
      <x:c r="AA438" s="24" t="str">
        <x:v>VRM Games</x:v>
      </x:c>
      <x:c r="AB438" s="24" t="str">
        <x:v>No se detectó proveedor externo en la ruta; confirmar autoría por lote antes de release público.</x:v>
      </x:c>
    </x:row>
    <x:row r="439" ht="34" customHeight="1">
      <x:c r="A439" s="24" t="str">
        <x:v>INT-0435</x:v>
      </x:c>
      <x:c r="B439" s="24" t="str">
        <x:v>ae561607500b4426a3d9eafbf4778207</x:v>
      </x:c>
      <x:c r="C439" s="24" t="str">
        <x:v>PurchaseOrderTransitionResult.cs</x:v>
      </x:c>
      <x:c r="D439" s="24" t="str">
        <x:v>Code</x:v>
      </x:c>
      <x:c r="E439" s="24" t="str">
        <x:v>Domain</x:v>
      </x:c>
      <x:c r="F439" s="24" t="str">
        <x:v>VRM Games / Blas Luis Rocha González</x:v>
      </x:c>
      <x:c r="G439" s="24" t="str">
        <x:v>VRM Games / Blas Luis Rocha González</x:v>
      </x:c>
      <x:c r="H439" s="24" t="str">
        <x:v>Internal project production</x:v>
      </x:c>
      <x:c r="I439" s="24" t="str">
        <x:v>2026 project timeline</x:v>
      </x:c>
      <x:c r="J439" s="24" t="str">
        <x:v>Internal project IP / authorship claim</x:v>
      </x:c>
      <x:c r="K439" s="24" t="str">
        <x:v>N/A</x:v>
      </x:c>
      <x:c r="L439" s="24" t="str">
        <x:v>Source package + repository path + hash</x:v>
      </x:c>
      <x:c r="M439" s="24" t="str">
        <x:v>e5460a6af4df8487ca8eb936258ea94d985136dbc91253b12f183856b436064f</x:v>
      </x:c>
      <x:c r="N439" s="24" t="str">
        <x:v>Assets/_Project/Scripts/Domain/Orders/PurchaseOrderTransitionResult.cs</x:v>
      </x:c>
      <x:c r="O439" s="24" t="str">
        <x:v>ae561607500b4426a3d9eafbf4778207</x:v>
      </x:c>
      <x:c r="P439" s="24" t="str">
        <x:v>Sí</x:v>
      </x:c>
      <x:c r="Q439" s="24" t="str">
        <x:v>Condicionado a autoría/procedencia final</x:v>
      </x:c>
      <x:c r="R439" s="24" t="str">
        <x:v>Solo dentro del producto/build autorizado</x:v>
      </x:c>
      <x:c r="S439" s="24" t="str">
        <x:v>Crédito general del estudio; individual si aplica</x:v>
      </x:c>
      <x:c r="T439" s="24" t="str">
        <x:v>VRM Games / Blas Luis Rocha González</x:v>
      </x:c>
      <x:c r="U439" s="24" t="str">
        <x:v>CURRENT PROJECT ASSET</x:v>
      </x:c>
      <x:c r="V439" s="24" t="str">
        <x:v>CONDITIONALLY APPROVED</x:v>
      </x:c>
      <x:c r="W439" s="24" t="str">
        <x:v>Sí</x:v>
      </x:c>
      <x:c r="X439" s="24" t="str">
        <x:v>Low</x:v>
      </x:c>
      <x:c r="Y439" s="24" t="str">
        <x:v>Internal development; public candidate requires gate</x:v>
      </x:c>
      <x:c r="Z439" s="24" t="str">
        <x:v>H6 legal/content audit</x:v>
      </x:c>
      <x:c r="AA439" s="24" t="str">
        <x:v>VRM Games</x:v>
      </x:c>
      <x:c r="AB439" s="24" t="str">
        <x:v>No se detectó proveedor externo en la ruta; confirmar autoría por lote antes de release público.</x:v>
      </x:c>
    </x:row>
    <x:row r="440" ht="34" customHeight="1">
      <x:c r="A440" s="24" t="str">
        <x:v>INT-0436</x:v>
      </x:c>
      <x:c r="B440" s="24" t="str">
        <x:v>22ad1f490d304a3fb6d35d0018369279</x:v>
      </x:c>
      <x:c r="C440" s="24" t="str">
        <x:v>IntegratedGameStateSnapshot.cs</x:v>
      </x:c>
      <x:c r="D440" s="24" t="str">
        <x:v>Code</x:v>
      </x:c>
      <x:c r="E440" s="24" t="str">
        <x:v>Domain</x:v>
      </x:c>
      <x:c r="F440" s="24" t="str">
        <x:v>VRM Games / Blas Luis Rocha González</x:v>
      </x:c>
      <x:c r="G440" s="24" t="str">
        <x:v>VRM Games / Blas Luis Rocha González</x:v>
      </x:c>
      <x:c r="H440" s="24" t="str">
        <x:v>Internal project production</x:v>
      </x:c>
      <x:c r="I440" s="24" t="str">
        <x:v>2026 project timeline</x:v>
      </x:c>
      <x:c r="J440" s="24" t="str">
        <x:v>Internal project IP / authorship claim</x:v>
      </x:c>
      <x:c r="K440" s="24" t="str">
        <x:v>N/A</x:v>
      </x:c>
      <x:c r="L440" s="24" t="str">
        <x:v>Source package + repository path + hash</x:v>
      </x:c>
      <x:c r="M440" s="24" t="str">
        <x:v>af49722b2ffdac7370ffa90bf104430e830b9ed2c69ac4952b2929478a547f62</x:v>
      </x:c>
      <x:c r="N440" s="24" t="str">
        <x:v>Assets/_Project/Scripts/Domain/Persistence/IntegratedGameStateSnapshot.cs</x:v>
      </x:c>
      <x:c r="O440" s="24" t="str">
        <x:v>22ad1f490d304a3fb6d35d0018369279</x:v>
      </x:c>
      <x:c r="P440" s="24" t="str">
        <x:v>Sí</x:v>
      </x:c>
      <x:c r="Q440" s="24" t="str">
        <x:v>Condicionado a autoría/procedencia final</x:v>
      </x:c>
      <x:c r="R440" s="24" t="str">
        <x:v>Solo dentro del producto/build autorizado</x:v>
      </x:c>
      <x:c r="S440" s="24" t="str">
        <x:v>Crédito general del estudio; individual si aplica</x:v>
      </x:c>
      <x:c r="T440" s="24" t="str">
        <x:v>VRM Games / Blas Luis Rocha González</x:v>
      </x:c>
      <x:c r="U440" s="24" t="str">
        <x:v>CURRENT PROJECT ASSET</x:v>
      </x:c>
      <x:c r="V440" s="24" t="str">
        <x:v>CONDITIONALLY APPROVED</x:v>
      </x:c>
      <x:c r="W440" s="24" t="str">
        <x:v>Sí</x:v>
      </x:c>
      <x:c r="X440" s="24" t="str">
        <x:v>Low</x:v>
      </x:c>
      <x:c r="Y440" s="24" t="str">
        <x:v>Internal development; public candidate requires gate</x:v>
      </x:c>
      <x:c r="Z440" s="24" t="str">
        <x:v>H6 legal/content audit</x:v>
      </x:c>
      <x:c r="AA440" s="24" t="str">
        <x:v>VRM Games</x:v>
      </x:c>
      <x:c r="AB440" s="24" t="str">
        <x:v>No se detectó proveedor externo en la ruta; confirmar autoría por lote antes de release público.</x:v>
      </x:c>
    </x:row>
    <x:row r="441" ht="34" customHeight="1">
      <x:c r="A441" s="24" t="str">
        <x:v>INT-0437</x:v>
      </x:c>
      <x:c r="B441" s="24" t="str">
        <x:v>1dfedfa0e5b745559f270ab597621d8b</x:v>
      </x:c>
      <x:c r="C441" s="24" t="str">
        <x:v>SaveRecords.cs</x:v>
      </x:c>
      <x:c r="D441" s="24" t="str">
        <x:v>Code</x:v>
      </x:c>
      <x:c r="E441" s="24" t="str">
        <x:v>Domain</x:v>
      </x:c>
      <x:c r="F441" s="24" t="str">
        <x:v>VRM Games / Blas Luis Rocha González</x:v>
      </x:c>
      <x:c r="G441" s="24" t="str">
        <x:v>VRM Games / Blas Luis Rocha González</x:v>
      </x:c>
      <x:c r="H441" s="24" t="str">
        <x:v>Internal project production</x:v>
      </x:c>
      <x:c r="I441" s="24" t="str">
        <x:v>2026 project timeline</x:v>
      </x:c>
      <x:c r="J441" s="24" t="str">
        <x:v>Internal project IP / authorship claim</x:v>
      </x:c>
      <x:c r="K441" s="24" t="str">
        <x:v>N/A</x:v>
      </x:c>
      <x:c r="L441" s="24" t="str">
        <x:v>Source package + repository path + hash</x:v>
      </x:c>
      <x:c r="M441" s="24" t="str">
        <x:v>7fa5cd904960e8c7bea8aa38e66bd1f4f89ab06e000d10612b246ad08cd74605</x:v>
      </x:c>
      <x:c r="N441" s="24" t="str">
        <x:v>Assets/_Project/Scripts/Domain/Persistence/SaveRecords.cs</x:v>
      </x:c>
      <x:c r="O441" s="24" t="str">
        <x:v>1dfedfa0e5b745559f270ab597621d8b</x:v>
      </x:c>
      <x:c r="P441" s="24" t="str">
        <x:v>Sí</x:v>
      </x:c>
      <x:c r="Q441" s="24" t="str">
        <x:v>Condicionado a autoría/procedencia final</x:v>
      </x:c>
      <x:c r="R441" s="24" t="str">
        <x:v>Solo dentro del producto/build autorizado</x:v>
      </x:c>
      <x:c r="S441" s="24" t="str">
        <x:v>Crédito general del estudio; individual si aplica</x:v>
      </x:c>
      <x:c r="T441" s="24" t="str">
        <x:v>VRM Games / Blas Luis Rocha González</x:v>
      </x:c>
      <x:c r="U441" s="24" t="str">
        <x:v>CURRENT PROJECT ASSET</x:v>
      </x:c>
      <x:c r="V441" s="24" t="str">
        <x:v>CONDITIONALLY APPROVED</x:v>
      </x:c>
      <x:c r="W441" s="24" t="str">
        <x:v>Sí</x:v>
      </x:c>
      <x:c r="X441" s="24" t="str">
        <x:v>Low</x:v>
      </x:c>
      <x:c r="Y441" s="24" t="str">
        <x:v>Internal development; public candidate requires gate</x:v>
      </x:c>
      <x:c r="Z441" s="24" t="str">
        <x:v>H6 legal/content audit</x:v>
      </x:c>
      <x:c r="AA441" s="24" t="str">
        <x:v>VRM Games</x:v>
      </x:c>
      <x:c r="AB441" s="24" t="str">
        <x:v>No se detectó proveedor externo en la ruta; confirmar autoría por lote antes de release público.</x:v>
      </x:c>
    </x:row>
    <x:row r="442" ht="34" customHeight="1">
      <x:c r="A442" s="24" t="str">
        <x:v>INT-0438</x:v>
      </x:c>
      <x:c r="B442" s="24" t="str">
        <x:v>48686766100944b3adc07d66c3dbc75a</x:v>
      </x:c>
      <x:c r="C442" s="24" t="str">
        <x:v>PlacedObjectRecord.cs</x:v>
      </x:c>
      <x:c r="D442" s="24" t="str">
        <x:v>Code</x:v>
      </x:c>
      <x:c r="E442" s="24" t="str">
        <x:v>Domain</x:v>
      </x:c>
      <x:c r="F442" s="24" t="str">
        <x:v>VRM Games / Blas Luis Rocha González</x:v>
      </x:c>
      <x:c r="G442" s="24" t="str">
        <x:v>VRM Games / Blas Luis Rocha González</x:v>
      </x:c>
      <x:c r="H442" s="24" t="str">
        <x:v>Internal project production</x:v>
      </x:c>
      <x:c r="I442" s="24" t="str">
        <x:v>2026 project timeline</x:v>
      </x:c>
      <x:c r="J442" s="24" t="str">
        <x:v>Internal project IP / authorship claim</x:v>
      </x:c>
      <x:c r="K442" s="24" t="str">
        <x:v>N/A</x:v>
      </x:c>
      <x:c r="L442" s="24" t="str">
        <x:v>Source package + repository path + hash</x:v>
      </x:c>
      <x:c r="M442" s="24" t="str">
        <x:v>8ba235ad32dd8d9cdc06eaa237d9a39d0fe090fd32a88f564da9a62ece036c2d</x:v>
      </x:c>
      <x:c r="N442" s="24" t="str">
        <x:v>Assets/_Project/Scripts/Domain/Placement/PlacedObjectRecord.cs</x:v>
      </x:c>
      <x:c r="O442" s="24" t="str">
        <x:v>48686766100944b3adc07d66c3dbc75a</x:v>
      </x:c>
      <x:c r="P442" s="24" t="str">
        <x:v>Sí</x:v>
      </x:c>
      <x:c r="Q442" s="24" t="str">
        <x:v>Condicionado a autoría/procedencia final</x:v>
      </x:c>
      <x:c r="R442" s="24" t="str">
        <x:v>Solo dentro del producto/build autorizado</x:v>
      </x:c>
      <x:c r="S442" s="24" t="str">
        <x:v>Crédito general del estudio; individual si aplica</x:v>
      </x:c>
      <x:c r="T442" s="24" t="str">
        <x:v>VRM Games / Blas Luis Rocha González</x:v>
      </x:c>
      <x:c r="U442" s="24" t="str">
        <x:v>CURRENT PROJECT ASSET</x:v>
      </x:c>
      <x:c r="V442" s="24" t="str">
        <x:v>CONDITIONALLY APPROVED</x:v>
      </x:c>
      <x:c r="W442" s="24" t="str">
        <x:v>Sí</x:v>
      </x:c>
      <x:c r="X442" s="24" t="str">
        <x:v>Low</x:v>
      </x:c>
      <x:c r="Y442" s="24" t="str">
        <x:v>Internal development; public candidate requires gate</x:v>
      </x:c>
      <x:c r="Z442" s="24" t="str">
        <x:v>H6 legal/content audit</x:v>
      </x:c>
      <x:c r="AA442" s="24" t="str">
        <x:v>VRM Games</x:v>
      </x:c>
      <x:c r="AB442" s="24" t="str">
        <x:v>No se detectó proveedor externo en la ruta; confirmar autoría por lote antes de release público.</x:v>
      </x:c>
    </x:row>
    <x:row r="443" ht="34" customHeight="1">
      <x:c r="A443" s="24" t="str">
        <x:v>INT-0439</x:v>
      </x:c>
      <x:c r="B443" s="24" t="str">
        <x:v>74118a2ac3d6463e97b3d386eca8aaad</x:v>
      </x:c>
      <x:c r="C443" s="24" t="str">
        <x:v>PlacementFailureReason.cs</x:v>
      </x:c>
      <x:c r="D443" s="24" t="str">
        <x:v>Code</x:v>
      </x:c>
      <x:c r="E443" s="24" t="str">
        <x:v>Domain</x:v>
      </x:c>
      <x:c r="F443" s="24" t="str">
        <x:v>VRM Games / Blas Luis Rocha González</x:v>
      </x:c>
      <x:c r="G443" s="24" t="str">
        <x:v>VRM Games / Blas Luis Rocha González</x:v>
      </x:c>
      <x:c r="H443" s="24" t="str">
        <x:v>Internal project production</x:v>
      </x:c>
      <x:c r="I443" s="24" t="str">
        <x:v>2026 project timeline</x:v>
      </x:c>
      <x:c r="J443" s="24" t="str">
        <x:v>Internal project IP / authorship claim</x:v>
      </x:c>
      <x:c r="K443" s="24" t="str">
        <x:v>N/A</x:v>
      </x:c>
      <x:c r="L443" s="24" t="str">
        <x:v>Source package + repository path + hash</x:v>
      </x:c>
      <x:c r="M443" s="24" t="str">
        <x:v>7b279f6531c5e72ad9d235c306eba42d0311823745fcc5ac232e44128eb60826</x:v>
      </x:c>
      <x:c r="N443" s="24" t="str">
        <x:v>Assets/_Project/Scripts/Domain/Placement/PlacementFailureReason.cs</x:v>
      </x:c>
      <x:c r="O443" s="24" t="str">
        <x:v>74118a2ac3d6463e97b3d386eca8aaad</x:v>
      </x:c>
      <x:c r="P443" s="24" t="str">
        <x:v>Sí</x:v>
      </x:c>
      <x:c r="Q443" s="24" t="str">
        <x:v>Condicionado a autoría/procedencia final</x:v>
      </x:c>
      <x:c r="R443" s="24" t="str">
        <x:v>Solo dentro del producto/build autorizado</x:v>
      </x:c>
      <x:c r="S443" s="24" t="str">
        <x:v>Crédito general del estudio; individual si aplica</x:v>
      </x:c>
      <x:c r="T443" s="24" t="str">
        <x:v>VRM Games / Blas Luis Rocha González</x:v>
      </x:c>
      <x:c r="U443" s="24" t="str">
        <x:v>CURRENT PROJECT ASSET</x:v>
      </x:c>
      <x:c r="V443" s="24" t="str">
        <x:v>CONDITIONALLY APPROVED</x:v>
      </x:c>
      <x:c r="W443" s="24" t="str">
        <x:v>Sí</x:v>
      </x:c>
      <x:c r="X443" s="24" t="str">
        <x:v>Low</x:v>
      </x:c>
      <x:c r="Y443" s="24" t="str">
        <x:v>Internal development; public candidate requires gate</x:v>
      </x:c>
      <x:c r="Z443" s="24" t="str">
        <x:v>H6 legal/content audit</x:v>
      </x:c>
      <x:c r="AA443" s="24" t="str">
        <x:v>VRM Games</x:v>
      </x:c>
      <x:c r="AB443" s="24" t="str">
        <x:v>No se detectó proveedor externo en la ruta; confirmar autoría por lote antes de release público.</x:v>
      </x:c>
    </x:row>
    <x:row r="444" ht="34" customHeight="1">
      <x:c r="A444" s="24" t="str">
        <x:v>INT-0440</x:v>
      </x:c>
      <x:c r="B444" s="24" t="str">
        <x:v>e1b0c4ad8c894f6280eedd30d625313c</x:v>
      </x:c>
      <x:c r="C444" s="24" t="str">
        <x:v>PlacementInstanceId.cs</x:v>
      </x:c>
      <x:c r="D444" s="24" t="str">
        <x:v>Code</x:v>
      </x:c>
      <x:c r="E444" s="24" t="str">
        <x:v>Domain</x:v>
      </x:c>
      <x:c r="F444" s="24" t="str">
        <x:v>VRM Games / Blas Luis Rocha González</x:v>
      </x:c>
      <x:c r="G444" s="24" t="str">
        <x:v>VRM Games / Blas Luis Rocha González</x:v>
      </x:c>
      <x:c r="H444" s="24" t="str">
        <x:v>Internal project production</x:v>
      </x:c>
      <x:c r="I444" s="24" t="str">
        <x:v>2026 project timeline</x:v>
      </x:c>
      <x:c r="J444" s="24" t="str">
        <x:v>Internal project IP / authorship claim</x:v>
      </x:c>
      <x:c r="K444" s="24" t="str">
        <x:v>N/A</x:v>
      </x:c>
      <x:c r="L444" s="24" t="str">
        <x:v>Source package + repository path + hash</x:v>
      </x:c>
      <x:c r="M444" s="24" t="str">
        <x:v>c73826c3a654ea7adfdf387ef8a24c0dd5fa7e073e9e703b386b4d0c03fe5380</x:v>
      </x:c>
      <x:c r="N444" s="24" t="str">
        <x:v>Assets/_Project/Scripts/Domain/Placement/PlacementInstanceId.cs</x:v>
      </x:c>
      <x:c r="O444" s="24" t="str">
        <x:v>e1b0c4ad8c894f6280eedd30d625313c</x:v>
      </x:c>
      <x:c r="P444" s="24" t="str">
        <x:v>Sí</x:v>
      </x:c>
      <x:c r="Q444" s="24" t="str">
        <x:v>Condicionado a autoría/procedencia final</x:v>
      </x:c>
      <x:c r="R444" s="24" t="str">
        <x:v>Solo dentro del producto/build autorizado</x:v>
      </x:c>
      <x:c r="S444" s="24" t="str">
        <x:v>Crédito general del estudio; individual si aplica</x:v>
      </x:c>
      <x:c r="T444" s="24" t="str">
        <x:v>VRM Games / Blas Luis Rocha González</x:v>
      </x:c>
      <x:c r="U444" s="24" t="str">
        <x:v>CURRENT PROJECT ASSET</x:v>
      </x:c>
      <x:c r="V444" s="24" t="str">
        <x:v>CONDITIONALLY APPROVED</x:v>
      </x:c>
      <x:c r="W444" s="24" t="str">
        <x:v>Sí</x:v>
      </x:c>
      <x:c r="X444" s="24" t="str">
        <x:v>Low</x:v>
      </x:c>
      <x:c r="Y444" s="24" t="str">
        <x:v>Internal development; public candidate requires gate</x:v>
      </x:c>
      <x:c r="Z444" s="24" t="str">
        <x:v>H6 legal/content audit</x:v>
      </x:c>
      <x:c r="AA444" s="24" t="str">
        <x:v>VRM Games</x:v>
      </x:c>
      <x:c r="AB444" s="24" t="str">
        <x:v>No se detectó proveedor externo en la ruta; confirmar autoría por lote antes de release público.</x:v>
      </x:c>
    </x:row>
    <x:row r="445" ht="34" customHeight="1">
      <x:c r="A445" s="24" t="str">
        <x:v>INT-0441</x:v>
      </x:c>
      <x:c r="B445" s="24" t="str">
        <x:v>1a3ef341af536224417391348766d7e3</x:v>
      </x:c>
      <x:c r="C445" s="24" t="str">
        <x:v>ProductCategoryId.cs</x:v>
      </x:c>
      <x:c r="D445" s="24" t="str">
        <x:v>Code</x:v>
      </x:c>
      <x:c r="E445" s="24" t="str">
        <x:v>Domain</x:v>
      </x:c>
      <x:c r="F445" s="24" t="str">
        <x:v>VRM Games / Blas Luis Rocha González</x:v>
      </x:c>
      <x:c r="G445" s="24" t="str">
        <x:v>VRM Games / Blas Luis Rocha González</x:v>
      </x:c>
      <x:c r="H445" s="24" t="str">
        <x:v>Internal project production</x:v>
      </x:c>
      <x:c r="I445" s="24" t="str">
        <x:v>2026 project timeline</x:v>
      </x:c>
      <x:c r="J445" s="24" t="str">
        <x:v>Internal project IP / authorship claim</x:v>
      </x:c>
      <x:c r="K445" s="24" t="str">
        <x:v>N/A</x:v>
      </x:c>
      <x:c r="L445" s="24" t="str">
        <x:v>Source package + repository path + hash</x:v>
      </x:c>
      <x:c r="M445" s="24" t="str">
        <x:v>0c7b0053d8740ad0e734fa45631665f9859f576ddccacf19a89672c7dae4aad2</x:v>
      </x:c>
      <x:c r="N445" s="24" t="str">
        <x:v>Assets/_Project/Scripts/Domain/Products/ProductCategoryId.cs</x:v>
      </x:c>
      <x:c r="O445" s="24" t="str">
        <x:v>1a3ef341af536224417391348766d7e3</x:v>
      </x:c>
      <x:c r="P445" s="24" t="str">
        <x:v>Sí</x:v>
      </x:c>
      <x:c r="Q445" s="24" t="str">
        <x:v>Condicionado a autoría/procedencia final</x:v>
      </x:c>
      <x:c r="R445" s="24" t="str">
        <x:v>Solo dentro del producto/build autorizado</x:v>
      </x:c>
      <x:c r="S445" s="24" t="str">
        <x:v>Crédito general del estudio; individual si aplica</x:v>
      </x:c>
      <x:c r="T445" s="24" t="str">
        <x:v>VRM Games / Blas Luis Rocha González</x:v>
      </x:c>
      <x:c r="U445" s="24" t="str">
        <x:v>CURRENT PROJECT ASSET</x:v>
      </x:c>
      <x:c r="V445" s="24" t="str">
        <x:v>CONDITIONALLY APPROVED</x:v>
      </x:c>
      <x:c r="W445" s="24" t="str">
        <x:v>Sí</x:v>
      </x:c>
      <x:c r="X445" s="24" t="str">
        <x:v>Low</x:v>
      </x:c>
      <x:c r="Y445" s="24" t="str">
        <x:v>Internal development; public candidate requires gate</x:v>
      </x:c>
      <x:c r="Z445" s="24" t="str">
        <x:v>H6 legal/content audit</x:v>
      </x:c>
      <x:c r="AA445" s="24" t="str">
        <x:v>VRM Games</x:v>
      </x:c>
      <x:c r="AB445" s="24" t="str">
        <x:v>No se detectó proveedor externo en la ruta; confirmar autoría por lote antes de release público.</x:v>
      </x:c>
    </x:row>
    <x:row r="446" ht="34" customHeight="1">
      <x:c r="A446" s="24" t="str">
        <x:v>INT-0442</x:v>
      </x:c>
      <x:c r="B446" s="24" t="str">
        <x:v>63c871778da5faac55aa58016d1c82c6</x:v>
      </x:c>
      <x:c r="C446" s="24" t="str">
        <x:v>ProductDefinition.cs</x:v>
      </x:c>
      <x:c r="D446" s="24" t="str">
        <x:v>Code</x:v>
      </x:c>
      <x:c r="E446" s="24" t="str">
        <x:v>Domain</x:v>
      </x:c>
      <x:c r="F446" s="24" t="str">
        <x:v>VRM Games / Blas Luis Rocha González</x:v>
      </x:c>
      <x:c r="G446" s="24" t="str">
        <x:v>VRM Games / Blas Luis Rocha González</x:v>
      </x:c>
      <x:c r="H446" s="24" t="str">
        <x:v>Internal project production</x:v>
      </x:c>
      <x:c r="I446" s="24" t="str">
        <x:v>2026 project timeline</x:v>
      </x:c>
      <x:c r="J446" s="24" t="str">
        <x:v>Internal project IP / authorship claim</x:v>
      </x:c>
      <x:c r="K446" s="24" t="str">
        <x:v>N/A</x:v>
      </x:c>
      <x:c r="L446" s="24" t="str">
        <x:v>Source package + repository path + hash</x:v>
      </x:c>
      <x:c r="M446" s="24" t="str">
        <x:v>1f6ea65d8937033cfaf96deab7053b4a270d8dd234a89ac914377ef4c54170d7</x:v>
      </x:c>
      <x:c r="N446" s="24" t="str">
        <x:v>Assets/_Project/Scripts/Domain/Products/ProductDefinition.cs</x:v>
      </x:c>
      <x:c r="O446" s="24" t="str">
        <x:v>63c871778da5faac55aa58016d1c82c6</x:v>
      </x:c>
      <x:c r="P446" s="24" t="str">
        <x:v>Sí</x:v>
      </x:c>
      <x:c r="Q446" s="24" t="str">
        <x:v>Condicionado a autoría/procedencia final</x:v>
      </x:c>
      <x:c r="R446" s="24" t="str">
        <x:v>Solo dentro del producto/build autorizado</x:v>
      </x:c>
      <x:c r="S446" s="24" t="str">
        <x:v>Crédito general del estudio; individual si aplica</x:v>
      </x:c>
      <x:c r="T446" s="24" t="str">
        <x:v>VRM Games / Blas Luis Rocha González</x:v>
      </x:c>
      <x:c r="U446" s="24" t="str">
        <x:v>CURRENT PROJECT ASSET</x:v>
      </x:c>
      <x:c r="V446" s="24" t="str">
        <x:v>CONDITIONALLY APPROVED</x:v>
      </x:c>
      <x:c r="W446" s="24" t="str">
        <x:v>Sí</x:v>
      </x:c>
      <x:c r="X446" s="24" t="str">
        <x:v>Low</x:v>
      </x:c>
      <x:c r="Y446" s="24" t="str">
        <x:v>Internal development; public candidate requires gate</x:v>
      </x:c>
      <x:c r="Z446" s="24" t="str">
        <x:v>H6 legal/content audit</x:v>
      </x:c>
      <x:c r="AA446" s="24" t="str">
        <x:v>VRM Games</x:v>
      </x:c>
      <x:c r="AB446" s="24" t="str">
        <x:v>No se detectó proveedor externo en la ruta; confirmar autoría por lote antes de release público.</x:v>
      </x:c>
    </x:row>
    <x:row r="447" ht="34" customHeight="1">
      <x:c r="A447" s="24" t="str">
        <x:v>INT-0443</x:v>
      </x:c>
      <x:c r="B447" s="24" t="str">
        <x:v>45b1f7e90025d5508a57d1dce01b2840</x:v>
      </x:c>
      <x:c r="C447" s="24" t="str">
        <x:v>ProductDefinitionId.cs</x:v>
      </x:c>
      <x:c r="D447" s="24" t="str">
        <x:v>Code</x:v>
      </x:c>
      <x:c r="E447" s="24" t="str">
        <x:v>Domain</x:v>
      </x:c>
      <x:c r="F447" s="24" t="str">
        <x:v>VRM Games / Blas Luis Rocha González</x:v>
      </x:c>
      <x:c r="G447" s="24" t="str">
        <x:v>VRM Games / Blas Luis Rocha González</x:v>
      </x:c>
      <x:c r="H447" s="24" t="str">
        <x:v>Internal project production</x:v>
      </x:c>
      <x:c r="I447" s="24" t="str">
        <x:v>2026 project timeline</x:v>
      </x:c>
      <x:c r="J447" s="24" t="str">
        <x:v>Internal project IP / authorship claim</x:v>
      </x:c>
      <x:c r="K447" s="24" t="str">
        <x:v>N/A</x:v>
      </x:c>
      <x:c r="L447" s="24" t="str">
        <x:v>Source package + repository path + hash</x:v>
      </x:c>
      <x:c r="M447" s="24" t="str">
        <x:v>f43a49dc42775025b45bc70d8460daa820bb8207a30bdc01849e48dab2023a42</x:v>
      </x:c>
      <x:c r="N447" s="24" t="str">
        <x:v>Assets/_Project/Scripts/Domain/Products/ProductDefinitionId.cs</x:v>
      </x:c>
      <x:c r="O447" s="24" t="str">
        <x:v>45b1f7e90025d5508a57d1dce01b2840</x:v>
      </x:c>
      <x:c r="P447" s="24" t="str">
        <x:v>Sí</x:v>
      </x:c>
      <x:c r="Q447" s="24" t="str">
        <x:v>Condicionado a autoría/procedencia final</x:v>
      </x:c>
      <x:c r="R447" s="24" t="str">
        <x:v>Solo dentro del producto/build autorizado</x:v>
      </x:c>
      <x:c r="S447" s="24" t="str">
        <x:v>Crédito general del estudio; individual si aplica</x:v>
      </x:c>
      <x:c r="T447" s="24" t="str">
        <x:v>VRM Games / Blas Luis Rocha González</x:v>
      </x:c>
      <x:c r="U447" s="24" t="str">
        <x:v>CURRENT PROJECT ASSET</x:v>
      </x:c>
      <x:c r="V447" s="24" t="str">
        <x:v>CONDITIONALLY APPROVED</x:v>
      </x:c>
      <x:c r="W447" s="24" t="str">
        <x:v>Sí</x:v>
      </x:c>
      <x:c r="X447" s="24" t="str">
        <x:v>Low</x:v>
      </x:c>
      <x:c r="Y447" s="24" t="str">
        <x:v>Internal development; public candidate requires gate</x:v>
      </x:c>
      <x:c r="Z447" s="24" t="str">
        <x:v>H6 legal/content audit</x:v>
      </x:c>
      <x:c r="AA447" s="24" t="str">
        <x:v>VRM Games</x:v>
      </x:c>
      <x:c r="AB447" s="24" t="str">
        <x:v>No se detectó proveedor externo en la ruta; confirmar autoría por lote antes de release público.</x:v>
      </x:c>
    </x:row>
    <x:row r="448" ht="34" customHeight="1">
      <x:c r="A448" s="24" t="str">
        <x:v>INT-0444</x:v>
      </x:c>
      <x:c r="B448" s="24" t="str">
        <x:v>285ce1c546489f660527fd99f9dcd11e</x:v>
      </x:c>
      <x:c r="C448" s="24" t="str">
        <x:v>ProductDefinitionRegistry.cs</x:v>
      </x:c>
      <x:c r="D448" s="24" t="str">
        <x:v>Code</x:v>
      </x:c>
      <x:c r="E448" s="24" t="str">
        <x:v>Domain</x:v>
      </x:c>
      <x:c r="F448" s="24" t="str">
        <x:v>VRM Games / Blas Luis Rocha González</x:v>
      </x:c>
      <x:c r="G448" s="24" t="str">
        <x:v>VRM Games / Blas Luis Rocha González</x:v>
      </x:c>
      <x:c r="H448" s="24" t="str">
        <x:v>Internal project production</x:v>
      </x:c>
      <x:c r="I448" s="24" t="str">
        <x:v>2026 project timeline</x:v>
      </x:c>
      <x:c r="J448" s="24" t="str">
        <x:v>Internal project IP / authorship claim</x:v>
      </x:c>
      <x:c r="K448" s="24" t="str">
        <x:v>N/A</x:v>
      </x:c>
      <x:c r="L448" s="24" t="str">
        <x:v>Source package + repository path + hash</x:v>
      </x:c>
      <x:c r="M448" s="24" t="str">
        <x:v>a4c9675b6937b006ac083317b9a389112f0f440a7646e8f07934c9d99e5f45e7</x:v>
      </x:c>
      <x:c r="N448" s="24" t="str">
        <x:v>Assets/_Project/Scripts/Domain/Products/ProductDefinitionRegistry.cs</x:v>
      </x:c>
      <x:c r="O448" s="24" t="str">
        <x:v>285ce1c546489f660527fd99f9dcd11e</x:v>
      </x:c>
      <x:c r="P448" s="24" t="str">
        <x:v>Sí</x:v>
      </x:c>
      <x:c r="Q448" s="24" t="str">
        <x:v>Condicionado a autoría/procedencia final</x:v>
      </x:c>
      <x:c r="R448" s="24" t="str">
        <x:v>Solo dentro del producto/build autorizado</x:v>
      </x:c>
      <x:c r="S448" s="24" t="str">
        <x:v>Crédito general del estudio; individual si aplica</x:v>
      </x:c>
      <x:c r="T448" s="24" t="str">
        <x:v>VRM Games / Blas Luis Rocha González</x:v>
      </x:c>
      <x:c r="U448" s="24" t="str">
        <x:v>CURRENT PROJECT ASSET</x:v>
      </x:c>
      <x:c r="V448" s="24" t="str">
        <x:v>CONDITIONALLY APPROVED</x:v>
      </x:c>
      <x:c r="W448" s="24" t="str">
        <x:v>Sí</x:v>
      </x:c>
      <x:c r="X448" s="24" t="str">
        <x:v>Low</x:v>
      </x:c>
      <x:c r="Y448" s="24" t="str">
        <x:v>Internal development; public candidate requires gate</x:v>
      </x:c>
      <x:c r="Z448" s="24" t="str">
        <x:v>H6 legal/content audit</x:v>
      </x:c>
      <x:c r="AA448" s="24" t="str">
        <x:v>VRM Games</x:v>
      </x:c>
      <x:c r="AB448" s="24" t="str">
        <x:v>No se detectó proveedor externo en la ruta; confirmar autoría por lote antes de release público.</x:v>
      </x:c>
    </x:row>
    <x:row r="449" ht="34" customHeight="1">
      <x:c r="A449" s="24" t="str">
        <x:v>INT-0445</x:v>
      </x:c>
      <x:c r="B449" s="24" t="str">
        <x:v>3e1c393488b5b3b192cee2049facf500</x:v>
      </x:c>
      <x:c r="C449" s="24" t="str">
        <x:v>ProductTagId.cs</x:v>
      </x:c>
      <x:c r="D449" s="24" t="str">
        <x:v>Code</x:v>
      </x:c>
      <x:c r="E449" s="24" t="str">
        <x:v>Domain</x:v>
      </x:c>
      <x:c r="F449" s="24" t="str">
        <x:v>VRM Games / Blas Luis Rocha González</x:v>
      </x:c>
      <x:c r="G449" s="24" t="str">
        <x:v>VRM Games / Blas Luis Rocha González</x:v>
      </x:c>
      <x:c r="H449" s="24" t="str">
        <x:v>Internal project production</x:v>
      </x:c>
      <x:c r="I449" s="24" t="str">
        <x:v>2026 project timeline</x:v>
      </x:c>
      <x:c r="J449" s="24" t="str">
        <x:v>Internal project IP / authorship claim</x:v>
      </x:c>
      <x:c r="K449" s="24" t="str">
        <x:v>N/A</x:v>
      </x:c>
      <x:c r="L449" s="24" t="str">
        <x:v>Source package + repository path + hash</x:v>
      </x:c>
      <x:c r="M449" s="24" t="str">
        <x:v>32f79b702dbf471a2a7a850e24452732391055b768a83f5f46ad9178f5ead218</x:v>
      </x:c>
      <x:c r="N449" s="24" t="str">
        <x:v>Assets/_Project/Scripts/Domain/Products/ProductTagId.cs</x:v>
      </x:c>
      <x:c r="O449" s="24" t="str">
        <x:v>3e1c393488b5b3b192cee2049facf500</x:v>
      </x:c>
      <x:c r="P449" s="24" t="str">
        <x:v>Sí</x:v>
      </x:c>
      <x:c r="Q449" s="24" t="str">
        <x:v>Condicionado a autoría/procedencia final</x:v>
      </x:c>
      <x:c r="R449" s="24" t="str">
        <x:v>Solo dentro del producto/build autorizado</x:v>
      </x:c>
      <x:c r="S449" s="24" t="str">
        <x:v>Crédito general del estudio; individual si aplica</x:v>
      </x:c>
      <x:c r="T449" s="24" t="str">
        <x:v>VRM Games / Blas Luis Rocha González</x:v>
      </x:c>
      <x:c r="U449" s="24" t="str">
        <x:v>CURRENT PROJECT ASSET</x:v>
      </x:c>
      <x:c r="V449" s="24" t="str">
        <x:v>CONDITIONALLY APPROVED</x:v>
      </x:c>
      <x:c r="W449" s="24" t="str">
        <x:v>Sí</x:v>
      </x:c>
      <x:c r="X449" s="24" t="str">
        <x:v>Low</x:v>
      </x:c>
      <x:c r="Y449" s="24" t="str">
        <x:v>Internal development; public candidate requires gate</x:v>
      </x:c>
      <x:c r="Z449" s="24" t="str">
        <x:v>H6 legal/content audit</x:v>
      </x:c>
      <x:c r="AA449" s="24" t="str">
        <x:v>VRM Games</x:v>
      </x:c>
      <x:c r="AB449" s="24" t="str">
        <x:v>No se detectó proveedor externo en la ruta; confirmar autoría por lote antes de release público.</x:v>
      </x:c>
    </x:row>
    <x:row r="450" ht="34" customHeight="1">
      <x:c r="A450" s="24" t="str">
        <x:v>INT-0446</x:v>
      </x:c>
      <x:c r="B450" s="24" t="str">
        <x:v>f4b6d25fad774865a65940488d544ac0</x:v>
      </x:c>
      <x:c r="C450" s="24" t="str">
        <x:v>Delivery.cs</x:v>
      </x:c>
      <x:c r="D450" s="24" t="str">
        <x:v>Code</x:v>
      </x:c>
      <x:c r="E450" s="24" t="str">
        <x:v>Domain</x:v>
      </x:c>
      <x:c r="F450" s="24" t="str">
        <x:v>VRM Games / Blas Luis Rocha González</x:v>
      </x:c>
      <x:c r="G450" s="24" t="str">
        <x:v>VRM Games / Blas Luis Rocha González</x:v>
      </x:c>
      <x:c r="H450" s="24" t="str">
        <x:v>Internal project production</x:v>
      </x:c>
      <x:c r="I450" s="24" t="str">
        <x:v>2026 project timeline</x:v>
      </x:c>
      <x:c r="J450" s="24" t="str">
        <x:v>Internal project IP / authorship claim</x:v>
      </x:c>
      <x:c r="K450" s="24" t="str">
        <x:v>N/A</x:v>
      </x:c>
      <x:c r="L450" s="24" t="str">
        <x:v>Source package + repository path + hash</x:v>
      </x:c>
      <x:c r="M450" s="24" t="str">
        <x:v>6185158d983ce261e1944787f1dfc680c7544ac867d53c8154f4945671c98b46</x:v>
      </x:c>
      <x:c r="N450" s="24" t="str">
        <x:v>Assets/_Project/Scripts/Domain/Receiving/Delivery.cs</x:v>
      </x:c>
      <x:c r="O450" s="24" t="str">
        <x:v>f4b6d25fad774865a65940488d544ac0</x:v>
      </x:c>
      <x:c r="P450" s="24" t="str">
        <x:v>Sí</x:v>
      </x:c>
      <x:c r="Q450" s="24" t="str">
        <x:v>Condicionado a autoría/procedencia final</x:v>
      </x:c>
      <x:c r="R450" s="24" t="str">
        <x:v>Solo dentro del producto/build autorizado</x:v>
      </x:c>
      <x:c r="S450" s="24" t="str">
        <x:v>Crédito general del estudio; individual si aplica</x:v>
      </x:c>
      <x:c r="T450" s="24" t="str">
        <x:v>VRM Games / Blas Luis Rocha González</x:v>
      </x:c>
      <x:c r="U450" s="24" t="str">
        <x:v>CURRENT PROJECT ASSET</x:v>
      </x:c>
      <x:c r="V450" s="24" t="str">
        <x:v>CONDITIONALLY APPROVED</x:v>
      </x:c>
      <x:c r="W450" s="24" t="str">
        <x:v>Sí</x:v>
      </x:c>
      <x:c r="X450" s="24" t="str">
        <x:v>Low</x:v>
      </x:c>
      <x:c r="Y450" s="24" t="str">
        <x:v>Internal development; public candidate requires gate</x:v>
      </x:c>
      <x:c r="Z450" s="24" t="str">
        <x:v>H6 legal/content audit</x:v>
      </x:c>
      <x:c r="AA450" s="24" t="str">
        <x:v>VRM Games</x:v>
      </x:c>
      <x:c r="AB450" s="24" t="str">
        <x:v>No se detectó proveedor externo en la ruta; confirmar autoría por lote antes de release público.</x:v>
      </x:c>
    </x:row>
    <x:row r="451" ht="34" customHeight="1">
      <x:c r="A451" s="24" t="str">
        <x:v>INT-0447</x:v>
      </x:c>
      <x:c r="B451" s="24" t="str">
        <x:v>46ae9bb95a5e4405b9712d99f411aee1</x:v>
      </x:c>
      <x:c r="C451" s="24" t="str">
        <x:v>DeliveryId.cs</x:v>
      </x:c>
      <x:c r="D451" s="24" t="str">
        <x:v>Code</x:v>
      </x:c>
      <x:c r="E451" s="24" t="str">
        <x:v>Domain</x:v>
      </x:c>
      <x:c r="F451" s="24" t="str">
        <x:v>VRM Games / Blas Luis Rocha González</x:v>
      </x:c>
      <x:c r="G451" s="24" t="str">
        <x:v>VRM Games / Blas Luis Rocha González</x:v>
      </x:c>
      <x:c r="H451" s="24" t="str">
        <x:v>Internal project production</x:v>
      </x:c>
      <x:c r="I451" s="24" t="str">
        <x:v>2026 project timeline</x:v>
      </x:c>
      <x:c r="J451" s="24" t="str">
        <x:v>Internal project IP / authorship claim</x:v>
      </x:c>
      <x:c r="K451" s="24" t="str">
        <x:v>N/A</x:v>
      </x:c>
      <x:c r="L451" s="24" t="str">
        <x:v>Source package + repository path + hash</x:v>
      </x:c>
      <x:c r="M451" s="24" t="str">
        <x:v>4eafbf10e8684bf8f67f08fe9bae8707dfa5e7e4788a179e2a41cf5d635911eb</x:v>
      </x:c>
      <x:c r="N451" s="24" t="str">
        <x:v>Assets/_Project/Scripts/Domain/Receiving/DeliveryId.cs</x:v>
      </x:c>
      <x:c r="O451" s="24" t="str">
        <x:v>46ae9bb95a5e4405b9712d99f411aee1</x:v>
      </x:c>
      <x:c r="P451" s="24" t="str">
        <x:v>Sí</x:v>
      </x:c>
      <x:c r="Q451" s="24" t="str">
        <x:v>Condicionado a autoría/procedencia final</x:v>
      </x:c>
      <x:c r="R451" s="24" t="str">
        <x:v>Solo dentro del producto/build autorizado</x:v>
      </x:c>
      <x:c r="S451" s="24" t="str">
        <x:v>Crédito general del estudio; individual si aplica</x:v>
      </x:c>
      <x:c r="T451" s="24" t="str">
        <x:v>VRM Games / Blas Luis Rocha González</x:v>
      </x:c>
      <x:c r="U451" s="24" t="str">
        <x:v>CURRENT PROJECT ASSET</x:v>
      </x:c>
      <x:c r="V451" s="24" t="str">
        <x:v>CONDITIONALLY APPROVED</x:v>
      </x:c>
      <x:c r="W451" s="24" t="str">
        <x:v>Sí</x:v>
      </x:c>
      <x:c r="X451" s="24" t="str">
        <x:v>Low</x:v>
      </x:c>
      <x:c r="Y451" s="24" t="str">
        <x:v>Internal development; public candidate requires gate</x:v>
      </x:c>
      <x:c r="Z451" s="24" t="str">
        <x:v>H6 legal/content audit</x:v>
      </x:c>
      <x:c r="AA451" s="24" t="str">
        <x:v>VRM Games</x:v>
      </x:c>
      <x:c r="AB451" s="24" t="str">
        <x:v>No se detectó proveedor externo en la ruta; confirmar autoría por lote antes de release público.</x:v>
      </x:c>
    </x:row>
    <x:row r="452" ht="34" customHeight="1">
      <x:c r="A452" s="24" t="str">
        <x:v>INT-0448</x:v>
      </x:c>
      <x:c r="B452" s="24" t="str">
        <x:v>22669b1a8aa149ee9ebb64a6cb5c4c7c</x:v>
      </x:c>
      <x:c r="C452" s="24" t="str">
        <x:v>DeliveryMutationFailureReason.cs</x:v>
      </x:c>
      <x:c r="D452" s="24" t="str">
        <x:v>Code</x:v>
      </x:c>
      <x:c r="E452" s="24" t="str">
        <x:v>Domain</x:v>
      </x:c>
      <x:c r="F452" s="24" t="str">
        <x:v>VRM Games / Blas Luis Rocha González</x:v>
      </x:c>
      <x:c r="G452" s="24" t="str">
        <x:v>VRM Games / Blas Luis Rocha González</x:v>
      </x:c>
      <x:c r="H452" s="24" t="str">
        <x:v>Internal project production</x:v>
      </x:c>
      <x:c r="I452" s="24" t="str">
        <x:v>2026 project timeline</x:v>
      </x:c>
      <x:c r="J452" s="24" t="str">
        <x:v>Internal project IP / authorship claim</x:v>
      </x:c>
      <x:c r="K452" s="24" t="str">
        <x:v>N/A</x:v>
      </x:c>
      <x:c r="L452" s="24" t="str">
        <x:v>Source package + repository path + hash</x:v>
      </x:c>
      <x:c r="M452" s="24" t="str">
        <x:v>a48c8340531871ba7b0ce4e4767c3832eb85aed0a30d2ee0deae995248c2ea9f</x:v>
      </x:c>
      <x:c r="N452" s="24" t="str">
        <x:v>Assets/_Project/Scripts/Domain/Receiving/DeliveryMutationFailureReason.cs</x:v>
      </x:c>
      <x:c r="O452" s="24" t="str">
        <x:v>22669b1a8aa149ee9ebb64a6cb5c4c7c</x:v>
      </x:c>
      <x:c r="P452" s="24" t="str">
        <x:v>Sí</x:v>
      </x:c>
      <x:c r="Q452" s="24" t="str">
        <x:v>Condicionado a autoría/procedencia final</x:v>
      </x:c>
      <x:c r="R452" s="24" t="str">
        <x:v>Solo dentro del producto/build autorizado</x:v>
      </x:c>
      <x:c r="S452" s="24" t="str">
        <x:v>Crédito general del estudio; individual si aplica</x:v>
      </x:c>
      <x:c r="T452" s="24" t="str">
        <x:v>VRM Games / Blas Luis Rocha González</x:v>
      </x:c>
      <x:c r="U452" s="24" t="str">
        <x:v>CURRENT PROJECT ASSET</x:v>
      </x:c>
      <x:c r="V452" s="24" t="str">
        <x:v>CONDITIONALLY APPROVED</x:v>
      </x:c>
      <x:c r="W452" s="24" t="str">
        <x:v>Sí</x:v>
      </x:c>
      <x:c r="X452" s="24" t="str">
        <x:v>Low</x:v>
      </x:c>
      <x:c r="Y452" s="24" t="str">
        <x:v>Internal development; public candidate requires gate</x:v>
      </x:c>
      <x:c r="Z452" s="24" t="str">
        <x:v>H6 legal/content audit</x:v>
      </x:c>
      <x:c r="AA452" s="24" t="str">
        <x:v>VRM Games</x:v>
      </x:c>
      <x:c r="AB452" s="24" t="str">
        <x:v>No se detectó proveedor externo en la ruta; confirmar autoría por lote antes de release público.</x:v>
      </x:c>
    </x:row>
    <x:row r="453" ht="34" customHeight="1">
      <x:c r="A453" s="24" t="str">
        <x:v>INT-0449</x:v>
      </x:c>
      <x:c r="B453" s="24" t="str">
        <x:v>71225461ec954396866668137c7ee1a5</x:v>
      </x:c>
      <x:c r="C453" s="24" t="str">
        <x:v>DeliveryMutationResult.cs</x:v>
      </x:c>
      <x:c r="D453" s="24" t="str">
        <x:v>Code</x:v>
      </x:c>
      <x:c r="E453" s="24" t="str">
        <x:v>Domain</x:v>
      </x:c>
      <x:c r="F453" s="24" t="str">
        <x:v>VRM Games / Blas Luis Rocha González</x:v>
      </x:c>
      <x:c r="G453" s="24" t="str">
        <x:v>VRM Games / Blas Luis Rocha González</x:v>
      </x:c>
      <x:c r="H453" s="24" t="str">
        <x:v>Internal project production</x:v>
      </x:c>
      <x:c r="I453" s="24" t="str">
        <x:v>2026 project timeline</x:v>
      </x:c>
      <x:c r="J453" s="24" t="str">
        <x:v>Internal project IP / authorship claim</x:v>
      </x:c>
      <x:c r="K453" s="24" t="str">
        <x:v>N/A</x:v>
      </x:c>
      <x:c r="L453" s="24" t="str">
        <x:v>Source package + repository path + hash</x:v>
      </x:c>
      <x:c r="M453" s="24" t="str">
        <x:v>264935d087b2ce3e92d3cadca69201f52ed05d96f5827506eb0250eb4b1af398</x:v>
      </x:c>
      <x:c r="N453" s="24" t="str">
        <x:v>Assets/_Project/Scripts/Domain/Receiving/DeliveryMutationResult.cs</x:v>
      </x:c>
      <x:c r="O453" s="24" t="str">
        <x:v>71225461ec954396866668137c7ee1a5</x:v>
      </x:c>
      <x:c r="P453" s="24" t="str">
        <x:v>Sí</x:v>
      </x:c>
      <x:c r="Q453" s="24" t="str">
        <x:v>Condicionado a autoría/procedencia final</x:v>
      </x:c>
      <x:c r="R453" s="24" t="str">
        <x:v>Solo dentro del producto/build autorizado</x:v>
      </x:c>
      <x:c r="S453" s="24" t="str">
        <x:v>Crédito general del estudio; individual si aplica</x:v>
      </x:c>
      <x:c r="T453" s="24" t="str">
        <x:v>VRM Games / Blas Luis Rocha González</x:v>
      </x:c>
      <x:c r="U453" s="24" t="str">
        <x:v>CURRENT PROJECT ASSET</x:v>
      </x:c>
      <x:c r="V453" s="24" t="str">
        <x:v>CONDITIONALLY APPROVED</x:v>
      </x:c>
      <x:c r="W453" s="24" t="str">
        <x:v>Sí</x:v>
      </x:c>
      <x:c r="X453" s="24" t="str">
        <x:v>Low</x:v>
      </x:c>
      <x:c r="Y453" s="24" t="str">
        <x:v>Internal development; public candidate requires gate</x:v>
      </x:c>
      <x:c r="Z453" s="24" t="str">
        <x:v>H6 legal/content audit</x:v>
      </x:c>
      <x:c r="AA453" s="24" t="str">
        <x:v>VRM Games</x:v>
      </x:c>
      <x:c r="AB453" s="24" t="str">
        <x:v>No se detectó proveedor externo en la ruta; confirmar autoría por lote antes de release público.</x:v>
      </x:c>
    </x:row>
    <x:row r="454" ht="34" customHeight="1">
      <x:c r="A454" s="24" t="str">
        <x:v>INT-0450</x:v>
      </x:c>
      <x:c r="B454" s="24" t="str">
        <x:v>e18c2ca879e34e02bd1224c7ec69c7bd</x:v>
      </x:c>
      <x:c r="C454" s="24" t="str">
        <x:v>DeliveryStatus.cs</x:v>
      </x:c>
      <x:c r="D454" s="24" t="str">
        <x:v>Code</x:v>
      </x:c>
      <x:c r="E454" s="24" t="str">
        <x:v>Domain</x:v>
      </x:c>
      <x:c r="F454" s="24" t="str">
        <x:v>VRM Games / Blas Luis Rocha González</x:v>
      </x:c>
      <x:c r="G454" s="24" t="str">
        <x:v>VRM Games / Blas Luis Rocha González</x:v>
      </x:c>
      <x:c r="H454" s="24" t="str">
        <x:v>Internal project production</x:v>
      </x:c>
      <x:c r="I454" s="24" t="str">
        <x:v>2026 project timeline</x:v>
      </x:c>
      <x:c r="J454" s="24" t="str">
        <x:v>Internal project IP / authorship claim</x:v>
      </x:c>
      <x:c r="K454" s="24" t="str">
        <x:v>N/A</x:v>
      </x:c>
      <x:c r="L454" s="24" t="str">
        <x:v>Source package + repository path + hash</x:v>
      </x:c>
      <x:c r="M454" s="24" t="str">
        <x:v>a276ed44cf4aeb4b74d4ddd1d7587d57dc65aa49d8aba9138f3a66f99a24e8e7</x:v>
      </x:c>
      <x:c r="N454" s="24" t="str">
        <x:v>Assets/_Project/Scripts/Domain/Receiving/DeliveryStatus.cs</x:v>
      </x:c>
      <x:c r="O454" s="24" t="str">
        <x:v>e18c2ca879e34e02bd1224c7ec69c7bd</x:v>
      </x:c>
      <x:c r="P454" s="24" t="str">
        <x:v>Sí</x:v>
      </x:c>
      <x:c r="Q454" s="24" t="str">
        <x:v>Condicionado a autoría/procedencia final</x:v>
      </x:c>
      <x:c r="R454" s="24" t="str">
        <x:v>Solo dentro del producto/build autorizado</x:v>
      </x:c>
      <x:c r="S454" s="24" t="str">
        <x:v>Crédito general del estudio; individual si aplica</x:v>
      </x:c>
      <x:c r="T454" s="24" t="str">
        <x:v>VRM Games / Blas Luis Rocha González</x:v>
      </x:c>
      <x:c r="U454" s="24" t="str">
        <x:v>CURRENT PROJECT ASSET</x:v>
      </x:c>
      <x:c r="V454" s="24" t="str">
        <x:v>CONDITIONALLY APPROVED</x:v>
      </x:c>
      <x:c r="W454" s="24" t="str">
        <x:v>Sí</x:v>
      </x:c>
      <x:c r="X454" s="24" t="str">
        <x:v>Low</x:v>
      </x:c>
      <x:c r="Y454" s="24" t="str">
        <x:v>Internal development; public candidate requires gate</x:v>
      </x:c>
      <x:c r="Z454" s="24" t="str">
        <x:v>H6 legal/content audit</x:v>
      </x:c>
      <x:c r="AA454" s="24" t="str">
        <x:v>VRM Games</x:v>
      </x:c>
      <x:c r="AB454" s="24" t="str">
        <x:v>No se detectó proveedor externo en la ruta; confirmar autoría por lote antes de release público.</x:v>
      </x:c>
    </x:row>
    <x:row r="455" ht="34" customHeight="1">
      <x:c r="A455" s="24" t="str">
        <x:v>INT-0451</x:v>
      </x:c>
      <x:c r="B455" s="24" t="str">
        <x:v>03953c179c074f3ba8e9c630da5f39c8</x:v>
      </x:c>
      <x:c r="C455" s="24" t="str">
        <x:v>ShipmentBox.cs</x:v>
      </x:c>
      <x:c r="D455" s="24" t="str">
        <x:v>Code</x:v>
      </x:c>
      <x:c r="E455" s="24" t="str">
        <x:v>Domain</x:v>
      </x:c>
      <x:c r="F455" s="24" t="str">
        <x:v>VRM Games / Blas Luis Rocha González</x:v>
      </x:c>
      <x:c r="G455" s="24" t="str">
        <x:v>VRM Games / Blas Luis Rocha González</x:v>
      </x:c>
      <x:c r="H455" s="24" t="str">
        <x:v>Internal project production</x:v>
      </x:c>
      <x:c r="I455" s="24" t="str">
        <x:v>2026 project timeline</x:v>
      </x:c>
      <x:c r="J455" s="24" t="str">
        <x:v>Internal project IP / authorship claim</x:v>
      </x:c>
      <x:c r="K455" s="24" t="str">
        <x:v>N/A</x:v>
      </x:c>
      <x:c r="L455" s="24" t="str">
        <x:v>Source package + repository path + hash</x:v>
      </x:c>
      <x:c r="M455" s="24" t="str">
        <x:v>fc6efdf24bc1cf9260a08e70e1c2f8bf1e9c1ba374dc25f1450fed47b74f688f</x:v>
      </x:c>
      <x:c r="N455" s="24" t="str">
        <x:v>Assets/_Project/Scripts/Domain/Receiving/ShipmentBox.cs</x:v>
      </x:c>
      <x:c r="O455" s="24" t="str">
        <x:v>03953c179c074f3ba8e9c630da5f39c8</x:v>
      </x:c>
      <x:c r="P455" s="24" t="str">
        <x:v>Sí</x:v>
      </x:c>
      <x:c r="Q455" s="24" t="str">
        <x:v>Condicionado a autoría/procedencia final</x:v>
      </x:c>
      <x:c r="R455" s="24" t="str">
        <x:v>Solo dentro del producto/build autorizado</x:v>
      </x:c>
      <x:c r="S455" s="24" t="str">
        <x:v>Crédito general del estudio; individual si aplica</x:v>
      </x:c>
      <x:c r="T455" s="24" t="str">
        <x:v>VRM Games / Blas Luis Rocha González</x:v>
      </x:c>
      <x:c r="U455" s="24" t="str">
        <x:v>CURRENT PROJECT ASSET</x:v>
      </x:c>
      <x:c r="V455" s="24" t="str">
        <x:v>CONDITIONALLY APPROVED</x:v>
      </x:c>
      <x:c r="W455" s="24" t="str">
        <x:v>Sí</x:v>
      </x:c>
      <x:c r="X455" s="24" t="str">
        <x:v>Low</x:v>
      </x:c>
      <x:c r="Y455" s="24" t="str">
        <x:v>Internal development; public candidate requires gate</x:v>
      </x:c>
      <x:c r="Z455" s="24" t="str">
        <x:v>H6 legal/content audit</x:v>
      </x:c>
      <x:c r="AA455" s="24" t="str">
        <x:v>VRM Games</x:v>
      </x:c>
      <x:c r="AB455" s="24" t="str">
        <x:v>No se detectó proveedor externo en la ruta; confirmar autoría por lote antes de release público.</x:v>
      </x:c>
    </x:row>
    <x:row r="456" ht="34" customHeight="1">
      <x:c r="A456" s="24" t="str">
        <x:v>INT-0452</x:v>
      </x:c>
      <x:c r="B456" s="24" t="str">
        <x:v>34e8640d15224e219cb7adb2c63346c1</x:v>
      </x:c>
      <x:c r="C456" s="24" t="str">
        <x:v>ShipmentBoxId.cs</x:v>
      </x:c>
      <x:c r="D456" s="24" t="str">
        <x:v>Code</x:v>
      </x:c>
      <x:c r="E456" s="24" t="str">
        <x:v>Domain</x:v>
      </x:c>
      <x:c r="F456" s="24" t="str">
        <x:v>VRM Games / Blas Luis Rocha González</x:v>
      </x:c>
      <x:c r="G456" s="24" t="str">
        <x:v>VRM Games / Blas Luis Rocha González</x:v>
      </x:c>
      <x:c r="H456" s="24" t="str">
        <x:v>Internal project production</x:v>
      </x:c>
      <x:c r="I456" s="24" t="str">
        <x:v>2026 project timeline</x:v>
      </x:c>
      <x:c r="J456" s="24" t="str">
        <x:v>Internal project IP / authorship claim</x:v>
      </x:c>
      <x:c r="K456" s="24" t="str">
        <x:v>N/A</x:v>
      </x:c>
      <x:c r="L456" s="24" t="str">
        <x:v>Source package + repository path + hash</x:v>
      </x:c>
      <x:c r="M456" s="24" t="str">
        <x:v>7559c8b6263399db59a5cbc9a151ca8ce6e5e4c1678195bbf15446d7378daaf5</x:v>
      </x:c>
      <x:c r="N456" s="24" t="str">
        <x:v>Assets/_Project/Scripts/Domain/Receiving/ShipmentBoxId.cs</x:v>
      </x:c>
      <x:c r="O456" s="24" t="str">
        <x:v>34e8640d15224e219cb7adb2c63346c1</x:v>
      </x:c>
      <x:c r="P456" s="24" t="str">
        <x:v>Sí</x:v>
      </x:c>
      <x:c r="Q456" s="24" t="str">
        <x:v>Condicionado a autoría/procedencia final</x:v>
      </x:c>
      <x:c r="R456" s="24" t="str">
        <x:v>Solo dentro del producto/build autorizado</x:v>
      </x:c>
      <x:c r="S456" s="24" t="str">
        <x:v>Crédito general del estudio; individual si aplica</x:v>
      </x:c>
      <x:c r="T456" s="24" t="str">
        <x:v>VRM Games / Blas Luis Rocha González</x:v>
      </x:c>
      <x:c r="U456" s="24" t="str">
        <x:v>CURRENT PROJECT ASSET</x:v>
      </x:c>
      <x:c r="V456" s="24" t="str">
        <x:v>CONDITIONALLY APPROVED</x:v>
      </x:c>
      <x:c r="W456" s="24" t="str">
        <x:v>Sí</x:v>
      </x:c>
      <x:c r="X456" s="24" t="str">
        <x:v>Low</x:v>
      </x:c>
      <x:c r="Y456" s="24" t="str">
        <x:v>Internal development; public candidate requires gate</x:v>
      </x:c>
      <x:c r="Z456" s="24" t="str">
        <x:v>H6 legal/content audit</x:v>
      </x:c>
      <x:c r="AA456" s="24" t="str">
        <x:v>VRM Games</x:v>
      </x:c>
      <x:c r="AB456" s="24" t="str">
        <x:v>No se detectó proveedor externo en la ruta; confirmar autoría por lote antes de release público.</x:v>
      </x:c>
    </x:row>
    <x:row r="457" ht="34" customHeight="1">
      <x:c r="A457" s="24" t="str">
        <x:v>INT-0453</x:v>
      </x:c>
      <x:c r="B457" s="24" t="str">
        <x:v>2f62ef3f3af840908ff8d7cf3b7698d1</x:v>
      </x:c>
      <x:c r="C457" s="24" t="str">
        <x:v>CustomerShoppingSessionRegistry.cs</x:v>
      </x:c>
      <x:c r="D457" s="24" t="str">
        <x:v>Code</x:v>
      </x:c>
      <x:c r="E457" s="24" t="str">
        <x:v>Domain</x:v>
      </x:c>
      <x:c r="F457" s="24" t="str">
        <x:v>VRM Games / Blas Luis Rocha González</x:v>
      </x:c>
      <x:c r="G457" s="24" t="str">
        <x:v>VRM Games / Blas Luis Rocha González</x:v>
      </x:c>
      <x:c r="H457" s="24" t="str">
        <x:v>Internal project production</x:v>
      </x:c>
      <x:c r="I457" s="24" t="str">
        <x:v>2026 project timeline</x:v>
      </x:c>
      <x:c r="J457" s="24" t="str">
        <x:v>Internal project IP / authorship claim</x:v>
      </x:c>
      <x:c r="K457" s="24" t="str">
        <x:v>N/A</x:v>
      </x:c>
      <x:c r="L457" s="24" t="str">
        <x:v>Source package + repository path + hash</x:v>
      </x:c>
      <x:c r="M457" s="24" t="str">
        <x:v>1511c2aa325dd5b55fbb2bbf6ceaab3d93bafd08fe0f087a2ff8da41e99dbeac</x:v>
      </x:c>
      <x:c r="N457" s="24" t="str">
        <x:v>Assets/_Project/Scripts/Domain/Shopping/CustomerShoppingSessionRegistry.cs</x:v>
      </x:c>
      <x:c r="O457" s="24" t="str">
        <x:v>2f62ef3f3af840908ff8d7cf3b7698d1</x:v>
      </x:c>
      <x:c r="P457" s="24" t="str">
        <x:v>Sí</x:v>
      </x:c>
      <x:c r="Q457" s="24" t="str">
        <x:v>Condicionado a autoría/procedencia final</x:v>
      </x:c>
      <x:c r="R457" s="24" t="str">
        <x:v>Solo dentro del producto/build autorizado</x:v>
      </x:c>
      <x:c r="S457" s="24" t="str">
        <x:v>Crédito general del estudio; individual si aplica</x:v>
      </x:c>
      <x:c r="T457" s="24" t="str">
        <x:v>VRM Games / Blas Luis Rocha González</x:v>
      </x:c>
      <x:c r="U457" s="24" t="str">
        <x:v>CURRENT PROJECT ASSET</x:v>
      </x:c>
      <x:c r="V457" s="24" t="str">
        <x:v>CONDITIONALLY APPROVED</x:v>
      </x:c>
      <x:c r="W457" s="24" t="str">
        <x:v>Sí</x:v>
      </x:c>
      <x:c r="X457" s="24" t="str">
        <x:v>Low</x:v>
      </x:c>
      <x:c r="Y457" s="24" t="str">
        <x:v>Internal development; public candidate requires gate</x:v>
      </x:c>
      <x:c r="Z457" s="24" t="str">
        <x:v>H6 legal/content audit</x:v>
      </x:c>
      <x:c r="AA457" s="24" t="str">
        <x:v>VRM Games</x:v>
      </x:c>
      <x:c r="AB457" s="24" t="str">
        <x:v>No se detectó proveedor externo en la ruta; confirmar autoría por lote antes de release público.</x:v>
      </x:c>
    </x:row>
    <x:row r="458" ht="34" customHeight="1">
      <x:c r="A458" s="24" t="str">
        <x:v>INT-0454</x:v>
      </x:c>
      <x:c r="B458" s="24" t="str">
        <x:v>3fd15acc7cf84c2e90c6f54a39f93be8</x:v>
      </x:c>
      <x:c r="C458" s="24" t="str">
        <x:v>ShoppingCartAndSession.cs</x:v>
      </x:c>
      <x:c r="D458" s="24" t="str">
        <x:v>Code</x:v>
      </x:c>
      <x:c r="E458" s="24" t="str">
        <x:v>Domain</x:v>
      </x:c>
      <x:c r="F458" s="24" t="str">
        <x:v>VRM Games / Blas Luis Rocha González</x:v>
      </x:c>
      <x:c r="G458" s="24" t="str">
        <x:v>VRM Games / Blas Luis Rocha González</x:v>
      </x:c>
      <x:c r="H458" s="24" t="str">
        <x:v>Internal project production</x:v>
      </x:c>
      <x:c r="I458" s="24" t="str">
        <x:v>2026 project timeline</x:v>
      </x:c>
      <x:c r="J458" s="24" t="str">
        <x:v>Internal project IP / authorship claim</x:v>
      </x:c>
      <x:c r="K458" s="24" t="str">
        <x:v>N/A</x:v>
      </x:c>
      <x:c r="L458" s="24" t="str">
        <x:v>Source package + repository path + hash</x:v>
      </x:c>
      <x:c r="M458" s="24" t="str">
        <x:v>b5c065859f41213a47020548701decb29c9bcb1477459601a4842879f109627c</x:v>
      </x:c>
      <x:c r="N458" s="24" t="str">
        <x:v>Assets/_Project/Scripts/Domain/Shopping/ShoppingCartAndSession.cs</x:v>
      </x:c>
      <x:c r="O458" s="24" t="str">
        <x:v>3fd15acc7cf84c2e90c6f54a39f93be8</x:v>
      </x:c>
      <x:c r="P458" s="24" t="str">
        <x:v>Sí</x:v>
      </x:c>
      <x:c r="Q458" s="24" t="str">
        <x:v>Condicionado a autoría/procedencia final</x:v>
      </x:c>
      <x:c r="R458" s="24" t="str">
        <x:v>Solo dentro del producto/build autorizado</x:v>
      </x:c>
      <x:c r="S458" s="24" t="str">
        <x:v>Crédito general del estudio; individual si aplica</x:v>
      </x:c>
      <x:c r="T458" s="24" t="str">
        <x:v>VRM Games / Blas Luis Rocha González</x:v>
      </x:c>
      <x:c r="U458" s="24" t="str">
        <x:v>CURRENT PROJECT ASSET</x:v>
      </x:c>
      <x:c r="V458" s="24" t="str">
        <x:v>CONDITIONALLY APPROVED</x:v>
      </x:c>
      <x:c r="W458" s="24" t="str">
        <x:v>Sí</x:v>
      </x:c>
      <x:c r="X458" s="24" t="str">
        <x:v>Low</x:v>
      </x:c>
      <x:c r="Y458" s="24" t="str">
        <x:v>Internal development; public candidate requires gate</x:v>
      </x:c>
      <x:c r="Z458" s="24" t="str">
        <x:v>H6 legal/content audit</x:v>
      </x:c>
      <x:c r="AA458" s="24" t="str">
        <x:v>VRM Games</x:v>
      </x:c>
      <x:c r="AB458" s="24" t="str">
        <x:v>No se detectó proveedor externo en la ruta; confirmar autoría por lote antes de release público.</x:v>
      </x:c>
    </x:row>
    <x:row r="459" ht="34" customHeight="1">
      <x:c r="A459" s="24" t="str">
        <x:v>INT-0455</x:v>
      </x:c>
      <x:c r="B459" s="24" t="str">
        <x:v>784bbb53df78474486c9995a36f3f962</x:v>
      </x:c>
      <x:c r="C459" s="24" t="str">
        <x:v>ShoppingIds.cs</x:v>
      </x:c>
      <x:c r="D459" s="24" t="str">
        <x:v>Code</x:v>
      </x:c>
      <x:c r="E459" s="24" t="str">
        <x:v>Domain</x:v>
      </x:c>
      <x:c r="F459" s="24" t="str">
        <x:v>VRM Games / Blas Luis Rocha González</x:v>
      </x:c>
      <x:c r="G459" s="24" t="str">
        <x:v>VRM Games / Blas Luis Rocha González</x:v>
      </x:c>
      <x:c r="H459" s="24" t="str">
        <x:v>Internal project production</x:v>
      </x:c>
      <x:c r="I459" s="24" t="str">
        <x:v>2026 project timeline</x:v>
      </x:c>
      <x:c r="J459" s="24" t="str">
        <x:v>Internal project IP / authorship claim</x:v>
      </x:c>
      <x:c r="K459" s="24" t="str">
        <x:v>N/A</x:v>
      </x:c>
      <x:c r="L459" s="24" t="str">
        <x:v>Source package + repository path + hash</x:v>
      </x:c>
      <x:c r="M459" s="24" t="str">
        <x:v>63b123f134ad63afd85d78813288e80c5d5790e7590de807e340e5dfbd52b658</x:v>
      </x:c>
      <x:c r="N459" s="24" t="str">
        <x:v>Assets/_Project/Scripts/Domain/Shopping/ShoppingIds.cs</x:v>
      </x:c>
      <x:c r="O459" s="24" t="str">
        <x:v>784bbb53df78474486c9995a36f3f962</x:v>
      </x:c>
      <x:c r="P459" s="24" t="str">
        <x:v>Sí</x:v>
      </x:c>
      <x:c r="Q459" s="24" t="str">
        <x:v>Condicionado a autoría/procedencia final</x:v>
      </x:c>
      <x:c r="R459" s="24" t="str">
        <x:v>Solo dentro del producto/build autorizado</x:v>
      </x:c>
      <x:c r="S459" s="24" t="str">
        <x:v>Crédito general del estudio; individual si aplica</x:v>
      </x:c>
      <x:c r="T459" s="24" t="str">
        <x:v>VRM Games / Blas Luis Rocha González</x:v>
      </x:c>
      <x:c r="U459" s="24" t="str">
        <x:v>CURRENT PROJECT ASSET</x:v>
      </x:c>
      <x:c r="V459" s="24" t="str">
        <x:v>CONDITIONALLY APPROVED</x:v>
      </x:c>
      <x:c r="W459" s="24" t="str">
        <x:v>Sí</x:v>
      </x:c>
      <x:c r="X459" s="24" t="str">
        <x:v>Low</x:v>
      </x:c>
      <x:c r="Y459" s="24" t="str">
        <x:v>Internal development; public candidate requires gate</x:v>
      </x:c>
      <x:c r="Z459" s="24" t="str">
        <x:v>H6 legal/content audit</x:v>
      </x:c>
      <x:c r="AA459" s="24" t="str">
        <x:v>VRM Games</x:v>
      </x:c>
      <x:c r="AB459" s="24" t="str">
        <x:v>No se detectó proveedor externo en la ruta; confirmar autoría por lote antes de release público.</x:v>
      </x:c>
    </x:row>
    <x:row r="460" ht="34" customHeight="1">
      <x:c r="A460" s="24" t="str">
        <x:v>INT-0456</x:v>
      </x:c>
      <x:c r="B460" s="24" t="str">
        <x:v>fbff9dc127eb45eba42130f912986d7e</x:v>
      </x:c>
      <x:c r="C460" s="24" t="str">
        <x:v>ShoppingIntentAndPolicy.cs</x:v>
      </x:c>
      <x:c r="D460" s="24" t="str">
        <x:v>Code</x:v>
      </x:c>
      <x:c r="E460" s="24" t="str">
        <x:v>Domain</x:v>
      </x:c>
      <x:c r="F460" s="24" t="str">
        <x:v>VRM Games / Blas Luis Rocha González</x:v>
      </x:c>
      <x:c r="G460" s="24" t="str">
        <x:v>VRM Games / Blas Luis Rocha González</x:v>
      </x:c>
      <x:c r="H460" s="24" t="str">
        <x:v>Internal project production</x:v>
      </x:c>
      <x:c r="I460" s="24" t="str">
        <x:v>2026 project timeline</x:v>
      </x:c>
      <x:c r="J460" s="24" t="str">
        <x:v>Internal project IP / authorship claim</x:v>
      </x:c>
      <x:c r="K460" s="24" t="str">
        <x:v>N/A</x:v>
      </x:c>
      <x:c r="L460" s="24" t="str">
        <x:v>Source package + repository path + hash</x:v>
      </x:c>
      <x:c r="M460" s="24" t="str">
        <x:v>c6bb516f3b5f159ebd79beee155949834f3f11c2985fd7d8b33f91fa042ed7ea</x:v>
      </x:c>
      <x:c r="N460" s="24" t="str">
        <x:v>Assets/_Project/Scripts/Domain/Shopping/ShoppingIntentAndPolicy.cs</x:v>
      </x:c>
      <x:c r="O460" s="24" t="str">
        <x:v>fbff9dc127eb45eba42130f912986d7e</x:v>
      </x:c>
      <x:c r="P460" s="24" t="str">
        <x:v>Sí</x:v>
      </x:c>
      <x:c r="Q460" s="24" t="str">
        <x:v>Condicionado a autoría/procedencia final</x:v>
      </x:c>
      <x:c r="R460" s="24" t="str">
        <x:v>Solo dentro del producto/build autorizado</x:v>
      </x:c>
      <x:c r="S460" s="24" t="str">
        <x:v>Crédito general del estudio; individual si aplica</x:v>
      </x:c>
      <x:c r="T460" s="24" t="str">
        <x:v>VRM Games / Blas Luis Rocha González</x:v>
      </x:c>
      <x:c r="U460" s="24" t="str">
        <x:v>CURRENT PROJECT ASSET</x:v>
      </x:c>
      <x:c r="V460" s="24" t="str">
        <x:v>CONDITIONALLY APPROVED</x:v>
      </x:c>
      <x:c r="W460" s="24" t="str">
        <x:v>Sí</x:v>
      </x:c>
      <x:c r="X460" s="24" t="str">
        <x:v>Low</x:v>
      </x:c>
      <x:c r="Y460" s="24" t="str">
        <x:v>Internal development; public candidate requires gate</x:v>
      </x:c>
      <x:c r="Z460" s="24" t="str">
        <x:v>H6 legal/content audit</x:v>
      </x:c>
      <x:c r="AA460" s="24" t="str">
        <x:v>VRM Games</x:v>
      </x:c>
      <x:c r="AB460" s="24" t="str">
        <x:v>No se detectó proveedor externo en la ruta; confirmar autoría por lote antes de release público.</x:v>
      </x:c>
    </x:row>
    <x:row r="461" ht="34" customHeight="1">
      <x:c r="A461" s="24" t="str">
        <x:v>INT-0457</x:v>
      </x:c>
      <x:c r="B461" s="24" t="str">
        <x:v>f3fe4161c42b43f58e2cb10003cecd1f</x:v>
      </x:c>
      <x:c r="C461" s="24" t="str">
        <x:v>ShoppingReservations.cs</x:v>
      </x:c>
      <x:c r="D461" s="24" t="str">
        <x:v>Code</x:v>
      </x:c>
      <x:c r="E461" s="24" t="str">
        <x:v>Domain</x:v>
      </x:c>
      <x:c r="F461" s="24" t="str">
        <x:v>VRM Games / Blas Luis Rocha González</x:v>
      </x:c>
      <x:c r="G461" s="24" t="str">
        <x:v>VRM Games / Blas Luis Rocha González</x:v>
      </x:c>
      <x:c r="H461" s="24" t="str">
        <x:v>Internal project production</x:v>
      </x:c>
      <x:c r="I461" s="24" t="str">
        <x:v>2026 project timeline</x:v>
      </x:c>
      <x:c r="J461" s="24" t="str">
        <x:v>Internal project IP / authorship claim</x:v>
      </x:c>
      <x:c r="K461" s="24" t="str">
        <x:v>N/A</x:v>
      </x:c>
      <x:c r="L461" s="24" t="str">
        <x:v>Source package + repository path + hash</x:v>
      </x:c>
      <x:c r="M461" s="24" t="str">
        <x:v>c6ca0afefd6add1360b463f93e2fa4d7468763261ce7625bb1d6a05e0716ca50</x:v>
      </x:c>
      <x:c r="N461" s="24" t="str">
        <x:v>Assets/_Project/Scripts/Domain/Shopping/ShoppingReservations.cs</x:v>
      </x:c>
      <x:c r="O461" s="24" t="str">
        <x:v>f3fe4161c42b43f58e2cb10003cecd1f</x:v>
      </x:c>
      <x:c r="P461" s="24" t="str">
        <x:v>Sí</x:v>
      </x:c>
      <x:c r="Q461" s="24" t="str">
        <x:v>Condicionado a autoría/procedencia final</x:v>
      </x:c>
      <x:c r="R461" s="24" t="str">
        <x:v>Solo dentro del producto/build autorizado</x:v>
      </x:c>
      <x:c r="S461" s="24" t="str">
        <x:v>Crédito general del estudio; individual si aplica</x:v>
      </x:c>
      <x:c r="T461" s="24" t="str">
        <x:v>VRM Games / Blas Luis Rocha González</x:v>
      </x:c>
      <x:c r="U461" s="24" t="str">
        <x:v>CURRENT PROJECT ASSET</x:v>
      </x:c>
      <x:c r="V461" s="24" t="str">
        <x:v>CONDITIONALLY APPROVED</x:v>
      </x:c>
      <x:c r="W461" s="24" t="str">
        <x:v>Sí</x:v>
      </x:c>
      <x:c r="X461" s="24" t="str">
        <x:v>Low</x:v>
      </x:c>
      <x:c r="Y461" s="24" t="str">
        <x:v>Internal development; public candidate requires gate</x:v>
      </x:c>
      <x:c r="Z461" s="24" t="str">
        <x:v>H6 legal/content audit</x:v>
      </x:c>
      <x:c r="AA461" s="24" t="str">
        <x:v>VRM Games</x:v>
      </x:c>
      <x:c r="AB461" s="24" t="str">
        <x:v>No se detectó proveedor externo en la ruta; confirmar autoría por lote antes de release público.</x:v>
      </x:c>
    </x:row>
    <x:row r="462" ht="34" customHeight="1">
      <x:c r="A462" s="24" t="str">
        <x:v>INT-0458</x:v>
      </x:c>
      <x:c r="B462" s="24" t="str">
        <x:v>30722d6a9965451197c38273c2be2a70</x:v>
      </x:c>
      <x:c r="C462" s="24" t="str">
        <x:v>SupplierCatalog.cs</x:v>
      </x:c>
      <x:c r="D462" s="24" t="str">
        <x:v>Code</x:v>
      </x:c>
      <x:c r="E462" s="24" t="str">
        <x:v>Domain</x:v>
      </x:c>
      <x:c r="F462" s="24" t="str">
        <x:v>VRM Games / Blas Luis Rocha González</x:v>
      </x:c>
      <x:c r="G462" s="24" t="str">
        <x:v>VRM Games / Blas Luis Rocha González</x:v>
      </x:c>
      <x:c r="H462" s="24" t="str">
        <x:v>Internal project production</x:v>
      </x:c>
      <x:c r="I462" s="24" t="str">
        <x:v>2026 project timeline</x:v>
      </x:c>
      <x:c r="J462" s="24" t="str">
        <x:v>Internal project IP / authorship claim</x:v>
      </x:c>
      <x:c r="K462" s="24" t="str">
        <x:v>N/A</x:v>
      </x:c>
      <x:c r="L462" s="24" t="str">
        <x:v>Source package + repository path + hash</x:v>
      </x:c>
      <x:c r="M462" s="24" t="str">
        <x:v>5e4796d76091a706c90006d11fe861e100cafb404769c2349262b564e61f9995</x:v>
      </x:c>
      <x:c r="N462" s="24" t="str">
        <x:v>Assets/_Project/Scripts/Domain/Suppliers/SupplierCatalog.cs</x:v>
      </x:c>
      <x:c r="O462" s="24" t="str">
        <x:v>30722d6a9965451197c38273c2be2a70</x:v>
      </x:c>
      <x:c r="P462" s="24" t="str">
        <x:v>Sí</x:v>
      </x:c>
      <x:c r="Q462" s="24" t="str">
        <x:v>Condicionado a autoría/procedencia final</x:v>
      </x:c>
      <x:c r="R462" s="24" t="str">
        <x:v>Solo dentro del producto/build autorizado</x:v>
      </x:c>
      <x:c r="S462" s="24" t="str">
        <x:v>Crédito general del estudio; individual si aplica</x:v>
      </x:c>
      <x:c r="T462" s="24" t="str">
        <x:v>VRM Games / Blas Luis Rocha González</x:v>
      </x:c>
      <x:c r="U462" s="24" t="str">
        <x:v>CURRENT PROJECT ASSET</x:v>
      </x:c>
      <x:c r="V462" s="24" t="str">
        <x:v>CONDITIONALLY APPROVED</x:v>
      </x:c>
      <x:c r="W462" s="24" t="str">
        <x:v>Sí</x:v>
      </x:c>
      <x:c r="X462" s="24" t="str">
        <x:v>Low</x:v>
      </x:c>
      <x:c r="Y462" s="24" t="str">
        <x:v>Internal development; public candidate requires gate</x:v>
      </x:c>
      <x:c r="Z462" s="24" t="str">
        <x:v>H6 legal/content audit</x:v>
      </x:c>
      <x:c r="AA462" s="24" t="str">
        <x:v>VRM Games</x:v>
      </x:c>
      <x:c r="AB462" s="24" t="str">
        <x:v>No se detectó proveedor externo en la ruta; confirmar autoría por lote antes de release público.</x:v>
      </x:c>
    </x:row>
    <x:row r="463" ht="34" customHeight="1">
      <x:c r="A463" s="24" t="str">
        <x:v>INT-0459</x:v>
      </x:c>
      <x:c r="B463" s="24" t="str">
        <x:v>a65e67378b9e425dae27b73f2ba4db3b</x:v>
      </x:c>
      <x:c r="C463" s="24" t="str">
        <x:v>SupplierCatalogEntry.cs</x:v>
      </x:c>
      <x:c r="D463" s="24" t="str">
        <x:v>Code</x:v>
      </x:c>
      <x:c r="E463" s="24" t="str">
        <x:v>Domain</x:v>
      </x:c>
      <x:c r="F463" s="24" t="str">
        <x:v>VRM Games / Blas Luis Rocha González</x:v>
      </x:c>
      <x:c r="G463" s="24" t="str">
        <x:v>VRM Games / Blas Luis Rocha González</x:v>
      </x:c>
      <x:c r="H463" s="24" t="str">
        <x:v>Internal project production</x:v>
      </x:c>
      <x:c r="I463" s="24" t="str">
        <x:v>2026 project timeline</x:v>
      </x:c>
      <x:c r="J463" s="24" t="str">
        <x:v>Internal project IP / authorship claim</x:v>
      </x:c>
      <x:c r="K463" s="24" t="str">
        <x:v>N/A</x:v>
      </x:c>
      <x:c r="L463" s="24" t="str">
        <x:v>Source package + repository path + hash</x:v>
      </x:c>
      <x:c r="M463" s="24" t="str">
        <x:v>5bcc6f43ff2ebcf98f429365a59f795c35f2b7424d7ed66528712899133968e5</x:v>
      </x:c>
      <x:c r="N463" s="24" t="str">
        <x:v>Assets/_Project/Scripts/Domain/Suppliers/SupplierCatalogEntry.cs</x:v>
      </x:c>
      <x:c r="O463" s="24" t="str">
        <x:v>a65e67378b9e425dae27b73f2ba4db3b</x:v>
      </x:c>
      <x:c r="P463" s="24" t="str">
        <x:v>Sí</x:v>
      </x:c>
      <x:c r="Q463" s="24" t="str">
        <x:v>Condicionado a autoría/procedencia final</x:v>
      </x:c>
      <x:c r="R463" s="24" t="str">
        <x:v>Solo dentro del producto/build autorizado</x:v>
      </x:c>
      <x:c r="S463" s="24" t="str">
        <x:v>Crédito general del estudio; individual si aplica</x:v>
      </x:c>
      <x:c r="T463" s="24" t="str">
        <x:v>VRM Games / Blas Luis Rocha González</x:v>
      </x:c>
      <x:c r="U463" s="24" t="str">
        <x:v>CURRENT PROJECT ASSET</x:v>
      </x:c>
      <x:c r="V463" s="24" t="str">
        <x:v>CONDITIONALLY APPROVED</x:v>
      </x:c>
      <x:c r="W463" s="24" t="str">
        <x:v>Sí</x:v>
      </x:c>
      <x:c r="X463" s="24" t="str">
        <x:v>Low</x:v>
      </x:c>
      <x:c r="Y463" s="24" t="str">
        <x:v>Internal development; public candidate requires gate</x:v>
      </x:c>
      <x:c r="Z463" s="24" t="str">
        <x:v>H6 legal/content audit</x:v>
      </x:c>
      <x:c r="AA463" s="24" t="str">
        <x:v>VRM Games</x:v>
      </x:c>
      <x:c r="AB463" s="24" t="str">
        <x:v>No se detectó proveedor externo en la ruta; confirmar autoría por lote antes de release público.</x:v>
      </x:c>
    </x:row>
    <x:row r="464" ht="34" customHeight="1">
      <x:c r="A464" s="24" t="str">
        <x:v>INT-0460</x:v>
      </x:c>
      <x:c r="B464" s="24" t="str">
        <x:v>15f1ecbe92a94d8b8a982a9b2e150bdd</x:v>
      </x:c>
      <x:c r="C464" s="24" t="str">
        <x:v>SupplierCatalogId.cs</x:v>
      </x:c>
      <x:c r="D464" s="24" t="str">
        <x:v>Code</x:v>
      </x:c>
      <x:c r="E464" s="24" t="str">
        <x:v>Domain</x:v>
      </x:c>
      <x:c r="F464" s="24" t="str">
        <x:v>VRM Games / Blas Luis Rocha González</x:v>
      </x:c>
      <x:c r="G464" s="24" t="str">
        <x:v>VRM Games / Blas Luis Rocha González</x:v>
      </x:c>
      <x:c r="H464" s="24" t="str">
        <x:v>Internal project production</x:v>
      </x:c>
      <x:c r="I464" s="24" t="str">
        <x:v>2026 project timeline</x:v>
      </x:c>
      <x:c r="J464" s="24" t="str">
        <x:v>Internal project IP / authorship claim</x:v>
      </x:c>
      <x:c r="K464" s="24" t="str">
        <x:v>N/A</x:v>
      </x:c>
      <x:c r="L464" s="24" t="str">
        <x:v>Source package + repository path + hash</x:v>
      </x:c>
      <x:c r="M464" s="24" t="str">
        <x:v>364fd0905574c8c1ae1230046ff67acad2199426de8492623ebf47712577c91f</x:v>
      </x:c>
      <x:c r="N464" s="24" t="str">
        <x:v>Assets/_Project/Scripts/Domain/Suppliers/SupplierCatalogId.cs</x:v>
      </x:c>
      <x:c r="O464" s="24" t="str">
        <x:v>15f1ecbe92a94d8b8a982a9b2e150bdd</x:v>
      </x:c>
      <x:c r="P464" s="24" t="str">
        <x:v>Sí</x:v>
      </x:c>
      <x:c r="Q464" s="24" t="str">
        <x:v>Condicionado a autoría/procedencia final</x:v>
      </x:c>
      <x:c r="R464" s="24" t="str">
        <x:v>Solo dentro del producto/build autorizado</x:v>
      </x:c>
      <x:c r="S464" s="24" t="str">
        <x:v>Crédito general del estudio; individual si aplica</x:v>
      </x:c>
      <x:c r="T464" s="24" t="str">
        <x:v>VRM Games / Blas Luis Rocha González</x:v>
      </x:c>
      <x:c r="U464" s="24" t="str">
        <x:v>CURRENT PROJECT ASSET</x:v>
      </x:c>
      <x:c r="V464" s="24" t="str">
        <x:v>CONDITIONALLY APPROVED</x:v>
      </x:c>
      <x:c r="W464" s="24" t="str">
        <x:v>Sí</x:v>
      </x:c>
      <x:c r="X464" s="24" t="str">
        <x:v>Low</x:v>
      </x:c>
      <x:c r="Y464" s="24" t="str">
        <x:v>Internal development; public candidate requires gate</x:v>
      </x:c>
      <x:c r="Z464" s="24" t="str">
        <x:v>H6 legal/content audit</x:v>
      </x:c>
      <x:c r="AA464" s="24" t="str">
        <x:v>VRM Games</x:v>
      </x:c>
      <x:c r="AB464" s="24" t="str">
        <x:v>No se detectó proveedor externo en la ruta; confirmar autoría por lote antes de release público.</x:v>
      </x:c>
    </x:row>
    <x:row r="465" ht="34" customHeight="1">
      <x:c r="A465" s="24" t="str">
        <x:v>INT-0461</x:v>
      </x:c>
      <x:c r="B465" s="24" t="str">
        <x:v>c04af6b581fc487187a101513c0896ec</x:v>
      </x:c>
      <x:c r="C465" s="24" t="str">
        <x:v>SupplierDefinition.cs</x:v>
      </x:c>
      <x:c r="D465" s="24" t="str">
        <x:v>Code</x:v>
      </x:c>
      <x:c r="E465" s="24" t="str">
        <x:v>Domain</x:v>
      </x:c>
      <x:c r="F465" s="24" t="str">
        <x:v>VRM Games / Blas Luis Rocha González</x:v>
      </x:c>
      <x:c r="G465" s="24" t="str">
        <x:v>VRM Games / Blas Luis Rocha González</x:v>
      </x:c>
      <x:c r="H465" s="24" t="str">
        <x:v>Internal project production</x:v>
      </x:c>
      <x:c r="I465" s="24" t="str">
        <x:v>2026 project timeline</x:v>
      </x:c>
      <x:c r="J465" s="24" t="str">
        <x:v>Internal project IP / authorship claim</x:v>
      </x:c>
      <x:c r="K465" s="24" t="str">
        <x:v>N/A</x:v>
      </x:c>
      <x:c r="L465" s="24" t="str">
        <x:v>Source package + repository path + hash</x:v>
      </x:c>
      <x:c r="M465" s="24" t="str">
        <x:v>71dc1153b04a276be3669390e94fcce851186891b2a6e903054dde83b559f9ec</x:v>
      </x:c>
      <x:c r="N465" s="24" t="str">
        <x:v>Assets/_Project/Scripts/Domain/Suppliers/SupplierDefinition.cs</x:v>
      </x:c>
      <x:c r="O465" s="24" t="str">
        <x:v>c04af6b581fc487187a101513c0896ec</x:v>
      </x:c>
      <x:c r="P465" s="24" t="str">
        <x:v>Sí</x:v>
      </x:c>
      <x:c r="Q465" s="24" t="str">
        <x:v>Condicionado a autoría/procedencia final</x:v>
      </x:c>
      <x:c r="R465" s="24" t="str">
        <x:v>Solo dentro del producto/build autorizado</x:v>
      </x:c>
      <x:c r="S465" s="24" t="str">
        <x:v>Crédito general del estudio; individual si aplica</x:v>
      </x:c>
      <x:c r="T465" s="24" t="str">
        <x:v>VRM Games / Blas Luis Rocha González</x:v>
      </x:c>
      <x:c r="U465" s="24" t="str">
        <x:v>CURRENT PROJECT ASSET</x:v>
      </x:c>
      <x:c r="V465" s="24" t="str">
        <x:v>CONDITIONALLY APPROVED</x:v>
      </x:c>
      <x:c r="W465" s="24" t="str">
        <x:v>Sí</x:v>
      </x:c>
      <x:c r="X465" s="24" t="str">
        <x:v>Low</x:v>
      </x:c>
      <x:c r="Y465" s="24" t="str">
        <x:v>Internal development; public candidate requires gate</x:v>
      </x:c>
      <x:c r="Z465" s="24" t="str">
        <x:v>H6 legal/content audit</x:v>
      </x:c>
      <x:c r="AA465" s="24" t="str">
        <x:v>VRM Games</x:v>
      </x:c>
      <x:c r="AB465" s="24" t="str">
        <x:v>No se detectó proveedor externo en la ruta; confirmar autoría por lote antes de release público.</x:v>
      </x:c>
    </x:row>
    <x:row r="466" ht="34" customHeight="1">
      <x:c r="A466" s="24" t="str">
        <x:v>INT-0462</x:v>
      </x:c>
      <x:c r="B466" s="24" t="str">
        <x:v>581e61331e47415c8753aab396173e24</x:v>
      </x:c>
      <x:c r="C466" s="24" t="str">
        <x:v>SupplierId.cs</x:v>
      </x:c>
      <x:c r="D466" s="24" t="str">
        <x:v>Code</x:v>
      </x:c>
      <x:c r="E466" s="24" t="str">
        <x:v>Domain</x:v>
      </x:c>
      <x:c r="F466" s="24" t="str">
        <x:v>VRM Games / Blas Luis Rocha González</x:v>
      </x:c>
      <x:c r="G466" s="24" t="str">
        <x:v>VRM Games / Blas Luis Rocha González</x:v>
      </x:c>
      <x:c r="H466" s="24" t="str">
        <x:v>Internal project production</x:v>
      </x:c>
      <x:c r="I466" s="24" t="str">
        <x:v>2026 project timeline</x:v>
      </x:c>
      <x:c r="J466" s="24" t="str">
        <x:v>Internal project IP / authorship claim</x:v>
      </x:c>
      <x:c r="K466" s="24" t="str">
        <x:v>N/A</x:v>
      </x:c>
      <x:c r="L466" s="24" t="str">
        <x:v>Source package + repository path + hash</x:v>
      </x:c>
      <x:c r="M466" s="24" t="str">
        <x:v>add84a9002f2f2b0a43a528110b582d2b3e6b0b71d49e15f7167f9d671e3b734</x:v>
      </x:c>
      <x:c r="N466" s="24" t="str">
        <x:v>Assets/_Project/Scripts/Domain/Suppliers/SupplierId.cs</x:v>
      </x:c>
      <x:c r="O466" s="24" t="str">
        <x:v>581e61331e47415c8753aab396173e24</x:v>
      </x:c>
      <x:c r="P466" s="24" t="str">
        <x:v>Sí</x:v>
      </x:c>
      <x:c r="Q466" s="24" t="str">
        <x:v>Condicionado a autoría/procedencia final</x:v>
      </x:c>
      <x:c r="R466" s="24" t="str">
        <x:v>Solo dentro del producto/build autorizado</x:v>
      </x:c>
      <x:c r="S466" s="24" t="str">
        <x:v>Crédito general del estudio; individual si aplica</x:v>
      </x:c>
      <x:c r="T466" s="24" t="str">
        <x:v>VRM Games / Blas Luis Rocha González</x:v>
      </x:c>
      <x:c r="U466" s="24" t="str">
        <x:v>CURRENT PROJECT ASSET</x:v>
      </x:c>
      <x:c r="V466" s="24" t="str">
        <x:v>CONDITIONALLY APPROVED</x:v>
      </x:c>
      <x:c r="W466" s="24" t="str">
        <x:v>Sí</x:v>
      </x:c>
      <x:c r="X466" s="24" t="str">
        <x:v>Low</x:v>
      </x:c>
      <x:c r="Y466" s="24" t="str">
        <x:v>Internal development; public candidate requires gate</x:v>
      </x:c>
      <x:c r="Z466" s="24" t="str">
        <x:v>H6 legal/content audit</x:v>
      </x:c>
      <x:c r="AA466" s="24" t="str">
        <x:v>VRM Games</x:v>
      </x:c>
      <x:c r="AB466" s="24" t="str">
        <x:v>No se detectó proveedor externo en la ruta; confirmar autoría por lote antes de release público.</x:v>
      </x:c>
    </x:row>
    <x:row r="467" ht="34" customHeight="1">
      <x:c r="A467" s="24" t="str">
        <x:v>INT-0463</x:v>
      </x:c>
      <x:c r="B467" s="24" t="str">
        <x:v>e92893095a4e4db1bae2a9d0ce3ece90</x:v>
      </x:c>
      <x:c r="C467" s="24" t="str">
        <x:v>SlotDescriptor.cs</x:v>
      </x:c>
      <x:c r="D467" s="24" t="str">
        <x:v>Code</x:v>
      </x:c>
      <x:c r="E467" s="24" t="str">
        <x:v>Domain</x:v>
      </x:c>
      <x:c r="F467" s="24" t="str">
        <x:v>VRM Games / Blas Luis Rocha González</x:v>
      </x:c>
      <x:c r="G467" s="24" t="str">
        <x:v>VRM Games / Blas Luis Rocha González</x:v>
      </x:c>
      <x:c r="H467" s="24" t="str">
        <x:v>Internal project production</x:v>
      </x:c>
      <x:c r="I467" s="24" t="str">
        <x:v>2026 project timeline</x:v>
      </x:c>
      <x:c r="J467" s="24" t="str">
        <x:v>Internal project IP / authorship claim</x:v>
      </x:c>
      <x:c r="K467" s="24" t="str">
        <x:v>N/A</x:v>
      </x:c>
      <x:c r="L467" s="24" t="str">
        <x:v>Source package + repository path + hash</x:v>
      </x:c>
      <x:c r="M467" s="24" t="str">
        <x:v>0aa860b42b22ffbb82bb5691f0e66b4850edde996a6762c5ae142c2456c3dc66</x:v>
      </x:c>
      <x:c r="N467" s="24" t="str">
        <x:v>Assets/_Project/Scripts/Domain/UIUX/SlotDescriptor.cs</x:v>
      </x:c>
      <x:c r="O467" s="24" t="str">
        <x:v>e92893095a4e4db1bae2a9d0ce3ece90</x:v>
      </x:c>
      <x:c r="P467" s="24" t="str">
        <x:v>Sí</x:v>
      </x:c>
      <x:c r="Q467" s="24" t="str">
        <x:v>Condicionado a autoría/procedencia final</x:v>
      </x:c>
      <x:c r="R467" s="24" t="str">
        <x:v>Solo dentro del producto/build autorizado</x:v>
      </x:c>
      <x:c r="S467" s="24" t="str">
        <x:v>Crédito general del estudio; individual si aplica</x:v>
      </x:c>
      <x:c r="T467" s="24" t="str">
        <x:v>VRM Games / Blas Luis Rocha González</x:v>
      </x:c>
      <x:c r="U467" s="24" t="str">
        <x:v>CURRENT PROJECT ASSET</x:v>
      </x:c>
      <x:c r="V467" s="24" t="str">
        <x:v>CONDITIONALLY APPROVED</x:v>
      </x:c>
      <x:c r="W467" s="24" t="str">
        <x:v>Sí</x:v>
      </x:c>
      <x:c r="X467" s="24" t="str">
        <x:v>Low</x:v>
      </x:c>
      <x:c r="Y467" s="24" t="str">
        <x:v>Internal development; public candidate requires gate</x:v>
      </x:c>
      <x:c r="Z467" s="24" t="str">
        <x:v>H6 legal/content audit</x:v>
      </x:c>
      <x:c r="AA467" s="24" t="str">
        <x:v>VRM Games</x:v>
      </x:c>
      <x:c r="AB467" s="24" t="str">
        <x:v>No se detectó proveedor externo en la ruta; confirmar autoría por lote antes de release público.</x:v>
      </x:c>
    </x:row>
    <x:row r="468" ht="34" customHeight="1">
      <x:c r="A468" s="24" t="str">
        <x:v>INT-0464</x:v>
      </x:c>
      <x:c r="B468" s="24" t="str">
        <x:v>ce89797fc2d5478684718b156e5342be</x:v>
      </x:c>
      <x:c r="C468" s="24" t="str">
        <x:v>StoreUiSnapshots.cs</x:v>
      </x:c>
      <x:c r="D468" s="24" t="str">
        <x:v>Code</x:v>
      </x:c>
      <x:c r="E468" s="24" t="str">
        <x:v>Domain</x:v>
      </x:c>
      <x:c r="F468" s="24" t="str">
        <x:v>VRM Games / Blas Luis Rocha González</x:v>
      </x:c>
      <x:c r="G468" s="24" t="str">
        <x:v>VRM Games / Blas Luis Rocha González</x:v>
      </x:c>
      <x:c r="H468" s="24" t="str">
        <x:v>Internal project production</x:v>
      </x:c>
      <x:c r="I468" s="24" t="str">
        <x:v>2026 project timeline</x:v>
      </x:c>
      <x:c r="J468" s="24" t="str">
        <x:v>Internal project IP / authorship claim</x:v>
      </x:c>
      <x:c r="K468" s="24" t="str">
        <x:v>N/A</x:v>
      </x:c>
      <x:c r="L468" s="24" t="str">
        <x:v>Source package + repository path + hash</x:v>
      </x:c>
      <x:c r="M468" s="24" t="str">
        <x:v>bc733b83db25f8bbe7288edf0978e2482671ed4c8aa7fa7a92cf30d81237c8ad</x:v>
      </x:c>
      <x:c r="N468" s="24" t="str">
        <x:v>Assets/_Project/Scripts/Domain/UIUX/StoreUiSnapshots.cs</x:v>
      </x:c>
      <x:c r="O468" s="24" t="str">
        <x:v>ce89797fc2d5478684718b156e5342be</x:v>
      </x:c>
      <x:c r="P468" s="24" t="str">
        <x:v>Sí</x:v>
      </x:c>
      <x:c r="Q468" s="24" t="str">
        <x:v>Condicionado a autoría/procedencia final</x:v>
      </x:c>
      <x:c r="R468" s="24" t="str">
        <x:v>Solo dentro del producto/build autorizado</x:v>
      </x:c>
      <x:c r="S468" s="24" t="str">
        <x:v>Crédito general del estudio; individual si aplica</x:v>
      </x:c>
      <x:c r="T468" s="24" t="str">
        <x:v>VRM Games / Blas Luis Rocha González</x:v>
      </x:c>
      <x:c r="U468" s="24" t="str">
        <x:v>CURRENT PROJECT ASSET</x:v>
      </x:c>
      <x:c r="V468" s="24" t="str">
        <x:v>CONDITIONALLY APPROVED</x:v>
      </x:c>
      <x:c r="W468" s="24" t="str">
        <x:v>Sí</x:v>
      </x:c>
      <x:c r="X468" s="24" t="str">
        <x:v>Low</x:v>
      </x:c>
      <x:c r="Y468" s="24" t="str">
        <x:v>Internal development; public candidate requires gate</x:v>
      </x:c>
      <x:c r="Z468" s="24" t="str">
        <x:v>H6 legal/content audit</x:v>
      </x:c>
      <x:c r="AA468" s="24" t="str">
        <x:v>VRM Games</x:v>
      </x:c>
      <x:c r="AB468" s="24" t="str">
        <x:v>No se detectó proveedor externo en la ruta; confirmar autoría por lote antes de release público.</x:v>
      </x:c>
    </x:row>
    <x:row r="469" ht="34" customHeight="1">
      <x:c r="A469" s="24" t="str">
        <x:v>INT-0465</x:v>
      </x:c>
      <x:c r="B469" s="24" t="str">
        <x:v>6c4331c300824ea1b654adce088d2c29</x:v>
      </x:c>
      <x:c r="C469" s="24" t="str">
        <x:v>TutorialProgress.cs</x:v>
      </x:c>
      <x:c r="D469" s="24" t="str">
        <x:v>Code</x:v>
      </x:c>
      <x:c r="E469" s="24" t="str">
        <x:v>Domain</x:v>
      </x:c>
      <x:c r="F469" s="24" t="str">
        <x:v>VRM Games / Blas Luis Rocha González</x:v>
      </x:c>
      <x:c r="G469" s="24" t="str">
        <x:v>VRM Games / Blas Luis Rocha González</x:v>
      </x:c>
      <x:c r="H469" s="24" t="str">
        <x:v>Internal project production</x:v>
      </x:c>
      <x:c r="I469" s="24" t="str">
        <x:v>2026 project timeline</x:v>
      </x:c>
      <x:c r="J469" s="24" t="str">
        <x:v>Internal project IP / authorship claim</x:v>
      </x:c>
      <x:c r="K469" s="24" t="str">
        <x:v>N/A</x:v>
      </x:c>
      <x:c r="L469" s="24" t="str">
        <x:v>Source package + repository path + hash</x:v>
      </x:c>
      <x:c r="M469" s="24" t="str">
        <x:v>2d5afdf894c44a1b3eea18e182bae08bab13e4dde5440207cb2a4d31f5ff46da</x:v>
      </x:c>
      <x:c r="N469" s="24" t="str">
        <x:v>Assets/_Project/Scripts/Domain/UIUX/TutorialProgress.cs</x:v>
      </x:c>
      <x:c r="O469" s="24" t="str">
        <x:v>6c4331c300824ea1b654adce088d2c29</x:v>
      </x:c>
      <x:c r="P469" s="24" t="str">
        <x:v>Sí</x:v>
      </x:c>
      <x:c r="Q469" s="24" t="str">
        <x:v>Condicionado a autoría/procedencia final</x:v>
      </x:c>
      <x:c r="R469" s="24" t="str">
        <x:v>Solo dentro del producto/build autorizado</x:v>
      </x:c>
      <x:c r="S469" s="24" t="str">
        <x:v>Crédito general del estudio; individual si aplica</x:v>
      </x:c>
      <x:c r="T469" s="24" t="str">
        <x:v>VRM Games / Blas Luis Rocha González</x:v>
      </x:c>
      <x:c r="U469" s="24" t="str">
        <x:v>CURRENT PROJECT ASSET</x:v>
      </x:c>
      <x:c r="V469" s="24" t="str">
        <x:v>CONDITIONALLY APPROVED</x:v>
      </x:c>
      <x:c r="W469" s="24" t="str">
        <x:v>Sí</x:v>
      </x:c>
      <x:c r="X469" s="24" t="str">
        <x:v>Low</x:v>
      </x:c>
      <x:c r="Y469" s="24" t="str">
        <x:v>Internal development; public candidate requires gate</x:v>
      </x:c>
      <x:c r="Z469" s="24" t="str">
        <x:v>H6 legal/content audit</x:v>
      </x:c>
      <x:c r="AA469" s="24" t="str">
        <x:v>VRM Games</x:v>
      </x:c>
      <x:c r="AB469" s="24" t="str">
        <x:v>No se detectó proveedor externo en la ruta; confirmar autoría por lote antes de release público.</x:v>
      </x:c>
    </x:row>
    <x:row r="470" ht="34" customHeight="1">
      <x:c r="A470" s="24" t="str">
        <x:v>INT-0466</x:v>
      </x:c>
      <x:c r="B470" s="24" t="str">
        <x:v>95f5bfc32d4c4559aa98fd7dce7178f0</x:v>
      </x:c>
      <x:c r="C470" s="24" t="str">
        <x:v>UiAccessibilitySettings.cs</x:v>
      </x:c>
      <x:c r="D470" s="24" t="str">
        <x:v>Code</x:v>
      </x:c>
      <x:c r="E470" s="24" t="str">
        <x:v>Domain</x:v>
      </x:c>
      <x:c r="F470" s="24" t="str">
        <x:v>VRM Games / Blas Luis Rocha González</x:v>
      </x:c>
      <x:c r="G470" s="24" t="str">
        <x:v>VRM Games / Blas Luis Rocha González</x:v>
      </x:c>
      <x:c r="H470" s="24" t="str">
        <x:v>Internal project production</x:v>
      </x:c>
      <x:c r="I470" s="24" t="str">
        <x:v>2026 project timeline</x:v>
      </x:c>
      <x:c r="J470" s="24" t="str">
        <x:v>Internal project IP / authorship claim</x:v>
      </x:c>
      <x:c r="K470" s="24" t="str">
        <x:v>N/A</x:v>
      </x:c>
      <x:c r="L470" s="24" t="str">
        <x:v>Source package + repository path + hash</x:v>
      </x:c>
      <x:c r="M470" s="24" t="str">
        <x:v>446a08b670f173469a613f79eb15558fcd8d4a57a6b47ca816a8851344cc34c6</x:v>
      </x:c>
      <x:c r="N470" s="24" t="str">
        <x:v>Assets/_Project/Scripts/Domain/UIUX/UiAccessibilitySettings.cs</x:v>
      </x:c>
      <x:c r="O470" s="24" t="str">
        <x:v>95f5bfc32d4c4559aa98fd7dce7178f0</x:v>
      </x:c>
      <x:c r="P470" s="24" t="str">
        <x:v>Sí</x:v>
      </x:c>
      <x:c r="Q470" s="24" t="str">
        <x:v>Condicionado a autoría/procedencia final</x:v>
      </x:c>
      <x:c r="R470" s="24" t="str">
        <x:v>Solo dentro del producto/build autorizado</x:v>
      </x:c>
      <x:c r="S470" s="24" t="str">
        <x:v>Crédito general del estudio; individual si aplica</x:v>
      </x:c>
      <x:c r="T470" s="24" t="str">
        <x:v>VRM Games / Blas Luis Rocha González</x:v>
      </x:c>
      <x:c r="U470" s="24" t="str">
        <x:v>CURRENT PROJECT ASSET</x:v>
      </x:c>
      <x:c r="V470" s="24" t="str">
        <x:v>CONDITIONALLY APPROVED</x:v>
      </x:c>
      <x:c r="W470" s="24" t="str">
        <x:v>Sí</x:v>
      </x:c>
      <x:c r="X470" s="24" t="str">
        <x:v>Low</x:v>
      </x:c>
      <x:c r="Y470" s="24" t="str">
        <x:v>Internal development; public candidate requires gate</x:v>
      </x:c>
      <x:c r="Z470" s="24" t="str">
        <x:v>H6 legal/content audit</x:v>
      </x:c>
      <x:c r="AA470" s="24" t="str">
        <x:v>VRM Games</x:v>
      </x:c>
      <x:c r="AB470" s="24" t="str">
        <x:v>No se detectó proveedor externo en la ruta; confirmar autoría por lote antes de release público.</x:v>
      </x:c>
    </x:row>
    <x:row r="471" ht="34" customHeight="1">
      <x:c r="A471" s="24" t="str">
        <x:v>INT-0467</x:v>
      </x:c>
      <x:c r="B471" s="24" t="str">
        <x:v>cbc0126d293049189f0f5a240d029924</x:v>
      </x:c>
      <x:c r="C471" s="24" t="str">
        <x:v>UiNavigationState.cs</x:v>
      </x:c>
      <x:c r="D471" s="24" t="str">
        <x:v>Code</x:v>
      </x:c>
      <x:c r="E471" s="24" t="str">
        <x:v>Domain</x:v>
      </x:c>
      <x:c r="F471" s="24" t="str">
        <x:v>VRM Games / Blas Luis Rocha González</x:v>
      </x:c>
      <x:c r="G471" s="24" t="str">
        <x:v>VRM Games / Blas Luis Rocha González</x:v>
      </x:c>
      <x:c r="H471" s="24" t="str">
        <x:v>Internal project production</x:v>
      </x:c>
      <x:c r="I471" s="24" t="str">
        <x:v>2026 project timeline</x:v>
      </x:c>
      <x:c r="J471" s="24" t="str">
        <x:v>Internal project IP / authorship claim</x:v>
      </x:c>
      <x:c r="K471" s="24" t="str">
        <x:v>N/A</x:v>
      </x:c>
      <x:c r="L471" s="24" t="str">
        <x:v>Source package + repository path + hash</x:v>
      </x:c>
      <x:c r="M471" s="24" t="str">
        <x:v>0f0db80fa269bba15f83dca82d9db1fef09e1dc6f546acfbc936cb2e748c88ce</x:v>
      </x:c>
      <x:c r="N471" s="24" t="str">
        <x:v>Assets/_Project/Scripts/Domain/UIUX/UiNavigationState.cs</x:v>
      </x:c>
      <x:c r="O471" s="24" t="str">
        <x:v>cbc0126d293049189f0f5a240d029924</x:v>
      </x:c>
      <x:c r="P471" s="24" t="str">
        <x:v>Sí</x:v>
      </x:c>
      <x:c r="Q471" s="24" t="str">
        <x:v>Condicionado a autoría/procedencia final</x:v>
      </x:c>
      <x:c r="R471" s="24" t="str">
        <x:v>Solo dentro del producto/build autorizado</x:v>
      </x:c>
      <x:c r="S471" s="24" t="str">
        <x:v>Crédito general del estudio; individual si aplica</x:v>
      </x:c>
      <x:c r="T471" s="24" t="str">
        <x:v>VRM Games / Blas Luis Rocha González</x:v>
      </x:c>
      <x:c r="U471" s="24" t="str">
        <x:v>CURRENT PROJECT ASSET</x:v>
      </x:c>
      <x:c r="V471" s="24" t="str">
        <x:v>CONDITIONALLY APPROVED</x:v>
      </x:c>
      <x:c r="W471" s="24" t="str">
        <x:v>Sí</x:v>
      </x:c>
      <x:c r="X471" s="24" t="str">
        <x:v>Low</x:v>
      </x:c>
      <x:c r="Y471" s="24" t="str">
        <x:v>Internal development; public candidate requires gate</x:v>
      </x:c>
      <x:c r="Z471" s="24" t="str">
        <x:v>H6 legal/content audit</x:v>
      </x:c>
      <x:c r="AA471" s="24" t="str">
        <x:v>VRM Games</x:v>
      </x:c>
      <x:c r="AB471" s="24" t="str">
        <x:v>No se detectó proveedor externo en la ruta; confirmar autoría por lote antes de release público.</x:v>
      </x:c>
    </x:row>
    <x:row r="472" ht="34" customHeight="1">
      <x:c r="A472" s="24" t="str">
        <x:v>INT-0468</x:v>
      </x:c>
      <x:c r="B472" s="24" t="str">
        <x:v>48c9c63a3d288ea45ac4e2a3a372d22d</x:v>
      </x:c>
      <x:c r="C472" s="24" t="str">
        <x:v>VRMGames.CartridgeAndCloud.Domain.asmdef</x:v>
      </x:c>
      <x:c r="D472" s="24" t="str">
        <x:v>Assembly definition</x:v>
      </x:c>
      <x:c r="E472" s="24" t="str">
        <x:v>Domain</x:v>
      </x:c>
      <x:c r="F472" s="24" t="str">
        <x:v>VRM Games / Blas Luis Rocha González</x:v>
      </x:c>
      <x:c r="G472" s="24" t="str">
        <x:v>VRM Games / Blas Luis Rocha González</x:v>
      </x:c>
      <x:c r="H472" s="24" t="str">
        <x:v>Internal project production</x:v>
      </x:c>
      <x:c r="I472" s="24" t="str">
        <x:v>2026 project timeline</x:v>
      </x:c>
      <x:c r="J472" s="24" t="str">
        <x:v>Internal project IP / authorship claim</x:v>
      </x:c>
      <x:c r="K472" s="24" t="str">
        <x:v>N/A</x:v>
      </x:c>
      <x:c r="L472" s="24" t="str">
        <x:v>Source package + repository path + hash</x:v>
      </x:c>
      <x:c r="M472" s="24" t="str">
        <x:v>0bd82753cc49d49f28f9ab701cb6e059f6337451afb0c37f9f4c9aa46764399e</x:v>
      </x:c>
      <x:c r="N472" s="24" t="str">
        <x:v>Assets/_Project/Scripts/Domain/VRMGames.CartridgeAndCloud.Domain.asmdef</x:v>
      </x:c>
      <x:c r="O472" s="24" t="str">
        <x:v>48c9c63a3d288ea45ac4e2a3a372d22d</x:v>
      </x:c>
      <x:c r="P472" s="24" t="str">
        <x:v>Sí</x:v>
      </x:c>
      <x:c r="Q472" s="24" t="str">
        <x:v>Condicionado a autoría/procedencia final</x:v>
      </x:c>
      <x:c r="R472" s="24" t="str">
        <x:v>Solo dentro del producto/build autorizado</x:v>
      </x:c>
      <x:c r="S472" s="24" t="str">
        <x:v>Crédito general del estudio; individual si aplica</x:v>
      </x:c>
      <x:c r="T472" s="24" t="str">
        <x:v>VRM Games / Blas Luis Rocha González</x:v>
      </x:c>
      <x:c r="U472" s="24" t="str">
        <x:v>CURRENT PROJECT ASSET</x:v>
      </x:c>
      <x:c r="V472" s="24" t="str">
        <x:v>CONDITIONALLY APPROVED</x:v>
      </x:c>
      <x:c r="W472" s="24" t="str">
        <x:v>Sí</x:v>
      </x:c>
      <x:c r="X472" s="24" t="str">
        <x:v>Low</x:v>
      </x:c>
      <x:c r="Y472" s="24" t="str">
        <x:v>Internal development; public candidate requires gate</x:v>
      </x:c>
      <x:c r="Z472" s="24" t="str">
        <x:v>H6 legal/content audit</x:v>
      </x:c>
      <x:c r="AA472" s="24" t="str">
        <x:v>VRM Games</x:v>
      </x:c>
      <x:c r="AB472" s="24" t="str">
        <x:v>No se detectó proveedor externo en la ruta; confirmar autoría por lote antes de release público.</x:v>
      </x:c>
    </x:row>
    <x:row r="473" ht="34" customHeight="1">
      <x:c r="A473" s="24" t="str">
        <x:v>INT-0469</x:v>
      </x:c>
      <x:c r="B473" s="24" t="str">
        <x:v>754b6b783e63cc40fa11fe98402e8e60</x:v>
      </x:c>
      <x:c r="C473" s="24" t="str">
        <x:v>Phase1CatalogModels.cs</x:v>
      </x:c>
      <x:c r="D473" s="24" t="str">
        <x:v>Code</x:v>
      </x:c>
      <x:c r="E473" s="24" t="str">
        <x:v>Domain</x:v>
      </x:c>
      <x:c r="F473" s="24" t="str">
        <x:v>VRM Games / Blas Luis Rocha González</x:v>
      </x:c>
      <x:c r="G473" s="24" t="str">
        <x:v>VRM Games / Blas Luis Rocha González</x:v>
      </x:c>
      <x:c r="H473" s="24" t="str">
        <x:v>Internal project production</x:v>
      </x:c>
      <x:c r="I473" s="24" t="str">
        <x:v>2026 project timeline</x:v>
      </x:c>
      <x:c r="J473" s="24" t="str">
        <x:v>Internal project IP / authorship claim</x:v>
      </x:c>
      <x:c r="K473" s="24" t="str">
        <x:v>N/A</x:v>
      </x:c>
      <x:c r="L473" s="24" t="str">
        <x:v>Source package + repository path + hash</x:v>
      </x:c>
      <x:c r="M473" s="24" t="str">
        <x:v>f3e1d6b56c0dd33a557094255d46a37f2c1126398663f22f961d76b7998a5b94</x:v>
      </x:c>
      <x:c r="N473" s="24" t="str">
        <x:v>Assets/_Project/Scripts/Domain/VerticalSlicePhase1/Phase1CatalogModels.cs</x:v>
      </x:c>
      <x:c r="O473" s="24" t="str">
        <x:v>754b6b783e63cc40fa11fe98402e8e60</x:v>
      </x:c>
      <x:c r="P473" s="24" t="str">
        <x:v>Sí</x:v>
      </x:c>
      <x:c r="Q473" s="24" t="str">
        <x:v>Condicionado a autoría/procedencia final</x:v>
      </x:c>
      <x:c r="R473" s="24" t="str">
        <x:v>Solo dentro del producto/build autorizado</x:v>
      </x:c>
      <x:c r="S473" s="24" t="str">
        <x:v>Crédito general del estudio; individual si aplica</x:v>
      </x:c>
      <x:c r="T473" s="24" t="str">
        <x:v>VRM Games / Blas Luis Rocha González</x:v>
      </x:c>
      <x:c r="U473" s="24" t="str">
        <x:v>CURRENT PROJECT ASSET</x:v>
      </x:c>
      <x:c r="V473" s="24" t="str">
        <x:v>CONDITIONALLY APPROVED</x:v>
      </x:c>
      <x:c r="W473" s="24" t="str">
        <x:v>Sí</x:v>
      </x:c>
      <x:c r="X473" s="24" t="str">
        <x:v>Low</x:v>
      </x:c>
      <x:c r="Y473" s="24" t="str">
        <x:v>Internal development; public candidate requires gate</x:v>
      </x:c>
      <x:c r="Z473" s="24" t="str">
        <x:v>H6 legal/content audit</x:v>
      </x:c>
      <x:c r="AA473" s="24" t="str">
        <x:v>VRM Games</x:v>
      </x:c>
      <x:c r="AB473" s="24" t="str">
        <x:v>No se detectó proveedor externo en la ruta; confirmar autoría por lote antes de release público.</x:v>
      </x:c>
    </x:row>
    <x:row r="474" ht="34" customHeight="1">
      <x:c r="A474" s="24" t="str">
        <x:v>INT-0470</x:v>
      </x:c>
      <x:c r="B474" s="24" t="str">
        <x:v>465362046e16356eba1fa1c9067058e5</x:v>
      </x:c>
      <x:c r="C474" s="24" t="str">
        <x:v>Phase1FeedbackEvent.cs</x:v>
      </x:c>
      <x:c r="D474" s="24" t="str">
        <x:v>Code</x:v>
      </x:c>
      <x:c r="E474" s="24" t="str">
        <x:v>Domain</x:v>
      </x:c>
      <x:c r="F474" s="24" t="str">
        <x:v>VRM Games / Blas Luis Rocha González</x:v>
      </x:c>
      <x:c r="G474" s="24" t="str">
        <x:v>VRM Games / Blas Luis Rocha González</x:v>
      </x:c>
      <x:c r="H474" s="24" t="str">
        <x:v>Internal project production</x:v>
      </x:c>
      <x:c r="I474" s="24" t="str">
        <x:v>2026 project timeline</x:v>
      </x:c>
      <x:c r="J474" s="24" t="str">
        <x:v>Internal project IP / authorship claim</x:v>
      </x:c>
      <x:c r="K474" s="24" t="str">
        <x:v>N/A</x:v>
      </x:c>
      <x:c r="L474" s="24" t="str">
        <x:v>Source package + repository path + hash</x:v>
      </x:c>
      <x:c r="M474" s="24" t="str">
        <x:v>8d3fb2cdf4187165eef1cf814bc703bb25f74c4d4933c975ceec87dc17059e2f</x:v>
      </x:c>
      <x:c r="N474" s="24" t="str">
        <x:v>Assets/_Project/Scripts/Domain/VerticalSlicePhase1/Phase1FeedbackEvent.cs</x:v>
      </x:c>
      <x:c r="O474" s="24" t="str">
        <x:v>465362046e16356eba1fa1c9067058e5</x:v>
      </x:c>
      <x:c r="P474" s="24" t="str">
        <x:v>Sí</x:v>
      </x:c>
      <x:c r="Q474" s="24" t="str">
        <x:v>Condicionado a autoría/procedencia final</x:v>
      </x:c>
      <x:c r="R474" s="24" t="str">
        <x:v>Solo dentro del producto/build autorizado</x:v>
      </x:c>
      <x:c r="S474" s="24" t="str">
        <x:v>Crédito general del estudio; individual si aplica</x:v>
      </x:c>
      <x:c r="T474" s="24" t="str">
        <x:v>VRM Games / Blas Luis Rocha González</x:v>
      </x:c>
      <x:c r="U474" s="24" t="str">
        <x:v>CURRENT PROJECT ASSET</x:v>
      </x:c>
      <x:c r="V474" s="24" t="str">
        <x:v>CONDITIONALLY APPROVED</x:v>
      </x:c>
      <x:c r="W474" s="24" t="str">
        <x:v>Sí</x:v>
      </x:c>
      <x:c r="X474" s="24" t="str">
        <x:v>Low</x:v>
      </x:c>
      <x:c r="Y474" s="24" t="str">
        <x:v>Internal development; public candidate requires gate</x:v>
      </x:c>
      <x:c r="Z474" s="24" t="str">
        <x:v>H6 legal/content audit</x:v>
      </x:c>
      <x:c r="AA474" s="24" t="str">
        <x:v>VRM Games</x:v>
      </x:c>
      <x:c r="AB474" s="24" t="str">
        <x:v>No se detectó proveedor externo en la ruta; confirmar autoría por lote antes de release público.</x:v>
      </x:c>
    </x:row>
    <x:row r="475" ht="34" customHeight="1">
      <x:c r="A475" s="24" t="str">
        <x:v>INT-0471</x:v>
      </x:c>
      <x:c r="B475" s="24" t="str">
        <x:v>94dcddc050357e4825210ba74ab6f081</x:v>
      </x:c>
      <x:c r="C475" s="24" t="str">
        <x:v>Phase1OperationResult.cs</x:v>
      </x:c>
      <x:c r="D475" s="24" t="str">
        <x:v>Code</x:v>
      </x:c>
      <x:c r="E475" s="24" t="str">
        <x:v>Domain</x:v>
      </x:c>
      <x:c r="F475" s="24" t="str">
        <x:v>VRM Games / Blas Luis Rocha González</x:v>
      </x:c>
      <x:c r="G475" s="24" t="str">
        <x:v>VRM Games / Blas Luis Rocha González</x:v>
      </x:c>
      <x:c r="H475" s="24" t="str">
        <x:v>Internal project production</x:v>
      </x:c>
      <x:c r="I475" s="24" t="str">
        <x:v>2026 project timeline</x:v>
      </x:c>
      <x:c r="J475" s="24" t="str">
        <x:v>Internal project IP / authorship claim</x:v>
      </x:c>
      <x:c r="K475" s="24" t="str">
        <x:v>N/A</x:v>
      </x:c>
      <x:c r="L475" s="24" t="str">
        <x:v>Source package + repository path + hash</x:v>
      </x:c>
      <x:c r="M475" s="24" t="str">
        <x:v>ac62d0f65f1e152413ccbbc64a50ef657c535340f4d28a97602d61ae60480876</x:v>
      </x:c>
      <x:c r="N475" s="24" t="str">
        <x:v>Assets/_Project/Scripts/Domain/VerticalSlicePhase1/Phase1OperationResult.cs</x:v>
      </x:c>
      <x:c r="O475" s="24" t="str">
        <x:v>94dcddc050357e4825210ba74ab6f081</x:v>
      </x:c>
      <x:c r="P475" s="24" t="str">
        <x:v>Sí</x:v>
      </x:c>
      <x:c r="Q475" s="24" t="str">
        <x:v>Condicionado a autoría/procedencia final</x:v>
      </x:c>
      <x:c r="R475" s="24" t="str">
        <x:v>Solo dentro del producto/build autorizado</x:v>
      </x:c>
      <x:c r="S475" s="24" t="str">
        <x:v>Crédito general del estudio; individual si aplica</x:v>
      </x:c>
      <x:c r="T475" s="24" t="str">
        <x:v>VRM Games / Blas Luis Rocha González</x:v>
      </x:c>
      <x:c r="U475" s="24" t="str">
        <x:v>CURRENT PROJECT ASSET</x:v>
      </x:c>
      <x:c r="V475" s="24" t="str">
        <x:v>CONDITIONALLY APPROVED</x:v>
      </x:c>
      <x:c r="W475" s="24" t="str">
        <x:v>Sí</x:v>
      </x:c>
      <x:c r="X475" s="24" t="str">
        <x:v>Low</x:v>
      </x:c>
      <x:c r="Y475" s="24" t="str">
        <x:v>Internal development; public candidate requires gate</x:v>
      </x:c>
      <x:c r="Z475" s="24" t="str">
        <x:v>H6 legal/content audit</x:v>
      </x:c>
      <x:c r="AA475" s="24" t="str">
        <x:v>VRM Games</x:v>
      </x:c>
      <x:c r="AB475" s="24" t="str">
        <x:v>No se detectó proveedor externo en la ruta; confirmar autoría por lote antes de release público.</x:v>
      </x:c>
    </x:row>
    <x:row r="476" ht="34" customHeight="1">
      <x:c r="A476" s="24" t="str">
        <x:v>INT-0472</x:v>
      </x:c>
      <x:c r="B476" s="24" t="str">
        <x:v>f560cb0699098775d5188a26e76f5a9b</x:v>
      </x:c>
      <x:c r="C476" s="24" t="str">
        <x:v>Phase1State.cs</x:v>
      </x:c>
      <x:c r="D476" s="24" t="str">
        <x:v>Code</x:v>
      </x:c>
      <x:c r="E476" s="24" t="str">
        <x:v>Domain</x:v>
      </x:c>
      <x:c r="F476" s="24" t="str">
        <x:v>VRM Games / Blas Luis Rocha González</x:v>
      </x:c>
      <x:c r="G476" s="24" t="str">
        <x:v>VRM Games / Blas Luis Rocha González</x:v>
      </x:c>
      <x:c r="H476" s="24" t="str">
        <x:v>Internal project production</x:v>
      </x:c>
      <x:c r="I476" s="24" t="str">
        <x:v>2026 project timeline</x:v>
      </x:c>
      <x:c r="J476" s="24" t="str">
        <x:v>Internal project IP / authorship claim</x:v>
      </x:c>
      <x:c r="K476" s="24" t="str">
        <x:v>N/A</x:v>
      </x:c>
      <x:c r="L476" s="24" t="str">
        <x:v>Source package + repository path + hash</x:v>
      </x:c>
      <x:c r="M476" s="24" t="str">
        <x:v>360208a4ed1556ec5136a9e9542034741af3fe290ba31934c20af9886397641e</x:v>
      </x:c>
      <x:c r="N476" s="24" t="str">
        <x:v>Assets/_Project/Scripts/Domain/VerticalSlicePhase1/Phase1State.cs</x:v>
      </x:c>
      <x:c r="O476" s="24" t="str">
        <x:v>f560cb0699098775d5188a26e76f5a9b</x:v>
      </x:c>
      <x:c r="P476" s="24" t="str">
        <x:v>Sí</x:v>
      </x:c>
      <x:c r="Q476" s="24" t="str">
        <x:v>Condicionado a autoría/procedencia final</x:v>
      </x:c>
      <x:c r="R476" s="24" t="str">
        <x:v>Solo dentro del producto/build autorizado</x:v>
      </x:c>
      <x:c r="S476" s="24" t="str">
        <x:v>Crédito general del estudio; individual si aplica</x:v>
      </x:c>
      <x:c r="T476" s="24" t="str">
        <x:v>VRM Games / Blas Luis Rocha González</x:v>
      </x:c>
      <x:c r="U476" s="24" t="str">
        <x:v>CURRENT PROJECT ASSET</x:v>
      </x:c>
      <x:c r="V476" s="24" t="str">
        <x:v>CONDITIONALLY APPROVED</x:v>
      </x:c>
      <x:c r="W476" s="24" t="str">
        <x:v>Sí</x:v>
      </x:c>
      <x:c r="X476" s="24" t="str">
        <x:v>Low</x:v>
      </x:c>
      <x:c r="Y476" s="24" t="str">
        <x:v>Internal development; public candidate requires gate</x:v>
      </x:c>
      <x:c r="Z476" s="24" t="str">
        <x:v>H6 legal/content audit</x:v>
      </x:c>
      <x:c r="AA476" s="24" t="str">
        <x:v>VRM Games</x:v>
      </x:c>
      <x:c r="AB476" s="24" t="str">
        <x:v>No se detectó proveedor externo en la ruta; confirmar autoría por lote antes de release público.</x:v>
      </x:c>
    </x:row>
    <x:row r="477" ht="34" customHeight="1">
      <x:c r="A477" s="24" t="str">
        <x:v>INT-0473</x:v>
      </x:c>
      <x:c r="B477" s="24" t="str">
        <x:v>f5a006a06bcd4b8aa8cfbf85c1736695</x:v>
      </x:c>
      <x:c r="C477" s="24" t="str">
        <x:v>CheckoutSettingsAsset.cs</x:v>
      </x:c>
      <x:c r="D477" s="24" t="str">
        <x:v>Code</x:v>
      </x:c>
      <x:c r="E477" s="24" t="str">
        <x:v>Infrastructure</x:v>
      </x:c>
      <x:c r="F477" s="24" t="str">
        <x:v>VRM Games / Blas Luis Rocha González</x:v>
      </x:c>
      <x:c r="G477" s="24" t="str">
        <x:v>VRM Games / Blas Luis Rocha González</x:v>
      </x:c>
      <x:c r="H477" s="24" t="str">
        <x:v>Internal project production</x:v>
      </x:c>
      <x:c r="I477" s="24" t="str">
        <x:v>2026 project timeline</x:v>
      </x:c>
      <x:c r="J477" s="24" t="str">
        <x:v>Internal project IP / authorship claim</x:v>
      </x:c>
      <x:c r="K477" s="24" t="str">
        <x:v>N/A</x:v>
      </x:c>
      <x:c r="L477" s="24" t="str">
        <x:v>Source package + repository path + hash</x:v>
      </x:c>
      <x:c r="M477" s="24" t="str">
        <x:v>51f488839161ce1db564a73201f2401946429dc456d430a08db43eed25e1d1e9</x:v>
      </x:c>
      <x:c r="N477" s="24" t="str">
        <x:v>Assets/_Project/Scripts/Infrastructure/Checkout/CheckoutSettingsAsset.cs</x:v>
      </x:c>
      <x:c r="O477" s="24" t="str">
        <x:v>f5a006a06bcd4b8aa8cfbf85c1736695</x:v>
      </x:c>
      <x:c r="P477" s="24" t="str">
        <x:v>Sí</x:v>
      </x:c>
      <x:c r="Q477" s="24" t="str">
        <x:v>Condicionado a autoría/procedencia final</x:v>
      </x:c>
      <x:c r="R477" s="24" t="str">
        <x:v>Solo dentro del producto/build autorizado</x:v>
      </x:c>
      <x:c r="S477" s="24" t="str">
        <x:v>Crédito general del estudio; individual si aplica</x:v>
      </x:c>
      <x:c r="T477" s="24" t="str">
        <x:v>VRM Games / Blas Luis Rocha González</x:v>
      </x:c>
      <x:c r="U477" s="24" t="str">
        <x:v>CURRENT PROJECT ASSET</x:v>
      </x:c>
      <x:c r="V477" s="24" t="str">
        <x:v>CONDITIONALLY APPROVED</x:v>
      </x:c>
      <x:c r="W477" s="24" t="str">
        <x:v>Sí</x:v>
      </x:c>
      <x:c r="X477" s="24" t="str">
        <x:v>Low</x:v>
      </x:c>
      <x:c r="Y477" s="24" t="str">
        <x:v>Internal development; public candidate requires gate</x:v>
      </x:c>
      <x:c r="Z477" s="24" t="str">
        <x:v>H6 legal/content audit</x:v>
      </x:c>
      <x:c r="AA477" s="24" t="str">
        <x:v>VRM Games</x:v>
      </x:c>
      <x:c r="AB477" s="24" t="str">
        <x:v>No se detectó proveedor externo en la ruta; confirmar autoría por lote antes de release público.</x:v>
      </x:c>
    </x:row>
    <x:row r="478" ht="34" customHeight="1">
      <x:c r="A478" s="24" t="str">
        <x:v>INT-0474</x:v>
      </x:c>
      <x:c r="B478" s="24" t="str">
        <x:v>b84c3fb4e35549938491d69febfab7b5</x:v>
      </x:c>
      <x:c r="C478" s="24" t="str">
        <x:v>CheckoutStationAuthoring.cs</x:v>
      </x:c>
      <x:c r="D478" s="24" t="str">
        <x:v>Code</x:v>
      </x:c>
      <x:c r="E478" s="24" t="str">
        <x:v>Infrastructure</x:v>
      </x:c>
      <x:c r="F478" s="24" t="str">
        <x:v>VRM Games / Blas Luis Rocha González</x:v>
      </x:c>
      <x:c r="G478" s="24" t="str">
        <x:v>VRM Games / Blas Luis Rocha González</x:v>
      </x:c>
      <x:c r="H478" s="24" t="str">
        <x:v>Internal project production</x:v>
      </x:c>
      <x:c r="I478" s="24" t="str">
        <x:v>2026 project timeline</x:v>
      </x:c>
      <x:c r="J478" s="24" t="str">
        <x:v>Internal project IP / authorship claim</x:v>
      </x:c>
      <x:c r="K478" s="24" t="str">
        <x:v>N/A</x:v>
      </x:c>
      <x:c r="L478" s="24" t="str">
        <x:v>Source package + repository path + hash</x:v>
      </x:c>
      <x:c r="M478" s="24" t="str">
        <x:v>24ed3be88d0f645289aafa328e3f71d9761961df1d30983605971e1b43d99d01</x:v>
      </x:c>
      <x:c r="N478" s="24" t="str">
        <x:v>Assets/_Project/Scripts/Infrastructure/Checkout/CheckoutStationAuthoring.cs</x:v>
      </x:c>
      <x:c r="O478" s="24" t="str">
        <x:v>b84c3fb4e35549938491d69febfab7b5</x:v>
      </x:c>
      <x:c r="P478" s="24" t="str">
        <x:v>Sí</x:v>
      </x:c>
      <x:c r="Q478" s="24" t="str">
        <x:v>Condicionado a autoría/procedencia final</x:v>
      </x:c>
      <x:c r="R478" s="24" t="str">
        <x:v>Solo dentro del producto/build autorizado</x:v>
      </x:c>
      <x:c r="S478" s="24" t="str">
        <x:v>Crédito general del estudio; individual si aplica</x:v>
      </x:c>
      <x:c r="T478" s="24" t="str">
        <x:v>VRM Games / Blas Luis Rocha González</x:v>
      </x:c>
      <x:c r="U478" s="24" t="str">
        <x:v>CURRENT PROJECT ASSET</x:v>
      </x:c>
      <x:c r="V478" s="24" t="str">
        <x:v>CONDITIONALLY APPROVED</x:v>
      </x:c>
      <x:c r="W478" s="24" t="str">
        <x:v>Sí</x:v>
      </x:c>
      <x:c r="X478" s="24" t="str">
        <x:v>Low</x:v>
      </x:c>
      <x:c r="Y478" s="24" t="str">
        <x:v>Internal development; public candidate requires gate</x:v>
      </x:c>
      <x:c r="Z478" s="24" t="str">
        <x:v>H6 legal/content audit</x:v>
      </x:c>
      <x:c r="AA478" s="24" t="str">
        <x:v>VRM Games</x:v>
      </x:c>
      <x:c r="AB478" s="24" t="str">
        <x:v>No se detectó proveedor externo en la ruta; confirmar autoría por lote antes de release público.</x:v>
      </x:c>
    </x:row>
    <x:row r="479" ht="34" customHeight="1">
      <x:c r="A479" s="24" t="str">
        <x:v>INT-0475</x:v>
      </x:c>
      <x:c r="B479" s="24" t="str">
        <x:v>2bb6f1ac77f6442a8a2cbe4223f30b7c</x:v>
      </x:c>
      <x:c r="C479" s="24" t="str">
        <x:v>CheckoutTechnicalScenarioRunner.cs</x:v>
      </x:c>
      <x:c r="D479" s="24" t="str">
        <x:v>Code</x:v>
      </x:c>
      <x:c r="E479" s="24" t="str">
        <x:v>Infrastructure</x:v>
      </x:c>
      <x:c r="F479" s="24" t="str">
        <x:v>VRM Games / Blas Luis Rocha González</x:v>
      </x:c>
      <x:c r="G479" s="24" t="str">
        <x:v>VRM Games / Blas Luis Rocha González</x:v>
      </x:c>
      <x:c r="H479" s="24" t="str">
        <x:v>Internal project production</x:v>
      </x:c>
      <x:c r="I479" s="24" t="str">
        <x:v>2026 project timeline</x:v>
      </x:c>
      <x:c r="J479" s="24" t="str">
        <x:v>Internal project IP / authorship claim</x:v>
      </x:c>
      <x:c r="K479" s="24" t="str">
        <x:v>N/A</x:v>
      </x:c>
      <x:c r="L479" s="24" t="str">
        <x:v>Source package + repository path + hash</x:v>
      </x:c>
      <x:c r="M479" s="24" t="str">
        <x:v>26c7c50ea3420b4799c2d708fdc8653d759b7000bcd8867fc61efdc574a2c172</x:v>
      </x:c>
      <x:c r="N479" s="24" t="str">
        <x:v>Assets/_Project/Scripts/Infrastructure/Checkout/CheckoutTechnicalScenarioRunner.cs</x:v>
      </x:c>
      <x:c r="O479" s="24" t="str">
        <x:v>2bb6f1ac77f6442a8a2cbe4223f30b7c</x:v>
      </x:c>
      <x:c r="P479" s="24" t="str">
        <x:v>Sí</x:v>
      </x:c>
      <x:c r="Q479" s="24" t="str">
        <x:v>Condicionado a autoría/procedencia final</x:v>
      </x:c>
      <x:c r="R479" s="24" t="str">
        <x:v>Solo dentro del producto/build autorizado</x:v>
      </x:c>
      <x:c r="S479" s="24" t="str">
        <x:v>Crédito general del estudio; individual si aplica</x:v>
      </x:c>
      <x:c r="T479" s="24" t="str">
        <x:v>VRM Games / Blas Luis Rocha González</x:v>
      </x:c>
      <x:c r="U479" s="24" t="str">
        <x:v>CURRENT PROJECT ASSET</x:v>
      </x:c>
      <x:c r="V479" s="24" t="str">
        <x:v>CONDITIONALLY APPROVED</x:v>
      </x:c>
      <x:c r="W479" s="24" t="str">
        <x:v>Sí</x:v>
      </x:c>
      <x:c r="X479" s="24" t="str">
        <x:v>Low</x:v>
      </x:c>
      <x:c r="Y479" s="24" t="str">
        <x:v>Internal development; public candidate requires gate</x:v>
      </x:c>
      <x:c r="Z479" s="24" t="str">
        <x:v>H6 legal/content audit</x:v>
      </x:c>
      <x:c r="AA479" s="24" t="str">
        <x:v>VRM Games</x:v>
      </x:c>
      <x:c r="AB479" s="24" t="str">
        <x:v>No se detectó proveedor externo en la ruta; confirmar autoría por lote antes de release público.</x:v>
      </x:c>
    </x:row>
    <x:row r="480" ht="34" customHeight="1">
      <x:c r="A480" s="24" t="str">
        <x:v>INT-0476</x:v>
      </x:c>
      <x:c r="B480" s="24" t="str">
        <x:v>77c397b2709f4b8d8152fd6f2d95dfa0</x:v>
      </x:c>
      <x:c r="C480" s="24" t="str">
        <x:v>CustomerProfileAsset.cs</x:v>
      </x:c>
      <x:c r="D480" s="24" t="str">
        <x:v>Code</x:v>
      </x:c>
      <x:c r="E480" s="24" t="str">
        <x:v>Infrastructure</x:v>
      </x:c>
      <x:c r="F480" s="24" t="str">
        <x:v>VRM Games / Blas Luis Rocha González</x:v>
      </x:c>
      <x:c r="G480" s="24" t="str">
        <x:v>VRM Games / Blas Luis Rocha González</x:v>
      </x:c>
      <x:c r="H480" s="24" t="str">
        <x:v>Internal project production</x:v>
      </x:c>
      <x:c r="I480" s="24" t="str">
        <x:v>2026 project timeline</x:v>
      </x:c>
      <x:c r="J480" s="24" t="str">
        <x:v>Internal project IP / authorship claim</x:v>
      </x:c>
      <x:c r="K480" s="24" t="str">
        <x:v>N/A</x:v>
      </x:c>
      <x:c r="L480" s="24" t="str">
        <x:v>Source package + repository path + hash</x:v>
      </x:c>
      <x:c r="M480" s="24" t="str">
        <x:v>dda4e1ba0a39229bfba56c0b63eefc622d2956e09d014db9f275a395c61939da</x:v>
      </x:c>
      <x:c r="N480" s="24" t="str">
        <x:v>Assets/_Project/Scripts/Infrastructure/Customers/CustomerProfileAsset.cs</x:v>
      </x:c>
      <x:c r="O480" s="24" t="str">
        <x:v>77c397b2709f4b8d8152fd6f2d95dfa0</x:v>
      </x:c>
      <x:c r="P480" s="24" t="str">
        <x:v>Sí</x:v>
      </x:c>
      <x:c r="Q480" s="24" t="str">
        <x:v>Condicionado a autoría/procedencia final</x:v>
      </x:c>
      <x:c r="R480" s="24" t="str">
        <x:v>Solo dentro del producto/build autorizado</x:v>
      </x:c>
      <x:c r="S480" s="24" t="str">
        <x:v>Crédito general del estudio; individual si aplica</x:v>
      </x:c>
      <x:c r="T480" s="24" t="str">
        <x:v>VRM Games / Blas Luis Rocha González</x:v>
      </x:c>
      <x:c r="U480" s="24" t="str">
        <x:v>CURRENT PROJECT ASSET</x:v>
      </x:c>
      <x:c r="V480" s="24" t="str">
        <x:v>CONDITIONALLY APPROVED</x:v>
      </x:c>
      <x:c r="W480" s="24" t="str">
        <x:v>Sí</x:v>
      </x:c>
      <x:c r="X480" s="24" t="str">
        <x:v>Low</x:v>
      </x:c>
      <x:c r="Y480" s="24" t="str">
        <x:v>Internal development; public candidate requires gate</x:v>
      </x:c>
      <x:c r="Z480" s="24" t="str">
        <x:v>H6 legal/content audit</x:v>
      </x:c>
      <x:c r="AA480" s="24" t="str">
        <x:v>VRM Games</x:v>
      </x:c>
      <x:c r="AB480" s="24" t="str">
        <x:v>No se detectó proveedor externo en la ruta; confirmar autoría por lote antes de release público.</x:v>
      </x:c>
    </x:row>
    <x:row r="481" ht="34" customHeight="1">
      <x:c r="A481" s="24" t="str">
        <x:v>INT-0477</x:v>
      </x:c>
      <x:c r="B481" s="24" t="str">
        <x:v>a61233bef8944e5e84ea36f069b288f9</x:v>
      </x:c>
      <x:c r="C481" s="24" t="str">
        <x:v>CustomerProfileCatalogAsset.cs</x:v>
      </x:c>
      <x:c r="D481" s="24" t="str">
        <x:v>Code</x:v>
      </x:c>
      <x:c r="E481" s="24" t="str">
        <x:v>Infrastructure</x:v>
      </x:c>
      <x:c r="F481" s="24" t="str">
        <x:v>VRM Games / Blas Luis Rocha González</x:v>
      </x:c>
      <x:c r="G481" s="24" t="str">
        <x:v>VRM Games / Blas Luis Rocha González</x:v>
      </x:c>
      <x:c r="H481" s="24" t="str">
        <x:v>Internal project production</x:v>
      </x:c>
      <x:c r="I481" s="24" t="str">
        <x:v>2026 project timeline</x:v>
      </x:c>
      <x:c r="J481" s="24" t="str">
        <x:v>Internal project IP / authorship claim</x:v>
      </x:c>
      <x:c r="K481" s="24" t="str">
        <x:v>N/A</x:v>
      </x:c>
      <x:c r="L481" s="24" t="str">
        <x:v>Source package + repository path + hash</x:v>
      </x:c>
      <x:c r="M481" s="24" t="str">
        <x:v>8ba5cf3a80fd33d10d6c5f6538b4e51ba709b22222ced4efe3f12b257e364d23</x:v>
      </x:c>
      <x:c r="N481" s="24" t="str">
        <x:v>Assets/_Project/Scripts/Infrastructure/Customers/CustomerProfileCatalogAsset.cs</x:v>
      </x:c>
      <x:c r="O481" s="24" t="str">
        <x:v>a61233bef8944e5e84ea36f069b288f9</x:v>
      </x:c>
      <x:c r="P481" s="24" t="str">
        <x:v>Sí</x:v>
      </x:c>
      <x:c r="Q481" s="24" t="str">
        <x:v>Condicionado a autoría/procedencia final</x:v>
      </x:c>
      <x:c r="R481" s="24" t="str">
        <x:v>Solo dentro del producto/build autorizado</x:v>
      </x:c>
      <x:c r="S481" s="24" t="str">
        <x:v>Crédito general del estudio; individual si aplica</x:v>
      </x:c>
      <x:c r="T481" s="24" t="str">
        <x:v>VRM Games / Blas Luis Rocha González</x:v>
      </x:c>
      <x:c r="U481" s="24" t="str">
        <x:v>CURRENT PROJECT ASSET</x:v>
      </x:c>
      <x:c r="V481" s="24" t="str">
        <x:v>CONDITIONALLY APPROVED</x:v>
      </x:c>
      <x:c r="W481" s="24" t="str">
        <x:v>Sí</x:v>
      </x:c>
      <x:c r="X481" s="24" t="str">
        <x:v>Low</x:v>
      </x:c>
      <x:c r="Y481" s="24" t="str">
        <x:v>Internal development; public candidate requires gate</x:v>
      </x:c>
      <x:c r="Z481" s="24" t="str">
        <x:v>H6 legal/content audit</x:v>
      </x:c>
      <x:c r="AA481" s="24" t="str">
        <x:v>VRM Games</x:v>
      </x:c>
      <x:c r="AB481" s="24" t="str">
        <x:v>No se detectó proveedor externo en la ruta; confirmar autoría por lote antes de release público.</x:v>
      </x:c>
    </x:row>
    <x:row r="482" ht="34" customHeight="1">
      <x:c r="A482" s="24" t="str">
        <x:v>INT-0478</x:v>
      </x:c>
      <x:c r="B482" s="24" t="str">
        <x:v>d66d9f2a71c24b588761a513d649b0f5</x:v>
      </x:c>
      <x:c r="C482" s="24" t="str">
        <x:v>CustomerRuntimeAuthoring.cs</x:v>
      </x:c>
      <x:c r="D482" s="24" t="str">
        <x:v>Code</x:v>
      </x:c>
      <x:c r="E482" s="24" t="str">
        <x:v>Infrastructure</x:v>
      </x:c>
      <x:c r="F482" s="24" t="str">
        <x:v>VRM Games / Blas Luis Rocha González</x:v>
      </x:c>
      <x:c r="G482" s="24" t="str">
        <x:v>VRM Games / Blas Luis Rocha González</x:v>
      </x:c>
      <x:c r="H482" s="24" t="str">
        <x:v>Internal project production</x:v>
      </x:c>
      <x:c r="I482" s="24" t="str">
        <x:v>2026 project timeline</x:v>
      </x:c>
      <x:c r="J482" s="24" t="str">
        <x:v>Internal project IP / authorship claim</x:v>
      </x:c>
      <x:c r="K482" s="24" t="str">
        <x:v>N/A</x:v>
      </x:c>
      <x:c r="L482" s="24" t="str">
        <x:v>Source package + repository path + hash</x:v>
      </x:c>
      <x:c r="M482" s="24" t="str">
        <x:v>f22a9d6630cb5abd22342223f59412938fa7c1c9fa442ce3402b0a0e9f3d95b4</x:v>
      </x:c>
      <x:c r="N482" s="24" t="str">
        <x:v>Assets/_Project/Scripts/Infrastructure/Customers/CustomerRuntimeAuthoring.cs</x:v>
      </x:c>
      <x:c r="O482" s="24" t="str">
        <x:v>d66d9f2a71c24b588761a513d649b0f5</x:v>
      </x:c>
      <x:c r="P482" s="24" t="str">
        <x:v>Sí</x:v>
      </x:c>
      <x:c r="Q482" s="24" t="str">
        <x:v>Condicionado a autoría/procedencia final</x:v>
      </x:c>
      <x:c r="R482" s="24" t="str">
        <x:v>Solo dentro del producto/build autorizado</x:v>
      </x:c>
      <x:c r="S482" s="24" t="str">
        <x:v>Crédito general del estudio; individual si aplica</x:v>
      </x:c>
      <x:c r="T482" s="24" t="str">
        <x:v>VRM Games / Blas Luis Rocha González</x:v>
      </x:c>
      <x:c r="U482" s="24" t="str">
        <x:v>CURRENT PROJECT ASSET</x:v>
      </x:c>
      <x:c r="V482" s="24" t="str">
        <x:v>CONDITIONALLY APPROVED</x:v>
      </x:c>
      <x:c r="W482" s="24" t="str">
        <x:v>Sí</x:v>
      </x:c>
      <x:c r="X482" s="24" t="str">
        <x:v>Low</x:v>
      </x:c>
      <x:c r="Y482" s="24" t="str">
        <x:v>Internal development; public candidate requires gate</x:v>
      </x:c>
      <x:c r="Z482" s="24" t="str">
        <x:v>H6 legal/content audit</x:v>
      </x:c>
      <x:c r="AA482" s="24" t="str">
        <x:v>VRM Games</x:v>
      </x:c>
      <x:c r="AB482" s="24" t="str">
        <x:v>No se detectó proveedor externo en la ruta; confirmar autoría por lote antes de release público.</x:v>
      </x:c>
    </x:row>
    <x:row r="483" ht="34" customHeight="1">
      <x:c r="A483" s="24" t="str">
        <x:v>INT-0479</x:v>
      </x:c>
      <x:c r="B483" s="24" t="str">
        <x:v>ac44d1e2ba0340e0813675e7203b3045</x:v>
      </x:c>
      <x:c r="C483" s="24" t="str">
        <x:v>CustomerSpawnAreaAuthoring.cs</x:v>
      </x:c>
      <x:c r="D483" s="24" t="str">
        <x:v>Code</x:v>
      </x:c>
      <x:c r="E483" s="24" t="str">
        <x:v>Infrastructure</x:v>
      </x:c>
      <x:c r="F483" s="24" t="str">
        <x:v>VRM Games / Blas Luis Rocha González</x:v>
      </x:c>
      <x:c r="G483" s="24" t="str">
        <x:v>VRM Games / Blas Luis Rocha González</x:v>
      </x:c>
      <x:c r="H483" s="24" t="str">
        <x:v>Internal project production</x:v>
      </x:c>
      <x:c r="I483" s="24" t="str">
        <x:v>2026 project timeline</x:v>
      </x:c>
      <x:c r="J483" s="24" t="str">
        <x:v>Internal project IP / authorship claim</x:v>
      </x:c>
      <x:c r="K483" s="24" t="str">
        <x:v>N/A</x:v>
      </x:c>
      <x:c r="L483" s="24" t="str">
        <x:v>Source package + repository path + hash</x:v>
      </x:c>
      <x:c r="M483" s="24" t="str">
        <x:v>24adb3987808a8a1eba1ee3854cebfe879ba9d35f995512a93c35de2a30dc4bd</x:v>
      </x:c>
      <x:c r="N483" s="24" t="str">
        <x:v>Assets/_Project/Scripts/Infrastructure/Customers/CustomerSpawnAreaAuthoring.cs</x:v>
      </x:c>
      <x:c r="O483" s="24" t="str">
        <x:v>ac44d1e2ba0340e0813675e7203b3045</x:v>
      </x:c>
      <x:c r="P483" s="24" t="str">
        <x:v>Sí</x:v>
      </x:c>
      <x:c r="Q483" s="24" t="str">
        <x:v>Condicionado a autoría/procedencia final</x:v>
      </x:c>
      <x:c r="R483" s="24" t="str">
        <x:v>Solo dentro del producto/build autorizado</x:v>
      </x:c>
      <x:c r="S483" s="24" t="str">
        <x:v>Crédito general del estudio; individual si aplica</x:v>
      </x:c>
      <x:c r="T483" s="24" t="str">
        <x:v>VRM Games / Blas Luis Rocha González</x:v>
      </x:c>
      <x:c r="U483" s="24" t="str">
        <x:v>CURRENT PROJECT ASSET</x:v>
      </x:c>
      <x:c r="V483" s="24" t="str">
        <x:v>CONDITIONALLY APPROVED</x:v>
      </x:c>
      <x:c r="W483" s="24" t="str">
        <x:v>Sí</x:v>
      </x:c>
      <x:c r="X483" s="24" t="str">
        <x:v>Low</x:v>
      </x:c>
      <x:c r="Y483" s="24" t="str">
        <x:v>Internal development; public candidate requires gate</x:v>
      </x:c>
      <x:c r="Z483" s="24" t="str">
        <x:v>H6 legal/content audit</x:v>
      </x:c>
      <x:c r="AA483" s="24" t="str">
        <x:v>VRM Games</x:v>
      </x:c>
      <x:c r="AB483" s="24" t="str">
        <x:v>No se detectó proveedor externo en la ruta; confirmar autoría por lote antes de release público.</x:v>
      </x:c>
    </x:row>
    <x:row r="484" ht="34" customHeight="1">
      <x:c r="A484" s="24" t="str">
        <x:v>INT-0480</x:v>
      </x:c>
      <x:c r="B484" s="24" t="str">
        <x:v>a143a960e4c84feda34ffd120b945feb</x:v>
      </x:c>
      <x:c r="C484" s="24" t="str">
        <x:v>CustomerSpawnSettingsAsset.cs</x:v>
      </x:c>
      <x:c r="D484" s="24" t="str">
        <x:v>Code</x:v>
      </x:c>
      <x:c r="E484" s="24" t="str">
        <x:v>Infrastructure</x:v>
      </x:c>
      <x:c r="F484" s="24" t="str">
        <x:v>VRM Games / Blas Luis Rocha González</x:v>
      </x:c>
      <x:c r="G484" s="24" t="str">
        <x:v>VRM Games / Blas Luis Rocha González</x:v>
      </x:c>
      <x:c r="H484" s="24" t="str">
        <x:v>Internal project production</x:v>
      </x:c>
      <x:c r="I484" s="24" t="str">
        <x:v>2026 project timeline</x:v>
      </x:c>
      <x:c r="J484" s="24" t="str">
        <x:v>Internal project IP / authorship claim</x:v>
      </x:c>
      <x:c r="K484" s="24" t="str">
        <x:v>N/A</x:v>
      </x:c>
      <x:c r="L484" s="24" t="str">
        <x:v>Source package + repository path + hash</x:v>
      </x:c>
      <x:c r="M484" s="24" t="str">
        <x:v>40abac3e45ecc6c48ea02e6a6c118f1673d9d3db7b6b428ed81d390d6fb4e513</x:v>
      </x:c>
      <x:c r="N484" s="24" t="str">
        <x:v>Assets/_Project/Scripts/Infrastructure/Customers/CustomerSpawnSettingsAsset.cs</x:v>
      </x:c>
      <x:c r="O484" s="24" t="str">
        <x:v>a143a960e4c84feda34ffd120b945feb</x:v>
      </x:c>
      <x:c r="P484" s="24" t="str">
        <x:v>Sí</x:v>
      </x:c>
      <x:c r="Q484" s="24" t="str">
        <x:v>Condicionado a autoría/procedencia final</x:v>
      </x:c>
      <x:c r="R484" s="24" t="str">
        <x:v>Solo dentro del producto/build autorizado</x:v>
      </x:c>
      <x:c r="S484" s="24" t="str">
        <x:v>Crédito general del estudio; individual si aplica</x:v>
      </x:c>
      <x:c r="T484" s="24" t="str">
        <x:v>VRM Games / Blas Luis Rocha González</x:v>
      </x:c>
      <x:c r="U484" s="24" t="str">
        <x:v>CURRENT PROJECT ASSET</x:v>
      </x:c>
      <x:c r="V484" s="24" t="str">
        <x:v>CONDITIONALLY APPROVED</x:v>
      </x:c>
      <x:c r="W484" s="24" t="str">
        <x:v>Sí</x:v>
      </x:c>
      <x:c r="X484" s="24" t="str">
        <x:v>Low</x:v>
      </x:c>
      <x:c r="Y484" s="24" t="str">
        <x:v>Internal development; public candidate requires gate</x:v>
      </x:c>
      <x:c r="Z484" s="24" t="str">
        <x:v>H6 legal/content audit</x:v>
      </x:c>
      <x:c r="AA484" s="24" t="str">
        <x:v>VRM Games</x:v>
      </x:c>
      <x:c r="AB484" s="24" t="str">
        <x:v>No se detectó proveedor externo en la ruta; confirmar autoría por lote antes de release público.</x:v>
      </x:c>
    </x:row>
    <x:row r="485" ht="34" customHeight="1">
      <x:c r="A485" s="24" t="str">
        <x:v>INT-0481</x:v>
      </x:c>
      <x:c r="B485" s="24" t="str">
        <x:v>b8a4fcdd3a134ed4bd1d4d5d4d05cac7</x:v>
      </x:c>
      <x:c r="C485" s="24" t="str">
        <x:v>CustomerTechnicalAgentView.cs</x:v>
      </x:c>
      <x:c r="D485" s="24" t="str">
        <x:v>Code</x:v>
      </x:c>
      <x:c r="E485" s="24" t="str">
        <x:v>Infrastructure</x:v>
      </x:c>
      <x:c r="F485" s="24" t="str">
        <x:v>VRM Games / Blas Luis Rocha González</x:v>
      </x:c>
      <x:c r="G485" s="24" t="str">
        <x:v>VRM Games / Blas Luis Rocha González</x:v>
      </x:c>
      <x:c r="H485" s="24" t="str">
        <x:v>Internal project production</x:v>
      </x:c>
      <x:c r="I485" s="24" t="str">
        <x:v>2026 project timeline</x:v>
      </x:c>
      <x:c r="J485" s="24" t="str">
        <x:v>Internal project IP / authorship claim</x:v>
      </x:c>
      <x:c r="K485" s="24" t="str">
        <x:v>N/A</x:v>
      </x:c>
      <x:c r="L485" s="24" t="str">
        <x:v>Source package + repository path + hash</x:v>
      </x:c>
      <x:c r="M485" s="24" t="str">
        <x:v>bc5212648cb8dfbf1a73a0b7504e47c5123d5c63904e534a28ff88f75ca5e4a0</x:v>
      </x:c>
      <x:c r="N485" s="24" t="str">
        <x:v>Assets/_Project/Scripts/Infrastructure/Customers/CustomerTechnicalAgentView.cs</x:v>
      </x:c>
      <x:c r="O485" s="24" t="str">
        <x:v>b8a4fcdd3a134ed4bd1d4d5d4d05cac7</x:v>
      </x:c>
      <x:c r="P485" s="24" t="str">
        <x:v>Sí</x:v>
      </x:c>
      <x:c r="Q485" s="24" t="str">
        <x:v>Condicionado a autoría/procedencia final</x:v>
      </x:c>
      <x:c r="R485" s="24" t="str">
        <x:v>Solo dentro del producto/build autorizado</x:v>
      </x:c>
      <x:c r="S485" s="24" t="str">
        <x:v>Crédito general del estudio; individual si aplica</x:v>
      </x:c>
      <x:c r="T485" s="24" t="str">
        <x:v>VRM Games / Blas Luis Rocha González</x:v>
      </x:c>
      <x:c r="U485" s="24" t="str">
        <x:v>CURRENT PROJECT ASSET</x:v>
      </x:c>
      <x:c r="V485" s="24" t="str">
        <x:v>CONDITIONALLY APPROVED</x:v>
      </x:c>
      <x:c r="W485" s="24" t="str">
        <x:v>Sí</x:v>
      </x:c>
      <x:c r="X485" s="24" t="str">
        <x:v>Low</x:v>
      </x:c>
      <x:c r="Y485" s="24" t="str">
        <x:v>Internal development; public candidate requires gate</x:v>
      </x:c>
      <x:c r="Z485" s="24" t="str">
        <x:v>H6 legal/content audit</x:v>
      </x:c>
      <x:c r="AA485" s="24" t="str">
        <x:v>VRM Games</x:v>
      </x:c>
      <x:c r="AB485" s="24" t="str">
        <x:v>No se detectó proveedor externo en la ruta; confirmar autoría por lote antes de release público.</x:v>
      </x:c>
    </x:row>
    <x:row r="486" ht="34" customHeight="1">
      <x:c r="A486" s="24" t="str">
        <x:v>INT-0482</x:v>
      </x:c>
      <x:c r="B486" s="24" t="str">
        <x:v>55daacafa156417b95bdf85d3cef4264</x:v>
      </x:c>
      <x:c r="C486" s="24" t="str">
        <x:v>CustomerTechnicalSpawner.cs</x:v>
      </x:c>
      <x:c r="D486" s="24" t="str">
        <x:v>Code</x:v>
      </x:c>
      <x:c r="E486" s="24" t="str">
        <x:v>Infrastructure</x:v>
      </x:c>
      <x:c r="F486" s="24" t="str">
        <x:v>VRM Games / Blas Luis Rocha González</x:v>
      </x:c>
      <x:c r="G486" s="24" t="str">
        <x:v>VRM Games / Blas Luis Rocha González</x:v>
      </x:c>
      <x:c r="H486" s="24" t="str">
        <x:v>Internal project production</x:v>
      </x:c>
      <x:c r="I486" s="24" t="str">
        <x:v>2026 project timeline</x:v>
      </x:c>
      <x:c r="J486" s="24" t="str">
        <x:v>Internal project IP / authorship claim</x:v>
      </x:c>
      <x:c r="K486" s="24" t="str">
        <x:v>N/A</x:v>
      </x:c>
      <x:c r="L486" s="24" t="str">
        <x:v>Source package + repository path + hash</x:v>
      </x:c>
      <x:c r="M486" s="24" t="str">
        <x:v>ecd1ef9df91e3503146ec1fa0da64e07588f653d09c0d2566ef7704ca7d0f729</x:v>
      </x:c>
      <x:c r="N486" s="24" t="str">
        <x:v>Assets/_Project/Scripts/Infrastructure/Customers/CustomerTechnicalSpawner.cs</x:v>
      </x:c>
      <x:c r="O486" s="24" t="str">
        <x:v>55daacafa156417b95bdf85d3cef4264</x:v>
      </x:c>
      <x:c r="P486" s="24" t="str">
        <x:v>Sí</x:v>
      </x:c>
      <x:c r="Q486" s="24" t="str">
        <x:v>Condicionado a autoría/procedencia final</x:v>
      </x:c>
      <x:c r="R486" s="24" t="str">
        <x:v>Solo dentro del producto/build autorizado</x:v>
      </x:c>
      <x:c r="S486" s="24" t="str">
        <x:v>Crédito general del estudio; individual si aplica</x:v>
      </x:c>
      <x:c r="T486" s="24" t="str">
        <x:v>VRM Games / Blas Luis Rocha González</x:v>
      </x:c>
      <x:c r="U486" s="24" t="str">
        <x:v>CURRENT PROJECT ASSET</x:v>
      </x:c>
      <x:c r="V486" s="24" t="str">
        <x:v>CONDITIONALLY APPROVED</x:v>
      </x:c>
      <x:c r="W486" s="24" t="str">
        <x:v>Sí</x:v>
      </x:c>
      <x:c r="X486" s="24" t="str">
        <x:v>Low</x:v>
      </x:c>
      <x:c r="Y486" s="24" t="str">
        <x:v>Internal development; public candidate requires gate</x:v>
      </x:c>
      <x:c r="Z486" s="24" t="str">
        <x:v>H6 legal/content audit</x:v>
      </x:c>
      <x:c r="AA486" s="24" t="str">
        <x:v>VRM Games</x:v>
      </x:c>
      <x:c r="AB486" s="24" t="str">
        <x:v>No se detectó proveedor externo en la ruta; confirmar autoría por lote antes de release público.</x:v>
      </x:c>
    </x:row>
    <x:row r="487" ht="34" customHeight="1">
      <x:c r="A487" s="24" t="str">
        <x:v>INT-0483</x:v>
      </x:c>
      <x:c r="B487" s="24" t="str">
        <x:v>578d11520f934acdb776d287826ed1ad</x:v>
      </x:c>
      <x:c r="C487" s="24" t="str">
        <x:v>StoreDayRuntimeController.cs</x:v>
      </x:c>
      <x:c r="D487" s="24" t="str">
        <x:v>Code</x:v>
      </x:c>
      <x:c r="E487" s="24" t="str">
        <x:v>Infrastructure</x:v>
      </x:c>
      <x:c r="F487" s="24" t="str">
        <x:v>VRM Games / Blas Luis Rocha González</x:v>
      </x:c>
      <x:c r="G487" s="24" t="str">
        <x:v>VRM Games / Blas Luis Rocha González</x:v>
      </x:c>
      <x:c r="H487" s="24" t="str">
        <x:v>Internal project production</x:v>
      </x:c>
      <x:c r="I487" s="24" t="str">
        <x:v>2026 project timeline</x:v>
      </x:c>
      <x:c r="J487" s="24" t="str">
        <x:v>Internal project IP / authorship claim</x:v>
      </x:c>
      <x:c r="K487" s="24" t="str">
        <x:v>N/A</x:v>
      </x:c>
      <x:c r="L487" s="24" t="str">
        <x:v>Source package + repository path + hash</x:v>
      </x:c>
      <x:c r="M487" s="24" t="str">
        <x:v>c6969aed6e3b9c3b471194166e01faea71f12a9036dd40ea43a239ed554cca52</x:v>
      </x:c>
      <x:c r="N487" s="24" t="str">
        <x:v>Assets/_Project/Scripts/Infrastructure/DayCycle/StoreDayRuntimeController.cs</x:v>
      </x:c>
      <x:c r="O487" s="24" t="str">
        <x:v>578d11520f934acdb776d287826ed1ad</x:v>
      </x:c>
      <x:c r="P487" s="24" t="str">
        <x:v>Sí</x:v>
      </x:c>
      <x:c r="Q487" s="24" t="str">
        <x:v>Condicionado a autoría/procedencia final</x:v>
      </x:c>
      <x:c r="R487" s="24" t="str">
        <x:v>Solo dentro del producto/build autorizado</x:v>
      </x:c>
      <x:c r="S487" s="24" t="str">
        <x:v>Crédito general del estudio; individual si aplica</x:v>
      </x:c>
      <x:c r="T487" s="24" t="str">
        <x:v>VRM Games / Blas Luis Rocha González</x:v>
      </x:c>
      <x:c r="U487" s="24" t="str">
        <x:v>CURRENT PROJECT ASSET</x:v>
      </x:c>
      <x:c r="V487" s="24" t="str">
        <x:v>CONDITIONALLY APPROVED</x:v>
      </x:c>
      <x:c r="W487" s="24" t="str">
        <x:v>Sí</x:v>
      </x:c>
      <x:c r="X487" s="24" t="str">
        <x:v>Low</x:v>
      </x:c>
      <x:c r="Y487" s="24" t="str">
        <x:v>Internal development; public candidate requires gate</x:v>
      </x:c>
      <x:c r="Z487" s="24" t="str">
        <x:v>H6 legal/content audit</x:v>
      </x:c>
      <x:c r="AA487" s="24" t="str">
        <x:v>VRM Games</x:v>
      </x:c>
      <x:c r="AB487" s="24" t="str">
        <x:v>No se detectó proveedor externo en la ruta; confirmar autoría por lote antes de release público.</x:v>
      </x:c>
    </x:row>
    <x:row r="488" ht="34" customHeight="1">
      <x:c r="A488" s="24" t="str">
        <x:v>INT-0484</x:v>
      </x:c>
      <x:c r="B488" s="24" t="str">
        <x:v>c928ddea54ea4b3282664338edb04638</x:v>
      </x:c>
      <x:c r="C488" s="24" t="str">
        <x:v>StoreDaySettingsAsset.cs</x:v>
      </x:c>
      <x:c r="D488" s="24" t="str">
        <x:v>Code</x:v>
      </x:c>
      <x:c r="E488" s="24" t="str">
        <x:v>Infrastructure</x:v>
      </x:c>
      <x:c r="F488" s="24" t="str">
        <x:v>VRM Games / Blas Luis Rocha González</x:v>
      </x:c>
      <x:c r="G488" s="24" t="str">
        <x:v>VRM Games / Blas Luis Rocha González</x:v>
      </x:c>
      <x:c r="H488" s="24" t="str">
        <x:v>Internal project production</x:v>
      </x:c>
      <x:c r="I488" s="24" t="str">
        <x:v>2026 project timeline</x:v>
      </x:c>
      <x:c r="J488" s="24" t="str">
        <x:v>Internal project IP / authorship claim</x:v>
      </x:c>
      <x:c r="K488" s="24" t="str">
        <x:v>N/A</x:v>
      </x:c>
      <x:c r="L488" s="24" t="str">
        <x:v>Source package + repository path + hash</x:v>
      </x:c>
      <x:c r="M488" s="24" t="str">
        <x:v>1ff82df01016f7e9dacbab6d3aebf249e648935ae6cfc6f3283779a1021a8831</x:v>
      </x:c>
      <x:c r="N488" s="24" t="str">
        <x:v>Assets/_Project/Scripts/Infrastructure/DayCycle/StoreDaySettingsAsset.cs</x:v>
      </x:c>
      <x:c r="O488" s="24" t="str">
        <x:v>c928ddea54ea4b3282664338edb04638</x:v>
      </x:c>
      <x:c r="P488" s="24" t="str">
        <x:v>Sí</x:v>
      </x:c>
      <x:c r="Q488" s="24" t="str">
        <x:v>Condicionado a autoría/procedencia final</x:v>
      </x:c>
      <x:c r="R488" s="24" t="str">
        <x:v>Solo dentro del producto/build autorizado</x:v>
      </x:c>
      <x:c r="S488" s="24" t="str">
        <x:v>Crédito general del estudio; individual si aplica</x:v>
      </x:c>
      <x:c r="T488" s="24" t="str">
        <x:v>VRM Games / Blas Luis Rocha González</x:v>
      </x:c>
      <x:c r="U488" s="24" t="str">
        <x:v>CURRENT PROJECT ASSET</x:v>
      </x:c>
      <x:c r="V488" s="24" t="str">
        <x:v>CONDITIONALLY APPROVED</x:v>
      </x:c>
      <x:c r="W488" s="24" t="str">
        <x:v>Sí</x:v>
      </x:c>
      <x:c r="X488" s="24" t="str">
        <x:v>Low</x:v>
      </x:c>
      <x:c r="Y488" s="24" t="str">
        <x:v>Internal development; public candidate requires gate</x:v>
      </x:c>
      <x:c r="Z488" s="24" t="str">
        <x:v>H6 legal/content audit</x:v>
      </x:c>
      <x:c r="AA488" s="24" t="str">
        <x:v>VRM Games</x:v>
      </x:c>
      <x:c r="AB488" s="24" t="str">
        <x:v>No se detectó proveedor externo en la ruta; confirmar autoría por lote antes de release público.</x:v>
      </x:c>
    </x:row>
    <x:row r="489" ht="34" customHeight="1">
      <x:c r="A489" s="24" t="str">
        <x:v>INT-0485</x:v>
      </x:c>
      <x:c r="B489" s="24" t="str">
        <x:v>346d87ade65142958411ca1933618699</x:v>
      </x:c>
      <x:c r="C489" s="24" t="str">
        <x:v>StoreDayTechnicalScenarioRunner.cs</x:v>
      </x:c>
      <x:c r="D489" s="24" t="str">
        <x:v>Code</x:v>
      </x:c>
      <x:c r="E489" s="24" t="str">
        <x:v>Infrastructure</x:v>
      </x:c>
      <x:c r="F489" s="24" t="str">
        <x:v>VRM Games / Blas Luis Rocha González</x:v>
      </x:c>
      <x:c r="G489" s="24" t="str">
        <x:v>VRM Games / Blas Luis Rocha González</x:v>
      </x:c>
      <x:c r="H489" s="24" t="str">
        <x:v>Internal project production</x:v>
      </x:c>
      <x:c r="I489" s="24" t="str">
        <x:v>2026 project timeline</x:v>
      </x:c>
      <x:c r="J489" s="24" t="str">
        <x:v>Internal project IP / authorship claim</x:v>
      </x:c>
      <x:c r="K489" s="24" t="str">
        <x:v>N/A</x:v>
      </x:c>
      <x:c r="L489" s="24" t="str">
        <x:v>Source package + repository path + hash</x:v>
      </x:c>
      <x:c r="M489" s="24" t="str">
        <x:v>d6da70f917293b3a2db7681148dc29bf4e05a00bd8799595099926e47b78e468</x:v>
      </x:c>
      <x:c r="N489" s="24" t="str">
        <x:v>Assets/_Project/Scripts/Infrastructure/DayCycle/StoreDayTechnicalScenarioRunner.cs</x:v>
      </x:c>
      <x:c r="O489" s="24" t="str">
        <x:v>346d87ade65142958411ca1933618699</x:v>
      </x:c>
      <x:c r="P489" s="24" t="str">
        <x:v>Sí</x:v>
      </x:c>
      <x:c r="Q489" s="24" t="str">
        <x:v>Condicionado a autoría/procedencia final</x:v>
      </x:c>
      <x:c r="R489" s="24" t="str">
        <x:v>Solo dentro del producto/build autorizado</x:v>
      </x:c>
      <x:c r="S489" s="24" t="str">
        <x:v>Crédito general del estudio; individual si aplica</x:v>
      </x:c>
      <x:c r="T489" s="24" t="str">
        <x:v>VRM Games / Blas Luis Rocha González</x:v>
      </x:c>
      <x:c r="U489" s="24" t="str">
        <x:v>CURRENT PROJECT ASSET</x:v>
      </x:c>
      <x:c r="V489" s="24" t="str">
        <x:v>CONDITIONALLY APPROVED</x:v>
      </x:c>
      <x:c r="W489" s="24" t="str">
        <x:v>Sí</x:v>
      </x:c>
      <x:c r="X489" s="24" t="str">
        <x:v>Low</x:v>
      </x:c>
      <x:c r="Y489" s="24" t="str">
        <x:v>Internal development; public candidate requires gate</x:v>
      </x:c>
      <x:c r="Z489" s="24" t="str">
        <x:v>H6 legal/content audit</x:v>
      </x:c>
      <x:c r="AA489" s="24" t="str">
        <x:v>VRM Games</x:v>
      </x:c>
      <x:c r="AB489" s="24" t="str">
        <x:v>No se detectó proveedor externo en la ruta; confirmar autoría por lote antes de release público.</x:v>
      </x:c>
    </x:row>
    <x:row r="490" ht="34" customHeight="1">
      <x:c r="A490" s="24" t="str">
        <x:v>INT-0486</x:v>
      </x:c>
      <x:c r="B490" s="24" t="str">
        <x:v>18688d46ad3549a08cd35d1307283ef0</x:v>
      </x:c>
      <x:c r="C490" s="24" t="str">
        <x:v>DisplayCatalogAsset.cs</x:v>
      </x:c>
      <x:c r="D490" s="24" t="str">
        <x:v>Code</x:v>
      </x:c>
      <x:c r="E490" s="24" t="str">
        <x:v>Infrastructure</x:v>
      </x:c>
      <x:c r="F490" s="24" t="str">
        <x:v>VRM Games / Blas Luis Rocha González</x:v>
      </x:c>
      <x:c r="G490" s="24" t="str">
        <x:v>VRM Games / Blas Luis Rocha González</x:v>
      </x:c>
      <x:c r="H490" s="24" t="str">
        <x:v>Internal project production</x:v>
      </x:c>
      <x:c r="I490" s="24" t="str">
        <x:v>2026 project timeline</x:v>
      </x:c>
      <x:c r="J490" s="24" t="str">
        <x:v>Internal project IP / authorship claim</x:v>
      </x:c>
      <x:c r="K490" s="24" t="str">
        <x:v>N/A</x:v>
      </x:c>
      <x:c r="L490" s="24" t="str">
        <x:v>Source package + repository path + hash</x:v>
      </x:c>
      <x:c r="M490" s="24" t="str">
        <x:v>0b1ae45d8a72d1db718000b529ec9ed065057f9069af33d90b3700067b95aab8</x:v>
      </x:c>
      <x:c r="N490" s="24" t="str">
        <x:v>Assets/_Project/Scripts/Infrastructure/Displays/DisplayCatalogAsset.cs</x:v>
      </x:c>
      <x:c r="O490" s="24" t="str">
        <x:v>18688d46ad3549a08cd35d1307283ef0</x:v>
      </x:c>
      <x:c r="P490" s="24" t="str">
        <x:v>Sí</x:v>
      </x:c>
      <x:c r="Q490" s="24" t="str">
        <x:v>Condicionado a autoría/procedencia final</x:v>
      </x:c>
      <x:c r="R490" s="24" t="str">
        <x:v>Solo dentro del producto/build autorizado</x:v>
      </x:c>
      <x:c r="S490" s="24" t="str">
        <x:v>Crédito general del estudio; individual si aplica</x:v>
      </x:c>
      <x:c r="T490" s="24" t="str">
        <x:v>VRM Games / Blas Luis Rocha González</x:v>
      </x:c>
      <x:c r="U490" s="24" t="str">
        <x:v>CURRENT PROJECT ASSET</x:v>
      </x:c>
      <x:c r="V490" s="24" t="str">
        <x:v>CONDITIONALLY APPROVED</x:v>
      </x:c>
      <x:c r="W490" s="24" t="str">
        <x:v>Sí</x:v>
      </x:c>
      <x:c r="X490" s="24" t="str">
        <x:v>Low</x:v>
      </x:c>
      <x:c r="Y490" s="24" t="str">
        <x:v>Internal development; public candidate requires gate</x:v>
      </x:c>
      <x:c r="Z490" s="24" t="str">
        <x:v>H6 legal/content audit</x:v>
      </x:c>
      <x:c r="AA490" s="24" t="str">
        <x:v>VRM Games</x:v>
      </x:c>
      <x:c r="AB490" s="24" t="str">
        <x:v>No se detectó proveedor externo en la ruta; confirmar autoría por lote antes de release público.</x:v>
      </x:c>
    </x:row>
    <x:row r="491" ht="34" customHeight="1">
      <x:c r="A491" s="24" t="str">
        <x:v>INT-0487</x:v>
      </x:c>
      <x:c r="B491" s="24" t="str">
        <x:v>d0a9ccaa26fc4af88c44f50a9835aa6d</x:v>
      </x:c>
      <x:c r="C491" s="24" t="str">
        <x:v>DisplayDefinitionAsset.cs</x:v>
      </x:c>
      <x:c r="D491" s="24" t="str">
        <x:v>Code</x:v>
      </x:c>
      <x:c r="E491" s="24" t="str">
        <x:v>Infrastructure</x:v>
      </x:c>
      <x:c r="F491" s="24" t="str">
        <x:v>VRM Games / Blas Luis Rocha González</x:v>
      </x:c>
      <x:c r="G491" s="24" t="str">
        <x:v>VRM Games / Blas Luis Rocha González</x:v>
      </x:c>
      <x:c r="H491" s="24" t="str">
        <x:v>Internal project production</x:v>
      </x:c>
      <x:c r="I491" s="24" t="str">
        <x:v>2026 project timeline</x:v>
      </x:c>
      <x:c r="J491" s="24" t="str">
        <x:v>Internal project IP / authorship claim</x:v>
      </x:c>
      <x:c r="K491" s="24" t="str">
        <x:v>N/A</x:v>
      </x:c>
      <x:c r="L491" s="24" t="str">
        <x:v>Source package + repository path + hash</x:v>
      </x:c>
      <x:c r="M491" s="24" t="str">
        <x:v>ee950c4f427bc8b88ee87c16e1b52504b3b4ec80d46982698d768d985ba273bc</x:v>
      </x:c>
      <x:c r="N491" s="24" t="str">
        <x:v>Assets/_Project/Scripts/Infrastructure/Displays/DisplayDefinitionAsset.cs</x:v>
      </x:c>
      <x:c r="O491" s="24" t="str">
        <x:v>d0a9ccaa26fc4af88c44f50a9835aa6d</x:v>
      </x:c>
      <x:c r="P491" s="24" t="str">
        <x:v>Sí</x:v>
      </x:c>
      <x:c r="Q491" s="24" t="str">
        <x:v>Condicionado a autoría/procedencia final</x:v>
      </x:c>
      <x:c r="R491" s="24" t="str">
        <x:v>Solo dentro del producto/build autorizado</x:v>
      </x:c>
      <x:c r="S491" s="24" t="str">
        <x:v>Crédito general del estudio; individual si aplica</x:v>
      </x:c>
      <x:c r="T491" s="24" t="str">
        <x:v>VRM Games / Blas Luis Rocha González</x:v>
      </x:c>
      <x:c r="U491" s="24" t="str">
        <x:v>CURRENT PROJECT ASSET</x:v>
      </x:c>
      <x:c r="V491" s="24" t="str">
        <x:v>CONDITIONALLY APPROVED</x:v>
      </x:c>
      <x:c r="W491" s="24" t="str">
        <x:v>Sí</x:v>
      </x:c>
      <x:c r="X491" s="24" t="str">
        <x:v>Low</x:v>
      </x:c>
      <x:c r="Y491" s="24" t="str">
        <x:v>Internal development; public candidate requires gate</x:v>
      </x:c>
      <x:c r="Z491" s="24" t="str">
        <x:v>H6 legal/content audit</x:v>
      </x:c>
      <x:c r="AA491" s="24" t="str">
        <x:v>VRM Games</x:v>
      </x:c>
      <x:c r="AB491" s="24" t="str">
        <x:v>No se detectó proveedor externo en la ruta; confirmar autoría por lote antes de release público.</x:v>
      </x:c>
    </x:row>
    <x:row r="492" ht="34" customHeight="1">
      <x:c r="A492" s="24" t="str">
        <x:v>INT-0488</x:v>
      </x:c>
      <x:c r="B492" s="24" t="str">
        <x:v>d3b4413ba3c94f0188d8028c2576282b</x:v>
      </x:c>
      <x:c r="C492" s="24" t="str">
        <x:v>DisplayRuntimeAuthoring.cs</x:v>
      </x:c>
      <x:c r="D492" s="24" t="str">
        <x:v>Code</x:v>
      </x:c>
      <x:c r="E492" s="24" t="str">
        <x:v>Infrastructure</x:v>
      </x:c>
      <x:c r="F492" s="24" t="str">
        <x:v>VRM Games / Blas Luis Rocha González</x:v>
      </x:c>
      <x:c r="G492" s="24" t="str">
        <x:v>VRM Games / Blas Luis Rocha González</x:v>
      </x:c>
      <x:c r="H492" s="24" t="str">
        <x:v>Internal project production</x:v>
      </x:c>
      <x:c r="I492" s="24" t="str">
        <x:v>2026 project timeline</x:v>
      </x:c>
      <x:c r="J492" s="24" t="str">
        <x:v>Internal project IP / authorship claim</x:v>
      </x:c>
      <x:c r="K492" s="24" t="str">
        <x:v>N/A</x:v>
      </x:c>
      <x:c r="L492" s="24" t="str">
        <x:v>Source package + repository path + hash</x:v>
      </x:c>
      <x:c r="M492" s="24" t="str">
        <x:v>c213659bfb705c8b21eb9f7b3f7555c350fa2052b9a34723e07c3094565a3096</x:v>
      </x:c>
      <x:c r="N492" s="24" t="str">
        <x:v>Assets/_Project/Scripts/Infrastructure/Displays/DisplayRuntimeAuthoring.cs</x:v>
      </x:c>
      <x:c r="O492" s="24" t="str">
        <x:v>d3b4413ba3c94f0188d8028c2576282b</x:v>
      </x:c>
      <x:c r="P492" s="24" t="str">
        <x:v>Sí</x:v>
      </x:c>
      <x:c r="Q492" s="24" t="str">
        <x:v>Condicionado a autoría/procedencia final</x:v>
      </x:c>
      <x:c r="R492" s="24" t="str">
        <x:v>Solo dentro del producto/build autorizado</x:v>
      </x:c>
      <x:c r="S492" s="24" t="str">
        <x:v>Crédito general del estudio; individual si aplica</x:v>
      </x:c>
      <x:c r="T492" s="24" t="str">
        <x:v>VRM Games / Blas Luis Rocha González</x:v>
      </x:c>
      <x:c r="U492" s="24" t="str">
        <x:v>CURRENT PROJECT ASSET</x:v>
      </x:c>
      <x:c r="V492" s="24" t="str">
        <x:v>CONDITIONALLY APPROVED</x:v>
      </x:c>
      <x:c r="W492" s="24" t="str">
        <x:v>Sí</x:v>
      </x:c>
      <x:c r="X492" s="24" t="str">
        <x:v>Low</x:v>
      </x:c>
      <x:c r="Y492" s="24" t="str">
        <x:v>Internal development; public candidate requires gate</x:v>
      </x:c>
      <x:c r="Z492" s="24" t="str">
        <x:v>H6 legal/content audit</x:v>
      </x:c>
      <x:c r="AA492" s="24" t="str">
        <x:v>VRM Games</x:v>
      </x:c>
      <x:c r="AB492" s="24" t="str">
        <x:v>No se detectó proveedor externo en la ruta; confirmar autoría por lote antes de release público.</x:v>
      </x:c>
    </x:row>
    <x:row r="493" ht="34" customHeight="1">
      <x:c r="A493" s="24" t="str">
        <x:v>INT-0489</x:v>
      </x:c>
      <x:c r="B493" s="24" t="str">
        <x:v>f78ec05a743b446595b1d7c4e0ec8816</x:v>
      </x:c>
      <x:c r="C493" s="24" t="str">
        <x:v>EconomySettingsAsset.cs</x:v>
      </x:c>
      <x:c r="D493" s="24" t="str">
        <x:v>Code</x:v>
      </x:c>
      <x:c r="E493" s="24" t="str">
        <x:v>Infrastructure</x:v>
      </x:c>
      <x:c r="F493" s="24" t="str">
        <x:v>VRM Games / Blas Luis Rocha González</x:v>
      </x:c>
      <x:c r="G493" s="24" t="str">
        <x:v>VRM Games / Blas Luis Rocha González</x:v>
      </x:c>
      <x:c r="H493" s="24" t="str">
        <x:v>Internal project production</x:v>
      </x:c>
      <x:c r="I493" s="24" t="str">
        <x:v>2026 project timeline</x:v>
      </x:c>
      <x:c r="J493" s="24" t="str">
        <x:v>Internal project IP / authorship claim</x:v>
      </x:c>
      <x:c r="K493" s="24" t="str">
        <x:v>N/A</x:v>
      </x:c>
      <x:c r="L493" s="24" t="str">
        <x:v>Source package + repository path + hash</x:v>
      </x:c>
      <x:c r="M493" s="24" t="str">
        <x:v>b4d047b504bd09568b10c5cc07192c0094401c28777a439ae22df1599f4e33a7</x:v>
      </x:c>
      <x:c r="N493" s="24" t="str">
        <x:v>Assets/_Project/Scripts/Infrastructure/Economy/EconomySettingsAsset.cs</x:v>
      </x:c>
      <x:c r="O493" s="24" t="str">
        <x:v>f78ec05a743b446595b1d7c4e0ec8816</x:v>
      </x:c>
      <x:c r="P493" s="24" t="str">
        <x:v>Sí</x:v>
      </x:c>
      <x:c r="Q493" s="24" t="str">
        <x:v>Condicionado a autoría/procedencia final</x:v>
      </x:c>
      <x:c r="R493" s="24" t="str">
        <x:v>Solo dentro del producto/build autorizado</x:v>
      </x:c>
      <x:c r="S493" s="24" t="str">
        <x:v>Crédito general del estudio; individual si aplica</x:v>
      </x:c>
      <x:c r="T493" s="24" t="str">
        <x:v>VRM Games / Blas Luis Rocha González</x:v>
      </x:c>
      <x:c r="U493" s="24" t="str">
        <x:v>CURRENT PROJECT ASSET</x:v>
      </x:c>
      <x:c r="V493" s="24" t="str">
        <x:v>CONDITIONALLY APPROVED</x:v>
      </x:c>
      <x:c r="W493" s="24" t="str">
        <x:v>Sí</x:v>
      </x:c>
      <x:c r="X493" s="24" t="str">
        <x:v>Low</x:v>
      </x:c>
      <x:c r="Y493" s="24" t="str">
        <x:v>Internal development; public candidate requires gate</x:v>
      </x:c>
      <x:c r="Z493" s="24" t="str">
        <x:v>H6 legal/content audit</x:v>
      </x:c>
      <x:c r="AA493" s="24" t="str">
        <x:v>VRM Games</x:v>
      </x:c>
      <x:c r="AB493" s="24" t="str">
        <x:v>No se detectó proveedor externo en la ruta; confirmar autoría por lote antes de release público.</x:v>
      </x:c>
    </x:row>
    <x:row r="494" ht="34" customHeight="1">
      <x:c r="A494" s="24" t="str">
        <x:v>INT-0490</x:v>
      </x:c>
      <x:c r="B494" s="24" t="str">
        <x:v>fa46a0e972fd4bb8a9b044f7737dcecc</x:v>
      </x:c>
      <x:c r="C494" s="24" t="str">
        <x:v>EconomyTechnicalScenarioRunner.cs</x:v>
      </x:c>
      <x:c r="D494" s="24" t="str">
        <x:v>Code</x:v>
      </x:c>
      <x:c r="E494" s="24" t="str">
        <x:v>Infrastructure</x:v>
      </x:c>
      <x:c r="F494" s="24" t="str">
        <x:v>VRM Games / Blas Luis Rocha González</x:v>
      </x:c>
      <x:c r="G494" s="24" t="str">
        <x:v>VRM Games / Blas Luis Rocha González</x:v>
      </x:c>
      <x:c r="H494" s="24" t="str">
        <x:v>Internal project production</x:v>
      </x:c>
      <x:c r="I494" s="24" t="str">
        <x:v>2026 project timeline</x:v>
      </x:c>
      <x:c r="J494" s="24" t="str">
        <x:v>Internal project IP / authorship claim</x:v>
      </x:c>
      <x:c r="K494" s="24" t="str">
        <x:v>N/A</x:v>
      </x:c>
      <x:c r="L494" s="24" t="str">
        <x:v>Source package + repository path + hash</x:v>
      </x:c>
      <x:c r="M494" s="24" t="str">
        <x:v>dcdd46d28a2b800a1e3b6aaca05889aa5c48e3dd9a189fae81280719e64b45a5</x:v>
      </x:c>
      <x:c r="N494" s="24" t="str">
        <x:v>Assets/_Project/Scripts/Infrastructure/Economy/EconomyTechnicalScenarioRunner.cs</x:v>
      </x:c>
      <x:c r="O494" s="24" t="str">
        <x:v>fa46a0e972fd4bb8a9b044f7737dcecc</x:v>
      </x:c>
      <x:c r="P494" s="24" t="str">
        <x:v>Sí</x:v>
      </x:c>
      <x:c r="Q494" s="24" t="str">
        <x:v>Condicionado a autoría/procedencia final</x:v>
      </x:c>
      <x:c r="R494" s="24" t="str">
        <x:v>Solo dentro del producto/build autorizado</x:v>
      </x:c>
      <x:c r="S494" s="24" t="str">
        <x:v>Crédito general del estudio; individual si aplica</x:v>
      </x:c>
      <x:c r="T494" s="24" t="str">
        <x:v>VRM Games / Blas Luis Rocha González</x:v>
      </x:c>
      <x:c r="U494" s="24" t="str">
        <x:v>CURRENT PROJECT ASSET</x:v>
      </x:c>
      <x:c r="V494" s="24" t="str">
        <x:v>CONDITIONALLY APPROVED</x:v>
      </x:c>
      <x:c r="W494" s="24" t="str">
        <x:v>Sí</x:v>
      </x:c>
      <x:c r="X494" s="24" t="str">
        <x:v>Low</x:v>
      </x:c>
      <x:c r="Y494" s="24" t="str">
        <x:v>Internal development; public candidate requires gate</x:v>
      </x:c>
      <x:c r="Z494" s="24" t="str">
        <x:v>H6 legal/content audit</x:v>
      </x:c>
      <x:c r="AA494" s="24" t="str">
        <x:v>VRM Games</x:v>
      </x:c>
      <x:c r="AB494" s="24" t="str">
        <x:v>No se detectó proveedor externo en la ruta; confirmar autoría por lote antes de release público.</x:v>
      </x:c>
    </x:row>
    <x:row r="495" ht="34" customHeight="1">
      <x:c r="A495" s="24" t="str">
        <x:v>INT-0491</x:v>
      </x:c>
      <x:c r="B495" s="24" t="str">
        <x:v>2ae2f861562e493e8fbb45d87eb118c2</x:v>
      </x:c>
      <x:c r="C495" s="24" t="str">
        <x:v>ProductSalePriceCatalogAsset.cs</x:v>
      </x:c>
      <x:c r="D495" s="24" t="str">
        <x:v>Code</x:v>
      </x:c>
      <x:c r="E495" s="24" t="str">
        <x:v>Infrastructure</x:v>
      </x:c>
      <x:c r="F495" s="24" t="str">
        <x:v>VRM Games / Blas Luis Rocha González</x:v>
      </x:c>
      <x:c r="G495" s="24" t="str">
        <x:v>VRM Games / Blas Luis Rocha González</x:v>
      </x:c>
      <x:c r="H495" s="24" t="str">
        <x:v>Internal project production</x:v>
      </x:c>
      <x:c r="I495" s="24" t="str">
        <x:v>2026 project timeline</x:v>
      </x:c>
      <x:c r="J495" s="24" t="str">
        <x:v>Internal project IP / authorship claim</x:v>
      </x:c>
      <x:c r="K495" s="24" t="str">
        <x:v>N/A</x:v>
      </x:c>
      <x:c r="L495" s="24" t="str">
        <x:v>Source package + repository path + hash</x:v>
      </x:c>
      <x:c r="M495" s="24" t="str">
        <x:v>b2968a31b8e4b3018aea21f15ab2ff83dcd1aaf12165407b5e17c46c6738382d</x:v>
      </x:c>
      <x:c r="N495" s="24" t="str">
        <x:v>Assets/_Project/Scripts/Infrastructure/Economy/ProductSalePriceCatalogAsset.cs</x:v>
      </x:c>
      <x:c r="O495" s="24" t="str">
        <x:v>2ae2f861562e493e8fbb45d87eb118c2</x:v>
      </x:c>
      <x:c r="P495" s="24" t="str">
        <x:v>Sí</x:v>
      </x:c>
      <x:c r="Q495" s="24" t="str">
        <x:v>Condicionado a autoría/procedencia final</x:v>
      </x:c>
      <x:c r="R495" s="24" t="str">
        <x:v>Solo dentro del producto/build autorizado</x:v>
      </x:c>
      <x:c r="S495" s="24" t="str">
        <x:v>Crédito general del estudio; individual si aplica</x:v>
      </x:c>
      <x:c r="T495" s="24" t="str">
        <x:v>VRM Games / Blas Luis Rocha González</x:v>
      </x:c>
      <x:c r="U495" s="24" t="str">
        <x:v>CURRENT PROJECT ASSET</x:v>
      </x:c>
      <x:c r="V495" s="24" t="str">
        <x:v>CONDITIONALLY APPROVED</x:v>
      </x:c>
      <x:c r="W495" s="24" t="str">
        <x:v>Sí</x:v>
      </x:c>
      <x:c r="X495" s="24" t="str">
        <x:v>Low</x:v>
      </x:c>
      <x:c r="Y495" s="24" t="str">
        <x:v>Internal development; public candidate requires gate</x:v>
      </x:c>
      <x:c r="Z495" s="24" t="str">
        <x:v>H6 legal/content audit</x:v>
      </x:c>
      <x:c r="AA495" s="24" t="str">
        <x:v>VRM Games</x:v>
      </x:c>
      <x:c r="AB495" s="24" t="str">
        <x:v>No se detectó proveedor externo en la ruta; confirmar autoría por lote antes de release público.</x:v>
      </x:c>
    </x:row>
    <x:row r="496" ht="34" customHeight="1">
      <x:c r="A496" s="24" t="str">
        <x:v>INT-0492</x:v>
      </x:c>
      <x:c r="B496" s="24" t="str">
        <x:v>5a803f11887d4ea699c979f18ab2dbec</x:v>
      </x:c>
      <x:c r="C496" s="24" t="str">
        <x:v>JsonSaveGameRepository.cs</x:v>
      </x:c>
      <x:c r="D496" s="24" t="str">
        <x:v>Code</x:v>
      </x:c>
      <x:c r="E496" s="24" t="str">
        <x:v>Infrastructure</x:v>
      </x:c>
      <x:c r="F496" s="24" t="str">
        <x:v>VRM Games / Blas Luis Rocha González</x:v>
      </x:c>
      <x:c r="G496" s="24" t="str">
        <x:v>VRM Games / Blas Luis Rocha González</x:v>
      </x:c>
      <x:c r="H496" s="24" t="str">
        <x:v>Internal project production</x:v>
      </x:c>
      <x:c r="I496" s="24" t="str">
        <x:v>2026 project timeline</x:v>
      </x:c>
      <x:c r="J496" s="24" t="str">
        <x:v>Internal project IP / authorship claim</x:v>
      </x:c>
      <x:c r="K496" s="24" t="str">
        <x:v>N/A</x:v>
      </x:c>
      <x:c r="L496" s="24" t="str">
        <x:v>Source package + repository path + hash</x:v>
      </x:c>
      <x:c r="M496" s="24" t="str">
        <x:v>4841b006e79fece72618b5d9569b875307bbd8143c0003f86d74935e5e6d1e39</x:v>
      </x:c>
      <x:c r="N496" s="24" t="str">
        <x:v>Assets/_Project/Scripts/Infrastructure/GameSession/JsonSaveGameRepository.cs</x:v>
      </x:c>
      <x:c r="O496" s="24" t="str">
        <x:v>5a803f11887d4ea699c979f18ab2dbec</x:v>
      </x:c>
      <x:c r="P496" s="24" t="str">
        <x:v>Sí</x:v>
      </x:c>
      <x:c r="Q496" s="24" t="str">
        <x:v>Condicionado a autoría/procedencia final</x:v>
      </x:c>
      <x:c r="R496" s="24" t="str">
        <x:v>Solo dentro del producto/build autorizado</x:v>
      </x:c>
      <x:c r="S496" s="24" t="str">
        <x:v>Crédito general del estudio; individual si aplica</x:v>
      </x:c>
      <x:c r="T496" s="24" t="str">
        <x:v>VRM Games / Blas Luis Rocha González</x:v>
      </x:c>
      <x:c r="U496" s="24" t="str">
        <x:v>CURRENT PROJECT ASSET</x:v>
      </x:c>
      <x:c r="V496" s="24" t="str">
        <x:v>CONDITIONALLY APPROVED</x:v>
      </x:c>
      <x:c r="W496" s="24" t="str">
        <x:v>Sí</x:v>
      </x:c>
      <x:c r="X496" s="24" t="str">
        <x:v>Low</x:v>
      </x:c>
      <x:c r="Y496" s="24" t="str">
        <x:v>Internal development; public candidate requires gate</x:v>
      </x:c>
      <x:c r="Z496" s="24" t="str">
        <x:v>H6 legal/content audit</x:v>
      </x:c>
      <x:c r="AA496" s="24" t="str">
        <x:v>VRM Games</x:v>
      </x:c>
      <x:c r="AB496" s="24" t="str">
        <x:v>No se detectó proveedor externo en la ruta; confirmar autoría por lote antes de release público.</x:v>
      </x:c>
    </x:row>
    <x:row r="497" ht="34" customHeight="1">
      <x:c r="A497" s="24" t="str">
        <x:v>INT-0493</x:v>
      </x:c>
      <x:c r="B497" s="24" t="str">
        <x:v>50a8bbcaaf5848bc85972e20de7feaeb</x:v>
      </x:c>
      <x:c r="C497" s="24" t="str">
        <x:v>SystemUtcClock.cs</x:v>
      </x:c>
      <x:c r="D497" s="24" t="str">
        <x:v>Code</x:v>
      </x:c>
      <x:c r="E497" s="24" t="str">
        <x:v>Infrastructure</x:v>
      </x:c>
      <x:c r="F497" s="24" t="str">
        <x:v>VRM Games / Blas Luis Rocha González</x:v>
      </x:c>
      <x:c r="G497" s="24" t="str">
        <x:v>VRM Games / Blas Luis Rocha González</x:v>
      </x:c>
      <x:c r="H497" s="24" t="str">
        <x:v>Internal project production</x:v>
      </x:c>
      <x:c r="I497" s="24" t="str">
        <x:v>2026 project timeline</x:v>
      </x:c>
      <x:c r="J497" s="24" t="str">
        <x:v>Internal project IP / authorship claim</x:v>
      </x:c>
      <x:c r="K497" s="24" t="str">
        <x:v>N/A</x:v>
      </x:c>
      <x:c r="L497" s="24" t="str">
        <x:v>Source package + repository path + hash</x:v>
      </x:c>
      <x:c r="M497" s="24" t="str">
        <x:v>d609f42812533690d673900cfa196169aa2775e504aeb6b966aa3b8e99c6ff8d</x:v>
      </x:c>
      <x:c r="N497" s="24" t="str">
        <x:v>Assets/_Project/Scripts/Infrastructure/GameSession/SystemUtcClock.cs</x:v>
      </x:c>
      <x:c r="O497" s="24" t="str">
        <x:v>50a8bbcaaf5848bc85972e20de7feaeb</x:v>
      </x:c>
      <x:c r="P497" s="24" t="str">
        <x:v>Sí</x:v>
      </x:c>
      <x:c r="Q497" s="24" t="str">
        <x:v>Condicionado a autoría/procedencia final</x:v>
      </x:c>
      <x:c r="R497" s="24" t="str">
        <x:v>Solo dentro del producto/build autorizado</x:v>
      </x:c>
      <x:c r="S497" s="24" t="str">
        <x:v>Crédito general del estudio; individual si aplica</x:v>
      </x:c>
      <x:c r="T497" s="24" t="str">
        <x:v>VRM Games / Blas Luis Rocha González</x:v>
      </x:c>
      <x:c r="U497" s="24" t="str">
        <x:v>CURRENT PROJECT ASSET</x:v>
      </x:c>
      <x:c r="V497" s="24" t="str">
        <x:v>CONDITIONALLY APPROVED</x:v>
      </x:c>
      <x:c r="W497" s="24" t="str">
        <x:v>Sí</x:v>
      </x:c>
      <x:c r="X497" s="24" t="str">
        <x:v>Low</x:v>
      </x:c>
      <x:c r="Y497" s="24" t="str">
        <x:v>Internal development; public candidate requires gate</x:v>
      </x:c>
      <x:c r="Z497" s="24" t="str">
        <x:v>H6 legal/content audit</x:v>
      </x:c>
      <x:c r="AA497" s="24" t="str">
        <x:v>VRM Games</x:v>
      </x:c>
      <x:c r="AB497" s="24" t="str">
        <x:v>No se detectó proveedor externo en la ruta; confirmar autoría por lote antes de release público.</x:v>
      </x:c>
    </x:row>
    <x:row r="498" ht="34" customHeight="1">
      <x:c r="A498" s="24" t="str">
        <x:v>INT-0494</x:v>
      </x:c>
      <x:c r="B498" s="24" t="str">
        <x:v>4cb59ed56dd84c73b53057e62bb60e74</x:v>
      </x:c>
      <x:c r="C498" s="24" t="str">
        <x:v>GameplayInputActionDriver.cs</x:v>
      </x:c>
      <x:c r="D498" s="24" t="str">
        <x:v>Code</x:v>
      </x:c>
      <x:c r="E498" s="24" t="str">
        <x:v>Infrastructure</x:v>
      </x:c>
      <x:c r="F498" s="24" t="str">
        <x:v>VRM Games / Blas Luis Rocha González</x:v>
      </x:c>
      <x:c r="G498" s="24" t="str">
        <x:v>VRM Games / Blas Luis Rocha González</x:v>
      </x:c>
      <x:c r="H498" s="24" t="str">
        <x:v>Internal project production</x:v>
      </x:c>
      <x:c r="I498" s="24" t="str">
        <x:v>2026 project timeline</x:v>
      </x:c>
      <x:c r="J498" s="24" t="str">
        <x:v>Internal project IP / authorship claim</x:v>
      </x:c>
      <x:c r="K498" s="24" t="str">
        <x:v>N/A</x:v>
      </x:c>
      <x:c r="L498" s="24" t="str">
        <x:v>Source package + repository path + hash</x:v>
      </x:c>
      <x:c r="M498" s="24" t="str">
        <x:v>9d883848d83aa145486ec086441dadb89c8ee4925231a988046dcb39b698f973</x:v>
      </x:c>
      <x:c r="N498" s="24" t="str">
        <x:v>Assets/_Project/Scripts/Infrastructure/InputSystem/Actions/GameplayInputActionDriver.cs</x:v>
      </x:c>
      <x:c r="O498" s="24" t="str">
        <x:v>4cb59ed56dd84c73b53057e62bb60e74</x:v>
      </x:c>
      <x:c r="P498" s="24" t="str">
        <x:v>Sí</x:v>
      </x:c>
      <x:c r="Q498" s="24" t="str">
        <x:v>Condicionado a autoría/procedencia final</x:v>
      </x:c>
      <x:c r="R498" s="24" t="str">
        <x:v>Solo dentro del producto/build autorizado</x:v>
      </x:c>
      <x:c r="S498" s="24" t="str">
        <x:v>Crédito general del estudio; individual si aplica</x:v>
      </x:c>
      <x:c r="T498" s="24" t="str">
        <x:v>VRM Games / Blas Luis Rocha González</x:v>
      </x:c>
      <x:c r="U498" s="24" t="str">
        <x:v>CURRENT PROJECT ASSET</x:v>
      </x:c>
      <x:c r="V498" s="24" t="str">
        <x:v>CONDITIONALLY APPROVED</x:v>
      </x:c>
      <x:c r="W498" s="24" t="str">
        <x:v>Sí</x:v>
      </x:c>
      <x:c r="X498" s="24" t="str">
        <x:v>Low</x:v>
      </x:c>
      <x:c r="Y498" s="24" t="str">
        <x:v>Internal development; public candidate requires gate</x:v>
      </x:c>
      <x:c r="Z498" s="24" t="str">
        <x:v>H6 legal/content audit</x:v>
      </x:c>
      <x:c r="AA498" s="24" t="str">
        <x:v>VRM Games</x:v>
      </x:c>
      <x:c r="AB498" s="24" t="str">
        <x:v>No se detectó proveedor externo en la ruta; confirmar autoría por lote antes de release público.</x:v>
      </x:c>
    </x:row>
    <x:row r="499" ht="34" customHeight="1">
      <x:c r="A499" s="24" t="str">
        <x:v>INT-0495</x:v>
      </x:c>
      <x:c r="B499" s="24" t="str">
        <x:v>069a00af3ae347fbad37c2c16460a348</x:v>
      </x:c>
      <x:c r="C499" s="24" t="str">
        <x:v>GameplayInputFrame.cs</x:v>
      </x:c>
      <x:c r="D499" s="24" t="str">
        <x:v>Code</x:v>
      </x:c>
      <x:c r="E499" s="24" t="str">
        <x:v>Infrastructure</x:v>
      </x:c>
      <x:c r="F499" s="24" t="str">
        <x:v>VRM Games / Blas Luis Rocha González</x:v>
      </x:c>
      <x:c r="G499" s="24" t="str">
        <x:v>VRM Games / Blas Luis Rocha González</x:v>
      </x:c>
      <x:c r="H499" s="24" t="str">
        <x:v>Internal project production</x:v>
      </x:c>
      <x:c r="I499" s="24" t="str">
        <x:v>2026 project timeline</x:v>
      </x:c>
      <x:c r="J499" s="24" t="str">
        <x:v>Internal project IP / authorship claim</x:v>
      </x:c>
      <x:c r="K499" s="24" t="str">
        <x:v>N/A</x:v>
      </x:c>
      <x:c r="L499" s="24" t="str">
        <x:v>Source package + repository path + hash</x:v>
      </x:c>
      <x:c r="M499" s="24" t="str">
        <x:v>d81cc9db470e7b12d822fbbb06e30cc22ba96911f0665d0d116ee14868522b70</x:v>
      </x:c>
      <x:c r="N499" s="24" t="str">
        <x:v>Assets/_Project/Scripts/Infrastructure/InputSystem/Actions/GameplayInputFrame.cs</x:v>
      </x:c>
      <x:c r="O499" s="24" t="str">
        <x:v>069a00af3ae347fbad37c2c16460a348</x:v>
      </x:c>
      <x:c r="P499" s="24" t="str">
        <x:v>Sí</x:v>
      </x:c>
      <x:c r="Q499" s="24" t="str">
        <x:v>Condicionado a autoría/procedencia final</x:v>
      </x:c>
      <x:c r="R499" s="24" t="str">
        <x:v>Solo dentro del producto/build autorizado</x:v>
      </x:c>
      <x:c r="S499" s="24" t="str">
        <x:v>Crédito general del estudio; individual si aplica</x:v>
      </x:c>
      <x:c r="T499" s="24" t="str">
        <x:v>VRM Games / Blas Luis Rocha González</x:v>
      </x:c>
      <x:c r="U499" s="24" t="str">
        <x:v>CURRENT PROJECT ASSET</x:v>
      </x:c>
      <x:c r="V499" s="24" t="str">
        <x:v>CONDITIONALLY APPROVED</x:v>
      </x:c>
      <x:c r="W499" s="24" t="str">
        <x:v>Sí</x:v>
      </x:c>
      <x:c r="X499" s="24" t="str">
        <x:v>Low</x:v>
      </x:c>
      <x:c r="Y499" s="24" t="str">
        <x:v>Internal development; public candidate requires gate</x:v>
      </x:c>
      <x:c r="Z499" s="24" t="str">
        <x:v>H6 legal/content audit</x:v>
      </x:c>
      <x:c r="AA499" s="24" t="str">
        <x:v>VRM Games</x:v>
      </x:c>
      <x:c r="AB499" s="24" t="str">
        <x:v>No se detectó proveedor externo en la ruta; confirmar autoría por lote antes de release público.</x:v>
      </x:c>
    </x:row>
    <x:row r="500" ht="34" customHeight="1">
      <x:c r="A500" s="24" t="str">
        <x:v>INT-0496</x:v>
      </x:c>
      <x:c r="B500" s="24" t="str">
        <x:v>7b35fb36d9c94b62a4e0b51c28c93e3a</x:v>
      </x:c>
      <x:c r="C500" s="24" t="str">
        <x:v>InputActionContextRouter.cs</x:v>
      </x:c>
      <x:c r="D500" s="24" t="str">
        <x:v>Code</x:v>
      </x:c>
      <x:c r="E500" s="24" t="str">
        <x:v>Infrastructure</x:v>
      </x:c>
      <x:c r="F500" s="24" t="str">
        <x:v>VRM Games / Blas Luis Rocha González</x:v>
      </x:c>
      <x:c r="G500" s="24" t="str">
        <x:v>VRM Games / Blas Luis Rocha González</x:v>
      </x:c>
      <x:c r="H500" s="24" t="str">
        <x:v>Internal project production</x:v>
      </x:c>
      <x:c r="I500" s="24" t="str">
        <x:v>2026 project timeline</x:v>
      </x:c>
      <x:c r="J500" s="24" t="str">
        <x:v>Internal project IP / authorship claim</x:v>
      </x:c>
      <x:c r="K500" s="24" t="str">
        <x:v>N/A</x:v>
      </x:c>
      <x:c r="L500" s="24" t="str">
        <x:v>Source package + repository path + hash</x:v>
      </x:c>
      <x:c r="M500" s="24" t="str">
        <x:v>700a1cc6fd8e4a2d10c8bf9d14d9a9afa0e62e563adb93d4e91a1f4310928be4</x:v>
      </x:c>
      <x:c r="N500" s="24" t="str">
        <x:v>Assets/_Project/Scripts/Infrastructure/InputSystem/Actions/InputActionContextRouter.cs</x:v>
      </x:c>
      <x:c r="O500" s="24" t="str">
        <x:v>7b35fb36d9c94b62a4e0b51c28c93e3a</x:v>
      </x:c>
      <x:c r="P500" s="24" t="str">
        <x:v>Sí</x:v>
      </x:c>
      <x:c r="Q500" s="24" t="str">
        <x:v>Condicionado a autoría/procedencia final</x:v>
      </x:c>
      <x:c r="R500" s="24" t="str">
        <x:v>Solo dentro del producto/build autorizado</x:v>
      </x:c>
      <x:c r="S500" s="24" t="str">
        <x:v>Crédito general del estudio; individual si aplica</x:v>
      </x:c>
      <x:c r="T500" s="24" t="str">
        <x:v>VRM Games / Blas Luis Rocha González</x:v>
      </x:c>
      <x:c r="U500" s="24" t="str">
        <x:v>CURRENT PROJECT ASSET</x:v>
      </x:c>
      <x:c r="V500" s="24" t="str">
        <x:v>CONDITIONALLY APPROVED</x:v>
      </x:c>
      <x:c r="W500" s="24" t="str">
        <x:v>Sí</x:v>
      </x:c>
      <x:c r="X500" s="24" t="str">
        <x:v>Low</x:v>
      </x:c>
      <x:c r="Y500" s="24" t="str">
        <x:v>Internal development; public candidate requires gate</x:v>
      </x:c>
      <x:c r="Z500" s="24" t="str">
        <x:v>H6 legal/content audit</x:v>
      </x:c>
      <x:c r="AA500" s="24" t="str">
        <x:v>VRM Games</x:v>
      </x:c>
      <x:c r="AB500" s="24" t="str">
        <x:v>No se detectó proveedor externo en la ruta; confirmar autoría por lote antes de release público.</x:v>
      </x:c>
    </x:row>
    <x:row r="501" ht="34" customHeight="1">
      <x:c r="A501" s="24" t="str">
        <x:v>INT-0497</x:v>
      </x:c>
      <x:c r="B501" s="24" t="str">
        <x:v>b9f5b01000ea4f239fe26bdef611c46e</x:v>
      </x:c>
      <x:c r="C501" s="24" t="str">
        <x:v>ProjectInputActionRuntimeBootstrap.cs</x:v>
      </x:c>
      <x:c r="D501" s="24" t="str">
        <x:v>Code</x:v>
      </x:c>
      <x:c r="E501" s="24" t="str">
        <x:v>Infrastructure</x:v>
      </x:c>
      <x:c r="F501" s="24" t="str">
        <x:v>VRM Games / Blas Luis Rocha González</x:v>
      </x:c>
      <x:c r="G501" s="24" t="str">
        <x:v>VRM Games / Blas Luis Rocha González</x:v>
      </x:c>
      <x:c r="H501" s="24" t="str">
        <x:v>Internal project production</x:v>
      </x:c>
      <x:c r="I501" s="24" t="str">
        <x:v>2026 project timeline</x:v>
      </x:c>
      <x:c r="J501" s="24" t="str">
        <x:v>Internal project IP / authorship claim</x:v>
      </x:c>
      <x:c r="K501" s="24" t="str">
        <x:v>N/A</x:v>
      </x:c>
      <x:c r="L501" s="24" t="str">
        <x:v>Source package + repository path + hash</x:v>
      </x:c>
      <x:c r="M501" s="24" t="str">
        <x:v>688c6e8ba301d35171e180b3072a69b2f687e76bf662938a8bdde88a17d8ee99</x:v>
      </x:c>
      <x:c r="N501" s="24" t="str">
        <x:v>Assets/_Project/Scripts/Infrastructure/InputSystem/Actions/ProjectInputActionRuntimeBootstrap.cs</x:v>
      </x:c>
      <x:c r="O501" s="24" t="str">
        <x:v>b9f5b01000ea4f239fe26bdef611c46e</x:v>
      </x:c>
      <x:c r="P501" s="24" t="str">
        <x:v>Sí</x:v>
      </x:c>
      <x:c r="Q501" s="24" t="str">
        <x:v>Condicionado a autoría/procedencia final</x:v>
      </x:c>
      <x:c r="R501" s="24" t="str">
        <x:v>Solo dentro del producto/build autorizado</x:v>
      </x:c>
      <x:c r="S501" s="24" t="str">
        <x:v>Crédito general del estudio; individual si aplica</x:v>
      </x:c>
      <x:c r="T501" s="24" t="str">
        <x:v>VRM Games / Blas Luis Rocha González</x:v>
      </x:c>
      <x:c r="U501" s="24" t="str">
        <x:v>CURRENT PROJECT ASSET</x:v>
      </x:c>
      <x:c r="V501" s="24" t="str">
        <x:v>CONDITIONALLY APPROVED</x:v>
      </x:c>
      <x:c r="W501" s="24" t="str">
        <x:v>Sí</x:v>
      </x:c>
      <x:c r="X501" s="24" t="str">
        <x:v>Low</x:v>
      </x:c>
      <x:c r="Y501" s="24" t="str">
        <x:v>Internal development; public candidate requires gate</x:v>
      </x:c>
      <x:c r="Z501" s="24" t="str">
        <x:v>H6 legal/content audit</x:v>
      </x:c>
      <x:c r="AA501" s="24" t="str">
        <x:v>VRM Games</x:v>
      </x:c>
      <x:c r="AB501" s="24" t="str">
        <x:v>No se detectó proveedor externo en la ruta; confirmar autoría por lote antes de release público.</x:v>
      </x:c>
    </x:row>
    <x:row r="502" ht="34" customHeight="1">
      <x:c r="A502" s="24" t="str">
        <x:v>INT-0498</x:v>
      </x:c>
      <x:c r="B502" s="24" t="str">
        <x:v>0386212ad5564369bd71040e1452c4f2</x:v>
      </x:c>
      <x:c r="C502" s="24" t="str">
        <x:v>ProjectInputActions.cs</x:v>
      </x:c>
      <x:c r="D502" s="24" t="str">
        <x:v>Code</x:v>
      </x:c>
      <x:c r="E502" s="24" t="str">
        <x:v>Infrastructure</x:v>
      </x:c>
      <x:c r="F502" s="24" t="str">
        <x:v>VRM Games / Blas Luis Rocha González</x:v>
      </x:c>
      <x:c r="G502" s="24" t="str">
        <x:v>VRM Games / Blas Luis Rocha González</x:v>
      </x:c>
      <x:c r="H502" s="24" t="str">
        <x:v>Internal project production</x:v>
      </x:c>
      <x:c r="I502" s="24" t="str">
        <x:v>2026 project timeline</x:v>
      </x:c>
      <x:c r="J502" s="24" t="str">
        <x:v>Internal project IP / authorship claim</x:v>
      </x:c>
      <x:c r="K502" s="24" t="str">
        <x:v>N/A</x:v>
      </x:c>
      <x:c r="L502" s="24" t="str">
        <x:v>Source package + repository path + hash</x:v>
      </x:c>
      <x:c r="M502" s="24" t="str">
        <x:v>3fdaf6fd93b63bf46df210a8e9bec0a8e11115c151508835404da45eb55f94b4</x:v>
      </x:c>
      <x:c r="N502" s="24" t="str">
        <x:v>Assets/_Project/Scripts/Infrastructure/InputSystem/Actions/ProjectInputActions.cs</x:v>
      </x:c>
      <x:c r="O502" s="24" t="str">
        <x:v>0386212ad5564369bd71040e1452c4f2</x:v>
      </x:c>
      <x:c r="P502" s="24" t="str">
        <x:v>Sí</x:v>
      </x:c>
      <x:c r="Q502" s="24" t="str">
        <x:v>Condicionado a autoría/procedencia final</x:v>
      </x:c>
      <x:c r="R502" s="24" t="str">
        <x:v>Solo dentro del producto/build autorizado</x:v>
      </x:c>
      <x:c r="S502" s="24" t="str">
        <x:v>Crédito general del estudio; individual si aplica</x:v>
      </x:c>
      <x:c r="T502" s="24" t="str">
        <x:v>VRM Games / Blas Luis Rocha González</x:v>
      </x:c>
      <x:c r="U502" s="24" t="str">
        <x:v>CURRENT PROJECT ASSET</x:v>
      </x:c>
      <x:c r="V502" s="24" t="str">
        <x:v>CONDITIONALLY APPROVED</x:v>
      </x:c>
      <x:c r="W502" s="24" t="str">
        <x:v>Sí</x:v>
      </x:c>
      <x:c r="X502" s="24" t="str">
        <x:v>Low</x:v>
      </x:c>
      <x:c r="Y502" s="24" t="str">
        <x:v>Internal development; public candidate requires gate</x:v>
      </x:c>
      <x:c r="Z502" s="24" t="str">
        <x:v>H6 legal/content audit</x:v>
      </x:c>
      <x:c r="AA502" s="24" t="str">
        <x:v>VRM Games</x:v>
      </x:c>
      <x:c r="AB502" s="24" t="str">
        <x:v>No se detectó proveedor externo en la ruta; confirmar autoría por lote antes de release público.</x:v>
      </x:c>
    </x:row>
    <x:row r="503" ht="34" customHeight="1">
      <x:c r="A503" s="24" t="str">
        <x:v>INT-0499</x:v>
      </x:c>
      <x:c r="B503" s="24" t="str">
        <x:v>0d5075a634404659a36bbeeb9aea2546</x:v>
      </x:c>
      <x:c r="C503" s="24" t="str">
        <x:v>MouseClickDestinationDriver.cs</x:v>
      </x:c>
      <x:c r="D503" s="24" t="str">
        <x:v>Code</x:v>
      </x:c>
      <x:c r="E503" s="24" t="str">
        <x:v>Infrastructure</x:v>
      </x:c>
      <x:c r="F503" s="24" t="str">
        <x:v>VRM Games / Blas Luis Rocha González</x:v>
      </x:c>
      <x:c r="G503" s="24" t="str">
        <x:v>VRM Games / Blas Luis Rocha González</x:v>
      </x:c>
      <x:c r="H503" s="24" t="str">
        <x:v>Internal project production</x:v>
      </x:c>
      <x:c r="I503" s="24" t="str">
        <x:v>2026 project timeline</x:v>
      </x:c>
      <x:c r="J503" s="24" t="str">
        <x:v>Internal project IP / authorship claim</x:v>
      </x:c>
      <x:c r="K503" s="24" t="str">
        <x:v>N/A</x:v>
      </x:c>
      <x:c r="L503" s="24" t="str">
        <x:v>Source package + repository path + hash</x:v>
      </x:c>
      <x:c r="M503" s="24" t="str">
        <x:v>b85c8ee461dbbce6e5c7a82d0eacdf0fb98e350054bc8e036c90a70cc43a2471</x:v>
      </x:c>
      <x:c r="N503" s="24" t="str">
        <x:v>Assets/_Project/Scripts/Infrastructure/InputSystem/MouseClickDestinationDriver.cs</x:v>
      </x:c>
      <x:c r="O503" s="24" t="str">
        <x:v>0d5075a634404659a36bbeeb9aea2546</x:v>
      </x:c>
      <x:c r="P503" s="24" t="str">
        <x:v>Sí</x:v>
      </x:c>
      <x:c r="Q503" s="24" t="str">
        <x:v>Condicionado a autoría/procedencia final</x:v>
      </x:c>
      <x:c r="R503" s="24" t="str">
        <x:v>Solo dentro del producto/build autorizado</x:v>
      </x:c>
      <x:c r="S503" s="24" t="str">
        <x:v>Crédito general del estudio; individual si aplica</x:v>
      </x:c>
      <x:c r="T503" s="24" t="str">
        <x:v>VRM Games / Blas Luis Rocha González</x:v>
      </x:c>
      <x:c r="U503" s="24" t="str">
        <x:v>CURRENT PROJECT ASSET</x:v>
      </x:c>
      <x:c r="V503" s="24" t="str">
        <x:v>CONDITIONALLY APPROVED</x:v>
      </x:c>
      <x:c r="W503" s="24" t="str">
        <x:v>Sí</x:v>
      </x:c>
      <x:c r="X503" s="24" t="str">
        <x:v>Low</x:v>
      </x:c>
      <x:c r="Y503" s="24" t="str">
        <x:v>Internal development; public candidate requires gate</x:v>
      </x:c>
      <x:c r="Z503" s="24" t="str">
        <x:v>H6 legal/content audit</x:v>
      </x:c>
      <x:c r="AA503" s="24" t="str">
        <x:v>VRM Games</x:v>
      </x:c>
      <x:c r="AB503" s="24" t="str">
        <x:v>No se detectó proveedor externo en la ruta; confirmar autoría por lote antes de release público.</x:v>
      </x:c>
    </x:row>
    <x:row r="504" ht="34" customHeight="1">
      <x:c r="A504" s="24" t="str">
        <x:v>INT-0500</x:v>
      </x:c>
      <x:c r="B504" s="24" t="str">
        <x:v>9ad479ec04ef433daf23bbbe906b93a9</x:v>
      </x:c>
      <x:c r="C504" s="24" t="str">
        <x:v>MouseOrbitZoomDriver.cs</x:v>
      </x:c>
      <x:c r="D504" s="24" t="str">
        <x:v>Code</x:v>
      </x:c>
      <x:c r="E504" s="24" t="str">
        <x:v>Infrastructure</x:v>
      </x:c>
      <x:c r="F504" s="24" t="str">
        <x:v>VRM Games / Blas Luis Rocha González</x:v>
      </x:c>
      <x:c r="G504" s="24" t="str">
        <x:v>VRM Games / Blas Luis Rocha González</x:v>
      </x:c>
      <x:c r="H504" s="24" t="str">
        <x:v>Internal project production</x:v>
      </x:c>
      <x:c r="I504" s="24" t="str">
        <x:v>2026 project timeline</x:v>
      </x:c>
      <x:c r="J504" s="24" t="str">
        <x:v>Internal project IP / authorship claim</x:v>
      </x:c>
      <x:c r="K504" s="24" t="str">
        <x:v>N/A</x:v>
      </x:c>
      <x:c r="L504" s="24" t="str">
        <x:v>Source package + repository path + hash</x:v>
      </x:c>
      <x:c r="M504" s="24" t="str">
        <x:v>0072139ce79925484462cde78e03aa06943e5b2513df57bb85f3491d0069cb61</x:v>
      </x:c>
      <x:c r="N504" s="24" t="str">
        <x:v>Assets/_Project/Scripts/Infrastructure/InputSystem/MouseOrbitZoomDriver.cs</x:v>
      </x:c>
      <x:c r="O504" s="24" t="str">
        <x:v>9ad479ec04ef433daf23bbbe906b93a9</x:v>
      </x:c>
      <x:c r="P504" s="24" t="str">
        <x:v>Sí</x:v>
      </x:c>
      <x:c r="Q504" s="24" t="str">
        <x:v>Condicionado a autoría/procedencia final</x:v>
      </x:c>
      <x:c r="R504" s="24" t="str">
        <x:v>Solo dentro del producto/build autorizado</x:v>
      </x:c>
      <x:c r="S504" s="24" t="str">
        <x:v>Crédito general del estudio; individual si aplica</x:v>
      </x:c>
      <x:c r="T504" s="24" t="str">
        <x:v>VRM Games / Blas Luis Rocha González</x:v>
      </x:c>
      <x:c r="U504" s="24" t="str">
        <x:v>CURRENT PROJECT ASSET</x:v>
      </x:c>
      <x:c r="V504" s="24" t="str">
        <x:v>CONDITIONALLY APPROVED</x:v>
      </x:c>
      <x:c r="W504" s="24" t="str">
        <x:v>Sí</x:v>
      </x:c>
      <x:c r="X504" s="24" t="str">
        <x:v>Low</x:v>
      </x:c>
      <x:c r="Y504" s="24" t="str">
        <x:v>Internal development; public candidate requires gate</x:v>
      </x:c>
      <x:c r="Z504" s="24" t="str">
        <x:v>H6 legal/content audit</x:v>
      </x:c>
      <x:c r="AA504" s="24" t="str">
        <x:v>VRM Games</x:v>
      </x:c>
      <x:c r="AB504" s="24" t="str">
        <x:v>No se detectó proveedor externo en la ruta; confirmar autoría por lote antes de release público.</x:v>
      </x:c>
    </x:row>
    <x:row r="505" ht="34" customHeight="1">
      <x:c r="A505" s="24" t="str">
        <x:v>INT-0501</x:v>
      </x:c>
      <x:c r="B505" s="24" t="str">
        <x:v>7ef313d5d2644a42991c388a432bca0f</x:v>
      </x:c>
      <x:c r="C505" s="24" t="str">
        <x:v>PlacementInputActionDriver.cs</x:v>
      </x:c>
      <x:c r="D505" s="24" t="str">
        <x:v>Code</x:v>
      </x:c>
      <x:c r="E505" s="24" t="str">
        <x:v>Infrastructure</x:v>
      </x:c>
      <x:c r="F505" s="24" t="str">
        <x:v>VRM Games / Blas Luis Rocha González</x:v>
      </x:c>
      <x:c r="G505" s="24" t="str">
        <x:v>VRM Games / Blas Luis Rocha González</x:v>
      </x:c>
      <x:c r="H505" s="24" t="str">
        <x:v>Internal project production</x:v>
      </x:c>
      <x:c r="I505" s="24" t="str">
        <x:v>2026 project timeline</x:v>
      </x:c>
      <x:c r="J505" s="24" t="str">
        <x:v>Internal project IP / authorship claim</x:v>
      </x:c>
      <x:c r="K505" s="24" t="str">
        <x:v>N/A</x:v>
      </x:c>
      <x:c r="L505" s="24" t="str">
        <x:v>Source package + repository path + hash</x:v>
      </x:c>
      <x:c r="M505" s="24" t="str">
        <x:v>266c49ccff3f9b3c4da7502d90df18aa570c8818830ae9c433177a77c8922e87</x:v>
      </x:c>
      <x:c r="N505" s="24" t="str">
        <x:v>Assets/_Project/Scripts/Infrastructure/InputSystem/Placement/PlacementInputActionDriver.cs</x:v>
      </x:c>
      <x:c r="O505" s="24" t="str">
        <x:v>7ef313d5d2644a42991c388a432bca0f</x:v>
      </x:c>
      <x:c r="P505" s="24" t="str">
        <x:v>Sí</x:v>
      </x:c>
      <x:c r="Q505" s="24" t="str">
        <x:v>Condicionado a autoría/procedencia final</x:v>
      </x:c>
      <x:c r="R505" s="24" t="str">
        <x:v>Solo dentro del producto/build autorizado</x:v>
      </x:c>
      <x:c r="S505" s="24" t="str">
        <x:v>Crédito general del estudio; individual si aplica</x:v>
      </x:c>
      <x:c r="T505" s="24" t="str">
        <x:v>VRM Games / Blas Luis Rocha González</x:v>
      </x:c>
      <x:c r="U505" s="24" t="str">
        <x:v>CURRENT PROJECT ASSET</x:v>
      </x:c>
      <x:c r="V505" s="24" t="str">
        <x:v>CONDITIONALLY APPROVED</x:v>
      </x:c>
      <x:c r="W505" s="24" t="str">
        <x:v>Sí</x:v>
      </x:c>
      <x:c r="X505" s="24" t="str">
        <x:v>Low</x:v>
      </x:c>
      <x:c r="Y505" s="24" t="str">
        <x:v>Internal development; public candidate requires gate</x:v>
      </x:c>
      <x:c r="Z505" s="24" t="str">
        <x:v>H6 legal/content audit</x:v>
      </x:c>
      <x:c r="AA505" s="24" t="str">
        <x:v>VRM Games</x:v>
      </x:c>
      <x:c r="AB505" s="24" t="str">
        <x:v>No se detectó proveedor externo en la ruta; confirmar autoría por lote antes de release público.</x:v>
      </x:c>
    </x:row>
    <x:row r="506" ht="34" customHeight="1">
      <x:c r="A506" s="24" t="str">
        <x:v>INT-0502</x:v>
      </x:c>
      <x:c r="B506" s="24" t="str">
        <x:v>06c091222c6d486185c2a9aa09a94d30</x:v>
      </x:c>
      <x:c r="C506" s="24" t="str">
        <x:v>PlacementInputFrame.cs</x:v>
      </x:c>
      <x:c r="D506" s="24" t="str">
        <x:v>Code</x:v>
      </x:c>
      <x:c r="E506" s="24" t="str">
        <x:v>Infrastructure</x:v>
      </x:c>
      <x:c r="F506" s="24" t="str">
        <x:v>VRM Games / Blas Luis Rocha González</x:v>
      </x:c>
      <x:c r="G506" s="24" t="str">
        <x:v>VRM Games / Blas Luis Rocha González</x:v>
      </x:c>
      <x:c r="H506" s="24" t="str">
        <x:v>Internal project production</x:v>
      </x:c>
      <x:c r="I506" s="24" t="str">
        <x:v>2026 project timeline</x:v>
      </x:c>
      <x:c r="J506" s="24" t="str">
        <x:v>Internal project IP / authorship claim</x:v>
      </x:c>
      <x:c r="K506" s="24" t="str">
        <x:v>N/A</x:v>
      </x:c>
      <x:c r="L506" s="24" t="str">
        <x:v>Source package + repository path + hash</x:v>
      </x:c>
      <x:c r="M506" s="24" t="str">
        <x:v>77b77157e8733cb67f734a7b40b9f30dd3830f1e0f25498513777181a5673f75</x:v>
      </x:c>
      <x:c r="N506" s="24" t="str">
        <x:v>Assets/_Project/Scripts/Infrastructure/InputSystem/Placement/PlacementInputFrame.cs</x:v>
      </x:c>
      <x:c r="O506" s="24" t="str">
        <x:v>06c091222c6d486185c2a9aa09a94d30</x:v>
      </x:c>
      <x:c r="P506" s="24" t="str">
        <x:v>Sí</x:v>
      </x:c>
      <x:c r="Q506" s="24" t="str">
        <x:v>Condicionado a autoría/procedencia final</x:v>
      </x:c>
      <x:c r="R506" s="24" t="str">
        <x:v>Solo dentro del producto/build autorizado</x:v>
      </x:c>
      <x:c r="S506" s="24" t="str">
        <x:v>Crédito general del estudio; individual si aplica</x:v>
      </x:c>
      <x:c r="T506" s="24" t="str">
        <x:v>VRM Games / Blas Luis Rocha González</x:v>
      </x:c>
      <x:c r="U506" s="24" t="str">
        <x:v>CURRENT PROJECT ASSET</x:v>
      </x:c>
      <x:c r="V506" s="24" t="str">
        <x:v>CONDITIONALLY APPROVED</x:v>
      </x:c>
      <x:c r="W506" s="24" t="str">
        <x:v>Sí</x:v>
      </x:c>
      <x:c r="X506" s="24" t="str">
        <x:v>Low</x:v>
      </x:c>
      <x:c r="Y506" s="24" t="str">
        <x:v>Internal development; public candidate requires gate</x:v>
      </x:c>
      <x:c r="Z506" s="24" t="str">
        <x:v>H6 legal/content audit</x:v>
      </x:c>
      <x:c r="AA506" s="24" t="str">
        <x:v>VRM Games</x:v>
      </x:c>
      <x:c r="AB506" s="24" t="str">
        <x:v>No se detectó proveedor externo en la ruta; confirmar autoría por lote antes de release público.</x:v>
      </x:c>
    </x:row>
    <x:row r="507" ht="34" customHeight="1">
      <x:c r="A507" s="24" t="str">
        <x:v>INT-0503</x:v>
      </x:c>
      <x:c r="B507" s="24" t="str">
        <x:v>d75c19a365e44d7db0e9da89d718daee</x:v>
      </x:c>
      <x:c r="C507" s="24" t="str">
        <x:v>Sprint15InputSystemBridge.cs</x:v>
      </x:c>
      <x:c r="D507" s="24" t="str">
        <x:v>Code</x:v>
      </x:c>
      <x:c r="E507" s="24" t="str">
        <x:v>Infrastructure</x:v>
      </x:c>
      <x:c r="F507" s="24" t="str">
        <x:v>VRM Games / Blas Luis Rocha González</x:v>
      </x:c>
      <x:c r="G507" s="24" t="str">
        <x:v>VRM Games / Blas Luis Rocha González</x:v>
      </x:c>
      <x:c r="H507" s="24" t="str">
        <x:v>Internal project production</x:v>
      </x:c>
      <x:c r="I507" s="24" t="str">
        <x:v>2026 project timeline</x:v>
      </x:c>
      <x:c r="J507" s="24" t="str">
        <x:v>Internal project IP / authorship claim</x:v>
      </x:c>
      <x:c r="K507" s="24" t="str">
        <x:v>N/A</x:v>
      </x:c>
      <x:c r="L507" s="24" t="str">
        <x:v>Source package + repository path + hash</x:v>
      </x:c>
      <x:c r="M507" s="24" t="str">
        <x:v>7b1c591c7835cc357c8699298b2d91aaebf60eed0327fbe7ba1cb8b1ff33bd1f</x:v>
      </x:c>
      <x:c r="N507" s="24" t="str">
        <x:v>Assets/_Project/Scripts/Infrastructure/InputSystem/UIUX/Sprint15InputSystemBridge.cs</x:v>
      </x:c>
      <x:c r="O507" s="24" t="str">
        <x:v>d75c19a365e44d7db0e9da89d718daee</x:v>
      </x:c>
      <x:c r="P507" s="24" t="str">
        <x:v>Sí</x:v>
      </x:c>
      <x:c r="Q507" s="24" t="str">
        <x:v>Condicionado a autoría/procedencia final</x:v>
      </x:c>
      <x:c r="R507" s="24" t="str">
        <x:v>Solo dentro del producto/build autorizado</x:v>
      </x:c>
      <x:c r="S507" s="24" t="str">
        <x:v>Crédito general del estudio; individual si aplica</x:v>
      </x:c>
      <x:c r="T507" s="24" t="str">
        <x:v>VRM Games / Blas Luis Rocha González</x:v>
      </x:c>
      <x:c r="U507" s="24" t="str">
        <x:v>CURRENT PROJECT ASSET</x:v>
      </x:c>
      <x:c r="V507" s="24" t="str">
        <x:v>CONDITIONALLY APPROVED</x:v>
      </x:c>
      <x:c r="W507" s="24" t="str">
        <x:v>Sí</x:v>
      </x:c>
      <x:c r="X507" s="24" t="str">
        <x:v>Low</x:v>
      </x:c>
      <x:c r="Y507" s="24" t="str">
        <x:v>Internal development; public candidate requires gate</x:v>
      </x:c>
      <x:c r="Z507" s="24" t="str">
        <x:v>H6 legal/content audit</x:v>
      </x:c>
      <x:c r="AA507" s="24" t="str">
        <x:v>VRM Games</x:v>
      </x:c>
      <x:c r="AB507" s="24" t="str">
        <x:v>No se detectó proveedor externo en la ruta; confirmar autoría por lote antes de release público.</x:v>
      </x:c>
    </x:row>
    <x:row r="508" ht="34" customHeight="1">
      <x:c r="A508" s="24" t="str">
        <x:v>INT-0504</x:v>
      </x:c>
      <x:c r="B508" s="24" t="str">
        <x:v>74155b9407aa46cbb6a96d17fdb9e201</x:v>
      </x:c>
      <x:c r="C508" s="24" t="str">
        <x:v>VRMGames.CartridgeAndCloud.Infrastructure.InputSystem.asmdef</x:v>
      </x:c>
      <x:c r="D508" s="24" t="str">
        <x:v>Assembly definition</x:v>
      </x:c>
      <x:c r="E508" s="24" t="str">
        <x:v>Infrastructure</x:v>
      </x:c>
      <x:c r="F508" s="24" t="str">
        <x:v>VRM Games / Blas Luis Rocha González</x:v>
      </x:c>
      <x:c r="G508" s="24" t="str">
        <x:v>VRM Games / Blas Luis Rocha González</x:v>
      </x:c>
      <x:c r="H508" s="24" t="str">
        <x:v>Internal project production</x:v>
      </x:c>
      <x:c r="I508" s="24" t="str">
        <x:v>2026 project timeline</x:v>
      </x:c>
      <x:c r="J508" s="24" t="str">
        <x:v>Internal project IP / authorship claim</x:v>
      </x:c>
      <x:c r="K508" s="24" t="str">
        <x:v>N/A</x:v>
      </x:c>
      <x:c r="L508" s="24" t="str">
        <x:v>Source package + repository path + hash</x:v>
      </x:c>
      <x:c r="M508" s="24" t="str">
        <x:v>31c4786982bd63ecb8205c70894cfb0f144fd83835c87e02dbd142873ad248c3</x:v>
      </x:c>
      <x:c r="N508" s="24" t="str">
        <x:v>Assets/_Project/Scripts/Infrastructure/InputSystem/VRMGames.CartridgeAndCloud.Infrastructure.InputSystem.asmdef</x:v>
      </x:c>
      <x:c r="O508" s="24" t="str">
        <x:v>74155b9407aa46cbb6a96d17fdb9e201</x:v>
      </x:c>
      <x:c r="P508" s="24" t="str">
        <x:v>Sí</x:v>
      </x:c>
      <x:c r="Q508" s="24" t="str">
        <x:v>Condicionado a autoría/procedencia final</x:v>
      </x:c>
      <x:c r="R508" s="24" t="str">
        <x:v>Solo dentro del producto/build autorizado</x:v>
      </x:c>
      <x:c r="S508" s="24" t="str">
        <x:v>Crédito general del estudio; individual si aplica</x:v>
      </x:c>
      <x:c r="T508" s="24" t="str">
        <x:v>VRM Games / Blas Luis Rocha González</x:v>
      </x:c>
      <x:c r="U508" s="24" t="str">
        <x:v>CURRENT PROJECT ASSET</x:v>
      </x:c>
      <x:c r="V508" s="24" t="str">
        <x:v>CONDITIONALLY APPROVED</x:v>
      </x:c>
      <x:c r="W508" s="24" t="str">
        <x:v>Sí</x:v>
      </x:c>
      <x:c r="X508" s="24" t="str">
        <x:v>Low</x:v>
      </x:c>
      <x:c r="Y508" s="24" t="str">
        <x:v>Internal development; public candidate requires gate</x:v>
      </x:c>
      <x:c r="Z508" s="24" t="str">
        <x:v>H6 legal/content audit</x:v>
      </x:c>
      <x:c r="AA508" s="24" t="str">
        <x:v>VRM Games</x:v>
      </x:c>
      <x:c r="AB508" s="24" t="str">
        <x:v>No se detectó proveedor externo en la ruta; confirmar autoría por lote antes de release público.</x:v>
      </x:c>
    </x:row>
    <x:row r="509" ht="34" customHeight="1">
      <x:c r="A509" s="24" t="str">
        <x:v>INT-0505</x:v>
      </x:c>
      <x:c r="B509" s="24" t="str">
        <x:v>2c68e59adbf7477fb8f3582c8e69affa</x:v>
      </x:c>
      <x:c r="C509" s="24" t="str">
        <x:v>IntegratedSaveJsonCodec.cs</x:v>
      </x:c>
      <x:c r="D509" s="24" t="str">
        <x:v>Code</x:v>
      </x:c>
      <x:c r="E509" s="24" t="str">
        <x:v>Infrastructure</x:v>
      </x:c>
      <x:c r="F509" s="24" t="str">
        <x:v>VRM Games / Blas Luis Rocha González</x:v>
      </x:c>
      <x:c r="G509" s="24" t="str">
        <x:v>VRM Games / Blas Luis Rocha González</x:v>
      </x:c>
      <x:c r="H509" s="24" t="str">
        <x:v>Internal project production</x:v>
      </x:c>
      <x:c r="I509" s="24" t="str">
        <x:v>2026 project timeline</x:v>
      </x:c>
      <x:c r="J509" s="24" t="str">
        <x:v>Internal project IP / authorship claim</x:v>
      </x:c>
      <x:c r="K509" s="24" t="str">
        <x:v>N/A</x:v>
      </x:c>
      <x:c r="L509" s="24" t="str">
        <x:v>Source package + repository path + hash</x:v>
      </x:c>
      <x:c r="M509" s="24" t="str">
        <x:v>d38c0c5b67e14d3f4fd81813d5f22d31759e45ac70f73ed5eff8a22593143656</x:v>
      </x:c>
      <x:c r="N509" s="24" t="str">
        <x:v>Assets/_Project/Scripts/Infrastructure/Persistence/IntegratedSaveJsonCodec.cs</x:v>
      </x:c>
      <x:c r="O509" s="24" t="str">
        <x:v>2c68e59adbf7477fb8f3582c8e69affa</x:v>
      </x:c>
      <x:c r="P509" s="24" t="str">
        <x:v>Sí</x:v>
      </x:c>
      <x:c r="Q509" s="24" t="str">
        <x:v>Condicionado a autoría/procedencia final</x:v>
      </x:c>
      <x:c r="R509" s="24" t="str">
        <x:v>Solo dentro del producto/build autorizado</x:v>
      </x:c>
      <x:c r="S509" s="24" t="str">
        <x:v>Crédito general del estudio; individual si aplica</x:v>
      </x:c>
      <x:c r="T509" s="24" t="str">
        <x:v>VRM Games / Blas Luis Rocha González</x:v>
      </x:c>
      <x:c r="U509" s="24" t="str">
        <x:v>CURRENT PROJECT ASSET</x:v>
      </x:c>
      <x:c r="V509" s="24" t="str">
        <x:v>CONDITIONALLY APPROVED</x:v>
      </x:c>
      <x:c r="W509" s="24" t="str">
        <x:v>Sí</x:v>
      </x:c>
      <x:c r="X509" s="24" t="str">
        <x:v>Low</x:v>
      </x:c>
      <x:c r="Y509" s="24" t="str">
        <x:v>Internal development; public candidate requires gate</x:v>
      </x:c>
      <x:c r="Z509" s="24" t="str">
        <x:v>H6 legal/content audit</x:v>
      </x:c>
      <x:c r="AA509" s="24" t="str">
        <x:v>VRM Games</x:v>
      </x:c>
      <x:c r="AB509" s="24" t="str">
        <x:v>No se detectó proveedor externo en la ruta; confirmar autoría por lote antes de release público.</x:v>
      </x:c>
    </x:row>
    <x:row r="510" ht="34" customHeight="1">
      <x:c r="A510" s="24" t="str">
        <x:v>INT-0506</x:v>
      </x:c>
      <x:c r="B510" s="24" t="str">
        <x:v>ef0335b58582499ca61f4405d63e9f72</x:v>
      </x:c>
      <x:c r="C510" s="24" t="str">
        <x:v>JsonIntegratedSaveRepository.cs</x:v>
      </x:c>
      <x:c r="D510" s="24" t="str">
        <x:v>Code</x:v>
      </x:c>
      <x:c r="E510" s="24" t="str">
        <x:v>Infrastructure</x:v>
      </x:c>
      <x:c r="F510" s="24" t="str">
        <x:v>VRM Games / Blas Luis Rocha González</x:v>
      </x:c>
      <x:c r="G510" s="24" t="str">
        <x:v>VRM Games / Blas Luis Rocha González</x:v>
      </x:c>
      <x:c r="H510" s="24" t="str">
        <x:v>Internal project production</x:v>
      </x:c>
      <x:c r="I510" s="24" t="str">
        <x:v>2026 project timeline</x:v>
      </x:c>
      <x:c r="J510" s="24" t="str">
        <x:v>Internal project IP / authorship claim</x:v>
      </x:c>
      <x:c r="K510" s="24" t="str">
        <x:v>N/A</x:v>
      </x:c>
      <x:c r="L510" s="24" t="str">
        <x:v>Source package + repository path + hash</x:v>
      </x:c>
      <x:c r="M510" s="24" t="str">
        <x:v>8a5408551acedf29a900d04ba627f82345f7f99e2d0c6ad439f0cff0b7a88106</x:v>
      </x:c>
      <x:c r="N510" s="24" t="str">
        <x:v>Assets/_Project/Scripts/Infrastructure/Persistence/JsonIntegratedSaveRepository.cs</x:v>
      </x:c>
      <x:c r="O510" s="24" t="str">
        <x:v>ef0335b58582499ca61f4405d63e9f72</x:v>
      </x:c>
      <x:c r="P510" s="24" t="str">
        <x:v>Sí</x:v>
      </x:c>
      <x:c r="Q510" s="24" t="str">
        <x:v>Condicionado a autoría/procedencia final</x:v>
      </x:c>
      <x:c r="R510" s="24" t="str">
        <x:v>Solo dentro del producto/build autorizado</x:v>
      </x:c>
      <x:c r="S510" s="24" t="str">
        <x:v>Crédito general del estudio; individual si aplica</x:v>
      </x:c>
      <x:c r="T510" s="24" t="str">
        <x:v>VRM Games / Blas Luis Rocha González</x:v>
      </x:c>
      <x:c r="U510" s="24" t="str">
        <x:v>CURRENT PROJECT ASSET</x:v>
      </x:c>
      <x:c r="V510" s="24" t="str">
        <x:v>CONDITIONALLY APPROVED</x:v>
      </x:c>
      <x:c r="W510" s="24" t="str">
        <x:v>Sí</x:v>
      </x:c>
      <x:c r="X510" s="24" t="str">
        <x:v>Low</x:v>
      </x:c>
      <x:c r="Y510" s="24" t="str">
        <x:v>Internal development; public candidate requires gate</x:v>
      </x:c>
      <x:c r="Z510" s="24" t="str">
        <x:v>H6 legal/content audit</x:v>
      </x:c>
      <x:c r="AA510" s="24" t="str">
        <x:v>VRM Games</x:v>
      </x:c>
      <x:c r="AB510" s="24" t="str">
        <x:v>No se detectó proveedor externo en la ruta; confirmar autoría por lote antes de release público.</x:v>
      </x:c>
    </x:row>
    <x:row r="511" ht="34" customHeight="1">
      <x:c r="A511" s="24" t="str">
        <x:v>INT-0507</x:v>
      </x:c>
      <x:c r="B511" s="24" t="str">
        <x:v>819c46ee45d3409ea88bb958bd382f65</x:v>
      </x:c>
      <x:c r="C511" s="24" t="str">
        <x:v>SaveIntegrationSettingsAsset.cs</x:v>
      </x:c>
      <x:c r="D511" s="24" t="str">
        <x:v>Code</x:v>
      </x:c>
      <x:c r="E511" s="24" t="str">
        <x:v>Infrastructure</x:v>
      </x:c>
      <x:c r="F511" s="24" t="str">
        <x:v>VRM Games / Blas Luis Rocha González</x:v>
      </x:c>
      <x:c r="G511" s="24" t="str">
        <x:v>VRM Games / Blas Luis Rocha González</x:v>
      </x:c>
      <x:c r="H511" s="24" t="str">
        <x:v>Internal project production</x:v>
      </x:c>
      <x:c r="I511" s="24" t="str">
        <x:v>2026 project timeline</x:v>
      </x:c>
      <x:c r="J511" s="24" t="str">
        <x:v>Internal project IP / authorship claim</x:v>
      </x:c>
      <x:c r="K511" s="24" t="str">
        <x:v>N/A</x:v>
      </x:c>
      <x:c r="L511" s="24" t="str">
        <x:v>Source package + repository path + hash</x:v>
      </x:c>
      <x:c r="M511" s="24" t="str">
        <x:v>a14109b8c09b02878b2c68c670d589ba71edd5b811448c15d13e1dc2861b0136</x:v>
      </x:c>
      <x:c r="N511" s="24" t="str">
        <x:v>Assets/_Project/Scripts/Infrastructure/Persistence/SaveIntegrationSettingsAsset.cs</x:v>
      </x:c>
      <x:c r="O511" s="24" t="str">
        <x:v>819c46ee45d3409ea88bb958bd382f65</x:v>
      </x:c>
      <x:c r="P511" s="24" t="str">
        <x:v>Sí</x:v>
      </x:c>
      <x:c r="Q511" s="24" t="str">
        <x:v>Condicionado a autoría/procedencia final</x:v>
      </x:c>
      <x:c r="R511" s="24" t="str">
        <x:v>Solo dentro del producto/build autorizado</x:v>
      </x:c>
      <x:c r="S511" s="24" t="str">
        <x:v>Crédito general del estudio; individual si aplica</x:v>
      </x:c>
      <x:c r="T511" s="24" t="str">
        <x:v>VRM Games / Blas Luis Rocha González</x:v>
      </x:c>
      <x:c r="U511" s="24" t="str">
        <x:v>CURRENT PROJECT ASSET</x:v>
      </x:c>
      <x:c r="V511" s="24" t="str">
        <x:v>CONDITIONALLY APPROVED</x:v>
      </x:c>
      <x:c r="W511" s="24" t="str">
        <x:v>Sí</x:v>
      </x:c>
      <x:c r="X511" s="24" t="str">
        <x:v>Low</x:v>
      </x:c>
      <x:c r="Y511" s="24" t="str">
        <x:v>Internal development; public candidate requires gate</x:v>
      </x:c>
      <x:c r="Z511" s="24" t="str">
        <x:v>H6 legal/content audit</x:v>
      </x:c>
      <x:c r="AA511" s="24" t="str">
        <x:v>VRM Games</x:v>
      </x:c>
      <x:c r="AB511" s="24" t="str">
        <x:v>No se detectó proveedor externo en la ruta; confirmar autoría por lote antes de release público.</x:v>
      </x:c>
    </x:row>
    <x:row r="512" ht="34" customHeight="1">
      <x:c r="A512" s="24" t="str">
        <x:v>INT-0508</x:v>
      </x:c>
      <x:c r="B512" s="24" t="str">
        <x:v>726e56b457894e14b3634e1fe74b9898</x:v>
      </x:c>
      <x:c r="C512" s="24" t="str">
        <x:v>SaveRecoveryTechnicalScenarioRunner.cs</x:v>
      </x:c>
      <x:c r="D512" s="24" t="str">
        <x:v>Code</x:v>
      </x:c>
      <x:c r="E512" s="24" t="str">
        <x:v>Infrastructure</x:v>
      </x:c>
      <x:c r="F512" s="24" t="str">
        <x:v>VRM Games / Blas Luis Rocha González</x:v>
      </x:c>
      <x:c r="G512" s="24" t="str">
        <x:v>VRM Games / Blas Luis Rocha González</x:v>
      </x:c>
      <x:c r="H512" s="24" t="str">
        <x:v>Internal project production</x:v>
      </x:c>
      <x:c r="I512" s="24" t="str">
        <x:v>2026 project timeline</x:v>
      </x:c>
      <x:c r="J512" s="24" t="str">
        <x:v>Internal project IP / authorship claim</x:v>
      </x:c>
      <x:c r="K512" s="24" t="str">
        <x:v>N/A</x:v>
      </x:c>
      <x:c r="L512" s="24" t="str">
        <x:v>Source package + repository path + hash</x:v>
      </x:c>
      <x:c r="M512" s="24" t="str">
        <x:v>80b53638d8d76035efc210154e101f4be83af9c6bfc15b94151baaf933be9c13</x:v>
      </x:c>
      <x:c r="N512" s="24" t="str">
        <x:v>Assets/_Project/Scripts/Infrastructure/Persistence/SaveRecoveryTechnicalScenarioRunner.cs</x:v>
      </x:c>
      <x:c r="O512" s="24" t="str">
        <x:v>726e56b457894e14b3634e1fe74b9898</x:v>
      </x:c>
      <x:c r="P512" s="24" t="str">
        <x:v>Sí</x:v>
      </x:c>
      <x:c r="Q512" s="24" t="str">
        <x:v>Condicionado a autoría/procedencia final</x:v>
      </x:c>
      <x:c r="R512" s="24" t="str">
        <x:v>Solo dentro del producto/build autorizado</x:v>
      </x:c>
      <x:c r="S512" s="24" t="str">
        <x:v>Crédito general del estudio; individual si aplica</x:v>
      </x:c>
      <x:c r="T512" s="24" t="str">
        <x:v>VRM Games / Blas Luis Rocha González</x:v>
      </x:c>
      <x:c r="U512" s="24" t="str">
        <x:v>CURRENT PROJECT ASSET</x:v>
      </x:c>
      <x:c r="V512" s="24" t="str">
        <x:v>CONDITIONALLY APPROVED</x:v>
      </x:c>
      <x:c r="W512" s="24" t="str">
        <x:v>Sí</x:v>
      </x:c>
      <x:c r="X512" s="24" t="str">
        <x:v>Low</x:v>
      </x:c>
      <x:c r="Y512" s="24" t="str">
        <x:v>Internal development; public candidate requires gate</x:v>
      </x:c>
      <x:c r="Z512" s="24" t="str">
        <x:v>H6 legal/content audit</x:v>
      </x:c>
      <x:c r="AA512" s="24" t="str">
        <x:v>VRM Games</x:v>
      </x:c>
      <x:c r="AB512" s="24" t="str">
        <x:v>No se detectó proveedor externo en la ruta; confirmar autoría por lote antes de release público.</x:v>
      </x:c>
    </x:row>
    <x:row r="513" ht="34" customHeight="1">
      <x:c r="A513" s="24" t="str">
        <x:v>INT-0509</x:v>
      </x:c>
      <x:c r="B513" s="24" t="str">
        <x:v>7092382da6b5400bbc372029327ce935</x:v>
      </x:c>
      <x:c r="C513" s="24" t="str">
        <x:v>ProductCatalogAsset.cs</x:v>
      </x:c>
      <x:c r="D513" s="24" t="str">
        <x:v>Code</x:v>
      </x:c>
      <x:c r="E513" s="24" t="str">
        <x:v>Infrastructure</x:v>
      </x:c>
      <x:c r="F513" s="24" t="str">
        <x:v>VRM Games / Blas Luis Rocha González</x:v>
      </x:c>
      <x:c r="G513" s="24" t="str">
        <x:v>VRM Games / Blas Luis Rocha González</x:v>
      </x:c>
      <x:c r="H513" s="24" t="str">
        <x:v>Internal project production</x:v>
      </x:c>
      <x:c r="I513" s="24" t="str">
        <x:v>2026 project timeline</x:v>
      </x:c>
      <x:c r="J513" s="24" t="str">
        <x:v>Internal project IP / authorship claim</x:v>
      </x:c>
      <x:c r="K513" s="24" t="str">
        <x:v>N/A</x:v>
      </x:c>
      <x:c r="L513" s="24" t="str">
        <x:v>Source package + repository path + hash</x:v>
      </x:c>
      <x:c r="M513" s="24" t="str">
        <x:v>568d95113b68a3ae8bb61c49b7c8037e92f569f565375e5bdf8bf46cc3d1239e</x:v>
      </x:c>
      <x:c r="N513" s="24" t="str">
        <x:v>Assets/_Project/Scripts/Infrastructure/Products/ProductCatalogAsset.cs</x:v>
      </x:c>
      <x:c r="O513" s="24" t="str">
        <x:v>7092382da6b5400bbc372029327ce935</x:v>
      </x:c>
      <x:c r="P513" s="24" t="str">
        <x:v>Sí</x:v>
      </x:c>
      <x:c r="Q513" s="24" t="str">
        <x:v>Condicionado a autoría/procedencia final</x:v>
      </x:c>
      <x:c r="R513" s="24" t="str">
        <x:v>Solo dentro del producto/build autorizado</x:v>
      </x:c>
      <x:c r="S513" s="24" t="str">
        <x:v>Crédito general del estudio; individual si aplica</x:v>
      </x:c>
      <x:c r="T513" s="24" t="str">
        <x:v>VRM Games / Blas Luis Rocha González</x:v>
      </x:c>
      <x:c r="U513" s="24" t="str">
        <x:v>CURRENT PROJECT ASSET</x:v>
      </x:c>
      <x:c r="V513" s="24" t="str">
        <x:v>CONDITIONALLY APPROVED</x:v>
      </x:c>
      <x:c r="W513" s="24" t="str">
        <x:v>Sí</x:v>
      </x:c>
      <x:c r="X513" s="24" t="str">
        <x:v>Low</x:v>
      </x:c>
      <x:c r="Y513" s="24" t="str">
        <x:v>Internal development; public candidate requires gate</x:v>
      </x:c>
      <x:c r="Z513" s="24" t="str">
        <x:v>H6 legal/content audit</x:v>
      </x:c>
      <x:c r="AA513" s="24" t="str">
        <x:v>VRM Games</x:v>
      </x:c>
      <x:c r="AB513" s="24" t="str">
        <x:v>No se detectó proveedor externo en la ruta; confirmar autoría por lote antes de release público.</x:v>
      </x:c>
    </x:row>
    <x:row r="514" ht="34" customHeight="1">
      <x:c r="A514" s="24" t="str">
        <x:v>INT-0510</x:v>
      </x:c>
      <x:c r="B514" s="24" t="str">
        <x:v>1aa5e854e90a43509d3ed04f7b556fe8</x:v>
      </x:c>
      <x:c r="C514" s="24" t="str">
        <x:v>ProductDefinitionAsset.cs</x:v>
      </x:c>
      <x:c r="D514" s="24" t="str">
        <x:v>Code</x:v>
      </x:c>
      <x:c r="E514" s="24" t="str">
        <x:v>Infrastructure</x:v>
      </x:c>
      <x:c r="F514" s="24" t="str">
        <x:v>VRM Games / Blas Luis Rocha González</x:v>
      </x:c>
      <x:c r="G514" s="24" t="str">
        <x:v>VRM Games / Blas Luis Rocha González</x:v>
      </x:c>
      <x:c r="H514" s="24" t="str">
        <x:v>Internal project production</x:v>
      </x:c>
      <x:c r="I514" s="24" t="str">
        <x:v>2026 project timeline</x:v>
      </x:c>
      <x:c r="J514" s="24" t="str">
        <x:v>Internal project IP / authorship claim</x:v>
      </x:c>
      <x:c r="K514" s="24" t="str">
        <x:v>N/A</x:v>
      </x:c>
      <x:c r="L514" s="24" t="str">
        <x:v>Source package + repository path + hash</x:v>
      </x:c>
      <x:c r="M514" s="24" t="str">
        <x:v>e0dfb8d1999685661585f0e566de8aec594762a6d60f03dc50872158f546bc57</x:v>
      </x:c>
      <x:c r="N514" s="24" t="str">
        <x:v>Assets/_Project/Scripts/Infrastructure/Products/ProductDefinitionAsset.cs</x:v>
      </x:c>
      <x:c r="O514" s="24" t="str">
        <x:v>1aa5e854e90a43509d3ed04f7b556fe8</x:v>
      </x:c>
      <x:c r="P514" s="24" t="str">
        <x:v>Sí</x:v>
      </x:c>
      <x:c r="Q514" s="24" t="str">
        <x:v>Condicionado a autoría/procedencia final</x:v>
      </x:c>
      <x:c r="R514" s="24" t="str">
        <x:v>Solo dentro del producto/build autorizado</x:v>
      </x:c>
      <x:c r="S514" s="24" t="str">
        <x:v>Crédito general del estudio; individual si aplica</x:v>
      </x:c>
      <x:c r="T514" s="24" t="str">
        <x:v>VRM Games / Blas Luis Rocha González</x:v>
      </x:c>
      <x:c r="U514" s="24" t="str">
        <x:v>CURRENT PROJECT ASSET</x:v>
      </x:c>
      <x:c r="V514" s="24" t="str">
        <x:v>CONDITIONALLY APPROVED</x:v>
      </x:c>
      <x:c r="W514" s="24" t="str">
        <x:v>Sí</x:v>
      </x:c>
      <x:c r="X514" s="24" t="str">
        <x:v>Low</x:v>
      </x:c>
      <x:c r="Y514" s="24" t="str">
        <x:v>Internal development; public candidate requires gate</x:v>
      </x:c>
      <x:c r="Z514" s="24" t="str">
        <x:v>H6 legal/content audit</x:v>
      </x:c>
      <x:c r="AA514" s="24" t="str">
        <x:v>VRM Games</x:v>
      </x:c>
      <x:c r="AB514" s="24" t="str">
        <x:v>No se detectó proveedor externo en la ruta; confirmar autoría por lote antes de release público.</x:v>
      </x:c>
    </x:row>
    <x:row r="515" ht="34" customHeight="1">
      <x:c r="A515" s="24" t="str">
        <x:v>INT-0511</x:v>
      </x:c>
      <x:c r="B515" s="24" t="str">
        <x:v>93e71e24833c6c040b689d1e1bbf7a38</x:v>
      </x:c>
      <x:c r="C515" s="24" t="str">
        <x:v>ApplicationRoot.cs</x:v>
      </x:c>
      <x:c r="D515" s="24" t="str">
        <x:v>Code</x:v>
      </x:c>
      <x:c r="E515" s="24" t="str">
        <x:v>Infrastructure</x:v>
      </x:c>
      <x:c r="F515" s="24" t="str">
        <x:v>VRM Games / Blas Luis Rocha González</x:v>
      </x:c>
      <x:c r="G515" s="24" t="str">
        <x:v>VRM Games / Blas Luis Rocha González</x:v>
      </x:c>
      <x:c r="H515" s="24" t="str">
        <x:v>Internal project production</x:v>
      </x:c>
      <x:c r="I515" s="24" t="str">
        <x:v>2026 project timeline</x:v>
      </x:c>
      <x:c r="J515" s="24" t="str">
        <x:v>Internal project IP / authorship claim</x:v>
      </x:c>
      <x:c r="K515" s="24" t="str">
        <x:v>N/A</x:v>
      </x:c>
      <x:c r="L515" s="24" t="str">
        <x:v>Source package + repository path + hash</x:v>
      </x:c>
      <x:c r="M515" s="24" t="str">
        <x:v>d618f48e9a2aea6c2881b7b170ba7f98e33a377c8cb78abb4b7d1259e330f21c</x:v>
      </x:c>
      <x:c r="N515" s="24" t="str">
        <x:v>Assets/_Project/Scripts/Infrastructure/SceneFlow/ApplicationRoot.cs</x:v>
      </x:c>
      <x:c r="O515" s="24" t="str">
        <x:v>93e71e24833c6c040b689d1e1bbf7a38</x:v>
      </x:c>
      <x:c r="P515" s="24" t="str">
        <x:v>Sí</x:v>
      </x:c>
      <x:c r="Q515" s="24" t="str">
        <x:v>Condicionado a autoría/procedencia final</x:v>
      </x:c>
      <x:c r="R515" s="24" t="str">
        <x:v>Solo dentro del producto/build autorizado</x:v>
      </x:c>
      <x:c r="S515" s="24" t="str">
        <x:v>Crédito general del estudio; individual si aplica</x:v>
      </x:c>
      <x:c r="T515" s="24" t="str">
        <x:v>VRM Games / Blas Luis Rocha González</x:v>
      </x:c>
      <x:c r="U515" s="24" t="str">
        <x:v>CURRENT PROJECT ASSET</x:v>
      </x:c>
      <x:c r="V515" s="24" t="str">
        <x:v>CONDITIONALLY APPROVED</x:v>
      </x:c>
      <x:c r="W515" s="24" t="str">
        <x:v>Sí</x:v>
      </x:c>
      <x:c r="X515" s="24" t="str">
        <x:v>Low</x:v>
      </x:c>
      <x:c r="Y515" s="24" t="str">
        <x:v>Internal development; public candidate requires gate</x:v>
      </x:c>
      <x:c r="Z515" s="24" t="str">
        <x:v>H6 legal/content audit</x:v>
      </x:c>
      <x:c r="AA515" s="24" t="str">
        <x:v>VRM Games</x:v>
      </x:c>
      <x:c r="AB515" s="24" t="str">
        <x:v>No se detectó proveedor externo en la ruta; confirmar autoría por lote antes de release público.</x:v>
      </x:c>
    </x:row>
    <x:row r="516" ht="34" customHeight="1">
      <x:c r="A516" s="24" t="str">
        <x:v>INT-0512</x:v>
      </x:c>
      <x:c r="B516" s="24" t="str">
        <x:v>dfe4573934b0426ea090ad36e2ecfe11</x:v>
      </x:c>
      <x:c r="C516" s="24" t="str">
        <x:v>ShoppingSettingsAsset.cs</x:v>
      </x:c>
      <x:c r="D516" s="24" t="str">
        <x:v>Code</x:v>
      </x:c>
      <x:c r="E516" s="24" t="str">
        <x:v>Infrastructure</x:v>
      </x:c>
      <x:c r="F516" s="24" t="str">
        <x:v>VRM Games / Blas Luis Rocha González</x:v>
      </x:c>
      <x:c r="G516" s="24" t="str">
        <x:v>VRM Games / Blas Luis Rocha González</x:v>
      </x:c>
      <x:c r="H516" s="24" t="str">
        <x:v>Internal project production</x:v>
      </x:c>
      <x:c r="I516" s="24" t="str">
        <x:v>2026 project timeline</x:v>
      </x:c>
      <x:c r="J516" s="24" t="str">
        <x:v>Internal project IP / authorship claim</x:v>
      </x:c>
      <x:c r="K516" s="24" t="str">
        <x:v>N/A</x:v>
      </x:c>
      <x:c r="L516" s="24" t="str">
        <x:v>Source package + repository path + hash</x:v>
      </x:c>
      <x:c r="M516" s="24" t="str">
        <x:v>41750f76359b48e606e786c6028035176970b701bbd0214d9a541c3f7480b361</x:v>
      </x:c>
      <x:c r="N516" s="24" t="str">
        <x:v>Assets/_Project/Scripts/Infrastructure/Shopping/ShoppingSettingsAsset.cs</x:v>
      </x:c>
      <x:c r="O516" s="24" t="str">
        <x:v>dfe4573934b0426ea090ad36e2ecfe11</x:v>
      </x:c>
      <x:c r="P516" s="24" t="str">
        <x:v>Sí</x:v>
      </x:c>
      <x:c r="Q516" s="24" t="str">
        <x:v>Condicionado a autoría/procedencia final</x:v>
      </x:c>
      <x:c r="R516" s="24" t="str">
        <x:v>Solo dentro del producto/build autorizado</x:v>
      </x:c>
      <x:c r="S516" s="24" t="str">
        <x:v>Crédito general del estudio; individual si aplica</x:v>
      </x:c>
      <x:c r="T516" s="24" t="str">
        <x:v>VRM Games / Blas Luis Rocha González</x:v>
      </x:c>
      <x:c r="U516" s="24" t="str">
        <x:v>CURRENT PROJECT ASSET</x:v>
      </x:c>
      <x:c r="V516" s="24" t="str">
        <x:v>CONDITIONALLY APPROVED</x:v>
      </x:c>
      <x:c r="W516" s="24" t="str">
        <x:v>Sí</x:v>
      </x:c>
      <x:c r="X516" s="24" t="str">
        <x:v>Low</x:v>
      </x:c>
      <x:c r="Y516" s="24" t="str">
        <x:v>Internal development; public candidate requires gate</x:v>
      </x:c>
      <x:c r="Z516" s="24" t="str">
        <x:v>H6 legal/content audit</x:v>
      </x:c>
      <x:c r="AA516" s="24" t="str">
        <x:v>VRM Games</x:v>
      </x:c>
      <x:c r="AB516" s="24" t="str">
        <x:v>No se detectó proveedor externo en la ruta; confirmar autoría por lote antes de release público.</x:v>
      </x:c>
    </x:row>
    <x:row r="517" ht="34" customHeight="1">
      <x:c r="A517" s="24" t="str">
        <x:v>INT-0513</x:v>
      </x:c>
      <x:c r="B517" s="24" t="str">
        <x:v>e415e4f859c54b7eb137df748c0fa1cf</x:v>
      </x:c>
      <x:c r="C517" s="24" t="str">
        <x:v>ShoppingTechnicalScenarioRunner.cs</x:v>
      </x:c>
      <x:c r="D517" s="24" t="str">
        <x:v>Code</x:v>
      </x:c>
      <x:c r="E517" s="24" t="str">
        <x:v>Infrastructure</x:v>
      </x:c>
      <x:c r="F517" s="24" t="str">
        <x:v>VRM Games / Blas Luis Rocha González</x:v>
      </x:c>
      <x:c r="G517" s="24" t="str">
        <x:v>VRM Games / Blas Luis Rocha González</x:v>
      </x:c>
      <x:c r="H517" s="24" t="str">
        <x:v>Internal project production</x:v>
      </x:c>
      <x:c r="I517" s="24" t="str">
        <x:v>2026 project timeline</x:v>
      </x:c>
      <x:c r="J517" s="24" t="str">
        <x:v>Internal project IP / authorship claim</x:v>
      </x:c>
      <x:c r="K517" s="24" t="str">
        <x:v>N/A</x:v>
      </x:c>
      <x:c r="L517" s="24" t="str">
        <x:v>Source package + repository path + hash</x:v>
      </x:c>
      <x:c r="M517" s="24" t="str">
        <x:v>ddea459422a7cc8a1dbd0953de053f1657d9bd7ef9a112cb2adcf9822b43c4d9</x:v>
      </x:c>
      <x:c r="N517" s="24" t="str">
        <x:v>Assets/_Project/Scripts/Infrastructure/Shopping/ShoppingTechnicalScenarioRunner.cs</x:v>
      </x:c>
      <x:c r="O517" s="24" t="str">
        <x:v>e415e4f859c54b7eb137df748c0fa1cf</x:v>
      </x:c>
      <x:c r="P517" s="24" t="str">
        <x:v>Sí</x:v>
      </x:c>
      <x:c r="Q517" s="24" t="str">
        <x:v>Condicionado a autoría/procedencia final</x:v>
      </x:c>
      <x:c r="R517" s="24" t="str">
        <x:v>Solo dentro del producto/build autorizado</x:v>
      </x:c>
      <x:c r="S517" s="24" t="str">
        <x:v>Crédito general del estudio; individual si aplica</x:v>
      </x:c>
      <x:c r="T517" s="24" t="str">
        <x:v>VRM Games / Blas Luis Rocha González</x:v>
      </x:c>
      <x:c r="U517" s="24" t="str">
        <x:v>CURRENT PROJECT ASSET</x:v>
      </x:c>
      <x:c r="V517" s="24" t="str">
        <x:v>CONDITIONALLY APPROVED</x:v>
      </x:c>
      <x:c r="W517" s="24" t="str">
        <x:v>Sí</x:v>
      </x:c>
      <x:c r="X517" s="24" t="str">
        <x:v>Low</x:v>
      </x:c>
      <x:c r="Y517" s="24" t="str">
        <x:v>Internal development; public candidate requires gate</x:v>
      </x:c>
      <x:c r="Z517" s="24" t="str">
        <x:v>H6 legal/content audit</x:v>
      </x:c>
      <x:c r="AA517" s="24" t="str">
        <x:v>VRM Games</x:v>
      </x:c>
      <x:c r="AB517" s="24" t="str">
        <x:v>No se detectó proveedor externo en la ruta; confirmar autoría por lote antes de release público.</x:v>
      </x:c>
    </x:row>
    <x:row r="518" ht="34" customHeight="1">
      <x:c r="A518" s="24" t="str">
        <x:v>INT-0514</x:v>
      </x:c>
      <x:c r="B518" s="24" t="str">
        <x:v>a01d5a4e015148f4a20330686475e477</x:v>
      </x:c>
      <x:c r="C518" s="24" t="str">
        <x:v>SupplierCatalogAsset.cs</x:v>
      </x:c>
      <x:c r="D518" s="24" t="str">
        <x:v>Code</x:v>
      </x:c>
      <x:c r="E518" s="24" t="str">
        <x:v>Infrastructure</x:v>
      </x:c>
      <x:c r="F518" s="24" t="str">
        <x:v>VRM Games / Blas Luis Rocha González</x:v>
      </x:c>
      <x:c r="G518" s="24" t="str">
        <x:v>VRM Games / Blas Luis Rocha González</x:v>
      </x:c>
      <x:c r="H518" s="24" t="str">
        <x:v>Internal project production</x:v>
      </x:c>
      <x:c r="I518" s="24" t="str">
        <x:v>2026 project timeline</x:v>
      </x:c>
      <x:c r="J518" s="24" t="str">
        <x:v>Internal project IP / authorship claim</x:v>
      </x:c>
      <x:c r="K518" s="24" t="str">
        <x:v>N/A</x:v>
      </x:c>
      <x:c r="L518" s="24" t="str">
        <x:v>Source package + repository path + hash</x:v>
      </x:c>
      <x:c r="M518" s="24" t="str">
        <x:v>df67eee928572931fd74cf43a965997950e9a0892d870f33b1cee2584aeabaec</x:v>
      </x:c>
      <x:c r="N518" s="24" t="str">
        <x:v>Assets/_Project/Scripts/Infrastructure/Suppliers/SupplierCatalogAsset.cs</x:v>
      </x:c>
      <x:c r="O518" s="24" t="str">
        <x:v>a01d5a4e015148f4a20330686475e477</x:v>
      </x:c>
      <x:c r="P518" s="24" t="str">
        <x:v>Sí</x:v>
      </x:c>
      <x:c r="Q518" s="24" t="str">
        <x:v>Condicionado a autoría/procedencia final</x:v>
      </x:c>
      <x:c r="R518" s="24" t="str">
        <x:v>Solo dentro del producto/build autorizado</x:v>
      </x:c>
      <x:c r="S518" s="24" t="str">
        <x:v>Crédito general del estudio; individual si aplica</x:v>
      </x:c>
      <x:c r="T518" s="24" t="str">
        <x:v>VRM Games / Blas Luis Rocha González</x:v>
      </x:c>
      <x:c r="U518" s="24" t="str">
        <x:v>CURRENT PROJECT ASSET</x:v>
      </x:c>
      <x:c r="V518" s="24" t="str">
        <x:v>CONDITIONALLY APPROVED</x:v>
      </x:c>
      <x:c r="W518" s="24" t="str">
        <x:v>Sí</x:v>
      </x:c>
      <x:c r="X518" s="24" t="str">
        <x:v>Low</x:v>
      </x:c>
      <x:c r="Y518" s="24" t="str">
        <x:v>Internal development; public candidate requires gate</x:v>
      </x:c>
      <x:c r="Z518" s="24" t="str">
        <x:v>H6 legal/content audit</x:v>
      </x:c>
      <x:c r="AA518" s="24" t="str">
        <x:v>VRM Games</x:v>
      </x:c>
      <x:c r="AB518" s="24" t="str">
        <x:v>No se detectó proveedor externo en la ruta; confirmar autoría por lote antes de release público.</x:v>
      </x:c>
    </x:row>
    <x:row r="519" ht="34" customHeight="1">
      <x:c r="A519" s="24" t="str">
        <x:v>INT-0515</x:v>
      </x:c>
      <x:c r="B519" s="24" t="str">
        <x:v>0432add03c554171b63b4c81635aecf0</x:v>
      </x:c>
      <x:c r="C519" s="24" t="str">
        <x:v>SupplierCatalogEntryAsset.cs</x:v>
      </x:c>
      <x:c r="D519" s="24" t="str">
        <x:v>Code</x:v>
      </x:c>
      <x:c r="E519" s="24" t="str">
        <x:v>Infrastructure</x:v>
      </x:c>
      <x:c r="F519" s="24" t="str">
        <x:v>VRM Games / Blas Luis Rocha González</x:v>
      </x:c>
      <x:c r="G519" s="24" t="str">
        <x:v>VRM Games / Blas Luis Rocha González</x:v>
      </x:c>
      <x:c r="H519" s="24" t="str">
        <x:v>Internal project production</x:v>
      </x:c>
      <x:c r="I519" s="24" t="str">
        <x:v>2026 project timeline</x:v>
      </x:c>
      <x:c r="J519" s="24" t="str">
        <x:v>Internal project IP / authorship claim</x:v>
      </x:c>
      <x:c r="K519" s="24" t="str">
        <x:v>N/A</x:v>
      </x:c>
      <x:c r="L519" s="24" t="str">
        <x:v>Source package + repository path + hash</x:v>
      </x:c>
      <x:c r="M519" s="24" t="str">
        <x:v>006ac5b20cae37d0c32c55c3d52874ccc4914562c815c08c06cda9d78de266e8</x:v>
      </x:c>
      <x:c r="N519" s="24" t="str">
        <x:v>Assets/_Project/Scripts/Infrastructure/Suppliers/SupplierCatalogEntryAsset.cs</x:v>
      </x:c>
      <x:c r="O519" s="24" t="str">
        <x:v>0432add03c554171b63b4c81635aecf0</x:v>
      </x:c>
      <x:c r="P519" s="24" t="str">
        <x:v>Sí</x:v>
      </x:c>
      <x:c r="Q519" s="24" t="str">
        <x:v>Condicionado a autoría/procedencia final</x:v>
      </x:c>
      <x:c r="R519" s="24" t="str">
        <x:v>Solo dentro del producto/build autorizado</x:v>
      </x:c>
      <x:c r="S519" s="24" t="str">
        <x:v>Crédito general del estudio; individual si aplica</x:v>
      </x:c>
      <x:c r="T519" s="24" t="str">
        <x:v>VRM Games / Blas Luis Rocha González</x:v>
      </x:c>
      <x:c r="U519" s="24" t="str">
        <x:v>CURRENT PROJECT ASSET</x:v>
      </x:c>
      <x:c r="V519" s="24" t="str">
        <x:v>CONDITIONALLY APPROVED</x:v>
      </x:c>
      <x:c r="W519" s="24" t="str">
        <x:v>Sí</x:v>
      </x:c>
      <x:c r="X519" s="24" t="str">
        <x:v>Low</x:v>
      </x:c>
      <x:c r="Y519" s="24" t="str">
        <x:v>Internal development; public candidate requires gate</x:v>
      </x:c>
      <x:c r="Z519" s="24" t="str">
        <x:v>H6 legal/content audit</x:v>
      </x:c>
      <x:c r="AA519" s="24" t="str">
        <x:v>VRM Games</x:v>
      </x:c>
      <x:c r="AB519" s="24" t="str">
        <x:v>No se detectó proveedor externo en la ruta; confirmar autoría por lote antes de release público.</x:v>
      </x:c>
    </x:row>
    <x:row r="520" ht="34" customHeight="1">
      <x:c r="A520" s="24" t="str">
        <x:v>INT-0516</x:v>
      </x:c>
      <x:c r="B520" s="24" t="str">
        <x:v>869ad8bfde724239b5d218028ba6cd75</x:v>
      </x:c>
      <x:c r="C520" s="24" t="str">
        <x:v>SupplierDefinitionAsset.cs</x:v>
      </x:c>
      <x:c r="D520" s="24" t="str">
        <x:v>Code</x:v>
      </x:c>
      <x:c r="E520" s="24" t="str">
        <x:v>Infrastructure</x:v>
      </x:c>
      <x:c r="F520" s="24" t="str">
        <x:v>VRM Games / Blas Luis Rocha González</x:v>
      </x:c>
      <x:c r="G520" s="24" t="str">
        <x:v>VRM Games / Blas Luis Rocha González</x:v>
      </x:c>
      <x:c r="H520" s="24" t="str">
        <x:v>Internal project production</x:v>
      </x:c>
      <x:c r="I520" s="24" t="str">
        <x:v>2026 project timeline</x:v>
      </x:c>
      <x:c r="J520" s="24" t="str">
        <x:v>Internal project IP / authorship claim</x:v>
      </x:c>
      <x:c r="K520" s="24" t="str">
        <x:v>N/A</x:v>
      </x:c>
      <x:c r="L520" s="24" t="str">
        <x:v>Source package + repository path + hash</x:v>
      </x:c>
      <x:c r="M520" s="24" t="str">
        <x:v>de11ebac3ea073b67856e6d012043b890252458face8410fc1715ddcf1a2c947</x:v>
      </x:c>
      <x:c r="N520" s="24" t="str">
        <x:v>Assets/_Project/Scripts/Infrastructure/Suppliers/SupplierDefinitionAsset.cs</x:v>
      </x:c>
      <x:c r="O520" s="24" t="str">
        <x:v>869ad8bfde724239b5d218028ba6cd75</x:v>
      </x:c>
      <x:c r="P520" s="24" t="str">
        <x:v>Sí</x:v>
      </x:c>
      <x:c r="Q520" s="24" t="str">
        <x:v>Condicionado a autoría/procedencia final</x:v>
      </x:c>
      <x:c r="R520" s="24" t="str">
        <x:v>Solo dentro del producto/build autorizado</x:v>
      </x:c>
      <x:c r="S520" s="24" t="str">
        <x:v>Crédito general del estudio; individual si aplica</x:v>
      </x:c>
      <x:c r="T520" s="24" t="str">
        <x:v>VRM Games / Blas Luis Rocha González</x:v>
      </x:c>
      <x:c r="U520" s="24" t="str">
        <x:v>CURRENT PROJECT ASSET</x:v>
      </x:c>
      <x:c r="V520" s="24" t="str">
        <x:v>CONDITIONALLY APPROVED</x:v>
      </x:c>
      <x:c r="W520" s="24" t="str">
        <x:v>Sí</x:v>
      </x:c>
      <x:c r="X520" s="24" t="str">
        <x:v>Low</x:v>
      </x:c>
      <x:c r="Y520" s="24" t="str">
        <x:v>Internal development; public candidate requires gate</x:v>
      </x:c>
      <x:c r="Z520" s="24" t="str">
        <x:v>H6 legal/content audit</x:v>
      </x:c>
      <x:c r="AA520" s="24" t="str">
        <x:v>VRM Games</x:v>
      </x:c>
      <x:c r="AB520" s="24" t="str">
        <x:v>No se detectó proveedor externo en la ruta; confirmar autoría por lote antes de release público.</x:v>
      </x:c>
    </x:row>
    <x:row r="521" ht="34" customHeight="1">
      <x:c r="A521" s="24" t="str">
        <x:v>INT-0517</x:v>
      </x:c>
      <x:c r="B521" s="24" t="str">
        <x:v>a1379f1737884d6c9321b3d7d340c946</x:v>
      </x:c>
      <x:c r="C521" s="24" t="str">
        <x:v>AtomicJsonFile.cs</x:v>
      </x:c>
      <x:c r="D521" s="24" t="str">
        <x:v>Code</x:v>
      </x:c>
      <x:c r="E521" s="24" t="str">
        <x:v>Infrastructure</x:v>
      </x:c>
      <x:c r="F521" s="24" t="str">
        <x:v>VRM Games / Blas Luis Rocha González</x:v>
      </x:c>
      <x:c r="G521" s="24" t="str">
        <x:v>VRM Games / Blas Luis Rocha González</x:v>
      </x:c>
      <x:c r="H521" s="24" t="str">
        <x:v>Internal project production</x:v>
      </x:c>
      <x:c r="I521" s="24" t="str">
        <x:v>2026 project timeline</x:v>
      </x:c>
      <x:c r="J521" s="24" t="str">
        <x:v>Internal project IP / authorship claim</x:v>
      </x:c>
      <x:c r="K521" s="24" t="str">
        <x:v>N/A</x:v>
      </x:c>
      <x:c r="L521" s="24" t="str">
        <x:v>Source package + repository path + hash</x:v>
      </x:c>
      <x:c r="M521" s="24" t="str">
        <x:v>ead9646924fe5361a035cfacb10be8ab92beff9d510e8d393b175286ba49020a</x:v>
      </x:c>
      <x:c r="N521" s="24" t="str">
        <x:v>Assets/_Project/Scripts/Infrastructure/UIUX/AtomicJsonFile.cs</x:v>
      </x:c>
      <x:c r="O521" s="24" t="str">
        <x:v>a1379f1737884d6c9321b3d7d340c946</x:v>
      </x:c>
      <x:c r="P521" s="24" t="str">
        <x:v>Sí</x:v>
      </x:c>
      <x:c r="Q521" s="24" t="str">
        <x:v>Condicionado a autoría/procedencia final</x:v>
      </x:c>
      <x:c r="R521" s="24" t="str">
        <x:v>Solo dentro del producto/build autorizado</x:v>
      </x:c>
      <x:c r="S521" s="24" t="str">
        <x:v>Crédito general del estudio; individual si aplica</x:v>
      </x:c>
      <x:c r="T521" s="24" t="str">
        <x:v>VRM Games / Blas Luis Rocha González</x:v>
      </x:c>
      <x:c r="U521" s="24" t="str">
        <x:v>CURRENT PROJECT ASSET</x:v>
      </x:c>
      <x:c r="V521" s="24" t="str">
        <x:v>CONDITIONALLY APPROVED</x:v>
      </x:c>
      <x:c r="W521" s="24" t="str">
        <x:v>Sí</x:v>
      </x:c>
      <x:c r="X521" s="24" t="str">
        <x:v>Low</x:v>
      </x:c>
      <x:c r="Y521" s="24" t="str">
        <x:v>Internal development; public candidate requires gate</x:v>
      </x:c>
      <x:c r="Z521" s="24" t="str">
        <x:v>H6 legal/content audit</x:v>
      </x:c>
      <x:c r="AA521" s="24" t="str">
        <x:v>VRM Games</x:v>
      </x:c>
      <x:c r="AB521" s="24" t="str">
        <x:v>No se detectó proveedor externo en la ruta; confirmar autoría por lote antes de release público.</x:v>
      </x:c>
    </x:row>
    <x:row r="522" ht="34" customHeight="1">
      <x:c r="A522" s="24" t="str">
        <x:v>INT-0518</x:v>
      </x:c>
      <x:c r="B522" s="24" t="str">
        <x:v>a36c0874b2f84bc7a5d33e1b5f734d47</x:v>
      </x:c>
      <x:c r="C522" s="24" t="str">
        <x:v>JsonAccessibilitySettingsRepository.cs</x:v>
      </x:c>
      <x:c r="D522" s="24" t="str">
        <x:v>Code</x:v>
      </x:c>
      <x:c r="E522" s="24" t="str">
        <x:v>Infrastructure</x:v>
      </x:c>
      <x:c r="F522" s="24" t="str">
        <x:v>VRM Games / Blas Luis Rocha González</x:v>
      </x:c>
      <x:c r="G522" s="24" t="str">
        <x:v>VRM Games / Blas Luis Rocha González</x:v>
      </x:c>
      <x:c r="H522" s="24" t="str">
        <x:v>Internal project production</x:v>
      </x:c>
      <x:c r="I522" s="24" t="str">
        <x:v>2026 project timeline</x:v>
      </x:c>
      <x:c r="J522" s="24" t="str">
        <x:v>Internal project IP / authorship claim</x:v>
      </x:c>
      <x:c r="K522" s="24" t="str">
        <x:v>N/A</x:v>
      </x:c>
      <x:c r="L522" s="24" t="str">
        <x:v>Source package + repository path + hash</x:v>
      </x:c>
      <x:c r="M522" s="24" t="str">
        <x:v>4068456a35c6e0d148cb8e57034c61a8e3d8c3bf6afaa26e47f24fa5efa97d41</x:v>
      </x:c>
      <x:c r="N522" s="24" t="str">
        <x:v>Assets/_Project/Scripts/Infrastructure/UIUX/JsonAccessibilitySettingsRepository.cs</x:v>
      </x:c>
      <x:c r="O522" s="24" t="str">
        <x:v>a36c0874b2f84bc7a5d33e1b5f734d47</x:v>
      </x:c>
      <x:c r="P522" s="24" t="str">
        <x:v>Sí</x:v>
      </x:c>
      <x:c r="Q522" s="24" t="str">
        <x:v>Condicionado a autoría/procedencia final</x:v>
      </x:c>
      <x:c r="R522" s="24" t="str">
        <x:v>Solo dentro del producto/build autorizado</x:v>
      </x:c>
      <x:c r="S522" s="24" t="str">
        <x:v>Crédito general del estudio; individual si aplica</x:v>
      </x:c>
      <x:c r="T522" s="24" t="str">
        <x:v>VRM Games / Blas Luis Rocha González</x:v>
      </x:c>
      <x:c r="U522" s="24" t="str">
        <x:v>CURRENT PROJECT ASSET</x:v>
      </x:c>
      <x:c r="V522" s="24" t="str">
        <x:v>CONDITIONALLY APPROVED</x:v>
      </x:c>
      <x:c r="W522" s="24" t="str">
        <x:v>Sí</x:v>
      </x:c>
      <x:c r="X522" s="24" t="str">
        <x:v>Low</x:v>
      </x:c>
      <x:c r="Y522" s="24" t="str">
        <x:v>Internal development; public candidate requires gate</x:v>
      </x:c>
      <x:c r="Z522" s="24" t="str">
        <x:v>H6 legal/content audit</x:v>
      </x:c>
      <x:c r="AA522" s="24" t="str">
        <x:v>VRM Games</x:v>
      </x:c>
      <x:c r="AB522" s="24" t="str">
        <x:v>No se detectó proveedor externo en la ruta; confirmar autoría por lote antes de release público.</x:v>
      </x:c>
    </x:row>
    <x:row r="523" ht="34" customHeight="1">
      <x:c r="A523" s="24" t="str">
        <x:v>INT-0519</x:v>
      </x:c>
      <x:c r="B523" s="24" t="str">
        <x:v>e5485cf7b84840a198b29b7ab0dc5396</x:v>
      </x:c>
      <x:c r="C523" s="24" t="str">
        <x:v>JsonAutosaveMarkerRepository.cs</x:v>
      </x:c>
      <x:c r="D523" s="24" t="str">
        <x:v>Code</x:v>
      </x:c>
      <x:c r="E523" s="24" t="str">
        <x:v>Infrastructure</x:v>
      </x:c>
      <x:c r="F523" s="24" t="str">
        <x:v>VRM Games / Blas Luis Rocha González</x:v>
      </x:c>
      <x:c r="G523" s="24" t="str">
        <x:v>VRM Games / Blas Luis Rocha González</x:v>
      </x:c>
      <x:c r="H523" s="24" t="str">
        <x:v>Internal project production</x:v>
      </x:c>
      <x:c r="I523" s="24" t="str">
        <x:v>2026 project timeline</x:v>
      </x:c>
      <x:c r="J523" s="24" t="str">
        <x:v>Internal project IP / authorship claim</x:v>
      </x:c>
      <x:c r="K523" s="24" t="str">
        <x:v>N/A</x:v>
      </x:c>
      <x:c r="L523" s="24" t="str">
        <x:v>Source package + repository path + hash</x:v>
      </x:c>
      <x:c r="M523" s="24" t="str">
        <x:v>c5ac25d0c459f1012d717f878a7d84197fbf137d14b59967b0a0017c0af02cb9</x:v>
      </x:c>
      <x:c r="N523" s="24" t="str">
        <x:v>Assets/_Project/Scripts/Infrastructure/UIUX/JsonAutosaveMarkerRepository.cs</x:v>
      </x:c>
      <x:c r="O523" s="24" t="str">
        <x:v>e5485cf7b84840a198b29b7ab0dc5396</x:v>
      </x:c>
      <x:c r="P523" s="24" t="str">
        <x:v>Sí</x:v>
      </x:c>
      <x:c r="Q523" s="24" t="str">
        <x:v>Condicionado a autoría/procedencia final</x:v>
      </x:c>
      <x:c r="R523" s="24" t="str">
        <x:v>Solo dentro del producto/build autorizado</x:v>
      </x:c>
      <x:c r="S523" s="24" t="str">
        <x:v>Crédito general del estudio; individual si aplica</x:v>
      </x:c>
      <x:c r="T523" s="24" t="str">
        <x:v>VRM Games / Blas Luis Rocha González</x:v>
      </x:c>
      <x:c r="U523" s="24" t="str">
        <x:v>CURRENT PROJECT ASSET</x:v>
      </x:c>
      <x:c r="V523" s="24" t="str">
        <x:v>CONDITIONALLY APPROVED</x:v>
      </x:c>
      <x:c r="W523" s="24" t="str">
        <x:v>Sí</x:v>
      </x:c>
      <x:c r="X523" s="24" t="str">
        <x:v>Low</x:v>
      </x:c>
      <x:c r="Y523" s="24" t="str">
        <x:v>Internal development; public candidate requires gate</x:v>
      </x:c>
      <x:c r="Z523" s="24" t="str">
        <x:v>H6 legal/content audit</x:v>
      </x:c>
      <x:c r="AA523" s="24" t="str">
        <x:v>VRM Games</x:v>
      </x:c>
      <x:c r="AB523" s="24" t="str">
        <x:v>No se detectó proveedor externo en la ruta; confirmar autoría por lote antes de release público.</x:v>
      </x:c>
    </x:row>
    <x:row r="524" ht="34" customHeight="1">
      <x:c r="A524" s="24" t="str">
        <x:v>INT-0520</x:v>
      </x:c>
      <x:c r="B524" s="24" t="str">
        <x:v>c58963b0be484fa1b89c00c693b7950e</x:v>
      </x:c>
      <x:c r="C524" s="24" t="str">
        <x:v>JsonTutorialProgressRepository.cs</x:v>
      </x:c>
      <x:c r="D524" s="24" t="str">
        <x:v>Code</x:v>
      </x:c>
      <x:c r="E524" s="24" t="str">
        <x:v>Infrastructure</x:v>
      </x:c>
      <x:c r="F524" s="24" t="str">
        <x:v>VRM Games / Blas Luis Rocha González</x:v>
      </x:c>
      <x:c r="G524" s="24" t="str">
        <x:v>VRM Games / Blas Luis Rocha González</x:v>
      </x:c>
      <x:c r="H524" s="24" t="str">
        <x:v>Internal project production</x:v>
      </x:c>
      <x:c r="I524" s="24" t="str">
        <x:v>2026 project timeline</x:v>
      </x:c>
      <x:c r="J524" s="24" t="str">
        <x:v>Internal project IP / authorship claim</x:v>
      </x:c>
      <x:c r="K524" s="24" t="str">
        <x:v>N/A</x:v>
      </x:c>
      <x:c r="L524" s="24" t="str">
        <x:v>Source package + repository path + hash</x:v>
      </x:c>
      <x:c r="M524" s="24" t="str">
        <x:v>f481dcb5bd0a318bf846ec2d03d564284ef255ab3f7a7598aae0165d944b201f</x:v>
      </x:c>
      <x:c r="N524" s="24" t="str">
        <x:v>Assets/_Project/Scripts/Infrastructure/UIUX/JsonTutorialProgressRepository.cs</x:v>
      </x:c>
      <x:c r="O524" s="24" t="str">
        <x:v>c58963b0be484fa1b89c00c693b7950e</x:v>
      </x:c>
      <x:c r="P524" s="24" t="str">
        <x:v>Sí</x:v>
      </x:c>
      <x:c r="Q524" s="24" t="str">
        <x:v>Condicionado a autoría/procedencia final</x:v>
      </x:c>
      <x:c r="R524" s="24" t="str">
        <x:v>Solo dentro del producto/build autorizado</x:v>
      </x:c>
      <x:c r="S524" s="24" t="str">
        <x:v>Crédito general del estudio; individual si aplica</x:v>
      </x:c>
      <x:c r="T524" s="24" t="str">
        <x:v>VRM Games / Blas Luis Rocha González</x:v>
      </x:c>
      <x:c r="U524" s="24" t="str">
        <x:v>CURRENT PROJECT ASSET</x:v>
      </x:c>
      <x:c r="V524" s="24" t="str">
        <x:v>CONDITIONALLY APPROVED</x:v>
      </x:c>
      <x:c r="W524" s="24" t="str">
        <x:v>Sí</x:v>
      </x:c>
      <x:c r="X524" s="24" t="str">
        <x:v>Low</x:v>
      </x:c>
      <x:c r="Y524" s="24" t="str">
        <x:v>Internal development; public candidate requires gate</x:v>
      </x:c>
      <x:c r="Z524" s="24" t="str">
        <x:v>H6 legal/content audit</x:v>
      </x:c>
      <x:c r="AA524" s="24" t="str">
        <x:v>VRM Games</x:v>
      </x:c>
      <x:c r="AB524" s="24" t="str">
        <x:v>No se detectó proveedor externo en la ruta; confirmar autoría por lote antes de release público.</x:v>
      </x:c>
    </x:row>
    <x:row r="525" ht="34" customHeight="1">
      <x:c r="A525" s="24" t="str">
        <x:v>INT-0521</x:v>
      </x:c>
      <x:c r="B525" s="24" t="str">
        <x:v>a6f4f1133de840f991acb9c17c6848ba</x:v>
      </x:c>
      <x:c r="C525" s="24" t="str">
        <x:v>MainMenuSlotScreen.cs</x:v>
      </x:c>
      <x:c r="D525" s="24" t="str">
        <x:v>Code</x:v>
      </x:c>
      <x:c r="E525" s="24" t="str">
        <x:v>Infrastructure</x:v>
      </x:c>
      <x:c r="F525" s="24" t="str">
        <x:v>VRM Games / Blas Luis Rocha González</x:v>
      </x:c>
      <x:c r="G525" s="24" t="str">
        <x:v>VRM Games / Blas Luis Rocha González</x:v>
      </x:c>
      <x:c r="H525" s="24" t="str">
        <x:v>Internal project production</x:v>
      </x:c>
      <x:c r="I525" s="24" t="str">
        <x:v>2026 project timeline</x:v>
      </x:c>
      <x:c r="J525" s="24" t="str">
        <x:v>Internal project IP / authorship claim</x:v>
      </x:c>
      <x:c r="K525" s="24" t="str">
        <x:v>N/A</x:v>
      </x:c>
      <x:c r="L525" s="24" t="str">
        <x:v>Source package + repository path + hash</x:v>
      </x:c>
      <x:c r="M525" s="24" t="str">
        <x:v>0649e0cdd32a35c5eb142bf3fcfe0507760e5784deed46db2c6170bc949a69eb</x:v>
      </x:c>
      <x:c r="N525" s="24" t="str">
        <x:v>Assets/_Project/Scripts/Infrastructure/UIUX/MainMenuSlotScreen.cs</x:v>
      </x:c>
      <x:c r="O525" s="24" t="str">
        <x:v>a6f4f1133de840f991acb9c17c6848ba</x:v>
      </x:c>
      <x:c r="P525" s="24" t="str">
        <x:v>Sí</x:v>
      </x:c>
      <x:c r="Q525" s="24" t="str">
        <x:v>Condicionado a autoría/procedencia final</x:v>
      </x:c>
      <x:c r="R525" s="24" t="str">
        <x:v>Solo dentro del producto/build autorizado</x:v>
      </x:c>
      <x:c r="S525" s="24" t="str">
        <x:v>Crédito general del estudio; individual si aplica</x:v>
      </x:c>
      <x:c r="T525" s="24" t="str">
        <x:v>VRM Games / Blas Luis Rocha González</x:v>
      </x:c>
      <x:c r="U525" s="24" t="str">
        <x:v>CURRENT PROJECT ASSET</x:v>
      </x:c>
      <x:c r="V525" s="24" t="str">
        <x:v>CONDITIONALLY APPROVED</x:v>
      </x:c>
      <x:c r="W525" s="24" t="str">
        <x:v>Sí</x:v>
      </x:c>
      <x:c r="X525" s="24" t="str">
        <x:v>Low</x:v>
      </x:c>
      <x:c r="Y525" s="24" t="str">
        <x:v>Internal development; public candidate requires gate</x:v>
      </x:c>
      <x:c r="Z525" s="24" t="str">
        <x:v>H6 legal/content audit</x:v>
      </x:c>
      <x:c r="AA525" s="24" t="str">
        <x:v>VRM Games</x:v>
      </x:c>
      <x:c r="AB525" s="24" t="str">
        <x:v>No se detectó proveedor externo en la ruta; confirmar autoría por lote antes de release público.</x:v>
      </x:c>
    </x:row>
    <x:row r="526" ht="34" customHeight="1">
      <x:c r="A526" s="24" t="str">
        <x:v>INT-0522</x:v>
      </x:c>
      <x:c r="B526" s="24" t="str">
        <x:v>1f61c45e5d2041cf8c2abd4063943453</x:v>
      </x:c>
      <x:c r="C526" s="24" t="str">
        <x:v>Sprint15InputMapGate.cs</x:v>
      </x:c>
      <x:c r="D526" s="24" t="str">
        <x:v>Code</x:v>
      </x:c>
      <x:c r="E526" s="24" t="str">
        <x:v>Infrastructure</x:v>
      </x:c>
      <x:c r="F526" s="24" t="str">
        <x:v>VRM Games / Blas Luis Rocha González</x:v>
      </x:c>
      <x:c r="G526" s="24" t="str">
        <x:v>VRM Games / Blas Luis Rocha González</x:v>
      </x:c>
      <x:c r="H526" s="24" t="str">
        <x:v>Internal project production</x:v>
      </x:c>
      <x:c r="I526" s="24" t="str">
        <x:v>2026 project timeline</x:v>
      </x:c>
      <x:c r="J526" s="24" t="str">
        <x:v>Internal project IP / authorship claim</x:v>
      </x:c>
      <x:c r="K526" s="24" t="str">
        <x:v>N/A</x:v>
      </x:c>
      <x:c r="L526" s="24" t="str">
        <x:v>Source package + repository path + hash</x:v>
      </x:c>
      <x:c r="M526" s="24" t="str">
        <x:v>00d7bd9138e10e806f38fe09cfb3b3deef49f9f8a878beb4da9adcd2b1e2ef02</x:v>
      </x:c>
      <x:c r="N526" s="24" t="str">
        <x:v>Assets/_Project/Scripts/Infrastructure/UIUX/Sprint15InputMapGate.cs</x:v>
      </x:c>
      <x:c r="O526" s="24" t="str">
        <x:v>1f61c45e5d2041cf8c2abd4063943453</x:v>
      </x:c>
      <x:c r="P526" s="24" t="str">
        <x:v>Sí</x:v>
      </x:c>
      <x:c r="Q526" s="24" t="str">
        <x:v>Condicionado a autoría/procedencia final</x:v>
      </x:c>
      <x:c r="R526" s="24" t="str">
        <x:v>Solo dentro del producto/build autorizado</x:v>
      </x:c>
      <x:c r="S526" s="24" t="str">
        <x:v>Crédito general del estudio; individual si aplica</x:v>
      </x:c>
      <x:c r="T526" s="24" t="str">
        <x:v>VRM Games / Blas Luis Rocha González</x:v>
      </x:c>
      <x:c r="U526" s="24" t="str">
        <x:v>CURRENT PROJECT ASSET</x:v>
      </x:c>
      <x:c r="V526" s="24" t="str">
        <x:v>CONDITIONALLY APPROVED</x:v>
      </x:c>
      <x:c r="W526" s="24" t="str">
        <x:v>Sí</x:v>
      </x:c>
      <x:c r="X526" s="24" t="str">
        <x:v>Low</x:v>
      </x:c>
      <x:c r="Y526" s="24" t="str">
        <x:v>Internal development; public candidate requires gate</x:v>
      </x:c>
      <x:c r="Z526" s="24" t="str">
        <x:v>H6 legal/content audit</x:v>
      </x:c>
      <x:c r="AA526" s="24" t="str">
        <x:v>VRM Games</x:v>
      </x:c>
      <x:c r="AB526" s="24" t="str">
        <x:v>No se detectó proveedor externo en la ruta; confirmar autoría por lote antes de release público.</x:v>
      </x:c>
    </x:row>
    <x:row r="527" ht="34" customHeight="1">
      <x:c r="A527" s="24" t="str">
        <x:v>INT-0523</x:v>
      </x:c>
      <x:c r="B527" s="24" t="str">
        <x:v>04ca360e2a9942b9b019e68b9707cec6</x:v>
      </x:c>
      <x:c r="C527" s="24" t="str">
        <x:v>Sprint15InputSignals.cs</x:v>
      </x:c>
      <x:c r="D527" s="24" t="str">
        <x:v>Code</x:v>
      </x:c>
      <x:c r="E527" s="24" t="str">
        <x:v>Infrastructure</x:v>
      </x:c>
      <x:c r="F527" s="24" t="str">
        <x:v>VRM Games / Blas Luis Rocha González</x:v>
      </x:c>
      <x:c r="G527" s="24" t="str">
        <x:v>VRM Games / Blas Luis Rocha González</x:v>
      </x:c>
      <x:c r="H527" s="24" t="str">
        <x:v>Internal project production</x:v>
      </x:c>
      <x:c r="I527" s="24" t="str">
        <x:v>2026 project timeline</x:v>
      </x:c>
      <x:c r="J527" s="24" t="str">
        <x:v>Internal project IP / authorship claim</x:v>
      </x:c>
      <x:c r="K527" s="24" t="str">
        <x:v>N/A</x:v>
      </x:c>
      <x:c r="L527" s="24" t="str">
        <x:v>Source package + repository path + hash</x:v>
      </x:c>
      <x:c r="M527" s="24" t="str">
        <x:v>c41b401a8c62181d6a1902ce942774acd27b2212c53ba111a91e5d1cd27703e7</x:v>
      </x:c>
      <x:c r="N527" s="24" t="str">
        <x:v>Assets/_Project/Scripts/Infrastructure/UIUX/Sprint15InputSignals.cs</x:v>
      </x:c>
      <x:c r="O527" s="24" t="str">
        <x:v>04ca360e2a9942b9b019e68b9707cec6</x:v>
      </x:c>
      <x:c r="P527" s="24" t="str">
        <x:v>Sí</x:v>
      </x:c>
      <x:c r="Q527" s="24" t="str">
        <x:v>Condicionado a autoría/procedencia final</x:v>
      </x:c>
      <x:c r="R527" s="24" t="str">
        <x:v>Solo dentro del producto/build autorizado</x:v>
      </x:c>
      <x:c r="S527" s="24" t="str">
        <x:v>Crédito general del estudio; individual si aplica</x:v>
      </x:c>
      <x:c r="T527" s="24" t="str">
        <x:v>VRM Games / Blas Luis Rocha González</x:v>
      </x:c>
      <x:c r="U527" s="24" t="str">
        <x:v>CURRENT PROJECT ASSET</x:v>
      </x:c>
      <x:c r="V527" s="24" t="str">
        <x:v>CONDITIONALLY APPROVED</x:v>
      </x:c>
      <x:c r="W527" s="24" t="str">
        <x:v>Sí</x:v>
      </x:c>
      <x:c r="X527" s="24" t="str">
        <x:v>Low</x:v>
      </x:c>
      <x:c r="Y527" s="24" t="str">
        <x:v>Internal development; public candidate requires gate</x:v>
      </x:c>
      <x:c r="Z527" s="24" t="str">
        <x:v>H6 legal/content audit</x:v>
      </x:c>
      <x:c r="AA527" s="24" t="str">
        <x:v>VRM Games</x:v>
      </x:c>
      <x:c r="AB527" s="24" t="str">
        <x:v>No se detectó proveedor externo en la ruta; confirmar autoría por lote antes de release público.</x:v>
      </x:c>
    </x:row>
    <x:row r="528" ht="34" customHeight="1">
      <x:c r="A528" s="24" t="str">
        <x:v>INT-0524</x:v>
      </x:c>
      <x:c r="B528" s="24" t="str">
        <x:v>cc73b4ed91714a78b67fac6a2f3dd11d</x:v>
      </x:c>
      <x:c r="C528" s="24" t="str">
        <x:v>Sprint15RuntimeCompositionRoot.cs</x:v>
      </x:c>
      <x:c r="D528" s="24" t="str">
        <x:v>Code</x:v>
      </x:c>
      <x:c r="E528" s="24" t="str">
        <x:v>Infrastructure</x:v>
      </x:c>
      <x:c r="F528" s="24" t="str">
        <x:v>VRM Games / Blas Luis Rocha González</x:v>
      </x:c>
      <x:c r="G528" s="24" t="str">
        <x:v>VRM Games / Blas Luis Rocha González</x:v>
      </x:c>
      <x:c r="H528" s="24" t="str">
        <x:v>Internal project production</x:v>
      </x:c>
      <x:c r="I528" s="24" t="str">
        <x:v>2026 project timeline</x:v>
      </x:c>
      <x:c r="J528" s="24" t="str">
        <x:v>Internal project IP / authorship claim</x:v>
      </x:c>
      <x:c r="K528" s="24" t="str">
        <x:v>N/A</x:v>
      </x:c>
      <x:c r="L528" s="24" t="str">
        <x:v>Source package + repository path + hash</x:v>
      </x:c>
      <x:c r="M528" s="24" t="str">
        <x:v>9ad97ab7a06f4c859d916645198b9ed3ac2689c9c431ecd5f9db7c7e9932aaf9</x:v>
      </x:c>
      <x:c r="N528" s="24" t="str">
        <x:v>Assets/_Project/Scripts/Infrastructure/UIUX/Sprint15RuntimeCompositionRoot.cs</x:v>
      </x:c>
      <x:c r="O528" s="24" t="str">
        <x:v>cc73b4ed91714a78b67fac6a2f3dd11d</x:v>
      </x:c>
      <x:c r="P528" s="24" t="str">
        <x:v>Sí</x:v>
      </x:c>
      <x:c r="Q528" s="24" t="str">
        <x:v>Condicionado a autoría/procedencia final</x:v>
      </x:c>
      <x:c r="R528" s="24" t="str">
        <x:v>Solo dentro del producto/build autorizado</x:v>
      </x:c>
      <x:c r="S528" s="24" t="str">
        <x:v>Crédito general del estudio; individual si aplica</x:v>
      </x:c>
      <x:c r="T528" s="24" t="str">
        <x:v>VRM Games / Blas Luis Rocha González</x:v>
      </x:c>
      <x:c r="U528" s="24" t="str">
        <x:v>CURRENT PROJECT ASSET</x:v>
      </x:c>
      <x:c r="V528" s="24" t="str">
        <x:v>CONDITIONALLY APPROVED</x:v>
      </x:c>
      <x:c r="W528" s="24" t="str">
        <x:v>Sí</x:v>
      </x:c>
      <x:c r="X528" s="24" t="str">
        <x:v>Low</x:v>
      </x:c>
      <x:c r="Y528" s="24" t="str">
        <x:v>Internal development; public candidate requires gate</x:v>
      </x:c>
      <x:c r="Z528" s="24" t="str">
        <x:v>H6 legal/content audit</x:v>
      </x:c>
      <x:c r="AA528" s="24" t="str">
        <x:v>VRM Games</x:v>
      </x:c>
      <x:c r="AB528" s="24" t="str">
        <x:v>No se detectó proveedor externo en la ruta; confirmar autoría por lote antes de release público.</x:v>
      </x:c>
    </x:row>
    <x:row r="529" ht="34" customHeight="1">
      <x:c r="A529" s="24" t="str">
        <x:v>INT-0525</x:v>
      </x:c>
      <x:c r="B529" s="24" t="str">
        <x:v>49dd47e0ce1549e69d13330b0b6b3715</x:v>
      </x:c>
      <x:c r="C529" s="24" t="str">
        <x:v>Sprint15RuntimeStateBridge.cs</x:v>
      </x:c>
      <x:c r="D529" s="24" t="str">
        <x:v>Code</x:v>
      </x:c>
      <x:c r="E529" s="24" t="str">
        <x:v>Infrastructure</x:v>
      </x:c>
      <x:c r="F529" s="24" t="str">
        <x:v>VRM Games / Blas Luis Rocha González</x:v>
      </x:c>
      <x:c r="G529" s="24" t="str">
        <x:v>VRM Games / Blas Luis Rocha González</x:v>
      </x:c>
      <x:c r="H529" s="24" t="str">
        <x:v>Internal project production</x:v>
      </x:c>
      <x:c r="I529" s="24" t="str">
        <x:v>2026 project timeline</x:v>
      </x:c>
      <x:c r="J529" s="24" t="str">
        <x:v>Internal project IP / authorship claim</x:v>
      </x:c>
      <x:c r="K529" s="24" t="str">
        <x:v>N/A</x:v>
      </x:c>
      <x:c r="L529" s="24" t="str">
        <x:v>Source package + repository path + hash</x:v>
      </x:c>
      <x:c r="M529" s="24" t="str">
        <x:v>0f787f7646adddcb60d9d7d54627373ce9a56aa08cbedfba8584ed2bf6d5b375</x:v>
      </x:c>
      <x:c r="N529" s="24" t="str">
        <x:v>Assets/_Project/Scripts/Infrastructure/UIUX/Sprint15RuntimeStateBridge.cs</x:v>
      </x:c>
      <x:c r="O529" s="24" t="str">
        <x:v>49dd47e0ce1549e69d13330b0b6b3715</x:v>
      </x:c>
      <x:c r="P529" s="24" t="str">
        <x:v>Sí</x:v>
      </x:c>
      <x:c r="Q529" s="24" t="str">
        <x:v>Condicionado a autoría/procedencia final</x:v>
      </x:c>
      <x:c r="R529" s="24" t="str">
        <x:v>Solo dentro del producto/build autorizado</x:v>
      </x:c>
      <x:c r="S529" s="24" t="str">
        <x:v>Crédito general del estudio; individual si aplica</x:v>
      </x:c>
      <x:c r="T529" s="24" t="str">
        <x:v>VRM Games / Blas Luis Rocha González</x:v>
      </x:c>
      <x:c r="U529" s="24" t="str">
        <x:v>CURRENT PROJECT ASSET</x:v>
      </x:c>
      <x:c r="V529" s="24" t="str">
        <x:v>CONDITIONALLY APPROVED</x:v>
      </x:c>
      <x:c r="W529" s="24" t="str">
        <x:v>Sí</x:v>
      </x:c>
      <x:c r="X529" s="24" t="str">
        <x:v>Low</x:v>
      </x:c>
      <x:c r="Y529" s="24" t="str">
        <x:v>Internal development; public candidate requires gate</x:v>
      </x:c>
      <x:c r="Z529" s="24" t="str">
        <x:v>H6 legal/content audit</x:v>
      </x:c>
      <x:c r="AA529" s="24" t="str">
        <x:v>VRM Games</x:v>
      </x:c>
      <x:c r="AB529" s="24" t="str">
        <x:v>No se detectó proveedor externo en la ruta; confirmar autoría por lote antes de release público.</x:v>
      </x:c>
    </x:row>
    <x:row r="530" ht="34" customHeight="1">
      <x:c r="A530" s="24" t="str">
        <x:v>INT-0526</x:v>
      </x:c>
      <x:c r="B530" s="24" t="str">
        <x:v>d83ee47255b64733863a12a81783f88b</x:v>
      </x:c>
      <x:c r="C530" s="24" t="str">
        <x:v>Sprint15SettingsAsset.cs</x:v>
      </x:c>
      <x:c r="D530" s="24" t="str">
        <x:v>Code</x:v>
      </x:c>
      <x:c r="E530" s="24" t="str">
        <x:v>Infrastructure</x:v>
      </x:c>
      <x:c r="F530" s="24" t="str">
        <x:v>VRM Games / Blas Luis Rocha González</x:v>
      </x:c>
      <x:c r="G530" s="24" t="str">
        <x:v>VRM Games / Blas Luis Rocha González</x:v>
      </x:c>
      <x:c r="H530" s="24" t="str">
        <x:v>Internal project production</x:v>
      </x:c>
      <x:c r="I530" s="24" t="str">
        <x:v>2026 project timeline</x:v>
      </x:c>
      <x:c r="J530" s="24" t="str">
        <x:v>Internal project IP / authorship claim</x:v>
      </x:c>
      <x:c r="K530" s="24" t="str">
        <x:v>N/A</x:v>
      </x:c>
      <x:c r="L530" s="24" t="str">
        <x:v>Source package + repository path + hash</x:v>
      </x:c>
      <x:c r="M530" s="24" t="str">
        <x:v>bb9f8e6a334edb9ff75981db0aecfc5bd7a83da96db4d26a1e9df477d67421c2</x:v>
      </x:c>
      <x:c r="N530" s="24" t="str">
        <x:v>Assets/_Project/Scripts/Infrastructure/UIUX/Sprint15SettingsAsset.cs</x:v>
      </x:c>
      <x:c r="O530" s="24" t="str">
        <x:v>d83ee47255b64733863a12a81783f88b</x:v>
      </x:c>
      <x:c r="P530" s="24" t="str">
        <x:v>Sí</x:v>
      </x:c>
      <x:c r="Q530" s="24" t="str">
        <x:v>Condicionado a autoría/procedencia final</x:v>
      </x:c>
      <x:c r="R530" s="24" t="str">
        <x:v>Solo dentro del producto/build autorizado</x:v>
      </x:c>
      <x:c r="S530" s="24" t="str">
        <x:v>Crédito general del estudio; individual si aplica</x:v>
      </x:c>
      <x:c r="T530" s="24" t="str">
        <x:v>VRM Games / Blas Luis Rocha González</x:v>
      </x:c>
      <x:c r="U530" s="24" t="str">
        <x:v>CURRENT PROJECT ASSET</x:v>
      </x:c>
      <x:c r="V530" s="24" t="str">
        <x:v>CONDITIONALLY APPROVED</x:v>
      </x:c>
      <x:c r="W530" s="24" t="str">
        <x:v>Sí</x:v>
      </x:c>
      <x:c r="X530" s="24" t="str">
        <x:v>Low</x:v>
      </x:c>
      <x:c r="Y530" s="24" t="str">
        <x:v>Internal development; public candidate requires gate</x:v>
      </x:c>
      <x:c r="Z530" s="24" t="str">
        <x:v>H6 legal/content audit</x:v>
      </x:c>
      <x:c r="AA530" s="24" t="str">
        <x:v>VRM Games</x:v>
      </x:c>
      <x:c r="AB530" s="24" t="str">
        <x:v>No se detectó proveedor externo en la ruta; confirmar autoría por lote antes de release público.</x:v>
      </x:c>
    </x:row>
    <x:row r="531" ht="34" customHeight="1">
      <x:c r="A531" s="24" t="str">
        <x:v>INT-0527</x:v>
      </x:c>
      <x:c r="B531" s="24" t="str">
        <x:v>74f9398675a4449dadaabe5e62eff36f</x:v>
      </x:c>
      <x:c r="C531" s="24" t="str">
        <x:v>Sprint15TechnicalScenarioRunner.cs</x:v>
      </x:c>
      <x:c r="D531" s="24" t="str">
        <x:v>Code</x:v>
      </x:c>
      <x:c r="E531" s="24" t="str">
        <x:v>Infrastructure</x:v>
      </x:c>
      <x:c r="F531" s="24" t="str">
        <x:v>VRM Games / Blas Luis Rocha González</x:v>
      </x:c>
      <x:c r="G531" s="24" t="str">
        <x:v>VRM Games / Blas Luis Rocha González</x:v>
      </x:c>
      <x:c r="H531" s="24" t="str">
        <x:v>Internal project production</x:v>
      </x:c>
      <x:c r="I531" s="24" t="str">
        <x:v>2026 project timeline</x:v>
      </x:c>
      <x:c r="J531" s="24" t="str">
        <x:v>Internal project IP / authorship claim</x:v>
      </x:c>
      <x:c r="K531" s="24" t="str">
        <x:v>N/A</x:v>
      </x:c>
      <x:c r="L531" s="24" t="str">
        <x:v>Source package + repository path + hash</x:v>
      </x:c>
      <x:c r="M531" s="24" t="str">
        <x:v>5799dee4733f58afc7294610b5bc021649adf4df9d96d451b28a3b66a41f9707</x:v>
      </x:c>
      <x:c r="N531" s="24" t="str">
        <x:v>Assets/_Project/Scripts/Infrastructure/UIUX/Sprint15TechnicalScenarioRunner.cs</x:v>
      </x:c>
      <x:c r="O531" s="24" t="str">
        <x:v>74f9398675a4449dadaabe5e62eff36f</x:v>
      </x:c>
      <x:c r="P531" s="24" t="str">
        <x:v>Sí</x:v>
      </x:c>
      <x:c r="Q531" s="24" t="str">
        <x:v>Condicionado a autoría/procedencia final</x:v>
      </x:c>
      <x:c r="R531" s="24" t="str">
        <x:v>Solo dentro del producto/build autorizado</x:v>
      </x:c>
      <x:c r="S531" s="24" t="str">
        <x:v>Crédito general del estudio; individual si aplica</x:v>
      </x:c>
      <x:c r="T531" s="24" t="str">
        <x:v>VRM Games / Blas Luis Rocha González</x:v>
      </x:c>
      <x:c r="U531" s="24" t="str">
        <x:v>CURRENT PROJECT ASSET</x:v>
      </x:c>
      <x:c r="V531" s="24" t="str">
        <x:v>CONDITIONALLY APPROVED</x:v>
      </x:c>
      <x:c r="W531" s="24" t="str">
        <x:v>Sí</x:v>
      </x:c>
      <x:c r="X531" s="24" t="str">
        <x:v>Low</x:v>
      </x:c>
      <x:c r="Y531" s="24" t="str">
        <x:v>Internal development; public candidate requires gate</x:v>
      </x:c>
      <x:c r="Z531" s="24" t="str">
        <x:v>H6 legal/content audit</x:v>
      </x:c>
      <x:c r="AA531" s="24" t="str">
        <x:v>VRM Games</x:v>
      </x:c>
      <x:c r="AB531" s="24" t="str">
        <x:v>No se detectó proveedor externo en la ruta; confirmar autoría por lote antes de release público.</x:v>
      </x:c>
    </x:row>
    <x:row r="532" ht="34" customHeight="1">
      <x:c r="A532" s="24" t="str">
        <x:v>INT-0528</x:v>
      </x:c>
      <x:c r="B532" s="24" t="str">
        <x:v>fcbe00c9a3204826a063df7d8319f774</x:v>
      </x:c>
      <x:c r="C532" s="24" t="str">
        <x:v>Sprint15UiFactory.cs</x:v>
      </x:c>
      <x:c r="D532" s="24" t="str">
        <x:v>Code</x:v>
      </x:c>
      <x:c r="E532" s="24" t="str">
        <x:v>Infrastructure</x:v>
      </x:c>
      <x:c r="F532" s="24" t="str">
        <x:v>VRM Games / Blas Luis Rocha González</x:v>
      </x:c>
      <x:c r="G532" s="24" t="str">
        <x:v>VRM Games / Blas Luis Rocha González</x:v>
      </x:c>
      <x:c r="H532" s="24" t="str">
        <x:v>Internal project production</x:v>
      </x:c>
      <x:c r="I532" s="24" t="str">
        <x:v>2026 project timeline</x:v>
      </x:c>
      <x:c r="J532" s="24" t="str">
        <x:v>Internal project IP / authorship claim</x:v>
      </x:c>
      <x:c r="K532" s="24" t="str">
        <x:v>N/A</x:v>
      </x:c>
      <x:c r="L532" s="24" t="str">
        <x:v>Source package + repository path + hash</x:v>
      </x:c>
      <x:c r="M532" s="24" t="str">
        <x:v>b0688a084255679d37cf2aa68e5718f25547d60d2bec76de05a3039eef001d78</x:v>
      </x:c>
      <x:c r="N532" s="24" t="str">
        <x:v>Assets/_Project/Scripts/Infrastructure/UIUX/Sprint15UiFactory.cs</x:v>
      </x:c>
      <x:c r="O532" s="24" t="str">
        <x:v>fcbe00c9a3204826a063df7d8319f774</x:v>
      </x:c>
      <x:c r="P532" s="24" t="str">
        <x:v>Sí</x:v>
      </x:c>
      <x:c r="Q532" s="24" t="str">
        <x:v>Condicionado a autoría/procedencia final</x:v>
      </x:c>
      <x:c r="R532" s="24" t="str">
        <x:v>Solo dentro del producto/build autorizado</x:v>
      </x:c>
      <x:c r="S532" s="24" t="str">
        <x:v>Crédito general del estudio; individual si aplica</x:v>
      </x:c>
      <x:c r="T532" s="24" t="str">
        <x:v>VRM Games / Blas Luis Rocha González</x:v>
      </x:c>
      <x:c r="U532" s="24" t="str">
        <x:v>CURRENT PROJECT ASSET</x:v>
      </x:c>
      <x:c r="V532" s="24" t="str">
        <x:v>CONDITIONALLY APPROVED</x:v>
      </x:c>
      <x:c r="W532" s="24" t="str">
        <x:v>Sí</x:v>
      </x:c>
      <x:c r="X532" s="24" t="str">
        <x:v>Low</x:v>
      </x:c>
      <x:c r="Y532" s="24" t="str">
        <x:v>Internal development; public candidate requires gate</x:v>
      </x:c>
      <x:c r="Z532" s="24" t="str">
        <x:v>H6 legal/content audit</x:v>
      </x:c>
      <x:c r="AA532" s="24" t="str">
        <x:v>VRM Games</x:v>
      </x:c>
      <x:c r="AB532" s="24" t="str">
        <x:v>No se detectó proveedor externo en la ruta; confirmar autoría por lote antes de release público.</x:v>
      </x:c>
    </x:row>
    <x:row r="533" ht="34" customHeight="1">
      <x:c r="A533" s="24" t="str">
        <x:v>INT-0529</x:v>
      </x:c>
      <x:c r="B533" s="24" t="str">
        <x:v>0db2410ab58e415e92e430a98ac76499</x:v>
      </x:c>
      <x:c r="C533" s="24" t="str">
        <x:v>StoreHudScreen.cs</x:v>
      </x:c>
      <x:c r="D533" s="24" t="str">
        <x:v>Code</x:v>
      </x:c>
      <x:c r="E533" s="24" t="str">
        <x:v>Infrastructure</x:v>
      </x:c>
      <x:c r="F533" s="24" t="str">
        <x:v>VRM Games / Blas Luis Rocha González</x:v>
      </x:c>
      <x:c r="G533" s="24" t="str">
        <x:v>VRM Games / Blas Luis Rocha González</x:v>
      </x:c>
      <x:c r="H533" s="24" t="str">
        <x:v>Internal project production</x:v>
      </x:c>
      <x:c r="I533" s="24" t="str">
        <x:v>2026 project timeline</x:v>
      </x:c>
      <x:c r="J533" s="24" t="str">
        <x:v>Internal project IP / authorship claim</x:v>
      </x:c>
      <x:c r="K533" s="24" t="str">
        <x:v>N/A</x:v>
      </x:c>
      <x:c r="L533" s="24" t="str">
        <x:v>Source package + repository path + hash</x:v>
      </x:c>
      <x:c r="M533" s="24" t="str">
        <x:v>b6a3c73b6b7deaa9f0bae7fdf602156fe111a79b9d9f11bc33e8334bcb9a1efb</x:v>
      </x:c>
      <x:c r="N533" s="24" t="str">
        <x:v>Assets/_Project/Scripts/Infrastructure/UIUX/StoreHudScreen.cs</x:v>
      </x:c>
      <x:c r="O533" s="24" t="str">
        <x:v>0db2410ab58e415e92e430a98ac76499</x:v>
      </x:c>
      <x:c r="P533" s="24" t="str">
        <x:v>Sí</x:v>
      </x:c>
      <x:c r="Q533" s="24" t="str">
        <x:v>Condicionado a autoría/procedencia final</x:v>
      </x:c>
      <x:c r="R533" s="24" t="str">
        <x:v>Solo dentro del producto/build autorizado</x:v>
      </x:c>
      <x:c r="S533" s="24" t="str">
        <x:v>Crédito general del estudio; individual si aplica</x:v>
      </x:c>
      <x:c r="T533" s="24" t="str">
        <x:v>VRM Games / Blas Luis Rocha González</x:v>
      </x:c>
      <x:c r="U533" s="24" t="str">
        <x:v>CURRENT PROJECT ASSET</x:v>
      </x:c>
      <x:c r="V533" s="24" t="str">
        <x:v>CONDITIONALLY APPROVED</x:v>
      </x:c>
      <x:c r="W533" s="24" t="str">
        <x:v>Sí</x:v>
      </x:c>
      <x:c r="X533" s="24" t="str">
        <x:v>Low</x:v>
      </x:c>
      <x:c r="Y533" s="24" t="str">
        <x:v>Internal development; public candidate requires gate</x:v>
      </x:c>
      <x:c r="Z533" s="24" t="str">
        <x:v>H6 legal/content audit</x:v>
      </x:c>
      <x:c r="AA533" s="24" t="str">
        <x:v>VRM Games</x:v>
      </x:c>
      <x:c r="AB533" s="24" t="str">
        <x:v>No se detectó proveedor externo en la ruta; confirmar autoría por lote antes de release público.</x:v>
      </x:c>
    </x:row>
    <x:row r="534" ht="34" customHeight="1">
      <x:c r="A534" s="24" t="str">
        <x:v>INT-0530</x:v>
      </x:c>
      <x:c r="B534" s="24" t="str">
        <x:v>fd0102db10594e80a56a30988414ab50</x:v>
      </x:c>
      <x:c r="C534" s="24" t="str">
        <x:v>SystemUtcClock.cs</x:v>
      </x:c>
      <x:c r="D534" s="24" t="str">
        <x:v>Code</x:v>
      </x:c>
      <x:c r="E534" s="24" t="str">
        <x:v>Infrastructure</x:v>
      </x:c>
      <x:c r="F534" s="24" t="str">
        <x:v>VRM Games / Blas Luis Rocha González</x:v>
      </x:c>
      <x:c r="G534" s="24" t="str">
        <x:v>VRM Games / Blas Luis Rocha González</x:v>
      </x:c>
      <x:c r="H534" s="24" t="str">
        <x:v>Internal project production</x:v>
      </x:c>
      <x:c r="I534" s="24" t="str">
        <x:v>2026 project timeline</x:v>
      </x:c>
      <x:c r="J534" s="24" t="str">
        <x:v>Internal project IP / authorship claim</x:v>
      </x:c>
      <x:c r="K534" s="24" t="str">
        <x:v>N/A</x:v>
      </x:c>
      <x:c r="L534" s="24" t="str">
        <x:v>Source package + repository path + hash</x:v>
      </x:c>
      <x:c r="M534" s="24" t="str">
        <x:v>d024f6b73249ca5226a477ed1d805648e93ed1395d859d22450e9ebff779fc59</x:v>
      </x:c>
      <x:c r="N534" s="24" t="str">
        <x:v>Assets/_Project/Scripts/Infrastructure/UIUX/SystemUtcClock.cs</x:v>
      </x:c>
      <x:c r="O534" s="24" t="str">
        <x:v>fd0102db10594e80a56a30988414ab50</x:v>
      </x:c>
      <x:c r="P534" s="24" t="str">
        <x:v>Sí</x:v>
      </x:c>
      <x:c r="Q534" s="24" t="str">
        <x:v>Condicionado a autoría/procedencia final</x:v>
      </x:c>
      <x:c r="R534" s="24" t="str">
        <x:v>Solo dentro del producto/build autorizado</x:v>
      </x:c>
      <x:c r="S534" s="24" t="str">
        <x:v>Crédito general del estudio; individual si aplica</x:v>
      </x:c>
      <x:c r="T534" s="24" t="str">
        <x:v>VRM Games / Blas Luis Rocha González</x:v>
      </x:c>
      <x:c r="U534" s="24" t="str">
        <x:v>CURRENT PROJECT ASSET</x:v>
      </x:c>
      <x:c r="V534" s="24" t="str">
        <x:v>CONDITIONALLY APPROVED</x:v>
      </x:c>
      <x:c r="W534" s="24" t="str">
        <x:v>Sí</x:v>
      </x:c>
      <x:c r="X534" s="24" t="str">
        <x:v>Low</x:v>
      </x:c>
      <x:c r="Y534" s="24" t="str">
        <x:v>Internal development; public candidate requires gate</x:v>
      </x:c>
      <x:c r="Z534" s="24" t="str">
        <x:v>H6 legal/content audit</x:v>
      </x:c>
      <x:c r="AA534" s="24" t="str">
        <x:v>VRM Games</x:v>
      </x:c>
      <x:c r="AB534" s="24" t="str">
        <x:v>No se detectó proveedor externo en la ruta; confirmar autoría por lote antes de release público.</x:v>
      </x:c>
    </x:row>
    <x:row r="535" ht="34" customHeight="1">
      <x:c r="A535" s="24" t="str">
        <x:v>INT-0531</x:v>
      </x:c>
      <x:c r="B535" s="24" t="str">
        <x:v>de696771ed2e213468482820cfab4f32</x:v>
      </x:c>
      <x:c r="C535" s="24" t="str">
        <x:v>VRMGames.CartridgeAndCloud.Infrastructure.asmdef</x:v>
      </x:c>
      <x:c r="D535" s="24" t="str">
        <x:v>Assembly definition</x:v>
      </x:c>
      <x:c r="E535" s="24" t="str">
        <x:v>Infrastructure</x:v>
      </x:c>
      <x:c r="F535" s="24" t="str">
        <x:v>VRM Games / Blas Luis Rocha González</x:v>
      </x:c>
      <x:c r="G535" s="24" t="str">
        <x:v>VRM Games / Blas Luis Rocha González</x:v>
      </x:c>
      <x:c r="H535" s="24" t="str">
        <x:v>Internal project production</x:v>
      </x:c>
      <x:c r="I535" s="24" t="str">
        <x:v>2026 project timeline</x:v>
      </x:c>
      <x:c r="J535" s="24" t="str">
        <x:v>Internal project IP / authorship claim</x:v>
      </x:c>
      <x:c r="K535" s="24" t="str">
        <x:v>N/A</x:v>
      </x:c>
      <x:c r="L535" s="24" t="str">
        <x:v>Source package + repository path + hash</x:v>
      </x:c>
      <x:c r="M535" s="24" t="str">
        <x:v>886a15202299fb4104348a79bb43e38e9de97de05487fe69014052588602f9f8</x:v>
      </x:c>
      <x:c r="N535" s="24" t="str">
        <x:v>Assets/_Project/Scripts/Infrastructure/VRMGames.CartridgeAndCloud.Infrastructure.asmdef</x:v>
      </x:c>
      <x:c r="O535" s="24" t="str">
        <x:v>de696771ed2e213468482820cfab4f32</x:v>
      </x:c>
      <x:c r="P535" s="24" t="str">
        <x:v>Sí</x:v>
      </x:c>
      <x:c r="Q535" s="24" t="str">
        <x:v>Condicionado a autoría/procedencia final</x:v>
      </x:c>
      <x:c r="R535" s="24" t="str">
        <x:v>Solo dentro del producto/build autorizado</x:v>
      </x:c>
      <x:c r="S535" s="24" t="str">
        <x:v>Crédito general del estudio; individual si aplica</x:v>
      </x:c>
      <x:c r="T535" s="24" t="str">
        <x:v>VRM Games / Blas Luis Rocha González</x:v>
      </x:c>
      <x:c r="U535" s="24" t="str">
        <x:v>CURRENT PROJECT ASSET</x:v>
      </x:c>
      <x:c r="V535" s="24" t="str">
        <x:v>CONDITIONALLY APPROVED</x:v>
      </x:c>
      <x:c r="W535" s="24" t="str">
        <x:v>Sí</x:v>
      </x:c>
      <x:c r="X535" s="24" t="str">
        <x:v>Low</x:v>
      </x:c>
      <x:c r="Y535" s="24" t="str">
        <x:v>Internal development; public candidate requires gate</x:v>
      </x:c>
      <x:c r="Z535" s="24" t="str">
        <x:v>H6 legal/content audit</x:v>
      </x:c>
      <x:c r="AA535" s="24" t="str">
        <x:v>VRM Games</x:v>
      </x:c>
      <x:c r="AB535" s="24" t="str">
        <x:v>No se detectó proveedor externo en la ruta; confirmar autoría por lote antes de release público.</x:v>
      </x:c>
    </x:row>
    <x:row r="536" ht="34" customHeight="1">
      <x:c r="A536" s="24" t="str">
        <x:v>INT-0532</x:v>
      </x:c>
      <x:c r="B536" s="24" t="str">
        <x:v>5246166c7e8e070ce55229ea6a338dca</x:v>
      </x:c>
      <x:c r="C536" s="24" t="str">
        <x:v>AutomaticSlidingDoorController.cs</x:v>
      </x:c>
      <x:c r="D536" s="24" t="str">
        <x:v>Code</x:v>
      </x:c>
      <x:c r="E536" s="24" t="str">
        <x:v>Infrastructure</x:v>
      </x:c>
      <x:c r="F536" s="24" t="str">
        <x:v>VRM Games / Blas Luis Rocha González</x:v>
      </x:c>
      <x:c r="G536" s="24" t="str">
        <x:v>VRM Games / Blas Luis Rocha González</x:v>
      </x:c>
      <x:c r="H536" s="24" t="str">
        <x:v>Internal project production</x:v>
      </x:c>
      <x:c r="I536" s="24" t="str">
        <x:v>2026 project timeline</x:v>
      </x:c>
      <x:c r="J536" s="24" t="str">
        <x:v>Internal project IP / authorship claim</x:v>
      </x:c>
      <x:c r="K536" s="24" t="str">
        <x:v>N/A</x:v>
      </x:c>
      <x:c r="L536" s="24" t="str">
        <x:v>Source package + repository path + hash</x:v>
      </x:c>
      <x:c r="M536" s="24" t="str">
        <x:v>3a26c674042361e55f5d73a5741b81918320bbee266954885d07a50b7f1eae8d</x:v>
      </x:c>
      <x:c r="N536" s="24" t="str">
        <x:v>Assets/_Project/Scripts/Infrastructure/VerticalSlicePhase1/AutomaticSlidingDoorController.cs</x:v>
      </x:c>
      <x:c r="O536" s="24" t="str">
        <x:v>5246166c7e8e070ce55229ea6a338dca</x:v>
      </x:c>
      <x:c r="P536" s="24" t="str">
        <x:v>Sí</x:v>
      </x:c>
      <x:c r="Q536" s="24" t="str">
        <x:v>Condicionado a autoría/procedencia final</x:v>
      </x:c>
      <x:c r="R536" s="24" t="str">
        <x:v>Solo dentro del producto/build autorizado</x:v>
      </x:c>
      <x:c r="S536" s="24" t="str">
        <x:v>Crédito general del estudio; individual si aplica</x:v>
      </x:c>
      <x:c r="T536" s="24" t="str">
        <x:v>VRM Games / Blas Luis Rocha González</x:v>
      </x:c>
      <x:c r="U536" s="24" t="str">
        <x:v>CURRENT PROJECT ASSET</x:v>
      </x:c>
      <x:c r="V536" s="24" t="str">
        <x:v>CONDITIONALLY APPROVED</x:v>
      </x:c>
      <x:c r="W536" s="24" t="str">
        <x:v>Sí</x:v>
      </x:c>
      <x:c r="X536" s="24" t="str">
        <x:v>Low</x:v>
      </x:c>
      <x:c r="Y536" s="24" t="str">
        <x:v>Internal development; public candidate requires gate</x:v>
      </x:c>
      <x:c r="Z536" s="24" t="str">
        <x:v>H6 legal/content audit</x:v>
      </x:c>
      <x:c r="AA536" s="24" t="str">
        <x:v>VRM Games</x:v>
      </x:c>
      <x:c r="AB536" s="24" t="str">
        <x:v>No se detectó proveedor externo en la ruta; confirmar autoría por lote antes de release público.</x:v>
      </x:c>
    </x:row>
    <x:row r="537" ht="34" customHeight="1">
      <x:c r="A537" s="24" t="str">
        <x:v>INT-0533</x:v>
      </x:c>
      <x:c r="B537" s="24" t="str">
        <x:v>3cda63a3a61cc7d96501137719bb3a09</x:v>
      </x:c>
      <x:c r="C537" s="24" t="str">
        <x:v>JsonPhase1StateRepository.cs</x:v>
      </x:c>
      <x:c r="D537" s="24" t="str">
        <x:v>Code</x:v>
      </x:c>
      <x:c r="E537" s="24" t="str">
        <x:v>Infrastructure</x:v>
      </x:c>
      <x:c r="F537" s="24" t="str">
        <x:v>VRM Games / Blas Luis Rocha González</x:v>
      </x:c>
      <x:c r="G537" s="24" t="str">
        <x:v>VRM Games / Blas Luis Rocha González</x:v>
      </x:c>
      <x:c r="H537" s="24" t="str">
        <x:v>Internal project production</x:v>
      </x:c>
      <x:c r="I537" s="24" t="str">
        <x:v>2026 project timeline</x:v>
      </x:c>
      <x:c r="J537" s="24" t="str">
        <x:v>Internal project IP / authorship claim</x:v>
      </x:c>
      <x:c r="K537" s="24" t="str">
        <x:v>N/A</x:v>
      </x:c>
      <x:c r="L537" s="24" t="str">
        <x:v>Source package + repository path + hash</x:v>
      </x:c>
      <x:c r="M537" s="24" t="str">
        <x:v>3c716943290a7807dc42fdbabcac0d0772d58658b483dda398bff0532b206c64</x:v>
      </x:c>
      <x:c r="N537" s="24" t="str">
        <x:v>Assets/_Project/Scripts/Infrastructure/VerticalSlicePhase1/JsonPhase1StateRepository.cs</x:v>
      </x:c>
      <x:c r="O537" s="24" t="str">
        <x:v>3cda63a3a61cc7d96501137719bb3a09</x:v>
      </x:c>
      <x:c r="P537" s="24" t="str">
        <x:v>Sí</x:v>
      </x:c>
      <x:c r="Q537" s="24" t="str">
        <x:v>Condicionado a autoría/procedencia final</x:v>
      </x:c>
      <x:c r="R537" s="24" t="str">
        <x:v>Solo dentro del producto/build autorizado</x:v>
      </x:c>
      <x:c r="S537" s="24" t="str">
        <x:v>Crédito general del estudio; individual si aplica</x:v>
      </x:c>
      <x:c r="T537" s="24" t="str">
        <x:v>VRM Games / Blas Luis Rocha González</x:v>
      </x:c>
      <x:c r="U537" s="24" t="str">
        <x:v>CURRENT PROJECT ASSET</x:v>
      </x:c>
      <x:c r="V537" s="24" t="str">
        <x:v>CONDITIONALLY APPROVED</x:v>
      </x:c>
      <x:c r="W537" s="24" t="str">
        <x:v>Sí</x:v>
      </x:c>
      <x:c r="X537" s="24" t="str">
        <x:v>Low</x:v>
      </x:c>
      <x:c r="Y537" s="24" t="str">
        <x:v>Internal development; public candidate requires gate</x:v>
      </x:c>
      <x:c r="Z537" s="24" t="str">
        <x:v>H6 legal/content audit</x:v>
      </x:c>
      <x:c r="AA537" s="24" t="str">
        <x:v>VRM Games</x:v>
      </x:c>
      <x:c r="AB537" s="24" t="str">
        <x:v>No se detectó proveedor externo en la ruta; confirmar autoría por lote antes de release público.</x:v>
      </x:c>
    </x:row>
    <x:row r="538" ht="34" customHeight="1">
      <x:c r="A538" s="24" t="str">
        <x:v>INT-0534</x:v>
      </x:c>
      <x:c r="B538" s="24" t="str">
        <x:v>9b73fb5591684dfe5ca35d53ce5d429d</x:v>
      </x:c>
      <x:c r="C538" s="24" t="str">
        <x:v>Phase1AudioCatalogAsset.cs</x:v>
      </x:c>
      <x:c r="D538" s="24" t="str">
        <x:v>Code</x:v>
      </x:c>
      <x:c r="E538" s="24" t="str">
        <x:v>Infrastructure</x:v>
      </x:c>
      <x:c r="F538" s="24" t="str">
        <x:v>VRM Games / Blas Luis Rocha González</x:v>
      </x:c>
      <x:c r="G538" s="24" t="str">
        <x:v>VRM Games / Blas Luis Rocha González</x:v>
      </x:c>
      <x:c r="H538" s="24" t="str">
        <x:v>Internal project production</x:v>
      </x:c>
      <x:c r="I538" s="24" t="str">
        <x:v>2026 project timeline</x:v>
      </x:c>
      <x:c r="J538" s="24" t="str">
        <x:v>Internal project IP / authorship claim</x:v>
      </x:c>
      <x:c r="K538" s="24" t="str">
        <x:v>N/A</x:v>
      </x:c>
      <x:c r="L538" s="24" t="str">
        <x:v>Source package + repository path + hash</x:v>
      </x:c>
      <x:c r="M538" s="24" t="str">
        <x:v>fbca8dccdcaa329482ab7a4af218c3c83a79b3e8565bd84c381bb05ac3d3e1a2</x:v>
      </x:c>
      <x:c r="N538" s="24" t="str">
        <x:v>Assets/_Project/Scripts/Infrastructure/VerticalSlicePhase1/Phase1AudioCatalogAsset.cs</x:v>
      </x:c>
      <x:c r="O538" s="24" t="str">
        <x:v>9b73fb5591684dfe5ca35d53ce5d429d</x:v>
      </x:c>
      <x:c r="P538" s="24" t="str">
        <x:v>Sí</x:v>
      </x:c>
      <x:c r="Q538" s="24" t="str">
        <x:v>Condicionado a autoría/procedencia final</x:v>
      </x:c>
      <x:c r="R538" s="24" t="str">
        <x:v>Solo dentro del producto/build autorizado</x:v>
      </x:c>
      <x:c r="S538" s="24" t="str">
        <x:v>Crédito general del estudio; individual si aplica</x:v>
      </x:c>
      <x:c r="T538" s="24" t="str">
        <x:v>VRM Games / Blas Luis Rocha González</x:v>
      </x:c>
      <x:c r="U538" s="24" t="str">
        <x:v>CURRENT PROJECT ASSET</x:v>
      </x:c>
      <x:c r="V538" s="24" t="str">
        <x:v>CONDITIONALLY APPROVED</x:v>
      </x:c>
      <x:c r="W538" s="24" t="str">
        <x:v>Sí</x:v>
      </x:c>
      <x:c r="X538" s="24" t="str">
        <x:v>Low</x:v>
      </x:c>
      <x:c r="Y538" s="24" t="str">
        <x:v>Internal development; public candidate requires gate</x:v>
      </x:c>
      <x:c r="Z538" s="24" t="str">
        <x:v>H6 legal/content audit</x:v>
      </x:c>
      <x:c r="AA538" s="24" t="str">
        <x:v>VRM Games</x:v>
      </x:c>
      <x:c r="AB538" s="24" t="str">
        <x:v>No se detectó proveedor externo en la ruta; confirmar autoría por lote antes de release público.</x:v>
      </x:c>
    </x:row>
    <x:row r="539" ht="34" customHeight="1">
      <x:c r="A539" s="24" t="str">
        <x:v>INT-0535</x:v>
      </x:c>
      <x:c r="B539" s="24" t="str">
        <x:v>11724999bc3ca00d7d89a48f14a679b8</x:v>
      </x:c>
      <x:c r="C539" s="24" t="str">
        <x:v>Phase1BlockoutVisualFactory.cs</x:v>
      </x:c>
      <x:c r="D539" s="24" t="str">
        <x:v>Code</x:v>
      </x:c>
      <x:c r="E539" s="24" t="str">
        <x:v>Infrastructure</x:v>
      </x:c>
      <x:c r="F539" s="24" t="str">
        <x:v>VRM Games / Blas Luis Rocha González</x:v>
      </x:c>
      <x:c r="G539" s="24" t="str">
        <x:v>VRM Games / Blas Luis Rocha González</x:v>
      </x:c>
      <x:c r="H539" s="24" t="str">
        <x:v>Internal project production</x:v>
      </x:c>
      <x:c r="I539" s="24" t="str">
        <x:v>2026 project timeline</x:v>
      </x:c>
      <x:c r="J539" s="24" t="str">
        <x:v>Internal project IP / authorship claim</x:v>
      </x:c>
      <x:c r="K539" s="24" t="str">
        <x:v>N/A</x:v>
      </x:c>
      <x:c r="L539" s="24" t="str">
        <x:v>Source package + repository path + hash</x:v>
      </x:c>
      <x:c r="M539" s="24" t="str">
        <x:v>30f5c23c0e3a8a8427613e20a55e983170dbb11759700d125a179620cd248d91</x:v>
      </x:c>
      <x:c r="N539" s="24" t="str">
        <x:v>Assets/_Project/Scripts/Infrastructure/VerticalSlicePhase1/Phase1BlockoutVisualFactory.cs</x:v>
      </x:c>
      <x:c r="O539" s="24" t="str">
        <x:v>11724999bc3ca00d7d89a48f14a679b8</x:v>
      </x:c>
      <x:c r="P539" s="24" t="str">
        <x:v>Sí</x:v>
      </x:c>
      <x:c r="Q539" s="24" t="str">
        <x:v>Condicionado a autoría/procedencia final</x:v>
      </x:c>
      <x:c r="R539" s="24" t="str">
        <x:v>Solo dentro del producto/build autorizado</x:v>
      </x:c>
      <x:c r="S539" s="24" t="str">
        <x:v>Crédito general del estudio; individual si aplica</x:v>
      </x:c>
      <x:c r="T539" s="24" t="str">
        <x:v>VRM Games / Blas Luis Rocha González</x:v>
      </x:c>
      <x:c r="U539" s="24" t="str">
        <x:v>CURRENT PROJECT ASSET</x:v>
      </x:c>
      <x:c r="V539" s="24" t="str">
        <x:v>CONDITIONALLY APPROVED</x:v>
      </x:c>
      <x:c r="W539" s="24" t="str">
        <x:v>Sí</x:v>
      </x:c>
      <x:c r="X539" s="24" t="str">
        <x:v>Low</x:v>
      </x:c>
      <x:c r="Y539" s="24" t="str">
        <x:v>Internal development; public candidate requires gate</x:v>
      </x:c>
      <x:c r="Z539" s="24" t="str">
        <x:v>H6 legal/content audit</x:v>
      </x:c>
      <x:c r="AA539" s="24" t="str">
        <x:v>VRM Games</x:v>
      </x:c>
      <x:c r="AB539" s="24" t="str">
        <x:v>No se detectó proveedor externo en la ruta; confirmar autoría por lote antes de release público.</x:v>
      </x:c>
    </x:row>
    <x:row r="540" ht="34" customHeight="1">
      <x:c r="A540" s="24" t="str">
        <x:v>INT-0536</x:v>
      </x:c>
      <x:c r="B540" s="24" t="str">
        <x:v>e9290f85d11e798bda80e66a35a3784d</x:v>
      </x:c>
      <x:c r="C540" s="24" t="str">
        <x:v>Phase1CharacterPrefabAuthoring.cs</x:v>
      </x:c>
      <x:c r="D540" s="24" t="str">
        <x:v>Code</x:v>
      </x:c>
      <x:c r="E540" s="24" t="str">
        <x:v>Infrastructure</x:v>
      </x:c>
      <x:c r="F540" s="24" t="str">
        <x:v>VRM Games / Blas Luis Rocha González</x:v>
      </x:c>
      <x:c r="G540" s="24" t="str">
        <x:v>VRM Games / Blas Luis Rocha González</x:v>
      </x:c>
      <x:c r="H540" s="24" t="str">
        <x:v>Internal project production</x:v>
      </x:c>
      <x:c r="I540" s="24" t="str">
        <x:v>2026 project timeline</x:v>
      </x:c>
      <x:c r="J540" s="24" t="str">
        <x:v>Internal project IP / authorship claim</x:v>
      </x:c>
      <x:c r="K540" s="24" t="str">
        <x:v>N/A</x:v>
      </x:c>
      <x:c r="L540" s="24" t="str">
        <x:v>Source package + repository path + hash</x:v>
      </x:c>
      <x:c r="M540" s="24" t="str">
        <x:v>4588926d2958fc7307ba3b6c47866213b98f458916343e35fc070c8fc179dd94</x:v>
      </x:c>
      <x:c r="N540" s="24" t="str">
        <x:v>Assets/_Project/Scripts/Infrastructure/VerticalSlicePhase1/Phase1CharacterPrefabAuthoring.cs</x:v>
      </x:c>
      <x:c r="O540" s="24" t="str">
        <x:v>e9290f85d11e798bda80e66a35a3784d</x:v>
      </x:c>
      <x:c r="P540" s="24" t="str">
        <x:v>Sí</x:v>
      </x:c>
      <x:c r="Q540" s="24" t="str">
        <x:v>Condicionado a autoría/procedencia final</x:v>
      </x:c>
      <x:c r="R540" s="24" t="str">
        <x:v>Solo dentro del producto/build autorizado</x:v>
      </x:c>
      <x:c r="S540" s="24" t="str">
        <x:v>Crédito general del estudio; individual si aplica</x:v>
      </x:c>
      <x:c r="T540" s="24" t="str">
        <x:v>VRM Games / Blas Luis Rocha González</x:v>
      </x:c>
      <x:c r="U540" s="24" t="str">
        <x:v>CURRENT PROJECT ASSET</x:v>
      </x:c>
      <x:c r="V540" s="24" t="str">
        <x:v>CONDITIONALLY APPROVED</x:v>
      </x:c>
      <x:c r="W540" s="24" t="str">
        <x:v>Sí</x:v>
      </x:c>
      <x:c r="X540" s="24" t="str">
        <x:v>Low</x:v>
      </x:c>
      <x:c r="Y540" s="24" t="str">
        <x:v>Internal development; public candidate requires gate</x:v>
      </x:c>
      <x:c r="Z540" s="24" t="str">
        <x:v>H6 legal/content audit</x:v>
      </x:c>
      <x:c r="AA540" s="24" t="str">
        <x:v>VRM Games</x:v>
      </x:c>
      <x:c r="AB540" s="24" t="str">
        <x:v>No se detectó proveedor externo en la ruta; confirmar autoría por lote antes de release público.</x:v>
      </x:c>
    </x:row>
    <x:row r="541" ht="34" customHeight="1">
      <x:c r="A541" s="24" t="str">
        <x:v>INT-0537</x:v>
      </x:c>
      <x:c r="B541" s="24" t="str">
        <x:v>487c8929f4b01caf0d91e823c21e3d22</x:v>
      </x:c>
      <x:c r="C541" s="24" t="str">
        <x:v>Phase1CharacterPresence.cs</x:v>
      </x:c>
      <x:c r="D541" s="24" t="str">
        <x:v>Code</x:v>
      </x:c>
      <x:c r="E541" s="24" t="str">
        <x:v>Infrastructure</x:v>
      </x:c>
      <x:c r="F541" s="24" t="str">
        <x:v>VRM Games / Blas Luis Rocha González</x:v>
      </x:c>
      <x:c r="G541" s="24" t="str">
        <x:v>VRM Games / Blas Luis Rocha González</x:v>
      </x:c>
      <x:c r="H541" s="24" t="str">
        <x:v>Internal project production</x:v>
      </x:c>
      <x:c r="I541" s="24" t="str">
        <x:v>2026 project timeline</x:v>
      </x:c>
      <x:c r="J541" s="24" t="str">
        <x:v>Internal project IP / authorship claim</x:v>
      </x:c>
      <x:c r="K541" s="24" t="str">
        <x:v>N/A</x:v>
      </x:c>
      <x:c r="L541" s="24" t="str">
        <x:v>Source package + repository path + hash</x:v>
      </x:c>
      <x:c r="M541" s="24" t="str">
        <x:v>a2f444a118dc047c7e33b54274da91f3dc369e87ec0ee408a6f82ade8033712e</x:v>
      </x:c>
      <x:c r="N541" s="24" t="str">
        <x:v>Assets/_Project/Scripts/Infrastructure/VerticalSlicePhase1/Phase1CharacterPresence.cs</x:v>
      </x:c>
      <x:c r="O541" s="24" t="str">
        <x:v>487c8929f4b01caf0d91e823c21e3d22</x:v>
      </x:c>
      <x:c r="P541" s="24" t="str">
        <x:v>Sí</x:v>
      </x:c>
      <x:c r="Q541" s="24" t="str">
        <x:v>Condicionado a autoría/procedencia final</x:v>
      </x:c>
      <x:c r="R541" s="24" t="str">
        <x:v>Solo dentro del producto/build autorizado</x:v>
      </x:c>
      <x:c r="S541" s="24" t="str">
        <x:v>Crédito general del estudio; individual si aplica</x:v>
      </x:c>
      <x:c r="T541" s="24" t="str">
        <x:v>VRM Games / Blas Luis Rocha González</x:v>
      </x:c>
      <x:c r="U541" s="24" t="str">
        <x:v>CURRENT PROJECT ASSET</x:v>
      </x:c>
      <x:c r="V541" s="24" t="str">
        <x:v>CONDITIONALLY APPROVED</x:v>
      </x:c>
      <x:c r="W541" s="24" t="str">
        <x:v>Sí</x:v>
      </x:c>
      <x:c r="X541" s="24" t="str">
        <x:v>Low</x:v>
      </x:c>
      <x:c r="Y541" s="24" t="str">
        <x:v>Internal development; public candidate requires gate</x:v>
      </x:c>
      <x:c r="Z541" s="24" t="str">
        <x:v>H6 legal/content audit</x:v>
      </x:c>
      <x:c r="AA541" s="24" t="str">
        <x:v>VRM Games</x:v>
      </x:c>
      <x:c r="AB541" s="24" t="str">
        <x:v>No se detectó proveedor externo en la ruta; confirmar autoría por lote antes de release público.</x:v>
      </x:c>
    </x:row>
    <x:row r="542" ht="34" customHeight="1">
      <x:c r="A542" s="24" t="str">
        <x:v>INT-0538</x:v>
      </x:c>
      <x:c r="B542" s="24" t="str">
        <x:v>23d6ae3854c42bf9c58107a1d668ce1b</x:v>
      </x:c>
      <x:c r="C542" s="24" t="str">
        <x:v>Phase1ContentCatalogAsset.cs</x:v>
      </x:c>
      <x:c r="D542" s="24" t="str">
        <x:v>Code</x:v>
      </x:c>
      <x:c r="E542" s="24" t="str">
        <x:v>Infrastructure</x:v>
      </x:c>
      <x:c r="F542" s="24" t="str">
        <x:v>VRM Games / Blas Luis Rocha González</x:v>
      </x:c>
      <x:c r="G542" s="24" t="str">
        <x:v>VRM Games / Blas Luis Rocha González</x:v>
      </x:c>
      <x:c r="H542" s="24" t="str">
        <x:v>Internal project production</x:v>
      </x:c>
      <x:c r="I542" s="24" t="str">
        <x:v>2026 project timeline</x:v>
      </x:c>
      <x:c r="J542" s="24" t="str">
        <x:v>Internal project IP / authorship claim</x:v>
      </x:c>
      <x:c r="K542" s="24" t="str">
        <x:v>N/A</x:v>
      </x:c>
      <x:c r="L542" s="24" t="str">
        <x:v>Source package + repository path + hash</x:v>
      </x:c>
      <x:c r="M542" s="24" t="str">
        <x:v>08c6ef5ae7f72db18ac2b57ddb5d999497fe5437fa230ea8964a75a931b0125e</x:v>
      </x:c>
      <x:c r="N542" s="24" t="str">
        <x:v>Assets/_Project/Scripts/Infrastructure/VerticalSlicePhase1/Phase1ContentCatalogAsset.cs</x:v>
      </x:c>
      <x:c r="O542" s="24" t="str">
        <x:v>23d6ae3854c42bf9c58107a1d668ce1b</x:v>
      </x:c>
      <x:c r="P542" s="24" t="str">
        <x:v>Sí</x:v>
      </x:c>
      <x:c r="Q542" s="24" t="str">
        <x:v>Condicionado a autoría/procedencia final</x:v>
      </x:c>
      <x:c r="R542" s="24" t="str">
        <x:v>Solo dentro del producto/build autorizado</x:v>
      </x:c>
      <x:c r="S542" s="24" t="str">
        <x:v>Crédito general del estudio; individual si aplica</x:v>
      </x:c>
      <x:c r="T542" s="24" t="str">
        <x:v>VRM Games / Blas Luis Rocha González</x:v>
      </x:c>
      <x:c r="U542" s="24" t="str">
        <x:v>CURRENT PROJECT ASSET</x:v>
      </x:c>
      <x:c r="V542" s="24" t="str">
        <x:v>CONDITIONALLY APPROVED</x:v>
      </x:c>
      <x:c r="W542" s="24" t="str">
        <x:v>Sí</x:v>
      </x:c>
      <x:c r="X542" s="24" t="str">
        <x:v>Low</x:v>
      </x:c>
      <x:c r="Y542" s="24" t="str">
        <x:v>Internal development; public candidate requires gate</x:v>
      </x:c>
      <x:c r="Z542" s="24" t="str">
        <x:v>H6 legal/content audit</x:v>
      </x:c>
      <x:c r="AA542" s="24" t="str">
        <x:v>VRM Games</x:v>
      </x:c>
      <x:c r="AB542" s="24" t="str">
        <x:v>No se detectó proveedor externo en la ruta; confirmar autoría por lote antes de release público.</x:v>
      </x:c>
    </x:row>
    <x:row r="543" ht="34" customHeight="1">
      <x:c r="A543" s="24" t="str">
        <x:v>INT-0539</x:v>
      </x:c>
      <x:c r="B543" s="24" t="str">
        <x:v>7514d9de3e29bdf6eb683ce3ee627ecc</x:v>
      </x:c>
      <x:c r="C543" s="24" t="str">
        <x:v>Phase1FurniturePrefabAuthoring.cs</x:v>
      </x:c>
      <x:c r="D543" s="24" t="str">
        <x:v>Code</x:v>
      </x:c>
      <x:c r="E543" s="24" t="str">
        <x:v>Infrastructure</x:v>
      </x:c>
      <x:c r="F543" s="24" t="str">
        <x:v>VRM Games / Blas Luis Rocha González</x:v>
      </x:c>
      <x:c r="G543" s="24" t="str">
        <x:v>VRM Games / Blas Luis Rocha González</x:v>
      </x:c>
      <x:c r="H543" s="24" t="str">
        <x:v>Internal project production</x:v>
      </x:c>
      <x:c r="I543" s="24" t="str">
        <x:v>2026 project timeline</x:v>
      </x:c>
      <x:c r="J543" s="24" t="str">
        <x:v>Internal project IP / authorship claim</x:v>
      </x:c>
      <x:c r="K543" s="24" t="str">
        <x:v>N/A</x:v>
      </x:c>
      <x:c r="L543" s="24" t="str">
        <x:v>Source package + repository path + hash</x:v>
      </x:c>
      <x:c r="M543" s="24" t="str">
        <x:v>6944cbd795b92111abac254052db278a5c9cb12974a4fe59fc4cd3a6142e2185</x:v>
      </x:c>
      <x:c r="N543" s="24" t="str">
        <x:v>Assets/_Project/Scripts/Infrastructure/VerticalSlicePhase1/Phase1FurniturePrefabAuthoring.cs</x:v>
      </x:c>
      <x:c r="O543" s="24" t="str">
        <x:v>7514d9de3e29bdf6eb683ce3ee627ecc</x:v>
      </x:c>
      <x:c r="P543" s="24" t="str">
        <x:v>Sí</x:v>
      </x:c>
      <x:c r="Q543" s="24" t="str">
        <x:v>Condicionado a autoría/procedencia final</x:v>
      </x:c>
      <x:c r="R543" s="24" t="str">
        <x:v>Solo dentro del producto/build autorizado</x:v>
      </x:c>
      <x:c r="S543" s="24" t="str">
        <x:v>Crédito general del estudio; individual si aplica</x:v>
      </x:c>
      <x:c r="T543" s="24" t="str">
        <x:v>VRM Games / Blas Luis Rocha González</x:v>
      </x:c>
      <x:c r="U543" s="24" t="str">
        <x:v>CURRENT PROJECT ASSET</x:v>
      </x:c>
      <x:c r="V543" s="24" t="str">
        <x:v>CONDITIONALLY APPROVED</x:v>
      </x:c>
      <x:c r="W543" s="24" t="str">
        <x:v>Sí</x:v>
      </x:c>
      <x:c r="X543" s="24" t="str">
        <x:v>Low</x:v>
      </x:c>
      <x:c r="Y543" s="24" t="str">
        <x:v>Internal development; public candidate requires gate</x:v>
      </x:c>
      <x:c r="Z543" s="24" t="str">
        <x:v>H6 legal/content audit</x:v>
      </x:c>
      <x:c r="AA543" s="24" t="str">
        <x:v>VRM Games</x:v>
      </x:c>
      <x:c r="AB543" s="24" t="str">
        <x:v>No se detectó proveedor externo en la ruta; confirmar autoría por lote antes de release público.</x:v>
      </x:c>
    </x:row>
    <x:row r="544" ht="34" customHeight="1">
      <x:c r="A544" s="24" t="str">
        <x:v>INT-0540</x:v>
      </x:c>
      <x:c r="B544" s="24" t="str">
        <x:v>d8bd81165a0cd5ccb7201c9f18db45ef</x:v>
      </x:c>
      <x:c r="C544" s="24" t="str">
        <x:v>Phase1MaterialPaletteAsset.cs</x:v>
      </x:c>
      <x:c r="D544" s="24" t="str">
        <x:v>Code</x:v>
      </x:c>
      <x:c r="E544" s="24" t="str">
        <x:v>Infrastructure</x:v>
      </x:c>
      <x:c r="F544" s="24" t="str">
        <x:v>VRM Games / Blas Luis Rocha González</x:v>
      </x:c>
      <x:c r="G544" s="24" t="str">
        <x:v>VRM Games / Blas Luis Rocha González</x:v>
      </x:c>
      <x:c r="H544" s="24" t="str">
        <x:v>Internal project production</x:v>
      </x:c>
      <x:c r="I544" s="24" t="str">
        <x:v>2026 project timeline</x:v>
      </x:c>
      <x:c r="J544" s="24" t="str">
        <x:v>Internal project IP / authorship claim</x:v>
      </x:c>
      <x:c r="K544" s="24" t="str">
        <x:v>N/A</x:v>
      </x:c>
      <x:c r="L544" s="24" t="str">
        <x:v>Source package + repository path + hash</x:v>
      </x:c>
      <x:c r="M544" s="24" t="str">
        <x:v>3be406e6210fe2cd316c030001cd5b14bb54cd6be8f80c3e32fb3dc59de3128f</x:v>
      </x:c>
      <x:c r="N544" s="24" t="str">
        <x:v>Assets/_Project/Scripts/Infrastructure/VerticalSlicePhase1/Phase1MaterialPaletteAsset.cs</x:v>
      </x:c>
      <x:c r="O544" s="24" t="str">
        <x:v>d8bd81165a0cd5ccb7201c9f18db45ef</x:v>
      </x:c>
      <x:c r="P544" s="24" t="str">
        <x:v>Sí</x:v>
      </x:c>
      <x:c r="Q544" s="24" t="str">
        <x:v>Condicionado a autoría/procedencia final</x:v>
      </x:c>
      <x:c r="R544" s="24" t="str">
        <x:v>Solo dentro del producto/build autorizado</x:v>
      </x:c>
      <x:c r="S544" s="24" t="str">
        <x:v>Crédito general del estudio; individual si aplica</x:v>
      </x:c>
      <x:c r="T544" s="24" t="str">
        <x:v>VRM Games / Blas Luis Rocha González</x:v>
      </x:c>
      <x:c r="U544" s="24" t="str">
        <x:v>CURRENT PROJECT ASSET</x:v>
      </x:c>
      <x:c r="V544" s="24" t="str">
        <x:v>CONDITIONALLY APPROVED</x:v>
      </x:c>
      <x:c r="W544" s="24" t="str">
        <x:v>Sí</x:v>
      </x:c>
      <x:c r="X544" s="24" t="str">
        <x:v>Low</x:v>
      </x:c>
      <x:c r="Y544" s="24" t="str">
        <x:v>Internal development; public candidate requires gate</x:v>
      </x:c>
      <x:c r="Z544" s="24" t="str">
        <x:v>H6 legal/content audit</x:v>
      </x:c>
      <x:c r="AA544" s="24" t="str">
        <x:v>VRM Games</x:v>
      </x:c>
      <x:c r="AB544" s="24" t="str">
        <x:v>No se detectó proveedor externo en la ruta; confirmar autoría por lote antes de release público.</x:v>
      </x:c>
    </x:row>
    <x:row r="545" ht="34" customHeight="1">
      <x:c r="A545" s="24" t="str">
        <x:v>INT-0541</x:v>
      </x:c>
      <x:c r="B545" s="24" t="str">
        <x:v>e0f76f57c5061258cef4c71ce792aed1</x:v>
      </x:c>
      <x:c r="C545" s="24" t="str">
        <x:v>Phase1OccludableWall.cs</x:v>
      </x:c>
      <x:c r="D545" s="24" t="str">
        <x:v>Code</x:v>
      </x:c>
      <x:c r="E545" s="24" t="str">
        <x:v>Infrastructure</x:v>
      </x:c>
      <x:c r="F545" s="24" t="str">
        <x:v>VRM Games / Blas Luis Rocha González</x:v>
      </x:c>
      <x:c r="G545" s="24" t="str">
        <x:v>VRM Games / Blas Luis Rocha González</x:v>
      </x:c>
      <x:c r="H545" s="24" t="str">
        <x:v>Internal project production</x:v>
      </x:c>
      <x:c r="I545" s="24" t="str">
        <x:v>2026 project timeline</x:v>
      </x:c>
      <x:c r="J545" s="24" t="str">
        <x:v>Internal project IP / authorship claim</x:v>
      </x:c>
      <x:c r="K545" s="24" t="str">
        <x:v>N/A</x:v>
      </x:c>
      <x:c r="L545" s="24" t="str">
        <x:v>Source package + repository path + hash</x:v>
      </x:c>
      <x:c r="M545" s="24" t="str">
        <x:v>31a9fd0e320dbab0981845c642e0f409a018d8cd55a1a1727fdf81be61bbab24</x:v>
      </x:c>
      <x:c r="N545" s="24" t="str">
        <x:v>Assets/_Project/Scripts/Infrastructure/VerticalSlicePhase1/Phase1OccludableWall.cs</x:v>
      </x:c>
      <x:c r="O545" s="24" t="str">
        <x:v>e0f76f57c5061258cef4c71ce792aed1</x:v>
      </x:c>
      <x:c r="P545" s="24" t="str">
        <x:v>Sí</x:v>
      </x:c>
      <x:c r="Q545" s="24" t="str">
        <x:v>Condicionado a autoría/procedencia final</x:v>
      </x:c>
      <x:c r="R545" s="24" t="str">
        <x:v>Solo dentro del producto/build autorizado</x:v>
      </x:c>
      <x:c r="S545" s="24" t="str">
        <x:v>Crédito general del estudio; individual si aplica</x:v>
      </x:c>
      <x:c r="T545" s="24" t="str">
        <x:v>VRM Games / Blas Luis Rocha González</x:v>
      </x:c>
      <x:c r="U545" s="24" t="str">
        <x:v>CURRENT PROJECT ASSET</x:v>
      </x:c>
      <x:c r="V545" s="24" t="str">
        <x:v>CONDITIONALLY APPROVED</x:v>
      </x:c>
      <x:c r="W545" s="24" t="str">
        <x:v>Sí</x:v>
      </x:c>
      <x:c r="X545" s="24" t="str">
        <x:v>Low</x:v>
      </x:c>
      <x:c r="Y545" s="24" t="str">
        <x:v>Internal development; public candidate requires gate</x:v>
      </x:c>
      <x:c r="Z545" s="24" t="str">
        <x:v>H6 legal/content audit</x:v>
      </x:c>
      <x:c r="AA545" s="24" t="str">
        <x:v>VRM Games</x:v>
      </x:c>
      <x:c r="AB545" s="24" t="str">
        <x:v>No se detectó proveedor externo en la ruta; confirmar autoría por lote antes de release público.</x:v>
      </x:c>
    </x:row>
    <x:row r="546" ht="34" customHeight="1">
      <x:c r="A546" s="24" t="str">
        <x:v>INT-0542</x:v>
      </x:c>
      <x:c r="B546" s="24" t="str">
        <x:v>896512b05cc00e3d31899a4fce25d37e</x:v>
      </x:c>
      <x:c r="C546" s="24" t="str">
        <x:v>Phase1PresentationCatalogAsset.cs</x:v>
      </x:c>
      <x:c r="D546" s="24" t="str">
        <x:v>Code</x:v>
      </x:c>
      <x:c r="E546" s="24" t="str">
        <x:v>Infrastructure</x:v>
      </x:c>
      <x:c r="F546" s="24" t="str">
        <x:v>VRM Games / Blas Luis Rocha González</x:v>
      </x:c>
      <x:c r="G546" s="24" t="str">
        <x:v>VRM Games / Blas Luis Rocha González</x:v>
      </x:c>
      <x:c r="H546" s="24" t="str">
        <x:v>Internal project production</x:v>
      </x:c>
      <x:c r="I546" s="24" t="str">
        <x:v>2026 project timeline</x:v>
      </x:c>
      <x:c r="J546" s="24" t="str">
        <x:v>Internal project IP / authorship claim</x:v>
      </x:c>
      <x:c r="K546" s="24" t="str">
        <x:v>N/A</x:v>
      </x:c>
      <x:c r="L546" s="24" t="str">
        <x:v>Source package + repository path + hash</x:v>
      </x:c>
      <x:c r="M546" s="24" t="str">
        <x:v>2b0485cdfc33ea3f2bed5cf7117fc345c0020de28cc0fe6afdd8e1f1a1169ac7</x:v>
      </x:c>
      <x:c r="N546" s="24" t="str">
        <x:v>Assets/_Project/Scripts/Infrastructure/VerticalSlicePhase1/Phase1PresentationCatalogAsset.cs</x:v>
      </x:c>
      <x:c r="O546" s="24" t="str">
        <x:v>896512b05cc00e3d31899a4fce25d37e</x:v>
      </x:c>
      <x:c r="P546" s="24" t="str">
        <x:v>Sí</x:v>
      </x:c>
      <x:c r="Q546" s="24" t="str">
        <x:v>Condicionado a autoría/procedencia final</x:v>
      </x:c>
      <x:c r="R546" s="24" t="str">
        <x:v>Solo dentro del producto/build autorizado</x:v>
      </x:c>
      <x:c r="S546" s="24" t="str">
        <x:v>Crédito general del estudio; individual si aplica</x:v>
      </x:c>
      <x:c r="T546" s="24" t="str">
        <x:v>VRM Games / Blas Luis Rocha González</x:v>
      </x:c>
      <x:c r="U546" s="24" t="str">
        <x:v>CURRENT PROJECT ASSET</x:v>
      </x:c>
      <x:c r="V546" s="24" t="str">
        <x:v>CONDITIONALLY APPROVED</x:v>
      </x:c>
      <x:c r="W546" s="24" t="str">
        <x:v>Sí</x:v>
      </x:c>
      <x:c r="X546" s="24" t="str">
        <x:v>Low</x:v>
      </x:c>
      <x:c r="Y546" s="24" t="str">
        <x:v>Internal development; public candidate requires gate</x:v>
      </x:c>
      <x:c r="Z546" s="24" t="str">
        <x:v>H6 legal/content audit</x:v>
      </x:c>
      <x:c r="AA546" s="24" t="str">
        <x:v>VRM Games</x:v>
      </x:c>
      <x:c r="AB546" s="24" t="str">
        <x:v>No se detectó proveedor externo en la ruta; confirmar autoría por lote antes de release público.</x:v>
      </x:c>
    </x:row>
    <x:row r="547" ht="34" customHeight="1">
      <x:c r="A547" s="24" t="str">
        <x:v>INT-0543</x:v>
      </x:c>
      <x:c r="B547" s="24" t="str">
        <x:v>c2e99925c75b1c82d09342c159b5ab76</x:v>
      </x:c>
      <x:c r="C547" s="24" t="str">
        <x:v>Phase1ProductPrefabAuthoring.cs</x:v>
      </x:c>
      <x:c r="D547" s="24" t="str">
        <x:v>Code</x:v>
      </x:c>
      <x:c r="E547" s="24" t="str">
        <x:v>Infrastructure</x:v>
      </x:c>
      <x:c r="F547" s="24" t="str">
        <x:v>VRM Games / Blas Luis Rocha González</x:v>
      </x:c>
      <x:c r="G547" s="24" t="str">
        <x:v>VRM Games / Blas Luis Rocha González</x:v>
      </x:c>
      <x:c r="H547" s="24" t="str">
        <x:v>Internal project production</x:v>
      </x:c>
      <x:c r="I547" s="24" t="str">
        <x:v>2026 project timeline</x:v>
      </x:c>
      <x:c r="J547" s="24" t="str">
        <x:v>Internal project IP / authorship claim</x:v>
      </x:c>
      <x:c r="K547" s="24" t="str">
        <x:v>N/A</x:v>
      </x:c>
      <x:c r="L547" s="24" t="str">
        <x:v>Source package + repository path + hash</x:v>
      </x:c>
      <x:c r="M547" s="24" t="str">
        <x:v>7b6ca2c498140b29a51364b55447372533208c9dd8696678faf5ace6a5c3bed5</x:v>
      </x:c>
      <x:c r="N547" s="24" t="str">
        <x:v>Assets/_Project/Scripts/Infrastructure/VerticalSlicePhase1/Phase1ProductPrefabAuthoring.cs</x:v>
      </x:c>
      <x:c r="O547" s="24" t="str">
        <x:v>c2e99925c75b1c82d09342c159b5ab76</x:v>
      </x:c>
      <x:c r="P547" s="24" t="str">
        <x:v>Sí</x:v>
      </x:c>
      <x:c r="Q547" s="24" t="str">
        <x:v>Condicionado a autoría/procedencia final</x:v>
      </x:c>
      <x:c r="R547" s="24" t="str">
        <x:v>Solo dentro del producto/build autorizado</x:v>
      </x:c>
      <x:c r="S547" s="24" t="str">
        <x:v>Crédito general del estudio; individual si aplica</x:v>
      </x:c>
      <x:c r="T547" s="24" t="str">
        <x:v>VRM Games / Blas Luis Rocha González</x:v>
      </x:c>
      <x:c r="U547" s="24" t="str">
        <x:v>CURRENT PROJECT ASSET</x:v>
      </x:c>
      <x:c r="V547" s="24" t="str">
        <x:v>CONDITIONALLY APPROVED</x:v>
      </x:c>
      <x:c r="W547" s="24" t="str">
        <x:v>Sí</x:v>
      </x:c>
      <x:c r="X547" s="24" t="str">
        <x:v>Low</x:v>
      </x:c>
      <x:c r="Y547" s="24" t="str">
        <x:v>Internal development; public candidate requires gate</x:v>
      </x:c>
      <x:c r="Z547" s="24" t="str">
        <x:v>H6 legal/content audit</x:v>
      </x:c>
      <x:c r="AA547" s="24" t="str">
        <x:v>VRM Games</x:v>
      </x:c>
      <x:c r="AB547" s="24" t="str">
        <x:v>No se detectó proveedor externo en la ruta; confirmar autoría por lote antes de release público.</x:v>
      </x:c>
    </x:row>
    <x:row r="548" ht="34" customHeight="1">
      <x:c r="A548" s="24" t="str">
        <x:v>INT-0544</x:v>
      </x:c>
      <x:c r="B548" s="24" t="str">
        <x:v>37d12b45b4d8eb05d3c80927a3e30d3f</x:v>
      </x:c>
      <x:c r="C548" s="24" t="str">
        <x:v>Phase1ProductVisualMarker.cs</x:v>
      </x:c>
      <x:c r="D548" s="24" t="str">
        <x:v>Code</x:v>
      </x:c>
      <x:c r="E548" s="24" t="str">
        <x:v>Infrastructure</x:v>
      </x:c>
      <x:c r="F548" s="24" t="str">
        <x:v>VRM Games / Blas Luis Rocha González</x:v>
      </x:c>
      <x:c r="G548" s="24" t="str">
        <x:v>VRM Games / Blas Luis Rocha González</x:v>
      </x:c>
      <x:c r="H548" s="24" t="str">
        <x:v>Internal project production</x:v>
      </x:c>
      <x:c r="I548" s="24" t="str">
        <x:v>2026 project timeline</x:v>
      </x:c>
      <x:c r="J548" s="24" t="str">
        <x:v>Internal project IP / authorship claim</x:v>
      </x:c>
      <x:c r="K548" s="24" t="str">
        <x:v>N/A</x:v>
      </x:c>
      <x:c r="L548" s="24" t="str">
        <x:v>Source package + repository path + hash</x:v>
      </x:c>
      <x:c r="M548" s="24" t="str">
        <x:v>d127ab6875c7a4fc371b3f4135a9c106ebdc93c9e952cee8832d719f8f2ecd7c</x:v>
      </x:c>
      <x:c r="N548" s="24" t="str">
        <x:v>Assets/_Project/Scripts/Infrastructure/VerticalSlicePhase1/Phase1ProductVisualMarker.cs</x:v>
      </x:c>
      <x:c r="O548" s="24" t="str">
        <x:v>37d12b45b4d8eb05d3c80927a3e30d3f</x:v>
      </x:c>
      <x:c r="P548" s="24" t="str">
        <x:v>Sí</x:v>
      </x:c>
      <x:c r="Q548" s="24" t="str">
        <x:v>Condicionado a autoría/procedencia final</x:v>
      </x:c>
      <x:c r="R548" s="24" t="str">
        <x:v>Solo dentro del producto/build autorizado</x:v>
      </x:c>
      <x:c r="S548" s="24" t="str">
        <x:v>Crédito general del estudio; individual si aplica</x:v>
      </x:c>
      <x:c r="T548" s="24" t="str">
        <x:v>VRM Games / Blas Luis Rocha González</x:v>
      </x:c>
      <x:c r="U548" s="24" t="str">
        <x:v>CURRENT PROJECT ASSET</x:v>
      </x:c>
      <x:c r="V548" s="24" t="str">
        <x:v>CONDITIONALLY APPROVED</x:v>
      </x:c>
      <x:c r="W548" s="24" t="str">
        <x:v>Sí</x:v>
      </x:c>
      <x:c r="X548" s="24" t="str">
        <x:v>Low</x:v>
      </x:c>
      <x:c r="Y548" s="24" t="str">
        <x:v>Internal development; public candidate requires gate</x:v>
      </x:c>
      <x:c r="Z548" s="24" t="str">
        <x:v>H6 legal/content audit</x:v>
      </x:c>
      <x:c r="AA548" s="24" t="str">
        <x:v>VRM Games</x:v>
      </x:c>
      <x:c r="AB548" s="24" t="str">
        <x:v>No se detectó proveedor externo en la ruta; confirmar autoría por lote antes de release público.</x:v>
      </x:c>
    </x:row>
    <x:row r="549" ht="34" customHeight="1">
      <x:c r="A549" s="24" t="str">
        <x:v>INT-0545</x:v>
      </x:c>
      <x:c r="B549" s="24" t="str">
        <x:v>4a36de1a0f87295498da26e2608b2f2e</x:v>
      </x:c>
      <x:c r="C549" s="24" t="str">
        <x:v>Phase1RuntimeAssetRegistryAsset.cs</x:v>
      </x:c>
      <x:c r="D549" s="24" t="str">
        <x:v>Code</x:v>
      </x:c>
      <x:c r="E549" s="24" t="str">
        <x:v>Infrastructure</x:v>
      </x:c>
      <x:c r="F549" s="24" t="str">
        <x:v>VRM Games / Blas Luis Rocha González</x:v>
      </x:c>
      <x:c r="G549" s="24" t="str">
        <x:v>VRM Games / Blas Luis Rocha González</x:v>
      </x:c>
      <x:c r="H549" s="24" t="str">
        <x:v>Internal project production</x:v>
      </x:c>
      <x:c r="I549" s="24" t="str">
        <x:v>2026 project timeline</x:v>
      </x:c>
      <x:c r="J549" s="24" t="str">
        <x:v>Internal project IP / authorship claim</x:v>
      </x:c>
      <x:c r="K549" s="24" t="str">
        <x:v>N/A</x:v>
      </x:c>
      <x:c r="L549" s="24" t="str">
        <x:v>Source package + repository path + hash</x:v>
      </x:c>
      <x:c r="M549" s="24" t="str">
        <x:v>d1b8743d8f73d2dba9106627a5913309fc6c8edcfc7881448ba20070177b4d9a</x:v>
      </x:c>
      <x:c r="N549" s="24" t="str">
        <x:v>Assets/_Project/Scripts/Infrastructure/VerticalSlicePhase1/Phase1RuntimeAssetRegistryAsset.cs</x:v>
      </x:c>
      <x:c r="O549" s="24" t="str">
        <x:v>4a36de1a0f87295498da26e2608b2f2e</x:v>
      </x:c>
      <x:c r="P549" s="24" t="str">
        <x:v>Sí</x:v>
      </x:c>
      <x:c r="Q549" s="24" t="str">
        <x:v>Condicionado a autoría/procedencia final</x:v>
      </x:c>
      <x:c r="R549" s="24" t="str">
        <x:v>Solo dentro del producto/build autorizado</x:v>
      </x:c>
      <x:c r="S549" s="24" t="str">
        <x:v>Crédito general del estudio; individual si aplica</x:v>
      </x:c>
      <x:c r="T549" s="24" t="str">
        <x:v>VRM Games / Blas Luis Rocha González</x:v>
      </x:c>
      <x:c r="U549" s="24" t="str">
        <x:v>CURRENT PROJECT ASSET</x:v>
      </x:c>
      <x:c r="V549" s="24" t="str">
        <x:v>CONDITIONALLY APPROVED</x:v>
      </x:c>
      <x:c r="W549" s="24" t="str">
        <x:v>Sí</x:v>
      </x:c>
      <x:c r="X549" s="24" t="str">
        <x:v>Low</x:v>
      </x:c>
      <x:c r="Y549" s="24" t="str">
        <x:v>Internal development; public candidate requires gate</x:v>
      </x:c>
      <x:c r="Z549" s="24" t="str">
        <x:v>H6 legal/content audit</x:v>
      </x:c>
      <x:c r="AA549" s="24" t="str">
        <x:v>VRM Games</x:v>
      </x:c>
      <x:c r="AB549" s="24" t="str">
        <x:v>No se detectó proveedor externo en la ruta; confirmar autoría por lote antes de release público.</x:v>
      </x:c>
    </x:row>
    <x:row r="550" ht="34" customHeight="1">
      <x:c r="A550" s="24" t="str">
        <x:v>INT-0546</x:v>
      </x:c>
      <x:c r="B550" s="24" t="str">
        <x:v>b80baaefcace8df4e600c83b4bff7e2d</x:v>
      </x:c>
      <x:c r="C550" s="24" t="str">
        <x:v>Phase1SettingsAsset.cs</x:v>
      </x:c>
      <x:c r="D550" s="24" t="str">
        <x:v>Code</x:v>
      </x:c>
      <x:c r="E550" s="24" t="str">
        <x:v>Infrastructure</x:v>
      </x:c>
      <x:c r="F550" s="24" t="str">
        <x:v>VRM Games / Blas Luis Rocha González</x:v>
      </x:c>
      <x:c r="G550" s="24" t="str">
        <x:v>VRM Games / Blas Luis Rocha González</x:v>
      </x:c>
      <x:c r="H550" s="24" t="str">
        <x:v>Internal project production</x:v>
      </x:c>
      <x:c r="I550" s="24" t="str">
        <x:v>2026 project timeline</x:v>
      </x:c>
      <x:c r="J550" s="24" t="str">
        <x:v>Internal project IP / authorship claim</x:v>
      </x:c>
      <x:c r="K550" s="24" t="str">
        <x:v>N/A</x:v>
      </x:c>
      <x:c r="L550" s="24" t="str">
        <x:v>Source package + repository path + hash</x:v>
      </x:c>
      <x:c r="M550" s="24" t="str">
        <x:v>edee17e837c05e6db59984fde2a9e91268b9fafeaa1d8a3a8b7b86919ba91396</x:v>
      </x:c>
      <x:c r="N550" s="24" t="str">
        <x:v>Assets/_Project/Scripts/Infrastructure/VerticalSlicePhase1/Phase1SettingsAsset.cs</x:v>
      </x:c>
      <x:c r="O550" s="24" t="str">
        <x:v>b80baaefcace8df4e600c83b4bff7e2d</x:v>
      </x:c>
      <x:c r="P550" s="24" t="str">
        <x:v>Sí</x:v>
      </x:c>
      <x:c r="Q550" s="24" t="str">
        <x:v>Condicionado a autoría/procedencia final</x:v>
      </x:c>
      <x:c r="R550" s="24" t="str">
        <x:v>Solo dentro del producto/build autorizado</x:v>
      </x:c>
      <x:c r="S550" s="24" t="str">
        <x:v>Crédito general del estudio; individual si aplica</x:v>
      </x:c>
      <x:c r="T550" s="24" t="str">
        <x:v>VRM Games / Blas Luis Rocha González</x:v>
      </x:c>
      <x:c r="U550" s="24" t="str">
        <x:v>CURRENT PROJECT ASSET</x:v>
      </x:c>
      <x:c r="V550" s="24" t="str">
        <x:v>CONDITIONALLY APPROVED</x:v>
      </x:c>
      <x:c r="W550" s="24" t="str">
        <x:v>Sí</x:v>
      </x:c>
      <x:c r="X550" s="24" t="str">
        <x:v>Low</x:v>
      </x:c>
      <x:c r="Y550" s="24" t="str">
        <x:v>Internal development; public candidate requires gate</x:v>
      </x:c>
      <x:c r="Z550" s="24" t="str">
        <x:v>H6 legal/content audit</x:v>
      </x:c>
      <x:c r="AA550" s="24" t="str">
        <x:v>VRM Games</x:v>
      </x:c>
      <x:c r="AB550" s="24" t="str">
        <x:v>No se detectó proveedor externo en la ruta; confirmar autoría por lote antes de release público.</x:v>
      </x:c>
    </x:row>
    <x:row r="551" ht="34" customHeight="1">
      <x:c r="A551" s="24" t="str">
        <x:v>INT-0547</x:v>
      </x:c>
      <x:c r="B551" s="24" t="str">
        <x:v>905a7ff5b3557b4933733f8189e078ae</x:v>
      </x:c>
      <x:c r="C551" s="24" t="str">
        <x:v>Phase1StoreShellAsset.cs</x:v>
      </x:c>
      <x:c r="D551" s="24" t="str">
        <x:v>Code</x:v>
      </x:c>
      <x:c r="E551" s="24" t="str">
        <x:v>Infrastructure</x:v>
      </x:c>
      <x:c r="F551" s="24" t="str">
        <x:v>VRM Games / Blas Luis Rocha González</x:v>
      </x:c>
      <x:c r="G551" s="24" t="str">
        <x:v>VRM Games / Blas Luis Rocha González</x:v>
      </x:c>
      <x:c r="H551" s="24" t="str">
        <x:v>Internal project production</x:v>
      </x:c>
      <x:c r="I551" s="24" t="str">
        <x:v>2026 project timeline</x:v>
      </x:c>
      <x:c r="J551" s="24" t="str">
        <x:v>Internal project IP / authorship claim</x:v>
      </x:c>
      <x:c r="K551" s="24" t="str">
        <x:v>N/A</x:v>
      </x:c>
      <x:c r="L551" s="24" t="str">
        <x:v>Source package + repository path + hash</x:v>
      </x:c>
      <x:c r="M551" s="24" t="str">
        <x:v>755bfcf93d47badd9626699d379899c3d1d8d39d6ade2338bf793890ff8cc542</x:v>
      </x:c>
      <x:c r="N551" s="24" t="str">
        <x:v>Assets/_Project/Scripts/Infrastructure/VerticalSlicePhase1/Phase1StoreShellAsset.cs</x:v>
      </x:c>
      <x:c r="O551" s="24" t="str">
        <x:v>905a7ff5b3557b4933733f8189e078ae</x:v>
      </x:c>
      <x:c r="P551" s="24" t="str">
        <x:v>Sí</x:v>
      </x:c>
      <x:c r="Q551" s="24" t="str">
        <x:v>Condicionado a autoría/procedencia final</x:v>
      </x:c>
      <x:c r="R551" s="24" t="str">
        <x:v>Solo dentro del producto/build autorizado</x:v>
      </x:c>
      <x:c r="S551" s="24" t="str">
        <x:v>Crédito general del estudio; individual si aplica</x:v>
      </x:c>
      <x:c r="T551" s="24" t="str">
        <x:v>VRM Games / Blas Luis Rocha González</x:v>
      </x:c>
      <x:c r="U551" s="24" t="str">
        <x:v>CURRENT PROJECT ASSET</x:v>
      </x:c>
      <x:c r="V551" s="24" t="str">
        <x:v>CONDITIONALLY APPROVED</x:v>
      </x:c>
      <x:c r="W551" s="24" t="str">
        <x:v>Sí</x:v>
      </x:c>
      <x:c r="X551" s="24" t="str">
        <x:v>Low</x:v>
      </x:c>
      <x:c r="Y551" s="24" t="str">
        <x:v>Internal development; public candidate requires gate</x:v>
      </x:c>
      <x:c r="Z551" s="24" t="str">
        <x:v>H6 legal/content audit</x:v>
      </x:c>
      <x:c r="AA551" s="24" t="str">
        <x:v>VRM Games</x:v>
      </x:c>
      <x:c r="AB551" s="24" t="str">
        <x:v>No se detectó proveedor externo en la ruta; confirmar autoría por lote antes de release público.</x:v>
      </x:c>
    </x:row>
    <x:row r="552" ht="34" customHeight="1">
      <x:c r="A552" s="24" t="str">
        <x:v>INT-0548</x:v>
      </x:c>
      <x:c r="B552" s="24" t="str">
        <x:v>8e9944107ccec9b4f56d0fc6b5032203</x:v>
      </x:c>
      <x:c r="C552" s="24" t="str">
        <x:v>Phase1WallOcclusionController.cs</x:v>
      </x:c>
      <x:c r="D552" s="24" t="str">
        <x:v>Code</x:v>
      </x:c>
      <x:c r="E552" s="24" t="str">
        <x:v>Infrastructure</x:v>
      </x:c>
      <x:c r="F552" s="24" t="str">
        <x:v>VRM Games / Blas Luis Rocha González</x:v>
      </x:c>
      <x:c r="G552" s="24" t="str">
        <x:v>VRM Games / Blas Luis Rocha González</x:v>
      </x:c>
      <x:c r="H552" s="24" t="str">
        <x:v>Internal project production</x:v>
      </x:c>
      <x:c r="I552" s="24" t="str">
        <x:v>2026 project timeline</x:v>
      </x:c>
      <x:c r="J552" s="24" t="str">
        <x:v>Internal project IP / authorship claim</x:v>
      </x:c>
      <x:c r="K552" s="24" t="str">
        <x:v>N/A</x:v>
      </x:c>
      <x:c r="L552" s="24" t="str">
        <x:v>Source package + repository path + hash</x:v>
      </x:c>
      <x:c r="M552" s="24" t="str">
        <x:v>a5dcbd4ed2f3d782e8817b21537d06096d9c62bd71a9ffe4947d6343cad1a784</x:v>
      </x:c>
      <x:c r="N552" s="24" t="str">
        <x:v>Assets/_Project/Scripts/Infrastructure/VerticalSlicePhase1/Phase1WallOcclusionController.cs</x:v>
      </x:c>
      <x:c r="O552" s="24" t="str">
        <x:v>8e9944107ccec9b4f56d0fc6b5032203</x:v>
      </x:c>
      <x:c r="P552" s="24" t="str">
        <x:v>Sí</x:v>
      </x:c>
      <x:c r="Q552" s="24" t="str">
        <x:v>Condicionado a autoría/procedencia final</x:v>
      </x:c>
      <x:c r="R552" s="24" t="str">
        <x:v>Solo dentro del producto/build autorizado</x:v>
      </x:c>
      <x:c r="S552" s="24" t="str">
        <x:v>Crédito general del estudio; individual si aplica</x:v>
      </x:c>
      <x:c r="T552" s="24" t="str">
        <x:v>VRM Games / Blas Luis Rocha González</x:v>
      </x:c>
      <x:c r="U552" s="24" t="str">
        <x:v>CURRENT PROJECT ASSET</x:v>
      </x:c>
      <x:c r="V552" s="24" t="str">
        <x:v>CONDITIONALLY APPROVED</x:v>
      </x:c>
      <x:c r="W552" s="24" t="str">
        <x:v>Sí</x:v>
      </x:c>
      <x:c r="X552" s="24" t="str">
        <x:v>Low</x:v>
      </x:c>
      <x:c r="Y552" s="24" t="str">
        <x:v>Internal development; public candidate requires gate</x:v>
      </x:c>
      <x:c r="Z552" s="24" t="str">
        <x:v>H6 legal/content audit</x:v>
      </x:c>
      <x:c r="AA552" s="24" t="str">
        <x:v>VRM Games</x:v>
      </x:c>
      <x:c r="AB552" s="24" t="str">
        <x:v>No se detectó proveedor externo en la ruta; confirmar autoría por lote antes de release público.</x:v>
      </x:c>
    </x:row>
    <x:row r="553" ht="34" customHeight="1">
      <x:c r="A553" s="24" t="str">
        <x:v>INT-0549</x:v>
      </x:c>
      <x:c r="B553" s="24" t="str">
        <x:v>9acbce13b2b17fd4ba59b14aefbf2354</x:v>
      </x:c>
      <x:c r="C553" s="24" t="str">
        <x:v>RepresentativeAutomaticDoorParts.cs</x:v>
      </x:c>
      <x:c r="D553" s="24" t="str">
        <x:v>Code</x:v>
      </x:c>
      <x:c r="E553" s="24" t="str">
        <x:v>Infrastructure</x:v>
      </x:c>
      <x:c r="F553" s="24" t="str">
        <x:v>VRM Games / Blas Luis Rocha González</x:v>
      </x:c>
      <x:c r="G553" s="24" t="str">
        <x:v>VRM Games / Blas Luis Rocha González</x:v>
      </x:c>
      <x:c r="H553" s="24" t="str">
        <x:v>Internal project production</x:v>
      </x:c>
      <x:c r="I553" s="24" t="str">
        <x:v>2026 project timeline</x:v>
      </x:c>
      <x:c r="J553" s="24" t="str">
        <x:v>Internal project IP / authorship claim</x:v>
      </x:c>
      <x:c r="K553" s="24" t="str">
        <x:v>N/A</x:v>
      </x:c>
      <x:c r="L553" s="24" t="str">
        <x:v>Source package + repository path + hash</x:v>
      </x:c>
      <x:c r="M553" s="24" t="str">
        <x:v>5633c76fb925aea1dba71e20a037414eef985399e745add826d0715cbea6a0c3</x:v>
      </x:c>
      <x:c r="N553" s="24" t="str">
        <x:v>Assets/_Project/Scripts/Infrastructure/VerticalSlicePhase1/RepresentativeAutomaticDoorParts.cs</x:v>
      </x:c>
      <x:c r="O553" s="24" t="str">
        <x:v>9acbce13b2b17fd4ba59b14aefbf2354</x:v>
      </x:c>
      <x:c r="P553" s="24" t="str">
        <x:v>Sí</x:v>
      </x:c>
      <x:c r="Q553" s="24" t="str">
        <x:v>Condicionado a autoría/procedencia final</x:v>
      </x:c>
      <x:c r="R553" s="24" t="str">
        <x:v>Solo dentro del producto/build autorizado</x:v>
      </x:c>
      <x:c r="S553" s="24" t="str">
        <x:v>Crédito general del estudio; individual si aplica</x:v>
      </x:c>
      <x:c r="T553" s="24" t="str">
        <x:v>VRM Games / Blas Luis Rocha González</x:v>
      </x:c>
      <x:c r="U553" s="24" t="str">
        <x:v>CURRENT PROJECT ASSET</x:v>
      </x:c>
      <x:c r="V553" s="24" t="str">
        <x:v>CONDITIONALLY APPROVED</x:v>
      </x:c>
      <x:c r="W553" s="24" t="str">
        <x:v>Sí</x:v>
      </x:c>
      <x:c r="X553" s="24" t="str">
        <x:v>Low</x:v>
      </x:c>
      <x:c r="Y553" s="24" t="str">
        <x:v>Internal development; public candidate requires gate</x:v>
      </x:c>
      <x:c r="Z553" s="24" t="str">
        <x:v>H6 legal/content audit</x:v>
      </x:c>
      <x:c r="AA553" s="24" t="str">
        <x:v>VRM Games</x:v>
      </x:c>
      <x:c r="AB553" s="24" t="str">
        <x:v>No se detectó proveedor externo en la ruta; confirmar autoría por lote antes de release público.</x:v>
      </x:c>
    </x:row>
    <x:row r="554" ht="34" customHeight="1">
      <x:c r="A554" s="24" t="str">
        <x:v>INT-0550</x:v>
      </x:c>
      <x:c r="B554" s="24" t="str">
        <x:v>b8b6d883222c3cc498d8b9f523807dbd</x:v>
      </x:c>
      <x:c r="C554" s="24" t="str">
        <x:v>RepresentativePrefabCatalogAsset.cs</x:v>
      </x:c>
      <x:c r="D554" s="24" t="str">
        <x:v>Code</x:v>
      </x:c>
      <x:c r="E554" s="24" t="str">
        <x:v>Infrastructure</x:v>
      </x:c>
      <x:c r="F554" s="24" t="str">
        <x:v>VRM Games / Blas Luis Rocha González</x:v>
      </x:c>
      <x:c r="G554" s="24" t="str">
        <x:v>VRM Games / Blas Luis Rocha González</x:v>
      </x:c>
      <x:c r="H554" s="24" t="str">
        <x:v>Internal project production</x:v>
      </x:c>
      <x:c r="I554" s="24" t="str">
        <x:v>2026 project timeline</x:v>
      </x:c>
      <x:c r="J554" s="24" t="str">
        <x:v>Internal project IP / authorship claim</x:v>
      </x:c>
      <x:c r="K554" s="24" t="str">
        <x:v>N/A</x:v>
      </x:c>
      <x:c r="L554" s="24" t="str">
        <x:v>Source package + repository path + hash</x:v>
      </x:c>
      <x:c r="M554" s="24" t="str">
        <x:v>a9578974a1376ef24fc4fd65896acf6599520afad73e0afe1222f82352bab038</x:v>
      </x:c>
      <x:c r="N554" s="24" t="str">
        <x:v>Assets/_Project/Scripts/Infrastructure/VerticalSlicePhase1/RepresentativePrefabCatalogAsset.cs</x:v>
      </x:c>
      <x:c r="O554" s="24" t="str">
        <x:v>b8b6d883222c3cc498d8b9f523807dbd</x:v>
      </x:c>
      <x:c r="P554" s="24" t="str">
        <x:v>Sí</x:v>
      </x:c>
      <x:c r="Q554" s="24" t="str">
        <x:v>Condicionado a autoría/procedencia final</x:v>
      </x:c>
      <x:c r="R554" s="24" t="str">
        <x:v>Solo dentro del producto/build autorizado</x:v>
      </x:c>
      <x:c r="S554" s="24" t="str">
        <x:v>Crédito general del estudio; individual si aplica</x:v>
      </x:c>
      <x:c r="T554" s="24" t="str">
        <x:v>VRM Games / Blas Luis Rocha González</x:v>
      </x:c>
      <x:c r="U554" s="24" t="str">
        <x:v>CURRENT PROJECT ASSET</x:v>
      </x:c>
      <x:c r="V554" s="24" t="str">
        <x:v>CONDITIONALLY APPROVED</x:v>
      </x:c>
      <x:c r="W554" s="24" t="str">
        <x:v>Sí</x:v>
      </x:c>
      <x:c r="X554" s="24" t="str">
        <x:v>Low</x:v>
      </x:c>
      <x:c r="Y554" s="24" t="str">
        <x:v>Internal development; public candidate requires gate</x:v>
      </x:c>
      <x:c r="Z554" s="24" t="str">
        <x:v>H6 legal/content audit</x:v>
      </x:c>
      <x:c r="AA554" s="24" t="str">
        <x:v>VRM Games</x:v>
      </x:c>
      <x:c r="AB554" s="24" t="str">
        <x:v>No se detectó proveedor externo en la ruta; confirmar autoría por lote antes de release público.</x:v>
      </x:c>
    </x:row>
    <x:row r="555" ht="34" customHeight="1">
      <x:c r="A555" s="24" t="str">
        <x:v>INT-0551</x:v>
      </x:c>
      <x:c r="B555" s="24" t="str">
        <x:v>a2fa3d300bcbf0a4b8c3a2143c9d4811</x:v>
      </x:c>
      <x:c r="C555" s="24" t="str">
        <x:v>RepresentativePrefabFactory.cs</x:v>
      </x:c>
      <x:c r="D555" s="24" t="str">
        <x:v>Code</x:v>
      </x:c>
      <x:c r="E555" s="24" t="str">
        <x:v>Infrastructure</x:v>
      </x:c>
      <x:c r="F555" s="24" t="str">
        <x:v>VRM Games / Blas Luis Rocha González</x:v>
      </x:c>
      <x:c r="G555" s="24" t="str">
        <x:v>VRM Games / Blas Luis Rocha González</x:v>
      </x:c>
      <x:c r="H555" s="24" t="str">
        <x:v>Internal project production</x:v>
      </x:c>
      <x:c r="I555" s="24" t="str">
        <x:v>2026 project timeline</x:v>
      </x:c>
      <x:c r="J555" s="24" t="str">
        <x:v>Internal project IP / authorship claim</x:v>
      </x:c>
      <x:c r="K555" s="24" t="str">
        <x:v>N/A</x:v>
      </x:c>
      <x:c r="L555" s="24" t="str">
        <x:v>Source package + repository path + hash</x:v>
      </x:c>
      <x:c r="M555" s="24" t="str">
        <x:v>c1bf0f18f99c384fc5e7c1e5d4a907a4e0fbeb2ca7c35f4131a43781e2112eb3</x:v>
      </x:c>
      <x:c r="N555" s="24" t="str">
        <x:v>Assets/_Project/Scripts/Infrastructure/VerticalSlicePhase1/RepresentativePrefabFactory.cs</x:v>
      </x:c>
      <x:c r="O555" s="24" t="str">
        <x:v>a2fa3d300bcbf0a4b8c3a2143c9d4811</x:v>
      </x:c>
      <x:c r="P555" s="24" t="str">
        <x:v>Sí</x:v>
      </x:c>
      <x:c r="Q555" s="24" t="str">
        <x:v>Condicionado a autoría/procedencia final</x:v>
      </x:c>
      <x:c r="R555" s="24" t="str">
        <x:v>Solo dentro del producto/build autorizado</x:v>
      </x:c>
      <x:c r="S555" s="24" t="str">
        <x:v>Crédito general del estudio; individual si aplica</x:v>
      </x:c>
      <x:c r="T555" s="24" t="str">
        <x:v>VRM Games / Blas Luis Rocha González</x:v>
      </x:c>
      <x:c r="U555" s="24" t="str">
        <x:v>CURRENT PROJECT ASSET</x:v>
      </x:c>
      <x:c r="V555" s="24" t="str">
        <x:v>CONDITIONALLY APPROVED</x:v>
      </x:c>
      <x:c r="W555" s="24" t="str">
        <x:v>Sí</x:v>
      </x:c>
      <x:c r="X555" s="24" t="str">
        <x:v>Low</x:v>
      </x:c>
      <x:c r="Y555" s="24" t="str">
        <x:v>Internal development; public candidate requires gate</x:v>
      </x:c>
      <x:c r="Z555" s="24" t="str">
        <x:v>H6 legal/content audit</x:v>
      </x:c>
      <x:c r="AA555" s="24" t="str">
        <x:v>VRM Games</x:v>
      </x:c>
      <x:c r="AB555" s="24" t="str">
        <x:v>No se detectó proveedor externo en la ruta; confirmar autoría por lote antes de release público.</x:v>
      </x:c>
    </x:row>
    <x:row r="556" ht="34" customHeight="1">
      <x:c r="A556" s="24" t="str">
        <x:v>INT-0552</x:v>
      </x:c>
      <x:c r="B556" s="24" t="str">
        <x:v>79b5fa238462f0849ba223921c764bef</x:v>
      </x:c>
      <x:c r="C556" s="24" t="str">
        <x:v>RepresentativePrefabInstance.cs</x:v>
      </x:c>
      <x:c r="D556" s="24" t="str">
        <x:v>Code</x:v>
      </x:c>
      <x:c r="E556" s="24" t="str">
        <x:v>Infrastructure</x:v>
      </x:c>
      <x:c r="F556" s="24" t="str">
        <x:v>VRM Games / Blas Luis Rocha González</x:v>
      </x:c>
      <x:c r="G556" s="24" t="str">
        <x:v>VRM Games / Blas Luis Rocha González</x:v>
      </x:c>
      <x:c r="H556" s="24" t="str">
        <x:v>Internal project production</x:v>
      </x:c>
      <x:c r="I556" s="24" t="str">
        <x:v>2026 project timeline</x:v>
      </x:c>
      <x:c r="J556" s="24" t="str">
        <x:v>Internal project IP / authorship claim</x:v>
      </x:c>
      <x:c r="K556" s="24" t="str">
        <x:v>N/A</x:v>
      </x:c>
      <x:c r="L556" s="24" t="str">
        <x:v>Source package + repository path + hash</x:v>
      </x:c>
      <x:c r="M556" s="24" t="str">
        <x:v>2f2aff3666e836a9515006a46a59b89a5c71e684970bbaa616c0017c38296e48</x:v>
      </x:c>
      <x:c r="N556" s="24" t="str">
        <x:v>Assets/_Project/Scripts/Infrastructure/VerticalSlicePhase1/RepresentativePrefabInstance.cs</x:v>
      </x:c>
      <x:c r="O556" s="24" t="str">
        <x:v>79b5fa238462f0849ba223921c764bef</x:v>
      </x:c>
      <x:c r="P556" s="24" t="str">
        <x:v>Sí</x:v>
      </x:c>
      <x:c r="Q556" s="24" t="str">
        <x:v>Condicionado a autoría/procedencia final</x:v>
      </x:c>
      <x:c r="R556" s="24" t="str">
        <x:v>Solo dentro del producto/build autorizado</x:v>
      </x:c>
      <x:c r="S556" s="24" t="str">
        <x:v>Crédito general del estudio; individual si aplica</x:v>
      </x:c>
      <x:c r="T556" s="24" t="str">
        <x:v>VRM Games / Blas Luis Rocha González</x:v>
      </x:c>
      <x:c r="U556" s="24" t="str">
        <x:v>CURRENT PROJECT ASSET</x:v>
      </x:c>
      <x:c r="V556" s="24" t="str">
        <x:v>CONDITIONALLY APPROVED</x:v>
      </x:c>
      <x:c r="W556" s="24" t="str">
        <x:v>Sí</x:v>
      </x:c>
      <x:c r="X556" s="24" t="str">
        <x:v>Low</x:v>
      </x:c>
      <x:c r="Y556" s="24" t="str">
        <x:v>Internal development; public candidate requires gate</x:v>
      </x:c>
      <x:c r="Z556" s="24" t="str">
        <x:v>H6 legal/content audit</x:v>
      </x:c>
      <x:c r="AA556" s="24" t="str">
        <x:v>VRM Games</x:v>
      </x:c>
      <x:c r="AB556" s="24" t="str">
        <x:v>No se detectó proveedor externo en la ruta; confirmar autoría por lote antes de release público.</x:v>
      </x:c>
    </x:row>
    <x:row r="557" ht="34" customHeight="1">
      <x:c r="A557" s="24" t="str">
        <x:v>INT-0553</x:v>
      </x:c>
      <x:c r="B557" s="24" t="str">
        <x:v>e1be3977debf11052abee407a2cc3680</x:v>
      </x:c>
      <x:c r="C557" s="24" t="str">
        <x:v>SystemPhase1UtcClock.cs</x:v>
      </x:c>
      <x:c r="D557" s="24" t="str">
        <x:v>Code</x:v>
      </x:c>
      <x:c r="E557" s="24" t="str">
        <x:v>Infrastructure</x:v>
      </x:c>
      <x:c r="F557" s="24" t="str">
        <x:v>VRM Games / Blas Luis Rocha González</x:v>
      </x:c>
      <x:c r="G557" s="24" t="str">
        <x:v>VRM Games / Blas Luis Rocha González</x:v>
      </x:c>
      <x:c r="H557" s="24" t="str">
        <x:v>Internal project production</x:v>
      </x:c>
      <x:c r="I557" s="24" t="str">
        <x:v>2026 project timeline</x:v>
      </x:c>
      <x:c r="J557" s="24" t="str">
        <x:v>Internal project IP / authorship claim</x:v>
      </x:c>
      <x:c r="K557" s="24" t="str">
        <x:v>N/A</x:v>
      </x:c>
      <x:c r="L557" s="24" t="str">
        <x:v>Source package + repository path + hash</x:v>
      </x:c>
      <x:c r="M557" s="24" t="str">
        <x:v>192f324abb4bd5483d56d1eb0967fea90618662a2bb5e7fb75d9c1deb8f7bbf6</x:v>
      </x:c>
      <x:c r="N557" s="24" t="str">
        <x:v>Assets/_Project/Scripts/Infrastructure/VerticalSlicePhase1/SystemPhase1UtcClock.cs</x:v>
      </x:c>
      <x:c r="O557" s="24" t="str">
        <x:v>e1be3977debf11052abee407a2cc3680</x:v>
      </x:c>
      <x:c r="P557" s="24" t="str">
        <x:v>Sí</x:v>
      </x:c>
      <x:c r="Q557" s="24" t="str">
        <x:v>Condicionado a autoría/procedencia final</x:v>
      </x:c>
      <x:c r="R557" s="24" t="str">
        <x:v>Solo dentro del producto/build autorizado</x:v>
      </x:c>
      <x:c r="S557" s="24" t="str">
        <x:v>Crédito general del estudio; individual si aplica</x:v>
      </x:c>
      <x:c r="T557" s="24" t="str">
        <x:v>VRM Games / Blas Luis Rocha González</x:v>
      </x:c>
      <x:c r="U557" s="24" t="str">
        <x:v>CURRENT PROJECT ASSET</x:v>
      </x:c>
      <x:c r="V557" s="24" t="str">
        <x:v>CONDITIONALLY APPROVED</x:v>
      </x:c>
      <x:c r="W557" s="24" t="str">
        <x:v>Sí</x:v>
      </x:c>
      <x:c r="X557" s="24" t="str">
        <x:v>Low</x:v>
      </x:c>
      <x:c r="Y557" s="24" t="str">
        <x:v>Internal development; public candidate requires gate</x:v>
      </x:c>
      <x:c r="Z557" s="24" t="str">
        <x:v>H6 legal/content audit</x:v>
      </x:c>
      <x:c r="AA557" s="24" t="str">
        <x:v>VRM Games</x:v>
      </x:c>
      <x:c r="AB557" s="24" t="str">
        <x:v>No se detectó proveedor externo en la ruta; confirmar autoría por lote antes de release público.</x:v>
      </x:c>
    </x:row>
    <x:row r="558" ht="34" customHeight="1">
      <x:c r="A558" s="24" t="str">
        <x:v>INT-0554</x:v>
      </x:c>
      <x:c r="B558" s="24" t="str">
        <x:v>f6a2381059ea4b9f821395c46a5a7019</x:v>
      </x:c>
      <x:c r="C558" s="24" t="str">
        <x:v>OrbitCameraRig.cs</x:v>
      </x:c>
      <x:c r="D558" s="24" t="str">
        <x:v>Code</x:v>
      </x:c>
      <x:c r="E558" s="24" t="str">
        <x:v>Presentation</x:v>
      </x:c>
      <x:c r="F558" s="24" t="str">
        <x:v>VRM Games / Blas Luis Rocha González</x:v>
      </x:c>
      <x:c r="G558" s="24" t="str">
        <x:v>VRM Games / Blas Luis Rocha González</x:v>
      </x:c>
      <x:c r="H558" s="24" t="str">
        <x:v>Internal project production</x:v>
      </x:c>
      <x:c r="I558" s="24" t="str">
        <x:v>2026 project timeline</x:v>
      </x:c>
      <x:c r="J558" s="24" t="str">
        <x:v>Internal project IP / authorship claim</x:v>
      </x:c>
      <x:c r="K558" s="24" t="str">
        <x:v>N/A</x:v>
      </x:c>
      <x:c r="L558" s="24" t="str">
        <x:v>Source package + repository path + hash</x:v>
      </x:c>
      <x:c r="M558" s="24" t="str">
        <x:v>96a48867dca32d772182d93e90b97a45c1df1d569ca6f009fc25d560f02f2296</x:v>
      </x:c>
      <x:c r="N558" s="24" t="str">
        <x:v>Assets/_Project/Scripts/Presentation/Camera/OrbitCameraRig.cs</x:v>
      </x:c>
      <x:c r="O558" s="24" t="str">
        <x:v>f6a2381059ea4b9f821395c46a5a7019</x:v>
      </x:c>
      <x:c r="P558" s="24" t="str">
        <x:v>Sí</x:v>
      </x:c>
      <x:c r="Q558" s="24" t="str">
        <x:v>Condicionado a autoría/procedencia final</x:v>
      </x:c>
      <x:c r="R558" s="24" t="str">
        <x:v>Solo dentro del producto/build autorizado</x:v>
      </x:c>
      <x:c r="S558" s="24" t="str">
        <x:v>Crédito general del estudio; individual si aplica</x:v>
      </x:c>
      <x:c r="T558" s="24" t="str">
        <x:v>VRM Games / Blas Luis Rocha González</x:v>
      </x:c>
      <x:c r="U558" s="24" t="str">
        <x:v>CURRENT PROJECT ASSET</x:v>
      </x:c>
      <x:c r="V558" s="24" t="str">
        <x:v>CONDITIONALLY APPROVED</x:v>
      </x:c>
      <x:c r="W558" s="24" t="str">
        <x:v>Sí</x:v>
      </x:c>
      <x:c r="X558" s="24" t="str">
        <x:v>Low</x:v>
      </x:c>
      <x:c r="Y558" s="24" t="str">
        <x:v>Internal development; public candidate requires gate</x:v>
      </x:c>
      <x:c r="Z558" s="24" t="str">
        <x:v>H6 legal/content audit</x:v>
      </x:c>
      <x:c r="AA558" s="24" t="str">
        <x:v>VRM Games</x:v>
      </x:c>
      <x:c r="AB558" s="24" t="str">
        <x:v>No se detectó proveedor externo en la ruta; confirmar autoría por lote antes de release público.</x:v>
      </x:c>
    </x:row>
    <x:row r="559" ht="34" customHeight="1">
      <x:c r="A559" s="24" t="str">
        <x:v>INT-0555</x:v>
      </x:c>
      <x:c r="B559" s="24" t="str">
        <x:v>d71fb538caf8409698bd638677e33d68</x:v>
      </x:c>
      <x:c r="C559" s="24" t="str">
        <x:v>PlacedObjectView.cs</x:v>
      </x:c>
      <x:c r="D559" s="24" t="str">
        <x:v>Code</x:v>
      </x:c>
      <x:c r="E559" s="24" t="str">
        <x:v>Presentation</x:v>
      </x:c>
      <x:c r="F559" s="24" t="str">
        <x:v>VRM Games / Blas Luis Rocha González</x:v>
      </x:c>
      <x:c r="G559" s="24" t="str">
        <x:v>VRM Games / Blas Luis Rocha González</x:v>
      </x:c>
      <x:c r="H559" s="24" t="str">
        <x:v>Internal project production</x:v>
      </x:c>
      <x:c r="I559" s="24" t="str">
        <x:v>2026 project timeline</x:v>
      </x:c>
      <x:c r="J559" s="24" t="str">
        <x:v>Internal project IP / authorship claim</x:v>
      </x:c>
      <x:c r="K559" s="24" t="str">
        <x:v>N/A</x:v>
      </x:c>
      <x:c r="L559" s="24" t="str">
        <x:v>Source package + repository path + hash</x:v>
      </x:c>
      <x:c r="M559" s="24" t="str">
        <x:v>5b5a6b1210a90bdc5c702ef7fde24ec87ae3cce7dcc90e4057be8cf3fa3ca4c6</x:v>
      </x:c>
      <x:c r="N559" s="24" t="str">
        <x:v>Assets/_Project/Scripts/Presentation/Placement/PlacedObjectView.cs</x:v>
      </x:c>
      <x:c r="O559" s="24" t="str">
        <x:v>d71fb538caf8409698bd638677e33d68</x:v>
      </x:c>
      <x:c r="P559" s="24" t="str">
        <x:v>Sí</x:v>
      </x:c>
      <x:c r="Q559" s="24" t="str">
        <x:v>Condicionado a autoría/procedencia final</x:v>
      </x:c>
      <x:c r="R559" s="24" t="str">
        <x:v>Solo dentro del producto/build autorizado</x:v>
      </x:c>
      <x:c r="S559" s="24" t="str">
        <x:v>Crédito general del estudio; individual si aplica</x:v>
      </x:c>
      <x:c r="T559" s="24" t="str">
        <x:v>VRM Games / Blas Luis Rocha González</x:v>
      </x:c>
      <x:c r="U559" s="24" t="str">
        <x:v>CURRENT PROJECT ASSET</x:v>
      </x:c>
      <x:c r="V559" s="24" t="str">
        <x:v>CONDITIONALLY APPROVED</x:v>
      </x:c>
      <x:c r="W559" s="24" t="str">
        <x:v>Sí</x:v>
      </x:c>
      <x:c r="X559" s="24" t="str">
        <x:v>Low</x:v>
      </x:c>
      <x:c r="Y559" s="24" t="str">
        <x:v>Internal development; public candidate requires gate</x:v>
      </x:c>
      <x:c r="Z559" s="24" t="str">
        <x:v>H6 legal/content audit</x:v>
      </x:c>
      <x:c r="AA559" s="24" t="str">
        <x:v>VRM Games</x:v>
      </x:c>
      <x:c r="AB559" s="24" t="str">
        <x:v>No se detectó proveedor externo en la ruta; confirmar autoría por lote antes de release público.</x:v>
      </x:c>
    </x:row>
    <x:row r="560" ht="34" customHeight="1">
      <x:c r="A560" s="24" t="str">
        <x:v>INT-0556</x:v>
      </x:c>
      <x:c r="B560" s="24" t="str">
        <x:v>ee0dc518e1a043f0872108f0a3407eb3</x:v>
      </x:c>
      <x:c r="C560" s="24" t="str">
        <x:v>PlacementGhostView.cs</x:v>
      </x:c>
      <x:c r="D560" s="24" t="str">
        <x:v>Code</x:v>
      </x:c>
      <x:c r="E560" s="24" t="str">
        <x:v>Presentation</x:v>
      </x:c>
      <x:c r="F560" s="24" t="str">
        <x:v>VRM Games / Blas Luis Rocha González</x:v>
      </x:c>
      <x:c r="G560" s="24" t="str">
        <x:v>VRM Games / Blas Luis Rocha González</x:v>
      </x:c>
      <x:c r="H560" s="24" t="str">
        <x:v>Internal project production</x:v>
      </x:c>
      <x:c r="I560" s="24" t="str">
        <x:v>2026 project timeline</x:v>
      </x:c>
      <x:c r="J560" s="24" t="str">
        <x:v>Internal project IP / authorship claim</x:v>
      </x:c>
      <x:c r="K560" s="24" t="str">
        <x:v>N/A</x:v>
      </x:c>
      <x:c r="L560" s="24" t="str">
        <x:v>Source package + repository path + hash</x:v>
      </x:c>
      <x:c r="M560" s="24" t="str">
        <x:v>ac179f846e0c7b31d0d97d7c87edfdd9c79ab258ea3cf59a143bd134c487a88d</x:v>
      </x:c>
      <x:c r="N560" s="24" t="str">
        <x:v>Assets/_Project/Scripts/Presentation/Placement/PlacementGhostView.cs</x:v>
      </x:c>
      <x:c r="O560" s="24" t="str">
        <x:v>ee0dc518e1a043f0872108f0a3407eb3</x:v>
      </x:c>
      <x:c r="P560" s="24" t="str">
        <x:v>Sí</x:v>
      </x:c>
      <x:c r="Q560" s="24" t="str">
        <x:v>Condicionado a autoría/procedencia final</x:v>
      </x:c>
      <x:c r="R560" s="24" t="str">
        <x:v>Solo dentro del producto/build autorizado</x:v>
      </x:c>
      <x:c r="S560" s="24" t="str">
        <x:v>Crédito general del estudio; individual si aplica</x:v>
      </x:c>
      <x:c r="T560" s="24" t="str">
        <x:v>VRM Games / Blas Luis Rocha González</x:v>
      </x:c>
      <x:c r="U560" s="24" t="str">
        <x:v>CURRENT PROJECT ASSET</x:v>
      </x:c>
      <x:c r="V560" s="24" t="str">
        <x:v>CONDITIONALLY APPROVED</x:v>
      </x:c>
      <x:c r="W560" s="24" t="str">
        <x:v>Sí</x:v>
      </x:c>
      <x:c r="X560" s="24" t="str">
        <x:v>Low</x:v>
      </x:c>
      <x:c r="Y560" s="24" t="str">
        <x:v>Internal development; public candidate requires gate</x:v>
      </x:c>
      <x:c r="Z560" s="24" t="str">
        <x:v>H6 legal/content audit</x:v>
      </x:c>
      <x:c r="AA560" s="24" t="str">
        <x:v>VRM Games</x:v>
      </x:c>
      <x:c r="AB560" s="24" t="str">
        <x:v>No se detectó proveedor externo en la ruta; confirmar autoría por lote antes de release público.</x:v>
      </x:c>
    </x:row>
    <x:row r="561" ht="34" customHeight="1">
      <x:c r="A561" s="24" t="str">
        <x:v>INT-0557</x:v>
      </x:c>
      <x:c r="B561" s="24" t="str">
        <x:v>f18cdf6e0e3441f8b150d5651ddf8011</x:v>
      </x:c>
      <x:c r="C561" s="24" t="str">
        <x:v>PlacementPreviewController.cs</x:v>
      </x:c>
      <x:c r="D561" s="24" t="str">
        <x:v>Code</x:v>
      </x:c>
      <x:c r="E561" s="24" t="str">
        <x:v>Presentation</x:v>
      </x:c>
      <x:c r="F561" s="24" t="str">
        <x:v>VRM Games / Blas Luis Rocha González</x:v>
      </x:c>
      <x:c r="G561" s="24" t="str">
        <x:v>VRM Games / Blas Luis Rocha González</x:v>
      </x:c>
      <x:c r="H561" s="24" t="str">
        <x:v>Internal project production</x:v>
      </x:c>
      <x:c r="I561" s="24" t="str">
        <x:v>2026 project timeline</x:v>
      </x:c>
      <x:c r="J561" s="24" t="str">
        <x:v>Internal project IP / authorship claim</x:v>
      </x:c>
      <x:c r="K561" s="24" t="str">
        <x:v>N/A</x:v>
      </x:c>
      <x:c r="L561" s="24" t="str">
        <x:v>Source package + repository path + hash</x:v>
      </x:c>
      <x:c r="M561" s="24" t="str">
        <x:v>e8b5de1a1f45e88b27f8262aa3c33e6428db88afcc11c39e564b05f8d710bd71</x:v>
      </x:c>
      <x:c r="N561" s="24" t="str">
        <x:v>Assets/_Project/Scripts/Presentation/Placement/PlacementPreviewController.cs</x:v>
      </x:c>
      <x:c r="O561" s="24" t="str">
        <x:v>f18cdf6e0e3441f8b150d5651ddf8011</x:v>
      </x:c>
      <x:c r="P561" s="24" t="str">
        <x:v>Sí</x:v>
      </x:c>
      <x:c r="Q561" s="24" t="str">
        <x:v>Condicionado a autoría/procedencia final</x:v>
      </x:c>
      <x:c r="R561" s="24" t="str">
        <x:v>Solo dentro del producto/build autorizado</x:v>
      </x:c>
      <x:c r="S561" s="24" t="str">
        <x:v>Crédito general del estudio; individual si aplica</x:v>
      </x:c>
      <x:c r="T561" s="24" t="str">
        <x:v>VRM Games / Blas Luis Rocha González</x:v>
      </x:c>
      <x:c r="U561" s="24" t="str">
        <x:v>CURRENT PROJECT ASSET</x:v>
      </x:c>
      <x:c r="V561" s="24" t="str">
        <x:v>CONDITIONALLY APPROVED</x:v>
      </x:c>
      <x:c r="W561" s="24" t="str">
        <x:v>Sí</x:v>
      </x:c>
      <x:c r="X561" s="24" t="str">
        <x:v>Low</x:v>
      </x:c>
      <x:c r="Y561" s="24" t="str">
        <x:v>Internal development; public candidate requires gate</x:v>
      </x:c>
      <x:c r="Z561" s="24" t="str">
        <x:v>H6 legal/content audit</x:v>
      </x:c>
      <x:c r="AA561" s="24" t="str">
        <x:v>VRM Games</x:v>
      </x:c>
      <x:c r="AB561" s="24" t="str">
        <x:v>No se detectó proveedor externo en la ruta; confirmar autoría por lote antes de release público.</x:v>
      </x:c>
    </x:row>
    <x:row r="562" ht="34" customHeight="1">
      <x:c r="A562" s="24" t="str">
        <x:v>INT-0558</x:v>
      </x:c>
      <x:c r="B562" s="24" t="str">
        <x:v>cafafcaa55234797ac010b31601dad6b</x:v>
      </x:c>
      <x:c r="C562" s="24" t="str">
        <x:v>PlacementRuntimeController.cs</x:v>
      </x:c>
      <x:c r="D562" s="24" t="str">
        <x:v>Code</x:v>
      </x:c>
      <x:c r="E562" s="24" t="str">
        <x:v>Presentation</x:v>
      </x:c>
      <x:c r="F562" s="24" t="str">
        <x:v>VRM Games / Blas Luis Rocha González</x:v>
      </x:c>
      <x:c r="G562" s="24" t="str">
        <x:v>VRM Games / Blas Luis Rocha González</x:v>
      </x:c>
      <x:c r="H562" s="24" t="str">
        <x:v>Internal project production</x:v>
      </x:c>
      <x:c r="I562" s="24" t="str">
        <x:v>2026 project timeline</x:v>
      </x:c>
      <x:c r="J562" s="24" t="str">
        <x:v>Internal project IP / authorship claim</x:v>
      </x:c>
      <x:c r="K562" s="24" t="str">
        <x:v>N/A</x:v>
      </x:c>
      <x:c r="L562" s="24" t="str">
        <x:v>Source package + repository path + hash</x:v>
      </x:c>
      <x:c r="M562" s="24" t="str">
        <x:v>5ab0c6501a03e62e6d6a3e0ac5b7cc3df294ce82d5b9720029d4b4231fc3aee0</x:v>
      </x:c>
      <x:c r="N562" s="24" t="str">
        <x:v>Assets/_Project/Scripts/Presentation/Placement/PlacementRuntimeController.cs</x:v>
      </x:c>
      <x:c r="O562" s="24" t="str">
        <x:v>cafafcaa55234797ac010b31601dad6b</x:v>
      </x:c>
      <x:c r="P562" s="24" t="str">
        <x:v>Sí</x:v>
      </x:c>
      <x:c r="Q562" s="24" t="str">
        <x:v>Condicionado a autoría/procedencia final</x:v>
      </x:c>
      <x:c r="R562" s="24" t="str">
        <x:v>Solo dentro del producto/build autorizado</x:v>
      </x:c>
      <x:c r="S562" s="24" t="str">
        <x:v>Crédito general del estudio; individual si aplica</x:v>
      </x:c>
      <x:c r="T562" s="24" t="str">
        <x:v>VRM Games / Blas Luis Rocha González</x:v>
      </x:c>
      <x:c r="U562" s="24" t="str">
        <x:v>CURRENT PROJECT ASSET</x:v>
      </x:c>
      <x:c r="V562" s="24" t="str">
        <x:v>CONDITIONALLY APPROVED</x:v>
      </x:c>
      <x:c r="W562" s="24" t="str">
        <x:v>Sí</x:v>
      </x:c>
      <x:c r="X562" s="24" t="str">
        <x:v>Low</x:v>
      </x:c>
      <x:c r="Y562" s="24" t="str">
        <x:v>Internal development; public candidate requires gate</x:v>
      </x:c>
      <x:c r="Z562" s="24" t="str">
        <x:v>H6 legal/content audit</x:v>
      </x:c>
      <x:c r="AA562" s="24" t="str">
        <x:v>VRM Games</x:v>
      </x:c>
      <x:c r="AB562" s="24" t="str">
        <x:v>No se detectó proveedor externo en la ruta; confirmar autoría por lote antes de release público.</x:v>
      </x:c>
    </x:row>
    <x:row r="563" ht="34" customHeight="1">
      <x:c r="A563" s="24" t="str">
        <x:v>INT-0559</x:v>
      </x:c>
      <x:c r="B563" s="24" t="str">
        <x:v>30622554993b47c18d84d29f8b543f15</x:v>
      </x:c>
      <x:c r="C563" s="24" t="str">
        <x:v>PlacementSurface.cs</x:v>
      </x:c>
      <x:c r="D563" s="24" t="str">
        <x:v>Code</x:v>
      </x:c>
      <x:c r="E563" s="24" t="str">
        <x:v>Presentation</x:v>
      </x:c>
      <x:c r="F563" s="24" t="str">
        <x:v>VRM Games / Blas Luis Rocha González</x:v>
      </x:c>
      <x:c r="G563" s="24" t="str">
        <x:v>VRM Games / Blas Luis Rocha González</x:v>
      </x:c>
      <x:c r="H563" s="24" t="str">
        <x:v>Internal project production</x:v>
      </x:c>
      <x:c r="I563" s="24" t="str">
        <x:v>2026 project timeline</x:v>
      </x:c>
      <x:c r="J563" s="24" t="str">
        <x:v>Internal project IP / authorship claim</x:v>
      </x:c>
      <x:c r="K563" s="24" t="str">
        <x:v>N/A</x:v>
      </x:c>
      <x:c r="L563" s="24" t="str">
        <x:v>Source package + repository path + hash</x:v>
      </x:c>
      <x:c r="M563" s="24" t="str">
        <x:v>65b3e9b2807ba55d4f58697a836d7d1c9ca4d402ce536c221fe94d3f49756353</x:v>
      </x:c>
      <x:c r="N563" s="24" t="str">
        <x:v>Assets/_Project/Scripts/Presentation/Placement/PlacementSurface.cs</x:v>
      </x:c>
      <x:c r="O563" s="24" t="str">
        <x:v>30622554993b47c18d84d29f8b543f15</x:v>
      </x:c>
      <x:c r="P563" s="24" t="str">
        <x:v>Sí</x:v>
      </x:c>
      <x:c r="Q563" s="24" t="str">
        <x:v>Condicionado a autoría/procedencia final</x:v>
      </x:c>
      <x:c r="R563" s="24" t="str">
        <x:v>Solo dentro del producto/build autorizado</x:v>
      </x:c>
      <x:c r="S563" s="24" t="str">
        <x:v>Crédito general del estudio; individual si aplica</x:v>
      </x:c>
      <x:c r="T563" s="24" t="str">
        <x:v>VRM Games / Blas Luis Rocha González</x:v>
      </x:c>
      <x:c r="U563" s="24" t="str">
        <x:v>CURRENT PROJECT ASSET</x:v>
      </x:c>
      <x:c r="V563" s="24" t="str">
        <x:v>CONDITIONALLY APPROVED</x:v>
      </x:c>
      <x:c r="W563" s="24" t="str">
        <x:v>Sí</x:v>
      </x:c>
      <x:c r="X563" s="24" t="str">
        <x:v>Low</x:v>
      </x:c>
      <x:c r="Y563" s="24" t="str">
        <x:v>Internal development; public candidate requires gate</x:v>
      </x:c>
      <x:c r="Z563" s="24" t="str">
        <x:v>H6 legal/content audit</x:v>
      </x:c>
      <x:c r="AA563" s="24" t="str">
        <x:v>VRM Games</x:v>
      </x:c>
      <x:c r="AB563" s="24" t="str">
        <x:v>No se detectó proveedor externo en la ruta; confirmar autoría por lote antes de release público.</x:v>
      </x:c>
    </x:row>
    <x:row r="564" ht="34" customHeight="1">
      <x:c r="A564" s="24" t="str">
        <x:v>INT-0560</x:v>
      </x:c>
      <x:c r="B564" s="24" t="str">
        <x:v>a2c0c3291a4c4ae3a60c68300e4151d1</x:v>
      </x:c>
      <x:c r="C564" s="24" t="str">
        <x:v>TechnicalPlaceableDefinition.cs</x:v>
      </x:c>
      <x:c r="D564" s="24" t="str">
        <x:v>Code</x:v>
      </x:c>
      <x:c r="E564" s="24" t="str">
        <x:v>Presentation</x:v>
      </x:c>
      <x:c r="F564" s="24" t="str">
        <x:v>VRM Games / Blas Luis Rocha González</x:v>
      </x:c>
      <x:c r="G564" s="24" t="str">
        <x:v>VRM Games / Blas Luis Rocha González</x:v>
      </x:c>
      <x:c r="H564" s="24" t="str">
        <x:v>Internal project production</x:v>
      </x:c>
      <x:c r="I564" s="24" t="str">
        <x:v>2026 project timeline</x:v>
      </x:c>
      <x:c r="J564" s="24" t="str">
        <x:v>Internal project IP / authorship claim</x:v>
      </x:c>
      <x:c r="K564" s="24" t="str">
        <x:v>N/A</x:v>
      </x:c>
      <x:c r="L564" s="24" t="str">
        <x:v>Source package + repository path + hash</x:v>
      </x:c>
      <x:c r="M564" s="24" t="str">
        <x:v>dfceb676a30b1f99856591762b67661a72a208aaac8b5f5d4f2d04f91adba921</x:v>
      </x:c>
      <x:c r="N564" s="24" t="str">
        <x:v>Assets/_Project/Scripts/Presentation/Placement/TechnicalPlaceableDefinition.cs</x:v>
      </x:c>
      <x:c r="O564" s="24" t="str">
        <x:v>a2c0c3291a4c4ae3a60c68300e4151d1</x:v>
      </x:c>
      <x:c r="P564" s="24" t="str">
        <x:v>Sí</x:v>
      </x:c>
      <x:c r="Q564" s="24" t="str">
        <x:v>Condicionado a autoría/procedencia final</x:v>
      </x:c>
      <x:c r="R564" s="24" t="str">
        <x:v>Solo dentro del producto/build autorizado</x:v>
      </x:c>
      <x:c r="S564" s="24" t="str">
        <x:v>Crédito general del estudio; individual si aplica</x:v>
      </x:c>
      <x:c r="T564" s="24" t="str">
        <x:v>VRM Games / Blas Luis Rocha González</x:v>
      </x:c>
      <x:c r="U564" s="24" t="str">
        <x:v>CURRENT PROJECT ASSET</x:v>
      </x:c>
      <x:c r="V564" s="24" t="str">
        <x:v>CONDITIONALLY APPROVED</x:v>
      </x:c>
      <x:c r="W564" s="24" t="str">
        <x:v>Sí</x:v>
      </x:c>
      <x:c r="X564" s="24" t="str">
        <x:v>Low</x:v>
      </x:c>
      <x:c r="Y564" s="24" t="str">
        <x:v>Internal development; public candidate requires gate</x:v>
      </x:c>
      <x:c r="Z564" s="24" t="str">
        <x:v>H6 legal/content audit</x:v>
      </x:c>
      <x:c r="AA564" s="24" t="str">
        <x:v>VRM Games</x:v>
      </x:c>
      <x:c r="AB564" s="24" t="str">
        <x:v>No se detectó proveedor externo en la ruta; confirmar autoría por lote antes de release público.</x:v>
      </x:c>
    </x:row>
    <x:row r="565" ht="34" customHeight="1">
      <x:c r="A565" s="24" t="str">
        <x:v>INT-0561</x:v>
      </x:c>
      <x:c r="B565" s="24" t="str">
        <x:v>43e2f864044542b8a9e91d09b773393a</x:v>
      </x:c>
      <x:c r="C565" s="24" t="str">
        <x:v>ClickDestinationInput.cs</x:v>
      </x:c>
      <x:c r="D565" s="24" t="str">
        <x:v>Code</x:v>
      </x:c>
      <x:c r="E565" s="24" t="str">
        <x:v>Presentation</x:v>
      </x:c>
      <x:c r="F565" s="24" t="str">
        <x:v>VRM Games / Blas Luis Rocha González</x:v>
      </x:c>
      <x:c r="G565" s="24" t="str">
        <x:v>VRM Games / Blas Luis Rocha González</x:v>
      </x:c>
      <x:c r="H565" s="24" t="str">
        <x:v>Internal project production</x:v>
      </x:c>
      <x:c r="I565" s="24" t="str">
        <x:v>2026 project timeline</x:v>
      </x:c>
      <x:c r="J565" s="24" t="str">
        <x:v>Internal project IP / authorship claim</x:v>
      </x:c>
      <x:c r="K565" s="24" t="str">
        <x:v>N/A</x:v>
      </x:c>
      <x:c r="L565" s="24" t="str">
        <x:v>Source package + repository path + hash</x:v>
      </x:c>
      <x:c r="M565" s="24" t="str">
        <x:v>8f94ef27d771ec06e0d435631e4b5c8358af373ca8b94b000dbb66a4dd95ec76</x:v>
      </x:c>
      <x:c r="N565" s="24" t="str">
        <x:v>Assets/_Project/Scripts/Presentation/PlayerMovement/ClickDestinationInput.cs</x:v>
      </x:c>
      <x:c r="O565" s="24" t="str">
        <x:v>43e2f864044542b8a9e91d09b773393a</x:v>
      </x:c>
      <x:c r="P565" s="24" t="str">
        <x:v>Sí</x:v>
      </x:c>
      <x:c r="Q565" s="24" t="str">
        <x:v>Condicionado a autoría/procedencia final</x:v>
      </x:c>
      <x:c r="R565" s="24" t="str">
        <x:v>Solo dentro del producto/build autorizado</x:v>
      </x:c>
      <x:c r="S565" s="24" t="str">
        <x:v>Crédito general del estudio; individual si aplica</x:v>
      </x:c>
      <x:c r="T565" s="24" t="str">
        <x:v>VRM Games / Blas Luis Rocha González</x:v>
      </x:c>
      <x:c r="U565" s="24" t="str">
        <x:v>CURRENT PROJECT ASSET</x:v>
      </x:c>
      <x:c r="V565" s="24" t="str">
        <x:v>CONDITIONALLY APPROVED</x:v>
      </x:c>
      <x:c r="W565" s="24" t="str">
        <x:v>Sí</x:v>
      </x:c>
      <x:c r="X565" s="24" t="str">
        <x:v>Low</x:v>
      </x:c>
      <x:c r="Y565" s="24" t="str">
        <x:v>Internal development; public candidate requires gate</x:v>
      </x:c>
      <x:c r="Z565" s="24" t="str">
        <x:v>H6 legal/content audit</x:v>
      </x:c>
      <x:c r="AA565" s="24" t="str">
        <x:v>VRM Games</x:v>
      </x:c>
      <x:c r="AB565" s="24" t="str">
        <x:v>No se detectó proveedor externo en la ruta; confirmar autoría por lote antes de release público.</x:v>
      </x:c>
    </x:row>
    <x:row r="566" ht="34" customHeight="1">
      <x:c r="A566" s="24" t="str">
        <x:v>INT-0562</x:v>
      </x:c>
      <x:c r="B566" s="24" t="str">
        <x:v>7190f1cbdcc1426dbd1a093e43e2db55</x:v>
      </x:c>
      <x:c r="C566" s="24" t="str">
        <x:v>ClickToMoveAgent.cs</x:v>
      </x:c>
      <x:c r="D566" s="24" t="str">
        <x:v>Code</x:v>
      </x:c>
      <x:c r="E566" s="24" t="str">
        <x:v>Presentation</x:v>
      </x:c>
      <x:c r="F566" s="24" t="str">
        <x:v>VRM Games / Blas Luis Rocha González</x:v>
      </x:c>
      <x:c r="G566" s="24" t="str">
        <x:v>VRM Games / Blas Luis Rocha González</x:v>
      </x:c>
      <x:c r="H566" s="24" t="str">
        <x:v>Internal project production</x:v>
      </x:c>
      <x:c r="I566" s="24" t="str">
        <x:v>2026 project timeline</x:v>
      </x:c>
      <x:c r="J566" s="24" t="str">
        <x:v>Internal project IP / authorship claim</x:v>
      </x:c>
      <x:c r="K566" s="24" t="str">
        <x:v>N/A</x:v>
      </x:c>
      <x:c r="L566" s="24" t="str">
        <x:v>Source package + repository path + hash</x:v>
      </x:c>
      <x:c r="M566" s="24" t="str">
        <x:v>b6f1a41e8c388c70d55cf5ffe15ff613b01d91afc519f7df55743a32a77124a2</x:v>
      </x:c>
      <x:c r="N566" s="24" t="str">
        <x:v>Assets/_Project/Scripts/Presentation/PlayerMovement/ClickToMoveAgent.cs</x:v>
      </x:c>
      <x:c r="O566" s="24" t="str">
        <x:v>7190f1cbdcc1426dbd1a093e43e2db55</x:v>
      </x:c>
      <x:c r="P566" s="24" t="str">
        <x:v>Sí</x:v>
      </x:c>
      <x:c r="Q566" s="24" t="str">
        <x:v>Condicionado a autoría/procedencia final</x:v>
      </x:c>
      <x:c r="R566" s="24" t="str">
        <x:v>Solo dentro del producto/build autorizado</x:v>
      </x:c>
      <x:c r="S566" s="24" t="str">
        <x:v>Crédito general del estudio; individual si aplica</x:v>
      </x:c>
      <x:c r="T566" s="24" t="str">
        <x:v>VRM Games / Blas Luis Rocha González</x:v>
      </x:c>
      <x:c r="U566" s="24" t="str">
        <x:v>CURRENT PROJECT ASSET</x:v>
      </x:c>
      <x:c r="V566" s="24" t="str">
        <x:v>CONDITIONALLY APPROVED</x:v>
      </x:c>
      <x:c r="W566" s="24" t="str">
        <x:v>Sí</x:v>
      </x:c>
      <x:c r="X566" s="24" t="str">
        <x:v>Low</x:v>
      </x:c>
      <x:c r="Y566" s="24" t="str">
        <x:v>Internal development; public candidate requires gate</x:v>
      </x:c>
      <x:c r="Z566" s="24" t="str">
        <x:v>H6 legal/content audit</x:v>
      </x:c>
      <x:c r="AA566" s="24" t="str">
        <x:v>VRM Games</x:v>
      </x:c>
      <x:c r="AB566" s="24" t="str">
        <x:v>No se detectó proveedor externo en la ruta; confirmar autoría por lote antes de release público.</x:v>
      </x:c>
    </x:row>
    <x:row r="567" ht="34" customHeight="1">
      <x:c r="A567" s="24" t="str">
        <x:v>INT-0563</x:v>
      </x:c>
      <x:c r="B567" s="24" t="str">
        <x:v>cad2a4580b82800448596e751df17c21</x:v>
      </x:c>
      <x:c r="C567" s="24" t="str">
        <x:v>MainMenuController.cs</x:v>
      </x:c>
      <x:c r="D567" s="24" t="str">
        <x:v>Code</x:v>
      </x:c>
      <x:c r="E567" s="24" t="str">
        <x:v>Presentation</x:v>
      </x:c>
      <x:c r="F567" s="24" t="str">
        <x:v>VRM Games / Blas Luis Rocha González</x:v>
      </x:c>
      <x:c r="G567" s="24" t="str">
        <x:v>VRM Games / Blas Luis Rocha González</x:v>
      </x:c>
      <x:c r="H567" s="24" t="str">
        <x:v>Internal project production</x:v>
      </x:c>
      <x:c r="I567" s="24" t="str">
        <x:v>2026 project timeline</x:v>
      </x:c>
      <x:c r="J567" s="24" t="str">
        <x:v>Internal project IP / authorship claim</x:v>
      </x:c>
      <x:c r="K567" s="24" t="str">
        <x:v>N/A</x:v>
      </x:c>
      <x:c r="L567" s="24" t="str">
        <x:v>Source package + repository path + hash</x:v>
      </x:c>
      <x:c r="M567" s="24" t="str">
        <x:v>0888d2696d7737e2af4fb9b332695bc02295276ed16ed9bc8c47532285aae360</x:v>
      </x:c>
      <x:c r="N567" s="24" t="str">
        <x:v>Assets/_Project/Scripts/Presentation/SceneFlow/MainMenuController.cs</x:v>
      </x:c>
      <x:c r="O567" s="24" t="str">
        <x:v>cad2a4580b82800448596e751df17c21</x:v>
      </x:c>
      <x:c r="P567" s="24" t="str">
        <x:v>Sí</x:v>
      </x:c>
      <x:c r="Q567" s="24" t="str">
        <x:v>Condicionado a autoría/procedencia final</x:v>
      </x:c>
      <x:c r="R567" s="24" t="str">
        <x:v>Solo dentro del producto/build autorizado</x:v>
      </x:c>
      <x:c r="S567" s="24" t="str">
        <x:v>Crédito general del estudio; individual si aplica</x:v>
      </x:c>
      <x:c r="T567" s="24" t="str">
        <x:v>VRM Games / Blas Luis Rocha González</x:v>
      </x:c>
      <x:c r="U567" s="24" t="str">
        <x:v>CURRENT PROJECT ASSET</x:v>
      </x:c>
      <x:c r="V567" s="24" t="str">
        <x:v>CONDITIONALLY APPROVED</x:v>
      </x:c>
      <x:c r="W567" s="24" t="str">
        <x:v>Sí</x:v>
      </x:c>
      <x:c r="X567" s="24" t="str">
        <x:v>Low</x:v>
      </x:c>
      <x:c r="Y567" s="24" t="str">
        <x:v>Internal development; public candidate requires gate</x:v>
      </x:c>
      <x:c r="Z567" s="24" t="str">
        <x:v>H6 legal/content audit</x:v>
      </x:c>
      <x:c r="AA567" s="24" t="str">
        <x:v>VRM Games</x:v>
      </x:c>
      <x:c r="AB567" s="24" t="str">
        <x:v>No se detectó proveedor externo en la ruta; confirmar autoría por lote antes de release público.</x:v>
      </x:c>
    </x:row>
    <x:row r="568" ht="34" customHeight="1">
      <x:c r="A568" s="24" t="str">
        <x:v>INT-0564</x:v>
      </x:c>
      <x:c r="B568" s="24" t="str">
        <x:v>262cdecf75ce10e41a2a36ba3ee711d2</x:v>
      </x:c>
      <x:c r="C568" s="24" t="str">
        <x:v>StoreSceneController.cs</x:v>
      </x:c>
      <x:c r="D568" s="24" t="str">
        <x:v>Code</x:v>
      </x:c>
      <x:c r="E568" s="24" t="str">
        <x:v>Presentation</x:v>
      </x:c>
      <x:c r="F568" s="24" t="str">
        <x:v>VRM Games / Blas Luis Rocha González</x:v>
      </x:c>
      <x:c r="G568" s="24" t="str">
        <x:v>VRM Games / Blas Luis Rocha González</x:v>
      </x:c>
      <x:c r="H568" s="24" t="str">
        <x:v>Internal project production</x:v>
      </x:c>
      <x:c r="I568" s="24" t="str">
        <x:v>2026 project timeline</x:v>
      </x:c>
      <x:c r="J568" s="24" t="str">
        <x:v>Internal project IP / authorship claim</x:v>
      </x:c>
      <x:c r="K568" s="24" t="str">
        <x:v>N/A</x:v>
      </x:c>
      <x:c r="L568" s="24" t="str">
        <x:v>Source package + repository path + hash</x:v>
      </x:c>
      <x:c r="M568" s="24" t="str">
        <x:v>4b84919545cc05d1d4d03a279d4f3c712690c58c92fabcf1d6808f9a99d6ca5a</x:v>
      </x:c>
      <x:c r="N568" s="24" t="str">
        <x:v>Assets/_Project/Scripts/Presentation/SceneFlow/StoreSceneController.cs</x:v>
      </x:c>
      <x:c r="O568" s="24" t="str">
        <x:v>262cdecf75ce10e41a2a36ba3ee711d2</x:v>
      </x:c>
      <x:c r="P568" s="24" t="str">
        <x:v>Sí</x:v>
      </x:c>
      <x:c r="Q568" s="24" t="str">
        <x:v>Condicionado a autoría/procedencia final</x:v>
      </x:c>
      <x:c r="R568" s="24" t="str">
        <x:v>Solo dentro del producto/build autorizado</x:v>
      </x:c>
      <x:c r="S568" s="24" t="str">
        <x:v>Crédito general del estudio; individual si aplica</x:v>
      </x:c>
      <x:c r="T568" s="24" t="str">
        <x:v>VRM Games / Blas Luis Rocha González</x:v>
      </x:c>
      <x:c r="U568" s="24" t="str">
        <x:v>CURRENT PROJECT ASSET</x:v>
      </x:c>
      <x:c r="V568" s="24" t="str">
        <x:v>CONDITIONALLY APPROVED</x:v>
      </x:c>
      <x:c r="W568" s="24" t="str">
        <x:v>Sí</x:v>
      </x:c>
      <x:c r="X568" s="24" t="str">
        <x:v>Low</x:v>
      </x:c>
      <x:c r="Y568" s="24" t="str">
        <x:v>Internal development; public candidate requires gate</x:v>
      </x:c>
      <x:c r="Z568" s="24" t="str">
        <x:v>H6 legal/content audit</x:v>
      </x:c>
      <x:c r="AA568" s="24" t="str">
        <x:v>VRM Games</x:v>
      </x:c>
      <x:c r="AB568" s="24" t="str">
        <x:v>No se detectó proveedor externo en la ruta; confirmar autoría por lote antes de release público.</x:v>
      </x:c>
    </x:row>
    <x:row r="569" ht="34" customHeight="1">
      <x:c r="A569" s="24" t="str">
        <x:v>INT-0565</x:v>
      </x:c>
      <x:c r="B569" s="24" t="str">
        <x:v>582f0ebc7c4f4224ae139dcc71b224bb</x:v>
      </x:c>
      <x:c r="C569" s="24" t="str">
        <x:v>StoreShellDescriptor.cs</x:v>
      </x:c>
      <x:c r="D569" s="24" t="str">
        <x:v>Code</x:v>
      </x:c>
      <x:c r="E569" s="24" t="str">
        <x:v>Presentation</x:v>
      </x:c>
      <x:c r="F569" s="24" t="str">
        <x:v>VRM Games / Blas Luis Rocha González</x:v>
      </x:c>
      <x:c r="G569" s="24" t="str">
        <x:v>VRM Games / Blas Luis Rocha González</x:v>
      </x:c>
      <x:c r="H569" s="24" t="str">
        <x:v>Internal project production</x:v>
      </x:c>
      <x:c r="I569" s="24" t="str">
        <x:v>2026 project timeline</x:v>
      </x:c>
      <x:c r="J569" s="24" t="str">
        <x:v>Internal project IP / authorship claim</x:v>
      </x:c>
      <x:c r="K569" s="24" t="str">
        <x:v>N/A</x:v>
      </x:c>
      <x:c r="L569" s="24" t="str">
        <x:v>Source package + repository path + hash</x:v>
      </x:c>
      <x:c r="M569" s="24" t="str">
        <x:v>cda3d924b19aec99230f95f1f798d21a6fb06ed33011945ada2b349424401f93</x:v>
      </x:c>
      <x:c r="N569" s="24" t="str">
        <x:v>Assets/_Project/Scripts/Presentation/Store/StoreShellDescriptor.cs</x:v>
      </x:c>
      <x:c r="O569" s="24" t="str">
        <x:v>582f0ebc7c4f4224ae139dcc71b224bb</x:v>
      </x:c>
      <x:c r="P569" s="24" t="str">
        <x:v>Sí</x:v>
      </x:c>
      <x:c r="Q569" s="24" t="str">
        <x:v>Condicionado a autoría/procedencia final</x:v>
      </x:c>
      <x:c r="R569" s="24" t="str">
        <x:v>Solo dentro del producto/build autorizado</x:v>
      </x:c>
      <x:c r="S569" s="24" t="str">
        <x:v>Crédito general del estudio; individual si aplica</x:v>
      </x:c>
      <x:c r="T569" s="24" t="str">
        <x:v>VRM Games / Blas Luis Rocha González</x:v>
      </x:c>
      <x:c r="U569" s="24" t="str">
        <x:v>CURRENT PROJECT ASSET</x:v>
      </x:c>
      <x:c r="V569" s="24" t="str">
        <x:v>CONDITIONALLY APPROVED</x:v>
      </x:c>
      <x:c r="W569" s="24" t="str">
        <x:v>Sí</x:v>
      </x:c>
      <x:c r="X569" s="24" t="str">
        <x:v>Low</x:v>
      </x:c>
      <x:c r="Y569" s="24" t="str">
        <x:v>Internal development; public candidate requires gate</x:v>
      </x:c>
      <x:c r="Z569" s="24" t="str">
        <x:v>H6 legal/content audit</x:v>
      </x:c>
      <x:c r="AA569" s="24" t="str">
        <x:v>VRM Games</x:v>
      </x:c>
      <x:c r="AB569" s="24" t="str">
        <x:v>No se detectó proveedor externo en la ruta; confirmar autoría por lote antes de release público.</x:v>
      </x:c>
    </x:row>
    <x:row r="570" ht="34" customHeight="1">
      <x:c r="A570" s="24" t="str">
        <x:v>INT-0566</x:v>
      </x:c>
      <x:c r="B570" s="24" t="str">
        <x:v>32f6b38e73889394ea626f2c0fafff3d</x:v>
      </x:c>
      <x:c r="C570" s="24" t="str">
        <x:v>VRMGames.CartridgeAndCloud.Presentation.asmdef</x:v>
      </x:c>
      <x:c r="D570" s="24" t="str">
        <x:v>Assembly definition</x:v>
      </x:c>
      <x:c r="E570" s="24" t="str">
        <x:v>Presentation</x:v>
      </x:c>
      <x:c r="F570" s="24" t="str">
        <x:v>VRM Games / Blas Luis Rocha González</x:v>
      </x:c>
      <x:c r="G570" s="24" t="str">
        <x:v>VRM Games / Blas Luis Rocha González</x:v>
      </x:c>
      <x:c r="H570" s="24" t="str">
        <x:v>Internal project production</x:v>
      </x:c>
      <x:c r="I570" s="24" t="str">
        <x:v>2026 project timeline</x:v>
      </x:c>
      <x:c r="J570" s="24" t="str">
        <x:v>Internal project IP / authorship claim</x:v>
      </x:c>
      <x:c r="K570" s="24" t="str">
        <x:v>N/A</x:v>
      </x:c>
      <x:c r="L570" s="24" t="str">
        <x:v>Source package + repository path + hash</x:v>
      </x:c>
      <x:c r="M570" s="24" t="str">
        <x:v>aa52f83ffe0f5dfdd1da1151ea53dc596f1c2787353a1025504a4d8319fccfb7</x:v>
      </x:c>
      <x:c r="N570" s="24" t="str">
        <x:v>Assets/_Project/Scripts/Presentation/VRMGames.CartridgeAndCloud.Presentation.asmdef</x:v>
      </x:c>
      <x:c r="O570" s="24" t="str">
        <x:v>32f6b38e73889394ea626f2c0fafff3d</x:v>
      </x:c>
      <x:c r="P570" s="24" t="str">
        <x:v>Sí</x:v>
      </x:c>
      <x:c r="Q570" s="24" t="str">
        <x:v>Condicionado a autoría/procedencia final</x:v>
      </x:c>
      <x:c r="R570" s="24" t="str">
        <x:v>Solo dentro del producto/build autorizado</x:v>
      </x:c>
      <x:c r="S570" s="24" t="str">
        <x:v>Crédito general del estudio; individual si aplica</x:v>
      </x:c>
      <x:c r="T570" s="24" t="str">
        <x:v>VRM Games / Blas Luis Rocha González</x:v>
      </x:c>
      <x:c r="U570" s="24" t="str">
        <x:v>CURRENT PROJECT ASSET</x:v>
      </x:c>
      <x:c r="V570" s="24" t="str">
        <x:v>CONDITIONALLY APPROVED</x:v>
      </x:c>
      <x:c r="W570" s="24" t="str">
        <x:v>Sí</x:v>
      </x:c>
      <x:c r="X570" s="24" t="str">
        <x:v>Low</x:v>
      </x:c>
      <x:c r="Y570" s="24" t="str">
        <x:v>Internal development; public candidate requires gate</x:v>
      </x:c>
      <x:c r="Z570" s="24" t="str">
        <x:v>H6 legal/content audit</x:v>
      </x:c>
      <x:c r="AA570" s="24" t="str">
        <x:v>VRM Games</x:v>
      </x:c>
      <x:c r="AB570" s="24" t="str">
        <x:v>No se detectó proveedor externo en la ruta; confirmar autoría por lote antes de release público.</x:v>
      </x:c>
    </x:row>
    <x:row r="571" ht="34" customHeight="1">
      <x:c r="A571" s="24" t="str">
        <x:v>INT-0567</x:v>
      </x:c>
      <x:c r="B571" s="24" t="str">
        <x:v>c766b2b4ae528fda0b95db99f5318369</x:v>
      </x:c>
      <x:c r="C571" s="24" t="str">
        <x:v>Phase1AudioRouter.cs</x:v>
      </x:c>
      <x:c r="D571" s="24" t="str">
        <x:v>Code</x:v>
      </x:c>
      <x:c r="E571" s="24" t="str">
        <x:v>Runtime</x:v>
      </x:c>
      <x:c r="F571" s="24" t="str">
        <x:v>VRM Games / Blas Luis Rocha González</x:v>
      </x:c>
      <x:c r="G571" s="24" t="str">
        <x:v>VRM Games / Blas Luis Rocha González</x:v>
      </x:c>
      <x:c r="H571" s="24" t="str">
        <x:v>Internal project production</x:v>
      </x:c>
      <x:c r="I571" s="24" t="str">
        <x:v>2026 project timeline</x:v>
      </x:c>
      <x:c r="J571" s="24" t="str">
        <x:v>Internal project IP / authorship claim</x:v>
      </x:c>
      <x:c r="K571" s="24" t="str">
        <x:v>N/A</x:v>
      </x:c>
      <x:c r="L571" s="24" t="str">
        <x:v>Source package + repository path + hash</x:v>
      </x:c>
      <x:c r="M571" s="24" t="str">
        <x:v>cb09500abc2614d75a6f47fea02698ee542eac3987c2468a57341da476c54398</x:v>
      </x:c>
      <x:c r="N571" s="24" t="str">
        <x:v>Assets/_Project/Scripts/Runtime/VerticalSlicePhase1/Phase1AudioRouter.cs</x:v>
      </x:c>
      <x:c r="O571" s="24" t="str">
        <x:v>c766b2b4ae528fda0b95db99f5318369</x:v>
      </x:c>
      <x:c r="P571" s="24" t="str">
        <x:v>Sí</x:v>
      </x:c>
      <x:c r="Q571" s="24" t="str">
        <x:v>Condicionado a autoría/procedencia final</x:v>
      </x:c>
      <x:c r="R571" s="24" t="str">
        <x:v>Solo dentro del producto/build autorizado</x:v>
      </x:c>
      <x:c r="S571" s="24" t="str">
        <x:v>Crédito general del estudio; individual si aplica</x:v>
      </x:c>
      <x:c r="T571" s="24" t="str">
        <x:v>VRM Games / Blas Luis Rocha González</x:v>
      </x:c>
      <x:c r="U571" s="24" t="str">
        <x:v>CURRENT PROJECT ASSET</x:v>
      </x:c>
      <x:c r="V571" s="24" t="str">
        <x:v>CONDITIONALLY APPROVED</x:v>
      </x:c>
      <x:c r="W571" s="24" t="str">
        <x:v>Sí</x:v>
      </x:c>
      <x:c r="X571" s="24" t="str">
        <x:v>Low</x:v>
      </x:c>
      <x:c r="Y571" s="24" t="str">
        <x:v>Internal development; public candidate requires gate</x:v>
      </x:c>
      <x:c r="Z571" s="24" t="str">
        <x:v>H6 legal/content audit</x:v>
      </x:c>
      <x:c r="AA571" s="24" t="str">
        <x:v>VRM Games</x:v>
      </x:c>
      <x:c r="AB571" s="24" t="str">
        <x:v>No se detectó proveedor externo en la ruta; confirmar autoría por lote antes de release público.</x:v>
      </x:c>
    </x:row>
    <x:row r="572" ht="34" customHeight="1">
      <x:c r="A572" s="24" t="str">
        <x:v>INT-0568</x:v>
      </x:c>
      <x:c r="B572" s="24" t="str">
        <x:v>afaf91a76971dc32c30354bcb609da73</x:v>
      </x:c>
      <x:c r="C572" s="24" t="str">
        <x:v>Phase1CharacterLoopController.cs</x:v>
      </x:c>
      <x:c r="D572" s="24" t="str">
        <x:v>Code</x:v>
      </x:c>
      <x:c r="E572" s="24" t="str">
        <x:v>Runtime</x:v>
      </x:c>
      <x:c r="F572" s="24" t="str">
        <x:v>VRM Games / Blas Luis Rocha González</x:v>
      </x:c>
      <x:c r="G572" s="24" t="str">
        <x:v>VRM Games / Blas Luis Rocha González</x:v>
      </x:c>
      <x:c r="H572" s="24" t="str">
        <x:v>Internal project production</x:v>
      </x:c>
      <x:c r="I572" s="24" t="str">
        <x:v>2026 project timeline</x:v>
      </x:c>
      <x:c r="J572" s="24" t="str">
        <x:v>Internal project IP / authorship claim</x:v>
      </x:c>
      <x:c r="K572" s="24" t="str">
        <x:v>N/A</x:v>
      </x:c>
      <x:c r="L572" s="24" t="str">
        <x:v>Source package + repository path + hash</x:v>
      </x:c>
      <x:c r="M572" s="24" t="str">
        <x:v>db47430173a54015bf4e033008d8639cf019a359110732f3e1c12772942c999f</x:v>
      </x:c>
      <x:c r="N572" s="24" t="str">
        <x:v>Assets/_Project/Scripts/Runtime/VerticalSlicePhase1/Phase1CharacterLoopController.cs</x:v>
      </x:c>
      <x:c r="O572" s="24" t="str">
        <x:v>afaf91a76971dc32c30354bcb609da73</x:v>
      </x:c>
      <x:c r="P572" s="24" t="str">
        <x:v>Sí</x:v>
      </x:c>
      <x:c r="Q572" s="24" t="str">
        <x:v>Condicionado a autoría/procedencia final</x:v>
      </x:c>
      <x:c r="R572" s="24" t="str">
        <x:v>Solo dentro del producto/build autorizado</x:v>
      </x:c>
      <x:c r="S572" s="24" t="str">
        <x:v>Crédito general del estudio; individual si aplica</x:v>
      </x:c>
      <x:c r="T572" s="24" t="str">
        <x:v>VRM Games / Blas Luis Rocha González</x:v>
      </x:c>
      <x:c r="U572" s="24" t="str">
        <x:v>CURRENT PROJECT ASSET</x:v>
      </x:c>
      <x:c r="V572" s="24" t="str">
        <x:v>CONDITIONALLY APPROVED</x:v>
      </x:c>
      <x:c r="W572" s="24" t="str">
        <x:v>Sí</x:v>
      </x:c>
      <x:c r="X572" s="24" t="str">
        <x:v>Low</x:v>
      </x:c>
      <x:c r="Y572" s="24" t="str">
        <x:v>Internal development; public candidate requires gate</x:v>
      </x:c>
      <x:c r="Z572" s="24" t="str">
        <x:v>H6 legal/content audit</x:v>
      </x:c>
      <x:c r="AA572" s="24" t="str">
        <x:v>VRM Games</x:v>
      </x:c>
      <x:c r="AB572" s="24" t="str">
        <x:v>No se detectó proveedor externo en la ruta; confirmar autoría por lote antes de release público.</x:v>
      </x:c>
    </x:row>
    <x:row r="573" ht="34" customHeight="1">
      <x:c r="A573" s="24" t="str">
        <x:v>INT-0569</x:v>
      </x:c>
      <x:c r="B573" s="24" t="str">
        <x:v>492a098f83f15d5d8aaa0fa192bded36</x:v>
      </x:c>
      <x:c r="C573" s="24" t="str">
        <x:v>Phase1FeedbackPresenter.cs</x:v>
      </x:c>
      <x:c r="D573" s="24" t="str">
        <x:v>Code</x:v>
      </x:c>
      <x:c r="E573" s="24" t="str">
        <x:v>Runtime</x:v>
      </x:c>
      <x:c r="F573" s="24" t="str">
        <x:v>VRM Games / Blas Luis Rocha González</x:v>
      </x:c>
      <x:c r="G573" s="24" t="str">
        <x:v>VRM Games / Blas Luis Rocha González</x:v>
      </x:c>
      <x:c r="H573" s="24" t="str">
        <x:v>Internal project production</x:v>
      </x:c>
      <x:c r="I573" s="24" t="str">
        <x:v>2026 project timeline</x:v>
      </x:c>
      <x:c r="J573" s="24" t="str">
        <x:v>Internal project IP / authorship claim</x:v>
      </x:c>
      <x:c r="K573" s="24" t="str">
        <x:v>N/A</x:v>
      </x:c>
      <x:c r="L573" s="24" t="str">
        <x:v>Source package + repository path + hash</x:v>
      </x:c>
      <x:c r="M573" s="24" t="str">
        <x:v>0924976dbf4de3117cfb0d850231cb155ca1ae1fd8fb0bcb1a3ba0b99d2858ec</x:v>
      </x:c>
      <x:c r="N573" s="24" t="str">
        <x:v>Assets/_Project/Scripts/Runtime/VerticalSlicePhase1/Phase1FeedbackPresenter.cs</x:v>
      </x:c>
      <x:c r="O573" s="24" t="str">
        <x:v>492a098f83f15d5d8aaa0fa192bded36</x:v>
      </x:c>
      <x:c r="P573" s="24" t="str">
        <x:v>Sí</x:v>
      </x:c>
      <x:c r="Q573" s="24" t="str">
        <x:v>Condicionado a autoría/procedencia final</x:v>
      </x:c>
      <x:c r="R573" s="24" t="str">
        <x:v>Solo dentro del producto/build autorizado</x:v>
      </x:c>
      <x:c r="S573" s="24" t="str">
        <x:v>Crédito general del estudio; individual si aplica</x:v>
      </x:c>
      <x:c r="T573" s="24" t="str">
        <x:v>VRM Games / Blas Luis Rocha González</x:v>
      </x:c>
      <x:c r="U573" s="24" t="str">
        <x:v>CURRENT PROJECT ASSET</x:v>
      </x:c>
      <x:c r="V573" s="24" t="str">
        <x:v>CONDITIONALLY APPROVED</x:v>
      </x:c>
      <x:c r="W573" s="24" t="str">
        <x:v>Sí</x:v>
      </x:c>
      <x:c r="X573" s="24" t="str">
        <x:v>Low</x:v>
      </x:c>
      <x:c r="Y573" s="24" t="str">
        <x:v>Internal development; public candidate requires gate</x:v>
      </x:c>
      <x:c r="Z573" s="24" t="str">
        <x:v>H6 legal/content audit</x:v>
      </x:c>
      <x:c r="AA573" s="24" t="str">
        <x:v>VRM Games</x:v>
      </x:c>
      <x:c r="AB573" s="24" t="str">
        <x:v>No se detectó proveedor externo en la ruta; confirmar autoría por lote antes de release público.</x:v>
      </x:c>
    </x:row>
    <x:row r="574" ht="34" customHeight="1">
      <x:c r="A574" s="24" t="str">
        <x:v>INT-0570</x:v>
      </x:c>
      <x:c r="B574" s="24" t="str">
        <x:v>8b4273df585811cd957896cbc1f43942</x:v>
      </x:c>
      <x:c r="C574" s="24" t="str">
        <x:v>Phase1InventoryVisualSynchronizer.cs</x:v>
      </x:c>
      <x:c r="D574" s="24" t="str">
        <x:v>Code</x:v>
      </x:c>
      <x:c r="E574" s="24" t="str">
        <x:v>Runtime</x:v>
      </x:c>
      <x:c r="F574" s="24" t="str">
        <x:v>VRM Games / Blas Luis Rocha González</x:v>
      </x:c>
      <x:c r="G574" s="24" t="str">
        <x:v>VRM Games / Blas Luis Rocha González</x:v>
      </x:c>
      <x:c r="H574" s="24" t="str">
        <x:v>Internal project production</x:v>
      </x:c>
      <x:c r="I574" s="24" t="str">
        <x:v>2026 project timeline</x:v>
      </x:c>
      <x:c r="J574" s="24" t="str">
        <x:v>Internal project IP / authorship claim</x:v>
      </x:c>
      <x:c r="K574" s="24" t="str">
        <x:v>N/A</x:v>
      </x:c>
      <x:c r="L574" s="24" t="str">
        <x:v>Source package + repository path + hash</x:v>
      </x:c>
      <x:c r="M574" s="24" t="str">
        <x:v>12693346c7de4f62bbebf369e9edede2b48f524974dfd92c0b5c150adb2d9802</x:v>
      </x:c>
      <x:c r="N574" s="24" t="str">
        <x:v>Assets/_Project/Scripts/Runtime/VerticalSlicePhase1/Phase1InventoryVisualSynchronizer.cs</x:v>
      </x:c>
      <x:c r="O574" s="24" t="str">
        <x:v>8b4273df585811cd957896cbc1f43942</x:v>
      </x:c>
      <x:c r="P574" s="24" t="str">
        <x:v>Sí</x:v>
      </x:c>
      <x:c r="Q574" s="24" t="str">
        <x:v>Condicionado a autoría/procedencia final</x:v>
      </x:c>
      <x:c r="R574" s="24" t="str">
        <x:v>Solo dentro del producto/build autorizado</x:v>
      </x:c>
      <x:c r="S574" s="24" t="str">
        <x:v>Crédito general del estudio; individual si aplica</x:v>
      </x:c>
      <x:c r="T574" s="24" t="str">
        <x:v>VRM Games / Blas Luis Rocha González</x:v>
      </x:c>
      <x:c r="U574" s="24" t="str">
        <x:v>CURRENT PROJECT ASSET</x:v>
      </x:c>
      <x:c r="V574" s="24" t="str">
        <x:v>CONDITIONALLY APPROVED</x:v>
      </x:c>
      <x:c r="W574" s="24" t="str">
        <x:v>Sí</x:v>
      </x:c>
      <x:c r="X574" s="24" t="str">
        <x:v>Low</x:v>
      </x:c>
      <x:c r="Y574" s="24" t="str">
        <x:v>Internal development; public candidate requires gate</x:v>
      </x:c>
      <x:c r="Z574" s="24" t="str">
        <x:v>H6 legal/content audit</x:v>
      </x:c>
      <x:c r="AA574" s="24" t="str">
        <x:v>VRM Games</x:v>
      </x:c>
      <x:c r="AB574" s="24" t="str">
        <x:v>No se detectó proveedor externo en la ruta; confirmar autoría por lote antes de release público.</x:v>
      </x:c>
    </x:row>
    <x:row r="575" ht="34" customHeight="1">
      <x:c r="A575" s="24" t="str">
        <x:v>INT-0571</x:v>
      </x:c>
      <x:c r="B575" s="24" t="str">
        <x:v>2ee0f2df07cd97962666e95a2a21af66</x:v>
      </x:c>
      <x:c r="C575" s="24" t="str">
        <x:v>Phase1OperationsScreen.cs</x:v>
      </x:c>
      <x:c r="D575" s="24" t="str">
        <x:v>Code</x:v>
      </x:c>
      <x:c r="E575" s="24" t="str">
        <x:v>Runtime</x:v>
      </x:c>
      <x:c r="F575" s="24" t="str">
        <x:v>VRM Games / Blas Luis Rocha González</x:v>
      </x:c>
      <x:c r="G575" s="24" t="str">
        <x:v>VRM Games / Blas Luis Rocha González</x:v>
      </x:c>
      <x:c r="H575" s="24" t="str">
        <x:v>Internal project production</x:v>
      </x:c>
      <x:c r="I575" s="24" t="str">
        <x:v>2026 project timeline</x:v>
      </x:c>
      <x:c r="J575" s="24" t="str">
        <x:v>Internal project IP / authorship claim</x:v>
      </x:c>
      <x:c r="K575" s="24" t="str">
        <x:v>N/A</x:v>
      </x:c>
      <x:c r="L575" s="24" t="str">
        <x:v>Source package + repository path + hash</x:v>
      </x:c>
      <x:c r="M575" s="24" t="str">
        <x:v>b51ec79e3e6346dbea20b2741e3bb69b196cc2e3625811422c7d483232e96fc7</x:v>
      </x:c>
      <x:c r="N575" s="24" t="str">
        <x:v>Assets/_Project/Scripts/Runtime/VerticalSlicePhase1/Phase1OperationsScreen.cs</x:v>
      </x:c>
      <x:c r="O575" s="24" t="str">
        <x:v>2ee0f2df07cd97962666e95a2a21af66</x:v>
      </x:c>
      <x:c r="P575" s="24" t="str">
        <x:v>Sí</x:v>
      </x:c>
      <x:c r="Q575" s="24" t="str">
        <x:v>Condicionado a autoría/procedencia final</x:v>
      </x:c>
      <x:c r="R575" s="24" t="str">
        <x:v>Solo dentro del producto/build autorizado</x:v>
      </x:c>
      <x:c r="S575" s="24" t="str">
        <x:v>Crédito general del estudio; individual si aplica</x:v>
      </x:c>
      <x:c r="T575" s="24" t="str">
        <x:v>VRM Games / Blas Luis Rocha González</x:v>
      </x:c>
      <x:c r="U575" s="24" t="str">
        <x:v>CURRENT PROJECT ASSET</x:v>
      </x:c>
      <x:c r="V575" s="24" t="str">
        <x:v>CONDITIONALLY APPROVED</x:v>
      </x:c>
      <x:c r="W575" s="24" t="str">
        <x:v>Sí</x:v>
      </x:c>
      <x:c r="X575" s="24" t="str">
        <x:v>Low</x:v>
      </x:c>
      <x:c r="Y575" s="24" t="str">
        <x:v>Internal development; public candidate requires gate</x:v>
      </x:c>
      <x:c r="Z575" s="24" t="str">
        <x:v>H6 legal/content audit</x:v>
      </x:c>
      <x:c r="AA575" s="24" t="str">
        <x:v>VRM Games</x:v>
      </x:c>
      <x:c r="AB575" s="24" t="str">
        <x:v>No se detectó proveedor externo en la ruta; confirmar autoría por lote antes de release público.</x:v>
      </x:c>
    </x:row>
    <x:row r="576" ht="34" customHeight="1">
      <x:c r="A576" s="24" t="str">
        <x:v>INT-0572</x:v>
      </x:c>
      <x:c r="B576" s="24" t="str">
        <x:v>248afe9469c5c89a83c3024854aa6310</x:v>
      </x:c>
      <x:c r="C576" s="24" t="str">
        <x:v>Phase1PlacedFixtureVisual.cs</x:v>
      </x:c>
      <x:c r="D576" s="24" t="str">
        <x:v>Code</x:v>
      </x:c>
      <x:c r="E576" s="24" t="str">
        <x:v>Runtime</x:v>
      </x:c>
      <x:c r="F576" s="24" t="str">
        <x:v>VRM Games / Blas Luis Rocha González</x:v>
      </x:c>
      <x:c r="G576" s="24" t="str">
        <x:v>VRM Games / Blas Luis Rocha González</x:v>
      </x:c>
      <x:c r="H576" s="24" t="str">
        <x:v>Internal project production</x:v>
      </x:c>
      <x:c r="I576" s="24" t="str">
        <x:v>2026 project timeline</x:v>
      </x:c>
      <x:c r="J576" s="24" t="str">
        <x:v>Internal project IP / authorship claim</x:v>
      </x:c>
      <x:c r="K576" s="24" t="str">
        <x:v>N/A</x:v>
      </x:c>
      <x:c r="L576" s="24" t="str">
        <x:v>Source package + repository path + hash</x:v>
      </x:c>
      <x:c r="M576" s="24" t="str">
        <x:v>cf06073b70375a646356d5899e0fcf730e6ec1158c45bd5f9c5f41d5b83fbf75</x:v>
      </x:c>
      <x:c r="N576" s="24" t="str">
        <x:v>Assets/_Project/Scripts/Runtime/VerticalSlicePhase1/Phase1PlacedFixtureVisual.cs</x:v>
      </x:c>
      <x:c r="O576" s="24" t="str">
        <x:v>248afe9469c5c89a83c3024854aa6310</x:v>
      </x:c>
      <x:c r="P576" s="24" t="str">
        <x:v>Sí</x:v>
      </x:c>
      <x:c r="Q576" s="24" t="str">
        <x:v>Condicionado a autoría/procedencia final</x:v>
      </x:c>
      <x:c r="R576" s="24" t="str">
        <x:v>Solo dentro del producto/build autorizado</x:v>
      </x:c>
      <x:c r="S576" s="24" t="str">
        <x:v>Crédito general del estudio; individual si aplica</x:v>
      </x:c>
      <x:c r="T576" s="24" t="str">
        <x:v>VRM Games / Blas Luis Rocha González</x:v>
      </x:c>
      <x:c r="U576" s="24" t="str">
        <x:v>CURRENT PROJECT ASSET</x:v>
      </x:c>
      <x:c r="V576" s="24" t="str">
        <x:v>CONDITIONALLY APPROVED</x:v>
      </x:c>
      <x:c r="W576" s="24" t="str">
        <x:v>Sí</x:v>
      </x:c>
      <x:c r="X576" s="24" t="str">
        <x:v>Low</x:v>
      </x:c>
      <x:c r="Y576" s="24" t="str">
        <x:v>Internal development; public candidate requires gate</x:v>
      </x:c>
      <x:c r="Z576" s="24" t="str">
        <x:v>H6 legal/content audit</x:v>
      </x:c>
      <x:c r="AA576" s="24" t="str">
        <x:v>VRM Games</x:v>
      </x:c>
      <x:c r="AB576" s="24" t="str">
        <x:v>No se detectó proveedor externo en la ruta; confirmar autoría por lote antes de release público.</x:v>
      </x:c>
    </x:row>
    <x:row r="577" ht="34" customHeight="1">
      <x:c r="A577" s="24" t="str">
        <x:v>INT-0573</x:v>
      </x:c>
      <x:c r="B577" s="24" t="str">
        <x:v>dd775f8a605142be6462dd3935368bad</x:v>
      </x:c>
      <x:c r="C577" s="24" t="str">
        <x:v>Phase1PlacementCompatibilityBridge.cs</x:v>
      </x:c>
      <x:c r="D577" s="24" t="str">
        <x:v>Code</x:v>
      </x:c>
      <x:c r="E577" s="24" t="str">
        <x:v>Runtime</x:v>
      </x:c>
      <x:c r="F577" s="24" t="str">
        <x:v>VRM Games / Blas Luis Rocha González</x:v>
      </x:c>
      <x:c r="G577" s="24" t="str">
        <x:v>VRM Games / Blas Luis Rocha González</x:v>
      </x:c>
      <x:c r="H577" s="24" t="str">
        <x:v>Internal project production</x:v>
      </x:c>
      <x:c r="I577" s="24" t="str">
        <x:v>2026 project timeline</x:v>
      </x:c>
      <x:c r="J577" s="24" t="str">
        <x:v>Internal project IP / authorship claim</x:v>
      </x:c>
      <x:c r="K577" s="24" t="str">
        <x:v>N/A</x:v>
      </x:c>
      <x:c r="L577" s="24" t="str">
        <x:v>Source package + repository path + hash</x:v>
      </x:c>
      <x:c r="M577" s="24" t="str">
        <x:v>0496f032427cb78d134e75df50964243ae204cc9534a4dbecec4c5199533cb33</x:v>
      </x:c>
      <x:c r="N577" s="24" t="str">
        <x:v>Assets/_Project/Scripts/Runtime/VerticalSlicePhase1/Phase1PlacementCompatibilityBridge.cs</x:v>
      </x:c>
      <x:c r="O577" s="24" t="str">
        <x:v>dd775f8a605142be6462dd3935368bad</x:v>
      </x:c>
      <x:c r="P577" s="24" t="str">
        <x:v>Sí</x:v>
      </x:c>
      <x:c r="Q577" s="24" t="str">
        <x:v>Condicionado a autoría/procedencia final</x:v>
      </x:c>
      <x:c r="R577" s="24" t="str">
        <x:v>Solo dentro del producto/build autorizado</x:v>
      </x:c>
      <x:c r="S577" s="24" t="str">
        <x:v>Crédito general del estudio; individual si aplica</x:v>
      </x:c>
      <x:c r="T577" s="24" t="str">
        <x:v>VRM Games / Blas Luis Rocha González</x:v>
      </x:c>
      <x:c r="U577" s="24" t="str">
        <x:v>CURRENT PROJECT ASSET</x:v>
      </x:c>
      <x:c r="V577" s="24" t="str">
        <x:v>CONDITIONALLY APPROVED</x:v>
      </x:c>
      <x:c r="W577" s="24" t="str">
        <x:v>Sí</x:v>
      </x:c>
      <x:c r="X577" s="24" t="str">
        <x:v>Low</x:v>
      </x:c>
      <x:c r="Y577" s="24" t="str">
        <x:v>Internal development; public candidate requires gate</x:v>
      </x:c>
      <x:c r="Z577" s="24" t="str">
        <x:v>H6 legal/content audit</x:v>
      </x:c>
      <x:c r="AA577" s="24" t="str">
        <x:v>VRM Games</x:v>
      </x:c>
      <x:c r="AB577" s="24" t="str">
        <x:v>No se detectó proveedor externo en la ruta; confirmar autoría por lote antes de release público.</x:v>
      </x:c>
    </x:row>
    <x:row r="578" ht="34" customHeight="1">
      <x:c r="A578" s="24" t="str">
        <x:v>INT-0574</x:v>
      </x:c>
      <x:c r="B578" s="24" t="str">
        <x:v>034c4123aa1c02dfb5103444944a6e49</x:v>
      </x:c>
      <x:c r="C578" s="24" t="str">
        <x:v>Phase1RuntimeUiFactory.cs</x:v>
      </x:c>
      <x:c r="D578" s="24" t="str">
        <x:v>Code</x:v>
      </x:c>
      <x:c r="E578" s="24" t="str">
        <x:v>Runtime</x:v>
      </x:c>
      <x:c r="F578" s="24" t="str">
        <x:v>VRM Games / Blas Luis Rocha González</x:v>
      </x:c>
      <x:c r="G578" s="24" t="str">
        <x:v>VRM Games / Blas Luis Rocha González</x:v>
      </x:c>
      <x:c r="H578" s="24" t="str">
        <x:v>Internal project production</x:v>
      </x:c>
      <x:c r="I578" s="24" t="str">
        <x:v>2026 project timeline</x:v>
      </x:c>
      <x:c r="J578" s="24" t="str">
        <x:v>Internal project IP / authorship claim</x:v>
      </x:c>
      <x:c r="K578" s="24" t="str">
        <x:v>N/A</x:v>
      </x:c>
      <x:c r="L578" s="24" t="str">
        <x:v>Source package + repository path + hash</x:v>
      </x:c>
      <x:c r="M578" s="24" t="str">
        <x:v>46eb55ad59816660d49f01f07b5d8528fc0644173552200dcbcf114ae28264ef</x:v>
      </x:c>
      <x:c r="N578" s="24" t="str">
        <x:v>Assets/_Project/Scripts/Runtime/VerticalSlicePhase1/Phase1RuntimeUiFactory.cs</x:v>
      </x:c>
      <x:c r="O578" s="24" t="str">
        <x:v>034c4123aa1c02dfb5103444944a6e49</x:v>
      </x:c>
      <x:c r="P578" s="24" t="str">
        <x:v>Sí</x:v>
      </x:c>
      <x:c r="Q578" s="24" t="str">
        <x:v>Condicionado a autoría/procedencia final</x:v>
      </x:c>
      <x:c r="R578" s="24" t="str">
        <x:v>Solo dentro del producto/build autorizado</x:v>
      </x:c>
      <x:c r="S578" s="24" t="str">
        <x:v>Crédito general del estudio; individual si aplica</x:v>
      </x:c>
      <x:c r="T578" s="24" t="str">
        <x:v>VRM Games / Blas Luis Rocha González</x:v>
      </x:c>
      <x:c r="U578" s="24" t="str">
        <x:v>CURRENT PROJECT ASSET</x:v>
      </x:c>
      <x:c r="V578" s="24" t="str">
        <x:v>CONDITIONALLY APPROVED</x:v>
      </x:c>
      <x:c r="W578" s="24" t="str">
        <x:v>Sí</x:v>
      </x:c>
      <x:c r="X578" s="24" t="str">
        <x:v>Low</x:v>
      </x:c>
      <x:c r="Y578" s="24" t="str">
        <x:v>Internal development; public candidate requires gate</x:v>
      </x:c>
      <x:c r="Z578" s="24" t="str">
        <x:v>H6 legal/content audit</x:v>
      </x:c>
      <x:c r="AA578" s="24" t="str">
        <x:v>VRM Games</x:v>
      </x:c>
      <x:c r="AB578" s="24" t="str">
        <x:v>No se detectó proveedor externo en la ruta; confirmar autoría por lote antes de release público.</x:v>
      </x:c>
    </x:row>
    <x:row r="579" ht="34" customHeight="1">
      <x:c r="A579" s="24" t="str">
        <x:v>INT-0575</x:v>
      </x:c>
      <x:c r="B579" s="24" t="str">
        <x:v>e0e9a79b035e9e794911217924cb7fbf</x:v>
      </x:c>
      <x:c r="C579" s="24" t="str">
        <x:v>Phase1StoreBlockoutBuilder.cs</x:v>
      </x:c>
      <x:c r="D579" s="24" t="str">
        <x:v>Code</x:v>
      </x:c>
      <x:c r="E579" s="24" t="str">
        <x:v>Runtime</x:v>
      </x:c>
      <x:c r="F579" s="24" t="str">
        <x:v>VRM Games / Blas Luis Rocha González</x:v>
      </x:c>
      <x:c r="G579" s="24" t="str">
        <x:v>VRM Games / Blas Luis Rocha González</x:v>
      </x:c>
      <x:c r="H579" s="24" t="str">
        <x:v>Internal project production</x:v>
      </x:c>
      <x:c r="I579" s="24" t="str">
        <x:v>2026 project timeline</x:v>
      </x:c>
      <x:c r="J579" s="24" t="str">
        <x:v>Internal project IP / authorship claim</x:v>
      </x:c>
      <x:c r="K579" s="24" t="str">
        <x:v>N/A</x:v>
      </x:c>
      <x:c r="L579" s="24" t="str">
        <x:v>Source package + repository path + hash</x:v>
      </x:c>
      <x:c r="M579" s="24" t="str">
        <x:v>5c2c001372ba09d2c9abdff56963256d7e50b838b1a6765c472be13fb9229e7e</x:v>
      </x:c>
      <x:c r="N579" s="24" t="str">
        <x:v>Assets/_Project/Scripts/Runtime/VerticalSlicePhase1/Phase1StoreBlockoutBuilder.cs</x:v>
      </x:c>
      <x:c r="O579" s="24" t="str">
        <x:v>e0e9a79b035e9e794911217924cb7fbf</x:v>
      </x:c>
      <x:c r="P579" s="24" t="str">
        <x:v>Sí</x:v>
      </x:c>
      <x:c r="Q579" s="24" t="str">
        <x:v>Condicionado a autoría/procedencia final</x:v>
      </x:c>
      <x:c r="R579" s="24" t="str">
        <x:v>Solo dentro del producto/build autorizado</x:v>
      </x:c>
      <x:c r="S579" s="24" t="str">
        <x:v>Crédito general del estudio; individual si aplica</x:v>
      </x:c>
      <x:c r="T579" s="24" t="str">
        <x:v>VRM Games / Blas Luis Rocha González</x:v>
      </x:c>
      <x:c r="U579" s="24" t="str">
        <x:v>CURRENT PROJECT ASSET</x:v>
      </x:c>
      <x:c r="V579" s="24" t="str">
        <x:v>CONDITIONALLY APPROVED</x:v>
      </x:c>
      <x:c r="W579" s="24" t="str">
        <x:v>Sí</x:v>
      </x:c>
      <x:c r="X579" s="24" t="str">
        <x:v>Low</x:v>
      </x:c>
      <x:c r="Y579" s="24" t="str">
        <x:v>Internal development; public candidate requires gate</x:v>
      </x:c>
      <x:c r="Z579" s="24" t="str">
        <x:v>H6 legal/content audit</x:v>
      </x:c>
      <x:c r="AA579" s="24" t="str">
        <x:v>VRM Games</x:v>
      </x:c>
      <x:c r="AB579" s="24" t="str">
        <x:v>No se detectó proveedor externo en la ruta; confirmar autoría por lote antes de release público.</x:v>
      </x:c>
    </x:row>
    <x:row r="580" ht="34" customHeight="1">
      <x:c r="A580" s="24" t="str">
        <x:v>INT-0576</x:v>
      </x:c>
      <x:c r="B580" s="24" t="str">
        <x:v>a13c8c563d21742cb088b54651149608</x:v>
      </x:c>
      <x:c r="C580" s="24" t="str">
        <x:v>Phase1VfxPool.cs</x:v>
      </x:c>
      <x:c r="D580" s="24" t="str">
        <x:v>Code</x:v>
      </x:c>
      <x:c r="E580" s="24" t="str">
        <x:v>Runtime</x:v>
      </x:c>
      <x:c r="F580" s="24" t="str">
        <x:v>VRM Games / Blas Luis Rocha González</x:v>
      </x:c>
      <x:c r="G580" s="24" t="str">
        <x:v>VRM Games / Blas Luis Rocha González</x:v>
      </x:c>
      <x:c r="H580" s="24" t="str">
        <x:v>Internal project production</x:v>
      </x:c>
      <x:c r="I580" s="24" t="str">
        <x:v>2026 project timeline</x:v>
      </x:c>
      <x:c r="J580" s="24" t="str">
        <x:v>Internal project IP / authorship claim</x:v>
      </x:c>
      <x:c r="K580" s="24" t="str">
        <x:v>N/A</x:v>
      </x:c>
      <x:c r="L580" s="24" t="str">
        <x:v>Source package + repository path + hash</x:v>
      </x:c>
      <x:c r="M580" s="24" t="str">
        <x:v>1718223e12436f910111accfff3ffefca529a21b8e9ece4a21e5ede458f55bbc</x:v>
      </x:c>
      <x:c r="N580" s="24" t="str">
        <x:v>Assets/_Project/Scripts/Runtime/VerticalSlicePhase1/Phase1VfxPool.cs</x:v>
      </x:c>
      <x:c r="O580" s="24" t="str">
        <x:v>a13c8c563d21742cb088b54651149608</x:v>
      </x:c>
      <x:c r="P580" s="24" t="str">
        <x:v>Sí</x:v>
      </x:c>
      <x:c r="Q580" s="24" t="str">
        <x:v>Condicionado a autoría/procedencia final</x:v>
      </x:c>
      <x:c r="R580" s="24" t="str">
        <x:v>Solo dentro del producto/build autorizado</x:v>
      </x:c>
      <x:c r="S580" s="24" t="str">
        <x:v>Crédito general del estudio; individual si aplica</x:v>
      </x:c>
      <x:c r="T580" s="24" t="str">
        <x:v>VRM Games / Blas Luis Rocha González</x:v>
      </x:c>
      <x:c r="U580" s="24" t="str">
        <x:v>CURRENT PROJECT ASSET</x:v>
      </x:c>
      <x:c r="V580" s="24" t="str">
        <x:v>CONDITIONALLY APPROVED</x:v>
      </x:c>
      <x:c r="W580" s="24" t="str">
        <x:v>Sí</x:v>
      </x:c>
      <x:c r="X580" s="24" t="str">
        <x:v>Low</x:v>
      </x:c>
      <x:c r="Y580" s="24" t="str">
        <x:v>Internal development; public candidate requires gate</x:v>
      </x:c>
      <x:c r="Z580" s="24" t="str">
        <x:v>H6 legal/content audit</x:v>
      </x:c>
      <x:c r="AA580" s="24" t="str">
        <x:v>VRM Games</x:v>
      </x:c>
      <x:c r="AB580" s="24" t="str">
        <x:v>No se detectó proveedor externo en la ruta; confirmar autoría por lote antes de release público.</x:v>
      </x:c>
    </x:row>
    <x:row r="581" ht="34" customHeight="1">
      <x:c r="A581" s="24" t="str">
        <x:v>INT-0577</x:v>
      </x:c>
      <x:c r="B581" s="24" t="str">
        <x:v>fe33933c657d3b54a9fd489ad7ec1704</x:v>
      </x:c>
      <x:c r="C581" s="24" t="str">
        <x:v>RepresentativeStoreVisualBuilder.cs</x:v>
      </x:c>
      <x:c r="D581" s="24" t="str">
        <x:v>Code</x:v>
      </x:c>
      <x:c r="E581" s="24" t="str">
        <x:v>Runtime</x:v>
      </x:c>
      <x:c r="F581" s="24" t="str">
        <x:v>VRM Games / Blas Luis Rocha González</x:v>
      </x:c>
      <x:c r="G581" s="24" t="str">
        <x:v>VRM Games / Blas Luis Rocha González</x:v>
      </x:c>
      <x:c r="H581" s="24" t="str">
        <x:v>Internal project production</x:v>
      </x:c>
      <x:c r="I581" s="24" t="str">
        <x:v>2026 project timeline</x:v>
      </x:c>
      <x:c r="J581" s="24" t="str">
        <x:v>Internal project IP / authorship claim</x:v>
      </x:c>
      <x:c r="K581" s="24" t="str">
        <x:v>N/A</x:v>
      </x:c>
      <x:c r="L581" s="24" t="str">
        <x:v>Source package + repository path + hash</x:v>
      </x:c>
      <x:c r="M581" s="24" t="str">
        <x:v>44557f02056b86b709c32e1b277da6b9e09bde104a62a81b55027b693331bba4</x:v>
      </x:c>
      <x:c r="N581" s="24" t="str">
        <x:v>Assets/_Project/Scripts/Runtime/VerticalSlicePhase1/RepresentativeStoreVisualBuilder.cs</x:v>
      </x:c>
      <x:c r="O581" s="24" t="str">
        <x:v>fe33933c657d3b54a9fd489ad7ec1704</x:v>
      </x:c>
      <x:c r="P581" s="24" t="str">
        <x:v>Sí</x:v>
      </x:c>
      <x:c r="Q581" s="24" t="str">
        <x:v>Condicionado a autoría/procedencia final</x:v>
      </x:c>
      <x:c r="R581" s="24" t="str">
        <x:v>Solo dentro del producto/build autorizado</x:v>
      </x:c>
      <x:c r="S581" s="24" t="str">
        <x:v>Crédito general del estudio; individual si aplica</x:v>
      </x:c>
      <x:c r="T581" s="24" t="str">
        <x:v>VRM Games / Blas Luis Rocha González</x:v>
      </x:c>
      <x:c r="U581" s="24" t="str">
        <x:v>CURRENT PROJECT ASSET</x:v>
      </x:c>
      <x:c r="V581" s="24" t="str">
        <x:v>CONDITIONALLY APPROVED</x:v>
      </x:c>
      <x:c r="W581" s="24" t="str">
        <x:v>Sí</x:v>
      </x:c>
      <x:c r="X581" s="24" t="str">
        <x:v>Low</x:v>
      </x:c>
      <x:c r="Y581" s="24" t="str">
        <x:v>Internal development; public candidate requires gate</x:v>
      </x:c>
      <x:c r="Z581" s="24" t="str">
        <x:v>H6 legal/content audit</x:v>
      </x:c>
      <x:c r="AA581" s="24" t="str">
        <x:v>VRM Games</x:v>
      </x:c>
      <x:c r="AB581" s="24" t="str">
        <x:v>No se detectó proveedor externo en la ruta; confirmar autoría por lote antes de release público.</x:v>
      </x:c>
    </x:row>
    <x:row r="582" ht="34" customHeight="1">
      <x:c r="A582" s="24" t="str">
        <x:v>INT-0578</x:v>
      </x:c>
      <x:c r="B582" s="24" t="str">
        <x:v>848b4e706427d49403f4fdde758d8534</x:v>
      </x:c>
      <x:c r="C582" s="24" t="str">
        <x:v>Sprint16Phase1RuntimeRoot.cs</x:v>
      </x:c>
      <x:c r="D582" s="24" t="str">
        <x:v>Code</x:v>
      </x:c>
      <x:c r="E582" s="24" t="str">
        <x:v>Runtime</x:v>
      </x:c>
      <x:c r="F582" s="24" t="str">
        <x:v>VRM Games / Blas Luis Rocha González</x:v>
      </x:c>
      <x:c r="G582" s="24" t="str">
        <x:v>VRM Games / Blas Luis Rocha González</x:v>
      </x:c>
      <x:c r="H582" s="24" t="str">
        <x:v>Internal project production</x:v>
      </x:c>
      <x:c r="I582" s="24" t="str">
        <x:v>2026 project timeline</x:v>
      </x:c>
      <x:c r="J582" s="24" t="str">
        <x:v>Internal project IP / authorship claim</x:v>
      </x:c>
      <x:c r="K582" s="24" t="str">
        <x:v>N/A</x:v>
      </x:c>
      <x:c r="L582" s="24" t="str">
        <x:v>Source package + repository path + hash</x:v>
      </x:c>
      <x:c r="M582" s="24" t="str">
        <x:v>f5222d4ac5ff971d94606cbf6d0f5ef70d3a24edfeaa4f9aaac424cb7aafeeb8</x:v>
      </x:c>
      <x:c r="N582" s="24" t="str">
        <x:v>Assets/_Project/Scripts/Runtime/VerticalSlicePhase1/Sprint16Phase1RuntimeRoot.cs</x:v>
      </x:c>
      <x:c r="O582" s="24" t="str">
        <x:v>848b4e706427d49403f4fdde758d8534</x:v>
      </x:c>
      <x:c r="P582" s="24" t="str">
        <x:v>Sí</x:v>
      </x:c>
      <x:c r="Q582" s="24" t="str">
        <x:v>Condicionado a autoría/procedencia final</x:v>
      </x:c>
      <x:c r="R582" s="24" t="str">
        <x:v>Solo dentro del producto/build autorizado</x:v>
      </x:c>
      <x:c r="S582" s="24" t="str">
        <x:v>Crédito general del estudio; individual si aplica</x:v>
      </x:c>
      <x:c r="T582" s="24" t="str">
        <x:v>VRM Games / Blas Luis Rocha González</x:v>
      </x:c>
      <x:c r="U582" s="24" t="str">
        <x:v>CURRENT PROJECT ASSET</x:v>
      </x:c>
      <x:c r="V582" s="24" t="str">
        <x:v>CONDITIONALLY APPROVED</x:v>
      </x:c>
      <x:c r="W582" s="24" t="str">
        <x:v>Sí</x:v>
      </x:c>
      <x:c r="X582" s="24" t="str">
        <x:v>Low</x:v>
      </x:c>
      <x:c r="Y582" s="24" t="str">
        <x:v>Internal development; public candidate requires gate</x:v>
      </x:c>
      <x:c r="Z582" s="24" t="str">
        <x:v>H6 legal/content audit</x:v>
      </x:c>
      <x:c r="AA582" s="24" t="str">
        <x:v>VRM Games</x:v>
      </x:c>
      <x:c r="AB582" s="24" t="str">
        <x:v>No se detectó proveedor externo en la ruta; confirmar autoría por lote antes de release público.</x:v>
      </x:c>
    </x:row>
    <x:row r="583" ht="34" customHeight="1">
      <x:c r="A583" s="24" t="str">
        <x:v>INT-0579</x:v>
      </x:c>
      <x:c r="B583" s="24" t="str">
        <x:v>c4c6b4a1000fa6983bf3a939acf79339</x:v>
      </x:c>
      <x:c r="C583" s="24" t="str">
        <x:v>Sprint16Phase1TechnicalScenarioRunner.cs</x:v>
      </x:c>
      <x:c r="D583" s="24" t="str">
        <x:v>Code</x:v>
      </x:c>
      <x:c r="E583" s="24" t="str">
        <x:v>Runtime</x:v>
      </x:c>
      <x:c r="F583" s="24" t="str">
        <x:v>VRM Games / Blas Luis Rocha González</x:v>
      </x:c>
      <x:c r="G583" s="24" t="str">
        <x:v>VRM Games / Blas Luis Rocha González</x:v>
      </x:c>
      <x:c r="H583" s="24" t="str">
        <x:v>Internal project production</x:v>
      </x:c>
      <x:c r="I583" s="24" t="str">
        <x:v>2026 project timeline</x:v>
      </x:c>
      <x:c r="J583" s="24" t="str">
        <x:v>Internal project IP / authorship claim</x:v>
      </x:c>
      <x:c r="K583" s="24" t="str">
        <x:v>N/A</x:v>
      </x:c>
      <x:c r="L583" s="24" t="str">
        <x:v>Source package + repository path + hash</x:v>
      </x:c>
      <x:c r="M583" s="24" t="str">
        <x:v>535f5021c1a1555eb99255b9abac379df4757d182e179079cacf200b2695912a</x:v>
      </x:c>
      <x:c r="N583" s="24" t="str">
        <x:v>Assets/_Project/Scripts/Runtime/VerticalSlicePhase1/Sprint16Phase1TechnicalScenarioRunner.cs</x:v>
      </x:c>
      <x:c r="O583" s="24" t="str">
        <x:v>c4c6b4a1000fa6983bf3a939acf79339</x:v>
      </x:c>
      <x:c r="P583" s="24" t="str">
        <x:v>Sí</x:v>
      </x:c>
      <x:c r="Q583" s="24" t="str">
        <x:v>Condicionado a autoría/procedencia final</x:v>
      </x:c>
      <x:c r="R583" s="24" t="str">
        <x:v>Solo dentro del producto/build autorizado</x:v>
      </x:c>
      <x:c r="S583" s="24" t="str">
        <x:v>Crédito general del estudio; individual si aplica</x:v>
      </x:c>
      <x:c r="T583" s="24" t="str">
        <x:v>VRM Games / Blas Luis Rocha González</x:v>
      </x:c>
      <x:c r="U583" s="24" t="str">
        <x:v>CURRENT PROJECT ASSET</x:v>
      </x:c>
      <x:c r="V583" s="24" t="str">
        <x:v>CONDITIONALLY APPROVED</x:v>
      </x:c>
      <x:c r="W583" s="24" t="str">
        <x:v>Sí</x:v>
      </x:c>
      <x:c r="X583" s="24" t="str">
        <x:v>Low</x:v>
      </x:c>
      <x:c r="Y583" s="24" t="str">
        <x:v>Internal development; public candidate requires gate</x:v>
      </x:c>
      <x:c r="Z583" s="24" t="str">
        <x:v>H6 legal/content audit</x:v>
      </x:c>
      <x:c r="AA583" s="24" t="str">
        <x:v>VRM Games</x:v>
      </x:c>
      <x:c r="AB583" s="24" t="str">
        <x:v>No se detectó proveedor externo en la ruta; confirmar autoría por lote antes de release público.</x:v>
      </x:c>
    </x:row>
    <x:row r="584" ht="34" customHeight="1">
      <x:c r="A584" s="24" t="str">
        <x:v>INT-0580</x:v>
      </x:c>
      <x:c r="B584" s="24" t="str">
        <x:v>087da29ca8d94775f86885088d9c7376</x:v>
      </x:c>
      <x:c r="C584" s="24" t="str">
        <x:v>VRMGames.CartridgeAndCloud.Runtime.VerticalSlicePhase1.asmdef</x:v>
      </x:c>
      <x:c r="D584" s="24" t="str">
        <x:v>Assembly definition</x:v>
      </x:c>
      <x:c r="E584" s="24" t="str">
        <x:v>Runtime</x:v>
      </x:c>
      <x:c r="F584" s="24" t="str">
        <x:v>VRM Games / Blas Luis Rocha González</x:v>
      </x:c>
      <x:c r="G584" s="24" t="str">
        <x:v>VRM Games / Blas Luis Rocha González</x:v>
      </x:c>
      <x:c r="H584" s="24" t="str">
        <x:v>Internal project production</x:v>
      </x:c>
      <x:c r="I584" s="24" t="str">
        <x:v>2026 project timeline</x:v>
      </x:c>
      <x:c r="J584" s="24" t="str">
        <x:v>Internal project IP / authorship claim</x:v>
      </x:c>
      <x:c r="K584" s="24" t="str">
        <x:v>N/A</x:v>
      </x:c>
      <x:c r="L584" s="24" t="str">
        <x:v>Source package + repository path + hash</x:v>
      </x:c>
      <x:c r="M584" s="24" t="str">
        <x:v>ec38805a49f3879c38de5482de57cfc44acdc87eaa2ca0593ff1a27228d12079</x:v>
      </x:c>
      <x:c r="N584" s="24" t="str">
        <x:v>Assets/_Project/Scripts/Runtime/VerticalSlicePhase1/VRMGames.CartridgeAndCloud.Runtime.VerticalSlicePhase1.asmdef</x:v>
      </x:c>
      <x:c r="O584" s="24" t="str">
        <x:v>087da29ca8d94775f86885088d9c7376</x:v>
      </x:c>
      <x:c r="P584" s="24" t="str">
        <x:v>Sí</x:v>
      </x:c>
      <x:c r="Q584" s="24" t="str">
        <x:v>Condicionado a autoría/procedencia final</x:v>
      </x:c>
      <x:c r="R584" s="24" t="str">
        <x:v>Solo dentro del producto/build autorizado</x:v>
      </x:c>
      <x:c r="S584" s="24" t="str">
        <x:v>Crédito general del estudio; individual si aplica</x:v>
      </x:c>
      <x:c r="T584" s="24" t="str">
        <x:v>VRM Games / Blas Luis Rocha González</x:v>
      </x:c>
      <x:c r="U584" s="24" t="str">
        <x:v>CURRENT PROJECT ASSET</x:v>
      </x:c>
      <x:c r="V584" s="24" t="str">
        <x:v>CONDITIONALLY APPROVED</x:v>
      </x:c>
      <x:c r="W584" s="24" t="str">
        <x:v>Sí</x:v>
      </x:c>
      <x:c r="X584" s="24" t="str">
        <x:v>Low</x:v>
      </x:c>
      <x:c r="Y584" s="24" t="str">
        <x:v>Internal development; public candidate requires gate</x:v>
      </x:c>
      <x:c r="Z584" s="24" t="str">
        <x:v>H6 legal/content audit</x:v>
      </x:c>
      <x:c r="AA584" s="24" t="str">
        <x:v>VRM Games</x:v>
      </x:c>
      <x:c r="AB584" s="24" t="str">
        <x:v>No se detectó proveedor externo en la ruta; confirmar autoría por lote antes de release público.</x:v>
      </x:c>
    </x:row>
    <x:row r="585" ht="34" customHeight="1">
      <x:c r="A585" s="24" t="str">
        <x:v>INT-0581</x:v>
      </x:c>
      <x:c r="B585" s="24" t="str">
        <x:v>2fbd6ee9c4264251958afecd482d50c6</x:v>
      </x:c>
      <x:c r="C585" s="24" t="str">
        <x:v>AccessAnchorTests.cs</x:v>
      </x:c>
      <x:c r="D585" s="24" t="str">
        <x:v>Code</x:v>
      </x:c>
      <x:c r="E585" s="24" t="str">
        <x:v>EditMode</x:v>
      </x:c>
      <x:c r="F585" s="24" t="str">
        <x:v>VRM Games / Blas Luis Rocha González</x:v>
      </x:c>
      <x:c r="G585" s="24" t="str">
        <x:v>VRM Games / Blas Luis Rocha González</x:v>
      </x:c>
      <x:c r="H585" s="24" t="str">
        <x:v>Internal project production</x:v>
      </x:c>
      <x:c r="I585" s="24" t="str">
        <x:v>2026 project timeline</x:v>
      </x:c>
      <x:c r="J585" s="24" t="str">
        <x:v>Internal project IP / authorship claim</x:v>
      </x:c>
      <x:c r="K585" s="24" t="str">
        <x:v>N/A</x:v>
      </x:c>
      <x:c r="L585" s="24" t="str">
        <x:v>Source package + repository path + hash</x:v>
      </x:c>
      <x:c r="M585" s="24" t="str">
        <x:v>bf79f9a8fd3c5f7c5955e5a1825a426d5c8df35b92d7dfc869bfb66a2388b59e</x:v>
      </x:c>
      <x:c r="N585" s="24" t="str">
        <x:v>Assets/_Project/Tests/EditMode/Access/AccessAnchorTests.cs</x:v>
      </x:c>
      <x:c r="O585" s="24" t="str">
        <x:v>2fbd6ee9c4264251958afecd482d50c6</x:v>
      </x:c>
      <x:c r="P585" s="24" t="str">
        <x:v>Sí</x:v>
      </x:c>
      <x:c r="Q585" s="24" t="str">
        <x:v>Condicionado a autoría/procedencia final</x:v>
      </x:c>
      <x:c r="R585" s="24" t="str">
        <x:v>Solo dentro del producto/build autorizado</x:v>
      </x:c>
      <x:c r="S585" s="24" t="str">
        <x:v>Crédito general del estudio; individual si aplica</x:v>
      </x:c>
      <x:c r="T585" s="24" t="str">
        <x:v>VRM Games / Blas Luis Rocha González</x:v>
      </x:c>
      <x:c r="U585" s="24" t="str">
        <x:v>CURRENT PROJECT ASSET</x:v>
      </x:c>
      <x:c r="V585" s="24" t="str">
        <x:v>CONDITIONALLY APPROVED</x:v>
      </x:c>
      <x:c r="W585" s="24" t="str">
        <x:v>Sí</x:v>
      </x:c>
      <x:c r="X585" s="24" t="str">
        <x:v>Low</x:v>
      </x:c>
      <x:c r="Y585" s="24" t="str">
        <x:v>Internal development; public candidate requires gate</x:v>
      </x:c>
      <x:c r="Z585" s="24" t="str">
        <x:v>H6 legal/content audit</x:v>
      </x:c>
      <x:c r="AA585" s="24" t="str">
        <x:v>VRM Games</x:v>
      </x:c>
      <x:c r="AB585" s="24" t="str">
        <x:v>No se detectó proveedor externo en la ruta; confirmar autoría por lote antes de release público.</x:v>
      </x:c>
    </x:row>
    <x:row r="586" ht="34" customHeight="1">
      <x:c r="A586" s="24" t="str">
        <x:v>INT-0582</x:v>
      </x:c>
      <x:c r="B586" s="24" t="str">
        <x:v>449f62cdda164085b2c60fd9ead3db84</x:v>
      </x:c>
      <x:c r="C586" s="24" t="str">
        <x:v>GridAccessValidatorTests.cs</x:v>
      </x:c>
      <x:c r="D586" s="24" t="str">
        <x:v>Code</x:v>
      </x:c>
      <x:c r="E586" s="24" t="str">
        <x:v>EditMode</x:v>
      </x:c>
      <x:c r="F586" s="24" t="str">
        <x:v>VRM Games / Blas Luis Rocha González</x:v>
      </x:c>
      <x:c r="G586" s="24" t="str">
        <x:v>VRM Games / Blas Luis Rocha González</x:v>
      </x:c>
      <x:c r="H586" s="24" t="str">
        <x:v>Internal project production</x:v>
      </x:c>
      <x:c r="I586" s="24" t="str">
        <x:v>2026 project timeline</x:v>
      </x:c>
      <x:c r="J586" s="24" t="str">
        <x:v>Internal project IP / authorship claim</x:v>
      </x:c>
      <x:c r="K586" s="24" t="str">
        <x:v>N/A</x:v>
      </x:c>
      <x:c r="L586" s="24" t="str">
        <x:v>Source package + repository path + hash</x:v>
      </x:c>
      <x:c r="M586" s="24" t="str">
        <x:v>45762bae23a75d154db9ee6ae9efdaf05f7913389bdf9e455efb95480232f377</x:v>
      </x:c>
      <x:c r="N586" s="24" t="str">
        <x:v>Assets/_Project/Tests/EditMode/Access/GridAccessValidatorTests.cs</x:v>
      </x:c>
      <x:c r="O586" s="24" t="str">
        <x:v>449f62cdda164085b2c60fd9ead3db84</x:v>
      </x:c>
      <x:c r="P586" s="24" t="str">
        <x:v>Sí</x:v>
      </x:c>
      <x:c r="Q586" s="24" t="str">
        <x:v>Condicionado a autoría/procedencia final</x:v>
      </x:c>
      <x:c r="R586" s="24" t="str">
        <x:v>Solo dentro del producto/build autorizado</x:v>
      </x:c>
      <x:c r="S586" s="24" t="str">
        <x:v>Crédito general del estudio; individual si aplica</x:v>
      </x:c>
      <x:c r="T586" s="24" t="str">
        <x:v>VRM Games / Blas Luis Rocha González</x:v>
      </x:c>
      <x:c r="U586" s="24" t="str">
        <x:v>CURRENT PROJECT ASSET</x:v>
      </x:c>
      <x:c r="V586" s="24" t="str">
        <x:v>CONDITIONALLY APPROVED</x:v>
      </x:c>
      <x:c r="W586" s="24" t="str">
        <x:v>Sí</x:v>
      </x:c>
      <x:c r="X586" s="24" t="str">
        <x:v>Low</x:v>
      </x:c>
      <x:c r="Y586" s="24" t="str">
        <x:v>Internal development; public candidate requires gate</x:v>
      </x:c>
      <x:c r="Z586" s="24" t="str">
        <x:v>H6 legal/content audit</x:v>
      </x:c>
      <x:c r="AA586" s="24" t="str">
        <x:v>VRM Games</x:v>
      </x:c>
      <x:c r="AB586" s="24" t="str">
        <x:v>No se detectó proveedor externo en la ruta; confirmar autoría por lote antes de release público.</x:v>
      </x:c>
    </x:row>
    <x:row r="587" ht="34" customHeight="1">
      <x:c r="A587" s="24" t="str">
        <x:v>INT-0583</x:v>
      </x:c>
      <x:c r="B587" s="24" t="str">
        <x:v>845b2663616140549358e4f2baa02362</x:v>
      </x:c>
      <x:c r="C587" s="24" t="str">
        <x:v>StoreAccessLayoutTests.cs</x:v>
      </x:c>
      <x:c r="D587" s="24" t="str">
        <x:v>Code</x:v>
      </x:c>
      <x:c r="E587" s="24" t="str">
        <x:v>EditMode</x:v>
      </x:c>
      <x:c r="F587" s="24" t="str">
        <x:v>VRM Games / Blas Luis Rocha González</x:v>
      </x:c>
      <x:c r="G587" s="24" t="str">
        <x:v>VRM Games / Blas Luis Rocha González</x:v>
      </x:c>
      <x:c r="H587" s="24" t="str">
        <x:v>Internal project production</x:v>
      </x:c>
      <x:c r="I587" s="24" t="str">
        <x:v>2026 project timeline</x:v>
      </x:c>
      <x:c r="J587" s="24" t="str">
        <x:v>Internal project IP / authorship claim</x:v>
      </x:c>
      <x:c r="K587" s="24" t="str">
        <x:v>N/A</x:v>
      </x:c>
      <x:c r="L587" s="24" t="str">
        <x:v>Source package + repository path + hash</x:v>
      </x:c>
      <x:c r="M587" s="24" t="str">
        <x:v>df5801ef567952cfe6da77c18d7feb1f21f9abd8b4f995b270ee2f8f5af7004d</x:v>
      </x:c>
      <x:c r="N587" s="24" t="str">
        <x:v>Assets/_Project/Tests/EditMode/Access/StoreAccessLayoutTests.cs</x:v>
      </x:c>
      <x:c r="O587" s="24" t="str">
        <x:v>845b2663616140549358e4f2baa02362</x:v>
      </x:c>
      <x:c r="P587" s="24" t="str">
        <x:v>Sí</x:v>
      </x:c>
      <x:c r="Q587" s="24" t="str">
        <x:v>Condicionado a autoría/procedencia final</x:v>
      </x:c>
      <x:c r="R587" s="24" t="str">
        <x:v>Solo dentro del producto/build autorizado</x:v>
      </x:c>
      <x:c r="S587" s="24" t="str">
        <x:v>Crédito general del estudio; individual si aplica</x:v>
      </x:c>
      <x:c r="T587" s="24" t="str">
        <x:v>VRM Games / Blas Luis Rocha González</x:v>
      </x:c>
      <x:c r="U587" s="24" t="str">
        <x:v>CURRENT PROJECT ASSET</x:v>
      </x:c>
      <x:c r="V587" s="24" t="str">
        <x:v>CONDITIONALLY APPROVED</x:v>
      </x:c>
      <x:c r="W587" s="24" t="str">
        <x:v>Sí</x:v>
      </x:c>
      <x:c r="X587" s="24" t="str">
        <x:v>Low</x:v>
      </x:c>
      <x:c r="Y587" s="24" t="str">
        <x:v>Internal development; public candidate requires gate</x:v>
      </x:c>
      <x:c r="Z587" s="24" t="str">
        <x:v>H6 legal/content audit</x:v>
      </x:c>
      <x:c r="AA587" s="24" t="str">
        <x:v>VRM Games</x:v>
      </x:c>
      <x:c r="AB587" s="24" t="str">
        <x:v>No se detectó proveedor externo en la ruta; confirmar autoría por lote antes de release público.</x:v>
      </x:c>
    </x:row>
    <x:row r="588" ht="34" customHeight="1">
      <x:c r="A588" s="24" t="str">
        <x:v>INT-0584</x:v>
      </x:c>
      <x:c r="B588" s="24" t="str">
        <x:v>c3ed55fff4534522b876a7877a9bca4d</x:v>
      </x:c>
      <x:c r="C588" s="24" t="str">
        <x:v>StorePlacementAccessValidatorTests.cs</x:v>
      </x:c>
      <x:c r="D588" s="24" t="str">
        <x:v>Code</x:v>
      </x:c>
      <x:c r="E588" s="24" t="str">
        <x:v>EditMode</x:v>
      </x:c>
      <x:c r="F588" s="24" t="str">
        <x:v>VRM Games / Blas Luis Rocha González</x:v>
      </x:c>
      <x:c r="G588" s="24" t="str">
        <x:v>VRM Games / Blas Luis Rocha González</x:v>
      </x:c>
      <x:c r="H588" s="24" t="str">
        <x:v>Internal project production</x:v>
      </x:c>
      <x:c r="I588" s="24" t="str">
        <x:v>2026 project timeline</x:v>
      </x:c>
      <x:c r="J588" s="24" t="str">
        <x:v>Internal project IP / authorship claim</x:v>
      </x:c>
      <x:c r="K588" s="24" t="str">
        <x:v>N/A</x:v>
      </x:c>
      <x:c r="L588" s="24" t="str">
        <x:v>Source package + repository path + hash</x:v>
      </x:c>
      <x:c r="M588" s="24" t="str">
        <x:v>9568cb9ced7a6f80d37cc067dd278b0d189485ef7fb8af664a484664d15359a8</x:v>
      </x:c>
      <x:c r="N588" s="24" t="str">
        <x:v>Assets/_Project/Tests/EditMode/Access/StorePlacementAccessValidatorTests.cs</x:v>
      </x:c>
      <x:c r="O588" s="24" t="str">
        <x:v>c3ed55fff4534522b876a7877a9bca4d</x:v>
      </x:c>
      <x:c r="P588" s="24" t="str">
        <x:v>Sí</x:v>
      </x:c>
      <x:c r="Q588" s="24" t="str">
        <x:v>Condicionado a autoría/procedencia final</x:v>
      </x:c>
      <x:c r="R588" s="24" t="str">
        <x:v>Solo dentro del producto/build autorizado</x:v>
      </x:c>
      <x:c r="S588" s="24" t="str">
        <x:v>Crédito general del estudio; individual si aplica</x:v>
      </x:c>
      <x:c r="T588" s="24" t="str">
        <x:v>VRM Games / Blas Luis Rocha González</x:v>
      </x:c>
      <x:c r="U588" s="24" t="str">
        <x:v>CURRENT PROJECT ASSET</x:v>
      </x:c>
      <x:c r="V588" s="24" t="str">
        <x:v>CONDITIONALLY APPROVED</x:v>
      </x:c>
      <x:c r="W588" s="24" t="str">
        <x:v>Sí</x:v>
      </x:c>
      <x:c r="X588" s="24" t="str">
        <x:v>Low</x:v>
      </x:c>
      <x:c r="Y588" s="24" t="str">
        <x:v>Internal development; public candidate requires gate</x:v>
      </x:c>
      <x:c r="Z588" s="24" t="str">
        <x:v>H6 legal/content audit</x:v>
      </x:c>
      <x:c r="AA588" s="24" t="str">
        <x:v>VRM Games</x:v>
      </x:c>
      <x:c r="AB588" s="24" t="str">
        <x:v>No se detectó proveedor externo en la ruta; confirmar autoría por lote antes de release público.</x:v>
      </x:c>
    </x:row>
    <x:row r="589" ht="34" customHeight="1">
      <x:c r="A589" s="24" t="str">
        <x:v>INT-0585</x:v>
      </x:c>
      <x:c r="B589" s="24" t="str">
        <x:v>5ce079514e3830e4c951c4ae7e476edc</x:v>
      </x:c>
      <x:c r="C589" s="24" t="str">
        <x:v>AssemblyDefinitionSmokeTests.cs</x:v>
      </x:c>
      <x:c r="D589" s="24" t="str">
        <x:v>Code</x:v>
      </x:c>
      <x:c r="E589" s="24" t="str">
        <x:v>EditMode</x:v>
      </x:c>
      <x:c r="F589" s="24" t="str">
        <x:v>VRM Games / Blas Luis Rocha González</x:v>
      </x:c>
      <x:c r="G589" s="24" t="str">
        <x:v>VRM Games / Blas Luis Rocha González</x:v>
      </x:c>
      <x:c r="H589" s="24" t="str">
        <x:v>Internal project production</x:v>
      </x:c>
      <x:c r="I589" s="24" t="str">
        <x:v>2026 project timeline</x:v>
      </x:c>
      <x:c r="J589" s="24" t="str">
        <x:v>Internal project IP / authorship claim</x:v>
      </x:c>
      <x:c r="K589" s="24" t="str">
        <x:v>N/A</x:v>
      </x:c>
      <x:c r="L589" s="24" t="str">
        <x:v>Source package + repository path + hash</x:v>
      </x:c>
      <x:c r="M589" s="24" t="str">
        <x:v>a52346773f93d23ddd6bd9c5d13590262d273cd2513bf3a9190374b91ed69f61</x:v>
      </x:c>
      <x:c r="N589" s="24" t="str">
        <x:v>Assets/_Project/Tests/EditMode/AssemblyDefinitionSmokeTests.cs</x:v>
      </x:c>
      <x:c r="O589" s="24" t="str">
        <x:v>5ce079514e3830e4c951c4ae7e476edc</x:v>
      </x:c>
      <x:c r="P589" s="24" t="str">
        <x:v>Sí</x:v>
      </x:c>
      <x:c r="Q589" s="24" t="str">
        <x:v>Condicionado a autoría/procedencia final</x:v>
      </x:c>
      <x:c r="R589" s="24" t="str">
        <x:v>Solo dentro del producto/build autorizado</x:v>
      </x:c>
      <x:c r="S589" s="24" t="str">
        <x:v>Crédito general del estudio; individual si aplica</x:v>
      </x:c>
      <x:c r="T589" s="24" t="str">
        <x:v>VRM Games / Blas Luis Rocha González</x:v>
      </x:c>
      <x:c r="U589" s="24" t="str">
        <x:v>CURRENT PROJECT ASSET</x:v>
      </x:c>
      <x:c r="V589" s="24" t="str">
        <x:v>CONDITIONALLY APPROVED</x:v>
      </x:c>
      <x:c r="W589" s="24" t="str">
        <x:v>Sí</x:v>
      </x:c>
      <x:c r="X589" s="24" t="str">
        <x:v>Low</x:v>
      </x:c>
      <x:c r="Y589" s="24" t="str">
        <x:v>Internal development; public candidate requires gate</x:v>
      </x:c>
      <x:c r="Z589" s="24" t="str">
        <x:v>H6 legal/content audit</x:v>
      </x:c>
      <x:c r="AA589" s="24" t="str">
        <x:v>VRM Games</x:v>
      </x:c>
      <x:c r="AB589" s="24" t="str">
        <x:v>No se detectó proveedor externo en la ruta; confirmar autoría por lote antes de release público.</x:v>
      </x:c>
    </x:row>
    <x:row r="590" ht="34" customHeight="1">
      <x:c r="A590" s="24" t="str">
        <x:v>INT-0586</x:v>
      </x:c>
      <x:c r="B590" s="24" t="str">
        <x:v>1b3aa6c902344da8ad6541bb45acbf83</x:v>
      </x:c>
      <x:c r="C590" s="24" t="str">
        <x:v>ProductAuthoringAssetTests.cs</x:v>
      </x:c>
      <x:c r="D590" s="24" t="str">
        <x:v>Code</x:v>
      </x:c>
      <x:c r="E590" s="24" t="str">
        <x:v>EditMode</x:v>
      </x:c>
      <x:c r="F590" s="24" t="str">
        <x:v>VRM Games / Blas Luis Rocha González</x:v>
      </x:c>
      <x:c r="G590" s="24" t="str">
        <x:v>VRM Games / Blas Luis Rocha González</x:v>
      </x:c>
      <x:c r="H590" s="24" t="str">
        <x:v>Internal project production</x:v>
      </x:c>
      <x:c r="I590" s="24" t="str">
        <x:v>2026 project timeline</x:v>
      </x:c>
      <x:c r="J590" s="24" t="str">
        <x:v>Internal project IP / authorship claim</x:v>
      </x:c>
      <x:c r="K590" s="24" t="str">
        <x:v>N/A</x:v>
      </x:c>
      <x:c r="L590" s="24" t="str">
        <x:v>Source package + repository path + hash</x:v>
      </x:c>
      <x:c r="M590" s="24" t="str">
        <x:v>dcf09ead3bd45e2ea4e2738e0ae39c8c4301071d60c66ba951cc642ead3b3801</x:v>
      </x:c>
      <x:c r="N590" s="24" t="str">
        <x:v>Assets/_Project/Tests/EditMode/Authoring/ProductAuthoringAssetTests.cs</x:v>
      </x:c>
      <x:c r="O590" s="24" t="str">
        <x:v>1b3aa6c902344da8ad6541bb45acbf83</x:v>
      </x:c>
      <x:c r="P590" s="24" t="str">
        <x:v>Sí</x:v>
      </x:c>
      <x:c r="Q590" s="24" t="str">
        <x:v>Condicionado a autoría/procedencia final</x:v>
      </x:c>
      <x:c r="R590" s="24" t="str">
        <x:v>Solo dentro del producto/build autorizado</x:v>
      </x:c>
      <x:c r="S590" s="24" t="str">
        <x:v>Crédito general del estudio; individual si aplica</x:v>
      </x:c>
      <x:c r="T590" s="24" t="str">
        <x:v>VRM Games / Blas Luis Rocha González</x:v>
      </x:c>
      <x:c r="U590" s="24" t="str">
        <x:v>CURRENT PROJECT ASSET</x:v>
      </x:c>
      <x:c r="V590" s="24" t="str">
        <x:v>CONDITIONALLY APPROVED</x:v>
      </x:c>
      <x:c r="W590" s="24" t="str">
        <x:v>Sí</x:v>
      </x:c>
      <x:c r="X590" s="24" t="str">
        <x:v>Low</x:v>
      </x:c>
      <x:c r="Y590" s="24" t="str">
        <x:v>Internal development; public candidate requires gate</x:v>
      </x:c>
      <x:c r="Z590" s="24" t="str">
        <x:v>H6 legal/content audit</x:v>
      </x:c>
      <x:c r="AA590" s="24" t="str">
        <x:v>VRM Games</x:v>
      </x:c>
      <x:c r="AB590" s="24" t="str">
        <x:v>No se detectó proveedor externo en la ruta; confirmar autoría por lote antes de release público.</x:v>
      </x:c>
    </x:row>
    <x:row r="591" ht="34" customHeight="1">
      <x:c r="A591" s="24" t="str">
        <x:v>INT-0587</x:v>
      </x:c>
      <x:c r="B591" s="24" t="str">
        <x:v>132861ca38804a10b6bef0318812c765</x:v>
      </x:c>
      <x:c r="C591" s="24" t="str">
        <x:v>SupplierAuthoringAssetTests.cs</x:v>
      </x:c>
      <x:c r="D591" s="24" t="str">
        <x:v>Code</x:v>
      </x:c>
      <x:c r="E591" s="24" t="str">
        <x:v>EditMode</x:v>
      </x:c>
      <x:c r="F591" s="24" t="str">
        <x:v>VRM Games / Blas Luis Rocha González</x:v>
      </x:c>
      <x:c r="G591" s="24" t="str">
        <x:v>VRM Games / Blas Luis Rocha González</x:v>
      </x:c>
      <x:c r="H591" s="24" t="str">
        <x:v>Internal project production</x:v>
      </x:c>
      <x:c r="I591" s="24" t="str">
        <x:v>2026 project timeline</x:v>
      </x:c>
      <x:c r="J591" s="24" t="str">
        <x:v>Internal project IP / authorship claim</x:v>
      </x:c>
      <x:c r="K591" s="24" t="str">
        <x:v>N/A</x:v>
      </x:c>
      <x:c r="L591" s="24" t="str">
        <x:v>Source package + repository path + hash</x:v>
      </x:c>
      <x:c r="M591" s="24" t="str">
        <x:v>8cf3c6a4a0d40311276e9db8adbe41e7a4d5a2638c3f8e271112fda790207e0a</x:v>
      </x:c>
      <x:c r="N591" s="24" t="str">
        <x:v>Assets/_Project/Tests/EditMode/Authoring/SupplierAuthoringAssetTests.cs</x:v>
      </x:c>
      <x:c r="O591" s="24" t="str">
        <x:v>132861ca38804a10b6bef0318812c765</x:v>
      </x:c>
      <x:c r="P591" s="24" t="str">
        <x:v>Sí</x:v>
      </x:c>
      <x:c r="Q591" s="24" t="str">
        <x:v>Condicionado a autoría/procedencia final</x:v>
      </x:c>
      <x:c r="R591" s="24" t="str">
        <x:v>Solo dentro del producto/build autorizado</x:v>
      </x:c>
      <x:c r="S591" s="24" t="str">
        <x:v>Crédito general del estudio; individual si aplica</x:v>
      </x:c>
      <x:c r="T591" s="24" t="str">
        <x:v>VRM Games / Blas Luis Rocha González</x:v>
      </x:c>
      <x:c r="U591" s="24" t="str">
        <x:v>CURRENT PROJECT ASSET</x:v>
      </x:c>
      <x:c r="V591" s="24" t="str">
        <x:v>CONDITIONALLY APPROVED</x:v>
      </x:c>
      <x:c r="W591" s="24" t="str">
        <x:v>Sí</x:v>
      </x:c>
      <x:c r="X591" s="24" t="str">
        <x:v>Low</x:v>
      </x:c>
      <x:c r="Y591" s="24" t="str">
        <x:v>Internal development; public candidate requires gate</x:v>
      </x:c>
      <x:c r="Z591" s="24" t="str">
        <x:v>H6 legal/content audit</x:v>
      </x:c>
      <x:c r="AA591" s="24" t="str">
        <x:v>VRM Games</x:v>
      </x:c>
      <x:c r="AB591" s="24" t="str">
        <x:v>No se detectó proveedor externo en la ruta; confirmar autoría por lote antes de release público.</x:v>
      </x:c>
    </x:row>
    <x:row r="592" ht="34" customHeight="1">
      <x:c r="A592" s="24" t="str">
        <x:v>INT-0588</x:v>
      </x:c>
      <x:c r="B592" s="24" t="str">
        <x:v>b8bf6fd0e6af474c9a31511a8b2e6710</x:v>
      </x:c>
      <x:c r="C592" s="24" t="str">
        <x:v>CheckoutAuthoringTests.cs</x:v>
      </x:c>
      <x:c r="D592" s="24" t="str">
        <x:v>Code</x:v>
      </x:c>
      <x:c r="E592" s="24" t="str">
        <x:v>EditMode</x:v>
      </x:c>
      <x:c r="F592" s="24" t="str">
        <x:v>VRM Games / Blas Luis Rocha González</x:v>
      </x:c>
      <x:c r="G592" s="24" t="str">
        <x:v>VRM Games / Blas Luis Rocha González</x:v>
      </x:c>
      <x:c r="H592" s="24" t="str">
        <x:v>Internal project production</x:v>
      </x:c>
      <x:c r="I592" s="24" t="str">
        <x:v>2026 project timeline</x:v>
      </x:c>
      <x:c r="J592" s="24" t="str">
        <x:v>Internal project IP / authorship claim</x:v>
      </x:c>
      <x:c r="K592" s="24" t="str">
        <x:v>N/A</x:v>
      </x:c>
      <x:c r="L592" s="24" t="str">
        <x:v>Source package + repository path + hash</x:v>
      </x:c>
      <x:c r="M592" s="24" t="str">
        <x:v>a63710b3485e8e4f3e042cc85b6ef19c30c4746128c6b60eb02aad0d2724ccf5</x:v>
      </x:c>
      <x:c r="N592" s="24" t="str">
        <x:v>Assets/_Project/Tests/EditMode/Checkout/CheckoutAuthoringTests.cs</x:v>
      </x:c>
      <x:c r="O592" s="24" t="str">
        <x:v>b8bf6fd0e6af474c9a31511a8b2e6710</x:v>
      </x:c>
      <x:c r="P592" s="24" t="str">
        <x:v>Sí</x:v>
      </x:c>
      <x:c r="Q592" s="24" t="str">
        <x:v>Condicionado a autoría/procedencia final</x:v>
      </x:c>
      <x:c r="R592" s="24" t="str">
        <x:v>Solo dentro del producto/build autorizado</x:v>
      </x:c>
      <x:c r="S592" s="24" t="str">
        <x:v>Crédito general del estudio; individual si aplica</x:v>
      </x:c>
      <x:c r="T592" s="24" t="str">
        <x:v>VRM Games / Blas Luis Rocha González</x:v>
      </x:c>
      <x:c r="U592" s="24" t="str">
        <x:v>CURRENT PROJECT ASSET</x:v>
      </x:c>
      <x:c r="V592" s="24" t="str">
        <x:v>CONDITIONALLY APPROVED</x:v>
      </x:c>
      <x:c r="W592" s="24" t="str">
        <x:v>Sí</x:v>
      </x:c>
      <x:c r="X592" s="24" t="str">
        <x:v>Low</x:v>
      </x:c>
      <x:c r="Y592" s="24" t="str">
        <x:v>Internal development; public candidate requires gate</x:v>
      </x:c>
      <x:c r="Z592" s="24" t="str">
        <x:v>H6 legal/content audit</x:v>
      </x:c>
      <x:c r="AA592" s="24" t="str">
        <x:v>VRM Games</x:v>
      </x:c>
      <x:c r="AB592" s="24" t="str">
        <x:v>No se detectó proveedor externo en la ruta; confirmar autoría por lote antes de release público.</x:v>
      </x:c>
    </x:row>
    <x:row r="593" ht="34" customHeight="1">
      <x:c r="A593" s="24" t="str">
        <x:v>INT-0589</x:v>
      </x:c>
      <x:c r="B593" s="24" t="str">
        <x:v>02babd2562874f0192f9fd99ed09bee3</x:v>
      </x:c>
      <x:c r="C593" s="24" t="str">
        <x:v>CheckoutCancellationTests.cs</x:v>
      </x:c>
      <x:c r="D593" s="24" t="str">
        <x:v>Code</x:v>
      </x:c>
      <x:c r="E593" s="24" t="str">
        <x:v>EditMode</x:v>
      </x:c>
      <x:c r="F593" s="24" t="str">
        <x:v>VRM Games / Blas Luis Rocha González</x:v>
      </x:c>
      <x:c r="G593" s="24" t="str">
        <x:v>VRM Games / Blas Luis Rocha González</x:v>
      </x:c>
      <x:c r="H593" s="24" t="str">
        <x:v>Internal project production</x:v>
      </x:c>
      <x:c r="I593" s="24" t="str">
        <x:v>2026 project timeline</x:v>
      </x:c>
      <x:c r="J593" s="24" t="str">
        <x:v>Internal project IP / authorship claim</x:v>
      </x:c>
      <x:c r="K593" s="24" t="str">
        <x:v>N/A</x:v>
      </x:c>
      <x:c r="L593" s="24" t="str">
        <x:v>Source package + repository path + hash</x:v>
      </x:c>
      <x:c r="M593" s="24" t="str">
        <x:v>fe77de4831b8a4551e65e3999ce70289ba87cf99aaa4ee779b1321d350b1db24</x:v>
      </x:c>
      <x:c r="N593" s="24" t="str">
        <x:v>Assets/_Project/Tests/EditMode/Checkout/CheckoutCancellationTests.cs</x:v>
      </x:c>
      <x:c r="O593" s="24" t="str">
        <x:v>02babd2562874f0192f9fd99ed09bee3</x:v>
      </x:c>
      <x:c r="P593" s="24" t="str">
        <x:v>Sí</x:v>
      </x:c>
      <x:c r="Q593" s="24" t="str">
        <x:v>Condicionado a autoría/procedencia final</x:v>
      </x:c>
      <x:c r="R593" s="24" t="str">
        <x:v>Solo dentro del producto/build autorizado</x:v>
      </x:c>
      <x:c r="S593" s="24" t="str">
        <x:v>Crédito general del estudio; individual si aplica</x:v>
      </x:c>
      <x:c r="T593" s="24" t="str">
        <x:v>VRM Games / Blas Luis Rocha González</x:v>
      </x:c>
      <x:c r="U593" s="24" t="str">
        <x:v>CURRENT PROJECT ASSET</x:v>
      </x:c>
      <x:c r="V593" s="24" t="str">
        <x:v>CONDITIONALLY APPROVED</x:v>
      </x:c>
      <x:c r="W593" s="24" t="str">
        <x:v>Sí</x:v>
      </x:c>
      <x:c r="X593" s="24" t="str">
        <x:v>Low</x:v>
      </x:c>
      <x:c r="Y593" s="24" t="str">
        <x:v>Internal development; public candidate requires gate</x:v>
      </x:c>
      <x:c r="Z593" s="24" t="str">
        <x:v>H6 legal/content audit</x:v>
      </x:c>
      <x:c r="AA593" s="24" t="str">
        <x:v>VRM Games</x:v>
      </x:c>
      <x:c r="AB593" s="24" t="str">
        <x:v>No se detectó proveedor externo en la ruta; confirmar autoría por lote antes de release público.</x:v>
      </x:c>
    </x:row>
    <x:row r="594" ht="34" customHeight="1">
      <x:c r="A594" s="24" t="str">
        <x:v>INT-0590</x:v>
      </x:c>
      <x:c r="B594" s="24" t="str">
        <x:v>71f320f0f96e4d8d889bf88f5bb28f06</x:v>
      </x:c>
      <x:c r="C594" s="24" t="str">
        <x:v>CheckoutQueueEntryTests.cs</x:v>
      </x:c>
      <x:c r="D594" s="24" t="str">
        <x:v>Code</x:v>
      </x:c>
      <x:c r="E594" s="24" t="str">
        <x:v>EditMode</x:v>
      </x:c>
      <x:c r="F594" s="24" t="str">
        <x:v>VRM Games / Blas Luis Rocha González</x:v>
      </x:c>
      <x:c r="G594" s="24" t="str">
        <x:v>VRM Games / Blas Luis Rocha González</x:v>
      </x:c>
      <x:c r="H594" s="24" t="str">
        <x:v>Internal project production</x:v>
      </x:c>
      <x:c r="I594" s="24" t="str">
        <x:v>2026 project timeline</x:v>
      </x:c>
      <x:c r="J594" s="24" t="str">
        <x:v>Internal project IP / authorship claim</x:v>
      </x:c>
      <x:c r="K594" s="24" t="str">
        <x:v>N/A</x:v>
      </x:c>
      <x:c r="L594" s="24" t="str">
        <x:v>Source package + repository path + hash</x:v>
      </x:c>
      <x:c r="M594" s="24" t="str">
        <x:v>881b7c903d11a715da93ce9da3ab189fdba8b1b1756bd4d323d5230d6ef87679</x:v>
      </x:c>
      <x:c r="N594" s="24" t="str">
        <x:v>Assets/_Project/Tests/EditMode/Checkout/CheckoutQueueEntryTests.cs</x:v>
      </x:c>
      <x:c r="O594" s="24" t="str">
        <x:v>71f320f0f96e4d8d889bf88f5bb28f06</x:v>
      </x:c>
      <x:c r="P594" s="24" t="str">
        <x:v>Sí</x:v>
      </x:c>
      <x:c r="Q594" s="24" t="str">
        <x:v>Condicionado a autoría/procedencia final</x:v>
      </x:c>
      <x:c r="R594" s="24" t="str">
        <x:v>Solo dentro del producto/build autorizado</x:v>
      </x:c>
      <x:c r="S594" s="24" t="str">
        <x:v>Crédito general del estudio; individual si aplica</x:v>
      </x:c>
      <x:c r="T594" s="24" t="str">
        <x:v>VRM Games / Blas Luis Rocha González</x:v>
      </x:c>
      <x:c r="U594" s="24" t="str">
        <x:v>CURRENT PROJECT ASSET</x:v>
      </x:c>
      <x:c r="V594" s="24" t="str">
        <x:v>CONDITIONALLY APPROVED</x:v>
      </x:c>
      <x:c r="W594" s="24" t="str">
        <x:v>Sí</x:v>
      </x:c>
      <x:c r="X594" s="24" t="str">
        <x:v>Low</x:v>
      </x:c>
      <x:c r="Y594" s="24" t="str">
        <x:v>Internal development; public candidate requires gate</x:v>
      </x:c>
      <x:c r="Z594" s="24" t="str">
        <x:v>H6 legal/content audit</x:v>
      </x:c>
      <x:c r="AA594" s="24" t="str">
        <x:v>VRM Games</x:v>
      </x:c>
      <x:c r="AB594" s="24" t="str">
        <x:v>No se detectó proveedor externo en la ruta; confirmar autoría por lote antes de release público.</x:v>
      </x:c>
    </x:row>
    <x:row r="595" ht="34" customHeight="1">
      <x:c r="A595" s="24" t="str">
        <x:v>INT-0591</x:v>
      </x:c>
      <x:c r="B595" s="24" t="str">
        <x:v>1f943c6b52674ff2a2dd99cc26e11704</x:v>
      </x:c>
      <x:c r="C595" s="24" t="str">
        <x:v>CheckoutQueueServiceTests.cs</x:v>
      </x:c>
      <x:c r="D595" s="24" t="str">
        <x:v>Code</x:v>
      </x:c>
      <x:c r="E595" s="24" t="str">
        <x:v>EditMode</x:v>
      </x:c>
      <x:c r="F595" s="24" t="str">
        <x:v>VRM Games / Blas Luis Rocha González</x:v>
      </x:c>
      <x:c r="G595" s="24" t="str">
        <x:v>VRM Games / Blas Luis Rocha González</x:v>
      </x:c>
      <x:c r="H595" s="24" t="str">
        <x:v>Internal project production</x:v>
      </x:c>
      <x:c r="I595" s="24" t="str">
        <x:v>2026 project timeline</x:v>
      </x:c>
      <x:c r="J595" s="24" t="str">
        <x:v>Internal project IP / authorship claim</x:v>
      </x:c>
      <x:c r="K595" s="24" t="str">
        <x:v>N/A</x:v>
      </x:c>
      <x:c r="L595" s="24" t="str">
        <x:v>Source package + repository path + hash</x:v>
      </x:c>
      <x:c r="M595" s="24" t="str">
        <x:v>75a220cc33e8fe2f9f02cff54a7811b00f92ea82d0dd9d6d583c1e039e58a277</x:v>
      </x:c>
      <x:c r="N595" s="24" t="str">
        <x:v>Assets/_Project/Tests/EditMode/Checkout/CheckoutQueueServiceTests.cs</x:v>
      </x:c>
      <x:c r="O595" s="24" t="str">
        <x:v>1f943c6b52674ff2a2dd99cc26e11704</x:v>
      </x:c>
      <x:c r="P595" s="24" t="str">
        <x:v>Sí</x:v>
      </x:c>
      <x:c r="Q595" s="24" t="str">
        <x:v>Condicionado a autoría/procedencia final</x:v>
      </x:c>
      <x:c r="R595" s="24" t="str">
        <x:v>Solo dentro del producto/build autorizado</x:v>
      </x:c>
      <x:c r="S595" s="24" t="str">
        <x:v>Crédito general del estudio; individual si aplica</x:v>
      </x:c>
      <x:c r="T595" s="24" t="str">
        <x:v>VRM Games / Blas Luis Rocha González</x:v>
      </x:c>
      <x:c r="U595" s="24" t="str">
        <x:v>CURRENT PROJECT ASSET</x:v>
      </x:c>
      <x:c r="V595" s="24" t="str">
        <x:v>CONDITIONALLY APPROVED</x:v>
      </x:c>
      <x:c r="W595" s="24" t="str">
        <x:v>Sí</x:v>
      </x:c>
      <x:c r="X595" s="24" t="str">
        <x:v>Low</x:v>
      </x:c>
      <x:c r="Y595" s="24" t="str">
        <x:v>Internal development; public candidate requires gate</x:v>
      </x:c>
      <x:c r="Z595" s="24" t="str">
        <x:v>H6 legal/content audit</x:v>
      </x:c>
      <x:c r="AA595" s="24" t="str">
        <x:v>VRM Games</x:v>
      </x:c>
      <x:c r="AB595" s="24" t="str">
        <x:v>No se detectó proveedor externo en la ruta; confirmar autoría por lote antes de release público.</x:v>
      </x:c>
    </x:row>
    <x:row r="596" ht="34" customHeight="1">
      <x:c r="A596" s="24" t="str">
        <x:v>INT-0592</x:v>
      </x:c>
      <x:c r="B596" s="24" t="str">
        <x:v>a2c81ad5bff34329a1be236e7e6531ae</x:v>
      </x:c>
      <x:c r="C596" s="24" t="str">
        <x:v>CheckoutQueueTests.cs</x:v>
      </x:c>
      <x:c r="D596" s="24" t="str">
        <x:v>Code</x:v>
      </x:c>
      <x:c r="E596" s="24" t="str">
        <x:v>EditMode</x:v>
      </x:c>
      <x:c r="F596" s="24" t="str">
        <x:v>VRM Games / Blas Luis Rocha González</x:v>
      </x:c>
      <x:c r="G596" s="24" t="str">
        <x:v>VRM Games / Blas Luis Rocha González</x:v>
      </x:c>
      <x:c r="H596" s="24" t="str">
        <x:v>Internal project production</x:v>
      </x:c>
      <x:c r="I596" s="24" t="str">
        <x:v>2026 project timeline</x:v>
      </x:c>
      <x:c r="J596" s="24" t="str">
        <x:v>Internal project IP / authorship claim</x:v>
      </x:c>
      <x:c r="K596" s="24" t="str">
        <x:v>N/A</x:v>
      </x:c>
      <x:c r="L596" s="24" t="str">
        <x:v>Source package + repository path + hash</x:v>
      </x:c>
      <x:c r="M596" s="24" t="str">
        <x:v>48ad1a7cf8ac8efeeb10cfe9a34dfd403bd8a1c953109425de2bf775370f378c</x:v>
      </x:c>
      <x:c r="N596" s="24" t="str">
        <x:v>Assets/_Project/Tests/EditMode/Checkout/CheckoutQueueTests.cs</x:v>
      </x:c>
      <x:c r="O596" s="24" t="str">
        <x:v>a2c81ad5bff34329a1be236e7e6531ae</x:v>
      </x:c>
      <x:c r="P596" s="24" t="str">
        <x:v>Sí</x:v>
      </x:c>
      <x:c r="Q596" s="24" t="str">
        <x:v>Condicionado a autoría/procedencia final</x:v>
      </x:c>
      <x:c r="R596" s="24" t="str">
        <x:v>Solo dentro del producto/build autorizado</x:v>
      </x:c>
      <x:c r="S596" s="24" t="str">
        <x:v>Crédito general del estudio; individual si aplica</x:v>
      </x:c>
      <x:c r="T596" s="24" t="str">
        <x:v>VRM Games / Blas Luis Rocha González</x:v>
      </x:c>
      <x:c r="U596" s="24" t="str">
        <x:v>CURRENT PROJECT ASSET</x:v>
      </x:c>
      <x:c r="V596" s="24" t="str">
        <x:v>CONDITIONALLY APPROVED</x:v>
      </x:c>
      <x:c r="W596" s="24" t="str">
        <x:v>Sí</x:v>
      </x:c>
      <x:c r="X596" s="24" t="str">
        <x:v>Low</x:v>
      </x:c>
      <x:c r="Y596" s="24" t="str">
        <x:v>Internal development; public candidate requires gate</x:v>
      </x:c>
      <x:c r="Z596" s="24" t="str">
        <x:v>H6 legal/content audit</x:v>
      </x:c>
      <x:c r="AA596" s="24" t="str">
        <x:v>VRM Games</x:v>
      </x:c>
      <x:c r="AB596" s="24" t="str">
        <x:v>No se detectó proveedor externo en la ruta; confirmar autoría por lote antes de release público.</x:v>
      </x:c>
    </x:row>
    <x:row r="597" ht="34" customHeight="1">
      <x:c r="A597" s="24" t="str">
        <x:v>INT-0593</x:v>
      </x:c>
      <x:c r="B597" s="24" t="str">
        <x:v>5d66c04546ea4356a9950fe5e97882a2</x:v>
      </x:c>
      <x:c r="C597" s="24" t="str">
        <x:v>CheckoutServiceSuccessTests.cs</x:v>
      </x:c>
      <x:c r="D597" s="24" t="str">
        <x:v>Code</x:v>
      </x:c>
      <x:c r="E597" s="24" t="str">
        <x:v>EditMode</x:v>
      </x:c>
      <x:c r="F597" s="24" t="str">
        <x:v>VRM Games / Blas Luis Rocha González</x:v>
      </x:c>
      <x:c r="G597" s="24" t="str">
        <x:v>VRM Games / Blas Luis Rocha González</x:v>
      </x:c>
      <x:c r="H597" s="24" t="str">
        <x:v>Internal project production</x:v>
      </x:c>
      <x:c r="I597" s="24" t="str">
        <x:v>2026 project timeline</x:v>
      </x:c>
      <x:c r="J597" s="24" t="str">
        <x:v>Internal project IP / authorship claim</x:v>
      </x:c>
      <x:c r="K597" s="24" t="str">
        <x:v>N/A</x:v>
      </x:c>
      <x:c r="L597" s="24" t="str">
        <x:v>Source package + repository path + hash</x:v>
      </x:c>
      <x:c r="M597" s="24" t="str">
        <x:v>f2fbe0b4f1044e9fdc5b7458de97dc8c5f8e20f7fd34ed7f9e07570fced972ce</x:v>
      </x:c>
      <x:c r="N597" s="24" t="str">
        <x:v>Assets/_Project/Tests/EditMode/Checkout/CheckoutServiceSuccessTests.cs</x:v>
      </x:c>
      <x:c r="O597" s="24" t="str">
        <x:v>5d66c04546ea4356a9950fe5e97882a2</x:v>
      </x:c>
      <x:c r="P597" s="24" t="str">
        <x:v>Sí</x:v>
      </x:c>
      <x:c r="Q597" s="24" t="str">
        <x:v>Condicionado a autoría/procedencia final</x:v>
      </x:c>
      <x:c r="R597" s="24" t="str">
        <x:v>Solo dentro del producto/build autorizado</x:v>
      </x:c>
      <x:c r="S597" s="24" t="str">
        <x:v>Crédito general del estudio; individual si aplica</x:v>
      </x:c>
      <x:c r="T597" s="24" t="str">
        <x:v>VRM Games / Blas Luis Rocha González</x:v>
      </x:c>
      <x:c r="U597" s="24" t="str">
        <x:v>CURRENT PROJECT ASSET</x:v>
      </x:c>
      <x:c r="V597" s="24" t="str">
        <x:v>CONDITIONALLY APPROVED</x:v>
      </x:c>
      <x:c r="W597" s="24" t="str">
        <x:v>Sí</x:v>
      </x:c>
      <x:c r="X597" s="24" t="str">
        <x:v>Low</x:v>
      </x:c>
      <x:c r="Y597" s="24" t="str">
        <x:v>Internal development; public candidate requires gate</x:v>
      </x:c>
      <x:c r="Z597" s="24" t="str">
        <x:v>H6 legal/content audit</x:v>
      </x:c>
      <x:c r="AA597" s="24" t="str">
        <x:v>VRM Games</x:v>
      </x:c>
      <x:c r="AB597" s="24" t="str">
        <x:v>No se detectó proveedor externo en la ruta; confirmar autoría por lote antes de release público.</x:v>
      </x:c>
    </x:row>
    <x:row r="598" ht="34" customHeight="1">
      <x:c r="A598" s="24" t="str">
        <x:v>INT-0594</x:v>
      </x:c>
      <x:c r="B598" s="24" t="str">
        <x:v>9e50d35db90540bdb35c7b26f7326388</x:v>
      </x:c>
      <x:c r="C598" s="24" t="str">
        <x:v>CheckoutServiceValidationTests.cs</x:v>
      </x:c>
      <x:c r="D598" s="24" t="str">
        <x:v>Code</x:v>
      </x:c>
      <x:c r="E598" s="24" t="str">
        <x:v>EditMode</x:v>
      </x:c>
      <x:c r="F598" s="24" t="str">
        <x:v>VRM Games / Blas Luis Rocha González</x:v>
      </x:c>
      <x:c r="G598" s="24" t="str">
        <x:v>VRM Games / Blas Luis Rocha González</x:v>
      </x:c>
      <x:c r="H598" s="24" t="str">
        <x:v>Internal project production</x:v>
      </x:c>
      <x:c r="I598" s="24" t="str">
        <x:v>2026 project timeline</x:v>
      </x:c>
      <x:c r="J598" s="24" t="str">
        <x:v>Internal project IP / authorship claim</x:v>
      </x:c>
      <x:c r="K598" s="24" t="str">
        <x:v>N/A</x:v>
      </x:c>
      <x:c r="L598" s="24" t="str">
        <x:v>Source package + repository path + hash</x:v>
      </x:c>
      <x:c r="M598" s="24" t="str">
        <x:v>db3d6d955ee5d4586c7e41be09cc843c2efdc0e5559595f1af19bf091558afef</x:v>
      </x:c>
      <x:c r="N598" s="24" t="str">
        <x:v>Assets/_Project/Tests/EditMode/Checkout/CheckoutServiceValidationTests.cs</x:v>
      </x:c>
      <x:c r="O598" s="24" t="str">
        <x:v>9e50d35db90540bdb35c7b26f7326388</x:v>
      </x:c>
      <x:c r="P598" s="24" t="str">
        <x:v>Sí</x:v>
      </x:c>
      <x:c r="Q598" s="24" t="str">
        <x:v>Condicionado a autoría/procedencia final</x:v>
      </x:c>
      <x:c r="R598" s="24" t="str">
        <x:v>Solo dentro del producto/build autorizado</x:v>
      </x:c>
      <x:c r="S598" s="24" t="str">
        <x:v>Crédito general del estudio; individual si aplica</x:v>
      </x:c>
      <x:c r="T598" s="24" t="str">
        <x:v>VRM Games / Blas Luis Rocha González</x:v>
      </x:c>
      <x:c r="U598" s="24" t="str">
        <x:v>CURRENT PROJECT ASSET</x:v>
      </x:c>
      <x:c r="V598" s="24" t="str">
        <x:v>CONDITIONALLY APPROVED</x:v>
      </x:c>
      <x:c r="W598" s="24" t="str">
        <x:v>Sí</x:v>
      </x:c>
      <x:c r="X598" s="24" t="str">
        <x:v>Low</x:v>
      </x:c>
      <x:c r="Y598" s="24" t="str">
        <x:v>Internal development; public candidate requires gate</x:v>
      </x:c>
      <x:c r="Z598" s="24" t="str">
        <x:v>H6 legal/content audit</x:v>
      </x:c>
      <x:c r="AA598" s="24" t="str">
        <x:v>VRM Games</x:v>
      </x:c>
      <x:c r="AB598" s="24" t="str">
        <x:v>No se detectó proveedor externo en la ruta; confirmar autoría por lote antes de release público.</x:v>
      </x:c>
    </x:row>
    <x:row r="599" ht="34" customHeight="1">
      <x:c r="A599" s="24" t="str">
        <x:v>INT-0595</x:v>
      </x:c>
      <x:c r="B599" s="24" t="str">
        <x:v>e4df07273cb74eb9af7b005b3c225048</x:v>
      </x:c>
      <x:c r="C599" s="24" t="str">
        <x:v>CheckoutTestFactory.cs</x:v>
      </x:c>
      <x:c r="D599" s="24" t="str">
        <x:v>Code</x:v>
      </x:c>
      <x:c r="E599" s="24" t="str">
        <x:v>EditMode</x:v>
      </x:c>
      <x:c r="F599" s="24" t="str">
        <x:v>VRM Games / Blas Luis Rocha González</x:v>
      </x:c>
      <x:c r="G599" s="24" t="str">
        <x:v>VRM Games / Blas Luis Rocha González</x:v>
      </x:c>
      <x:c r="H599" s="24" t="str">
        <x:v>Internal project production</x:v>
      </x:c>
      <x:c r="I599" s="24" t="str">
        <x:v>2026 project timeline</x:v>
      </x:c>
      <x:c r="J599" s="24" t="str">
        <x:v>Internal project IP / authorship claim</x:v>
      </x:c>
      <x:c r="K599" s="24" t="str">
        <x:v>N/A</x:v>
      </x:c>
      <x:c r="L599" s="24" t="str">
        <x:v>Source package + repository path + hash</x:v>
      </x:c>
      <x:c r="M599" s="24" t="str">
        <x:v>45047c0bd5ffb121b0ae0943c937e6d96f80f34a78cb986973cd06623a78ef8b</x:v>
      </x:c>
      <x:c r="N599" s="24" t="str">
        <x:v>Assets/_Project/Tests/EditMode/Checkout/CheckoutTestFactory.cs</x:v>
      </x:c>
      <x:c r="O599" s="24" t="str">
        <x:v>e4df07273cb74eb9af7b005b3c225048</x:v>
      </x:c>
      <x:c r="P599" s="24" t="str">
        <x:v>Sí</x:v>
      </x:c>
      <x:c r="Q599" s="24" t="str">
        <x:v>Condicionado a autoría/procedencia final</x:v>
      </x:c>
      <x:c r="R599" s="24" t="str">
        <x:v>Solo dentro del producto/build autorizado</x:v>
      </x:c>
      <x:c r="S599" s="24" t="str">
        <x:v>Crédito general del estudio; individual si aplica</x:v>
      </x:c>
      <x:c r="T599" s="24" t="str">
        <x:v>VRM Games / Blas Luis Rocha González</x:v>
      </x:c>
      <x:c r="U599" s="24" t="str">
        <x:v>CURRENT PROJECT ASSET</x:v>
      </x:c>
      <x:c r="V599" s="24" t="str">
        <x:v>CONDITIONALLY APPROVED</x:v>
      </x:c>
      <x:c r="W599" s="24" t="str">
        <x:v>Sí</x:v>
      </x:c>
      <x:c r="X599" s="24" t="str">
        <x:v>Low</x:v>
      </x:c>
      <x:c r="Y599" s="24" t="str">
        <x:v>Internal development; public candidate requires gate</x:v>
      </x:c>
      <x:c r="Z599" s="24" t="str">
        <x:v>H6 legal/content audit</x:v>
      </x:c>
      <x:c r="AA599" s="24" t="str">
        <x:v>VRM Games</x:v>
      </x:c>
      <x:c r="AB599" s="24" t="str">
        <x:v>No se detectó proveedor externo en la ruta; confirmar autoría por lote antes de release público.</x:v>
      </x:c>
    </x:row>
    <x:row r="600" ht="34" customHeight="1">
      <x:c r="A600" s="24" t="str">
        <x:v>INT-0596</x:v>
      </x:c>
      <x:c r="B600" s="24" t="str">
        <x:v>2d7dc6e63c2d425d80e489b8eaac09be</x:v>
      </x:c>
      <x:c r="C600" s="24" t="str">
        <x:v>CheckoutTransactionTests.cs</x:v>
      </x:c>
      <x:c r="D600" s="24" t="str">
        <x:v>Code</x:v>
      </x:c>
      <x:c r="E600" s="24" t="str">
        <x:v>EditMode</x:v>
      </x:c>
      <x:c r="F600" s="24" t="str">
        <x:v>VRM Games / Blas Luis Rocha González</x:v>
      </x:c>
      <x:c r="G600" s="24" t="str">
        <x:v>VRM Games / Blas Luis Rocha González</x:v>
      </x:c>
      <x:c r="H600" s="24" t="str">
        <x:v>Internal project production</x:v>
      </x:c>
      <x:c r="I600" s="24" t="str">
        <x:v>2026 project timeline</x:v>
      </x:c>
      <x:c r="J600" s="24" t="str">
        <x:v>Internal project IP / authorship claim</x:v>
      </x:c>
      <x:c r="K600" s="24" t="str">
        <x:v>N/A</x:v>
      </x:c>
      <x:c r="L600" s="24" t="str">
        <x:v>Source package + repository path + hash</x:v>
      </x:c>
      <x:c r="M600" s="24" t="str">
        <x:v>d5c59f90ddf599a1cb2194faed26798583bfa94079343b60d9ea4f4cbc9f3dae</x:v>
      </x:c>
      <x:c r="N600" s="24" t="str">
        <x:v>Assets/_Project/Tests/EditMode/Checkout/CheckoutTransactionTests.cs</x:v>
      </x:c>
      <x:c r="O600" s="24" t="str">
        <x:v>2d7dc6e63c2d425d80e489b8eaac09be</x:v>
      </x:c>
      <x:c r="P600" s="24" t="str">
        <x:v>Sí</x:v>
      </x:c>
      <x:c r="Q600" s="24" t="str">
        <x:v>Condicionado a autoría/procedencia final</x:v>
      </x:c>
      <x:c r="R600" s="24" t="str">
        <x:v>Solo dentro del producto/build autorizado</x:v>
      </x:c>
      <x:c r="S600" s="24" t="str">
        <x:v>Crédito general del estudio; individual si aplica</x:v>
      </x:c>
      <x:c r="T600" s="24" t="str">
        <x:v>VRM Games / Blas Luis Rocha González</x:v>
      </x:c>
      <x:c r="U600" s="24" t="str">
        <x:v>CURRENT PROJECT ASSET</x:v>
      </x:c>
      <x:c r="V600" s="24" t="str">
        <x:v>CONDITIONALLY APPROVED</x:v>
      </x:c>
      <x:c r="W600" s="24" t="str">
        <x:v>Sí</x:v>
      </x:c>
      <x:c r="X600" s="24" t="str">
        <x:v>Low</x:v>
      </x:c>
      <x:c r="Y600" s="24" t="str">
        <x:v>Internal development; public candidate requires gate</x:v>
      </x:c>
      <x:c r="Z600" s="24" t="str">
        <x:v>H6 legal/content audit</x:v>
      </x:c>
      <x:c r="AA600" s="24" t="str">
        <x:v>VRM Games</x:v>
      </x:c>
      <x:c r="AB600" s="24" t="str">
        <x:v>No se detectó proveedor externo en la ruta; confirmar autoría por lote antes de release público.</x:v>
      </x:c>
    </x:row>
    <x:row r="601" ht="34" customHeight="1">
      <x:c r="A601" s="24" t="str">
        <x:v>INT-0597</x:v>
      </x:c>
      <x:c r="B601" s="24" t="str">
        <x:v>0831b353460f43d18150b95fdec7131c</x:v>
      </x:c>
      <x:c r="C601" s="24" t="str">
        <x:v>CheckoutValuePolicyStationTests.cs</x:v>
      </x:c>
      <x:c r="D601" s="24" t="str">
        <x:v>Code</x:v>
      </x:c>
      <x:c r="E601" s="24" t="str">
        <x:v>EditMode</x:v>
      </x:c>
      <x:c r="F601" s="24" t="str">
        <x:v>VRM Games / Blas Luis Rocha González</x:v>
      </x:c>
      <x:c r="G601" s="24" t="str">
        <x:v>VRM Games / Blas Luis Rocha González</x:v>
      </x:c>
      <x:c r="H601" s="24" t="str">
        <x:v>Internal project production</x:v>
      </x:c>
      <x:c r="I601" s="24" t="str">
        <x:v>2026 project timeline</x:v>
      </x:c>
      <x:c r="J601" s="24" t="str">
        <x:v>Internal project IP / authorship claim</x:v>
      </x:c>
      <x:c r="K601" s="24" t="str">
        <x:v>N/A</x:v>
      </x:c>
      <x:c r="L601" s="24" t="str">
        <x:v>Source package + repository path + hash</x:v>
      </x:c>
      <x:c r="M601" s="24" t="str">
        <x:v>027aa14f6e9af5b2e68ff6443515edcea709a06424e094ab6a06fe3f0a2f7c7f</x:v>
      </x:c>
      <x:c r="N601" s="24" t="str">
        <x:v>Assets/_Project/Tests/EditMode/Checkout/CheckoutValuePolicyStationTests.cs</x:v>
      </x:c>
      <x:c r="O601" s="24" t="str">
        <x:v>0831b353460f43d18150b95fdec7131c</x:v>
      </x:c>
      <x:c r="P601" s="24" t="str">
        <x:v>Sí</x:v>
      </x:c>
      <x:c r="Q601" s="24" t="str">
        <x:v>Condicionado a autoría/procedencia final</x:v>
      </x:c>
      <x:c r="R601" s="24" t="str">
        <x:v>Solo dentro del producto/build autorizado</x:v>
      </x:c>
      <x:c r="S601" s="24" t="str">
        <x:v>Crédito general del estudio; individual si aplica</x:v>
      </x:c>
      <x:c r="T601" s="24" t="str">
        <x:v>VRM Games / Blas Luis Rocha González</x:v>
      </x:c>
      <x:c r="U601" s="24" t="str">
        <x:v>CURRENT PROJECT ASSET</x:v>
      </x:c>
      <x:c r="V601" s="24" t="str">
        <x:v>CONDITIONALLY APPROVED</x:v>
      </x:c>
      <x:c r="W601" s="24" t="str">
        <x:v>Sí</x:v>
      </x:c>
      <x:c r="X601" s="24" t="str">
        <x:v>Low</x:v>
      </x:c>
      <x:c r="Y601" s="24" t="str">
        <x:v>Internal development; public candidate requires gate</x:v>
      </x:c>
      <x:c r="Z601" s="24" t="str">
        <x:v>H6 legal/content audit</x:v>
      </x:c>
      <x:c r="AA601" s="24" t="str">
        <x:v>VRM Games</x:v>
      </x:c>
      <x:c r="AB601" s="24" t="str">
        <x:v>No se detectó proveedor externo en la ruta; confirmar autoría por lote antes de release público.</x:v>
      </x:c>
    </x:row>
    <x:row r="602" ht="34" customHeight="1">
      <x:c r="A602" s="24" t="str">
        <x:v>INT-0598</x:v>
      </x:c>
      <x:c r="B602" s="24" t="str">
        <x:v>927ec18029c24af28e57016343d54389</x:v>
      </x:c>
      <x:c r="C602" s="24" t="str">
        <x:v>CoreDataValueObjectTests.cs</x:v>
      </x:c>
      <x:c r="D602" s="24" t="str">
        <x:v>Code</x:v>
      </x:c>
      <x:c r="E602" s="24" t="str">
        <x:v>EditMode</x:v>
      </x:c>
      <x:c r="F602" s="24" t="str">
        <x:v>VRM Games / Blas Luis Rocha González</x:v>
      </x:c>
      <x:c r="G602" s="24" t="str">
        <x:v>VRM Games / Blas Luis Rocha González</x:v>
      </x:c>
      <x:c r="H602" s="24" t="str">
        <x:v>Internal project production</x:v>
      </x:c>
      <x:c r="I602" s="24" t="str">
        <x:v>2026 project timeline</x:v>
      </x:c>
      <x:c r="J602" s="24" t="str">
        <x:v>Internal project IP / authorship claim</x:v>
      </x:c>
      <x:c r="K602" s="24" t="str">
        <x:v>N/A</x:v>
      </x:c>
      <x:c r="L602" s="24" t="str">
        <x:v>Source package + repository path + hash</x:v>
      </x:c>
      <x:c r="M602" s="24" t="str">
        <x:v>622a9efe439d44e093834288d80d40a979def3b2115fabde546ccffce391df60</x:v>
      </x:c>
      <x:c r="N602" s="24" t="str">
        <x:v>Assets/_Project/Tests/EditMode/CoreDataValueObjectTests.cs</x:v>
      </x:c>
      <x:c r="O602" s="24" t="str">
        <x:v>927ec18029c24af28e57016343d54389</x:v>
      </x:c>
      <x:c r="P602" s="24" t="str">
        <x:v>Sí</x:v>
      </x:c>
      <x:c r="Q602" s="24" t="str">
        <x:v>Condicionado a autoría/procedencia final</x:v>
      </x:c>
      <x:c r="R602" s="24" t="str">
        <x:v>Solo dentro del producto/build autorizado</x:v>
      </x:c>
      <x:c r="S602" s="24" t="str">
        <x:v>Crédito general del estudio; individual si aplica</x:v>
      </x:c>
      <x:c r="T602" s="24" t="str">
        <x:v>VRM Games / Blas Luis Rocha González</x:v>
      </x:c>
      <x:c r="U602" s="24" t="str">
        <x:v>CURRENT PROJECT ASSET</x:v>
      </x:c>
      <x:c r="V602" s="24" t="str">
        <x:v>CONDITIONALLY APPROVED</x:v>
      </x:c>
      <x:c r="W602" s="24" t="str">
        <x:v>Sí</x:v>
      </x:c>
      <x:c r="X602" s="24" t="str">
        <x:v>Low</x:v>
      </x:c>
      <x:c r="Y602" s="24" t="str">
        <x:v>Internal development; public candidate requires gate</x:v>
      </x:c>
      <x:c r="Z602" s="24" t="str">
        <x:v>H6 legal/content audit</x:v>
      </x:c>
      <x:c r="AA602" s="24" t="str">
        <x:v>VRM Games</x:v>
      </x:c>
      <x:c r="AB602" s="24" t="str">
        <x:v>No se detectó proveedor externo en la ruta; confirmar autoría por lote antes de release público.</x:v>
      </x:c>
    </x:row>
    <x:row r="603" ht="34" customHeight="1">
      <x:c r="A603" s="24" t="str">
        <x:v>INT-0599</x:v>
      </x:c>
      <x:c r="B603" s="24" t="str">
        <x:v>c31819414a06494995d16bdcabb53185</x:v>
      </x:c>
      <x:c r="C603" s="24" t="str">
        <x:v>CustomerArrivalClockTests.cs</x:v>
      </x:c>
      <x:c r="D603" s="24" t="str">
        <x:v>Code</x:v>
      </x:c>
      <x:c r="E603" s="24" t="str">
        <x:v>EditMode</x:v>
      </x:c>
      <x:c r="F603" s="24" t="str">
        <x:v>VRM Games / Blas Luis Rocha González</x:v>
      </x:c>
      <x:c r="G603" s="24" t="str">
        <x:v>VRM Games / Blas Luis Rocha González</x:v>
      </x:c>
      <x:c r="H603" s="24" t="str">
        <x:v>Internal project production</x:v>
      </x:c>
      <x:c r="I603" s="24" t="str">
        <x:v>2026 project timeline</x:v>
      </x:c>
      <x:c r="J603" s="24" t="str">
        <x:v>Internal project IP / authorship claim</x:v>
      </x:c>
      <x:c r="K603" s="24" t="str">
        <x:v>N/A</x:v>
      </x:c>
      <x:c r="L603" s="24" t="str">
        <x:v>Source package + repository path + hash</x:v>
      </x:c>
      <x:c r="M603" s="24" t="str">
        <x:v>b494c776ea8d4f31cbd391d8df5f15695927f5f543c8dc2783b3f83f9b2ab96a</x:v>
      </x:c>
      <x:c r="N603" s="24" t="str">
        <x:v>Assets/_Project/Tests/EditMode/Customers/CustomerArrivalClockTests.cs</x:v>
      </x:c>
      <x:c r="O603" s="24" t="str">
        <x:v>c31819414a06494995d16bdcabb53185</x:v>
      </x:c>
      <x:c r="P603" s="24" t="str">
        <x:v>Sí</x:v>
      </x:c>
      <x:c r="Q603" s="24" t="str">
        <x:v>Condicionado a autoría/procedencia final</x:v>
      </x:c>
      <x:c r="R603" s="24" t="str">
        <x:v>Solo dentro del producto/build autorizado</x:v>
      </x:c>
      <x:c r="S603" s="24" t="str">
        <x:v>Crédito general del estudio; individual si aplica</x:v>
      </x:c>
      <x:c r="T603" s="24" t="str">
        <x:v>VRM Games / Blas Luis Rocha González</x:v>
      </x:c>
      <x:c r="U603" s="24" t="str">
        <x:v>CURRENT PROJECT ASSET</x:v>
      </x:c>
      <x:c r="V603" s="24" t="str">
        <x:v>CONDITIONALLY APPROVED</x:v>
      </x:c>
      <x:c r="W603" s="24" t="str">
        <x:v>Sí</x:v>
      </x:c>
      <x:c r="X603" s="24" t="str">
        <x:v>Low</x:v>
      </x:c>
      <x:c r="Y603" s="24" t="str">
        <x:v>Internal development; public candidate requires gate</x:v>
      </x:c>
      <x:c r="Z603" s="24" t="str">
        <x:v>H6 legal/content audit</x:v>
      </x:c>
      <x:c r="AA603" s="24" t="str">
        <x:v>VRM Games</x:v>
      </x:c>
      <x:c r="AB603" s="24" t="str">
        <x:v>No se detectó proveedor externo en la ruta; confirmar autoría por lote antes de release público.</x:v>
      </x:c>
    </x:row>
    <x:row r="604" ht="34" customHeight="1">
      <x:c r="A604" s="24" t="str">
        <x:v>INT-0600</x:v>
      </x:c>
      <x:c r="B604" s="24" t="str">
        <x:v>b36b76d848ba4184b0b73a6fc6dd3351</x:v>
      </x:c>
      <x:c r="C604" s="24" t="str">
        <x:v>CustomerAuthoringAssetTests.cs</x:v>
      </x:c>
      <x:c r="D604" s="24" t="str">
        <x:v>Code</x:v>
      </x:c>
      <x:c r="E604" s="24" t="str">
        <x:v>EditMode</x:v>
      </x:c>
      <x:c r="F604" s="24" t="str">
        <x:v>VRM Games / Blas Luis Rocha González</x:v>
      </x:c>
      <x:c r="G604" s="24" t="str">
        <x:v>VRM Games / Blas Luis Rocha González</x:v>
      </x:c>
      <x:c r="H604" s="24" t="str">
        <x:v>Internal project production</x:v>
      </x:c>
      <x:c r="I604" s="24" t="str">
        <x:v>2026 project timeline</x:v>
      </x:c>
      <x:c r="J604" s="24" t="str">
        <x:v>Internal project IP / authorship claim</x:v>
      </x:c>
      <x:c r="K604" s="24" t="str">
        <x:v>N/A</x:v>
      </x:c>
      <x:c r="L604" s="24" t="str">
        <x:v>Source package + repository path + hash</x:v>
      </x:c>
      <x:c r="M604" s="24" t="str">
        <x:v>433a4446844969d9d9afee1a55f075e8d424d506e0f8329bb1348af81b71a344</x:v>
      </x:c>
      <x:c r="N604" s="24" t="str">
        <x:v>Assets/_Project/Tests/EditMode/Customers/CustomerAuthoringAssetTests.cs</x:v>
      </x:c>
      <x:c r="O604" s="24" t="str">
        <x:v>b36b76d848ba4184b0b73a6fc6dd3351</x:v>
      </x:c>
      <x:c r="P604" s="24" t="str">
        <x:v>Sí</x:v>
      </x:c>
      <x:c r="Q604" s="24" t="str">
        <x:v>Condicionado a autoría/procedencia final</x:v>
      </x:c>
      <x:c r="R604" s="24" t="str">
        <x:v>Solo dentro del producto/build autorizado</x:v>
      </x:c>
      <x:c r="S604" s="24" t="str">
        <x:v>Crédito general del estudio; individual si aplica</x:v>
      </x:c>
      <x:c r="T604" s="24" t="str">
        <x:v>VRM Games / Blas Luis Rocha González</x:v>
      </x:c>
      <x:c r="U604" s="24" t="str">
        <x:v>CURRENT PROJECT ASSET</x:v>
      </x:c>
      <x:c r="V604" s="24" t="str">
        <x:v>CONDITIONALLY APPROVED</x:v>
      </x:c>
      <x:c r="W604" s="24" t="str">
        <x:v>Sí</x:v>
      </x:c>
      <x:c r="X604" s="24" t="str">
        <x:v>Low</x:v>
      </x:c>
      <x:c r="Y604" s="24" t="str">
        <x:v>Internal development; public candidate requires gate</x:v>
      </x:c>
      <x:c r="Z604" s="24" t="str">
        <x:v>H6 legal/content audit</x:v>
      </x:c>
      <x:c r="AA604" s="24" t="str">
        <x:v>VRM Games</x:v>
      </x:c>
      <x:c r="AB604" s="24" t="str">
        <x:v>No se detectó proveedor externo en la ruta; confirmar autoría por lote antes de release público.</x:v>
      </x:c>
    </x:row>
    <x:row r="605" ht="34" customHeight="1">
      <x:c r="A605" s="24" t="str">
        <x:v>INT-0601</x:v>
      </x:c>
      <x:c r="B605" s="24" t="str">
        <x:v>3e48c87b0b4a41e7b24067157cb0fdc3</x:v>
      </x:c>
      <x:c r="C605" s="24" t="str">
        <x:v>CustomerIdentifierTests.cs</x:v>
      </x:c>
      <x:c r="D605" s="24" t="str">
        <x:v>Code</x:v>
      </x:c>
      <x:c r="E605" s="24" t="str">
        <x:v>EditMode</x:v>
      </x:c>
      <x:c r="F605" s="24" t="str">
        <x:v>VRM Games / Blas Luis Rocha González</x:v>
      </x:c>
      <x:c r="G605" s="24" t="str">
        <x:v>VRM Games / Blas Luis Rocha González</x:v>
      </x:c>
      <x:c r="H605" s="24" t="str">
        <x:v>Internal project production</x:v>
      </x:c>
      <x:c r="I605" s="24" t="str">
        <x:v>2026 project timeline</x:v>
      </x:c>
      <x:c r="J605" s="24" t="str">
        <x:v>Internal project IP / authorship claim</x:v>
      </x:c>
      <x:c r="K605" s="24" t="str">
        <x:v>N/A</x:v>
      </x:c>
      <x:c r="L605" s="24" t="str">
        <x:v>Source package + repository path + hash</x:v>
      </x:c>
      <x:c r="M605" s="24" t="str">
        <x:v>385306cff24528deae09037ce370049cd97ee82ba783235f0611b837c274f8a0</x:v>
      </x:c>
      <x:c r="N605" s="24" t="str">
        <x:v>Assets/_Project/Tests/EditMode/Customers/CustomerIdentifierTests.cs</x:v>
      </x:c>
      <x:c r="O605" s="24" t="str">
        <x:v>3e48c87b0b4a41e7b24067157cb0fdc3</x:v>
      </x:c>
      <x:c r="P605" s="24" t="str">
        <x:v>Sí</x:v>
      </x:c>
      <x:c r="Q605" s="24" t="str">
        <x:v>Condicionado a autoría/procedencia final</x:v>
      </x:c>
      <x:c r="R605" s="24" t="str">
        <x:v>Solo dentro del producto/build autorizado</x:v>
      </x:c>
      <x:c r="S605" s="24" t="str">
        <x:v>Crédito general del estudio; individual si aplica</x:v>
      </x:c>
      <x:c r="T605" s="24" t="str">
        <x:v>VRM Games / Blas Luis Rocha González</x:v>
      </x:c>
      <x:c r="U605" s="24" t="str">
        <x:v>CURRENT PROJECT ASSET</x:v>
      </x:c>
      <x:c r="V605" s="24" t="str">
        <x:v>CONDITIONALLY APPROVED</x:v>
      </x:c>
      <x:c r="W605" s="24" t="str">
        <x:v>Sí</x:v>
      </x:c>
      <x:c r="X605" s="24" t="str">
        <x:v>Low</x:v>
      </x:c>
      <x:c r="Y605" s="24" t="str">
        <x:v>Internal development; public candidate requires gate</x:v>
      </x:c>
      <x:c r="Z605" s="24" t="str">
        <x:v>H6 legal/content audit</x:v>
      </x:c>
      <x:c r="AA605" s="24" t="str">
        <x:v>VRM Games</x:v>
      </x:c>
      <x:c r="AB605" s="24" t="str">
        <x:v>No se detectó proveedor externo en la ruta; confirmar autoría por lote antes de release público.</x:v>
      </x:c>
    </x:row>
    <x:row r="606" ht="34" customHeight="1">
      <x:c r="A606" s="24" t="str">
        <x:v>INT-0602</x:v>
      </x:c>
      <x:c r="B606" s="24" t="str">
        <x:v>e64a6ad615404da69be2baaba3817f61</x:v>
      </x:c>
      <x:c r="C606" s="24" t="str">
        <x:v>CustomerInstanceRegistryTests.cs</x:v>
      </x:c>
      <x:c r="D606" s="24" t="str">
        <x:v>Code</x:v>
      </x:c>
      <x:c r="E606" s="24" t="str">
        <x:v>EditMode</x:v>
      </x:c>
      <x:c r="F606" s="24" t="str">
        <x:v>VRM Games / Blas Luis Rocha González</x:v>
      </x:c>
      <x:c r="G606" s="24" t="str">
        <x:v>VRM Games / Blas Luis Rocha González</x:v>
      </x:c>
      <x:c r="H606" s="24" t="str">
        <x:v>Internal project production</x:v>
      </x:c>
      <x:c r="I606" s="24" t="str">
        <x:v>2026 project timeline</x:v>
      </x:c>
      <x:c r="J606" s="24" t="str">
        <x:v>Internal project IP / authorship claim</x:v>
      </x:c>
      <x:c r="K606" s="24" t="str">
        <x:v>N/A</x:v>
      </x:c>
      <x:c r="L606" s="24" t="str">
        <x:v>Source package + repository path + hash</x:v>
      </x:c>
      <x:c r="M606" s="24" t="str">
        <x:v>aee45721c5dc8b17ca6ce23f4c2f3fdcf0ac3feff897e49d7311bebbfab9a3a2</x:v>
      </x:c>
      <x:c r="N606" s="24" t="str">
        <x:v>Assets/_Project/Tests/EditMode/Customers/CustomerInstanceRegistryTests.cs</x:v>
      </x:c>
      <x:c r="O606" s="24" t="str">
        <x:v>e64a6ad615404da69be2baaba3817f61</x:v>
      </x:c>
      <x:c r="P606" s="24" t="str">
        <x:v>Sí</x:v>
      </x:c>
      <x:c r="Q606" s="24" t="str">
        <x:v>Condicionado a autoría/procedencia final</x:v>
      </x:c>
      <x:c r="R606" s="24" t="str">
        <x:v>Solo dentro del producto/build autorizado</x:v>
      </x:c>
      <x:c r="S606" s="24" t="str">
        <x:v>Crédito general del estudio; individual si aplica</x:v>
      </x:c>
      <x:c r="T606" s="24" t="str">
        <x:v>VRM Games / Blas Luis Rocha González</x:v>
      </x:c>
      <x:c r="U606" s="24" t="str">
        <x:v>CURRENT PROJECT ASSET</x:v>
      </x:c>
      <x:c r="V606" s="24" t="str">
        <x:v>CONDITIONALLY APPROVED</x:v>
      </x:c>
      <x:c r="W606" s="24" t="str">
        <x:v>Sí</x:v>
      </x:c>
      <x:c r="X606" s="24" t="str">
        <x:v>Low</x:v>
      </x:c>
      <x:c r="Y606" s="24" t="str">
        <x:v>Internal development; public candidate requires gate</x:v>
      </x:c>
      <x:c r="Z606" s="24" t="str">
        <x:v>H6 legal/content audit</x:v>
      </x:c>
      <x:c r="AA606" s="24" t="str">
        <x:v>VRM Games</x:v>
      </x:c>
      <x:c r="AB606" s="24" t="str">
        <x:v>No se detectó proveedor externo en la ruta; confirmar autoría por lote antes de release público.</x:v>
      </x:c>
    </x:row>
    <x:row r="607" ht="34" customHeight="1">
      <x:c r="A607" s="24" t="str">
        <x:v>INT-0603</x:v>
      </x:c>
      <x:c r="B607" s="24" t="str">
        <x:v>3083aba051c34661862c29161dee7b25</x:v>
      </x:c>
      <x:c r="C607" s="24" t="str">
        <x:v>CustomerInstanceTests.cs</x:v>
      </x:c>
      <x:c r="D607" s="24" t="str">
        <x:v>Code</x:v>
      </x:c>
      <x:c r="E607" s="24" t="str">
        <x:v>EditMode</x:v>
      </x:c>
      <x:c r="F607" s="24" t="str">
        <x:v>VRM Games / Blas Luis Rocha González</x:v>
      </x:c>
      <x:c r="G607" s="24" t="str">
        <x:v>VRM Games / Blas Luis Rocha González</x:v>
      </x:c>
      <x:c r="H607" s="24" t="str">
        <x:v>Internal project production</x:v>
      </x:c>
      <x:c r="I607" s="24" t="str">
        <x:v>2026 project timeline</x:v>
      </x:c>
      <x:c r="J607" s="24" t="str">
        <x:v>Internal project IP / authorship claim</x:v>
      </x:c>
      <x:c r="K607" s="24" t="str">
        <x:v>N/A</x:v>
      </x:c>
      <x:c r="L607" s="24" t="str">
        <x:v>Source package + repository path + hash</x:v>
      </x:c>
      <x:c r="M607" s="24" t="str">
        <x:v>39745877e1305bce4d6ec225b8393e18aa35fc6d0a8d8fad8c52c4d82261897c</x:v>
      </x:c>
      <x:c r="N607" s="24" t="str">
        <x:v>Assets/_Project/Tests/EditMode/Customers/CustomerInstanceTests.cs</x:v>
      </x:c>
      <x:c r="O607" s="24" t="str">
        <x:v>3083aba051c34661862c29161dee7b25</x:v>
      </x:c>
      <x:c r="P607" s="24" t="str">
        <x:v>Sí</x:v>
      </x:c>
      <x:c r="Q607" s="24" t="str">
        <x:v>Condicionado a autoría/procedencia final</x:v>
      </x:c>
      <x:c r="R607" s="24" t="str">
        <x:v>Solo dentro del producto/build autorizado</x:v>
      </x:c>
      <x:c r="S607" s="24" t="str">
        <x:v>Crédito general del estudio; individual si aplica</x:v>
      </x:c>
      <x:c r="T607" s="24" t="str">
        <x:v>VRM Games / Blas Luis Rocha González</x:v>
      </x:c>
      <x:c r="U607" s="24" t="str">
        <x:v>CURRENT PROJECT ASSET</x:v>
      </x:c>
      <x:c r="V607" s="24" t="str">
        <x:v>CONDITIONALLY APPROVED</x:v>
      </x:c>
      <x:c r="W607" s="24" t="str">
        <x:v>Sí</x:v>
      </x:c>
      <x:c r="X607" s="24" t="str">
        <x:v>Low</x:v>
      </x:c>
      <x:c r="Y607" s="24" t="str">
        <x:v>Internal development; public candidate requires gate</x:v>
      </x:c>
      <x:c r="Z607" s="24" t="str">
        <x:v>H6 legal/content audit</x:v>
      </x:c>
      <x:c r="AA607" s="24" t="str">
        <x:v>VRM Games</x:v>
      </x:c>
      <x:c r="AB607" s="24" t="str">
        <x:v>No se detectó proveedor externo en la ruta; confirmar autoría por lote antes de release público.</x:v>
      </x:c>
    </x:row>
    <x:row r="608" ht="34" customHeight="1">
      <x:c r="A608" s="24" t="str">
        <x:v>INT-0604</x:v>
      </x:c>
      <x:c r="B608" s="24" t="str">
        <x:v>7bb26c5193924a749495462a04af9cee</x:v>
      </x:c>
      <x:c r="C608" s="24" t="str">
        <x:v>CustomerNavigationPlanTests.cs</x:v>
      </x:c>
      <x:c r="D608" s="24" t="str">
        <x:v>Code</x:v>
      </x:c>
      <x:c r="E608" s="24" t="str">
        <x:v>EditMode</x:v>
      </x:c>
      <x:c r="F608" s="24" t="str">
        <x:v>VRM Games / Blas Luis Rocha González</x:v>
      </x:c>
      <x:c r="G608" s="24" t="str">
        <x:v>VRM Games / Blas Luis Rocha González</x:v>
      </x:c>
      <x:c r="H608" s="24" t="str">
        <x:v>Internal project production</x:v>
      </x:c>
      <x:c r="I608" s="24" t="str">
        <x:v>2026 project timeline</x:v>
      </x:c>
      <x:c r="J608" s="24" t="str">
        <x:v>Internal project IP / authorship claim</x:v>
      </x:c>
      <x:c r="K608" s="24" t="str">
        <x:v>N/A</x:v>
      </x:c>
      <x:c r="L608" s="24" t="str">
        <x:v>Source package + repository path + hash</x:v>
      </x:c>
      <x:c r="M608" s="24" t="str">
        <x:v>f89cbd6be971691f8b5b91e08ff7d7fac688b6624b5b28a6bca1ab33a9e62e18</x:v>
      </x:c>
      <x:c r="N608" s="24" t="str">
        <x:v>Assets/_Project/Tests/EditMode/Customers/CustomerNavigationPlanTests.cs</x:v>
      </x:c>
      <x:c r="O608" s="24" t="str">
        <x:v>7bb26c5193924a749495462a04af9cee</x:v>
      </x:c>
      <x:c r="P608" s="24" t="str">
        <x:v>Sí</x:v>
      </x:c>
      <x:c r="Q608" s="24" t="str">
        <x:v>Condicionado a autoría/procedencia final</x:v>
      </x:c>
      <x:c r="R608" s="24" t="str">
        <x:v>Solo dentro del producto/build autorizado</x:v>
      </x:c>
      <x:c r="S608" s="24" t="str">
        <x:v>Crédito general del estudio; individual si aplica</x:v>
      </x:c>
      <x:c r="T608" s="24" t="str">
        <x:v>VRM Games / Blas Luis Rocha González</x:v>
      </x:c>
      <x:c r="U608" s="24" t="str">
        <x:v>CURRENT PROJECT ASSET</x:v>
      </x:c>
      <x:c r="V608" s="24" t="str">
        <x:v>CONDITIONALLY APPROVED</x:v>
      </x:c>
      <x:c r="W608" s="24" t="str">
        <x:v>Sí</x:v>
      </x:c>
      <x:c r="X608" s="24" t="str">
        <x:v>Low</x:v>
      </x:c>
      <x:c r="Y608" s="24" t="str">
        <x:v>Internal development; public candidate requires gate</x:v>
      </x:c>
      <x:c r="Z608" s="24" t="str">
        <x:v>H6 legal/content audit</x:v>
      </x:c>
      <x:c r="AA608" s="24" t="str">
        <x:v>VRM Games</x:v>
      </x:c>
      <x:c r="AB608" s="24" t="str">
        <x:v>No se detectó proveedor externo en la ruta; confirmar autoría por lote antes de release público.</x:v>
      </x:c>
    </x:row>
    <x:row r="609" ht="34" customHeight="1">
      <x:c r="A609" s="24" t="str">
        <x:v>INT-0605</x:v>
      </x:c>
      <x:c r="B609" s="24" t="str">
        <x:v>51774a7d0ef547a5a8eaf319f316b68a</x:v>
      </x:c>
      <x:c r="C609" s="24" t="str">
        <x:v>CustomerProfileRegistryTests.cs</x:v>
      </x:c>
      <x:c r="D609" s="24" t="str">
        <x:v>Code</x:v>
      </x:c>
      <x:c r="E609" s="24" t="str">
        <x:v>EditMode</x:v>
      </x:c>
      <x:c r="F609" s="24" t="str">
        <x:v>VRM Games / Blas Luis Rocha González</x:v>
      </x:c>
      <x:c r="G609" s="24" t="str">
        <x:v>VRM Games / Blas Luis Rocha González</x:v>
      </x:c>
      <x:c r="H609" s="24" t="str">
        <x:v>Internal project production</x:v>
      </x:c>
      <x:c r="I609" s="24" t="str">
        <x:v>2026 project timeline</x:v>
      </x:c>
      <x:c r="J609" s="24" t="str">
        <x:v>Internal project IP / authorship claim</x:v>
      </x:c>
      <x:c r="K609" s="24" t="str">
        <x:v>N/A</x:v>
      </x:c>
      <x:c r="L609" s="24" t="str">
        <x:v>Source package + repository path + hash</x:v>
      </x:c>
      <x:c r="M609" s="24" t="str">
        <x:v>ffad646550da22ae5d7a62344ec90e7ca271a322280fe7625c0d1d65fd4a249e</x:v>
      </x:c>
      <x:c r="N609" s="24" t="str">
        <x:v>Assets/_Project/Tests/EditMode/Customers/CustomerProfileRegistryTests.cs</x:v>
      </x:c>
      <x:c r="O609" s="24" t="str">
        <x:v>51774a7d0ef547a5a8eaf319f316b68a</x:v>
      </x:c>
      <x:c r="P609" s="24" t="str">
        <x:v>Sí</x:v>
      </x:c>
      <x:c r="Q609" s="24" t="str">
        <x:v>Condicionado a autoría/procedencia final</x:v>
      </x:c>
      <x:c r="R609" s="24" t="str">
        <x:v>Solo dentro del producto/build autorizado</x:v>
      </x:c>
      <x:c r="S609" s="24" t="str">
        <x:v>Crédito general del estudio; individual si aplica</x:v>
      </x:c>
      <x:c r="T609" s="24" t="str">
        <x:v>VRM Games / Blas Luis Rocha González</x:v>
      </x:c>
      <x:c r="U609" s="24" t="str">
        <x:v>CURRENT PROJECT ASSET</x:v>
      </x:c>
      <x:c r="V609" s="24" t="str">
        <x:v>CONDITIONALLY APPROVED</x:v>
      </x:c>
      <x:c r="W609" s="24" t="str">
        <x:v>Sí</x:v>
      </x:c>
      <x:c r="X609" s="24" t="str">
        <x:v>Low</x:v>
      </x:c>
      <x:c r="Y609" s="24" t="str">
        <x:v>Internal development; public candidate requires gate</x:v>
      </x:c>
      <x:c r="Z609" s="24" t="str">
        <x:v>H6 legal/content audit</x:v>
      </x:c>
      <x:c r="AA609" s="24" t="str">
        <x:v>VRM Games</x:v>
      </x:c>
      <x:c r="AB609" s="24" t="str">
        <x:v>No se detectó proveedor externo en la ruta; confirmar autoría por lote antes de release público.</x:v>
      </x:c>
    </x:row>
    <x:row r="610" ht="34" customHeight="1">
      <x:c r="A610" s="24" t="str">
        <x:v>INT-0606</x:v>
      </x:c>
      <x:c r="B610" s="24" t="str">
        <x:v>b81dc76f887b49afb30dcd7ef2137c66</x:v>
      </x:c>
      <x:c r="C610" s="24" t="str">
        <x:v>CustomerProfileSelectorTests.cs</x:v>
      </x:c>
      <x:c r="D610" s="24" t="str">
        <x:v>Code</x:v>
      </x:c>
      <x:c r="E610" s="24" t="str">
        <x:v>EditMode</x:v>
      </x:c>
      <x:c r="F610" s="24" t="str">
        <x:v>VRM Games / Blas Luis Rocha González</x:v>
      </x:c>
      <x:c r="G610" s="24" t="str">
        <x:v>VRM Games / Blas Luis Rocha González</x:v>
      </x:c>
      <x:c r="H610" s="24" t="str">
        <x:v>Internal project production</x:v>
      </x:c>
      <x:c r="I610" s="24" t="str">
        <x:v>2026 project timeline</x:v>
      </x:c>
      <x:c r="J610" s="24" t="str">
        <x:v>Internal project IP / authorship claim</x:v>
      </x:c>
      <x:c r="K610" s="24" t="str">
        <x:v>N/A</x:v>
      </x:c>
      <x:c r="L610" s="24" t="str">
        <x:v>Source package + repository path + hash</x:v>
      </x:c>
      <x:c r="M610" s="24" t="str">
        <x:v>d1c2569c9db750841a788f5681009650003996dcc5a5b60eecc77879669e4671</x:v>
      </x:c>
      <x:c r="N610" s="24" t="str">
        <x:v>Assets/_Project/Tests/EditMode/Customers/CustomerProfileSelectorTests.cs</x:v>
      </x:c>
      <x:c r="O610" s="24" t="str">
        <x:v>b81dc76f887b49afb30dcd7ef2137c66</x:v>
      </x:c>
      <x:c r="P610" s="24" t="str">
        <x:v>Sí</x:v>
      </x:c>
      <x:c r="Q610" s="24" t="str">
        <x:v>Condicionado a autoría/procedencia final</x:v>
      </x:c>
      <x:c r="R610" s="24" t="str">
        <x:v>Solo dentro del producto/build autorizado</x:v>
      </x:c>
      <x:c r="S610" s="24" t="str">
        <x:v>Crédito general del estudio; individual si aplica</x:v>
      </x:c>
      <x:c r="T610" s="24" t="str">
        <x:v>VRM Games / Blas Luis Rocha González</x:v>
      </x:c>
      <x:c r="U610" s="24" t="str">
        <x:v>CURRENT PROJECT ASSET</x:v>
      </x:c>
      <x:c r="V610" s="24" t="str">
        <x:v>CONDITIONALLY APPROVED</x:v>
      </x:c>
      <x:c r="W610" s="24" t="str">
        <x:v>Sí</x:v>
      </x:c>
      <x:c r="X610" s="24" t="str">
        <x:v>Low</x:v>
      </x:c>
      <x:c r="Y610" s="24" t="str">
        <x:v>Internal development; public candidate requires gate</x:v>
      </x:c>
      <x:c r="Z610" s="24" t="str">
        <x:v>H6 legal/content audit</x:v>
      </x:c>
      <x:c r="AA610" s="24" t="str">
        <x:v>VRM Games</x:v>
      </x:c>
      <x:c r="AB610" s="24" t="str">
        <x:v>No se detectó proveedor externo en la ruta; confirmar autoría por lote antes de release público.</x:v>
      </x:c>
    </x:row>
    <x:row r="611" ht="34" customHeight="1">
      <x:c r="A611" s="24" t="str">
        <x:v>INT-0607</x:v>
      </x:c>
      <x:c r="B611" s="24" t="str">
        <x:v>94bb6c4b54084b33bf546b8da8bd2fa4</x:v>
      </x:c>
      <x:c r="C611" s="24" t="str">
        <x:v>CustomerProfileTests.cs</x:v>
      </x:c>
      <x:c r="D611" s="24" t="str">
        <x:v>Code</x:v>
      </x:c>
      <x:c r="E611" s="24" t="str">
        <x:v>EditMode</x:v>
      </x:c>
      <x:c r="F611" s="24" t="str">
        <x:v>VRM Games / Blas Luis Rocha González</x:v>
      </x:c>
      <x:c r="G611" s="24" t="str">
        <x:v>VRM Games / Blas Luis Rocha González</x:v>
      </x:c>
      <x:c r="H611" s="24" t="str">
        <x:v>Internal project production</x:v>
      </x:c>
      <x:c r="I611" s="24" t="str">
        <x:v>2026 project timeline</x:v>
      </x:c>
      <x:c r="J611" s="24" t="str">
        <x:v>Internal project IP / authorship claim</x:v>
      </x:c>
      <x:c r="K611" s="24" t="str">
        <x:v>N/A</x:v>
      </x:c>
      <x:c r="L611" s="24" t="str">
        <x:v>Source package + repository path + hash</x:v>
      </x:c>
      <x:c r="M611" s="24" t="str">
        <x:v>1339484c9f1e906d5d41694dafd4ec2e8d26c0b09601c1adc8b7785b50b3707a</x:v>
      </x:c>
      <x:c r="N611" s="24" t="str">
        <x:v>Assets/_Project/Tests/EditMode/Customers/CustomerProfileTests.cs</x:v>
      </x:c>
      <x:c r="O611" s="24" t="str">
        <x:v>94bb6c4b54084b33bf546b8da8bd2fa4</x:v>
      </x:c>
      <x:c r="P611" s="24" t="str">
        <x:v>Sí</x:v>
      </x:c>
      <x:c r="Q611" s="24" t="str">
        <x:v>Condicionado a autoría/procedencia final</x:v>
      </x:c>
      <x:c r="R611" s="24" t="str">
        <x:v>Solo dentro del producto/build autorizado</x:v>
      </x:c>
      <x:c r="S611" s="24" t="str">
        <x:v>Crédito general del estudio; individual si aplica</x:v>
      </x:c>
      <x:c r="T611" s="24" t="str">
        <x:v>VRM Games / Blas Luis Rocha González</x:v>
      </x:c>
      <x:c r="U611" s="24" t="str">
        <x:v>CURRENT PROJECT ASSET</x:v>
      </x:c>
      <x:c r="V611" s="24" t="str">
        <x:v>CONDITIONALLY APPROVED</x:v>
      </x:c>
      <x:c r="W611" s="24" t="str">
        <x:v>Sí</x:v>
      </x:c>
      <x:c r="X611" s="24" t="str">
        <x:v>Low</x:v>
      </x:c>
      <x:c r="Y611" s="24" t="str">
        <x:v>Internal development; public candidate requires gate</x:v>
      </x:c>
      <x:c r="Z611" s="24" t="str">
        <x:v>H6 legal/content audit</x:v>
      </x:c>
      <x:c r="AA611" s="24" t="str">
        <x:v>VRM Games</x:v>
      </x:c>
      <x:c r="AB611" s="24" t="str">
        <x:v>No se detectó proveedor externo en la ruta; confirmar autoría por lote antes de release público.</x:v>
      </x:c>
    </x:row>
    <x:row r="612" ht="34" customHeight="1">
      <x:c r="A612" s="24" t="str">
        <x:v>INT-0608</x:v>
      </x:c>
      <x:c r="B612" s="24" t="str">
        <x:v>7d301f3e7912480c860490a463992758</x:v>
      </x:c>
      <x:c r="C612" s="24" t="str">
        <x:v>CustomerRuntimeTests.cs</x:v>
      </x:c>
      <x:c r="D612" s="24" t="str">
        <x:v>Code</x:v>
      </x:c>
      <x:c r="E612" s="24" t="str">
        <x:v>EditMode</x:v>
      </x:c>
      <x:c r="F612" s="24" t="str">
        <x:v>VRM Games / Blas Luis Rocha González</x:v>
      </x:c>
      <x:c r="G612" s="24" t="str">
        <x:v>VRM Games / Blas Luis Rocha González</x:v>
      </x:c>
      <x:c r="H612" s="24" t="str">
        <x:v>Internal project production</x:v>
      </x:c>
      <x:c r="I612" s="24" t="str">
        <x:v>2026 project timeline</x:v>
      </x:c>
      <x:c r="J612" s="24" t="str">
        <x:v>Internal project IP / authorship claim</x:v>
      </x:c>
      <x:c r="K612" s="24" t="str">
        <x:v>N/A</x:v>
      </x:c>
      <x:c r="L612" s="24" t="str">
        <x:v>Source package + repository path + hash</x:v>
      </x:c>
      <x:c r="M612" s="24" t="str">
        <x:v>13e1d5fe2ba10624a4cf7dd6f0ee5924da88b93e6ac70e4696435edb8702e2ea</x:v>
      </x:c>
      <x:c r="N612" s="24" t="str">
        <x:v>Assets/_Project/Tests/EditMode/Customers/CustomerRuntimeTests.cs</x:v>
      </x:c>
      <x:c r="O612" s="24" t="str">
        <x:v>7d301f3e7912480c860490a463992758</x:v>
      </x:c>
      <x:c r="P612" s="24" t="str">
        <x:v>Sí</x:v>
      </x:c>
      <x:c r="Q612" s="24" t="str">
        <x:v>Condicionado a autoría/procedencia final</x:v>
      </x:c>
      <x:c r="R612" s="24" t="str">
        <x:v>Solo dentro del producto/build autorizado</x:v>
      </x:c>
      <x:c r="S612" s="24" t="str">
        <x:v>Crédito general del estudio; individual si aplica</x:v>
      </x:c>
      <x:c r="T612" s="24" t="str">
        <x:v>VRM Games / Blas Luis Rocha González</x:v>
      </x:c>
      <x:c r="U612" s="24" t="str">
        <x:v>CURRENT PROJECT ASSET</x:v>
      </x:c>
      <x:c r="V612" s="24" t="str">
        <x:v>CONDITIONALLY APPROVED</x:v>
      </x:c>
      <x:c r="W612" s="24" t="str">
        <x:v>Sí</x:v>
      </x:c>
      <x:c r="X612" s="24" t="str">
        <x:v>Low</x:v>
      </x:c>
      <x:c r="Y612" s="24" t="str">
        <x:v>Internal development; public candidate requires gate</x:v>
      </x:c>
      <x:c r="Z612" s="24" t="str">
        <x:v>H6 legal/content audit</x:v>
      </x:c>
      <x:c r="AA612" s="24" t="str">
        <x:v>VRM Games</x:v>
      </x:c>
      <x:c r="AB612" s="24" t="str">
        <x:v>No se detectó proveedor externo en la ruta; confirmar autoría por lote antes de release público.</x:v>
      </x:c>
    </x:row>
    <x:row r="613" ht="34" customHeight="1">
      <x:c r="A613" s="24" t="str">
        <x:v>INT-0609</x:v>
      </x:c>
      <x:c r="B613" s="24" t="str">
        <x:v>3fa5ee36d89d46fda79efcd6e45b39fb</x:v>
      </x:c>
      <x:c r="C613" s="24" t="str">
        <x:v>CustomerSpawnQueueTests.cs</x:v>
      </x:c>
      <x:c r="D613" s="24" t="str">
        <x:v>Code</x:v>
      </x:c>
      <x:c r="E613" s="24" t="str">
        <x:v>EditMode</x:v>
      </x:c>
      <x:c r="F613" s="24" t="str">
        <x:v>VRM Games / Blas Luis Rocha González</x:v>
      </x:c>
      <x:c r="G613" s="24" t="str">
        <x:v>VRM Games / Blas Luis Rocha González</x:v>
      </x:c>
      <x:c r="H613" s="24" t="str">
        <x:v>Internal project production</x:v>
      </x:c>
      <x:c r="I613" s="24" t="str">
        <x:v>2026 project timeline</x:v>
      </x:c>
      <x:c r="J613" s="24" t="str">
        <x:v>Internal project IP / authorship claim</x:v>
      </x:c>
      <x:c r="K613" s="24" t="str">
        <x:v>N/A</x:v>
      </x:c>
      <x:c r="L613" s="24" t="str">
        <x:v>Source package + repository path + hash</x:v>
      </x:c>
      <x:c r="M613" s="24" t="str">
        <x:v>168bc6cb07a1809314185c84b0d79510a95f3f9e151065edb96c80dcdd22c24e</x:v>
      </x:c>
      <x:c r="N613" s="24" t="str">
        <x:v>Assets/_Project/Tests/EditMode/Customers/CustomerSpawnQueueTests.cs</x:v>
      </x:c>
      <x:c r="O613" s="24" t="str">
        <x:v>3fa5ee36d89d46fda79efcd6e45b39fb</x:v>
      </x:c>
      <x:c r="P613" s="24" t="str">
        <x:v>Sí</x:v>
      </x:c>
      <x:c r="Q613" s="24" t="str">
        <x:v>Condicionado a autoría/procedencia final</x:v>
      </x:c>
      <x:c r="R613" s="24" t="str">
        <x:v>Solo dentro del producto/build autorizado</x:v>
      </x:c>
      <x:c r="S613" s="24" t="str">
        <x:v>Crédito general del estudio; individual si aplica</x:v>
      </x:c>
      <x:c r="T613" s="24" t="str">
        <x:v>VRM Games / Blas Luis Rocha González</x:v>
      </x:c>
      <x:c r="U613" s="24" t="str">
        <x:v>CURRENT PROJECT ASSET</x:v>
      </x:c>
      <x:c r="V613" s="24" t="str">
        <x:v>CONDITIONALLY APPROVED</x:v>
      </x:c>
      <x:c r="W613" s="24" t="str">
        <x:v>Sí</x:v>
      </x:c>
      <x:c r="X613" s="24" t="str">
        <x:v>Low</x:v>
      </x:c>
      <x:c r="Y613" s="24" t="str">
        <x:v>Internal development; public candidate requires gate</x:v>
      </x:c>
      <x:c r="Z613" s="24" t="str">
        <x:v>H6 legal/content audit</x:v>
      </x:c>
      <x:c r="AA613" s="24" t="str">
        <x:v>VRM Games</x:v>
      </x:c>
      <x:c r="AB613" s="24" t="str">
        <x:v>No se detectó proveedor externo en la ruta; confirmar autoría por lote antes de release público.</x:v>
      </x:c>
    </x:row>
    <x:row r="614" ht="34" customHeight="1">
      <x:c r="A614" s="24" t="str">
        <x:v>INT-0610</x:v>
      </x:c>
      <x:c r="B614" s="24" t="str">
        <x:v>183410beb0fa4b49a1ff4f3a0c44d31a</x:v>
      </x:c>
      <x:c r="C614" s="24" t="str">
        <x:v>CustomerSpawnServiceTests.cs</x:v>
      </x:c>
      <x:c r="D614" s="24" t="str">
        <x:v>Code</x:v>
      </x:c>
      <x:c r="E614" s="24" t="str">
        <x:v>EditMode</x:v>
      </x:c>
      <x:c r="F614" s="24" t="str">
        <x:v>VRM Games / Blas Luis Rocha González</x:v>
      </x:c>
      <x:c r="G614" s="24" t="str">
        <x:v>VRM Games / Blas Luis Rocha González</x:v>
      </x:c>
      <x:c r="H614" s="24" t="str">
        <x:v>Internal project production</x:v>
      </x:c>
      <x:c r="I614" s="24" t="str">
        <x:v>2026 project timeline</x:v>
      </x:c>
      <x:c r="J614" s="24" t="str">
        <x:v>Internal project IP / authorship claim</x:v>
      </x:c>
      <x:c r="K614" s="24" t="str">
        <x:v>N/A</x:v>
      </x:c>
      <x:c r="L614" s="24" t="str">
        <x:v>Source package + repository path + hash</x:v>
      </x:c>
      <x:c r="M614" s="24" t="str">
        <x:v>83c66476814c006627d449920e7767fb6bccecb30d8c304799e9894e51b551c0</x:v>
      </x:c>
      <x:c r="N614" s="24" t="str">
        <x:v>Assets/_Project/Tests/EditMode/Customers/CustomerSpawnServiceTests.cs</x:v>
      </x:c>
      <x:c r="O614" s="24" t="str">
        <x:v>183410beb0fa4b49a1ff4f3a0c44d31a</x:v>
      </x:c>
      <x:c r="P614" s="24" t="str">
        <x:v>Sí</x:v>
      </x:c>
      <x:c r="Q614" s="24" t="str">
        <x:v>Condicionado a autoría/procedencia final</x:v>
      </x:c>
      <x:c r="R614" s="24" t="str">
        <x:v>Solo dentro del producto/build autorizado</x:v>
      </x:c>
      <x:c r="S614" s="24" t="str">
        <x:v>Crédito general del estudio; individual si aplica</x:v>
      </x:c>
      <x:c r="T614" s="24" t="str">
        <x:v>VRM Games / Blas Luis Rocha González</x:v>
      </x:c>
      <x:c r="U614" s="24" t="str">
        <x:v>CURRENT PROJECT ASSET</x:v>
      </x:c>
      <x:c r="V614" s="24" t="str">
        <x:v>CONDITIONALLY APPROVED</x:v>
      </x:c>
      <x:c r="W614" s="24" t="str">
        <x:v>Sí</x:v>
      </x:c>
      <x:c r="X614" s="24" t="str">
        <x:v>Low</x:v>
      </x:c>
      <x:c r="Y614" s="24" t="str">
        <x:v>Internal development; public candidate requires gate</x:v>
      </x:c>
      <x:c r="Z614" s="24" t="str">
        <x:v>H6 legal/content audit</x:v>
      </x:c>
      <x:c r="AA614" s="24" t="str">
        <x:v>VRM Games</x:v>
      </x:c>
      <x:c r="AB614" s="24" t="str">
        <x:v>No se detectó proveedor externo en la ruta; confirmar autoría por lote antes de release público.</x:v>
      </x:c>
    </x:row>
    <x:row r="615" ht="34" customHeight="1">
      <x:c r="A615" s="24" t="str">
        <x:v>INT-0611</x:v>
      </x:c>
      <x:c r="B615" s="24" t="str">
        <x:v>6a047a7af1954392a951d93d834fa246</x:v>
      </x:c>
      <x:c r="C615" s="24" t="str">
        <x:v>CheckoutQueueSealTests.cs</x:v>
      </x:c>
      <x:c r="D615" s="24" t="str">
        <x:v>Code</x:v>
      </x:c>
      <x:c r="E615" s="24" t="str">
        <x:v>EditMode</x:v>
      </x:c>
      <x:c r="F615" s="24" t="str">
        <x:v>VRM Games / Blas Luis Rocha González</x:v>
      </x:c>
      <x:c r="G615" s="24" t="str">
        <x:v>VRM Games / Blas Luis Rocha González</x:v>
      </x:c>
      <x:c r="H615" s="24" t="str">
        <x:v>Internal project production</x:v>
      </x:c>
      <x:c r="I615" s="24" t="str">
        <x:v>2026 project timeline</x:v>
      </x:c>
      <x:c r="J615" s="24" t="str">
        <x:v>Internal project IP / authorship claim</x:v>
      </x:c>
      <x:c r="K615" s="24" t="str">
        <x:v>N/A</x:v>
      </x:c>
      <x:c r="L615" s="24" t="str">
        <x:v>Source package + repository path + hash</x:v>
      </x:c>
      <x:c r="M615" s="24" t="str">
        <x:v>93104ef742b23adf6d1c51a3c4adfabf52ffc738ed9a83ed6070a5cafdc4a101</x:v>
      </x:c>
      <x:c r="N615" s="24" t="str">
        <x:v>Assets/_Project/Tests/EditMode/DayCycle/CheckoutQueueSealTests.cs</x:v>
      </x:c>
      <x:c r="O615" s="24" t="str">
        <x:v>6a047a7af1954392a951d93d834fa246</x:v>
      </x:c>
      <x:c r="P615" s="24" t="str">
        <x:v>Sí</x:v>
      </x:c>
      <x:c r="Q615" s="24" t="str">
        <x:v>Condicionado a autoría/procedencia final</x:v>
      </x:c>
      <x:c r="R615" s="24" t="str">
        <x:v>Solo dentro del producto/build autorizado</x:v>
      </x:c>
      <x:c r="S615" s="24" t="str">
        <x:v>Crédito general del estudio; individual si aplica</x:v>
      </x:c>
      <x:c r="T615" s="24" t="str">
        <x:v>VRM Games / Blas Luis Rocha González</x:v>
      </x:c>
      <x:c r="U615" s="24" t="str">
        <x:v>CURRENT PROJECT ASSET</x:v>
      </x:c>
      <x:c r="V615" s="24" t="str">
        <x:v>CONDITIONALLY APPROVED</x:v>
      </x:c>
      <x:c r="W615" s="24" t="str">
        <x:v>Sí</x:v>
      </x:c>
      <x:c r="X615" s="24" t="str">
        <x:v>Low</x:v>
      </x:c>
      <x:c r="Y615" s="24" t="str">
        <x:v>Internal development; public candidate requires gate</x:v>
      </x:c>
      <x:c r="Z615" s="24" t="str">
        <x:v>H6 legal/content audit</x:v>
      </x:c>
      <x:c r="AA615" s="24" t="str">
        <x:v>VRM Games</x:v>
      </x:c>
      <x:c r="AB615" s="24" t="str">
        <x:v>No se detectó proveedor externo en la ruta; confirmar autoría por lote antes de release público.</x:v>
      </x:c>
    </x:row>
    <x:row r="616" ht="34" customHeight="1">
      <x:c r="A616" s="24" t="str">
        <x:v>INT-0612</x:v>
      </x:c>
      <x:c r="B616" s="24" t="str">
        <x:v>ef86888f19cf48cc99bfca4e7d6d8504</x:v>
      </x:c>
      <x:c r="C616" s="24" t="str">
        <x:v>CustomerDrainServiceTests.cs</x:v>
      </x:c>
      <x:c r="D616" s="24" t="str">
        <x:v>Code</x:v>
      </x:c>
      <x:c r="E616" s="24" t="str">
        <x:v>EditMode</x:v>
      </x:c>
      <x:c r="F616" s="24" t="str">
        <x:v>VRM Games / Blas Luis Rocha González</x:v>
      </x:c>
      <x:c r="G616" s="24" t="str">
        <x:v>VRM Games / Blas Luis Rocha González</x:v>
      </x:c>
      <x:c r="H616" s="24" t="str">
        <x:v>Internal project production</x:v>
      </x:c>
      <x:c r="I616" s="24" t="str">
        <x:v>2026 project timeline</x:v>
      </x:c>
      <x:c r="J616" s="24" t="str">
        <x:v>Internal project IP / authorship claim</x:v>
      </x:c>
      <x:c r="K616" s="24" t="str">
        <x:v>N/A</x:v>
      </x:c>
      <x:c r="L616" s="24" t="str">
        <x:v>Source package + repository path + hash</x:v>
      </x:c>
      <x:c r="M616" s="24" t="str">
        <x:v>2342951b7dc67c753eb7307685abc7068081e93c82c8f808f2e881450f6efaff</x:v>
      </x:c>
      <x:c r="N616" s="24" t="str">
        <x:v>Assets/_Project/Tests/EditMode/DayCycle/CustomerDrainServiceTests.cs</x:v>
      </x:c>
      <x:c r="O616" s="24" t="str">
        <x:v>ef86888f19cf48cc99bfca4e7d6d8504</x:v>
      </x:c>
      <x:c r="P616" s="24" t="str">
        <x:v>Sí</x:v>
      </x:c>
      <x:c r="Q616" s="24" t="str">
        <x:v>Condicionado a autoría/procedencia final</x:v>
      </x:c>
      <x:c r="R616" s="24" t="str">
        <x:v>Solo dentro del producto/build autorizado</x:v>
      </x:c>
      <x:c r="S616" s="24" t="str">
        <x:v>Crédito general del estudio; individual si aplica</x:v>
      </x:c>
      <x:c r="T616" s="24" t="str">
        <x:v>VRM Games / Blas Luis Rocha González</x:v>
      </x:c>
      <x:c r="U616" s="24" t="str">
        <x:v>CURRENT PROJECT ASSET</x:v>
      </x:c>
      <x:c r="V616" s="24" t="str">
        <x:v>CONDITIONALLY APPROVED</x:v>
      </x:c>
      <x:c r="W616" s="24" t="str">
        <x:v>Sí</x:v>
      </x:c>
      <x:c r="X616" s="24" t="str">
        <x:v>Low</x:v>
      </x:c>
      <x:c r="Y616" s="24" t="str">
        <x:v>Internal development; public candidate requires gate</x:v>
      </x:c>
      <x:c r="Z616" s="24" t="str">
        <x:v>H6 legal/content audit</x:v>
      </x:c>
      <x:c r="AA616" s="24" t="str">
        <x:v>VRM Games</x:v>
      </x:c>
      <x:c r="AB616" s="24" t="str">
        <x:v>No se detectó proveedor externo en la ruta; confirmar autoría por lote antes de release público.</x:v>
      </x:c>
    </x:row>
    <x:row r="617" ht="34" customHeight="1">
      <x:c r="A617" s="24" t="str">
        <x:v>INT-0613</x:v>
      </x:c>
      <x:c r="B617" s="24" t="str">
        <x:v>34f33648ffb943938e2ec19340c81c1e</x:v>
      </x:c>
      <x:c r="C617" s="24" t="str">
        <x:v>CustomerShoppingSessionRegistryTests.cs</x:v>
      </x:c>
      <x:c r="D617" s="24" t="str">
        <x:v>Code</x:v>
      </x:c>
      <x:c r="E617" s="24" t="str">
        <x:v>EditMode</x:v>
      </x:c>
      <x:c r="F617" s="24" t="str">
        <x:v>VRM Games / Blas Luis Rocha González</x:v>
      </x:c>
      <x:c r="G617" s="24" t="str">
        <x:v>VRM Games / Blas Luis Rocha González</x:v>
      </x:c>
      <x:c r="H617" s="24" t="str">
        <x:v>Internal project production</x:v>
      </x:c>
      <x:c r="I617" s="24" t="str">
        <x:v>2026 project timeline</x:v>
      </x:c>
      <x:c r="J617" s="24" t="str">
        <x:v>Internal project IP / authorship claim</x:v>
      </x:c>
      <x:c r="K617" s="24" t="str">
        <x:v>N/A</x:v>
      </x:c>
      <x:c r="L617" s="24" t="str">
        <x:v>Source package + repository path + hash</x:v>
      </x:c>
      <x:c r="M617" s="24" t="str">
        <x:v>a1251fc9996aa47c84e5c1ae19e9bb60ad38b23839aa48a7d19539f48e55dd57</x:v>
      </x:c>
      <x:c r="N617" s="24" t="str">
        <x:v>Assets/_Project/Tests/EditMode/DayCycle/CustomerShoppingSessionRegistryTests.cs</x:v>
      </x:c>
      <x:c r="O617" s="24" t="str">
        <x:v>34f33648ffb943938e2ec19340c81c1e</x:v>
      </x:c>
      <x:c r="P617" s="24" t="str">
        <x:v>Sí</x:v>
      </x:c>
      <x:c r="Q617" s="24" t="str">
        <x:v>Condicionado a autoría/procedencia final</x:v>
      </x:c>
      <x:c r="R617" s="24" t="str">
        <x:v>Solo dentro del producto/build autorizado</x:v>
      </x:c>
      <x:c r="S617" s="24" t="str">
        <x:v>Crédito general del estudio; individual si aplica</x:v>
      </x:c>
      <x:c r="T617" s="24" t="str">
        <x:v>VRM Games / Blas Luis Rocha González</x:v>
      </x:c>
      <x:c r="U617" s="24" t="str">
        <x:v>CURRENT PROJECT ASSET</x:v>
      </x:c>
      <x:c r="V617" s="24" t="str">
        <x:v>CONDITIONALLY APPROVED</x:v>
      </x:c>
      <x:c r="W617" s="24" t="str">
        <x:v>Sí</x:v>
      </x:c>
      <x:c r="X617" s="24" t="str">
        <x:v>Low</x:v>
      </x:c>
      <x:c r="Y617" s="24" t="str">
        <x:v>Internal development; public candidate requires gate</x:v>
      </x:c>
      <x:c r="Z617" s="24" t="str">
        <x:v>H6 legal/content audit</x:v>
      </x:c>
      <x:c r="AA617" s="24" t="str">
        <x:v>VRM Games</x:v>
      </x:c>
      <x:c r="AB617" s="24" t="str">
        <x:v>No se detectó proveedor externo en la ruta; confirmar autoría por lote antes de release público.</x:v>
      </x:c>
    </x:row>
    <x:row r="618" ht="34" customHeight="1">
      <x:c r="A618" s="24" t="str">
        <x:v>INT-0614</x:v>
      </x:c>
      <x:c r="B618" s="24" t="str">
        <x:v>4fc2a10918e345cc94daa372f600c6b8</x:v>
      </x:c>
      <x:c r="C618" s="24" t="str">
        <x:v>DayCycleTestFactory.cs</x:v>
      </x:c>
      <x:c r="D618" s="24" t="str">
        <x:v>Code</x:v>
      </x:c>
      <x:c r="E618" s="24" t="str">
        <x:v>EditMode</x:v>
      </x:c>
      <x:c r="F618" s="24" t="str">
        <x:v>VRM Games / Blas Luis Rocha González</x:v>
      </x:c>
      <x:c r="G618" s="24" t="str">
        <x:v>VRM Games / Blas Luis Rocha González</x:v>
      </x:c>
      <x:c r="H618" s="24" t="str">
        <x:v>Internal project production</x:v>
      </x:c>
      <x:c r="I618" s="24" t="str">
        <x:v>2026 project timeline</x:v>
      </x:c>
      <x:c r="J618" s="24" t="str">
        <x:v>Internal project IP / authorship claim</x:v>
      </x:c>
      <x:c r="K618" s="24" t="str">
        <x:v>N/A</x:v>
      </x:c>
      <x:c r="L618" s="24" t="str">
        <x:v>Source package + repository path + hash</x:v>
      </x:c>
      <x:c r="M618" s="24" t="str">
        <x:v>103a568ac2d05b5392dccce98ce24fa39e451a56028d29bcf0c7004faa989688</x:v>
      </x:c>
      <x:c r="N618" s="24" t="str">
        <x:v>Assets/_Project/Tests/EditMode/DayCycle/DayCycleTestFactory.cs</x:v>
      </x:c>
      <x:c r="O618" s="24" t="str">
        <x:v>4fc2a10918e345cc94daa372f600c6b8</x:v>
      </x:c>
      <x:c r="P618" s="24" t="str">
        <x:v>Sí</x:v>
      </x:c>
      <x:c r="Q618" s="24" t="str">
        <x:v>Condicionado a autoría/procedencia final</x:v>
      </x:c>
      <x:c r="R618" s="24" t="str">
        <x:v>Solo dentro del producto/build autorizado</x:v>
      </x:c>
      <x:c r="S618" s="24" t="str">
        <x:v>Crédito general del estudio; individual si aplica</x:v>
      </x:c>
      <x:c r="T618" s="24" t="str">
        <x:v>VRM Games / Blas Luis Rocha González</x:v>
      </x:c>
      <x:c r="U618" s="24" t="str">
        <x:v>CURRENT PROJECT ASSET</x:v>
      </x:c>
      <x:c r="V618" s="24" t="str">
        <x:v>CONDITIONALLY APPROVED</x:v>
      </x:c>
      <x:c r="W618" s="24" t="str">
        <x:v>Sí</x:v>
      </x:c>
      <x:c r="X618" s="24" t="str">
        <x:v>Low</x:v>
      </x:c>
      <x:c r="Y618" s="24" t="str">
        <x:v>Internal development; public candidate requires gate</x:v>
      </x:c>
      <x:c r="Z618" s="24" t="str">
        <x:v>H6 legal/content audit</x:v>
      </x:c>
      <x:c r="AA618" s="24" t="str">
        <x:v>VRM Games</x:v>
      </x:c>
      <x:c r="AB618" s="24" t="str">
        <x:v>No se detectó proveedor externo en la ruta; confirmar autoría por lote antes de release público.</x:v>
      </x:c>
    </x:row>
    <x:row r="619" ht="34" customHeight="1">
      <x:c r="A619" s="24" t="str">
        <x:v>INT-0615</x:v>
      </x:c>
      <x:c r="B619" s="24" t="str">
        <x:v>7bc229bc7b7342278023ea00298c7727</x:v>
      </x:c>
      <x:c r="C619" s="24" t="str">
        <x:v>ShoppingReservationRegistryDayCycleTests.cs</x:v>
      </x:c>
      <x:c r="D619" s="24" t="str">
        <x:v>Code</x:v>
      </x:c>
      <x:c r="E619" s="24" t="str">
        <x:v>EditMode</x:v>
      </x:c>
      <x:c r="F619" s="24" t="str">
        <x:v>VRM Games / Blas Luis Rocha González</x:v>
      </x:c>
      <x:c r="G619" s="24" t="str">
        <x:v>VRM Games / Blas Luis Rocha González</x:v>
      </x:c>
      <x:c r="H619" s="24" t="str">
        <x:v>Internal project production</x:v>
      </x:c>
      <x:c r="I619" s="24" t="str">
        <x:v>2026 project timeline</x:v>
      </x:c>
      <x:c r="J619" s="24" t="str">
        <x:v>Internal project IP / authorship claim</x:v>
      </x:c>
      <x:c r="K619" s="24" t="str">
        <x:v>N/A</x:v>
      </x:c>
      <x:c r="L619" s="24" t="str">
        <x:v>Source package + repository path + hash</x:v>
      </x:c>
      <x:c r="M619" s="24" t="str">
        <x:v>7d2f4fc82afef8bf9d12bd303936c1c83015c7b3a419b3c5ad5d5a862aba1f0d</x:v>
      </x:c>
      <x:c r="N619" s="24" t="str">
        <x:v>Assets/_Project/Tests/EditMode/DayCycle/ShoppingReservationRegistryDayCycleTests.cs</x:v>
      </x:c>
      <x:c r="O619" s="24" t="str">
        <x:v>7bc229bc7b7342278023ea00298c7727</x:v>
      </x:c>
      <x:c r="P619" s="24" t="str">
        <x:v>Sí</x:v>
      </x:c>
      <x:c r="Q619" s="24" t="str">
        <x:v>Condicionado a autoría/procedencia final</x:v>
      </x:c>
      <x:c r="R619" s="24" t="str">
        <x:v>Solo dentro del producto/build autorizado</x:v>
      </x:c>
      <x:c r="S619" s="24" t="str">
        <x:v>Crédito general del estudio; individual si aplica</x:v>
      </x:c>
      <x:c r="T619" s="24" t="str">
        <x:v>VRM Games / Blas Luis Rocha González</x:v>
      </x:c>
      <x:c r="U619" s="24" t="str">
        <x:v>CURRENT PROJECT ASSET</x:v>
      </x:c>
      <x:c r="V619" s="24" t="str">
        <x:v>CONDITIONALLY APPROVED</x:v>
      </x:c>
      <x:c r="W619" s="24" t="str">
        <x:v>Sí</x:v>
      </x:c>
      <x:c r="X619" s="24" t="str">
        <x:v>Low</x:v>
      </x:c>
      <x:c r="Y619" s="24" t="str">
        <x:v>Internal development; public candidate requires gate</x:v>
      </x:c>
      <x:c r="Z619" s="24" t="str">
        <x:v>H6 legal/content audit</x:v>
      </x:c>
      <x:c r="AA619" s="24" t="str">
        <x:v>VRM Games</x:v>
      </x:c>
      <x:c r="AB619" s="24" t="str">
        <x:v>No se detectó proveedor externo en la ruta; confirmar autoría por lote antes de release público.</x:v>
      </x:c>
    </x:row>
    <x:row r="620" ht="34" customHeight="1">
      <x:c r="A620" s="24" t="str">
        <x:v>INT-0616</x:v>
      </x:c>
      <x:c r="B620" s="24" t="str">
        <x:v>70da7caca8bf4fcaa8209c7dfbf07994</x:v>
      </x:c>
      <x:c r="C620" s="24" t="str">
        <x:v>StoreClosureCoordinatorCancellationTests.cs</x:v>
      </x:c>
      <x:c r="D620" s="24" t="str">
        <x:v>Code</x:v>
      </x:c>
      <x:c r="E620" s="24" t="str">
        <x:v>EditMode</x:v>
      </x:c>
      <x:c r="F620" s="24" t="str">
        <x:v>VRM Games / Blas Luis Rocha González</x:v>
      </x:c>
      <x:c r="G620" s="24" t="str">
        <x:v>VRM Games / Blas Luis Rocha González</x:v>
      </x:c>
      <x:c r="H620" s="24" t="str">
        <x:v>Internal project production</x:v>
      </x:c>
      <x:c r="I620" s="24" t="str">
        <x:v>2026 project timeline</x:v>
      </x:c>
      <x:c r="J620" s="24" t="str">
        <x:v>Internal project IP / authorship claim</x:v>
      </x:c>
      <x:c r="K620" s="24" t="str">
        <x:v>N/A</x:v>
      </x:c>
      <x:c r="L620" s="24" t="str">
        <x:v>Source package + repository path + hash</x:v>
      </x:c>
      <x:c r="M620" s="24" t="str">
        <x:v>380c939c3ffa6141ceb7590a2ab38c04872c9ca634c9fd4f8a6c6f165c556053</x:v>
      </x:c>
      <x:c r="N620" s="24" t="str">
        <x:v>Assets/_Project/Tests/EditMode/DayCycle/StoreClosureCoordinatorCancellationTests.cs</x:v>
      </x:c>
      <x:c r="O620" s="24" t="str">
        <x:v>70da7caca8bf4fcaa8209c7dfbf07994</x:v>
      </x:c>
      <x:c r="P620" s="24" t="str">
        <x:v>Sí</x:v>
      </x:c>
      <x:c r="Q620" s="24" t="str">
        <x:v>Condicionado a autoría/procedencia final</x:v>
      </x:c>
      <x:c r="R620" s="24" t="str">
        <x:v>Solo dentro del producto/build autorizado</x:v>
      </x:c>
      <x:c r="S620" s="24" t="str">
        <x:v>Crédito general del estudio; individual si aplica</x:v>
      </x:c>
      <x:c r="T620" s="24" t="str">
        <x:v>VRM Games / Blas Luis Rocha González</x:v>
      </x:c>
      <x:c r="U620" s="24" t="str">
        <x:v>CURRENT PROJECT ASSET</x:v>
      </x:c>
      <x:c r="V620" s="24" t="str">
        <x:v>CONDITIONALLY APPROVED</x:v>
      </x:c>
      <x:c r="W620" s="24" t="str">
        <x:v>Sí</x:v>
      </x:c>
      <x:c r="X620" s="24" t="str">
        <x:v>Low</x:v>
      </x:c>
      <x:c r="Y620" s="24" t="str">
        <x:v>Internal development; public candidate requires gate</x:v>
      </x:c>
      <x:c r="Z620" s="24" t="str">
        <x:v>H6 legal/content audit</x:v>
      </x:c>
      <x:c r="AA620" s="24" t="str">
        <x:v>VRM Games</x:v>
      </x:c>
      <x:c r="AB620" s="24" t="str">
        <x:v>No se detectó proveedor externo en la ruta; confirmar autoría por lote antes de release público.</x:v>
      </x:c>
    </x:row>
    <x:row r="621" ht="34" customHeight="1">
      <x:c r="A621" s="24" t="str">
        <x:v>INT-0617</x:v>
      </x:c>
      <x:c r="B621" s="24" t="str">
        <x:v>8da7a91abfe14380bfd4f82400cae54d</x:v>
      </x:c>
      <x:c r="C621" s="24" t="str">
        <x:v>StoreClosureCoordinatorProcessingTests.cs</x:v>
      </x:c>
      <x:c r="D621" s="24" t="str">
        <x:v>Code</x:v>
      </x:c>
      <x:c r="E621" s="24" t="str">
        <x:v>EditMode</x:v>
      </x:c>
      <x:c r="F621" s="24" t="str">
        <x:v>VRM Games / Blas Luis Rocha González</x:v>
      </x:c>
      <x:c r="G621" s="24" t="str">
        <x:v>VRM Games / Blas Luis Rocha González</x:v>
      </x:c>
      <x:c r="H621" s="24" t="str">
        <x:v>Internal project production</x:v>
      </x:c>
      <x:c r="I621" s="24" t="str">
        <x:v>2026 project timeline</x:v>
      </x:c>
      <x:c r="J621" s="24" t="str">
        <x:v>Internal project IP / authorship claim</x:v>
      </x:c>
      <x:c r="K621" s="24" t="str">
        <x:v>N/A</x:v>
      </x:c>
      <x:c r="L621" s="24" t="str">
        <x:v>Source package + repository path + hash</x:v>
      </x:c>
      <x:c r="M621" s="24" t="str">
        <x:v>e3a52f0642df10bbdcf60e1032371d6323934495286dfaca5373d52637f212d7</x:v>
      </x:c>
      <x:c r="N621" s="24" t="str">
        <x:v>Assets/_Project/Tests/EditMode/DayCycle/StoreClosureCoordinatorProcessingTests.cs</x:v>
      </x:c>
      <x:c r="O621" s="24" t="str">
        <x:v>8da7a91abfe14380bfd4f82400cae54d</x:v>
      </x:c>
      <x:c r="P621" s="24" t="str">
        <x:v>Sí</x:v>
      </x:c>
      <x:c r="Q621" s="24" t="str">
        <x:v>Condicionado a autoría/procedencia final</x:v>
      </x:c>
      <x:c r="R621" s="24" t="str">
        <x:v>Solo dentro del producto/build autorizado</x:v>
      </x:c>
      <x:c r="S621" s="24" t="str">
        <x:v>Crédito general del estudio; individual si aplica</x:v>
      </x:c>
      <x:c r="T621" s="24" t="str">
        <x:v>VRM Games / Blas Luis Rocha González</x:v>
      </x:c>
      <x:c r="U621" s="24" t="str">
        <x:v>CURRENT PROJECT ASSET</x:v>
      </x:c>
      <x:c r="V621" s="24" t="str">
        <x:v>CONDITIONALLY APPROVED</x:v>
      </x:c>
      <x:c r="W621" s="24" t="str">
        <x:v>Sí</x:v>
      </x:c>
      <x:c r="X621" s="24" t="str">
        <x:v>Low</x:v>
      </x:c>
      <x:c r="Y621" s="24" t="str">
        <x:v>Internal development; public candidate requires gate</x:v>
      </x:c>
      <x:c r="Z621" s="24" t="str">
        <x:v>H6 legal/content audit</x:v>
      </x:c>
      <x:c r="AA621" s="24" t="str">
        <x:v>VRM Games</x:v>
      </x:c>
      <x:c r="AB621" s="24" t="str">
        <x:v>No se detectó proveedor externo en la ruta; confirmar autoría por lote antes de release público.</x:v>
      </x:c>
    </x:row>
    <x:row r="622" ht="34" customHeight="1">
      <x:c r="A622" s="24" t="str">
        <x:v>INT-0618</x:v>
      </x:c>
      <x:c r="B622" s="24" t="str">
        <x:v>9649fd8826a24483918e204f5e280ba5</x:v>
      </x:c>
      <x:c r="C622" s="24" t="str">
        <x:v>StoreClosureSnapshotActivityTests.cs</x:v>
      </x:c>
      <x:c r="D622" s="24" t="str">
        <x:v>Code</x:v>
      </x:c>
      <x:c r="E622" s="24" t="str">
        <x:v>EditMode</x:v>
      </x:c>
      <x:c r="F622" s="24" t="str">
        <x:v>VRM Games / Blas Luis Rocha González</x:v>
      </x:c>
      <x:c r="G622" s="24" t="str">
        <x:v>VRM Games / Blas Luis Rocha González</x:v>
      </x:c>
      <x:c r="H622" s="24" t="str">
        <x:v>Internal project production</x:v>
      </x:c>
      <x:c r="I622" s="24" t="str">
        <x:v>2026 project timeline</x:v>
      </x:c>
      <x:c r="J622" s="24" t="str">
        <x:v>Internal project IP / authorship claim</x:v>
      </x:c>
      <x:c r="K622" s="24" t="str">
        <x:v>N/A</x:v>
      </x:c>
      <x:c r="L622" s="24" t="str">
        <x:v>Source package + repository path + hash</x:v>
      </x:c>
      <x:c r="M622" s="24" t="str">
        <x:v>77e434676277c98ddb29ab83d18f9b6b388be45fb6113a6ad4ec1cd4d8389243</x:v>
      </x:c>
      <x:c r="N622" s="24" t="str">
        <x:v>Assets/_Project/Tests/EditMode/DayCycle/StoreClosureSnapshotActivityTests.cs</x:v>
      </x:c>
      <x:c r="O622" s="24" t="str">
        <x:v>9649fd8826a24483918e204f5e280ba5</x:v>
      </x:c>
      <x:c r="P622" s="24" t="str">
        <x:v>Sí</x:v>
      </x:c>
      <x:c r="Q622" s="24" t="str">
        <x:v>Condicionado a autoría/procedencia final</x:v>
      </x:c>
      <x:c r="R622" s="24" t="str">
        <x:v>Solo dentro del producto/build autorizado</x:v>
      </x:c>
      <x:c r="S622" s="24" t="str">
        <x:v>Crédito general del estudio; individual si aplica</x:v>
      </x:c>
      <x:c r="T622" s="24" t="str">
        <x:v>VRM Games / Blas Luis Rocha González</x:v>
      </x:c>
      <x:c r="U622" s="24" t="str">
        <x:v>CURRENT PROJECT ASSET</x:v>
      </x:c>
      <x:c r="V622" s="24" t="str">
        <x:v>CONDITIONALLY APPROVED</x:v>
      </x:c>
      <x:c r="W622" s="24" t="str">
        <x:v>Sí</x:v>
      </x:c>
      <x:c r="X622" s="24" t="str">
        <x:v>Low</x:v>
      </x:c>
      <x:c r="Y622" s="24" t="str">
        <x:v>Internal development; public candidate requires gate</x:v>
      </x:c>
      <x:c r="Z622" s="24" t="str">
        <x:v>H6 legal/content audit</x:v>
      </x:c>
      <x:c r="AA622" s="24" t="str">
        <x:v>VRM Games</x:v>
      </x:c>
      <x:c r="AB622" s="24" t="str">
        <x:v>No se detectó proveedor externo en la ruta; confirmar autoría por lote antes de release público.</x:v>
      </x:c>
    </x:row>
    <x:row r="623" ht="34" customHeight="1">
      <x:c r="A623" s="24" t="str">
        <x:v>INT-0619</x:v>
      </x:c>
      <x:c r="B623" s="24" t="str">
        <x:v>db2a9e5faa784582b702e09e6f979db6</x:v>
      </x:c>
      <x:c r="C623" s="24" t="str">
        <x:v>StoreDayAuthoringTests.cs</x:v>
      </x:c>
      <x:c r="D623" s="24" t="str">
        <x:v>Code</x:v>
      </x:c>
      <x:c r="E623" s="24" t="str">
        <x:v>EditMode</x:v>
      </x:c>
      <x:c r="F623" s="24" t="str">
        <x:v>VRM Games / Blas Luis Rocha González</x:v>
      </x:c>
      <x:c r="G623" s="24" t="str">
        <x:v>VRM Games / Blas Luis Rocha González</x:v>
      </x:c>
      <x:c r="H623" s="24" t="str">
        <x:v>Internal project production</x:v>
      </x:c>
      <x:c r="I623" s="24" t="str">
        <x:v>2026 project timeline</x:v>
      </x:c>
      <x:c r="J623" s="24" t="str">
        <x:v>Internal project IP / authorship claim</x:v>
      </x:c>
      <x:c r="K623" s="24" t="str">
        <x:v>N/A</x:v>
      </x:c>
      <x:c r="L623" s="24" t="str">
        <x:v>Source package + repository path + hash</x:v>
      </x:c>
      <x:c r="M623" s="24" t="str">
        <x:v>78c41c85c8fe7267966eaec62b9a1eddfd928394ec907dc9d62cb3c9836161f1</x:v>
      </x:c>
      <x:c r="N623" s="24" t="str">
        <x:v>Assets/_Project/Tests/EditMode/DayCycle/StoreDayAuthoringTests.cs</x:v>
      </x:c>
      <x:c r="O623" s="24" t="str">
        <x:v>db2a9e5faa784582b702e09e6f979db6</x:v>
      </x:c>
      <x:c r="P623" s="24" t="str">
        <x:v>Sí</x:v>
      </x:c>
      <x:c r="Q623" s="24" t="str">
        <x:v>Condicionado a autoría/procedencia final</x:v>
      </x:c>
      <x:c r="R623" s="24" t="str">
        <x:v>Solo dentro del producto/build autorizado</x:v>
      </x:c>
      <x:c r="S623" s="24" t="str">
        <x:v>Crédito general del estudio; individual si aplica</x:v>
      </x:c>
      <x:c r="T623" s="24" t="str">
        <x:v>VRM Games / Blas Luis Rocha González</x:v>
      </x:c>
      <x:c r="U623" s="24" t="str">
        <x:v>CURRENT PROJECT ASSET</x:v>
      </x:c>
      <x:c r="V623" s="24" t="str">
        <x:v>CONDITIONALLY APPROVED</x:v>
      </x:c>
      <x:c r="W623" s="24" t="str">
        <x:v>Sí</x:v>
      </x:c>
      <x:c r="X623" s="24" t="str">
        <x:v>Low</x:v>
      </x:c>
      <x:c r="Y623" s="24" t="str">
        <x:v>Internal development; public candidate requires gate</x:v>
      </x:c>
      <x:c r="Z623" s="24" t="str">
        <x:v>H6 legal/content audit</x:v>
      </x:c>
      <x:c r="AA623" s="24" t="str">
        <x:v>VRM Games</x:v>
      </x:c>
      <x:c r="AB623" s="24" t="str">
        <x:v>No se detectó proveedor externo en la ruta; confirmar autoría por lote antes de release público.</x:v>
      </x:c>
    </x:row>
    <x:row r="624" ht="34" customHeight="1">
      <x:c r="A624" s="24" t="str">
        <x:v>INT-0620</x:v>
      </x:c>
      <x:c r="B624" s="24" t="str">
        <x:v>01135902b34b47d796e9159fcb93dd0b</x:v>
      </x:c>
      <x:c r="C624" s="24" t="str">
        <x:v>StoreDayServiceTests.cs</x:v>
      </x:c>
      <x:c r="D624" s="24" t="str">
        <x:v>Code</x:v>
      </x:c>
      <x:c r="E624" s="24" t="str">
        <x:v>EditMode</x:v>
      </x:c>
      <x:c r="F624" s="24" t="str">
        <x:v>VRM Games / Blas Luis Rocha González</x:v>
      </x:c>
      <x:c r="G624" s="24" t="str">
        <x:v>VRM Games / Blas Luis Rocha González</x:v>
      </x:c>
      <x:c r="H624" s="24" t="str">
        <x:v>Internal project production</x:v>
      </x:c>
      <x:c r="I624" s="24" t="str">
        <x:v>2026 project timeline</x:v>
      </x:c>
      <x:c r="J624" s="24" t="str">
        <x:v>Internal project IP / authorship claim</x:v>
      </x:c>
      <x:c r="K624" s="24" t="str">
        <x:v>N/A</x:v>
      </x:c>
      <x:c r="L624" s="24" t="str">
        <x:v>Source package + repository path + hash</x:v>
      </x:c>
      <x:c r="M624" s="24" t="str">
        <x:v>4d0d646ae889a9eaa8f5204e2b5c6d0a576b00926ea91372f146e297b68185af</x:v>
      </x:c>
      <x:c r="N624" s="24" t="str">
        <x:v>Assets/_Project/Tests/EditMode/DayCycle/StoreDayServiceTests.cs</x:v>
      </x:c>
      <x:c r="O624" s="24" t="str">
        <x:v>01135902b34b47d796e9159fcb93dd0b</x:v>
      </x:c>
      <x:c r="P624" s="24" t="str">
        <x:v>Sí</x:v>
      </x:c>
      <x:c r="Q624" s="24" t="str">
        <x:v>Condicionado a autoría/procedencia final</x:v>
      </x:c>
      <x:c r="R624" s="24" t="str">
        <x:v>Solo dentro del producto/build autorizado</x:v>
      </x:c>
      <x:c r="S624" s="24" t="str">
        <x:v>Crédito general del estudio; individual si aplica</x:v>
      </x:c>
      <x:c r="T624" s="24" t="str">
        <x:v>VRM Games / Blas Luis Rocha González</x:v>
      </x:c>
      <x:c r="U624" s="24" t="str">
        <x:v>CURRENT PROJECT ASSET</x:v>
      </x:c>
      <x:c r="V624" s="24" t="str">
        <x:v>CONDITIONALLY APPROVED</x:v>
      </x:c>
      <x:c r="W624" s="24" t="str">
        <x:v>Sí</x:v>
      </x:c>
      <x:c r="X624" s="24" t="str">
        <x:v>Low</x:v>
      </x:c>
      <x:c r="Y624" s="24" t="str">
        <x:v>Internal development; public candidate requires gate</x:v>
      </x:c>
      <x:c r="Z624" s="24" t="str">
        <x:v>H6 legal/content audit</x:v>
      </x:c>
      <x:c r="AA624" s="24" t="str">
        <x:v>VRM Games</x:v>
      </x:c>
      <x:c r="AB624" s="24" t="str">
        <x:v>No se detectó proveedor externo en la ruta; confirmar autoría por lote antes de release público.</x:v>
      </x:c>
    </x:row>
    <x:row r="625" ht="34" customHeight="1">
      <x:c r="A625" s="24" t="str">
        <x:v>INT-0621</x:v>
      </x:c>
      <x:c r="B625" s="24" t="str">
        <x:v>200d0db889564718941e0329141bed52</x:v>
      </x:c>
      <x:c r="C625" s="24" t="str">
        <x:v>StoreDayTransitionTests.cs</x:v>
      </x:c>
      <x:c r="D625" s="24" t="str">
        <x:v>Code</x:v>
      </x:c>
      <x:c r="E625" s="24" t="str">
        <x:v>EditMode</x:v>
      </x:c>
      <x:c r="F625" s="24" t="str">
        <x:v>VRM Games / Blas Luis Rocha González</x:v>
      </x:c>
      <x:c r="G625" s="24" t="str">
        <x:v>VRM Games / Blas Luis Rocha González</x:v>
      </x:c>
      <x:c r="H625" s="24" t="str">
        <x:v>Internal project production</x:v>
      </x:c>
      <x:c r="I625" s="24" t="str">
        <x:v>2026 project timeline</x:v>
      </x:c>
      <x:c r="J625" s="24" t="str">
        <x:v>Internal project IP / authorship claim</x:v>
      </x:c>
      <x:c r="K625" s="24" t="str">
        <x:v>N/A</x:v>
      </x:c>
      <x:c r="L625" s="24" t="str">
        <x:v>Source package + repository path + hash</x:v>
      </x:c>
      <x:c r="M625" s="24" t="str">
        <x:v>390bc3eb359042b54b90b5a7d9f8f5ee48aae8d971ca70a481d0cb2805728d6f</x:v>
      </x:c>
      <x:c r="N625" s="24" t="str">
        <x:v>Assets/_Project/Tests/EditMode/DayCycle/StoreDayTransitionTests.cs</x:v>
      </x:c>
      <x:c r="O625" s="24" t="str">
        <x:v>200d0db889564718941e0329141bed52</x:v>
      </x:c>
      <x:c r="P625" s="24" t="str">
        <x:v>Sí</x:v>
      </x:c>
      <x:c r="Q625" s="24" t="str">
        <x:v>Condicionado a autoría/procedencia final</x:v>
      </x:c>
      <x:c r="R625" s="24" t="str">
        <x:v>Solo dentro del producto/build autorizado</x:v>
      </x:c>
      <x:c r="S625" s="24" t="str">
        <x:v>Crédito general del estudio; individual si aplica</x:v>
      </x:c>
      <x:c r="T625" s="24" t="str">
        <x:v>VRM Games / Blas Luis Rocha González</x:v>
      </x:c>
      <x:c r="U625" s="24" t="str">
        <x:v>CURRENT PROJECT ASSET</x:v>
      </x:c>
      <x:c r="V625" s="24" t="str">
        <x:v>CONDITIONALLY APPROVED</x:v>
      </x:c>
      <x:c r="W625" s="24" t="str">
        <x:v>Sí</x:v>
      </x:c>
      <x:c r="X625" s="24" t="str">
        <x:v>Low</x:v>
      </x:c>
      <x:c r="Y625" s="24" t="str">
        <x:v>Internal development; public candidate requires gate</x:v>
      </x:c>
      <x:c r="Z625" s="24" t="str">
        <x:v>H6 legal/content audit</x:v>
      </x:c>
      <x:c r="AA625" s="24" t="str">
        <x:v>VRM Games</x:v>
      </x:c>
      <x:c r="AB625" s="24" t="str">
        <x:v>No se detectó proveedor externo en la ruta; confirmar autoría por lote antes de release público.</x:v>
      </x:c>
    </x:row>
    <x:row r="626" ht="34" customHeight="1">
      <x:c r="A626" s="24" t="str">
        <x:v>INT-0622</x:v>
      </x:c>
      <x:c r="B626" s="24" t="str">
        <x:v>461a71bf1b274441a1731206d8c959c8</x:v>
      </x:c>
      <x:c r="C626" s="24" t="str">
        <x:v>StoreDayValuePolicyTests.cs</x:v>
      </x:c>
      <x:c r="D626" s="24" t="str">
        <x:v>Code</x:v>
      </x:c>
      <x:c r="E626" s="24" t="str">
        <x:v>EditMode</x:v>
      </x:c>
      <x:c r="F626" s="24" t="str">
        <x:v>VRM Games / Blas Luis Rocha González</x:v>
      </x:c>
      <x:c r="G626" s="24" t="str">
        <x:v>VRM Games / Blas Luis Rocha González</x:v>
      </x:c>
      <x:c r="H626" s="24" t="str">
        <x:v>Internal project production</x:v>
      </x:c>
      <x:c r="I626" s="24" t="str">
        <x:v>2026 project timeline</x:v>
      </x:c>
      <x:c r="J626" s="24" t="str">
        <x:v>Internal project IP / authorship claim</x:v>
      </x:c>
      <x:c r="K626" s="24" t="str">
        <x:v>N/A</x:v>
      </x:c>
      <x:c r="L626" s="24" t="str">
        <x:v>Source package + repository path + hash</x:v>
      </x:c>
      <x:c r="M626" s="24" t="str">
        <x:v>aefe9ea501a628abe0721329a08bbb4681cc2491ac5f1d564ebd6775616c5b2e</x:v>
      </x:c>
      <x:c r="N626" s="24" t="str">
        <x:v>Assets/_Project/Tests/EditMode/DayCycle/StoreDayValuePolicyTests.cs</x:v>
      </x:c>
      <x:c r="O626" s="24" t="str">
        <x:v>461a71bf1b274441a1731206d8c959c8</x:v>
      </x:c>
      <x:c r="P626" s="24" t="str">
        <x:v>Sí</x:v>
      </x:c>
      <x:c r="Q626" s="24" t="str">
        <x:v>Condicionado a autoría/procedencia final</x:v>
      </x:c>
      <x:c r="R626" s="24" t="str">
        <x:v>Solo dentro del producto/build autorizado</x:v>
      </x:c>
      <x:c r="S626" s="24" t="str">
        <x:v>Crédito general del estudio; individual si aplica</x:v>
      </x:c>
      <x:c r="T626" s="24" t="str">
        <x:v>VRM Games / Blas Luis Rocha González</x:v>
      </x:c>
      <x:c r="U626" s="24" t="str">
        <x:v>CURRENT PROJECT ASSET</x:v>
      </x:c>
      <x:c r="V626" s="24" t="str">
        <x:v>CONDITIONALLY APPROVED</x:v>
      </x:c>
      <x:c r="W626" s="24" t="str">
        <x:v>Sí</x:v>
      </x:c>
      <x:c r="X626" s="24" t="str">
        <x:v>Low</x:v>
      </x:c>
      <x:c r="Y626" s="24" t="str">
        <x:v>Internal development; public candidate requires gate</x:v>
      </x:c>
      <x:c r="Z626" s="24" t="str">
        <x:v>H6 legal/content audit</x:v>
      </x:c>
      <x:c r="AA626" s="24" t="str">
        <x:v>VRM Games</x:v>
      </x:c>
      <x:c r="AB626" s="24" t="str">
        <x:v>No se detectó proveedor externo en la ruta; confirmar autoría por lote antes de release público.</x:v>
      </x:c>
    </x:row>
    <x:row r="627" ht="34" customHeight="1">
      <x:c r="A627" s="24" t="str">
        <x:v>INT-0623</x:v>
      </x:c>
      <x:c r="B627" s="24" t="str">
        <x:v>d7caef89f76d4cd88666070ba2fdebae</x:v>
      </x:c>
      <x:c r="C627" s="24" t="str">
        <x:v>DisplayAuthoringAssetTests.cs</x:v>
      </x:c>
      <x:c r="D627" s="24" t="str">
        <x:v>Code</x:v>
      </x:c>
      <x:c r="E627" s="24" t="str">
        <x:v>EditMode</x:v>
      </x:c>
      <x:c r="F627" s="24" t="str">
        <x:v>VRM Games / Blas Luis Rocha González</x:v>
      </x:c>
      <x:c r="G627" s="24" t="str">
        <x:v>VRM Games / Blas Luis Rocha González</x:v>
      </x:c>
      <x:c r="H627" s="24" t="str">
        <x:v>Internal project production</x:v>
      </x:c>
      <x:c r="I627" s="24" t="str">
        <x:v>2026 project timeline</x:v>
      </x:c>
      <x:c r="J627" s="24" t="str">
        <x:v>Internal project IP / authorship claim</x:v>
      </x:c>
      <x:c r="K627" s="24" t="str">
        <x:v>N/A</x:v>
      </x:c>
      <x:c r="L627" s="24" t="str">
        <x:v>Source package + repository path + hash</x:v>
      </x:c>
      <x:c r="M627" s="24" t="str">
        <x:v>038aaac87210053c0f76f6d98e0614d86ce4058bb7d463612cc5cc0c659a76bc</x:v>
      </x:c>
      <x:c r="N627" s="24" t="str">
        <x:v>Assets/_Project/Tests/EditMode/Displays/DisplayAuthoringAssetTests.cs</x:v>
      </x:c>
      <x:c r="O627" s="24" t="str">
        <x:v>d7caef89f76d4cd88666070ba2fdebae</x:v>
      </x:c>
      <x:c r="P627" s="24" t="str">
        <x:v>Sí</x:v>
      </x:c>
      <x:c r="Q627" s="24" t="str">
        <x:v>Condicionado a autoría/procedencia final</x:v>
      </x:c>
      <x:c r="R627" s="24" t="str">
        <x:v>Solo dentro del producto/build autorizado</x:v>
      </x:c>
      <x:c r="S627" s="24" t="str">
        <x:v>Crédito general del estudio; individual si aplica</x:v>
      </x:c>
      <x:c r="T627" s="24" t="str">
        <x:v>VRM Games / Blas Luis Rocha González</x:v>
      </x:c>
      <x:c r="U627" s="24" t="str">
        <x:v>CURRENT PROJECT ASSET</x:v>
      </x:c>
      <x:c r="V627" s="24" t="str">
        <x:v>CONDITIONALLY APPROVED</x:v>
      </x:c>
      <x:c r="W627" s="24" t="str">
        <x:v>Sí</x:v>
      </x:c>
      <x:c r="X627" s="24" t="str">
        <x:v>Low</x:v>
      </x:c>
      <x:c r="Y627" s="24" t="str">
        <x:v>Internal development; public candidate requires gate</x:v>
      </x:c>
      <x:c r="Z627" s="24" t="str">
        <x:v>H6 legal/content audit</x:v>
      </x:c>
      <x:c r="AA627" s="24" t="str">
        <x:v>VRM Games</x:v>
      </x:c>
      <x:c r="AB627" s="24" t="str">
        <x:v>No se detectó proveedor externo en la ruta; confirmar autoría por lote antes de release público.</x:v>
      </x:c>
    </x:row>
    <x:row r="628" ht="34" customHeight="1">
      <x:c r="A628" s="24" t="str">
        <x:v>INT-0624</x:v>
      </x:c>
      <x:c r="B628" s="24" t="str">
        <x:v>5d726d95888442e6bbceb224816043f9</x:v>
      </x:c>
      <x:c r="C628" s="24" t="str">
        <x:v>DisplayDefinitionTests.cs</x:v>
      </x:c>
      <x:c r="D628" s="24" t="str">
        <x:v>Code</x:v>
      </x:c>
      <x:c r="E628" s="24" t="str">
        <x:v>EditMode</x:v>
      </x:c>
      <x:c r="F628" s="24" t="str">
        <x:v>VRM Games / Blas Luis Rocha González</x:v>
      </x:c>
      <x:c r="G628" s="24" t="str">
        <x:v>VRM Games / Blas Luis Rocha González</x:v>
      </x:c>
      <x:c r="H628" s="24" t="str">
        <x:v>Internal project production</x:v>
      </x:c>
      <x:c r="I628" s="24" t="str">
        <x:v>2026 project timeline</x:v>
      </x:c>
      <x:c r="J628" s="24" t="str">
        <x:v>Internal project IP / authorship claim</x:v>
      </x:c>
      <x:c r="K628" s="24" t="str">
        <x:v>N/A</x:v>
      </x:c>
      <x:c r="L628" s="24" t="str">
        <x:v>Source package + repository path + hash</x:v>
      </x:c>
      <x:c r="M628" s="24" t="str">
        <x:v>0ccc0d1e5d5e7b126cfb5b3334d9062b978e59077cfb29583cad4a9da6c5d90d</x:v>
      </x:c>
      <x:c r="N628" s="24" t="str">
        <x:v>Assets/_Project/Tests/EditMode/Displays/DisplayDefinitionTests.cs</x:v>
      </x:c>
      <x:c r="O628" s="24" t="str">
        <x:v>5d726d95888442e6bbceb224816043f9</x:v>
      </x:c>
      <x:c r="P628" s="24" t="str">
        <x:v>Sí</x:v>
      </x:c>
      <x:c r="Q628" s="24" t="str">
        <x:v>Condicionado a autoría/procedencia final</x:v>
      </x:c>
      <x:c r="R628" s="24" t="str">
        <x:v>Solo dentro del producto/build autorizado</x:v>
      </x:c>
      <x:c r="S628" s="24" t="str">
        <x:v>Crédito general del estudio; individual si aplica</x:v>
      </x:c>
      <x:c r="T628" s="24" t="str">
        <x:v>VRM Games / Blas Luis Rocha González</x:v>
      </x:c>
      <x:c r="U628" s="24" t="str">
        <x:v>CURRENT PROJECT ASSET</x:v>
      </x:c>
      <x:c r="V628" s="24" t="str">
        <x:v>CONDITIONALLY APPROVED</x:v>
      </x:c>
      <x:c r="W628" s="24" t="str">
        <x:v>Sí</x:v>
      </x:c>
      <x:c r="X628" s="24" t="str">
        <x:v>Low</x:v>
      </x:c>
      <x:c r="Y628" s="24" t="str">
        <x:v>Internal development; public candidate requires gate</x:v>
      </x:c>
      <x:c r="Z628" s="24" t="str">
        <x:v>H6 legal/content audit</x:v>
      </x:c>
      <x:c r="AA628" s="24" t="str">
        <x:v>VRM Games</x:v>
      </x:c>
      <x:c r="AB628" s="24" t="str">
        <x:v>No se detectó proveedor externo en la ruta; confirmar autoría por lote antes de release público.</x:v>
      </x:c>
    </x:row>
    <x:row r="629" ht="34" customHeight="1">
      <x:c r="A629" s="24" t="str">
        <x:v>INT-0625</x:v>
      </x:c>
      <x:c r="B629" s="24" t="str">
        <x:v>00e346d307aa45998aac2785b15cf869</x:v>
      </x:c>
      <x:c r="C629" s="24" t="str">
        <x:v>DisplayIdentifierTests.cs</x:v>
      </x:c>
      <x:c r="D629" s="24" t="str">
        <x:v>Code</x:v>
      </x:c>
      <x:c r="E629" s="24" t="str">
        <x:v>EditMode</x:v>
      </x:c>
      <x:c r="F629" s="24" t="str">
        <x:v>VRM Games / Blas Luis Rocha González</x:v>
      </x:c>
      <x:c r="G629" s="24" t="str">
        <x:v>VRM Games / Blas Luis Rocha González</x:v>
      </x:c>
      <x:c r="H629" s="24" t="str">
        <x:v>Internal project production</x:v>
      </x:c>
      <x:c r="I629" s="24" t="str">
        <x:v>2026 project timeline</x:v>
      </x:c>
      <x:c r="J629" s="24" t="str">
        <x:v>Internal project IP / authorship claim</x:v>
      </x:c>
      <x:c r="K629" s="24" t="str">
        <x:v>N/A</x:v>
      </x:c>
      <x:c r="L629" s="24" t="str">
        <x:v>Source package + repository path + hash</x:v>
      </x:c>
      <x:c r="M629" s="24" t="str">
        <x:v>4c8a8007792d8f7a4a1a17430da67ca5d32e18d6578dba3347e51c75021eea3e</x:v>
      </x:c>
      <x:c r="N629" s="24" t="str">
        <x:v>Assets/_Project/Tests/EditMode/Displays/DisplayIdentifierTests.cs</x:v>
      </x:c>
      <x:c r="O629" s="24" t="str">
        <x:v>00e346d307aa45998aac2785b15cf869</x:v>
      </x:c>
      <x:c r="P629" s="24" t="str">
        <x:v>Sí</x:v>
      </x:c>
      <x:c r="Q629" s="24" t="str">
        <x:v>Condicionado a autoría/procedencia final</x:v>
      </x:c>
      <x:c r="R629" s="24" t="str">
        <x:v>Solo dentro del producto/build autorizado</x:v>
      </x:c>
      <x:c r="S629" s="24" t="str">
        <x:v>Crédito general del estudio; individual si aplica</x:v>
      </x:c>
      <x:c r="T629" s="24" t="str">
        <x:v>VRM Games / Blas Luis Rocha González</x:v>
      </x:c>
      <x:c r="U629" s="24" t="str">
        <x:v>CURRENT PROJECT ASSET</x:v>
      </x:c>
      <x:c r="V629" s="24" t="str">
        <x:v>CONDITIONALLY APPROVED</x:v>
      </x:c>
      <x:c r="W629" s="24" t="str">
        <x:v>Sí</x:v>
      </x:c>
      <x:c r="X629" s="24" t="str">
        <x:v>Low</x:v>
      </x:c>
      <x:c r="Y629" s="24" t="str">
        <x:v>Internal development; public candidate requires gate</x:v>
      </x:c>
      <x:c r="Z629" s="24" t="str">
        <x:v>H6 legal/content audit</x:v>
      </x:c>
      <x:c r="AA629" s="24" t="str">
        <x:v>VRM Games</x:v>
      </x:c>
      <x:c r="AB629" s="24" t="str">
        <x:v>No se detectó proveedor externo en la ruta; confirmar autoría por lote antes de release público.</x:v>
      </x:c>
    </x:row>
    <x:row r="630" ht="34" customHeight="1">
      <x:c r="A630" s="24" t="str">
        <x:v>INT-0626</x:v>
      </x:c>
      <x:c r="B630" s="24" t="str">
        <x:v>f3f9530b3f96465cbf3737e0edc7f4c5</x:v>
      </x:c>
      <x:c r="C630" s="24" t="str">
        <x:v>DisplayInstanceRegistryTests.cs</x:v>
      </x:c>
      <x:c r="D630" s="24" t="str">
        <x:v>Code</x:v>
      </x:c>
      <x:c r="E630" s="24" t="str">
        <x:v>EditMode</x:v>
      </x:c>
      <x:c r="F630" s="24" t="str">
        <x:v>VRM Games / Blas Luis Rocha González</x:v>
      </x:c>
      <x:c r="G630" s="24" t="str">
        <x:v>VRM Games / Blas Luis Rocha González</x:v>
      </x:c>
      <x:c r="H630" s="24" t="str">
        <x:v>Internal project production</x:v>
      </x:c>
      <x:c r="I630" s="24" t="str">
        <x:v>2026 project timeline</x:v>
      </x:c>
      <x:c r="J630" s="24" t="str">
        <x:v>Internal project IP / authorship claim</x:v>
      </x:c>
      <x:c r="K630" s="24" t="str">
        <x:v>N/A</x:v>
      </x:c>
      <x:c r="L630" s="24" t="str">
        <x:v>Source package + repository path + hash</x:v>
      </x:c>
      <x:c r="M630" s="24" t="str">
        <x:v>7d0f3378bedd47d22af3e5c49316848a916f63f8082f2b158dc2438d6d64d681</x:v>
      </x:c>
      <x:c r="N630" s="24" t="str">
        <x:v>Assets/_Project/Tests/EditMode/Displays/DisplayInstanceRegistryTests.cs</x:v>
      </x:c>
      <x:c r="O630" s="24" t="str">
        <x:v>f3f9530b3f96465cbf3737e0edc7f4c5</x:v>
      </x:c>
      <x:c r="P630" s="24" t="str">
        <x:v>Sí</x:v>
      </x:c>
      <x:c r="Q630" s="24" t="str">
        <x:v>Condicionado a autoría/procedencia final</x:v>
      </x:c>
      <x:c r="R630" s="24" t="str">
        <x:v>Solo dentro del producto/build autorizado</x:v>
      </x:c>
      <x:c r="S630" s="24" t="str">
        <x:v>Crédito general del estudio; individual si aplica</x:v>
      </x:c>
      <x:c r="T630" s="24" t="str">
        <x:v>VRM Games / Blas Luis Rocha González</x:v>
      </x:c>
      <x:c r="U630" s="24" t="str">
        <x:v>CURRENT PROJECT ASSET</x:v>
      </x:c>
      <x:c r="V630" s="24" t="str">
        <x:v>CONDITIONALLY APPROVED</x:v>
      </x:c>
      <x:c r="W630" s="24" t="str">
        <x:v>Sí</x:v>
      </x:c>
      <x:c r="X630" s="24" t="str">
        <x:v>Low</x:v>
      </x:c>
      <x:c r="Y630" s="24" t="str">
        <x:v>Internal development; public candidate requires gate</x:v>
      </x:c>
      <x:c r="Z630" s="24" t="str">
        <x:v>H6 legal/content audit</x:v>
      </x:c>
      <x:c r="AA630" s="24" t="str">
        <x:v>VRM Games</x:v>
      </x:c>
      <x:c r="AB630" s="24" t="str">
        <x:v>No se detectó proveedor externo en la ruta; confirmar autoría por lote antes de release público.</x:v>
      </x:c>
    </x:row>
    <x:row r="631" ht="34" customHeight="1">
      <x:c r="A631" s="24" t="str">
        <x:v>INT-0627</x:v>
      </x:c>
      <x:c r="B631" s="24" t="str">
        <x:v>221eded9b9e245a69207eee5317344a7</x:v>
      </x:c>
      <x:c r="C631" s="24" t="str">
        <x:v>DisplayInstanceTests.cs</x:v>
      </x:c>
      <x:c r="D631" s="24" t="str">
        <x:v>Code</x:v>
      </x:c>
      <x:c r="E631" s="24" t="str">
        <x:v>EditMode</x:v>
      </x:c>
      <x:c r="F631" s="24" t="str">
        <x:v>VRM Games / Blas Luis Rocha González</x:v>
      </x:c>
      <x:c r="G631" s="24" t="str">
        <x:v>VRM Games / Blas Luis Rocha González</x:v>
      </x:c>
      <x:c r="H631" s="24" t="str">
        <x:v>Internal project production</x:v>
      </x:c>
      <x:c r="I631" s="24" t="str">
        <x:v>2026 project timeline</x:v>
      </x:c>
      <x:c r="J631" s="24" t="str">
        <x:v>Internal project IP / authorship claim</x:v>
      </x:c>
      <x:c r="K631" s="24" t="str">
        <x:v>N/A</x:v>
      </x:c>
      <x:c r="L631" s="24" t="str">
        <x:v>Source package + repository path + hash</x:v>
      </x:c>
      <x:c r="M631" s="24" t="str">
        <x:v>da355243888402a70fb711c631ce76b0e1c56aacef38370d0b57ac6c844a27fa</x:v>
      </x:c>
      <x:c r="N631" s="24" t="str">
        <x:v>Assets/_Project/Tests/EditMode/Displays/DisplayInstanceTests.cs</x:v>
      </x:c>
      <x:c r="O631" s="24" t="str">
        <x:v>221eded9b9e245a69207eee5317344a7</x:v>
      </x:c>
      <x:c r="P631" s="24" t="str">
        <x:v>Sí</x:v>
      </x:c>
      <x:c r="Q631" s="24" t="str">
        <x:v>Condicionado a autoría/procedencia final</x:v>
      </x:c>
      <x:c r="R631" s="24" t="str">
        <x:v>Solo dentro del producto/build autorizado</x:v>
      </x:c>
      <x:c r="S631" s="24" t="str">
        <x:v>Crédito general del estudio; individual si aplica</x:v>
      </x:c>
      <x:c r="T631" s="24" t="str">
        <x:v>VRM Games / Blas Luis Rocha González</x:v>
      </x:c>
      <x:c r="U631" s="24" t="str">
        <x:v>CURRENT PROJECT ASSET</x:v>
      </x:c>
      <x:c r="V631" s="24" t="str">
        <x:v>CONDITIONALLY APPROVED</x:v>
      </x:c>
      <x:c r="W631" s="24" t="str">
        <x:v>Sí</x:v>
      </x:c>
      <x:c r="X631" s="24" t="str">
        <x:v>Low</x:v>
      </x:c>
      <x:c r="Y631" s="24" t="str">
        <x:v>Internal development; public candidate requires gate</x:v>
      </x:c>
      <x:c r="Z631" s="24" t="str">
        <x:v>H6 legal/content audit</x:v>
      </x:c>
      <x:c r="AA631" s="24" t="str">
        <x:v>VRM Games</x:v>
      </x:c>
      <x:c r="AB631" s="24" t="str">
        <x:v>No se detectó proveedor externo en la ruta; confirmar autoría por lote antes de release público.</x:v>
      </x:c>
    </x:row>
    <x:row r="632" ht="34" customHeight="1">
      <x:c r="A632" s="24" t="str">
        <x:v>INT-0628</x:v>
      </x:c>
      <x:c r="B632" s="24" t="str">
        <x:v>bd780c0c20a646b6bc1080b4a0300e8c</x:v>
      </x:c>
      <x:c r="C632" s="24" t="str">
        <x:v>DisplayRestockServiceTests.cs</x:v>
      </x:c>
      <x:c r="D632" s="24" t="str">
        <x:v>Code</x:v>
      </x:c>
      <x:c r="E632" s="24" t="str">
        <x:v>EditMode</x:v>
      </x:c>
      <x:c r="F632" s="24" t="str">
        <x:v>VRM Games / Blas Luis Rocha González</x:v>
      </x:c>
      <x:c r="G632" s="24" t="str">
        <x:v>VRM Games / Blas Luis Rocha González</x:v>
      </x:c>
      <x:c r="H632" s="24" t="str">
        <x:v>Internal project production</x:v>
      </x:c>
      <x:c r="I632" s="24" t="str">
        <x:v>2026 project timeline</x:v>
      </x:c>
      <x:c r="J632" s="24" t="str">
        <x:v>Internal project IP / authorship claim</x:v>
      </x:c>
      <x:c r="K632" s="24" t="str">
        <x:v>N/A</x:v>
      </x:c>
      <x:c r="L632" s="24" t="str">
        <x:v>Source package + repository path + hash</x:v>
      </x:c>
      <x:c r="M632" s="24" t="str">
        <x:v>bdb2e53e78e9e7f99c6c03ede9b53855b7fe3fdc948a4d75a2ef7515b737b6d9</x:v>
      </x:c>
      <x:c r="N632" s="24" t="str">
        <x:v>Assets/_Project/Tests/EditMode/Displays/DisplayRestockServiceTests.cs</x:v>
      </x:c>
      <x:c r="O632" s="24" t="str">
        <x:v>bd780c0c20a646b6bc1080b4a0300e8c</x:v>
      </x:c>
      <x:c r="P632" s="24" t="str">
        <x:v>Sí</x:v>
      </x:c>
      <x:c r="Q632" s="24" t="str">
        <x:v>Condicionado a autoría/procedencia final</x:v>
      </x:c>
      <x:c r="R632" s="24" t="str">
        <x:v>Solo dentro del producto/build autorizado</x:v>
      </x:c>
      <x:c r="S632" s="24" t="str">
        <x:v>Crédito general del estudio; individual si aplica</x:v>
      </x:c>
      <x:c r="T632" s="24" t="str">
        <x:v>VRM Games / Blas Luis Rocha González</x:v>
      </x:c>
      <x:c r="U632" s="24" t="str">
        <x:v>CURRENT PROJECT ASSET</x:v>
      </x:c>
      <x:c r="V632" s="24" t="str">
        <x:v>CONDITIONALLY APPROVED</x:v>
      </x:c>
      <x:c r="W632" s="24" t="str">
        <x:v>Sí</x:v>
      </x:c>
      <x:c r="X632" s="24" t="str">
        <x:v>Low</x:v>
      </x:c>
      <x:c r="Y632" s="24" t="str">
        <x:v>Internal development; public candidate requires gate</x:v>
      </x:c>
      <x:c r="Z632" s="24" t="str">
        <x:v>H6 legal/content audit</x:v>
      </x:c>
      <x:c r="AA632" s="24" t="str">
        <x:v>VRM Games</x:v>
      </x:c>
      <x:c r="AB632" s="24" t="str">
        <x:v>No se detectó proveedor externo en la ruta; confirmar autoría por lote antes de release público.</x:v>
      </x:c>
    </x:row>
    <x:row r="633" ht="34" customHeight="1">
      <x:c r="A633" s="24" t="str">
        <x:v>INT-0629</x:v>
      </x:c>
      <x:c r="B633" s="24" t="str">
        <x:v>c0534769880c45c6969c522ee297d630</x:v>
      </x:c>
      <x:c r="C633" s="24" t="str">
        <x:v>DisplayReturnStockServiceTests.cs</x:v>
      </x:c>
      <x:c r="D633" s="24" t="str">
        <x:v>Code</x:v>
      </x:c>
      <x:c r="E633" s="24" t="str">
        <x:v>EditMode</x:v>
      </x:c>
      <x:c r="F633" s="24" t="str">
        <x:v>VRM Games / Blas Luis Rocha González</x:v>
      </x:c>
      <x:c r="G633" s="24" t="str">
        <x:v>VRM Games / Blas Luis Rocha González</x:v>
      </x:c>
      <x:c r="H633" s="24" t="str">
        <x:v>Internal project production</x:v>
      </x:c>
      <x:c r="I633" s="24" t="str">
        <x:v>2026 project timeline</x:v>
      </x:c>
      <x:c r="J633" s="24" t="str">
        <x:v>Internal project IP / authorship claim</x:v>
      </x:c>
      <x:c r="K633" s="24" t="str">
        <x:v>N/A</x:v>
      </x:c>
      <x:c r="L633" s="24" t="str">
        <x:v>Source package + repository path + hash</x:v>
      </x:c>
      <x:c r="M633" s="24" t="str">
        <x:v>58d675727d1a2d2c2b296517adcf5607b8405c49d2193350dc0fd1f76ca5a65e</x:v>
      </x:c>
      <x:c r="N633" s="24" t="str">
        <x:v>Assets/_Project/Tests/EditMode/Displays/DisplayReturnStockServiceTests.cs</x:v>
      </x:c>
      <x:c r="O633" s="24" t="str">
        <x:v>c0534769880c45c6969c522ee297d630</x:v>
      </x:c>
      <x:c r="P633" s="24" t="str">
        <x:v>Sí</x:v>
      </x:c>
      <x:c r="Q633" s="24" t="str">
        <x:v>Condicionado a autoría/procedencia final</x:v>
      </x:c>
      <x:c r="R633" s="24" t="str">
        <x:v>Solo dentro del producto/build autorizado</x:v>
      </x:c>
      <x:c r="S633" s="24" t="str">
        <x:v>Crédito general del estudio; individual si aplica</x:v>
      </x:c>
      <x:c r="T633" s="24" t="str">
        <x:v>VRM Games / Blas Luis Rocha González</x:v>
      </x:c>
      <x:c r="U633" s="24" t="str">
        <x:v>CURRENT PROJECT ASSET</x:v>
      </x:c>
      <x:c r="V633" s="24" t="str">
        <x:v>CONDITIONALLY APPROVED</x:v>
      </x:c>
      <x:c r="W633" s="24" t="str">
        <x:v>Sí</x:v>
      </x:c>
      <x:c r="X633" s="24" t="str">
        <x:v>Low</x:v>
      </x:c>
      <x:c r="Y633" s="24" t="str">
        <x:v>Internal development; public candidate requires gate</x:v>
      </x:c>
      <x:c r="Z633" s="24" t="str">
        <x:v>H6 legal/content audit</x:v>
      </x:c>
      <x:c r="AA633" s="24" t="str">
        <x:v>VRM Games</x:v>
      </x:c>
      <x:c r="AB633" s="24" t="str">
        <x:v>No se detectó proveedor externo en la ruta; confirmar autoría por lote antes de release público.</x:v>
      </x:c>
    </x:row>
    <x:row r="634" ht="34" customHeight="1">
      <x:c r="A634" s="24" t="str">
        <x:v>INT-0630</x:v>
      </x:c>
      <x:c r="B634" s="24" t="str">
        <x:v>3e4710b22eb54446bde3996852b2199a</x:v>
      </x:c>
      <x:c r="C634" s="24" t="str">
        <x:v>DisplayRuntimeAuthoringTests.cs</x:v>
      </x:c>
      <x:c r="D634" s="24" t="str">
        <x:v>Code</x:v>
      </x:c>
      <x:c r="E634" s="24" t="str">
        <x:v>EditMode</x:v>
      </x:c>
      <x:c r="F634" s="24" t="str">
        <x:v>VRM Games / Blas Luis Rocha González</x:v>
      </x:c>
      <x:c r="G634" s="24" t="str">
        <x:v>VRM Games / Blas Luis Rocha González</x:v>
      </x:c>
      <x:c r="H634" s="24" t="str">
        <x:v>Internal project production</x:v>
      </x:c>
      <x:c r="I634" s="24" t="str">
        <x:v>2026 project timeline</x:v>
      </x:c>
      <x:c r="J634" s="24" t="str">
        <x:v>Internal project IP / authorship claim</x:v>
      </x:c>
      <x:c r="K634" s="24" t="str">
        <x:v>N/A</x:v>
      </x:c>
      <x:c r="L634" s="24" t="str">
        <x:v>Source package + repository path + hash</x:v>
      </x:c>
      <x:c r="M634" s="24" t="str">
        <x:v>229beb9ed0e0aeea5676580050f6be1e0e114d147fc892ae95be0148ee6e1837</x:v>
      </x:c>
      <x:c r="N634" s="24" t="str">
        <x:v>Assets/_Project/Tests/EditMode/Displays/DisplayRuntimeAuthoringTests.cs</x:v>
      </x:c>
      <x:c r="O634" s="24" t="str">
        <x:v>3e4710b22eb54446bde3996852b2199a</x:v>
      </x:c>
      <x:c r="P634" s="24" t="str">
        <x:v>Sí</x:v>
      </x:c>
      <x:c r="Q634" s="24" t="str">
        <x:v>Condicionado a autoría/procedencia final</x:v>
      </x:c>
      <x:c r="R634" s="24" t="str">
        <x:v>Solo dentro del producto/build autorizado</x:v>
      </x:c>
      <x:c r="S634" s="24" t="str">
        <x:v>Crédito general del estudio; individual si aplica</x:v>
      </x:c>
      <x:c r="T634" s="24" t="str">
        <x:v>VRM Games / Blas Luis Rocha González</x:v>
      </x:c>
      <x:c r="U634" s="24" t="str">
        <x:v>CURRENT PROJECT ASSET</x:v>
      </x:c>
      <x:c r="V634" s="24" t="str">
        <x:v>CONDITIONALLY APPROVED</x:v>
      </x:c>
      <x:c r="W634" s="24" t="str">
        <x:v>Sí</x:v>
      </x:c>
      <x:c r="X634" s="24" t="str">
        <x:v>Low</x:v>
      </x:c>
      <x:c r="Y634" s="24" t="str">
        <x:v>Internal development; public candidate requires gate</x:v>
      </x:c>
      <x:c r="Z634" s="24" t="str">
        <x:v>H6 legal/content audit</x:v>
      </x:c>
      <x:c r="AA634" s="24" t="str">
        <x:v>VRM Games</x:v>
      </x:c>
      <x:c r="AB634" s="24" t="str">
        <x:v>No se detectó proveedor externo en la ruta; confirmar autoría por lote antes de release público.</x:v>
      </x:c>
    </x:row>
    <x:row r="635" ht="34" customHeight="1">
      <x:c r="A635" s="24" t="str">
        <x:v>INT-0631</x:v>
      </x:c>
      <x:c r="B635" s="24" t="str">
        <x:v>d7c5ecfd18f2413f99f17b3e78bfcc0b</x:v>
      </x:c>
      <x:c r="C635" s="24" t="str">
        <x:v>RestockTaskTests.cs</x:v>
      </x:c>
      <x:c r="D635" s="24" t="str">
        <x:v>Code</x:v>
      </x:c>
      <x:c r="E635" s="24" t="str">
        <x:v>EditMode</x:v>
      </x:c>
      <x:c r="F635" s="24" t="str">
        <x:v>VRM Games / Blas Luis Rocha González</x:v>
      </x:c>
      <x:c r="G635" s="24" t="str">
        <x:v>VRM Games / Blas Luis Rocha González</x:v>
      </x:c>
      <x:c r="H635" s="24" t="str">
        <x:v>Internal project production</x:v>
      </x:c>
      <x:c r="I635" s="24" t="str">
        <x:v>2026 project timeline</x:v>
      </x:c>
      <x:c r="J635" s="24" t="str">
        <x:v>Internal project IP / authorship claim</x:v>
      </x:c>
      <x:c r="K635" s="24" t="str">
        <x:v>N/A</x:v>
      </x:c>
      <x:c r="L635" s="24" t="str">
        <x:v>Source package + repository path + hash</x:v>
      </x:c>
      <x:c r="M635" s="24" t="str">
        <x:v>f09df6fc7017534fc10c73af653c8eb8105a259a995a6c16cf28a55d27aba72b</x:v>
      </x:c>
      <x:c r="N635" s="24" t="str">
        <x:v>Assets/_Project/Tests/EditMode/Displays/RestockTaskTests.cs</x:v>
      </x:c>
      <x:c r="O635" s="24" t="str">
        <x:v>d7c5ecfd18f2413f99f17b3e78bfcc0b</x:v>
      </x:c>
      <x:c r="P635" s="24" t="str">
        <x:v>Sí</x:v>
      </x:c>
      <x:c r="Q635" s="24" t="str">
        <x:v>Condicionado a autoría/procedencia final</x:v>
      </x:c>
      <x:c r="R635" s="24" t="str">
        <x:v>Solo dentro del producto/build autorizado</x:v>
      </x:c>
      <x:c r="S635" s="24" t="str">
        <x:v>Crédito general del estudio; individual si aplica</x:v>
      </x:c>
      <x:c r="T635" s="24" t="str">
        <x:v>VRM Games / Blas Luis Rocha González</x:v>
      </x:c>
      <x:c r="U635" s="24" t="str">
        <x:v>CURRENT PROJECT ASSET</x:v>
      </x:c>
      <x:c r="V635" s="24" t="str">
        <x:v>CONDITIONALLY APPROVED</x:v>
      </x:c>
      <x:c r="W635" s="24" t="str">
        <x:v>Sí</x:v>
      </x:c>
      <x:c r="X635" s="24" t="str">
        <x:v>Low</x:v>
      </x:c>
      <x:c r="Y635" s="24" t="str">
        <x:v>Internal development; public candidate requires gate</x:v>
      </x:c>
      <x:c r="Z635" s="24" t="str">
        <x:v>H6 legal/content audit</x:v>
      </x:c>
      <x:c r="AA635" s="24" t="str">
        <x:v>VRM Games</x:v>
      </x:c>
      <x:c r="AB635" s="24" t="str">
        <x:v>No se detectó proveedor externo en la ruta; confirmar autoría por lote antes de release público.</x:v>
      </x:c>
    </x:row>
    <x:row r="636" ht="34" customHeight="1">
      <x:c r="A636" s="24" t="str">
        <x:v>INT-0632</x:v>
      </x:c>
      <x:c r="B636" s="24" t="str">
        <x:v>12db1cbdd2de47afa433a6730d7bc3c5</x:v>
      </x:c>
      <x:c r="C636" s="24" t="str">
        <x:v>CheckoutQuoteTests.cs</x:v>
      </x:c>
      <x:c r="D636" s="24" t="str">
        <x:v>Code</x:v>
      </x:c>
      <x:c r="E636" s="24" t="str">
        <x:v>EditMode</x:v>
      </x:c>
      <x:c r="F636" s="24" t="str">
        <x:v>VRM Games / Blas Luis Rocha González</x:v>
      </x:c>
      <x:c r="G636" s="24" t="str">
        <x:v>VRM Games / Blas Luis Rocha González</x:v>
      </x:c>
      <x:c r="H636" s="24" t="str">
        <x:v>Internal project production</x:v>
      </x:c>
      <x:c r="I636" s="24" t="str">
        <x:v>2026 project timeline</x:v>
      </x:c>
      <x:c r="J636" s="24" t="str">
        <x:v>Internal project IP / authorship claim</x:v>
      </x:c>
      <x:c r="K636" s="24" t="str">
        <x:v>N/A</x:v>
      </x:c>
      <x:c r="L636" s="24" t="str">
        <x:v>Source package + repository path + hash</x:v>
      </x:c>
      <x:c r="M636" s="24" t="str">
        <x:v>77f483c591ebdd069d4f61ac6bf40aa956e51c9ac10a365aac7dece58333a121</x:v>
      </x:c>
      <x:c r="N636" s="24" t="str">
        <x:v>Assets/_Project/Tests/EditMode/Economy/CheckoutQuoteTests.cs</x:v>
      </x:c>
      <x:c r="O636" s="24" t="str">
        <x:v>12db1cbdd2de47afa433a6730d7bc3c5</x:v>
      </x:c>
      <x:c r="P636" s="24" t="str">
        <x:v>Sí</x:v>
      </x:c>
      <x:c r="Q636" s="24" t="str">
        <x:v>Condicionado a autoría/procedencia final</x:v>
      </x:c>
      <x:c r="R636" s="24" t="str">
        <x:v>Solo dentro del producto/build autorizado</x:v>
      </x:c>
      <x:c r="S636" s="24" t="str">
        <x:v>Crédito general del estudio; individual si aplica</x:v>
      </x:c>
      <x:c r="T636" s="24" t="str">
        <x:v>VRM Games / Blas Luis Rocha González</x:v>
      </x:c>
      <x:c r="U636" s="24" t="str">
        <x:v>CURRENT PROJECT ASSET</x:v>
      </x:c>
      <x:c r="V636" s="24" t="str">
        <x:v>CONDITIONALLY APPROVED</x:v>
      </x:c>
      <x:c r="W636" s="24" t="str">
        <x:v>Sí</x:v>
      </x:c>
      <x:c r="X636" s="24" t="str">
        <x:v>Low</x:v>
      </x:c>
      <x:c r="Y636" s="24" t="str">
        <x:v>Internal development; public candidate requires gate</x:v>
      </x:c>
      <x:c r="Z636" s="24" t="str">
        <x:v>H6 legal/content audit</x:v>
      </x:c>
      <x:c r="AA636" s="24" t="str">
        <x:v>VRM Games</x:v>
      </x:c>
      <x:c r="AB636" s="24" t="str">
        <x:v>No se detectó proveedor externo en la ruta; confirmar autoría por lote antes de release público.</x:v>
      </x:c>
    </x:row>
    <x:row r="637" ht="34" customHeight="1">
      <x:c r="A637" s="24" t="str">
        <x:v>INT-0633</x:v>
      </x:c>
      <x:c r="B637" s="24" t="str">
        <x:v>26cffd20965e4720bfcce6c764f2b94f</x:v>
      </x:c>
      <x:c r="C637" s="24" t="str">
        <x:v>DailyResultsServiceTests.cs</x:v>
      </x:c>
      <x:c r="D637" s="24" t="str">
        <x:v>Code</x:v>
      </x:c>
      <x:c r="E637" s="24" t="str">
        <x:v>EditMode</x:v>
      </x:c>
      <x:c r="F637" s="24" t="str">
        <x:v>VRM Games / Blas Luis Rocha González</x:v>
      </x:c>
      <x:c r="G637" s="24" t="str">
        <x:v>VRM Games / Blas Luis Rocha González</x:v>
      </x:c>
      <x:c r="H637" s="24" t="str">
        <x:v>Internal project production</x:v>
      </x:c>
      <x:c r="I637" s="24" t="str">
        <x:v>2026 project timeline</x:v>
      </x:c>
      <x:c r="J637" s="24" t="str">
        <x:v>Internal project IP / authorship claim</x:v>
      </x:c>
      <x:c r="K637" s="24" t="str">
        <x:v>N/A</x:v>
      </x:c>
      <x:c r="L637" s="24" t="str">
        <x:v>Source package + repository path + hash</x:v>
      </x:c>
      <x:c r="M637" s="24" t="str">
        <x:v>970507ba859f018774103df940c582bb1af5ddacfc78fa5dabfa680420f275ea</x:v>
      </x:c>
      <x:c r="N637" s="24" t="str">
        <x:v>Assets/_Project/Tests/EditMode/Economy/DailyResultsServiceTests.cs</x:v>
      </x:c>
      <x:c r="O637" s="24" t="str">
        <x:v>26cffd20965e4720bfcce6c764f2b94f</x:v>
      </x:c>
      <x:c r="P637" s="24" t="str">
        <x:v>Sí</x:v>
      </x:c>
      <x:c r="Q637" s="24" t="str">
        <x:v>Condicionado a autoría/procedencia final</x:v>
      </x:c>
      <x:c r="R637" s="24" t="str">
        <x:v>Solo dentro del producto/build autorizado</x:v>
      </x:c>
      <x:c r="S637" s="24" t="str">
        <x:v>Crédito general del estudio; individual si aplica</x:v>
      </x:c>
      <x:c r="T637" s="24" t="str">
        <x:v>VRM Games / Blas Luis Rocha González</x:v>
      </x:c>
      <x:c r="U637" s="24" t="str">
        <x:v>CURRENT PROJECT ASSET</x:v>
      </x:c>
      <x:c r="V637" s="24" t="str">
        <x:v>CONDITIONALLY APPROVED</x:v>
      </x:c>
      <x:c r="W637" s="24" t="str">
        <x:v>Sí</x:v>
      </x:c>
      <x:c r="X637" s="24" t="str">
        <x:v>Low</x:v>
      </x:c>
      <x:c r="Y637" s="24" t="str">
        <x:v>Internal development; public candidate requires gate</x:v>
      </x:c>
      <x:c r="Z637" s="24" t="str">
        <x:v>H6 legal/content audit</x:v>
      </x:c>
      <x:c r="AA637" s="24" t="str">
        <x:v>VRM Games</x:v>
      </x:c>
      <x:c r="AB637" s="24" t="str">
        <x:v>No se detectó proveedor externo en la ruta; confirmar autoría por lote antes de release público.</x:v>
      </x:c>
    </x:row>
    <x:row r="638" ht="34" customHeight="1">
      <x:c r="A638" s="24" t="str">
        <x:v>INT-0634</x:v>
      </x:c>
      <x:c r="B638" s="24" t="str">
        <x:v>64a07f04b9404969b24e12299973195e</x:v>
      </x:c>
      <x:c r="C638" s="24" t="str">
        <x:v>EconomicCheckoutServiceTests.cs</x:v>
      </x:c>
      <x:c r="D638" s="24" t="str">
        <x:v>Code</x:v>
      </x:c>
      <x:c r="E638" s="24" t="str">
        <x:v>EditMode</x:v>
      </x:c>
      <x:c r="F638" s="24" t="str">
        <x:v>VRM Games / Blas Luis Rocha González</x:v>
      </x:c>
      <x:c r="G638" s="24" t="str">
        <x:v>VRM Games / Blas Luis Rocha González</x:v>
      </x:c>
      <x:c r="H638" s="24" t="str">
        <x:v>Internal project production</x:v>
      </x:c>
      <x:c r="I638" s="24" t="str">
        <x:v>2026 project timeline</x:v>
      </x:c>
      <x:c r="J638" s="24" t="str">
        <x:v>Internal project IP / authorship claim</x:v>
      </x:c>
      <x:c r="K638" s="24" t="str">
        <x:v>N/A</x:v>
      </x:c>
      <x:c r="L638" s="24" t="str">
        <x:v>Source package + repository path + hash</x:v>
      </x:c>
      <x:c r="M638" s="24" t="str">
        <x:v>941774afd0310ec0996ca17f83cbd889a82474e0b48c2bebfcf6d9b930191cb0</x:v>
      </x:c>
      <x:c r="N638" s="24" t="str">
        <x:v>Assets/_Project/Tests/EditMode/Economy/EconomicCheckoutServiceTests.cs</x:v>
      </x:c>
      <x:c r="O638" s="24" t="str">
        <x:v>64a07f04b9404969b24e12299973195e</x:v>
      </x:c>
      <x:c r="P638" s="24" t="str">
        <x:v>Sí</x:v>
      </x:c>
      <x:c r="Q638" s="24" t="str">
        <x:v>Condicionado a autoría/procedencia final</x:v>
      </x:c>
      <x:c r="R638" s="24" t="str">
        <x:v>Solo dentro del producto/build autorizado</x:v>
      </x:c>
      <x:c r="S638" s="24" t="str">
        <x:v>Crédito general del estudio; individual si aplica</x:v>
      </x:c>
      <x:c r="T638" s="24" t="str">
        <x:v>VRM Games / Blas Luis Rocha González</x:v>
      </x:c>
      <x:c r="U638" s="24" t="str">
        <x:v>CURRENT PROJECT ASSET</x:v>
      </x:c>
      <x:c r="V638" s="24" t="str">
        <x:v>CONDITIONALLY APPROVED</x:v>
      </x:c>
      <x:c r="W638" s="24" t="str">
        <x:v>Sí</x:v>
      </x:c>
      <x:c r="X638" s="24" t="str">
        <x:v>Low</x:v>
      </x:c>
      <x:c r="Y638" s="24" t="str">
        <x:v>Internal development; public candidate requires gate</x:v>
      </x:c>
      <x:c r="Z638" s="24" t="str">
        <x:v>H6 legal/content audit</x:v>
      </x:c>
      <x:c r="AA638" s="24" t="str">
        <x:v>VRM Games</x:v>
      </x:c>
      <x:c r="AB638" s="24" t="str">
        <x:v>No se detectó proveedor externo en la ruta; confirmar autoría por lote antes de release público.</x:v>
      </x:c>
    </x:row>
    <x:row r="639" ht="34" customHeight="1">
      <x:c r="A639" s="24" t="str">
        <x:v>INT-0635</x:v>
      </x:c>
      <x:c r="B639" s="24" t="str">
        <x:v>e013b5c6d89b46ebb50a5a6638acee8d</x:v>
      </x:c>
      <x:c r="C639" s="24" t="str">
        <x:v>EconomyAuthoringTests.cs</x:v>
      </x:c>
      <x:c r="D639" s="24" t="str">
        <x:v>Code</x:v>
      </x:c>
      <x:c r="E639" s="24" t="str">
        <x:v>EditMode</x:v>
      </x:c>
      <x:c r="F639" s="24" t="str">
        <x:v>VRM Games / Blas Luis Rocha González</x:v>
      </x:c>
      <x:c r="G639" s="24" t="str">
        <x:v>VRM Games / Blas Luis Rocha González</x:v>
      </x:c>
      <x:c r="H639" s="24" t="str">
        <x:v>Internal project production</x:v>
      </x:c>
      <x:c r="I639" s="24" t="str">
        <x:v>2026 project timeline</x:v>
      </x:c>
      <x:c r="J639" s="24" t="str">
        <x:v>Internal project IP / authorship claim</x:v>
      </x:c>
      <x:c r="K639" s="24" t="str">
        <x:v>N/A</x:v>
      </x:c>
      <x:c r="L639" s="24" t="str">
        <x:v>Source package + repository path + hash</x:v>
      </x:c>
      <x:c r="M639" s="24" t="str">
        <x:v>0c578746d78939ffaa235e70633cdf0afcc74c022c7eb00d78c241551726522f</x:v>
      </x:c>
      <x:c r="N639" s="24" t="str">
        <x:v>Assets/_Project/Tests/EditMode/Economy/EconomyAuthoringTests.cs</x:v>
      </x:c>
      <x:c r="O639" s="24" t="str">
        <x:v>e013b5c6d89b46ebb50a5a6638acee8d</x:v>
      </x:c>
      <x:c r="P639" s="24" t="str">
        <x:v>Sí</x:v>
      </x:c>
      <x:c r="Q639" s="24" t="str">
        <x:v>Condicionado a autoría/procedencia final</x:v>
      </x:c>
      <x:c r="R639" s="24" t="str">
        <x:v>Solo dentro del producto/build autorizado</x:v>
      </x:c>
      <x:c r="S639" s="24" t="str">
        <x:v>Crédito general del estudio; individual si aplica</x:v>
      </x:c>
      <x:c r="T639" s="24" t="str">
        <x:v>VRM Games / Blas Luis Rocha González</x:v>
      </x:c>
      <x:c r="U639" s="24" t="str">
        <x:v>CURRENT PROJECT ASSET</x:v>
      </x:c>
      <x:c r="V639" s="24" t="str">
        <x:v>CONDITIONALLY APPROVED</x:v>
      </x:c>
      <x:c r="W639" s="24" t="str">
        <x:v>Sí</x:v>
      </x:c>
      <x:c r="X639" s="24" t="str">
        <x:v>Low</x:v>
      </x:c>
      <x:c r="Y639" s="24" t="str">
        <x:v>Internal development; public candidate requires gate</x:v>
      </x:c>
      <x:c r="Z639" s="24" t="str">
        <x:v>H6 legal/content audit</x:v>
      </x:c>
      <x:c r="AA639" s="24" t="str">
        <x:v>VRM Games</x:v>
      </x:c>
      <x:c r="AB639" s="24" t="str">
        <x:v>No se detectó proveedor externo en la ruta; confirmar autoría por lote antes de release público.</x:v>
      </x:c>
    </x:row>
    <x:row r="640" ht="34" customHeight="1">
      <x:c r="A640" s="24" t="str">
        <x:v>INT-0636</x:v>
      </x:c>
      <x:c r="B640" s="24" t="str">
        <x:v>eafb4a8eb290455cad03dfb5ca7b85f4</x:v>
      </x:c>
      <x:c r="C640" s="24" t="str">
        <x:v>EconomyIntegrationTests.cs</x:v>
      </x:c>
      <x:c r="D640" s="24" t="str">
        <x:v>Code</x:v>
      </x:c>
      <x:c r="E640" s="24" t="str">
        <x:v>EditMode</x:v>
      </x:c>
      <x:c r="F640" s="24" t="str">
        <x:v>VRM Games / Blas Luis Rocha González</x:v>
      </x:c>
      <x:c r="G640" s="24" t="str">
        <x:v>VRM Games / Blas Luis Rocha González</x:v>
      </x:c>
      <x:c r="H640" s="24" t="str">
        <x:v>Internal project production</x:v>
      </x:c>
      <x:c r="I640" s="24" t="str">
        <x:v>2026 project timeline</x:v>
      </x:c>
      <x:c r="J640" s="24" t="str">
        <x:v>Internal project IP / authorship claim</x:v>
      </x:c>
      <x:c r="K640" s="24" t="str">
        <x:v>N/A</x:v>
      </x:c>
      <x:c r="L640" s="24" t="str">
        <x:v>Source package + repository path + hash</x:v>
      </x:c>
      <x:c r="M640" s="24" t="str">
        <x:v>284f89d53e1a464e14f05ad4e28e6b4a63b7bdfdb90da5fa70b60d42428d864b</x:v>
      </x:c>
      <x:c r="N640" s="24" t="str">
        <x:v>Assets/_Project/Tests/EditMode/Economy/EconomyIntegrationTests.cs</x:v>
      </x:c>
      <x:c r="O640" s="24" t="str">
        <x:v>eafb4a8eb290455cad03dfb5ca7b85f4</x:v>
      </x:c>
      <x:c r="P640" s="24" t="str">
        <x:v>Sí</x:v>
      </x:c>
      <x:c r="Q640" s="24" t="str">
        <x:v>Condicionado a autoría/procedencia final</x:v>
      </x:c>
      <x:c r="R640" s="24" t="str">
        <x:v>Solo dentro del producto/build autorizado</x:v>
      </x:c>
      <x:c r="S640" s="24" t="str">
        <x:v>Crédito general del estudio; individual si aplica</x:v>
      </x:c>
      <x:c r="T640" s="24" t="str">
        <x:v>VRM Games / Blas Luis Rocha González</x:v>
      </x:c>
      <x:c r="U640" s="24" t="str">
        <x:v>CURRENT PROJECT ASSET</x:v>
      </x:c>
      <x:c r="V640" s="24" t="str">
        <x:v>CONDITIONALLY APPROVED</x:v>
      </x:c>
      <x:c r="W640" s="24" t="str">
        <x:v>Sí</x:v>
      </x:c>
      <x:c r="X640" s="24" t="str">
        <x:v>Low</x:v>
      </x:c>
      <x:c r="Y640" s="24" t="str">
        <x:v>Internal development; public candidate requires gate</x:v>
      </x:c>
      <x:c r="Z640" s="24" t="str">
        <x:v>H6 legal/content audit</x:v>
      </x:c>
      <x:c r="AA640" s="24" t="str">
        <x:v>VRM Games</x:v>
      </x:c>
      <x:c r="AB640" s="24" t="str">
        <x:v>No se detectó proveedor externo en la ruta; confirmar autoría por lote antes de release público.</x:v>
      </x:c>
    </x:row>
    <x:row r="641" ht="34" customHeight="1">
      <x:c r="A641" s="24" t="str">
        <x:v>INT-0637</x:v>
      </x:c>
      <x:c r="B641" s="24" t="str">
        <x:v>245c95ea72a242d898c4d19b812a3f95</x:v>
      </x:c>
      <x:c r="C641" s="24" t="str">
        <x:v>EconomyLedgerTests.cs</x:v>
      </x:c>
      <x:c r="D641" s="24" t="str">
        <x:v>Code</x:v>
      </x:c>
      <x:c r="E641" s="24" t="str">
        <x:v>EditMode</x:v>
      </x:c>
      <x:c r="F641" s="24" t="str">
        <x:v>VRM Games / Blas Luis Rocha González</x:v>
      </x:c>
      <x:c r="G641" s="24" t="str">
        <x:v>VRM Games / Blas Luis Rocha González</x:v>
      </x:c>
      <x:c r="H641" s="24" t="str">
        <x:v>Internal project production</x:v>
      </x:c>
      <x:c r="I641" s="24" t="str">
        <x:v>2026 project timeline</x:v>
      </x:c>
      <x:c r="J641" s="24" t="str">
        <x:v>Internal project IP / authorship claim</x:v>
      </x:c>
      <x:c r="K641" s="24" t="str">
        <x:v>N/A</x:v>
      </x:c>
      <x:c r="L641" s="24" t="str">
        <x:v>Source package + repository path + hash</x:v>
      </x:c>
      <x:c r="M641" s="24" t="str">
        <x:v>c31e7dc4eddac3ecab17b482e87d0fe33420bf6c89740b49869e385f34dfe324</x:v>
      </x:c>
      <x:c r="N641" s="24" t="str">
        <x:v>Assets/_Project/Tests/EditMode/Economy/EconomyLedgerTests.cs</x:v>
      </x:c>
      <x:c r="O641" s="24" t="str">
        <x:v>245c95ea72a242d898c4d19b812a3f95</x:v>
      </x:c>
      <x:c r="P641" s="24" t="str">
        <x:v>Sí</x:v>
      </x:c>
      <x:c r="Q641" s="24" t="str">
        <x:v>Condicionado a autoría/procedencia final</x:v>
      </x:c>
      <x:c r="R641" s="24" t="str">
        <x:v>Solo dentro del producto/build autorizado</x:v>
      </x:c>
      <x:c r="S641" s="24" t="str">
        <x:v>Crédito general del estudio; individual si aplica</x:v>
      </x:c>
      <x:c r="T641" s="24" t="str">
        <x:v>VRM Games / Blas Luis Rocha González</x:v>
      </x:c>
      <x:c r="U641" s="24" t="str">
        <x:v>CURRENT PROJECT ASSET</x:v>
      </x:c>
      <x:c r="V641" s="24" t="str">
        <x:v>CONDITIONALLY APPROVED</x:v>
      </x:c>
      <x:c r="W641" s="24" t="str">
        <x:v>Sí</x:v>
      </x:c>
      <x:c r="X641" s="24" t="str">
        <x:v>Low</x:v>
      </x:c>
      <x:c r="Y641" s="24" t="str">
        <x:v>Internal development; public candidate requires gate</x:v>
      </x:c>
      <x:c r="Z641" s="24" t="str">
        <x:v>H6 legal/content audit</x:v>
      </x:c>
      <x:c r="AA641" s="24" t="str">
        <x:v>VRM Games</x:v>
      </x:c>
      <x:c r="AB641" s="24" t="str">
        <x:v>No se detectó proveedor externo en la ruta; confirmar autoría por lote antes de release público.</x:v>
      </x:c>
    </x:row>
    <x:row r="642" ht="34" customHeight="1">
      <x:c r="A642" s="24" t="str">
        <x:v>INT-0638</x:v>
      </x:c>
      <x:c r="B642" s="24" t="str">
        <x:v>281ff5afd4624c2dbc4291185d5d788b</x:v>
      </x:c>
      <x:c r="C642" s="24" t="str">
        <x:v>EconomyTestFactory.cs</x:v>
      </x:c>
      <x:c r="D642" s="24" t="str">
        <x:v>Code</x:v>
      </x:c>
      <x:c r="E642" s="24" t="str">
        <x:v>EditMode</x:v>
      </x:c>
      <x:c r="F642" s="24" t="str">
        <x:v>VRM Games / Blas Luis Rocha González</x:v>
      </x:c>
      <x:c r="G642" s="24" t="str">
        <x:v>VRM Games / Blas Luis Rocha González</x:v>
      </x:c>
      <x:c r="H642" s="24" t="str">
        <x:v>Internal project production</x:v>
      </x:c>
      <x:c r="I642" s="24" t="str">
        <x:v>2026 project timeline</x:v>
      </x:c>
      <x:c r="J642" s="24" t="str">
        <x:v>Internal project IP / authorship claim</x:v>
      </x:c>
      <x:c r="K642" s="24" t="str">
        <x:v>N/A</x:v>
      </x:c>
      <x:c r="L642" s="24" t="str">
        <x:v>Source package + repository path + hash</x:v>
      </x:c>
      <x:c r="M642" s="24" t="str">
        <x:v>f37d8ec88063aca8acb1d3059c1141f970f0e2524ffca42c8e1f2c93d7b2a722</x:v>
      </x:c>
      <x:c r="N642" s="24" t="str">
        <x:v>Assets/_Project/Tests/EditMode/Economy/EconomyTestFactory.cs</x:v>
      </x:c>
      <x:c r="O642" s="24" t="str">
        <x:v>281ff5afd4624c2dbc4291185d5d788b</x:v>
      </x:c>
      <x:c r="P642" s="24" t="str">
        <x:v>Sí</x:v>
      </x:c>
      <x:c r="Q642" s="24" t="str">
        <x:v>Condicionado a autoría/procedencia final</x:v>
      </x:c>
      <x:c r="R642" s="24" t="str">
        <x:v>Solo dentro del producto/build autorizado</x:v>
      </x:c>
      <x:c r="S642" s="24" t="str">
        <x:v>Crédito general del estudio; individual si aplica</x:v>
      </x:c>
      <x:c r="T642" s="24" t="str">
        <x:v>VRM Games / Blas Luis Rocha González</x:v>
      </x:c>
      <x:c r="U642" s="24" t="str">
        <x:v>CURRENT PROJECT ASSET</x:v>
      </x:c>
      <x:c r="V642" s="24" t="str">
        <x:v>CONDITIONALLY APPROVED</x:v>
      </x:c>
      <x:c r="W642" s="24" t="str">
        <x:v>Sí</x:v>
      </x:c>
      <x:c r="X642" s="24" t="str">
        <x:v>Low</x:v>
      </x:c>
      <x:c r="Y642" s="24" t="str">
        <x:v>Internal development; public candidate requires gate</x:v>
      </x:c>
      <x:c r="Z642" s="24" t="str">
        <x:v>H6 legal/content audit</x:v>
      </x:c>
      <x:c r="AA642" s="24" t="str">
        <x:v>VRM Games</x:v>
      </x:c>
      <x:c r="AB642" s="24" t="str">
        <x:v>No se detectó proveedor externo en la ruta; confirmar autoría por lote antes de release público.</x:v>
      </x:c>
    </x:row>
    <x:row r="643" ht="34" customHeight="1">
      <x:c r="A643" s="24" t="str">
        <x:v>INT-0639</x:v>
      </x:c>
      <x:c r="B643" s="24" t="str">
        <x:v>56f524946d7546c7999de4ca61083a9e</x:v>
      </x:c>
      <x:c r="C643" s="24" t="str">
        <x:v>MoneyTests.cs</x:v>
      </x:c>
      <x:c r="D643" s="24" t="str">
        <x:v>Code</x:v>
      </x:c>
      <x:c r="E643" s="24" t="str">
        <x:v>EditMode</x:v>
      </x:c>
      <x:c r="F643" s="24" t="str">
        <x:v>VRM Games / Blas Luis Rocha González</x:v>
      </x:c>
      <x:c r="G643" s="24" t="str">
        <x:v>VRM Games / Blas Luis Rocha González</x:v>
      </x:c>
      <x:c r="H643" s="24" t="str">
        <x:v>Internal project production</x:v>
      </x:c>
      <x:c r="I643" s="24" t="str">
        <x:v>2026 project timeline</x:v>
      </x:c>
      <x:c r="J643" s="24" t="str">
        <x:v>Internal project IP / authorship claim</x:v>
      </x:c>
      <x:c r="K643" s="24" t="str">
        <x:v>N/A</x:v>
      </x:c>
      <x:c r="L643" s="24" t="str">
        <x:v>Source package + repository path + hash</x:v>
      </x:c>
      <x:c r="M643" s="24" t="str">
        <x:v>da1730655535214fa62298bfe61780b6ca31a63cb433b838b6454b732535bdb6</x:v>
      </x:c>
      <x:c r="N643" s="24" t="str">
        <x:v>Assets/_Project/Tests/EditMode/Economy/MoneyTests.cs</x:v>
      </x:c>
      <x:c r="O643" s="24" t="str">
        <x:v>56f524946d7546c7999de4ca61083a9e</x:v>
      </x:c>
      <x:c r="P643" s="24" t="str">
        <x:v>Sí</x:v>
      </x:c>
      <x:c r="Q643" s="24" t="str">
        <x:v>Condicionado a autoría/procedencia final</x:v>
      </x:c>
      <x:c r="R643" s="24" t="str">
        <x:v>Solo dentro del producto/build autorizado</x:v>
      </x:c>
      <x:c r="S643" s="24" t="str">
        <x:v>Crédito general del estudio; individual si aplica</x:v>
      </x:c>
      <x:c r="T643" s="24" t="str">
        <x:v>VRM Games / Blas Luis Rocha González</x:v>
      </x:c>
      <x:c r="U643" s="24" t="str">
        <x:v>CURRENT PROJECT ASSET</x:v>
      </x:c>
      <x:c r="V643" s="24" t="str">
        <x:v>CONDITIONALLY APPROVED</x:v>
      </x:c>
      <x:c r="W643" s="24" t="str">
        <x:v>Sí</x:v>
      </x:c>
      <x:c r="X643" s="24" t="str">
        <x:v>Low</x:v>
      </x:c>
      <x:c r="Y643" s="24" t="str">
        <x:v>Internal development; public candidate requires gate</x:v>
      </x:c>
      <x:c r="Z643" s="24" t="str">
        <x:v>H6 legal/content audit</x:v>
      </x:c>
      <x:c r="AA643" s="24" t="str">
        <x:v>VRM Games</x:v>
      </x:c>
      <x:c r="AB643" s="24" t="str">
        <x:v>No se detectó proveedor externo en la ruta; confirmar autoría por lote antes de release público.</x:v>
      </x:c>
    </x:row>
    <x:row r="644" ht="34" customHeight="1">
      <x:c r="A644" s="24" t="str">
        <x:v>INT-0640</x:v>
      </x:c>
      <x:c r="B644" s="24" t="str">
        <x:v>274b3bd267344e218e5948cfa1864e47</x:v>
      </x:c>
      <x:c r="C644" s="24" t="str">
        <x:v>ProductSalePriceCatalogTests.cs</x:v>
      </x:c>
      <x:c r="D644" s="24" t="str">
        <x:v>Code</x:v>
      </x:c>
      <x:c r="E644" s="24" t="str">
        <x:v>EditMode</x:v>
      </x:c>
      <x:c r="F644" s="24" t="str">
        <x:v>VRM Games / Blas Luis Rocha González</x:v>
      </x:c>
      <x:c r="G644" s="24" t="str">
        <x:v>VRM Games / Blas Luis Rocha González</x:v>
      </x:c>
      <x:c r="H644" s="24" t="str">
        <x:v>Internal project production</x:v>
      </x:c>
      <x:c r="I644" s="24" t="str">
        <x:v>2026 project timeline</x:v>
      </x:c>
      <x:c r="J644" s="24" t="str">
        <x:v>Internal project IP / authorship claim</x:v>
      </x:c>
      <x:c r="K644" s="24" t="str">
        <x:v>N/A</x:v>
      </x:c>
      <x:c r="L644" s="24" t="str">
        <x:v>Source package + repository path + hash</x:v>
      </x:c>
      <x:c r="M644" s="24" t="str">
        <x:v>cde94f0d37a8252caef674364edb7260e2cbc50ea5e21e9ba7b7e6376fc906ad</x:v>
      </x:c>
      <x:c r="N644" s="24" t="str">
        <x:v>Assets/_Project/Tests/EditMode/Economy/ProductSalePriceCatalogTests.cs</x:v>
      </x:c>
      <x:c r="O644" s="24" t="str">
        <x:v>274b3bd267344e218e5948cfa1864e47</x:v>
      </x:c>
      <x:c r="P644" s="24" t="str">
        <x:v>Sí</x:v>
      </x:c>
      <x:c r="Q644" s="24" t="str">
        <x:v>Condicionado a autoría/procedencia final</x:v>
      </x:c>
      <x:c r="R644" s="24" t="str">
        <x:v>Solo dentro del producto/build autorizado</x:v>
      </x:c>
      <x:c r="S644" s="24" t="str">
        <x:v>Crédito general del estudio; individual si aplica</x:v>
      </x:c>
      <x:c r="T644" s="24" t="str">
        <x:v>VRM Games / Blas Luis Rocha González</x:v>
      </x:c>
      <x:c r="U644" s="24" t="str">
        <x:v>CURRENT PROJECT ASSET</x:v>
      </x:c>
      <x:c r="V644" s="24" t="str">
        <x:v>CONDITIONALLY APPROVED</x:v>
      </x:c>
      <x:c r="W644" s="24" t="str">
        <x:v>Sí</x:v>
      </x:c>
      <x:c r="X644" s="24" t="str">
        <x:v>Low</x:v>
      </x:c>
      <x:c r="Y644" s="24" t="str">
        <x:v>Internal development; public candidate requires gate</x:v>
      </x:c>
      <x:c r="Z644" s="24" t="str">
        <x:v>H6 legal/content audit</x:v>
      </x:c>
      <x:c r="AA644" s="24" t="str">
        <x:v>VRM Games</x:v>
      </x:c>
      <x:c r="AB644" s="24" t="str">
        <x:v>No se detectó proveedor externo en la ruta; confirmar autoría por lote antes de release público.</x:v>
      </x:c>
    </x:row>
    <x:row r="645" ht="34" customHeight="1">
      <x:c r="A645" s="24" t="str">
        <x:v>INT-0641</x:v>
      </x:c>
      <x:c r="B645" s="24" t="str">
        <x:v>f0ddaa9e6e7f42d5b320c0cfef360fc9</x:v>
      </x:c>
      <x:c r="C645" s="24" t="str">
        <x:v>SupplierReceivingEconomyServiceTests.cs</x:v>
      </x:c>
      <x:c r="D645" s="24" t="str">
        <x:v>Code</x:v>
      </x:c>
      <x:c r="E645" s="24" t="str">
        <x:v>EditMode</x:v>
      </x:c>
      <x:c r="F645" s="24" t="str">
        <x:v>VRM Games / Blas Luis Rocha González</x:v>
      </x:c>
      <x:c r="G645" s="24" t="str">
        <x:v>VRM Games / Blas Luis Rocha González</x:v>
      </x:c>
      <x:c r="H645" s="24" t="str">
        <x:v>Internal project production</x:v>
      </x:c>
      <x:c r="I645" s="24" t="str">
        <x:v>2026 project timeline</x:v>
      </x:c>
      <x:c r="J645" s="24" t="str">
        <x:v>Internal project IP / authorship claim</x:v>
      </x:c>
      <x:c r="K645" s="24" t="str">
        <x:v>N/A</x:v>
      </x:c>
      <x:c r="L645" s="24" t="str">
        <x:v>Source package + repository path + hash</x:v>
      </x:c>
      <x:c r="M645" s="24" t="str">
        <x:v>c7d0a6daf4cccec5295c8f38a6ff8c793cd32d826eb1a452ce6b9c3bc3c23691</x:v>
      </x:c>
      <x:c r="N645" s="24" t="str">
        <x:v>Assets/_Project/Tests/EditMode/Economy/SupplierReceivingEconomyServiceTests.cs</x:v>
      </x:c>
      <x:c r="O645" s="24" t="str">
        <x:v>f0ddaa9e6e7f42d5b320c0cfef360fc9</x:v>
      </x:c>
      <x:c r="P645" s="24" t="str">
        <x:v>Sí</x:v>
      </x:c>
      <x:c r="Q645" s="24" t="str">
        <x:v>Condicionado a autoría/procedencia final</x:v>
      </x:c>
      <x:c r="R645" s="24" t="str">
        <x:v>Solo dentro del producto/build autorizado</x:v>
      </x:c>
      <x:c r="S645" s="24" t="str">
        <x:v>Crédito general del estudio; individual si aplica</x:v>
      </x:c>
      <x:c r="T645" s="24" t="str">
        <x:v>VRM Games / Blas Luis Rocha González</x:v>
      </x:c>
      <x:c r="U645" s="24" t="str">
        <x:v>CURRENT PROJECT ASSET</x:v>
      </x:c>
      <x:c r="V645" s="24" t="str">
        <x:v>CONDITIONALLY APPROVED</x:v>
      </x:c>
      <x:c r="W645" s="24" t="str">
        <x:v>Sí</x:v>
      </x:c>
      <x:c r="X645" s="24" t="str">
        <x:v>Low</x:v>
      </x:c>
      <x:c r="Y645" s="24" t="str">
        <x:v>Internal development; public candidate requires gate</x:v>
      </x:c>
      <x:c r="Z645" s="24" t="str">
        <x:v>H6 legal/content audit</x:v>
      </x:c>
      <x:c r="AA645" s="24" t="str">
        <x:v>VRM Games</x:v>
      </x:c>
      <x:c r="AB645" s="24" t="str">
        <x:v>No se detectó proveedor externo en la ruta; confirmar autoría por lote antes de release público.</x:v>
      </x:c>
    </x:row>
    <x:row r="646" ht="34" customHeight="1">
      <x:c r="A646" s="24" t="str">
        <x:v>INT-0642</x:v>
      </x:c>
      <x:c r="B646" s="24" t="str">
        <x:v>755f6a3a0f254695b607d3e15a6d1ca3</x:v>
      </x:c>
      <x:c r="C646" s="24" t="str">
        <x:v>GameSessionServiceTests.cs</x:v>
      </x:c>
      <x:c r="D646" s="24" t="str">
        <x:v>Code</x:v>
      </x:c>
      <x:c r="E646" s="24" t="str">
        <x:v>EditMode</x:v>
      </x:c>
      <x:c r="F646" s="24" t="str">
        <x:v>VRM Games / Blas Luis Rocha González</x:v>
      </x:c>
      <x:c r="G646" s="24" t="str">
        <x:v>VRM Games / Blas Luis Rocha González</x:v>
      </x:c>
      <x:c r="H646" s="24" t="str">
        <x:v>Internal project production</x:v>
      </x:c>
      <x:c r="I646" s="24" t="str">
        <x:v>2026 project timeline</x:v>
      </x:c>
      <x:c r="J646" s="24" t="str">
        <x:v>Internal project IP / authorship claim</x:v>
      </x:c>
      <x:c r="K646" s="24" t="str">
        <x:v>N/A</x:v>
      </x:c>
      <x:c r="L646" s="24" t="str">
        <x:v>Source package + repository path + hash</x:v>
      </x:c>
      <x:c r="M646" s="24" t="str">
        <x:v>2264ed93349af0470034be1fdf6e4d019c2b4f3567994593e5a01361823e6c0c</x:v>
      </x:c>
      <x:c r="N646" s="24" t="str">
        <x:v>Assets/_Project/Tests/EditMode/GameSessionServiceTests.cs</x:v>
      </x:c>
      <x:c r="O646" s="24" t="str">
        <x:v>755f6a3a0f254695b607d3e15a6d1ca3</x:v>
      </x:c>
      <x:c r="P646" s="24" t="str">
        <x:v>Sí</x:v>
      </x:c>
      <x:c r="Q646" s="24" t="str">
        <x:v>Condicionado a autoría/procedencia final</x:v>
      </x:c>
      <x:c r="R646" s="24" t="str">
        <x:v>Solo dentro del producto/build autorizado</x:v>
      </x:c>
      <x:c r="S646" s="24" t="str">
        <x:v>Crédito general del estudio; individual si aplica</x:v>
      </x:c>
      <x:c r="T646" s="24" t="str">
        <x:v>VRM Games / Blas Luis Rocha González</x:v>
      </x:c>
      <x:c r="U646" s="24" t="str">
        <x:v>CURRENT PROJECT ASSET</x:v>
      </x:c>
      <x:c r="V646" s="24" t="str">
        <x:v>CONDITIONALLY APPROVED</x:v>
      </x:c>
      <x:c r="W646" s="24" t="str">
        <x:v>Sí</x:v>
      </x:c>
      <x:c r="X646" s="24" t="str">
        <x:v>Low</x:v>
      </x:c>
      <x:c r="Y646" s="24" t="str">
        <x:v>Internal development; public candidate requires gate</x:v>
      </x:c>
      <x:c r="Z646" s="24" t="str">
        <x:v>H6 legal/content audit</x:v>
      </x:c>
      <x:c r="AA646" s="24" t="str">
        <x:v>VRM Games</x:v>
      </x:c>
      <x:c r="AB646" s="24" t="str">
        <x:v>No se detectó proveedor externo en la ruta; confirmar autoría por lote antes de release público.</x:v>
      </x:c>
    </x:row>
    <x:row r="647" ht="34" customHeight="1">
      <x:c r="A647" s="24" t="str">
        <x:v>INT-0643</x:v>
      </x:c>
      <x:c r="B647" s="24" t="str">
        <x:v>8da5276022b24443afb579210baeebec</x:v>
      </x:c>
      <x:c r="C647" s="24" t="str">
        <x:v>GameSessionTests.cs</x:v>
      </x:c>
      <x:c r="D647" s="24" t="str">
        <x:v>Code</x:v>
      </x:c>
      <x:c r="E647" s="24" t="str">
        <x:v>EditMode</x:v>
      </x:c>
      <x:c r="F647" s="24" t="str">
        <x:v>VRM Games / Blas Luis Rocha González</x:v>
      </x:c>
      <x:c r="G647" s="24" t="str">
        <x:v>VRM Games / Blas Luis Rocha González</x:v>
      </x:c>
      <x:c r="H647" s="24" t="str">
        <x:v>Internal project production</x:v>
      </x:c>
      <x:c r="I647" s="24" t="str">
        <x:v>2026 project timeline</x:v>
      </x:c>
      <x:c r="J647" s="24" t="str">
        <x:v>Internal project IP / authorship claim</x:v>
      </x:c>
      <x:c r="K647" s="24" t="str">
        <x:v>N/A</x:v>
      </x:c>
      <x:c r="L647" s="24" t="str">
        <x:v>Source package + repository path + hash</x:v>
      </x:c>
      <x:c r="M647" s="24" t="str">
        <x:v>f37eca793df6e025ba41f18ffef71841b11b4d8d96d38d9ab985d34db8193fc0</x:v>
      </x:c>
      <x:c r="N647" s="24" t="str">
        <x:v>Assets/_Project/Tests/EditMode/GameSessionTests.cs</x:v>
      </x:c>
      <x:c r="O647" s="24" t="str">
        <x:v>8da5276022b24443afb579210baeebec</x:v>
      </x:c>
      <x:c r="P647" s="24" t="str">
        <x:v>Sí</x:v>
      </x:c>
      <x:c r="Q647" s="24" t="str">
        <x:v>Condicionado a autoría/procedencia final</x:v>
      </x:c>
      <x:c r="R647" s="24" t="str">
        <x:v>Solo dentro del producto/build autorizado</x:v>
      </x:c>
      <x:c r="S647" s="24" t="str">
        <x:v>Crédito general del estudio; individual si aplica</x:v>
      </x:c>
      <x:c r="T647" s="24" t="str">
        <x:v>VRM Games / Blas Luis Rocha González</x:v>
      </x:c>
      <x:c r="U647" s="24" t="str">
        <x:v>CURRENT PROJECT ASSET</x:v>
      </x:c>
      <x:c r="V647" s="24" t="str">
        <x:v>CONDITIONALLY APPROVED</x:v>
      </x:c>
      <x:c r="W647" s="24" t="str">
        <x:v>Sí</x:v>
      </x:c>
      <x:c r="X647" s="24" t="str">
        <x:v>Low</x:v>
      </x:c>
      <x:c r="Y647" s="24" t="str">
        <x:v>Internal development; public candidate requires gate</x:v>
      </x:c>
      <x:c r="Z647" s="24" t="str">
        <x:v>H6 legal/content audit</x:v>
      </x:c>
      <x:c r="AA647" s="24" t="str">
        <x:v>VRM Games</x:v>
      </x:c>
      <x:c r="AB647" s="24" t="str">
        <x:v>No se detectó proveedor externo en la ruta; confirmar autoría por lote antes de release público.</x:v>
      </x:c>
    </x:row>
    <x:row r="648" ht="34" customHeight="1">
      <x:c r="A648" s="24" t="str">
        <x:v>INT-0644</x:v>
      </x:c>
      <x:c r="B648" s="24" t="str">
        <x:v>8fe4359294c14ee6a36f32f12c3dca23</x:v>
      </x:c>
      <x:c r="C648" s="24" t="str">
        <x:v>GridCoordinateTests.cs</x:v>
      </x:c>
      <x:c r="D648" s="24" t="str">
        <x:v>Code</x:v>
      </x:c>
      <x:c r="E648" s="24" t="str">
        <x:v>EditMode</x:v>
      </x:c>
      <x:c r="F648" s="24" t="str">
        <x:v>VRM Games / Blas Luis Rocha González</x:v>
      </x:c>
      <x:c r="G648" s="24" t="str">
        <x:v>VRM Games / Blas Luis Rocha González</x:v>
      </x:c>
      <x:c r="H648" s="24" t="str">
        <x:v>Internal project production</x:v>
      </x:c>
      <x:c r="I648" s="24" t="str">
        <x:v>2026 project timeline</x:v>
      </x:c>
      <x:c r="J648" s="24" t="str">
        <x:v>Internal project IP / authorship claim</x:v>
      </x:c>
      <x:c r="K648" s="24" t="str">
        <x:v>N/A</x:v>
      </x:c>
      <x:c r="L648" s="24" t="str">
        <x:v>Source package + repository path + hash</x:v>
      </x:c>
      <x:c r="M648" s="24" t="str">
        <x:v>119a15a31510b9675386c0cc941591daa299611b8235f866a629cc719c9916d5</x:v>
      </x:c>
      <x:c r="N648" s="24" t="str">
        <x:v>Assets/_Project/Tests/EditMode/Grid/GridCoordinateTests.cs</x:v>
      </x:c>
      <x:c r="O648" s="24" t="str">
        <x:v>8fe4359294c14ee6a36f32f12c3dca23</x:v>
      </x:c>
      <x:c r="P648" s="24" t="str">
        <x:v>Sí</x:v>
      </x:c>
      <x:c r="Q648" s="24" t="str">
        <x:v>Condicionado a autoría/procedencia final</x:v>
      </x:c>
      <x:c r="R648" s="24" t="str">
        <x:v>Solo dentro del producto/build autorizado</x:v>
      </x:c>
      <x:c r="S648" s="24" t="str">
        <x:v>Crédito general del estudio; individual si aplica</x:v>
      </x:c>
      <x:c r="T648" s="24" t="str">
        <x:v>VRM Games / Blas Luis Rocha González</x:v>
      </x:c>
      <x:c r="U648" s="24" t="str">
        <x:v>CURRENT PROJECT ASSET</x:v>
      </x:c>
      <x:c r="V648" s="24" t="str">
        <x:v>CONDITIONALLY APPROVED</x:v>
      </x:c>
      <x:c r="W648" s="24" t="str">
        <x:v>Sí</x:v>
      </x:c>
      <x:c r="X648" s="24" t="str">
        <x:v>Low</x:v>
      </x:c>
      <x:c r="Y648" s="24" t="str">
        <x:v>Internal development; public candidate requires gate</x:v>
      </x:c>
      <x:c r="Z648" s="24" t="str">
        <x:v>H6 legal/content audit</x:v>
      </x:c>
      <x:c r="AA648" s="24" t="str">
        <x:v>VRM Games</x:v>
      </x:c>
      <x:c r="AB648" s="24" t="str">
        <x:v>No se detectó proveedor externo en la ruta; confirmar autoría por lote antes de release público.</x:v>
      </x:c>
    </x:row>
    <x:row r="649" ht="34" customHeight="1">
      <x:c r="A649" s="24" t="str">
        <x:v>INT-0645</x:v>
      </x:c>
      <x:c r="B649" s="24" t="str">
        <x:v>ea732bc422314af6ba03d45f0f09ceab</x:v>
      </x:c>
      <x:c r="C649" s="24" t="str">
        <x:v>GridFootprintAndBoundsTests.cs</x:v>
      </x:c>
      <x:c r="D649" s="24" t="str">
        <x:v>Code</x:v>
      </x:c>
      <x:c r="E649" s="24" t="str">
        <x:v>EditMode</x:v>
      </x:c>
      <x:c r="F649" s="24" t="str">
        <x:v>VRM Games / Blas Luis Rocha González</x:v>
      </x:c>
      <x:c r="G649" s="24" t="str">
        <x:v>VRM Games / Blas Luis Rocha González</x:v>
      </x:c>
      <x:c r="H649" s="24" t="str">
        <x:v>Internal project production</x:v>
      </x:c>
      <x:c r="I649" s="24" t="str">
        <x:v>2026 project timeline</x:v>
      </x:c>
      <x:c r="J649" s="24" t="str">
        <x:v>Internal project IP / authorship claim</x:v>
      </x:c>
      <x:c r="K649" s="24" t="str">
        <x:v>N/A</x:v>
      </x:c>
      <x:c r="L649" s="24" t="str">
        <x:v>Source package + repository path + hash</x:v>
      </x:c>
      <x:c r="M649" s="24" t="str">
        <x:v>45a80fe62e3018adc874d231c609c2bb1499c745dafe76ec191eb8a9b74be4f9</x:v>
      </x:c>
      <x:c r="N649" s="24" t="str">
        <x:v>Assets/_Project/Tests/EditMode/Grid/GridFootprintAndBoundsTests.cs</x:v>
      </x:c>
      <x:c r="O649" s="24" t="str">
        <x:v>ea732bc422314af6ba03d45f0f09ceab</x:v>
      </x:c>
      <x:c r="P649" s="24" t="str">
        <x:v>Sí</x:v>
      </x:c>
      <x:c r="Q649" s="24" t="str">
        <x:v>Condicionado a autoría/procedencia final</x:v>
      </x:c>
      <x:c r="R649" s="24" t="str">
        <x:v>Solo dentro del producto/build autorizado</x:v>
      </x:c>
      <x:c r="S649" s="24" t="str">
        <x:v>Crédito general del estudio; individual si aplica</x:v>
      </x:c>
      <x:c r="T649" s="24" t="str">
        <x:v>VRM Games / Blas Luis Rocha González</x:v>
      </x:c>
      <x:c r="U649" s="24" t="str">
        <x:v>CURRENT PROJECT ASSET</x:v>
      </x:c>
      <x:c r="V649" s="24" t="str">
        <x:v>CONDITIONALLY APPROVED</x:v>
      </x:c>
      <x:c r="W649" s="24" t="str">
        <x:v>Sí</x:v>
      </x:c>
      <x:c r="X649" s="24" t="str">
        <x:v>Low</x:v>
      </x:c>
      <x:c r="Y649" s="24" t="str">
        <x:v>Internal development; public candidate requires gate</x:v>
      </x:c>
      <x:c r="Z649" s="24" t="str">
        <x:v>H6 legal/content audit</x:v>
      </x:c>
      <x:c r="AA649" s="24" t="str">
        <x:v>VRM Games</x:v>
      </x:c>
      <x:c r="AB649" s="24" t="str">
        <x:v>No se detectó proveedor externo en la ruta; confirmar autoría por lote antes de release público.</x:v>
      </x:c>
    </x:row>
    <x:row r="650" ht="34" customHeight="1">
      <x:c r="A650" s="24" t="str">
        <x:v>INT-0646</x:v>
      </x:c>
      <x:c r="B650" s="24" t="str">
        <x:v>e179cf44cff6414cacdc60ccc5d3e5b1</x:v>
      </x:c>
      <x:c r="C650" s="24" t="str">
        <x:v>GridProjectionCalculatorTests.cs</x:v>
      </x:c>
      <x:c r="D650" s="24" t="str">
        <x:v>Code</x:v>
      </x:c>
      <x:c r="E650" s="24" t="str">
        <x:v>EditMode</x:v>
      </x:c>
      <x:c r="F650" s="24" t="str">
        <x:v>VRM Games / Blas Luis Rocha González</x:v>
      </x:c>
      <x:c r="G650" s="24" t="str">
        <x:v>VRM Games / Blas Luis Rocha González</x:v>
      </x:c>
      <x:c r="H650" s="24" t="str">
        <x:v>Internal project production</x:v>
      </x:c>
      <x:c r="I650" s="24" t="str">
        <x:v>2026 project timeline</x:v>
      </x:c>
      <x:c r="J650" s="24" t="str">
        <x:v>Internal project IP / authorship claim</x:v>
      </x:c>
      <x:c r="K650" s="24" t="str">
        <x:v>N/A</x:v>
      </x:c>
      <x:c r="L650" s="24" t="str">
        <x:v>Source package + repository path + hash</x:v>
      </x:c>
      <x:c r="M650" s="24" t="str">
        <x:v>5abf2a5e32caf25c17cde90395046499686365cc4463ecd68d946a1e5dbf4fce</x:v>
      </x:c>
      <x:c r="N650" s="24" t="str">
        <x:v>Assets/_Project/Tests/EditMode/Grid/GridProjectionCalculatorTests.cs</x:v>
      </x:c>
      <x:c r="O650" s="24" t="str">
        <x:v>e179cf44cff6414cacdc60ccc5d3e5b1</x:v>
      </x:c>
      <x:c r="P650" s="24" t="str">
        <x:v>Sí</x:v>
      </x:c>
      <x:c r="Q650" s="24" t="str">
        <x:v>Condicionado a autoría/procedencia final</x:v>
      </x:c>
      <x:c r="R650" s="24" t="str">
        <x:v>Solo dentro del producto/build autorizado</x:v>
      </x:c>
      <x:c r="S650" s="24" t="str">
        <x:v>Crédito general del estudio; individual si aplica</x:v>
      </x:c>
      <x:c r="T650" s="24" t="str">
        <x:v>VRM Games / Blas Luis Rocha González</x:v>
      </x:c>
      <x:c r="U650" s="24" t="str">
        <x:v>CURRENT PROJECT ASSET</x:v>
      </x:c>
      <x:c r="V650" s="24" t="str">
        <x:v>CONDITIONALLY APPROVED</x:v>
      </x:c>
      <x:c r="W650" s="24" t="str">
        <x:v>Sí</x:v>
      </x:c>
      <x:c r="X650" s="24" t="str">
        <x:v>Low</x:v>
      </x:c>
      <x:c r="Y650" s="24" t="str">
        <x:v>Internal development; public candidate requires gate</x:v>
      </x:c>
      <x:c r="Z650" s="24" t="str">
        <x:v>H6 legal/content audit</x:v>
      </x:c>
      <x:c r="AA650" s="24" t="str">
        <x:v>VRM Games</x:v>
      </x:c>
      <x:c r="AB650" s="24" t="str">
        <x:v>No se detectó proveedor externo en la ruta; confirmar autoría por lote antes de release público.</x:v>
      </x:c>
    </x:row>
    <x:row r="651" ht="34" customHeight="1">
      <x:c r="A651" s="24" t="str">
        <x:v>INT-0647</x:v>
      </x:c>
      <x:c r="B651" s="24" t="str">
        <x:v>6eca8b31d4564c5e903c2f649ffe2a51</x:v>
      </x:c>
      <x:c r="C651" s="24" t="str">
        <x:v>GridSizeAndRotationTests.cs</x:v>
      </x:c>
      <x:c r="D651" s="24" t="str">
        <x:v>Code</x:v>
      </x:c>
      <x:c r="E651" s="24" t="str">
        <x:v>EditMode</x:v>
      </x:c>
      <x:c r="F651" s="24" t="str">
        <x:v>VRM Games / Blas Luis Rocha González</x:v>
      </x:c>
      <x:c r="G651" s="24" t="str">
        <x:v>VRM Games / Blas Luis Rocha González</x:v>
      </x:c>
      <x:c r="H651" s="24" t="str">
        <x:v>Internal project production</x:v>
      </x:c>
      <x:c r="I651" s="24" t="str">
        <x:v>2026 project timeline</x:v>
      </x:c>
      <x:c r="J651" s="24" t="str">
        <x:v>Internal project IP / authorship claim</x:v>
      </x:c>
      <x:c r="K651" s="24" t="str">
        <x:v>N/A</x:v>
      </x:c>
      <x:c r="L651" s="24" t="str">
        <x:v>Source package + repository path + hash</x:v>
      </x:c>
      <x:c r="M651" s="24" t="str">
        <x:v>b827194a16ff18c6231e9a01a8af0e5bc35a4ad029de73a312cedaf962927917</x:v>
      </x:c>
      <x:c r="N651" s="24" t="str">
        <x:v>Assets/_Project/Tests/EditMode/Grid/GridSizeAndRotationTests.cs</x:v>
      </x:c>
      <x:c r="O651" s="24" t="str">
        <x:v>6eca8b31d4564c5e903c2f649ffe2a51</x:v>
      </x:c>
      <x:c r="P651" s="24" t="str">
        <x:v>Sí</x:v>
      </x:c>
      <x:c r="Q651" s="24" t="str">
        <x:v>Condicionado a autoría/procedencia final</x:v>
      </x:c>
      <x:c r="R651" s="24" t="str">
        <x:v>Solo dentro del producto/build autorizado</x:v>
      </x:c>
      <x:c r="S651" s="24" t="str">
        <x:v>Crédito general del estudio; individual si aplica</x:v>
      </x:c>
      <x:c r="T651" s="24" t="str">
        <x:v>VRM Games / Blas Luis Rocha González</x:v>
      </x:c>
      <x:c r="U651" s="24" t="str">
        <x:v>CURRENT PROJECT ASSET</x:v>
      </x:c>
      <x:c r="V651" s="24" t="str">
        <x:v>CONDITIONALLY APPROVED</x:v>
      </x:c>
      <x:c r="W651" s="24" t="str">
        <x:v>Sí</x:v>
      </x:c>
      <x:c r="X651" s="24" t="str">
        <x:v>Low</x:v>
      </x:c>
      <x:c r="Y651" s="24" t="str">
        <x:v>Internal development; public candidate requires gate</x:v>
      </x:c>
      <x:c r="Z651" s="24" t="str">
        <x:v>H6 legal/content audit</x:v>
      </x:c>
      <x:c r="AA651" s="24" t="str">
        <x:v>VRM Games</x:v>
      </x:c>
      <x:c r="AB651" s="24" t="str">
        <x:v>No se detectó proveedor externo en la ruta; confirmar autoría por lote antes de release público.</x:v>
      </x:c>
    </x:row>
    <x:row r="652" ht="34" customHeight="1">
      <x:c r="A652" s="24" t="str">
        <x:v>INT-0648</x:v>
      </x:c>
      <x:c r="B652" s="24" t="str">
        <x:v>a9d247e94e4f4dc0b5744b5c267892bc</x:v>
      </x:c>
      <x:c r="C652" s="24" t="str">
        <x:v>InputContextServiceTests.cs</x:v>
      </x:c>
      <x:c r="D652" s="24" t="str">
        <x:v>Code</x:v>
      </x:c>
      <x:c r="E652" s="24" t="str">
        <x:v>EditMode</x:v>
      </x:c>
      <x:c r="F652" s="24" t="str">
        <x:v>VRM Games / Blas Luis Rocha González</x:v>
      </x:c>
      <x:c r="G652" s="24" t="str">
        <x:v>VRM Games / Blas Luis Rocha González</x:v>
      </x:c>
      <x:c r="H652" s="24" t="str">
        <x:v>Internal project production</x:v>
      </x:c>
      <x:c r="I652" s="24" t="str">
        <x:v>2026 project timeline</x:v>
      </x:c>
      <x:c r="J652" s="24" t="str">
        <x:v>Internal project IP / authorship claim</x:v>
      </x:c>
      <x:c r="K652" s="24" t="str">
        <x:v>N/A</x:v>
      </x:c>
      <x:c r="L652" s="24" t="str">
        <x:v>Source package + repository path + hash</x:v>
      </x:c>
      <x:c r="M652" s="24" t="str">
        <x:v>380d9b0692aee60991b06f3dec48c5e38cb43baed9cf0c549ad70c18ae786c71</x:v>
      </x:c>
      <x:c r="N652" s="24" t="str">
        <x:v>Assets/_Project/Tests/EditMode/InputContextServiceTests.cs</x:v>
      </x:c>
      <x:c r="O652" s="24" t="str">
        <x:v>a9d247e94e4f4dc0b5744b5c267892bc</x:v>
      </x:c>
      <x:c r="P652" s="24" t="str">
        <x:v>Sí</x:v>
      </x:c>
      <x:c r="Q652" s="24" t="str">
        <x:v>Condicionado a autoría/procedencia final</x:v>
      </x:c>
      <x:c r="R652" s="24" t="str">
        <x:v>Solo dentro del producto/build autorizado</x:v>
      </x:c>
      <x:c r="S652" s="24" t="str">
        <x:v>Crédito general del estudio; individual si aplica</x:v>
      </x:c>
      <x:c r="T652" s="24" t="str">
        <x:v>VRM Games / Blas Luis Rocha González</x:v>
      </x:c>
      <x:c r="U652" s="24" t="str">
        <x:v>CURRENT PROJECT ASSET</x:v>
      </x:c>
      <x:c r="V652" s="24" t="str">
        <x:v>CONDITIONALLY APPROVED</x:v>
      </x:c>
      <x:c r="W652" s="24" t="str">
        <x:v>Sí</x:v>
      </x:c>
      <x:c r="X652" s="24" t="str">
        <x:v>Low</x:v>
      </x:c>
      <x:c r="Y652" s="24" t="str">
        <x:v>Internal development; public candidate requires gate</x:v>
      </x:c>
      <x:c r="Z652" s="24" t="str">
        <x:v>H6 legal/content audit</x:v>
      </x:c>
      <x:c r="AA652" s="24" t="str">
        <x:v>VRM Games</x:v>
      </x:c>
      <x:c r="AB652" s="24" t="str">
        <x:v>No se detectó proveedor externo en la ruta; confirmar autoría por lote antes de release público.</x:v>
      </x:c>
    </x:row>
    <x:row r="653" ht="34" customHeight="1">
      <x:c r="A653" s="24" t="str">
        <x:v>INT-0649</x:v>
      </x:c>
      <x:c r="B653" s="24" t="str">
        <x:v>4020226333075256c865ba9cd500338e</x:v>
      </x:c>
      <x:c r="C653" s="24" t="str">
        <x:v>InventoryContainerTests.cs</x:v>
      </x:c>
      <x:c r="D653" s="24" t="str">
        <x:v>Code</x:v>
      </x:c>
      <x:c r="E653" s="24" t="str">
        <x:v>EditMode</x:v>
      </x:c>
      <x:c r="F653" s="24" t="str">
        <x:v>VRM Games / Blas Luis Rocha González</x:v>
      </x:c>
      <x:c r="G653" s="24" t="str">
        <x:v>VRM Games / Blas Luis Rocha González</x:v>
      </x:c>
      <x:c r="H653" s="24" t="str">
        <x:v>Internal project production</x:v>
      </x:c>
      <x:c r="I653" s="24" t="str">
        <x:v>2026 project timeline</x:v>
      </x:c>
      <x:c r="J653" s="24" t="str">
        <x:v>Internal project IP / authorship claim</x:v>
      </x:c>
      <x:c r="K653" s="24" t="str">
        <x:v>N/A</x:v>
      </x:c>
      <x:c r="L653" s="24" t="str">
        <x:v>Source package + repository path + hash</x:v>
      </x:c>
      <x:c r="M653" s="24" t="str">
        <x:v>b2173bbe1d638424895cbe413784149165397730541e080a1ce016abf732eff3</x:v>
      </x:c>
      <x:c r="N653" s="24" t="str">
        <x:v>Assets/_Project/Tests/EditMode/Inventory/InventoryContainerTests.cs</x:v>
      </x:c>
      <x:c r="O653" s="24" t="str">
        <x:v>4020226333075256c865ba9cd500338e</x:v>
      </x:c>
      <x:c r="P653" s="24" t="str">
        <x:v>Sí</x:v>
      </x:c>
      <x:c r="Q653" s="24" t="str">
        <x:v>Condicionado a autoría/procedencia final</x:v>
      </x:c>
      <x:c r="R653" s="24" t="str">
        <x:v>Solo dentro del producto/build autorizado</x:v>
      </x:c>
      <x:c r="S653" s="24" t="str">
        <x:v>Crédito general del estudio; individual si aplica</x:v>
      </x:c>
      <x:c r="T653" s="24" t="str">
        <x:v>VRM Games / Blas Luis Rocha González</x:v>
      </x:c>
      <x:c r="U653" s="24" t="str">
        <x:v>CURRENT PROJECT ASSET</x:v>
      </x:c>
      <x:c r="V653" s="24" t="str">
        <x:v>CONDITIONALLY APPROVED</x:v>
      </x:c>
      <x:c r="W653" s="24" t="str">
        <x:v>Sí</x:v>
      </x:c>
      <x:c r="X653" s="24" t="str">
        <x:v>Low</x:v>
      </x:c>
      <x:c r="Y653" s="24" t="str">
        <x:v>Internal development; public candidate requires gate</x:v>
      </x:c>
      <x:c r="Z653" s="24" t="str">
        <x:v>H6 legal/content audit</x:v>
      </x:c>
      <x:c r="AA653" s="24" t="str">
        <x:v>VRM Games</x:v>
      </x:c>
      <x:c r="AB653" s="24" t="str">
        <x:v>No se detectó proveedor externo en la ruta; confirmar autoría por lote antes de release público.</x:v>
      </x:c>
    </x:row>
    <x:row r="654" ht="34" customHeight="1">
      <x:c r="A654" s="24" t="str">
        <x:v>INT-0650</x:v>
      </x:c>
      <x:c r="B654" s="24" t="str">
        <x:v>6defab107bc0af3f3f0b61f00a55a2c6</x:v>
      </x:c>
      <x:c r="C654" s="24" t="str">
        <x:v>InventoryTransferServiceTests.cs</x:v>
      </x:c>
      <x:c r="D654" s="24" t="str">
        <x:v>Code</x:v>
      </x:c>
      <x:c r="E654" s="24" t="str">
        <x:v>EditMode</x:v>
      </x:c>
      <x:c r="F654" s="24" t="str">
        <x:v>VRM Games / Blas Luis Rocha González</x:v>
      </x:c>
      <x:c r="G654" s="24" t="str">
        <x:v>VRM Games / Blas Luis Rocha González</x:v>
      </x:c>
      <x:c r="H654" s="24" t="str">
        <x:v>Internal project production</x:v>
      </x:c>
      <x:c r="I654" s="24" t="str">
        <x:v>2026 project timeline</x:v>
      </x:c>
      <x:c r="J654" s="24" t="str">
        <x:v>Internal project IP / authorship claim</x:v>
      </x:c>
      <x:c r="K654" s="24" t="str">
        <x:v>N/A</x:v>
      </x:c>
      <x:c r="L654" s="24" t="str">
        <x:v>Source package + repository path + hash</x:v>
      </x:c>
      <x:c r="M654" s="24" t="str">
        <x:v>70016cd034a6309767ad1737559ccb64177e291b4b15b181f60d01828fbd8714</x:v>
      </x:c>
      <x:c r="N654" s="24" t="str">
        <x:v>Assets/_Project/Tests/EditMode/Inventory/InventoryTransferServiceTests.cs</x:v>
      </x:c>
      <x:c r="O654" s="24" t="str">
        <x:v>6defab107bc0af3f3f0b61f00a55a2c6</x:v>
      </x:c>
      <x:c r="P654" s="24" t="str">
        <x:v>Sí</x:v>
      </x:c>
      <x:c r="Q654" s="24" t="str">
        <x:v>Condicionado a autoría/procedencia final</x:v>
      </x:c>
      <x:c r="R654" s="24" t="str">
        <x:v>Solo dentro del producto/build autorizado</x:v>
      </x:c>
      <x:c r="S654" s="24" t="str">
        <x:v>Crédito general del estudio; individual si aplica</x:v>
      </x:c>
      <x:c r="T654" s="24" t="str">
        <x:v>VRM Games / Blas Luis Rocha González</x:v>
      </x:c>
      <x:c r="U654" s="24" t="str">
        <x:v>CURRENT PROJECT ASSET</x:v>
      </x:c>
      <x:c r="V654" s="24" t="str">
        <x:v>CONDITIONALLY APPROVED</x:v>
      </x:c>
      <x:c r="W654" s="24" t="str">
        <x:v>Sí</x:v>
      </x:c>
      <x:c r="X654" s="24" t="str">
        <x:v>Low</x:v>
      </x:c>
      <x:c r="Y654" s="24" t="str">
        <x:v>Internal development; public candidate requires gate</x:v>
      </x:c>
      <x:c r="Z654" s="24" t="str">
        <x:v>H6 legal/content audit</x:v>
      </x:c>
      <x:c r="AA654" s="24" t="str">
        <x:v>VRM Games</x:v>
      </x:c>
      <x:c r="AB654" s="24" t="str">
        <x:v>No se detectó proveedor externo en la ruta; confirmar autoría por lote antes de release público.</x:v>
      </x:c>
    </x:row>
    <x:row r="655" ht="34" customHeight="1">
      <x:c r="A655" s="24" t="str">
        <x:v>INT-0651</x:v>
      </x:c>
      <x:c r="B655" s="24" t="str">
        <x:v>2199382bd3cac2be8ca1cf9dfb69e0a1</x:v>
      </x:c>
      <x:c r="C655" s="24" t="str">
        <x:v>QuantityAndStackTests.cs</x:v>
      </x:c>
      <x:c r="D655" s="24" t="str">
        <x:v>Code</x:v>
      </x:c>
      <x:c r="E655" s="24" t="str">
        <x:v>EditMode</x:v>
      </x:c>
      <x:c r="F655" s="24" t="str">
        <x:v>VRM Games / Blas Luis Rocha González</x:v>
      </x:c>
      <x:c r="G655" s="24" t="str">
        <x:v>VRM Games / Blas Luis Rocha González</x:v>
      </x:c>
      <x:c r="H655" s="24" t="str">
        <x:v>Internal project production</x:v>
      </x:c>
      <x:c r="I655" s="24" t="str">
        <x:v>2026 project timeline</x:v>
      </x:c>
      <x:c r="J655" s="24" t="str">
        <x:v>Internal project IP / authorship claim</x:v>
      </x:c>
      <x:c r="K655" s="24" t="str">
        <x:v>N/A</x:v>
      </x:c>
      <x:c r="L655" s="24" t="str">
        <x:v>Source package + repository path + hash</x:v>
      </x:c>
      <x:c r="M655" s="24" t="str">
        <x:v>c35dbaae716ab5cd23af7629ca00123f01252553672e91f8cbf41d513442d3cd</x:v>
      </x:c>
      <x:c r="N655" s="24" t="str">
        <x:v>Assets/_Project/Tests/EditMode/Inventory/QuantityAndStackTests.cs</x:v>
      </x:c>
      <x:c r="O655" s="24" t="str">
        <x:v>2199382bd3cac2be8ca1cf9dfb69e0a1</x:v>
      </x:c>
      <x:c r="P655" s="24" t="str">
        <x:v>Sí</x:v>
      </x:c>
      <x:c r="Q655" s="24" t="str">
        <x:v>Condicionado a autoría/procedencia final</x:v>
      </x:c>
      <x:c r="R655" s="24" t="str">
        <x:v>Solo dentro del producto/build autorizado</x:v>
      </x:c>
      <x:c r="S655" s="24" t="str">
        <x:v>Crédito general del estudio; individual si aplica</x:v>
      </x:c>
      <x:c r="T655" s="24" t="str">
        <x:v>VRM Games / Blas Luis Rocha González</x:v>
      </x:c>
      <x:c r="U655" s="24" t="str">
        <x:v>CURRENT PROJECT ASSET</x:v>
      </x:c>
      <x:c r="V655" s="24" t="str">
        <x:v>CONDITIONALLY APPROVED</x:v>
      </x:c>
      <x:c r="W655" s="24" t="str">
        <x:v>Sí</x:v>
      </x:c>
      <x:c r="X655" s="24" t="str">
        <x:v>Low</x:v>
      </x:c>
      <x:c r="Y655" s="24" t="str">
        <x:v>Internal development; public candidate requires gate</x:v>
      </x:c>
      <x:c r="Z655" s="24" t="str">
        <x:v>H6 legal/content audit</x:v>
      </x:c>
      <x:c r="AA655" s="24" t="str">
        <x:v>VRM Games</x:v>
      </x:c>
      <x:c r="AB655" s="24" t="str">
        <x:v>No se detectó proveedor externo en la ruta; confirmar autoría por lote antes de release público.</x:v>
      </x:c>
    </x:row>
    <x:row r="656" ht="34" customHeight="1">
      <x:c r="A656" s="24" t="str">
        <x:v>INT-0652</x:v>
      </x:c>
      <x:c r="B656" s="24" t="str">
        <x:v>1091e07da467427eb97d845f6e4c14ca</x:v>
      </x:c>
      <x:c r="C656" s="24" t="str">
        <x:v>JsonSaveGameRepositoryTests.cs</x:v>
      </x:c>
      <x:c r="D656" s="24" t="str">
        <x:v>Code</x:v>
      </x:c>
      <x:c r="E656" s="24" t="str">
        <x:v>EditMode</x:v>
      </x:c>
      <x:c r="F656" s="24" t="str">
        <x:v>VRM Games / Blas Luis Rocha González</x:v>
      </x:c>
      <x:c r="G656" s="24" t="str">
        <x:v>VRM Games / Blas Luis Rocha González</x:v>
      </x:c>
      <x:c r="H656" s="24" t="str">
        <x:v>Internal project production</x:v>
      </x:c>
      <x:c r="I656" s="24" t="str">
        <x:v>2026 project timeline</x:v>
      </x:c>
      <x:c r="J656" s="24" t="str">
        <x:v>Internal project IP / authorship claim</x:v>
      </x:c>
      <x:c r="K656" s="24" t="str">
        <x:v>N/A</x:v>
      </x:c>
      <x:c r="L656" s="24" t="str">
        <x:v>Source package + repository path + hash</x:v>
      </x:c>
      <x:c r="M656" s="24" t="str">
        <x:v>38dd14ffaf54effdc754814a73eeb819986959ca43fa5af0b52f3ec313a85006</x:v>
      </x:c>
      <x:c r="N656" s="24" t="str">
        <x:v>Assets/_Project/Tests/EditMode/JsonSaveGameRepositoryTests.cs</x:v>
      </x:c>
      <x:c r="O656" s="24" t="str">
        <x:v>1091e07da467427eb97d845f6e4c14ca</x:v>
      </x:c>
      <x:c r="P656" s="24" t="str">
        <x:v>Sí</x:v>
      </x:c>
      <x:c r="Q656" s="24" t="str">
        <x:v>Condicionado a autoría/procedencia final</x:v>
      </x:c>
      <x:c r="R656" s="24" t="str">
        <x:v>Solo dentro del producto/build autorizado</x:v>
      </x:c>
      <x:c r="S656" s="24" t="str">
        <x:v>Crédito general del estudio; individual si aplica</x:v>
      </x:c>
      <x:c r="T656" s="24" t="str">
        <x:v>VRM Games / Blas Luis Rocha González</x:v>
      </x:c>
      <x:c r="U656" s="24" t="str">
        <x:v>CURRENT PROJECT ASSET</x:v>
      </x:c>
      <x:c r="V656" s="24" t="str">
        <x:v>CONDITIONALLY APPROVED</x:v>
      </x:c>
      <x:c r="W656" s="24" t="str">
        <x:v>Sí</x:v>
      </x:c>
      <x:c r="X656" s="24" t="str">
        <x:v>Low</x:v>
      </x:c>
      <x:c r="Y656" s="24" t="str">
        <x:v>Internal development; public candidate requires gate</x:v>
      </x:c>
      <x:c r="Z656" s="24" t="str">
        <x:v>H6 legal/content audit</x:v>
      </x:c>
      <x:c r="AA656" s="24" t="str">
        <x:v>VRM Games</x:v>
      </x:c>
      <x:c r="AB656" s="24" t="str">
        <x:v>No se detectó proveedor externo en la ruta; confirmar autoría por lote antes de release público.</x:v>
      </x:c>
    </x:row>
    <x:row r="657" ht="34" customHeight="1">
      <x:c r="A657" s="24" t="str">
        <x:v>INT-0653</x:v>
      </x:c>
      <x:c r="B657" s="24" t="str">
        <x:v>fdcf1f1869aa48d2bbc00b30048eb07a</x:v>
      </x:c>
      <x:c r="C657" s="24" t="str">
        <x:v>OrbitCameraCalculatorTests.cs</x:v>
      </x:c>
      <x:c r="D657" s="24" t="str">
        <x:v>Code</x:v>
      </x:c>
      <x:c r="E657" s="24" t="str">
        <x:v>EditMode</x:v>
      </x:c>
      <x:c r="F657" s="24" t="str">
        <x:v>VRM Games / Blas Luis Rocha González</x:v>
      </x:c>
      <x:c r="G657" s="24" t="str">
        <x:v>VRM Games / Blas Luis Rocha González</x:v>
      </x:c>
      <x:c r="H657" s="24" t="str">
        <x:v>Internal project production</x:v>
      </x:c>
      <x:c r="I657" s="24" t="str">
        <x:v>2026 project timeline</x:v>
      </x:c>
      <x:c r="J657" s="24" t="str">
        <x:v>Internal project IP / authorship claim</x:v>
      </x:c>
      <x:c r="K657" s="24" t="str">
        <x:v>N/A</x:v>
      </x:c>
      <x:c r="L657" s="24" t="str">
        <x:v>Source package + repository path + hash</x:v>
      </x:c>
      <x:c r="M657" s="24" t="str">
        <x:v>550d863f9ea4e0574fae84d9b207c98e6d84766e1bea12ce794482d1289f3b11</x:v>
      </x:c>
      <x:c r="N657" s="24" t="str">
        <x:v>Assets/_Project/Tests/EditMode/OrbitCameraCalculatorTests.cs</x:v>
      </x:c>
      <x:c r="O657" s="24" t="str">
        <x:v>fdcf1f1869aa48d2bbc00b30048eb07a</x:v>
      </x:c>
      <x:c r="P657" s="24" t="str">
        <x:v>Sí</x:v>
      </x:c>
      <x:c r="Q657" s="24" t="str">
        <x:v>Condicionado a autoría/procedencia final</x:v>
      </x:c>
      <x:c r="R657" s="24" t="str">
        <x:v>Solo dentro del producto/build autorizado</x:v>
      </x:c>
      <x:c r="S657" s="24" t="str">
        <x:v>Crédito general del estudio; individual si aplica</x:v>
      </x:c>
      <x:c r="T657" s="24" t="str">
        <x:v>VRM Games / Blas Luis Rocha González</x:v>
      </x:c>
      <x:c r="U657" s="24" t="str">
        <x:v>CURRENT PROJECT ASSET</x:v>
      </x:c>
      <x:c r="V657" s="24" t="str">
        <x:v>CONDITIONALLY APPROVED</x:v>
      </x:c>
      <x:c r="W657" s="24" t="str">
        <x:v>Sí</x:v>
      </x:c>
      <x:c r="X657" s="24" t="str">
        <x:v>Low</x:v>
      </x:c>
      <x:c r="Y657" s="24" t="str">
        <x:v>Internal development; public candidate requires gate</x:v>
      </x:c>
      <x:c r="Z657" s="24" t="str">
        <x:v>H6 legal/content audit</x:v>
      </x:c>
      <x:c r="AA657" s="24" t="str">
        <x:v>VRM Games</x:v>
      </x:c>
      <x:c r="AB657" s="24" t="str">
        <x:v>No se detectó proveedor externo en la ruta; confirmar autoría por lote antes de release público.</x:v>
      </x:c>
    </x:row>
    <x:row r="658" ht="34" customHeight="1">
      <x:c r="A658" s="24" t="str">
        <x:v>INT-0654</x:v>
      </x:c>
      <x:c r="B658" s="24" t="str">
        <x:v>ba5049694a744abfa62c99ebc6049b4e</x:v>
      </x:c>
      <x:c r="C658" s="24" t="str">
        <x:v>PurchaseOrderTests.cs</x:v>
      </x:c>
      <x:c r="D658" s="24" t="str">
        <x:v>Code</x:v>
      </x:c>
      <x:c r="E658" s="24" t="str">
        <x:v>EditMode</x:v>
      </x:c>
      <x:c r="F658" s="24" t="str">
        <x:v>VRM Games / Blas Luis Rocha González</x:v>
      </x:c>
      <x:c r="G658" s="24" t="str">
        <x:v>VRM Games / Blas Luis Rocha González</x:v>
      </x:c>
      <x:c r="H658" s="24" t="str">
        <x:v>Internal project production</x:v>
      </x:c>
      <x:c r="I658" s="24" t="str">
        <x:v>2026 project timeline</x:v>
      </x:c>
      <x:c r="J658" s="24" t="str">
        <x:v>Internal project IP / authorship claim</x:v>
      </x:c>
      <x:c r="K658" s="24" t="str">
        <x:v>N/A</x:v>
      </x:c>
      <x:c r="L658" s="24" t="str">
        <x:v>Source package + repository path + hash</x:v>
      </x:c>
      <x:c r="M658" s="24" t="str">
        <x:v>ce3ad5d197088f1456ae094ca5491fdf51f60e6968f165da25d990c37fdc192f</x:v>
      </x:c>
      <x:c r="N658" s="24" t="str">
        <x:v>Assets/_Project/Tests/EditMode/Orders/PurchaseOrderTests.cs</x:v>
      </x:c>
      <x:c r="O658" s="24" t="str">
        <x:v>ba5049694a744abfa62c99ebc6049b4e</x:v>
      </x:c>
      <x:c r="P658" s="24" t="str">
        <x:v>Sí</x:v>
      </x:c>
      <x:c r="Q658" s="24" t="str">
        <x:v>Condicionado a autoría/procedencia final</x:v>
      </x:c>
      <x:c r="R658" s="24" t="str">
        <x:v>Solo dentro del producto/build autorizado</x:v>
      </x:c>
      <x:c r="S658" s="24" t="str">
        <x:v>Crédito general del estudio; individual si aplica</x:v>
      </x:c>
      <x:c r="T658" s="24" t="str">
        <x:v>VRM Games / Blas Luis Rocha González</x:v>
      </x:c>
      <x:c r="U658" s="24" t="str">
        <x:v>CURRENT PROJECT ASSET</x:v>
      </x:c>
      <x:c r="V658" s="24" t="str">
        <x:v>CONDITIONALLY APPROVED</x:v>
      </x:c>
      <x:c r="W658" s="24" t="str">
        <x:v>Sí</x:v>
      </x:c>
      <x:c r="X658" s="24" t="str">
        <x:v>Low</x:v>
      </x:c>
      <x:c r="Y658" s="24" t="str">
        <x:v>Internal development; public candidate requires gate</x:v>
      </x:c>
      <x:c r="Z658" s="24" t="str">
        <x:v>H6 legal/content audit</x:v>
      </x:c>
      <x:c r="AA658" s="24" t="str">
        <x:v>VRM Games</x:v>
      </x:c>
      <x:c r="AB658" s="24" t="str">
        <x:v>No se detectó proveedor externo en la ruta; confirmar autoría por lote antes de release público.</x:v>
      </x:c>
    </x:row>
    <x:row r="659" ht="34" customHeight="1">
      <x:c r="A659" s="24" t="str">
        <x:v>INT-0655</x:v>
      </x:c>
      <x:c r="B659" s="24" t="str">
        <x:v>3f04e06e120a4f579e4d1ccf24b9784f</x:v>
      </x:c>
      <x:c r="C659" s="24" t="str">
        <x:v>SupplierOrderServiceTests.cs</x:v>
      </x:c>
      <x:c r="D659" s="24" t="str">
        <x:v>Code</x:v>
      </x:c>
      <x:c r="E659" s="24" t="str">
        <x:v>EditMode</x:v>
      </x:c>
      <x:c r="F659" s="24" t="str">
        <x:v>VRM Games / Blas Luis Rocha González</x:v>
      </x:c>
      <x:c r="G659" s="24" t="str">
        <x:v>VRM Games / Blas Luis Rocha González</x:v>
      </x:c>
      <x:c r="H659" s="24" t="str">
        <x:v>Internal project production</x:v>
      </x:c>
      <x:c r="I659" s="24" t="str">
        <x:v>2026 project timeline</x:v>
      </x:c>
      <x:c r="J659" s="24" t="str">
        <x:v>Internal project IP / authorship claim</x:v>
      </x:c>
      <x:c r="K659" s="24" t="str">
        <x:v>N/A</x:v>
      </x:c>
      <x:c r="L659" s="24" t="str">
        <x:v>Source package + repository path + hash</x:v>
      </x:c>
      <x:c r="M659" s="24" t="str">
        <x:v>95a4251354e57a1083160bd3cfc68c430b45dc053d095a18ede16d4ff0b0206d</x:v>
      </x:c>
      <x:c r="N659" s="24" t="str">
        <x:v>Assets/_Project/Tests/EditMode/Orders/SupplierOrderServiceTests.cs</x:v>
      </x:c>
      <x:c r="O659" s="24" t="str">
        <x:v>3f04e06e120a4f579e4d1ccf24b9784f</x:v>
      </x:c>
      <x:c r="P659" s="24" t="str">
        <x:v>Sí</x:v>
      </x:c>
      <x:c r="Q659" s="24" t="str">
        <x:v>Condicionado a autoría/procedencia final</x:v>
      </x:c>
      <x:c r="R659" s="24" t="str">
        <x:v>Solo dentro del producto/build autorizado</x:v>
      </x:c>
      <x:c r="S659" s="24" t="str">
        <x:v>Crédito general del estudio; individual si aplica</x:v>
      </x:c>
      <x:c r="T659" s="24" t="str">
        <x:v>VRM Games / Blas Luis Rocha González</x:v>
      </x:c>
      <x:c r="U659" s="24" t="str">
        <x:v>CURRENT PROJECT ASSET</x:v>
      </x:c>
      <x:c r="V659" s="24" t="str">
        <x:v>CONDITIONALLY APPROVED</x:v>
      </x:c>
      <x:c r="W659" s="24" t="str">
        <x:v>Sí</x:v>
      </x:c>
      <x:c r="X659" s="24" t="str">
        <x:v>Low</x:v>
      </x:c>
      <x:c r="Y659" s="24" t="str">
        <x:v>Internal development; public candidate requires gate</x:v>
      </x:c>
      <x:c r="Z659" s="24" t="str">
        <x:v>H6 legal/content audit</x:v>
      </x:c>
      <x:c r="AA659" s="24" t="str">
        <x:v>VRM Games</x:v>
      </x:c>
      <x:c r="AB659" s="24" t="str">
        <x:v>No se detectó proveedor externo en la ruta; confirmar autoría por lote antes de release público.</x:v>
      </x:c>
    </x:row>
    <x:row r="660" ht="34" customHeight="1">
      <x:c r="A660" s="24" t="str">
        <x:v>INT-0656</x:v>
      </x:c>
      <x:c r="B660" s="24" t="str">
        <x:v>26f0c79fcca5429f8580ee77f3a1acf4</x:v>
      </x:c>
      <x:c r="C660" s="24" t="str">
        <x:v>IntegratedGameStateBuilderTests.cs</x:v>
      </x:c>
      <x:c r="D660" s="24" t="str">
        <x:v>Code</x:v>
      </x:c>
      <x:c r="E660" s="24" t="str">
        <x:v>EditMode</x:v>
      </x:c>
      <x:c r="F660" s="24" t="str">
        <x:v>VRM Games / Blas Luis Rocha González</x:v>
      </x:c>
      <x:c r="G660" s="24" t="str">
        <x:v>VRM Games / Blas Luis Rocha González</x:v>
      </x:c>
      <x:c r="H660" s="24" t="str">
        <x:v>Internal project production</x:v>
      </x:c>
      <x:c r="I660" s="24" t="str">
        <x:v>2026 project timeline</x:v>
      </x:c>
      <x:c r="J660" s="24" t="str">
        <x:v>Internal project IP / authorship claim</x:v>
      </x:c>
      <x:c r="K660" s="24" t="str">
        <x:v>N/A</x:v>
      </x:c>
      <x:c r="L660" s="24" t="str">
        <x:v>Source package + repository path + hash</x:v>
      </x:c>
      <x:c r="M660" s="24" t="str">
        <x:v>96d99427d8ab67fabc5908561a0e6f5124c42bf41623d1f90196517ee89b747a</x:v>
      </x:c>
      <x:c r="N660" s="24" t="str">
        <x:v>Assets/_Project/Tests/EditMode/Persistence/IntegratedGameStateBuilderTests.cs</x:v>
      </x:c>
      <x:c r="O660" s="24" t="str">
        <x:v>26f0c79fcca5429f8580ee77f3a1acf4</x:v>
      </x:c>
      <x:c r="P660" s="24" t="str">
        <x:v>Sí</x:v>
      </x:c>
      <x:c r="Q660" s="24" t="str">
        <x:v>Condicionado a autoría/procedencia final</x:v>
      </x:c>
      <x:c r="R660" s="24" t="str">
        <x:v>Solo dentro del producto/build autorizado</x:v>
      </x:c>
      <x:c r="S660" s="24" t="str">
        <x:v>Crédito general del estudio; individual si aplica</x:v>
      </x:c>
      <x:c r="T660" s="24" t="str">
        <x:v>VRM Games / Blas Luis Rocha González</x:v>
      </x:c>
      <x:c r="U660" s="24" t="str">
        <x:v>CURRENT PROJECT ASSET</x:v>
      </x:c>
      <x:c r="V660" s="24" t="str">
        <x:v>CONDITIONALLY APPROVED</x:v>
      </x:c>
      <x:c r="W660" s="24" t="str">
        <x:v>Sí</x:v>
      </x:c>
      <x:c r="X660" s="24" t="str">
        <x:v>Low</x:v>
      </x:c>
      <x:c r="Y660" s="24" t="str">
        <x:v>Internal development; public candidate requires gate</x:v>
      </x:c>
      <x:c r="Z660" s="24" t="str">
        <x:v>H6 legal/content audit</x:v>
      </x:c>
      <x:c r="AA660" s="24" t="str">
        <x:v>VRM Games</x:v>
      </x:c>
      <x:c r="AB660" s="24" t="str">
        <x:v>No se detectó proveedor externo en la ruta; confirmar autoría por lote antes de release público.</x:v>
      </x:c>
    </x:row>
    <x:row r="661" ht="34" customHeight="1">
      <x:c r="A661" s="24" t="str">
        <x:v>INT-0657</x:v>
      </x:c>
      <x:c r="B661" s="24" t="str">
        <x:v>9a8ec9b2dcea4963bb6e90ab901a0419</x:v>
      </x:c>
      <x:c r="C661" s="24" t="str">
        <x:v>IntegratedSaveJsonCodecTests.cs</x:v>
      </x:c>
      <x:c r="D661" s="24" t="str">
        <x:v>Code</x:v>
      </x:c>
      <x:c r="E661" s="24" t="str">
        <x:v>EditMode</x:v>
      </x:c>
      <x:c r="F661" s="24" t="str">
        <x:v>VRM Games / Blas Luis Rocha González</x:v>
      </x:c>
      <x:c r="G661" s="24" t="str">
        <x:v>VRM Games / Blas Luis Rocha González</x:v>
      </x:c>
      <x:c r="H661" s="24" t="str">
        <x:v>Internal project production</x:v>
      </x:c>
      <x:c r="I661" s="24" t="str">
        <x:v>2026 project timeline</x:v>
      </x:c>
      <x:c r="J661" s="24" t="str">
        <x:v>Internal project IP / authorship claim</x:v>
      </x:c>
      <x:c r="K661" s="24" t="str">
        <x:v>N/A</x:v>
      </x:c>
      <x:c r="L661" s="24" t="str">
        <x:v>Source package + repository path + hash</x:v>
      </x:c>
      <x:c r="M661" s="24" t="str">
        <x:v>c88ec1bf362c126f6232a7641525ea4dd46a90a7e60f36b0633eaa4b38f9c605</x:v>
      </x:c>
      <x:c r="N661" s="24" t="str">
        <x:v>Assets/_Project/Tests/EditMode/Persistence/IntegratedSaveJsonCodecTests.cs</x:v>
      </x:c>
      <x:c r="O661" s="24" t="str">
        <x:v>9a8ec9b2dcea4963bb6e90ab901a0419</x:v>
      </x:c>
      <x:c r="P661" s="24" t="str">
        <x:v>Sí</x:v>
      </x:c>
      <x:c r="Q661" s="24" t="str">
        <x:v>Condicionado a autoría/procedencia final</x:v>
      </x:c>
      <x:c r="R661" s="24" t="str">
        <x:v>Solo dentro del producto/build autorizado</x:v>
      </x:c>
      <x:c r="S661" s="24" t="str">
        <x:v>Crédito general del estudio; individual si aplica</x:v>
      </x:c>
      <x:c r="T661" s="24" t="str">
        <x:v>VRM Games / Blas Luis Rocha González</x:v>
      </x:c>
      <x:c r="U661" s="24" t="str">
        <x:v>CURRENT PROJECT ASSET</x:v>
      </x:c>
      <x:c r="V661" s="24" t="str">
        <x:v>CONDITIONALLY APPROVED</x:v>
      </x:c>
      <x:c r="W661" s="24" t="str">
        <x:v>Sí</x:v>
      </x:c>
      <x:c r="X661" s="24" t="str">
        <x:v>Low</x:v>
      </x:c>
      <x:c r="Y661" s="24" t="str">
        <x:v>Internal development; public candidate requires gate</x:v>
      </x:c>
      <x:c r="Z661" s="24" t="str">
        <x:v>H6 legal/content audit</x:v>
      </x:c>
      <x:c r="AA661" s="24" t="str">
        <x:v>VRM Games</x:v>
      </x:c>
      <x:c r="AB661" s="24" t="str">
        <x:v>No se detectó proveedor externo en la ruta; confirmar autoría por lote antes de release público.</x:v>
      </x:c>
    </x:row>
    <x:row r="662" ht="34" customHeight="1">
      <x:c r="A662" s="24" t="str">
        <x:v>INT-0658</x:v>
      </x:c>
      <x:c r="B662" s="24" t="str">
        <x:v>7dc0685b33f94befbcc962575963acd5</x:v>
      </x:c>
      <x:c r="C662" s="24" t="str">
        <x:v>IntegratedSaveServiceTests.cs</x:v>
      </x:c>
      <x:c r="D662" s="24" t="str">
        <x:v>Code</x:v>
      </x:c>
      <x:c r="E662" s="24" t="str">
        <x:v>EditMode</x:v>
      </x:c>
      <x:c r="F662" s="24" t="str">
        <x:v>VRM Games / Blas Luis Rocha González</x:v>
      </x:c>
      <x:c r="G662" s="24" t="str">
        <x:v>VRM Games / Blas Luis Rocha González</x:v>
      </x:c>
      <x:c r="H662" s="24" t="str">
        <x:v>Internal project production</x:v>
      </x:c>
      <x:c r="I662" s="24" t="str">
        <x:v>2026 project timeline</x:v>
      </x:c>
      <x:c r="J662" s="24" t="str">
        <x:v>Internal project IP / authorship claim</x:v>
      </x:c>
      <x:c r="K662" s="24" t="str">
        <x:v>N/A</x:v>
      </x:c>
      <x:c r="L662" s="24" t="str">
        <x:v>Source package + repository path + hash</x:v>
      </x:c>
      <x:c r="M662" s="24" t="str">
        <x:v>7ac79b8ee93557604b41e5b6cbd1fcc5bde4b2a094ce08f87dcebd8c7a14d2df</x:v>
      </x:c>
      <x:c r="N662" s="24" t="str">
        <x:v>Assets/_Project/Tests/EditMode/Persistence/IntegratedSaveServiceTests.cs</x:v>
      </x:c>
      <x:c r="O662" s="24" t="str">
        <x:v>7dc0685b33f94befbcc962575963acd5</x:v>
      </x:c>
      <x:c r="P662" s="24" t="str">
        <x:v>Sí</x:v>
      </x:c>
      <x:c r="Q662" s="24" t="str">
        <x:v>Condicionado a autoría/procedencia final</x:v>
      </x:c>
      <x:c r="R662" s="24" t="str">
        <x:v>Solo dentro del producto/build autorizado</x:v>
      </x:c>
      <x:c r="S662" s="24" t="str">
        <x:v>Crédito general del estudio; individual si aplica</x:v>
      </x:c>
      <x:c r="T662" s="24" t="str">
        <x:v>VRM Games / Blas Luis Rocha González</x:v>
      </x:c>
      <x:c r="U662" s="24" t="str">
        <x:v>CURRENT PROJECT ASSET</x:v>
      </x:c>
      <x:c r="V662" s="24" t="str">
        <x:v>CONDITIONALLY APPROVED</x:v>
      </x:c>
      <x:c r="W662" s="24" t="str">
        <x:v>Sí</x:v>
      </x:c>
      <x:c r="X662" s="24" t="str">
        <x:v>Low</x:v>
      </x:c>
      <x:c r="Y662" s="24" t="str">
        <x:v>Internal development; public candidate requires gate</x:v>
      </x:c>
      <x:c r="Z662" s="24" t="str">
        <x:v>H6 legal/content audit</x:v>
      </x:c>
      <x:c r="AA662" s="24" t="str">
        <x:v>VRM Games</x:v>
      </x:c>
      <x:c r="AB662" s="24" t="str">
        <x:v>No se detectó proveedor externo en la ruta; confirmar autoría por lote antes de release público.</x:v>
      </x:c>
    </x:row>
    <x:row r="663" ht="34" customHeight="1">
      <x:c r="A663" s="24" t="str">
        <x:v>INT-0659</x:v>
      </x:c>
      <x:c r="B663" s="24" t="str">
        <x:v>bb094528236d455ea0311ec411b1024e</x:v>
      </x:c>
      <x:c r="C663" s="24" t="str">
        <x:v>IntegratedSnapshotValidationTests.cs</x:v>
      </x:c>
      <x:c r="D663" s="24" t="str">
        <x:v>Code</x:v>
      </x:c>
      <x:c r="E663" s="24" t="str">
        <x:v>EditMode</x:v>
      </x:c>
      <x:c r="F663" s="24" t="str">
        <x:v>VRM Games / Blas Luis Rocha González</x:v>
      </x:c>
      <x:c r="G663" s="24" t="str">
        <x:v>VRM Games / Blas Luis Rocha González</x:v>
      </x:c>
      <x:c r="H663" s="24" t="str">
        <x:v>Internal project production</x:v>
      </x:c>
      <x:c r="I663" s="24" t="str">
        <x:v>2026 project timeline</x:v>
      </x:c>
      <x:c r="J663" s="24" t="str">
        <x:v>Internal project IP / authorship claim</x:v>
      </x:c>
      <x:c r="K663" s="24" t="str">
        <x:v>N/A</x:v>
      </x:c>
      <x:c r="L663" s="24" t="str">
        <x:v>Source package + repository path + hash</x:v>
      </x:c>
      <x:c r="M663" s="24" t="str">
        <x:v>1c0c6cd9bc0f9158b8311fbab6d8e3607f4f92932214c43d8d47ad52eb1151da</x:v>
      </x:c>
      <x:c r="N663" s="24" t="str">
        <x:v>Assets/_Project/Tests/EditMode/Persistence/IntegratedSnapshotValidationTests.cs</x:v>
      </x:c>
      <x:c r="O663" s="24" t="str">
        <x:v>bb094528236d455ea0311ec411b1024e</x:v>
      </x:c>
      <x:c r="P663" s="24" t="str">
        <x:v>Sí</x:v>
      </x:c>
      <x:c r="Q663" s="24" t="str">
        <x:v>Condicionado a autoría/procedencia final</x:v>
      </x:c>
      <x:c r="R663" s="24" t="str">
        <x:v>Solo dentro del producto/build autorizado</x:v>
      </x:c>
      <x:c r="S663" s="24" t="str">
        <x:v>Crédito general del estudio; individual si aplica</x:v>
      </x:c>
      <x:c r="T663" s="24" t="str">
        <x:v>VRM Games / Blas Luis Rocha González</x:v>
      </x:c>
      <x:c r="U663" s="24" t="str">
        <x:v>CURRENT PROJECT ASSET</x:v>
      </x:c>
      <x:c r="V663" s="24" t="str">
        <x:v>CONDITIONALLY APPROVED</x:v>
      </x:c>
      <x:c r="W663" s="24" t="str">
        <x:v>Sí</x:v>
      </x:c>
      <x:c r="X663" s="24" t="str">
        <x:v>Low</x:v>
      </x:c>
      <x:c r="Y663" s="24" t="str">
        <x:v>Internal development; public candidate requires gate</x:v>
      </x:c>
      <x:c r="Z663" s="24" t="str">
        <x:v>H6 legal/content audit</x:v>
      </x:c>
      <x:c r="AA663" s="24" t="str">
        <x:v>VRM Games</x:v>
      </x:c>
      <x:c r="AB663" s="24" t="str">
        <x:v>No se detectó proveedor externo en la ruta; confirmar autoría por lote antes de release público.</x:v>
      </x:c>
    </x:row>
    <x:row r="664" ht="34" customHeight="1">
      <x:c r="A664" s="24" t="str">
        <x:v>INT-0660</x:v>
      </x:c>
      <x:c r="B664" s="24" t="str">
        <x:v>738263e8d0e2446ca9f3eb875213e336</x:v>
      </x:c>
      <x:c r="C664" s="24" t="str">
        <x:v>JsonIntegratedSaveRepositoryTests.cs</x:v>
      </x:c>
      <x:c r="D664" s="24" t="str">
        <x:v>Code</x:v>
      </x:c>
      <x:c r="E664" s="24" t="str">
        <x:v>EditMode</x:v>
      </x:c>
      <x:c r="F664" s="24" t="str">
        <x:v>VRM Games / Blas Luis Rocha González</x:v>
      </x:c>
      <x:c r="G664" s="24" t="str">
        <x:v>VRM Games / Blas Luis Rocha González</x:v>
      </x:c>
      <x:c r="H664" s="24" t="str">
        <x:v>Internal project production</x:v>
      </x:c>
      <x:c r="I664" s="24" t="str">
        <x:v>2026 project timeline</x:v>
      </x:c>
      <x:c r="J664" s="24" t="str">
        <x:v>Internal project IP / authorship claim</x:v>
      </x:c>
      <x:c r="K664" s="24" t="str">
        <x:v>N/A</x:v>
      </x:c>
      <x:c r="L664" s="24" t="str">
        <x:v>Source package + repository path + hash</x:v>
      </x:c>
      <x:c r="M664" s="24" t="str">
        <x:v>d5df225495e832c04d6c28463893a938ad249f74cb25e0d000f7f0609398193f</x:v>
      </x:c>
      <x:c r="N664" s="24" t="str">
        <x:v>Assets/_Project/Tests/EditMode/Persistence/JsonIntegratedSaveRepositoryTests.cs</x:v>
      </x:c>
      <x:c r="O664" s="24" t="str">
        <x:v>738263e8d0e2446ca9f3eb875213e336</x:v>
      </x:c>
      <x:c r="P664" s="24" t="str">
        <x:v>Sí</x:v>
      </x:c>
      <x:c r="Q664" s="24" t="str">
        <x:v>Condicionado a autoría/procedencia final</x:v>
      </x:c>
      <x:c r="R664" s="24" t="str">
        <x:v>Solo dentro del producto/build autorizado</x:v>
      </x:c>
      <x:c r="S664" s="24" t="str">
        <x:v>Crédito general del estudio; individual si aplica</x:v>
      </x:c>
      <x:c r="T664" s="24" t="str">
        <x:v>VRM Games / Blas Luis Rocha González</x:v>
      </x:c>
      <x:c r="U664" s="24" t="str">
        <x:v>CURRENT PROJECT ASSET</x:v>
      </x:c>
      <x:c r="V664" s="24" t="str">
        <x:v>CONDITIONALLY APPROVED</x:v>
      </x:c>
      <x:c r="W664" s="24" t="str">
        <x:v>Sí</x:v>
      </x:c>
      <x:c r="X664" s="24" t="str">
        <x:v>Low</x:v>
      </x:c>
      <x:c r="Y664" s="24" t="str">
        <x:v>Internal development; public candidate requires gate</x:v>
      </x:c>
      <x:c r="Z664" s="24" t="str">
        <x:v>H6 legal/content audit</x:v>
      </x:c>
      <x:c r="AA664" s="24" t="str">
        <x:v>VRM Games</x:v>
      </x:c>
      <x:c r="AB664" s="24" t="str">
        <x:v>No se detectó proveedor externo en la ruta; confirmar autoría por lote antes de release público.</x:v>
      </x:c>
    </x:row>
    <x:row r="665" ht="34" customHeight="1">
      <x:c r="A665" s="24" t="str">
        <x:v>INT-0661</x:v>
      </x:c>
      <x:c r="B665" s="24" t="str">
        <x:v>40381b3c1e84447b904500b1d70cb610</x:v>
      </x:c>
      <x:c r="C665" s="24" t="str">
        <x:v>PersistenceTestFactory.cs</x:v>
      </x:c>
      <x:c r="D665" s="24" t="str">
        <x:v>Code</x:v>
      </x:c>
      <x:c r="E665" s="24" t="str">
        <x:v>EditMode</x:v>
      </x:c>
      <x:c r="F665" s="24" t="str">
        <x:v>VRM Games / Blas Luis Rocha González</x:v>
      </x:c>
      <x:c r="G665" s="24" t="str">
        <x:v>VRM Games / Blas Luis Rocha González</x:v>
      </x:c>
      <x:c r="H665" s="24" t="str">
        <x:v>Internal project production</x:v>
      </x:c>
      <x:c r="I665" s="24" t="str">
        <x:v>2026 project timeline</x:v>
      </x:c>
      <x:c r="J665" s="24" t="str">
        <x:v>Internal project IP / authorship claim</x:v>
      </x:c>
      <x:c r="K665" s="24" t="str">
        <x:v>N/A</x:v>
      </x:c>
      <x:c r="L665" s="24" t="str">
        <x:v>Source package + repository path + hash</x:v>
      </x:c>
      <x:c r="M665" s="24" t="str">
        <x:v>78b831135d9598eeaeb862f9dd649805b9ba8b6f9dab9a2a5b135ba8fbf700d1</x:v>
      </x:c>
      <x:c r="N665" s="24" t="str">
        <x:v>Assets/_Project/Tests/EditMode/Persistence/PersistenceTestFactory.cs</x:v>
      </x:c>
      <x:c r="O665" s="24" t="str">
        <x:v>40381b3c1e84447b904500b1d70cb610</x:v>
      </x:c>
      <x:c r="P665" s="24" t="str">
        <x:v>Sí</x:v>
      </x:c>
      <x:c r="Q665" s="24" t="str">
        <x:v>Condicionado a autoría/procedencia final</x:v>
      </x:c>
      <x:c r="R665" s="24" t="str">
        <x:v>Solo dentro del producto/build autorizado</x:v>
      </x:c>
      <x:c r="S665" s="24" t="str">
        <x:v>Crédito general del estudio; individual si aplica</x:v>
      </x:c>
      <x:c r="T665" s="24" t="str">
        <x:v>VRM Games / Blas Luis Rocha González</x:v>
      </x:c>
      <x:c r="U665" s="24" t="str">
        <x:v>CURRENT PROJECT ASSET</x:v>
      </x:c>
      <x:c r="V665" s="24" t="str">
        <x:v>CONDITIONALLY APPROVED</x:v>
      </x:c>
      <x:c r="W665" s="24" t="str">
        <x:v>Sí</x:v>
      </x:c>
      <x:c r="X665" s="24" t="str">
        <x:v>Low</x:v>
      </x:c>
      <x:c r="Y665" s="24" t="str">
        <x:v>Internal development; public candidate requires gate</x:v>
      </x:c>
      <x:c r="Z665" s="24" t="str">
        <x:v>H6 legal/content audit</x:v>
      </x:c>
      <x:c r="AA665" s="24" t="str">
        <x:v>VRM Games</x:v>
      </x:c>
      <x:c r="AB665" s="24" t="str">
        <x:v>No se detectó proveedor externo en la ruta; confirmar autoría por lote antes de release público.</x:v>
      </x:c>
    </x:row>
    <x:row r="666" ht="34" customHeight="1">
      <x:c r="A666" s="24" t="str">
        <x:v>INT-0662</x:v>
      </x:c>
      <x:c r="B666" s="24" t="str">
        <x:v>5d94a130685a42fd8fd25fedcd9c0bbc</x:v>
      </x:c>
      <x:c r="C666" s="24" t="str">
        <x:v>SavePersistenceAuthoringTests.cs</x:v>
      </x:c>
      <x:c r="D666" s="24" t="str">
        <x:v>Code</x:v>
      </x:c>
      <x:c r="E666" s="24" t="str">
        <x:v>EditMode</x:v>
      </x:c>
      <x:c r="F666" s="24" t="str">
        <x:v>VRM Games / Blas Luis Rocha González</x:v>
      </x:c>
      <x:c r="G666" s="24" t="str">
        <x:v>VRM Games / Blas Luis Rocha González</x:v>
      </x:c>
      <x:c r="H666" s="24" t="str">
        <x:v>Internal project production</x:v>
      </x:c>
      <x:c r="I666" s="24" t="str">
        <x:v>2026 project timeline</x:v>
      </x:c>
      <x:c r="J666" s="24" t="str">
        <x:v>Internal project IP / authorship claim</x:v>
      </x:c>
      <x:c r="K666" s="24" t="str">
        <x:v>N/A</x:v>
      </x:c>
      <x:c r="L666" s="24" t="str">
        <x:v>Source package + repository path + hash</x:v>
      </x:c>
      <x:c r="M666" s="24" t="str">
        <x:v>9742e25ad22e660615ce6c789559cb16f289e10ea6c9c7f86dc8f37cf735f97d</x:v>
      </x:c>
      <x:c r="N666" s="24" t="str">
        <x:v>Assets/_Project/Tests/EditMode/Persistence/SavePersistenceAuthoringTests.cs</x:v>
      </x:c>
      <x:c r="O666" s="24" t="str">
        <x:v>5d94a130685a42fd8fd25fedcd9c0bbc</x:v>
      </x:c>
      <x:c r="P666" s="24" t="str">
        <x:v>Sí</x:v>
      </x:c>
      <x:c r="Q666" s="24" t="str">
        <x:v>Condicionado a autoría/procedencia final</x:v>
      </x:c>
      <x:c r="R666" s="24" t="str">
        <x:v>Solo dentro del producto/build autorizado</x:v>
      </x:c>
      <x:c r="S666" s="24" t="str">
        <x:v>Crédito general del estudio; individual si aplica</x:v>
      </x:c>
      <x:c r="T666" s="24" t="str">
        <x:v>VRM Games / Blas Luis Rocha González</x:v>
      </x:c>
      <x:c r="U666" s="24" t="str">
        <x:v>CURRENT PROJECT ASSET</x:v>
      </x:c>
      <x:c r="V666" s="24" t="str">
        <x:v>CONDITIONALLY APPROVED</x:v>
      </x:c>
      <x:c r="W666" s="24" t="str">
        <x:v>Sí</x:v>
      </x:c>
      <x:c r="X666" s="24" t="str">
        <x:v>Low</x:v>
      </x:c>
      <x:c r="Y666" s="24" t="str">
        <x:v>Internal development; public candidate requires gate</x:v>
      </x:c>
      <x:c r="Z666" s="24" t="str">
        <x:v>H6 legal/content audit</x:v>
      </x:c>
      <x:c r="AA666" s="24" t="str">
        <x:v>VRM Games</x:v>
      </x:c>
      <x:c r="AB666" s="24" t="str">
        <x:v>No se detectó proveedor externo en la ruta; confirmar autoría por lote antes de release público.</x:v>
      </x:c>
    </x:row>
    <x:row r="667" ht="34" customHeight="1">
      <x:c r="A667" s="24" t="str">
        <x:v>INT-0663</x:v>
      </x:c>
      <x:c r="B667" s="24" t="str">
        <x:v>03eceedcb80247308562a4e264dc8350</x:v>
      </x:c>
      <x:c r="C667" s="24" t="str">
        <x:v>SaveRecordTests.cs</x:v>
      </x:c>
      <x:c r="D667" s="24" t="str">
        <x:v>Code</x:v>
      </x:c>
      <x:c r="E667" s="24" t="str">
        <x:v>EditMode</x:v>
      </x:c>
      <x:c r="F667" s="24" t="str">
        <x:v>VRM Games / Blas Luis Rocha González</x:v>
      </x:c>
      <x:c r="G667" s="24" t="str">
        <x:v>VRM Games / Blas Luis Rocha González</x:v>
      </x:c>
      <x:c r="H667" s="24" t="str">
        <x:v>Internal project production</x:v>
      </x:c>
      <x:c r="I667" s="24" t="str">
        <x:v>2026 project timeline</x:v>
      </x:c>
      <x:c r="J667" s="24" t="str">
        <x:v>Internal project IP / authorship claim</x:v>
      </x:c>
      <x:c r="K667" s="24" t="str">
        <x:v>N/A</x:v>
      </x:c>
      <x:c r="L667" s="24" t="str">
        <x:v>Source package + repository path + hash</x:v>
      </x:c>
      <x:c r="M667" s="24" t="str">
        <x:v>e216e1c42a36ac61f1b7297302ff501e4b0f5bf37173b1709499082d4dff3801</x:v>
      </x:c>
      <x:c r="N667" s="24" t="str">
        <x:v>Assets/_Project/Tests/EditMode/Persistence/SaveRecordTests.cs</x:v>
      </x:c>
      <x:c r="O667" s="24" t="str">
        <x:v>03eceedcb80247308562a4e264dc8350</x:v>
      </x:c>
      <x:c r="P667" s="24" t="str">
        <x:v>Sí</x:v>
      </x:c>
      <x:c r="Q667" s="24" t="str">
        <x:v>Condicionado a autoría/procedencia final</x:v>
      </x:c>
      <x:c r="R667" s="24" t="str">
        <x:v>Solo dentro del producto/build autorizado</x:v>
      </x:c>
      <x:c r="S667" s="24" t="str">
        <x:v>Crédito general del estudio; individual si aplica</x:v>
      </x:c>
      <x:c r="T667" s="24" t="str">
        <x:v>VRM Games / Blas Luis Rocha González</x:v>
      </x:c>
      <x:c r="U667" s="24" t="str">
        <x:v>CURRENT PROJECT ASSET</x:v>
      </x:c>
      <x:c r="V667" s="24" t="str">
        <x:v>CONDITIONALLY APPROVED</x:v>
      </x:c>
      <x:c r="W667" s="24" t="str">
        <x:v>Sí</x:v>
      </x:c>
      <x:c r="X667" s="24" t="str">
        <x:v>Low</x:v>
      </x:c>
      <x:c r="Y667" s="24" t="str">
        <x:v>Internal development; public candidate requires gate</x:v>
      </x:c>
      <x:c r="Z667" s="24" t="str">
        <x:v>H6 legal/content audit</x:v>
      </x:c>
      <x:c r="AA667" s="24" t="str">
        <x:v>VRM Games</x:v>
      </x:c>
      <x:c r="AB667" s="24" t="str">
        <x:v>No se detectó proveedor externo en la ruta; confirmar autoría por lote antes de release público.</x:v>
      </x:c>
    </x:row>
    <x:row r="668" ht="34" customHeight="1">
      <x:c r="A668" s="24" t="str">
        <x:v>INT-0664</x:v>
      </x:c>
      <x:c r="B668" s="24" t="str">
        <x:v>e79783fa8140403395d215cd1c6d81e6</x:v>
      </x:c>
      <x:c r="C668" s="24" t="str">
        <x:v>SaveRecoveryTests.cs</x:v>
      </x:c>
      <x:c r="D668" s="24" t="str">
        <x:v>Code</x:v>
      </x:c>
      <x:c r="E668" s="24" t="str">
        <x:v>EditMode</x:v>
      </x:c>
      <x:c r="F668" s="24" t="str">
        <x:v>VRM Games / Blas Luis Rocha González</x:v>
      </x:c>
      <x:c r="G668" s="24" t="str">
        <x:v>VRM Games / Blas Luis Rocha González</x:v>
      </x:c>
      <x:c r="H668" s="24" t="str">
        <x:v>Internal project production</x:v>
      </x:c>
      <x:c r="I668" s="24" t="str">
        <x:v>2026 project timeline</x:v>
      </x:c>
      <x:c r="J668" s="24" t="str">
        <x:v>Internal project IP / authorship claim</x:v>
      </x:c>
      <x:c r="K668" s="24" t="str">
        <x:v>N/A</x:v>
      </x:c>
      <x:c r="L668" s="24" t="str">
        <x:v>Source package + repository path + hash</x:v>
      </x:c>
      <x:c r="M668" s="24" t="str">
        <x:v>9fb4a67fcaf41a20fab4695efe423d94b621a3bad8762c36570e0fef31ed73ac</x:v>
      </x:c>
      <x:c r="N668" s="24" t="str">
        <x:v>Assets/_Project/Tests/EditMode/Persistence/SaveRecoveryTests.cs</x:v>
      </x:c>
      <x:c r="O668" s="24" t="str">
        <x:v>e79783fa8140403395d215cd1c6d81e6</x:v>
      </x:c>
      <x:c r="P668" s="24" t="str">
        <x:v>Sí</x:v>
      </x:c>
      <x:c r="Q668" s="24" t="str">
        <x:v>Condicionado a autoría/procedencia final</x:v>
      </x:c>
      <x:c r="R668" s="24" t="str">
        <x:v>Solo dentro del producto/build autorizado</x:v>
      </x:c>
      <x:c r="S668" s="24" t="str">
        <x:v>Crédito general del estudio; individual si aplica</x:v>
      </x:c>
      <x:c r="T668" s="24" t="str">
        <x:v>VRM Games / Blas Luis Rocha González</x:v>
      </x:c>
      <x:c r="U668" s="24" t="str">
        <x:v>CURRENT PROJECT ASSET</x:v>
      </x:c>
      <x:c r="V668" s="24" t="str">
        <x:v>CONDITIONALLY APPROVED</x:v>
      </x:c>
      <x:c r="W668" s="24" t="str">
        <x:v>Sí</x:v>
      </x:c>
      <x:c r="X668" s="24" t="str">
        <x:v>Low</x:v>
      </x:c>
      <x:c r="Y668" s="24" t="str">
        <x:v>Internal development; public candidate requires gate</x:v>
      </x:c>
      <x:c r="Z668" s="24" t="str">
        <x:v>H6 legal/content audit</x:v>
      </x:c>
      <x:c r="AA668" s="24" t="str">
        <x:v>VRM Games</x:v>
      </x:c>
      <x:c r="AB668" s="24" t="str">
        <x:v>No se detectó proveedor externo en la ruta; confirmar autoría por lote antes de release público.</x:v>
      </x:c>
    </x:row>
    <x:row r="669" ht="34" customHeight="1">
      <x:c r="A669" s="24" t="str">
        <x:v>INT-0665</x:v>
      </x:c>
      <x:c r="B669" s="24" t="str">
        <x:v>cf041c5f767041bf9b2caededc2c95bd</x:v>
      </x:c>
      <x:c r="C669" s="24" t="str">
        <x:v>GameplayDestinationInputPolicyTests.cs</x:v>
      </x:c>
      <x:c r="D669" s="24" t="str">
        <x:v>Code</x:v>
      </x:c>
      <x:c r="E669" s="24" t="str">
        <x:v>EditMode</x:v>
      </x:c>
      <x:c r="F669" s="24" t="str">
        <x:v>VRM Games / Blas Luis Rocha González</x:v>
      </x:c>
      <x:c r="G669" s="24" t="str">
        <x:v>VRM Games / Blas Luis Rocha González</x:v>
      </x:c>
      <x:c r="H669" s="24" t="str">
        <x:v>Internal project production</x:v>
      </x:c>
      <x:c r="I669" s="24" t="str">
        <x:v>2026 project timeline</x:v>
      </x:c>
      <x:c r="J669" s="24" t="str">
        <x:v>Internal project IP / authorship claim</x:v>
      </x:c>
      <x:c r="K669" s="24" t="str">
        <x:v>N/A</x:v>
      </x:c>
      <x:c r="L669" s="24" t="str">
        <x:v>Source package + repository path + hash</x:v>
      </x:c>
      <x:c r="M669" s="24" t="str">
        <x:v>aff8ba3847904133776107042d5a1e94d6ab6e81e05861a00540c16b18572944</x:v>
      </x:c>
      <x:c r="N669" s="24" t="str">
        <x:v>Assets/_Project/Tests/EditMode/Placement/GameplayDestinationInputPolicyTests.cs</x:v>
      </x:c>
      <x:c r="O669" s="24" t="str">
        <x:v>cf041c5f767041bf9b2caededc2c95bd</x:v>
      </x:c>
      <x:c r="P669" s="24" t="str">
        <x:v>Sí</x:v>
      </x:c>
      <x:c r="Q669" s="24" t="str">
        <x:v>Condicionado a autoría/procedencia final</x:v>
      </x:c>
      <x:c r="R669" s="24" t="str">
        <x:v>Solo dentro del producto/build autorizado</x:v>
      </x:c>
      <x:c r="S669" s="24" t="str">
        <x:v>Crédito general del estudio; individual si aplica</x:v>
      </x:c>
      <x:c r="T669" s="24" t="str">
        <x:v>VRM Games / Blas Luis Rocha González</x:v>
      </x:c>
      <x:c r="U669" s="24" t="str">
        <x:v>CURRENT PROJECT ASSET</x:v>
      </x:c>
      <x:c r="V669" s="24" t="str">
        <x:v>CONDITIONALLY APPROVED</x:v>
      </x:c>
      <x:c r="W669" s="24" t="str">
        <x:v>Sí</x:v>
      </x:c>
      <x:c r="X669" s="24" t="str">
        <x:v>Low</x:v>
      </x:c>
      <x:c r="Y669" s="24" t="str">
        <x:v>Internal development; public candidate requires gate</x:v>
      </x:c>
      <x:c r="Z669" s="24" t="str">
        <x:v>H6 legal/content audit</x:v>
      </x:c>
      <x:c r="AA669" s="24" t="str">
        <x:v>VRM Games</x:v>
      </x:c>
      <x:c r="AB669" s="24" t="str">
        <x:v>No se detectó proveedor externo en la ruta; confirmar autoría por lote antes de release público.</x:v>
      </x:c>
    </x:row>
    <x:row r="670" ht="34" customHeight="1">
      <x:c r="A670" s="24" t="str">
        <x:v>INT-0666</x:v>
      </x:c>
      <x:c r="B670" s="24" t="str">
        <x:v>3e2b5447bd894ebf95f81a95a8dd2ef4</x:v>
      </x:c>
      <x:c r="C670" s="24" t="str">
        <x:v>PlacementInstanceIdTests.cs</x:v>
      </x:c>
      <x:c r="D670" s="24" t="str">
        <x:v>Code</x:v>
      </x:c>
      <x:c r="E670" s="24" t="str">
        <x:v>EditMode</x:v>
      </x:c>
      <x:c r="F670" s="24" t="str">
        <x:v>VRM Games / Blas Luis Rocha González</x:v>
      </x:c>
      <x:c r="G670" s="24" t="str">
        <x:v>VRM Games / Blas Luis Rocha González</x:v>
      </x:c>
      <x:c r="H670" s="24" t="str">
        <x:v>Internal project production</x:v>
      </x:c>
      <x:c r="I670" s="24" t="str">
        <x:v>2026 project timeline</x:v>
      </x:c>
      <x:c r="J670" s="24" t="str">
        <x:v>Internal project IP / authorship claim</x:v>
      </x:c>
      <x:c r="K670" s="24" t="str">
        <x:v>N/A</x:v>
      </x:c>
      <x:c r="L670" s="24" t="str">
        <x:v>Source package + repository path + hash</x:v>
      </x:c>
      <x:c r="M670" s="24" t="str">
        <x:v>5c3411316b292fe412559968f2353b614d88daa507559b2351276f9b725edfce</x:v>
      </x:c>
      <x:c r="N670" s="24" t="str">
        <x:v>Assets/_Project/Tests/EditMode/Placement/PlacementInstanceIdTests.cs</x:v>
      </x:c>
      <x:c r="O670" s="24" t="str">
        <x:v>3e2b5447bd894ebf95f81a95a8dd2ef4</x:v>
      </x:c>
      <x:c r="P670" s="24" t="str">
        <x:v>Sí</x:v>
      </x:c>
      <x:c r="Q670" s="24" t="str">
        <x:v>Condicionado a autoría/procedencia final</x:v>
      </x:c>
      <x:c r="R670" s="24" t="str">
        <x:v>Solo dentro del producto/build autorizado</x:v>
      </x:c>
      <x:c r="S670" s="24" t="str">
        <x:v>Crédito general del estudio; individual si aplica</x:v>
      </x:c>
      <x:c r="T670" s="24" t="str">
        <x:v>VRM Games / Blas Luis Rocha González</x:v>
      </x:c>
      <x:c r="U670" s="24" t="str">
        <x:v>CURRENT PROJECT ASSET</x:v>
      </x:c>
      <x:c r="V670" s="24" t="str">
        <x:v>CONDITIONALLY APPROVED</x:v>
      </x:c>
      <x:c r="W670" s="24" t="str">
        <x:v>Sí</x:v>
      </x:c>
      <x:c r="X670" s="24" t="str">
        <x:v>Low</x:v>
      </x:c>
      <x:c r="Y670" s="24" t="str">
        <x:v>Internal development; public candidate requires gate</x:v>
      </x:c>
      <x:c r="Z670" s="24" t="str">
        <x:v>H6 legal/content audit</x:v>
      </x:c>
      <x:c r="AA670" s="24" t="str">
        <x:v>VRM Games</x:v>
      </x:c>
      <x:c r="AB670" s="24" t="str">
        <x:v>No se detectó proveedor externo en la ruta; confirmar autoría por lote antes de release público.</x:v>
      </x:c>
    </x:row>
    <x:row r="671" ht="34" customHeight="1">
      <x:c r="A671" s="24" t="str">
        <x:v>INT-0667</x:v>
      </x:c>
      <x:c r="B671" s="24" t="str">
        <x:v>aca2fbc80d4e44ab9d42c77954f856da</x:v>
      </x:c>
      <x:c r="C671" s="24" t="str">
        <x:v>PlacementOccupancyRegistryTests.cs</x:v>
      </x:c>
      <x:c r="D671" s="24" t="str">
        <x:v>Code</x:v>
      </x:c>
      <x:c r="E671" s="24" t="str">
        <x:v>EditMode</x:v>
      </x:c>
      <x:c r="F671" s="24" t="str">
        <x:v>VRM Games / Blas Luis Rocha González</x:v>
      </x:c>
      <x:c r="G671" s="24" t="str">
        <x:v>VRM Games / Blas Luis Rocha González</x:v>
      </x:c>
      <x:c r="H671" s="24" t="str">
        <x:v>Internal project production</x:v>
      </x:c>
      <x:c r="I671" s="24" t="str">
        <x:v>2026 project timeline</x:v>
      </x:c>
      <x:c r="J671" s="24" t="str">
        <x:v>Internal project IP / authorship claim</x:v>
      </x:c>
      <x:c r="K671" s="24" t="str">
        <x:v>N/A</x:v>
      </x:c>
      <x:c r="L671" s="24" t="str">
        <x:v>Source package + repository path + hash</x:v>
      </x:c>
      <x:c r="M671" s="24" t="str">
        <x:v>a79a8d772469fc990ce30f2f94499a33ba6ea266de7d5982c8c19e00f8f8319b</x:v>
      </x:c>
      <x:c r="N671" s="24" t="str">
        <x:v>Assets/_Project/Tests/EditMode/Placement/PlacementOccupancyRegistryTests.cs</x:v>
      </x:c>
      <x:c r="O671" s="24" t="str">
        <x:v>aca2fbc80d4e44ab9d42c77954f856da</x:v>
      </x:c>
      <x:c r="P671" s="24" t="str">
        <x:v>Sí</x:v>
      </x:c>
      <x:c r="Q671" s="24" t="str">
        <x:v>Condicionado a autoría/procedencia final</x:v>
      </x:c>
      <x:c r="R671" s="24" t="str">
        <x:v>Solo dentro del producto/build autorizado</x:v>
      </x:c>
      <x:c r="S671" s="24" t="str">
        <x:v>Crédito general del estudio; individual si aplica</x:v>
      </x:c>
      <x:c r="T671" s="24" t="str">
        <x:v>VRM Games / Blas Luis Rocha González</x:v>
      </x:c>
      <x:c r="U671" s="24" t="str">
        <x:v>CURRENT PROJECT ASSET</x:v>
      </x:c>
      <x:c r="V671" s="24" t="str">
        <x:v>CONDITIONALLY APPROVED</x:v>
      </x:c>
      <x:c r="W671" s="24" t="str">
        <x:v>Sí</x:v>
      </x:c>
      <x:c r="X671" s="24" t="str">
        <x:v>Low</x:v>
      </x:c>
      <x:c r="Y671" s="24" t="str">
        <x:v>Internal development; public candidate requires gate</x:v>
      </x:c>
      <x:c r="Z671" s="24" t="str">
        <x:v>H6 legal/content audit</x:v>
      </x:c>
      <x:c r="AA671" s="24" t="str">
        <x:v>VRM Games</x:v>
      </x:c>
      <x:c r="AB671" s="24" t="str">
        <x:v>No se detectó proveedor externo en la ruta; confirmar autoría por lote antes de release público.</x:v>
      </x:c>
    </x:row>
    <x:row r="672" ht="34" customHeight="1">
      <x:c r="A672" s="24" t="str">
        <x:v>INT-0668</x:v>
      </x:c>
      <x:c r="B672" s="24" t="str">
        <x:v>80df9a00035b4a09bc77e6939102954e</x:v>
      </x:c>
      <x:c r="C672" s="24" t="str">
        <x:v>PlacementOccupancySnapshotTests.cs</x:v>
      </x:c>
      <x:c r="D672" s="24" t="str">
        <x:v>Code</x:v>
      </x:c>
      <x:c r="E672" s="24" t="str">
        <x:v>EditMode</x:v>
      </x:c>
      <x:c r="F672" s="24" t="str">
        <x:v>VRM Games / Blas Luis Rocha González</x:v>
      </x:c>
      <x:c r="G672" s="24" t="str">
        <x:v>VRM Games / Blas Luis Rocha González</x:v>
      </x:c>
      <x:c r="H672" s="24" t="str">
        <x:v>Internal project production</x:v>
      </x:c>
      <x:c r="I672" s="24" t="str">
        <x:v>2026 project timeline</x:v>
      </x:c>
      <x:c r="J672" s="24" t="str">
        <x:v>Internal project IP / authorship claim</x:v>
      </x:c>
      <x:c r="K672" s="24" t="str">
        <x:v>N/A</x:v>
      </x:c>
      <x:c r="L672" s="24" t="str">
        <x:v>Source package + repository path + hash</x:v>
      </x:c>
      <x:c r="M672" s="24" t="str">
        <x:v>a8bd5c1e8d434837b9cb191af35c6eff0b83b2b75208aa65d495b72c38854eb7</x:v>
      </x:c>
      <x:c r="N672" s="24" t="str">
        <x:v>Assets/_Project/Tests/EditMode/Placement/PlacementOccupancySnapshotTests.cs</x:v>
      </x:c>
      <x:c r="O672" s="24" t="str">
        <x:v>80df9a00035b4a09bc77e6939102954e</x:v>
      </x:c>
      <x:c r="P672" s="24" t="str">
        <x:v>Sí</x:v>
      </x:c>
      <x:c r="Q672" s="24" t="str">
        <x:v>Condicionado a autoría/procedencia final</x:v>
      </x:c>
      <x:c r="R672" s="24" t="str">
        <x:v>Solo dentro del producto/build autorizado</x:v>
      </x:c>
      <x:c r="S672" s="24" t="str">
        <x:v>Crédito general del estudio; individual si aplica</x:v>
      </x:c>
      <x:c r="T672" s="24" t="str">
        <x:v>VRM Games / Blas Luis Rocha González</x:v>
      </x:c>
      <x:c r="U672" s="24" t="str">
        <x:v>CURRENT PROJECT ASSET</x:v>
      </x:c>
      <x:c r="V672" s="24" t="str">
        <x:v>CONDITIONALLY APPROVED</x:v>
      </x:c>
      <x:c r="W672" s="24" t="str">
        <x:v>Sí</x:v>
      </x:c>
      <x:c r="X672" s="24" t="str">
        <x:v>Low</x:v>
      </x:c>
      <x:c r="Y672" s="24" t="str">
        <x:v>Internal development; public candidate requires gate</x:v>
      </x:c>
      <x:c r="Z672" s="24" t="str">
        <x:v>H6 legal/content audit</x:v>
      </x:c>
      <x:c r="AA672" s="24" t="str">
        <x:v>VRM Games</x:v>
      </x:c>
      <x:c r="AB672" s="24" t="str">
        <x:v>No se detectó proveedor externo en la ruta; confirmar autoría por lote antes de release público.</x:v>
      </x:c>
    </x:row>
    <x:row r="673" ht="34" customHeight="1">
      <x:c r="A673" s="24" t="str">
        <x:v>INT-0669</x:v>
      </x:c>
      <x:c r="B673" s="24" t="str">
        <x:v>02ac940c89a4462981e94cbc95b4efc7</x:v>
      </x:c>
      <x:c r="C673" s="24" t="str">
        <x:v>PlacementPreviewCalculatorTests.cs</x:v>
      </x:c>
      <x:c r="D673" s="24" t="str">
        <x:v>Code</x:v>
      </x:c>
      <x:c r="E673" s="24" t="str">
        <x:v>EditMode</x:v>
      </x:c>
      <x:c r="F673" s="24" t="str">
        <x:v>VRM Games / Blas Luis Rocha González</x:v>
      </x:c>
      <x:c r="G673" s="24" t="str">
        <x:v>VRM Games / Blas Luis Rocha González</x:v>
      </x:c>
      <x:c r="H673" s="24" t="str">
        <x:v>Internal project production</x:v>
      </x:c>
      <x:c r="I673" s="24" t="str">
        <x:v>2026 project timeline</x:v>
      </x:c>
      <x:c r="J673" s="24" t="str">
        <x:v>Internal project IP / authorship claim</x:v>
      </x:c>
      <x:c r="K673" s="24" t="str">
        <x:v>N/A</x:v>
      </x:c>
      <x:c r="L673" s="24" t="str">
        <x:v>Source package + repository path + hash</x:v>
      </x:c>
      <x:c r="M673" s="24" t="str">
        <x:v>7668ac725021c8f20e880d6db7a243cb3a30ad50fa1d0a197c15fe3ed37f487b</x:v>
      </x:c>
      <x:c r="N673" s="24" t="str">
        <x:v>Assets/_Project/Tests/EditMode/Placement/PlacementPreviewCalculatorTests.cs</x:v>
      </x:c>
      <x:c r="O673" s="24" t="str">
        <x:v>02ac940c89a4462981e94cbc95b4efc7</x:v>
      </x:c>
      <x:c r="P673" s="24" t="str">
        <x:v>Sí</x:v>
      </x:c>
      <x:c r="Q673" s="24" t="str">
        <x:v>Condicionado a autoría/procedencia final</x:v>
      </x:c>
      <x:c r="R673" s="24" t="str">
        <x:v>Solo dentro del producto/build autorizado</x:v>
      </x:c>
      <x:c r="S673" s="24" t="str">
        <x:v>Crédito general del estudio; individual si aplica</x:v>
      </x:c>
      <x:c r="T673" s="24" t="str">
        <x:v>VRM Games / Blas Luis Rocha González</x:v>
      </x:c>
      <x:c r="U673" s="24" t="str">
        <x:v>CURRENT PROJECT ASSET</x:v>
      </x:c>
      <x:c r="V673" s="24" t="str">
        <x:v>CONDITIONALLY APPROVED</x:v>
      </x:c>
      <x:c r="W673" s="24" t="str">
        <x:v>Sí</x:v>
      </x:c>
      <x:c r="X673" s="24" t="str">
        <x:v>Low</x:v>
      </x:c>
      <x:c r="Y673" s="24" t="str">
        <x:v>Internal development; public candidate requires gate</x:v>
      </x:c>
      <x:c r="Z673" s="24" t="str">
        <x:v>H6 legal/content audit</x:v>
      </x:c>
      <x:c r="AA673" s="24" t="str">
        <x:v>VRM Games</x:v>
      </x:c>
      <x:c r="AB673" s="24" t="str">
        <x:v>No se detectó proveedor externo en la ruta; confirmar autoría por lote antes de release público.</x:v>
      </x:c>
    </x:row>
    <x:row r="674" ht="34" customHeight="1">
      <x:c r="A674" s="24" t="str">
        <x:v>INT-0670</x:v>
      </x:c>
      <x:c r="B674" s="24" t="str">
        <x:v>2469549c5e2a4074a80ffa58afa152e4</x:v>
      </x:c>
      <x:c r="C674" s="24" t="str">
        <x:v>TechnicalPlaceableDefinitionTests.cs</x:v>
      </x:c>
      <x:c r="D674" s="24" t="str">
        <x:v>Code</x:v>
      </x:c>
      <x:c r="E674" s="24" t="str">
        <x:v>EditMode</x:v>
      </x:c>
      <x:c r="F674" s="24" t="str">
        <x:v>VRM Games / Blas Luis Rocha González</x:v>
      </x:c>
      <x:c r="G674" s="24" t="str">
        <x:v>VRM Games / Blas Luis Rocha González</x:v>
      </x:c>
      <x:c r="H674" s="24" t="str">
        <x:v>Internal project production</x:v>
      </x:c>
      <x:c r="I674" s="24" t="str">
        <x:v>2026 project timeline</x:v>
      </x:c>
      <x:c r="J674" s="24" t="str">
        <x:v>Internal project IP / authorship claim</x:v>
      </x:c>
      <x:c r="K674" s="24" t="str">
        <x:v>N/A</x:v>
      </x:c>
      <x:c r="L674" s="24" t="str">
        <x:v>Source package + repository path + hash</x:v>
      </x:c>
      <x:c r="M674" s="24" t="str">
        <x:v>4052aa4349bb1a540eed3bd01276e91a9e68ae9dc57988024b0f0f0615ca3062</x:v>
      </x:c>
      <x:c r="N674" s="24" t="str">
        <x:v>Assets/_Project/Tests/EditMode/Placement/TechnicalPlaceableDefinitionTests.cs</x:v>
      </x:c>
      <x:c r="O674" s="24" t="str">
        <x:v>2469549c5e2a4074a80ffa58afa152e4</x:v>
      </x:c>
      <x:c r="P674" s="24" t="str">
        <x:v>Sí</x:v>
      </x:c>
      <x:c r="Q674" s="24" t="str">
        <x:v>Condicionado a autoría/procedencia final</x:v>
      </x:c>
      <x:c r="R674" s="24" t="str">
        <x:v>Solo dentro del producto/build autorizado</x:v>
      </x:c>
      <x:c r="S674" s="24" t="str">
        <x:v>Crédito general del estudio; individual si aplica</x:v>
      </x:c>
      <x:c r="T674" s="24" t="str">
        <x:v>VRM Games / Blas Luis Rocha González</x:v>
      </x:c>
      <x:c r="U674" s="24" t="str">
        <x:v>CURRENT PROJECT ASSET</x:v>
      </x:c>
      <x:c r="V674" s="24" t="str">
        <x:v>CONDITIONALLY APPROVED</x:v>
      </x:c>
      <x:c r="W674" s="24" t="str">
        <x:v>Sí</x:v>
      </x:c>
      <x:c r="X674" s="24" t="str">
        <x:v>Low</x:v>
      </x:c>
      <x:c r="Y674" s="24" t="str">
        <x:v>Internal development; public candidate requires gate</x:v>
      </x:c>
      <x:c r="Z674" s="24" t="str">
        <x:v>H6 legal/content audit</x:v>
      </x:c>
      <x:c r="AA674" s="24" t="str">
        <x:v>VRM Games</x:v>
      </x:c>
      <x:c r="AB674" s="24" t="str">
        <x:v>No se detectó proveedor externo en la ruta; confirmar autoría por lote antes de release público.</x:v>
      </x:c>
    </x:row>
    <x:row r="675" ht="34" customHeight="1">
      <x:c r="A675" s="24" t="str">
        <x:v>INT-0671</x:v>
      </x:c>
      <x:c r="B675" s="24" t="str">
        <x:v>98bda2adb4f046f8b5616c8d4a6ce17a</x:v>
      </x:c>
      <x:c r="C675" s="24" t="str">
        <x:v>PlanarMovementCalculatorTests.cs</x:v>
      </x:c>
      <x:c r="D675" s="24" t="str">
        <x:v>Code</x:v>
      </x:c>
      <x:c r="E675" s="24" t="str">
        <x:v>EditMode</x:v>
      </x:c>
      <x:c r="F675" s="24" t="str">
        <x:v>VRM Games / Blas Luis Rocha González</x:v>
      </x:c>
      <x:c r="G675" s="24" t="str">
        <x:v>VRM Games / Blas Luis Rocha González</x:v>
      </x:c>
      <x:c r="H675" s="24" t="str">
        <x:v>Internal project production</x:v>
      </x:c>
      <x:c r="I675" s="24" t="str">
        <x:v>2026 project timeline</x:v>
      </x:c>
      <x:c r="J675" s="24" t="str">
        <x:v>Internal project IP / authorship claim</x:v>
      </x:c>
      <x:c r="K675" s="24" t="str">
        <x:v>N/A</x:v>
      </x:c>
      <x:c r="L675" s="24" t="str">
        <x:v>Source package + repository path + hash</x:v>
      </x:c>
      <x:c r="M675" s="24" t="str">
        <x:v>4aadfff81161f6d391fffde58e92dd742557f779b563362bc98ef599266ffc0a</x:v>
      </x:c>
      <x:c r="N675" s="24" t="str">
        <x:v>Assets/_Project/Tests/EditMode/PlanarMovementCalculatorTests.cs</x:v>
      </x:c>
      <x:c r="O675" s="24" t="str">
        <x:v>98bda2adb4f046f8b5616c8d4a6ce17a</x:v>
      </x:c>
      <x:c r="P675" s="24" t="str">
        <x:v>Sí</x:v>
      </x:c>
      <x:c r="Q675" s="24" t="str">
        <x:v>Condicionado a autoría/procedencia final</x:v>
      </x:c>
      <x:c r="R675" s="24" t="str">
        <x:v>Solo dentro del producto/build autorizado</x:v>
      </x:c>
      <x:c r="S675" s="24" t="str">
        <x:v>Crédito general del estudio; individual si aplica</x:v>
      </x:c>
      <x:c r="T675" s="24" t="str">
        <x:v>VRM Games / Blas Luis Rocha González</x:v>
      </x:c>
      <x:c r="U675" s="24" t="str">
        <x:v>CURRENT PROJECT ASSET</x:v>
      </x:c>
      <x:c r="V675" s="24" t="str">
        <x:v>CONDITIONALLY APPROVED</x:v>
      </x:c>
      <x:c r="W675" s="24" t="str">
        <x:v>Sí</x:v>
      </x:c>
      <x:c r="X675" s="24" t="str">
        <x:v>Low</x:v>
      </x:c>
      <x:c r="Y675" s="24" t="str">
        <x:v>Internal development; public candidate requires gate</x:v>
      </x:c>
      <x:c r="Z675" s="24" t="str">
        <x:v>H6 legal/content audit</x:v>
      </x:c>
      <x:c r="AA675" s="24" t="str">
        <x:v>VRM Games</x:v>
      </x:c>
      <x:c r="AB675" s="24" t="str">
        <x:v>No se detectó proveedor externo en la ruta; confirmar autoría por lote antes de release público.</x:v>
      </x:c>
    </x:row>
    <x:row r="676" ht="34" customHeight="1">
      <x:c r="A676" s="24" t="str">
        <x:v>INT-0672</x:v>
      </x:c>
      <x:c r="B676" s="24" t="str">
        <x:v>e94c158952e44f3fd15dba945feeb5eb</x:v>
      </x:c>
      <x:c r="C676" s="24" t="str">
        <x:v>ProductDefinitionRegistryTests.cs</x:v>
      </x:c>
      <x:c r="D676" s="24" t="str">
        <x:v>Code</x:v>
      </x:c>
      <x:c r="E676" s="24" t="str">
        <x:v>EditMode</x:v>
      </x:c>
      <x:c r="F676" s="24" t="str">
        <x:v>VRM Games / Blas Luis Rocha González</x:v>
      </x:c>
      <x:c r="G676" s="24" t="str">
        <x:v>VRM Games / Blas Luis Rocha González</x:v>
      </x:c>
      <x:c r="H676" s="24" t="str">
        <x:v>Internal project production</x:v>
      </x:c>
      <x:c r="I676" s="24" t="str">
        <x:v>2026 project timeline</x:v>
      </x:c>
      <x:c r="J676" s="24" t="str">
        <x:v>Internal project IP / authorship claim</x:v>
      </x:c>
      <x:c r="K676" s="24" t="str">
        <x:v>N/A</x:v>
      </x:c>
      <x:c r="L676" s="24" t="str">
        <x:v>Source package + repository path + hash</x:v>
      </x:c>
      <x:c r="M676" s="24" t="str">
        <x:v>4c31127181fe854b28097ef04071bf3556e7b9e2dbe4114ccd73470b0400b220</x:v>
      </x:c>
      <x:c r="N676" s="24" t="str">
        <x:v>Assets/_Project/Tests/EditMode/Products/ProductDefinitionRegistryTests.cs</x:v>
      </x:c>
      <x:c r="O676" s="24" t="str">
        <x:v>e94c158952e44f3fd15dba945feeb5eb</x:v>
      </x:c>
      <x:c r="P676" s="24" t="str">
        <x:v>Sí</x:v>
      </x:c>
      <x:c r="Q676" s="24" t="str">
        <x:v>Condicionado a autoría/procedencia final</x:v>
      </x:c>
      <x:c r="R676" s="24" t="str">
        <x:v>Solo dentro del producto/build autorizado</x:v>
      </x:c>
      <x:c r="S676" s="24" t="str">
        <x:v>Crédito general del estudio; individual si aplica</x:v>
      </x:c>
      <x:c r="T676" s="24" t="str">
        <x:v>VRM Games / Blas Luis Rocha González</x:v>
      </x:c>
      <x:c r="U676" s="24" t="str">
        <x:v>CURRENT PROJECT ASSET</x:v>
      </x:c>
      <x:c r="V676" s="24" t="str">
        <x:v>CONDITIONALLY APPROVED</x:v>
      </x:c>
      <x:c r="W676" s="24" t="str">
        <x:v>Sí</x:v>
      </x:c>
      <x:c r="X676" s="24" t="str">
        <x:v>Low</x:v>
      </x:c>
      <x:c r="Y676" s="24" t="str">
        <x:v>Internal development; public candidate requires gate</x:v>
      </x:c>
      <x:c r="Z676" s="24" t="str">
        <x:v>H6 legal/content audit</x:v>
      </x:c>
      <x:c r="AA676" s="24" t="str">
        <x:v>VRM Games</x:v>
      </x:c>
      <x:c r="AB676" s="24" t="str">
        <x:v>No se detectó proveedor externo en la ruta; confirmar autoría por lote antes de release público.</x:v>
      </x:c>
    </x:row>
    <x:row r="677" ht="34" customHeight="1">
      <x:c r="A677" s="24" t="str">
        <x:v>INT-0673</x:v>
      </x:c>
      <x:c r="B677" s="24" t="str">
        <x:v>43a495b1ae5c15874f5b5196a02bdbdf</x:v>
      </x:c>
      <x:c r="C677" s="24" t="str">
        <x:v>ProductDefinitionTests.cs</x:v>
      </x:c>
      <x:c r="D677" s="24" t="str">
        <x:v>Code</x:v>
      </x:c>
      <x:c r="E677" s="24" t="str">
        <x:v>EditMode</x:v>
      </x:c>
      <x:c r="F677" s="24" t="str">
        <x:v>VRM Games / Blas Luis Rocha González</x:v>
      </x:c>
      <x:c r="G677" s="24" t="str">
        <x:v>VRM Games / Blas Luis Rocha González</x:v>
      </x:c>
      <x:c r="H677" s="24" t="str">
        <x:v>Internal project production</x:v>
      </x:c>
      <x:c r="I677" s="24" t="str">
        <x:v>2026 project timeline</x:v>
      </x:c>
      <x:c r="J677" s="24" t="str">
        <x:v>Internal project IP / authorship claim</x:v>
      </x:c>
      <x:c r="K677" s="24" t="str">
        <x:v>N/A</x:v>
      </x:c>
      <x:c r="L677" s="24" t="str">
        <x:v>Source package + repository path + hash</x:v>
      </x:c>
      <x:c r="M677" s="24" t="str">
        <x:v>707158519229628979a118fe993ef4fc1b0a095c7a3885fff418a9b645da5557</x:v>
      </x:c>
      <x:c r="N677" s="24" t="str">
        <x:v>Assets/_Project/Tests/EditMode/Products/ProductDefinitionTests.cs</x:v>
      </x:c>
      <x:c r="O677" s="24" t="str">
        <x:v>43a495b1ae5c15874f5b5196a02bdbdf</x:v>
      </x:c>
      <x:c r="P677" s="24" t="str">
        <x:v>Sí</x:v>
      </x:c>
      <x:c r="Q677" s="24" t="str">
        <x:v>Condicionado a autoría/procedencia final</x:v>
      </x:c>
      <x:c r="R677" s="24" t="str">
        <x:v>Solo dentro del producto/build autorizado</x:v>
      </x:c>
      <x:c r="S677" s="24" t="str">
        <x:v>Crédito general del estudio; individual si aplica</x:v>
      </x:c>
      <x:c r="T677" s="24" t="str">
        <x:v>VRM Games / Blas Luis Rocha González</x:v>
      </x:c>
      <x:c r="U677" s="24" t="str">
        <x:v>CURRENT PROJECT ASSET</x:v>
      </x:c>
      <x:c r="V677" s="24" t="str">
        <x:v>CONDITIONALLY APPROVED</x:v>
      </x:c>
      <x:c r="W677" s="24" t="str">
        <x:v>Sí</x:v>
      </x:c>
      <x:c r="X677" s="24" t="str">
        <x:v>Low</x:v>
      </x:c>
      <x:c r="Y677" s="24" t="str">
        <x:v>Internal development; public candidate requires gate</x:v>
      </x:c>
      <x:c r="Z677" s="24" t="str">
        <x:v>H6 legal/content audit</x:v>
      </x:c>
      <x:c r="AA677" s="24" t="str">
        <x:v>VRM Games</x:v>
      </x:c>
      <x:c r="AB677" s="24" t="str">
        <x:v>No se detectó proveedor externo en la ruta; confirmar autoría por lote antes de release público.</x:v>
      </x:c>
    </x:row>
    <x:row r="678" ht="34" customHeight="1">
      <x:c r="A678" s="24" t="str">
        <x:v>INT-0674</x:v>
      </x:c>
      <x:c r="B678" s="24" t="str">
        <x:v>883d15f0e1303d871ef79b5732de8c34</x:v>
      </x:c>
      <x:c r="C678" s="24" t="str">
        <x:v>ProductIdentifierTests.cs</x:v>
      </x:c>
      <x:c r="D678" s="24" t="str">
        <x:v>Code</x:v>
      </x:c>
      <x:c r="E678" s="24" t="str">
        <x:v>EditMode</x:v>
      </x:c>
      <x:c r="F678" s="24" t="str">
        <x:v>VRM Games / Blas Luis Rocha González</x:v>
      </x:c>
      <x:c r="G678" s="24" t="str">
        <x:v>VRM Games / Blas Luis Rocha González</x:v>
      </x:c>
      <x:c r="H678" s="24" t="str">
        <x:v>Internal project production</x:v>
      </x:c>
      <x:c r="I678" s="24" t="str">
        <x:v>2026 project timeline</x:v>
      </x:c>
      <x:c r="J678" s="24" t="str">
        <x:v>Internal project IP / authorship claim</x:v>
      </x:c>
      <x:c r="K678" s="24" t="str">
        <x:v>N/A</x:v>
      </x:c>
      <x:c r="L678" s="24" t="str">
        <x:v>Source package + repository path + hash</x:v>
      </x:c>
      <x:c r="M678" s="24" t="str">
        <x:v>7ee6de3628ab49988177711ced14c94adc3ff981f4c782118351fe0a4c6a1069</x:v>
      </x:c>
      <x:c r="N678" s="24" t="str">
        <x:v>Assets/_Project/Tests/EditMode/Products/ProductIdentifierTests.cs</x:v>
      </x:c>
      <x:c r="O678" s="24" t="str">
        <x:v>883d15f0e1303d871ef79b5732de8c34</x:v>
      </x:c>
      <x:c r="P678" s="24" t="str">
        <x:v>Sí</x:v>
      </x:c>
      <x:c r="Q678" s="24" t="str">
        <x:v>Condicionado a autoría/procedencia final</x:v>
      </x:c>
      <x:c r="R678" s="24" t="str">
        <x:v>Solo dentro del producto/build autorizado</x:v>
      </x:c>
      <x:c r="S678" s="24" t="str">
        <x:v>Crédito general del estudio; individual si aplica</x:v>
      </x:c>
      <x:c r="T678" s="24" t="str">
        <x:v>VRM Games / Blas Luis Rocha González</x:v>
      </x:c>
      <x:c r="U678" s="24" t="str">
        <x:v>CURRENT PROJECT ASSET</x:v>
      </x:c>
      <x:c r="V678" s="24" t="str">
        <x:v>CONDITIONALLY APPROVED</x:v>
      </x:c>
      <x:c r="W678" s="24" t="str">
        <x:v>Sí</x:v>
      </x:c>
      <x:c r="X678" s="24" t="str">
        <x:v>Low</x:v>
      </x:c>
      <x:c r="Y678" s="24" t="str">
        <x:v>Internal development; public candidate requires gate</x:v>
      </x:c>
      <x:c r="Z678" s="24" t="str">
        <x:v>H6 legal/content audit</x:v>
      </x:c>
      <x:c r="AA678" s="24" t="str">
        <x:v>VRM Games</x:v>
      </x:c>
      <x:c r="AB678" s="24" t="str">
        <x:v>No se detectó proveedor externo en la ruta; confirmar autoría por lote antes de release público.</x:v>
      </x:c>
    </x:row>
    <x:row r="679" ht="34" customHeight="1">
      <x:c r="A679" s="24" t="str">
        <x:v>INT-0675</x:v>
      </x:c>
      <x:c r="B679" s="24" t="str">
        <x:v>357e8918fb9a4762bd1892100279c22e</x:v>
      </x:c>
      <x:c r="C679" s="24" t="str">
        <x:v>DeliveryTests.cs</x:v>
      </x:c>
      <x:c r="D679" s="24" t="str">
        <x:v>Code</x:v>
      </x:c>
      <x:c r="E679" s="24" t="str">
        <x:v>EditMode</x:v>
      </x:c>
      <x:c r="F679" s="24" t="str">
        <x:v>VRM Games / Blas Luis Rocha González</x:v>
      </x:c>
      <x:c r="G679" s="24" t="str">
        <x:v>VRM Games / Blas Luis Rocha González</x:v>
      </x:c>
      <x:c r="H679" s="24" t="str">
        <x:v>Internal project production</x:v>
      </x:c>
      <x:c r="I679" s="24" t="str">
        <x:v>2026 project timeline</x:v>
      </x:c>
      <x:c r="J679" s="24" t="str">
        <x:v>Internal project IP / authorship claim</x:v>
      </x:c>
      <x:c r="K679" s="24" t="str">
        <x:v>N/A</x:v>
      </x:c>
      <x:c r="L679" s="24" t="str">
        <x:v>Source package + repository path + hash</x:v>
      </x:c>
      <x:c r="M679" s="24" t="str">
        <x:v>a7b9886bb03b0bd653d48b80500d2fcd8cec539cfdd876b783e5e1939c663c98</x:v>
      </x:c>
      <x:c r="N679" s="24" t="str">
        <x:v>Assets/_Project/Tests/EditMode/Receiving/DeliveryTests.cs</x:v>
      </x:c>
      <x:c r="O679" s="24" t="str">
        <x:v>357e8918fb9a4762bd1892100279c22e</x:v>
      </x:c>
      <x:c r="P679" s="24" t="str">
        <x:v>Sí</x:v>
      </x:c>
      <x:c r="Q679" s="24" t="str">
        <x:v>Condicionado a autoría/procedencia final</x:v>
      </x:c>
      <x:c r="R679" s="24" t="str">
        <x:v>Solo dentro del producto/build autorizado</x:v>
      </x:c>
      <x:c r="S679" s="24" t="str">
        <x:v>Crédito general del estudio; individual si aplica</x:v>
      </x:c>
      <x:c r="T679" s="24" t="str">
        <x:v>VRM Games / Blas Luis Rocha González</x:v>
      </x:c>
      <x:c r="U679" s="24" t="str">
        <x:v>CURRENT PROJECT ASSET</x:v>
      </x:c>
      <x:c r="V679" s="24" t="str">
        <x:v>CONDITIONALLY APPROVED</x:v>
      </x:c>
      <x:c r="W679" s="24" t="str">
        <x:v>Sí</x:v>
      </x:c>
      <x:c r="X679" s="24" t="str">
        <x:v>Low</x:v>
      </x:c>
      <x:c r="Y679" s="24" t="str">
        <x:v>Internal development; public candidate requires gate</x:v>
      </x:c>
      <x:c r="Z679" s="24" t="str">
        <x:v>H6 legal/content audit</x:v>
      </x:c>
      <x:c r="AA679" s="24" t="str">
        <x:v>VRM Games</x:v>
      </x:c>
      <x:c r="AB679" s="24" t="str">
        <x:v>No se detectó proveedor externo en la ruta; confirmar autoría por lote antes de release público.</x:v>
      </x:c>
    </x:row>
    <x:row r="680" ht="34" customHeight="1">
      <x:c r="A680" s="24" t="str">
        <x:v>INT-0676</x:v>
      </x:c>
      <x:c r="B680" s="24" t="str">
        <x:v>2df3e3ddb3f247db9ccbfa39eeaf2a07</x:v>
      </x:c>
      <x:c r="C680" s="24" t="str">
        <x:v>ReceivingServiceTests.cs</x:v>
      </x:c>
      <x:c r="D680" s="24" t="str">
        <x:v>Code</x:v>
      </x:c>
      <x:c r="E680" s="24" t="str">
        <x:v>EditMode</x:v>
      </x:c>
      <x:c r="F680" s="24" t="str">
        <x:v>VRM Games / Blas Luis Rocha González</x:v>
      </x:c>
      <x:c r="G680" s="24" t="str">
        <x:v>VRM Games / Blas Luis Rocha González</x:v>
      </x:c>
      <x:c r="H680" s="24" t="str">
        <x:v>Internal project production</x:v>
      </x:c>
      <x:c r="I680" s="24" t="str">
        <x:v>2026 project timeline</x:v>
      </x:c>
      <x:c r="J680" s="24" t="str">
        <x:v>Internal project IP / authorship claim</x:v>
      </x:c>
      <x:c r="K680" s="24" t="str">
        <x:v>N/A</x:v>
      </x:c>
      <x:c r="L680" s="24" t="str">
        <x:v>Source package + repository path + hash</x:v>
      </x:c>
      <x:c r="M680" s="24" t="str">
        <x:v>c1eaea98fc79c7128dc6d7c5bf89f8c10663a30c5d7eb399e096eae47a7aefa8</x:v>
      </x:c>
      <x:c r="N680" s="24" t="str">
        <x:v>Assets/_Project/Tests/EditMode/Receiving/ReceivingServiceTests.cs</x:v>
      </x:c>
      <x:c r="O680" s="24" t="str">
        <x:v>2df3e3ddb3f247db9ccbfa39eeaf2a07</x:v>
      </x:c>
      <x:c r="P680" s="24" t="str">
        <x:v>Sí</x:v>
      </x:c>
      <x:c r="Q680" s="24" t="str">
        <x:v>Condicionado a autoría/procedencia final</x:v>
      </x:c>
      <x:c r="R680" s="24" t="str">
        <x:v>Solo dentro del producto/build autorizado</x:v>
      </x:c>
      <x:c r="S680" s="24" t="str">
        <x:v>Crédito general del estudio; individual si aplica</x:v>
      </x:c>
      <x:c r="T680" s="24" t="str">
        <x:v>VRM Games / Blas Luis Rocha González</x:v>
      </x:c>
      <x:c r="U680" s="24" t="str">
        <x:v>CURRENT PROJECT ASSET</x:v>
      </x:c>
      <x:c r="V680" s="24" t="str">
        <x:v>CONDITIONALLY APPROVED</x:v>
      </x:c>
      <x:c r="W680" s="24" t="str">
        <x:v>Sí</x:v>
      </x:c>
      <x:c r="X680" s="24" t="str">
        <x:v>Low</x:v>
      </x:c>
      <x:c r="Y680" s="24" t="str">
        <x:v>Internal development; public candidate requires gate</x:v>
      </x:c>
      <x:c r="Z680" s="24" t="str">
        <x:v>H6 legal/content audit</x:v>
      </x:c>
      <x:c r="AA680" s="24" t="str">
        <x:v>VRM Games</x:v>
      </x:c>
      <x:c r="AB680" s="24" t="str">
        <x:v>No se detectó proveedor externo en la ruta; confirmar autoría por lote antes de release público.</x:v>
      </x:c>
    </x:row>
    <x:row r="681" ht="34" customHeight="1">
      <x:c r="A681" s="24" t="str">
        <x:v>INT-0677</x:v>
      </x:c>
      <x:c r="B681" s="24" t="str">
        <x:v>3e405c9a157ba9248b22d57b93f04419</x:v>
      </x:c>
      <x:c r="C681" s="24" t="str">
        <x:v>SceneConfigurationSmokeTests.cs</x:v>
      </x:c>
      <x:c r="D681" s="24" t="str">
        <x:v>Code</x:v>
      </x:c>
      <x:c r="E681" s="24" t="str">
        <x:v>EditMode</x:v>
      </x:c>
      <x:c r="F681" s="24" t="str">
        <x:v>VRM Games / Blas Luis Rocha González</x:v>
      </x:c>
      <x:c r="G681" s="24" t="str">
        <x:v>VRM Games / Blas Luis Rocha González</x:v>
      </x:c>
      <x:c r="H681" s="24" t="str">
        <x:v>Internal project production</x:v>
      </x:c>
      <x:c r="I681" s="24" t="str">
        <x:v>2026 project timeline</x:v>
      </x:c>
      <x:c r="J681" s="24" t="str">
        <x:v>Internal project IP / authorship claim</x:v>
      </x:c>
      <x:c r="K681" s="24" t="str">
        <x:v>N/A</x:v>
      </x:c>
      <x:c r="L681" s="24" t="str">
        <x:v>Source package + repository path + hash</x:v>
      </x:c>
      <x:c r="M681" s="24" t="str">
        <x:v>f807448a79497e839267cb9aeaceb65dacc518aced71007604de0fbf4e25bb58</x:v>
      </x:c>
      <x:c r="N681" s="24" t="str">
        <x:v>Assets/_Project/Tests/EditMode/SceneConfigurationSmokeTests.cs</x:v>
      </x:c>
      <x:c r="O681" s="24" t="str">
        <x:v>3e405c9a157ba9248b22d57b93f04419</x:v>
      </x:c>
      <x:c r="P681" s="24" t="str">
        <x:v>Sí</x:v>
      </x:c>
      <x:c r="Q681" s="24" t="str">
        <x:v>Condicionado a autoría/procedencia final</x:v>
      </x:c>
      <x:c r="R681" s="24" t="str">
        <x:v>Solo dentro del producto/build autorizado</x:v>
      </x:c>
      <x:c r="S681" s="24" t="str">
        <x:v>Crédito general del estudio; individual si aplica</x:v>
      </x:c>
      <x:c r="T681" s="24" t="str">
        <x:v>VRM Games / Blas Luis Rocha González</x:v>
      </x:c>
      <x:c r="U681" s="24" t="str">
        <x:v>CURRENT PROJECT ASSET</x:v>
      </x:c>
      <x:c r="V681" s="24" t="str">
        <x:v>CONDITIONALLY APPROVED</x:v>
      </x:c>
      <x:c r="W681" s="24" t="str">
        <x:v>Sí</x:v>
      </x:c>
      <x:c r="X681" s="24" t="str">
        <x:v>Low</x:v>
      </x:c>
      <x:c r="Y681" s="24" t="str">
        <x:v>Internal development; public candidate requires gate</x:v>
      </x:c>
      <x:c r="Z681" s="24" t="str">
        <x:v>H6 legal/content audit</x:v>
      </x:c>
      <x:c r="AA681" s="24" t="str">
        <x:v>VRM Games</x:v>
      </x:c>
      <x:c r="AB681" s="24" t="str">
        <x:v>No se detectó proveedor externo en la ruta; confirmar autoría por lote antes de release público.</x:v>
      </x:c>
    </x:row>
    <x:row r="682" ht="34" customHeight="1">
      <x:c r="A682" s="24" t="str">
        <x:v>INT-0678</x:v>
      </x:c>
      <x:c r="B682" s="24" t="str">
        <x:v>6f219f1d7a77d764eb7940e4988d80a8</x:v>
      </x:c>
      <x:c r="C682" s="24" t="str">
        <x:v>SceneTransitionGateTests.cs</x:v>
      </x:c>
      <x:c r="D682" s="24" t="str">
        <x:v>Code</x:v>
      </x:c>
      <x:c r="E682" s="24" t="str">
        <x:v>EditMode</x:v>
      </x:c>
      <x:c r="F682" s="24" t="str">
        <x:v>VRM Games / Blas Luis Rocha González</x:v>
      </x:c>
      <x:c r="G682" s="24" t="str">
        <x:v>VRM Games / Blas Luis Rocha González</x:v>
      </x:c>
      <x:c r="H682" s="24" t="str">
        <x:v>Internal project production</x:v>
      </x:c>
      <x:c r="I682" s="24" t="str">
        <x:v>2026 project timeline</x:v>
      </x:c>
      <x:c r="J682" s="24" t="str">
        <x:v>Internal project IP / authorship claim</x:v>
      </x:c>
      <x:c r="K682" s="24" t="str">
        <x:v>N/A</x:v>
      </x:c>
      <x:c r="L682" s="24" t="str">
        <x:v>Source package + repository path + hash</x:v>
      </x:c>
      <x:c r="M682" s="24" t="str">
        <x:v>1fae24248500e771ef3d9c89e5279d2044d086d3b1ab0caf9fc605662edd993e</x:v>
      </x:c>
      <x:c r="N682" s="24" t="str">
        <x:v>Assets/_Project/Tests/EditMode/SceneTransitionGateTests.cs</x:v>
      </x:c>
      <x:c r="O682" s="24" t="str">
        <x:v>6f219f1d7a77d764eb7940e4988d80a8</x:v>
      </x:c>
      <x:c r="P682" s="24" t="str">
        <x:v>Sí</x:v>
      </x:c>
      <x:c r="Q682" s="24" t="str">
        <x:v>Condicionado a autoría/procedencia final</x:v>
      </x:c>
      <x:c r="R682" s="24" t="str">
        <x:v>Solo dentro del producto/build autorizado</x:v>
      </x:c>
      <x:c r="S682" s="24" t="str">
        <x:v>Crédito general del estudio; individual si aplica</x:v>
      </x:c>
      <x:c r="T682" s="24" t="str">
        <x:v>VRM Games / Blas Luis Rocha González</x:v>
      </x:c>
      <x:c r="U682" s="24" t="str">
        <x:v>CURRENT PROJECT ASSET</x:v>
      </x:c>
      <x:c r="V682" s="24" t="str">
        <x:v>CONDITIONALLY APPROVED</x:v>
      </x:c>
      <x:c r="W682" s="24" t="str">
        <x:v>Sí</x:v>
      </x:c>
      <x:c r="X682" s="24" t="str">
        <x:v>Low</x:v>
      </x:c>
      <x:c r="Y682" s="24" t="str">
        <x:v>Internal development; public candidate requires gate</x:v>
      </x:c>
      <x:c r="Z682" s="24" t="str">
        <x:v>H6 legal/content audit</x:v>
      </x:c>
      <x:c r="AA682" s="24" t="str">
        <x:v>VRM Games</x:v>
      </x:c>
      <x:c r="AB682" s="24" t="str">
        <x:v>No se detectó proveedor externo en la ruta; confirmar autoría por lote antes de release público.</x:v>
      </x:c>
    </x:row>
    <x:row r="683" ht="34" customHeight="1">
      <x:c r="A683" s="24" t="str">
        <x:v>INT-0679</x:v>
      </x:c>
      <x:c r="B683" s="24" t="str">
        <x:v>6df2f00a71a043b4954df41ec83a73ac</x:v>
      </x:c>
      <x:c r="C683" s="24" t="str">
        <x:v>ShoppingAuthoringTests.cs</x:v>
      </x:c>
      <x:c r="D683" s="24" t="str">
        <x:v>Code</x:v>
      </x:c>
      <x:c r="E683" s="24" t="str">
        <x:v>EditMode</x:v>
      </x:c>
      <x:c r="F683" s="24" t="str">
        <x:v>VRM Games / Blas Luis Rocha González</x:v>
      </x:c>
      <x:c r="G683" s="24" t="str">
        <x:v>VRM Games / Blas Luis Rocha González</x:v>
      </x:c>
      <x:c r="H683" s="24" t="str">
        <x:v>Internal project production</x:v>
      </x:c>
      <x:c r="I683" s="24" t="str">
        <x:v>2026 project timeline</x:v>
      </x:c>
      <x:c r="J683" s="24" t="str">
        <x:v>Internal project IP / authorship claim</x:v>
      </x:c>
      <x:c r="K683" s="24" t="str">
        <x:v>N/A</x:v>
      </x:c>
      <x:c r="L683" s="24" t="str">
        <x:v>Source package + repository path + hash</x:v>
      </x:c>
      <x:c r="M683" s="24" t="str">
        <x:v>01bfab5f58ca0f30d0a574dc63630ed7abf812ced6b612dc16721228cebc19f4</x:v>
      </x:c>
      <x:c r="N683" s="24" t="str">
        <x:v>Assets/_Project/Tests/EditMode/Shopping/ShoppingAuthoringTests.cs</x:v>
      </x:c>
      <x:c r="O683" s="24" t="str">
        <x:v>6df2f00a71a043b4954df41ec83a73ac</x:v>
      </x:c>
      <x:c r="P683" s="24" t="str">
        <x:v>Sí</x:v>
      </x:c>
      <x:c r="Q683" s="24" t="str">
        <x:v>Condicionado a autoría/procedencia final</x:v>
      </x:c>
      <x:c r="R683" s="24" t="str">
        <x:v>Solo dentro del producto/build autorizado</x:v>
      </x:c>
      <x:c r="S683" s="24" t="str">
        <x:v>Crédito general del estudio; individual si aplica</x:v>
      </x:c>
      <x:c r="T683" s="24" t="str">
        <x:v>VRM Games / Blas Luis Rocha González</x:v>
      </x:c>
      <x:c r="U683" s="24" t="str">
        <x:v>CURRENT PROJECT ASSET</x:v>
      </x:c>
      <x:c r="V683" s="24" t="str">
        <x:v>CONDITIONALLY APPROVED</x:v>
      </x:c>
      <x:c r="W683" s="24" t="str">
        <x:v>Sí</x:v>
      </x:c>
      <x:c r="X683" s="24" t="str">
        <x:v>Low</x:v>
      </x:c>
      <x:c r="Y683" s="24" t="str">
        <x:v>Internal development; public candidate requires gate</x:v>
      </x:c>
      <x:c r="Z683" s="24" t="str">
        <x:v>H6 legal/content audit</x:v>
      </x:c>
      <x:c r="AA683" s="24" t="str">
        <x:v>VRM Games</x:v>
      </x:c>
      <x:c r="AB683" s="24" t="str">
        <x:v>No se detectó proveedor externo en la ruta; confirmar autoría por lote antes de release público.</x:v>
      </x:c>
    </x:row>
    <x:row r="684" ht="34" customHeight="1">
      <x:c r="A684" s="24" t="str">
        <x:v>INT-0680</x:v>
      </x:c>
      <x:c r="B684" s="24" t="str">
        <x:v>6564d2052858486782fb89c229cb9ad0</x:v>
      </x:c>
      <x:c r="C684" s="24" t="str">
        <x:v>ShoppingCartAndSessionTests.cs</x:v>
      </x:c>
      <x:c r="D684" s="24" t="str">
        <x:v>Code</x:v>
      </x:c>
      <x:c r="E684" s="24" t="str">
        <x:v>EditMode</x:v>
      </x:c>
      <x:c r="F684" s="24" t="str">
        <x:v>VRM Games / Blas Luis Rocha González</x:v>
      </x:c>
      <x:c r="G684" s="24" t="str">
        <x:v>VRM Games / Blas Luis Rocha González</x:v>
      </x:c>
      <x:c r="H684" s="24" t="str">
        <x:v>Internal project production</x:v>
      </x:c>
      <x:c r="I684" s="24" t="str">
        <x:v>2026 project timeline</x:v>
      </x:c>
      <x:c r="J684" s="24" t="str">
        <x:v>Internal project IP / authorship claim</x:v>
      </x:c>
      <x:c r="K684" s="24" t="str">
        <x:v>N/A</x:v>
      </x:c>
      <x:c r="L684" s="24" t="str">
        <x:v>Source package + repository path + hash</x:v>
      </x:c>
      <x:c r="M684" s="24" t="str">
        <x:v>1682411a2c4165de601756047291974bbb6aefc3049b20d8af5b090d59995205</x:v>
      </x:c>
      <x:c r="N684" s="24" t="str">
        <x:v>Assets/_Project/Tests/EditMode/Shopping/ShoppingCartAndSessionTests.cs</x:v>
      </x:c>
      <x:c r="O684" s="24" t="str">
        <x:v>6564d2052858486782fb89c229cb9ad0</x:v>
      </x:c>
      <x:c r="P684" s="24" t="str">
        <x:v>Sí</x:v>
      </x:c>
      <x:c r="Q684" s="24" t="str">
        <x:v>Condicionado a autoría/procedencia final</x:v>
      </x:c>
      <x:c r="R684" s="24" t="str">
        <x:v>Solo dentro del producto/build autorizado</x:v>
      </x:c>
      <x:c r="S684" s="24" t="str">
        <x:v>Crédito general del estudio; individual si aplica</x:v>
      </x:c>
      <x:c r="T684" s="24" t="str">
        <x:v>VRM Games / Blas Luis Rocha González</x:v>
      </x:c>
      <x:c r="U684" s="24" t="str">
        <x:v>CURRENT PROJECT ASSET</x:v>
      </x:c>
      <x:c r="V684" s="24" t="str">
        <x:v>CONDITIONALLY APPROVED</x:v>
      </x:c>
      <x:c r="W684" s="24" t="str">
        <x:v>Sí</x:v>
      </x:c>
      <x:c r="X684" s="24" t="str">
        <x:v>Low</x:v>
      </x:c>
      <x:c r="Y684" s="24" t="str">
        <x:v>Internal development; public candidate requires gate</x:v>
      </x:c>
      <x:c r="Z684" s="24" t="str">
        <x:v>H6 legal/content audit</x:v>
      </x:c>
      <x:c r="AA684" s="24" t="str">
        <x:v>VRM Games</x:v>
      </x:c>
      <x:c r="AB684" s="24" t="str">
        <x:v>No se detectó proveedor externo en la ruta; confirmar autoría por lote antes de release público.</x:v>
      </x:c>
    </x:row>
    <x:row r="685" ht="34" customHeight="1">
      <x:c r="A685" s="24" t="str">
        <x:v>INT-0681</x:v>
      </x:c>
      <x:c r="B685" s="24" t="str">
        <x:v>ddbdb72b38884437aaff553b38830aa8</x:v>
      </x:c>
      <x:c r="C685" s="24" t="str">
        <x:v>ShoppingCartServiceAndConsistencyTests.cs</x:v>
      </x:c>
      <x:c r="D685" s="24" t="str">
        <x:v>Code</x:v>
      </x:c>
      <x:c r="E685" s="24" t="str">
        <x:v>EditMode</x:v>
      </x:c>
      <x:c r="F685" s="24" t="str">
        <x:v>VRM Games / Blas Luis Rocha González</x:v>
      </x:c>
      <x:c r="G685" s="24" t="str">
        <x:v>VRM Games / Blas Luis Rocha González</x:v>
      </x:c>
      <x:c r="H685" s="24" t="str">
        <x:v>Internal project production</x:v>
      </x:c>
      <x:c r="I685" s="24" t="str">
        <x:v>2026 project timeline</x:v>
      </x:c>
      <x:c r="J685" s="24" t="str">
        <x:v>Internal project IP / authorship claim</x:v>
      </x:c>
      <x:c r="K685" s="24" t="str">
        <x:v>N/A</x:v>
      </x:c>
      <x:c r="L685" s="24" t="str">
        <x:v>Source package + repository path + hash</x:v>
      </x:c>
      <x:c r="M685" s="24" t="str">
        <x:v>e8e4c9bc7ecd162dcda75636a5d2aa71d1bb1e52240e53fae3629fd80acbff69</x:v>
      </x:c>
      <x:c r="N685" s="24" t="str">
        <x:v>Assets/_Project/Tests/EditMode/Shopping/ShoppingCartServiceAndConsistencyTests.cs</x:v>
      </x:c>
      <x:c r="O685" s="24" t="str">
        <x:v>ddbdb72b38884437aaff553b38830aa8</x:v>
      </x:c>
      <x:c r="P685" s="24" t="str">
        <x:v>Sí</x:v>
      </x:c>
      <x:c r="Q685" s="24" t="str">
        <x:v>Condicionado a autoría/procedencia final</x:v>
      </x:c>
      <x:c r="R685" s="24" t="str">
        <x:v>Solo dentro del producto/build autorizado</x:v>
      </x:c>
      <x:c r="S685" s="24" t="str">
        <x:v>Crédito general del estudio; individual si aplica</x:v>
      </x:c>
      <x:c r="T685" s="24" t="str">
        <x:v>VRM Games / Blas Luis Rocha González</x:v>
      </x:c>
      <x:c r="U685" s="24" t="str">
        <x:v>CURRENT PROJECT ASSET</x:v>
      </x:c>
      <x:c r="V685" s="24" t="str">
        <x:v>CONDITIONALLY APPROVED</x:v>
      </x:c>
      <x:c r="W685" s="24" t="str">
        <x:v>Sí</x:v>
      </x:c>
      <x:c r="X685" s="24" t="str">
        <x:v>Low</x:v>
      </x:c>
      <x:c r="Y685" s="24" t="str">
        <x:v>Internal development; public candidate requires gate</x:v>
      </x:c>
      <x:c r="Z685" s="24" t="str">
        <x:v>H6 legal/content audit</x:v>
      </x:c>
      <x:c r="AA685" s="24" t="str">
        <x:v>VRM Games</x:v>
      </x:c>
      <x:c r="AB685" s="24" t="str">
        <x:v>No se detectó proveedor externo en la ruta; confirmar autoría por lote antes de release público.</x:v>
      </x:c>
    </x:row>
    <x:row r="686" ht="34" customHeight="1">
      <x:c r="A686" s="24" t="str">
        <x:v>INT-0682</x:v>
      </x:c>
      <x:c r="B686" s="24" t="str">
        <x:v>3917f8f49ef34bcaa41b7dc13282a848</x:v>
      </x:c>
      <x:c r="C686" s="24" t="str">
        <x:v>ShoppingFlowTests.cs</x:v>
      </x:c>
      <x:c r="D686" s="24" t="str">
        <x:v>Code</x:v>
      </x:c>
      <x:c r="E686" s="24" t="str">
        <x:v>EditMode</x:v>
      </x:c>
      <x:c r="F686" s="24" t="str">
        <x:v>VRM Games / Blas Luis Rocha González</x:v>
      </x:c>
      <x:c r="G686" s="24" t="str">
        <x:v>VRM Games / Blas Luis Rocha González</x:v>
      </x:c>
      <x:c r="H686" s="24" t="str">
        <x:v>Internal project production</x:v>
      </x:c>
      <x:c r="I686" s="24" t="str">
        <x:v>2026 project timeline</x:v>
      </x:c>
      <x:c r="J686" s="24" t="str">
        <x:v>Internal project IP / authorship claim</x:v>
      </x:c>
      <x:c r="K686" s="24" t="str">
        <x:v>N/A</x:v>
      </x:c>
      <x:c r="L686" s="24" t="str">
        <x:v>Source package + repository path + hash</x:v>
      </x:c>
      <x:c r="M686" s="24" t="str">
        <x:v>f9d6bec2e076ad7e196df7174727b2d230a9ca5983d6334b7de0b492d01b3505</x:v>
      </x:c>
      <x:c r="N686" s="24" t="str">
        <x:v>Assets/_Project/Tests/EditMode/Shopping/ShoppingFlowTests.cs</x:v>
      </x:c>
      <x:c r="O686" s="24" t="str">
        <x:v>3917f8f49ef34bcaa41b7dc13282a848</x:v>
      </x:c>
      <x:c r="P686" s="24" t="str">
        <x:v>Sí</x:v>
      </x:c>
      <x:c r="Q686" s="24" t="str">
        <x:v>Condicionado a autoría/procedencia final</x:v>
      </x:c>
      <x:c r="R686" s="24" t="str">
        <x:v>Solo dentro del producto/build autorizado</x:v>
      </x:c>
      <x:c r="S686" s="24" t="str">
        <x:v>Crédito general del estudio; individual si aplica</x:v>
      </x:c>
      <x:c r="T686" s="24" t="str">
        <x:v>VRM Games / Blas Luis Rocha González</x:v>
      </x:c>
      <x:c r="U686" s="24" t="str">
        <x:v>CURRENT PROJECT ASSET</x:v>
      </x:c>
      <x:c r="V686" s="24" t="str">
        <x:v>CONDITIONALLY APPROVED</x:v>
      </x:c>
      <x:c r="W686" s="24" t="str">
        <x:v>Sí</x:v>
      </x:c>
      <x:c r="X686" s="24" t="str">
        <x:v>Low</x:v>
      </x:c>
      <x:c r="Y686" s="24" t="str">
        <x:v>Internal development; public candidate requires gate</x:v>
      </x:c>
      <x:c r="Z686" s="24" t="str">
        <x:v>H6 legal/content audit</x:v>
      </x:c>
      <x:c r="AA686" s="24" t="str">
        <x:v>VRM Games</x:v>
      </x:c>
      <x:c r="AB686" s="24" t="str">
        <x:v>No se detectó proveedor externo en la ruta; confirmar autoría por lote antes de release público.</x:v>
      </x:c>
    </x:row>
    <x:row r="687" ht="34" customHeight="1">
      <x:c r="A687" s="24" t="str">
        <x:v>INT-0683</x:v>
      </x:c>
      <x:c r="B687" s="24" t="str">
        <x:v>9ee25e8e5027467fba3cd5bc79eae050</x:v>
      </x:c>
      <x:c r="C687" s="24" t="str">
        <x:v>ShoppingReservationDomainTests.cs</x:v>
      </x:c>
      <x:c r="D687" s="24" t="str">
        <x:v>Code</x:v>
      </x:c>
      <x:c r="E687" s="24" t="str">
        <x:v>EditMode</x:v>
      </x:c>
      <x:c r="F687" s="24" t="str">
        <x:v>VRM Games / Blas Luis Rocha González</x:v>
      </x:c>
      <x:c r="G687" s="24" t="str">
        <x:v>VRM Games / Blas Luis Rocha González</x:v>
      </x:c>
      <x:c r="H687" s="24" t="str">
        <x:v>Internal project production</x:v>
      </x:c>
      <x:c r="I687" s="24" t="str">
        <x:v>2026 project timeline</x:v>
      </x:c>
      <x:c r="J687" s="24" t="str">
        <x:v>Internal project IP / authorship claim</x:v>
      </x:c>
      <x:c r="K687" s="24" t="str">
        <x:v>N/A</x:v>
      </x:c>
      <x:c r="L687" s="24" t="str">
        <x:v>Source package + repository path + hash</x:v>
      </x:c>
      <x:c r="M687" s="24" t="str">
        <x:v>e83bd6ef45cd099d3cda44778f8a5d952af3e8a59dad7ade33c2fb4b8c83780b</x:v>
      </x:c>
      <x:c r="N687" s="24" t="str">
        <x:v>Assets/_Project/Tests/EditMode/Shopping/ShoppingReservationDomainTests.cs</x:v>
      </x:c>
      <x:c r="O687" s="24" t="str">
        <x:v>9ee25e8e5027467fba3cd5bc79eae050</x:v>
      </x:c>
      <x:c r="P687" s="24" t="str">
        <x:v>Sí</x:v>
      </x:c>
      <x:c r="Q687" s="24" t="str">
        <x:v>Condicionado a autoría/procedencia final</x:v>
      </x:c>
      <x:c r="R687" s="24" t="str">
        <x:v>Solo dentro del producto/build autorizado</x:v>
      </x:c>
      <x:c r="S687" s="24" t="str">
        <x:v>Crédito general del estudio; individual si aplica</x:v>
      </x:c>
      <x:c r="T687" s="24" t="str">
        <x:v>VRM Games / Blas Luis Rocha González</x:v>
      </x:c>
      <x:c r="U687" s="24" t="str">
        <x:v>CURRENT PROJECT ASSET</x:v>
      </x:c>
      <x:c r="V687" s="24" t="str">
        <x:v>CONDITIONALLY APPROVED</x:v>
      </x:c>
      <x:c r="W687" s="24" t="str">
        <x:v>Sí</x:v>
      </x:c>
      <x:c r="X687" s="24" t="str">
        <x:v>Low</x:v>
      </x:c>
      <x:c r="Y687" s="24" t="str">
        <x:v>Internal development; public candidate requires gate</x:v>
      </x:c>
      <x:c r="Z687" s="24" t="str">
        <x:v>H6 legal/content audit</x:v>
      </x:c>
      <x:c r="AA687" s="24" t="str">
        <x:v>VRM Games</x:v>
      </x:c>
      <x:c r="AB687" s="24" t="str">
        <x:v>No se detectó proveedor externo en la ruta; confirmar autoría por lote antes de release público.</x:v>
      </x:c>
    </x:row>
    <x:row r="688" ht="34" customHeight="1">
      <x:c r="A688" s="24" t="str">
        <x:v>INT-0684</x:v>
      </x:c>
      <x:c r="B688" s="24" t="str">
        <x:v>0fb27ba443c64bb6ad25eda2a8c038ad</x:v>
      </x:c>
      <x:c r="C688" s="24" t="str">
        <x:v>ShoppingReservationServiceTests.cs</x:v>
      </x:c>
      <x:c r="D688" s="24" t="str">
        <x:v>Code</x:v>
      </x:c>
      <x:c r="E688" s="24" t="str">
        <x:v>EditMode</x:v>
      </x:c>
      <x:c r="F688" s="24" t="str">
        <x:v>VRM Games / Blas Luis Rocha González</x:v>
      </x:c>
      <x:c r="G688" s="24" t="str">
        <x:v>VRM Games / Blas Luis Rocha González</x:v>
      </x:c>
      <x:c r="H688" s="24" t="str">
        <x:v>Internal project production</x:v>
      </x:c>
      <x:c r="I688" s="24" t="str">
        <x:v>2026 project timeline</x:v>
      </x:c>
      <x:c r="J688" s="24" t="str">
        <x:v>Internal project IP / authorship claim</x:v>
      </x:c>
      <x:c r="K688" s="24" t="str">
        <x:v>N/A</x:v>
      </x:c>
      <x:c r="L688" s="24" t="str">
        <x:v>Source package + repository path + hash</x:v>
      </x:c>
      <x:c r="M688" s="24" t="str">
        <x:v>ada696c4844199d2ea97601c6dac38eb99512daa868fca7aa78410a4faf640a6</x:v>
      </x:c>
      <x:c r="N688" s="24" t="str">
        <x:v>Assets/_Project/Tests/EditMode/Shopping/ShoppingReservationServiceTests.cs</x:v>
      </x:c>
      <x:c r="O688" s="24" t="str">
        <x:v>0fb27ba443c64bb6ad25eda2a8c038ad</x:v>
      </x:c>
      <x:c r="P688" s="24" t="str">
        <x:v>Sí</x:v>
      </x:c>
      <x:c r="Q688" s="24" t="str">
        <x:v>Condicionado a autoría/procedencia final</x:v>
      </x:c>
      <x:c r="R688" s="24" t="str">
        <x:v>Solo dentro del producto/build autorizado</x:v>
      </x:c>
      <x:c r="S688" s="24" t="str">
        <x:v>Crédito general del estudio; individual si aplica</x:v>
      </x:c>
      <x:c r="T688" s="24" t="str">
        <x:v>VRM Games / Blas Luis Rocha González</x:v>
      </x:c>
      <x:c r="U688" s="24" t="str">
        <x:v>CURRENT PROJECT ASSET</x:v>
      </x:c>
      <x:c r="V688" s="24" t="str">
        <x:v>CONDITIONALLY APPROVED</x:v>
      </x:c>
      <x:c r="W688" s="24" t="str">
        <x:v>Sí</x:v>
      </x:c>
      <x:c r="X688" s="24" t="str">
        <x:v>Low</x:v>
      </x:c>
      <x:c r="Y688" s="24" t="str">
        <x:v>Internal development; public candidate requires gate</x:v>
      </x:c>
      <x:c r="Z688" s="24" t="str">
        <x:v>H6 legal/content audit</x:v>
      </x:c>
      <x:c r="AA688" s="24" t="str">
        <x:v>VRM Games</x:v>
      </x:c>
      <x:c r="AB688" s="24" t="str">
        <x:v>No se detectó proveedor externo en la ruta; confirmar autoría por lote antes de release público.</x:v>
      </x:c>
    </x:row>
    <x:row r="689" ht="34" customHeight="1">
      <x:c r="A689" s="24" t="str">
        <x:v>INT-0685</x:v>
      </x:c>
      <x:c r="B689" s="24" t="str">
        <x:v>809988658a1f472891a6a2e45f1fe57c</x:v>
      </x:c>
      <x:c r="C689" s="24" t="str">
        <x:v>ShoppingSearchTests.cs</x:v>
      </x:c>
      <x:c r="D689" s="24" t="str">
        <x:v>Code</x:v>
      </x:c>
      <x:c r="E689" s="24" t="str">
        <x:v>EditMode</x:v>
      </x:c>
      <x:c r="F689" s="24" t="str">
        <x:v>VRM Games / Blas Luis Rocha González</x:v>
      </x:c>
      <x:c r="G689" s="24" t="str">
        <x:v>VRM Games / Blas Luis Rocha González</x:v>
      </x:c>
      <x:c r="H689" s="24" t="str">
        <x:v>Internal project production</x:v>
      </x:c>
      <x:c r="I689" s="24" t="str">
        <x:v>2026 project timeline</x:v>
      </x:c>
      <x:c r="J689" s="24" t="str">
        <x:v>Internal project IP / authorship claim</x:v>
      </x:c>
      <x:c r="K689" s="24" t="str">
        <x:v>N/A</x:v>
      </x:c>
      <x:c r="L689" s="24" t="str">
        <x:v>Source package + repository path + hash</x:v>
      </x:c>
      <x:c r="M689" s="24" t="str">
        <x:v>514723b3d84824d7cda9d9e62f81d695bacd1b35aa1f234097c3da9307ff44a3</x:v>
      </x:c>
      <x:c r="N689" s="24" t="str">
        <x:v>Assets/_Project/Tests/EditMode/Shopping/ShoppingSearchTests.cs</x:v>
      </x:c>
      <x:c r="O689" s="24" t="str">
        <x:v>809988658a1f472891a6a2e45f1fe57c</x:v>
      </x:c>
      <x:c r="P689" s="24" t="str">
        <x:v>Sí</x:v>
      </x:c>
      <x:c r="Q689" s="24" t="str">
        <x:v>Condicionado a autoría/procedencia final</x:v>
      </x:c>
      <x:c r="R689" s="24" t="str">
        <x:v>Solo dentro del producto/build autorizado</x:v>
      </x:c>
      <x:c r="S689" s="24" t="str">
        <x:v>Crédito general del estudio; individual si aplica</x:v>
      </x:c>
      <x:c r="T689" s="24" t="str">
        <x:v>VRM Games / Blas Luis Rocha González</x:v>
      </x:c>
      <x:c r="U689" s="24" t="str">
        <x:v>CURRENT PROJECT ASSET</x:v>
      </x:c>
      <x:c r="V689" s="24" t="str">
        <x:v>CONDITIONALLY APPROVED</x:v>
      </x:c>
      <x:c r="W689" s="24" t="str">
        <x:v>Sí</x:v>
      </x:c>
      <x:c r="X689" s="24" t="str">
        <x:v>Low</x:v>
      </x:c>
      <x:c r="Y689" s="24" t="str">
        <x:v>Internal development; public candidate requires gate</x:v>
      </x:c>
      <x:c r="Z689" s="24" t="str">
        <x:v>H6 legal/content audit</x:v>
      </x:c>
      <x:c r="AA689" s="24" t="str">
        <x:v>VRM Games</x:v>
      </x:c>
      <x:c r="AB689" s="24" t="str">
        <x:v>No se detectó proveedor externo en la ruta; confirmar autoría por lote antes de release público.</x:v>
      </x:c>
    </x:row>
    <x:row r="690" ht="34" customHeight="1">
      <x:c r="A690" s="24" t="str">
        <x:v>INT-0686</x:v>
      </x:c>
      <x:c r="B690" s="24" t="str">
        <x:v>e42c8171f59e449e9c7dc41651d990f2</x:v>
      </x:c>
      <x:c r="C690" s="24" t="str">
        <x:v>ShoppingTestFactory.cs</x:v>
      </x:c>
      <x:c r="D690" s="24" t="str">
        <x:v>Code</x:v>
      </x:c>
      <x:c r="E690" s="24" t="str">
        <x:v>EditMode</x:v>
      </x:c>
      <x:c r="F690" s="24" t="str">
        <x:v>VRM Games / Blas Luis Rocha González</x:v>
      </x:c>
      <x:c r="G690" s="24" t="str">
        <x:v>VRM Games / Blas Luis Rocha González</x:v>
      </x:c>
      <x:c r="H690" s="24" t="str">
        <x:v>Internal project production</x:v>
      </x:c>
      <x:c r="I690" s="24" t="str">
        <x:v>2026 project timeline</x:v>
      </x:c>
      <x:c r="J690" s="24" t="str">
        <x:v>Internal project IP / authorship claim</x:v>
      </x:c>
      <x:c r="K690" s="24" t="str">
        <x:v>N/A</x:v>
      </x:c>
      <x:c r="L690" s="24" t="str">
        <x:v>Source package + repository path + hash</x:v>
      </x:c>
      <x:c r="M690" s="24" t="str">
        <x:v>102e7503ccf447d69bc3b395396f31ab37d6f0527ff3422a843f38d6f37b42e3</x:v>
      </x:c>
      <x:c r="N690" s="24" t="str">
        <x:v>Assets/_Project/Tests/EditMode/Shopping/ShoppingTestFactory.cs</x:v>
      </x:c>
      <x:c r="O690" s="24" t="str">
        <x:v>e42c8171f59e449e9c7dc41651d990f2</x:v>
      </x:c>
      <x:c r="P690" s="24" t="str">
        <x:v>Sí</x:v>
      </x:c>
      <x:c r="Q690" s="24" t="str">
        <x:v>Condicionado a autoría/procedencia final</x:v>
      </x:c>
      <x:c r="R690" s="24" t="str">
        <x:v>Solo dentro del producto/build autorizado</x:v>
      </x:c>
      <x:c r="S690" s="24" t="str">
        <x:v>Crédito general del estudio; individual si aplica</x:v>
      </x:c>
      <x:c r="T690" s="24" t="str">
        <x:v>VRM Games / Blas Luis Rocha González</x:v>
      </x:c>
      <x:c r="U690" s="24" t="str">
        <x:v>CURRENT PROJECT ASSET</x:v>
      </x:c>
      <x:c r="V690" s="24" t="str">
        <x:v>CONDITIONALLY APPROVED</x:v>
      </x:c>
      <x:c r="W690" s="24" t="str">
        <x:v>Sí</x:v>
      </x:c>
      <x:c r="X690" s="24" t="str">
        <x:v>Low</x:v>
      </x:c>
      <x:c r="Y690" s="24" t="str">
        <x:v>Internal development; public candidate requires gate</x:v>
      </x:c>
      <x:c r="Z690" s="24" t="str">
        <x:v>H6 legal/content audit</x:v>
      </x:c>
      <x:c r="AA690" s="24" t="str">
        <x:v>VRM Games</x:v>
      </x:c>
      <x:c r="AB690" s="24" t="str">
        <x:v>No se detectó proveedor externo en la ruta; confirmar autoría por lote antes de release público.</x:v>
      </x:c>
    </x:row>
    <x:row r="691" ht="34" customHeight="1">
      <x:c r="A691" s="24" t="str">
        <x:v>INT-0687</x:v>
      </x:c>
      <x:c r="B691" s="24" t="str">
        <x:v>6d1a047a1bd1470a81b404f0cfdfa1cf</x:v>
      </x:c>
      <x:c r="C691" s="24" t="str">
        <x:v>ShoppingValueAndIntentTests.cs</x:v>
      </x:c>
      <x:c r="D691" s="24" t="str">
        <x:v>Code</x:v>
      </x:c>
      <x:c r="E691" s="24" t="str">
        <x:v>EditMode</x:v>
      </x:c>
      <x:c r="F691" s="24" t="str">
        <x:v>VRM Games / Blas Luis Rocha González</x:v>
      </x:c>
      <x:c r="G691" s="24" t="str">
        <x:v>VRM Games / Blas Luis Rocha González</x:v>
      </x:c>
      <x:c r="H691" s="24" t="str">
        <x:v>Internal project production</x:v>
      </x:c>
      <x:c r="I691" s="24" t="str">
        <x:v>2026 project timeline</x:v>
      </x:c>
      <x:c r="J691" s="24" t="str">
        <x:v>Internal project IP / authorship claim</x:v>
      </x:c>
      <x:c r="K691" s="24" t="str">
        <x:v>N/A</x:v>
      </x:c>
      <x:c r="L691" s="24" t="str">
        <x:v>Source package + repository path + hash</x:v>
      </x:c>
      <x:c r="M691" s="24" t="str">
        <x:v>d8960db1acbd4bc6f2b5cf54898733d68c21f967529048b066dae68454f8080e</x:v>
      </x:c>
      <x:c r="N691" s="24" t="str">
        <x:v>Assets/_Project/Tests/EditMode/Shopping/ShoppingValueAndIntentTests.cs</x:v>
      </x:c>
      <x:c r="O691" s="24" t="str">
        <x:v>6d1a047a1bd1470a81b404f0cfdfa1cf</x:v>
      </x:c>
      <x:c r="P691" s="24" t="str">
        <x:v>Sí</x:v>
      </x:c>
      <x:c r="Q691" s="24" t="str">
        <x:v>Condicionado a autoría/procedencia final</x:v>
      </x:c>
      <x:c r="R691" s="24" t="str">
        <x:v>Solo dentro del producto/build autorizado</x:v>
      </x:c>
      <x:c r="S691" s="24" t="str">
        <x:v>Crédito general del estudio; individual si aplica</x:v>
      </x:c>
      <x:c r="T691" s="24" t="str">
        <x:v>VRM Games / Blas Luis Rocha González</x:v>
      </x:c>
      <x:c r="U691" s="24" t="str">
        <x:v>CURRENT PROJECT ASSET</x:v>
      </x:c>
      <x:c r="V691" s="24" t="str">
        <x:v>CONDITIONALLY APPROVED</x:v>
      </x:c>
      <x:c r="W691" s="24" t="str">
        <x:v>Sí</x:v>
      </x:c>
      <x:c r="X691" s="24" t="str">
        <x:v>Low</x:v>
      </x:c>
      <x:c r="Y691" s="24" t="str">
        <x:v>Internal development; public candidate requires gate</x:v>
      </x:c>
      <x:c r="Z691" s="24" t="str">
        <x:v>H6 legal/content audit</x:v>
      </x:c>
      <x:c r="AA691" s="24" t="str">
        <x:v>VRM Games</x:v>
      </x:c>
      <x:c r="AB691" s="24" t="str">
        <x:v>No se detectó proveedor externo en la ruta; confirmar autoría por lote antes de release público.</x:v>
      </x:c>
    </x:row>
    <x:row r="692" ht="34" customHeight="1">
      <x:c r="A692" s="24" t="str">
        <x:v>INT-0688</x:v>
      </x:c>
      <x:c r="B692" s="24" t="str">
        <x:v>071739a921c14f5187dfac5f219e985e</x:v>
      </x:c>
      <x:c r="C692" s="24" t="str">
        <x:v>StoreShellSpecificationTests.cs</x:v>
      </x:c>
      <x:c r="D692" s="24" t="str">
        <x:v>Code</x:v>
      </x:c>
      <x:c r="E692" s="24" t="str">
        <x:v>EditMode</x:v>
      </x:c>
      <x:c r="F692" s="24" t="str">
        <x:v>VRM Games / Blas Luis Rocha González</x:v>
      </x:c>
      <x:c r="G692" s="24" t="str">
        <x:v>VRM Games / Blas Luis Rocha González</x:v>
      </x:c>
      <x:c r="H692" s="24" t="str">
        <x:v>Internal project production</x:v>
      </x:c>
      <x:c r="I692" s="24" t="str">
        <x:v>2026 project timeline</x:v>
      </x:c>
      <x:c r="J692" s="24" t="str">
        <x:v>Internal project IP / authorship claim</x:v>
      </x:c>
      <x:c r="K692" s="24" t="str">
        <x:v>N/A</x:v>
      </x:c>
      <x:c r="L692" s="24" t="str">
        <x:v>Source package + repository path + hash</x:v>
      </x:c>
      <x:c r="M692" s="24" t="str">
        <x:v>03f0148486eff43a0c0aa8a6c777bb1684fb12857aa4181640a0f61c6a1e1cb6</x:v>
      </x:c>
      <x:c r="N692" s="24" t="str">
        <x:v>Assets/_Project/Tests/EditMode/Store/StoreShellSpecificationTests.cs</x:v>
      </x:c>
      <x:c r="O692" s="24" t="str">
        <x:v>071739a921c14f5187dfac5f219e985e</x:v>
      </x:c>
      <x:c r="P692" s="24" t="str">
        <x:v>Sí</x:v>
      </x:c>
      <x:c r="Q692" s="24" t="str">
        <x:v>Condicionado a autoría/procedencia final</x:v>
      </x:c>
      <x:c r="R692" s="24" t="str">
        <x:v>Solo dentro del producto/build autorizado</x:v>
      </x:c>
      <x:c r="S692" s="24" t="str">
        <x:v>Crédito general del estudio; individual si aplica</x:v>
      </x:c>
      <x:c r="T692" s="24" t="str">
        <x:v>VRM Games / Blas Luis Rocha González</x:v>
      </x:c>
      <x:c r="U692" s="24" t="str">
        <x:v>CURRENT PROJECT ASSET</x:v>
      </x:c>
      <x:c r="V692" s="24" t="str">
        <x:v>CONDITIONALLY APPROVED</x:v>
      </x:c>
      <x:c r="W692" s="24" t="str">
        <x:v>Sí</x:v>
      </x:c>
      <x:c r="X692" s="24" t="str">
        <x:v>Low</x:v>
      </x:c>
      <x:c r="Y692" s="24" t="str">
        <x:v>Internal development; public candidate requires gate</x:v>
      </x:c>
      <x:c r="Z692" s="24" t="str">
        <x:v>H6 legal/content audit</x:v>
      </x:c>
      <x:c r="AA692" s="24" t="str">
        <x:v>VRM Games</x:v>
      </x:c>
      <x:c r="AB692" s="24" t="str">
        <x:v>No se detectó proveedor externo en la ruta; confirmar autoría por lote antes de release público.</x:v>
      </x:c>
    </x:row>
    <x:row r="693" ht="34" customHeight="1">
      <x:c r="A693" s="24" t="str">
        <x:v>INT-0689</x:v>
      </x:c>
      <x:c r="B693" s="24" t="str">
        <x:v>9e09d91147a044f194d605c0dd51536f</x:v>
      </x:c>
      <x:c r="C693" s="24" t="str">
        <x:v>SupplierCatalogTests.cs</x:v>
      </x:c>
      <x:c r="D693" s="24" t="str">
        <x:v>Code</x:v>
      </x:c>
      <x:c r="E693" s="24" t="str">
        <x:v>EditMode</x:v>
      </x:c>
      <x:c r="F693" s="24" t="str">
        <x:v>VRM Games / Blas Luis Rocha González</x:v>
      </x:c>
      <x:c r="G693" s="24" t="str">
        <x:v>VRM Games / Blas Luis Rocha González</x:v>
      </x:c>
      <x:c r="H693" s="24" t="str">
        <x:v>Internal project production</x:v>
      </x:c>
      <x:c r="I693" s="24" t="str">
        <x:v>2026 project timeline</x:v>
      </x:c>
      <x:c r="J693" s="24" t="str">
        <x:v>Internal project IP / authorship claim</x:v>
      </x:c>
      <x:c r="K693" s="24" t="str">
        <x:v>N/A</x:v>
      </x:c>
      <x:c r="L693" s="24" t="str">
        <x:v>Source package + repository path + hash</x:v>
      </x:c>
      <x:c r="M693" s="24" t="str">
        <x:v>e49a7079d12582bb45926b56ed42d625f2f30fa0461023865a45c701e2512c59</x:v>
      </x:c>
      <x:c r="N693" s="24" t="str">
        <x:v>Assets/_Project/Tests/EditMode/Suppliers/SupplierCatalogTests.cs</x:v>
      </x:c>
      <x:c r="O693" s="24" t="str">
        <x:v>9e09d91147a044f194d605c0dd51536f</x:v>
      </x:c>
      <x:c r="P693" s="24" t="str">
        <x:v>Sí</x:v>
      </x:c>
      <x:c r="Q693" s="24" t="str">
        <x:v>Condicionado a autoría/procedencia final</x:v>
      </x:c>
      <x:c r="R693" s="24" t="str">
        <x:v>Solo dentro del producto/build autorizado</x:v>
      </x:c>
      <x:c r="S693" s="24" t="str">
        <x:v>Crédito general del estudio; individual si aplica</x:v>
      </x:c>
      <x:c r="T693" s="24" t="str">
        <x:v>VRM Games / Blas Luis Rocha González</x:v>
      </x:c>
      <x:c r="U693" s="24" t="str">
        <x:v>CURRENT PROJECT ASSET</x:v>
      </x:c>
      <x:c r="V693" s="24" t="str">
        <x:v>CONDITIONALLY APPROVED</x:v>
      </x:c>
      <x:c r="W693" s="24" t="str">
        <x:v>Sí</x:v>
      </x:c>
      <x:c r="X693" s="24" t="str">
        <x:v>Low</x:v>
      </x:c>
      <x:c r="Y693" s="24" t="str">
        <x:v>Internal development; public candidate requires gate</x:v>
      </x:c>
      <x:c r="Z693" s="24" t="str">
        <x:v>H6 legal/content audit</x:v>
      </x:c>
      <x:c r="AA693" s="24" t="str">
        <x:v>VRM Games</x:v>
      </x:c>
      <x:c r="AB693" s="24" t="str">
        <x:v>No se detectó proveedor externo en la ruta; confirmar autoría por lote antes de release público.</x:v>
      </x:c>
    </x:row>
    <x:row r="694" ht="34" customHeight="1">
      <x:c r="A694" s="24" t="str">
        <x:v>INT-0690</x:v>
      </x:c>
      <x:c r="B694" s="24" t="str">
        <x:v>502fcf27a5274a46b6a503cf371c6958</x:v>
      </x:c>
      <x:c r="C694" s="24" t="str">
        <x:v>SupplierIdentifierTests.cs</x:v>
      </x:c>
      <x:c r="D694" s="24" t="str">
        <x:v>Code</x:v>
      </x:c>
      <x:c r="E694" s="24" t="str">
        <x:v>EditMode</x:v>
      </x:c>
      <x:c r="F694" s="24" t="str">
        <x:v>VRM Games / Blas Luis Rocha González</x:v>
      </x:c>
      <x:c r="G694" s="24" t="str">
        <x:v>VRM Games / Blas Luis Rocha González</x:v>
      </x:c>
      <x:c r="H694" s="24" t="str">
        <x:v>Internal project production</x:v>
      </x:c>
      <x:c r="I694" s="24" t="str">
        <x:v>2026 project timeline</x:v>
      </x:c>
      <x:c r="J694" s="24" t="str">
        <x:v>Internal project IP / authorship claim</x:v>
      </x:c>
      <x:c r="K694" s="24" t="str">
        <x:v>N/A</x:v>
      </x:c>
      <x:c r="L694" s="24" t="str">
        <x:v>Source package + repository path + hash</x:v>
      </x:c>
      <x:c r="M694" s="24" t="str">
        <x:v>bb3a35596b76ecd7bc5bd9f89c92997f180d62b78ec8485f56e0879b8c1a1168</x:v>
      </x:c>
      <x:c r="N694" s="24" t="str">
        <x:v>Assets/_Project/Tests/EditMode/Suppliers/SupplierIdentifierTests.cs</x:v>
      </x:c>
      <x:c r="O694" s="24" t="str">
        <x:v>502fcf27a5274a46b6a503cf371c6958</x:v>
      </x:c>
      <x:c r="P694" s="24" t="str">
        <x:v>Sí</x:v>
      </x:c>
      <x:c r="Q694" s="24" t="str">
        <x:v>Condicionado a autoría/procedencia final</x:v>
      </x:c>
      <x:c r="R694" s="24" t="str">
        <x:v>Solo dentro del producto/build autorizado</x:v>
      </x:c>
      <x:c r="S694" s="24" t="str">
        <x:v>Crédito general del estudio; individual si aplica</x:v>
      </x:c>
      <x:c r="T694" s="24" t="str">
        <x:v>VRM Games / Blas Luis Rocha González</x:v>
      </x:c>
      <x:c r="U694" s="24" t="str">
        <x:v>CURRENT PROJECT ASSET</x:v>
      </x:c>
      <x:c r="V694" s="24" t="str">
        <x:v>CONDITIONALLY APPROVED</x:v>
      </x:c>
      <x:c r="W694" s="24" t="str">
        <x:v>Sí</x:v>
      </x:c>
      <x:c r="X694" s="24" t="str">
        <x:v>Low</x:v>
      </x:c>
      <x:c r="Y694" s="24" t="str">
        <x:v>Internal development; public candidate requires gate</x:v>
      </x:c>
      <x:c r="Z694" s="24" t="str">
        <x:v>H6 legal/content audit</x:v>
      </x:c>
      <x:c r="AA694" s="24" t="str">
        <x:v>VRM Games</x:v>
      </x:c>
      <x:c r="AB694" s="24" t="str">
        <x:v>No se detectó proveedor externo en la ruta; confirmar autoría por lote antes de release público.</x:v>
      </x:c>
    </x:row>
    <x:row r="695" ht="34" customHeight="1">
      <x:c r="A695" s="24" t="str">
        <x:v>INT-0691</x:v>
      </x:c>
      <x:c r="B695" s="24" t="str">
        <x:v>b0c869e92fdf4bc9b9d6d5796980bec7</x:v>
      </x:c>
      <x:c r="C695" s="24" t="str">
        <x:v>AccessibilitySettingsTests.cs</x:v>
      </x:c>
      <x:c r="D695" s="24" t="str">
        <x:v>Code</x:v>
      </x:c>
      <x:c r="E695" s="24" t="str">
        <x:v>EditMode</x:v>
      </x:c>
      <x:c r="F695" s="24" t="str">
        <x:v>VRM Games / Blas Luis Rocha González</x:v>
      </x:c>
      <x:c r="G695" s="24" t="str">
        <x:v>VRM Games / Blas Luis Rocha González</x:v>
      </x:c>
      <x:c r="H695" s="24" t="str">
        <x:v>Internal project production</x:v>
      </x:c>
      <x:c r="I695" s="24" t="str">
        <x:v>2026 project timeline</x:v>
      </x:c>
      <x:c r="J695" s="24" t="str">
        <x:v>Internal project IP / authorship claim</x:v>
      </x:c>
      <x:c r="K695" s="24" t="str">
        <x:v>N/A</x:v>
      </x:c>
      <x:c r="L695" s="24" t="str">
        <x:v>Source package + repository path + hash</x:v>
      </x:c>
      <x:c r="M695" s="24" t="str">
        <x:v>a5788b8727be92d246f9b8c1816450db0bef78df7a03c5c8a8f2b1fa4ac68017</x:v>
      </x:c>
      <x:c r="N695" s="24" t="str">
        <x:v>Assets/_Project/Tests/EditMode/UIUX/AccessibilitySettingsTests.cs</x:v>
      </x:c>
      <x:c r="O695" s="24" t="str">
        <x:v>b0c869e92fdf4bc9b9d6d5796980bec7</x:v>
      </x:c>
      <x:c r="P695" s="24" t="str">
        <x:v>Sí</x:v>
      </x:c>
      <x:c r="Q695" s="24" t="str">
        <x:v>Condicionado a autoría/procedencia final</x:v>
      </x:c>
      <x:c r="R695" s="24" t="str">
        <x:v>Solo dentro del producto/build autorizado</x:v>
      </x:c>
      <x:c r="S695" s="24" t="str">
        <x:v>Crédito general del estudio; individual si aplica</x:v>
      </x:c>
      <x:c r="T695" s="24" t="str">
        <x:v>VRM Games / Blas Luis Rocha González</x:v>
      </x:c>
      <x:c r="U695" s="24" t="str">
        <x:v>CURRENT PROJECT ASSET</x:v>
      </x:c>
      <x:c r="V695" s="24" t="str">
        <x:v>CONDITIONALLY APPROVED</x:v>
      </x:c>
      <x:c r="W695" s="24" t="str">
        <x:v>Sí</x:v>
      </x:c>
      <x:c r="X695" s="24" t="str">
        <x:v>Low</x:v>
      </x:c>
      <x:c r="Y695" s="24" t="str">
        <x:v>Internal development; public candidate requires gate</x:v>
      </x:c>
      <x:c r="Z695" s="24" t="str">
        <x:v>H6 legal/content audit</x:v>
      </x:c>
      <x:c r="AA695" s="24" t="str">
        <x:v>VRM Games</x:v>
      </x:c>
      <x:c r="AB695" s="24" t="str">
        <x:v>No se detectó proveedor externo en la ruta; confirmar autoría por lote antes de release público.</x:v>
      </x:c>
    </x:row>
    <x:row r="696" ht="34" customHeight="1">
      <x:c r="A696" s="24" t="str">
        <x:v>INT-0692</x:v>
      </x:c>
      <x:c r="B696" s="24" t="str">
        <x:v>cd4edcf9498245529fe729da07967dfc</x:v>
      </x:c>
      <x:c r="C696" s="24" t="str">
        <x:v>DailyAutosaveServiceTests.cs</x:v>
      </x:c>
      <x:c r="D696" s="24" t="str">
        <x:v>Code</x:v>
      </x:c>
      <x:c r="E696" s="24" t="str">
        <x:v>EditMode</x:v>
      </x:c>
      <x:c r="F696" s="24" t="str">
        <x:v>VRM Games / Blas Luis Rocha González</x:v>
      </x:c>
      <x:c r="G696" s="24" t="str">
        <x:v>VRM Games / Blas Luis Rocha González</x:v>
      </x:c>
      <x:c r="H696" s="24" t="str">
        <x:v>Internal project production</x:v>
      </x:c>
      <x:c r="I696" s="24" t="str">
        <x:v>2026 project timeline</x:v>
      </x:c>
      <x:c r="J696" s="24" t="str">
        <x:v>Internal project IP / authorship claim</x:v>
      </x:c>
      <x:c r="K696" s="24" t="str">
        <x:v>N/A</x:v>
      </x:c>
      <x:c r="L696" s="24" t="str">
        <x:v>Source package + repository path + hash</x:v>
      </x:c>
      <x:c r="M696" s="24" t="str">
        <x:v>663c8c28d09568fd002aa5e1047157268c1a0c2a7f649c9d9a137854555bbfd4</x:v>
      </x:c>
      <x:c r="N696" s="24" t="str">
        <x:v>Assets/_Project/Tests/EditMode/UIUX/DailyAutosaveServiceTests.cs</x:v>
      </x:c>
      <x:c r="O696" s="24" t="str">
        <x:v>cd4edcf9498245529fe729da07967dfc</x:v>
      </x:c>
      <x:c r="P696" s="24" t="str">
        <x:v>Sí</x:v>
      </x:c>
      <x:c r="Q696" s="24" t="str">
        <x:v>Condicionado a autoría/procedencia final</x:v>
      </x:c>
      <x:c r="R696" s="24" t="str">
        <x:v>Solo dentro del producto/build autorizado</x:v>
      </x:c>
      <x:c r="S696" s="24" t="str">
        <x:v>Crédito general del estudio; individual si aplica</x:v>
      </x:c>
      <x:c r="T696" s="24" t="str">
        <x:v>VRM Games / Blas Luis Rocha González</x:v>
      </x:c>
      <x:c r="U696" s="24" t="str">
        <x:v>CURRENT PROJECT ASSET</x:v>
      </x:c>
      <x:c r="V696" s="24" t="str">
        <x:v>CONDITIONALLY APPROVED</x:v>
      </x:c>
      <x:c r="W696" s="24" t="str">
        <x:v>Sí</x:v>
      </x:c>
      <x:c r="X696" s="24" t="str">
        <x:v>Low</x:v>
      </x:c>
      <x:c r="Y696" s="24" t="str">
        <x:v>Internal development; public candidate requires gate</x:v>
      </x:c>
      <x:c r="Z696" s="24" t="str">
        <x:v>H6 legal/content audit</x:v>
      </x:c>
      <x:c r="AA696" s="24" t="str">
        <x:v>VRM Games</x:v>
      </x:c>
      <x:c r="AB696" s="24" t="str">
        <x:v>No se detectó proveedor externo en la ruta; confirmar autoría por lote antes de release público.</x:v>
      </x:c>
    </x:row>
    <x:row r="697" ht="34" customHeight="1">
      <x:c r="A697" s="24" t="str">
        <x:v>INT-0693</x:v>
      </x:c>
      <x:c r="B697" s="24" t="str">
        <x:v>c9989a62eb8c49d8a1ab4a2835c078b1</x:v>
      </x:c>
      <x:c r="C697" s="24" t="str">
        <x:v>SlotDescriptorTests.cs</x:v>
      </x:c>
      <x:c r="D697" s="24" t="str">
        <x:v>Code</x:v>
      </x:c>
      <x:c r="E697" s="24" t="str">
        <x:v>EditMode</x:v>
      </x:c>
      <x:c r="F697" s="24" t="str">
        <x:v>VRM Games / Blas Luis Rocha González</x:v>
      </x:c>
      <x:c r="G697" s="24" t="str">
        <x:v>VRM Games / Blas Luis Rocha González</x:v>
      </x:c>
      <x:c r="H697" s="24" t="str">
        <x:v>Internal project production</x:v>
      </x:c>
      <x:c r="I697" s="24" t="str">
        <x:v>2026 project timeline</x:v>
      </x:c>
      <x:c r="J697" s="24" t="str">
        <x:v>Internal project IP / authorship claim</x:v>
      </x:c>
      <x:c r="K697" s="24" t="str">
        <x:v>N/A</x:v>
      </x:c>
      <x:c r="L697" s="24" t="str">
        <x:v>Source package + repository path + hash</x:v>
      </x:c>
      <x:c r="M697" s="24" t="str">
        <x:v>8a780ab8e73b5de0ab992483edbf04e1ae76c588a81b367d7e178dbb53bf8fb4</x:v>
      </x:c>
      <x:c r="N697" s="24" t="str">
        <x:v>Assets/_Project/Tests/EditMode/UIUX/SlotDescriptorTests.cs</x:v>
      </x:c>
      <x:c r="O697" s="24" t="str">
        <x:v>c9989a62eb8c49d8a1ab4a2835c078b1</x:v>
      </x:c>
      <x:c r="P697" s="24" t="str">
        <x:v>Sí</x:v>
      </x:c>
      <x:c r="Q697" s="24" t="str">
        <x:v>Condicionado a autoría/procedencia final</x:v>
      </x:c>
      <x:c r="R697" s="24" t="str">
        <x:v>Solo dentro del producto/build autorizado</x:v>
      </x:c>
      <x:c r="S697" s="24" t="str">
        <x:v>Crédito general del estudio; individual si aplica</x:v>
      </x:c>
      <x:c r="T697" s="24" t="str">
        <x:v>VRM Games / Blas Luis Rocha González</x:v>
      </x:c>
      <x:c r="U697" s="24" t="str">
        <x:v>CURRENT PROJECT ASSET</x:v>
      </x:c>
      <x:c r="V697" s="24" t="str">
        <x:v>CONDITIONALLY APPROVED</x:v>
      </x:c>
      <x:c r="W697" s="24" t="str">
        <x:v>Sí</x:v>
      </x:c>
      <x:c r="X697" s="24" t="str">
        <x:v>Low</x:v>
      </x:c>
      <x:c r="Y697" s="24" t="str">
        <x:v>Internal development; public candidate requires gate</x:v>
      </x:c>
      <x:c r="Z697" s="24" t="str">
        <x:v>H6 legal/content audit</x:v>
      </x:c>
      <x:c r="AA697" s="24" t="str">
        <x:v>VRM Games</x:v>
      </x:c>
      <x:c r="AB697" s="24" t="str">
        <x:v>No se detectó proveedor externo en la ruta; confirmar autoría por lote antes de release público.</x:v>
      </x:c>
    </x:row>
    <x:row r="698" ht="34" customHeight="1">
      <x:c r="A698" s="24" t="str">
        <x:v>INT-0694</x:v>
      </x:c>
      <x:c r="B698" s="24" t="str">
        <x:v>61b539e068ad4d328f5030c53ea49a13</x:v>
      </x:c>
      <x:c r="C698" s="24" t="str">
        <x:v>SlotSelectionServiceTests.cs</x:v>
      </x:c>
      <x:c r="D698" s="24" t="str">
        <x:v>Code</x:v>
      </x:c>
      <x:c r="E698" s="24" t="str">
        <x:v>EditMode</x:v>
      </x:c>
      <x:c r="F698" s="24" t="str">
        <x:v>VRM Games / Blas Luis Rocha González</x:v>
      </x:c>
      <x:c r="G698" s="24" t="str">
        <x:v>VRM Games / Blas Luis Rocha González</x:v>
      </x:c>
      <x:c r="H698" s="24" t="str">
        <x:v>Internal project production</x:v>
      </x:c>
      <x:c r="I698" s="24" t="str">
        <x:v>2026 project timeline</x:v>
      </x:c>
      <x:c r="J698" s="24" t="str">
        <x:v>Internal project IP / authorship claim</x:v>
      </x:c>
      <x:c r="K698" s="24" t="str">
        <x:v>N/A</x:v>
      </x:c>
      <x:c r="L698" s="24" t="str">
        <x:v>Source package + repository path + hash</x:v>
      </x:c>
      <x:c r="M698" s="24" t="str">
        <x:v>d702e4198054ed7aa8e405409540394fb2097c0099174378e24664cc1fbaaad5</x:v>
      </x:c>
      <x:c r="N698" s="24" t="str">
        <x:v>Assets/_Project/Tests/EditMode/UIUX/SlotSelectionServiceTests.cs</x:v>
      </x:c>
      <x:c r="O698" s="24" t="str">
        <x:v>61b539e068ad4d328f5030c53ea49a13</x:v>
      </x:c>
      <x:c r="P698" s="24" t="str">
        <x:v>Sí</x:v>
      </x:c>
      <x:c r="Q698" s="24" t="str">
        <x:v>Condicionado a autoría/procedencia final</x:v>
      </x:c>
      <x:c r="R698" s="24" t="str">
        <x:v>Solo dentro del producto/build autorizado</x:v>
      </x:c>
      <x:c r="S698" s="24" t="str">
        <x:v>Crédito general del estudio; individual si aplica</x:v>
      </x:c>
      <x:c r="T698" s="24" t="str">
        <x:v>VRM Games / Blas Luis Rocha González</x:v>
      </x:c>
      <x:c r="U698" s="24" t="str">
        <x:v>CURRENT PROJECT ASSET</x:v>
      </x:c>
      <x:c r="V698" s="24" t="str">
        <x:v>CONDITIONALLY APPROVED</x:v>
      </x:c>
      <x:c r="W698" s="24" t="str">
        <x:v>Sí</x:v>
      </x:c>
      <x:c r="X698" s="24" t="str">
        <x:v>Low</x:v>
      </x:c>
      <x:c r="Y698" s="24" t="str">
        <x:v>Internal development; public candidate requires gate</x:v>
      </x:c>
      <x:c r="Z698" s="24" t="str">
        <x:v>H6 legal/content audit</x:v>
      </x:c>
      <x:c r="AA698" s="24" t="str">
        <x:v>VRM Games</x:v>
      </x:c>
      <x:c r="AB698" s="24" t="str">
        <x:v>No se detectó proveedor externo en la ruta; confirmar autoría por lote antes de release público.</x:v>
      </x:c>
    </x:row>
    <x:row r="699" ht="34" customHeight="1">
      <x:c r="A699" s="24" t="str">
        <x:v>INT-0695</x:v>
      </x:c>
      <x:c r="B699" s="24" t="str">
        <x:v>952a5a6a6f31453296403634643e94e6</x:v>
      </x:c>
      <x:c r="C699" s="24" t="str">
        <x:v>StoreUiProjectionTests.cs</x:v>
      </x:c>
      <x:c r="D699" s="24" t="str">
        <x:v>Code</x:v>
      </x:c>
      <x:c r="E699" s="24" t="str">
        <x:v>EditMode</x:v>
      </x:c>
      <x:c r="F699" s="24" t="str">
        <x:v>VRM Games / Blas Luis Rocha González</x:v>
      </x:c>
      <x:c r="G699" s="24" t="str">
        <x:v>VRM Games / Blas Luis Rocha González</x:v>
      </x:c>
      <x:c r="H699" s="24" t="str">
        <x:v>Internal project production</x:v>
      </x:c>
      <x:c r="I699" s="24" t="str">
        <x:v>2026 project timeline</x:v>
      </x:c>
      <x:c r="J699" s="24" t="str">
        <x:v>Internal project IP / authorship claim</x:v>
      </x:c>
      <x:c r="K699" s="24" t="str">
        <x:v>N/A</x:v>
      </x:c>
      <x:c r="L699" s="24" t="str">
        <x:v>Source package + repository path + hash</x:v>
      </x:c>
      <x:c r="M699" s="24" t="str">
        <x:v>70c403cfb58c170146c2f3622e66da83d97cb4076f840650ed3f90b4fe73e285</x:v>
      </x:c>
      <x:c r="N699" s="24" t="str">
        <x:v>Assets/_Project/Tests/EditMode/UIUX/StoreUiProjectionTests.cs</x:v>
      </x:c>
      <x:c r="O699" s="24" t="str">
        <x:v>952a5a6a6f31453296403634643e94e6</x:v>
      </x:c>
      <x:c r="P699" s="24" t="str">
        <x:v>Sí</x:v>
      </x:c>
      <x:c r="Q699" s="24" t="str">
        <x:v>Condicionado a autoría/procedencia final</x:v>
      </x:c>
      <x:c r="R699" s="24" t="str">
        <x:v>Solo dentro del producto/build autorizado</x:v>
      </x:c>
      <x:c r="S699" s="24" t="str">
        <x:v>Crédito general del estudio; individual si aplica</x:v>
      </x:c>
      <x:c r="T699" s="24" t="str">
        <x:v>VRM Games / Blas Luis Rocha González</x:v>
      </x:c>
      <x:c r="U699" s="24" t="str">
        <x:v>CURRENT PROJECT ASSET</x:v>
      </x:c>
      <x:c r="V699" s="24" t="str">
        <x:v>CONDITIONALLY APPROVED</x:v>
      </x:c>
      <x:c r="W699" s="24" t="str">
        <x:v>Sí</x:v>
      </x:c>
      <x:c r="X699" s="24" t="str">
        <x:v>Low</x:v>
      </x:c>
      <x:c r="Y699" s="24" t="str">
        <x:v>Internal development; public candidate requires gate</x:v>
      </x:c>
      <x:c r="Z699" s="24" t="str">
        <x:v>H6 legal/content audit</x:v>
      </x:c>
      <x:c r="AA699" s="24" t="str">
        <x:v>VRM Games</x:v>
      </x:c>
      <x:c r="AB699" s="24" t="str">
        <x:v>No se detectó proveedor externo en la ruta; confirmar autoría por lote antes de release público.</x:v>
      </x:c>
    </x:row>
    <x:row r="700" ht="34" customHeight="1">
      <x:c r="A700" s="24" t="str">
        <x:v>INT-0696</x:v>
      </x:c>
      <x:c r="B700" s="24" t="str">
        <x:v>42229e71fd684ff79c5bdb1a145d3376</x:v>
      </x:c>
      <x:c r="C700" s="24" t="str">
        <x:v>TutorialProgressTests.cs</x:v>
      </x:c>
      <x:c r="D700" s="24" t="str">
        <x:v>Code</x:v>
      </x:c>
      <x:c r="E700" s="24" t="str">
        <x:v>EditMode</x:v>
      </x:c>
      <x:c r="F700" s="24" t="str">
        <x:v>VRM Games / Blas Luis Rocha González</x:v>
      </x:c>
      <x:c r="G700" s="24" t="str">
        <x:v>VRM Games / Blas Luis Rocha González</x:v>
      </x:c>
      <x:c r="H700" s="24" t="str">
        <x:v>Internal project production</x:v>
      </x:c>
      <x:c r="I700" s="24" t="str">
        <x:v>2026 project timeline</x:v>
      </x:c>
      <x:c r="J700" s="24" t="str">
        <x:v>Internal project IP / authorship claim</x:v>
      </x:c>
      <x:c r="K700" s="24" t="str">
        <x:v>N/A</x:v>
      </x:c>
      <x:c r="L700" s="24" t="str">
        <x:v>Source package + repository path + hash</x:v>
      </x:c>
      <x:c r="M700" s="24" t="str">
        <x:v>52c334f5ac362ed4c3cfe410df65768614acef3a07994d0d33434585ef71747e</x:v>
      </x:c>
      <x:c r="N700" s="24" t="str">
        <x:v>Assets/_Project/Tests/EditMode/UIUX/TutorialProgressTests.cs</x:v>
      </x:c>
      <x:c r="O700" s="24" t="str">
        <x:v>42229e71fd684ff79c5bdb1a145d3376</x:v>
      </x:c>
      <x:c r="P700" s="24" t="str">
        <x:v>Sí</x:v>
      </x:c>
      <x:c r="Q700" s="24" t="str">
        <x:v>Condicionado a autoría/procedencia final</x:v>
      </x:c>
      <x:c r="R700" s="24" t="str">
        <x:v>Solo dentro del producto/build autorizado</x:v>
      </x:c>
      <x:c r="S700" s="24" t="str">
        <x:v>Crédito general del estudio; individual si aplica</x:v>
      </x:c>
      <x:c r="T700" s="24" t="str">
        <x:v>VRM Games / Blas Luis Rocha González</x:v>
      </x:c>
      <x:c r="U700" s="24" t="str">
        <x:v>CURRENT PROJECT ASSET</x:v>
      </x:c>
      <x:c r="V700" s="24" t="str">
        <x:v>CONDITIONALLY APPROVED</x:v>
      </x:c>
      <x:c r="W700" s="24" t="str">
        <x:v>Sí</x:v>
      </x:c>
      <x:c r="X700" s="24" t="str">
        <x:v>Low</x:v>
      </x:c>
      <x:c r="Y700" s="24" t="str">
        <x:v>Internal development; public candidate requires gate</x:v>
      </x:c>
      <x:c r="Z700" s="24" t="str">
        <x:v>H6 legal/content audit</x:v>
      </x:c>
      <x:c r="AA700" s="24" t="str">
        <x:v>VRM Games</x:v>
      </x:c>
      <x:c r="AB700" s="24" t="str">
        <x:v>No se detectó proveedor externo en la ruta; confirmar autoría por lote antes de release público.</x:v>
      </x:c>
    </x:row>
    <x:row r="701" ht="34" customHeight="1">
      <x:c r="A701" s="24" t="str">
        <x:v>INT-0697</x:v>
      </x:c>
      <x:c r="B701" s="24" t="str">
        <x:v>f25ce1a19d1d4b0bb0c9ffe79326de66</x:v>
      </x:c>
      <x:c r="C701" s="24" t="str">
        <x:v>UIUXAuthoringTests.cs</x:v>
      </x:c>
      <x:c r="D701" s="24" t="str">
        <x:v>Code</x:v>
      </x:c>
      <x:c r="E701" s="24" t="str">
        <x:v>EditMode</x:v>
      </x:c>
      <x:c r="F701" s="24" t="str">
        <x:v>VRM Games / Blas Luis Rocha González</x:v>
      </x:c>
      <x:c r="G701" s="24" t="str">
        <x:v>VRM Games / Blas Luis Rocha González</x:v>
      </x:c>
      <x:c r="H701" s="24" t="str">
        <x:v>Internal project production</x:v>
      </x:c>
      <x:c r="I701" s="24" t="str">
        <x:v>2026 project timeline</x:v>
      </x:c>
      <x:c r="J701" s="24" t="str">
        <x:v>Internal project IP / authorship claim</x:v>
      </x:c>
      <x:c r="K701" s="24" t="str">
        <x:v>N/A</x:v>
      </x:c>
      <x:c r="L701" s="24" t="str">
        <x:v>Source package + repository path + hash</x:v>
      </x:c>
      <x:c r="M701" s="24" t="str">
        <x:v>33763f6a3ceabe7f7695a68d8d6cf251c590f68d7ee431799215e1ab03bbe77d</x:v>
      </x:c>
      <x:c r="N701" s="24" t="str">
        <x:v>Assets/_Project/Tests/EditMode/UIUX/UIUXAuthoringTests.cs</x:v>
      </x:c>
      <x:c r="O701" s="24" t="str">
        <x:v>f25ce1a19d1d4b0bb0c9ffe79326de66</x:v>
      </x:c>
      <x:c r="P701" s="24" t="str">
        <x:v>Sí</x:v>
      </x:c>
      <x:c r="Q701" s="24" t="str">
        <x:v>Condicionado a autoría/procedencia final</x:v>
      </x:c>
      <x:c r="R701" s="24" t="str">
        <x:v>Solo dentro del producto/build autorizado</x:v>
      </x:c>
      <x:c r="S701" s="24" t="str">
        <x:v>Crédito general del estudio; individual si aplica</x:v>
      </x:c>
      <x:c r="T701" s="24" t="str">
        <x:v>VRM Games / Blas Luis Rocha González</x:v>
      </x:c>
      <x:c r="U701" s="24" t="str">
        <x:v>CURRENT PROJECT ASSET</x:v>
      </x:c>
      <x:c r="V701" s="24" t="str">
        <x:v>CONDITIONALLY APPROVED</x:v>
      </x:c>
      <x:c r="W701" s="24" t="str">
        <x:v>Sí</x:v>
      </x:c>
      <x:c r="X701" s="24" t="str">
        <x:v>Low</x:v>
      </x:c>
      <x:c r="Y701" s="24" t="str">
        <x:v>Internal development; public candidate requires gate</x:v>
      </x:c>
      <x:c r="Z701" s="24" t="str">
        <x:v>H6 legal/content audit</x:v>
      </x:c>
      <x:c r="AA701" s="24" t="str">
        <x:v>VRM Games</x:v>
      </x:c>
      <x:c r="AB701" s="24" t="str">
        <x:v>No se detectó proveedor externo en la ruta; confirmar autoría por lote antes de release público.</x:v>
      </x:c>
    </x:row>
    <x:row r="702" ht="34" customHeight="1">
      <x:c r="A702" s="24" t="str">
        <x:v>INT-0698</x:v>
      </x:c>
      <x:c r="B702" s="24" t="str">
        <x:v>e34c5db1b09140a1b15a73351d3b2879</x:v>
      </x:c>
      <x:c r="C702" s="24" t="str">
        <x:v>UIUXRepositoryTests.cs</x:v>
      </x:c>
      <x:c r="D702" s="24" t="str">
        <x:v>Code</x:v>
      </x:c>
      <x:c r="E702" s="24" t="str">
        <x:v>EditMode</x:v>
      </x:c>
      <x:c r="F702" s="24" t="str">
        <x:v>VRM Games / Blas Luis Rocha González</x:v>
      </x:c>
      <x:c r="G702" s="24" t="str">
        <x:v>VRM Games / Blas Luis Rocha González</x:v>
      </x:c>
      <x:c r="H702" s="24" t="str">
        <x:v>Internal project production</x:v>
      </x:c>
      <x:c r="I702" s="24" t="str">
        <x:v>2026 project timeline</x:v>
      </x:c>
      <x:c r="J702" s="24" t="str">
        <x:v>Internal project IP / authorship claim</x:v>
      </x:c>
      <x:c r="K702" s="24" t="str">
        <x:v>N/A</x:v>
      </x:c>
      <x:c r="L702" s="24" t="str">
        <x:v>Source package + repository path + hash</x:v>
      </x:c>
      <x:c r="M702" s="24" t="str">
        <x:v>acedca96504b7f7d4701148ca9e24ffe9143e11c72cf57e4238229443b68e37b</x:v>
      </x:c>
      <x:c r="N702" s="24" t="str">
        <x:v>Assets/_Project/Tests/EditMode/UIUX/UIUXRepositoryTests.cs</x:v>
      </x:c>
      <x:c r="O702" s="24" t="str">
        <x:v>e34c5db1b09140a1b15a73351d3b2879</x:v>
      </x:c>
      <x:c r="P702" s="24" t="str">
        <x:v>Sí</x:v>
      </x:c>
      <x:c r="Q702" s="24" t="str">
        <x:v>Condicionado a autoría/procedencia final</x:v>
      </x:c>
      <x:c r="R702" s="24" t="str">
        <x:v>Solo dentro del producto/build autorizado</x:v>
      </x:c>
      <x:c r="S702" s="24" t="str">
        <x:v>Crédito general del estudio; individual si aplica</x:v>
      </x:c>
      <x:c r="T702" s="24" t="str">
        <x:v>VRM Games / Blas Luis Rocha González</x:v>
      </x:c>
      <x:c r="U702" s="24" t="str">
        <x:v>CURRENT PROJECT ASSET</x:v>
      </x:c>
      <x:c r="V702" s="24" t="str">
        <x:v>CONDITIONALLY APPROVED</x:v>
      </x:c>
      <x:c r="W702" s="24" t="str">
        <x:v>Sí</x:v>
      </x:c>
      <x:c r="X702" s="24" t="str">
        <x:v>Low</x:v>
      </x:c>
      <x:c r="Y702" s="24" t="str">
        <x:v>Internal development; public candidate requires gate</x:v>
      </x:c>
      <x:c r="Z702" s="24" t="str">
        <x:v>H6 legal/content audit</x:v>
      </x:c>
      <x:c r="AA702" s="24" t="str">
        <x:v>VRM Games</x:v>
      </x:c>
      <x:c r="AB702" s="24" t="str">
        <x:v>No se detectó proveedor externo en la ruta; confirmar autoría por lote antes de release público.</x:v>
      </x:c>
    </x:row>
    <x:row r="703" ht="34" customHeight="1">
      <x:c r="A703" s="24" t="str">
        <x:v>INT-0699</x:v>
      </x:c>
      <x:c r="B703" s="24" t="str">
        <x:v>087fa4c5a2fc42bc98da7428a15b32de</x:v>
      </x:c>
      <x:c r="C703" s="24" t="str">
        <x:v>UIUXTestFactory.cs</x:v>
      </x:c>
      <x:c r="D703" s="24" t="str">
        <x:v>Code</x:v>
      </x:c>
      <x:c r="E703" s="24" t="str">
        <x:v>EditMode</x:v>
      </x:c>
      <x:c r="F703" s="24" t="str">
        <x:v>VRM Games / Blas Luis Rocha González</x:v>
      </x:c>
      <x:c r="G703" s="24" t="str">
        <x:v>VRM Games / Blas Luis Rocha González</x:v>
      </x:c>
      <x:c r="H703" s="24" t="str">
        <x:v>Internal project production</x:v>
      </x:c>
      <x:c r="I703" s="24" t="str">
        <x:v>2026 project timeline</x:v>
      </x:c>
      <x:c r="J703" s="24" t="str">
        <x:v>Internal project IP / authorship claim</x:v>
      </x:c>
      <x:c r="K703" s="24" t="str">
        <x:v>N/A</x:v>
      </x:c>
      <x:c r="L703" s="24" t="str">
        <x:v>Source package + repository path + hash</x:v>
      </x:c>
      <x:c r="M703" s="24" t="str">
        <x:v>46f27aeef09c5566a6fc042e19b56a94ced77572fb3e89c9decd52c204ea82a3</x:v>
      </x:c>
      <x:c r="N703" s="24" t="str">
        <x:v>Assets/_Project/Tests/EditMode/UIUX/UIUXTestFactory.cs</x:v>
      </x:c>
      <x:c r="O703" s="24" t="str">
        <x:v>087fa4c5a2fc42bc98da7428a15b32de</x:v>
      </x:c>
      <x:c r="P703" s="24" t="str">
        <x:v>Sí</x:v>
      </x:c>
      <x:c r="Q703" s="24" t="str">
        <x:v>Condicionado a autoría/procedencia final</x:v>
      </x:c>
      <x:c r="R703" s="24" t="str">
        <x:v>Solo dentro del producto/build autorizado</x:v>
      </x:c>
      <x:c r="S703" s="24" t="str">
        <x:v>Crédito general del estudio; individual si aplica</x:v>
      </x:c>
      <x:c r="T703" s="24" t="str">
        <x:v>VRM Games / Blas Luis Rocha González</x:v>
      </x:c>
      <x:c r="U703" s="24" t="str">
        <x:v>CURRENT PROJECT ASSET</x:v>
      </x:c>
      <x:c r="V703" s="24" t="str">
        <x:v>CONDITIONALLY APPROVED</x:v>
      </x:c>
      <x:c r="W703" s="24" t="str">
        <x:v>Sí</x:v>
      </x:c>
      <x:c r="X703" s="24" t="str">
        <x:v>Low</x:v>
      </x:c>
      <x:c r="Y703" s="24" t="str">
        <x:v>Internal development; public candidate requires gate</x:v>
      </x:c>
      <x:c r="Z703" s="24" t="str">
        <x:v>H6 legal/content audit</x:v>
      </x:c>
      <x:c r="AA703" s="24" t="str">
        <x:v>VRM Games</x:v>
      </x:c>
      <x:c r="AB703" s="24" t="str">
        <x:v>No se detectó proveedor externo en la ruta; confirmar autoría por lote antes de release público.</x:v>
      </x:c>
    </x:row>
    <x:row r="704" ht="34" customHeight="1">
      <x:c r="A704" s="24" t="str">
        <x:v>INT-0700</x:v>
      </x:c>
      <x:c r="B704" s="24" t="str">
        <x:v>ecac2cbf2baf4cab8143fa95af343688</x:v>
      </x:c>
      <x:c r="C704" s="24" t="str">
        <x:v>UiNavigationTests.cs</x:v>
      </x:c>
      <x:c r="D704" s="24" t="str">
        <x:v>Code</x:v>
      </x:c>
      <x:c r="E704" s="24" t="str">
        <x:v>EditMode</x:v>
      </x:c>
      <x:c r="F704" s="24" t="str">
        <x:v>VRM Games / Blas Luis Rocha González</x:v>
      </x:c>
      <x:c r="G704" s="24" t="str">
        <x:v>VRM Games / Blas Luis Rocha González</x:v>
      </x:c>
      <x:c r="H704" s="24" t="str">
        <x:v>Internal project production</x:v>
      </x:c>
      <x:c r="I704" s="24" t="str">
        <x:v>2026 project timeline</x:v>
      </x:c>
      <x:c r="J704" s="24" t="str">
        <x:v>Internal project IP / authorship claim</x:v>
      </x:c>
      <x:c r="K704" s="24" t="str">
        <x:v>N/A</x:v>
      </x:c>
      <x:c r="L704" s="24" t="str">
        <x:v>Source package + repository path + hash</x:v>
      </x:c>
      <x:c r="M704" s="24" t="str">
        <x:v>a0591104abcda151cdfa707660dd86a4ce8dac0ff8bc74734c4525e9da50aa6b</x:v>
      </x:c>
      <x:c r="N704" s="24" t="str">
        <x:v>Assets/_Project/Tests/EditMode/UIUX/UiNavigationTests.cs</x:v>
      </x:c>
      <x:c r="O704" s="24" t="str">
        <x:v>ecac2cbf2baf4cab8143fa95af343688</x:v>
      </x:c>
      <x:c r="P704" s="24" t="str">
        <x:v>Sí</x:v>
      </x:c>
      <x:c r="Q704" s="24" t="str">
        <x:v>Condicionado a autoría/procedencia final</x:v>
      </x:c>
      <x:c r="R704" s="24" t="str">
        <x:v>Solo dentro del producto/build autorizado</x:v>
      </x:c>
      <x:c r="S704" s="24" t="str">
        <x:v>Crédito general del estudio; individual si aplica</x:v>
      </x:c>
      <x:c r="T704" s="24" t="str">
        <x:v>VRM Games / Blas Luis Rocha González</x:v>
      </x:c>
      <x:c r="U704" s="24" t="str">
        <x:v>CURRENT PROJECT ASSET</x:v>
      </x:c>
      <x:c r="V704" s="24" t="str">
        <x:v>CONDITIONALLY APPROVED</x:v>
      </x:c>
      <x:c r="W704" s="24" t="str">
        <x:v>Sí</x:v>
      </x:c>
      <x:c r="X704" s="24" t="str">
        <x:v>Low</x:v>
      </x:c>
      <x:c r="Y704" s="24" t="str">
        <x:v>Internal development; public candidate requires gate</x:v>
      </x:c>
      <x:c r="Z704" s="24" t="str">
        <x:v>H6 legal/content audit</x:v>
      </x:c>
      <x:c r="AA704" s="24" t="str">
        <x:v>VRM Games</x:v>
      </x:c>
      <x:c r="AB704" s="24" t="str">
        <x:v>No se detectó proveedor externo en la ruta; confirmar autoría por lote antes de release público.</x:v>
      </x:c>
    </x:row>
    <x:row r="705" ht="34" customHeight="1">
      <x:c r="A705" s="24" t="str">
        <x:v>INT-0701</x:v>
      </x:c>
      <x:c r="B705" s="24" t="str">
        <x:v>bf86e1d9c09045841ad083f38ea094a0</x:v>
      </x:c>
      <x:c r="C705" s="24" t="str">
        <x:v>VRMGames.CartridgeAndCloud.Tests.EditMode.asmdef</x:v>
      </x:c>
      <x:c r="D705" s="24" t="str">
        <x:v>Assembly definition</x:v>
      </x:c>
      <x:c r="E705" s="24" t="str">
        <x:v>EditMode</x:v>
      </x:c>
      <x:c r="F705" s="24" t="str">
        <x:v>VRM Games / Blas Luis Rocha González</x:v>
      </x:c>
      <x:c r="G705" s="24" t="str">
        <x:v>VRM Games / Blas Luis Rocha González</x:v>
      </x:c>
      <x:c r="H705" s="24" t="str">
        <x:v>Internal project production</x:v>
      </x:c>
      <x:c r="I705" s="24" t="str">
        <x:v>2026 project timeline</x:v>
      </x:c>
      <x:c r="J705" s="24" t="str">
        <x:v>Internal project IP / authorship claim</x:v>
      </x:c>
      <x:c r="K705" s="24" t="str">
        <x:v>N/A</x:v>
      </x:c>
      <x:c r="L705" s="24" t="str">
        <x:v>Source package + repository path + hash</x:v>
      </x:c>
      <x:c r="M705" s="24" t="str">
        <x:v>4668ac933ffcc6194cd62e98f9a30b9f2d841e10664bee1db49178e7e13dfc4e</x:v>
      </x:c>
      <x:c r="N705" s="24" t="str">
        <x:v>Assets/_Project/Tests/EditMode/VRMGames.CartridgeAndCloud.Tests.EditMode.asmdef</x:v>
      </x:c>
      <x:c r="O705" s="24" t="str">
        <x:v>bf86e1d9c09045841ad083f38ea094a0</x:v>
      </x:c>
      <x:c r="P705" s="24" t="str">
        <x:v>Sí</x:v>
      </x:c>
      <x:c r="Q705" s="24" t="str">
        <x:v>Condicionado a autoría/procedencia final</x:v>
      </x:c>
      <x:c r="R705" s="24" t="str">
        <x:v>Solo dentro del producto/build autorizado</x:v>
      </x:c>
      <x:c r="S705" s="24" t="str">
        <x:v>Crédito general del estudio; individual si aplica</x:v>
      </x:c>
      <x:c r="T705" s="24" t="str">
        <x:v>VRM Games / Blas Luis Rocha González</x:v>
      </x:c>
      <x:c r="U705" s="24" t="str">
        <x:v>CURRENT PROJECT ASSET</x:v>
      </x:c>
      <x:c r="V705" s="24" t="str">
        <x:v>CONDITIONALLY APPROVED</x:v>
      </x:c>
      <x:c r="W705" s="24" t="str">
        <x:v>Sí</x:v>
      </x:c>
      <x:c r="X705" s="24" t="str">
        <x:v>Low</x:v>
      </x:c>
      <x:c r="Y705" s="24" t="str">
        <x:v>Internal development; public candidate requires gate</x:v>
      </x:c>
      <x:c r="Z705" s="24" t="str">
        <x:v>H6 legal/content audit</x:v>
      </x:c>
      <x:c r="AA705" s="24" t="str">
        <x:v>VRM Games</x:v>
      </x:c>
      <x:c r="AB705" s="24" t="str">
        <x:v>No se detectó proveedor externo en la ruta; confirmar autoría por lote antes de release público.</x:v>
      </x:c>
    </x:row>
    <x:row r="706" ht="34" customHeight="1">
      <x:c r="A706" s="24" t="str">
        <x:v>INT-0702</x:v>
      </x:c>
      <x:c r="B706" s="24" t="str">
        <x:v>c7b65275c45bd02f9d8ca9a1688e2ddc</x:v>
      </x:c>
      <x:c r="C706" s="24" t="str">
        <x:v>Phase1AssetAuthoringTests.cs</x:v>
      </x:c>
      <x:c r="D706" s="24" t="str">
        <x:v>Code</x:v>
      </x:c>
      <x:c r="E706" s="24" t="str">
        <x:v>EditMode</x:v>
      </x:c>
      <x:c r="F706" s="24" t="str">
        <x:v>VRM Games / Blas Luis Rocha González</x:v>
      </x:c>
      <x:c r="G706" s="24" t="str">
        <x:v>VRM Games / Blas Luis Rocha González</x:v>
      </x:c>
      <x:c r="H706" s="24" t="str">
        <x:v>Internal project production</x:v>
      </x:c>
      <x:c r="I706" s="24" t="str">
        <x:v>2026 project timeline</x:v>
      </x:c>
      <x:c r="J706" s="24" t="str">
        <x:v>Internal project IP / authorship claim</x:v>
      </x:c>
      <x:c r="K706" s="24" t="str">
        <x:v>N/A</x:v>
      </x:c>
      <x:c r="L706" s="24" t="str">
        <x:v>Source package + repository path + hash</x:v>
      </x:c>
      <x:c r="M706" s="24" t="str">
        <x:v>fcde6afc45e0b8e7f22b144c91d8a8860cedadcb778e0bca9f111b827d6ef156</x:v>
      </x:c>
      <x:c r="N706" s="24" t="str">
        <x:v>Assets/_Project/Tests/EditMode/VerticalSlicePhase1/Phase1AssetAuthoringTests.cs</x:v>
      </x:c>
      <x:c r="O706" s="24" t="str">
        <x:v>c7b65275c45bd02f9d8ca9a1688e2ddc</x:v>
      </x:c>
      <x:c r="P706" s="24" t="str">
        <x:v>Sí</x:v>
      </x:c>
      <x:c r="Q706" s="24" t="str">
        <x:v>Condicionado a autoría/procedencia final</x:v>
      </x:c>
      <x:c r="R706" s="24" t="str">
        <x:v>Solo dentro del producto/build autorizado</x:v>
      </x:c>
      <x:c r="S706" s="24" t="str">
        <x:v>Crédito general del estudio; individual si aplica</x:v>
      </x:c>
      <x:c r="T706" s="24" t="str">
        <x:v>VRM Games / Blas Luis Rocha González</x:v>
      </x:c>
      <x:c r="U706" s="24" t="str">
        <x:v>CURRENT PROJECT ASSET</x:v>
      </x:c>
      <x:c r="V706" s="24" t="str">
        <x:v>CONDITIONALLY APPROVED</x:v>
      </x:c>
      <x:c r="W706" s="24" t="str">
        <x:v>Sí</x:v>
      </x:c>
      <x:c r="X706" s="24" t="str">
        <x:v>Low</x:v>
      </x:c>
      <x:c r="Y706" s="24" t="str">
        <x:v>Internal development; public candidate requires gate</x:v>
      </x:c>
      <x:c r="Z706" s="24" t="str">
        <x:v>H6 legal/content audit</x:v>
      </x:c>
      <x:c r="AA706" s="24" t="str">
        <x:v>VRM Games</x:v>
      </x:c>
      <x:c r="AB706" s="24" t="str">
        <x:v>No se detectó proveedor externo en la ruta; confirmar autoría por lote antes de release público.</x:v>
      </x:c>
    </x:row>
    <x:row r="707" ht="34" customHeight="1">
      <x:c r="A707" s="24" t="str">
        <x:v>INT-0703</x:v>
      </x:c>
      <x:c r="B707" s="24" t="str">
        <x:v>e8d02db8490b385595aea82c6072145c</x:v>
      </x:c>
      <x:c r="C707" s="24" t="str">
        <x:v>Phase1CatalogModelTests.cs</x:v>
      </x:c>
      <x:c r="D707" s="24" t="str">
        <x:v>Code</x:v>
      </x:c>
      <x:c r="E707" s="24" t="str">
        <x:v>EditMode</x:v>
      </x:c>
      <x:c r="F707" s="24" t="str">
        <x:v>VRM Games / Blas Luis Rocha González</x:v>
      </x:c>
      <x:c r="G707" s="24" t="str">
        <x:v>VRM Games / Blas Luis Rocha González</x:v>
      </x:c>
      <x:c r="H707" s="24" t="str">
        <x:v>Internal project production</x:v>
      </x:c>
      <x:c r="I707" s="24" t="str">
        <x:v>2026 project timeline</x:v>
      </x:c>
      <x:c r="J707" s="24" t="str">
        <x:v>Internal project IP / authorship claim</x:v>
      </x:c>
      <x:c r="K707" s="24" t="str">
        <x:v>N/A</x:v>
      </x:c>
      <x:c r="L707" s="24" t="str">
        <x:v>Source package + repository path + hash</x:v>
      </x:c>
      <x:c r="M707" s="24" t="str">
        <x:v>184e1a7252fd0379c3d03bbd7c5fd7763fb6402c3043e295678bf517814de7d3</x:v>
      </x:c>
      <x:c r="N707" s="24" t="str">
        <x:v>Assets/_Project/Tests/EditMode/VerticalSlicePhase1/Phase1CatalogModelTests.cs</x:v>
      </x:c>
      <x:c r="O707" s="24" t="str">
        <x:v>e8d02db8490b385595aea82c6072145c</x:v>
      </x:c>
      <x:c r="P707" s="24" t="str">
        <x:v>Sí</x:v>
      </x:c>
      <x:c r="Q707" s="24" t="str">
        <x:v>Condicionado a autoría/procedencia final</x:v>
      </x:c>
      <x:c r="R707" s="24" t="str">
        <x:v>Solo dentro del producto/build autorizado</x:v>
      </x:c>
      <x:c r="S707" s="24" t="str">
        <x:v>Crédito general del estudio; individual si aplica</x:v>
      </x:c>
      <x:c r="T707" s="24" t="str">
        <x:v>VRM Games / Blas Luis Rocha González</x:v>
      </x:c>
      <x:c r="U707" s="24" t="str">
        <x:v>CURRENT PROJECT ASSET</x:v>
      </x:c>
      <x:c r="V707" s="24" t="str">
        <x:v>CONDITIONALLY APPROVED</x:v>
      </x:c>
      <x:c r="W707" s="24" t="str">
        <x:v>Sí</x:v>
      </x:c>
      <x:c r="X707" s="24" t="str">
        <x:v>Low</x:v>
      </x:c>
      <x:c r="Y707" s="24" t="str">
        <x:v>Internal development; public candidate requires gate</x:v>
      </x:c>
      <x:c r="Z707" s="24" t="str">
        <x:v>H6 legal/content audit</x:v>
      </x:c>
      <x:c r="AA707" s="24" t="str">
        <x:v>VRM Games</x:v>
      </x:c>
      <x:c r="AB707" s="24" t="str">
        <x:v>No se detectó proveedor externo en la ruta; confirmar autoría por lote antes de release público.</x:v>
      </x:c>
    </x:row>
    <x:row r="708" ht="34" customHeight="1">
      <x:c r="A708" s="24" t="str">
        <x:v>INT-0704</x:v>
      </x:c>
      <x:c r="B708" s="24" t="str">
        <x:v>b1d7e4a7e5f4aa412d4bdd29b7976455</x:v>
      </x:c>
      <x:c r="C708" s="24" t="str">
        <x:v>Phase1CatalogTests.cs</x:v>
      </x:c>
      <x:c r="D708" s="24" t="str">
        <x:v>Code</x:v>
      </x:c>
      <x:c r="E708" s="24" t="str">
        <x:v>EditMode</x:v>
      </x:c>
      <x:c r="F708" s="24" t="str">
        <x:v>VRM Games / Blas Luis Rocha González</x:v>
      </x:c>
      <x:c r="G708" s="24" t="str">
        <x:v>VRM Games / Blas Luis Rocha González</x:v>
      </x:c>
      <x:c r="H708" s="24" t="str">
        <x:v>Internal project production</x:v>
      </x:c>
      <x:c r="I708" s="24" t="str">
        <x:v>2026 project timeline</x:v>
      </x:c>
      <x:c r="J708" s="24" t="str">
        <x:v>Internal project IP / authorship claim</x:v>
      </x:c>
      <x:c r="K708" s="24" t="str">
        <x:v>N/A</x:v>
      </x:c>
      <x:c r="L708" s="24" t="str">
        <x:v>Source package + repository path + hash</x:v>
      </x:c>
      <x:c r="M708" s="24" t="str">
        <x:v>9de67639a029647900484e514134117ec213ba2a4517ad36b5f071829c06366b</x:v>
      </x:c>
      <x:c r="N708" s="24" t="str">
        <x:v>Assets/_Project/Tests/EditMode/VerticalSlicePhase1/Phase1CatalogTests.cs</x:v>
      </x:c>
      <x:c r="O708" s="24" t="str">
        <x:v>b1d7e4a7e5f4aa412d4bdd29b7976455</x:v>
      </x:c>
      <x:c r="P708" s="24" t="str">
        <x:v>Sí</x:v>
      </x:c>
      <x:c r="Q708" s="24" t="str">
        <x:v>Condicionado a autoría/procedencia final</x:v>
      </x:c>
      <x:c r="R708" s="24" t="str">
        <x:v>Solo dentro del producto/build autorizado</x:v>
      </x:c>
      <x:c r="S708" s="24" t="str">
        <x:v>Crédito general del estudio; individual si aplica</x:v>
      </x:c>
      <x:c r="T708" s="24" t="str">
        <x:v>VRM Games / Blas Luis Rocha González</x:v>
      </x:c>
      <x:c r="U708" s="24" t="str">
        <x:v>CURRENT PROJECT ASSET</x:v>
      </x:c>
      <x:c r="V708" s="24" t="str">
        <x:v>CONDITIONALLY APPROVED</x:v>
      </x:c>
      <x:c r="W708" s="24" t="str">
        <x:v>Sí</x:v>
      </x:c>
      <x:c r="X708" s="24" t="str">
        <x:v>Low</x:v>
      </x:c>
      <x:c r="Y708" s="24" t="str">
        <x:v>Internal development; public candidate requires gate</x:v>
      </x:c>
      <x:c r="Z708" s="24" t="str">
        <x:v>H6 legal/content audit</x:v>
      </x:c>
      <x:c r="AA708" s="24" t="str">
        <x:v>VRM Games</x:v>
      </x:c>
      <x:c r="AB708" s="24" t="str">
        <x:v>No se detectó proveedor externo en la ruta; confirmar autoría por lote antes de release público.</x:v>
      </x:c>
    </x:row>
    <x:row r="709" ht="34" customHeight="1">
      <x:c r="A709" s="24" t="str">
        <x:v>INT-0705</x:v>
      </x:c>
      <x:c r="B709" s="24" t="str">
        <x:v>114a8ab22e1e5e4023b5749e18965ef0</x:v>
      </x:c>
      <x:c r="C709" s="24" t="str">
        <x:v>Phase1PlayableProcedureTests.cs</x:v>
      </x:c>
      <x:c r="D709" s="24" t="str">
        <x:v>Code</x:v>
      </x:c>
      <x:c r="E709" s="24" t="str">
        <x:v>EditMode</x:v>
      </x:c>
      <x:c r="F709" s="24" t="str">
        <x:v>VRM Games / Blas Luis Rocha González</x:v>
      </x:c>
      <x:c r="G709" s="24" t="str">
        <x:v>VRM Games / Blas Luis Rocha González</x:v>
      </x:c>
      <x:c r="H709" s="24" t="str">
        <x:v>Internal project production</x:v>
      </x:c>
      <x:c r="I709" s="24" t="str">
        <x:v>2026 project timeline</x:v>
      </x:c>
      <x:c r="J709" s="24" t="str">
        <x:v>Internal project IP / authorship claim</x:v>
      </x:c>
      <x:c r="K709" s="24" t="str">
        <x:v>N/A</x:v>
      </x:c>
      <x:c r="L709" s="24" t="str">
        <x:v>Source package + repository path + hash</x:v>
      </x:c>
      <x:c r="M709" s="24" t="str">
        <x:v>2d00503d181958e3e63af2bc02a796fafb44aaed748fae59d86ad18244964fc5</x:v>
      </x:c>
      <x:c r="N709" s="24" t="str">
        <x:v>Assets/_Project/Tests/EditMode/VerticalSlicePhase1/Phase1PlayableProcedureTests.cs</x:v>
      </x:c>
      <x:c r="O709" s="24" t="str">
        <x:v>114a8ab22e1e5e4023b5749e18965ef0</x:v>
      </x:c>
      <x:c r="P709" s="24" t="str">
        <x:v>Sí</x:v>
      </x:c>
      <x:c r="Q709" s="24" t="str">
        <x:v>Condicionado a autoría/procedencia final</x:v>
      </x:c>
      <x:c r="R709" s="24" t="str">
        <x:v>Solo dentro del producto/build autorizado</x:v>
      </x:c>
      <x:c r="S709" s="24" t="str">
        <x:v>Crédito general del estudio; individual si aplica</x:v>
      </x:c>
      <x:c r="T709" s="24" t="str">
        <x:v>VRM Games / Blas Luis Rocha González</x:v>
      </x:c>
      <x:c r="U709" s="24" t="str">
        <x:v>CURRENT PROJECT ASSET</x:v>
      </x:c>
      <x:c r="V709" s="24" t="str">
        <x:v>CONDITIONALLY APPROVED</x:v>
      </x:c>
      <x:c r="W709" s="24" t="str">
        <x:v>Sí</x:v>
      </x:c>
      <x:c r="X709" s="24" t="str">
        <x:v>Low</x:v>
      </x:c>
      <x:c r="Y709" s="24" t="str">
        <x:v>Internal development; public candidate requires gate</x:v>
      </x:c>
      <x:c r="Z709" s="24" t="str">
        <x:v>H6 legal/content audit</x:v>
      </x:c>
      <x:c r="AA709" s="24" t="str">
        <x:v>VRM Games</x:v>
      </x:c>
      <x:c r="AB709" s="24" t="str">
        <x:v>No se detectó proveedor externo en la ruta; confirmar autoría por lote antes de release público.</x:v>
      </x:c>
    </x:row>
    <x:row r="710" ht="34" customHeight="1">
      <x:c r="A710" s="24" t="str">
        <x:v>INT-0706</x:v>
      </x:c>
      <x:c r="B710" s="24" t="str">
        <x:v>e9144c84f1bfd2e1c5de4bc7d1ace2fc</x:v>
      </x:c>
      <x:c r="C710" s="24" t="str">
        <x:v>Phase1RepositoryTests.cs</x:v>
      </x:c>
      <x:c r="D710" s="24" t="str">
        <x:v>Code</x:v>
      </x:c>
      <x:c r="E710" s="24" t="str">
        <x:v>EditMode</x:v>
      </x:c>
      <x:c r="F710" s="24" t="str">
        <x:v>VRM Games / Blas Luis Rocha González</x:v>
      </x:c>
      <x:c r="G710" s="24" t="str">
        <x:v>VRM Games / Blas Luis Rocha González</x:v>
      </x:c>
      <x:c r="H710" s="24" t="str">
        <x:v>Internal project production</x:v>
      </x:c>
      <x:c r="I710" s="24" t="str">
        <x:v>2026 project timeline</x:v>
      </x:c>
      <x:c r="J710" s="24" t="str">
        <x:v>Internal project IP / authorship claim</x:v>
      </x:c>
      <x:c r="K710" s="24" t="str">
        <x:v>N/A</x:v>
      </x:c>
      <x:c r="L710" s="24" t="str">
        <x:v>Source package + repository path + hash</x:v>
      </x:c>
      <x:c r="M710" s="24" t="str">
        <x:v>06ca40758a2ef54cc6135da01dc3fef8a166f82ca54229a3c5d993b8f05f7546</x:v>
      </x:c>
      <x:c r="N710" s="24" t="str">
        <x:v>Assets/_Project/Tests/EditMode/VerticalSlicePhase1/Phase1RepositoryTests.cs</x:v>
      </x:c>
      <x:c r="O710" s="24" t="str">
        <x:v>e9144c84f1bfd2e1c5de4bc7d1ace2fc</x:v>
      </x:c>
      <x:c r="P710" s="24" t="str">
        <x:v>Sí</x:v>
      </x:c>
      <x:c r="Q710" s="24" t="str">
        <x:v>Condicionado a autoría/procedencia final</x:v>
      </x:c>
      <x:c r="R710" s="24" t="str">
        <x:v>Solo dentro del producto/build autorizado</x:v>
      </x:c>
      <x:c r="S710" s="24" t="str">
        <x:v>Crédito general del estudio; individual si aplica</x:v>
      </x:c>
      <x:c r="T710" s="24" t="str">
        <x:v>VRM Games / Blas Luis Rocha González</x:v>
      </x:c>
      <x:c r="U710" s="24" t="str">
        <x:v>CURRENT PROJECT ASSET</x:v>
      </x:c>
      <x:c r="V710" s="24" t="str">
        <x:v>CONDITIONALLY APPROVED</x:v>
      </x:c>
      <x:c r="W710" s="24" t="str">
        <x:v>Sí</x:v>
      </x:c>
      <x:c r="X710" s="24" t="str">
        <x:v>Low</x:v>
      </x:c>
      <x:c r="Y710" s="24" t="str">
        <x:v>Internal development; public candidate requires gate</x:v>
      </x:c>
      <x:c r="Z710" s="24" t="str">
        <x:v>H6 legal/content audit</x:v>
      </x:c>
      <x:c r="AA710" s="24" t="str">
        <x:v>VRM Games</x:v>
      </x:c>
      <x:c r="AB710" s="24" t="str">
        <x:v>No se detectó proveedor externo en la ruta; confirmar autoría por lote antes de release público.</x:v>
      </x:c>
    </x:row>
    <x:row r="711" ht="34" customHeight="1">
      <x:c r="A711" s="24" t="str">
        <x:v>INT-0707</x:v>
      </x:c>
      <x:c r="B711" s="24" t="str">
        <x:v>a0a01e28306c2d6a01216498943bc968</x:v>
      </x:c>
      <x:c r="C711" s="24" t="str">
        <x:v>Phase1StateTests.cs</x:v>
      </x:c>
      <x:c r="D711" s="24" t="str">
        <x:v>Code</x:v>
      </x:c>
      <x:c r="E711" s="24" t="str">
        <x:v>EditMode</x:v>
      </x:c>
      <x:c r="F711" s="24" t="str">
        <x:v>VRM Games / Blas Luis Rocha González</x:v>
      </x:c>
      <x:c r="G711" s="24" t="str">
        <x:v>VRM Games / Blas Luis Rocha González</x:v>
      </x:c>
      <x:c r="H711" s="24" t="str">
        <x:v>Internal project production</x:v>
      </x:c>
      <x:c r="I711" s="24" t="str">
        <x:v>2026 project timeline</x:v>
      </x:c>
      <x:c r="J711" s="24" t="str">
        <x:v>Internal project IP / authorship claim</x:v>
      </x:c>
      <x:c r="K711" s="24" t="str">
        <x:v>N/A</x:v>
      </x:c>
      <x:c r="L711" s="24" t="str">
        <x:v>Source package + repository path + hash</x:v>
      </x:c>
      <x:c r="M711" s="24" t="str">
        <x:v>88b4e59b4725bda6202ee0028f9a68ef90ecc80eda5dd810675e0e693d280882</x:v>
      </x:c>
      <x:c r="N711" s="24" t="str">
        <x:v>Assets/_Project/Tests/EditMode/VerticalSlicePhase1/Phase1StateTests.cs</x:v>
      </x:c>
      <x:c r="O711" s="24" t="str">
        <x:v>a0a01e28306c2d6a01216498943bc968</x:v>
      </x:c>
      <x:c r="P711" s="24" t="str">
        <x:v>Sí</x:v>
      </x:c>
      <x:c r="Q711" s="24" t="str">
        <x:v>Condicionado a autoría/procedencia final</x:v>
      </x:c>
      <x:c r="R711" s="24" t="str">
        <x:v>Solo dentro del producto/build autorizado</x:v>
      </x:c>
      <x:c r="S711" s="24" t="str">
        <x:v>Crédito general del estudio; individual si aplica</x:v>
      </x:c>
      <x:c r="T711" s="24" t="str">
        <x:v>VRM Games / Blas Luis Rocha González</x:v>
      </x:c>
      <x:c r="U711" s="24" t="str">
        <x:v>CURRENT PROJECT ASSET</x:v>
      </x:c>
      <x:c r="V711" s="24" t="str">
        <x:v>CONDITIONALLY APPROVED</x:v>
      </x:c>
      <x:c r="W711" s="24" t="str">
        <x:v>Sí</x:v>
      </x:c>
      <x:c r="X711" s="24" t="str">
        <x:v>Low</x:v>
      </x:c>
      <x:c r="Y711" s="24" t="str">
        <x:v>Internal development; public candidate requires gate</x:v>
      </x:c>
      <x:c r="Z711" s="24" t="str">
        <x:v>H6 legal/content audit</x:v>
      </x:c>
      <x:c r="AA711" s="24" t="str">
        <x:v>VRM Games</x:v>
      </x:c>
      <x:c r="AB711" s="24" t="str">
        <x:v>No se detectó proveedor externo en la ruta; confirmar autoría por lote antes de release público.</x:v>
      </x:c>
    </x:row>
    <x:row r="712" ht="34" customHeight="1">
      <x:c r="A712" s="24" t="str">
        <x:v>INT-0708</x:v>
      </x:c>
      <x:c r="B712" s="24" t="str">
        <x:v>8ea1781f5b700e82a2113b108dbfca74</x:v>
      </x:c>
      <x:c r="C712" s="24" t="str">
        <x:v>Phase1TestFactory.cs</x:v>
      </x:c>
      <x:c r="D712" s="24" t="str">
        <x:v>Code</x:v>
      </x:c>
      <x:c r="E712" s="24" t="str">
        <x:v>EditMode</x:v>
      </x:c>
      <x:c r="F712" s="24" t="str">
        <x:v>VRM Games / Blas Luis Rocha González</x:v>
      </x:c>
      <x:c r="G712" s="24" t="str">
        <x:v>VRM Games / Blas Luis Rocha González</x:v>
      </x:c>
      <x:c r="H712" s="24" t="str">
        <x:v>Internal project production</x:v>
      </x:c>
      <x:c r="I712" s="24" t="str">
        <x:v>2026 project timeline</x:v>
      </x:c>
      <x:c r="J712" s="24" t="str">
        <x:v>Internal project IP / authorship claim</x:v>
      </x:c>
      <x:c r="K712" s="24" t="str">
        <x:v>N/A</x:v>
      </x:c>
      <x:c r="L712" s="24" t="str">
        <x:v>Source package + repository path + hash</x:v>
      </x:c>
      <x:c r="M712" s="24" t="str">
        <x:v>ccbec6975e45f61ea190f7d1e926f492357fb5380ecc53cd3ca43c649ea27c71</x:v>
      </x:c>
      <x:c r="N712" s="24" t="str">
        <x:v>Assets/_Project/Tests/EditMode/VerticalSlicePhase1/Phase1TestFactory.cs</x:v>
      </x:c>
      <x:c r="O712" s="24" t="str">
        <x:v>8ea1781f5b700e82a2113b108dbfca74</x:v>
      </x:c>
      <x:c r="P712" s="24" t="str">
        <x:v>Sí</x:v>
      </x:c>
      <x:c r="Q712" s="24" t="str">
        <x:v>Condicionado a autoría/procedencia final</x:v>
      </x:c>
      <x:c r="R712" s="24" t="str">
        <x:v>Solo dentro del producto/build autorizado</x:v>
      </x:c>
      <x:c r="S712" s="24" t="str">
        <x:v>Crédito general del estudio; individual si aplica</x:v>
      </x:c>
      <x:c r="T712" s="24" t="str">
        <x:v>VRM Games / Blas Luis Rocha González</x:v>
      </x:c>
      <x:c r="U712" s="24" t="str">
        <x:v>CURRENT PROJECT ASSET</x:v>
      </x:c>
      <x:c r="V712" s="24" t="str">
        <x:v>CONDITIONALLY APPROVED</x:v>
      </x:c>
      <x:c r="W712" s="24" t="str">
        <x:v>Sí</x:v>
      </x:c>
      <x:c r="X712" s="24" t="str">
        <x:v>Low</x:v>
      </x:c>
      <x:c r="Y712" s="24" t="str">
        <x:v>Internal development; public candidate requires gate</x:v>
      </x:c>
      <x:c r="Z712" s="24" t="str">
        <x:v>H6 legal/content audit</x:v>
      </x:c>
      <x:c r="AA712" s="24" t="str">
        <x:v>VRM Games</x:v>
      </x:c>
      <x:c r="AB712" s="24" t="str">
        <x:v>No se detectó proveedor externo en la ruta; confirmar autoría por lote antes de release público.</x:v>
      </x:c>
    </x:row>
    <x:row r="713" ht="34" customHeight="1">
      <x:c r="A713" s="24" t="str">
        <x:v>INT-0709</x:v>
      </x:c>
      <x:c r="B713" s="24" t="str">
        <x:v>6e082734d469af16df810f5ae85386b3</x:v>
      </x:c>
      <x:c r="C713" s="24" t="str">
        <x:v>Phase1VerticalSliceServiceTests.cs</x:v>
      </x:c>
      <x:c r="D713" s="24" t="str">
        <x:v>Code</x:v>
      </x:c>
      <x:c r="E713" s="24" t="str">
        <x:v>EditMode</x:v>
      </x:c>
      <x:c r="F713" s="24" t="str">
        <x:v>VRM Games / Blas Luis Rocha González</x:v>
      </x:c>
      <x:c r="G713" s="24" t="str">
        <x:v>VRM Games / Blas Luis Rocha González</x:v>
      </x:c>
      <x:c r="H713" s="24" t="str">
        <x:v>Internal project production</x:v>
      </x:c>
      <x:c r="I713" s="24" t="str">
        <x:v>2026 project timeline</x:v>
      </x:c>
      <x:c r="J713" s="24" t="str">
        <x:v>Internal project IP / authorship claim</x:v>
      </x:c>
      <x:c r="K713" s="24" t="str">
        <x:v>N/A</x:v>
      </x:c>
      <x:c r="L713" s="24" t="str">
        <x:v>Source package + repository path + hash</x:v>
      </x:c>
      <x:c r="M713" s="24" t="str">
        <x:v>d6801799ee6e506a9a7fedb56972f752e9423efce86f1b9c5d4fd785cc841552</x:v>
      </x:c>
      <x:c r="N713" s="24" t="str">
        <x:v>Assets/_Project/Tests/EditMode/VerticalSlicePhase1/Phase1VerticalSliceServiceTests.cs</x:v>
      </x:c>
      <x:c r="O713" s="24" t="str">
        <x:v>6e082734d469af16df810f5ae85386b3</x:v>
      </x:c>
      <x:c r="P713" s="24" t="str">
        <x:v>Sí</x:v>
      </x:c>
      <x:c r="Q713" s="24" t="str">
        <x:v>Condicionado a autoría/procedencia final</x:v>
      </x:c>
      <x:c r="R713" s="24" t="str">
        <x:v>Solo dentro del producto/build autorizado</x:v>
      </x:c>
      <x:c r="S713" s="24" t="str">
        <x:v>Crédito general del estudio; individual si aplica</x:v>
      </x:c>
      <x:c r="T713" s="24" t="str">
        <x:v>VRM Games / Blas Luis Rocha González</x:v>
      </x:c>
      <x:c r="U713" s="24" t="str">
        <x:v>CURRENT PROJECT ASSET</x:v>
      </x:c>
      <x:c r="V713" s="24" t="str">
        <x:v>CONDITIONALLY APPROVED</x:v>
      </x:c>
      <x:c r="W713" s="24" t="str">
        <x:v>Sí</x:v>
      </x:c>
      <x:c r="X713" s="24" t="str">
        <x:v>Low</x:v>
      </x:c>
      <x:c r="Y713" s="24" t="str">
        <x:v>Internal development; public candidate requires gate</x:v>
      </x:c>
      <x:c r="Z713" s="24" t="str">
        <x:v>H6 legal/content audit</x:v>
      </x:c>
      <x:c r="AA713" s="24" t="str">
        <x:v>VRM Games</x:v>
      </x:c>
      <x:c r="AB713" s="24" t="str">
        <x:v>No se detectó proveedor externo en la ruta; confirmar autoría por lote antes de release público.</x:v>
      </x:c>
    </x:row>
    <x:row r="714" ht="34" customHeight="1">
      <x:c r="A714" s="24" t="str">
        <x:v>INT-0710</x:v>
      </x:c>
      <x:c r="B714" s="24" t="str">
        <x:v>52a25a6d97f14a6b9779d0c5ed39f31f</x:v>
      </x:c>
      <x:c r="C714" s="24" t="str">
        <x:v>PlacementInputActionsTests.cs</x:v>
      </x:c>
      <x:c r="D714" s="24" t="str">
        <x:v>Code</x:v>
      </x:c>
      <x:c r="E714" s="24" t="str">
        <x:v>InputSystem</x:v>
      </x:c>
      <x:c r="F714" s="24" t="str">
        <x:v>VRM Games / Blas Luis Rocha González</x:v>
      </x:c>
      <x:c r="G714" s="24" t="str">
        <x:v>VRM Games / Blas Luis Rocha González</x:v>
      </x:c>
      <x:c r="H714" s="24" t="str">
        <x:v>Internal project production</x:v>
      </x:c>
      <x:c r="I714" s="24" t="str">
        <x:v>2026 project timeline</x:v>
      </x:c>
      <x:c r="J714" s="24" t="str">
        <x:v>Internal project IP / authorship claim</x:v>
      </x:c>
      <x:c r="K714" s="24" t="str">
        <x:v>N/A</x:v>
      </x:c>
      <x:c r="L714" s="24" t="str">
        <x:v>Source package + repository path + hash</x:v>
      </x:c>
      <x:c r="M714" s="24" t="str">
        <x:v>c9ea1fac974ed350b6512d28309e9ddfb7b96fa9eab74cf36ca73de6932a7410</x:v>
      </x:c>
      <x:c r="N714" s="24" t="str">
        <x:v>Assets/_Project/Tests/InputSystem/EditMode/Placement/PlacementInputActionsTests.cs</x:v>
      </x:c>
      <x:c r="O714" s="24" t="str">
        <x:v>52a25a6d97f14a6b9779d0c5ed39f31f</x:v>
      </x:c>
      <x:c r="P714" s="24" t="str">
        <x:v>Sí</x:v>
      </x:c>
      <x:c r="Q714" s="24" t="str">
        <x:v>Condicionado a autoría/procedencia final</x:v>
      </x:c>
      <x:c r="R714" s="24" t="str">
        <x:v>Solo dentro del producto/build autorizado</x:v>
      </x:c>
      <x:c r="S714" s="24" t="str">
        <x:v>Crédito general del estudio; individual si aplica</x:v>
      </x:c>
      <x:c r="T714" s="24" t="str">
        <x:v>VRM Games / Blas Luis Rocha González</x:v>
      </x:c>
      <x:c r="U714" s="24" t="str">
        <x:v>CURRENT PROJECT ASSET</x:v>
      </x:c>
      <x:c r="V714" s="24" t="str">
        <x:v>CONDITIONALLY APPROVED</x:v>
      </x:c>
      <x:c r="W714" s="24" t="str">
        <x:v>Sí</x:v>
      </x:c>
      <x:c r="X714" s="24" t="str">
        <x:v>Low</x:v>
      </x:c>
      <x:c r="Y714" s="24" t="str">
        <x:v>Internal development; public candidate requires gate</x:v>
      </x:c>
      <x:c r="Z714" s="24" t="str">
        <x:v>H6 legal/content audit</x:v>
      </x:c>
      <x:c r="AA714" s="24" t="str">
        <x:v>VRM Games</x:v>
      </x:c>
      <x:c r="AB714" s="24" t="str">
        <x:v>No se detectó proveedor externo en la ruta; confirmar autoría por lote antes de release público.</x:v>
      </x:c>
    </x:row>
    <x:row r="715" ht="34" customHeight="1">
      <x:c r="A715" s="24" t="str">
        <x:v>INT-0711</x:v>
      </x:c>
      <x:c r="B715" s="24" t="str">
        <x:v>9651a5b18e9a41fdb2ba4a5e21804244</x:v>
      </x:c>
      <x:c r="C715" s="24" t="str">
        <x:v>PlacementModeInputActionsTests.cs</x:v>
      </x:c>
      <x:c r="D715" s="24" t="str">
        <x:v>Code</x:v>
      </x:c>
      <x:c r="E715" s="24" t="str">
        <x:v>InputSystem</x:v>
      </x:c>
      <x:c r="F715" s="24" t="str">
        <x:v>VRM Games / Blas Luis Rocha González</x:v>
      </x:c>
      <x:c r="G715" s="24" t="str">
        <x:v>VRM Games / Blas Luis Rocha González</x:v>
      </x:c>
      <x:c r="H715" s="24" t="str">
        <x:v>Internal project production</x:v>
      </x:c>
      <x:c r="I715" s="24" t="str">
        <x:v>2026 project timeline</x:v>
      </x:c>
      <x:c r="J715" s="24" t="str">
        <x:v>Internal project IP / authorship claim</x:v>
      </x:c>
      <x:c r="K715" s="24" t="str">
        <x:v>N/A</x:v>
      </x:c>
      <x:c r="L715" s="24" t="str">
        <x:v>Source package + repository path + hash</x:v>
      </x:c>
      <x:c r="M715" s="24" t="str">
        <x:v>552490d988f7ff308bc92d9db6abef04f0cb3a0b9bd51ed0ffdd8a3f1b24dd5b</x:v>
      </x:c>
      <x:c r="N715" s="24" t="str">
        <x:v>Assets/_Project/Tests/InputSystem/EditMode/Placement/PlacementModeInputActionsTests.cs</x:v>
      </x:c>
      <x:c r="O715" s="24" t="str">
        <x:v>9651a5b18e9a41fdb2ba4a5e21804244</x:v>
      </x:c>
      <x:c r="P715" s="24" t="str">
        <x:v>Sí</x:v>
      </x:c>
      <x:c r="Q715" s="24" t="str">
        <x:v>Condicionado a autoría/procedencia final</x:v>
      </x:c>
      <x:c r="R715" s="24" t="str">
        <x:v>Solo dentro del producto/build autorizado</x:v>
      </x:c>
      <x:c r="S715" s="24" t="str">
        <x:v>Crédito general del estudio; individual si aplica</x:v>
      </x:c>
      <x:c r="T715" s="24" t="str">
        <x:v>VRM Games / Blas Luis Rocha González</x:v>
      </x:c>
      <x:c r="U715" s="24" t="str">
        <x:v>CURRENT PROJECT ASSET</x:v>
      </x:c>
      <x:c r="V715" s="24" t="str">
        <x:v>CONDITIONALLY APPROVED</x:v>
      </x:c>
      <x:c r="W715" s="24" t="str">
        <x:v>Sí</x:v>
      </x:c>
      <x:c r="X715" s="24" t="str">
        <x:v>Low</x:v>
      </x:c>
      <x:c r="Y715" s="24" t="str">
        <x:v>Internal development; public candidate requires gate</x:v>
      </x:c>
      <x:c r="Z715" s="24" t="str">
        <x:v>H6 legal/content audit</x:v>
      </x:c>
      <x:c r="AA715" s="24" t="str">
        <x:v>VRM Games</x:v>
      </x:c>
      <x:c r="AB715" s="24" t="str">
        <x:v>No se detectó proveedor externo en la ruta; confirmar autoría por lote antes de release público.</x:v>
      </x:c>
    </x:row>
    <x:row r="716" ht="34" customHeight="1">
      <x:c r="A716" s="24" t="str">
        <x:v>INT-0712</x:v>
      </x:c>
      <x:c r="B716" s="24" t="str">
        <x:v>05ac5c4c038543efb65977cb433230cf</x:v>
      </x:c>
      <x:c r="C716" s="24" t="str">
        <x:v>ProjectInputActionsTests.cs</x:v>
      </x:c>
      <x:c r="D716" s="24" t="str">
        <x:v>Code</x:v>
      </x:c>
      <x:c r="E716" s="24" t="str">
        <x:v>InputSystem</x:v>
      </x:c>
      <x:c r="F716" s="24" t="str">
        <x:v>VRM Games / Blas Luis Rocha González</x:v>
      </x:c>
      <x:c r="G716" s="24" t="str">
        <x:v>VRM Games / Blas Luis Rocha González</x:v>
      </x:c>
      <x:c r="H716" s="24" t="str">
        <x:v>Internal project production</x:v>
      </x:c>
      <x:c r="I716" s="24" t="str">
        <x:v>2026 project timeline</x:v>
      </x:c>
      <x:c r="J716" s="24" t="str">
        <x:v>Internal project IP / authorship claim</x:v>
      </x:c>
      <x:c r="K716" s="24" t="str">
        <x:v>N/A</x:v>
      </x:c>
      <x:c r="L716" s="24" t="str">
        <x:v>Source package + repository path + hash</x:v>
      </x:c>
      <x:c r="M716" s="24" t="str">
        <x:v>0bff58254dba9313608df1afa1b3700ed37771788f019ac620936a3393bbf9c5</x:v>
      </x:c>
      <x:c r="N716" s="24" t="str">
        <x:v>Assets/_Project/Tests/InputSystem/EditMode/ProjectInputActionsTests.cs</x:v>
      </x:c>
      <x:c r="O716" s="24" t="str">
        <x:v>05ac5c4c038543efb65977cb433230cf</x:v>
      </x:c>
      <x:c r="P716" s="24" t="str">
        <x:v>Sí</x:v>
      </x:c>
      <x:c r="Q716" s="24" t="str">
        <x:v>Condicionado a autoría/procedencia final</x:v>
      </x:c>
      <x:c r="R716" s="24" t="str">
        <x:v>Solo dentro del producto/build autorizado</x:v>
      </x:c>
      <x:c r="S716" s="24" t="str">
        <x:v>Crédito general del estudio; individual si aplica</x:v>
      </x:c>
      <x:c r="T716" s="24" t="str">
        <x:v>VRM Games / Blas Luis Rocha González</x:v>
      </x:c>
      <x:c r="U716" s="24" t="str">
        <x:v>CURRENT PROJECT ASSET</x:v>
      </x:c>
      <x:c r="V716" s="24" t="str">
        <x:v>CONDITIONALLY APPROVED</x:v>
      </x:c>
      <x:c r="W716" s="24" t="str">
        <x:v>Sí</x:v>
      </x:c>
      <x:c r="X716" s="24" t="str">
        <x:v>Low</x:v>
      </x:c>
      <x:c r="Y716" s="24" t="str">
        <x:v>Internal development; public candidate requires gate</x:v>
      </x:c>
      <x:c r="Z716" s="24" t="str">
        <x:v>H6 legal/content audit</x:v>
      </x:c>
      <x:c r="AA716" s="24" t="str">
        <x:v>VRM Games</x:v>
      </x:c>
      <x:c r="AB716" s="24" t="str">
        <x:v>No se detectó proveedor externo en la ruta; confirmar autoría por lote antes de release público.</x:v>
      </x:c>
    </x:row>
    <x:row r="717" ht="34" customHeight="1">
      <x:c r="A717" s="24" t="str">
        <x:v>INT-0713</x:v>
      </x:c>
      <x:c r="B717" s="24" t="str">
        <x:v>71840700c0b945478051f8c65d972353</x:v>
      </x:c>
      <x:c r="C717" s="24" t="str">
        <x:v>VRMGames.CartridgeAndCloud.InputSystem.Tests.EditMode.asmdef</x:v>
      </x:c>
      <x:c r="D717" s="24" t="str">
        <x:v>Assembly definition</x:v>
      </x:c>
      <x:c r="E717" s="24" t="str">
        <x:v>InputSystem</x:v>
      </x:c>
      <x:c r="F717" s="24" t="str">
        <x:v>VRM Games / Blas Luis Rocha González</x:v>
      </x:c>
      <x:c r="G717" s="24" t="str">
        <x:v>VRM Games / Blas Luis Rocha González</x:v>
      </x:c>
      <x:c r="H717" s="24" t="str">
        <x:v>Internal project production</x:v>
      </x:c>
      <x:c r="I717" s="24" t="str">
        <x:v>2026 project timeline</x:v>
      </x:c>
      <x:c r="J717" s="24" t="str">
        <x:v>Internal project IP / authorship claim</x:v>
      </x:c>
      <x:c r="K717" s="24" t="str">
        <x:v>N/A</x:v>
      </x:c>
      <x:c r="L717" s="24" t="str">
        <x:v>Source package + repository path + hash</x:v>
      </x:c>
      <x:c r="M717" s="24" t="str">
        <x:v>9d8e6e3b605744964af7679cdb06416881555d56d7b3d0283b9ccdfde4d179f7</x:v>
      </x:c>
      <x:c r="N717" s="24" t="str">
        <x:v>Assets/_Project/Tests/InputSystem/EditMode/VRMGames.CartridgeAndCloud.InputSystem.Tests.EditMode.asmdef</x:v>
      </x:c>
      <x:c r="O717" s="24" t="str">
        <x:v>71840700c0b945478051f8c65d972353</x:v>
      </x:c>
      <x:c r="P717" s="24" t="str">
        <x:v>Sí</x:v>
      </x:c>
      <x:c r="Q717" s="24" t="str">
        <x:v>Condicionado a autoría/procedencia final</x:v>
      </x:c>
      <x:c r="R717" s="24" t="str">
        <x:v>Solo dentro del producto/build autorizado</x:v>
      </x:c>
      <x:c r="S717" s="24" t="str">
        <x:v>Crédito general del estudio; individual si aplica</x:v>
      </x:c>
      <x:c r="T717" s="24" t="str">
        <x:v>VRM Games / Blas Luis Rocha González</x:v>
      </x:c>
      <x:c r="U717" s="24" t="str">
        <x:v>CURRENT PROJECT ASSET</x:v>
      </x:c>
      <x:c r="V717" s="24" t="str">
        <x:v>CONDITIONALLY APPROVED</x:v>
      </x:c>
      <x:c r="W717" s="24" t="str">
        <x:v>Sí</x:v>
      </x:c>
      <x:c r="X717" s="24" t="str">
        <x:v>Low</x:v>
      </x:c>
      <x:c r="Y717" s="24" t="str">
        <x:v>Internal development; public candidate requires gate</x:v>
      </x:c>
      <x:c r="Z717" s="24" t="str">
        <x:v>H6 legal/content audit</x:v>
      </x:c>
      <x:c r="AA717" s="24" t="str">
        <x:v>VRM Games</x:v>
      </x:c>
      <x:c r="AB717" s="24" t="str">
        <x:v>No se detectó proveedor externo en la ruta; confirmar autoría por lote antes de release público.</x:v>
      </x:c>
    </x:row>
    <x:row r="718" ht="34" customHeight="1">
      <x:c r="A718" s="24" t="str">
        <x:v>INT-0714</x:v>
      </x:c>
      <x:c r="B718" s="24" t="str">
        <x:v>c2a6d2d81eb643c38b650f8cedc504c8</x:v>
      </x:c>
      <x:c r="C718" s="24" t="str">
        <x:v>InputActionRuntimeIntegrationTests.cs</x:v>
      </x:c>
      <x:c r="D718" s="24" t="str">
        <x:v>Code</x:v>
      </x:c>
      <x:c r="E718" s="24" t="str">
        <x:v>InputSystem</x:v>
      </x:c>
      <x:c r="F718" s="24" t="str">
        <x:v>VRM Games / Blas Luis Rocha González</x:v>
      </x:c>
      <x:c r="G718" s="24" t="str">
        <x:v>VRM Games / Blas Luis Rocha González</x:v>
      </x:c>
      <x:c r="H718" s="24" t="str">
        <x:v>Internal project production</x:v>
      </x:c>
      <x:c r="I718" s="24" t="str">
        <x:v>2026 project timeline</x:v>
      </x:c>
      <x:c r="J718" s="24" t="str">
        <x:v>Internal project IP / authorship claim</x:v>
      </x:c>
      <x:c r="K718" s="24" t="str">
        <x:v>N/A</x:v>
      </x:c>
      <x:c r="L718" s="24" t="str">
        <x:v>Source package + repository path + hash</x:v>
      </x:c>
      <x:c r="M718" s="24" t="str">
        <x:v>55142dad0219c6eea7b31e9bdf78192f5ea62941560264c8755d77e8a2fab5ef</x:v>
      </x:c>
      <x:c r="N718" s="24" t="str">
        <x:v>Assets/_Project/Tests/InputSystem/PlayMode/InputActionRuntimeIntegrationTests.cs</x:v>
      </x:c>
      <x:c r="O718" s="24" t="str">
        <x:v>c2a6d2d81eb643c38b650f8cedc504c8</x:v>
      </x:c>
      <x:c r="P718" s="24" t="str">
        <x:v>Sí</x:v>
      </x:c>
      <x:c r="Q718" s="24" t="str">
        <x:v>Condicionado a autoría/procedencia final</x:v>
      </x:c>
      <x:c r="R718" s="24" t="str">
        <x:v>Solo dentro del producto/build autorizado</x:v>
      </x:c>
      <x:c r="S718" s="24" t="str">
        <x:v>Crédito general del estudio; individual si aplica</x:v>
      </x:c>
      <x:c r="T718" s="24" t="str">
        <x:v>VRM Games / Blas Luis Rocha González</x:v>
      </x:c>
      <x:c r="U718" s="24" t="str">
        <x:v>CURRENT PROJECT ASSET</x:v>
      </x:c>
      <x:c r="V718" s="24" t="str">
        <x:v>CONDITIONALLY APPROVED</x:v>
      </x:c>
      <x:c r="W718" s="24" t="str">
        <x:v>Sí</x:v>
      </x:c>
      <x:c r="X718" s="24" t="str">
        <x:v>Low</x:v>
      </x:c>
      <x:c r="Y718" s="24" t="str">
        <x:v>Internal development; public candidate requires gate</x:v>
      </x:c>
      <x:c r="Z718" s="24" t="str">
        <x:v>H6 legal/content audit</x:v>
      </x:c>
      <x:c r="AA718" s="24" t="str">
        <x:v>VRM Games</x:v>
      </x:c>
      <x:c r="AB718" s="24" t="str">
        <x:v>No se detectó proveedor externo en la ruta; confirmar autoría por lote antes de release público.</x:v>
      </x:c>
    </x:row>
    <x:row r="719" ht="34" customHeight="1">
      <x:c r="A719" s="24" t="str">
        <x:v>INT-0715</x:v>
      </x:c>
      <x:c r="B719" s="24" t="str">
        <x:v>fdf2304f407a451ab92446654aa3ff19</x:v>
      </x:c>
      <x:c r="C719" s="24" t="str">
        <x:v>VRMGames.CartridgeAndCloud.InputSystem.Tests.PlayMode.asmdef</x:v>
      </x:c>
      <x:c r="D719" s="24" t="str">
        <x:v>Assembly definition</x:v>
      </x:c>
      <x:c r="E719" s="24" t="str">
        <x:v>InputSystem</x:v>
      </x:c>
      <x:c r="F719" s="24" t="str">
        <x:v>VRM Games / Blas Luis Rocha González</x:v>
      </x:c>
      <x:c r="G719" s="24" t="str">
        <x:v>VRM Games / Blas Luis Rocha González</x:v>
      </x:c>
      <x:c r="H719" s="24" t="str">
        <x:v>Internal project production</x:v>
      </x:c>
      <x:c r="I719" s="24" t="str">
        <x:v>2026 project timeline</x:v>
      </x:c>
      <x:c r="J719" s="24" t="str">
        <x:v>Internal project IP / authorship claim</x:v>
      </x:c>
      <x:c r="K719" s="24" t="str">
        <x:v>N/A</x:v>
      </x:c>
      <x:c r="L719" s="24" t="str">
        <x:v>Source package + repository path + hash</x:v>
      </x:c>
      <x:c r="M719" s="24" t="str">
        <x:v>5992b0e0f38278d02d7ee9a8022a33d8fa4c1c581ae30358e65c8e0071d5467c</x:v>
      </x:c>
      <x:c r="N719" s="24" t="str">
        <x:v>Assets/_Project/Tests/InputSystem/PlayMode/VRMGames.CartridgeAndCloud.InputSystem.Tests.PlayMode.asmdef</x:v>
      </x:c>
      <x:c r="O719" s="24" t="str">
        <x:v>fdf2304f407a451ab92446654aa3ff19</x:v>
      </x:c>
      <x:c r="P719" s="24" t="str">
        <x:v>Sí</x:v>
      </x:c>
      <x:c r="Q719" s="24" t="str">
        <x:v>Condicionado a autoría/procedencia final</x:v>
      </x:c>
      <x:c r="R719" s="24" t="str">
        <x:v>Solo dentro del producto/build autorizado</x:v>
      </x:c>
      <x:c r="S719" s="24" t="str">
        <x:v>Crédito general del estudio; individual si aplica</x:v>
      </x:c>
      <x:c r="T719" s="24" t="str">
        <x:v>VRM Games / Blas Luis Rocha González</x:v>
      </x:c>
      <x:c r="U719" s="24" t="str">
        <x:v>CURRENT PROJECT ASSET</x:v>
      </x:c>
      <x:c r="V719" s="24" t="str">
        <x:v>CONDITIONALLY APPROVED</x:v>
      </x:c>
      <x:c r="W719" s="24" t="str">
        <x:v>Sí</x:v>
      </x:c>
      <x:c r="X719" s="24" t="str">
        <x:v>Low</x:v>
      </x:c>
      <x:c r="Y719" s="24" t="str">
        <x:v>Internal development; public candidate requires gate</x:v>
      </x:c>
      <x:c r="Z719" s="24" t="str">
        <x:v>H6 legal/content audit</x:v>
      </x:c>
      <x:c r="AA719" s="24" t="str">
        <x:v>VRM Games</x:v>
      </x:c>
      <x:c r="AB719" s="24" t="str">
        <x:v>No se detectó proveedor externo en la ruta; confirmar autoría por lote antes de release público.</x:v>
      </x:c>
    </x:row>
    <x:row r="720" ht="34" customHeight="1">
      <x:c r="A720" s="24" t="str">
        <x:v>INT-0716</x:v>
      </x:c>
      <x:c r="B720" s="24" t="str">
        <x:v>def79e43a2ce4952895e72488af5520a</x:v>
      </x:c>
      <x:c r="C720" s="24" t="str">
        <x:v>ClickToMoveTests.cs</x:v>
      </x:c>
      <x:c r="D720" s="24" t="str">
        <x:v>Code</x:v>
      </x:c>
      <x:c r="E720" s="24" t="str">
        <x:v>PlayMode</x:v>
      </x:c>
      <x:c r="F720" s="24" t="str">
        <x:v>VRM Games / Blas Luis Rocha González</x:v>
      </x:c>
      <x:c r="G720" s="24" t="str">
        <x:v>VRM Games / Blas Luis Rocha González</x:v>
      </x:c>
      <x:c r="H720" s="24" t="str">
        <x:v>Internal project production</x:v>
      </x:c>
      <x:c r="I720" s="24" t="str">
        <x:v>2026 project timeline</x:v>
      </x:c>
      <x:c r="J720" s="24" t="str">
        <x:v>Internal project IP / authorship claim</x:v>
      </x:c>
      <x:c r="K720" s="24" t="str">
        <x:v>N/A</x:v>
      </x:c>
      <x:c r="L720" s="24" t="str">
        <x:v>Source package + repository path + hash</x:v>
      </x:c>
      <x:c r="M720" s="24" t="str">
        <x:v>914f8054b670bca0255027505e77e791f10b5aaf68b7a76d83fc568e4aaf83fe</x:v>
      </x:c>
      <x:c r="N720" s="24" t="str">
        <x:v>Assets/_Project/Tests/PlayMode/ClickToMoveTests.cs</x:v>
      </x:c>
      <x:c r="O720" s="24" t="str">
        <x:v>def79e43a2ce4952895e72488af5520a</x:v>
      </x:c>
      <x:c r="P720" s="24" t="str">
        <x:v>Sí</x:v>
      </x:c>
      <x:c r="Q720" s="24" t="str">
        <x:v>Condicionado a autoría/procedencia final</x:v>
      </x:c>
      <x:c r="R720" s="24" t="str">
        <x:v>Solo dentro del producto/build autorizado</x:v>
      </x:c>
      <x:c r="S720" s="24" t="str">
        <x:v>Crédito general del estudio; individual si aplica</x:v>
      </x:c>
      <x:c r="T720" s="24" t="str">
        <x:v>VRM Games / Blas Luis Rocha González</x:v>
      </x:c>
      <x:c r="U720" s="24" t="str">
        <x:v>CURRENT PROJECT ASSET</x:v>
      </x:c>
      <x:c r="V720" s="24" t="str">
        <x:v>CONDITIONALLY APPROVED</x:v>
      </x:c>
      <x:c r="W720" s="24" t="str">
        <x:v>Sí</x:v>
      </x:c>
      <x:c r="X720" s="24" t="str">
        <x:v>Low</x:v>
      </x:c>
      <x:c r="Y720" s="24" t="str">
        <x:v>Internal development; public candidate requires gate</x:v>
      </x:c>
      <x:c r="Z720" s="24" t="str">
        <x:v>H6 legal/content audit</x:v>
      </x:c>
      <x:c r="AA720" s="24" t="str">
        <x:v>VRM Games</x:v>
      </x:c>
      <x:c r="AB720" s="24" t="str">
        <x:v>No se detectó proveedor externo en la ruta; confirmar autoría por lote antes de release público.</x:v>
      </x:c>
    </x:row>
    <x:row r="721" ht="34" customHeight="1">
      <x:c r="A721" s="24" t="str">
        <x:v>INT-0717</x:v>
      </x:c>
      <x:c r="B721" s="24" t="str">
        <x:v>9f7a918065f449a5918cdbb4f5639fb7</x:v>
      </x:c>
      <x:c r="C721" s="24" t="str">
        <x:v>GameSessionBootstrapTests.cs</x:v>
      </x:c>
      <x:c r="D721" s="24" t="str">
        <x:v>Code</x:v>
      </x:c>
      <x:c r="E721" s="24" t="str">
        <x:v>PlayMode</x:v>
      </x:c>
      <x:c r="F721" s="24" t="str">
        <x:v>VRM Games / Blas Luis Rocha González</x:v>
      </x:c>
      <x:c r="G721" s="24" t="str">
        <x:v>VRM Games / Blas Luis Rocha González</x:v>
      </x:c>
      <x:c r="H721" s="24" t="str">
        <x:v>Internal project production</x:v>
      </x:c>
      <x:c r="I721" s="24" t="str">
        <x:v>2026 project timeline</x:v>
      </x:c>
      <x:c r="J721" s="24" t="str">
        <x:v>Internal project IP / authorship claim</x:v>
      </x:c>
      <x:c r="K721" s="24" t="str">
        <x:v>N/A</x:v>
      </x:c>
      <x:c r="L721" s="24" t="str">
        <x:v>Source package + repository path + hash</x:v>
      </x:c>
      <x:c r="M721" s="24" t="str">
        <x:v>26cdc148e93a2122575afaa3335e4f4e9942c1d74298f6ca98bbacb1735fc601</x:v>
      </x:c>
      <x:c r="N721" s="24" t="str">
        <x:v>Assets/_Project/Tests/PlayMode/GameSessionBootstrapTests.cs</x:v>
      </x:c>
      <x:c r="O721" s="24" t="str">
        <x:v>9f7a918065f449a5918cdbb4f5639fb7</x:v>
      </x:c>
      <x:c r="P721" s="24" t="str">
        <x:v>Sí</x:v>
      </x:c>
      <x:c r="Q721" s="24" t="str">
        <x:v>Condicionado a autoría/procedencia final</x:v>
      </x:c>
      <x:c r="R721" s="24" t="str">
        <x:v>Solo dentro del producto/build autorizado</x:v>
      </x:c>
      <x:c r="S721" s="24" t="str">
        <x:v>Crédito general del estudio; individual si aplica</x:v>
      </x:c>
      <x:c r="T721" s="24" t="str">
        <x:v>VRM Games / Blas Luis Rocha González</x:v>
      </x:c>
      <x:c r="U721" s="24" t="str">
        <x:v>CURRENT PROJECT ASSET</x:v>
      </x:c>
      <x:c r="V721" s="24" t="str">
        <x:v>CONDITIONALLY APPROVED</x:v>
      </x:c>
      <x:c r="W721" s="24" t="str">
        <x:v>Sí</x:v>
      </x:c>
      <x:c r="X721" s="24" t="str">
        <x:v>Low</x:v>
      </x:c>
      <x:c r="Y721" s="24" t="str">
        <x:v>Internal development; public candidate requires gate</x:v>
      </x:c>
      <x:c r="Z721" s="24" t="str">
        <x:v>H6 legal/content audit</x:v>
      </x:c>
      <x:c r="AA721" s="24" t="str">
        <x:v>VRM Games</x:v>
      </x:c>
      <x:c r="AB721" s="24" t="str">
        <x:v>No se detectó proveedor externo en la ruta; confirmar autoría por lote antes de release público.</x:v>
      </x:c>
    </x:row>
    <x:row r="722" ht="34" customHeight="1">
      <x:c r="A722" s="24" t="str">
        <x:v>INT-0718</x:v>
      </x:c>
      <x:c r="B722" s="24" t="str">
        <x:v>013c704d8a8647f39c575074489aee6d</x:v>
      </x:c>
      <x:c r="C722" s="24" t="str">
        <x:v>InputContextSceneFlowTests.cs</x:v>
      </x:c>
      <x:c r="D722" s="24" t="str">
        <x:v>Code</x:v>
      </x:c>
      <x:c r="E722" s="24" t="str">
        <x:v>PlayMode</x:v>
      </x:c>
      <x:c r="F722" s="24" t="str">
        <x:v>VRM Games / Blas Luis Rocha González</x:v>
      </x:c>
      <x:c r="G722" s="24" t="str">
        <x:v>VRM Games / Blas Luis Rocha González</x:v>
      </x:c>
      <x:c r="H722" s="24" t="str">
        <x:v>Internal project production</x:v>
      </x:c>
      <x:c r="I722" s="24" t="str">
        <x:v>2026 project timeline</x:v>
      </x:c>
      <x:c r="J722" s="24" t="str">
        <x:v>Internal project IP / authorship claim</x:v>
      </x:c>
      <x:c r="K722" s="24" t="str">
        <x:v>N/A</x:v>
      </x:c>
      <x:c r="L722" s="24" t="str">
        <x:v>Source package + repository path + hash</x:v>
      </x:c>
      <x:c r="M722" s="24" t="str">
        <x:v>8aafad932adcb319539f9b88c3dbdeb2f8e2df583f53e4fa6b4a9404ab3ec351</x:v>
      </x:c>
      <x:c r="N722" s="24" t="str">
        <x:v>Assets/_Project/Tests/PlayMode/InputContextSceneFlowTests.cs</x:v>
      </x:c>
      <x:c r="O722" s="24" t="str">
        <x:v>013c704d8a8647f39c575074489aee6d</x:v>
      </x:c>
      <x:c r="P722" s="24" t="str">
        <x:v>Sí</x:v>
      </x:c>
      <x:c r="Q722" s="24" t="str">
        <x:v>Condicionado a autoría/procedencia final</x:v>
      </x:c>
      <x:c r="R722" s="24" t="str">
        <x:v>Solo dentro del producto/build autorizado</x:v>
      </x:c>
      <x:c r="S722" s="24" t="str">
        <x:v>Crédito general del estudio; individual si aplica</x:v>
      </x:c>
      <x:c r="T722" s="24" t="str">
        <x:v>VRM Games / Blas Luis Rocha González</x:v>
      </x:c>
      <x:c r="U722" s="24" t="str">
        <x:v>CURRENT PROJECT ASSET</x:v>
      </x:c>
      <x:c r="V722" s="24" t="str">
        <x:v>CONDITIONALLY APPROVED</x:v>
      </x:c>
      <x:c r="W722" s="24" t="str">
        <x:v>Sí</x:v>
      </x:c>
      <x:c r="X722" s="24" t="str">
        <x:v>Low</x:v>
      </x:c>
      <x:c r="Y722" s="24" t="str">
        <x:v>Internal development; public candidate requires gate</x:v>
      </x:c>
      <x:c r="Z722" s="24" t="str">
        <x:v>H6 legal/content audit</x:v>
      </x:c>
      <x:c r="AA722" s="24" t="str">
        <x:v>VRM Games</x:v>
      </x:c>
      <x:c r="AB722" s="24" t="str">
        <x:v>No se detectó proveedor externo en la ruta; confirmar autoría por lote antes de release público.</x:v>
      </x:c>
    </x:row>
    <x:row r="723" ht="34" customHeight="1">
      <x:c r="A723" s="24" t="str">
        <x:v>INT-0719</x:v>
      </x:c>
      <x:c r="B723" s="24" t="str">
        <x:v>f46fdd08b27a40a6acef6dfae0f36880</x:v>
      </x:c>
      <x:c r="C723" s="24" t="str">
        <x:v>OrbitCameraRigTests.cs</x:v>
      </x:c>
      <x:c r="D723" s="24" t="str">
        <x:v>Code</x:v>
      </x:c>
      <x:c r="E723" s="24" t="str">
        <x:v>PlayMode</x:v>
      </x:c>
      <x:c r="F723" s="24" t="str">
        <x:v>VRM Games / Blas Luis Rocha González</x:v>
      </x:c>
      <x:c r="G723" s="24" t="str">
        <x:v>VRM Games / Blas Luis Rocha González</x:v>
      </x:c>
      <x:c r="H723" s="24" t="str">
        <x:v>Internal project production</x:v>
      </x:c>
      <x:c r="I723" s="24" t="str">
        <x:v>2026 project timeline</x:v>
      </x:c>
      <x:c r="J723" s="24" t="str">
        <x:v>Internal project IP / authorship claim</x:v>
      </x:c>
      <x:c r="K723" s="24" t="str">
        <x:v>N/A</x:v>
      </x:c>
      <x:c r="L723" s="24" t="str">
        <x:v>Source package + repository path + hash</x:v>
      </x:c>
      <x:c r="M723" s="24" t="str">
        <x:v>4ef466a15c35e76adb8f12eb14d4605a41a67b9d38b47dc3608e98757af3768e</x:v>
      </x:c>
      <x:c r="N723" s="24" t="str">
        <x:v>Assets/_Project/Tests/PlayMode/OrbitCameraRigTests.cs</x:v>
      </x:c>
      <x:c r="O723" s="24" t="str">
        <x:v>f46fdd08b27a40a6acef6dfae0f36880</x:v>
      </x:c>
      <x:c r="P723" s="24" t="str">
        <x:v>Sí</x:v>
      </x:c>
      <x:c r="Q723" s="24" t="str">
        <x:v>Condicionado a autoría/procedencia final</x:v>
      </x:c>
      <x:c r="R723" s="24" t="str">
        <x:v>Solo dentro del producto/build autorizado</x:v>
      </x:c>
      <x:c r="S723" s="24" t="str">
        <x:v>Crédito general del estudio; individual si aplica</x:v>
      </x:c>
      <x:c r="T723" s="24" t="str">
        <x:v>VRM Games / Blas Luis Rocha González</x:v>
      </x:c>
      <x:c r="U723" s="24" t="str">
        <x:v>CURRENT PROJECT ASSET</x:v>
      </x:c>
      <x:c r="V723" s="24" t="str">
        <x:v>CONDITIONALLY APPROVED</x:v>
      </x:c>
      <x:c r="W723" s="24" t="str">
        <x:v>Sí</x:v>
      </x:c>
      <x:c r="X723" s="24" t="str">
        <x:v>Low</x:v>
      </x:c>
      <x:c r="Y723" s="24" t="str">
        <x:v>Internal development; public candidate requires gate</x:v>
      </x:c>
      <x:c r="Z723" s="24" t="str">
        <x:v>H6 legal/content audit</x:v>
      </x:c>
      <x:c r="AA723" s="24" t="str">
        <x:v>VRM Games</x:v>
      </x:c>
      <x:c r="AB723" s="24" t="str">
        <x:v>No se detectó proveedor externo en la ruta; confirmar autoría por lote antes de release público.</x:v>
      </x:c>
    </x:row>
    <x:row r="724" ht="34" customHeight="1">
      <x:c r="A724" s="24" t="str">
        <x:v>INT-0720</x:v>
      </x:c>
      <x:c r="B724" s="24" t="str">
        <x:v>05c0cae21eea462eacba3ad2b9603e70</x:v>
      </x:c>
      <x:c r="C724" s="24" t="str">
        <x:v>PlacementPreviewRuntimeTests.cs</x:v>
      </x:c>
      <x:c r="D724" s="24" t="str">
        <x:v>Code</x:v>
      </x:c>
      <x:c r="E724" s="24" t="str">
        <x:v>PlayMode</x:v>
      </x:c>
      <x:c r="F724" s="24" t="str">
        <x:v>VRM Games / Blas Luis Rocha González</x:v>
      </x:c>
      <x:c r="G724" s="24" t="str">
        <x:v>VRM Games / Blas Luis Rocha González</x:v>
      </x:c>
      <x:c r="H724" s="24" t="str">
        <x:v>Internal project production</x:v>
      </x:c>
      <x:c r="I724" s="24" t="str">
        <x:v>2026 project timeline</x:v>
      </x:c>
      <x:c r="J724" s="24" t="str">
        <x:v>Internal project IP / authorship claim</x:v>
      </x:c>
      <x:c r="K724" s="24" t="str">
        <x:v>N/A</x:v>
      </x:c>
      <x:c r="L724" s="24" t="str">
        <x:v>Source package + repository path + hash</x:v>
      </x:c>
      <x:c r="M724" s="24" t="str">
        <x:v>ae20abf871427664a72412c8f906fec94e7bd33a595968612129c1fd3cdeb48e</x:v>
      </x:c>
      <x:c r="N724" s="24" t="str">
        <x:v>Assets/_Project/Tests/PlayMode/Placement/PlacementPreviewRuntimeTests.cs</x:v>
      </x:c>
      <x:c r="O724" s="24" t="str">
        <x:v>05c0cae21eea462eacba3ad2b9603e70</x:v>
      </x:c>
      <x:c r="P724" s="24" t="str">
        <x:v>Sí</x:v>
      </x:c>
      <x:c r="Q724" s="24" t="str">
        <x:v>Condicionado a autoría/procedencia final</x:v>
      </x:c>
      <x:c r="R724" s="24" t="str">
        <x:v>Solo dentro del producto/build autorizado</x:v>
      </x:c>
      <x:c r="S724" s="24" t="str">
        <x:v>Crédito general del estudio; individual si aplica</x:v>
      </x:c>
      <x:c r="T724" s="24" t="str">
        <x:v>VRM Games / Blas Luis Rocha González</x:v>
      </x:c>
      <x:c r="U724" s="24" t="str">
        <x:v>CURRENT PROJECT ASSET</x:v>
      </x:c>
      <x:c r="V724" s="24" t="str">
        <x:v>CONDITIONALLY APPROVED</x:v>
      </x:c>
      <x:c r="W724" s="24" t="str">
        <x:v>Sí</x:v>
      </x:c>
      <x:c r="X724" s="24" t="str">
        <x:v>Low</x:v>
      </x:c>
      <x:c r="Y724" s="24" t="str">
        <x:v>Internal development; public candidate requires gate</x:v>
      </x:c>
      <x:c r="Z724" s="24" t="str">
        <x:v>H6 legal/content audit</x:v>
      </x:c>
      <x:c r="AA724" s="24" t="str">
        <x:v>VRM Games</x:v>
      </x:c>
      <x:c r="AB724" s="24" t="str">
        <x:v>No se detectó proveedor externo en la ruta; confirmar autoría por lote antes de release público.</x:v>
      </x:c>
    </x:row>
    <x:row r="725" ht="34" customHeight="1">
      <x:c r="A725" s="24" t="str">
        <x:v>INT-0721</x:v>
      </x:c>
      <x:c r="B725" s="24" t="str">
        <x:v>1b06787a8bf043c59e1ac98c370b8e30</x:v>
      </x:c>
      <x:c r="C725" s="24" t="str">
        <x:v>PlacementRuntimeControllerTests.cs</x:v>
      </x:c>
      <x:c r="D725" s="24" t="str">
        <x:v>Code</x:v>
      </x:c>
      <x:c r="E725" s="24" t="str">
        <x:v>PlayMode</x:v>
      </x:c>
      <x:c r="F725" s="24" t="str">
        <x:v>VRM Games / Blas Luis Rocha González</x:v>
      </x:c>
      <x:c r="G725" s="24" t="str">
        <x:v>VRM Games / Blas Luis Rocha González</x:v>
      </x:c>
      <x:c r="H725" s="24" t="str">
        <x:v>Internal project production</x:v>
      </x:c>
      <x:c r="I725" s="24" t="str">
        <x:v>2026 project timeline</x:v>
      </x:c>
      <x:c r="J725" s="24" t="str">
        <x:v>Internal project IP / authorship claim</x:v>
      </x:c>
      <x:c r="K725" s="24" t="str">
        <x:v>N/A</x:v>
      </x:c>
      <x:c r="L725" s="24" t="str">
        <x:v>Source package + repository path + hash</x:v>
      </x:c>
      <x:c r="M725" s="24" t="str">
        <x:v>0fa70f72f31a843e53ffb6a8f5f678f28dd4e39f15377de3f76ece839fca617d</x:v>
      </x:c>
      <x:c r="N725" s="24" t="str">
        <x:v>Assets/_Project/Tests/PlayMode/Placement/PlacementRuntimeControllerTests.cs</x:v>
      </x:c>
      <x:c r="O725" s="24" t="str">
        <x:v>1b06787a8bf043c59e1ac98c370b8e30</x:v>
      </x:c>
      <x:c r="P725" s="24" t="str">
        <x:v>Sí</x:v>
      </x:c>
      <x:c r="Q725" s="24" t="str">
        <x:v>Condicionado a autoría/procedencia final</x:v>
      </x:c>
      <x:c r="R725" s="24" t="str">
        <x:v>Solo dentro del producto/build autorizado</x:v>
      </x:c>
      <x:c r="S725" s="24" t="str">
        <x:v>Crédito general del estudio; individual si aplica</x:v>
      </x:c>
      <x:c r="T725" s="24" t="str">
        <x:v>VRM Games / Blas Luis Rocha González</x:v>
      </x:c>
      <x:c r="U725" s="24" t="str">
        <x:v>CURRENT PROJECT ASSET</x:v>
      </x:c>
      <x:c r="V725" s="24" t="str">
        <x:v>CONDITIONALLY APPROVED</x:v>
      </x:c>
      <x:c r="W725" s="24" t="str">
        <x:v>Sí</x:v>
      </x:c>
      <x:c r="X725" s="24" t="str">
        <x:v>Low</x:v>
      </x:c>
      <x:c r="Y725" s="24" t="str">
        <x:v>Internal development; public candidate requires gate</x:v>
      </x:c>
      <x:c r="Z725" s="24" t="str">
        <x:v>H6 legal/content audit</x:v>
      </x:c>
      <x:c r="AA725" s="24" t="str">
        <x:v>VRM Games</x:v>
      </x:c>
      <x:c r="AB725" s="24" t="str">
        <x:v>No se detectó proveedor externo en la ruta; confirmar autoría por lote antes de release público.</x:v>
      </x:c>
    </x:row>
    <x:row r="726" ht="34" customHeight="1">
      <x:c r="A726" s="24" t="str">
        <x:v>INT-0722</x:v>
      </x:c>
      <x:c r="B726" s="24" t="str">
        <x:v>4301879ff22d43f2a07033659772c092</x:v>
      </x:c>
      <x:c r="C726" s="24" t="str">
        <x:v>StorePlacementRuntimeAccessTests.cs</x:v>
      </x:c>
      <x:c r="D726" s="24" t="str">
        <x:v>Code</x:v>
      </x:c>
      <x:c r="E726" s="24" t="str">
        <x:v>PlayMode</x:v>
      </x:c>
      <x:c r="F726" s="24" t="str">
        <x:v>VRM Games / Blas Luis Rocha González</x:v>
      </x:c>
      <x:c r="G726" s="24" t="str">
        <x:v>VRM Games / Blas Luis Rocha González</x:v>
      </x:c>
      <x:c r="H726" s="24" t="str">
        <x:v>Internal project production</x:v>
      </x:c>
      <x:c r="I726" s="24" t="str">
        <x:v>2026 project timeline</x:v>
      </x:c>
      <x:c r="J726" s="24" t="str">
        <x:v>Internal project IP / authorship claim</x:v>
      </x:c>
      <x:c r="K726" s="24" t="str">
        <x:v>N/A</x:v>
      </x:c>
      <x:c r="L726" s="24" t="str">
        <x:v>Source package + repository path + hash</x:v>
      </x:c>
      <x:c r="M726" s="24" t="str">
        <x:v>5811a1e15e76851a0ab12ce5f9f4aecc0bc9bf372b9e1a6ba4003067ef5b944d</x:v>
      </x:c>
      <x:c r="N726" s="24" t="str">
        <x:v>Assets/_Project/Tests/PlayMode/Placement/StorePlacementRuntimeAccessTests.cs</x:v>
      </x:c>
      <x:c r="O726" s="24" t="str">
        <x:v>4301879ff22d43f2a07033659772c092</x:v>
      </x:c>
      <x:c r="P726" s="24" t="str">
        <x:v>Sí</x:v>
      </x:c>
      <x:c r="Q726" s="24" t="str">
        <x:v>Condicionado a autoría/procedencia final</x:v>
      </x:c>
      <x:c r="R726" s="24" t="str">
        <x:v>Solo dentro del producto/build autorizado</x:v>
      </x:c>
      <x:c r="S726" s="24" t="str">
        <x:v>Crédito general del estudio; individual si aplica</x:v>
      </x:c>
      <x:c r="T726" s="24" t="str">
        <x:v>VRM Games / Blas Luis Rocha González</x:v>
      </x:c>
      <x:c r="U726" s="24" t="str">
        <x:v>CURRENT PROJECT ASSET</x:v>
      </x:c>
      <x:c r="V726" s="24" t="str">
        <x:v>CONDITIONALLY APPROVED</x:v>
      </x:c>
      <x:c r="W726" s="24" t="str">
        <x:v>Sí</x:v>
      </x:c>
      <x:c r="X726" s="24" t="str">
        <x:v>Low</x:v>
      </x:c>
      <x:c r="Y726" s="24" t="str">
        <x:v>Internal development; public candidate requires gate</x:v>
      </x:c>
      <x:c r="Z726" s="24" t="str">
        <x:v>H6 legal/content audit</x:v>
      </x:c>
      <x:c r="AA726" s="24" t="str">
        <x:v>VRM Games</x:v>
      </x:c>
      <x:c r="AB726" s="24" t="str">
        <x:v>No se detectó proveedor externo en la ruta; confirmar autoría por lote antes de release público.</x:v>
      </x:c>
    </x:row>
    <x:row r="727" ht="34" customHeight="1">
      <x:c r="A727" s="24" t="str">
        <x:v>INT-0723</x:v>
      </x:c>
      <x:c r="B727" s="24" t="str">
        <x:v>18dce36eb6746934fbe143746be47299</x:v>
      </x:c>
      <x:c r="C727" s="24" t="str">
        <x:v>SceneLoadingSmokeTests.cs</x:v>
      </x:c>
      <x:c r="D727" s="24" t="str">
        <x:v>Code</x:v>
      </x:c>
      <x:c r="E727" s="24" t="str">
        <x:v>PlayMode</x:v>
      </x:c>
      <x:c r="F727" s="24" t="str">
        <x:v>VRM Games / Blas Luis Rocha González</x:v>
      </x:c>
      <x:c r="G727" s="24" t="str">
        <x:v>VRM Games / Blas Luis Rocha González</x:v>
      </x:c>
      <x:c r="H727" s="24" t="str">
        <x:v>Internal project production</x:v>
      </x:c>
      <x:c r="I727" s="24" t="str">
        <x:v>2026 project timeline</x:v>
      </x:c>
      <x:c r="J727" s="24" t="str">
        <x:v>Internal project IP / authorship claim</x:v>
      </x:c>
      <x:c r="K727" s="24" t="str">
        <x:v>N/A</x:v>
      </x:c>
      <x:c r="L727" s="24" t="str">
        <x:v>Source package + repository path + hash</x:v>
      </x:c>
      <x:c r="M727" s="24" t="str">
        <x:v>cd6a6a4db7c551714632a1dc7247b9c0d963571f7e3815cd257cc27ec00a958c</x:v>
      </x:c>
      <x:c r="N727" s="24" t="str">
        <x:v>Assets/_Project/Tests/PlayMode/SceneLoadingSmokeTests.cs</x:v>
      </x:c>
      <x:c r="O727" s="24" t="str">
        <x:v>18dce36eb6746934fbe143746be47299</x:v>
      </x:c>
      <x:c r="P727" s="24" t="str">
        <x:v>Sí</x:v>
      </x:c>
      <x:c r="Q727" s="24" t="str">
        <x:v>Condicionado a autoría/procedencia final</x:v>
      </x:c>
      <x:c r="R727" s="24" t="str">
        <x:v>Solo dentro del producto/build autorizado</x:v>
      </x:c>
      <x:c r="S727" s="24" t="str">
        <x:v>Crédito general del estudio; individual si aplica</x:v>
      </x:c>
      <x:c r="T727" s="24" t="str">
        <x:v>VRM Games / Blas Luis Rocha González</x:v>
      </x:c>
      <x:c r="U727" s="24" t="str">
        <x:v>CURRENT PROJECT ASSET</x:v>
      </x:c>
      <x:c r="V727" s="24" t="str">
        <x:v>CONDITIONALLY APPROVED</x:v>
      </x:c>
      <x:c r="W727" s="24" t="str">
        <x:v>Sí</x:v>
      </x:c>
      <x:c r="X727" s="24" t="str">
        <x:v>Low</x:v>
      </x:c>
      <x:c r="Y727" s="24" t="str">
        <x:v>Internal development; public candidate requires gate</x:v>
      </x:c>
      <x:c r="Z727" s="24" t="str">
        <x:v>H6 legal/content audit</x:v>
      </x:c>
      <x:c r="AA727" s="24" t="str">
        <x:v>VRM Games</x:v>
      </x:c>
      <x:c r="AB727" s="24" t="str">
        <x:v>No se detectó proveedor externo en la ruta; confirmar autoría por lote antes de release público.</x:v>
      </x:c>
    </x:row>
    <x:row r="728" ht="34" customHeight="1">
      <x:c r="A728" s="24" t="str">
        <x:v>INT-0724</x:v>
      </x:c>
      <x:c r="B728" s="24" t="str">
        <x:v>70b7a09f282c4ccdb78b42f7dcb342a6</x:v>
      </x:c>
      <x:c r="C728" s="24" t="str">
        <x:v>StoreShellDescriptorTests.cs</x:v>
      </x:c>
      <x:c r="D728" s="24" t="str">
        <x:v>Code</x:v>
      </x:c>
      <x:c r="E728" s="24" t="str">
        <x:v>PlayMode</x:v>
      </x:c>
      <x:c r="F728" s="24" t="str">
        <x:v>VRM Games / Blas Luis Rocha González</x:v>
      </x:c>
      <x:c r="G728" s="24" t="str">
        <x:v>VRM Games / Blas Luis Rocha González</x:v>
      </x:c>
      <x:c r="H728" s="24" t="str">
        <x:v>Internal project production</x:v>
      </x:c>
      <x:c r="I728" s="24" t="str">
        <x:v>2026 project timeline</x:v>
      </x:c>
      <x:c r="J728" s="24" t="str">
        <x:v>Internal project IP / authorship claim</x:v>
      </x:c>
      <x:c r="K728" s="24" t="str">
        <x:v>N/A</x:v>
      </x:c>
      <x:c r="L728" s="24" t="str">
        <x:v>Source package + repository path + hash</x:v>
      </x:c>
      <x:c r="M728" s="24" t="str">
        <x:v>50b7e90b81019282c33aa5dc90abc919533377a885ad9489dc475b0502437bec</x:v>
      </x:c>
      <x:c r="N728" s="24" t="str">
        <x:v>Assets/_Project/Tests/PlayMode/Store/StoreShellDescriptorTests.cs</x:v>
      </x:c>
      <x:c r="O728" s="24" t="str">
        <x:v>70b7a09f282c4ccdb78b42f7dcb342a6</x:v>
      </x:c>
      <x:c r="P728" s="24" t="str">
        <x:v>Sí</x:v>
      </x:c>
      <x:c r="Q728" s="24" t="str">
        <x:v>Condicionado a autoría/procedencia final</x:v>
      </x:c>
      <x:c r="R728" s="24" t="str">
        <x:v>Solo dentro del producto/build autorizado</x:v>
      </x:c>
      <x:c r="S728" s="24" t="str">
        <x:v>Crédito general del estudio; individual si aplica</x:v>
      </x:c>
      <x:c r="T728" s="24" t="str">
        <x:v>VRM Games / Blas Luis Rocha González</x:v>
      </x:c>
      <x:c r="U728" s="24" t="str">
        <x:v>CURRENT PROJECT ASSET</x:v>
      </x:c>
      <x:c r="V728" s="24" t="str">
        <x:v>CONDITIONALLY APPROVED</x:v>
      </x:c>
      <x:c r="W728" s="24" t="str">
        <x:v>Sí</x:v>
      </x:c>
      <x:c r="X728" s="24" t="str">
        <x:v>Low</x:v>
      </x:c>
      <x:c r="Y728" s="24" t="str">
        <x:v>Internal development; public candidate requires gate</x:v>
      </x:c>
      <x:c r="Z728" s="24" t="str">
        <x:v>H6 legal/content audit</x:v>
      </x:c>
      <x:c r="AA728" s="24" t="str">
        <x:v>VRM Games</x:v>
      </x:c>
      <x:c r="AB728" s="24" t="str">
        <x:v>No se detectó proveedor externo en la ruta; confirmar autoría por lote antes de release público.</x:v>
      </x:c>
    </x:row>
    <x:row r="729" ht="34" customHeight="1">
      <x:c r="A729" s="24" t="str">
        <x:v>INT-0725</x:v>
      </x:c>
      <x:c r="B729" s="24" t="str">
        <x:v>31a03192ed694fd6b65462def91e48d1</x:v>
      </x:c>
      <x:c r="C729" s="24" t="str">
        <x:v>Sprint15RuntimePlayModeTests.cs</x:v>
      </x:c>
      <x:c r="D729" s="24" t="str">
        <x:v>Code</x:v>
      </x:c>
      <x:c r="E729" s="24" t="str">
        <x:v>PlayMode</x:v>
      </x:c>
      <x:c r="F729" s="24" t="str">
        <x:v>VRM Games / Blas Luis Rocha González</x:v>
      </x:c>
      <x:c r="G729" s="24" t="str">
        <x:v>VRM Games / Blas Luis Rocha González</x:v>
      </x:c>
      <x:c r="H729" s="24" t="str">
        <x:v>Internal project production</x:v>
      </x:c>
      <x:c r="I729" s="24" t="str">
        <x:v>2026 project timeline</x:v>
      </x:c>
      <x:c r="J729" s="24" t="str">
        <x:v>Internal project IP / authorship claim</x:v>
      </x:c>
      <x:c r="K729" s="24" t="str">
        <x:v>N/A</x:v>
      </x:c>
      <x:c r="L729" s="24" t="str">
        <x:v>Source package + repository path + hash</x:v>
      </x:c>
      <x:c r="M729" s="24" t="str">
        <x:v>9b401f8a8ca7933231d852000af98165d838b81f19d2c370e438ee6fdab3a36c</x:v>
      </x:c>
      <x:c r="N729" s="24" t="str">
        <x:v>Assets/_Project/Tests/PlayMode/UIUX/Sprint15RuntimePlayModeTests.cs</x:v>
      </x:c>
      <x:c r="O729" s="24" t="str">
        <x:v>31a03192ed694fd6b65462def91e48d1</x:v>
      </x:c>
      <x:c r="P729" s="24" t="str">
        <x:v>Sí</x:v>
      </x:c>
      <x:c r="Q729" s="24" t="str">
        <x:v>Condicionado a autoría/procedencia final</x:v>
      </x:c>
      <x:c r="R729" s="24" t="str">
        <x:v>Solo dentro del producto/build autorizado</x:v>
      </x:c>
      <x:c r="S729" s="24" t="str">
        <x:v>Crédito general del estudio; individual si aplica</x:v>
      </x:c>
      <x:c r="T729" s="24" t="str">
        <x:v>VRM Games / Blas Luis Rocha González</x:v>
      </x:c>
      <x:c r="U729" s="24" t="str">
        <x:v>CURRENT PROJECT ASSET</x:v>
      </x:c>
      <x:c r="V729" s="24" t="str">
        <x:v>CONDITIONALLY APPROVED</x:v>
      </x:c>
      <x:c r="W729" s="24" t="str">
        <x:v>Sí</x:v>
      </x:c>
      <x:c r="X729" s="24" t="str">
        <x:v>Low</x:v>
      </x:c>
      <x:c r="Y729" s="24" t="str">
        <x:v>Internal development; public candidate requires gate</x:v>
      </x:c>
      <x:c r="Z729" s="24" t="str">
        <x:v>H6 legal/content audit</x:v>
      </x:c>
      <x:c r="AA729" s="24" t="str">
        <x:v>VRM Games</x:v>
      </x:c>
      <x:c r="AB729" s="24" t="str">
        <x:v>No se detectó proveedor externo en la ruta; confirmar autoría por lote antes de release público.</x:v>
      </x:c>
    </x:row>
    <x:row r="730" ht="34" customHeight="1">
      <x:c r="A730" s="24" t="str">
        <x:v>INT-0726</x:v>
      </x:c>
      <x:c r="B730" s="24" t="str">
        <x:v>298572633e00a8c4abd079b81221df0a</x:v>
      </x:c>
      <x:c r="C730" s="24" t="str">
        <x:v>VRMGames.CartridgeAndCloud.Tests.PlayMode.asmdef</x:v>
      </x:c>
      <x:c r="D730" s="24" t="str">
        <x:v>Assembly definition</x:v>
      </x:c>
      <x:c r="E730" s="24" t="str">
        <x:v>PlayMode</x:v>
      </x:c>
      <x:c r="F730" s="24" t="str">
        <x:v>VRM Games / Blas Luis Rocha González</x:v>
      </x:c>
      <x:c r="G730" s="24" t="str">
        <x:v>VRM Games / Blas Luis Rocha González</x:v>
      </x:c>
      <x:c r="H730" s="24" t="str">
        <x:v>Internal project production</x:v>
      </x:c>
      <x:c r="I730" s="24" t="str">
        <x:v>2026 project timeline</x:v>
      </x:c>
      <x:c r="J730" s="24" t="str">
        <x:v>Internal project IP / authorship claim</x:v>
      </x:c>
      <x:c r="K730" s="24" t="str">
        <x:v>N/A</x:v>
      </x:c>
      <x:c r="L730" s="24" t="str">
        <x:v>Source package + repository path + hash</x:v>
      </x:c>
      <x:c r="M730" s="24" t="str">
        <x:v>833085758569c1b8940587ff340b64b0504429a4bdec6ea2cd35d6e458ee1f78</x:v>
      </x:c>
      <x:c r="N730" s="24" t="str">
        <x:v>Assets/_Project/Tests/PlayMode/VRMGames.CartridgeAndCloud.Tests.PlayMode.asmdef</x:v>
      </x:c>
      <x:c r="O730" s="24" t="str">
        <x:v>298572633e00a8c4abd079b81221df0a</x:v>
      </x:c>
      <x:c r="P730" s="24" t="str">
        <x:v>Sí</x:v>
      </x:c>
      <x:c r="Q730" s="24" t="str">
        <x:v>Condicionado a autoría/procedencia final</x:v>
      </x:c>
      <x:c r="R730" s="24" t="str">
        <x:v>Solo dentro del producto/build autorizado</x:v>
      </x:c>
      <x:c r="S730" s="24" t="str">
        <x:v>Crédito general del estudio; individual si aplica</x:v>
      </x:c>
      <x:c r="T730" s="24" t="str">
        <x:v>VRM Games / Blas Luis Rocha González</x:v>
      </x:c>
      <x:c r="U730" s="24" t="str">
        <x:v>CURRENT PROJECT ASSET</x:v>
      </x:c>
      <x:c r="V730" s="24" t="str">
        <x:v>CONDITIONALLY APPROVED</x:v>
      </x:c>
      <x:c r="W730" s="24" t="str">
        <x:v>Sí</x:v>
      </x:c>
      <x:c r="X730" s="24" t="str">
        <x:v>Low</x:v>
      </x:c>
      <x:c r="Y730" s="24" t="str">
        <x:v>Internal development; public candidate requires gate</x:v>
      </x:c>
      <x:c r="Z730" s="24" t="str">
        <x:v>H6 legal/content audit</x:v>
      </x:c>
      <x:c r="AA730" s="24" t="str">
        <x:v>VRM Games</x:v>
      </x:c>
      <x:c r="AB730" s="24" t="str">
        <x:v>No se detectó proveedor externo en la ruta; confirmar autoría por lote antes de release público.</x:v>
      </x:c>
    </x:row>
    <x:row r="731" ht="34" customHeight="1">
      <x:c r="A731" s="24" t="str">
        <x:v>INT-0727</x:v>
      </x:c>
      <x:c r="B731" s="24" t="str">
        <x:v>8fc70f650311278623c0694f198c9c75</x:v>
      </x:c>
      <x:c r="C731" s="24" t="str">
        <x:v>Sprint16Phase1RuntimePlayModeTests.cs</x:v>
      </x:c>
      <x:c r="D731" s="24" t="str">
        <x:v>Code</x:v>
      </x:c>
      <x:c r="E731" s="24" t="str">
        <x:v>PlayMode</x:v>
      </x:c>
      <x:c r="F731" s="24" t="str">
        <x:v>VRM Games / Blas Luis Rocha González</x:v>
      </x:c>
      <x:c r="G731" s="24" t="str">
        <x:v>VRM Games / Blas Luis Rocha González</x:v>
      </x:c>
      <x:c r="H731" s="24" t="str">
        <x:v>Internal project production</x:v>
      </x:c>
      <x:c r="I731" s="24" t="str">
        <x:v>2026 project timeline</x:v>
      </x:c>
      <x:c r="J731" s="24" t="str">
        <x:v>Internal project IP / authorship claim</x:v>
      </x:c>
      <x:c r="K731" s="24" t="str">
        <x:v>N/A</x:v>
      </x:c>
      <x:c r="L731" s="24" t="str">
        <x:v>Source package + repository path + hash</x:v>
      </x:c>
      <x:c r="M731" s="24" t="str">
        <x:v>1775288aa2e003f54f2eb5c0998532c04bcbb9d6eb4a54965d585e21f16a2a77</x:v>
      </x:c>
      <x:c r="N731" s="24" t="str">
        <x:v>Assets/_Project/Tests/PlayMode/VerticalSlicePhase1/Sprint16Phase1RuntimePlayModeTests.cs</x:v>
      </x:c>
      <x:c r="O731" s="24" t="str">
        <x:v>8fc70f650311278623c0694f198c9c75</x:v>
      </x:c>
      <x:c r="P731" s="24" t="str">
        <x:v>Sí</x:v>
      </x:c>
      <x:c r="Q731" s="24" t="str">
        <x:v>Condicionado a autoría/procedencia final</x:v>
      </x:c>
      <x:c r="R731" s="24" t="str">
        <x:v>Solo dentro del producto/build autorizado</x:v>
      </x:c>
      <x:c r="S731" s="24" t="str">
        <x:v>Crédito general del estudio; individual si aplica</x:v>
      </x:c>
      <x:c r="T731" s="24" t="str">
        <x:v>VRM Games / Blas Luis Rocha González</x:v>
      </x:c>
      <x:c r="U731" s="24" t="str">
        <x:v>CURRENT PROJECT ASSET</x:v>
      </x:c>
      <x:c r="V731" s="24" t="str">
        <x:v>CONDITIONALLY APPROVED</x:v>
      </x:c>
      <x:c r="W731" s="24" t="str">
        <x:v>Sí</x:v>
      </x:c>
      <x:c r="X731" s="24" t="str">
        <x:v>Low</x:v>
      </x:c>
      <x:c r="Y731" s="24" t="str">
        <x:v>Internal development; public candidate requires gate</x:v>
      </x:c>
      <x:c r="Z731" s="24" t="str">
        <x:v>H6 legal/content audit</x:v>
      </x:c>
      <x:c r="AA731" s="24" t="str">
        <x:v>VRM Games</x:v>
      </x:c>
      <x:c r="AB731" s="24" t="str">
        <x:v>No se detectó proveedor externo en la ruta; confirmar autoría por lote antes de release público.</x:v>
      </x:c>
    </x:row>
  </x:sheetData>
  <x:mergeCells>
    <x:mergeCell ref="A1:AB1"/>
    <x:mergeCell ref="A2:AB2"/>
  </x:mergeCells>
  <x:conditionalFormatting sqref="V5:V731">
    <x:cfRule type="expression" dxfId="4" priority="1">
      <x:formula>OR(ISNUMBER(SEARCH("APPROVED",V5)),ISNUMBER(SEARCH("READY",V5)),ISNUMBER(SEARCH("ACTIVE",V5)),ISNUMBER(SEARCH("VERIFIED",V5)))</x:formula>
    </x:cfRule>
    <x:cfRule type="expression" dxfId="5" priority="2">
      <x:formula>OR(ISNUMBER(SEARCH("BLOCK",V5)),ISNUMBER(SEARCH("PROHIBITED",V5)),ISNUMBER(SEARCH("CRITICAL",V5)),ISNUMBER(SEARCH("MISSING",V5)))</x:formula>
    </x:cfRule>
    <x:cfRule type="expression" dxfId="6" priority="3">
      <x:formula>OR(ISNUMBER(SEARCH("PENDING",V5)),ISNUMBER(SEARCH("PARTIAL",V5)),ISNUMBER(SEARCH("REVIEW",V5)),ISNUMBER(SEARCH("CONDITIONAL",V5)))</x:formula>
    </x:cfRule>
    <x:cfRule type="expression" dxfId="7" priority="4">
      <x:formula>OR(ISNUMBER(SEARCH("HISTORICAL",V5)),ISNUMBER(SEARCH("VISION",V5)),ISNUMBER(SEARCH("OPTIONAL",V5)))</x:formula>
    </x:cfRule>
  </x:conditionalFormatting>
  <x:conditionalFormatting sqref="U5:U731">
    <x:cfRule type="expression" dxfId="8" priority="5">
      <x:formula>OR(ISNUMBER(SEARCH("APPROVED",U5)),ISNUMBER(SEARCH("READY",U5)),ISNUMBER(SEARCH("ACTIVE",U5)),ISNUMBER(SEARCH("VERIFIED",U5)))</x:formula>
    </x:cfRule>
    <x:cfRule type="expression" dxfId="9" priority="6">
      <x:formula>OR(ISNUMBER(SEARCH("BLOCK",U5)),ISNUMBER(SEARCH("PROHIBITED",U5)),ISNUMBER(SEARCH("CRITICAL",U5)),ISNUMBER(SEARCH("MISSING",U5)))</x:formula>
    </x:cfRule>
    <x:cfRule type="expression" dxfId="10" priority="7">
      <x:formula>OR(ISNUMBER(SEARCH("PENDING",U5)),ISNUMBER(SEARCH("PARTIAL",U5)),ISNUMBER(SEARCH("REVIEW",U5)),ISNUMBER(SEARCH("CONDITIONAL",U5)))</x:formula>
    </x:cfRule>
    <x:cfRule type="expression" dxfId="11" priority="8">
      <x:formula>OR(ISNUMBER(SEARCH("HISTORICAL",U5)),ISNUMBER(SEARCH("VISION",U5)),ISNUMBER(SEARCH("OPTIONAL",U5)))</x:formula>
    </x:cfRule>
  </x:conditionalFormatting>
  <x:conditionalFormatting sqref="X5:X731">
    <x:cfRule type="expression" dxfId="12" priority="9">
      <x:formula>OR(ISNUMBER(SEARCH("APPROVED",X5)),ISNUMBER(SEARCH("READY",X5)),ISNUMBER(SEARCH("ACTIVE",X5)),ISNUMBER(SEARCH("VERIFIED",X5)))</x:formula>
    </x:cfRule>
    <x:cfRule type="expression" dxfId="13" priority="10">
      <x:formula>OR(ISNUMBER(SEARCH("BLOCK",X5)),ISNUMBER(SEARCH("PROHIBITED",X5)),ISNUMBER(SEARCH("CRITICAL",X5)),ISNUMBER(SEARCH("MISSING",X5)))</x:formula>
    </x:cfRule>
    <x:cfRule type="expression" dxfId="14" priority="11">
      <x:formula>OR(ISNUMBER(SEARCH("PENDING",X5)),ISNUMBER(SEARCH("PARTIAL",X5)),ISNUMBER(SEARCH("REVIEW",X5)),ISNUMBER(SEARCH("CONDITIONAL",X5)))</x:formula>
    </x:cfRule>
    <x:cfRule type="expression" dxfId="15" priority="12">
      <x:formula>OR(ISNUMBER(SEARCH("HISTORICAL",X5)),ISNUMBER(SEARCH("VISION",X5)),ISNUMBER(SEARCH("OPTIONAL",X5)))</x:formula>
    </x:cfRule>
  </x:conditionalFormatting>
  <x:dataValidations count="1">
    <x:dataValidation type="list" sqref="V5:V731">
      <x:formula1>"APPROVED PUBLIC,CONDITIONALLY APPROVED,INTERNAL ONLY,PARTIAL / PUBLIC BLOCKED,TECHNICAL FALLBACK / REVIEW,MISSING / BLOCKED,NOT AUTHORIZED,PROHIBITED,ACTIVE / VERIFY AT RELEASE,ACTIVE / NOTICE REVIEW,HISTORICAL,OPTIONAL /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649ca4f1674d8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24" hidden="0" customWidth="1"/>
    <x:col min="5" max="5" width="34" hidden="0" customWidth="1"/>
    <x:col min="6" max="6" width="30" hidden="0" customWidth="1"/>
    <x:col min="7" max="7" width="54" hidden="0" customWidth="1"/>
    <x:col min="8" max="8" width="48" hidden="0" customWidth="1"/>
    <x:col min="9" max="9" width="68" hidden="0" customWidth="1"/>
    <x:col min="10" max="10" width="24" hidden="0" customWidth="1"/>
    <x:col min="11" max="11" width="30" hidden="0" customWidth="1"/>
    <x:col min="12" max="12" width="30" hidden="0" customWidth="1"/>
    <x:col min="13" max="13" width="24" hidden="0" customWidth="1"/>
    <x:col min="14" max="14" width="38" hidden="0" customWidth="1"/>
    <x:col min="15" max="15" width="28" hidden="0" customWidth="1"/>
    <x:col min="16" max="16" width="38" hidden="0" customWidth="1"/>
    <x:col min="17" max="17" width="18" hidden="0" customWidth="1"/>
    <x:col min="18" max="18" width="32" hidden="0" customWidth="1"/>
    <x:col min="19" max="19" width="42" hidden="0" customWidth="1"/>
    <x:col min="20" max="20" width="24" hidden="0" customWidth="1"/>
    <x:col min="21" max="21" width="55" hidden="0" customWidth="1"/>
  </x:cols>
  <x:sheetData>
    <x:row r="1" ht="30" customHeight="1">
      <x:c r="A1" s="4" t="str">
        <x:v>Assets externos y watchlist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22" customHeight="1">
      <x:c r="A2" s="10" t="str">
        <x:v>Recursos externos identificados, faltantes y reglas para futuras adquisiciones.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4" ht="38" customHeight="1">
      <x:c r="A4" s="17" t="str">
        <x:v>Record ID</x:v>
      </x:c>
      <x:c r="B4" s="17" t="str">
        <x:v>Asset ID</x:v>
      </x:c>
      <x:c r="C4" s="17" t="str">
        <x:v>Nombre</x:v>
      </x:c>
      <x:c r="D4" s="17" t="str">
        <x:v>Categoría</x:v>
      </x:c>
      <x:c r="E4" s="17" t="str">
        <x:v>Proveedor</x:v>
      </x:c>
      <x:c r="F4" s="17" t="str">
        <x:v>Origen</x:v>
      </x:c>
      <x:c r="G4" s="17" t="str">
        <x:v>Licencia</x:v>
      </x:c>
      <x:c r="H4" s="17" t="str">
        <x:v>Prueba documental</x:v>
      </x:c>
      <x:c r="I4" s="17" t="str">
        <x:v>SHA-256</x:v>
      </x:c>
      <x:c r="J4" s="17" t="str">
        <x:v>Ruta</x:v>
      </x:c>
      <x:c r="K4" s="17" t="str">
        <x:v>Modificación permitida</x:v>
      </x:c>
      <x:c r="L4" s="17" t="str">
        <x:v>Uso comercial permitido</x:v>
      </x:c>
      <x:c r="M4" s="17" t="str">
        <x:v>Redistribución permitida</x:v>
      </x:c>
      <x:c r="N4" s="17" t="str">
        <x:v>Atribución requerida</x:v>
      </x:c>
      <x:c r="O4" s="17" t="str">
        <x:v>Estado legal</x:v>
      </x:c>
      <x:c r="P4" s="17" t="str">
        <x:v>Riesgo</x:v>
      </x:c>
      <x:c r="Q4" s="17" t="str">
        <x:v>Builds autorizadas</x:v>
      </x:c>
      <x:c r="R4" s="17" t="str">
        <x:v>Sustituto previsto</x:v>
      </x:c>
      <x:c r="S4" s="17" t="str">
        <x:v>Owner</x:v>
      </x:c>
      <x:c r="T4" s="17" t="str">
        <x:v>Notas</x:v>
      </x:c>
    </x:row>
    <x:row r="5" ht="34" customHeight="1">
      <x:c r="A5" s="24" t="str">
        <x:v>EXT-001</x:v>
      </x:c>
      <x:c r="B5" s="24" t="str">
        <x:v>FONT-LEGACY-RUNTIME</x:v>
      </x:c>
      <x:c r="C5" s="24" t="str">
        <x:v>LegacyRuntime.ttf / Unity runtime font fallback</x:v>
      </x:c>
      <x:c r="D5" s="24" t="str">
        <x:v>Font</x:v>
      </x:c>
      <x:c r="E5" s="24" t="str">
        <x:v>Unity Technologies</x:v>
      </x:c>
      <x:c r="F5" s="24" t="str">
        <x:v>Unity runtime/built-in resource</x:v>
      </x:c>
      <x:c r="G5" s="24" t="str">
        <x:v>Unity terms / built-in resource conditions; exact redistribution scope to verify</x:v>
      </x:c>
      <x:c r="H5" s="24" t="str">
        <x:v>Runtime usage in generated uGUI; no file stored in project UI/Fonts</x:v>
      </x:c>
      <x:c r="I5" s="24" t="str"/>
      <x:c r="J5" s="24" t="str">
        <x:v>Built-in/runtime</x:v>
      </x:c>
      <x:c r="K5" s="24" t="str">
        <x:v>No prevista</x:v>
      </x:c>
      <x:c r="L5" s="24" t="str">
        <x:v>Expected within Unity build; verify current terms</x:v>
      </x:c>
      <x:c r="M5" s="24" t="str">
        <x:v>Do not redistribute font as standalone file</x:v>
      </x:c>
      <x:c r="N5" s="24" t="str">
        <x:v>Per Unity terms/credits policy</x:v>
      </x:c>
      <x:c r="O5" s="24" t="str">
        <x:v>TECHNICAL FALLBACK / REVIEW</x:v>
      </x:c>
      <x:c r="P5" s="24" t="str">
        <x:v>Medium</x:v>
      </x:c>
      <x:c r="Q5" s="24" t="str">
        <x:v>Development only until final font decision</x:v>
      </x:c>
      <x:c r="R5" s="24" t="str">
        <x:v>Licensed production font with ES/EN glyph coverage</x:v>
      </x:c>
      <x:c r="S5" s="24" t="str">
        <x:v>VRM Games</x:v>
      </x:c>
      <x:c r="T5" s="24" t="str">
        <x:v>No se considera tipografía de marca final.</x:v>
      </x:c>
    </x:row>
    <x:row r="6" ht="34" customHeight="1">
      <x:c r="A6" s="24" t="str">
        <x:v>EXT-002</x:v>
      </x:c>
      <x:c r="B6" s="24" t="str">
        <x:v>FUTURE-PRODUCTION-FONT</x:v>
      </x:c>
      <x:c r="C6" s="24" t="str">
        <x:v>Production font family</x:v>
      </x:c>
      <x:c r="D6" s="24" t="str">
        <x:v>Font</x:v>
      </x:c>
      <x:c r="E6" s="24" t="str">
        <x:v>TBD</x:v>
      </x:c>
      <x:c r="F6" s="24" t="str">
        <x:v>Future acquisition/selection</x:v>
      </x:c>
      <x:c r="G6" s="24" t="str">
        <x:v>TBD; prefer OFL or commercial desktop/game embedding license</x:v>
      </x:c>
      <x:c r="H6" s="24" t="str">
        <x:v>License file, invoice/download record and font hash required</x:v>
      </x:c>
      <x:c r="I6" s="24" t="str"/>
      <x:c r="J6" s="24" t="str">
        <x:v>Assets/_Project/UI/Fonts (currently empty)</x:v>
      </x:c>
      <x:c r="K6" s="24" t="str">
        <x:v>Per selected license</x:v>
      </x:c>
      <x:c r="L6" s="24" t="str">
        <x:v>Must be explicit</x:v>
      </x:c>
      <x:c r="M6" s="24" t="str">
        <x:v>Game embedding only unless license permits more</x:v>
      </x:c>
      <x:c r="N6" s="24" t="str">
        <x:v>Per selected license</x:v>
      </x:c>
      <x:c r="O6" s="24" t="str">
        <x:v>MISSING / BLOCKS FINAL UI</x:v>
      </x:c>
      <x:c r="P6" s="24" t="str">
        <x:v>High</x:v>
      </x:c>
      <x:c r="Q6" s="24" t="str">
        <x:v>None until selected and approved</x:v>
      </x:c>
      <x:c r="R6" s="24" t="str">
        <x:v>Approved production font</x:v>
      </x:c>
      <x:c r="S6" s="24" t="str">
        <x:v>VRM Games</x:v>
      </x:c>
      <x:c r="T6" s="24" t="str">
        <x:v>Debe cubrir es-ES, en-US, símbolos monetarios, signos y fallback.</x:v>
      </x:c>
    </x:row>
    <x:row r="7" ht="34" customHeight="1">
      <x:c r="A7" s="24" t="str">
        <x:v>EXT-003</x:v>
      </x:c>
      <x:c r="B7" s="24" t="str">
        <x:v>EXTERNAL-ART-WATCH</x:v>
      </x:c>
      <x:c r="C7" s="24" t="str">
        <x:v>Future purchased/downloaded art assets</x:v>
      </x:c>
      <x:c r="D7" s="24" t="str">
        <x:v>External art watchlist</x:v>
      </x:c>
      <x:c r="E7" s="24" t="str">
        <x:v>TBD</x:v>
      </x:c>
      <x:c r="F7" s="24" t="str">
        <x:v>No external art asset identified in current source tree</x:v>
      </x:c>
      <x:c r="G7" s="24" t="str">
        <x:v>TBD</x:v>
      </x:c>
      <x:c r="H7" s="24" t="str">
        <x:v>Invoice, store page, EULA, downloaded archive hash</x:v>
      </x:c>
      <x:c r="I7" s="24" t="str"/>
      <x:c r="J7" s="24" t="str">
        <x:v>No current asset</x:v>
      </x:c>
      <x:c r="K7" s="24" t="str">
        <x:v>TBD</x:v>
      </x:c>
      <x:c r="L7" s="24" t="str">
        <x:v>TBD</x:v>
      </x:c>
      <x:c r="M7" s="24" t="str">
        <x:v>TBD</x:v>
      </x:c>
      <x:c r="N7" s="24" t="str">
        <x:v>TBD</x:v>
      </x:c>
      <x:c r="O7" s="24" t="str">
        <x:v>NONE IDENTIFIED / WATCHLIST</x:v>
      </x:c>
      <x:c r="P7" s="24" t="str">
        <x:v>Low current / High if introduced</x:v>
      </x:c>
      <x:c r="Q7" s="24" t="str">
        <x:v>None until registered</x:v>
      </x:c>
      <x:c r="R7" s="24" t="str"/>
      <x:c r="S7" s="24" t="str">
        <x:v>VRM Games</x:v>
      </x:c>
      <x:c r="T7" s="24" t="str">
        <x:v>Toda incorporación futura debe registrarse antes de commit a main.</x:v>
      </x:c>
    </x:row>
    <x:row r="8" ht="34" customHeight="1">
      <x:c r="A8" s="24" t="str">
        <x:v>EXT-004</x:v>
      </x:c>
      <x:c r="B8" s="24" t="str">
        <x:v>EXTERNAL-AUDIO-WATCH</x:v>
      </x:c>
      <x:c r="C8" s="24" t="str">
        <x:v>Future licensed music/SFX</x:v>
      </x:c>
      <x:c r="D8" s="24" t="str">
        <x:v>External audio watchlist</x:v>
      </x:c>
      <x:c r="E8" s="24" t="str">
        <x:v>TBD</x:v>
      </x:c>
      <x:c r="F8" s="24" t="str">
        <x:v>No external provider identified for current WAV set</x:v>
      </x:c>
      <x:c r="G8" s="24" t="str">
        <x:v>TBD</x:v>
      </x:c>
      <x:c r="H8" s="24" t="str">
        <x:v>License/invoice/source URL and original archive hash</x:v>
      </x:c>
      <x:c r="I8" s="24" t="str"/>
      <x:c r="J8" s="24" t="str">
        <x:v>No current external asset</x:v>
      </x:c>
      <x:c r="K8" s="24" t="str">
        <x:v>TBD</x:v>
      </x:c>
      <x:c r="L8" s="24" t="str">
        <x:v>TBD</x:v>
      </x:c>
      <x:c r="M8" s="24" t="str">
        <x:v>TBD</x:v>
      </x:c>
      <x:c r="N8" s="24" t="str">
        <x:v>TBD</x:v>
      </x:c>
      <x:c r="O8" s="24" t="str">
        <x:v>NONE IDENTIFIED / WATCHLIST</x:v>
      </x:c>
      <x:c r="P8" s="24" t="str">
        <x:v>Medium</x:v>
      </x:c>
      <x:c r="Q8" s="24" t="str">
        <x:v>None until registered</x:v>
      </x:c>
      <x:c r="R8" s="24" t="str"/>
      <x:c r="S8" s="24" t="str">
        <x:v>VRM Games</x:v>
      </x:c>
      <x:c r="T8" s="24" t="str">
        <x:v>Los 10 WAV actuales se registran por separado como internos representativos con procedencia parcial.</x:v>
      </x:c>
    </x:row>
  </x:sheetData>
  <x:mergeCells>
    <x:mergeCell ref="A1:T1"/>
    <x:mergeCell ref="A2:T2"/>
  </x:mergeCells>
  <x:conditionalFormatting sqref="O5:O8">
    <x:cfRule type="expression" dxfId="16" priority="1">
      <x:formula>OR(ISNUMBER(SEARCH("APPROVED",O5)),ISNUMBER(SEARCH("READY",O5)),ISNUMBER(SEARCH("ACTIVE",O5)),ISNUMBER(SEARCH("VERIFIED",O5)))</x:formula>
    </x:cfRule>
    <x:cfRule type="expression" dxfId="17" priority="2">
      <x:formula>OR(ISNUMBER(SEARCH("BLOCK",O5)),ISNUMBER(SEARCH("PROHIBITED",O5)),ISNUMBER(SEARCH("CRITICAL",O5)),ISNUMBER(SEARCH("MISSING",O5)))</x:formula>
    </x:cfRule>
    <x:cfRule type="expression" dxfId="18" priority="3">
      <x:formula>OR(ISNUMBER(SEARCH("PENDING",O5)),ISNUMBER(SEARCH("PARTIAL",O5)),ISNUMBER(SEARCH("REVIEW",O5)),ISNUMBER(SEARCH("CONDITIONAL",O5)))</x:formula>
    </x:cfRule>
    <x:cfRule type="expression" dxfId="19" priority="4">
      <x:formula>OR(ISNUMBER(SEARCH("HISTORICAL",O5)),ISNUMBER(SEARCH("VISION",O5)),ISNUMBER(SEARCH("OPTIONAL",O5)))</x:formula>
    </x:cfRule>
  </x:conditionalFormatting>
  <x:conditionalFormatting sqref="P5:P8">
    <x:cfRule type="expression" dxfId="20" priority="5">
      <x:formula>OR(ISNUMBER(SEARCH("APPROVED",P5)),ISNUMBER(SEARCH("READY",P5)),ISNUMBER(SEARCH("ACTIVE",P5)),ISNUMBER(SEARCH("VERIFIED",P5)))</x:formula>
    </x:cfRule>
    <x:cfRule type="expression" dxfId="21" priority="6">
      <x:formula>OR(ISNUMBER(SEARCH("BLOCK",P5)),ISNUMBER(SEARCH("PROHIBITED",P5)),ISNUMBER(SEARCH("CRITICAL",P5)),ISNUMBER(SEARCH("MISSING",P5)))</x:formula>
    </x:cfRule>
    <x:cfRule type="expression" dxfId="22" priority="7">
      <x:formula>OR(ISNUMBER(SEARCH("PENDING",P5)),ISNUMBER(SEARCH("PARTIAL",P5)),ISNUMBER(SEARCH("REVIEW",P5)),ISNUMBER(SEARCH("CONDITIONAL",P5)))</x:formula>
    </x:cfRule>
    <x:cfRule type="expression" dxfId="23" priority="8">
      <x:formula>OR(ISNUMBER(SEARCH("HISTORICAL",P5)),ISNUMBER(SEARCH("VISION",P5)),ISNUMBER(SEARCH("OPTIONAL",P5)))</x:formula>
    </x:cfRule>
  </x:conditionalFormatting>
  <x:dataValidations count="1">
    <x:dataValidation type="list" sqref="O5:O8">
      <x:formula1>"APPROVED PUBLIC,CONDITIONALLY APPROVED,INTERNAL ONLY,PARTIAL / PUBLIC BLOCKED,TECHNICAL FALLBACK / REVIEW,MISSING / BLOCKED,NOT AUTHORIZED,PROHIBITED,ACTIVE / VERIFY AT RELEASE,ACTIVE / NOTICE REVIEW,HISTORICAL,OPTIONAL /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57cf07ecb94fa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52" hidden="0" customWidth="1"/>
    <x:col min="4" max="4" width="24" hidden="0" customWidth="1"/>
    <x:col min="5" max="5" width="34" hidden="0" customWidth="1"/>
    <x:col min="6" max="6" width="24" hidden="0" customWidth="1"/>
    <x:col min="7" max="7" width="16" hidden="0" customWidth="1"/>
    <x:col min="8" max="8" width="58" hidden="0" customWidth="1"/>
    <x:col min="9" max="9" width="46" hidden="0" customWidth="1"/>
    <x:col min="10" max="10" width="34" hidden="0" customWidth="1"/>
    <x:col min="11" max="11" width="38" hidden="0" customWidth="1"/>
    <x:col min="12" max="12" width="54" hidden="0" customWidth="1"/>
    <x:col min="13" max="13" width="68" hidden="0" customWidth="1"/>
    <x:col min="14" max="14" width="72" hidden="0" customWidth="1"/>
    <x:col min="15" max="15" width="30" hidden="0" customWidth="1"/>
    <x:col min="16" max="16" width="26" hidden="0" customWidth="1"/>
    <x:col min="17" max="17" width="38" hidden="0" customWidth="1"/>
    <x:col min="18" max="18" width="36" hidden="0" customWidth="1"/>
    <x:col min="19" max="19" width="34" hidden="0" customWidth="1"/>
    <x:col min="20" max="20" width="18" hidden="0" customWidth="1"/>
    <x:col min="21" max="21" width="24" hidden="0" customWidth="1"/>
    <x:col min="22" max="22" width="30" hidden="0" customWidth="1"/>
    <x:col min="23" max="23" width="55" hidden="0" customWidth="1"/>
  </x:cols>
  <x:sheetData>
    <x:row r="1" ht="30" customHeight="1">
      <x:c r="A1" s="4" t="str">
        <x:v>Contenido generado o asistido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22" customHeight="1">
      <x:c r="A2" s="10" t="str">
        <x:v>Conceptos e instrumentos de IA con términos, destino, revisión y restricciones.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</x:row>
    <x:row r="4" ht="38" customHeight="1">
      <x:c r="A4" s="17" t="str">
        <x:v>Record ID</x:v>
      </x:c>
      <x:c r="B4" s="17" t="str">
        <x:v>Asset ID</x:v>
      </x:c>
      <x:c r="C4" s="17" t="str">
        <x:v>Nombre</x:v>
      </x:c>
      <x:c r="D4" s="17" t="str">
        <x:v>Categoría</x:v>
      </x:c>
      <x:c r="E4" s="17" t="str">
        <x:v>Herramienta</x:v>
      </x:c>
      <x:c r="F4" s="17" t="str">
        <x:v>Proveedor</x:v>
      </x:c>
      <x:c r="G4" s="17" t="str">
        <x:v>Fecha</x:v>
      </x:c>
      <x:c r="H4" s="17" t="str">
        <x:v>Prompt/Resumen</x:v>
      </x:c>
      <x:c r="I4" s="17" t="str">
        <x:v>Edición humana</x:v>
      </x:c>
      <x:c r="J4" s="17" t="str">
        <x:v>Destino</x:v>
      </x:c>
      <x:c r="K4" s="17" t="str">
        <x:v>Origen</x:v>
      </x:c>
      <x:c r="L4" s="17" t="str">
        <x:v>Términos aplicables</x:v>
      </x:c>
      <x:c r="M4" s="17" t="str">
        <x:v>Prueba documental</x:v>
      </x:c>
      <x:c r="N4" s="17" t="str">
        <x:v>SHA-256</x:v>
      </x:c>
      <x:c r="O4" s="17" t="str">
        <x:v>Ruta</x:v>
      </x:c>
      <x:c r="P4" s="17" t="str">
        <x:v>Uso comercial</x:v>
      </x:c>
      <x:c r="Q4" s="17" t="str">
        <x:v>Modificación</x:v>
      </x:c>
      <x:c r="R4" s="17" t="str">
        <x:v>Atribución</x:v>
      </x:c>
      <x:c r="S4" s="17" t="str">
        <x:v>Revisión de similitud</x:v>
      </x:c>
      <x:c r="T4" s="17" t="str">
        <x:v>Estado legal</x:v>
      </x:c>
      <x:c r="U4" s="17" t="str">
        <x:v>Riesgo</x:v>
      </x:c>
      <x:c r="V4" s="17" t="str">
        <x:v>Builds autorizadas</x:v>
      </x:c>
      <x:c r="W4" s="17" t="str">
        <x:v>Owner</x:v>
      </x:c>
      <x:c r="X4" s="17" t="str">
        <x:v>Notas</x:v>
      </x:c>
    </x:row>
    <x:row r="5" ht="34" customHeight="1">
      <x:c r="A5" s="24" t="str">
        <x:v>GEN-IMG-001</x:v>
      </x:c>
      <x:c r="B5" s="24" t="str">
        <x:v>GEN-CONCEPT-001</x:v>
      </x:c>
      <x:c r="C5" s="24" t="str">
        <x:v>ChatGPT Image 29 jun 2026, 21_37_54.png</x:v>
      </x:c>
      <x:c r="D5" s="24" t="str">
        <x:v>Sprint 16 concept art</x:v>
      </x:c>
      <x:c r="E5" s="24" t="str">
        <x:v>ChatGPT / OpenAI image generation</x:v>
      </x:c>
      <x:c r="F5" s="24" t="str">
        <x:v>OpenAI</x:v>
      </x:c>
      <x:c r="G5" s="24" t="str">
        <x:v>2026-06-29</x:v>
      </x:c>
      <x:c r="H5" s="24" t="str">
        <x:v>Project-specific concept request; detailed prompt should be retained with project conversation/export</x:v>
      </x:c>
      <x:c r="I5" s="24" t="str">
        <x:v>Selection, review and project direction by VRM Games</x:v>
      </x:c>
      <x:c r="J5" s="24" t="str">
        <x:v>Internal concept/reference; not automatically runtime or marketing</x:v>
      </x:c>
      <x:c r="K5" s="24" t="str">
        <x:v>Generated output</x:v>
      </x:c>
      <x:c r="L5" s="24" t="str">
        <x:v>Applicable OpenAI service terms at generation/use date; reverify before public release</x:v>
      </x:c>
      <x:c r="M5" s="24" t="str">
        <x:v>Project conversation + source file + hash</x:v>
      </x:c>
      <x:c r="N5" s="24" t="str">
        <x:v>cfdd490b742396ac2fff6ba0b1e6cea8d71fb2005305ddd9c82487ec7ea88b84</x:v>
      </x:c>
      <x:c r="O5" s="24" t="str">
        <x:v>Documentation/01_Working_Documents/Sprint_16/Art_3D/Concept_Art/00_Visual_Targets/ChatGPT Image 29 jun 2026, 21_37_54.png</x:v>
      </x:c>
      <x:c r="P5" s="24" t="str">
        <x:v>REVIEW BEFORE PUBLIC USE</x:v>
      </x:c>
      <x:c r="Q5" s="24" t="str">
        <x:v>Permitted operationally subject to applicable terms and rights review</x:v>
      </x:c>
      <x:c r="R5" s="24" t="str">
        <x:v>Not assumed legally required; internal disclosure recommended</x:v>
      </x:c>
      <x:c r="S5" s="24" t="str">
        <x:v>Pending per image before external publication</x:v>
      </x:c>
      <x:c r="T5" s="24" t="str">
        <x:v>INTERNAL CONCEPT / CONDITIONAL</x:v>
      </x:c>
      <x:c r="U5" s="24" t="str">
        <x:v>Medium</x:v>
      </x:c>
      <x:c r="V5" s="24" t="str">
        <x:v>Not runtime by default</x:v>
      </x:c>
      <x:c r="W5" s="24" t="str">
        <x:v>VRM Games</x:v>
      </x:c>
      <x:c r="X5" s="24" t="str">
        <x:v>No usar como prueba de propiedad exclusiva ni imitar marcas/artistas; las imágenes de expansión permanecen NOT OPEN.</x:v>
      </x:c>
    </x:row>
    <x:row r="6" ht="34" customHeight="1">
      <x:c r="A6" s="24" t="str">
        <x:v>GEN-IMG-002</x:v>
      </x:c>
      <x:c r="B6" s="24" t="str">
        <x:v>GEN-CONCEPT-002</x:v>
      </x:c>
      <x:c r="C6" s="24" t="str">
        <x:v>ChatGPT Image 29 jun 2026, 21_38_14 (10).png</x:v>
      </x:c>
      <x:c r="D6" s="24" t="str">
        <x:v>Sprint 16 concept art</x:v>
      </x:c>
      <x:c r="E6" s="24" t="str">
        <x:v>ChatGPT / OpenAI image generation</x:v>
      </x:c>
      <x:c r="F6" s="24" t="str">
        <x:v>OpenAI</x:v>
      </x:c>
      <x:c r="G6" s="24" t="str">
        <x:v>2026-06-29</x:v>
      </x:c>
      <x:c r="H6" s="24" t="str">
        <x:v>Project-specific concept request; detailed prompt should be retained with project conversation/export</x:v>
      </x:c>
      <x:c r="I6" s="24" t="str">
        <x:v>Selection, review and project direction by VRM Games</x:v>
      </x:c>
      <x:c r="J6" s="24" t="str">
        <x:v>Internal concept/reference; not automatically runtime or marketing</x:v>
      </x:c>
      <x:c r="K6" s="24" t="str">
        <x:v>Generated output</x:v>
      </x:c>
      <x:c r="L6" s="24" t="str">
        <x:v>Applicable OpenAI service terms at generation/use date; reverify before public release</x:v>
      </x:c>
      <x:c r="M6" s="24" t="str">
        <x:v>Project conversation + source file + hash</x:v>
      </x:c>
      <x:c r="N6" s="24" t="str">
        <x:v>42175ffa89a40d6bfb57217b38a5dfee04e337bc44b838ca8db01812e56454e5</x:v>
      </x:c>
      <x:c r="O6" s="24" t="str">
        <x:v>Documentation/01_Working_Documents/Sprint_16/Art_3D/Concept_Art/02_Furniture/ChatGPT Image 29 jun 2026, 21_38_14 (10).png</x:v>
      </x:c>
      <x:c r="P6" s="24" t="str">
        <x:v>REVIEW BEFORE PUBLIC USE</x:v>
      </x:c>
      <x:c r="Q6" s="24" t="str">
        <x:v>Permitted operationally subject to applicable terms and rights review</x:v>
      </x:c>
      <x:c r="R6" s="24" t="str">
        <x:v>Not assumed legally required; internal disclosure recommended</x:v>
      </x:c>
      <x:c r="S6" s="24" t="str">
        <x:v>Pending per image before external publication</x:v>
      </x:c>
      <x:c r="T6" s="24" t="str">
        <x:v>INTERNAL CONCEPT / CONDITIONAL</x:v>
      </x:c>
      <x:c r="U6" s="24" t="str">
        <x:v>Medium</x:v>
      </x:c>
      <x:c r="V6" s="24" t="str">
        <x:v>Not runtime by default</x:v>
      </x:c>
      <x:c r="W6" s="24" t="str">
        <x:v>VRM Games</x:v>
      </x:c>
      <x:c r="X6" s="24" t="str">
        <x:v>No usar como prueba de propiedad exclusiva ni imitar marcas/artistas; las imágenes de expansión permanecen NOT OPEN.</x:v>
      </x:c>
    </x:row>
    <x:row r="7" ht="34" customHeight="1">
      <x:c r="A7" s="24" t="str">
        <x:v>GEN-IMG-003</x:v>
      </x:c>
      <x:c r="B7" s="24" t="str">
        <x:v>GEN-CONCEPT-003</x:v>
      </x:c>
      <x:c r="C7" s="24" t="str">
        <x:v>ChatGPT Image 29 jun 2026, 21_38_14 (7).png</x:v>
      </x:c>
      <x:c r="D7" s="24" t="str">
        <x:v>Sprint 16 concept art</x:v>
      </x:c>
      <x:c r="E7" s="24" t="str">
        <x:v>ChatGPT / OpenAI image generation</x:v>
      </x:c>
      <x:c r="F7" s="24" t="str">
        <x:v>OpenAI</x:v>
      </x:c>
      <x:c r="G7" s="24" t="str">
        <x:v>2026-06-29</x:v>
      </x:c>
      <x:c r="H7" s="24" t="str">
        <x:v>Project-specific concept request; detailed prompt should be retained with project conversation/export</x:v>
      </x:c>
      <x:c r="I7" s="24" t="str">
        <x:v>Selection, review and project direction by VRM Games</x:v>
      </x:c>
      <x:c r="J7" s="24" t="str">
        <x:v>Internal concept/reference; not automatically runtime or marketing</x:v>
      </x:c>
      <x:c r="K7" s="24" t="str">
        <x:v>Generated output</x:v>
      </x:c>
      <x:c r="L7" s="24" t="str">
        <x:v>Applicable OpenAI service terms at generation/use date; reverify before public release</x:v>
      </x:c>
      <x:c r="M7" s="24" t="str">
        <x:v>Project conversation + source file + hash</x:v>
      </x:c>
      <x:c r="N7" s="24" t="str">
        <x:v>6d5032c38dc50979430763f7ee18a84deee243325d3400affc2012551864ee1a</x:v>
      </x:c>
      <x:c r="O7" s="24" t="str">
        <x:v>Documentation/01_Working_Documents/Sprint_16/Art_3D/Concept_Art/02_Furniture/ChatGPT Image 29 jun 2026, 21_38_14 (7).png</x:v>
      </x:c>
      <x:c r="P7" s="24" t="str">
        <x:v>REVIEW BEFORE PUBLIC USE</x:v>
      </x:c>
      <x:c r="Q7" s="24" t="str">
        <x:v>Permitted operationally subject to applicable terms and rights review</x:v>
      </x:c>
      <x:c r="R7" s="24" t="str">
        <x:v>Not assumed legally required; internal disclosure recommended</x:v>
      </x:c>
      <x:c r="S7" s="24" t="str">
        <x:v>Pending per image before external publication</x:v>
      </x:c>
      <x:c r="T7" s="24" t="str">
        <x:v>INTERNAL CONCEPT / CONDITIONAL</x:v>
      </x:c>
      <x:c r="U7" s="24" t="str">
        <x:v>Medium</x:v>
      </x:c>
      <x:c r="V7" s="24" t="str">
        <x:v>Not runtime by default</x:v>
      </x:c>
      <x:c r="W7" s="24" t="str">
        <x:v>VRM Games</x:v>
      </x:c>
      <x:c r="X7" s="24" t="str">
        <x:v>No usar como prueba de propiedad exclusiva ni imitar marcas/artistas; las imágenes de expansión permanecen NOT OPEN.</x:v>
      </x:c>
    </x:row>
    <x:row r="8" ht="34" customHeight="1">
      <x:c r="A8" s="24" t="str">
        <x:v>GEN-IMG-004</x:v>
      </x:c>
      <x:c r="B8" s="24" t="str">
        <x:v>GEN-CONCEPT-004</x:v>
      </x:c>
      <x:c r="C8" s="24" t="str">
        <x:v>ChatGPT Image 29 jun 2026, 21_38_14 (8).png</x:v>
      </x:c>
      <x:c r="D8" s="24" t="str">
        <x:v>Sprint 16 concept art</x:v>
      </x:c>
      <x:c r="E8" s="24" t="str">
        <x:v>ChatGPT / OpenAI image generation</x:v>
      </x:c>
      <x:c r="F8" s="24" t="str">
        <x:v>OpenAI</x:v>
      </x:c>
      <x:c r="G8" s="24" t="str">
        <x:v>2026-06-29</x:v>
      </x:c>
      <x:c r="H8" s="24" t="str">
        <x:v>Project-specific concept request; detailed prompt should be retained with project conversation/export</x:v>
      </x:c>
      <x:c r="I8" s="24" t="str">
        <x:v>Selection, review and project direction by VRM Games</x:v>
      </x:c>
      <x:c r="J8" s="24" t="str">
        <x:v>Internal concept/reference; not automatically runtime or marketing</x:v>
      </x:c>
      <x:c r="K8" s="24" t="str">
        <x:v>Generated output</x:v>
      </x:c>
      <x:c r="L8" s="24" t="str">
        <x:v>Applicable OpenAI service terms at generation/use date; reverify before public release</x:v>
      </x:c>
      <x:c r="M8" s="24" t="str">
        <x:v>Project conversation + source file + hash</x:v>
      </x:c>
      <x:c r="N8" s="24" t="str">
        <x:v>78f6c5d8ecc65077ee7191715e71f31b15a7ce22b59becf54e69dcca19bded48</x:v>
      </x:c>
      <x:c r="O8" s="24" t="str">
        <x:v>Documentation/01_Working_Documents/Sprint_16/Art_3D/Concept_Art/02_Furniture/ChatGPT Image 29 jun 2026, 21_38_14 (8).png</x:v>
      </x:c>
      <x:c r="P8" s="24" t="str">
        <x:v>REVIEW BEFORE PUBLIC USE</x:v>
      </x:c>
      <x:c r="Q8" s="24" t="str">
        <x:v>Permitted operationally subject to applicable terms and rights review</x:v>
      </x:c>
      <x:c r="R8" s="24" t="str">
        <x:v>Not assumed legally required; internal disclosure recommended</x:v>
      </x:c>
      <x:c r="S8" s="24" t="str">
        <x:v>Pending per image before external publication</x:v>
      </x:c>
      <x:c r="T8" s="24" t="str">
        <x:v>INTERNAL CONCEPT / CONDITIONAL</x:v>
      </x:c>
      <x:c r="U8" s="24" t="str">
        <x:v>Medium</x:v>
      </x:c>
      <x:c r="V8" s="24" t="str">
        <x:v>Not runtime by default</x:v>
      </x:c>
      <x:c r="W8" s="24" t="str">
        <x:v>VRM Games</x:v>
      </x:c>
      <x:c r="X8" s="24" t="str">
        <x:v>No usar como prueba de propiedad exclusiva ni imitar marcas/artistas; las imágenes de expansión permanecen NOT OPEN.</x:v>
      </x:c>
    </x:row>
    <x:row r="9" ht="34" customHeight="1">
      <x:c r="A9" s="24" t="str">
        <x:v>GEN-IMG-005</x:v>
      </x:c>
      <x:c r="B9" s="24" t="str">
        <x:v>GEN-CONCEPT-005</x:v>
      </x:c>
      <x:c r="C9" s="24" t="str">
        <x:v>ChatGPT Image 29 jun 2026, 21_38_14 (9).png</x:v>
      </x:c>
      <x:c r="D9" s="24" t="str">
        <x:v>Sprint 16 concept art</x:v>
      </x:c>
      <x:c r="E9" s="24" t="str">
        <x:v>ChatGPT / OpenAI image generation</x:v>
      </x:c>
      <x:c r="F9" s="24" t="str">
        <x:v>OpenAI</x:v>
      </x:c>
      <x:c r="G9" s="24" t="str">
        <x:v>2026-06-29</x:v>
      </x:c>
      <x:c r="H9" s="24" t="str">
        <x:v>Project-specific concept request; detailed prompt should be retained with project conversation/export</x:v>
      </x:c>
      <x:c r="I9" s="24" t="str">
        <x:v>Selection, review and project direction by VRM Games</x:v>
      </x:c>
      <x:c r="J9" s="24" t="str">
        <x:v>Internal concept/reference; not automatically runtime or marketing</x:v>
      </x:c>
      <x:c r="K9" s="24" t="str">
        <x:v>Generated output</x:v>
      </x:c>
      <x:c r="L9" s="24" t="str">
        <x:v>Applicable OpenAI service terms at generation/use date; reverify before public release</x:v>
      </x:c>
      <x:c r="M9" s="24" t="str">
        <x:v>Project conversation + source file + hash</x:v>
      </x:c>
      <x:c r="N9" s="24" t="str">
        <x:v>16f940c84ce6c14a277a5ed236d1306df17d80419e118507f0f2032f0b4ad558</x:v>
      </x:c>
      <x:c r="O9" s="24" t="str">
        <x:v>Documentation/01_Working_Documents/Sprint_16/Art_3D/Concept_Art/02_Furniture/ChatGPT Image 29 jun 2026, 21_38_14 (9).png</x:v>
      </x:c>
      <x:c r="P9" s="24" t="str">
        <x:v>REVIEW BEFORE PUBLIC USE</x:v>
      </x:c>
      <x:c r="Q9" s="24" t="str">
        <x:v>Permitted operationally subject to applicable terms and rights review</x:v>
      </x:c>
      <x:c r="R9" s="24" t="str">
        <x:v>Not assumed legally required; internal disclosure recommended</x:v>
      </x:c>
      <x:c r="S9" s="24" t="str">
        <x:v>Pending per image before external publication</x:v>
      </x:c>
      <x:c r="T9" s="24" t="str">
        <x:v>INTERNAL CONCEPT / CONDITIONAL</x:v>
      </x:c>
      <x:c r="U9" s="24" t="str">
        <x:v>Medium</x:v>
      </x:c>
      <x:c r="V9" s="24" t="str">
        <x:v>Not runtime by default</x:v>
      </x:c>
      <x:c r="W9" s="24" t="str">
        <x:v>VRM Games</x:v>
      </x:c>
      <x:c r="X9" s="24" t="str">
        <x:v>No usar como prueba de propiedad exclusiva ni imitar marcas/artistas; las imágenes de expansión permanecen NOT OPEN.</x:v>
      </x:c>
    </x:row>
    <x:row r="10" ht="34" customHeight="1">
      <x:c r="A10" s="24" t="str">
        <x:v>GEN-IMG-006</x:v>
      </x:c>
      <x:c r="B10" s="24" t="str">
        <x:v>GEN-CONCEPT-006</x:v>
      </x:c>
      <x:c r="C10" s="24" t="str">
        <x:v>ChatGPT Image 29 jun 2026, 21_38_14 (1).png</x:v>
      </x:c>
      <x:c r="D10" s="24" t="str">
        <x:v>Sprint 16 concept art</x:v>
      </x:c>
      <x:c r="E10" s="24" t="str">
        <x:v>ChatGPT / OpenAI image generation</x:v>
      </x:c>
      <x:c r="F10" s="24" t="str">
        <x:v>OpenAI</x:v>
      </x:c>
      <x:c r="G10" s="24" t="str">
        <x:v>2026-06-29</x:v>
      </x:c>
      <x:c r="H10" s="24" t="str">
        <x:v>Project-specific concept request; detailed prompt should be retained with project conversation/export</x:v>
      </x:c>
      <x:c r="I10" s="24" t="str">
        <x:v>Selection, review and project direction by VRM Games</x:v>
      </x:c>
      <x:c r="J10" s="24" t="str">
        <x:v>Internal concept/reference; not automatically runtime or marketing</x:v>
      </x:c>
      <x:c r="K10" s="24" t="str">
        <x:v>Generated output</x:v>
      </x:c>
      <x:c r="L10" s="24" t="str">
        <x:v>Applicable OpenAI service terms at generation/use date; reverify before public release</x:v>
      </x:c>
      <x:c r="M10" s="24" t="str">
        <x:v>Project conversation + source file + hash</x:v>
      </x:c>
      <x:c r="N10" s="24" t="str">
        <x:v>410d0bf38ab8848df5a496e250786d793d1d45bf8bbeab48c8f8ca83fa91d8fd</x:v>
      </x:c>
      <x:c r="O10" s="24" t="str">
        <x:v>Documentation/01_Working_Documents/Sprint_16/Art_3D/Concept_Art/03_Products/ChatGPT Image 29 jun 2026, 21_38_14 (1).png</x:v>
      </x:c>
      <x:c r="P10" s="24" t="str">
        <x:v>REVIEW BEFORE PUBLIC USE</x:v>
      </x:c>
      <x:c r="Q10" s="24" t="str">
        <x:v>Permitted operationally subject to applicable terms and rights review</x:v>
      </x:c>
      <x:c r="R10" s="24" t="str">
        <x:v>Not assumed legally required; internal disclosure recommended</x:v>
      </x:c>
      <x:c r="S10" s="24" t="str">
        <x:v>Pending per image before external publication</x:v>
      </x:c>
      <x:c r="T10" s="24" t="str">
        <x:v>INTERNAL CONCEPT / CONDITIONAL</x:v>
      </x:c>
      <x:c r="U10" s="24" t="str">
        <x:v>Medium</x:v>
      </x:c>
      <x:c r="V10" s="24" t="str">
        <x:v>Not runtime by default</x:v>
      </x:c>
      <x:c r="W10" s="24" t="str">
        <x:v>VRM Games</x:v>
      </x:c>
      <x:c r="X10" s="24" t="str">
        <x:v>No usar como prueba de propiedad exclusiva ni imitar marcas/artistas; las imágenes de expansión permanecen NOT OPEN.</x:v>
      </x:c>
    </x:row>
    <x:row r="11" ht="34" customHeight="1">
      <x:c r="A11" s="24" t="str">
        <x:v>GEN-IMG-007</x:v>
      </x:c>
      <x:c r="B11" s="24" t="str">
        <x:v>GEN-CONCEPT-007</x:v>
      </x:c>
      <x:c r="C11" s="24" t="str">
        <x:v>ChatGPT Image 29 jun 2026, 21_38_14 (2).png</x:v>
      </x:c>
      <x:c r="D11" s="24" t="str">
        <x:v>Sprint 16 concept art</x:v>
      </x:c>
      <x:c r="E11" s="24" t="str">
        <x:v>ChatGPT / OpenAI image generation</x:v>
      </x:c>
      <x:c r="F11" s="24" t="str">
        <x:v>OpenAI</x:v>
      </x:c>
      <x:c r="G11" s="24" t="str">
        <x:v>2026-06-29</x:v>
      </x:c>
      <x:c r="H11" s="24" t="str">
        <x:v>Project-specific concept request; detailed prompt should be retained with project conversation/export</x:v>
      </x:c>
      <x:c r="I11" s="24" t="str">
        <x:v>Selection, review and project direction by VRM Games</x:v>
      </x:c>
      <x:c r="J11" s="24" t="str">
        <x:v>Internal concept/reference; not automatically runtime or marketing</x:v>
      </x:c>
      <x:c r="K11" s="24" t="str">
        <x:v>Generated output</x:v>
      </x:c>
      <x:c r="L11" s="24" t="str">
        <x:v>Applicable OpenAI service terms at generation/use date; reverify before public release</x:v>
      </x:c>
      <x:c r="M11" s="24" t="str">
        <x:v>Project conversation + source file + hash</x:v>
      </x:c>
      <x:c r="N11" s="24" t="str">
        <x:v>6107ce0119514adab534d271d224c0a3b9b2006eebe551cc43297299a9edc404</x:v>
      </x:c>
      <x:c r="O11" s="24" t="str">
        <x:v>Documentation/01_Working_Documents/Sprint_16/Art_3D/Concept_Art/03_Products/ChatGPT Image 29 jun 2026, 21_38_14 (2).png</x:v>
      </x:c>
      <x:c r="P11" s="24" t="str">
        <x:v>REVIEW BEFORE PUBLIC USE</x:v>
      </x:c>
      <x:c r="Q11" s="24" t="str">
        <x:v>Permitted operationally subject to applicable terms and rights review</x:v>
      </x:c>
      <x:c r="R11" s="24" t="str">
        <x:v>Not assumed legally required; internal disclosure recommended</x:v>
      </x:c>
      <x:c r="S11" s="24" t="str">
        <x:v>Pending per image before external publication</x:v>
      </x:c>
      <x:c r="T11" s="24" t="str">
        <x:v>INTERNAL CONCEPT / CONDITIONAL</x:v>
      </x:c>
      <x:c r="U11" s="24" t="str">
        <x:v>Medium</x:v>
      </x:c>
      <x:c r="V11" s="24" t="str">
        <x:v>Not runtime by default</x:v>
      </x:c>
      <x:c r="W11" s="24" t="str">
        <x:v>VRM Games</x:v>
      </x:c>
      <x:c r="X11" s="24" t="str">
        <x:v>No usar como prueba de propiedad exclusiva ni imitar marcas/artistas; las imágenes de expansión permanecen NOT OPEN.</x:v>
      </x:c>
    </x:row>
    <x:row r="12" ht="34" customHeight="1">
      <x:c r="A12" s="24" t="str">
        <x:v>GEN-IMG-008</x:v>
      </x:c>
      <x:c r="B12" s="24" t="str">
        <x:v>GEN-CONCEPT-008</x:v>
      </x:c>
      <x:c r="C12" s="24" t="str">
        <x:v>ChatGPT Image 29 jun 2026, 21_38_14 (3).png</x:v>
      </x:c>
      <x:c r="D12" s="24" t="str">
        <x:v>Sprint 16 concept art</x:v>
      </x:c>
      <x:c r="E12" s="24" t="str">
        <x:v>ChatGPT / OpenAI image generation</x:v>
      </x:c>
      <x:c r="F12" s="24" t="str">
        <x:v>OpenAI</x:v>
      </x:c>
      <x:c r="G12" s="24" t="str">
        <x:v>2026-06-29</x:v>
      </x:c>
      <x:c r="H12" s="24" t="str">
        <x:v>Project-specific concept request; detailed prompt should be retained with project conversation/export</x:v>
      </x:c>
      <x:c r="I12" s="24" t="str">
        <x:v>Selection, review and project direction by VRM Games</x:v>
      </x:c>
      <x:c r="J12" s="24" t="str">
        <x:v>Internal concept/reference; not automatically runtime or marketing</x:v>
      </x:c>
      <x:c r="K12" s="24" t="str">
        <x:v>Generated output</x:v>
      </x:c>
      <x:c r="L12" s="24" t="str">
        <x:v>Applicable OpenAI service terms at generation/use date; reverify before public release</x:v>
      </x:c>
      <x:c r="M12" s="24" t="str">
        <x:v>Project conversation + source file + hash</x:v>
      </x:c>
      <x:c r="N12" s="24" t="str">
        <x:v>27639fb594bb9c24fc20403cbcf15a683b91af6b12250d3062fb2d0ec054528c</x:v>
      </x:c>
      <x:c r="O12" s="24" t="str">
        <x:v>Documentation/01_Working_Documents/Sprint_16/Art_3D/Concept_Art/03_Products/ChatGPT Image 29 jun 2026, 21_38_14 (3).png</x:v>
      </x:c>
      <x:c r="P12" s="24" t="str">
        <x:v>REVIEW BEFORE PUBLIC USE</x:v>
      </x:c>
      <x:c r="Q12" s="24" t="str">
        <x:v>Permitted operationally subject to applicable terms and rights review</x:v>
      </x:c>
      <x:c r="R12" s="24" t="str">
        <x:v>Not assumed legally required; internal disclosure recommended</x:v>
      </x:c>
      <x:c r="S12" s="24" t="str">
        <x:v>Pending per image before external publication</x:v>
      </x:c>
      <x:c r="T12" s="24" t="str">
        <x:v>INTERNAL CONCEPT / CONDITIONAL</x:v>
      </x:c>
      <x:c r="U12" s="24" t="str">
        <x:v>Medium</x:v>
      </x:c>
      <x:c r="V12" s="24" t="str">
        <x:v>Not runtime by default</x:v>
      </x:c>
      <x:c r="W12" s="24" t="str">
        <x:v>VRM Games</x:v>
      </x:c>
      <x:c r="X12" s="24" t="str">
        <x:v>No usar como prueba de propiedad exclusiva ni imitar marcas/artistas; las imágenes de expansión permanecen NOT OPEN.</x:v>
      </x:c>
    </x:row>
    <x:row r="13" ht="34" customHeight="1">
      <x:c r="A13" s="24" t="str">
        <x:v>GEN-IMG-009</x:v>
      </x:c>
      <x:c r="B13" s="24" t="str">
        <x:v>GEN-CONCEPT-009</x:v>
      </x:c>
      <x:c r="C13" s="24" t="str">
        <x:v>ChatGPT Image 29 jun 2026, 21_38_14 (4).png</x:v>
      </x:c>
      <x:c r="D13" s="24" t="str">
        <x:v>Sprint 16 concept art</x:v>
      </x:c>
      <x:c r="E13" s="24" t="str">
        <x:v>ChatGPT / OpenAI image generation</x:v>
      </x:c>
      <x:c r="F13" s="24" t="str">
        <x:v>OpenAI</x:v>
      </x:c>
      <x:c r="G13" s="24" t="str">
        <x:v>2026-06-29</x:v>
      </x:c>
      <x:c r="H13" s="24" t="str">
        <x:v>Project-specific concept request; detailed prompt should be retained with project conversation/export</x:v>
      </x:c>
      <x:c r="I13" s="24" t="str">
        <x:v>Selection, review and project direction by VRM Games</x:v>
      </x:c>
      <x:c r="J13" s="24" t="str">
        <x:v>Internal concept/reference; not automatically runtime or marketing</x:v>
      </x:c>
      <x:c r="K13" s="24" t="str">
        <x:v>Generated output</x:v>
      </x:c>
      <x:c r="L13" s="24" t="str">
        <x:v>Applicable OpenAI service terms at generation/use date; reverify before public release</x:v>
      </x:c>
      <x:c r="M13" s="24" t="str">
        <x:v>Project conversation + source file + hash</x:v>
      </x:c>
      <x:c r="N13" s="24" t="str">
        <x:v>7ade04828ed3b7623c7e7dc271adde637cdcbf746c6a78566a3faa3cb5073e63</x:v>
      </x:c>
      <x:c r="O13" s="24" t="str">
        <x:v>Documentation/01_Working_Documents/Sprint_16/Art_3D/Concept_Art/03_Products/ChatGPT Image 29 jun 2026, 21_38_14 (4).png</x:v>
      </x:c>
      <x:c r="P13" s="24" t="str">
        <x:v>REVIEW BEFORE PUBLIC USE</x:v>
      </x:c>
      <x:c r="Q13" s="24" t="str">
        <x:v>Permitted operationally subject to applicable terms and rights review</x:v>
      </x:c>
      <x:c r="R13" s="24" t="str">
        <x:v>Not assumed legally required; internal disclosure recommended</x:v>
      </x:c>
      <x:c r="S13" s="24" t="str">
        <x:v>Pending per image before external publication</x:v>
      </x:c>
      <x:c r="T13" s="24" t="str">
        <x:v>INTERNAL CONCEPT / CONDITIONAL</x:v>
      </x:c>
      <x:c r="U13" s="24" t="str">
        <x:v>Medium</x:v>
      </x:c>
      <x:c r="V13" s="24" t="str">
        <x:v>Not runtime by default</x:v>
      </x:c>
      <x:c r="W13" s="24" t="str">
        <x:v>VRM Games</x:v>
      </x:c>
      <x:c r="X13" s="24" t="str">
        <x:v>No usar como prueba de propiedad exclusiva ni imitar marcas/artistas; las imágenes de expansión permanecen NOT OPEN.</x:v>
      </x:c>
    </x:row>
    <x:row r="14" ht="34" customHeight="1">
      <x:c r="A14" s="24" t="str">
        <x:v>GEN-IMG-010</x:v>
      </x:c>
      <x:c r="B14" s="24" t="str">
        <x:v>GEN-CONCEPT-010</x:v>
      </x:c>
      <x:c r="C14" s="24" t="str">
        <x:v>ChatGPT Image 29 jun 2026, 21_38_14 (5).png</x:v>
      </x:c>
      <x:c r="D14" s="24" t="str">
        <x:v>Sprint 16 concept art</x:v>
      </x:c>
      <x:c r="E14" s="24" t="str">
        <x:v>ChatGPT / OpenAI image generation</x:v>
      </x:c>
      <x:c r="F14" s="24" t="str">
        <x:v>OpenAI</x:v>
      </x:c>
      <x:c r="G14" s="24" t="str">
        <x:v>2026-06-29</x:v>
      </x:c>
      <x:c r="H14" s="24" t="str">
        <x:v>Project-specific concept request; detailed prompt should be retained with project conversation/export</x:v>
      </x:c>
      <x:c r="I14" s="24" t="str">
        <x:v>Selection, review and project direction by VRM Games</x:v>
      </x:c>
      <x:c r="J14" s="24" t="str">
        <x:v>Internal concept/reference; not automatically runtime or marketing</x:v>
      </x:c>
      <x:c r="K14" s="24" t="str">
        <x:v>Generated output</x:v>
      </x:c>
      <x:c r="L14" s="24" t="str">
        <x:v>Applicable OpenAI service terms at generation/use date; reverify before public release</x:v>
      </x:c>
      <x:c r="M14" s="24" t="str">
        <x:v>Project conversation + source file + hash</x:v>
      </x:c>
      <x:c r="N14" s="24" t="str">
        <x:v>48be40e282d818092991e3f24d9e6b21e324025374a15ae762faf4fca8762779</x:v>
      </x:c>
      <x:c r="O14" s="24" t="str">
        <x:v>Documentation/01_Working_Documents/Sprint_16/Art_3D/Concept_Art/03_Products/ChatGPT Image 29 jun 2026, 21_38_14 (5).png</x:v>
      </x:c>
      <x:c r="P14" s="24" t="str">
        <x:v>REVIEW BEFORE PUBLIC USE</x:v>
      </x:c>
      <x:c r="Q14" s="24" t="str">
        <x:v>Permitted operationally subject to applicable terms and rights review</x:v>
      </x:c>
      <x:c r="R14" s="24" t="str">
        <x:v>Not assumed legally required; internal disclosure recommended</x:v>
      </x:c>
      <x:c r="S14" s="24" t="str">
        <x:v>Pending per image before external publication</x:v>
      </x:c>
      <x:c r="T14" s="24" t="str">
        <x:v>INTERNAL CONCEPT / CONDITIONAL</x:v>
      </x:c>
      <x:c r="U14" s="24" t="str">
        <x:v>Medium</x:v>
      </x:c>
      <x:c r="V14" s="24" t="str">
        <x:v>Not runtime by default</x:v>
      </x:c>
      <x:c r="W14" s="24" t="str">
        <x:v>VRM Games</x:v>
      </x:c>
      <x:c r="X14" s="24" t="str">
        <x:v>No usar como prueba de propiedad exclusiva ni imitar marcas/artistas; las imágenes de expansión permanecen NOT OPEN.</x:v>
      </x:c>
    </x:row>
    <x:row r="15" ht="34" customHeight="1">
      <x:c r="A15" s="24" t="str">
        <x:v>GEN-IMG-011</x:v>
      </x:c>
      <x:c r="B15" s="24" t="str">
        <x:v>GEN-CONCEPT-011</x:v>
      </x:c>
      <x:c r="C15" s="24" t="str">
        <x:v>ChatGPT Image 29 jun 2026, 21_38_14 (6).png</x:v>
      </x:c>
      <x:c r="D15" s="24" t="str">
        <x:v>Sprint 16 concept art</x:v>
      </x:c>
      <x:c r="E15" s="24" t="str">
        <x:v>ChatGPT / OpenAI image generation</x:v>
      </x:c>
      <x:c r="F15" s="24" t="str">
        <x:v>OpenAI</x:v>
      </x:c>
      <x:c r="G15" s="24" t="str">
        <x:v>2026-06-29</x:v>
      </x:c>
      <x:c r="H15" s="24" t="str">
        <x:v>Project-specific concept request; detailed prompt should be retained with project conversation/export</x:v>
      </x:c>
      <x:c r="I15" s="24" t="str">
        <x:v>Selection, review and project direction by VRM Games</x:v>
      </x:c>
      <x:c r="J15" s="24" t="str">
        <x:v>Internal concept/reference; not automatically runtime or marketing</x:v>
      </x:c>
      <x:c r="K15" s="24" t="str">
        <x:v>Generated output</x:v>
      </x:c>
      <x:c r="L15" s="24" t="str">
        <x:v>Applicable OpenAI service terms at generation/use date; reverify before public release</x:v>
      </x:c>
      <x:c r="M15" s="24" t="str">
        <x:v>Project conversation + source file + hash</x:v>
      </x:c>
      <x:c r="N15" s="24" t="str">
        <x:v>56891223f619f891a523c01037823ca04fa386cc2b0963858c6115e9984df4bd</x:v>
      </x:c>
      <x:c r="O15" s="24" t="str">
        <x:v>Documentation/01_Working_Documents/Sprint_16/Art_3D/Concept_Art/03_Products/ChatGPT Image 29 jun 2026, 21_38_14 (6).png</x:v>
      </x:c>
      <x:c r="P15" s="24" t="str">
        <x:v>REVIEW BEFORE PUBLIC USE</x:v>
      </x:c>
      <x:c r="Q15" s="24" t="str">
        <x:v>Permitted operationally subject to applicable terms and rights review</x:v>
      </x:c>
      <x:c r="R15" s="24" t="str">
        <x:v>Not assumed legally required; internal disclosure recommended</x:v>
      </x:c>
      <x:c r="S15" s="24" t="str">
        <x:v>Pending per image before external publication</x:v>
      </x:c>
      <x:c r="T15" s="24" t="str">
        <x:v>INTERNAL CONCEPT / CONDITIONAL</x:v>
      </x:c>
      <x:c r="U15" s="24" t="str">
        <x:v>Medium</x:v>
      </x:c>
      <x:c r="V15" s="24" t="str">
        <x:v>Not runtime by default</x:v>
      </x:c>
      <x:c r="W15" s="24" t="str">
        <x:v>VRM Games</x:v>
      </x:c>
      <x:c r="X15" s="24" t="str">
        <x:v>No usar como prueba de propiedad exclusiva ni imitar marcas/artistas; las imágenes de expansión permanecen NOT OPEN.</x:v>
      </x:c>
    </x:row>
    <x:row r="16" ht="34" customHeight="1">
      <x:c r="A16" s="24" t="str">
        <x:v>GEN-IMG-012</x:v>
      </x:c>
      <x:c r="B16" s="24" t="str">
        <x:v>GEN-CONCEPT-012</x:v>
      </x:c>
      <x:c r="C16" s="24" t="str">
        <x:v>ChatGPT Image 29 jun 2026, 21_38_50 (1).png</x:v>
      </x:c>
      <x:c r="D16" s="24" t="str">
        <x:v>Sprint 16 concept art</x:v>
      </x:c>
      <x:c r="E16" s="24" t="str">
        <x:v>ChatGPT / OpenAI image generation</x:v>
      </x:c>
      <x:c r="F16" s="24" t="str">
        <x:v>OpenAI</x:v>
      </x:c>
      <x:c r="G16" s="24" t="str">
        <x:v>2026-06-29</x:v>
      </x:c>
      <x:c r="H16" s="24" t="str">
        <x:v>Project-specific concept request; detailed prompt should be retained with project conversation/export</x:v>
      </x:c>
      <x:c r="I16" s="24" t="str">
        <x:v>Selection, review and project direction by VRM Games</x:v>
      </x:c>
      <x:c r="J16" s="24" t="str">
        <x:v>Internal concept/reference; not automatically runtime or marketing</x:v>
      </x:c>
      <x:c r="K16" s="24" t="str">
        <x:v>Generated output</x:v>
      </x:c>
      <x:c r="L16" s="24" t="str">
        <x:v>Applicable OpenAI service terms at generation/use date; reverify before public release</x:v>
      </x:c>
      <x:c r="M16" s="24" t="str">
        <x:v>Project conversation + source file + hash</x:v>
      </x:c>
      <x:c r="N16" s="24" t="str">
        <x:v>fd439e31144c41f1eedd8d417911c1f78fbdbe02623b4859535db50082e8a491</x:v>
      </x:c>
      <x:c r="O16" s="24" t="str">
        <x:v>Documentation/01_Working_Documents/Sprint_16/Art_3D/Concept_Art/04_Characters/ChatGPT Image 29 jun 2026, 21_38_50 (1).png</x:v>
      </x:c>
      <x:c r="P16" s="24" t="str">
        <x:v>REVIEW BEFORE PUBLIC USE</x:v>
      </x:c>
      <x:c r="Q16" s="24" t="str">
        <x:v>Permitted operationally subject to applicable terms and rights review</x:v>
      </x:c>
      <x:c r="R16" s="24" t="str">
        <x:v>Not assumed legally required; internal disclosure recommended</x:v>
      </x:c>
      <x:c r="S16" s="24" t="str">
        <x:v>Pending per image before external publication</x:v>
      </x:c>
      <x:c r="T16" s="24" t="str">
        <x:v>INTERNAL CONCEPT / CONDITIONAL</x:v>
      </x:c>
      <x:c r="U16" s="24" t="str">
        <x:v>Medium</x:v>
      </x:c>
      <x:c r="V16" s="24" t="str">
        <x:v>Not runtime by default</x:v>
      </x:c>
      <x:c r="W16" s="24" t="str">
        <x:v>VRM Games</x:v>
      </x:c>
      <x:c r="X16" s="24" t="str">
        <x:v>No usar como prueba de propiedad exclusiva ni imitar marcas/artistas; las imágenes de expansión permanecen NOT OPEN.</x:v>
      </x:c>
    </x:row>
    <x:row r="17" ht="34" customHeight="1">
      <x:c r="A17" s="24" t="str">
        <x:v>GEN-IMG-013</x:v>
      </x:c>
      <x:c r="B17" s="24" t="str">
        <x:v>GEN-CONCEPT-013</x:v>
      </x:c>
      <x:c r="C17" s="24" t="str">
        <x:v>ChatGPT Image 29 jun 2026, 21_38_50 (2).png</x:v>
      </x:c>
      <x:c r="D17" s="24" t="str">
        <x:v>Sprint 16 concept art</x:v>
      </x:c>
      <x:c r="E17" s="24" t="str">
        <x:v>ChatGPT / OpenAI image generation</x:v>
      </x:c>
      <x:c r="F17" s="24" t="str">
        <x:v>OpenAI</x:v>
      </x:c>
      <x:c r="G17" s="24" t="str">
        <x:v>2026-06-29</x:v>
      </x:c>
      <x:c r="H17" s="24" t="str">
        <x:v>Project-specific concept request; detailed prompt should be retained with project conversation/export</x:v>
      </x:c>
      <x:c r="I17" s="24" t="str">
        <x:v>Selection, review and project direction by VRM Games</x:v>
      </x:c>
      <x:c r="J17" s="24" t="str">
        <x:v>Internal concept/reference; not automatically runtime or marketing</x:v>
      </x:c>
      <x:c r="K17" s="24" t="str">
        <x:v>Generated output</x:v>
      </x:c>
      <x:c r="L17" s="24" t="str">
        <x:v>Applicable OpenAI service terms at generation/use date; reverify before public release</x:v>
      </x:c>
      <x:c r="M17" s="24" t="str">
        <x:v>Project conversation + source file + hash</x:v>
      </x:c>
      <x:c r="N17" s="24" t="str">
        <x:v>e5bca43f10a16a56d793260cf1bad77fa308db981207d5e6d37325159e6d8a11</x:v>
      </x:c>
      <x:c r="O17" s="24" t="str">
        <x:v>Documentation/01_Working_Documents/Sprint_16/Art_3D/Concept_Art/04_Characters/ChatGPT Image 29 jun 2026, 21_38_50 (2).png</x:v>
      </x:c>
      <x:c r="P17" s="24" t="str">
        <x:v>REVIEW BEFORE PUBLIC USE</x:v>
      </x:c>
      <x:c r="Q17" s="24" t="str">
        <x:v>Permitted operationally subject to applicable terms and rights review</x:v>
      </x:c>
      <x:c r="R17" s="24" t="str">
        <x:v>Not assumed legally required; internal disclosure recommended</x:v>
      </x:c>
      <x:c r="S17" s="24" t="str">
        <x:v>Pending per image before external publication</x:v>
      </x:c>
      <x:c r="T17" s="24" t="str">
        <x:v>INTERNAL CONCEPT / CONDITIONAL</x:v>
      </x:c>
      <x:c r="U17" s="24" t="str">
        <x:v>Medium</x:v>
      </x:c>
      <x:c r="V17" s="24" t="str">
        <x:v>Not runtime by default</x:v>
      </x:c>
      <x:c r="W17" s="24" t="str">
        <x:v>VRM Games</x:v>
      </x:c>
      <x:c r="X17" s="24" t="str">
        <x:v>No usar como prueba de propiedad exclusiva ni imitar marcas/artistas; las imágenes de expansión permanecen NOT OPEN.</x:v>
      </x:c>
    </x:row>
    <x:row r="18" ht="34" customHeight="1">
      <x:c r="A18" s="24" t="str">
        <x:v>GEN-IMG-014</x:v>
      </x:c>
      <x:c r="B18" s="24" t="str">
        <x:v>GEN-CONCEPT-014</x:v>
      </x:c>
      <x:c r="C18" s="24" t="str">
        <x:v>ChatGPT Image 29 jun 2026, 21_38_50 (3).png</x:v>
      </x:c>
      <x:c r="D18" s="24" t="str">
        <x:v>Sprint 16 concept art</x:v>
      </x:c>
      <x:c r="E18" s="24" t="str">
        <x:v>ChatGPT / OpenAI image generation</x:v>
      </x:c>
      <x:c r="F18" s="24" t="str">
        <x:v>OpenAI</x:v>
      </x:c>
      <x:c r="G18" s="24" t="str">
        <x:v>2026-06-29</x:v>
      </x:c>
      <x:c r="H18" s="24" t="str">
        <x:v>Project-specific concept request; detailed prompt should be retained with project conversation/export</x:v>
      </x:c>
      <x:c r="I18" s="24" t="str">
        <x:v>Selection, review and project direction by VRM Games</x:v>
      </x:c>
      <x:c r="J18" s="24" t="str">
        <x:v>Internal concept/reference; not automatically runtime or marketing</x:v>
      </x:c>
      <x:c r="K18" s="24" t="str">
        <x:v>Generated output</x:v>
      </x:c>
      <x:c r="L18" s="24" t="str">
        <x:v>Applicable OpenAI service terms at generation/use date; reverify before public release</x:v>
      </x:c>
      <x:c r="M18" s="24" t="str">
        <x:v>Project conversation + source file + hash</x:v>
      </x:c>
      <x:c r="N18" s="24" t="str">
        <x:v>093b91e470d56a2609622789d9955d99f700014a6e9733fb4dc32da839d6d7e2</x:v>
      </x:c>
      <x:c r="O18" s="24" t="str">
        <x:v>Documentation/01_Working_Documents/Sprint_16/Art_3D/Concept_Art/04_Characters/ChatGPT Image 29 jun 2026, 21_38_50 (3).png</x:v>
      </x:c>
      <x:c r="P18" s="24" t="str">
        <x:v>REVIEW BEFORE PUBLIC USE</x:v>
      </x:c>
      <x:c r="Q18" s="24" t="str">
        <x:v>Permitted operationally subject to applicable terms and rights review</x:v>
      </x:c>
      <x:c r="R18" s="24" t="str">
        <x:v>Not assumed legally required; internal disclosure recommended</x:v>
      </x:c>
      <x:c r="S18" s="24" t="str">
        <x:v>Pending per image before external publication</x:v>
      </x:c>
      <x:c r="T18" s="24" t="str">
        <x:v>INTERNAL CONCEPT / CONDITIONAL</x:v>
      </x:c>
      <x:c r="U18" s="24" t="str">
        <x:v>Medium</x:v>
      </x:c>
      <x:c r="V18" s="24" t="str">
        <x:v>Not runtime by default</x:v>
      </x:c>
      <x:c r="W18" s="24" t="str">
        <x:v>VRM Games</x:v>
      </x:c>
      <x:c r="X18" s="24" t="str">
        <x:v>No usar como prueba de propiedad exclusiva ni imitar marcas/artistas; las imágenes de expansión permanecen NOT OPEN.</x:v>
      </x:c>
    </x:row>
    <x:row r="19" ht="34" customHeight="1">
      <x:c r="A19" s="24" t="str">
        <x:v>GEN-IMG-015</x:v>
      </x:c>
      <x:c r="B19" s="24" t="str">
        <x:v>GEN-CONCEPT-015</x:v>
      </x:c>
      <x:c r="C19" s="24" t="str">
        <x:v>ChatGPT Image 29 jun 2026, 21_38_50 (4).png</x:v>
      </x:c>
      <x:c r="D19" s="24" t="str">
        <x:v>Sprint 16 concept art</x:v>
      </x:c>
      <x:c r="E19" s="24" t="str">
        <x:v>ChatGPT / OpenAI image generation</x:v>
      </x:c>
      <x:c r="F19" s="24" t="str">
        <x:v>OpenAI</x:v>
      </x:c>
      <x:c r="G19" s="24" t="str">
        <x:v>2026-06-29</x:v>
      </x:c>
      <x:c r="H19" s="24" t="str">
        <x:v>Project-specific concept request; detailed prompt should be retained with project conversation/export</x:v>
      </x:c>
      <x:c r="I19" s="24" t="str">
        <x:v>Selection, review and project direction by VRM Games</x:v>
      </x:c>
      <x:c r="J19" s="24" t="str">
        <x:v>Internal concept/reference; not automatically runtime or marketing</x:v>
      </x:c>
      <x:c r="K19" s="24" t="str">
        <x:v>Generated output</x:v>
      </x:c>
      <x:c r="L19" s="24" t="str">
        <x:v>Applicable OpenAI service terms at generation/use date; reverify before public release</x:v>
      </x:c>
      <x:c r="M19" s="24" t="str">
        <x:v>Project conversation + source file + hash</x:v>
      </x:c>
      <x:c r="N19" s="24" t="str">
        <x:v>546539231dbaf0ac0f0d3bd92bd4349e7ea7c13bee7dd1aa0768363529198c07</x:v>
      </x:c>
      <x:c r="O19" s="24" t="str">
        <x:v>Documentation/01_Working_Documents/Sprint_16/Art_3D/Concept_Art/04_Characters/ChatGPT Image 29 jun 2026, 21_38_50 (4).png</x:v>
      </x:c>
      <x:c r="P19" s="24" t="str">
        <x:v>REVIEW BEFORE PUBLIC USE</x:v>
      </x:c>
      <x:c r="Q19" s="24" t="str">
        <x:v>Permitted operationally subject to applicable terms and rights review</x:v>
      </x:c>
      <x:c r="R19" s="24" t="str">
        <x:v>Not assumed legally required; internal disclosure recommended</x:v>
      </x:c>
      <x:c r="S19" s="24" t="str">
        <x:v>Pending per image before external publication</x:v>
      </x:c>
      <x:c r="T19" s="24" t="str">
        <x:v>INTERNAL CONCEPT / CONDITIONAL</x:v>
      </x:c>
      <x:c r="U19" s="24" t="str">
        <x:v>Medium</x:v>
      </x:c>
      <x:c r="V19" s="24" t="str">
        <x:v>Not runtime by default</x:v>
      </x:c>
      <x:c r="W19" s="24" t="str">
        <x:v>VRM Games</x:v>
      </x:c>
      <x:c r="X19" s="24" t="str">
        <x:v>No usar como prueba de propiedad exclusiva ni imitar marcas/artistas; las imágenes de expansión permanecen NOT OPEN.</x:v>
      </x:c>
    </x:row>
    <x:row r="20" ht="34" customHeight="1">
      <x:c r="A20" s="24" t="str">
        <x:v>GEN-IMG-016</x:v>
      </x:c>
      <x:c r="B20" s="24" t="str">
        <x:v>GEN-CONCEPT-016</x:v>
      </x:c>
      <x:c r="C20" s="24" t="str">
        <x:v>ChatGPT Image 29 jun 2026, 21_38_50 (5).png</x:v>
      </x:c>
      <x:c r="D20" s="24" t="str">
        <x:v>Sprint 16 concept art</x:v>
      </x:c>
      <x:c r="E20" s="24" t="str">
        <x:v>ChatGPT / OpenAI image generation</x:v>
      </x:c>
      <x:c r="F20" s="24" t="str">
        <x:v>OpenAI</x:v>
      </x:c>
      <x:c r="G20" s="24" t="str">
        <x:v>2026-06-29</x:v>
      </x:c>
      <x:c r="H20" s="24" t="str">
        <x:v>Project-specific concept request; detailed prompt should be retained with project conversation/export</x:v>
      </x:c>
      <x:c r="I20" s="24" t="str">
        <x:v>Selection, review and project direction by VRM Games</x:v>
      </x:c>
      <x:c r="J20" s="24" t="str">
        <x:v>Internal concept/reference; not automatically runtime or marketing</x:v>
      </x:c>
      <x:c r="K20" s="24" t="str">
        <x:v>Generated output</x:v>
      </x:c>
      <x:c r="L20" s="24" t="str">
        <x:v>Applicable OpenAI service terms at generation/use date; reverify before public release</x:v>
      </x:c>
      <x:c r="M20" s="24" t="str">
        <x:v>Project conversation + source file + hash</x:v>
      </x:c>
      <x:c r="N20" s="24" t="str">
        <x:v>1d02083cf9c0736568b4fbefea98d57e1104d84e1def585b1c8bf87fec8462d1</x:v>
      </x:c>
      <x:c r="O20" s="24" t="str">
        <x:v>Documentation/01_Working_Documents/Sprint_16/Art_3D/Concept_Art/04_Characters/ChatGPT Image 29 jun 2026, 21_38_50 (5).png</x:v>
      </x:c>
      <x:c r="P20" s="24" t="str">
        <x:v>REVIEW BEFORE PUBLIC USE</x:v>
      </x:c>
      <x:c r="Q20" s="24" t="str">
        <x:v>Permitted operationally subject to applicable terms and rights review</x:v>
      </x:c>
      <x:c r="R20" s="24" t="str">
        <x:v>Not assumed legally required; internal disclosure recommended</x:v>
      </x:c>
      <x:c r="S20" s="24" t="str">
        <x:v>Pending per image before external publication</x:v>
      </x:c>
      <x:c r="T20" s="24" t="str">
        <x:v>INTERNAL CONCEPT / CONDITIONAL</x:v>
      </x:c>
      <x:c r="U20" s="24" t="str">
        <x:v>Medium</x:v>
      </x:c>
      <x:c r="V20" s="24" t="str">
        <x:v>Not runtime by default</x:v>
      </x:c>
      <x:c r="W20" s="24" t="str">
        <x:v>VRM Games</x:v>
      </x:c>
      <x:c r="X20" s="24" t="str">
        <x:v>No usar como prueba de propiedad exclusiva ni imitar marcas/artistas; las imágenes de expansión permanecen NOT OPEN.</x:v>
      </x:c>
    </x:row>
    <x:row r="21" ht="34" customHeight="1">
      <x:c r="A21" s="24" t="str">
        <x:v>GEN-IMG-017</x:v>
      </x:c>
      <x:c r="B21" s="24" t="str">
        <x:v>GEN-CONCEPT-017</x:v>
      </x:c>
      <x:c r="C21" s="24" t="str">
        <x:v>ChatGPT Image 29 jun 2026, 21_38_50 (6).png</x:v>
      </x:c>
      <x:c r="D21" s="24" t="str">
        <x:v>Sprint 16 concept art</x:v>
      </x:c>
      <x:c r="E21" s="24" t="str">
        <x:v>ChatGPT / OpenAI image generation</x:v>
      </x:c>
      <x:c r="F21" s="24" t="str">
        <x:v>OpenAI</x:v>
      </x:c>
      <x:c r="G21" s="24" t="str">
        <x:v>2026-06-29</x:v>
      </x:c>
      <x:c r="H21" s="24" t="str">
        <x:v>Project-specific concept request; detailed prompt should be retained with project conversation/export</x:v>
      </x:c>
      <x:c r="I21" s="24" t="str">
        <x:v>Selection, review and project direction by VRM Games</x:v>
      </x:c>
      <x:c r="J21" s="24" t="str">
        <x:v>Internal concept/reference; not automatically runtime or marketing</x:v>
      </x:c>
      <x:c r="K21" s="24" t="str">
        <x:v>Generated output</x:v>
      </x:c>
      <x:c r="L21" s="24" t="str">
        <x:v>Applicable OpenAI service terms at generation/use date; reverify before public release</x:v>
      </x:c>
      <x:c r="M21" s="24" t="str">
        <x:v>Project conversation + source file + hash</x:v>
      </x:c>
      <x:c r="N21" s="24" t="str">
        <x:v>6f0416232df549d46156a2f6ff92d039b785cf7aa44f82f17c840d05bc1927a6</x:v>
      </x:c>
      <x:c r="O21" s="24" t="str">
        <x:v>Documentation/01_Working_Documents/Sprint_16/Art_3D/Concept_Art/04_Characters/ChatGPT Image 29 jun 2026, 21_38_50 (6).png</x:v>
      </x:c>
      <x:c r="P21" s="24" t="str">
        <x:v>REVIEW BEFORE PUBLIC USE</x:v>
      </x:c>
      <x:c r="Q21" s="24" t="str">
        <x:v>Permitted operationally subject to applicable terms and rights review</x:v>
      </x:c>
      <x:c r="R21" s="24" t="str">
        <x:v>Not assumed legally required; internal disclosure recommended</x:v>
      </x:c>
      <x:c r="S21" s="24" t="str">
        <x:v>Pending per image before external publication</x:v>
      </x:c>
      <x:c r="T21" s="24" t="str">
        <x:v>INTERNAL CONCEPT / CONDITIONAL</x:v>
      </x:c>
      <x:c r="U21" s="24" t="str">
        <x:v>Medium</x:v>
      </x:c>
      <x:c r="V21" s="24" t="str">
        <x:v>Not runtime by default</x:v>
      </x:c>
      <x:c r="W21" s="24" t="str">
        <x:v>VRM Games</x:v>
      </x:c>
      <x:c r="X21" s="24" t="str">
        <x:v>No usar como prueba de propiedad exclusiva ni imitar marcas/artistas; las imágenes de expansión permanecen NOT OPEN.</x:v>
      </x:c>
    </x:row>
    <x:row r="22" ht="34" customHeight="1">
      <x:c r="A22" s="24" t="str">
        <x:v>GEN-IMG-018</x:v>
      </x:c>
      <x:c r="B22" s="24" t="str">
        <x:v>GEN-CONCEPT-018</x:v>
      </x:c>
      <x:c r="C22" s="24" t="str">
        <x:v>ChatGPT Image 29 jun 2026, 21_38_50 (7).png</x:v>
      </x:c>
      <x:c r="D22" s="24" t="str">
        <x:v>Sprint 16 concept art</x:v>
      </x:c>
      <x:c r="E22" s="24" t="str">
        <x:v>ChatGPT / OpenAI image generation</x:v>
      </x:c>
      <x:c r="F22" s="24" t="str">
        <x:v>OpenAI</x:v>
      </x:c>
      <x:c r="G22" s="24" t="str">
        <x:v>2026-06-29</x:v>
      </x:c>
      <x:c r="H22" s="24" t="str">
        <x:v>Project-specific concept request; detailed prompt should be retained with project conversation/export</x:v>
      </x:c>
      <x:c r="I22" s="24" t="str">
        <x:v>Selection, review and project direction by VRM Games</x:v>
      </x:c>
      <x:c r="J22" s="24" t="str">
        <x:v>Internal concept/reference; not automatically runtime or marketing</x:v>
      </x:c>
      <x:c r="K22" s="24" t="str">
        <x:v>Generated output</x:v>
      </x:c>
      <x:c r="L22" s="24" t="str">
        <x:v>Applicable OpenAI service terms at generation/use date; reverify before public release</x:v>
      </x:c>
      <x:c r="M22" s="24" t="str">
        <x:v>Project conversation + source file + hash</x:v>
      </x:c>
      <x:c r="N22" s="24" t="str">
        <x:v>ebb549522b8d6ac4ca57d47c8bf1d8cd0e96608824dfb5f0f2d7bd51b6c2dd98</x:v>
      </x:c>
      <x:c r="O22" s="24" t="str">
        <x:v>Documentation/01_Working_Documents/Sprint_16/Art_3D/Concept_Art/04_Characters/ChatGPT Image 29 jun 2026, 21_38_50 (7).png</x:v>
      </x:c>
      <x:c r="P22" s="24" t="str">
        <x:v>REVIEW BEFORE PUBLIC USE</x:v>
      </x:c>
      <x:c r="Q22" s="24" t="str">
        <x:v>Permitted operationally subject to applicable terms and rights review</x:v>
      </x:c>
      <x:c r="R22" s="24" t="str">
        <x:v>Not assumed legally required; internal disclosure recommended</x:v>
      </x:c>
      <x:c r="S22" s="24" t="str">
        <x:v>Pending per image before external publication</x:v>
      </x:c>
      <x:c r="T22" s="24" t="str">
        <x:v>INTERNAL CONCEPT / CONDITIONAL</x:v>
      </x:c>
      <x:c r="U22" s="24" t="str">
        <x:v>Medium</x:v>
      </x:c>
      <x:c r="V22" s="24" t="str">
        <x:v>Not runtime by default</x:v>
      </x:c>
      <x:c r="W22" s="24" t="str">
        <x:v>VRM Games</x:v>
      </x:c>
      <x:c r="X22" s="24" t="str">
        <x:v>No usar como prueba de propiedad exclusiva ni imitar marcas/artistas; las imágenes de expansión permanecen NOT OPEN.</x:v>
      </x:c>
    </x:row>
    <x:row r="23" ht="34" customHeight="1">
      <x:c r="A23" s="24" t="str">
        <x:v>GEN-IMG-019</x:v>
      </x:c>
      <x:c r="B23" s="24" t="str">
        <x:v>GEN-CONCEPT-019</x:v>
      </x:c>
      <x:c r="C23" s="24" t="str">
        <x:v>ChatGPT Image 29 jun 2026, 21_38_50 (8).png</x:v>
      </x:c>
      <x:c r="D23" s="24" t="str">
        <x:v>Sprint 16 concept art</x:v>
      </x:c>
      <x:c r="E23" s="24" t="str">
        <x:v>ChatGPT / OpenAI image generation</x:v>
      </x:c>
      <x:c r="F23" s="24" t="str">
        <x:v>OpenAI</x:v>
      </x:c>
      <x:c r="G23" s="24" t="str">
        <x:v>2026-06-29</x:v>
      </x:c>
      <x:c r="H23" s="24" t="str">
        <x:v>Project-specific concept request; detailed prompt should be retained with project conversation/export</x:v>
      </x:c>
      <x:c r="I23" s="24" t="str">
        <x:v>Selection, review and project direction by VRM Games</x:v>
      </x:c>
      <x:c r="J23" s="24" t="str">
        <x:v>Internal concept/reference; not automatically runtime or marketing</x:v>
      </x:c>
      <x:c r="K23" s="24" t="str">
        <x:v>Generated output</x:v>
      </x:c>
      <x:c r="L23" s="24" t="str">
        <x:v>Applicable OpenAI service terms at generation/use date; reverify before public release</x:v>
      </x:c>
      <x:c r="M23" s="24" t="str">
        <x:v>Project conversation + source file + hash</x:v>
      </x:c>
      <x:c r="N23" s="24" t="str">
        <x:v>3f1d37c6c690d4173bc0067a6460e29bc5bce2e8911c965d6a7b8aae05d296cf</x:v>
      </x:c>
      <x:c r="O23" s="24" t="str">
        <x:v>Documentation/01_Working_Documents/Sprint_16/Art_3D/Concept_Art/04_Characters/ChatGPT Image 29 jun 2026, 21_38_50 (8).png</x:v>
      </x:c>
      <x:c r="P23" s="24" t="str">
        <x:v>REVIEW BEFORE PUBLIC USE</x:v>
      </x:c>
      <x:c r="Q23" s="24" t="str">
        <x:v>Permitted operationally subject to applicable terms and rights review</x:v>
      </x:c>
      <x:c r="R23" s="24" t="str">
        <x:v>Not assumed legally required; internal disclosure recommended</x:v>
      </x:c>
      <x:c r="S23" s="24" t="str">
        <x:v>Pending per image before external publication</x:v>
      </x:c>
      <x:c r="T23" s="24" t="str">
        <x:v>INTERNAL CONCEPT / CONDITIONAL</x:v>
      </x:c>
      <x:c r="U23" s="24" t="str">
        <x:v>Medium</x:v>
      </x:c>
      <x:c r="V23" s="24" t="str">
        <x:v>Not runtime by default</x:v>
      </x:c>
      <x:c r="W23" s="24" t="str">
        <x:v>VRM Games</x:v>
      </x:c>
      <x:c r="X23" s="24" t="str">
        <x:v>No usar como prueba de propiedad exclusiva ni imitar marcas/artistas; las imágenes de expansión permanecen NOT OPEN.</x:v>
      </x:c>
    </x:row>
    <x:row r="24" ht="34" customHeight="1">
      <x:c r="A24" s="24" t="str">
        <x:v>GEN-IMG-020</x:v>
      </x:c>
      <x:c r="B24" s="24" t="str">
        <x:v>GEN-CONCEPT-020</x:v>
      </x:c>
      <x:c r="C24" s="24" t="str">
        <x:v>ChatGPT Image 29 jun 2026, 21_39_17 (1).png</x:v>
      </x:c>
      <x:c r="D24" s="24" t="str">
        <x:v>Expansion concept</x:v>
      </x:c>
      <x:c r="E24" s="24" t="str">
        <x:v>ChatGPT / OpenAI image generation</x:v>
      </x:c>
      <x:c r="F24" s="24" t="str">
        <x:v>OpenAI</x:v>
      </x:c>
      <x:c r="G24" s="24" t="str">
        <x:v>2026-06-29</x:v>
      </x:c>
      <x:c r="H24" s="24" t="str">
        <x:v>Project-specific concept request; detailed prompt should be retained with project conversation/export</x:v>
      </x:c>
      <x:c r="I24" s="24" t="str">
        <x:v>Selection, review and project direction by VRM Games</x:v>
      </x:c>
      <x:c r="J24" s="24" t="str">
        <x:v>Internal concept/reference; not automatically runtime or marketing</x:v>
      </x:c>
      <x:c r="K24" s="24" t="str">
        <x:v>Generated output</x:v>
      </x:c>
      <x:c r="L24" s="24" t="str">
        <x:v>Applicable OpenAI service terms at generation/use date; reverify before public release</x:v>
      </x:c>
      <x:c r="M24" s="24" t="str">
        <x:v>Project conversation + source file + hash</x:v>
      </x:c>
      <x:c r="N24" s="24" t="str">
        <x:v>ce23b3b1e2bf6186ab627de7247b794ea9ed6f8b80bd8d4cb02df94619801f09</x:v>
      </x:c>
      <x:c r="O24" s="24" t="str">
        <x:v>Documentation/01_Working_Documents/Sprint_16/Art_3D/Concept_Art/05_Expansion_Concepts/ChatGPT Image 29 jun 2026, 21_39_17 (1).png</x:v>
      </x:c>
      <x:c r="P24" s="24" t="str">
        <x:v>REVIEW BEFORE PUBLIC USE</x:v>
      </x:c>
      <x:c r="Q24" s="24" t="str">
        <x:v>Permitted operationally subject to applicable terms and rights review</x:v>
      </x:c>
      <x:c r="R24" s="24" t="str">
        <x:v>Not assumed legally required; internal disclosure recommended</x:v>
      </x:c>
      <x:c r="S24" s="24" t="str">
        <x:v>Pending per image before external publication</x:v>
      </x:c>
      <x:c r="T24" s="24" t="str">
        <x:v>INTERNAL CONCEPT / CONDITIONAL</x:v>
      </x:c>
      <x:c r="U24" s="24" t="str">
        <x:v>Medium</x:v>
      </x:c>
      <x:c r="V24" s="24" t="str">
        <x:v>Not runtime by default</x:v>
      </x:c>
      <x:c r="W24" s="24" t="str">
        <x:v>VRM Games</x:v>
      </x:c>
      <x:c r="X24" s="24" t="str">
        <x:v>No usar como prueba de propiedad exclusiva ni imitar marcas/artistas; las imágenes de expansión permanecen NOT OPEN.</x:v>
      </x:c>
    </x:row>
    <x:row r="25" ht="34" customHeight="1">
      <x:c r="A25" s="24" t="str">
        <x:v>GEN-IMG-021</x:v>
      </x:c>
      <x:c r="B25" s="24" t="str">
        <x:v>GEN-CONCEPT-021</x:v>
      </x:c>
      <x:c r="C25" s="24" t="str">
        <x:v>ChatGPT Image 29 jun 2026, 21_39_17 (2).png</x:v>
      </x:c>
      <x:c r="D25" s="24" t="str">
        <x:v>Expansion concept</x:v>
      </x:c>
      <x:c r="E25" s="24" t="str">
        <x:v>ChatGPT / OpenAI image generation</x:v>
      </x:c>
      <x:c r="F25" s="24" t="str">
        <x:v>OpenAI</x:v>
      </x:c>
      <x:c r="G25" s="24" t="str">
        <x:v>2026-06-29</x:v>
      </x:c>
      <x:c r="H25" s="24" t="str">
        <x:v>Project-specific concept request; detailed prompt should be retained with project conversation/export</x:v>
      </x:c>
      <x:c r="I25" s="24" t="str">
        <x:v>Selection, review and project direction by VRM Games</x:v>
      </x:c>
      <x:c r="J25" s="24" t="str">
        <x:v>Internal concept/reference; not automatically runtime or marketing</x:v>
      </x:c>
      <x:c r="K25" s="24" t="str">
        <x:v>Generated output</x:v>
      </x:c>
      <x:c r="L25" s="24" t="str">
        <x:v>Applicable OpenAI service terms at generation/use date; reverify before public release</x:v>
      </x:c>
      <x:c r="M25" s="24" t="str">
        <x:v>Project conversation + source file + hash</x:v>
      </x:c>
      <x:c r="N25" s="24" t="str">
        <x:v>79e9ccc8ba8126f7a63b5f38fdc4bafcbab5479b39e6882de1add15f66529e7f</x:v>
      </x:c>
      <x:c r="O25" s="24" t="str">
        <x:v>Documentation/01_Working_Documents/Sprint_16/Art_3D/Concept_Art/05_Expansion_Concepts/ChatGPT Image 29 jun 2026, 21_39_17 (2).png</x:v>
      </x:c>
      <x:c r="P25" s="24" t="str">
        <x:v>REVIEW BEFORE PUBLIC USE</x:v>
      </x:c>
      <x:c r="Q25" s="24" t="str">
        <x:v>Permitted operationally subject to applicable terms and rights review</x:v>
      </x:c>
      <x:c r="R25" s="24" t="str">
        <x:v>Not assumed legally required; internal disclosure recommended</x:v>
      </x:c>
      <x:c r="S25" s="24" t="str">
        <x:v>Pending per image before external publication</x:v>
      </x:c>
      <x:c r="T25" s="24" t="str">
        <x:v>INTERNAL CONCEPT / CONDITIONAL</x:v>
      </x:c>
      <x:c r="U25" s="24" t="str">
        <x:v>Medium</x:v>
      </x:c>
      <x:c r="V25" s="24" t="str">
        <x:v>Not runtime by default</x:v>
      </x:c>
      <x:c r="W25" s="24" t="str">
        <x:v>VRM Games</x:v>
      </x:c>
      <x:c r="X25" s="24" t="str">
        <x:v>No usar como prueba de propiedad exclusiva ni imitar marcas/artistas; las imágenes de expansión permanecen NOT OPEN.</x:v>
      </x:c>
    </x:row>
    <x:row r="26" ht="34" customHeight="1">
      <x:c r="A26" s="24" t="str">
        <x:v>GEN-IMG-022</x:v>
      </x:c>
      <x:c r="B26" s="24" t="str">
        <x:v>GEN-CONCEPT-022</x:v>
      </x:c>
      <x:c r="C26" s="24" t="str">
        <x:v>ChatGPT Image 29 jun 2026, 21_39_17 (3).png</x:v>
      </x:c>
      <x:c r="D26" s="24" t="str">
        <x:v>Expansion concept</x:v>
      </x:c>
      <x:c r="E26" s="24" t="str">
        <x:v>ChatGPT / OpenAI image generation</x:v>
      </x:c>
      <x:c r="F26" s="24" t="str">
        <x:v>OpenAI</x:v>
      </x:c>
      <x:c r="G26" s="24" t="str">
        <x:v>2026-06-29</x:v>
      </x:c>
      <x:c r="H26" s="24" t="str">
        <x:v>Project-specific concept request; detailed prompt should be retained with project conversation/export</x:v>
      </x:c>
      <x:c r="I26" s="24" t="str">
        <x:v>Selection, review and project direction by VRM Games</x:v>
      </x:c>
      <x:c r="J26" s="24" t="str">
        <x:v>Internal concept/reference; not automatically runtime or marketing</x:v>
      </x:c>
      <x:c r="K26" s="24" t="str">
        <x:v>Generated output</x:v>
      </x:c>
      <x:c r="L26" s="24" t="str">
        <x:v>Applicable OpenAI service terms at generation/use date; reverify before public release</x:v>
      </x:c>
      <x:c r="M26" s="24" t="str">
        <x:v>Project conversation + source file + hash</x:v>
      </x:c>
      <x:c r="N26" s="24" t="str">
        <x:v>78cb05222f8155d5bd9e709e8e214f4517023444ed79538c3693bb0b09ea232f</x:v>
      </x:c>
      <x:c r="O26" s="24" t="str">
        <x:v>Documentation/01_Working_Documents/Sprint_16/Art_3D/Concept_Art/05_Expansion_Concepts/ChatGPT Image 29 jun 2026, 21_39_17 (3).png</x:v>
      </x:c>
      <x:c r="P26" s="24" t="str">
        <x:v>REVIEW BEFORE PUBLIC USE</x:v>
      </x:c>
      <x:c r="Q26" s="24" t="str">
        <x:v>Permitted operationally subject to applicable terms and rights review</x:v>
      </x:c>
      <x:c r="R26" s="24" t="str">
        <x:v>Not assumed legally required; internal disclosure recommended</x:v>
      </x:c>
      <x:c r="S26" s="24" t="str">
        <x:v>Pending per image before external publication</x:v>
      </x:c>
      <x:c r="T26" s="24" t="str">
        <x:v>INTERNAL CONCEPT / CONDITIONAL</x:v>
      </x:c>
      <x:c r="U26" s="24" t="str">
        <x:v>Medium</x:v>
      </x:c>
      <x:c r="V26" s="24" t="str">
        <x:v>Not runtime by default</x:v>
      </x:c>
      <x:c r="W26" s="24" t="str">
        <x:v>VRM Games</x:v>
      </x:c>
      <x:c r="X26" s="24" t="str">
        <x:v>No usar como prueba de propiedad exclusiva ni imitar marcas/artistas; las imágenes de expansión permanecen NOT OPEN.</x:v>
      </x:c>
    </x:row>
    <x:row r="27" ht="34" customHeight="1">
      <x:c r="A27" s="24" t="str">
        <x:v>GEN-IMG-023</x:v>
      </x:c>
      <x:c r="B27" s="24" t="str">
        <x:v>GEN-CONCEPT-023</x:v>
      </x:c>
      <x:c r="C27" s="24" t="str">
        <x:v>ChatGPT Image 29 jun 2026, 21_39_17 (4).png</x:v>
      </x:c>
      <x:c r="D27" s="24" t="str">
        <x:v>Expansion concept</x:v>
      </x:c>
      <x:c r="E27" s="24" t="str">
        <x:v>ChatGPT / OpenAI image generation</x:v>
      </x:c>
      <x:c r="F27" s="24" t="str">
        <x:v>OpenAI</x:v>
      </x:c>
      <x:c r="G27" s="24" t="str">
        <x:v>2026-06-29</x:v>
      </x:c>
      <x:c r="H27" s="24" t="str">
        <x:v>Project-specific concept request; detailed prompt should be retained with project conversation/export</x:v>
      </x:c>
      <x:c r="I27" s="24" t="str">
        <x:v>Selection, review and project direction by VRM Games</x:v>
      </x:c>
      <x:c r="J27" s="24" t="str">
        <x:v>Internal concept/reference; not automatically runtime or marketing</x:v>
      </x:c>
      <x:c r="K27" s="24" t="str">
        <x:v>Generated output</x:v>
      </x:c>
      <x:c r="L27" s="24" t="str">
        <x:v>Applicable OpenAI service terms at generation/use date; reverify before public release</x:v>
      </x:c>
      <x:c r="M27" s="24" t="str">
        <x:v>Project conversation + source file + hash</x:v>
      </x:c>
      <x:c r="N27" s="24" t="str">
        <x:v>1074b34d1051c2e32fa23325f042158d04e7497b54d61c44f4cc1c3b4505b1f5</x:v>
      </x:c>
      <x:c r="O27" s="24" t="str">
        <x:v>Documentation/01_Working_Documents/Sprint_16/Art_3D/Concept_Art/05_Expansion_Concepts/ChatGPT Image 29 jun 2026, 21_39_17 (4).png</x:v>
      </x:c>
      <x:c r="P27" s="24" t="str">
        <x:v>REVIEW BEFORE PUBLIC USE</x:v>
      </x:c>
      <x:c r="Q27" s="24" t="str">
        <x:v>Permitted operationally subject to applicable terms and rights review</x:v>
      </x:c>
      <x:c r="R27" s="24" t="str">
        <x:v>Not assumed legally required; internal disclosure recommended</x:v>
      </x:c>
      <x:c r="S27" s="24" t="str">
        <x:v>Pending per image before external publication</x:v>
      </x:c>
      <x:c r="T27" s="24" t="str">
        <x:v>INTERNAL CONCEPT / CONDITIONAL</x:v>
      </x:c>
      <x:c r="U27" s="24" t="str">
        <x:v>Medium</x:v>
      </x:c>
      <x:c r="V27" s="24" t="str">
        <x:v>Not runtime by default</x:v>
      </x:c>
      <x:c r="W27" s="24" t="str">
        <x:v>VRM Games</x:v>
      </x:c>
      <x:c r="X27" s="24" t="str">
        <x:v>No usar como prueba de propiedad exclusiva ni imitar marcas/artistas; las imágenes de expansión permanecen NOT OPEN.</x:v>
      </x:c>
    </x:row>
    <x:row r="28" ht="34" customHeight="1">
      <x:c r="A28" s="24" t="str">
        <x:v>GEN-IMG-024</x:v>
      </x:c>
      <x:c r="B28" s="24" t="str">
        <x:v>GEN-CONCEPT-024</x:v>
      </x:c>
      <x:c r="C28" s="24" t="str">
        <x:v>ChatGPT Image 29 jun 2026, 21_39_17 (5).png</x:v>
      </x:c>
      <x:c r="D28" s="24" t="str">
        <x:v>Expansion concept</x:v>
      </x:c>
      <x:c r="E28" s="24" t="str">
        <x:v>ChatGPT / OpenAI image generation</x:v>
      </x:c>
      <x:c r="F28" s="24" t="str">
        <x:v>OpenAI</x:v>
      </x:c>
      <x:c r="G28" s="24" t="str">
        <x:v>2026-06-29</x:v>
      </x:c>
      <x:c r="H28" s="24" t="str">
        <x:v>Project-specific concept request; detailed prompt should be retained with project conversation/export</x:v>
      </x:c>
      <x:c r="I28" s="24" t="str">
        <x:v>Selection, review and project direction by VRM Games</x:v>
      </x:c>
      <x:c r="J28" s="24" t="str">
        <x:v>Internal concept/reference; not automatically runtime or marketing</x:v>
      </x:c>
      <x:c r="K28" s="24" t="str">
        <x:v>Generated output</x:v>
      </x:c>
      <x:c r="L28" s="24" t="str">
        <x:v>Applicable OpenAI service terms at generation/use date; reverify before public release</x:v>
      </x:c>
      <x:c r="M28" s="24" t="str">
        <x:v>Project conversation + source file + hash</x:v>
      </x:c>
      <x:c r="N28" s="24" t="str">
        <x:v>686585e4a4b1054b23cdea08297e28ddd0df211d966dc0ab8a6116ce9c17ca25</x:v>
      </x:c>
      <x:c r="O28" s="24" t="str">
        <x:v>Documentation/01_Working_Documents/Sprint_16/Art_3D/Concept_Art/05_Expansion_Concepts/ChatGPT Image 29 jun 2026, 21_39_17 (5).png</x:v>
      </x:c>
      <x:c r="P28" s="24" t="str">
        <x:v>REVIEW BEFORE PUBLIC USE</x:v>
      </x:c>
      <x:c r="Q28" s="24" t="str">
        <x:v>Permitted operationally subject to applicable terms and rights review</x:v>
      </x:c>
      <x:c r="R28" s="24" t="str">
        <x:v>Not assumed legally required; internal disclosure recommended</x:v>
      </x:c>
      <x:c r="S28" s="24" t="str">
        <x:v>Pending per image before external publication</x:v>
      </x:c>
      <x:c r="T28" s="24" t="str">
        <x:v>INTERNAL CONCEPT / CONDITIONAL</x:v>
      </x:c>
      <x:c r="U28" s="24" t="str">
        <x:v>Medium</x:v>
      </x:c>
      <x:c r="V28" s="24" t="str">
        <x:v>Not runtime by default</x:v>
      </x:c>
      <x:c r="W28" s="24" t="str">
        <x:v>VRM Games</x:v>
      </x:c>
      <x:c r="X28" s="24" t="str">
        <x:v>No usar como prueba de propiedad exclusiva ni imitar marcas/artistas; las imágenes de expansión permanecen NOT OPEN.</x:v>
      </x:c>
    </x:row>
    <x:row r="29" ht="34" customHeight="1">
      <x:c r="A29" s="24" t="str">
        <x:v>GEN-IMG-025</x:v>
      </x:c>
      <x:c r="B29" s="24" t="str">
        <x:v>GEN-CONCEPT-025</x:v>
      </x:c>
      <x:c r="C29" s="24" t="str">
        <x:v>ChatGPT Image 29 jun 2026, 21_39_17 (6).png</x:v>
      </x:c>
      <x:c r="D29" s="24" t="str">
        <x:v>Expansion concept</x:v>
      </x:c>
      <x:c r="E29" s="24" t="str">
        <x:v>ChatGPT / OpenAI image generation</x:v>
      </x:c>
      <x:c r="F29" s="24" t="str">
        <x:v>OpenAI</x:v>
      </x:c>
      <x:c r="G29" s="24" t="str">
        <x:v>2026-06-29</x:v>
      </x:c>
      <x:c r="H29" s="24" t="str">
        <x:v>Project-specific concept request; detailed prompt should be retained with project conversation/export</x:v>
      </x:c>
      <x:c r="I29" s="24" t="str">
        <x:v>Selection, review and project direction by VRM Games</x:v>
      </x:c>
      <x:c r="J29" s="24" t="str">
        <x:v>Internal concept/reference; not automatically runtime or marketing</x:v>
      </x:c>
      <x:c r="K29" s="24" t="str">
        <x:v>Generated output</x:v>
      </x:c>
      <x:c r="L29" s="24" t="str">
        <x:v>Applicable OpenAI service terms at generation/use date; reverify before public release</x:v>
      </x:c>
      <x:c r="M29" s="24" t="str">
        <x:v>Project conversation + source file + hash</x:v>
      </x:c>
      <x:c r="N29" s="24" t="str">
        <x:v>7c349ed7b9258e832c0e7c3f3529fb4fe8ea322f9d7c52ef004d98a741b21519</x:v>
      </x:c>
      <x:c r="O29" s="24" t="str">
        <x:v>Documentation/01_Working_Documents/Sprint_16/Art_3D/Concept_Art/05_Expansion_Concepts/ChatGPT Image 29 jun 2026, 21_39_17 (6).png</x:v>
      </x:c>
      <x:c r="P29" s="24" t="str">
        <x:v>REVIEW BEFORE PUBLIC USE</x:v>
      </x:c>
      <x:c r="Q29" s="24" t="str">
        <x:v>Permitted operationally subject to applicable terms and rights review</x:v>
      </x:c>
      <x:c r="R29" s="24" t="str">
        <x:v>Not assumed legally required; internal disclosure recommended</x:v>
      </x:c>
      <x:c r="S29" s="24" t="str">
        <x:v>Pending per image before external publication</x:v>
      </x:c>
      <x:c r="T29" s="24" t="str">
        <x:v>INTERNAL CONCEPT / CONDITIONAL</x:v>
      </x:c>
      <x:c r="U29" s="24" t="str">
        <x:v>Medium</x:v>
      </x:c>
      <x:c r="V29" s="24" t="str">
        <x:v>Not runtime by default</x:v>
      </x:c>
      <x:c r="W29" s="24" t="str">
        <x:v>VRM Games</x:v>
      </x:c>
      <x:c r="X29" s="24" t="str">
        <x:v>No usar como prueba de propiedad exclusiva ni imitar marcas/artistas; las imágenes de expansión permanecen NOT OPEN.</x:v>
      </x:c>
    </x:row>
    <x:row r="30" ht="34" customHeight="1">
      <x:c r="A30" s="24" t="str">
        <x:v>GEN-IMG-026</x:v>
      </x:c>
      <x:c r="B30" s="24" t="str">
        <x:v>GEN-CONCEPT-026</x:v>
      </x:c>
      <x:c r="C30" s="24" t="str">
        <x:v>ChatGPT Image 29 jun 2026, 21_39_17 (7).png</x:v>
      </x:c>
      <x:c r="D30" s="24" t="str">
        <x:v>Expansion concept</x:v>
      </x:c>
      <x:c r="E30" s="24" t="str">
        <x:v>ChatGPT / OpenAI image generation</x:v>
      </x:c>
      <x:c r="F30" s="24" t="str">
        <x:v>OpenAI</x:v>
      </x:c>
      <x:c r="G30" s="24" t="str">
        <x:v>2026-06-29</x:v>
      </x:c>
      <x:c r="H30" s="24" t="str">
        <x:v>Project-specific concept request; detailed prompt should be retained with project conversation/export</x:v>
      </x:c>
      <x:c r="I30" s="24" t="str">
        <x:v>Selection, review and project direction by VRM Games</x:v>
      </x:c>
      <x:c r="J30" s="24" t="str">
        <x:v>Internal concept/reference; not automatically runtime or marketing</x:v>
      </x:c>
      <x:c r="K30" s="24" t="str">
        <x:v>Generated output</x:v>
      </x:c>
      <x:c r="L30" s="24" t="str">
        <x:v>Applicable OpenAI service terms at generation/use date; reverify before public release</x:v>
      </x:c>
      <x:c r="M30" s="24" t="str">
        <x:v>Project conversation + source file + hash</x:v>
      </x:c>
      <x:c r="N30" s="24" t="str">
        <x:v>cf9a87944e4aaff1730c4162d300a6204d248f4e6a62f8c0fe46ee7152819ff5</x:v>
      </x:c>
      <x:c r="O30" s="24" t="str">
        <x:v>Documentation/01_Working_Documents/Sprint_16/Art_3D/Concept_Art/05_Expansion_Concepts/ChatGPT Image 29 jun 2026, 21_39_17 (7).png</x:v>
      </x:c>
      <x:c r="P30" s="24" t="str">
        <x:v>REVIEW BEFORE PUBLIC USE</x:v>
      </x:c>
      <x:c r="Q30" s="24" t="str">
        <x:v>Permitted operationally subject to applicable terms and rights review</x:v>
      </x:c>
      <x:c r="R30" s="24" t="str">
        <x:v>Not assumed legally required; internal disclosure recommended</x:v>
      </x:c>
      <x:c r="S30" s="24" t="str">
        <x:v>Pending per image before external publication</x:v>
      </x:c>
      <x:c r="T30" s="24" t="str">
        <x:v>INTERNAL CONCEPT / CONDITIONAL</x:v>
      </x:c>
      <x:c r="U30" s="24" t="str">
        <x:v>Medium</x:v>
      </x:c>
      <x:c r="V30" s="24" t="str">
        <x:v>Not runtime by default</x:v>
      </x:c>
      <x:c r="W30" s="24" t="str">
        <x:v>VRM Games</x:v>
      </x:c>
      <x:c r="X30" s="24" t="str">
        <x:v>No usar como prueba de propiedad exclusiva ni imitar marcas/artistas; las imágenes de expansión permanecen NOT OPEN.</x:v>
      </x:c>
    </x:row>
    <x:row r="31" ht="34" customHeight="1">
      <x:c r="A31" s="24" t="str">
        <x:v>GEN-IMG-027</x:v>
      </x:c>
      <x:c r="B31" s="24" t="str">
        <x:v>GEN-CONCEPT-027</x:v>
      </x:c>
      <x:c r="C31" s="24" t="str">
        <x:v>ChatGPT Image 29 jun 2026, 21_39_17 (8).png</x:v>
      </x:c>
      <x:c r="D31" s="24" t="str">
        <x:v>Expansion concept</x:v>
      </x:c>
      <x:c r="E31" s="24" t="str">
        <x:v>ChatGPT / OpenAI image generation</x:v>
      </x:c>
      <x:c r="F31" s="24" t="str">
        <x:v>OpenAI</x:v>
      </x:c>
      <x:c r="G31" s="24" t="str">
        <x:v>2026-06-29</x:v>
      </x:c>
      <x:c r="H31" s="24" t="str">
        <x:v>Project-specific concept request; detailed prompt should be retained with project conversation/export</x:v>
      </x:c>
      <x:c r="I31" s="24" t="str">
        <x:v>Selection, review and project direction by VRM Games</x:v>
      </x:c>
      <x:c r="J31" s="24" t="str">
        <x:v>Internal concept/reference; not automatically runtime or marketing</x:v>
      </x:c>
      <x:c r="K31" s="24" t="str">
        <x:v>Generated output</x:v>
      </x:c>
      <x:c r="L31" s="24" t="str">
        <x:v>Applicable OpenAI service terms at generation/use date; reverify before public release</x:v>
      </x:c>
      <x:c r="M31" s="24" t="str">
        <x:v>Project conversation + source file + hash</x:v>
      </x:c>
      <x:c r="N31" s="24" t="str">
        <x:v>cb6d28e87a016aa78cb5b6d1d84dbe42368fadc7b50f3ef8345214bf1e6a59dd</x:v>
      </x:c>
      <x:c r="O31" s="24" t="str">
        <x:v>Documentation/01_Working_Documents/Sprint_16/Art_3D/Concept_Art/05_Expansion_Concepts/ChatGPT Image 29 jun 2026, 21_39_17 (8).png</x:v>
      </x:c>
      <x:c r="P31" s="24" t="str">
        <x:v>REVIEW BEFORE PUBLIC USE</x:v>
      </x:c>
      <x:c r="Q31" s="24" t="str">
        <x:v>Permitted operationally subject to applicable terms and rights review</x:v>
      </x:c>
      <x:c r="R31" s="24" t="str">
        <x:v>Not assumed legally required; internal disclosure recommended</x:v>
      </x:c>
      <x:c r="S31" s="24" t="str">
        <x:v>Pending per image before external publication</x:v>
      </x:c>
      <x:c r="T31" s="24" t="str">
        <x:v>INTERNAL CONCEPT / CONDITIONAL</x:v>
      </x:c>
      <x:c r="U31" s="24" t="str">
        <x:v>Medium</x:v>
      </x:c>
      <x:c r="V31" s="24" t="str">
        <x:v>Not runtime by default</x:v>
      </x:c>
      <x:c r="W31" s="24" t="str">
        <x:v>VRM Games</x:v>
      </x:c>
      <x:c r="X31" s="24" t="str">
        <x:v>No usar como prueba de propiedad exclusiva ni imitar marcas/artistas; las imágenes de expansión permanecen NOT OPEN.</x:v>
      </x:c>
    </x:row>
    <x:row r="32" ht="34" customHeight="1">
      <x:c r="A32" s="24" t="str">
        <x:v>GEN-DOC-001</x:v>
      </x:c>
      <x:c r="B32" s="24" t="str">
        <x:v>DOC-00</x:v>
      </x:c>
      <x:c r="C32" s="24" t="str">
        <x:v>00_Enfoque_y_Alcance.md</x:v>
      </x:c>
      <x:c r="D32" s="24" t="str">
        <x:v>AI-assisted project documentation</x:v>
      </x:c>
      <x:c r="E32" s="24" t="str">
        <x:v>ChatGPT / OpenAI language model assistance</x:v>
      </x:c>
      <x:c r="F32" s="24" t="str">
        <x:v>OpenAI</x:v>
      </x:c>
      <x:c r="G32" s="24" t="str">
        <x:v>2026-06/07 project consolidation</x:v>
      </x:c>
      <x:c r="H32" s="24" t="str">
        <x:v>Consolidation, drafting and structuring under user direction using supplied project sources</x:v>
      </x:c>
      <x:c r="I32" s="24" t="str">
        <x:v>Requested, directed, downloaded, reviewed and adopted by project owner</x:v>
      </x:c>
      <x:c r="J32" s="24" t="str">
        <x:v>Internal project governance; selected documents may support collaborators</x:v>
      </x:c>
      <x:c r="K32" s="24" t="str">
        <x:v>AI-assisted drafting from project-owned/source documents</x:v>
      </x:c>
      <x:c r="L32" s="24" t="str">
        <x:v>Applicable OpenAI service terms; factual/source provenance remains project responsibility</x:v>
      </x:c>
      <x:c r="M32" s="24" t="str">
        <x:v>Conversation + artifact hash</x:v>
      </x:c>
      <x:c r="N32" s="24" t="str">
        <x:v>63dd6f0f1b9c2c80be2aec55718d18d9d031ce4acb14f677769d6e69ceaad21f</x:v>
      </x:c>
      <x:c r="O32" s="24" t="str">
        <x:v>00_Enfoque_y_Alcance.md</x:v>
      </x:c>
      <x:c r="P32" s="24" t="str">
        <x:v>Internal documentation; external publication subject to review</x:v>
      </x:c>
      <x:c r="Q32" s="24" t="str">
        <x:v>Yes by project owner</x:v>
      </x:c>
      <x:c r="R32" s="24" t="str">
        <x:v>Optional/internal disclosure policy</x:v>
      </x:c>
      <x:c r="S32" s="24" t="str">
        <x:v>Not normally applicable; check copied third-party text/source quotations</x:v>
      </x:c>
      <x:c r="T32" s="24" t="str">
        <x:v>INTERNAL GOVERNANCE / REVIEWED</x:v>
      </x:c>
      <x:c r="U32" s="24" t="str">
        <x:v>Low</x:v>
      </x:c>
      <x:c r="V32" s="24" t="str">
        <x:v>Not a runtime asset</x:v>
      </x:c>
      <x:c r="W32" s="24" t="str">
        <x:v>VRM Games</x:v>
      </x:c>
      <x:c r="X32" s="24" t="str">
        <x:v>No sustituye revisión legal ni convierte fuentes de terceros en propiedad del proyecto.</x:v>
      </x:c>
    </x:row>
    <x:row r="33" ht="34" customHeight="1">
      <x:c r="A33" s="24" t="str">
        <x:v>GEN-DOC-002</x:v>
      </x:c>
      <x:c r="B33" s="24" t="str">
        <x:v>DOC-01</x:v>
      </x:c>
      <x:c r="C33" s="24" t="str">
        <x:v>01_Game_Design_Document.md</x:v>
      </x:c>
      <x:c r="D33" s="24" t="str">
        <x:v>AI-assisted project documentation</x:v>
      </x:c>
      <x:c r="E33" s="24" t="str">
        <x:v>ChatGPT / OpenAI language model assistance</x:v>
      </x:c>
      <x:c r="F33" s="24" t="str">
        <x:v>OpenAI</x:v>
      </x:c>
      <x:c r="G33" s="24" t="str">
        <x:v>2026-06/07 project consolidation</x:v>
      </x:c>
      <x:c r="H33" s="24" t="str">
        <x:v>Consolidation, drafting and structuring under user direction using supplied project sources</x:v>
      </x:c>
      <x:c r="I33" s="24" t="str">
        <x:v>Requested, directed, downloaded, reviewed and adopted by project owner</x:v>
      </x:c>
      <x:c r="J33" s="24" t="str">
        <x:v>Internal project governance; selected documents may support collaborators</x:v>
      </x:c>
      <x:c r="K33" s="24" t="str">
        <x:v>AI-assisted drafting from project-owned/source documents</x:v>
      </x:c>
      <x:c r="L33" s="24" t="str">
        <x:v>Applicable OpenAI service terms; factual/source provenance remains project responsibility</x:v>
      </x:c>
      <x:c r="M33" s="24" t="str">
        <x:v>Conversation + artifact hash</x:v>
      </x:c>
      <x:c r="N33" s="24" t="str">
        <x:v>a9cd9e3203abc5269c25c59dc7f626b0771df4ec2d65e781109ff146bceb2177</x:v>
      </x:c>
      <x:c r="O33" s="24" t="str">
        <x:v>01_Game_Design_Document.md</x:v>
      </x:c>
      <x:c r="P33" s="24" t="str">
        <x:v>Internal documentation; external publication subject to review</x:v>
      </x:c>
      <x:c r="Q33" s="24" t="str">
        <x:v>Yes by project owner</x:v>
      </x:c>
      <x:c r="R33" s="24" t="str">
        <x:v>Optional/internal disclosure policy</x:v>
      </x:c>
      <x:c r="S33" s="24" t="str">
        <x:v>Not normally applicable; check copied third-party text/source quotations</x:v>
      </x:c>
      <x:c r="T33" s="24" t="str">
        <x:v>INTERNAL GOVERNANCE / REVIEWED</x:v>
      </x:c>
      <x:c r="U33" s="24" t="str">
        <x:v>Low</x:v>
      </x:c>
      <x:c r="V33" s="24" t="str">
        <x:v>Not a runtime asset</x:v>
      </x:c>
      <x:c r="W33" s="24" t="str">
        <x:v>VRM Games</x:v>
      </x:c>
      <x:c r="X33" s="24" t="str">
        <x:v>No sustituye revisión legal ni convierte fuentes de terceros en propiedad del proyecto.</x:v>
      </x:c>
    </x:row>
    <x:row r="34" ht="34" customHeight="1">
      <x:c r="A34" s="24" t="str">
        <x:v>GEN-DOC-003</x:v>
      </x:c>
      <x:c r="B34" s="24" t="str">
        <x:v>DOC-02</x:v>
      </x:c>
      <x:c r="C34" s="24" t="str">
        <x:v>02_Vertical_Slice_Specification.md</x:v>
      </x:c>
      <x:c r="D34" s="24" t="str">
        <x:v>AI-assisted project documentation</x:v>
      </x:c>
      <x:c r="E34" s="24" t="str">
        <x:v>ChatGPT / OpenAI language model assistance</x:v>
      </x:c>
      <x:c r="F34" s="24" t="str">
        <x:v>OpenAI</x:v>
      </x:c>
      <x:c r="G34" s="24" t="str">
        <x:v>2026-06/07 project consolidation</x:v>
      </x:c>
      <x:c r="H34" s="24" t="str">
        <x:v>Consolidation, drafting and structuring under user direction using supplied project sources</x:v>
      </x:c>
      <x:c r="I34" s="24" t="str">
        <x:v>Requested, directed, downloaded, reviewed and adopted by project owner</x:v>
      </x:c>
      <x:c r="J34" s="24" t="str">
        <x:v>Internal project governance; selected documents may support collaborators</x:v>
      </x:c>
      <x:c r="K34" s="24" t="str">
        <x:v>AI-assisted drafting from project-owned/source documents</x:v>
      </x:c>
      <x:c r="L34" s="24" t="str">
        <x:v>Applicable OpenAI service terms; factual/source provenance remains project responsibility</x:v>
      </x:c>
      <x:c r="M34" s="24" t="str">
        <x:v>Conversation + artifact hash</x:v>
      </x:c>
      <x:c r="N34" s="24" t="str">
        <x:v>75893f130116e88a08b8da5590dd81876a234581081eafaa8d08374c1a60513f</x:v>
      </x:c>
      <x:c r="O34" s="24" t="str">
        <x:v>02_Vertical_Slice_Specification.md</x:v>
      </x:c>
      <x:c r="P34" s="24" t="str">
        <x:v>Internal documentation; external publication subject to review</x:v>
      </x:c>
      <x:c r="Q34" s="24" t="str">
        <x:v>Yes by project owner</x:v>
      </x:c>
      <x:c r="R34" s="24" t="str">
        <x:v>Optional/internal disclosure policy</x:v>
      </x:c>
      <x:c r="S34" s="24" t="str">
        <x:v>Not normally applicable; check copied third-party text/source quotations</x:v>
      </x:c>
      <x:c r="T34" s="24" t="str">
        <x:v>INTERNAL GOVERNANCE / REVIEWED</x:v>
      </x:c>
      <x:c r="U34" s="24" t="str">
        <x:v>Low</x:v>
      </x:c>
      <x:c r="V34" s="24" t="str">
        <x:v>Not a runtime asset</x:v>
      </x:c>
      <x:c r="W34" s="24" t="str">
        <x:v>VRM Games</x:v>
      </x:c>
      <x:c r="X34" s="24" t="str">
        <x:v>No sustituye revisión legal ni convierte fuentes de terceros en propiedad del proyecto.</x:v>
      </x:c>
    </x:row>
    <x:row r="35" ht="34" customHeight="1">
      <x:c r="A35" s="24" t="str">
        <x:v>GEN-DOC-004</x:v>
      </x:c>
      <x:c r="B35" s="24" t="str">
        <x:v>DOC-03</x:v>
      </x:c>
      <x:c r="C35" s="24" t="str">
        <x:v>03_Technical_Design_Document.md</x:v>
      </x:c>
      <x:c r="D35" s="24" t="str">
        <x:v>AI-assisted project documentation</x:v>
      </x:c>
      <x:c r="E35" s="24" t="str">
        <x:v>ChatGPT / OpenAI language model assistance</x:v>
      </x:c>
      <x:c r="F35" s="24" t="str">
        <x:v>OpenAI</x:v>
      </x:c>
      <x:c r="G35" s="24" t="str">
        <x:v>2026-06/07 project consolidation</x:v>
      </x:c>
      <x:c r="H35" s="24" t="str">
        <x:v>Consolidation, drafting and structuring under user direction using supplied project sources</x:v>
      </x:c>
      <x:c r="I35" s="24" t="str">
        <x:v>Requested, directed, downloaded, reviewed and adopted by project owner</x:v>
      </x:c>
      <x:c r="J35" s="24" t="str">
        <x:v>Internal project governance; selected documents may support collaborators</x:v>
      </x:c>
      <x:c r="K35" s="24" t="str">
        <x:v>AI-assisted drafting from project-owned/source documents</x:v>
      </x:c>
      <x:c r="L35" s="24" t="str">
        <x:v>Applicable OpenAI service terms; factual/source provenance remains project responsibility</x:v>
      </x:c>
      <x:c r="M35" s="24" t="str">
        <x:v>Conversation + artifact hash</x:v>
      </x:c>
      <x:c r="N35" s="24" t="str">
        <x:v>66264703c5ff4959d03093690e9845a98ec0e5025e685b9a639ac8cbb616cd12</x:v>
      </x:c>
      <x:c r="O35" s="24" t="str">
        <x:v>03_Technical_Design_Document.md</x:v>
      </x:c>
      <x:c r="P35" s="24" t="str">
        <x:v>Internal documentation; external publication subject to review</x:v>
      </x:c>
      <x:c r="Q35" s="24" t="str">
        <x:v>Yes by project owner</x:v>
      </x:c>
      <x:c r="R35" s="24" t="str">
        <x:v>Optional/internal disclosure policy</x:v>
      </x:c>
      <x:c r="S35" s="24" t="str">
        <x:v>Not normally applicable; check copied third-party text/source quotations</x:v>
      </x:c>
      <x:c r="T35" s="24" t="str">
        <x:v>INTERNAL GOVERNANCE / REVIEWED</x:v>
      </x:c>
      <x:c r="U35" s="24" t="str">
        <x:v>Low</x:v>
      </x:c>
      <x:c r="V35" s="24" t="str">
        <x:v>Not a runtime asset</x:v>
      </x:c>
      <x:c r="W35" s="24" t="str">
        <x:v>VRM Games</x:v>
      </x:c>
      <x:c r="X35" s="24" t="str">
        <x:v>No sustituye revisión legal ni convierte fuentes de terceros en propiedad del proyecto.</x:v>
      </x:c>
    </x:row>
    <x:row r="36" ht="34" customHeight="1">
      <x:c r="A36" s="24" t="str">
        <x:v>GEN-DOC-005</x:v>
      </x:c>
      <x:c r="B36" s="24" t="str">
        <x:v>DOC-04</x:v>
      </x:c>
      <x:c r="C36" s="24" t="str">
        <x:v>04_Modelo_de_Datos.md</x:v>
      </x:c>
      <x:c r="D36" s="24" t="str">
        <x:v>AI-assisted project documentation</x:v>
      </x:c>
      <x:c r="E36" s="24" t="str">
        <x:v>ChatGPT / OpenAI language model assistance</x:v>
      </x:c>
      <x:c r="F36" s="24" t="str">
        <x:v>OpenAI</x:v>
      </x:c>
      <x:c r="G36" s="24" t="str">
        <x:v>2026-06/07 project consolidation</x:v>
      </x:c>
      <x:c r="H36" s="24" t="str">
        <x:v>Consolidation, drafting and structuring under user direction using supplied project sources</x:v>
      </x:c>
      <x:c r="I36" s="24" t="str">
        <x:v>Requested, directed, downloaded, reviewed and adopted by project owner</x:v>
      </x:c>
      <x:c r="J36" s="24" t="str">
        <x:v>Internal project governance; selected documents may support collaborators</x:v>
      </x:c>
      <x:c r="K36" s="24" t="str">
        <x:v>AI-assisted drafting from project-owned/source documents</x:v>
      </x:c>
      <x:c r="L36" s="24" t="str">
        <x:v>Applicable OpenAI service terms; factual/source provenance remains project responsibility</x:v>
      </x:c>
      <x:c r="M36" s="24" t="str">
        <x:v>Conversation + artifact hash</x:v>
      </x:c>
      <x:c r="N36" s="24" t="str">
        <x:v>d851a72b55742c2c704cc7c002929bc5894e7142511c6af843440bb193fb19d4</x:v>
      </x:c>
      <x:c r="O36" s="24" t="str">
        <x:v>04_Modelo_de_Datos.md</x:v>
      </x:c>
      <x:c r="P36" s="24" t="str">
        <x:v>Internal documentation; external publication subject to review</x:v>
      </x:c>
      <x:c r="Q36" s="24" t="str">
        <x:v>Yes by project owner</x:v>
      </x:c>
      <x:c r="R36" s="24" t="str">
        <x:v>Optional/internal disclosure policy</x:v>
      </x:c>
      <x:c r="S36" s="24" t="str">
        <x:v>Not normally applicable; check copied third-party text/source quotations</x:v>
      </x:c>
      <x:c r="T36" s="24" t="str">
        <x:v>INTERNAL GOVERNANCE / REVIEWED</x:v>
      </x:c>
      <x:c r="U36" s="24" t="str">
        <x:v>Low</x:v>
      </x:c>
      <x:c r="V36" s="24" t="str">
        <x:v>Not a runtime asset</x:v>
      </x:c>
      <x:c r="W36" s="24" t="str">
        <x:v>VRM Games</x:v>
      </x:c>
      <x:c r="X36" s="24" t="str">
        <x:v>No sustituye revisión legal ni convierte fuentes de terceros en propiedad del proyecto.</x:v>
      </x:c>
    </x:row>
    <x:row r="37" ht="34" customHeight="1">
      <x:c r="A37" s="24" t="str">
        <x:v>GEN-DOC-006</x:v>
      </x:c>
      <x:c r="B37" s="24" t="str">
        <x:v>DOC-05</x:v>
      </x:c>
      <x:c r="C37" s="24" t="str">
        <x:v>05_UX_Flow.md</x:v>
      </x:c>
      <x:c r="D37" s="24" t="str">
        <x:v>AI-assisted project documentation</x:v>
      </x:c>
      <x:c r="E37" s="24" t="str">
        <x:v>ChatGPT / OpenAI language model assistance</x:v>
      </x:c>
      <x:c r="F37" s="24" t="str">
        <x:v>OpenAI</x:v>
      </x:c>
      <x:c r="G37" s="24" t="str">
        <x:v>2026-06/07 project consolidation</x:v>
      </x:c>
      <x:c r="H37" s="24" t="str">
        <x:v>Consolidation, drafting and structuring under user direction using supplied project sources</x:v>
      </x:c>
      <x:c r="I37" s="24" t="str">
        <x:v>Requested, directed, downloaded, reviewed and adopted by project owner</x:v>
      </x:c>
      <x:c r="J37" s="24" t="str">
        <x:v>Internal project governance; selected documents may support collaborators</x:v>
      </x:c>
      <x:c r="K37" s="24" t="str">
        <x:v>AI-assisted drafting from project-owned/source documents</x:v>
      </x:c>
      <x:c r="L37" s="24" t="str">
        <x:v>Applicable OpenAI service terms; factual/source provenance remains project responsibility</x:v>
      </x:c>
      <x:c r="M37" s="24" t="str">
        <x:v>Conversation + artifact hash</x:v>
      </x:c>
      <x:c r="N37" s="24" t="str">
        <x:v>e08da5ff67fb073a8b950babe325ae58ddb2e121513dc2f553acd4f2c14b867e</x:v>
      </x:c>
      <x:c r="O37" s="24" t="str">
        <x:v>05_UX_Flow.md</x:v>
      </x:c>
      <x:c r="P37" s="24" t="str">
        <x:v>Internal documentation; external publication subject to review</x:v>
      </x:c>
      <x:c r="Q37" s="24" t="str">
        <x:v>Yes by project owner</x:v>
      </x:c>
      <x:c r="R37" s="24" t="str">
        <x:v>Optional/internal disclosure policy</x:v>
      </x:c>
      <x:c r="S37" s="24" t="str">
        <x:v>Not normally applicable; check copied third-party text/source quotations</x:v>
      </x:c>
      <x:c r="T37" s="24" t="str">
        <x:v>INTERNAL GOVERNANCE / REVIEWED</x:v>
      </x:c>
      <x:c r="U37" s="24" t="str">
        <x:v>Low</x:v>
      </x:c>
      <x:c r="V37" s="24" t="str">
        <x:v>Not a runtime asset</x:v>
      </x:c>
      <x:c r="W37" s="24" t="str">
        <x:v>VRM Games</x:v>
      </x:c>
      <x:c r="X37" s="24" t="str">
        <x:v>No sustituye revisión legal ni convierte fuentes de terceros en propiedad del proyecto.</x:v>
      </x:c>
    </x:row>
    <x:row r="38" ht="34" customHeight="1">
      <x:c r="A38" s="24" t="str">
        <x:v>GEN-DOC-007</x:v>
      </x:c>
      <x:c r="B38" s="24" t="str">
        <x:v>DOC-06</x:v>
      </x:c>
      <x:c r="C38" s="24" t="str">
        <x:v>06_Production_Roadmap_y_Sprint_Plan.md</x:v>
      </x:c>
      <x:c r="D38" s="24" t="str">
        <x:v>AI-assisted project documentation</x:v>
      </x:c>
      <x:c r="E38" s="24" t="str">
        <x:v>ChatGPT / OpenAI language model assistance</x:v>
      </x:c>
      <x:c r="F38" s="24" t="str">
        <x:v>OpenAI</x:v>
      </x:c>
      <x:c r="G38" s="24" t="str">
        <x:v>2026-06/07 project consolidation</x:v>
      </x:c>
      <x:c r="H38" s="24" t="str">
        <x:v>Consolidation, drafting and structuring under user direction using supplied project sources</x:v>
      </x:c>
      <x:c r="I38" s="24" t="str">
        <x:v>Requested, directed, downloaded, reviewed and adopted by project owner</x:v>
      </x:c>
      <x:c r="J38" s="24" t="str">
        <x:v>Internal project governance; selected documents may support collaborators</x:v>
      </x:c>
      <x:c r="K38" s="24" t="str">
        <x:v>AI-assisted drafting from project-owned/source documents</x:v>
      </x:c>
      <x:c r="L38" s="24" t="str">
        <x:v>Applicable OpenAI service terms; factual/source provenance remains project responsibility</x:v>
      </x:c>
      <x:c r="M38" s="24" t="str">
        <x:v>Conversation + artifact hash</x:v>
      </x:c>
      <x:c r="N38" s="24" t="str">
        <x:v>d00b156c0ad1c66069278119c55f76c738a577a3e2835f770208d1a5f2faadff</x:v>
      </x:c>
      <x:c r="O38" s="24" t="str">
        <x:v>06_Production_Roadmap_y_Sprint_Plan.md</x:v>
      </x:c>
      <x:c r="P38" s="24" t="str">
        <x:v>Internal documentation; external publication subject to review</x:v>
      </x:c>
      <x:c r="Q38" s="24" t="str">
        <x:v>Yes by project owner</x:v>
      </x:c>
      <x:c r="R38" s="24" t="str">
        <x:v>Optional/internal disclosure policy</x:v>
      </x:c>
      <x:c r="S38" s="24" t="str">
        <x:v>Not normally applicable; check copied third-party text/source quotations</x:v>
      </x:c>
      <x:c r="T38" s="24" t="str">
        <x:v>INTERNAL GOVERNANCE / REVIEWED</x:v>
      </x:c>
      <x:c r="U38" s="24" t="str">
        <x:v>Low</x:v>
      </x:c>
      <x:c r="V38" s="24" t="str">
        <x:v>Not a runtime asset</x:v>
      </x:c>
      <x:c r="W38" s="24" t="str">
        <x:v>VRM Games</x:v>
      </x:c>
      <x:c r="X38" s="24" t="str">
        <x:v>No sustituye revisión legal ni convierte fuentes de terceros en propiedad del proyecto.</x:v>
      </x:c>
    </x:row>
    <x:row r="39" ht="34" customHeight="1">
      <x:c r="A39" s="24" t="str">
        <x:v>GEN-DOC-008</x:v>
      </x:c>
      <x:c r="B39" s="24" t="str">
        <x:v>DOC-07</x:v>
      </x:c>
      <x:c r="C39" s="24" t="str">
        <x:v>07_QA_Testing_Plan.md</x:v>
      </x:c>
      <x:c r="D39" s="24" t="str">
        <x:v>AI-assisted project documentation</x:v>
      </x:c>
      <x:c r="E39" s="24" t="str">
        <x:v>ChatGPT / OpenAI language model assistance</x:v>
      </x:c>
      <x:c r="F39" s="24" t="str">
        <x:v>OpenAI</x:v>
      </x:c>
      <x:c r="G39" s="24" t="str">
        <x:v>2026-06/07 project consolidation</x:v>
      </x:c>
      <x:c r="H39" s="24" t="str">
        <x:v>Consolidation, drafting and structuring under user direction using supplied project sources</x:v>
      </x:c>
      <x:c r="I39" s="24" t="str">
        <x:v>Requested, directed, downloaded, reviewed and adopted by project owner</x:v>
      </x:c>
      <x:c r="J39" s="24" t="str">
        <x:v>Internal project governance; selected documents may support collaborators</x:v>
      </x:c>
      <x:c r="K39" s="24" t="str">
        <x:v>AI-assisted drafting from project-owned/source documents</x:v>
      </x:c>
      <x:c r="L39" s="24" t="str">
        <x:v>Applicable OpenAI service terms; factual/source provenance remains project responsibility</x:v>
      </x:c>
      <x:c r="M39" s="24" t="str">
        <x:v>Conversation + artifact hash</x:v>
      </x:c>
      <x:c r="N39" s="24" t="str">
        <x:v>bc9c05a3737e345546ef16e5390e034295ef35ad66c31647852aec81b4e7affe</x:v>
      </x:c>
      <x:c r="O39" s="24" t="str">
        <x:v>07_QA_Testing_Plan.md</x:v>
      </x:c>
      <x:c r="P39" s="24" t="str">
        <x:v>Internal documentation; external publication subject to review</x:v>
      </x:c>
      <x:c r="Q39" s="24" t="str">
        <x:v>Yes by project owner</x:v>
      </x:c>
      <x:c r="R39" s="24" t="str">
        <x:v>Optional/internal disclosure policy</x:v>
      </x:c>
      <x:c r="S39" s="24" t="str">
        <x:v>Not normally applicable; check copied third-party text/source quotations</x:v>
      </x:c>
      <x:c r="T39" s="24" t="str">
        <x:v>INTERNAL GOVERNANCE / REVIEWED</x:v>
      </x:c>
      <x:c r="U39" s="24" t="str">
        <x:v>Low</x:v>
      </x:c>
      <x:c r="V39" s="24" t="str">
        <x:v>Not a runtime asset</x:v>
      </x:c>
      <x:c r="W39" s="24" t="str">
        <x:v>VRM Games</x:v>
      </x:c>
      <x:c r="X39" s="24" t="str">
        <x:v>No sustituye revisión legal ni convierte fuentes de terceros en propiedad del proyecto.</x:v>
      </x:c>
    </x:row>
    <x:row r="40" ht="34" customHeight="1">
      <x:c r="A40" s="24" t="str">
        <x:v>GEN-DOC-009</x:v>
      </x:c>
      <x:c r="B40" s="24" t="str">
        <x:v>DOC-08</x:v>
      </x:c>
      <x:c r="C40" s="24" t="str">
        <x:v>08_QA_Testing_Matrix.xlsx</x:v>
      </x:c>
      <x:c r="D40" s="24" t="str">
        <x:v>AI-assisted project documentation</x:v>
      </x:c>
      <x:c r="E40" s="24" t="str">
        <x:v>ChatGPT / OpenAI language model assistance</x:v>
      </x:c>
      <x:c r="F40" s="24" t="str">
        <x:v>OpenAI</x:v>
      </x:c>
      <x:c r="G40" s="24" t="str">
        <x:v>2026-06/07 project consolidation</x:v>
      </x:c>
      <x:c r="H40" s="24" t="str">
        <x:v>Consolidation, drafting and structuring under user direction using supplied project sources</x:v>
      </x:c>
      <x:c r="I40" s="24" t="str">
        <x:v>Requested, directed, downloaded, reviewed and adopted by project owner</x:v>
      </x:c>
      <x:c r="J40" s="24" t="str">
        <x:v>Internal project governance; selected documents may support collaborators</x:v>
      </x:c>
      <x:c r="K40" s="24" t="str">
        <x:v>AI-assisted drafting from project-owned/source documents</x:v>
      </x:c>
      <x:c r="L40" s="24" t="str">
        <x:v>Applicable OpenAI service terms; factual/source provenance remains project responsibility</x:v>
      </x:c>
      <x:c r="M40" s="24" t="str">
        <x:v>Conversation + artifact hash</x:v>
      </x:c>
      <x:c r="N40" s="24" t="str">
        <x:v>233e57f01d2468fe13c136c8fcd3ee75b39bd3de6530349626ea98d4ff254214</x:v>
      </x:c>
      <x:c r="O40" s="24" t="str">
        <x:v>08_QA_Testing_Matrix.xlsx</x:v>
      </x:c>
      <x:c r="P40" s="24" t="str">
        <x:v>Internal documentation; external publication subject to review</x:v>
      </x:c>
      <x:c r="Q40" s="24" t="str">
        <x:v>Yes by project owner</x:v>
      </x:c>
      <x:c r="R40" s="24" t="str">
        <x:v>Optional/internal disclosure policy</x:v>
      </x:c>
      <x:c r="S40" s="24" t="str">
        <x:v>Not normally applicable; check copied third-party text/source quotations</x:v>
      </x:c>
      <x:c r="T40" s="24" t="str">
        <x:v>INTERNAL GOVERNANCE / REVIEWED</x:v>
      </x:c>
      <x:c r="U40" s="24" t="str">
        <x:v>Low</x:v>
      </x:c>
      <x:c r="V40" s="24" t="str">
        <x:v>Not a runtime asset</x:v>
      </x:c>
      <x:c r="W40" s="24" t="str">
        <x:v>VRM Games</x:v>
      </x:c>
      <x:c r="X40" s="24" t="str">
        <x:v>No sustituye revisión legal ni convierte fuentes de terceros en propiedad del proyecto.</x:v>
      </x:c>
    </x:row>
    <x:row r="41" ht="34" customHeight="1">
      <x:c r="A41" s="24" t="str">
        <x:v>GEN-DOC-010</x:v>
      </x:c>
      <x:c r="B41" s="24" t="str">
        <x:v>DOC-09</x:v>
      </x:c>
      <x:c r="C41" s="24" t="str">
        <x:v>09_CSharp_Coding_Standards.md</x:v>
      </x:c>
      <x:c r="D41" s="24" t="str">
        <x:v>AI-assisted project documentation</x:v>
      </x:c>
      <x:c r="E41" s="24" t="str">
        <x:v>ChatGPT / OpenAI language model assistance</x:v>
      </x:c>
      <x:c r="F41" s="24" t="str">
        <x:v>OpenAI</x:v>
      </x:c>
      <x:c r="G41" s="24" t="str">
        <x:v>2026-06/07 project consolidation</x:v>
      </x:c>
      <x:c r="H41" s="24" t="str">
        <x:v>Consolidation, drafting and structuring under user direction using supplied project sources</x:v>
      </x:c>
      <x:c r="I41" s="24" t="str">
        <x:v>Requested, directed, downloaded, reviewed and adopted by project owner</x:v>
      </x:c>
      <x:c r="J41" s="24" t="str">
        <x:v>Internal project governance; selected documents may support collaborators</x:v>
      </x:c>
      <x:c r="K41" s="24" t="str">
        <x:v>AI-assisted drafting from project-owned/source documents</x:v>
      </x:c>
      <x:c r="L41" s="24" t="str">
        <x:v>Applicable OpenAI service terms; factual/source provenance remains project responsibility</x:v>
      </x:c>
      <x:c r="M41" s="24" t="str">
        <x:v>Conversation + artifact hash</x:v>
      </x:c>
      <x:c r="N41" s="24" t="str">
        <x:v>3b734d6cd49f31c09c10bb4941625e143f6c634e3fb50c157f0720e73b1c2a68</x:v>
      </x:c>
      <x:c r="O41" s="24" t="str">
        <x:v>09_CSharp_Coding_Standards.md</x:v>
      </x:c>
      <x:c r="P41" s="24" t="str">
        <x:v>Internal documentation; external publication subject to review</x:v>
      </x:c>
      <x:c r="Q41" s="24" t="str">
        <x:v>Yes by project owner</x:v>
      </x:c>
      <x:c r="R41" s="24" t="str">
        <x:v>Optional/internal disclosure policy</x:v>
      </x:c>
      <x:c r="S41" s="24" t="str">
        <x:v>Not normally applicable; check copied third-party text/source quotations</x:v>
      </x:c>
      <x:c r="T41" s="24" t="str">
        <x:v>INTERNAL GOVERNANCE / REVIEWED</x:v>
      </x:c>
      <x:c r="U41" s="24" t="str">
        <x:v>Low</x:v>
      </x:c>
      <x:c r="V41" s="24" t="str">
        <x:v>Not a runtime asset</x:v>
      </x:c>
      <x:c r="W41" s="24" t="str">
        <x:v>VRM Games</x:v>
      </x:c>
      <x:c r="X41" s="24" t="str">
        <x:v>No sustituye revisión legal ni convierte fuentes de terceros en propiedad del proyecto.</x:v>
      </x:c>
    </x:row>
    <x:row r="42" ht="34" customHeight="1">
      <x:c r="A42" s="24" t="str">
        <x:v>GEN-DOC-011</x:v>
      </x:c>
      <x:c r="B42" s="24" t="str">
        <x:v>DOC-10</x:v>
      </x:c>
      <x:c r="C42" s="24" t="str">
        <x:v>10_Unity_Project_Setup_Guide.md</x:v>
      </x:c>
      <x:c r="D42" s="24" t="str">
        <x:v>AI-assisted project documentation</x:v>
      </x:c>
      <x:c r="E42" s="24" t="str">
        <x:v>ChatGPT / OpenAI language model assistance</x:v>
      </x:c>
      <x:c r="F42" s="24" t="str">
        <x:v>OpenAI</x:v>
      </x:c>
      <x:c r="G42" s="24" t="str">
        <x:v>2026-06/07 project consolidation</x:v>
      </x:c>
      <x:c r="H42" s="24" t="str">
        <x:v>Consolidation, drafting and structuring under user direction using supplied project sources</x:v>
      </x:c>
      <x:c r="I42" s="24" t="str">
        <x:v>Requested, directed, downloaded, reviewed and adopted by project owner</x:v>
      </x:c>
      <x:c r="J42" s="24" t="str">
        <x:v>Internal project governance; selected documents may support collaborators</x:v>
      </x:c>
      <x:c r="K42" s="24" t="str">
        <x:v>AI-assisted drafting from project-owned/source documents</x:v>
      </x:c>
      <x:c r="L42" s="24" t="str">
        <x:v>Applicable OpenAI service terms; factual/source provenance remains project responsibility</x:v>
      </x:c>
      <x:c r="M42" s="24" t="str">
        <x:v>Conversation + artifact hash</x:v>
      </x:c>
      <x:c r="N42" s="24" t="str">
        <x:v>31430bb0544edd9577323aa0009d6ca3df8b9fbcf6c8a150fc33df69b9f963a4</x:v>
      </x:c>
      <x:c r="O42" s="24" t="str">
        <x:v>10_Unity_Project_Setup_Guide.md</x:v>
      </x:c>
      <x:c r="P42" s="24" t="str">
        <x:v>Internal documentation; external publication subject to review</x:v>
      </x:c>
      <x:c r="Q42" s="24" t="str">
        <x:v>Yes by project owner</x:v>
      </x:c>
      <x:c r="R42" s="24" t="str">
        <x:v>Optional/internal disclosure policy</x:v>
      </x:c>
      <x:c r="S42" s="24" t="str">
        <x:v>Not normally applicable; check copied third-party text/source quotations</x:v>
      </x:c>
      <x:c r="T42" s="24" t="str">
        <x:v>INTERNAL GOVERNANCE / REVIEWED</x:v>
      </x:c>
      <x:c r="U42" s="24" t="str">
        <x:v>Low</x:v>
      </x:c>
      <x:c r="V42" s="24" t="str">
        <x:v>Not a runtime asset</x:v>
      </x:c>
      <x:c r="W42" s="24" t="str">
        <x:v>VRM Games</x:v>
      </x:c>
      <x:c r="X42" s="24" t="str">
        <x:v>No sustituye revisión legal ni convierte fuentes de terceros en propiedad del proyecto.</x:v>
      </x:c>
    </x:row>
    <x:row r="43" ht="34" customHeight="1">
      <x:c r="A43" s="24" t="str">
        <x:v>GEN-DOC-012</x:v>
      </x:c>
      <x:c r="B43" s="24" t="str">
        <x:v>DOC-11</x:v>
      </x:c>
      <x:c r="C43" s="24" t="str">
        <x:v>11_Build_y_Versioning_Guide.md</x:v>
      </x:c>
      <x:c r="D43" s="24" t="str">
        <x:v>AI-assisted project documentation</x:v>
      </x:c>
      <x:c r="E43" s="24" t="str">
        <x:v>ChatGPT / OpenAI language model assistance</x:v>
      </x:c>
      <x:c r="F43" s="24" t="str">
        <x:v>OpenAI</x:v>
      </x:c>
      <x:c r="G43" s="24" t="str">
        <x:v>2026-06/07 project consolidation</x:v>
      </x:c>
      <x:c r="H43" s="24" t="str">
        <x:v>Consolidation, drafting and structuring under user direction using supplied project sources</x:v>
      </x:c>
      <x:c r="I43" s="24" t="str">
        <x:v>Requested, directed, downloaded, reviewed and adopted by project owner</x:v>
      </x:c>
      <x:c r="J43" s="24" t="str">
        <x:v>Internal project governance; selected documents may support collaborators</x:v>
      </x:c>
      <x:c r="K43" s="24" t="str">
        <x:v>AI-assisted drafting from project-owned/source documents</x:v>
      </x:c>
      <x:c r="L43" s="24" t="str">
        <x:v>Applicable OpenAI service terms; factual/source provenance remains project responsibility</x:v>
      </x:c>
      <x:c r="M43" s="24" t="str">
        <x:v>Conversation + artifact hash</x:v>
      </x:c>
      <x:c r="N43" s="24" t="str">
        <x:v>38a16a0f97505c0b405509dd3c7e3d1b50e77b89fbe3f4cb1931d3e04f602215</x:v>
      </x:c>
      <x:c r="O43" s="24" t="str">
        <x:v>11_Build_y_Versioning_Guide.md</x:v>
      </x:c>
      <x:c r="P43" s="24" t="str">
        <x:v>Internal documentation; external publication subject to review</x:v>
      </x:c>
      <x:c r="Q43" s="24" t="str">
        <x:v>Yes by project owner</x:v>
      </x:c>
      <x:c r="R43" s="24" t="str">
        <x:v>Optional/internal disclosure policy</x:v>
      </x:c>
      <x:c r="S43" s="24" t="str">
        <x:v>Not normally applicable; check copied third-party text/source quotations</x:v>
      </x:c>
      <x:c r="T43" s="24" t="str">
        <x:v>INTERNAL GOVERNANCE / REVIEWED</x:v>
      </x:c>
      <x:c r="U43" s="24" t="str">
        <x:v>Low</x:v>
      </x:c>
      <x:c r="V43" s="24" t="str">
        <x:v>Not a runtime asset</x:v>
      </x:c>
      <x:c r="W43" s="24" t="str">
        <x:v>VRM Games</x:v>
      </x:c>
      <x:c r="X43" s="24" t="str">
        <x:v>No sustituye revisión legal ni convierte fuentes de terceros en propiedad del proyecto.</x:v>
      </x:c>
    </x:row>
    <x:row r="44" ht="34" customHeight="1">
      <x:c r="A44" s="24" t="str">
        <x:v>GEN-DOC-013</x:v>
      </x:c>
      <x:c r="B44" s="24" t="str">
        <x:v>DOC-12</x:v>
      </x:c>
      <x:c r="C44" s="24" t="str">
        <x:v>12_Excel_Maestro_de_Produccion.xlsx</x:v>
      </x:c>
      <x:c r="D44" s="24" t="str">
        <x:v>AI-assisted project documentation</x:v>
      </x:c>
      <x:c r="E44" s="24" t="str">
        <x:v>ChatGPT / OpenAI language model assistance</x:v>
      </x:c>
      <x:c r="F44" s="24" t="str">
        <x:v>OpenAI</x:v>
      </x:c>
      <x:c r="G44" s="24" t="str">
        <x:v>2026-06/07 project consolidation</x:v>
      </x:c>
      <x:c r="H44" s="24" t="str">
        <x:v>Consolidation, drafting and structuring under user direction using supplied project sources</x:v>
      </x:c>
      <x:c r="I44" s="24" t="str">
        <x:v>Requested, directed, downloaded, reviewed and adopted by project owner</x:v>
      </x:c>
      <x:c r="J44" s="24" t="str">
        <x:v>Internal project governance; selected documents may support collaborators</x:v>
      </x:c>
      <x:c r="K44" s="24" t="str">
        <x:v>AI-assisted drafting from project-owned/source documents</x:v>
      </x:c>
      <x:c r="L44" s="24" t="str">
        <x:v>Applicable OpenAI service terms; factual/source provenance remains project responsibility</x:v>
      </x:c>
      <x:c r="M44" s="24" t="str">
        <x:v>Conversation + artifact hash</x:v>
      </x:c>
      <x:c r="N44" s="24" t="str">
        <x:v>405376cb64f49b34f1f842f3840c12654e9f08e2ec4534b5c149fa811e87dd83</x:v>
      </x:c>
      <x:c r="O44" s="24" t="str">
        <x:v>12_Excel_Maestro_de_Produccion.xlsx</x:v>
      </x:c>
      <x:c r="P44" s="24" t="str">
        <x:v>Internal documentation; external publication subject to review</x:v>
      </x:c>
      <x:c r="Q44" s="24" t="str">
        <x:v>Yes by project owner</x:v>
      </x:c>
      <x:c r="R44" s="24" t="str">
        <x:v>Optional/internal disclosure policy</x:v>
      </x:c>
      <x:c r="S44" s="24" t="str">
        <x:v>Not normally applicable; check copied third-party text/source quotations</x:v>
      </x:c>
      <x:c r="T44" s="24" t="str">
        <x:v>INTERNAL GOVERNANCE / REVIEWED</x:v>
      </x:c>
      <x:c r="U44" s="24" t="str">
        <x:v>Low</x:v>
      </x:c>
      <x:c r="V44" s="24" t="str">
        <x:v>Not a runtime asset</x:v>
      </x:c>
      <x:c r="W44" s="24" t="str">
        <x:v>VRM Games</x:v>
      </x:c>
      <x:c r="X44" s="24" t="str">
        <x:v>No sustituye revisión legal ni convierte fuentes de terceros en propiedad del proyecto.</x:v>
      </x:c>
    </x:row>
    <x:row r="45" ht="34" customHeight="1">
      <x:c r="A45" s="24" t="str">
        <x:v>GEN-DOC-014</x:v>
      </x:c>
      <x:c r="B45" s="24" t="str">
        <x:v>DOC-13</x:v>
      </x:c>
      <x:c r="C45" s="24" t="str">
        <x:v>13_Trazabilidad_y_Control_de_Cambios.xlsx</x:v>
      </x:c>
      <x:c r="D45" s="24" t="str">
        <x:v>AI-assisted project documentation</x:v>
      </x:c>
      <x:c r="E45" s="24" t="str">
        <x:v>ChatGPT / OpenAI language model assistance</x:v>
      </x:c>
      <x:c r="F45" s="24" t="str">
        <x:v>OpenAI</x:v>
      </x:c>
      <x:c r="G45" s="24" t="str">
        <x:v>2026-06/07 project consolidation</x:v>
      </x:c>
      <x:c r="H45" s="24" t="str">
        <x:v>Consolidation, drafting and structuring under user direction using supplied project sources</x:v>
      </x:c>
      <x:c r="I45" s="24" t="str">
        <x:v>Requested, directed, downloaded, reviewed and adopted by project owner</x:v>
      </x:c>
      <x:c r="J45" s="24" t="str">
        <x:v>Internal project governance; selected documents may support collaborators</x:v>
      </x:c>
      <x:c r="K45" s="24" t="str">
        <x:v>AI-assisted drafting from project-owned/source documents</x:v>
      </x:c>
      <x:c r="L45" s="24" t="str">
        <x:v>Applicable OpenAI service terms; factual/source provenance remains project responsibility</x:v>
      </x:c>
      <x:c r="M45" s="24" t="str">
        <x:v>Conversation + artifact hash</x:v>
      </x:c>
      <x:c r="N45" s="24" t="str">
        <x:v>f674e21d1a3a1f0970a3d339f26f2a2b51a19b5c257c24b9d3fa4118a5cf50eb</x:v>
      </x:c>
      <x:c r="O45" s="24" t="str">
        <x:v>13_Trazabilidad_y_Control_de_Cambios.xlsx</x:v>
      </x:c>
      <x:c r="P45" s="24" t="str">
        <x:v>Internal documentation; external publication subject to review</x:v>
      </x:c>
      <x:c r="Q45" s="24" t="str">
        <x:v>Yes by project owner</x:v>
      </x:c>
      <x:c r="R45" s="24" t="str">
        <x:v>Optional/internal disclosure policy</x:v>
      </x:c>
      <x:c r="S45" s="24" t="str">
        <x:v>Not normally applicable; check copied third-party text/source quotations</x:v>
      </x:c>
      <x:c r="T45" s="24" t="str">
        <x:v>INTERNAL GOVERNANCE / REVIEWED</x:v>
      </x:c>
      <x:c r="U45" s="24" t="str">
        <x:v>Low</x:v>
      </x:c>
      <x:c r="V45" s="24" t="str">
        <x:v>Not a runtime asset</x:v>
      </x:c>
      <x:c r="W45" s="24" t="str">
        <x:v>VRM Games</x:v>
      </x:c>
      <x:c r="X45" s="24" t="str">
        <x:v>No sustituye revisión legal ni convierte fuentes de terceros en propiedad del proyecto.</x:v>
      </x:c>
    </x:row>
    <x:row r="46" ht="34" customHeight="1">
      <x:c r="A46" s="24" t="str">
        <x:v>GEN-DOC-015</x:v>
      </x:c>
      <x:c r="B46" s="24" t="str">
        <x:v>DOC-14</x:v>
      </x:c>
      <x:c r="C46" s="24" t="str">
        <x:v>14_Project_Binder_Indice_Maestro.md</x:v>
      </x:c>
      <x:c r="D46" s="24" t="str">
        <x:v>AI-assisted project documentation</x:v>
      </x:c>
      <x:c r="E46" s="24" t="str">
        <x:v>ChatGPT / OpenAI language model assistance</x:v>
      </x:c>
      <x:c r="F46" s="24" t="str">
        <x:v>OpenAI</x:v>
      </x:c>
      <x:c r="G46" s="24" t="str">
        <x:v>2026-06/07 project consolidation</x:v>
      </x:c>
      <x:c r="H46" s="24" t="str">
        <x:v>Consolidation, drafting and structuring under user direction using supplied project sources</x:v>
      </x:c>
      <x:c r="I46" s="24" t="str">
        <x:v>Requested, directed, downloaded, reviewed and adopted by project owner</x:v>
      </x:c>
      <x:c r="J46" s="24" t="str">
        <x:v>Internal project governance; selected documents may support collaborators</x:v>
      </x:c>
      <x:c r="K46" s="24" t="str">
        <x:v>AI-assisted drafting from project-owned/source documents</x:v>
      </x:c>
      <x:c r="L46" s="24" t="str">
        <x:v>Applicable OpenAI service terms; factual/source provenance remains project responsibility</x:v>
      </x:c>
      <x:c r="M46" s="24" t="str">
        <x:v>Conversation + artifact hash</x:v>
      </x:c>
      <x:c r="N46" s="24" t="str">
        <x:v>0c24dcd47e0d44793e75e764e3fc2c146e5b1fea04d887d43feb0df558711559</x:v>
      </x:c>
      <x:c r="O46" s="24" t="str">
        <x:v>14_Project_Binder_Indice_Maestro.md</x:v>
      </x:c>
      <x:c r="P46" s="24" t="str">
        <x:v>Internal documentation; external publication subject to review</x:v>
      </x:c>
      <x:c r="Q46" s="24" t="str">
        <x:v>Yes by project owner</x:v>
      </x:c>
      <x:c r="R46" s="24" t="str">
        <x:v>Optional/internal disclosure policy</x:v>
      </x:c>
      <x:c r="S46" s="24" t="str">
        <x:v>Not normally applicable; check copied third-party text/source quotations</x:v>
      </x:c>
      <x:c r="T46" s="24" t="str">
        <x:v>INTERNAL GOVERNANCE / REVIEWED</x:v>
      </x:c>
      <x:c r="U46" s="24" t="str">
        <x:v>Low</x:v>
      </x:c>
      <x:c r="V46" s="24" t="str">
        <x:v>Not a runtime asset</x:v>
      </x:c>
      <x:c r="W46" s="24" t="str">
        <x:v>VRM Games</x:v>
      </x:c>
      <x:c r="X46" s="24" t="str">
        <x:v>No sustituye revisión legal ni convierte fuentes de terceros en propiedad del proyecto.</x:v>
      </x:c>
    </x:row>
    <x:row r="47" ht="34" customHeight="1">
      <x:c r="A47" s="24" t="str">
        <x:v>GEN-DOC-016</x:v>
      </x:c>
      <x:c r="B47" s="24" t="str">
        <x:v>DOC-15</x:v>
      </x:c>
      <x:c r="C47" s="24" t="str">
        <x:v>15_Guia_Maestra.md</x:v>
      </x:c>
      <x:c r="D47" s="24" t="str">
        <x:v>AI-assisted project documentation</x:v>
      </x:c>
      <x:c r="E47" s="24" t="str">
        <x:v>ChatGPT / OpenAI language model assistance</x:v>
      </x:c>
      <x:c r="F47" s="24" t="str">
        <x:v>OpenAI</x:v>
      </x:c>
      <x:c r="G47" s="24" t="str">
        <x:v>2026-06/07 project consolidation</x:v>
      </x:c>
      <x:c r="H47" s="24" t="str">
        <x:v>Consolidation, drafting and structuring under user direction using supplied project sources</x:v>
      </x:c>
      <x:c r="I47" s="24" t="str">
        <x:v>Requested, directed, downloaded, reviewed and adopted by project owner</x:v>
      </x:c>
      <x:c r="J47" s="24" t="str">
        <x:v>Internal project governance; selected documents may support collaborators</x:v>
      </x:c>
      <x:c r="K47" s="24" t="str">
        <x:v>AI-assisted drafting from project-owned/source documents</x:v>
      </x:c>
      <x:c r="L47" s="24" t="str">
        <x:v>Applicable OpenAI service terms; factual/source provenance remains project responsibility</x:v>
      </x:c>
      <x:c r="M47" s="24" t="str">
        <x:v>Conversation + artifact hash</x:v>
      </x:c>
      <x:c r="N47" s="24" t="str">
        <x:v>879bc1925cccf77e10df6c104302f3afc72f71e8c58dd85ae4f06e84e6f8b624</x:v>
      </x:c>
      <x:c r="O47" s="24" t="str">
        <x:v>15_Guia_Maestra.md</x:v>
      </x:c>
      <x:c r="P47" s="24" t="str">
        <x:v>Internal documentation; external publication subject to review</x:v>
      </x:c>
      <x:c r="Q47" s="24" t="str">
        <x:v>Yes by project owner</x:v>
      </x:c>
      <x:c r="R47" s="24" t="str">
        <x:v>Optional/internal disclosure policy</x:v>
      </x:c>
      <x:c r="S47" s="24" t="str">
        <x:v>Not normally applicable; check copied third-party text/source quotations</x:v>
      </x:c>
      <x:c r="T47" s="24" t="str">
        <x:v>INTERNAL GOVERNANCE / REVIEWED</x:v>
      </x:c>
      <x:c r="U47" s="24" t="str">
        <x:v>Low</x:v>
      </x:c>
      <x:c r="V47" s="24" t="str">
        <x:v>Not a runtime asset</x:v>
      </x:c>
      <x:c r="W47" s="24" t="str">
        <x:v>VRM Games</x:v>
      </x:c>
      <x:c r="X47" s="24" t="str">
        <x:v>No sustituye revisión legal ni convierte fuentes de terceros en propiedad del proyecto.</x:v>
      </x:c>
    </x:row>
    <x:row r="48" ht="34" customHeight="1">
      <x:c r="A48" s="24" t="str">
        <x:v>GEN-DOC-017</x:v>
      </x:c>
      <x:c r="B48" s="24" t="str">
        <x:v>DOC-16</x:v>
      </x:c>
      <x:c r="C48" s="24" t="str">
        <x:v>16_Auditoria_Global_de_Coherencia.md</x:v>
      </x:c>
      <x:c r="D48" s="24" t="str">
        <x:v>AI-assisted project documentation</x:v>
      </x:c>
      <x:c r="E48" s="24" t="str">
        <x:v>ChatGPT / OpenAI language model assistance</x:v>
      </x:c>
      <x:c r="F48" s="24" t="str">
        <x:v>OpenAI</x:v>
      </x:c>
      <x:c r="G48" s="24" t="str">
        <x:v>2026-06/07 project consolidation</x:v>
      </x:c>
      <x:c r="H48" s="24" t="str">
        <x:v>Consolidation, drafting and structuring under user direction using supplied project sources</x:v>
      </x:c>
      <x:c r="I48" s="24" t="str">
        <x:v>Requested, directed, downloaded, reviewed and adopted by project owner</x:v>
      </x:c>
      <x:c r="J48" s="24" t="str">
        <x:v>Internal project governance; selected documents may support collaborators</x:v>
      </x:c>
      <x:c r="K48" s="24" t="str">
        <x:v>AI-assisted drafting from project-owned/source documents</x:v>
      </x:c>
      <x:c r="L48" s="24" t="str">
        <x:v>Applicable OpenAI service terms; factual/source provenance remains project responsibility</x:v>
      </x:c>
      <x:c r="M48" s="24" t="str">
        <x:v>Conversation + artifact hash</x:v>
      </x:c>
      <x:c r="N48" s="24" t="str">
        <x:v>4a62376b8aee623be40957ae0511d2dcab2919947f3abb2cef3502b9bb60863e</x:v>
      </x:c>
      <x:c r="O48" s="24" t="str">
        <x:v>16_Auditoria_Global_de_Coherencia.md</x:v>
      </x:c>
      <x:c r="P48" s="24" t="str">
        <x:v>Internal documentation; external publication subject to review</x:v>
      </x:c>
      <x:c r="Q48" s="24" t="str">
        <x:v>Yes by project owner</x:v>
      </x:c>
      <x:c r="R48" s="24" t="str">
        <x:v>Optional/internal disclosure policy</x:v>
      </x:c>
      <x:c r="S48" s="24" t="str">
        <x:v>Not normally applicable; check copied third-party text/source quotations</x:v>
      </x:c>
      <x:c r="T48" s="24" t="str">
        <x:v>INTERNAL GOVERNANCE / REVIEWED</x:v>
      </x:c>
      <x:c r="U48" s="24" t="str">
        <x:v>Low</x:v>
      </x:c>
      <x:c r="V48" s="24" t="str">
        <x:v>Not a runtime asset</x:v>
      </x:c>
      <x:c r="W48" s="24" t="str">
        <x:v>VRM Games</x:v>
      </x:c>
      <x:c r="X48" s="24" t="str">
        <x:v>No sustituye revisión legal ni convierte fuentes de terceros en propiedad del proyecto.</x:v>
      </x:c>
    </x:row>
    <x:row r="49" ht="34" customHeight="1">
      <x:c r="A49" s="24" t="str">
        <x:v>GEN-DOC-018</x:v>
      </x:c>
      <x:c r="B49" s="24" t="str">
        <x:v>DOC-17</x:v>
      </x:c>
      <x:c r="C49" s="24" t="str">
        <x:v>17_Art_Bible.md</x:v>
      </x:c>
      <x:c r="D49" s="24" t="str">
        <x:v>AI-assisted project documentation</x:v>
      </x:c>
      <x:c r="E49" s="24" t="str">
        <x:v>ChatGPT / OpenAI language model assistance</x:v>
      </x:c>
      <x:c r="F49" s="24" t="str">
        <x:v>OpenAI</x:v>
      </x:c>
      <x:c r="G49" s="24" t="str">
        <x:v>2026-06/07 project consolidation</x:v>
      </x:c>
      <x:c r="H49" s="24" t="str">
        <x:v>Consolidation, drafting and structuring under user direction using supplied project sources</x:v>
      </x:c>
      <x:c r="I49" s="24" t="str">
        <x:v>Requested, directed, downloaded, reviewed and adopted by project owner</x:v>
      </x:c>
      <x:c r="J49" s="24" t="str">
        <x:v>Internal project governance; selected documents may support collaborators</x:v>
      </x:c>
      <x:c r="K49" s="24" t="str">
        <x:v>AI-assisted drafting from project-owned/source documents</x:v>
      </x:c>
      <x:c r="L49" s="24" t="str">
        <x:v>Applicable OpenAI service terms; factual/source provenance remains project responsibility</x:v>
      </x:c>
      <x:c r="M49" s="24" t="str">
        <x:v>Conversation + artifact hash</x:v>
      </x:c>
      <x:c r="N49" s="24" t="str">
        <x:v>095c6cc42223a972c7faa68435595fc7c22f839fabc62b2038371a0ef6c14239</x:v>
      </x:c>
      <x:c r="O49" s="24" t="str">
        <x:v>17_Art_Bible.md</x:v>
      </x:c>
      <x:c r="P49" s="24" t="str">
        <x:v>Internal documentation; external publication subject to review</x:v>
      </x:c>
      <x:c r="Q49" s="24" t="str">
        <x:v>Yes by project owner</x:v>
      </x:c>
      <x:c r="R49" s="24" t="str">
        <x:v>Optional/internal disclosure policy</x:v>
      </x:c>
      <x:c r="S49" s="24" t="str">
        <x:v>Not normally applicable; check copied third-party text/source quotations</x:v>
      </x:c>
      <x:c r="T49" s="24" t="str">
        <x:v>INTERNAL GOVERNANCE / REVIEWED</x:v>
      </x:c>
      <x:c r="U49" s="24" t="str">
        <x:v>Low</x:v>
      </x:c>
      <x:c r="V49" s="24" t="str">
        <x:v>Not a runtime asset</x:v>
      </x:c>
      <x:c r="W49" s="24" t="str">
        <x:v>VRM Games</x:v>
      </x:c>
      <x:c r="X49" s="24" t="str">
        <x:v>No sustituye revisión legal ni convierte fuentes de terceros en propiedad del proyecto.</x:v>
      </x:c>
    </x:row>
    <x:row r="50" ht="34" customHeight="1">
      <x:c r="A50" s="24" t="str">
        <x:v>GEN-DOC-019</x:v>
      </x:c>
      <x:c r="B50" s="24" t="str">
        <x:v>DOC-18</x:v>
      </x:c>
      <x:c r="C50" s="24" t="str">
        <x:v>18_Audio_Bible.md</x:v>
      </x:c>
      <x:c r="D50" s="24" t="str">
        <x:v>AI-assisted project documentation</x:v>
      </x:c>
      <x:c r="E50" s="24" t="str">
        <x:v>ChatGPT / OpenAI language model assistance</x:v>
      </x:c>
      <x:c r="F50" s="24" t="str">
        <x:v>OpenAI</x:v>
      </x:c>
      <x:c r="G50" s="24" t="str">
        <x:v>2026-06/07 project consolidation</x:v>
      </x:c>
      <x:c r="H50" s="24" t="str">
        <x:v>Consolidation, drafting and structuring under user direction using supplied project sources</x:v>
      </x:c>
      <x:c r="I50" s="24" t="str">
        <x:v>Requested, directed, downloaded, reviewed and adopted by project owner</x:v>
      </x:c>
      <x:c r="J50" s="24" t="str">
        <x:v>Internal project governance; selected documents may support collaborators</x:v>
      </x:c>
      <x:c r="K50" s="24" t="str">
        <x:v>AI-assisted drafting from project-owned/source documents</x:v>
      </x:c>
      <x:c r="L50" s="24" t="str">
        <x:v>Applicable OpenAI service terms; factual/source provenance remains project responsibility</x:v>
      </x:c>
      <x:c r="M50" s="24" t="str">
        <x:v>Conversation + artifact hash</x:v>
      </x:c>
      <x:c r="N50" s="24" t="str">
        <x:v>c2eabe93a7c26f70e1d4d77fb0ddcaa97e2cdd1e70247e637b9db5bd2f07ce92</x:v>
      </x:c>
      <x:c r="O50" s="24" t="str">
        <x:v>18_Audio_Bible.md</x:v>
      </x:c>
      <x:c r="P50" s="24" t="str">
        <x:v>Internal documentation; external publication subject to review</x:v>
      </x:c>
      <x:c r="Q50" s="24" t="str">
        <x:v>Yes by project owner</x:v>
      </x:c>
      <x:c r="R50" s="24" t="str">
        <x:v>Optional/internal disclosure policy</x:v>
      </x:c>
      <x:c r="S50" s="24" t="str">
        <x:v>Not normally applicable; check copied third-party text/source quotations</x:v>
      </x:c>
      <x:c r="T50" s="24" t="str">
        <x:v>INTERNAL GOVERNANCE / REVIEWED</x:v>
      </x:c>
      <x:c r="U50" s="24" t="str">
        <x:v>Low</x:v>
      </x:c>
      <x:c r="V50" s="24" t="str">
        <x:v>Not a runtime asset</x:v>
      </x:c>
      <x:c r="W50" s="24" t="str">
        <x:v>VRM Games</x:v>
      </x:c>
      <x:c r="X50" s="24" t="str">
        <x:v>No sustituye revisión legal ni convierte fuentes de terceros en propiedad del proyecto.</x:v>
      </x:c>
    </x:row>
    <x:row r="51" ht="34" customHeight="1">
      <x:c r="A51" s="24" t="str">
        <x:v>GEN-DOC-020</x:v>
      </x:c>
      <x:c r="B51" s="24" t="str">
        <x:v>DOC-19</x:v>
      </x:c>
      <x:c r="C51" s="24" t="str">
        <x:v>19_UI_Style_Guide.md</x:v>
      </x:c>
      <x:c r="D51" s="24" t="str">
        <x:v>AI-assisted project documentation</x:v>
      </x:c>
      <x:c r="E51" s="24" t="str">
        <x:v>ChatGPT / OpenAI language model assistance</x:v>
      </x:c>
      <x:c r="F51" s="24" t="str">
        <x:v>OpenAI</x:v>
      </x:c>
      <x:c r="G51" s="24" t="str">
        <x:v>2026-06/07 project consolidation</x:v>
      </x:c>
      <x:c r="H51" s="24" t="str">
        <x:v>Consolidation, drafting and structuring under user direction using supplied project sources</x:v>
      </x:c>
      <x:c r="I51" s="24" t="str">
        <x:v>Requested, directed, downloaded, reviewed and adopted by project owner</x:v>
      </x:c>
      <x:c r="J51" s="24" t="str">
        <x:v>Internal project governance; selected documents may support collaborators</x:v>
      </x:c>
      <x:c r="K51" s="24" t="str">
        <x:v>AI-assisted drafting from project-owned/source documents</x:v>
      </x:c>
      <x:c r="L51" s="24" t="str">
        <x:v>Applicable OpenAI service terms; factual/source provenance remains project responsibility</x:v>
      </x:c>
      <x:c r="M51" s="24" t="str">
        <x:v>Conversation + artifact hash</x:v>
      </x:c>
      <x:c r="N51" s="24" t="str">
        <x:v>b34ca4db1eba7a536466b6a9a105d8d92396ade2108aa7dd99fa7d5d4eaebc1a</x:v>
      </x:c>
      <x:c r="O51" s="24" t="str">
        <x:v>19_UI_Style_Guide.md</x:v>
      </x:c>
      <x:c r="P51" s="24" t="str">
        <x:v>Internal documentation; external publication subject to review</x:v>
      </x:c>
      <x:c r="Q51" s="24" t="str">
        <x:v>Yes by project owner</x:v>
      </x:c>
      <x:c r="R51" s="24" t="str">
        <x:v>Optional/internal disclosure policy</x:v>
      </x:c>
      <x:c r="S51" s="24" t="str">
        <x:v>Not normally applicable; check copied third-party text/source quotations</x:v>
      </x:c>
      <x:c r="T51" s="24" t="str">
        <x:v>INTERNAL GOVERNANCE / REVIEWED</x:v>
      </x:c>
      <x:c r="U51" s="24" t="str">
        <x:v>Low</x:v>
      </x:c>
      <x:c r="V51" s="24" t="str">
        <x:v>Not a runtime asset</x:v>
      </x:c>
      <x:c r="W51" s="24" t="str">
        <x:v>VRM Games</x:v>
      </x:c>
      <x:c r="X51" s="24" t="str">
        <x:v>No sustituye revisión legal ni convierte fuentes de terceros en propiedad del proyecto.</x:v>
      </x:c>
    </x:row>
    <x:row r="52" ht="34" customHeight="1">
      <x:c r="A52" s="24" t="str">
        <x:v>GEN-DOC-021</x:v>
      </x:c>
      <x:c r="B52" s="24" t="str">
        <x:v>DOC-20</x:v>
      </x:c>
      <x:c r="C52" s="24" t="str">
        <x:v>20_Economy_and_Balance_Specification.md</x:v>
      </x:c>
      <x:c r="D52" s="24" t="str">
        <x:v>AI-assisted project documentation</x:v>
      </x:c>
      <x:c r="E52" s="24" t="str">
        <x:v>ChatGPT / OpenAI language model assistance</x:v>
      </x:c>
      <x:c r="F52" s="24" t="str">
        <x:v>OpenAI</x:v>
      </x:c>
      <x:c r="G52" s="24" t="str">
        <x:v>2026-06/07 project consolidation</x:v>
      </x:c>
      <x:c r="H52" s="24" t="str">
        <x:v>Consolidation, drafting and structuring under user direction using supplied project sources</x:v>
      </x:c>
      <x:c r="I52" s="24" t="str">
        <x:v>Requested, directed, downloaded, reviewed and adopted by project owner</x:v>
      </x:c>
      <x:c r="J52" s="24" t="str">
        <x:v>Internal project governance; selected documents may support collaborators</x:v>
      </x:c>
      <x:c r="K52" s="24" t="str">
        <x:v>AI-assisted drafting from project-owned/source documents</x:v>
      </x:c>
      <x:c r="L52" s="24" t="str">
        <x:v>Applicable OpenAI service terms; factual/source provenance remains project responsibility</x:v>
      </x:c>
      <x:c r="M52" s="24" t="str">
        <x:v>Conversation + artifact hash</x:v>
      </x:c>
      <x:c r="N52" s="24" t="str">
        <x:v>908c70772ed35eecdb05c3036c6901523a4caf2c3e708ca8f049c2a160ef2aac</x:v>
      </x:c>
      <x:c r="O52" s="24" t="str">
        <x:v>20_Economy_and_Balance_Specification.md</x:v>
      </x:c>
      <x:c r="P52" s="24" t="str">
        <x:v>Internal documentation; external publication subject to review</x:v>
      </x:c>
      <x:c r="Q52" s="24" t="str">
        <x:v>Yes by project owner</x:v>
      </x:c>
      <x:c r="R52" s="24" t="str">
        <x:v>Optional/internal disclosure policy</x:v>
      </x:c>
      <x:c r="S52" s="24" t="str">
        <x:v>Not normally applicable; check copied third-party text/source quotations</x:v>
      </x:c>
      <x:c r="T52" s="24" t="str">
        <x:v>INTERNAL GOVERNANCE / REVIEWED</x:v>
      </x:c>
      <x:c r="U52" s="24" t="str">
        <x:v>Low</x:v>
      </x:c>
      <x:c r="V52" s="24" t="str">
        <x:v>Not a runtime asset</x:v>
      </x:c>
      <x:c r="W52" s="24" t="str">
        <x:v>VRM Games</x:v>
      </x:c>
      <x:c r="X52" s="24" t="str">
        <x:v>No sustituye revisión legal ni convierte fuentes de terceros en propiedad del proyecto.</x:v>
      </x:c>
    </x:row>
    <x:row r="53" ht="34" customHeight="1">
      <x:c r="A53" s="24" t="str">
        <x:v>GEN-DOC-022</x:v>
      </x:c>
      <x:c r="B53" s="24" t="str">
        <x:v>DOC-21</x:v>
      </x:c>
      <x:c r="C53" s="24" t="str">
        <x:v>21_Initial_Content_Catalog.xlsx</x:v>
      </x:c>
      <x:c r="D53" s="24" t="str">
        <x:v>AI-assisted project documentation</x:v>
      </x:c>
      <x:c r="E53" s="24" t="str">
        <x:v>ChatGPT / OpenAI language model assistance</x:v>
      </x:c>
      <x:c r="F53" s="24" t="str">
        <x:v>OpenAI</x:v>
      </x:c>
      <x:c r="G53" s="24" t="str">
        <x:v>2026-06/07 project consolidation</x:v>
      </x:c>
      <x:c r="H53" s="24" t="str">
        <x:v>Consolidation, drafting and structuring under user direction using supplied project sources</x:v>
      </x:c>
      <x:c r="I53" s="24" t="str">
        <x:v>Requested, directed, downloaded, reviewed and adopted by project owner</x:v>
      </x:c>
      <x:c r="J53" s="24" t="str">
        <x:v>Internal project governance; selected documents may support collaborators</x:v>
      </x:c>
      <x:c r="K53" s="24" t="str">
        <x:v>AI-assisted drafting from project-owned/source documents</x:v>
      </x:c>
      <x:c r="L53" s="24" t="str">
        <x:v>Applicable OpenAI service terms; factual/source provenance remains project responsibility</x:v>
      </x:c>
      <x:c r="M53" s="24" t="str">
        <x:v>Conversation + artifact hash</x:v>
      </x:c>
      <x:c r="N53" s="24" t="str">
        <x:v>9047299f60cfbd368fc4a2c8bee8d0ff4132dc5642363a9a67d1523559eb9ed3</x:v>
      </x:c>
      <x:c r="O53" s="24" t="str">
        <x:v>21_Initial_Content_Catalog.xlsx</x:v>
      </x:c>
      <x:c r="P53" s="24" t="str">
        <x:v>Internal documentation; external publication subject to review</x:v>
      </x:c>
      <x:c r="Q53" s="24" t="str">
        <x:v>Yes by project owner</x:v>
      </x:c>
      <x:c r="R53" s="24" t="str">
        <x:v>Optional/internal disclosure policy</x:v>
      </x:c>
      <x:c r="S53" s="24" t="str">
        <x:v>Not normally applicable; check copied third-party text/source quotations</x:v>
      </x:c>
      <x:c r="T53" s="24" t="str">
        <x:v>INTERNAL GOVERNANCE / REVIEWED</x:v>
      </x:c>
      <x:c r="U53" s="24" t="str">
        <x:v>Low</x:v>
      </x:c>
      <x:c r="V53" s="24" t="str">
        <x:v>Not a runtime asset</x:v>
      </x:c>
      <x:c r="W53" s="24" t="str">
        <x:v>VRM Games</x:v>
      </x:c>
      <x:c r="X53" s="24" t="str">
        <x:v>No sustituye revisión legal ni convierte fuentes de terceros en propiedad del proyecto.</x:v>
      </x:c>
    </x:row>
    <x:row r="54" ht="34" customHeight="1">
      <x:c r="A54" s="24" t="str">
        <x:v>GEN-DOC-023</x:v>
      </x:c>
      <x:c r="B54" s="24" t="str">
        <x:v>DOC-22</x:v>
      </x:c>
      <x:c r="C54" s="24" t="str">
        <x:v>22_Localization_Plan.md</x:v>
      </x:c>
      <x:c r="D54" s="24" t="str">
        <x:v>AI-assisted project documentation</x:v>
      </x:c>
      <x:c r="E54" s="24" t="str">
        <x:v>ChatGPT / OpenAI language model assistance</x:v>
      </x:c>
      <x:c r="F54" s="24" t="str">
        <x:v>OpenAI</x:v>
      </x:c>
      <x:c r="G54" s="24" t="str">
        <x:v>2026-06/07 project consolidation</x:v>
      </x:c>
      <x:c r="H54" s="24" t="str">
        <x:v>Consolidation, drafting and structuring under user direction using supplied project sources</x:v>
      </x:c>
      <x:c r="I54" s="24" t="str">
        <x:v>Requested, directed, downloaded, reviewed and adopted by project owner</x:v>
      </x:c>
      <x:c r="J54" s="24" t="str">
        <x:v>Internal project governance; selected documents may support collaborators</x:v>
      </x:c>
      <x:c r="K54" s="24" t="str">
        <x:v>AI-assisted drafting from project-owned/source documents</x:v>
      </x:c>
      <x:c r="L54" s="24" t="str">
        <x:v>Applicable OpenAI service terms; factual/source provenance remains project responsibility</x:v>
      </x:c>
      <x:c r="M54" s="24" t="str">
        <x:v>Conversation + artifact hash</x:v>
      </x:c>
      <x:c r="N54" s="24" t="str">
        <x:v>184a53b2813bc1327a6913e6e88ea4c81142da1ee4ddeff88f75467c784f1ff0</x:v>
      </x:c>
      <x:c r="O54" s="24" t="str">
        <x:v>22_Localization_Plan.md</x:v>
      </x:c>
      <x:c r="P54" s="24" t="str">
        <x:v>Internal documentation; external publication subject to review</x:v>
      </x:c>
      <x:c r="Q54" s="24" t="str">
        <x:v>Yes by project owner</x:v>
      </x:c>
      <x:c r="R54" s="24" t="str">
        <x:v>Optional/internal disclosure policy</x:v>
      </x:c>
      <x:c r="S54" s="24" t="str">
        <x:v>Not normally applicable; check copied third-party text/source quotations</x:v>
      </x:c>
      <x:c r="T54" s="24" t="str">
        <x:v>INTERNAL GOVERNANCE / REVIEWED</x:v>
      </x:c>
      <x:c r="U54" s="24" t="str">
        <x:v>Low</x:v>
      </x:c>
      <x:c r="V54" s="24" t="str">
        <x:v>Not a runtime asset</x:v>
      </x:c>
      <x:c r="W54" s="24" t="str">
        <x:v>VRM Games</x:v>
      </x:c>
      <x:c r="X54" s="24" t="str">
        <x:v>No sustituye revisión legal ni convierte fuentes de terceros en propiedad del proyecto.</x:v>
      </x:c>
    </x:row>
  </x:sheetData>
  <x:mergeCells>
    <x:mergeCell ref="A1:X1"/>
    <x:mergeCell ref="A2:X2"/>
  </x:mergeCells>
  <x:conditionalFormatting sqref="T5:T54">
    <x:cfRule type="expression" dxfId="24" priority="1">
      <x:formula>OR(ISNUMBER(SEARCH("APPROVED",T5)),ISNUMBER(SEARCH("READY",T5)),ISNUMBER(SEARCH("ACTIVE",T5)),ISNUMBER(SEARCH("VERIFIED",T5)))</x:formula>
    </x:cfRule>
    <x:cfRule type="expression" dxfId="25" priority="2">
      <x:formula>OR(ISNUMBER(SEARCH("BLOCK",T5)),ISNUMBER(SEARCH("PROHIBITED",T5)),ISNUMBER(SEARCH("CRITICAL",T5)),ISNUMBER(SEARCH("MISSING",T5)))</x:formula>
    </x:cfRule>
    <x:cfRule type="expression" dxfId="26" priority="3">
      <x:formula>OR(ISNUMBER(SEARCH("PENDING",T5)),ISNUMBER(SEARCH("PARTIAL",T5)),ISNUMBER(SEARCH("REVIEW",T5)),ISNUMBER(SEARCH("CONDITIONAL",T5)))</x:formula>
    </x:cfRule>
    <x:cfRule type="expression" dxfId="27" priority="4">
      <x:formula>OR(ISNUMBER(SEARCH("HISTORICAL",T5)),ISNUMBER(SEARCH("VISION",T5)),ISNUMBER(SEARCH("OPTIONAL",T5)))</x:formula>
    </x:cfRule>
  </x:conditionalFormatting>
  <x:conditionalFormatting sqref="U5:U54">
    <x:cfRule type="expression" dxfId="28" priority="5">
      <x:formula>OR(ISNUMBER(SEARCH("APPROVED",U5)),ISNUMBER(SEARCH("READY",U5)),ISNUMBER(SEARCH("ACTIVE",U5)),ISNUMBER(SEARCH("VERIFIED",U5)))</x:formula>
    </x:cfRule>
    <x:cfRule type="expression" dxfId="29" priority="6">
      <x:formula>OR(ISNUMBER(SEARCH("BLOCK",U5)),ISNUMBER(SEARCH("PROHIBITED",U5)),ISNUMBER(SEARCH("CRITICAL",U5)),ISNUMBER(SEARCH("MISSING",U5)))</x:formula>
    </x:cfRule>
    <x:cfRule type="expression" dxfId="30" priority="7">
      <x:formula>OR(ISNUMBER(SEARCH("PENDING",U5)),ISNUMBER(SEARCH("PARTIAL",U5)),ISNUMBER(SEARCH("REVIEW",U5)),ISNUMBER(SEARCH("CONDITIONAL",U5)))</x:formula>
    </x:cfRule>
    <x:cfRule type="expression" dxfId="31" priority="8">
      <x:formula>OR(ISNUMBER(SEARCH("HISTORICAL",U5)),ISNUMBER(SEARCH("VISION",U5)),ISNUMBER(SEARCH("OPTIONAL",U5)))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c9f5ee8ad0412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6" hidden="0" customWidth="1"/>
    <x:col min="4" max="4" width="20" hidden="0" customWidth="1"/>
    <x:col min="5" max="5" width="18" hidden="0" customWidth="1"/>
    <x:col min="6" max="6" width="34" hidden="0" customWidth="1"/>
    <x:col min="7" max="7" width="34" hidden="0" customWidth="1"/>
    <x:col min="8" max="8" width="18" hidden="0" customWidth="1"/>
    <x:col min="9" max="9" width="34" hidden="0" customWidth="1"/>
    <x:col min="10" max="10" width="18" hidden="0" customWidth="1"/>
    <x:col min="11" max="11" width="30" hidden="0" customWidth="1"/>
    <x:col min="12" max="12" width="14" hidden="0" customWidth="1"/>
    <x:col min="13" max="13" width="48" hidden="0" customWidth="1"/>
    <x:col min="14" max="14" width="68" hidden="0" customWidth="1"/>
    <x:col min="15" max="15" width="70" hidden="0" customWidth="1"/>
    <x:col min="16" max="16" width="36" hidden="0" customWidth="1"/>
    <x:col min="17" max="17" width="16" hidden="0" customWidth="1"/>
    <x:col min="18" max="18" width="18" hidden="0" customWidth="1"/>
    <x:col min="19" max="19" width="30" hidden="0" customWidth="1"/>
    <x:col min="20" max="20" width="30" hidden="0" customWidth="1"/>
    <x:col min="21" max="21" width="40" hidden="0" customWidth="1"/>
    <x:col min="22" max="22" width="34" hidden="0" customWidth="1"/>
    <x:col min="23" max="23" width="30" hidden="0" customWidth="1"/>
    <x:col min="24" max="24" width="22" hidden="0" customWidth="1"/>
    <x:col min="25" max="25" width="34" hidden="0" customWidth="1"/>
    <x:col min="26" max="26" width="18" hidden="0" customWidth="1"/>
    <x:col min="27" max="27" width="20" hidden="0" customWidth="1"/>
    <x:col min="28" max="28" width="55" hidden="0" customWidth="1"/>
  </x:cols>
  <x:sheetData>
    <x:row r="1" ht="30" customHeight="1">
      <x:c r="A1" s="4" t="str">
        <x:v>Modelos 3D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</x:row>
    <x:row r="2" ht="22" customHeight="1">
      <x:c r="A2" s="10" t="str">
        <x:v>Procedencia y autorización de 62 modelos, incluidos assets de expansión no abiertos.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</x:row>
    <x:row r="4" ht="38" customHeight="1">
      <x:c r="A4" s="17" t="str">
        <x:v>License Record ID</x:v>
      </x:c>
      <x:c r="B4" s="17" t="str">
        <x:v>Asset ID</x:v>
      </x:c>
      <x:c r="C4" s="17" t="str">
        <x:v>Nombre</x:v>
      </x:c>
      <x:c r="D4" s="17" t="str">
        <x:v>Familia</x:v>
      </x:c>
      <x:c r="E4" s="17" t="str">
        <x:v>Tipo</x:v>
      </x:c>
      <x:c r="F4" s="17" t="str">
        <x:v>Autor</x:v>
      </x:c>
      <x:c r="G4" s="17" t="str">
        <x:v>Propietario</x:v>
      </x:c>
      <x:c r="H4" s="17" t="str">
        <x:v>Proveedor</x:v>
      </x:c>
      <x:c r="I4" s="17" t="str">
        <x:v>Origen</x:v>
      </x:c>
      <x:c r="J4" s="17" t="str">
        <x:v>Fecha de obtención</x:v>
      </x:c>
      <x:c r="K4" s="17" t="str">
        <x:v>Licencia</x:v>
      </x:c>
      <x:c r="L4" s="17" t="str">
        <x:v>Versión</x:v>
      </x:c>
      <x:c r="M4" s="17" t="str">
        <x:v>Prueba documental</x:v>
      </x:c>
      <x:c r="N4" s="17" t="str">
        <x:v>SHA-256</x:v>
      </x:c>
      <x:c r="O4" s="17" t="str">
        <x:v>Ruta</x:v>
      </x:c>
      <x:c r="P4" s="17" t="str">
        <x:v>GUID</x:v>
      </x:c>
      <x:c r="Q4" s="17" t="str">
        <x:v>Modificación permitida</x:v>
      </x:c>
      <x:c r="R4" s="17" t="str">
        <x:v>Uso comercial permitido</x:v>
      </x:c>
      <x:c r="S4" s="17" t="str">
        <x:v>Redistribución permitida</x:v>
      </x:c>
      <x:c r="T4" s="17" t="str">
        <x:v>Atribución requerida</x:v>
      </x:c>
      <x:c r="U4" s="17" t="str">
        <x:v>Restricciones</x:v>
      </x:c>
      <x:c r="V4" s="17" t="str">
        <x:v>Estado legal</x:v>
      </x:c>
      <x:c r="W4" s="17" t="str">
        <x:v>Estado de integración</x:v>
      </x:c>
      <x:c r="X4" s="17" t="str">
        <x:v>Builds autorizadas</x:v>
      </x:c>
      <x:c r="Y4" s="17" t="str">
        <x:v>Riesgo</x:v>
      </x:c>
      <x:c r="Z4" s="17" t="str">
        <x:v>Owner</x:v>
      </x:c>
      <x:c r="AA4" s="17" t="str">
        <x:v>Notas</x:v>
      </x:c>
    </x:row>
    <x:row r="5" ht="34" customHeight="1">
      <x:c r="A5" s="24" t="str">
        <x:v>MOD-001</x:v>
      </x:c>
      <x:c r="B5" s="24" t="str">
        <x:v>260150304c11e7a44b6d8b97dc4b669d</x:v>
      </x:c>
      <x:c r="C5" s="24" t="str">
        <x:v>CC_S16_P2_Architecture_AutoDoor_Root.fbx</x:v>
      </x:c>
      <x:c r="D5" s="24" t="str">
        <x:v>Architecture</x:v>
      </x:c>
      <x:c r="E5" s="24" t="str">
        <x:v>3D model</x:v>
      </x:c>
      <x:c r="F5" s="24" t="str">
        <x:v>VRM Games / Blender kit workflow</x:v>
      </x:c>
      <x:c r="G5" s="24" t="str">
        <x:v>VRM Games / Blas Luis Rocha González</x:v>
      </x:c>
      <x:c r="H5" s="24" t="str">
        <x:v>Internal</x:v>
      </x:c>
      <x:c r="I5" s="24" t="str">
        <x:v>Internal Blender/modeling pipeline</x:v>
      </x:c>
      <x:c r="J5" s="24" t="str">
        <x:v>Sprint 16 / prior kit production</x:v>
      </x:c>
      <x:c r="K5" s="24" t="str">
        <x:v>Internal project IP / authorship claim</x:v>
      </x:c>
      <x:c r="L5" s="24" t="str">
        <x:v>N/A</x:v>
      </x:c>
      <x:c r="M5" s="24" t="str">
        <x:v>Assets.zip + model path/hash + art records</x:v>
      </x:c>
      <x:c r="N5" s="24" t="str">
        <x:v>a063f4afe11e51e1198be8c769d59c5ed7248b6ebf4bcac97e14a983ea64edaa</x:v>
      </x:c>
      <x:c r="O5" s="24" t="str">
        <x:v>Assets/_Project/Art/Models/Architecture/CC_S16_P2_Architecture_AutoDoor_Root.fbx</x:v>
      </x:c>
      <x:c r="P5" s="24" t="str">
        <x:v>260150304c11e7a44b6d8b97dc4b669d</x:v>
      </x:c>
      <x:c r="Q5" s="24" t="str">
        <x:v>Sí</x:v>
      </x:c>
      <x:c r="R5" s="24" t="str">
        <x:v>Conditional on final provenance confirmation</x:v>
      </x:c>
      <x:c r="S5" s="24" t="str">
        <x:v>Only as part of authorized game/build</x:v>
      </x:c>
      <x:c r="T5" s="24" t="str">
        <x:v>General project/studio credits</x:v>
      </x:c>
      <x:c r="U5" s="24" t="str">
        <x:v>No standalone redistribution; no real-brand derivatives</x:v>
      </x:c>
      <x:c r="V5" s="24" t="str">
        <x:v>CONDITIONALLY APPROVED</x:v>
      </x:c>
      <x:c r="W5" s="24" t="str">
        <x:v>Imported/representative</x:v>
      </x:c>
      <x:c r="X5" s="24" t="str">
        <x:v>Internal builds; H6 after audit</x:v>
      </x:c>
      <x:c r="Y5" s="24" t="str">
        <x:v>Low</x:v>
      </x:c>
      <x:c r="Z5" s="24" t="str">
        <x:v>VRM Games</x:v>
      </x:c>
      <x:c r="AA5" s="24" t="str">
        <x:v>La autoría interna debe respaldarse por archivos fuente, historial o registro de creación cuando sea posible.</x:v>
      </x:c>
    </x:row>
    <x:row r="6" ht="34" customHeight="1">
      <x:c r="A6" s="24" t="str">
        <x:v>MOD-002</x:v>
      </x:c>
      <x:c r="B6" s="24" t="str">
        <x:v>4510eb49f8a894643844998321745148</x:v>
      </x:c>
      <x:c r="C6" s="24" t="str">
        <x:v>CC_S16_P2_Architecture_BackroomPartition_LOD0.fbx</x:v>
      </x:c>
      <x:c r="D6" s="24" t="str">
        <x:v>Architecture</x:v>
      </x:c>
      <x:c r="E6" s="24" t="str">
        <x:v>3D model</x:v>
      </x:c>
      <x:c r="F6" s="24" t="str">
        <x:v>VRM Games / Blender kit workflow</x:v>
      </x:c>
      <x:c r="G6" s="24" t="str">
        <x:v>VRM Games / Blas Luis Rocha González</x:v>
      </x:c>
      <x:c r="H6" s="24" t="str">
        <x:v>Internal</x:v>
      </x:c>
      <x:c r="I6" s="24" t="str">
        <x:v>Internal Blender/modeling pipeline</x:v>
      </x:c>
      <x:c r="J6" s="24" t="str">
        <x:v>Sprint 16 / prior kit production</x:v>
      </x:c>
      <x:c r="K6" s="24" t="str">
        <x:v>Internal project IP / authorship claim</x:v>
      </x:c>
      <x:c r="L6" s="24" t="str">
        <x:v>N/A</x:v>
      </x:c>
      <x:c r="M6" s="24" t="str">
        <x:v>Assets.zip + model path/hash + art records</x:v>
      </x:c>
      <x:c r="N6" s="24" t="str">
        <x:v>b49b5e954ba3fb15b3ddeb397016211fd2fd62f113557cd5ba3c579be555eaa1</x:v>
      </x:c>
      <x:c r="O6" s="24" t="str">
        <x:v>Assets/_Project/Art/Models/Architecture/CC_S16_P2_Architecture_BackroomPartition_LOD0.fbx</x:v>
      </x:c>
      <x:c r="P6" s="24" t="str">
        <x:v>4510eb49f8a894643844998321745148</x:v>
      </x:c>
      <x:c r="Q6" s="24" t="str">
        <x:v>Sí</x:v>
      </x:c>
      <x:c r="R6" s="24" t="str">
        <x:v>Conditional on final provenance confirmation</x:v>
      </x:c>
      <x:c r="S6" s="24" t="str">
        <x:v>Only as part of authorized game/build</x:v>
      </x:c>
      <x:c r="T6" s="24" t="str">
        <x:v>General project/studio credits</x:v>
      </x:c>
      <x:c r="U6" s="24" t="str">
        <x:v>No standalone redistribution; no real-brand derivatives</x:v>
      </x:c>
      <x:c r="V6" s="24" t="str">
        <x:v>CONDITIONALLY APPROVED</x:v>
      </x:c>
      <x:c r="W6" s="24" t="str">
        <x:v>Imported/representative</x:v>
      </x:c>
      <x:c r="X6" s="24" t="str">
        <x:v>Internal builds; H6 after audit</x:v>
      </x:c>
      <x:c r="Y6" s="24" t="str">
        <x:v>Low</x:v>
      </x:c>
      <x:c r="Z6" s="24" t="str">
        <x:v>VRM Games</x:v>
      </x:c>
      <x:c r="AA6" s="24" t="str">
        <x:v>La autoría interna debe respaldarse por archivos fuente, historial o registro de creación cuando sea posible.</x:v>
      </x:c>
    </x:row>
    <x:row r="7" ht="34" customHeight="1">
      <x:c r="A7" s="24" t="str">
        <x:v>MOD-003</x:v>
      </x:c>
      <x:c r="B7" s="24" t="str">
        <x:v>e4da385572533f7499d46bb3e7432b84</x:v>
      </x:c>
      <x:c r="C7" s="24" t="str">
        <x:v>CC_S16_P2_Architecture_CornerInner_LOD0.fbx</x:v>
      </x:c>
      <x:c r="D7" s="24" t="str">
        <x:v>Architecture</x:v>
      </x:c>
      <x:c r="E7" s="24" t="str">
        <x:v>3D model</x:v>
      </x:c>
      <x:c r="F7" s="24" t="str">
        <x:v>VRM Games / Blender kit workflow</x:v>
      </x:c>
      <x:c r="G7" s="24" t="str">
        <x:v>VRM Games / Blas Luis Rocha González</x:v>
      </x:c>
      <x:c r="H7" s="24" t="str">
        <x:v>Internal</x:v>
      </x:c>
      <x:c r="I7" s="24" t="str">
        <x:v>Internal Blender/modeling pipeline</x:v>
      </x:c>
      <x:c r="J7" s="24" t="str">
        <x:v>Sprint 16 / prior kit production</x:v>
      </x:c>
      <x:c r="K7" s="24" t="str">
        <x:v>Internal project IP / authorship claim</x:v>
      </x:c>
      <x:c r="L7" s="24" t="str">
        <x:v>N/A</x:v>
      </x:c>
      <x:c r="M7" s="24" t="str">
        <x:v>Assets.zip + model path/hash + art records</x:v>
      </x:c>
      <x:c r="N7" s="24" t="str">
        <x:v>f8f36846a8585c8c607b6be0d22a9bfb6ce2b94419ff87b7811929befe4a6128</x:v>
      </x:c>
      <x:c r="O7" s="24" t="str">
        <x:v>Assets/_Project/Art/Models/Architecture/CC_S16_P2_Architecture_CornerInner_LOD0.fbx</x:v>
      </x:c>
      <x:c r="P7" s="24" t="str">
        <x:v>e4da385572533f7499d46bb3e7432b84</x:v>
      </x:c>
      <x:c r="Q7" s="24" t="str">
        <x:v>Sí</x:v>
      </x:c>
      <x:c r="R7" s="24" t="str">
        <x:v>Conditional on final provenance confirmation</x:v>
      </x:c>
      <x:c r="S7" s="24" t="str">
        <x:v>Only as part of authorized game/build</x:v>
      </x:c>
      <x:c r="T7" s="24" t="str">
        <x:v>General project/studio credits</x:v>
      </x:c>
      <x:c r="U7" s="24" t="str">
        <x:v>No standalone redistribution; no real-brand derivatives</x:v>
      </x:c>
      <x:c r="V7" s="24" t="str">
        <x:v>CONDITIONALLY APPROVED</x:v>
      </x:c>
      <x:c r="W7" s="24" t="str">
        <x:v>Imported/representative</x:v>
      </x:c>
      <x:c r="X7" s="24" t="str">
        <x:v>Internal builds; H6 after audit</x:v>
      </x:c>
      <x:c r="Y7" s="24" t="str">
        <x:v>Low</x:v>
      </x:c>
      <x:c r="Z7" s="24" t="str">
        <x:v>VRM Games</x:v>
      </x:c>
      <x:c r="AA7" s="24" t="str">
        <x:v>La autoría interna debe respaldarse por archivos fuente, historial o registro de creación cuando sea posible.</x:v>
      </x:c>
    </x:row>
    <x:row r="8" ht="34" customHeight="1">
      <x:c r="A8" s="24" t="str">
        <x:v>MOD-004</x:v>
      </x:c>
      <x:c r="B8" s="24" t="str">
        <x:v>c7161ca6e911d0a4d87a5452d660d616</x:v>
      </x:c>
      <x:c r="C8" s="24" t="str">
        <x:v>CC_S16_P2_Architecture_CornerOuter_LOD0.fbx</x:v>
      </x:c>
      <x:c r="D8" s="24" t="str">
        <x:v>Architecture</x:v>
      </x:c>
      <x:c r="E8" s="24" t="str">
        <x:v>3D model</x:v>
      </x:c>
      <x:c r="F8" s="24" t="str">
        <x:v>VRM Games / Blender kit workflow</x:v>
      </x:c>
      <x:c r="G8" s="24" t="str">
        <x:v>VRM Games / Blas Luis Rocha González</x:v>
      </x:c>
      <x:c r="H8" s="24" t="str">
        <x:v>Internal</x:v>
      </x:c>
      <x:c r="I8" s="24" t="str">
        <x:v>Internal Blender/modeling pipeline</x:v>
      </x:c>
      <x:c r="J8" s="24" t="str">
        <x:v>Sprint 16 / prior kit production</x:v>
      </x:c>
      <x:c r="K8" s="24" t="str">
        <x:v>Internal project IP / authorship claim</x:v>
      </x:c>
      <x:c r="L8" s="24" t="str">
        <x:v>N/A</x:v>
      </x:c>
      <x:c r="M8" s="24" t="str">
        <x:v>Assets.zip + model path/hash + art records</x:v>
      </x:c>
      <x:c r="N8" s="24" t="str">
        <x:v>89fc3d7fe59462a667fb0c8ad121a0bd0fdeaa9a5889e2f354dc5ed69e1909fc</x:v>
      </x:c>
      <x:c r="O8" s="24" t="str">
        <x:v>Assets/_Project/Art/Models/Architecture/CC_S16_P2_Architecture_CornerOuter_LOD0.fbx</x:v>
      </x:c>
      <x:c r="P8" s="24" t="str">
        <x:v>c7161ca6e911d0a4d87a5452d660d616</x:v>
      </x:c>
      <x:c r="Q8" s="24" t="str">
        <x:v>Sí</x:v>
      </x:c>
      <x:c r="R8" s="24" t="str">
        <x:v>Conditional on final provenance confirmation</x:v>
      </x:c>
      <x:c r="S8" s="24" t="str">
        <x:v>Only as part of authorized game/build</x:v>
      </x:c>
      <x:c r="T8" s="24" t="str">
        <x:v>General project/studio credits</x:v>
      </x:c>
      <x:c r="U8" s="24" t="str">
        <x:v>No standalone redistribution; no real-brand derivatives</x:v>
      </x:c>
      <x:c r="V8" s="24" t="str">
        <x:v>CONDITIONALLY APPROVED</x:v>
      </x:c>
      <x:c r="W8" s="24" t="str">
        <x:v>Imported/representative</x:v>
      </x:c>
      <x:c r="X8" s="24" t="str">
        <x:v>Internal builds; H6 after audit</x:v>
      </x:c>
      <x:c r="Y8" s="24" t="str">
        <x:v>Low</x:v>
      </x:c>
      <x:c r="Z8" s="24" t="str">
        <x:v>VRM Games</x:v>
      </x:c>
      <x:c r="AA8" s="24" t="str">
        <x:v>La autoría interna debe respaldarse por archivos fuente, historial o registro de creación cuando sea posible.</x:v>
      </x:c>
    </x:row>
    <x:row r="9" ht="34" customHeight="1">
      <x:c r="A9" s="24" t="str">
        <x:v>MOD-005</x:v>
      </x:c>
      <x:c r="B9" s="24" t="str">
        <x:v>52e9d18ef16581c4bb6ff8dd1472d314</x:v>
      </x:c>
      <x:c r="C9" s="24" t="str">
        <x:v>CC_S16_P2_Architecture_EndCap_LOD0.fbx</x:v>
      </x:c>
      <x:c r="D9" s="24" t="str">
        <x:v>Architecture</x:v>
      </x:c>
      <x:c r="E9" s="24" t="str">
        <x:v>3D model</x:v>
      </x:c>
      <x:c r="F9" s="24" t="str">
        <x:v>VRM Games / Blender kit workflow</x:v>
      </x:c>
      <x:c r="G9" s="24" t="str">
        <x:v>VRM Games / Blas Luis Rocha González</x:v>
      </x:c>
      <x:c r="H9" s="24" t="str">
        <x:v>Internal</x:v>
      </x:c>
      <x:c r="I9" s="24" t="str">
        <x:v>Internal Blender/modeling pipeline</x:v>
      </x:c>
      <x:c r="J9" s="24" t="str">
        <x:v>Sprint 16 / prior kit production</x:v>
      </x:c>
      <x:c r="K9" s="24" t="str">
        <x:v>Internal project IP / authorship claim</x:v>
      </x:c>
      <x:c r="L9" s="24" t="str">
        <x:v>N/A</x:v>
      </x:c>
      <x:c r="M9" s="24" t="str">
        <x:v>Assets.zip + model path/hash + art records</x:v>
      </x:c>
      <x:c r="N9" s="24" t="str">
        <x:v>1b9d42af8c1f29e3210e29a2c1b53f4dbd1a6ffe12ef3b3cac8c810cf8a4ac87</x:v>
      </x:c>
      <x:c r="O9" s="24" t="str">
        <x:v>Assets/_Project/Art/Models/Architecture/CC_S16_P2_Architecture_EndCap_LOD0.fbx</x:v>
      </x:c>
      <x:c r="P9" s="24" t="str">
        <x:v>52e9d18ef16581c4bb6ff8dd1472d314</x:v>
      </x:c>
      <x:c r="Q9" s="24" t="str">
        <x:v>Sí</x:v>
      </x:c>
      <x:c r="R9" s="24" t="str">
        <x:v>Conditional on final provenance confirmation</x:v>
      </x:c>
      <x:c r="S9" s="24" t="str">
        <x:v>Only as part of authorized game/build</x:v>
      </x:c>
      <x:c r="T9" s="24" t="str">
        <x:v>General project/studio credits</x:v>
      </x:c>
      <x:c r="U9" s="24" t="str">
        <x:v>No standalone redistribution; no real-brand derivatives</x:v>
      </x:c>
      <x:c r="V9" s="24" t="str">
        <x:v>CONDITIONALLY APPROVED</x:v>
      </x:c>
      <x:c r="W9" s="24" t="str">
        <x:v>Imported/representative</x:v>
      </x:c>
      <x:c r="X9" s="24" t="str">
        <x:v>Internal builds; H6 after audit</x:v>
      </x:c>
      <x:c r="Y9" s="24" t="str">
        <x:v>Low</x:v>
      </x:c>
      <x:c r="Z9" s="24" t="str">
        <x:v>VRM Games</x:v>
      </x:c>
      <x:c r="AA9" s="24" t="str">
        <x:v>La autoría interna debe respaldarse por archivos fuente, historial o registro de creación cuando sea posible.</x:v>
      </x:c>
    </x:row>
    <x:row r="10" ht="34" customHeight="1">
      <x:c r="A10" s="24" t="str">
        <x:v>MOD-006</x:v>
      </x:c>
      <x:c r="B10" s="24" t="str">
        <x:v>5136cd5af5055954fbc58b6c20d30b72</x:v>
      </x:c>
      <x:c r="C10" s="24" t="str">
        <x:v>CC_S16_P2_Architecture_EntranceThreshold_LOD0.fbx</x:v>
      </x:c>
      <x:c r="D10" s="24" t="str">
        <x:v>Architecture</x:v>
      </x:c>
      <x:c r="E10" s="24" t="str">
        <x:v>3D model</x:v>
      </x:c>
      <x:c r="F10" s="24" t="str">
        <x:v>VRM Games / Blender kit workflow</x:v>
      </x:c>
      <x:c r="G10" s="24" t="str">
        <x:v>VRM Games / Blas Luis Rocha González</x:v>
      </x:c>
      <x:c r="H10" s="24" t="str">
        <x:v>Internal</x:v>
      </x:c>
      <x:c r="I10" s="24" t="str">
        <x:v>Internal Blender/modeling pipeline</x:v>
      </x:c>
      <x:c r="J10" s="24" t="str">
        <x:v>Sprint 16 / prior kit production</x:v>
      </x:c>
      <x:c r="K10" s="24" t="str">
        <x:v>Internal project IP / authorship claim</x:v>
      </x:c>
      <x:c r="L10" s="24" t="str">
        <x:v>N/A</x:v>
      </x:c>
      <x:c r="M10" s="24" t="str">
        <x:v>Assets.zip + model path/hash + art records</x:v>
      </x:c>
      <x:c r="N10" s="24" t="str">
        <x:v>184b889aacde35a310f4b00e23cc2da1dbac035ea2c7cec379dd42aa9fbc6041</x:v>
      </x:c>
      <x:c r="O10" s="24" t="str">
        <x:v>Assets/_Project/Art/Models/Architecture/CC_S16_P2_Architecture_EntranceThreshold_LOD0.fbx</x:v>
      </x:c>
      <x:c r="P10" s="24" t="str">
        <x:v>5136cd5af5055954fbc58b6c20d30b72</x:v>
      </x:c>
      <x:c r="Q10" s="24" t="str">
        <x:v>Sí</x:v>
      </x:c>
      <x:c r="R10" s="24" t="str">
        <x:v>Conditional on final provenance confirmation</x:v>
      </x:c>
      <x:c r="S10" s="24" t="str">
        <x:v>Only as part of authorized game/build</x:v>
      </x:c>
      <x:c r="T10" s="24" t="str">
        <x:v>General project/studio credits</x:v>
      </x:c>
      <x:c r="U10" s="24" t="str">
        <x:v>No standalone redistribution; no real-brand derivatives</x:v>
      </x:c>
      <x:c r="V10" s="24" t="str">
        <x:v>CONDITIONALLY APPROVED</x:v>
      </x:c>
      <x:c r="W10" s="24" t="str">
        <x:v>Imported/representative</x:v>
      </x:c>
      <x:c r="X10" s="24" t="str">
        <x:v>Internal builds; H6 after audit</x:v>
      </x:c>
      <x:c r="Y10" s="24" t="str">
        <x:v>Low</x:v>
      </x:c>
      <x:c r="Z10" s="24" t="str">
        <x:v>VRM Games</x:v>
      </x:c>
      <x:c r="AA10" s="24" t="str">
        <x:v>La autoría interna debe respaldarse por archivos fuente, historial o registro de creación cuando sea posible.</x:v>
      </x:c>
    </x:row>
    <x:row r="11" ht="34" customHeight="1">
      <x:c r="A11" s="24" t="str">
        <x:v>MOD-007</x:v>
      </x:c>
      <x:c r="B11" s="24" t="str">
        <x:v>3f9be7c6bb4416b4fab77e8346fdbef7</x:v>
      </x:c>
      <x:c r="C11" s="24" t="str">
        <x:v>CC_S16_P2_Architecture_FloorEdge_100_LOD0.fbx</x:v>
      </x:c>
      <x:c r="D11" s="24" t="str">
        <x:v>Architecture</x:v>
      </x:c>
      <x:c r="E11" s="24" t="str">
        <x:v>3D model</x:v>
      </x:c>
      <x:c r="F11" s="24" t="str">
        <x:v>VRM Games / Blender kit workflow</x:v>
      </x:c>
      <x:c r="G11" s="24" t="str">
        <x:v>VRM Games / Blas Luis Rocha González</x:v>
      </x:c>
      <x:c r="H11" s="24" t="str">
        <x:v>Internal</x:v>
      </x:c>
      <x:c r="I11" s="24" t="str">
        <x:v>Internal Blender/modeling pipeline</x:v>
      </x:c>
      <x:c r="J11" s="24" t="str">
        <x:v>Sprint 16 / prior kit production</x:v>
      </x:c>
      <x:c r="K11" s="24" t="str">
        <x:v>Internal project IP / authorship claim</x:v>
      </x:c>
      <x:c r="L11" s="24" t="str">
        <x:v>N/A</x:v>
      </x:c>
      <x:c r="M11" s="24" t="str">
        <x:v>Assets.zip + model path/hash + art records</x:v>
      </x:c>
      <x:c r="N11" s="24" t="str">
        <x:v>715d29c15074533edd3c4ec5475002e571092a5d745be227969ebe9bed873c1d</x:v>
      </x:c>
      <x:c r="O11" s="24" t="str">
        <x:v>Assets/_Project/Art/Models/Architecture/CC_S16_P2_Architecture_FloorEdge_100_LOD0.fbx</x:v>
      </x:c>
      <x:c r="P11" s="24" t="str">
        <x:v>3f9be7c6bb4416b4fab77e8346fdbef7</x:v>
      </x:c>
      <x:c r="Q11" s="24" t="str">
        <x:v>Sí</x:v>
      </x:c>
      <x:c r="R11" s="24" t="str">
        <x:v>Conditional on final provenance confirmation</x:v>
      </x:c>
      <x:c r="S11" s="24" t="str">
        <x:v>Only as part of authorized game/build</x:v>
      </x:c>
      <x:c r="T11" s="24" t="str">
        <x:v>General project/studio credits</x:v>
      </x:c>
      <x:c r="U11" s="24" t="str">
        <x:v>No standalone redistribution; no real-brand derivatives</x:v>
      </x:c>
      <x:c r="V11" s="24" t="str">
        <x:v>CONDITIONALLY APPROVED</x:v>
      </x:c>
      <x:c r="W11" s="24" t="str">
        <x:v>Imported/representative</x:v>
      </x:c>
      <x:c r="X11" s="24" t="str">
        <x:v>Internal builds; H6 after audit</x:v>
      </x:c>
      <x:c r="Y11" s="24" t="str">
        <x:v>Low</x:v>
      </x:c>
      <x:c r="Z11" s="24" t="str">
        <x:v>VRM Games</x:v>
      </x:c>
      <x:c r="AA11" s="24" t="str">
        <x:v>La autoría interna debe respaldarse por archivos fuente, historial o registro de creación cuando sea posible.</x:v>
      </x:c>
    </x:row>
    <x:row r="12" ht="34" customHeight="1">
      <x:c r="A12" s="24" t="str">
        <x:v>MOD-008</x:v>
      </x:c>
      <x:c r="B12" s="24" t="str">
        <x:v>495aa7fc13cc0c04cb1e71f075d90fe4</x:v>
      </x:c>
      <x:c r="C12" s="24" t="str">
        <x:v>CC_S16_P2_Architecture_FloorTransition_100_LOD0.fbx</x:v>
      </x:c>
      <x:c r="D12" s="24" t="str">
        <x:v>Architecture</x:v>
      </x:c>
      <x:c r="E12" s="24" t="str">
        <x:v>3D model</x:v>
      </x:c>
      <x:c r="F12" s="24" t="str">
        <x:v>VRM Games / Blender kit workflow</x:v>
      </x:c>
      <x:c r="G12" s="24" t="str">
        <x:v>VRM Games / Blas Luis Rocha González</x:v>
      </x:c>
      <x:c r="H12" s="24" t="str">
        <x:v>Internal</x:v>
      </x:c>
      <x:c r="I12" s="24" t="str">
        <x:v>Internal Blender/modeling pipeline</x:v>
      </x:c>
      <x:c r="J12" s="24" t="str">
        <x:v>Sprint 16 / prior kit production</x:v>
      </x:c>
      <x:c r="K12" s="24" t="str">
        <x:v>Internal project IP / authorship claim</x:v>
      </x:c>
      <x:c r="L12" s="24" t="str">
        <x:v>N/A</x:v>
      </x:c>
      <x:c r="M12" s="24" t="str">
        <x:v>Assets.zip + model path/hash + art records</x:v>
      </x:c>
      <x:c r="N12" s="24" t="str">
        <x:v>0a13586cc34e20951f86416030f74a1946e8abedf9dd9f7e55727e9d86490658</x:v>
      </x:c>
      <x:c r="O12" s="24" t="str">
        <x:v>Assets/_Project/Art/Models/Architecture/CC_S16_P2_Architecture_FloorTransition_100_LOD0.fbx</x:v>
      </x:c>
      <x:c r="P12" s="24" t="str">
        <x:v>495aa7fc13cc0c04cb1e71f075d90fe4</x:v>
      </x:c>
      <x:c r="Q12" s="24" t="str">
        <x:v>Sí</x:v>
      </x:c>
      <x:c r="R12" s="24" t="str">
        <x:v>Conditional on final provenance confirmation</x:v>
      </x:c>
      <x:c r="S12" s="24" t="str">
        <x:v>Only as part of authorized game/build</x:v>
      </x:c>
      <x:c r="T12" s="24" t="str">
        <x:v>General project/studio credits</x:v>
      </x:c>
      <x:c r="U12" s="24" t="str">
        <x:v>No standalone redistribution; no real-brand derivatives</x:v>
      </x:c>
      <x:c r="V12" s="24" t="str">
        <x:v>CONDITIONALLY APPROVED</x:v>
      </x:c>
      <x:c r="W12" s="24" t="str">
        <x:v>Imported/representative</x:v>
      </x:c>
      <x:c r="X12" s="24" t="str">
        <x:v>Internal builds; H6 after audit</x:v>
      </x:c>
      <x:c r="Y12" s="24" t="str">
        <x:v>Low</x:v>
      </x:c>
      <x:c r="Z12" s="24" t="str">
        <x:v>VRM Games</x:v>
      </x:c>
      <x:c r="AA12" s="24" t="str">
        <x:v>La autoría interna debe respaldarse por archivos fuente, historial o registro de creación cuando sea posible.</x:v>
      </x:c>
    </x:row>
    <x:row r="13" ht="34" customHeight="1">
      <x:c r="A13" s="24" t="str">
        <x:v>MOD-009</x:v>
      </x:c>
      <x:c r="B13" s="24" t="str">
        <x:v>aab6ff15134ac4a48b5a42b8ec896aaf</x:v>
      </x:c>
      <x:c r="C13" s="24" t="str">
        <x:v>CC_S16_P2_Architecture_Floor_100_LOD0.fbx</x:v>
      </x:c>
      <x:c r="D13" s="24" t="str">
        <x:v>Architecture</x:v>
      </x:c>
      <x:c r="E13" s="24" t="str">
        <x:v>3D model</x:v>
      </x:c>
      <x:c r="F13" s="24" t="str">
        <x:v>VRM Games / Blender kit workflow</x:v>
      </x:c>
      <x:c r="G13" s="24" t="str">
        <x:v>VRM Games / Blas Luis Rocha González</x:v>
      </x:c>
      <x:c r="H13" s="24" t="str">
        <x:v>Internal</x:v>
      </x:c>
      <x:c r="I13" s="24" t="str">
        <x:v>Internal Blender/modeling pipeline</x:v>
      </x:c>
      <x:c r="J13" s="24" t="str">
        <x:v>Sprint 16 / prior kit production</x:v>
      </x:c>
      <x:c r="K13" s="24" t="str">
        <x:v>Internal project IP / authorship claim</x:v>
      </x:c>
      <x:c r="L13" s="24" t="str">
        <x:v>N/A</x:v>
      </x:c>
      <x:c r="M13" s="24" t="str">
        <x:v>Assets.zip + model path/hash + art records</x:v>
      </x:c>
      <x:c r="N13" s="24" t="str">
        <x:v>83e57e98d998db88cbad91c55ffe05f16ba6f27815626b5d2c9d3c57048c4c5f</x:v>
      </x:c>
      <x:c r="O13" s="24" t="str">
        <x:v>Assets/_Project/Art/Models/Architecture/CC_S16_P2_Architecture_Floor_100_LOD0.fbx</x:v>
      </x:c>
      <x:c r="P13" s="24" t="str">
        <x:v>aab6ff15134ac4a48b5a42b8ec896aaf</x:v>
      </x:c>
      <x:c r="Q13" s="24" t="str">
        <x:v>Sí</x:v>
      </x:c>
      <x:c r="R13" s="24" t="str">
        <x:v>Conditional on final provenance confirmation</x:v>
      </x:c>
      <x:c r="S13" s="24" t="str">
        <x:v>Only as part of authorized game/build</x:v>
      </x:c>
      <x:c r="T13" s="24" t="str">
        <x:v>General project/studio credits</x:v>
      </x:c>
      <x:c r="U13" s="24" t="str">
        <x:v>No standalone redistribution; no real-brand derivatives</x:v>
      </x:c>
      <x:c r="V13" s="24" t="str">
        <x:v>CONDITIONALLY APPROVED</x:v>
      </x:c>
      <x:c r="W13" s="24" t="str">
        <x:v>Imported/representative</x:v>
      </x:c>
      <x:c r="X13" s="24" t="str">
        <x:v>Internal builds; H6 after audit</x:v>
      </x:c>
      <x:c r="Y13" s="24" t="str">
        <x:v>Low</x:v>
      </x:c>
      <x:c r="Z13" s="24" t="str">
        <x:v>VRM Games</x:v>
      </x:c>
      <x:c r="AA13" s="24" t="str">
        <x:v>La autoría interna debe respaldarse por archivos fuente, historial o registro de creación cuando sea posible.</x:v>
      </x:c>
    </x:row>
    <x:row r="14" ht="34" customHeight="1">
      <x:c r="A14" s="24" t="str">
        <x:v>MOD-010</x:v>
      </x:c>
      <x:c r="B14" s="24" t="str">
        <x:v>42fbba6170ed9974f85c2d9da30cadde</x:v>
      </x:c>
      <x:c r="C14" s="24" t="str">
        <x:v>CC_S16_P2_Architecture_Floor_200_LOD0.fbx</x:v>
      </x:c>
      <x:c r="D14" s="24" t="str">
        <x:v>Architecture</x:v>
      </x:c>
      <x:c r="E14" s="24" t="str">
        <x:v>3D model</x:v>
      </x:c>
      <x:c r="F14" s="24" t="str">
        <x:v>VRM Games / Blender kit workflow</x:v>
      </x:c>
      <x:c r="G14" s="24" t="str">
        <x:v>VRM Games / Blas Luis Rocha González</x:v>
      </x:c>
      <x:c r="H14" s="24" t="str">
        <x:v>Internal</x:v>
      </x:c>
      <x:c r="I14" s="24" t="str">
        <x:v>Internal Blender/modeling pipeline</x:v>
      </x:c>
      <x:c r="J14" s="24" t="str">
        <x:v>Sprint 16 / prior kit production</x:v>
      </x:c>
      <x:c r="K14" s="24" t="str">
        <x:v>Internal project IP / authorship claim</x:v>
      </x:c>
      <x:c r="L14" s="24" t="str">
        <x:v>N/A</x:v>
      </x:c>
      <x:c r="M14" s="24" t="str">
        <x:v>Assets.zip + model path/hash + art records</x:v>
      </x:c>
      <x:c r="N14" s="24" t="str">
        <x:v>d5090ad15177a3f8296be3992339c10d2dac398d8c554f2fd45d46a4053a6a98</x:v>
      </x:c>
      <x:c r="O14" s="24" t="str">
        <x:v>Assets/_Project/Art/Models/Architecture/CC_S16_P2_Architecture_Floor_200_LOD0.fbx</x:v>
      </x:c>
      <x:c r="P14" s="24" t="str">
        <x:v>42fbba6170ed9974f85c2d9da30cadde</x:v>
      </x:c>
      <x:c r="Q14" s="24" t="str">
        <x:v>Sí</x:v>
      </x:c>
      <x:c r="R14" s="24" t="str">
        <x:v>Conditional on final provenance confirmation</x:v>
      </x:c>
      <x:c r="S14" s="24" t="str">
        <x:v>Only as part of authorized game/build</x:v>
      </x:c>
      <x:c r="T14" s="24" t="str">
        <x:v>General project/studio credits</x:v>
      </x:c>
      <x:c r="U14" s="24" t="str">
        <x:v>No standalone redistribution; no real-brand derivatives</x:v>
      </x:c>
      <x:c r="V14" s="24" t="str">
        <x:v>CONDITIONALLY APPROVED</x:v>
      </x:c>
      <x:c r="W14" s="24" t="str">
        <x:v>Imported/representative</x:v>
      </x:c>
      <x:c r="X14" s="24" t="str">
        <x:v>Internal builds; H6 after audit</x:v>
      </x:c>
      <x:c r="Y14" s="24" t="str">
        <x:v>Low</x:v>
      </x:c>
      <x:c r="Z14" s="24" t="str">
        <x:v>VRM Games</x:v>
      </x:c>
      <x:c r="AA14" s="24" t="str">
        <x:v>La autoría interna debe respaldarse por archivos fuente, historial o registro de creación cuando sea posible.</x:v>
      </x:c>
    </x:row>
    <x:row r="15" ht="34" customHeight="1">
      <x:c r="A15" s="24" t="str">
        <x:v>MOD-011</x:v>
      </x:c>
      <x:c r="B15" s="24" t="str">
        <x:v>864e2e17997ef2f43b7336bc19133aed</x:v>
      </x:c>
      <x:c r="C15" s="24" t="str">
        <x:v>CC_S16_P2_Architecture_LightRail_100_LOD0.fbx</x:v>
      </x:c>
      <x:c r="D15" s="24" t="str">
        <x:v>Architecture</x:v>
      </x:c>
      <x:c r="E15" s="24" t="str">
        <x:v>3D model</x:v>
      </x:c>
      <x:c r="F15" s="24" t="str">
        <x:v>VRM Games / Blender kit workflow</x:v>
      </x:c>
      <x:c r="G15" s="24" t="str">
        <x:v>VRM Games / Blas Luis Rocha González</x:v>
      </x:c>
      <x:c r="H15" s="24" t="str">
        <x:v>Internal</x:v>
      </x:c>
      <x:c r="I15" s="24" t="str">
        <x:v>Internal Blender/modeling pipeline</x:v>
      </x:c>
      <x:c r="J15" s="24" t="str">
        <x:v>Sprint 16 / prior kit production</x:v>
      </x:c>
      <x:c r="K15" s="24" t="str">
        <x:v>Internal project IP / authorship claim</x:v>
      </x:c>
      <x:c r="L15" s="24" t="str">
        <x:v>N/A</x:v>
      </x:c>
      <x:c r="M15" s="24" t="str">
        <x:v>Assets.zip + model path/hash + art records</x:v>
      </x:c>
      <x:c r="N15" s="24" t="str">
        <x:v>a094a08bb865505551e69ddbd1a1ab83f682442d4eab1b5869874e131ba0e30f</x:v>
      </x:c>
      <x:c r="O15" s="24" t="str">
        <x:v>Assets/_Project/Art/Models/Architecture/CC_S16_P2_Architecture_LightRail_100_LOD0.fbx</x:v>
      </x:c>
      <x:c r="P15" s="24" t="str">
        <x:v>864e2e17997ef2f43b7336bc19133aed</x:v>
      </x:c>
      <x:c r="Q15" s="24" t="str">
        <x:v>Sí</x:v>
      </x:c>
      <x:c r="R15" s="24" t="str">
        <x:v>Conditional on final provenance confirmation</x:v>
      </x:c>
      <x:c r="S15" s="24" t="str">
        <x:v>Only as part of authorized game/build</x:v>
      </x:c>
      <x:c r="T15" s="24" t="str">
        <x:v>General project/studio credits</x:v>
      </x:c>
      <x:c r="U15" s="24" t="str">
        <x:v>No standalone redistribution; no real-brand derivatives</x:v>
      </x:c>
      <x:c r="V15" s="24" t="str">
        <x:v>CONDITIONALLY APPROVED</x:v>
      </x:c>
      <x:c r="W15" s="24" t="str">
        <x:v>Imported/representative</x:v>
      </x:c>
      <x:c r="X15" s="24" t="str">
        <x:v>Internal builds; H6 after audit</x:v>
      </x:c>
      <x:c r="Y15" s="24" t="str">
        <x:v>Low</x:v>
      </x:c>
      <x:c r="Z15" s="24" t="str">
        <x:v>VRM Games</x:v>
      </x:c>
      <x:c r="AA15" s="24" t="str">
        <x:v>La autoría interna debe respaldarse por archivos fuente, historial o registro de creación cuando sea posible.</x:v>
      </x:c>
    </x:row>
    <x:row r="16" ht="34" customHeight="1">
      <x:c r="A16" s="24" t="str">
        <x:v>MOD-012</x:v>
      </x:c>
      <x:c r="B16" s="24" t="str">
        <x:v>88499b783ac785a4ab108e1a0800e38e</x:v>
      </x:c>
      <x:c r="C16" s="24" t="str">
        <x:v>CC_S16_P2_Architecture_LightRail_200_LOD0.fbx</x:v>
      </x:c>
      <x:c r="D16" s="24" t="str">
        <x:v>Architecture</x:v>
      </x:c>
      <x:c r="E16" s="24" t="str">
        <x:v>3D model</x:v>
      </x:c>
      <x:c r="F16" s="24" t="str">
        <x:v>VRM Games / Blender kit workflow</x:v>
      </x:c>
      <x:c r="G16" s="24" t="str">
        <x:v>VRM Games / Blas Luis Rocha González</x:v>
      </x:c>
      <x:c r="H16" s="24" t="str">
        <x:v>Internal</x:v>
      </x:c>
      <x:c r="I16" s="24" t="str">
        <x:v>Internal Blender/modeling pipeline</x:v>
      </x:c>
      <x:c r="J16" s="24" t="str">
        <x:v>Sprint 16 / prior kit production</x:v>
      </x:c>
      <x:c r="K16" s="24" t="str">
        <x:v>Internal project IP / authorship claim</x:v>
      </x:c>
      <x:c r="L16" s="24" t="str">
        <x:v>N/A</x:v>
      </x:c>
      <x:c r="M16" s="24" t="str">
        <x:v>Assets.zip + model path/hash + art records</x:v>
      </x:c>
      <x:c r="N16" s="24" t="str">
        <x:v>feb376953f3f1e5a11702cc1433bab851eab0b84770d50659cc141d601146d7a</x:v>
      </x:c>
      <x:c r="O16" s="24" t="str">
        <x:v>Assets/_Project/Art/Models/Architecture/CC_S16_P2_Architecture_LightRail_200_LOD0.fbx</x:v>
      </x:c>
      <x:c r="P16" s="24" t="str">
        <x:v>88499b783ac785a4ab108e1a0800e38e</x:v>
      </x:c>
      <x:c r="Q16" s="24" t="str">
        <x:v>Sí</x:v>
      </x:c>
      <x:c r="R16" s="24" t="str">
        <x:v>Conditional on final provenance confirmation</x:v>
      </x:c>
      <x:c r="S16" s="24" t="str">
        <x:v>Only as part of authorized game/build</x:v>
      </x:c>
      <x:c r="T16" s="24" t="str">
        <x:v>General project/studio credits</x:v>
      </x:c>
      <x:c r="U16" s="24" t="str">
        <x:v>No standalone redistribution; no real-brand derivatives</x:v>
      </x:c>
      <x:c r="V16" s="24" t="str">
        <x:v>CONDITIONALLY APPROVED</x:v>
      </x:c>
      <x:c r="W16" s="24" t="str">
        <x:v>Imported/representative</x:v>
      </x:c>
      <x:c r="X16" s="24" t="str">
        <x:v>Internal builds; H6 after audit</x:v>
      </x:c>
      <x:c r="Y16" s="24" t="str">
        <x:v>Low</x:v>
      </x:c>
      <x:c r="Z16" s="24" t="str">
        <x:v>VRM Games</x:v>
      </x:c>
      <x:c r="AA16" s="24" t="str">
        <x:v>La autoría interna debe respaldarse por archivos fuente, historial o registro de creación cuando sea posible.</x:v>
      </x:c>
    </x:row>
    <x:row r="17" ht="34" customHeight="1">
      <x:c r="A17" s="24" t="str">
        <x:v>MOD-013</x:v>
      </x:c>
      <x:c r="B17" s="24" t="str">
        <x:v>af023954a29dec14f9fa2ff12ea783f9</x:v>
      </x:c>
      <x:c r="C17" s="24" t="str">
        <x:v>CC_S16_P2_Architecture_LinearPanel_LOD0.fbx</x:v>
      </x:c>
      <x:c r="D17" s="24" t="str">
        <x:v>Architecture</x:v>
      </x:c>
      <x:c r="E17" s="24" t="str">
        <x:v>3D model</x:v>
      </x:c>
      <x:c r="F17" s="24" t="str">
        <x:v>VRM Games / Blender kit workflow</x:v>
      </x:c>
      <x:c r="G17" s="24" t="str">
        <x:v>VRM Games / Blas Luis Rocha González</x:v>
      </x:c>
      <x:c r="H17" s="24" t="str">
        <x:v>Internal</x:v>
      </x:c>
      <x:c r="I17" s="24" t="str">
        <x:v>Internal Blender/modeling pipeline</x:v>
      </x:c>
      <x:c r="J17" s="24" t="str">
        <x:v>Sprint 16 / prior kit production</x:v>
      </x:c>
      <x:c r="K17" s="24" t="str">
        <x:v>Internal project IP / authorship claim</x:v>
      </x:c>
      <x:c r="L17" s="24" t="str">
        <x:v>N/A</x:v>
      </x:c>
      <x:c r="M17" s="24" t="str">
        <x:v>Assets.zip + model path/hash + art records</x:v>
      </x:c>
      <x:c r="N17" s="24" t="str">
        <x:v>ff153e46836ae8297211a5fc15714fdd8b7bc7fe9168836853faef51830c4fe2</x:v>
      </x:c>
      <x:c r="O17" s="24" t="str">
        <x:v>Assets/_Project/Art/Models/Architecture/CC_S16_P2_Architecture_LinearPanel_LOD0.fbx</x:v>
      </x:c>
      <x:c r="P17" s="24" t="str">
        <x:v>af023954a29dec14f9fa2ff12ea783f9</x:v>
      </x:c>
      <x:c r="Q17" s="24" t="str">
        <x:v>Sí</x:v>
      </x:c>
      <x:c r="R17" s="24" t="str">
        <x:v>Conditional on final provenance confirmation</x:v>
      </x:c>
      <x:c r="S17" s="24" t="str">
        <x:v>Only as part of authorized game/build</x:v>
      </x:c>
      <x:c r="T17" s="24" t="str">
        <x:v>General project/studio credits</x:v>
      </x:c>
      <x:c r="U17" s="24" t="str">
        <x:v>No standalone redistribution; no real-brand derivatives</x:v>
      </x:c>
      <x:c r="V17" s="24" t="str">
        <x:v>CONDITIONALLY APPROVED</x:v>
      </x:c>
      <x:c r="W17" s="24" t="str">
        <x:v>Imported/representative</x:v>
      </x:c>
      <x:c r="X17" s="24" t="str">
        <x:v>Internal builds; H6 after audit</x:v>
      </x:c>
      <x:c r="Y17" s="24" t="str">
        <x:v>Low</x:v>
      </x:c>
      <x:c r="Z17" s="24" t="str">
        <x:v>VRM Games</x:v>
      </x:c>
      <x:c r="AA17" s="24" t="str">
        <x:v>La autoría interna debe respaldarse por archivos fuente, historial o registro de creación cuando sea posible.</x:v>
      </x:c>
    </x:row>
    <x:row r="18" ht="34" customHeight="1">
      <x:c r="A18" s="24" t="str">
        <x:v>MOD-014</x:v>
      </x:c>
      <x:c r="B18" s="24" t="str">
        <x:v>007e905b11046184a907b1da3fd14e8a</x:v>
      </x:c>
      <x:c r="C18" s="24" t="str">
        <x:v>CC_S16_P2_Architecture_SpotLight_LOD0.fbx</x:v>
      </x:c>
      <x:c r="D18" s="24" t="str">
        <x:v>Architecture</x:v>
      </x:c>
      <x:c r="E18" s="24" t="str">
        <x:v>3D model</x:v>
      </x:c>
      <x:c r="F18" s="24" t="str">
        <x:v>VRM Games / Blender kit workflow</x:v>
      </x:c>
      <x:c r="G18" s="24" t="str">
        <x:v>VRM Games / Blas Luis Rocha González</x:v>
      </x:c>
      <x:c r="H18" s="24" t="str">
        <x:v>Internal</x:v>
      </x:c>
      <x:c r="I18" s="24" t="str">
        <x:v>Internal Blender/modeling pipeline</x:v>
      </x:c>
      <x:c r="J18" s="24" t="str">
        <x:v>Sprint 16 / prior kit production</x:v>
      </x:c>
      <x:c r="K18" s="24" t="str">
        <x:v>Internal project IP / authorship claim</x:v>
      </x:c>
      <x:c r="L18" s="24" t="str">
        <x:v>N/A</x:v>
      </x:c>
      <x:c r="M18" s="24" t="str">
        <x:v>Assets.zip + model path/hash + art records</x:v>
      </x:c>
      <x:c r="N18" s="24" t="str">
        <x:v>a779e89b674c12fc66183495ac340094ff961e007342725e01eb2cc77f1eb39b</x:v>
      </x:c>
      <x:c r="O18" s="24" t="str">
        <x:v>Assets/_Project/Art/Models/Architecture/CC_S16_P2_Architecture_SpotLight_LOD0.fbx</x:v>
      </x:c>
      <x:c r="P18" s="24" t="str">
        <x:v>007e905b11046184a907b1da3fd14e8a</x:v>
      </x:c>
      <x:c r="Q18" s="24" t="str">
        <x:v>Sí</x:v>
      </x:c>
      <x:c r="R18" s="24" t="str">
        <x:v>Conditional on final provenance confirmation</x:v>
      </x:c>
      <x:c r="S18" s="24" t="str">
        <x:v>Only as part of authorized game/build</x:v>
      </x:c>
      <x:c r="T18" s="24" t="str">
        <x:v>General project/studio credits</x:v>
      </x:c>
      <x:c r="U18" s="24" t="str">
        <x:v>No standalone redistribution; no real-brand derivatives</x:v>
      </x:c>
      <x:c r="V18" s="24" t="str">
        <x:v>CONDITIONALLY APPROVED</x:v>
      </x:c>
      <x:c r="W18" s="24" t="str">
        <x:v>Imported/representative</x:v>
      </x:c>
      <x:c r="X18" s="24" t="str">
        <x:v>Internal builds; H6 after audit</x:v>
      </x:c>
      <x:c r="Y18" s="24" t="str">
        <x:v>Low</x:v>
      </x:c>
      <x:c r="Z18" s="24" t="str">
        <x:v>VRM Games</x:v>
      </x:c>
      <x:c r="AA18" s="24" t="str">
        <x:v>La autoría interna debe respaldarse por archivos fuente, historial o registro de creación cuando sea posible.</x:v>
      </x:c>
    </x:row>
    <x:row r="19" ht="34" customHeight="1">
      <x:c r="A19" s="24" t="str">
        <x:v>MOD-015</x:v>
      </x:c>
      <x:c r="B19" s="24" t="str">
        <x:v>d45130bb326b77a45affb4a5e9dffd2d</x:v>
      </x:c>
      <x:c r="C19" s="24" t="str">
        <x:v>CC_S16_P2_Architecture_StoreGlass_Left_LOD0.fbx</x:v>
      </x:c>
      <x:c r="D19" s="24" t="str">
        <x:v>Architecture</x:v>
      </x:c>
      <x:c r="E19" s="24" t="str">
        <x:v>3D model</x:v>
      </x:c>
      <x:c r="F19" s="24" t="str">
        <x:v>VRM Games / Blender kit workflow</x:v>
      </x:c>
      <x:c r="G19" s="24" t="str">
        <x:v>VRM Games / Blas Luis Rocha González</x:v>
      </x:c>
      <x:c r="H19" s="24" t="str">
        <x:v>Internal</x:v>
      </x:c>
      <x:c r="I19" s="24" t="str">
        <x:v>Internal Blender/modeling pipeline</x:v>
      </x:c>
      <x:c r="J19" s="24" t="str">
        <x:v>Sprint 16 / prior kit production</x:v>
      </x:c>
      <x:c r="K19" s="24" t="str">
        <x:v>Internal project IP / authorship claim</x:v>
      </x:c>
      <x:c r="L19" s="24" t="str">
        <x:v>N/A</x:v>
      </x:c>
      <x:c r="M19" s="24" t="str">
        <x:v>Assets.zip + model path/hash + art records</x:v>
      </x:c>
      <x:c r="N19" s="24" t="str">
        <x:v>ba0a62188260b2a58c7f7c46b6121dec3291992515a4e9bb27de2da26dec93ad</x:v>
      </x:c>
      <x:c r="O19" s="24" t="str">
        <x:v>Assets/_Project/Art/Models/Architecture/CC_S16_P2_Architecture_StoreGlass_Left_LOD0.fbx</x:v>
      </x:c>
      <x:c r="P19" s="24" t="str">
        <x:v>d45130bb326b77a45affb4a5e9dffd2d</x:v>
      </x:c>
      <x:c r="Q19" s="24" t="str">
        <x:v>Sí</x:v>
      </x:c>
      <x:c r="R19" s="24" t="str">
        <x:v>Conditional on final provenance confirmation</x:v>
      </x:c>
      <x:c r="S19" s="24" t="str">
        <x:v>Only as part of authorized game/build</x:v>
      </x:c>
      <x:c r="T19" s="24" t="str">
        <x:v>General project/studio credits</x:v>
      </x:c>
      <x:c r="U19" s="24" t="str">
        <x:v>No standalone redistribution; no real-brand derivatives</x:v>
      </x:c>
      <x:c r="V19" s="24" t="str">
        <x:v>CONDITIONALLY APPROVED</x:v>
      </x:c>
      <x:c r="W19" s="24" t="str">
        <x:v>Imported/representative</x:v>
      </x:c>
      <x:c r="X19" s="24" t="str">
        <x:v>Internal builds; H6 after audit</x:v>
      </x:c>
      <x:c r="Y19" s="24" t="str">
        <x:v>Low</x:v>
      </x:c>
      <x:c r="Z19" s="24" t="str">
        <x:v>VRM Games</x:v>
      </x:c>
      <x:c r="AA19" s="24" t="str">
        <x:v>La autoría interna debe respaldarse por archivos fuente, historial o registro de creación cuando sea posible.</x:v>
      </x:c>
    </x:row>
    <x:row r="20" ht="34" customHeight="1">
      <x:c r="A20" s="24" t="str">
        <x:v>MOD-016</x:v>
      </x:c>
      <x:c r="B20" s="24" t="str">
        <x:v>974b55e4efe70d5469eb42fe2648baea</x:v>
      </x:c>
      <x:c r="C20" s="24" t="str">
        <x:v>CC_S16_P2_Architecture_StoreGlass_Right_LOD0.fbx</x:v>
      </x:c>
      <x:c r="D20" s="24" t="str">
        <x:v>Architecture</x:v>
      </x:c>
      <x:c r="E20" s="24" t="str">
        <x:v>3D model</x:v>
      </x:c>
      <x:c r="F20" s="24" t="str">
        <x:v>VRM Games / Blender kit workflow</x:v>
      </x:c>
      <x:c r="G20" s="24" t="str">
        <x:v>VRM Games / Blas Luis Rocha González</x:v>
      </x:c>
      <x:c r="H20" s="24" t="str">
        <x:v>Internal</x:v>
      </x:c>
      <x:c r="I20" s="24" t="str">
        <x:v>Internal Blender/modeling pipeline</x:v>
      </x:c>
      <x:c r="J20" s="24" t="str">
        <x:v>Sprint 16 / prior kit production</x:v>
      </x:c>
      <x:c r="K20" s="24" t="str">
        <x:v>Internal project IP / authorship claim</x:v>
      </x:c>
      <x:c r="L20" s="24" t="str">
        <x:v>N/A</x:v>
      </x:c>
      <x:c r="M20" s="24" t="str">
        <x:v>Assets.zip + model path/hash + art records</x:v>
      </x:c>
      <x:c r="N20" s="24" t="str">
        <x:v>d0c5ee92af7552cf0084b2ce2791687daf39a6498b963cb19a4af9e1f305d3e7</x:v>
      </x:c>
      <x:c r="O20" s="24" t="str">
        <x:v>Assets/_Project/Art/Models/Architecture/CC_S16_P2_Architecture_StoreGlass_Right_LOD0.fbx</x:v>
      </x:c>
      <x:c r="P20" s="24" t="str">
        <x:v>974b55e4efe70d5469eb42fe2648baea</x:v>
      </x:c>
      <x:c r="Q20" s="24" t="str">
        <x:v>Sí</x:v>
      </x:c>
      <x:c r="R20" s="24" t="str">
        <x:v>Conditional on final provenance confirmation</x:v>
      </x:c>
      <x:c r="S20" s="24" t="str">
        <x:v>Only as part of authorized game/build</x:v>
      </x:c>
      <x:c r="T20" s="24" t="str">
        <x:v>General project/studio credits</x:v>
      </x:c>
      <x:c r="U20" s="24" t="str">
        <x:v>No standalone redistribution; no real-brand derivatives</x:v>
      </x:c>
      <x:c r="V20" s="24" t="str">
        <x:v>CONDITIONALLY APPROVED</x:v>
      </x:c>
      <x:c r="W20" s="24" t="str">
        <x:v>Imported/representative</x:v>
      </x:c>
      <x:c r="X20" s="24" t="str">
        <x:v>Internal builds; H6 after audit</x:v>
      </x:c>
      <x:c r="Y20" s="24" t="str">
        <x:v>Low</x:v>
      </x:c>
      <x:c r="Z20" s="24" t="str">
        <x:v>VRM Games</x:v>
      </x:c>
      <x:c r="AA20" s="24" t="str">
        <x:v>La autoría interna debe respaldarse por archivos fuente, historial o registro de creación cuando sea posible.</x:v>
      </x:c>
    </x:row>
    <x:row r="21" ht="34" customHeight="1">
      <x:c r="A21" s="24" t="str">
        <x:v>MOD-017</x:v>
      </x:c>
      <x:c r="B21" s="24" t="str">
        <x:v>544eb76a67a2bd44a9bec931a4eaba58</x:v>
      </x:c>
      <x:c r="C21" s="24" t="str">
        <x:v>CC_S16_P2_Architecture_StoreSign_LOD0.fbx</x:v>
      </x:c>
      <x:c r="D21" s="24" t="str">
        <x:v>Architecture</x:v>
      </x:c>
      <x:c r="E21" s="24" t="str">
        <x:v>3D model</x:v>
      </x:c>
      <x:c r="F21" s="24" t="str">
        <x:v>VRM Games / Blender kit workflow</x:v>
      </x:c>
      <x:c r="G21" s="24" t="str">
        <x:v>VRM Games / Blas Luis Rocha González</x:v>
      </x:c>
      <x:c r="H21" s="24" t="str">
        <x:v>Internal</x:v>
      </x:c>
      <x:c r="I21" s="24" t="str">
        <x:v>Internal Blender/modeling pipeline</x:v>
      </x:c>
      <x:c r="J21" s="24" t="str">
        <x:v>Sprint 16 / prior kit production</x:v>
      </x:c>
      <x:c r="K21" s="24" t="str">
        <x:v>Internal project IP / authorship claim</x:v>
      </x:c>
      <x:c r="L21" s="24" t="str">
        <x:v>N/A</x:v>
      </x:c>
      <x:c r="M21" s="24" t="str">
        <x:v>Assets.zip + model path/hash + art records</x:v>
      </x:c>
      <x:c r="N21" s="24" t="str">
        <x:v>3d5366d0f15ea0a48ff3d1559c8d84887304f345824702ad3cdb24705b255a4e</x:v>
      </x:c>
      <x:c r="O21" s="24" t="str">
        <x:v>Assets/_Project/Art/Models/Architecture/CC_S16_P2_Architecture_StoreSign_LOD0.fbx</x:v>
      </x:c>
      <x:c r="P21" s="24" t="str">
        <x:v>544eb76a67a2bd44a9bec931a4eaba58</x:v>
      </x:c>
      <x:c r="Q21" s="24" t="str">
        <x:v>Sí</x:v>
      </x:c>
      <x:c r="R21" s="24" t="str">
        <x:v>Conditional on final provenance confirmation</x:v>
      </x:c>
      <x:c r="S21" s="24" t="str">
        <x:v>Only as part of authorized game/build</x:v>
      </x:c>
      <x:c r="T21" s="24" t="str">
        <x:v>General project/studio credits</x:v>
      </x:c>
      <x:c r="U21" s="24" t="str">
        <x:v>No standalone redistribution; no real-brand derivatives</x:v>
      </x:c>
      <x:c r="V21" s="24" t="str">
        <x:v>CONDITIONALLY APPROVED</x:v>
      </x:c>
      <x:c r="W21" s="24" t="str">
        <x:v>Imported/representative</x:v>
      </x:c>
      <x:c r="X21" s="24" t="str">
        <x:v>Internal builds; H6 after audit</x:v>
      </x:c>
      <x:c r="Y21" s="24" t="str">
        <x:v>Low</x:v>
      </x:c>
      <x:c r="Z21" s="24" t="str">
        <x:v>VRM Games</x:v>
      </x:c>
      <x:c r="AA21" s="24" t="str">
        <x:v>La autoría interna debe respaldarse por archivos fuente, historial o registro de creación cuando sea posible.</x:v>
      </x:c>
    </x:row>
    <x:row r="22" ht="34" customHeight="1">
      <x:c r="A22" s="24" t="str">
        <x:v>MOD-018</x:v>
      </x:c>
      <x:c r="B22" s="24" t="str">
        <x:v>dee5e71b70190c9479bf738c46653083</x:v>
      </x:c>
      <x:c r="C22" s="24" t="str">
        <x:v>CC_S16_P2_Architecture_StorefrontFacade_LOD0.fbx</x:v>
      </x:c>
      <x:c r="D22" s="24" t="str">
        <x:v>Architecture</x:v>
      </x:c>
      <x:c r="E22" s="24" t="str">
        <x:v>3D model</x:v>
      </x:c>
      <x:c r="F22" s="24" t="str">
        <x:v>VRM Games / Blender kit workflow</x:v>
      </x:c>
      <x:c r="G22" s="24" t="str">
        <x:v>VRM Games / Blas Luis Rocha González</x:v>
      </x:c>
      <x:c r="H22" s="24" t="str">
        <x:v>Internal</x:v>
      </x:c>
      <x:c r="I22" s="24" t="str">
        <x:v>Internal Blender/modeling pipeline</x:v>
      </x:c>
      <x:c r="J22" s="24" t="str">
        <x:v>Sprint 16 / prior kit production</x:v>
      </x:c>
      <x:c r="K22" s="24" t="str">
        <x:v>Internal project IP / authorship claim</x:v>
      </x:c>
      <x:c r="L22" s="24" t="str">
        <x:v>N/A</x:v>
      </x:c>
      <x:c r="M22" s="24" t="str">
        <x:v>Assets.zip + model path/hash + art records</x:v>
      </x:c>
      <x:c r="N22" s="24" t="str">
        <x:v>0acabe2655f122cb5eb528733a0e973d9c8af1f388ebf7ac0bc496f90a7b8155</x:v>
      </x:c>
      <x:c r="O22" s="24" t="str">
        <x:v>Assets/_Project/Art/Models/Architecture/CC_S16_P2_Architecture_StorefrontFacade_LOD0.fbx</x:v>
      </x:c>
      <x:c r="P22" s="24" t="str">
        <x:v>dee5e71b70190c9479bf738c46653083</x:v>
      </x:c>
      <x:c r="Q22" s="24" t="str">
        <x:v>Sí</x:v>
      </x:c>
      <x:c r="R22" s="24" t="str">
        <x:v>Conditional on final provenance confirmation</x:v>
      </x:c>
      <x:c r="S22" s="24" t="str">
        <x:v>Only as part of authorized game/build</x:v>
      </x:c>
      <x:c r="T22" s="24" t="str">
        <x:v>General project/studio credits</x:v>
      </x:c>
      <x:c r="U22" s="24" t="str">
        <x:v>No standalone redistribution; no real-brand derivatives</x:v>
      </x:c>
      <x:c r="V22" s="24" t="str">
        <x:v>CONDITIONALLY APPROVED</x:v>
      </x:c>
      <x:c r="W22" s="24" t="str">
        <x:v>Imported/representative</x:v>
      </x:c>
      <x:c r="X22" s="24" t="str">
        <x:v>Internal builds; H6 after audit</x:v>
      </x:c>
      <x:c r="Y22" s="24" t="str">
        <x:v>Low</x:v>
      </x:c>
      <x:c r="Z22" s="24" t="str">
        <x:v>VRM Games</x:v>
      </x:c>
      <x:c r="AA22" s="24" t="str">
        <x:v>La autoría interna debe respaldarse por archivos fuente, historial o registro de creación cuando sea posible.</x:v>
      </x:c>
    </x:row>
    <x:row r="23" ht="34" customHeight="1">
      <x:c r="A23" s="24" t="str">
        <x:v>MOD-019</x:v>
      </x:c>
      <x:c r="B23" s="24" t="str">
        <x:v>4aa586a80c309e041a20c6c55a8247d0</x:v>
      </x:c>
      <x:c r="C23" s="24" t="str">
        <x:v>CC_S16_P2_Architecture_Wall_100_LOD0.fbx</x:v>
      </x:c>
      <x:c r="D23" s="24" t="str">
        <x:v>Architecture</x:v>
      </x:c>
      <x:c r="E23" s="24" t="str">
        <x:v>3D model</x:v>
      </x:c>
      <x:c r="F23" s="24" t="str">
        <x:v>VRM Games / Blender kit workflow</x:v>
      </x:c>
      <x:c r="G23" s="24" t="str">
        <x:v>VRM Games / Blas Luis Rocha González</x:v>
      </x:c>
      <x:c r="H23" s="24" t="str">
        <x:v>Internal</x:v>
      </x:c>
      <x:c r="I23" s="24" t="str">
        <x:v>Internal Blender/modeling pipeline</x:v>
      </x:c>
      <x:c r="J23" s="24" t="str">
        <x:v>Sprint 16 / prior kit production</x:v>
      </x:c>
      <x:c r="K23" s="24" t="str">
        <x:v>Internal project IP / authorship claim</x:v>
      </x:c>
      <x:c r="L23" s="24" t="str">
        <x:v>N/A</x:v>
      </x:c>
      <x:c r="M23" s="24" t="str">
        <x:v>Assets.zip + model path/hash + art records</x:v>
      </x:c>
      <x:c r="N23" s="24" t="str">
        <x:v>99d686bd4ac96fc67445f9b3f5a100d3ee56f9254373f34eff966cf00747acfc</x:v>
      </x:c>
      <x:c r="O23" s="24" t="str">
        <x:v>Assets/_Project/Art/Models/Architecture/CC_S16_P2_Architecture_Wall_100_LOD0.fbx</x:v>
      </x:c>
      <x:c r="P23" s="24" t="str">
        <x:v>4aa586a80c309e041a20c6c55a8247d0</x:v>
      </x:c>
      <x:c r="Q23" s="24" t="str">
        <x:v>Sí</x:v>
      </x:c>
      <x:c r="R23" s="24" t="str">
        <x:v>Conditional on final provenance confirmation</x:v>
      </x:c>
      <x:c r="S23" s="24" t="str">
        <x:v>Only as part of authorized game/build</x:v>
      </x:c>
      <x:c r="T23" s="24" t="str">
        <x:v>General project/studio credits</x:v>
      </x:c>
      <x:c r="U23" s="24" t="str">
        <x:v>No standalone redistribution; no real-brand derivatives</x:v>
      </x:c>
      <x:c r="V23" s="24" t="str">
        <x:v>CONDITIONALLY APPROVED</x:v>
      </x:c>
      <x:c r="W23" s="24" t="str">
        <x:v>Imported/representative</x:v>
      </x:c>
      <x:c r="X23" s="24" t="str">
        <x:v>Internal builds; H6 after audit</x:v>
      </x:c>
      <x:c r="Y23" s="24" t="str">
        <x:v>Low</x:v>
      </x:c>
      <x:c r="Z23" s="24" t="str">
        <x:v>VRM Games</x:v>
      </x:c>
      <x:c r="AA23" s="24" t="str">
        <x:v>La autoría interna debe respaldarse por archivos fuente, historial o registro de creación cuando sea posible.</x:v>
      </x:c>
    </x:row>
    <x:row r="24" ht="34" customHeight="1">
      <x:c r="A24" s="24" t="str">
        <x:v>MOD-020</x:v>
      </x:c>
      <x:c r="B24" s="24" t="str">
        <x:v>e353e2191b0a90941bdefad00d9960d4</x:v>
      </x:c>
      <x:c r="C24" s="24" t="str">
        <x:v>CC_S16_P2_Architecture_Wall_200_LOD0.fbx</x:v>
      </x:c>
      <x:c r="D24" s="24" t="str">
        <x:v>Architecture</x:v>
      </x:c>
      <x:c r="E24" s="24" t="str">
        <x:v>3D model</x:v>
      </x:c>
      <x:c r="F24" s="24" t="str">
        <x:v>VRM Games / Blender kit workflow</x:v>
      </x:c>
      <x:c r="G24" s="24" t="str">
        <x:v>VRM Games / Blas Luis Rocha González</x:v>
      </x:c>
      <x:c r="H24" s="24" t="str">
        <x:v>Internal</x:v>
      </x:c>
      <x:c r="I24" s="24" t="str">
        <x:v>Internal Blender/modeling pipeline</x:v>
      </x:c>
      <x:c r="J24" s="24" t="str">
        <x:v>Sprint 16 / prior kit production</x:v>
      </x:c>
      <x:c r="K24" s="24" t="str">
        <x:v>Internal project IP / authorship claim</x:v>
      </x:c>
      <x:c r="L24" s="24" t="str">
        <x:v>N/A</x:v>
      </x:c>
      <x:c r="M24" s="24" t="str">
        <x:v>Assets.zip + model path/hash + art records</x:v>
      </x:c>
      <x:c r="N24" s="24" t="str">
        <x:v>2bbcbe4f8b54af34b000c0948c18c48a17f4cc4f3b0c229db2718d39baecadf6</x:v>
      </x:c>
      <x:c r="O24" s="24" t="str">
        <x:v>Assets/_Project/Art/Models/Architecture/CC_S16_P2_Architecture_Wall_200_LOD0.fbx</x:v>
      </x:c>
      <x:c r="P24" s="24" t="str">
        <x:v>e353e2191b0a90941bdefad00d9960d4</x:v>
      </x:c>
      <x:c r="Q24" s="24" t="str">
        <x:v>Sí</x:v>
      </x:c>
      <x:c r="R24" s="24" t="str">
        <x:v>Conditional on final provenance confirmation</x:v>
      </x:c>
      <x:c r="S24" s="24" t="str">
        <x:v>Only as part of authorized game/build</x:v>
      </x:c>
      <x:c r="T24" s="24" t="str">
        <x:v>General project/studio credits</x:v>
      </x:c>
      <x:c r="U24" s="24" t="str">
        <x:v>No standalone redistribution; no real-brand derivatives</x:v>
      </x:c>
      <x:c r="V24" s="24" t="str">
        <x:v>CONDITIONALLY APPROVED</x:v>
      </x:c>
      <x:c r="W24" s="24" t="str">
        <x:v>Imported/representative</x:v>
      </x:c>
      <x:c r="X24" s="24" t="str">
        <x:v>Internal builds; H6 after audit</x:v>
      </x:c>
      <x:c r="Y24" s="24" t="str">
        <x:v>Low</x:v>
      </x:c>
      <x:c r="Z24" s="24" t="str">
        <x:v>VRM Games</x:v>
      </x:c>
      <x:c r="AA24" s="24" t="str">
        <x:v>La autoría interna debe respaldarse por archivos fuente, historial o registro de creación cuando sea posible.</x:v>
      </x:c>
    </x:row>
    <x:row r="25" ht="34" customHeight="1">
      <x:c r="A25" s="24" t="str">
        <x:v>MOD-021</x:v>
      </x:c>
      <x:c r="B25" s="24" t="str">
        <x:v>b824b8033d3d90845a4ed0be74f084af</x:v>
      </x:c>
      <x:c r="C25" s="24" t="str">
        <x:v>CC_S16_P2_Architecture_Wall_400_LOD0.fbx</x:v>
      </x:c>
      <x:c r="D25" s="24" t="str">
        <x:v>Architecture</x:v>
      </x:c>
      <x:c r="E25" s="24" t="str">
        <x:v>3D model</x:v>
      </x:c>
      <x:c r="F25" s="24" t="str">
        <x:v>VRM Games / Blender kit workflow</x:v>
      </x:c>
      <x:c r="G25" s="24" t="str">
        <x:v>VRM Games / Blas Luis Rocha González</x:v>
      </x:c>
      <x:c r="H25" s="24" t="str">
        <x:v>Internal</x:v>
      </x:c>
      <x:c r="I25" s="24" t="str">
        <x:v>Internal Blender/modeling pipeline</x:v>
      </x:c>
      <x:c r="J25" s="24" t="str">
        <x:v>Sprint 16 / prior kit production</x:v>
      </x:c>
      <x:c r="K25" s="24" t="str">
        <x:v>Internal project IP / authorship claim</x:v>
      </x:c>
      <x:c r="L25" s="24" t="str">
        <x:v>N/A</x:v>
      </x:c>
      <x:c r="M25" s="24" t="str">
        <x:v>Assets.zip + model path/hash + art records</x:v>
      </x:c>
      <x:c r="N25" s="24" t="str">
        <x:v>c8918845a74e8dca892cc9b88a3c516923c6b05952704784e3dfea9ccebd5b88</x:v>
      </x:c>
      <x:c r="O25" s="24" t="str">
        <x:v>Assets/_Project/Art/Models/Architecture/CC_S16_P2_Architecture_Wall_400_LOD0.fbx</x:v>
      </x:c>
      <x:c r="P25" s="24" t="str">
        <x:v>b824b8033d3d90845a4ed0be74f084af</x:v>
      </x:c>
      <x:c r="Q25" s="24" t="str">
        <x:v>Sí</x:v>
      </x:c>
      <x:c r="R25" s="24" t="str">
        <x:v>Conditional on final provenance confirmation</x:v>
      </x:c>
      <x:c r="S25" s="24" t="str">
        <x:v>Only as part of authorized game/build</x:v>
      </x:c>
      <x:c r="T25" s="24" t="str">
        <x:v>General project/studio credits</x:v>
      </x:c>
      <x:c r="U25" s="24" t="str">
        <x:v>No standalone redistribution; no real-brand derivatives</x:v>
      </x:c>
      <x:c r="V25" s="24" t="str">
        <x:v>CONDITIONALLY APPROVED</x:v>
      </x:c>
      <x:c r="W25" s="24" t="str">
        <x:v>Imported/representative</x:v>
      </x:c>
      <x:c r="X25" s="24" t="str">
        <x:v>Internal builds; H6 after audit</x:v>
      </x:c>
      <x:c r="Y25" s="24" t="str">
        <x:v>Low</x:v>
      </x:c>
      <x:c r="Z25" s="24" t="str">
        <x:v>VRM Games</x:v>
      </x:c>
      <x:c r="AA25" s="24" t="str">
        <x:v>La autoría interna debe respaldarse por archivos fuente, historial o registro de creación cuando sea posible.</x:v>
      </x:c>
    </x:row>
    <x:row r="26" ht="34" customHeight="1">
      <x:c r="A26" s="24" t="str">
        <x:v>MOD-022</x:v>
      </x:c>
      <x:c r="B26" s="24" t="str">
        <x:v>e641408631203c349abeb5059cb863fa</x:v>
      </x:c>
      <x:c r="C26" s="24" t="str">
        <x:v>CC_S16_P2_Architecture_ZoneBackroom_LOD0.fbx</x:v>
      </x:c>
      <x:c r="D26" s="24" t="str">
        <x:v>Architecture</x:v>
      </x:c>
      <x:c r="E26" s="24" t="str">
        <x:v>3D model</x:v>
      </x:c>
      <x:c r="F26" s="24" t="str">
        <x:v>VRM Games / Blender kit workflow</x:v>
      </x:c>
      <x:c r="G26" s="24" t="str">
        <x:v>VRM Games / Blas Luis Rocha González</x:v>
      </x:c>
      <x:c r="H26" s="24" t="str">
        <x:v>Internal</x:v>
      </x:c>
      <x:c r="I26" s="24" t="str">
        <x:v>Internal Blender/modeling pipeline</x:v>
      </x:c>
      <x:c r="J26" s="24" t="str">
        <x:v>Sprint 16 / prior kit production</x:v>
      </x:c>
      <x:c r="K26" s="24" t="str">
        <x:v>Internal project IP / authorship claim</x:v>
      </x:c>
      <x:c r="L26" s="24" t="str">
        <x:v>N/A</x:v>
      </x:c>
      <x:c r="M26" s="24" t="str">
        <x:v>Assets.zip + model path/hash + art records</x:v>
      </x:c>
      <x:c r="N26" s="24" t="str">
        <x:v>f743b353bd8f2e863758b034407e7c8d052ed55bd278dc6b3e55e981263c91d1</x:v>
      </x:c>
      <x:c r="O26" s="24" t="str">
        <x:v>Assets/_Project/Art/Models/Architecture/CC_S16_P2_Architecture_ZoneBackroom_LOD0.fbx</x:v>
      </x:c>
      <x:c r="P26" s="24" t="str">
        <x:v>e641408631203c349abeb5059cb863fa</x:v>
      </x:c>
      <x:c r="Q26" s="24" t="str">
        <x:v>Sí</x:v>
      </x:c>
      <x:c r="R26" s="24" t="str">
        <x:v>Conditional on final provenance confirmation</x:v>
      </x:c>
      <x:c r="S26" s="24" t="str">
        <x:v>Only as part of authorized game/build</x:v>
      </x:c>
      <x:c r="T26" s="24" t="str">
        <x:v>General project/studio credits</x:v>
      </x:c>
      <x:c r="U26" s="24" t="str">
        <x:v>No standalone redistribution; no real-brand derivatives</x:v>
      </x:c>
      <x:c r="V26" s="24" t="str">
        <x:v>CONDITIONALLY APPROVED</x:v>
      </x:c>
      <x:c r="W26" s="24" t="str">
        <x:v>Imported/representative</x:v>
      </x:c>
      <x:c r="X26" s="24" t="str">
        <x:v>Internal builds; H6 after audit</x:v>
      </x:c>
      <x:c r="Y26" s="24" t="str">
        <x:v>Low</x:v>
      </x:c>
      <x:c r="Z26" s="24" t="str">
        <x:v>VRM Games</x:v>
      </x:c>
      <x:c r="AA26" s="24" t="str">
        <x:v>La autoría interna debe respaldarse por archivos fuente, historial o registro de creación cuando sea posible.</x:v>
      </x:c>
    </x:row>
    <x:row r="27" ht="34" customHeight="1">
      <x:c r="A27" s="24" t="str">
        <x:v>MOD-023</x:v>
      </x:c>
      <x:c r="B27" s="24" t="str">
        <x:v>9b63907c5be795240a22c773ad61a3b0</x:v>
      </x:c>
      <x:c r="C27" s="24" t="str">
        <x:v>CC_S16_P2_Architecture_ZoneCheckout_LOD0.fbx</x:v>
      </x:c>
      <x:c r="D27" s="24" t="str">
        <x:v>Architecture</x:v>
      </x:c>
      <x:c r="E27" s="24" t="str">
        <x:v>3D model</x:v>
      </x:c>
      <x:c r="F27" s="24" t="str">
        <x:v>VRM Games / Blender kit workflow</x:v>
      </x:c>
      <x:c r="G27" s="24" t="str">
        <x:v>VRM Games / Blas Luis Rocha González</x:v>
      </x:c>
      <x:c r="H27" s="24" t="str">
        <x:v>Internal</x:v>
      </x:c>
      <x:c r="I27" s="24" t="str">
        <x:v>Internal Blender/modeling pipeline</x:v>
      </x:c>
      <x:c r="J27" s="24" t="str">
        <x:v>Sprint 16 / prior kit production</x:v>
      </x:c>
      <x:c r="K27" s="24" t="str">
        <x:v>Internal project IP / authorship claim</x:v>
      </x:c>
      <x:c r="L27" s="24" t="str">
        <x:v>N/A</x:v>
      </x:c>
      <x:c r="M27" s="24" t="str">
        <x:v>Assets.zip + model path/hash + art records</x:v>
      </x:c>
      <x:c r="N27" s="24" t="str">
        <x:v>dfcc527c11094d7feaf92e28e07c0bb7278b3a8101c8686d18b18e42e8f3096d</x:v>
      </x:c>
      <x:c r="O27" s="24" t="str">
        <x:v>Assets/_Project/Art/Models/Architecture/CC_S16_P2_Architecture_ZoneCheckout_LOD0.fbx</x:v>
      </x:c>
      <x:c r="P27" s="24" t="str">
        <x:v>9b63907c5be795240a22c773ad61a3b0</x:v>
      </x:c>
      <x:c r="Q27" s="24" t="str">
        <x:v>Sí</x:v>
      </x:c>
      <x:c r="R27" s="24" t="str">
        <x:v>Conditional on final provenance confirmation</x:v>
      </x:c>
      <x:c r="S27" s="24" t="str">
        <x:v>Only as part of authorized game/build</x:v>
      </x:c>
      <x:c r="T27" s="24" t="str">
        <x:v>General project/studio credits</x:v>
      </x:c>
      <x:c r="U27" s="24" t="str">
        <x:v>No standalone redistribution; no real-brand derivatives</x:v>
      </x:c>
      <x:c r="V27" s="24" t="str">
        <x:v>CONDITIONALLY APPROVED</x:v>
      </x:c>
      <x:c r="W27" s="24" t="str">
        <x:v>Imported/representative</x:v>
      </x:c>
      <x:c r="X27" s="24" t="str">
        <x:v>Internal builds; H6 after audit</x:v>
      </x:c>
      <x:c r="Y27" s="24" t="str">
        <x:v>Low</x:v>
      </x:c>
      <x:c r="Z27" s="24" t="str">
        <x:v>VRM Games</x:v>
      </x:c>
      <x:c r="AA27" s="24" t="str">
        <x:v>La autoría interna debe respaldarse por archivos fuente, historial o registro de creación cuando sea posible.</x:v>
      </x:c>
    </x:row>
    <x:row r="28" ht="34" customHeight="1">
      <x:c r="A28" s="24" t="str">
        <x:v>MOD-024</x:v>
      </x:c>
      <x:c r="B28" s="24" t="str">
        <x:v>065bf64b81b82ee44b01b10ed498673f</x:v>
      </x:c>
      <x:c r="C28" s="24" t="str">
        <x:v>CC_S16_P2_Architecture_ZoneReceiving_LOD0.fbx</x:v>
      </x:c>
      <x:c r="D28" s="24" t="str">
        <x:v>Architecture</x:v>
      </x:c>
      <x:c r="E28" s="24" t="str">
        <x:v>3D model</x:v>
      </x:c>
      <x:c r="F28" s="24" t="str">
        <x:v>VRM Games / Blender kit workflow</x:v>
      </x:c>
      <x:c r="G28" s="24" t="str">
        <x:v>VRM Games / Blas Luis Rocha González</x:v>
      </x:c>
      <x:c r="H28" s="24" t="str">
        <x:v>Internal</x:v>
      </x:c>
      <x:c r="I28" s="24" t="str">
        <x:v>Internal Blender/modeling pipeline</x:v>
      </x:c>
      <x:c r="J28" s="24" t="str">
        <x:v>Sprint 16 / prior kit production</x:v>
      </x:c>
      <x:c r="K28" s="24" t="str">
        <x:v>Internal project IP / authorship claim</x:v>
      </x:c>
      <x:c r="L28" s="24" t="str">
        <x:v>N/A</x:v>
      </x:c>
      <x:c r="M28" s="24" t="str">
        <x:v>Assets.zip + model path/hash + art records</x:v>
      </x:c>
      <x:c r="N28" s="24" t="str">
        <x:v>112f1cb074ac24efca52c9fea068ddca1bdee154433c098ac7e020efa6991cdf</x:v>
      </x:c>
      <x:c r="O28" s="24" t="str">
        <x:v>Assets/_Project/Art/Models/Architecture/CC_S16_P2_Architecture_ZoneReceiving_LOD0.fbx</x:v>
      </x:c>
      <x:c r="P28" s="24" t="str">
        <x:v>065bf64b81b82ee44b01b10ed498673f</x:v>
      </x:c>
      <x:c r="Q28" s="24" t="str">
        <x:v>Sí</x:v>
      </x:c>
      <x:c r="R28" s="24" t="str">
        <x:v>Conditional on final provenance confirmation</x:v>
      </x:c>
      <x:c r="S28" s="24" t="str">
        <x:v>Only as part of authorized game/build</x:v>
      </x:c>
      <x:c r="T28" s="24" t="str">
        <x:v>General project/studio credits</x:v>
      </x:c>
      <x:c r="U28" s="24" t="str">
        <x:v>No standalone redistribution; no real-brand derivatives</x:v>
      </x:c>
      <x:c r="V28" s="24" t="str">
        <x:v>CONDITIONALLY APPROVED</x:v>
      </x:c>
      <x:c r="W28" s="24" t="str">
        <x:v>Imported/representative</x:v>
      </x:c>
      <x:c r="X28" s="24" t="str">
        <x:v>Internal builds; H6 after audit</x:v>
      </x:c>
      <x:c r="Y28" s="24" t="str">
        <x:v>Low</x:v>
      </x:c>
      <x:c r="Z28" s="24" t="str">
        <x:v>VRM Games</x:v>
      </x:c>
      <x:c r="AA28" s="24" t="str">
        <x:v>La autoría interna debe respaldarse por archivos fuente, historial o registro de creación cuando sea posible.</x:v>
      </x:c>
    </x:row>
    <x:row r="29" ht="34" customHeight="1">
      <x:c r="A29" s="24" t="str">
        <x:v>MOD-025</x:v>
      </x:c>
      <x:c r="B29" s="24" t="str">
        <x:v>e6b4d7fe891fb2e4e970d5089bb7596d</x:v>
      </x:c>
      <x:c r="C29" s="24" t="str">
        <x:v>CC_S16_P2_Expansion_Digital_CodeCardRack_LOD0.fbx</x:v>
      </x:c>
      <x:c r="D29" s="24" t="str">
        <x:v>Expansions</x:v>
      </x:c>
      <x:c r="E29" s="24" t="str">
        <x:v>3D model</x:v>
      </x:c>
      <x:c r="F29" s="24" t="str">
        <x:v>VRM Games / Blender kit workflow</x:v>
      </x:c>
      <x:c r="G29" s="24" t="str">
        <x:v>VRM Games / Blas Luis Rocha González</x:v>
      </x:c>
      <x:c r="H29" s="24" t="str">
        <x:v>Internal</x:v>
      </x:c>
      <x:c r="I29" s="24" t="str">
        <x:v>Internal Blender/modeling pipeline</x:v>
      </x:c>
      <x:c r="J29" s="24" t="str">
        <x:v>Sprint 16 / prior kit production</x:v>
      </x:c>
      <x:c r="K29" s="24" t="str">
        <x:v>Internal project IP / authorship claim</x:v>
      </x:c>
      <x:c r="L29" s="24" t="str">
        <x:v>N/A</x:v>
      </x:c>
      <x:c r="M29" s="24" t="str">
        <x:v>Assets.zip + model path/hash + art records</x:v>
      </x:c>
      <x:c r="N29" s="24" t="str">
        <x:v>8d69e014f7a6709110357898a9562ae96c268ebcaadd21281cad768ee793795d</x:v>
      </x:c>
      <x:c r="O29" s="24" t="str">
        <x:v>Assets/_Project/Art/Models/Expansions/CC_S16_P2_Expansion_Digital_CodeCardRack_LOD0.fbx</x:v>
      </x:c>
      <x:c r="P29" s="24" t="str">
        <x:v>e6b4d7fe891fb2e4e970d5089bb7596d</x:v>
      </x:c>
      <x:c r="Q29" s="24" t="str">
        <x:v>Sí</x:v>
      </x:c>
      <x:c r="R29" s="24" t="str">
        <x:v>Conditional on final provenance confirmation</x:v>
      </x:c>
      <x:c r="S29" s="24" t="str">
        <x:v>Only as part of authorized game/build</x:v>
      </x:c>
      <x:c r="T29" s="24" t="str">
        <x:v>General project/studio credits</x:v>
      </x:c>
      <x:c r="U29" s="24" t="str">
        <x:v>No standalone redistribution; no real-brand derivatives</x:v>
      </x:c>
      <x:c r="V29" s="24" t="str">
        <x:v>NOT AUTHORIZED</x:v>
      </x:c>
      <x:c r="W29" s="24" t="str">
        <x:v>VISION / NOT OPEN</x:v>
      </x:c>
      <x:c r="X29" s="24" t="str">
        <x:v>None</x:v>
      </x:c>
      <x:c r="Y29" s="24" t="str">
        <x:v>Medium</x:v>
      </x:c>
      <x:c r="Z29" s="24" t="str">
        <x:v>VRM Games</x:v>
      </x:c>
      <x:c r="AA29" s="24" t="str">
        <x:v>La autoría interna debe respaldarse por archivos fuente, historial o registro de creación cuando sea posible.</x:v>
      </x:c>
    </x:row>
    <x:row r="30" ht="34" customHeight="1">
      <x:c r="A30" s="24" t="str">
        <x:v>MOD-026</x:v>
      </x:c>
      <x:c r="B30" s="24" t="str">
        <x:v>2c8ff385e33e790438ae7f4fb327391b</x:v>
      </x:c>
      <x:c r="C30" s="24" t="str">
        <x:v>CC_S16_P2_Expansion_Digital_Kiosk_LOD0.fbx</x:v>
      </x:c>
      <x:c r="D30" s="24" t="str">
        <x:v>Expansions</x:v>
      </x:c>
      <x:c r="E30" s="24" t="str">
        <x:v>3D model</x:v>
      </x:c>
      <x:c r="F30" s="24" t="str">
        <x:v>VRM Games / Blender kit workflow</x:v>
      </x:c>
      <x:c r="G30" s="24" t="str">
        <x:v>VRM Games / Blas Luis Rocha González</x:v>
      </x:c>
      <x:c r="H30" s="24" t="str">
        <x:v>Internal</x:v>
      </x:c>
      <x:c r="I30" s="24" t="str">
        <x:v>Internal Blender/modeling pipeline</x:v>
      </x:c>
      <x:c r="J30" s="24" t="str">
        <x:v>Sprint 16 / prior kit production</x:v>
      </x:c>
      <x:c r="K30" s="24" t="str">
        <x:v>Internal project IP / authorship claim</x:v>
      </x:c>
      <x:c r="L30" s="24" t="str">
        <x:v>N/A</x:v>
      </x:c>
      <x:c r="M30" s="24" t="str">
        <x:v>Assets.zip + model path/hash + art records</x:v>
      </x:c>
      <x:c r="N30" s="24" t="str">
        <x:v>5906c221011dcf5ab71756b77626e5b15cf12c46f7c1a7c9cb72932de18e41f3</x:v>
      </x:c>
      <x:c r="O30" s="24" t="str">
        <x:v>Assets/_Project/Art/Models/Expansions/CC_S16_P2_Expansion_Digital_Kiosk_LOD0.fbx</x:v>
      </x:c>
      <x:c r="P30" s="24" t="str">
        <x:v>2c8ff385e33e790438ae7f4fb327391b</x:v>
      </x:c>
      <x:c r="Q30" s="24" t="str">
        <x:v>Sí</x:v>
      </x:c>
      <x:c r="R30" s="24" t="str">
        <x:v>Conditional on final provenance confirmation</x:v>
      </x:c>
      <x:c r="S30" s="24" t="str">
        <x:v>Only as part of authorized game/build</x:v>
      </x:c>
      <x:c r="T30" s="24" t="str">
        <x:v>General project/studio credits</x:v>
      </x:c>
      <x:c r="U30" s="24" t="str">
        <x:v>No standalone redistribution; no real-brand derivatives</x:v>
      </x:c>
      <x:c r="V30" s="24" t="str">
        <x:v>NOT AUTHORIZED</x:v>
      </x:c>
      <x:c r="W30" s="24" t="str">
        <x:v>VISION / NOT OPEN</x:v>
      </x:c>
      <x:c r="X30" s="24" t="str">
        <x:v>None</x:v>
      </x:c>
      <x:c r="Y30" s="24" t="str">
        <x:v>Medium</x:v>
      </x:c>
      <x:c r="Z30" s="24" t="str">
        <x:v>VRM Games</x:v>
      </x:c>
      <x:c r="AA30" s="24" t="str">
        <x:v>La autoría interna debe respaldarse por archivos fuente, historial o registro de creación cuando sea posible.</x:v>
      </x:c>
    </x:row>
    <x:row r="31" ht="34" customHeight="1">
      <x:c r="A31" s="24" t="str">
        <x:v>MOD-027</x:v>
      </x:c>
      <x:c r="B31" s="24" t="str">
        <x:v>2143c4f0a77adb84fb538b257198b550</x:v>
      </x:c>
      <x:c r="C31" s="24" t="str">
        <x:v>CC_S16_P2_Expansion_Ecommerce_OrderDesk_LOD0.fbx</x:v>
      </x:c>
      <x:c r="D31" s="24" t="str">
        <x:v>Expansions</x:v>
      </x:c>
      <x:c r="E31" s="24" t="str">
        <x:v>3D model</x:v>
      </x:c>
      <x:c r="F31" s="24" t="str">
        <x:v>VRM Games / Blender kit workflow</x:v>
      </x:c>
      <x:c r="G31" s="24" t="str">
        <x:v>VRM Games / Blas Luis Rocha González</x:v>
      </x:c>
      <x:c r="H31" s="24" t="str">
        <x:v>Internal</x:v>
      </x:c>
      <x:c r="I31" s="24" t="str">
        <x:v>Internal Blender/modeling pipeline</x:v>
      </x:c>
      <x:c r="J31" s="24" t="str">
        <x:v>Sprint 16 / prior kit production</x:v>
      </x:c>
      <x:c r="K31" s="24" t="str">
        <x:v>Internal project IP / authorship claim</x:v>
      </x:c>
      <x:c r="L31" s="24" t="str">
        <x:v>N/A</x:v>
      </x:c>
      <x:c r="M31" s="24" t="str">
        <x:v>Assets.zip + model path/hash + art records</x:v>
      </x:c>
      <x:c r="N31" s="24" t="str">
        <x:v>e3fd82002353740cb7e1c66d306501c2ecfbe9751340ef5384a6ff986d745a9c</x:v>
      </x:c>
      <x:c r="O31" s="24" t="str">
        <x:v>Assets/_Project/Art/Models/Expansions/CC_S16_P2_Expansion_Ecommerce_OrderDesk_LOD0.fbx</x:v>
      </x:c>
      <x:c r="P31" s="24" t="str">
        <x:v>2143c4f0a77adb84fb538b257198b550</x:v>
      </x:c>
      <x:c r="Q31" s="24" t="str">
        <x:v>Sí</x:v>
      </x:c>
      <x:c r="R31" s="24" t="str">
        <x:v>Conditional on final provenance confirmation</x:v>
      </x:c>
      <x:c r="S31" s="24" t="str">
        <x:v>Only as part of authorized game/build</x:v>
      </x:c>
      <x:c r="T31" s="24" t="str">
        <x:v>General project/studio credits</x:v>
      </x:c>
      <x:c r="U31" s="24" t="str">
        <x:v>No standalone redistribution; no real-brand derivatives</x:v>
      </x:c>
      <x:c r="V31" s="24" t="str">
        <x:v>NOT AUTHORIZED</x:v>
      </x:c>
      <x:c r="W31" s="24" t="str">
        <x:v>VISION / NOT OPEN</x:v>
      </x:c>
      <x:c r="X31" s="24" t="str">
        <x:v>None</x:v>
      </x:c>
      <x:c r="Y31" s="24" t="str">
        <x:v>Medium</x:v>
      </x:c>
      <x:c r="Z31" s="24" t="str">
        <x:v>VRM Games</x:v>
      </x:c>
      <x:c r="AA31" s="24" t="str">
        <x:v>La autoría interna debe respaldarse por archivos fuente, historial o registro de creación cuando sea posible.</x:v>
      </x:c>
    </x:row>
    <x:row r="32" ht="34" customHeight="1">
      <x:c r="A32" s="24" t="str">
        <x:v>MOD-028</x:v>
      </x:c>
      <x:c r="B32" s="24" t="str">
        <x:v>24c54534aabefea448bb311c1801f05a</x:v>
      </x:c>
      <x:c r="C32" s="24" t="str">
        <x:v>CC_S16_P2_Expansion_Ecommerce_SortBins_LOD0.fbx</x:v>
      </x:c>
      <x:c r="D32" s="24" t="str">
        <x:v>Expansions</x:v>
      </x:c>
      <x:c r="E32" s="24" t="str">
        <x:v>3D model</x:v>
      </x:c>
      <x:c r="F32" s="24" t="str">
        <x:v>VRM Games / Blender kit workflow</x:v>
      </x:c>
      <x:c r="G32" s="24" t="str">
        <x:v>VRM Games / Blas Luis Rocha González</x:v>
      </x:c>
      <x:c r="H32" s="24" t="str">
        <x:v>Internal</x:v>
      </x:c>
      <x:c r="I32" s="24" t="str">
        <x:v>Internal Blender/modeling pipeline</x:v>
      </x:c>
      <x:c r="J32" s="24" t="str">
        <x:v>Sprint 16 / prior kit production</x:v>
      </x:c>
      <x:c r="K32" s="24" t="str">
        <x:v>Internal project IP / authorship claim</x:v>
      </x:c>
      <x:c r="L32" s="24" t="str">
        <x:v>N/A</x:v>
      </x:c>
      <x:c r="M32" s="24" t="str">
        <x:v>Assets.zip + model path/hash + art records</x:v>
      </x:c>
      <x:c r="N32" s="24" t="str">
        <x:v>c87ad746c00902282f0c92af8daf49dd7398f51b8a242dac01d24b09769340b5</x:v>
      </x:c>
      <x:c r="O32" s="24" t="str">
        <x:v>Assets/_Project/Art/Models/Expansions/CC_S16_P2_Expansion_Ecommerce_SortBins_LOD0.fbx</x:v>
      </x:c>
      <x:c r="P32" s="24" t="str">
        <x:v>24c54534aabefea448bb311c1801f05a</x:v>
      </x:c>
      <x:c r="Q32" s="24" t="str">
        <x:v>Sí</x:v>
      </x:c>
      <x:c r="R32" s="24" t="str">
        <x:v>Conditional on final provenance confirmation</x:v>
      </x:c>
      <x:c r="S32" s="24" t="str">
        <x:v>Only as part of authorized game/build</x:v>
      </x:c>
      <x:c r="T32" s="24" t="str">
        <x:v>General project/studio credits</x:v>
      </x:c>
      <x:c r="U32" s="24" t="str">
        <x:v>No standalone redistribution; no real-brand derivatives</x:v>
      </x:c>
      <x:c r="V32" s="24" t="str">
        <x:v>NOT AUTHORIZED</x:v>
      </x:c>
      <x:c r="W32" s="24" t="str">
        <x:v>VISION / NOT OPEN</x:v>
      </x:c>
      <x:c r="X32" s="24" t="str">
        <x:v>None</x:v>
      </x:c>
      <x:c r="Y32" s="24" t="str">
        <x:v>Medium</x:v>
      </x:c>
      <x:c r="Z32" s="24" t="str">
        <x:v>VRM Games</x:v>
      </x:c>
      <x:c r="AA32" s="24" t="str">
        <x:v>La autoría interna debe respaldarse por archivos fuente, historial o registro de creación cuando sea posible.</x:v>
      </x:c>
    </x:row>
    <x:row r="33" ht="34" customHeight="1">
      <x:c r="A33" s="24" t="str">
        <x:v>MOD-029</x:v>
      </x:c>
      <x:c r="B33" s="24" t="str">
        <x:v>b04ecb2fb4854264987e00391cbd02ad</x:v>
      </x:c>
      <x:c r="C33" s="24" t="str">
        <x:v>CC_S16_P2_Expansion_Logistics_Conveyor_LOD0.fbx</x:v>
      </x:c>
      <x:c r="D33" s="24" t="str">
        <x:v>Expansions</x:v>
      </x:c>
      <x:c r="E33" s="24" t="str">
        <x:v>3D model</x:v>
      </x:c>
      <x:c r="F33" s="24" t="str">
        <x:v>VRM Games / Blender kit workflow</x:v>
      </x:c>
      <x:c r="G33" s="24" t="str">
        <x:v>VRM Games / Blas Luis Rocha González</x:v>
      </x:c>
      <x:c r="H33" s="24" t="str">
        <x:v>Internal</x:v>
      </x:c>
      <x:c r="I33" s="24" t="str">
        <x:v>Internal Blender/modeling pipeline</x:v>
      </x:c>
      <x:c r="J33" s="24" t="str">
        <x:v>Sprint 16 / prior kit production</x:v>
      </x:c>
      <x:c r="K33" s="24" t="str">
        <x:v>Internal project IP / authorship claim</x:v>
      </x:c>
      <x:c r="L33" s="24" t="str">
        <x:v>N/A</x:v>
      </x:c>
      <x:c r="M33" s="24" t="str">
        <x:v>Assets.zip + model path/hash + art records</x:v>
      </x:c>
      <x:c r="N33" s="24" t="str">
        <x:v>305ba35f3c673e599add1d1db217972943cdd196f3aa89d1124e4e3d20f3e8f9</x:v>
      </x:c>
      <x:c r="O33" s="24" t="str">
        <x:v>Assets/_Project/Art/Models/Expansions/CC_S16_P2_Expansion_Logistics_Conveyor_LOD0.fbx</x:v>
      </x:c>
      <x:c r="P33" s="24" t="str">
        <x:v>b04ecb2fb4854264987e00391cbd02ad</x:v>
      </x:c>
      <x:c r="Q33" s="24" t="str">
        <x:v>Sí</x:v>
      </x:c>
      <x:c r="R33" s="24" t="str">
        <x:v>Conditional on final provenance confirmation</x:v>
      </x:c>
      <x:c r="S33" s="24" t="str">
        <x:v>Only as part of authorized game/build</x:v>
      </x:c>
      <x:c r="T33" s="24" t="str">
        <x:v>General project/studio credits</x:v>
      </x:c>
      <x:c r="U33" s="24" t="str">
        <x:v>No standalone redistribution; no real-brand derivatives</x:v>
      </x:c>
      <x:c r="V33" s="24" t="str">
        <x:v>NOT AUTHORIZED</x:v>
      </x:c>
      <x:c r="W33" s="24" t="str">
        <x:v>VISION / NOT OPEN</x:v>
      </x:c>
      <x:c r="X33" s="24" t="str">
        <x:v>None</x:v>
      </x:c>
      <x:c r="Y33" s="24" t="str">
        <x:v>Medium</x:v>
      </x:c>
      <x:c r="Z33" s="24" t="str">
        <x:v>VRM Games</x:v>
      </x:c>
      <x:c r="AA33" s="24" t="str">
        <x:v>La autoría interna debe respaldarse por archivos fuente, historial o registro de creación cuando sea posible.</x:v>
      </x:c>
    </x:row>
    <x:row r="34" ht="34" customHeight="1">
      <x:c r="A34" s="24" t="str">
        <x:v>MOD-030</x:v>
      </x:c>
      <x:c r="B34" s="24" t="str">
        <x:v>a51368b9c94c45443ba4dce7586cb1f4</x:v>
      </x:c>
      <x:c r="C34" s="24" t="str">
        <x:v>CC_S16_P2_Expansion_Logistics_PackingStation_LOD0.fbx</x:v>
      </x:c>
      <x:c r="D34" s="24" t="str">
        <x:v>Expansions</x:v>
      </x:c>
      <x:c r="E34" s="24" t="str">
        <x:v>3D model</x:v>
      </x:c>
      <x:c r="F34" s="24" t="str">
        <x:v>VRM Games / Blender kit workflow</x:v>
      </x:c>
      <x:c r="G34" s="24" t="str">
        <x:v>VRM Games / Blas Luis Rocha González</x:v>
      </x:c>
      <x:c r="H34" s="24" t="str">
        <x:v>Internal</x:v>
      </x:c>
      <x:c r="I34" s="24" t="str">
        <x:v>Internal Blender/modeling pipeline</x:v>
      </x:c>
      <x:c r="J34" s="24" t="str">
        <x:v>Sprint 16 / prior kit production</x:v>
      </x:c>
      <x:c r="K34" s="24" t="str">
        <x:v>Internal project IP / authorship claim</x:v>
      </x:c>
      <x:c r="L34" s="24" t="str">
        <x:v>N/A</x:v>
      </x:c>
      <x:c r="M34" s="24" t="str">
        <x:v>Assets.zip + model path/hash + art records</x:v>
      </x:c>
      <x:c r="N34" s="24" t="str">
        <x:v>3068ef90bb6b01016edcd3e241774e542b77d7018c0cb20473cde8e2fec09b48</x:v>
      </x:c>
      <x:c r="O34" s="24" t="str">
        <x:v>Assets/_Project/Art/Models/Expansions/CC_S16_P2_Expansion_Logistics_PackingStation_LOD0.fbx</x:v>
      </x:c>
      <x:c r="P34" s="24" t="str">
        <x:v>a51368b9c94c45443ba4dce7586cb1f4</x:v>
      </x:c>
      <x:c r="Q34" s="24" t="str">
        <x:v>Sí</x:v>
      </x:c>
      <x:c r="R34" s="24" t="str">
        <x:v>Conditional on final provenance confirmation</x:v>
      </x:c>
      <x:c r="S34" s="24" t="str">
        <x:v>Only as part of authorized game/build</x:v>
      </x:c>
      <x:c r="T34" s="24" t="str">
        <x:v>General project/studio credits</x:v>
      </x:c>
      <x:c r="U34" s="24" t="str">
        <x:v>No standalone redistribution; no real-brand derivatives</x:v>
      </x:c>
      <x:c r="V34" s="24" t="str">
        <x:v>NOT AUTHORIZED</x:v>
      </x:c>
      <x:c r="W34" s="24" t="str">
        <x:v>VISION / NOT OPEN</x:v>
      </x:c>
      <x:c r="X34" s="24" t="str">
        <x:v>None</x:v>
      </x:c>
      <x:c r="Y34" s="24" t="str">
        <x:v>Medium</x:v>
      </x:c>
      <x:c r="Z34" s="24" t="str">
        <x:v>VRM Games</x:v>
      </x:c>
      <x:c r="AA34" s="24" t="str">
        <x:v>La autoría interna debe respaldarse por archivos fuente, historial o registro de creación cuando sea posible.</x:v>
      </x:c>
    </x:row>
    <x:row r="35" ht="34" customHeight="1">
      <x:c r="A35" s="24" t="str">
        <x:v>MOD-031</x:v>
      </x:c>
      <x:c r="B35" s="24" t="str">
        <x:v>0fa4164ed7d39704996193fb645bcded</x:v>
      </x:c>
      <x:c r="C35" s="24" t="str">
        <x:v>CC_S16_P2_Expansion_Logistics_RollingCart_LOD0.fbx</x:v>
      </x:c>
      <x:c r="D35" s="24" t="str">
        <x:v>Expansions</x:v>
      </x:c>
      <x:c r="E35" s="24" t="str">
        <x:v>3D model</x:v>
      </x:c>
      <x:c r="F35" s="24" t="str">
        <x:v>VRM Games / Blender kit workflow</x:v>
      </x:c>
      <x:c r="G35" s="24" t="str">
        <x:v>VRM Games / Blas Luis Rocha González</x:v>
      </x:c>
      <x:c r="H35" s="24" t="str">
        <x:v>Internal</x:v>
      </x:c>
      <x:c r="I35" s="24" t="str">
        <x:v>Internal Blender/modeling pipeline</x:v>
      </x:c>
      <x:c r="J35" s="24" t="str">
        <x:v>Sprint 16 / prior kit production</x:v>
      </x:c>
      <x:c r="K35" s="24" t="str">
        <x:v>Internal project IP / authorship claim</x:v>
      </x:c>
      <x:c r="L35" s="24" t="str">
        <x:v>N/A</x:v>
      </x:c>
      <x:c r="M35" s="24" t="str">
        <x:v>Assets.zip + model path/hash + art records</x:v>
      </x:c>
      <x:c r="N35" s="24" t="str">
        <x:v>f6dfcd7b9ac8dae16c1b19be4b7c9e91980282a46cac8f129586104132222f09</x:v>
      </x:c>
      <x:c r="O35" s="24" t="str">
        <x:v>Assets/_Project/Art/Models/Expansions/CC_S16_P2_Expansion_Logistics_RollingCart_LOD0.fbx</x:v>
      </x:c>
      <x:c r="P35" s="24" t="str">
        <x:v>0fa4164ed7d39704996193fb645bcded</x:v>
      </x:c>
      <x:c r="Q35" s="24" t="str">
        <x:v>Sí</x:v>
      </x:c>
      <x:c r="R35" s="24" t="str">
        <x:v>Conditional on final provenance confirmation</x:v>
      </x:c>
      <x:c r="S35" s="24" t="str">
        <x:v>Only as part of authorized game/build</x:v>
      </x:c>
      <x:c r="T35" s="24" t="str">
        <x:v>General project/studio credits</x:v>
      </x:c>
      <x:c r="U35" s="24" t="str">
        <x:v>No standalone redistribution; no real-brand derivatives</x:v>
      </x:c>
      <x:c r="V35" s="24" t="str">
        <x:v>NOT AUTHORIZED</x:v>
      </x:c>
      <x:c r="W35" s="24" t="str">
        <x:v>VISION / NOT OPEN</x:v>
      </x:c>
      <x:c r="X35" s="24" t="str">
        <x:v>None</x:v>
      </x:c>
      <x:c r="Y35" s="24" t="str">
        <x:v>Medium</x:v>
      </x:c>
      <x:c r="Z35" s="24" t="str">
        <x:v>VRM Games</x:v>
      </x:c>
      <x:c r="AA35" s="24" t="str">
        <x:v>La autoría interna debe respaldarse por archivos fuente, historial o registro de creación cuando sea posible.</x:v>
      </x:c>
    </x:row>
    <x:row r="36" ht="34" customHeight="1">
      <x:c r="A36" s="24" t="str">
        <x:v>MOD-032</x:v>
      </x:c>
      <x:c r="B36" s="24" t="str">
        <x:v>cb0dfed80858bad408443931deea902a</x:v>
      </x:c>
      <x:c r="C36" s="24" t="str">
        <x:v>CC_S16_P2_Expansion_Market_AnalysisWall_LOD0.fbx</x:v>
      </x:c>
      <x:c r="D36" s="24" t="str">
        <x:v>Expansions</x:v>
      </x:c>
      <x:c r="E36" s="24" t="str">
        <x:v>3D model</x:v>
      </x:c>
      <x:c r="F36" s="24" t="str">
        <x:v>VRM Games / Blender kit workflow</x:v>
      </x:c>
      <x:c r="G36" s="24" t="str">
        <x:v>VRM Games / Blas Luis Rocha González</x:v>
      </x:c>
      <x:c r="H36" s="24" t="str">
        <x:v>Internal</x:v>
      </x:c>
      <x:c r="I36" s="24" t="str">
        <x:v>Internal Blender/modeling pipeline</x:v>
      </x:c>
      <x:c r="J36" s="24" t="str">
        <x:v>Sprint 16 / prior kit production</x:v>
      </x:c>
      <x:c r="K36" s="24" t="str">
        <x:v>Internal project IP / authorship claim</x:v>
      </x:c>
      <x:c r="L36" s="24" t="str">
        <x:v>N/A</x:v>
      </x:c>
      <x:c r="M36" s="24" t="str">
        <x:v>Assets.zip + model path/hash + art records</x:v>
      </x:c>
      <x:c r="N36" s="24" t="str">
        <x:v>a594dcbcc6e01bfb3183b72c78b2ecdf263ce6e933adb4442a87150e139145aa</x:v>
      </x:c>
      <x:c r="O36" s="24" t="str">
        <x:v>Assets/_Project/Art/Models/Expansions/CC_S16_P2_Expansion_Market_AnalysisWall_LOD0.fbx</x:v>
      </x:c>
      <x:c r="P36" s="24" t="str">
        <x:v>cb0dfed80858bad408443931deea902a</x:v>
      </x:c>
      <x:c r="Q36" s="24" t="str">
        <x:v>Sí</x:v>
      </x:c>
      <x:c r="R36" s="24" t="str">
        <x:v>Conditional on final provenance confirmation</x:v>
      </x:c>
      <x:c r="S36" s="24" t="str">
        <x:v>Only as part of authorized game/build</x:v>
      </x:c>
      <x:c r="T36" s="24" t="str">
        <x:v>General project/studio credits</x:v>
      </x:c>
      <x:c r="U36" s="24" t="str">
        <x:v>No standalone redistribution; no real-brand derivatives</x:v>
      </x:c>
      <x:c r="V36" s="24" t="str">
        <x:v>NOT AUTHORIZED</x:v>
      </x:c>
      <x:c r="W36" s="24" t="str">
        <x:v>VISION / NOT OPEN</x:v>
      </x:c>
      <x:c r="X36" s="24" t="str">
        <x:v>None</x:v>
      </x:c>
      <x:c r="Y36" s="24" t="str">
        <x:v>Medium</x:v>
      </x:c>
      <x:c r="Z36" s="24" t="str">
        <x:v>VRM Games</x:v>
      </x:c>
      <x:c r="AA36" s="24" t="str">
        <x:v>La autoría interna debe respaldarse por archivos fuente, historial o registro de creación cuando sea posible.</x:v>
      </x:c>
    </x:row>
    <x:row r="37" ht="34" customHeight="1">
      <x:c r="A37" s="24" t="str">
        <x:v>MOD-033</x:v>
      </x:c>
      <x:c r="B37" s="24" t="str">
        <x:v>cc0c519fc2bef5b4ba565287a828941d</x:v>
      </x:c>
      <x:c r="C37" s="24" t="str">
        <x:v>CC_S16_P2_Expansion_Market_PlanningTable_LOD0.fbx</x:v>
      </x:c>
      <x:c r="D37" s="24" t="str">
        <x:v>Expansions</x:v>
      </x:c>
      <x:c r="E37" s="24" t="str">
        <x:v>3D model</x:v>
      </x:c>
      <x:c r="F37" s="24" t="str">
        <x:v>VRM Games / Blender kit workflow</x:v>
      </x:c>
      <x:c r="G37" s="24" t="str">
        <x:v>VRM Games / Blas Luis Rocha González</x:v>
      </x:c>
      <x:c r="H37" s="24" t="str">
        <x:v>Internal</x:v>
      </x:c>
      <x:c r="I37" s="24" t="str">
        <x:v>Internal Blender/modeling pipeline</x:v>
      </x:c>
      <x:c r="J37" s="24" t="str">
        <x:v>Sprint 16 / prior kit production</x:v>
      </x:c>
      <x:c r="K37" s="24" t="str">
        <x:v>Internal project IP / authorship claim</x:v>
      </x:c>
      <x:c r="L37" s="24" t="str">
        <x:v>N/A</x:v>
      </x:c>
      <x:c r="M37" s="24" t="str">
        <x:v>Assets.zip + model path/hash + art records</x:v>
      </x:c>
      <x:c r="N37" s="24" t="str">
        <x:v>a612b7894c3e6acda54589ba76b1bcd2b05a4965e65138ef461fc1ef529a2f65</x:v>
      </x:c>
      <x:c r="O37" s="24" t="str">
        <x:v>Assets/_Project/Art/Models/Expansions/CC_S16_P2_Expansion_Market_PlanningTable_LOD0.fbx</x:v>
      </x:c>
      <x:c r="P37" s="24" t="str">
        <x:v>cc0c519fc2bef5b4ba565287a828941d</x:v>
      </x:c>
      <x:c r="Q37" s="24" t="str">
        <x:v>Sí</x:v>
      </x:c>
      <x:c r="R37" s="24" t="str">
        <x:v>Conditional on final provenance confirmation</x:v>
      </x:c>
      <x:c r="S37" s="24" t="str">
        <x:v>Only as part of authorized game/build</x:v>
      </x:c>
      <x:c r="T37" s="24" t="str">
        <x:v>General project/studio credits</x:v>
      </x:c>
      <x:c r="U37" s="24" t="str">
        <x:v>No standalone redistribution; no real-brand derivatives</x:v>
      </x:c>
      <x:c r="V37" s="24" t="str">
        <x:v>NOT AUTHORIZED</x:v>
      </x:c>
      <x:c r="W37" s="24" t="str">
        <x:v>VISION / NOT OPEN</x:v>
      </x:c>
      <x:c r="X37" s="24" t="str">
        <x:v>None</x:v>
      </x:c>
      <x:c r="Y37" s="24" t="str">
        <x:v>Medium</x:v>
      </x:c>
      <x:c r="Z37" s="24" t="str">
        <x:v>VRM Games</x:v>
      </x:c>
      <x:c r="AA37" s="24" t="str">
        <x:v>La autoría interna debe respaldarse por archivos fuente, historial o registro de creación cuando sea posible.</x:v>
      </x:c>
    </x:row>
    <x:row r="38" ht="34" customHeight="1">
      <x:c r="A38" s="24" t="str">
        <x:v>MOD-034</x:v>
      </x:c>
      <x:c r="B38" s="24" t="str">
        <x:v>b50029fd4e3ba70419973f37abf637eb</x:v>
      </x:c>
      <x:c r="C38" s="24" t="str">
        <x:v>CC_S16_P2_Expansion_Publishing_LineupWall_LOD0.fbx</x:v>
      </x:c>
      <x:c r="D38" s="24" t="str">
        <x:v>Expansions</x:v>
      </x:c>
      <x:c r="E38" s="24" t="str">
        <x:v>3D model</x:v>
      </x:c>
      <x:c r="F38" s="24" t="str">
        <x:v>VRM Games / Blender kit workflow</x:v>
      </x:c>
      <x:c r="G38" s="24" t="str">
        <x:v>VRM Games / Blas Luis Rocha González</x:v>
      </x:c>
      <x:c r="H38" s="24" t="str">
        <x:v>Internal</x:v>
      </x:c>
      <x:c r="I38" s="24" t="str">
        <x:v>Internal Blender/modeling pipeline</x:v>
      </x:c>
      <x:c r="J38" s="24" t="str">
        <x:v>Sprint 16 / prior kit production</x:v>
      </x:c>
      <x:c r="K38" s="24" t="str">
        <x:v>Internal project IP / authorship claim</x:v>
      </x:c>
      <x:c r="L38" s="24" t="str">
        <x:v>N/A</x:v>
      </x:c>
      <x:c r="M38" s="24" t="str">
        <x:v>Assets.zip + model path/hash + art records</x:v>
      </x:c>
      <x:c r="N38" s="24" t="str">
        <x:v>4e94db58372070b9b35e7f7a1e9f835f4450814a7715ea0e228e9800cdf4bb36</x:v>
      </x:c>
      <x:c r="O38" s="24" t="str">
        <x:v>Assets/_Project/Art/Models/Expansions/CC_S16_P2_Expansion_Publishing_LineupWall_LOD0.fbx</x:v>
      </x:c>
      <x:c r="P38" s="24" t="str">
        <x:v>b50029fd4e3ba70419973f37abf637eb</x:v>
      </x:c>
      <x:c r="Q38" s="24" t="str">
        <x:v>Sí</x:v>
      </x:c>
      <x:c r="R38" s="24" t="str">
        <x:v>Conditional on final provenance confirmation</x:v>
      </x:c>
      <x:c r="S38" s="24" t="str">
        <x:v>Only as part of authorized game/build</x:v>
      </x:c>
      <x:c r="T38" s="24" t="str">
        <x:v>General project/studio credits</x:v>
      </x:c>
      <x:c r="U38" s="24" t="str">
        <x:v>No standalone redistribution; no real-brand derivatives</x:v>
      </x:c>
      <x:c r="V38" s="24" t="str">
        <x:v>NOT AUTHORIZED</x:v>
      </x:c>
      <x:c r="W38" s="24" t="str">
        <x:v>VISION / NOT OPEN</x:v>
      </x:c>
      <x:c r="X38" s="24" t="str">
        <x:v>None</x:v>
      </x:c>
      <x:c r="Y38" s="24" t="str">
        <x:v>Medium</x:v>
      </x:c>
      <x:c r="Z38" s="24" t="str">
        <x:v>VRM Games</x:v>
      </x:c>
      <x:c r="AA38" s="24" t="str">
        <x:v>La autoría interna debe respaldarse por archivos fuente, historial o registro de creación cuando sea posible.</x:v>
      </x:c>
    </x:row>
    <x:row r="39" ht="34" customHeight="1">
      <x:c r="A39" s="24" t="str">
        <x:v>MOD-035</x:v>
      </x:c>
      <x:c r="B39" s="24" t="str">
        <x:v>6c141e31332fc604c8f1f0a0d9cc885a</x:v>
      </x:c>
      <x:c r="C39" s="24" t="str">
        <x:v>CC_S16_P2_Expansion_Publishing_MeetingTable_LOD0.fbx</x:v>
      </x:c>
      <x:c r="D39" s="24" t="str">
        <x:v>Expansions</x:v>
      </x:c>
      <x:c r="E39" s="24" t="str">
        <x:v>3D model</x:v>
      </x:c>
      <x:c r="F39" s="24" t="str">
        <x:v>VRM Games / Blender kit workflow</x:v>
      </x:c>
      <x:c r="G39" s="24" t="str">
        <x:v>VRM Games / Blas Luis Rocha González</x:v>
      </x:c>
      <x:c r="H39" s="24" t="str">
        <x:v>Internal</x:v>
      </x:c>
      <x:c r="I39" s="24" t="str">
        <x:v>Internal Blender/modeling pipeline</x:v>
      </x:c>
      <x:c r="J39" s="24" t="str">
        <x:v>Sprint 16 / prior kit production</x:v>
      </x:c>
      <x:c r="K39" s="24" t="str">
        <x:v>Internal project IP / authorship claim</x:v>
      </x:c>
      <x:c r="L39" s="24" t="str">
        <x:v>N/A</x:v>
      </x:c>
      <x:c r="M39" s="24" t="str">
        <x:v>Assets.zip + model path/hash + art records</x:v>
      </x:c>
      <x:c r="N39" s="24" t="str">
        <x:v>f7c61da61dd21b6c830f0ad3889d2a1ce0065dcbbc23ebf9c4e55937a641ab63</x:v>
      </x:c>
      <x:c r="O39" s="24" t="str">
        <x:v>Assets/_Project/Art/Models/Expansions/CC_S16_P2_Expansion_Publishing_MeetingTable_LOD0.fbx</x:v>
      </x:c>
      <x:c r="P39" s="24" t="str">
        <x:v>6c141e31332fc604c8f1f0a0d9cc885a</x:v>
      </x:c>
      <x:c r="Q39" s="24" t="str">
        <x:v>Sí</x:v>
      </x:c>
      <x:c r="R39" s="24" t="str">
        <x:v>Conditional on final provenance confirmation</x:v>
      </x:c>
      <x:c r="S39" s="24" t="str">
        <x:v>Only as part of authorized game/build</x:v>
      </x:c>
      <x:c r="T39" s="24" t="str">
        <x:v>General project/studio credits</x:v>
      </x:c>
      <x:c r="U39" s="24" t="str">
        <x:v>No standalone redistribution; no real-brand derivatives</x:v>
      </x:c>
      <x:c r="V39" s="24" t="str">
        <x:v>NOT AUTHORIZED</x:v>
      </x:c>
      <x:c r="W39" s="24" t="str">
        <x:v>VISION / NOT OPEN</x:v>
      </x:c>
      <x:c r="X39" s="24" t="str">
        <x:v>None</x:v>
      </x:c>
      <x:c r="Y39" s="24" t="str">
        <x:v>Medium</x:v>
      </x:c>
      <x:c r="Z39" s="24" t="str">
        <x:v>VRM Games</x:v>
      </x:c>
      <x:c r="AA39" s="24" t="str">
        <x:v>La autoría interna debe respaldarse por archivos fuente, historial o registro de creación cuando sea posible.</x:v>
      </x:c>
    </x:row>
    <x:row r="40" ht="34" customHeight="1">
      <x:c r="A40" s="24" t="str">
        <x:v>MOD-036</x:v>
      </x:c>
      <x:c r="B40" s="24" t="str">
        <x:v>17846925eb6921c428a2f5ce773935d2</x:v>
      </x:c>
      <x:c r="C40" s="24" t="str">
        <x:v>CC_S16_P2_Expansion_Server_OperationsDesk_LOD0.fbx</x:v>
      </x:c>
      <x:c r="D40" s="24" t="str">
        <x:v>Expansions</x:v>
      </x:c>
      <x:c r="E40" s="24" t="str">
        <x:v>3D model</x:v>
      </x:c>
      <x:c r="F40" s="24" t="str">
        <x:v>VRM Games / Blender kit workflow</x:v>
      </x:c>
      <x:c r="G40" s="24" t="str">
        <x:v>VRM Games / Blas Luis Rocha González</x:v>
      </x:c>
      <x:c r="H40" s="24" t="str">
        <x:v>Internal</x:v>
      </x:c>
      <x:c r="I40" s="24" t="str">
        <x:v>Internal Blender/modeling pipeline</x:v>
      </x:c>
      <x:c r="J40" s="24" t="str">
        <x:v>Sprint 16 / prior kit production</x:v>
      </x:c>
      <x:c r="K40" s="24" t="str">
        <x:v>Internal project IP / authorship claim</x:v>
      </x:c>
      <x:c r="L40" s="24" t="str">
        <x:v>N/A</x:v>
      </x:c>
      <x:c r="M40" s="24" t="str">
        <x:v>Assets.zip + model path/hash + art records</x:v>
      </x:c>
      <x:c r="N40" s="24" t="str">
        <x:v>9d37a881f666825dfd614eaa3224e225794b095f523282201fb663c4ca47df89</x:v>
      </x:c>
      <x:c r="O40" s="24" t="str">
        <x:v>Assets/_Project/Art/Models/Expansions/CC_S16_P2_Expansion_Server_OperationsDesk_LOD0.fbx</x:v>
      </x:c>
      <x:c r="P40" s="24" t="str">
        <x:v>17846925eb6921c428a2f5ce773935d2</x:v>
      </x:c>
      <x:c r="Q40" s="24" t="str">
        <x:v>Sí</x:v>
      </x:c>
      <x:c r="R40" s="24" t="str">
        <x:v>Conditional on final provenance confirmation</x:v>
      </x:c>
      <x:c r="S40" s="24" t="str">
        <x:v>Only as part of authorized game/build</x:v>
      </x:c>
      <x:c r="T40" s="24" t="str">
        <x:v>General project/studio credits</x:v>
      </x:c>
      <x:c r="U40" s="24" t="str">
        <x:v>No standalone redistribution; no real-brand derivatives</x:v>
      </x:c>
      <x:c r="V40" s="24" t="str">
        <x:v>NOT AUTHORIZED</x:v>
      </x:c>
      <x:c r="W40" s="24" t="str">
        <x:v>VISION / NOT OPEN</x:v>
      </x:c>
      <x:c r="X40" s="24" t="str">
        <x:v>None</x:v>
      </x:c>
      <x:c r="Y40" s="24" t="str">
        <x:v>Medium</x:v>
      </x:c>
      <x:c r="Z40" s="24" t="str">
        <x:v>VRM Games</x:v>
      </x:c>
      <x:c r="AA40" s="24" t="str">
        <x:v>La autoría interna debe respaldarse por archivos fuente, historial o registro de creación cuando sea posible.</x:v>
      </x:c>
    </x:row>
    <x:row r="41" ht="34" customHeight="1">
      <x:c r="A41" s="24" t="str">
        <x:v>MOD-037</x:v>
      </x:c>
      <x:c r="B41" s="24" t="str">
        <x:v>204399e5da28adb439aebf0cde285bd0</x:v>
      </x:c>
      <x:c r="C41" s="24" t="str">
        <x:v>CC_S16_P2_Expansion_Server_Rack_LOD0.fbx</x:v>
      </x:c>
      <x:c r="D41" s="24" t="str">
        <x:v>Expansions</x:v>
      </x:c>
      <x:c r="E41" s="24" t="str">
        <x:v>3D model</x:v>
      </x:c>
      <x:c r="F41" s="24" t="str">
        <x:v>VRM Games / Blender kit workflow</x:v>
      </x:c>
      <x:c r="G41" s="24" t="str">
        <x:v>VRM Games / Blas Luis Rocha González</x:v>
      </x:c>
      <x:c r="H41" s="24" t="str">
        <x:v>Internal</x:v>
      </x:c>
      <x:c r="I41" s="24" t="str">
        <x:v>Internal Blender/modeling pipeline</x:v>
      </x:c>
      <x:c r="J41" s="24" t="str">
        <x:v>Sprint 16 / prior kit production</x:v>
      </x:c>
      <x:c r="K41" s="24" t="str">
        <x:v>Internal project IP / authorship claim</x:v>
      </x:c>
      <x:c r="L41" s="24" t="str">
        <x:v>N/A</x:v>
      </x:c>
      <x:c r="M41" s="24" t="str">
        <x:v>Assets.zip + model path/hash + art records</x:v>
      </x:c>
      <x:c r="N41" s="24" t="str">
        <x:v>18eba25930b3c683e59d3b83e9bf8cea1d7e3a09051b675babe771aba9d0ab6e</x:v>
      </x:c>
      <x:c r="O41" s="24" t="str">
        <x:v>Assets/_Project/Art/Models/Expansions/CC_S16_P2_Expansion_Server_Rack_LOD0.fbx</x:v>
      </x:c>
      <x:c r="P41" s="24" t="str">
        <x:v>204399e5da28adb439aebf0cde285bd0</x:v>
      </x:c>
      <x:c r="Q41" s="24" t="str">
        <x:v>Sí</x:v>
      </x:c>
      <x:c r="R41" s="24" t="str">
        <x:v>Conditional on final provenance confirmation</x:v>
      </x:c>
      <x:c r="S41" s="24" t="str">
        <x:v>Only as part of authorized game/build</x:v>
      </x:c>
      <x:c r="T41" s="24" t="str">
        <x:v>General project/studio credits</x:v>
      </x:c>
      <x:c r="U41" s="24" t="str">
        <x:v>No standalone redistribution; no real-brand derivatives</x:v>
      </x:c>
      <x:c r="V41" s="24" t="str">
        <x:v>NOT AUTHORIZED</x:v>
      </x:c>
      <x:c r="W41" s="24" t="str">
        <x:v>VISION / NOT OPEN</x:v>
      </x:c>
      <x:c r="X41" s="24" t="str">
        <x:v>None</x:v>
      </x:c>
      <x:c r="Y41" s="24" t="str">
        <x:v>Medium</x:v>
      </x:c>
      <x:c r="Z41" s="24" t="str">
        <x:v>VRM Games</x:v>
      </x:c>
      <x:c r="AA41" s="24" t="str">
        <x:v>La autoría interna debe respaldarse por archivos fuente, historial o registro de creación cuando sea posible.</x:v>
      </x:c>
    </x:row>
    <x:row r="42" ht="34" customHeight="1">
      <x:c r="A42" s="24" t="str">
        <x:v>MOD-038</x:v>
      </x:c>
      <x:c r="B42" s="24" t="str">
        <x:v>74aea53309a8b58468b5d7dff2f1544c</x:v>
      </x:c>
      <x:c r="C42" s="24" t="str">
        <x:v>CC_S16_P2_Expansion_Server_UPS_LOD0.fbx</x:v>
      </x:c>
      <x:c r="D42" s="24" t="str">
        <x:v>Expansions</x:v>
      </x:c>
      <x:c r="E42" s="24" t="str">
        <x:v>3D model</x:v>
      </x:c>
      <x:c r="F42" s="24" t="str">
        <x:v>VRM Games / Blender kit workflow</x:v>
      </x:c>
      <x:c r="G42" s="24" t="str">
        <x:v>VRM Games / Blas Luis Rocha González</x:v>
      </x:c>
      <x:c r="H42" s="24" t="str">
        <x:v>Internal</x:v>
      </x:c>
      <x:c r="I42" s="24" t="str">
        <x:v>Internal Blender/modeling pipeline</x:v>
      </x:c>
      <x:c r="J42" s="24" t="str">
        <x:v>Sprint 16 / prior kit production</x:v>
      </x:c>
      <x:c r="K42" s="24" t="str">
        <x:v>Internal project IP / authorship claim</x:v>
      </x:c>
      <x:c r="L42" s="24" t="str">
        <x:v>N/A</x:v>
      </x:c>
      <x:c r="M42" s="24" t="str">
        <x:v>Assets.zip + model path/hash + art records</x:v>
      </x:c>
      <x:c r="N42" s="24" t="str">
        <x:v>ce53d5dabbb2374f2319a42c104ad39f51e08d54ebba79d07ea16cac2abab413</x:v>
      </x:c>
      <x:c r="O42" s="24" t="str">
        <x:v>Assets/_Project/Art/Models/Expansions/CC_S16_P2_Expansion_Server_UPS_LOD0.fbx</x:v>
      </x:c>
      <x:c r="P42" s="24" t="str">
        <x:v>74aea53309a8b58468b5d7dff2f1544c</x:v>
      </x:c>
      <x:c r="Q42" s="24" t="str">
        <x:v>Sí</x:v>
      </x:c>
      <x:c r="R42" s="24" t="str">
        <x:v>Conditional on final provenance confirmation</x:v>
      </x:c>
      <x:c r="S42" s="24" t="str">
        <x:v>Only as part of authorized game/build</x:v>
      </x:c>
      <x:c r="T42" s="24" t="str">
        <x:v>General project/studio credits</x:v>
      </x:c>
      <x:c r="U42" s="24" t="str">
        <x:v>No standalone redistribution; no real-brand derivatives</x:v>
      </x:c>
      <x:c r="V42" s="24" t="str">
        <x:v>NOT AUTHORIZED</x:v>
      </x:c>
      <x:c r="W42" s="24" t="str">
        <x:v>VISION / NOT OPEN</x:v>
      </x:c>
      <x:c r="X42" s="24" t="str">
        <x:v>None</x:v>
      </x:c>
      <x:c r="Y42" s="24" t="str">
        <x:v>Medium</x:v>
      </x:c>
      <x:c r="Z42" s="24" t="str">
        <x:v>VRM Games</x:v>
      </x:c>
      <x:c r="AA42" s="24" t="str">
        <x:v>La autoría interna debe respaldarse por archivos fuente, historial o registro de creación cuando sea posible.</x:v>
      </x:c>
    </x:row>
    <x:row r="43" ht="34" customHeight="1">
      <x:c r="A43" s="24" t="str">
        <x:v>MOD-039</x:v>
      </x:c>
      <x:c r="B43" s="24" t="str">
        <x:v>fa15200d66b290f47aeb00d882793ab4</x:v>
      </x:c>
      <x:c r="C43" s="24" t="str">
        <x:v>CC_S16_P2_Expansion_Staff_Locker_LOD0.fbx</x:v>
      </x:c>
      <x:c r="D43" s="24" t="str">
        <x:v>Expansions</x:v>
      </x:c>
      <x:c r="E43" s="24" t="str">
        <x:v>3D model</x:v>
      </x:c>
      <x:c r="F43" s="24" t="str">
        <x:v>VRM Games / Blender kit workflow</x:v>
      </x:c>
      <x:c r="G43" s="24" t="str">
        <x:v>VRM Games / Blas Luis Rocha González</x:v>
      </x:c>
      <x:c r="H43" s="24" t="str">
        <x:v>Internal</x:v>
      </x:c>
      <x:c r="I43" s="24" t="str">
        <x:v>Internal Blender/modeling pipeline</x:v>
      </x:c>
      <x:c r="J43" s="24" t="str">
        <x:v>Sprint 16 / prior kit production</x:v>
      </x:c>
      <x:c r="K43" s="24" t="str">
        <x:v>Internal project IP / authorship claim</x:v>
      </x:c>
      <x:c r="L43" s="24" t="str">
        <x:v>N/A</x:v>
      </x:c>
      <x:c r="M43" s="24" t="str">
        <x:v>Assets.zip + model path/hash + art records</x:v>
      </x:c>
      <x:c r="N43" s="24" t="str">
        <x:v>32480272093b7113f3fc07b7a284a75642f5e24a392c4b1417bc82dafcb3df5e</x:v>
      </x:c>
      <x:c r="O43" s="24" t="str">
        <x:v>Assets/_Project/Art/Models/Expansions/CC_S16_P2_Expansion_Staff_Locker_LOD0.fbx</x:v>
      </x:c>
      <x:c r="P43" s="24" t="str">
        <x:v>fa15200d66b290f47aeb00d882793ab4</x:v>
      </x:c>
      <x:c r="Q43" s="24" t="str">
        <x:v>Sí</x:v>
      </x:c>
      <x:c r="R43" s="24" t="str">
        <x:v>Conditional on final provenance confirmation</x:v>
      </x:c>
      <x:c r="S43" s="24" t="str">
        <x:v>Only as part of authorized game/build</x:v>
      </x:c>
      <x:c r="T43" s="24" t="str">
        <x:v>General project/studio credits</x:v>
      </x:c>
      <x:c r="U43" s="24" t="str">
        <x:v>No standalone redistribution; no real-brand derivatives</x:v>
      </x:c>
      <x:c r="V43" s="24" t="str">
        <x:v>NOT AUTHORIZED</x:v>
      </x:c>
      <x:c r="W43" s="24" t="str">
        <x:v>VISION / NOT OPEN</x:v>
      </x:c>
      <x:c r="X43" s="24" t="str">
        <x:v>None</x:v>
      </x:c>
      <x:c r="Y43" s="24" t="str">
        <x:v>Medium</x:v>
      </x:c>
      <x:c r="Z43" s="24" t="str">
        <x:v>VRM Games</x:v>
      </x:c>
      <x:c r="AA43" s="24" t="str">
        <x:v>La autoría interna debe respaldarse por archivos fuente, historial o registro de creación cuando sea posible.</x:v>
      </x:c>
    </x:row>
    <x:row r="44" ht="34" customHeight="1">
      <x:c r="A44" s="24" t="str">
        <x:v>MOD-040</x:v>
      </x:c>
      <x:c r="B44" s="24" t="str">
        <x:v>0078898a24a29dc41a65dee8b477dd29</x:v>
      </x:c>
      <x:c r="C44" s="24" t="str">
        <x:v>CC_S16_P2_Expansion_Staff_TaskBoard_LOD0.fbx</x:v>
      </x:c>
      <x:c r="D44" s="24" t="str">
        <x:v>Expansions</x:v>
      </x:c>
      <x:c r="E44" s="24" t="str">
        <x:v>3D model</x:v>
      </x:c>
      <x:c r="F44" s="24" t="str">
        <x:v>VRM Games / Blender kit workflow</x:v>
      </x:c>
      <x:c r="G44" s="24" t="str">
        <x:v>VRM Games / Blas Luis Rocha González</x:v>
      </x:c>
      <x:c r="H44" s="24" t="str">
        <x:v>Internal</x:v>
      </x:c>
      <x:c r="I44" s="24" t="str">
        <x:v>Internal Blender/modeling pipeline</x:v>
      </x:c>
      <x:c r="J44" s="24" t="str">
        <x:v>Sprint 16 / prior kit production</x:v>
      </x:c>
      <x:c r="K44" s="24" t="str">
        <x:v>Internal project IP / authorship claim</x:v>
      </x:c>
      <x:c r="L44" s="24" t="str">
        <x:v>N/A</x:v>
      </x:c>
      <x:c r="M44" s="24" t="str">
        <x:v>Assets.zip + model path/hash + art records</x:v>
      </x:c>
      <x:c r="N44" s="24" t="str">
        <x:v>3e74bc8cfcd90bd028cee1b6c5b3e3f982b1e0c1a74bd823bcb1b77ffe30f2d8</x:v>
      </x:c>
      <x:c r="O44" s="24" t="str">
        <x:v>Assets/_Project/Art/Models/Expansions/CC_S16_P2_Expansion_Staff_TaskBoard_LOD0.fbx</x:v>
      </x:c>
      <x:c r="P44" s="24" t="str">
        <x:v>0078898a24a29dc41a65dee8b477dd29</x:v>
      </x:c>
      <x:c r="Q44" s="24" t="str">
        <x:v>Sí</x:v>
      </x:c>
      <x:c r="R44" s="24" t="str">
        <x:v>Conditional on final provenance confirmation</x:v>
      </x:c>
      <x:c r="S44" s="24" t="str">
        <x:v>Only as part of authorized game/build</x:v>
      </x:c>
      <x:c r="T44" s="24" t="str">
        <x:v>General project/studio credits</x:v>
      </x:c>
      <x:c r="U44" s="24" t="str">
        <x:v>No standalone redistribution; no real-brand derivatives</x:v>
      </x:c>
      <x:c r="V44" s="24" t="str">
        <x:v>NOT AUTHORIZED</x:v>
      </x:c>
      <x:c r="W44" s="24" t="str">
        <x:v>VISION / NOT OPEN</x:v>
      </x:c>
      <x:c r="X44" s="24" t="str">
        <x:v>None</x:v>
      </x:c>
      <x:c r="Y44" s="24" t="str">
        <x:v>Medium</x:v>
      </x:c>
      <x:c r="Z44" s="24" t="str">
        <x:v>VRM Games</x:v>
      </x:c>
      <x:c r="AA44" s="24" t="str">
        <x:v>La autoría interna debe respaldarse por archivos fuente, historial o registro de creación cuando sea posible.</x:v>
      </x:c>
    </x:row>
    <x:row r="45" ht="34" customHeight="1">
      <x:c r="A45" s="24" t="str">
        <x:v>MOD-041</x:v>
      </x:c>
      <x:c r="B45" s="24" t="str">
        <x:v>9af269fcf34719d489ffe10ff65e5b30</x:v>
      </x:c>
      <x:c r="C45" s="24" t="str">
        <x:v>CC_S16_P2_Expansion_Studio_ArtDesk_LOD0.fbx</x:v>
      </x:c>
      <x:c r="D45" s="24" t="str">
        <x:v>Expansions</x:v>
      </x:c>
      <x:c r="E45" s="24" t="str">
        <x:v>3D model</x:v>
      </x:c>
      <x:c r="F45" s="24" t="str">
        <x:v>VRM Games / Blender kit workflow</x:v>
      </x:c>
      <x:c r="G45" s="24" t="str">
        <x:v>VRM Games / Blas Luis Rocha González</x:v>
      </x:c>
      <x:c r="H45" s="24" t="str">
        <x:v>Internal</x:v>
      </x:c>
      <x:c r="I45" s="24" t="str">
        <x:v>Internal Blender/modeling pipeline</x:v>
      </x:c>
      <x:c r="J45" s="24" t="str">
        <x:v>Sprint 16 / prior kit production</x:v>
      </x:c>
      <x:c r="K45" s="24" t="str">
        <x:v>Internal project IP / authorship claim</x:v>
      </x:c>
      <x:c r="L45" s="24" t="str">
        <x:v>N/A</x:v>
      </x:c>
      <x:c r="M45" s="24" t="str">
        <x:v>Assets.zip + model path/hash + art records</x:v>
      </x:c>
      <x:c r="N45" s="24" t="str">
        <x:v>8bb2db04b636d7ba053de3df2e783e4fbef56da4185f82f2210bec3591dc8663</x:v>
      </x:c>
      <x:c r="O45" s="24" t="str">
        <x:v>Assets/_Project/Art/Models/Expansions/CC_S16_P2_Expansion_Studio_ArtDesk_LOD0.fbx</x:v>
      </x:c>
      <x:c r="P45" s="24" t="str">
        <x:v>9af269fcf34719d489ffe10ff65e5b30</x:v>
      </x:c>
      <x:c r="Q45" s="24" t="str">
        <x:v>Sí</x:v>
      </x:c>
      <x:c r="R45" s="24" t="str">
        <x:v>Conditional on final provenance confirmation</x:v>
      </x:c>
      <x:c r="S45" s="24" t="str">
        <x:v>Only as part of authorized game/build</x:v>
      </x:c>
      <x:c r="T45" s="24" t="str">
        <x:v>General project/studio credits</x:v>
      </x:c>
      <x:c r="U45" s="24" t="str">
        <x:v>No standalone redistribution; no real-brand derivatives</x:v>
      </x:c>
      <x:c r="V45" s="24" t="str">
        <x:v>NOT AUTHORIZED</x:v>
      </x:c>
      <x:c r="W45" s="24" t="str">
        <x:v>VISION / NOT OPEN</x:v>
      </x:c>
      <x:c r="X45" s="24" t="str">
        <x:v>None</x:v>
      </x:c>
      <x:c r="Y45" s="24" t="str">
        <x:v>Medium</x:v>
      </x:c>
      <x:c r="Z45" s="24" t="str">
        <x:v>VRM Games</x:v>
      </x:c>
      <x:c r="AA45" s="24" t="str">
        <x:v>La autoría interna debe respaldarse por archivos fuente, historial o registro de creación cuando sea posible.</x:v>
      </x:c>
    </x:row>
    <x:row r="46" ht="34" customHeight="1">
      <x:c r="A46" s="24" t="str">
        <x:v>MOD-042</x:v>
      </x:c>
      <x:c r="B46" s="24" t="str">
        <x:v>0d4831e8c9d56654c845d8ab5d008481</x:v>
      </x:c>
      <x:c r="C46" s="24" t="str">
        <x:v>CC_S16_P2_Expansion_Studio_AudioStation_LOD0.fbx</x:v>
      </x:c>
      <x:c r="D46" s="24" t="str">
        <x:v>Expansions</x:v>
      </x:c>
      <x:c r="E46" s="24" t="str">
        <x:v>3D model</x:v>
      </x:c>
      <x:c r="F46" s="24" t="str">
        <x:v>VRM Games / Blender kit workflow</x:v>
      </x:c>
      <x:c r="G46" s="24" t="str">
        <x:v>VRM Games / Blas Luis Rocha González</x:v>
      </x:c>
      <x:c r="H46" s="24" t="str">
        <x:v>Internal</x:v>
      </x:c>
      <x:c r="I46" s="24" t="str">
        <x:v>Internal Blender/modeling pipeline</x:v>
      </x:c>
      <x:c r="J46" s="24" t="str">
        <x:v>Sprint 16 / prior kit production</x:v>
      </x:c>
      <x:c r="K46" s="24" t="str">
        <x:v>Internal project IP / authorship claim</x:v>
      </x:c>
      <x:c r="L46" s="24" t="str">
        <x:v>N/A</x:v>
      </x:c>
      <x:c r="M46" s="24" t="str">
        <x:v>Assets.zip + model path/hash + art records</x:v>
      </x:c>
      <x:c r="N46" s="24" t="str">
        <x:v>4932a1747a15c0dacd560a8e3c81ed55a9ab80928a294311762471279429621c</x:v>
      </x:c>
      <x:c r="O46" s="24" t="str">
        <x:v>Assets/_Project/Art/Models/Expansions/CC_S16_P2_Expansion_Studio_AudioStation_LOD0.fbx</x:v>
      </x:c>
      <x:c r="P46" s="24" t="str">
        <x:v>0d4831e8c9d56654c845d8ab5d008481</x:v>
      </x:c>
      <x:c r="Q46" s="24" t="str">
        <x:v>Sí</x:v>
      </x:c>
      <x:c r="R46" s="24" t="str">
        <x:v>Conditional on final provenance confirmation</x:v>
      </x:c>
      <x:c r="S46" s="24" t="str">
        <x:v>Only as part of authorized game/build</x:v>
      </x:c>
      <x:c r="T46" s="24" t="str">
        <x:v>General project/studio credits</x:v>
      </x:c>
      <x:c r="U46" s="24" t="str">
        <x:v>No standalone redistribution; no real-brand derivatives</x:v>
      </x:c>
      <x:c r="V46" s="24" t="str">
        <x:v>NOT AUTHORIZED</x:v>
      </x:c>
      <x:c r="W46" s="24" t="str">
        <x:v>VISION / NOT OPEN</x:v>
      </x:c>
      <x:c r="X46" s="24" t="str">
        <x:v>None</x:v>
      </x:c>
      <x:c r="Y46" s="24" t="str">
        <x:v>Medium</x:v>
      </x:c>
      <x:c r="Z46" s="24" t="str">
        <x:v>VRM Games</x:v>
      </x:c>
      <x:c r="AA46" s="24" t="str">
        <x:v>La autoría interna debe respaldarse por archivos fuente, historial o registro de creación cuando sea posible.</x:v>
      </x:c>
    </x:row>
    <x:row r="47" ht="34" customHeight="1">
      <x:c r="A47" s="24" t="str">
        <x:v>MOD-043</x:v>
      </x:c>
      <x:c r="B47" s="24" t="str">
        <x:v>dd410bcf3e55c5f49bbf3e1241e777f5</x:v>
      </x:c>
      <x:c r="C47" s="24" t="str">
        <x:v>CC_S16_P2_Expansion_Studio_DevDesk_LOD0.fbx</x:v>
      </x:c>
      <x:c r="D47" s="24" t="str">
        <x:v>Expansions</x:v>
      </x:c>
      <x:c r="E47" s="24" t="str">
        <x:v>3D model</x:v>
      </x:c>
      <x:c r="F47" s="24" t="str">
        <x:v>VRM Games / Blender kit workflow</x:v>
      </x:c>
      <x:c r="G47" s="24" t="str">
        <x:v>VRM Games / Blas Luis Rocha González</x:v>
      </x:c>
      <x:c r="H47" s="24" t="str">
        <x:v>Internal</x:v>
      </x:c>
      <x:c r="I47" s="24" t="str">
        <x:v>Internal Blender/modeling pipeline</x:v>
      </x:c>
      <x:c r="J47" s="24" t="str">
        <x:v>Sprint 16 / prior kit production</x:v>
      </x:c>
      <x:c r="K47" s="24" t="str">
        <x:v>Internal project IP / authorship claim</x:v>
      </x:c>
      <x:c r="L47" s="24" t="str">
        <x:v>N/A</x:v>
      </x:c>
      <x:c r="M47" s="24" t="str">
        <x:v>Assets.zip + model path/hash + art records</x:v>
      </x:c>
      <x:c r="N47" s="24" t="str">
        <x:v>151a622bcc7626d96385005fd5c5a6c3cd876fad78f72770ad06a1d2f89594f8</x:v>
      </x:c>
      <x:c r="O47" s="24" t="str">
        <x:v>Assets/_Project/Art/Models/Expansions/CC_S16_P2_Expansion_Studio_DevDesk_LOD0.fbx</x:v>
      </x:c>
      <x:c r="P47" s="24" t="str">
        <x:v>dd410bcf3e55c5f49bbf3e1241e777f5</x:v>
      </x:c>
      <x:c r="Q47" s="24" t="str">
        <x:v>Sí</x:v>
      </x:c>
      <x:c r="R47" s="24" t="str">
        <x:v>Conditional on final provenance confirmation</x:v>
      </x:c>
      <x:c r="S47" s="24" t="str">
        <x:v>Only as part of authorized game/build</x:v>
      </x:c>
      <x:c r="T47" s="24" t="str">
        <x:v>General project/studio credits</x:v>
      </x:c>
      <x:c r="U47" s="24" t="str">
        <x:v>No standalone redistribution; no real-brand derivatives</x:v>
      </x:c>
      <x:c r="V47" s="24" t="str">
        <x:v>NOT AUTHORIZED</x:v>
      </x:c>
      <x:c r="W47" s="24" t="str">
        <x:v>VISION / NOT OPEN</x:v>
      </x:c>
      <x:c r="X47" s="24" t="str">
        <x:v>None</x:v>
      </x:c>
      <x:c r="Y47" s="24" t="str">
        <x:v>Medium</x:v>
      </x:c>
      <x:c r="Z47" s="24" t="str">
        <x:v>VRM Games</x:v>
      </x:c>
      <x:c r="AA47" s="24" t="str">
        <x:v>La autoría interna debe respaldarse por archivos fuente, historial o registro de creación cuando sea posible.</x:v>
      </x:c>
    </x:row>
    <x:row r="48" ht="34" customHeight="1">
      <x:c r="A48" s="24" t="str">
        <x:v>MOD-044</x:v>
      </x:c>
      <x:c r="B48" s="24" t="str">
        <x:v>caa4ecf609f0333479ac4127e9107679</x:v>
      </x:c>
      <x:c r="C48" s="24" t="str">
        <x:v>CC_S16_P2_Furniture_BackroomStorage_LOD0.fbx</x:v>
      </x:c>
      <x:c r="D48" s="24" t="str">
        <x:v>Furniture</x:v>
      </x:c>
      <x:c r="E48" s="24" t="str">
        <x:v>3D model</x:v>
      </x:c>
      <x:c r="F48" s="24" t="str">
        <x:v>VRM Games / Blender kit workflow</x:v>
      </x:c>
      <x:c r="G48" s="24" t="str">
        <x:v>VRM Games / Blas Luis Rocha González</x:v>
      </x:c>
      <x:c r="H48" s="24" t="str">
        <x:v>Internal</x:v>
      </x:c>
      <x:c r="I48" s="24" t="str">
        <x:v>Internal Blender/modeling pipeline</x:v>
      </x:c>
      <x:c r="J48" s="24" t="str">
        <x:v>Sprint 16 / prior kit production</x:v>
      </x:c>
      <x:c r="K48" s="24" t="str">
        <x:v>Internal project IP / authorship claim</x:v>
      </x:c>
      <x:c r="L48" s="24" t="str">
        <x:v>N/A</x:v>
      </x:c>
      <x:c r="M48" s="24" t="str">
        <x:v>Assets.zip + model path/hash + art records</x:v>
      </x:c>
      <x:c r="N48" s="24" t="str">
        <x:v>8c763b7cb85764edddb28b83b9d337f6d153afb7033121143a3136da59dcead6</x:v>
      </x:c>
      <x:c r="O48" s="24" t="str">
        <x:v>Assets/_Project/Art/Models/Furniture/CC_S16_P2_Furniture_BackroomStorage_LOD0.fbx</x:v>
      </x:c>
      <x:c r="P48" s="24" t="str">
        <x:v>caa4ecf609f0333479ac4127e9107679</x:v>
      </x:c>
      <x:c r="Q48" s="24" t="str">
        <x:v>Sí</x:v>
      </x:c>
      <x:c r="R48" s="24" t="str">
        <x:v>Conditional on final provenance confirmation</x:v>
      </x:c>
      <x:c r="S48" s="24" t="str">
        <x:v>Only as part of authorized game/build</x:v>
      </x:c>
      <x:c r="T48" s="24" t="str">
        <x:v>General project/studio credits</x:v>
      </x:c>
      <x:c r="U48" s="24" t="str">
        <x:v>No standalone redistribution; no real-brand derivatives</x:v>
      </x:c>
      <x:c r="V48" s="24" t="str">
        <x:v>CONDITIONALLY APPROVED</x:v>
      </x:c>
      <x:c r="W48" s="24" t="str">
        <x:v>Imported/representative</x:v>
      </x:c>
      <x:c r="X48" s="24" t="str">
        <x:v>Internal builds; H6 after audit</x:v>
      </x:c>
      <x:c r="Y48" s="24" t="str">
        <x:v>Low</x:v>
      </x:c>
      <x:c r="Z48" s="24" t="str">
        <x:v>VRM Games</x:v>
      </x:c>
      <x:c r="AA48" s="24" t="str">
        <x:v>La autoría interna debe respaldarse por archivos fuente, historial o registro de creación cuando sea posible.</x:v>
      </x:c>
    </x:row>
    <x:row r="49" ht="34" customHeight="1">
      <x:c r="A49" s="24" t="str">
        <x:v>MOD-045</x:v>
      </x:c>
      <x:c r="B49" s="24" t="str">
        <x:v>5d2c13b48c956bc46b826c9dee5e6400</x:v>
      </x:c>
      <x:c r="C49" s="24" t="str">
        <x:v>CC_S16_P2_Furniture_CentralShelf_LOD0.fbx</x:v>
      </x:c>
      <x:c r="D49" s="24" t="str">
        <x:v>Furniture</x:v>
      </x:c>
      <x:c r="E49" s="24" t="str">
        <x:v>3D model</x:v>
      </x:c>
      <x:c r="F49" s="24" t="str">
        <x:v>VRM Games / Blender kit workflow</x:v>
      </x:c>
      <x:c r="G49" s="24" t="str">
        <x:v>VRM Games / Blas Luis Rocha González</x:v>
      </x:c>
      <x:c r="H49" s="24" t="str">
        <x:v>Internal</x:v>
      </x:c>
      <x:c r="I49" s="24" t="str">
        <x:v>Internal Blender/modeling pipeline</x:v>
      </x:c>
      <x:c r="J49" s="24" t="str">
        <x:v>Sprint 16 / prior kit production</x:v>
      </x:c>
      <x:c r="K49" s="24" t="str">
        <x:v>Internal project IP / authorship claim</x:v>
      </x:c>
      <x:c r="L49" s="24" t="str">
        <x:v>N/A</x:v>
      </x:c>
      <x:c r="M49" s="24" t="str">
        <x:v>Assets.zip + model path/hash + art records</x:v>
      </x:c>
      <x:c r="N49" s="24" t="str">
        <x:v>ac4c523a61c0835b43bfca403a46032659d48f038aa6216e9f286af2b646fda4</x:v>
      </x:c>
      <x:c r="O49" s="24" t="str">
        <x:v>Assets/_Project/Art/Models/Furniture/CC_S16_P2_Furniture_CentralShelf_LOD0.fbx</x:v>
      </x:c>
      <x:c r="P49" s="24" t="str">
        <x:v>5d2c13b48c956bc46b826c9dee5e6400</x:v>
      </x:c>
      <x:c r="Q49" s="24" t="str">
        <x:v>Sí</x:v>
      </x:c>
      <x:c r="R49" s="24" t="str">
        <x:v>Conditional on final provenance confirmation</x:v>
      </x:c>
      <x:c r="S49" s="24" t="str">
        <x:v>Only as part of authorized game/build</x:v>
      </x:c>
      <x:c r="T49" s="24" t="str">
        <x:v>General project/studio credits</x:v>
      </x:c>
      <x:c r="U49" s="24" t="str">
        <x:v>No standalone redistribution; no real-brand derivatives</x:v>
      </x:c>
      <x:c r="V49" s="24" t="str">
        <x:v>CONDITIONALLY APPROVED</x:v>
      </x:c>
      <x:c r="W49" s="24" t="str">
        <x:v>Imported/representative</x:v>
      </x:c>
      <x:c r="X49" s="24" t="str">
        <x:v>Internal builds; H6 after audit</x:v>
      </x:c>
      <x:c r="Y49" s="24" t="str">
        <x:v>Low</x:v>
      </x:c>
      <x:c r="Z49" s="24" t="str">
        <x:v>VRM Games</x:v>
      </x:c>
      <x:c r="AA49" s="24" t="str">
        <x:v>La autoría interna debe respaldarse por archivos fuente, historial o registro de creación cuando sea posible.</x:v>
      </x:c>
    </x:row>
    <x:row r="50" ht="34" customHeight="1">
      <x:c r="A50" s="24" t="str">
        <x:v>MOD-046</x:v>
      </x:c>
      <x:c r="B50" s="24" t="str">
        <x:v>6a8e518eca8fdc54480401ab55849fdd</x:v>
      </x:c>
      <x:c r="C50" s="24" t="str">
        <x:v>CC_S16_P2_Furniture_CheckoutCounter_LOD0.fbx</x:v>
      </x:c>
      <x:c r="D50" s="24" t="str">
        <x:v>Furniture</x:v>
      </x:c>
      <x:c r="E50" s="24" t="str">
        <x:v>3D model</x:v>
      </x:c>
      <x:c r="F50" s="24" t="str">
        <x:v>VRM Games / Blender kit workflow</x:v>
      </x:c>
      <x:c r="G50" s="24" t="str">
        <x:v>VRM Games / Blas Luis Rocha González</x:v>
      </x:c>
      <x:c r="H50" s="24" t="str">
        <x:v>Internal</x:v>
      </x:c>
      <x:c r="I50" s="24" t="str">
        <x:v>Internal Blender/modeling pipeline</x:v>
      </x:c>
      <x:c r="J50" s="24" t="str">
        <x:v>Sprint 16 / prior kit production</x:v>
      </x:c>
      <x:c r="K50" s="24" t="str">
        <x:v>Internal project IP / authorship claim</x:v>
      </x:c>
      <x:c r="L50" s="24" t="str">
        <x:v>N/A</x:v>
      </x:c>
      <x:c r="M50" s="24" t="str">
        <x:v>Assets.zip + model path/hash + art records</x:v>
      </x:c>
      <x:c r="N50" s="24" t="str">
        <x:v>dbfb07cf0f01b0f2118817318adde191158cba517d99a6ec69ce3f4da5456354</x:v>
      </x:c>
      <x:c r="O50" s="24" t="str">
        <x:v>Assets/_Project/Art/Models/Furniture/CC_S16_P2_Furniture_CheckoutCounter_LOD0.fbx</x:v>
      </x:c>
      <x:c r="P50" s="24" t="str">
        <x:v>6a8e518eca8fdc54480401ab55849fdd</x:v>
      </x:c>
      <x:c r="Q50" s="24" t="str">
        <x:v>Sí</x:v>
      </x:c>
      <x:c r="R50" s="24" t="str">
        <x:v>Conditional on final provenance confirmation</x:v>
      </x:c>
      <x:c r="S50" s="24" t="str">
        <x:v>Only as part of authorized game/build</x:v>
      </x:c>
      <x:c r="T50" s="24" t="str">
        <x:v>General project/studio credits</x:v>
      </x:c>
      <x:c r="U50" s="24" t="str">
        <x:v>No standalone redistribution; no real-brand derivatives</x:v>
      </x:c>
      <x:c r="V50" s="24" t="str">
        <x:v>CONDITIONALLY APPROVED</x:v>
      </x:c>
      <x:c r="W50" s="24" t="str">
        <x:v>Imported/representative</x:v>
      </x:c>
      <x:c r="X50" s="24" t="str">
        <x:v>Internal builds; H6 after audit</x:v>
      </x:c>
      <x:c r="Y50" s="24" t="str">
        <x:v>Low</x:v>
      </x:c>
      <x:c r="Z50" s="24" t="str">
        <x:v>VRM Games</x:v>
      </x:c>
      <x:c r="AA50" s="24" t="str">
        <x:v>La autoría interna debe respaldarse por archivos fuente, historial o registro de creación cuando sea posible.</x:v>
      </x:c>
    </x:row>
    <x:row r="51" ht="34" customHeight="1">
      <x:c r="A51" s="24" t="str">
        <x:v>MOD-047</x:v>
      </x:c>
      <x:c r="B51" s="24" t="str">
        <x:v>d000e3c5e4dc91643af5db8d5a682a59</x:v>
      </x:c>
      <x:c r="C51" s="24" t="str">
        <x:v>CC_S16_P2_Furniture_DecorativePlant_LOD0.fbx</x:v>
      </x:c>
      <x:c r="D51" s="24" t="str">
        <x:v>Furniture</x:v>
      </x:c>
      <x:c r="E51" s="24" t="str">
        <x:v>3D model</x:v>
      </x:c>
      <x:c r="F51" s="24" t="str">
        <x:v>VRM Games / Blender kit workflow</x:v>
      </x:c>
      <x:c r="G51" s="24" t="str">
        <x:v>VRM Games / Blas Luis Rocha González</x:v>
      </x:c>
      <x:c r="H51" s="24" t="str">
        <x:v>Internal</x:v>
      </x:c>
      <x:c r="I51" s="24" t="str">
        <x:v>Internal Blender/modeling pipeline</x:v>
      </x:c>
      <x:c r="J51" s="24" t="str">
        <x:v>Sprint 16 / prior kit production</x:v>
      </x:c>
      <x:c r="K51" s="24" t="str">
        <x:v>Internal project IP / authorship claim</x:v>
      </x:c>
      <x:c r="L51" s="24" t="str">
        <x:v>N/A</x:v>
      </x:c>
      <x:c r="M51" s="24" t="str">
        <x:v>Assets.zip + model path/hash + art records</x:v>
      </x:c>
      <x:c r="N51" s="24" t="str">
        <x:v>ae324a9a47261e6a30e75d0c1487df72d8dd5f7e9de60d1a7569c1e7d4cb5c71</x:v>
      </x:c>
      <x:c r="O51" s="24" t="str">
        <x:v>Assets/_Project/Art/Models/Furniture/CC_S16_P2_Furniture_DecorativePlant_LOD0.fbx</x:v>
      </x:c>
      <x:c r="P51" s="24" t="str">
        <x:v>d000e3c5e4dc91643af5db8d5a682a59</x:v>
      </x:c>
      <x:c r="Q51" s="24" t="str">
        <x:v>Sí</x:v>
      </x:c>
      <x:c r="R51" s="24" t="str">
        <x:v>Conditional on final provenance confirmation</x:v>
      </x:c>
      <x:c r="S51" s="24" t="str">
        <x:v>Only as part of authorized game/build</x:v>
      </x:c>
      <x:c r="T51" s="24" t="str">
        <x:v>General project/studio credits</x:v>
      </x:c>
      <x:c r="U51" s="24" t="str">
        <x:v>No standalone redistribution; no real-brand derivatives</x:v>
      </x:c>
      <x:c r="V51" s="24" t="str">
        <x:v>CONDITIONALLY APPROVED</x:v>
      </x:c>
      <x:c r="W51" s="24" t="str">
        <x:v>Imported/representative</x:v>
      </x:c>
      <x:c r="X51" s="24" t="str">
        <x:v>Internal builds; H6 after audit</x:v>
      </x:c>
      <x:c r="Y51" s="24" t="str">
        <x:v>Low</x:v>
      </x:c>
      <x:c r="Z51" s="24" t="str">
        <x:v>VRM Games</x:v>
      </x:c>
      <x:c r="AA51" s="24" t="str">
        <x:v>La autoría interna debe respaldarse por archivos fuente, historial o registro de creación cuando sea posible.</x:v>
      </x:c>
    </x:row>
    <x:row r="52" ht="34" customHeight="1">
      <x:c r="A52" s="24" t="str">
        <x:v>MOD-048</x:v>
      </x:c>
      <x:c r="B52" s="24" t="str">
        <x:v>366b6e46f77550c47bd5cf6abc4acfc1</x:v>
      </x:c>
      <x:c r="C52" s="24" t="str">
        <x:v>CC_S16_P2_Furniture_FeaturedDisplay_LOD0.fbx</x:v>
      </x:c>
      <x:c r="D52" s="24" t="str">
        <x:v>Furniture</x:v>
      </x:c>
      <x:c r="E52" s="24" t="str">
        <x:v>3D model</x:v>
      </x:c>
      <x:c r="F52" s="24" t="str">
        <x:v>VRM Games / Blender kit workflow</x:v>
      </x:c>
      <x:c r="G52" s="24" t="str">
        <x:v>VRM Games / Blas Luis Rocha González</x:v>
      </x:c>
      <x:c r="H52" s="24" t="str">
        <x:v>Internal</x:v>
      </x:c>
      <x:c r="I52" s="24" t="str">
        <x:v>Internal Blender/modeling pipeline</x:v>
      </x:c>
      <x:c r="J52" s="24" t="str">
        <x:v>Sprint 16 / prior kit production</x:v>
      </x:c>
      <x:c r="K52" s="24" t="str">
        <x:v>Internal project IP / authorship claim</x:v>
      </x:c>
      <x:c r="L52" s="24" t="str">
        <x:v>N/A</x:v>
      </x:c>
      <x:c r="M52" s="24" t="str">
        <x:v>Assets.zip + model path/hash + art records</x:v>
      </x:c>
      <x:c r="N52" s="24" t="str">
        <x:v>0d49181fbd45d065cd5e4c4875249856fad7f9bad8a0f98735302603bb79bce4</x:v>
      </x:c>
      <x:c r="O52" s="24" t="str">
        <x:v>Assets/_Project/Art/Models/Furniture/CC_S16_P2_Furniture_FeaturedDisplay_LOD0.fbx</x:v>
      </x:c>
      <x:c r="P52" s="24" t="str">
        <x:v>366b6e46f77550c47bd5cf6abc4acfc1</x:v>
      </x:c>
      <x:c r="Q52" s="24" t="str">
        <x:v>Sí</x:v>
      </x:c>
      <x:c r="R52" s="24" t="str">
        <x:v>Conditional on final provenance confirmation</x:v>
      </x:c>
      <x:c r="S52" s="24" t="str">
        <x:v>Only as part of authorized game/build</x:v>
      </x:c>
      <x:c r="T52" s="24" t="str">
        <x:v>General project/studio credits</x:v>
      </x:c>
      <x:c r="U52" s="24" t="str">
        <x:v>No standalone redistribution; no real-brand derivatives</x:v>
      </x:c>
      <x:c r="V52" s="24" t="str">
        <x:v>CONDITIONALLY APPROVED</x:v>
      </x:c>
      <x:c r="W52" s="24" t="str">
        <x:v>Imported/representative</x:v>
      </x:c>
      <x:c r="X52" s="24" t="str">
        <x:v>Internal builds; H6 after audit</x:v>
      </x:c>
      <x:c r="Y52" s="24" t="str">
        <x:v>Low</x:v>
      </x:c>
      <x:c r="Z52" s="24" t="str">
        <x:v>VRM Games</x:v>
      </x:c>
      <x:c r="AA52" s="24" t="str">
        <x:v>La autoría interna debe respaldarse por archivos fuente, historial o registro de creación cuando sea posible.</x:v>
      </x:c>
    </x:row>
    <x:row r="53" ht="34" customHeight="1">
      <x:c r="A53" s="24" t="str">
        <x:v>MOD-049</x:v>
      </x:c>
      <x:c r="B53" s="24" t="str">
        <x:v>d74b514638edac2439009f1e23ad7479</x:v>
      </x:c>
      <x:c r="C53" s="24" t="str">
        <x:v>CC_S16_P2_Furniture_LowDisplay_LOD0.fbx</x:v>
      </x:c>
      <x:c r="D53" s="24" t="str">
        <x:v>Furniture</x:v>
      </x:c>
      <x:c r="E53" s="24" t="str">
        <x:v>3D model</x:v>
      </x:c>
      <x:c r="F53" s="24" t="str">
        <x:v>VRM Games / Blender kit workflow</x:v>
      </x:c>
      <x:c r="G53" s="24" t="str">
        <x:v>VRM Games / Blas Luis Rocha González</x:v>
      </x:c>
      <x:c r="H53" s="24" t="str">
        <x:v>Internal</x:v>
      </x:c>
      <x:c r="I53" s="24" t="str">
        <x:v>Internal Blender/modeling pipeline</x:v>
      </x:c>
      <x:c r="J53" s="24" t="str">
        <x:v>Sprint 16 / prior kit production</x:v>
      </x:c>
      <x:c r="K53" s="24" t="str">
        <x:v>Internal project IP / authorship claim</x:v>
      </x:c>
      <x:c r="L53" s="24" t="str">
        <x:v>N/A</x:v>
      </x:c>
      <x:c r="M53" s="24" t="str">
        <x:v>Assets.zip + model path/hash + art records</x:v>
      </x:c>
      <x:c r="N53" s="24" t="str">
        <x:v>a2f6f6543d73aab04eb0b73018c1c8a48421441b1e1d6939263adf4972be523e</x:v>
      </x:c>
      <x:c r="O53" s="24" t="str">
        <x:v>Assets/_Project/Art/Models/Furniture/CC_S16_P2_Furniture_LowDisplay_LOD0.fbx</x:v>
      </x:c>
      <x:c r="P53" s="24" t="str">
        <x:v>d74b514638edac2439009f1e23ad7479</x:v>
      </x:c>
      <x:c r="Q53" s="24" t="str">
        <x:v>Sí</x:v>
      </x:c>
      <x:c r="R53" s="24" t="str">
        <x:v>Conditional on final provenance confirmation</x:v>
      </x:c>
      <x:c r="S53" s="24" t="str">
        <x:v>Only as part of authorized game/build</x:v>
      </x:c>
      <x:c r="T53" s="24" t="str">
        <x:v>General project/studio credits</x:v>
      </x:c>
      <x:c r="U53" s="24" t="str">
        <x:v>No standalone redistribution; no real-brand derivatives</x:v>
      </x:c>
      <x:c r="V53" s="24" t="str">
        <x:v>CONDITIONALLY APPROVED</x:v>
      </x:c>
      <x:c r="W53" s="24" t="str">
        <x:v>Imported/representative</x:v>
      </x:c>
      <x:c r="X53" s="24" t="str">
        <x:v>Internal builds; H6 after audit</x:v>
      </x:c>
      <x:c r="Y53" s="24" t="str">
        <x:v>Low</x:v>
      </x:c>
      <x:c r="Z53" s="24" t="str">
        <x:v>VRM Games</x:v>
      </x:c>
      <x:c r="AA53" s="24" t="str">
        <x:v>La autoría interna debe respaldarse por archivos fuente, historial o registro de creación cuando sea posible.</x:v>
      </x:c>
    </x:row>
    <x:row r="54" ht="34" customHeight="1">
      <x:c r="A54" s="24" t="str">
        <x:v>MOD-050</x:v>
      </x:c>
      <x:c r="B54" s="24" t="str">
        <x:v>bb90e34ce1c024842a2ef7a99c00ae01</x:v>
      </x:c>
      <x:c r="C54" s="24" t="str">
        <x:v>CC_S16_P2_Furniture_ReceivingCrate_LOD0.fbx</x:v>
      </x:c>
      <x:c r="D54" s="24" t="str">
        <x:v>Furniture</x:v>
      </x:c>
      <x:c r="E54" s="24" t="str">
        <x:v>3D model</x:v>
      </x:c>
      <x:c r="F54" s="24" t="str">
        <x:v>VRM Games / Blender kit workflow</x:v>
      </x:c>
      <x:c r="G54" s="24" t="str">
        <x:v>VRM Games / Blas Luis Rocha González</x:v>
      </x:c>
      <x:c r="H54" s="24" t="str">
        <x:v>Internal</x:v>
      </x:c>
      <x:c r="I54" s="24" t="str">
        <x:v>Internal Blender/modeling pipeline</x:v>
      </x:c>
      <x:c r="J54" s="24" t="str">
        <x:v>Sprint 16 / prior kit production</x:v>
      </x:c>
      <x:c r="K54" s="24" t="str">
        <x:v>Internal project IP / authorship claim</x:v>
      </x:c>
      <x:c r="L54" s="24" t="str">
        <x:v>N/A</x:v>
      </x:c>
      <x:c r="M54" s="24" t="str">
        <x:v>Assets.zip + model path/hash + art records</x:v>
      </x:c>
      <x:c r="N54" s="24" t="str">
        <x:v>fbc14bc267a2256361330081b5e04413483259564c53b60e250828f186525798</x:v>
      </x:c>
      <x:c r="O54" s="24" t="str">
        <x:v>Assets/_Project/Art/Models/Furniture/CC_S16_P2_Furniture_ReceivingCrate_LOD0.fbx</x:v>
      </x:c>
      <x:c r="P54" s="24" t="str">
        <x:v>bb90e34ce1c024842a2ef7a99c00ae01</x:v>
      </x:c>
      <x:c r="Q54" s="24" t="str">
        <x:v>Sí</x:v>
      </x:c>
      <x:c r="R54" s="24" t="str">
        <x:v>Conditional on final provenance confirmation</x:v>
      </x:c>
      <x:c r="S54" s="24" t="str">
        <x:v>Only as part of authorized game/build</x:v>
      </x:c>
      <x:c r="T54" s="24" t="str">
        <x:v>General project/studio credits</x:v>
      </x:c>
      <x:c r="U54" s="24" t="str">
        <x:v>No standalone redistribution; no real-brand derivatives</x:v>
      </x:c>
      <x:c r="V54" s="24" t="str">
        <x:v>CONDITIONALLY APPROVED</x:v>
      </x:c>
      <x:c r="W54" s="24" t="str">
        <x:v>Imported/representative</x:v>
      </x:c>
      <x:c r="X54" s="24" t="str">
        <x:v>Internal builds; H6 after audit</x:v>
      </x:c>
      <x:c r="Y54" s="24" t="str">
        <x:v>Low</x:v>
      </x:c>
      <x:c r="Z54" s="24" t="str">
        <x:v>VRM Games</x:v>
      </x:c>
      <x:c r="AA54" s="24" t="str">
        <x:v>La autoría interna debe respaldarse por archivos fuente, historial o registro de creación cuando sea posible.</x:v>
      </x:c>
    </x:row>
    <x:row r="55" ht="34" customHeight="1">
      <x:c r="A55" s="24" t="str">
        <x:v>MOD-051</x:v>
      </x:c>
      <x:c r="B55" s="24" t="str">
        <x:v>3f5aff978cf86e64caf314275af67e77</x:v>
      </x:c>
      <x:c r="C55" s="24" t="str">
        <x:v>CC_S16_P2_Furniture_WallShelf_LOD0.fbx</x:v>
      </x:c>
      <x:c r="D55" s="24" t="str">
        <x:v>Furniture</x:v>
      </x:c>
      <x:c r="E55" s="24" t="str">
        <x:v>3D model</x:v>
      </x:c>
      <x:c r="F55" s="24" t="str">
        <x:v>VRM Games / Blender kit workflow</x:v>
      </x:c>
      <x:c r="G55" s="24" t="str">
        <x:v>VRM Games / Blas Luis Rocha González</x:v>
      </x:c>
      <x:c r="H55" s="24" t="str">
        <x:v>Internal</x:v>
      </x:c>
      <x:c r="I55" s="24" t="str">
        <x:v>Internal Blender/modeling pipeline</x:v>
      </x:c>
      <x:c r="J55" s="24" t="str">
        <x:v>Sprint 16 / prior kit production</x:v>
      </x:c>
      <x:c r="K55" s="24" t="str">
        <x:v>Internal project IP / authorship claim</x:v>
      </x:c>
      <x:c r="L55" s="24" t="str">
        <x:v>N/A</x:v>
      </x:c>
      <x:c r="M55" s="24" t="str">
        <x:v>Assets.zip + model path/hash + art records</x:v>
      </x:c>
      <x:c r="N55" s="24" t="str">
        <x:v>2c7387bcaa497c5e56f6d9aa4a30f2dafb7ecbcf9f923a3dae0024cdae706bac</x:v>
      </x:c>
      <x:c r="O55" s="24" t="str">
        <x:v>Assets/_Project/Art/Models/Furniture/CC_S16_P2_Furniture_WallShelf_LOD0.fbx</x:v>
      </x:c>
      <x:c r="P55" s="24" t="str">
        <x:v>3f5aff978cf86e64caf314275af67e77</x:v>
      </x:c>
      <x:c r="Q55" s="24" t="str">
        <x:v>Sí</x:v>
      </x:c>
      <x:c r="R55" s="24" t="str">
        <x:v>Conditional on final provenance confirmation</x:v>
      </x:c>
      <x:c r="S55" s="24" t="str">
        <x:v>Only as part of authorized game/build</x:v>
      </x:c>
      <x:c r="T55" s="24" t="str">
        <x:v>General project/studio credits</x:v>
      </x:c>
      <x:c r="U55" s="24" t="str">
        <x:v>No standalone redistribution; no real-brand derivatives</x:v>
      </x:c>
      <x:c r="V55" s="24" t="str">
        <x:v>CONDITIONALLY APPROVED</x:v>
      </x:c>
      <x:c r="W55" s="24" t="str">
        <x:v>Imported/representative</x:v>
      </x:c>
      <x:c r="X55" s="24" t="str">
        <x:v>Internal builds; H6 after audit</x:v>
      </x:c>
      <x:c r="Y55" s="24" t="str">
        <x:v>Low</x:v>
      </x:c>
      <x:c r="Z55" s="24" t="str">
        <x:v>VRM Games</x:v>
      </x:c>
      <x:c r="AA55" s="24" t="str">
        <x:v>La autoría interna debe respaldarse por archivos fuente, historial o registro de creación cuando sea posible.</x:v>
      </x:c>
    </x:row>
    <x:row r="56" ht="34" customHeight="1">
      <x:c r="A56" s="24" t="str">
        <x:v>MOD-052</x:v>
      </x:c>
      <x:c r="B56" s="24" t="str">
        <x:v>a77141c3d81ed9c4fb7589effc023554</x:v>
      </x:c>
      <x:c r="C56" s="24" t="str">
        <x:v>CC_S16_P2_Product_CloudRunnerCase_Box_LOD0.fbx</x:v>
      </x:c>
      <x:c r="D56" s="24" t="str">
        <x:v>Products</x:v>
      </x:c>
      <x:c r="E56" s="24" t="str">
        <x:v>3D model</x:v>
      </x:c>
      <x:c r="F56" s="24" t="str">
        <x:v>VRM Games / Blender kit workflow</x:v>
      </x:c>
      <x:c r="G56" s="24" t="str">
        <x:v>VRM Games / Blas Luis Rocha González</x:v>
      </x:c>
      <x:c r="H56" s="24" t="str">
        <x:v>Internal</x:v>
      </x:c>
      <x:c r="I56" s="24" t="str">
        <x:v>Internal Blender/modeling pipeline</x:v>
      </x:c>
      <x:c r="J56" s="24" t="str">
        <x:v>Sprint 16 / prior kit production</x:v>
      </x:c>
      <x:c r="K56" s="24" t="str">
        <x:v>Internal project IP / authorship claim</x:v>
      </x:c>
      <x:c r="L56" s="24" t="str">
        <x:v>N/A</x:v>
      </x:c>
      <x:c r="M56" s="24" t="str">
        <x:v>Assets.zip + model path/hash + art records</x:v>
      </x:c>
      <x:c r="N56" s="24" t="str">
        <x:v>c1eedf8195e0694b20b19293ccc44e91abc5a3ba2ce5cff4ed4891b009239638</x:v>
      </x:c>
      <x:c r="O56" s="24" t="str">
        <x:v>Assets/_Project/Art/Models/Products/CC_S16_P2_Product_CloudRunnerCase_Box_LOD0.fbx</x:v>
      </x:c>
      <x:c r="P56" s="24" t="str">
        <x:v>a77141c3d81ed9c4fb7589effc023554</x:v>
      </x:c>
      <x:c r="Q56" s="24" t="str">
        <x:v>Sí</x:v>
      </x:c>
      <x:c r="R56" s="24" t="str">
        <x:v>Conditional on final provenance confirmation</x:v>
      </x:c>
      <x:c r="S56" s="24" t="str">
        <x:v>Only as part of authorized game/build</x:v>
      </x:c>
      <x:c r="T56" s="24" t="str">
        <x:v>General project/studio credits</x:v>
      </x:c>
      <x:c r="U56" s="24" t="str">
        <x:v>No standalone redistribution; no real-brand derivatives</x:v>
      </x:c>
      <x:c r="V56" s="24" t="str">
        <x:v>CONDITIONALLY APPROVED</x:v>
      </x:c>
      <x:c r="W56" s="24" t="str">
        <x:v>Imported/representative</x:v>
      </x:c>
      <x:c r="X56" s="24" t="str">
        <x:v>Internal builds; H6 after audit</x:v>
      </x:c>
      <x:c r="Y56" s="24" t="str">
        <x:v>Low</x:v>
      </x:c>
      <x:c r="Z56" s="24" t="str">
        <x:v>VRM Games</x:v>
      </x:c>
      <x:c r="AA56" s="24" t="str">
        <x:v>La autoría interna debe respaldarse por archivos fuente, historial o registro de creación cuando sea posible.</x:v>
      </x:c>
    </x:row>
    <x:row r="57" ht="34" customHeight="1">
      <x:c r="A57" s="24" t="str">
        <x:v>MOD-053</x:v>
      </x:c>
      <x:c r="B57" s="24" t="str">
        <x:v>99ca15e906cfec640aa6bf7bab3052cb</x:v>
      </x:c>
      <x:c r="C57" s="24" t="str">
        <x:v>CC_S16_P2_Product_CloudRunnerCase_LOD0.fbx</x:v>
      </x:c>
      <x:c r="D57" s="24" t="str">
        <x:v>Products</x:v>
      </x:c>
      <x:c r="E57" s="24" t="str">
        <x:v>3D model</x:v>
      </x:c>
      <x:c r="F57" s="24" t="str">
        <x:v>VRM Games / Blender kit workflow</x:v>
      </x:c>
      <x:c r="G57" s="24" t="str">
        <x:v>VRM Games / Blas Luis Rocha González</x:v>
      </x:c>
      <x:c r="H57" s="24" t="str">
        <x:v>Internal</x:v>
      </x:c>
      <x:c r="I57" s="24" t="str">
        <x:v>Internal Blender/modeling pipeline</x:v>
      </x:c>
      <x:c r="J57" s="24" t="str">
        <x:v>Sprint 16 / prior kit production</x:v>
      </x:c>
      <x:c r="K57" s="24" t="str">
        <x:v>Internal project IP / authorship claim</x:v>
      </x:c>
      <x:c r="L57" s="24" t="str">
        <x:v>N/A</x:v>
      </x:c>
      <x:c r="M57" s="24" t="str">
        <x:v>Assets.zip + model path/hash + art records</x:v>
      </x:c>
      <x:c r="N57" s="24" t="str">
        <x:v>53bb9523ca139d47620882ec031933f4f798c18b78e5ea1372613dba57240b6c</x:v>
      </x:c>
      <x:c r="O57" s="24" t="str">
        <x:v>Assets/_Project/Art/Models/Products/CC_S16_P2_Product_CloudRunnerCase_LOD0.fbx</x:v>
      </x:c>
      <x:c r="P57" s="24" t="str">
        <x:v>99ca15e906cfec640aa6bf7bab3052cb</x:v>
      </x:c>
      <x:c r="Q57" s="24" t="str">
        <x:v>Sí</x:v>
      </x:c>
      <x:c r="R57" s="24" t="str">
        <x:v>Conditional on final provenance confirmation</x:v>
      </x:c>
      <x:c r="S57" s="24" t="str">
        <x:v>Only as part of authorized game/build</x:v>
      </x:c>
      <x:c r="T57" s="24" t="str">
        <x:v>General project/studio credits</x:v>
      </x:c>
      <x:c r="U57" s="24" t="str">
        <x:v>No standalone redistribution; no real-brand derivatives</x:v>
      </x:c>
      <x:c r="V57" s="24" t="str">
        <x:v>CONDITIONALLY APPROVED</x:v>
      </x:c>
      <x:c r="W57" s="24" t="str">
        <x:v>Imported/representative</x:v>
      </x:c>
      <x:c r="X57" s="24" t="str">
        <x:v>Internal builds; H6 after audit</x:v>
      </x:c>
      <x:c r="Y57" s="24" t="str">
        <x:v>Low</x:v>
      </x:c>
      <x:c r="Z57" s="24" t="str">
        <x:v>VRM Games</x:v>
      </x:c>
      <x:c r="AA57" s="24" t="str">
        <x:v>La autoría interna debe respaldarse por archivos fuente, historial o registro de creación cuando sea posible.</x:v>
      </x:c>
    </x:row>
    <x:row r="58" ht="34" customHeight="1">
      <x:c r="A58" s="24" t="str">
        <x:v>MOD-054</x:v>
      </x:c>
      <x:c r="B58" s="24" t="str">
        <x:v>a1b7b4404aa4b714f917609c87c8565d</x:v>
      </x:c>
      <x:c r="C58" s="24" t="str">
        <x:v>CC_S16_P2_Product_MemoryCore_Box_LOD0.fbx</x:v>
      </x:c>
      <x:c r="D58" s="24" t="str">
        <x:v>Products</x:v>
      </x:c>
      <x:c r="E58" s="24" t="str">
        <x:v>3D model</x:v>
      </x:c>
      <x:c r="F58" s="24" t="str">
        <x:v>VRM Games / Blender kit workflow</x:v>
      </x:c>
      <x:c r="G58" s="24" t="str">
        <x:v>VRM Games / Blas Luis Rocha González</x:v>
      </x:c>
      <x:c r="H58" s="24" t="str">
        <x:v>Internal</x:v>
      </x:c>
      <x:c r="I58" s="24" t="str">
        <x:v>Internal Blender/modeling pipeline</x:v>
      </x:c>
      <x:c r="J58" s="24" t="str">
        <x:v>Sprint 16 / prior kit production</x:v>
      </x:c>
      <x:c r="K58" s="24" t="str">
        <x:v>Internal project IP / authorship claim</x:v>
      </x:c>
      <x:c r="L58" s="24" t="str">
        <x:v>N/A</x:v>
      </x:c>
      <x:c r="M58" s="24" t="str">
        <x:v>Assets.zip + model path/hash + art records</x:v>
      </x:c>
      <x:c r="N58" s="24" t="str">
        <x:v>e77cc37a98593081859fed6035835d89a9eafcd15058ebae3c75bfd9411c3908</x:v>
      </x:c>
      <x:c r="O58" s="24" t="str">
        <x:v>Assets/_Project/Art/Models/Products/CC_S16_P2_Product_MemoryCore_Box_LOD0.fbx</x:v>
      </x:c>
      <x:c r="P58" s="24" t="str">
        <x:v>a1b7b4404aa4b714f917609c87c8565d</x:v>
      </x:c>
      <x:c r="Q58" s="24" t="str">
        <x:v>Sí</x:v>
      </x:c>
      <x:c r="R58" s="24" t="str">
        <x:v>Conditional on final provenance confirmation</x:v>
      </x:c>
      <x:c r="S58" s="24" t="str">
        <x:v>Only as part of authorized game/build</x:v>
      </x:c>
      <x:c r="T58" s="24" t="str">
        <x:v>General project/studio credits</x:v>
      </x:c>
      <x:c r="U58" s="24" t="str">
        <x:v>No standalone redistribution; no real-brand derivatives</x:v>
      </x:c>
      <x:c r="V58" s="24" t="str">
        <x:v>CONDITIONALLY APPROVED</x:v>
      </x:c>
      <x:c r="W58" s="24" t="str">
        <x:v>Imported/representative</x:v>
      </x:c>
      <x:c r="X58" s="24" t="str">
        <x:v>Internal builds; H6 after audit</x:v>
      </x:c>
      <x:c r="Y58" s="24" t="str">
        <x:v>Low</x:v>
      </x:c>
      <x:c r="Z58" s="24" t="str">
        <x:v>VRM Games</x:v>
      </x:c>
      <x:c r="AA58" s="24" t="str">
        <x:v>La autoría interna debe respaldarse por archivos fuente, historial o registro de creación cuando sea posible.</x:v>
      </x:c>
    </x:row>
    <x:row r="59" ht="34" customHeight="1">
      <x:c r="A59" s="24" t="str">
        <x:v>MOD-055</x:v>
      </x:c>
      <x:c r="B59" s="24" t="str">
        <x:v>5462512357d03424f9609d9617697c19</x:v>
      </x:c>
      <x:c r="C59" s="24" t="str">
        <x:v>CC_S16_P2_Product_MemoryCore_LOD0.fbx</x:v>
      </x:c>
      <x:c r="D59" s="24" t="str">
        <x:v>Products</x:v>
      </x:c>
      <x:c r="E59" s="24" t="str">
        <x:v>3D model</x:v>
      </x:c>
      <x:c r="F59" s="24" t="str">
        <x:v>VRM Games / Blender kit workflow</x:v>
      </x:c>
      <x:c r="G59" s="24" t="str">
        <x:v>VRM Games / Blas Luis Rocha González</x:v>
      </x:c>
      <x:c r="H59" s="24" t="str">
        <x:v>Internal</x:v>
      </x:c>
      <x:c r="I59" s="24" t="str">
        <x:v>Internal Blender/modeling pipeline</x:v>
      </x:c>
      <x:c r="J59" s="24" t="str">
        <x:v>Sprint 16 / prior kit production</x:v>
      </x:c>
      <x:c r="K59" s="24" t="str">
        <x:v>Internal project IP / authorship claim</x:v>
      </x:c>
      <x:c r="L59" s="24" t="str">
        <x:v>N/A</x:v>
      </x:c>
      <x:c r="M59" s="24" t="str">
        <x:v>Assets.zip + model path/hash + art records</x:v>
      </x:c>
      <x:c r="N59" s="24" t="str">
        <x:v>a3a3aba6ad7b1f24843416ad9bb283d80355d1bbe2ccbad15621bbbf038a00e5</x:v>
      </x:c>
      <x:c r="O59" s="24" t="str">
        <x:v>Assets/_Project/Art/Models/Products/CC_S16_P2_Product_MemoryCore_LOD0.fbx</x:v>
      </x:c>
      <x:c r="P59" s="24" t="str">
        <x:v>5462512357d03424f9609d9617697c19</x:v>
      </x:c>
      <x:c r="Q59" s="24" t="str">
        <x:v>Sí</x:v>
      </x:c>
      <x:c r="R59" s="24" t="str">
        <x:v>Conditional on final provenance confirmation</x:v>
      </x:c>
      <x:c r="S59" s="24" t="str">
        <x:v>Only as part of authorized game/build</x:v>
      </x:c>
      <x:c r="T59" s="24" t="str">
        <x:v>General project/studio credits</x:v>
      </x:c>
      <x:c r="U59" s="24" t="str">
        <x:v>No standalone redistribution; no real-brand derivatives</x:v>
      </x:c>
      <x:c r="V59" s="24" t="str">
        <x:v>CONDITIONALLY APPROVED</x:v>
      </x:c>
      <x:c r="W59" s="24" t="str">
        <x:v>Imported/representative</x:v>
      </x:c>
      <x:c r="X59" s="24" t="str">
        <x:v>Internal builds; H6 after audit</x:v>
      </x:c>
      <x:c r="Y59" s="24" t="str">
        <x:v>Low</x:v>
      </x:c>
      <x:c r="Z59" s="24" t="str">
        <x:v>VRM Games</x:v>
      </x:c>
      <x:c r="AA59" s="24" t="str">
        <x:v>La autoría interna debe respaldarse por archivos fuente, historial o registro de creación cuando sea posible.</x:v>
      </x:c>
    </x:row>
    <x:row r="60" ht="34" customHeight="1">
      <x:c r="A60" s="24" t="str">
        <x:v>MOD-056</x:v>
      </x:c>
      <x:c r="B60" s="24" t="str">
        <x:v>cd575d7e9f65a2f4ebe585507d455523</x:v>
      </x:c>
      <x:c r="C60" s="24" t="str">
        <x:v>CC_S16_P2_Product_NeonDrift_LOD0.fbx</x:v>
      </x:c>
      <x:c r="D60" s="24" t="str">
        <x:v>Products</x:v>
      </x:c>
      <x:c r="E60" s="24" t="str">
        <x:v>3D model</x:v>
      </x:c>
      <x:c r="F60" s="24" t="str">
        <x:v>VRM Games / Blender kit workflow</x:v>
      </x:c>
      <x:c r="G60" s="24" t="str">
        <x:v>VRM Games / Blas Luis Rocha González</x:v>
      </x:c>
      <x:c r="H60" s="24" t="str">
        <x:v>Internal</x:v>
      </x:c>
      <x:c r="I60" s="24" t="str">
        <x:v>Internal Blender/modeling pipeline</x:v>
      </x:c>
      <x:c r="J60" s="24" t="str">
        <x:v>Sprint 16 / prior kit production</x:v>
      </x:c>
      <x:c r="K60" s="24" t="str">
        <x:v>Internal project IP / authorship claim</x:v>
      </x:c>
      <x:c r="L60" s="24" t="str">
        <x:v>N/A</x:v>
      </x:c>
      <x:c r="M60" s="24" t="str">
        <x:v>Assets.zip + model path/hash + art records</x:v>
      </x:c>
      <x:c r="N60" s="24" t="str">
        <x:v>078321464844e67de1c27b11992ad3bd965f6cb3b3999ca89a5354d5e35d67da</x:v>
      </x:c>
      <x:c r="O60" s="24" t="str">
        <x:v>Assets/_Project/Art/Models/Products/CC_S16_P2_Product_NeonDrift_LOD0.fbx</x:v>
      </x:c>
      <x:c r="P60" s="24" t="str">
        <x:v>cd575d7e9f65a2f4ebe585507d455523</x:v>
      </x:c>
      <x:c r="Q60" s="24" t="str">
        <x:v>Sí</x:v>
      </x:c>
      <x:c r="R60" s="24" t="str">
        <x:v>Conditional on final provenance confirmation</x:v>
      </x:c>
      <x:c r="S60" s="24" t="str">
        <x:v>Only as part of authorized game/build</x:v>
      </x:c>
      <x:c r="T60" s="24" t="str">
        <x:v>General project/studio credits</x:v>
      </x:c>
      <x:c r="U60" s="24" t="str">
        <x:v>No standalone redistribution; no real-brand derivatives</x:v>
      </x:c>
      <x:c r="V60" s="24" t="str">
        <x:v>CONDITIONALLY APPROVED</x:v>
      </x:c>
      <x:c r="W60" s="24" t="str">
        <x:v>Imported/representative</x:v>
      </x:c>
      <x:c r="X60" s="24" t="str">
        <x:v>Internal builds; H6 after audit</x:v>
      </x:c>
      <x:c r="Y60" s="24" t="str">
        <x:v>Low</x:v>
      </x:c>
      <x:c r="Z60" s="24" t="str">
        <x:v>VRM Games</x:v>
      </x:c>
      <x:c r="AA60" s="24" t="str">
        <x:v>La autoría interna debe respaldarse por archivos fuente, historial o registro de creación cuando sea posible.</x:v>
      </x:c>
    </x:row>
    <x:row r="61" ht="34" customHeight="1">
      <x:c r="A61" s="24" t="str">
        <x:v>MOD-057</x:v>
      </x:c>
      <x:c r="B61" s="24" t="str">
        <x:v>0ae1338aaae756b458789c7ad0287d78</x:v>
      </x:c>
      <x:c r="C61" s="24" t="str">
        <x:v>CC_S16_P2_Product_OrbitPad_Box_LOD0.fbx</x:v>
      </x:c>
      <x:c r="D61" s="24" t="str">
        <x:v>Products</x:v>
      </x:c>
      <x:c r="E61" s="24" t="str">
        <x:v>3D model</x:v>
      </x:c>
      <x:c r="F61" s="24" t="str">
        <x:v>VRM Games / Blender kit workflow</x:v>
      </x:c>
      <x:c r="G61" s="24" t="str">
        <x:v>VRM Games / Blas Luis Rocha González</x:v>
      </x:c>
      <x:c r="H61" s="24" t="str">
        <x:v>Internal</x:v>
      </x:c>
      <x:c r="I61" s="24" t="str">
        <x:v>Internal Blender/modeling pipeline</x:v>
      </x:c>
      <x:c r="J61" s="24" t="str">
        <x:v>Sprint 16 / prior kit production</x:v>
      </x:c>
      <x:c r="K61" s="24" t="str">
        <x:v>Internal project IP / authorship claim</x:v>
      </x:c>
      <x:c r="L61" s="24" t="str">
        <x:v>N/A</x:v>
      </x:c>
      <x:c r="M61" s="24" t="str">
        <x:v>Assets.zip + model path/hash + art records</x:v>
      </x:c>
      <x:c r="N61" s="24" t="str">
        <x:v>049a2b8b79f5dde49b66ea0ae0ffbc9fe46e4ab1a7ea379162388289ebadd1c5</x:v>
      </x:c>
      <x:c r="O61" s="24" t="str">
        <x:v>Assets/_Project/Art/Models/Products/CC_S16_P2_Product_OrbitPad_Box_LOD0.fbx</x:v>
      </x:c>
      <x:c r="P61" s="24" t="str">
        <x:v>0ae1338aaae756b458789c7ad0287d78</x:v>
      </x:c>
      <x:c r="Q61" s="24" t="str">
        <x:v>Sí</x:v>
      </x:c>
      <x:c r="R61" s="24" t="str">
        <x:v>Conditional on final provenance confirmation</x:v>
      </x:c>
      <x:c r="S61" s="24" t="str">
        <x:v>Only as part of authorized game/build</x:v>
      </x:c>
      <x:c r="T61" s="24" t="str">
        <x:v>General project/studio credits</x:v>
      </x:c>
      <x:c r="U61" s="24" t="str">
        <x:v>No standalone redistribution; no real-brand derivatives</x:v>
      </x:c>
      <x:c r="V61" s="24" t="str">
        <x:v>CONDITIONALLY APPROVED</x:v>
      </x:c>
      <x:c r="W61" s="24" t="str">
        <x:v>Imported/representative</x:v>
      </x:c>
      <x:c r="X61" s="24" t="str">
        <x:v>Internal builds; H6 after audit</x:v>
      </x:c>
      <x:c r="Y61" s="24" t="str">
        <x:v>Low</x:v>
      </x:c>
      <x:c r="Z61" s="24" t="str">
        <x:v>VRM Games</x:v>
      </x:c>
      <x:c r="AA61" s="24" t="str">
        <x:v>La autoría interna debe respaldarse por archivos fuente, historial o registro de creación cuando sea posible.</x:v>
      </x:c>
    </x:row>
    <x:row r="62" ht="34" customHeight="1">
      <x:c r="A62" s="24" t="str">
        <x:v>MOD-058</x:v>
      </x:c>
      <x:c r="B62" s="24" t="str">
        <x:v>5fd66b34d59bcdc409a5134b16c8683d</x:v>
      </x:c>
      <x:c r="C62" s="24" t="str">
        <x:v>CC_S16_P2_Product_OrbitPad_LOD0.fbx</x:v>
      </x:c>
      <x:c r="D62" s="24" t="str">
        <x:v>Products</x:v>
      </x:c>
      <x:c r="E62" s="24" t="str">
        <x:v>3D model</x:v>
      </x:c>
      <x:c r="F62" s="24" t="str">
        <x:v>VRM Games / Blender kit workflow</x:v>
      </x:c>
      <x:c r="G62" s="24" t="str">
        <x:v>VRM Games / Blas Luis Rocha González</x:v>
      </x:c>
      <x:c r="H62" s="24" t="str">
        <x:v>Internal</x:v>
      </x:c>
      <x:c r="I62" s="24" t="str">
        <x:v>Internal Blender/modeling pipeline</x:v>
      </x:c>
      <x:c r="J62" s="24" t="str">
        <x:v>Sprint 16 / prior kit production</x:v>
      </x:c>
      <x:c r="K62" s="24" t="str">
        <x:v>Internal project IP / authorship claim</x:v>
      </x:c>
      <x:c r="L62" s="24" t="str">
        <x:v>N/A</x:v>
      </x:c>
      <x:c r="M62" s="24" t="str">
        <x:v>Assets.zip + model path/hash + art records</x:v>
      </x:c>
      <x:c r="N62" s="24" t="str">
        <x:v>3823f056c1776a380ae543e1d914a55d2d3b6090c16f7edbae7ba1a65fb33f67</x:v>
      </x:c>
      <x:c r="O62" s="24" t="str">
        <x:v>Assets/_Project/Art/Models/Products/CC_S16_P2_Product_OrbitPad_LOD0.fbx</x:v>
      </x:c>
      <x:c r="P62" s="24" t="str">
        <x:v>5fd66b34d59bcdc409a5134b16c8683d</x:v>
      </x:c>
      <x:c r="Q62" s="24" t="str">
        <x:v>Sí</x:v>
      </x:c>
      <x:c r="R62" s="24" t="str">
        <x:v>Conditional on final provenance confirmation</x:v>
      </x:c>
      <x:c r="S62" s="24" t="str">
        <x:v>Only as part of authorized game/build</x:v>
      </x:c>
      <x:c r="T62" s="24" t="str">
        <x:v>General project/studio credits</x:v>
      </x:c>
      <x:c r="U62" s="24" t="str">
        <x:v>No standalone redistribution; no real-brand derivatives</x:v>
      </x:c>
      <x:c r="V62" s="24" t="str">
        <x:v>CONDITIONALLY APPROVED</x:v>
      </x:c>
      <x:c r="W62" s="24" t="str">
        <x:v>Imported/representative</x:v>
      </x:c>
      <x:c r="X62" s="24" t="str">
        <x:v>Internal builds; H6 after audit</x:v>
      </x:c>
      <x:c r="Y62" s="24" t="str">
        <x:v>Low</x:v>
      </x:c>
      <x:c r="Z62" s="24" t="str">
        <x:v>VRM Games</x:v>
      </x:c>
      <x:c r="AA62" s="24" t="str">
        <x:v>La autoría interna debe respaldarse por archivos fuente, historial o registro de creación cuando sea posible.</x:v>
      </x:c>
    </x:row>
    <x:row r="63" ht="34" customHeight="1">
      <x:c r="A63" s="24" t="str">
        <x:v>MOD-059</x:v>
      </x:c>
      <x:c r="B63" s="24" t="str">
        <x:v>d3231e93f43119d40b47ac8fb7b78251</x:v>
      </x:c>
      <x:c r="C63" s="24" t="str">
        <x:v>CC_S16_P2_Product_SignalProHeadset_LOD0.fbx</x:v>
      </x:c>
      <x:c r="D63" s="24" t="str">
        <x:v>Products</x:v>
      </x:c>
      <x:c r="E63" s="24" t="str">
        <x:v>3D model</x:v>
      </x:c>
      <x:c r="F63" s="24" t="str">
        <x:v>VRM Games / Blender kit workflow</x:v>
      </x:c>
      <x:c r="G63" s="24" t="str">
        <x:v>VRM Games / Blas Luis Rocha González</x:v>
      </x:c>
      <x:c r="H63" s="24" t="str">
        <x:v>Internal</x:v>
      </x:c>
      <x:c r="I63" s="24" t="str">
        <x:v>Internal Blender/modeling pipeline</x:v>
      </x:c>
      <x:c r="J63" s="24" t="str">
        <x:v>Sprint 16 / prior kit production</x:v>
      </x:c>
      <x:c r="K63" s="24" t="str">
        <x:v>Internal project IP / authorship claim</x:v>
      </x:c>
      <x:c r="L63" s="24" t="str">
        <x:v>N/A</x:v>
      </x:c>
      <x:c r="M63" s="24" t="str">
        <x:v>Assets.zip + model path/hash + art records</x:v>
      </x:c>
      <x:c r="N63" s="24" t="str">
        <x:v>67ca2bdfd58becd8724fcfd276f148abd089d6059fb4f8b234084413d0c11c6e</x:v>
      </x:c>
      <x:c r="O63" s="24" t="str">
        <x:v>Assets/_Project/Art/Models/Products/CC_S16_P2_Product_SignalProHeadset_LOD0.fbx</x:v>
      </x:c>
      <x:c r="P63" s="24" t="str">
        <x:v>d3231e93f43119d40b47ac8fb7b78251</x:v>
      </x:c>
      <x:c r="Q63" s="24" t="str">
        <x:v>Sí</x:v>
      </x:c>
      <x:c r="R63" s="24" t="str">
        <x:v>Conditional on final provenance confirmation</x:v>
      </x:c>
      <x:c r="S63" s="24" t="str">
        <x:v>Only as part of authorized game/build</x:v>
      </x:c>
      <x:c r="T63" s="24" t="str">
        <x:v>General project/studio credits</x:v>
      </x:c>
      <x:c r="U63" s="24" t="str">
        <x:v>No standalone redistribution; no real-brand derivatives</x:v>
      </x:c>
      <x:c r="V63" s="24" t="str">
        <x:v>CONDITIONALLY APPROVED</x:v>
      </x:c>
      <x:c r="W63" s="24" t="str">
        <x:v>Imported/representative</x:v>
      </x:c>
      <x:c r="X63" s="24" t="str">
        <x:v>Internal builds; H6 after audit</x:v>
      </x:c>
      <x:c r="Y63" s="24" t="str">
        <x:v>Low</x:v>
      </x:c>
      <x:c r="Z63" s="24" t="str">
        <x:v>VRM Games</x:v>
      </x:c>
      <x:c r="AA63" s="24" t="str">
        <x:v>La autoría interna debe respaldarse por archivos fuente, historial o registro de creación cuando sea posible.</x:v>
      </x:c>
    </x:row>
    <x:row r="64" ht="34" customHeight="1">
      <x:c r="A64" s="24" t="str">
        <x:v>MOD-060</x:v>
      </x:c>
      <x:c r="B64" s="24" t="str">
        <x:v>9c5f88fa3f3bfc14dae291700dea108a</x:v>
      </x:c>
      <x:c r="C64" s="24" t="str">
        <x:v>CC_S16_P2_Product_SignalPro_Box_LOD0.fbx</x:v>
      </x:c>
      <x:c r="D64" s="24" t="str">
        <x:v>Products</x:v>
      </x:c>
      <x:c r="E64" s="24" t="str">
        <x:v>3D model</x:v>
      </x:c>
      <x:c r="F64" s="24" t="str">
        <x:v>VRM Games / Blender kit workflow</x:v>
      </x:c>
      <x:c r="G64" s="24" t="str">
        <x:v>VRM Games / Blas Luis Rocha González</x:v>
      </x:c>
      <x:c r="H64" s="24" t="str">
        <x:v>Internal</x:v>
      </x:c>
      <x:c r="I64" s="24" t="str">
        <x:v>Internal Blender/modeling pipeline</x:v>
      </x:c>
      <x:c r="J64" s="24" t="str">
        <x:v>Sprint 16 / prior kit production</x:v>
      </x:c>
      <x:c r="K64" s="24" t="str">
        <x:v>Internal project IP / authorship claim</x:v>
      </x:c>
      <x:c r="L64" s="24" t="str">
        <x:v>N/A</x:v>
      </x:c>
      <x:c r="M64" s="24" t="str">
        <x:v>Assets.zip + model path/hash + art records</x:v>
      </x:c>
      <x:c r="N64" s="24" t="str">
        <x:v>7ab8f088e6f50fe7bd89ec8a980ff4aea71408cd47b51606b1aa2798d7ca780e</x:v>
      </x:c>
      <x:c r="O64" s="24" t="str">
        <x:v>Assets/_Project/Art/Models/Products/CC_S16_P2_Product_SignalPro_Box_LOD0.fbx</x:v>
      </x:c>
      <x:c r="P64" s="24" t="str">
        <x:v>9c5f88fa3f3bfc14dae291700dea108a</x:v>
      </x:c>
      <x:c r="Q64" s="24" t="str">
        <x:v>Sí</x:v>
      </x:c>
      <x:c r="R64" s="24" t="str">
        <x:v>Conditional on final provenance confirmation</x:v>
      </x:c>
      <x:c r="S64" s="24" t="str">
        <x:v>Only as part of authorized game/build</x:v>
      </x:c>
      <x:c r="T64" s="24" t="str">
        <x:v>General project/studio credits</x:v>
      </x:c>
      <x:c r="U64" s="24" t="str">
        <x:v>No standalone redistribution; no real-brand derivatives</x:v>
      </x:c>
      <x:c r="V64" s="24" t="str">
        <x:v>CONDITIONALLY APPROVED</x:v>
      </x:c>
      <x:c r="W64" s="24" t="str">
        <x:v>Imported/representative</x:v>
      </x:c>
      <x:c r="X64" s="24" t="str">
        <x:v>Internal builds; H6 after audit</x:v>
      </x:c>
      <x:c r="Y64" s="24" t="str">
        <x:v>Low</x:v>
      </x:c>
      <x:c r="Z64" s="24" t="str">
        <x:v>VRM Games</x:v>
      </x:c>
      <x:c r="AA64" s="24" t="str">
        <x:v>La autoría interna debe respaldarse por archivos fuente, historial o registro de creación cuando sea posible.</x:v>
      </x:c>
    </x:row>
    <x:row r="65" ht="34" customHeight="1">
      <x:c r="A65" s="24" t="str">
        <x:v>MOD-061</x:v>
      </x:c>
      <x:c r="B65" s="24" t="str">
        <x:v>f9d4cf6bb7e802d4e94e31cbce40ba82</x:v>
      </x:c>
      <x:c r="C65" s="24" t="str">
        <x:v>CC_S16_P2_Product_VertexOneConsole_LOD0.fbx</x:v>
      </x:c>
      <x:c r="D65" s="24" t="str">
        <x:v>Products</x:v>
      </x:c>
      <x:c r="E65" s="24" t="str">
        <x:v>3D model</x:v>
      </x:c>
      <x:c r="F65" s="24" t="str">
        <x:v>VRM Games / Blender kit workflow</x:v>
      </x:c>
      <x:c r="G65" s="24" t="str">
        <x:v>VRM Games / Blas Luis Rocha González</x:v>
      </x:c>
      <x:c r="H65" s="24" t="str">
        <x:v>Internal</x:v>
      </x:c>
      <x:c r="I65" s="24" t="str">
        <x:v>Internal Blender/modeling pipeline</x:v>
      </x:c>
      <x:c r="J65" s="24" t="str">
        <x:v>Sprint 16 / prior kit production</x:v>
      </x:c>
      <x:c r="K65" s="24" t="str">
        <x:v>Internal project IP / authorship claim</x:v>
      </x:c>
      <x:c r="L65" s="24" t="str">
        <x:v>N/A</x:v>
      </x:c>
      <x:c r="M65" s="24" t="str">
        <x:v>Assets.zip + model path/hash + art records</x:v>
      </x:c>
      <x:c r="N65" s="24" t="str">
        <x:v>1d5fe536e805e0900aa45bfff348625d297657671927efcc9edda05fb722a268</x:v>
      </x:c>
      <x:c r="O65" s="24" t="str">
        <x:v>Assets/_Project/Art/Models/Products/CC_S16_P2_Product_VertexOneConsole_LOD0.fbx</x:v>
      </x:c>
      <x:c r="P65" s="24" t="str">
        <x:v>f9d4cf6bb7e802d4e94e31cbce40ba82</x:v>
      </x:c>
      <x:c r="Q65" s="24" t="str">
        <x:v>Sí</x:v>
      </x:c>
      <x:c r="R65" s="24" t="str">
        <x:v>Conditional on final provenance confirmation</x:v>
      </x:c>
      <x:c r="S65" s="24" t="str">
        <x:v>Only as part of authorized game/build</x:v>
      </x:c>
      <x:c r="T65" s="24" t="str">
        <x:v>General project/studio credits</x:v>
      </x:c>
      <x:c r="U65" s="24" t="str">
        <x:v>No standalone redistribution; no real-brand derivatives</x:v>
      </x:c>
      <x:c r="V65" s="24" t="str">
        <x:v>CONDITIONALLY APPROVED</x:v>
      </x:c>
      <x:c r="W65" s="24" t="str">
        <x:v>Imported/representative</x:v>
      </x:c>
      <x:c r="X65" s="24" t="str">
        <x:v>Internal builds; H6 after audit</x:v>
      </x:c>
      <x:c r="Y65" s="24" t="str">
        <x:v>Low</x:v>
      </x:c>
      <x:c r="Z65" s="24" t="str">
        <x:v>VRM Games</x:v>
      </x:c>
      <x:c r="AA65" s="24" t="str">
        <x:v>La autoría interna debe respaldarse por archivos fuente, historial o registro de creación cuando sea posible.</x:v>
      </x:c>
    </x:row>
    <x:row r="66" ht="34" customHeight="1">
      <x:c r="A66" s="24" t="str">
        <x:v>MOD-062</x:v>
      </x:c>
      <x:c r="B66" s="24" t="str">
        <x:v>967d692d9cc65d343b6533abb59e1b22</x:v>
      </x:c>
      <x:c r="C66" s="24" t="str">
        <x:v>CC_S16_P2_Product_VertexOne_Box_LOD0.fbx</x:v>
      </x:c>
      <x:c r="D66" s="24" t="str">
        <x:v>Products</x:v>
      </x:c>
      <x:c r="E66" s="24" t="str">
        <x:v>3D model</x:v>
      </x:c>
      <x:c r="F66" s="24" t="str">
        <x:v>VRM Games / Blender kit workflow</x:v>
      </x:c>
      <x:c r="G66" s="24" t="str">
        <x:v>VRM Games / Blas Luis Rocha González</x:v>
      </x:c>
      <x:c r="H66" s="24" t="str">
        <x:v>Internal</x:v>
      </x:c>
      <x:c r="I66" s="24" t="str">
        <x:v>Internal Blender/modeling pipeline</x:v>
      </x:c>
      <x:c r="J66" s="24" t="str">
        <x:v>Sprint 16 / prior kit production</x:v>
      </x:c>
      <x:c r="K66" s="24" t="str">
        <x:v>Internal project IP / authorship claim</x:v>
      </x:c>
      <x:c r="L66" s="24" t="str">
        <x:v>N/A</x:v>
      </x:c>
      <x:c r="M66" s="24" t="str">
        <x:v>Assets.zip + model path/hash + art records</x:v>
      </x:c>
      <x:c r="N66" s="24" t="str">
        <x:v>2c1a74761dd91a91d908f8776d33efb7538ed264008ffe1d3933440850f477bf</x:v>
      </x:c>
      <x:c r="O66" s="24" t="str">
        <x:v>Assets/_Project/Art/Models/Products/CC_S16_P2_Product_VertexOne_Box_LOD0.fbx</x:v>
      </x:c>
      <x:c r="P66" s="24" t="str">
        <x:v>967d692d9cc65d343b6533abb59e1b22</x:v>
      </x:c>
      <x:c r="Q66" s="24" t="str">
        <x:v>Sí</x:v>
      </x:c>
      <x:c r="R66" s="24" t="str">
        <x:v>Conditional on final provenance confirmation</x:v>
      </x:c>
      <x:c r="S66" s="24" t="str">
        <x:v>Only as part of authorized game/build</x:v>
      </x:c>
      <x:c r="T66" s="24" t="str">
        <x:v>General project/studio credits</x:v>
      </x:c>
      <x:c r="U66" s="24" t="str">
        <x:v>No standalone redistribution; no real-brand derivatives</x:v>
      </x:c>
      <x:c r="V66" s="24" t="str">
        <x:v>CONDITIONALLY APPROVED</x:v>
      </x:c>
      <x:c r="W66" s="24" t="str">
        <x:v>Imported/representative</x:v>
      </x:c>
      <x:c r="X66" s="24" t="str">
        <x:v>Internal builds; H6 after audit</x:v>
      </x:c>
      <x:c r="Y66" s="24" t="str">
        <x:v>Low</x:v>
      </x:c>
      <x:c r="Z66" s="24" t="str">
        <x:v>VRM Games</x:v>
      </x:c>
      <x:c r="AA66" s="24" t="str">
        <x:v>La autoría interna debe respaldarse por archivos fuente, historial o registro de creación cuando sea posible.</x:v>
      </x:c>
    </x:row>
  </x:sheetData>
  <x:mergeCells>
    <x:mergeCell ref="A1:AA1"/>
    <x:mergeCell ref="A2:AA2"/>
  </x:mergeCells>
  <x:conditionalFormatting sqref="V5:V66">
    <x:cfRule type="expression" dxfId="32" priority="1">
      <x:formula>OR(ISNUMBER(SEARCH("APPROVED",V5)),ISNUMBER(SEARCH("READY",V5)),ISNUMBER(SEARCH("ACTIVE",V5)),ISNUMBER(SEARCH("VERIFIED",V5)))</x:formula>
    </x:cfRule>
    <x:cfRule type="expression" dxfId="33" priority="2">
      <x:formula>OR(ISNUMBER(SEARCH("BLOCK",V5)),ISNUMBER(SEARCH("PROHIBITED",V5)),ISNUMBER(SEARCH("CRITICAL",V5)),ISNUMBER(SEARCH("MISSING",V5)))</x:formula>
    </x:cfRule>
    <x:cfRule type="expression" dxfId="34" priority="3">
      <x:formula>OR(ISNUMBER(SEARCH("PENDING",V5)),ISNUMBER(SEARCH("PARTIAL",V5)),ISNUMBER(SEARCH("REVIEW",V5)),ISNUMBER(SEARCH("CONDITIONAL",V5)))</x:formula>
    </x:cfRule>
    <x:cfRule type="expression" dxfId="35" priority="4">
      <x:formula>OR(ISNUMBER(SEARCH("HISTORICAL",V5)),ISNUMBER(SEARCH("VISION",V5)),ISNUMBER(SEARCH("OPTIONAL",V5)))</x:formula>
    </x:cfRule>
  </x:conditionalFormatting>
  <x:conditionalFormatting sqref="Y5:Y66">
    <x:cfRule type="expression" dxfId="36" priority="5">
      <x:formula>OR(ISNUMBER(SEARCH("APPROVED",Y5)),ISNUMBER(SEARCH("READY",Y5)),ISNUMBER(SEARCH("ACTIVE",Y5)),ISNUMBER(SEARCH("VERIFIED",Y5)))</x:formula>
    </x:cfRule>
    <x:cfRule type="expression" dxfId="37" priority="6">
      <x:formula>OR(ISNUMBER(SEARCH("BLOCK",Y5)),ISNUMBER(SEARCH("PROHIBITED",Y5)),ISNUMBER(SEARCH("CRITICAL",Y5)),ISNUMBER(SEARCH("MISSING",Y5)))</x:formula>
    </x:cfRule>
    <x:cfRule type="expression" dxfId="38" priority="7">
      <x:formula>OR(ISNUMBER(SEARCH("PENDING",Y5)),ISNUMBER(SEARCH("PARTIAL",Y5)),ISNUMBER(SEARCH("REVIEW",Y5)),ISNUMBER(SEARCH("CONDITIONAL",Y5)))</x:formula>
    </x:cfRule>
    <x:cfRule type="expression" dxfId="39" priority="8">
      <x:formula>OR(ISNUMBER(SEARCH("HISTORICAL",Y5)),ISNUMBER(SEARCH("VISION",Y5)),ISNUMBER(SEARCH("OPTIONAL",Y5)))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80856f1e2040a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6" hidden="0" customWidth="1"/>
    <x:col min="4" max="4" width="18" hidden="0" customWidth="1"/>
    <x:col min="5" max="5" width="22" hidden="0" customWidth="1"/>
    <x:col min="6" max="6" width="34" hidden="0" customWidth="1"/>
    <x:col min="7" max="7" width="34" hidden="0" customWidth="1"/>
    <x:col min="8" max="8" width="28" hidden="0" customWidth="1"/>
    <x:col min="9" max="9" width="32" hidden="0" customWidth="1"/>
    <x:col min="10" max="10" width="48" hidden="0" customWidth="1"/>
    <x:col min="11" max="11" width="68" hidden="0" customWidth="1"/>
    <x:col min="12" max="12" width="72" hidden="0" customWidth="1"/>
    <x:col min="13" max="13" width="36" hidden="0" customWidth="1"/>
    <x:col min="14" max="14" width="16" hidden="0" customWidth="1"/>
    <x:col min="15" max="15" width="24" hidden="0" customWidth="1"/>
    <x:col min="16" max="16" width="30" hidden="0" customWidth="1"/>
    <x:col min="17" max="17" width="34" hidden="0" customWidth="1"/>
    <x:col min="18" max="18" width="30" hidden="0" customWidth="1"/>
    <x:col min="19" max="19" width="28" hidden="0" customWidth="1"/>
    <x:col min="20" max="20" width="18" hidden="0" customWidth="1"/>
    <x:col min="21" max="21" width="24" hidden="0" customWidth="1"/>
    <x:col min="22" max="22" width="18" hidden="0" customWidth="1"/>
    <x:col min="23" max="23" width="55" hidden="0" customWidth="1"/>
  </x:cols>
  <x:sheetData>
    <x:row r="1" ht="30" customHeight="1">
      <x:c r="A1" s="4" t="str">
        <x:v>Texturas, iconos y materiales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22" customHeight="1">
      <x:c r="A2" s="10" t="str">
        <x:v>Procedencia, licencia y estado de 52 materiales y 12 texturas.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</x:row>
    <x:row r="4" ht="38" customHeight="1">
      <x:c r="A4" s="17" t="str">
        <x:v>License Record ID</x:v>
      </x:c>
      <x:c r="B4" s="17" t="str">
        <x:v>Asset ID</x:v>
      </x:c>
      <x:c r="C4" s="17" t="str">
        <x:v>Nombre</x:v>
      </x:c>
      <x:c r="D4" s="17" t="str">
        <x:v>Tipo</x:v>
      </x:c>
      <x:c r="E4" s="17" t="str">
        <x:v>Familia</x:v>
      </x:c>
      <x:c r="F4" s="17" t="str">
        <x:v>Autor</x:v>
      </x:c>
      <x:c r="G4" s="17" t="str">
        <x:v>Propietario</x:v>
      </x:c>
      <x:c r="H4" s="17" t="str">
        <x:v>Origen</x:v>
      </x:c>
      <x:c r="I4" s="17" t="str">
        <x:v>Licencia</x:v>
      </x:c>
      <x:c r="J4" s="17" t="str">
        <x:v>Prueba documental</x:v>
      </x:c>
      <x:c r="K4" s="17" t="str">
        <x:v>SHA-256</x:v>
      </x:c>
      <x:c r="L4" s="17" t="str">
        <x:v>Ruta</x:v>
      </x:c>
      <x:c r="M4" s="17" t="str">
        <x:v>GUID</x:v>
      </x:c>
      <x:c r="N4" s="17" t="str">
        <x:v>Modificación permitida</x:v>
      </x:c>
      <x:c r="O4" s="17" t="str">
        <x:v>Uso comercial permitido</x:v>
      </x:c>
      <x:c r="P4" s="17" t="str">
        <x:v>Redistribución permitida</x:v>
      </x:c>
      <x:c r="Q4" s="17" t="str">
        <x:v>Atribución requerida</x:v>
      </x:c>
      <x:c r="R4" s="17" t="str">
        <x:v>Restricciones</x:v>
      </x:c>
      <x:c r="S4" s="17" t="str">
        <x:v>Estado legal</x:v>
      </x:c>
      <x:c r="T4" s="17" t="str">
        <x:v>Estado de integración</x:v>
      </x:c>
      <x:c r="U4" s="17" t="str">
        <x:v>Builds autorizadas</x:v>
      </x:c>
      <x:c r="V4" s="17" t="str">
        <x:v>Riesgo</x:v>
      </x:c>
      <x:c r="W4" s="17" t="str">
        <x:v>Owner</x:v>
      </x:c>
      <x:c r="X4" s="17" t="str">
        <x:v>Notas</x:v>
      </x:c>
    </x:row>
    <x:row r="5" ht="34" customHeight="1">
      <x:c r="A5" s="24" t="str">
        <x:v>MTX-001</x:v>
      </x:c>
      <x:c r="B5" s="24" t="str">
        <x:v>35787df586ad5129d27061d5e7aeea65</x:v>
      </x:c>
      <x:c r="C5" s="24" t="str">
        <x:v>ShellFloor.mat</x:v>
      </x:c>
      <x:c r="D5" s="24" t="str">
        <x:v>Material</x:v>
      </x:c>
      <x:c r="E5" s="24" t="str">
        <x:v>Materials</x:v>
      </x:c>
      <x:c r="F5" s="24" t="str">
        <x:v>VRM Games / internal pipeline</x:v>
      </x:c>
      <x:c r="G5" s="24" t="str">
        <x:v>VRM Games / Blas Luis Rocha González</x:v>
      </x:c>
      <x:c r="H5" s="24" t="str">
        <x:v>Internal project asset</x:v>
      </x:c>
      <x:c r="I5" s="24" t="str">
        <x:v>Internal project IP / authorship claim</x:v>
      </x:c>
      <x:c r="J5" s="24" t="str">
        <x:v>Assets.zip + path/hash</x:v>
      </x:c>
      <x:c r="K5" s="24" t="str">
        <x:v>d0fe951273c5c9fb2e86912599c1a29a78d2d76213e369533cd99d740537ef03</x:v>
      </x:c>
      <x:c r="L5" s="24" t="str">
        <x:v>Assets/_Project/Art/Materials/Architecture/ShellFloor.mat</x:v>
      </x:c>
      <x:c r="M5" s="24" t="str">
        <x:v>35787df586ad5129d27061d5e7aeea65</x:v>
      </x:c>
      <x:c r="N5" s="24" t="str">
        <x:v>Sí</x:v>
      </x:c>
      <x:c r="O5" s="24" t="str">
        <x:v>Conditional on final provenance confirmation</x:v>
      </x:c>
      <x:c r="P5" s="24" t="str">
        <x:v>Only embedded in authorized build</x:v>
      </x:c>
      <x:c r="Q5" s="24" t="str">
        <x:v>General studio/art credits</x:v>
      </x:c>
      <x:c r="R5" s="24" t="str">
        <x:v>No standalone redistribution; avoid third-party logos/trade dress</x:v>
      </x:c>
      <x:c r="S5" s="24" t="str">
        <x:v>CONDITIONALLY APPROVED</x:v>
      </x:c>
      <x:c r="T5" s="24" t="str">
        <x:v>Imported</x:v>
      </x:c>
      <x:c r="U5" s="24" t="str">
        <x:v>Internal; H6 after visual/legal audit</x:v>
      </x:c>
      <x:c r="V5" s="24" t="str">
        <x:v>Low</x:v>
      </x:c>
      <x:c r="W5" s="24" t="str">
        <x:v>VRM Games</x:v>
      </x:c>
      <x:c r="X5" s="24" t="str">
        <x:v>Los materiales sin texturas externas aparentes siguen requiriendo confirmación de origen por lote.</x:v>
      </x:c>
    </x:row>
    <x:row r="6" ht="34" customHeight="1">
      <x:c r="A6" s="24" t="str">
        <x:v>MTX-002</x:v>
      </x:c>
      <x:c r="B6" s="24" t="str">
        <x:v>1a9b44fd5329085763b0f345145d40c9</x:v>
      </x:c>
      <x:c r="C6" s="24" t="str">
        <x:v>ShellGlass.mat</x:v>
      </x:c>
      <x:c r="D6" s="24" t="str">
        <x:v>Material</x:v>
      </x:c>
      <x:c r="E6" s="24" t="str">
        <x:v>Materials</x:v>
      </x:c>
      <x:c r="F6" s="24" t="str">
        <x:v>VRM Games / internal pipeline</x:v>
      </x:c>
      <x:c r="G6" s="24" t="str">
        <x:v>VRM Games / Blas Luis Rocha González</x:v>
      </x:c>
      <x:c r="H6" s="24" t="str">
        <x:v>Internal project asset</x:v>
      </x:c>
      <x:c r="I6" s="24" t="str">
        <x:v>Internal project IP / authorship claim</x:v>
      </x:c>
      <x:c r="J6" s="24" t="str">
        <x:v>Assets.zip + path/hash</x:v>
      </x:c>
      <x:c r="K6" s="24" t="str">
        <x:v>5c6157600dbdca131da48bd6ba4047344d38312141bad10b4d45f42668ee61bf</x:v>
      </x:c>
      <x:c r="L6" s="24" t="str">
        <x:v>Assets/_Project/Art/Materials/Architecture/ShellGlass.mat</x:v>
      </x:c>
      <x:c r="M6" s="24" t="str">
        <x:v>1a9b44fd5329085763b0f345145d40c9</x:v>
      </x:c>
      <x:c r="N6" s="24" t="str">
        <x:v>Sí</x:v>
      </x:c>
      <x:c r="O6" s="24" t="str">
        <x:v>Conditional on final provenance confirmation</x:v>
      </x:c>
      <x:c r="P6" s="24" t="str">
        <x:v>Only embedded in authorized build</x:v>
      </x:c>
      <x:c r="Q6" s="24" t="str">
        <x:v>General studio/art credits</x:v>
      </x:c>
      <x:c r="R6" s="24" t="str">
        <x:v>No standalone redistribution; avoid third-party logos/trade dress</x:v>
      </x:c>
      <x:c r="S6" s="24" t="str">
        <x:v>CONDITIONALLY APPROVED</x:v>
      </x:c>
      <x:c r="T6" s="24" t="str">
        <x:v>Imported</x:v>
      </x:c>
      <x:c r="U6" s="24" t="str">
        <x:v>Internal; H6 after visual/legal audit</x:v>
      </x:c>
      <x:c r="V6" s="24" t="str">
        <x:v>Low</x:v>
      </x:c>
      <x:c r="W6" s="24" t="str">
        <x:v>VRM Games</x:v>
      </x:c>
      <x:c r="X6" s="24" t="str">
        <x:v>Los materiales sin texturas externas aparentes siguen requiriendo confirmación de origen por lote.</x:v>
      </x:c>
    </x:row>
    <x:row r="7" ht="34" customHeight="1">
      <x:c r="A7" s="24" t="str">
        <x:v>MTX-003</x:v>
      </x:c>
      <x:c r="B7" s="24" t="str">
        <x:v>99ceafb6c0982bae467daab3dfa2984c</x:v>
      </x:c>
      <x:c r="C7" s="24" t="str">
        <x:v>ShellWall.mat</x:v>
      </x:c>
      <x:c r="D7" s="24" t="str">
        <x:v>Material</x:v>
      </x:c>
      <x:c r="E7" s="24" t="str">
        <x:v>Materials</x:v>
      </x:c>
      <x:c r="F7" s="24" t="str">
        <x:v>VRM Games / internal pipeline</x:v>
      </x:c>
      <x:c r="G7" s="24" t="str">
        <x:v>VRM Games / Blas Luis Rocha González</x:v>
      </x:c>
      <x:c r="H7" s="24" t="str">
        <x:v>Internal project asset</x:v>
      </x:c>
      <x:c r="I7" s="24" t="str">
        <x:v>Internal project IP / authorship claim</x:v>
      </x:c>
      <x:c r="J7" s="24" t="str">
        <x:v>Assets.zip + path/hash</x:v>
      </x:c>
      <x:c r="K7" s="24" t="str">
        <x:v>ec641f52b6806c16cefdd08aa422e10fa6300a92501a32ccc687ad48707001ed</x:v>
      </x:c>
      <x:c r="L7" s="24" t="str">
        <x:v>Assets/_Project/Art/Materials/Architecture/ShellWall.mat</x:v>
      </x:c>
      <x:c r="M7" s="24" t="str">
        <x:v>99ceafb6c0982bae467daab3dfa2984c</x:v>
      </x:c>
      <x:c r="N7" s="24" t="str">
        <x:v>Sí</x:v>
      </x:c>
      <x:c r="O7" s="24" t="str">
        <x:v>Conditional on final provenance confirmation</x:v>
      </x:c>
      <x:c r="P7" s="24" t="str">
        <x:v>Only embedded in authorized build</x:v>
      </x:c>
      <x:c r="Q7" s="24" t="str">
        <x:v>General studio/art credits</x:v>
      </x:c>
      <x:c r="R7" s="24" t="str">
        <x:v>No standalone redistribution; avoid third-party logos/trade dress</x:v>
      </x:c>
      <x:c r="S7" s="24" t="str">
        <x:v>CONDITIONALLY APPROVED</x:v>
      </x:c>
      <x:c r="T7" s="24" t="str">
        <x:v>Imported</x:v>
      </x:c>
      <x:c r="U7" s="24" t="str">
        <x:v>Internal; H6 after visual/legal audit</x:v>
      </x:c>
      <x:c r="V7" s="24" t="str">
        <x:v>Low</x:v>
      </x:c>
      <x:c r="W7" s="24" t="str">
        <x:v>VRM Games</x:v>
      </x:c>
      <x:c r="X7" s="24" t="str">
        <x:v>Los materiales sin texturas externas aparentes siguen requiriendo confirmación de origen por lote.</x:v>
      </x:c>
    </x:row>
    <x:row r="8" ht="34" customHeight="1">
      <x:c r="A8" s="24" t="str">
        <x:v>MTX-004</x:v>
      </x:c>
      <x:c r="B8" s="24" t="str">
        <x:v>c782c4414c516742462a774199fed352</x:v>
      </x:c>
      <x:c r="C8" s="24" t="str">
        <x:v>ZoneBackroom.mat</x:v>
      </x:c>
      <x:c r="D8" s="24" t="str">
        <x:v>Material</x:v>
      </x:c>
      <x:c r="E8" s="24" t="str">
        <x:v>Materials</x:v>
      </x:c>
      <x:c r="F8" s="24" t="str">
        <x:v>VRM Games / internal pipeline</x:v>
      </x:c>
      <x:c r="G8" s="24" t="str">
        <x:v>VRM Games / Blas Luis Rocha González</x:v>
      </x:c>
      <x:c r="H8" s="24" t="str">
        <x:v>Internal project asset</x:v>
      </x:c>
      <x:c r="I8" s="24" t="str">
        <x:v>Internal project IP / authorship claim</x:v>
      </x:c>
      <x:c r="J8" s="24" t="str">
        <x:v>Assets.zip + path/hash</x:v>
      </x:c>
      <x:c r="K8" s="24" t="str">
        <x:v>b236aaa68fbc9bdcffad1031947b8665b923c6811b57299d0f08cdbe3a371aed</x:v>
      </x:c>
      <x:c r="L8" s="24" t="str">
        <x:v>Assets/_Project/Art/Materials/Architecture/ZoneBackroom.mat</x:v>
      </x:c>
      <x:c r="M8" s="24" t="str">
        <x:v>c782c4414c516742462a774199fed352</x:v>
      </x:c>
      <x:c r="N8" s="24" t="str">
        <x:v>Sí</x:v>
      </x:c>
      <x:c r="O8" s="24" t="str">
        <x:v>Conditional on final provenance confirmation</x:v>
      </x:c>
      <x:c r="P8" s="24" t="str">
        <x:v>Only embedded in authorized build</x:v>
      </x:c>
      <x:c r="Q8" s="24" t="str">
        <x:v>General studio/art credits</x:v>
      </x:c>
      <x:c r="R8" s="24" t="str">
        <x:v>No standalone redistribution; avoid third-party logos/trade dress</x:v>
      </x:c>
      <x:c r="S8" s="24" t="str">
        <x:v>CONDITIONALLY APPROVED</x:v>
      </x:c>
      <x:c r="T8" s="24" t="str">
        <x:v>Imported</x:v>
      </x:c>
      <x:c r="U8" s="24" t="str">
        <x:v>Internal; H6 after visual/legal audit</x:v>
      </x:c>
      <x:c r="V8" s="24" t="str">
        <x:v>Low</x:v>
      </x:c>
      <x:c r="W8" s="24" t="str">
        <x:v>VRM Games</x:v>
      </x:c>
      <x:c r="X8" s="24" t="str">
        <x:v>Los materiales sin texturas externas aparentes siguen requiriendo confirmación de origen por lote.</x:v>
      </x:c>
    </x:row>
    <x:row r="9" ht="34" customHeight="1">
      <x:c r="A9" s="24" t="str">
        <x:v>MTX-005</x:v>
      </x:c>
      <x:c r="B9" s="24" t="str">
        <x:v>5a3312c0cbd9a8960940d3122e5329a6</x:v>
      </x:c>
      <x:c r="C9" s="24" t="str">
        <x:v>ZoneCheckout.mat</x:v>
      </x:c>
      <x:c r="D9" s="24" t="str">
        <x:v>Material</x:v>
      </x:c>
      <x:c r="E9" s="24" t="str">
        <x:v>Materials</x:v>
      </x:c>
      <x:c r="F9" s="24" t="str">
        <x:v>VRM Games / internal pipeline</x:v>
      </x:c>
      <x:c r="G9" s="24" t="str">
        <x:v>VRM Games / Blas Luis Rocha González</x:v>
      </x:c>
      <x:c r="H9" s="24" t="str">
        <x:v>Internal project asset</x:v>
      </x:c>
      <x:c r="I9" s="24" t="str">
        <x:v>Internal project IP / authorship claim</x:v>
      </x:c>
      <x:c r="J9" s="24" t="str">
        <x:v>Assets.zip + path/hash</x:v>
      </x:c>
      <x:c r="K9" s="24" t="str">
        <x:v>8120bdc2a26b062bf42183b37fe06733dc05f5156fcae5e233e1bb185ced675a</x:v>
      </x:c>
      <x:c r="L9" s="24" t="str">
        <x:v>Assets/_Project/Art/Materials/Architecture/ZoneCheckout.mat</x:v>
      </x:c>
      <x:c r="M9" s="24" t="str">
        <x:v>5a3312c0cbd9a8960940d3122e5329a6</x:v>
      </x:c>
      <x:c r="N9" s="24" t="str">
        <x:v>Sí</x:v>
      </x:c>
      <x:c r="O9" s="24" t="str">
        <x:v>Conditional on final provenance confirmation</x:v>
      </x:c>
      <x:c r="P9" s="24" t="str">
        <x:v>Only embedded in authorized build</x:v>
      </x:c>
      <x:c r="Q9" s="24" t="str">
        <x:v>General studio/art credits</x:v>
      </x:c>
      <x:c r="R9" s="24" t="str">
        <x:v>No standalone redistribution; avoid third-party logos/trade dress</x:v>
      </x:c>
      <x:c r="S9" s="24" t="str">
        <x:v>CONDITIONALLY APPROVED</x:v>
      </x:c>
      <x:c r="T9" s="24" t="str">
        <x:v>Imported</x:v>
      </x:c>
      <x:c r="U9" s="24" t="str">
        <x:v>Internal; H6 after visual/legal audit</x:v>
      </x:c>
      <x:c r="V9" s="24" t="str">
        <x:v>Low</x:v>
      </x:c>
      <x:c r="W9" s="24" t="str">
        <x:v>VRM Games</x:v>
      </x:c>
      <x:c r="X9" s="24" t="str">
        <x:v>Los materiales sin texturas externas aparentes siguen requiriendo confirmación de origen por lote.</x:v>
      </x:c>
    </x:row>
    <x:row r="10" ht="34" customHeight="1">
      <x:c r="A10" s="24" t="str">
        <x:v>MTX-006</x:v>
      </x:c>
      <x:c r="B10" s="24" t="str">
        <x:v>193d039aa473c0a93826ea14a72c4680</x:v>
      </x:c>
      <x:c r="C10" s="24" t="str">
        <x:v>ZoneMarker.mat</x:v>
      </x:c>
      <x:c r="D10" s="24" t="str">
        <x:v>Material</x:v>
      </x:c>
      <x:c r="E10" s="24" t="str">
        <x:v>Materials</x:v>
      </x:c>
      <x:c r="F10" s="24" t="str">
        <x:v>VRM Games / internal pipeline</x:v>
      </x:c>
      <x:c r="G10" s="24" t="str">
        <x:v>VRM Games / Blas Luis Rocha González</x:v>
      </x:c>
      <x:c r="H10" s="24" t="str">
        <x:v>Internal project asset</x:v>
      </x:c>
      <x:c r="I10" s="24" t="str">
        <x:v>Internal project IP / authorship claim</x:v>
      </x:c>
      <x:c r="J10" s="24" t="str">
        <x:v>Assets.zip + path/hash</x:v>
      </x:c>
      <x:c r="K10" s="24" t="str">
        <x:v>31d4824c2cb1e819ad6b860aa77119e7e2f239cfe2a4b369671d4bbe4ada4652</x:v>
      </x:c>
      <x:c r="L10" s="24" t="str">
        <x:v>Assets/_Project/Art/Materials/Architecture/ZoneMarker.mat</x:v>
      </x:c>
      <x:c r="M10" s="24" t="str">
        <x:v>193d039aa473c0a93826ea14a72c4680</x:v>
      </x:c>
      <x:c r="N10" s="24" t="str">
        <x:v>Sí</x:v>
      </x:c>
      <x:c r="O10" s="24" t="str">
        <x:v>Conditional on final provenance confirmation</x:v>
      </x:c>
      <x:c r="P10" s="24" t="str">
        <x:v>Only embedded in authorized build</x:v>
      </x:c>
      <x:c r="Q10" s="24" t="str">
        <x:v>General studio/art credits</x:v>
      </x:c>
      <x:c r="R10" s="24" t="str">
        <x:v>No standalone redistribution; avoid third-party logos/trade dress</x:v>
      </x:c>
      <x:c r="S10" s="24" t="str">
        <x:v>CONDITIONALLY APPROVED</x:v>
      </x:c>
      <x:c r="T10" s="24" t="str">
        <x:v>Imported</x:v>
      </x:c>
      <x:c r="U10" s="24" t="str">
        <x:v>Internal; H6 after visual/legal audit</x:v>
      </x:c>
      <x:c r="V10" s="24" t="str">
        <x:v>Low</x:v>
      </x:c>
      <x:c r="W10" s="24" t="str">
        <x:v>VRM Games</x:v>
      </x:c>
      <x:c r="X10" s="24" t="str">
        <x:v>Los materiales sin texturas externas aparentes siguen requiriendo confirmación de origen por lote.</x:v>
      </x:c>
    </x:row>
    <x:row r="11" ht="34" customHeight="1">
      <x:c r="A11" s="24" t="str">
        <x:v>MTX-007</x:v>
      </x:c>
      <x:c r="B11" s="24" t="str">
        <x:v>b0e960507b1e1a1abd814dbed7612c7c</x:v>
      </x:c>
      <x:c r="C11" s="24" t="str">
        <x:v>ZoneReceiving.mat</x:v>
      </x:c>
      <x:c r="D11" s="24" t="str">
        <x:v>Material</x:v>
      </x:c>
      <x:c r="E11" s="24" t="str">
        <x:v>Materials</x:v>
      </x:c>
      <x:c r="F11" s="24" t="str">
        <x:v>VRM Games / internal pipeline</x:v>
      </x:c>
      <x:c r="G11" s="24" t="str">
        <x:v>VRM Games / Blas Luis Rocha González</x:v>
      </x:c>
      <x:c r="H11" s="24" t="str">
        <x:v>Internal project asset</x:v>
      </x:c>
      <x:c r="I11" s="24" t="str">
        <x:v>Internal project IP / authorship claim</x:v>
      </x:c>
      <x:c r="J11" s="24" t="str">
        <x:v>Assets.zip + path/hash</x:v>
      </x:c>
      <x:c r="K11" s="24" t="str">
        <x:v>2dbfd1659688cf496309ca738809105ff5da47b82f6f01b356eb15e25077178d</x:v>
      </x:c>
      <x:c r="L11" s="24" t="str">
        <x:v>Assets/_Project/Art/Materials/Architecture/ZoneReceiving.mat</x:v>
      </x:c>
      <x:c r="M11" s="24" t="str">
        <x:v>b0e960507b1e1a1abd814dbed7612c7c</x:v>
      </x:c>
      <x:c r="N11" s="24" t="str">
        <x:v>Sí</x:v>
      </x:c>
      <x:c r="O11" s="24" t="str">
        <x:v>Conditional on final provenance confirmation</x:v>
      </x:c>
      <x:c r="P11" s="24" t="str">
        <x:v>Only embedded in authorized build</x:v>
      </x:c>
      <x:c r="Q11" s="24" t="str">
        <x:v>General studio/art credits</x:v>
      </x:c>
      <x:c r="R11" s="24" t="str">
        <x:v>No standalone redistribution; avoid third-party logos/trade dress</x:v>
      </x:c>
      <x:c r="S11" s="24" t="str">
        <x:v>CONDITIONALLY APPROVED</x:v>
      </x:c>
      <x:c r="T11" s="24" t="str">
        <x:v>Imported</x:v>
      </x:c>
      <x:c r="U11" s="24" t="str">
        <x:v>Internal; H6 after visual/legal audit</x:v>
      </x:c>
      <x:c r="V11" s="24" t="str">
        <x:v>Low</x:v>
      </x:c>
      <x:c r="W11" s="24" t="str">
        <x:v>VRM Games</x:v>
      </x:c>
      <x:c r="X11" s="24" t="str">
        <x:v>Los materiales sin texturas externas aparentes siguen requiriendo confirmación de origen por lote.</x:v>
      </x:c>
    </x:row>
    <x:row r="12" ht="34" customHeight="1">
      <x:c r="A12" s="24" t="str">
        <x:v>MTX-008</x:v>
      </x:c>
      <x:c r="B12" s="24" t="str">
        <x:v>450505c32f7e3e847f6347db0ac01057</x:v>
      </x:c>
      <x:c r="C12" s="24" t="str">
        <x:v>CharacterCustomer.mat</x:v>
      </x:c>
      <x:c r="D12" s="24" t="str">
        <x:v>Material</x:v>
      </x:c>
      <x:c r="E12" s="24" t="str">
        <x:v>Materials</x:v>
      </x:c>
      <x:c r="F12" s="24" t="str">
        <x:v>VRM Games / internal pipeline</x:v>
      </x:c>
      <x:c r="G12" s="24" t="str">
        <x:v>VRM Games / Blas Luis Rocha González</x:v>
      </x:c>
      <x:c r="H12" s="24" t="str">
        <x:v>Internal project asset</x:v>
      </x:c>
      <x:c r="I12" s="24" t="str">
        <x:v>Internal project IP / authorship claim</x:v>
      </x:c>
      <x:c r="J12" s="24" t="str">
        <x:v>Assets.zip + path/hash</x:v>
      </x:c>
      <x:c r="K12" s="24" t="str">
        <x:v>10412c41d67729dd61a89d13db008b32ca3552f08d6459c954efbc8a156d7390</x:v>
      </x:c>
      <x:c r="L12" s="24" t="str">
        <x:v>Assets/_Project/Art/Materials/Characters/CharacterCustomer.mat</x:v>
      </x:c>
      <x:c r="M12" s="24" t="str">
        <x:v>450505c32f7e3e847f6347db0ac01057</x:v>
      </x:c>
      <x:c r="N12" s="24" t="str">
        <x:v>Sí</x:v>
      </x:c>
      <x:c r="O12" s="24" t="str">
        <x:v>Conditional on final provenance confirmation</x:v>
      </x:c>
      <x:c r="P12" s="24" t="str">
        <x:v>Only embedded in authorized build</x:v>
      </x:c>
      <x:c r="Q12" s="24" t="str">
        <x:v>General studio/art credits</x:v>
      </x:c>
      <x:c r="R12" s="24" t="str">
        <x:v>No standalone redistribution; avoid third-party logos/trade dress</x:v>
      </x:c>
      <x:c r="S12" s="24" t="str">
        <x:v>CONDITIONALLY APPROVED</x:v>
      </x:c>
      <x:c r="T12" s="24" t="str">
        <x:v>Imported</x:v>
      </x:c>
      <x:c r="U12" s="24" t="str">
        <x:v>Internal; H6 after visual/legal audit</x:v>
      </x:c>
      <x:c r="V12" s="24" t="str">
        <x:v>Low</x:v>
      </x:c>
      <x:c r="W12" s="24" t="str">
        <x:v>VRM Games</x:v>
      </x:c>
      <x:c r="X12" s="24" t="str">
        <x:v>Los materiales sin texturas externas aparentes siguen requiriendo confirmación de origen por lote.</x:v>
      </x:c>
    </x:row>
    <x:row r="13" ht="34" customHeight="1">
      <x:c r="A13" s="24" t="str">
        <x:v>MTX-009</x:v>
      </x:c>
      <x:c r="B13" s="24" t="str">
        <x:v>742683d58b0e90e474c01b05742063b0</x:v>
      </x:c>
      <x:c r="C13" s="24" t="str">
        <x:v>CharacterEmployee.mat</x:v>
      </x:c>
      <x:c r="D13" s="24" t="str">
        <x:v>Material</x:v>
      </x:c>
      <x:c r="E13" s="24" t="str">
        <x:v>Materials</x:v>
      </x:c>
      <x:c r="F13" s="24" t="str">
        <x:v>VRM Games / internal pipeline</x:v>
      </x:c>
      <x:c r="G13" s="24" t="str">
        <x:v>VRM Games / Blas Luis Rocha González</x:v>
      </x:c>
      <x:c r="H13" s="24" t="str">
        <x:v>Internal project asset</x:v>
      </x:c>
      <x:c r="I13" s="24" t="str">
        <x:v>Internal project IP / authorship claim</x:v>
      </x:c>
      <x:c r="J13" s="24" t="str">
        <x:v>Assets.zip + path/hash</x:v>
      </x:c>
      <x:c r="K13" s="24" t="str">
        <x:v>ac69a559c9bf9fce3f89305992cbf1409a8a9bcd0912d9c64661815c28a70a4a</x:v>
      </x:c>
      <x:c r="L13" s="24" t="str">
        <x:v>Assets/_Project/Art/Materials/Characters/CharacterEmployee.mat</x:v>
      </x:c>
      <x:c r="M13" s="24" t="str">
        <x:v>742683d58b0e90e474c01b05742063b0</x:v>
      </x:c>
      <x:c r="N13" s="24" t="str">
        <x:v>Sí</x:v>
      </x:c>
      <x:c r="O13" s="24" t="str">
        <x:v>Conditional on final provenance confirmation</x:v>
      </x:c>
      <x:c r="P13" s="24" t="str">
        <x:v>Only embedded in authorized build</x:v>
      </x:c>
      <x:c r="Q13" s="24" t="str">
        <x:v>General studio/art credits</x:v>
      </x:c>
      <x:c r="R13" s="24" t="str">
        <x:v>No standalone redistribution; avoid third-party logos/trade dress</x:v>
      </x:c>
      <x:c r="S13" s="24" t="str">
        <x:v>CONDITIONALLY APPROVED</x:v>
      </x:c>
      <x:c r="T13" s="24" t="str">
        <x:v>Imported</x:v>
      </x:c>
      <x:c r="U13" s="24" t="str">
        <x:v>Internal; H6 after visual/legal audit</x:v>
      </x:c>
      <x:c r="V13" s="24" t="str">
        <x:v>Low</x:v>
      </x:c>
      <x:c r="W13" s="24" t="str">
        <x:v>VRM Games</x:v>
      </x:c>
      <x:c r="X13" s="24" t="str">
        <x:v>Los materiales sin texturas externas aparentes siguen requiriendo confirmación de origen por lote.</x:v>
      </x:c>
    </x:row>
    <x:row r="14" ht="34" customHeight="1">
      <x:c r="A14" s="24" t="str">
        <x:v>MTX-010</x:v>
      </x:c>
      <x:c r="B14" s="24" t="str">
        <x:v>3625b86ddf190a169cdb4f1f16066794</x:v>
      </x:c>
      <x:c r="C14" s="24" t="str">
        <x:v>CharacterSupplier.mat</x:v>
      </x:c>
      <x:c r="D14" s="24" t="str">
        <x:v>Material</x:v>
      </x:c>
      <x:c r="E14" s="24" t="str">
        <x:v>Materials</x:v>
      </x:c>
      <x:c r="F14" s="24" t="str">
        <x:v>VRM Games / internal pipeline</x:v>
      </x:c>
      <x:c r="G14" s="24" t="str">
        <x:v>VRM Games / Blas Luis Rocha González</x:v>
      </x:c>
      <x:c r="H14" s="24" t="str">
        <x:v>Internal project asset</x:v>
      </x:c>
      <x:c r="I14" s="24" t="str">
        <x:v>Internal project IP / authorship claim</x:v>
      </x:c>
      <x:c r="J14" s="24" t="str">
        <x:v>Assets.zip + path/hash</x:v>
      </x:c>
      <x:c r="K14" s="24" t="str">
        <x:v>140dc16872341edc2c0f6a0930d47d169b5c311cce8a4824eac9fb49ec403ce7</x:v>
      </x:c>
      <x:c r="L14" s="24" t="str">
        <x:v>Assets/_Project/Art/Materials/Characters/CharacterSupplier.mat</x:v>
      </x:c>
      <x:c r="M14" s="24" t="str">
        <x:v>3625b86ddf190a169cdb4f1f16066794</x:v>
      </x:c>
      <x:c r="N14" s="24" t="str">
        <x:v>Sí</x:v>
      </x:c>
      <x:c r="O14" s="24" t="str">
        <x:v>Conditional on final provenance confirmation</x:v>
      </x:c>
      <x:c r="P14" s="24" t="str">
        <x:v>Only embedded in authorized build</x:v>
      </x:c>
      <x:c r="Q14" s="24" t="str">
        <x:v>General studio/art credits</x:v>
      </x:c>
      <x:c r="R14" s="24" t="str">
        <x:v>No standalone redistribution; avoid third-party logos/trade dress</x:v>
      </x:c>
      <x:c r="S14" s="24" t="str">
        <x:v>CONDITIONALLY APPROVED</x:v>
      </x:c>
      <x:c r="T14" s="24" t="str">
        <x:v>Imported</x:v>
      </x:c>
      <x:c r="U14" s="24" t="str">
        <x:v>Internal; H6 after visual/legal audit</x:v>
      </x:c>
      <x:c r="V14" s="24" t="str">
        <x:v>Low</x:v>
      </x:c>
      <x:c r="W14" s="24" t="str">
        <x:v>VRM Games</x:v>
      </x:c>
      <x:c r="X14" s="24" t="str">
        <x:v>Los materiales sin texturas externas aparentes siguen requiriendo confirmación de origen por lote.</x:v>
      </x:c>
    </x:row>
    <x:row r="15" ht="34" customHeight="1">
      <x:c r="A15" s="24" t="str">
        <x:v>MTX-011</x:v>
      </x:c>
      <x:c r="B15" s="24" t="str">
        <x:v>b3fe4bf4ecc4e4728253176b4c0d4a5d</x:v>
      </x:c>
      <x:c r="C15" s="24" t="str">
        <x:v>FeedbackInvalid.mat</x:v>
      </x:c>
      <x:c r="D15" s="24" t="str">
        <x:v>Material</x:v>
      </x:c>
      <x:c r="E15" s="24" t="str">
        <x:v>Materials</x:v>
      </x:c>
      <x:c r="F15" s="24" t="str">
        <x:v>VRM Games / internal pipeline</x:v>
      </x:c>
      <x:c r="G15" s="24" t="str">
        <x:v>VRM Games / Blas Luis Rocha González</x:v>
      </x:c>
      <x:c r="H15" s="24" t="str">
        <x:v>Internal project asset</x:v>
      </x:c>
      <x:c r="I15" s="24" t="str">
        <x:v>Internal project IP / authorship claim</x:v>
      </x:c>
      <x:c r="J15" s="24" t="str">
        <x:v>Assets.zip + path/hash</x:v>
      </x:c>
      <x:c r="K15" s="24" t="str">
        <x:v>b61725227eb2c8d1030b9f345c85eae1d6162b2d315dfd1ab091f06562808d73</x:v>
      </x:c>
      <x:c r="L15" s="24" t="str">
        <x:v>Assets/_Project/Art/Materials/Feedback/FeedbackInvalid.mat</x:v>
      </x:c>
      <x:c r="M15" s="24" t="str">
        <x:v>b3fe4bf4ecc4e4728253176b4c0d4a5d</x:v>
      </x:c>
      <x:c r="N15" s="24" t="str">
        <x:v>Sí</x:v>
      </x:c>
      <x:c r="O15" s="24" t="str">
        <x:v>Conditional on final provenance confirmation</x:v>
      </x:c>
      <x:c r="P15" s="24" t="str">
        <x:v>Only embedded in authorized build</x:v>
      </x:c>
      <x:c r="Q15" s="24" t="str">
        <x:v>General studio/art credits</x:v>
      </x:c>
      <x:c r="R15" s="24" t="str">
        <x:v>No standalone redistribution; avoid third-party logos/trade dress</x:v>
      </x:c>
      <x:c r="S15" s="24" t="str">
        <x:v>CONDITIONALLY APPROVED</x:v>
      </x:c>
      <x:c r="T15" s="24" t="str">
        <x:v>Imported</x:v>
      </x:c>
      <x:c r="U15" s="24" t="str">
        <x:v>Internal; H6 after visual/legal audit</x:v>
      </x:c>
      <x:c r="V15" s="24" t="str">
        <x:v>Low</x:v>
      </x:c>
      <x:c r="W15" s="24" t="str">
        <x:v>VRM Games</x:v>
      </x:c>
      <x:c r="X15" s="24" t="str">
        <x:v>Los materiales sin texturas externas aparentes siguen requiriendo confirmación de origen por lote.</x:v>
      </x:c>
    </x:row>
    <x:row r="16" ht="34" customHeight="1">
      <x:c r="A16" s="24" t="str">
        <x:v>MTX-012</x:v>
      </x:c>
      <x:c r="B16" s="24" t="str">
        <x:v>9634685bae2bcc88df5569bdd3f78957</x:v>
      </x:c>
      <x:c r="C16" s="24" t="str">
        <x:v>FeedbackValid.mat</x:v>
      </x:c>
      <x:c r="D16" s="24" t="str">
        <x:v>Material</x:v>
      </x:c>
      <x:c r="E16" s="24" t="str">
        <x:v>Materials</x:v>
      </x:c>
      <x:c r="F16" s="24" t="str">
        <x:v>VRM Games / internal pipeline</x:v>
      </x:c>
      <x:c r="G16" s="24" t="str">
        <x:v>VRM Games / Blas Luis Rocha González</x:v>
      </x:c>
      <x:c r="H16" s="24" t="str">
        <x:v>Internal project asset</x:v>
      </x:c>
      <x:c r="I16" s="24" t="str">
        <x:v>Internal project IP / authorship claim</x:v>
      </x:c>
      <x:c r="J16" s="24" t="str">
        <x:v>Assets.zip + path/hash</x:v>
      </x:c>
      <x:c r="K16" s="24" t="str">
        <x:v>652a2447766dabf80abd745e8ee4069c714e92a78c3ace65612e5ebf2b193cc1</x:v>
      </x:c>
      <x:c r="L16" s="24" t="str">
        <x:v>Assets/_Project/Art/Materials/Feedback/FeedbackValid.mat</x:v>
      </x:c>
      <x:c r="M16" s="24" t="str">
        <x:v>9634685bae2bcc88df5569bdd3f78957</x:v>
      </x:c>
      <x:c r="N16" s="24" t="str">
        <x:v>Sí</x:v>
      </x:c>
      <x:c r="O16" s="24" t="str">
        <x:v>Conditional on final provenance confirmation</x:v>
      </x:c>
      <x:c r="P16" s="24" t="str">
        <x:v>Only embedded in authorized build</x:v>
      </x:c>
      <x:c r="Q16" s="24" t="str">
        <x:v>General studio/art credits</x:v>
      </x:c>
      <x:c r="R16" s="24" t="str">
        <x:v>No standalone redistribution; avoid third-party logos/trade dress</x:v>
      </x:c>
      <x:c r="S16" s="24" t="str">
        <x:v>CONDITIONALLY APPROVED</x:v>
      </x:c>
      <x:c r="T16" s="24" t="str">
        <x:v>Imported</x:v>
      </x:c>
      <x:c r="U16" s="24" t="str">
        <x:v>Internal; H6 after visual/legal audit</x:v>
      </x:c>
      <x:c r="V16" s="24" t="str">
        <x:v>Low</x:v>
      </x:c>
      <x:c r="W16" s="24" t="str">
        <x:v>VRM Games</x:v>
      </x:c>
      <x:c r="X16" s="24" t="str">
        <x:v>Los materiales sin texturas externas aparentes siguen requiriendo confirmación de origen por lote.</x:v>
      </x:c>
    </x:row>
    <x:row r="17" ht="34" customHeight="1">
      <x:c r="A17" s="24" t="str">
        <x:v>MTX-013</x:v>
      </x:c>
      <x:c r="B17" s="24" t="str">
        <x:v>85fc7825d05ea003423e646cfeeedf70</x:v>
      </x:c>
      <x:c r="C17" s="24" t="str">
        <x:v>FeedbackWarning.mat</x:v>
      </x:c>
      <x:c r="D17" s="24" t="str">
        <x:v>Material</x:v>
      </x:c>
      <x:c r="E17" s="24" t="str">
        <x:v>Materials</x:v>
      </x:c>
      <x:c r="F17" s="24" t="str">
        <x:v>VRM Games / internal pipeline</x:v>
      </x:c>
      <x:c r="G17" s="24" t="str">
        <x:v>VRM Games / Blas Luis Rocha González</x:v>
      </x:c>
      <x:c r="H17" s="24" t="str">
        <x:v>Internal project asset</x:v>
      </x:c>
      <x:c r="I17" s="24" t="str">
        <x:v>Internal project IP / authorship claim</x:v>
      </x:c>
      <x:c r="J17" s="24" t="str">
        <x:v>Assets.zip + path/hash</x:v>
      </x:c>
      <x:c r="K17" s="24" t="str">
        <x:v>f51c174f61ade75df0358d744b93a59003776eee6fe14ab566a395ccd9ea38fd</x:v>
      </x:c>
      <x:c r="L17" s="24" t="str">
        <x:v>Assets/_Project/Art/Materials/Feedback/FeedbackWarning.mat</x:v>
      </x:c>
      <x:c r="M17" s="24" t="str">
        <x:v>85fc7825d05ea003423e646cfeeedf70</x:v>
      </x:c>
      <x:c r="N17" s="24" t="str">
        <x:v>Sí</x:v>
      </x:c>
      <x:c r="O17" s="24" t="str">
        <x:v>Conditional on final provenance confirmation</x:v>
      </x:c>
      <x:c r="P17" s="24" t="str">
        <x:v>Only embedded in authorized build</x:v>
      </x:c>
      <x:c r="Q17" s="24" t="str">
        <x:v>General studio/art credits</x:v>
      </x:c>
      <x:c r="R17" s="24" t="str">
        <x:v>No standalone redistribution; avoid third-party logos/trade dress</x:v>
      </x:c>
      <x:c r="S17" s="24" t="str">
        <x:v>CONDITIONALLY APPROVED</x:v>
      </x:c>
      <x:c r="T17" s="24" t="str">
        <x:v>Imported</x:v>
      </x:c>
      <x:c r="U17" s="24" t="str">
        <x:v>Internal; H6 after visual/legal audit</x:v>
      </x:c>
      <x:c r="V17" s="24" t="str">
        <x:v>Low</x:v>
      </x:c>
      <x:c r="W17" s="24" t="str">
        <x:v>VRM Games</x:v>
      </x:c>
      <x:c r="X17" s="24" t="str">
        <x:v>Los materiales sin texturas externas aparentes siguen requiriendo confirmación de origen por lote.</x:v>
      </x:c>
    </x:row>
    <x:row r="18" ht="34" customHeight="1">
      <x:c r="A18" s="24" t="str">
        <x:v>MTX-014</x:v>
      </x:c>
      <x:c r="B18" s="24" t="str">
        <x:v>f6b8ad1a77540220bcfd0341d169cf09</x:v>
      </x:c>
      <x:c r="C18" s="24" t="str">
        <x:v>Decoration.mat</x:v>
      </x:c>
      <x:c r="D18" s="24" t="str">
        <x:v>Material</x:v>
      </x:c>
      <x:c r="E18" s="24" t="str">
        <x:v>Materials</x:v>
      </x:c>
      <x:c r="F18" s="24" t="str">
        <x:v>VRM Games / internal pipeline</x:v>
      </x:c>
      <x:c r="G18" s="24" t="str">
        <x:v>VRM Games / Blas Luis Rocha González</x:v>
      </x:c>
      <x:c r="H18" s="24" t="str">
        <x:v>Internal project asset</x:v>
      </x:c>
      <x:c r="I18" s="24" t="str">
        <x:v>Internal project IP / authorship claim</x:v>
      </x:c>
      <x:c r="J18" s="24" t="str">
        <x:v>Assets.zip + path/hash</x:v>
      </x:c>
      <x:c r="K18" s="24" t="str">
        <x:v>09bac2621ec910e35a8bb3460a51d846a58ba3808239fc927fe2f9db0de2d08a</x:v>
      </x:c>
      <x:c r="L18" s="24" t="str">
        <x:v>Assets/_Project/Art/Materials/Furniture/Decoration.mat</x:v>
      </x:c>
      <x:c r="M18" s="24" t="str">
        <x:v>f6b8ad1a77540220bcfd0341d169cf09</x:v>
      </x:c>
      <x:c r="N18" s="24" t="str">
        <x:v>Sí</x:v>
      </x:c>
      <x:c r="O18" s="24" t="str">
        <x:v>Conditional on final provenance confirmation</x:v>
      </x:c>
      <x:c r="P18" s="24" t="str">
        <x:v>Only embedded in authorized build</x:v>
      </x:c>
      <x:c r="Q18" s="24" t="str">
        <x:v>General studio/art credits</x:v>
      </x:c>
      <x:c r="R18" s="24" t="str">
        <x:v>No standalone redistribution; avoid third-party logos/trade dress</x:v>
      </x:c>
      <x:c r="S18" s="24" t="str">
        <x:v>CONDITIONALLY APPROVED</x:v>
      </x:c>
      <x:c r="T18" s="24" t="str">
        <x:v>Imported</x:v>
      </x:c>
      <x:c r="U18" s="24" t="str">
        <x:v>Internal; H6 after visual/legal audit</x:v>
      </x:c>
      <x:c r="V18" s="24" t="str">
        <x:v>Low</x:v>
      </x:c>
      <x:c r="W18" s="24" t="str">
        <x:v>VRM Games</x:v>
      </x:c>
      <x:c r="X18" s="24" t="str">
        <x:v>Los materiales sin texturas externas aparentes siguen requiriendo confirmación de origen por lote.</x:v>
      </x:c>
    </x:row>
    <x:row r="19" ht="34" customHeight="1">
      <x:c r="A19" s="24" t="str">
        <x:v>MTX-015</x:v>
      </x:c>
      <x:c r="B19" s="24" t="str">
        <x:v>c24be953a6037fcc6e90961127549a86</x:v>
      </x:c>
      <x:c r="C19" s="24" t="str">
        <x:v>FurnitureCentralShelf.mat</x:v>
      </x:c>
      <x:c r="D19" s="24" t="str">
        <x:v>Material</x:v>
      </x:c>
      <x:c r="E19" s="24" t="str">
        <x:v>Materials</x:v>
      </x:c>
      <x:c r="F19" s="24" t="str">
        <x:v>VRM Games / internal pipeline</x:v>
      </x:c>
      <x:c r="G19" s="24" t="str">
        <x:v>VRM Games / Blas Luis Rocha González</x:v>
      </x:c>
      <x:c r="H19" s="24" t="str">
        <x:v>Internal project asset</x:v>
      </x:c>
      <x:c r="I19" s="24" t="str">
        <x:v>Internal project IP / authorship claim</x:v>
      </x:c>
      <x:c r="J19" s="24" t="str">
        <x:v>Assets.zip + path/hash</x:v>
      </x:c>
      <x:c r="K19" s="24" t="str">
        <x:v>a38be52b5c875a5b0dd0fe34b05cafd39ceca532fec87adf80730220d5c28d8d</x:v>
      </x:c>
      <x:c r="L19" s="24" t="str">
        <x:v>Assets/_Project/Art/Materials/Furniture/FurnitureCentralShelf.mat</x:v>
      </x:c>
      <x:c r="M19" s="24" t="str">
        <x:v>c24be953a6037fcc6e90961127549a86</x:v>
      </x:c>
      <x:c r="N19" s="24" t="str">
        <x:v>Sí</x:v>
      </x:c>
      <x:c r="O19" s="24" t="str">
        <x:v>Conditional on final provenance confirmation</x:v>
      </x:c>
      <x:c r="P19" s="24" t="str">
        <x:v>Only embedded in authorized build</x:v>
      </x:c>
      <x:c r="Q19" s="24" t="str">
        <x:v>General studio/art credits</x:v>
      </x:c>
      <x:c r="R19" s="24" t="str">
        <x:v>No standalone redistribution; avoid third-party logos/trade dress</x:v>
      </x:c>
      <x:c r="S19" s="24" t="str">
        <x:v>CONDITIONALLY APPROVED</x:v>
      </x:c>
      <x:c r="T19" s="24" t="str">
        <x:v>Imported</x:v>
      </x:c>
      <x:c r="U19" s="24" t="str">
        <x:v>Internal; H6 after visual/legal audit</x:v>
      </x:c>
      <x:c r="V19" s="24" t="str">
        <x:v>Low</x:v>
      </x:c>
      <x:c r="W19" s="24" t="str">
        <x:v>VRM Games</x:v>
      </x:c>
      <x:c r="X19" s="24" t="str">
        <x:v>Los materiales sin texturas externas aparentes siguen requiriendo confirmación de origen por lote.</x:v>
      </x:c>
    </x:row>
    <x:row r="20" ht="34" customHeight="1">
      <x:c r="A20" s="24" t="str">
        <x:v>MTX-016</x:v>
      </x:c>
      <x:c r="B20" s="24" t="str">
        <x:v>774d28a5615ff64312780a0dd1cda67a</x:v>
      </x:c>
      <x:c r="C20" s="24" t="str">
        <x:v>FurnitureCheckout.mat</x:v>
      </x:c>
      <x:c r="D20" s="24" t="str">
        <x:v>Material</x:v>
      </x:c>
      <x:c r="E20" s="24" t="str">
        <x:v>Materials</x:v>
      </x:c>
      <x:c r="F20" s="24" t="str">
        <x:v>VRM Games / internal pipeline</x:v>
      </x:c>
      <x:c r="G20" s="24" t="str">
        <x:v>VRM Games / Blas Luis Rocha González</x:v>
      </x:c>
      <x:c r="H20" s="24" t="str">
        <x:v>Internal project asset</x:v>
      </x:c>
      <x:c r="I20" s="24" t="str">
        <x:v>Internal project IP / authorship claim</x:v>
      </x:c>
      <x:c r="J20" s="24" t="str">
        <x:v>Assets.zip + path/hash</x:v>
      </x:c>
      <x:c r="K20" s="24" t="str">
        <x:v>9bc93a2949c8a9831017d72fd193cd917c5865bad3bb10679a8cf7adb0db64ec</x:v>
      </x:c>
      <x:c r="L20" s="24" t="str">
        <x:v>Assets/_Project/Art/Materials/Furniture/FurnitureCheckout.mat</x:v>
      </x:c>
      <x:c r="M20" s="24" t="str">
        <x:v>774d28a5615ff64312780a0dd1cda67a</x:v>
      </x:c>
      <x:c r="N20" s="24" t="str">
        <x:v>Sí</x:v>
      </x:c>
      <x:c r="O20" s="24" t="str">
        <x:v>Conditional on final provenance confirmation</x:v>
      </x:c>
      <x:c r="P20" s="24" t="str">
        <x:v>Only embedded in authorized build</x:v>
      </x:c>
      <x:c r="Q20" s="24" t="str">
        <x:v>General studio/art credits</x:v>
      </x:c>
      <x:c r="R20" s="24" t="str">
        <x:v>No standalone redistribution; avoid third-party logos/trade dress</x:v>
      </x:c>
      <x:c r="S20" s="24" t="str">
        <x:v>CONDITIONALLY APPROVED</x:v>
      </x:c>
      <x:c r="T20" s="24" t="str">
        <x:v>Imported</x:v>
      </x:c>
      <x:c r="U20" s="24" t="str">
        <x:v>Internal; H6 after visual/legal audit</x:v>
      </x:c>
      <x:c r="V20" s="24" t="str">
        <x:v>Low</x:v>
      </x:c>
      <x:c r="W20" s="24" t="str">
        <x:v>VRM Games</x:v>
      </x:c>
      <x:c r="X20" s="24" t="str">
        <x:v>Los materiales sin texturas externas aparentes siguen requiriendo confirmación de origen por lote.</x:v>
      </x:c>
    </x:row>
    <x:row r="21" ht="34" customHeight="1">
      <x:c r="A21" s="24" t="str">
        <x:v>MTX-017</x:v>
      </x:c>
      <x:c r="B21" s="24" t="str">
        <x:v>2056a1f3145d493024412a9453580fd1</x:v>
      </x:c>
      <x:c r="C21" s="24" t="str">
        <x:v>FurnitureCrate.mat</x:v>
      </x:c>
      <x:c r="D21" s="24" t="str">
        <x:v>Material</x:v>
      </x:c>
      <x:c r="E21" s="24" t="str">
        <x:v>Materials</x:v>
      </x:c>
      <x:c r="F21" s="24" t="str">
        <x:v>VRM Games / internal pipeline</x:v>
      </x:c>
      <x:c r="G21" s="24" t="str">
        <x:v>VRM Games / Blas Luis Rocha González</x:v>
      </x:c>
      <x:c r="H21" s="24" t="str">
        <x:v>Internal project asset</x:v>
      </x:c>
      <x:c r="I21" s="24" t="str">
        <x:v>Internal project IP / authorship claim</x:v>
      </x:c>
      <x:c r="J21" s="24" t="str">
        <x:v>Assets.zip + path/hash</x:v>
      </x:c>
      <x:c r="K21" s="24" t="str">
        <x:v>fd200e26d41a6bbaf04a960006557ec29489113d19cd3e8b777c7b914d392931</x:v>
      </x:c>
      <x:c r="L21" s="24" t="str">
        <x:v>Assets/_Project/Art/Materials/Furniture/FurnitureCrate.mat</x:v>
      </x:c>
      <x:c r="M21" s="24" t="str">
        <x:v>2056a1f3145d493024412a9453580fd1</x:v>
      </x:c>
      <x:c r="N21" s="24" t="str">
        <x:v>Sí</x:v>
      </x:c>
      <x:c r="O21" s="24" t="str">
        <x:v>Conditional on final provenance confirmation</x:v>
      </x:c>
      <x:c r="P21" s="24" t="str">
        <x:v>Only embedded in authorized build</x:v>
      </x:c>
      <x:c r="Q21" s="24" t="str">
        <x:v>General studio/art credits</x:v>
      </x:c>
      <x:c r="R21" s="24" t="str">
        <x:v>No standalone redistribution; avoid third-party logos/trade dress</x:v>
      </x:c>
      <x:c r="S21" s="24" t="str">
        <x:v>CONDITIONALLY APPROVED</x:v>
      </x:c>
      <x:c r="T21" s="24" t="str">
        <x:v>Imported</x:v>
      </x:c>
      <x:c r="U21" s="24" t="str">
        <x:v>Internal; H6 after visual/legal audit</x:v>
      </x:c>
      <x:c r="V21" s="24" t="str">
        <x:v>Low</x:v>
      </x:c>
      <x:c r="W21" s="24" t="str">
        <x:v>VRM Games</x:v>
      </x:c>
      <x:c r="X21" s="24" t="str">
        <x:v>Los materiales sin texturas externas aparentes siguen requiriendo confirmación de origen por lote.</x:v>
      </x:c>
    </x:row>
    <x:row r="22" ht="34" customHeight="1">
      <x:c r="A22" s="24" t="str">
        <x:v>MTX-018</x:v>
      </x:c>
      <x:c r="B22" s="24" t="str">
        <x:v>5fe21f7983022016f5221ddaa19189f1</x:v>
      </x:c>
      <x:c r="C22" s="24" t="str">
        <x:v>FurnitureFeatured.mat</x:v>
      </x:c>
      <x:c r="D22" s="24" t="str">
        <x:v>Material</x:v>
      </x:c>
      <x:c r="E22" s="24" t="str">
        <x:v>Materials</x:v>
      </x:c>
      <x:c r="F22" s="24" t="str">
        <x:v>VRM Games / internal pipeline</x:v>
      </x:c>
      <x:c r="G22" s="24" t="str">
        <x:v>VRM Games / Blas Luis Rocha González</x:v>
      </x:c>
      <x:c r="H22" s="24" t="str">
        <x:v>Internal project asset</x:v>
      </x:c>
      <x:c r="I22" s="24" t="str">
        <x:v>Internal project IP / authorship claim</x:v>
      </x:c>
      <x:c r="J22" s="24" t="str">
        <x:v>Assets.zip + path/hash</x:v>
      </x:c>
      <x:c r="K22" s="24" t="str">
        <x:v>df254ccb32ee6483562abc0d71f62fa51ecd053e27fe99c0252096e54fa4d869</x:v>
      </x:c>
      <x:c r="L22" s="24" t="str">
        <x:v>Assets/_Project/Art/Materials/Furniture/FurnitureFeatured.mat</x:v>
      </x:c>
      <x:c r="M22" s="24" t="str">
        <x:v>5fe21f7983022016f5221ddaa19189f1</x:v>
      </x:c>
      <x:c r="N22" s="24" t="str">
        <x:v>Sí</x:v>
      </x:c>
      <x:c r="O22" s="24" t="str">
        <x:v>Conditional on final provenance confirmation</x:v>
      </x:c>
      <x:c r="P22" s="24" t="str">
        <x:v>Only embedded in authorized build</x:v>
      </x:c>
      <x:c r="Q22" s="24" t="str">
        <x:v>General studio/art credits</x:v>
      </x:c>
      <x:c r="R22" s="24" t="str">
        <x:v>No standalone redistribution; avoid third-party logos/trade dress</x:v>
      </x:c>
      <x:c r="S22" s="24" t="str">
        <x:v>CONDITIONALLY APPROVED</x:v>
      </x:c>
      <x:c r="T22" s="24" t="str">
        <x:v>Imported</x:v>
      </x:c>
      <x:c r="U22" s="24" t="str">
        <x:v>Internal; H6 after visual/legal audit</x:v>
      </x:c>
      <x:c r="V22" s="24" t="str">
        <x:v>Low</x:v>
      </x:c>
      <x:c r="W22" s="24" t="str">
        <x:v>VRM Games</x:v>
      </x:c>
      <x:c r="X22" s="24" t="str">
        <x:v>Los materiales sin texturas externas aparentes siguen requiriendo confirmación de origen por lote.</x:v>
      </x:c>
    </x:row>
    <x:row r="23" ht="34" customHeight="1">
      <x:c r="A23" s="24" t="str">
        <x:v>MTX-019</x:v>
      </x:c>
      <x:c r="B23" s="24" t="str">
        <x:v>3581cddeb260abc6af819d45d50d4088</x:v>
      </x:c>
      <x:c r="C23" s="24" t="str">
        <x:v>FurnitureLowDisplay.mat</x:v>
      </x:c>
      <x:c r="D23" s="24" t="str">
        <x:v>Material</x:v>
      </x:c>
      <x:c r="E23" s="24" t="str">
        <x:v>Materials</x:v>
      </x:c>
      <x:c r="F23" s="24" t="str">
        <x:v>VRM Games / internal pipeline</x:v>
      </x:c>
      <x:c r="G23" s="24" t="str">
        <x:v>VRM Games / Blas Luis Rocha González</x:v>
      </x:c>
      <x:c r="H23" s="24" t="str">
        <x:v>Internal project asset</x:v>
      </x:c>
      <x:c r="I23" s="24" t="str">
        <x:v>Internal project IP / authorship claim</x:v>
      </x:c>
      <x:c r="J23" s="24" t="str">
        <x:v>Assets.zip + path/hash</x:v>
      </x:c>
      <x:c r="K23" s="24" t="str">
        <x:v>7135a4169acb6ea603c1bcc4930dfc4cd8e322141360cf46bf7462c7af92c741</x:v>
      </x:c>
      <x:c r="L23" s="24" t="str">
        <x:v>Assets/_Project/Art/Materials/Furniture/FurnitureLowDisplay.mat</x:v>
      </x:c>
      <x:c r="M23" s="24" t="str">
        <x:v>3581cddeb260abc6af819d45d50d4088</x:v>
      </x:c>
      <x:c r="N23" s="24" t="str">
        <x:v>Sí</x:v>
      </x:c>
      <x:c r="O23" s="24" t="str">
        <x:v>Conditional on final provenance confirmation</x:v>
      </x:c>
      <x:c r="P23" s="24" t="str">
        <x:v>Only embedded in authorized build</x:v>
      </x:c>
      <x:c r="Q23" s="24" t="str">
        <x:v>General studio/art credits</x:v>
      </x:c>
      <x:c r="R23" s="24" t="str">
        <x:v>No standalone redistribution; avoid third-party logos/trade dress</x:v>
      </x:c>
      <x:c r="S23" s="24" t="str">
        <x:v>CONDITIONALLY APPROVED</x:v>
      </x:c>
      <x:c r="T23" s="24" t="str">
        <x:v>Imported</x:v>
      </x:c>
      <x:c r="U23" s="24" t="str">
        <x:v>Internal; H6 after visual/legal audit</x:v>
      </x:c>
      <x:c r="V23" s="24" t="str">
        <x:v>Low</x:v>
      </x:c>
      <x:c r="W23" s="24" t="str">
        <x:v>VRM Games</x:v>
      </x:c>
      <x:c r="X23" s="24" t="str">
        <x:v>Los materiales sin texturas externas aparentes siguen requiriendo confirmación de origen por lote.</x:v>
      </x:c>
    </x:row>
    <x:row r="24" ht="34" customHeight="1">
      <x:c r="A24" s="24" t="str">
        <x:v>MTX-020</x:v>
      </x:c>
      <x:c r="B24" s="24" t="str">
        <x:v>8ac885c5b01be0dbc5dcb92550b137c3</x:v>
      </x:c>
      <x:c r="C24" s="24" t="str">
        <x:v>FurnitureStorage.mat</x:v>
      </x:c>
      <x:c r="D24" s="24" t="str">
        <x:v>Material</x:v>
      </x:c>
      <x:c r="E24" s="24" t="str">
        <x:v>Materials</x:v>
      </x:c>
      <x:c r="F24" s="24" t="str">
        <x:v>VRM Games / internal pipeline</x:v>
      </x:c>
      <x:c r="G24" s="24" t="str">
        <x:v>VRM Games / Blas Luis Rocha González</x:v>
      </x:c>
      <x:c r="H24" s="24" t="str">
        <x:v>Internal project asset</x:v>
      </x:c>
      <x:c r="I24" s="24" t="str">
        <x:v>Internal project IP / authorship claim</x:v>
      </x:c>
      <x:c r="J24" s="24" t="str">
        <x:v>Assets.zip + path/hash</x:v>
      </x:c>
      <x:c r="K24" s="24" t="str">
        <x:v>67f5eb3cc36d7799a9659c8d92b6f470a0d65191b6c0d6d32674675c45aac948</x:v>
      </x:c>
      <x:c r="L24" s="24" t="str">
        <x:v>Assets/_Project/Art/Materials/Furniture/FurnitureStorage.mat</x:v>
      </x:c>
      <x:c r="M24" s="24" t="str">
        <x:v>8ac885c5b01be0dbc5dcb92550b137c3</x:v>
      </x:c>
      <x:c r="N24" s="24" t="str">
        <x:v>Sí</x:v>
      </x:c>
      <x:c r="O24" s="24" t="str">
        <x:v>Conditional on final provenance confirmation</x:v>
      </x:c>
      <x:c r="P24" s="24" t="str">
        <x:v>Only embedded in authorized build</x:v>
      </x:c>
      <x:c r="Q24" s="24" t="str">
        <x:v>General studio/art credits</x:v>
      </x:c>
      <x:c r="R24" s="24" t="str">
        <x:v>No standalone redistribution; avoid third-party logos/trade dress</x:v>
      </x:c>
      <x:c r="S24" s="24" t="str">
        <x:v>CONDITIONALLY APPROVED</x:v>
      </x:c>
      <x:c r="T24" s="24" t="str">
        <x:v>Imported</x:v>
      </x:c>
      <x:c r="U24" s="24" t="str">
        <x:v>Internal; H6 after visual/legal audit</x:v>
      </x:c>
      <x:c r="V24" s="24" t="str">
        <x:v>Low</x:v>
      </x:c>
      <x:c r="W24" s="24" t="str">
        <x:v>VRM Games</x:v>
      </x:c>
      <x:c r="X24" s="24" t="str">
        <x:v>Los materiales sin texturas externas aparentes siguen requiriendo confirmación de origen por lote.</x:v>
      </x:c>
    </x:row>
    <x:row r="25" ht="34" customHeight="1">
      <x:c r="A25" s="24" t="str">
        <x:v>MTX-021</x:v>
      </x:c>
      <x:c r="B25" s="24" t="str">
        <x:v>aa560f38bb0d79f36343458850d48646</x:v>
      </x:c>
      <x:c r="C25" s="24" t="str">
        <x:v>FurnitureWallShelf.mat</x:v>
      </x:c>
      <x:c r="D25" s="24" t="str">
        <x:v>Material</x:v>
      </x:c>
      <x:c r="E25" s="24" t="str">
        <x:v>Materials</x:v>
      </x:c>
      <x:c r="F25" s="24" t="str">
        <x:v>VRM Games / internal pipeline</x:v>
      </x:c>
      <x:c r="G25" s="24" t="str">
        <x:v>VRM Games / Blas Luis Rocha González</x:v>
      </x:c>
      <x:c r="H25" s="24" t="str">
        <x:v>Internal project asset</x:v>
      </x:c>
      <x:c r="I25" s="24" t="str">
        <x:v>Internal project IP / authorship claim</x:v>
      </x:c>
      <x:c r="J25" s="24" t="str">
        <x:v>Assets.zip + path/hash</x:v>
      </x:c>
      <x:c r="K25" s="24" t="str">
        <x:v>c2e952b1e3eb77da9dd1f9aa669ccbd8595854b822fc9a038adae76f27aa9cea</x:v>
      </x:c>
      <x:c r="L25" s="24" t="str">
        <x:v>Assets/_Project/Art/Materials/Furniture/FurnitureWallShelf.mat</x:v>
      </x:c>
      <x:c r="M25" s="24" t="str">
        <x:v>aa560f38bb0d79f36343458850d48646</x:v>
      </x:c>
      <x:c r="N25" s="24" t="str">
        <x:v>Sí</x:v>
      </x:c>
      <x:c r="O25" s="24" t="str">
        <x:v>Conditional on final provenance confirmation</x:v>
      </x:c>
      <x:c r="P25" s="24" t="str">
        <x:v>Only embedded in authorized build</x:v>
      </x:c>
      <x:c r="Q25" s="24" t="str">
        <x:v>General studio/art credits</x:v>
      </x:c>
      <x:c r="R25" s="24" t="str">
        <x:v>No standalone redistribution; avoid third-party logos/trade dress</x:v>
      </x:c>
      <x:c r="S25" s="24" t="str">
        <x:v>CONDITIONALLY APPROVED</x:v>
      </x:c>
      <x:c r="T25" s="24" t="str">
        <x:v>Imported</x:v>
      </x:c>
      <x:c r="U25" s="24" t="str">
        <x:v>Internal; H6 after visual/legal audit</x:v>
      </x:c>
      <x:c r="V25" s="24" t="str">
        <x:v>Low</x:v>
      </x:c>
      <x:c r="W25" s="24" t="str">
        <x:v>VRM Games</x:v>
      </x:c>
      <x:c r="X25" s="24" t="str">
        <x:v>Los materiales sin texturas externas aparentes siguen requiriendo confirmación de origen por lote.</x:v>
      </x:c>
    </x:row>
    <x:row r="26" ht="34" customHeight="1">
      <x:c r="A26" s="24" t="str">
        <x:v>MTX-022</x:v>
      </x:c>
      <x:c r="B26" s="24" t="str">
        <x:v>08e87121591997032ca879eaaa356a07</x:v>
      </x:c>
      <x:c r="C26" s="24" t="str">
        <x:v>ProductAccessory.mat</x:v>
      </x:c>
      <x:c r="D26" s="24" t="str">
        <x:v>Material</x:v>
      </x:c>
      <x:c r="E26" s="24" t="str">
        <x:v>Materials</x:v>
      </x:c>
      <x:c r="F26" s="24" t="str">
        <x:v>VRM Games / internal pipeline</x:v>
      </x:c>
      <x:c r="G26" s="24" t="str">
        <x:v>VRM Games / Blas Luis Rocha González</x:v>
      </x:c>
      <x:c r="H26" s="24" t="str">
        <x:v>Internal project asset</x:v>
      </x:c>
      <x:c r="I26" s="24" t="str">
        <x:v>Internal project IP / authorship claim</x:v>
      </x:c>
      <x:c r="J26" s="24" t="str">
        <x:v>Assets.zip + path/hash</x:v>
      </x:c>
      <x:c r="K26" s="24" t="str">
        <x:v>71e0b3b587284ccb8d8318cd9fe38c4e035171525de61d9d7414df91cbf66f80</x:v>
      </x:c>
      <x:c r="L26" s="24" t="str">
        <x:v>Assets/_Project/Art/Materials/Products/ProductAccessory.mat</x:v>
      </x:c>
      <x:c r="M26" s="24" t="str">
        <x:v>08e87121591997032ca879eaaa356a07</x:v>
      </x:c>
      <x:c r="N26" s="24" t="str">
        <x:v>Sí</x:v>
      </x:c>
      <x:c r="O26" s="24" t="str">
        <x:v>Conditional on final provenance confirmation</x:v>
      </x:c>
      <x:c r="P26" s="24" t="str">
        <x:v>Only embedded in authorized build</x:v>
      </x:c>
      <x:c r="Q26" s="24" t="str">
        <x:v>General studio/art credits</x:v>
      </x:c>
      <x:c r="R26" s="24" t="str">
        <x:v>No standalone redistribution; avoid third-party logos/trade dress</x:v>
      </x:c>
      <x:c r="S26" s="24" t="str">
        <x:v>CONDITIONALLY APPROVED</x:v>
      </x:c>
      <x:c r="T26" s="24" t="str">
        <x:v>Imported</x:v>
      </x:c>
      <x:c r="U26" s="24" t="str">
        <x:v>Internal; H6 after visual/legal audit</x:v>
      </x:c>
      <x:c r="V26" s="24" t="str">
        <x:v>Low</x:v>
      </x:c>
      <x:c r="W26" s="24" t="str">
        <x:v>VRM Games</x:v>
      </x:c>
      <x:c r="X26" s="24" t="str">
        <x:v>Los materiales sin texturas externas aparentes siguen requiriendo confirmación de origen por lote.</x:v>
      </x:c>
    </x:row>
    <x:row r="27" ht="34" customHeight="1">
      <x:c r="A27" s="24" t="str">
        <x:v>MTX-023</x:v>
      </x:c>
      <x:c r="B27" s="24" t="str">
        <x:v>af1c448dfd8137fe79bd9438ff09be1b</x:v>
      </x:c>
      <x:c r="C27" s="24" t="str">
        <x:v>ProductCase.mat</x:v>
      </x:c>
      <x:c r="D27" s="24" t="str">
        <x:v>Material</x:v>
      </x:c>
      <x:c r="E27" s="24" t="str">
        <x:v>Materials</x:v>
      </x:c>
      <x:c r="F27" s="24" t="str">
        <x:v>VRM Games / internal pipeline</x:v>
      </x:c>
      <x:c r="G27" s="24" t="str">
        <x:v>VRM Games / Blas Luis Rocha González</x:v>
      </x:c>
      <x:c r="H27" s="24" t="str">
        <x:v>Internal project asset</x:v>
      </x:c>
      <x:c r="I27" s="24" t="str">
        <x:v>Internal project IP / authorship claim</x:v>
      </x:c>
      <x:c r="J27" s="24" t="str">
        <x:v>Assets.zip + path/hash</x:v>
      </x:c>
      <x:c r="K27" s="24" t="str">
        <x:v>834b583e79f73a78e7594d054c599b9f67d62bcd16c48b0e3ad1cf6fd4e36c93</x:v>
      </x:c>
      <x:c r="L27" s="24" t="str">
        <x:v>Assets/_Project/Art/Materials/Products/ProductCase.mat</x:v>
      </x:c>
      <x:c r="M27" s="24" t="str">
        <x:v>af1c448dfd8137fe79bd9438ff09be1b</x:v>
      </x:c>
      <x:c r="N27" s="24" t="str">
        <x:v>Sí</x:v>
      </x:c>
      <x:c r="O27" s="24" t="str">
        <x:v>Conditional on final provenance confirmation</x:v>
      </x:c>
      <x:c r="P27" s="24" t="str">
        <x:v>Only embedded in authorized build</x:v>
      </x:c>
      <x:c r="Q27" s="24" t="str">
        <x:v>General studio/art credits</x:v>
      </x:c>
      <x:c r="R27" s="24" t="str">
        <x:v>No standalone redistribution; avoid third-party logos/trade dress</x:v>
      </x:c>
      <x:c r="S27" s="24" t="str">
        <x:v>CONDITIONALLY APPROVED</x:v>
      </x:c>
      <x:c r="T27" s="24" t="str">
        <x:v>Imported</x:v>
      </x:c>
      <x:c r="U27" s="24" t="str">
        <x:v>Internal; H6 after visual/legal audit</x:v>
      </x:c>
      <x:c r="V27" s="24" t="str">
        <x:v>Low</x:v>
      </x:c>
      <x:c r="W27" s="24" t="str">
        <x:v>VRM Games</x:v>
      </x:c>
      <x:c r="X27" s="24" t="str">
        <x:v>Los materiales sin texturas externas aparentes siguen requiriendo confirmación de origen por lote.</x:v>
      </x:c>
    </x:row>
    <x:row r="28" ht="34" customHeight="1">
      <x:c r="A28" s="24" t="str">
        <x:v>MTX-024</x:v>
      </x:c>
      <x:c r="B28" s="24" t="str">
        <x:v>91fb5d72264906772aa10997a671c030</x:v>
      </x:c>
      <x:c r="C28" s="24" t="str">
        <x:v>ProductConsole.mat</x:v>
      </x:c>
      <x:c r="D28" s="24" t="str">
        <x:v>Material</x:v>
      </x:c>
      <x:c r="E28" s="24" t="str">
        <x:v>Materials</x:v>
      </x:c>
      <x:c r="F28" s="24" t="str">
        <x:v>VRM Games / internal pipeline</x:v>
      </x:c>
      <x:c r="G28" s="24" t="str">
        <x:v>VRM Games / Blas Luis Rocha González</x:v>
      </x:c>
      <x:c r="H28" s="24" t="str">
        <x:v>Internal project asset</x:v>
      </x:c>
      <x:c r="I28" s="24" t="str">
        <x:v>Internal project IP / authorship claim</x:v>
      </x:c>
      <x:c r="J28" s="24" t="str">
        <x:v>Assets.zip + path/hash</x:v>
      </x:c>
      <x:c r="K28" s="24" t="str">
        <x:v>a5d532ea13f610139d55a058954ab6cd2a4e81e108153f743254ea062fa73613</x:v>
      </x:c>
      <x:c r="L28" s="24" t="str">
        <x:v>Assets/_Project/Art/Materials/Products/ProductConsole.mat</x:v>
      </x:c>
      <x:c r="M28" s="24" t="str">
        <x:v>91fb5d72264906772aa10997a671c030</x:v>
      </x:c>
      <x:c r="N28" s="24" t="str">
        <x:v>Sí</x:v>
      </x:c>
      <x:c r="O28" s="24" t="str">
        <x:v>Conditional on final provenance confirmation</x:v>
      </x:c>
      <x:c r="P28" s="24" t="str">
        <x:v>Only embedded in authorized build</x:v>
      </x:c>
      <x:c r="Q28" s="24" t="str">
        <x:v>General studio/art credits</x:v>
      </x:c>
      <x:c r="R28" s="24" t="str">
        <x:v>No standalone redistribution; avoid third-party logos/trade dress</x:v>
      </x:c>
      <x:c r="S28" s="24" t="str">
        <x:v>CONDITIONALLY APPROVED</x:v>
      </x:c>
      <x:c r="T28" s="24" t="str">
        <x:v>Imported</x:v>
      </x:c>
      <x:c r="U28" s="24" t="str">
        <x:v>Internal; H6 after visual/legal audit</x:v>
      </x:c>
      <x:c r="V28" s="24" t="str">
        <x:v>Low</x:v>
      </x:c>
      <x:c r="W28" s="24" t="str">
        <x:v>VRM Games</x:v>
      </x:c>
      <x:c r="X28" s="24" t="str">
        <x:v>Los materiales sin texturas externas aparentes siguen requiriendo confirmación de origen por lote.</x:v>
      </x:c>
    </x:row>
    <x:row r="29" ht="34" customHeight="1">
      <x:c r="A29" s="24" t="str">
        <x:v>MTX-025</x:v>
      </x:c>
      <x:c r="B29" s="24" t="str">
        <x:v>040fec7468929c920b836d7e60a9dbda</x:v>
      </x:c>
      <x:c r="C29" s="24" t="str">
        <x:v>ProductController.mat</x:v>
      </x:c>
      <x:c r="D29" s="24" t="str">
        <x:v>Material</x:v>
      </x:c>
      <x:c r="E29" s="24" t="str">
        <x:v>Materials</x:v>
      </x:c>
      <x:c r="F29" s="24" t="str">
        <x:v>VRM Games / internal pipeline</x:v>
      </x:c>
      <x:c r="G29" s="24" t="str">
        <x:v>VRM Games / Blas Luis Rocha González</x:v>
      </x:c>
      <x:c r="H29" s="24" t="str">
        <x:v>Internal project asset</x:v>
      </x:c>
      <x:c r="I29" s="24" t="str">
        <x:v>Internal project IP / authorship claim</x:v>
      </x:c>
      <x:c r="J29" s="24" t="str">
        <x:v>Assets.zip + path/hash</x:v>
      </x:c>
      <x:c r="K29" s="24" t="str">
        <x:v>c31cf694323b395a0abe9064711cfde500a265bdb019814629b01eb5a4b7e652</x:v>
      </x:c>
      <x:c r="L29" s="24" t="str">
        <x:v>Assets/_Project/Art/Materials/Products/ProductController.mat</x:v>
      </x:c>
      <x:c r="M29" s="24" t="str">
        <x:v>040fec7468929c920b836d7e60a9dbda</x:v>
      </x:c>
      <x:c r="N29" s="24" t="str">
        <x:v>Sí</x:v>
      </x:c>
      <x:c r="O29" s="24" t="str">
        <x:v>Conditional on final provenance confirmation</x:v>
      </x:c>
      <x:c r="P29" s="24" t="str">
        <x:v>Only embedded in authorized build</x:v>
      </x:c>
      <x:c r="Q29" s="24" t="str">
        <x:v>General studio/art credits</x:v>
      </x:c>
      <x:c r="R29" s="24" t="str">
        <x:v>No standalone redistribution; avoid third-party logos/trade dress</x:v>
      </x:c>
      <x:c r="S29" s="24" t="str">
        <x:v>CONDITIONALLY APPROVED</x:v>
      </x:c>
      <x:c r="T29" s="24" t="str">
        <x:v>Imported</x:v>
      </x:c>
      <x:c r="U29" s="24" t="str">
        <x:v>Internal; H6 after visual/legal audit</x:v>
      </x:c>
      <x:c r="V29" s="24" t="str">
        <x:v>Low</x:v>
      </x:c>
      <x:c r="W29" s="24" t="str">
        <x:v>VRM Games</x:v>
      </x:c>
      <x:c r="X29" s="24" t="str">
        <x:v>Los materiales sin texturas externas aparentes siguen requiriendo confirmación de origen por lote.</x:v>
      </x:c>
    </x:row>
    <x:row r="30" ht="34" customHeight="1">
      <x:c r="A30" s="24" t="str">
        <x:v>MTX-026</x:v>
      </x:c>
      <x:c r="B30" s="24" t="str">
        <x:v>9cf2ce93cf9b7a3ced6951ffcf43df73</x:v>
      </x:c>
      <x:c r="C30" s="24" t="str">
        <x:v>ProductGame.mat</x:v>
      </x:c>
      <x:c r="D30" s="24" t="str">
        <x:v>Material</x:v>
      </x:c>
      <x:c r="E30" s="24" t="str">
        <x:v>Materials</x:v>
      </x:c>
      <x:c r="F30" s="24" t="str">
        <x:v>VRM Games / internal pipeline</x:v>
      </x:c>
      <x:c r="G30" s="24" t="str">
        <x:v>VRM Games / Blas Luis Rocha González</x:v>
      </x:c>
      <x:c r="H30" s="24" t="str">
        <x:v>Internal project asset</x:v>
      </x:c>
      <x:c r="I30" s="24" t="str">
        <x:v>Internal project IP / authorship claim</x:v>
      </x:c>
      <x:c r="J30" s="24" t="str">
        <x:v>Assets.zip + path/hash</x:v>
      </x:c>
      <x:c r="K30" s="24" t="str">
        <x:v>46f739d2d6ef1d819082423a419c7992e28453c1c13420709aa4c663eed92e17</x:v>
      </x:c>
      <x:c r="L30" s="24" t="str">
        <x:v>Assets/_Project/Art/Materials/Products/ProductGame.mat</x:v>
      </x:c>
      <x:c r="M30" s="24" t="str">
        <x:v>9cf2ce93cf9b7a3ced6951ffcf43df73</x:v>
      </x:c>
      <x:c r="N30" s="24" t="str">
        <x:v>Sí</x:v>
      </x:c>
      <x:c r="O30" s="24" t="str">
        <x:v>Conditional on final provenance confirmation</x:v>
      </x:c>
      <x:c r="P30" s="24" t="str">
        <x:v>Only embedded in authorized build</x:v>
      </x:c>
      <x:c r="Q30" s="24" t="str">
        <x:v>General studio/art credits</x:v>
      </x:c>
      <x:c r="R30" s="24" t="str">
        <x:v>No standalone redistribution; avoid third-party logos/trade dress</x:v>
      </x:c>
      <x:c r="S30" s="24" t="str">
        <x:v>CONDITIONALLY APPROVED</x:v>
      </x:c>
      <x:c r="T30" s="24" t="str">
        <x:v>Imported</x:v>
      </x:c>
      <x:c r="U30" s="24" t="str">
        <x:v>Internal; H6 after visual/legal audit</x:v>
      </x:c>
      <x:c r="V30" s="24" t="str">
        <x:v>Low</x:v>
      </x:c>
      <x:c r="W30" s="24" t="str">
        <x:v>VRM Games</x:v>
      </x:c>
      <x:c r="X30" s="24" t="str">
        <x:v>Los materiales sin texturas externas aparentes siguen requiriendo confirmación de origen por lote.</x:v>
      </x:c>
    </x:row>
    <x:row r="31" ht="34" customHeight="1">
      <x:c r="A31" s="24" t="str">
        <x:v>MTX-027</x:v>
      </x:c>
      <x:c r="B31" s="24" t="str">
        <x:v>9353ad2fbbce45937735cde7a1cc2ea7</x:v>
      </x:c>
      <x:c r="C31" s="24" t="str">
        <x:v>ProductHeadset.mat</x:v>
      </x:c>
      <x:c r="D31" s="24" t="str">
        <x:v>Material</x:v>
      </x:c>
      <x:c r="E31" s="24" t="str">
        <x:v>Materials</x:v>
      </x:c>
      <x:c r="F31" s="24" t="str">
        <x:v>VRM Games / internal pipeline</x:v>
      </x:c>
      <x:c r="G31" s="24" t="str">
        <x:v>VRM Games / Blas Luis Rocha González</x:v>
      </x:c>
      <x:c r="H31" s="24" t="str">
        <x:v>Internal project asset</x:v>
      </x:c>
      <x:c r="I31" s="24" t="str">
        <x:v>Internal project IP / authorship claim</x:v>
      </x:c>
      <x:c r="J31" s="24" t="str">
        <x:v>Assets.zip + path/hash</x:v>
      </x:c>
      <x:c r="K31" s="24" t="str">
        <x:v>5f5bd2966de5b86944b581d21d45381c1412f2623d4e087283c125ec7be3c3ea</x:v>
      </x:c>
      <x:c r="L31" s="24" t="str">
        <x:v>Assets/_Project/Art/Materials/Products/ProductHeadset.mat</x:v>
      </x:c>
      <x:c r="M31" s="24" t="str">
        <x:v>9353ad2fbbce45937735cde7a1cc2ea7</x:v>
      </x:c>
      <x:c r="N31" s="24" t="str">
        <x:v>Sí</x:v>
      </x:c>
      <x:c r="O31" s="24" t="str">
        <x:v>Conditional on final provenance confirmation</x:v>
      </x:c>
      <x:c r="P31" s="24" t="str">
        <x:v>Only embedded in authorized build</x:v>
      </x:c>
      <x:c r="Q31" s="24" t="str">
        <x:v>General studio/art credits</x:v>
      </x:c>
      <x:c r="R31" s="24" t="str">
        <x:v>No standalone redistribution; avoid third-party logos/trade dress</x:v>
      </x:c>
      <x:c r="S31" s="24" t="str">
        <x:v>CONDITIONALLY APPROVED</x:v>
      </x:c>
      <x:c r="T31" s="24" t="str">
        <x:v>Imported</x:v>
      </x:c>
      <x:c r="U31" s="24" t="str">
        <x:v>Internal; H6 after visual/legal audit</x:v>
      </x:c>
      <x:c r="V31" s="24" t="str">
        <x:v>Low</x:v>
      </x:c>
      <x:c r="W31" s="24" t="str">
        <x:v>VRM Games</x:v>
      </x:c>
      <x:c r="X31" s="24" t="str">
        <x:v>Los materiales sin texturas externas aparentes siguen requiriendo confirmación de origen por lote.</x:v>
      </x:c>
    </x:row>
    <x:row r="32" ht="34" customHeight="1">
      <x:c r="A32" s="24" t="str">
        <x:v>MTX-028</x:v>
      </x:c>
      <x:c r="B32" s="24" t="str">
        <x:v>e9a7e6ead29c07a46837f46d7f45583f</x:v>
      </x:c>
      <x:c r="C32" s="24" t="str">
        <x:v>Amber.mat</x:v>
      </x:c>
      <x:c r="D32" s="24" t="str">
        <x:v>Material</x:v>
      </x:c>
      <x:c r="E32" s="24" t="str">
        <x:v>Materials</x:v>
      </x:c>
      <x:c r="F32" s="24" t="str">
        <x:v>VRM Games / internal pipeline</x:v>
      </x:c>
      <x:c r="G32" s="24" t="str">
        <x:v>VRM Games / Blas Luis Rocha González</x:v>
      </x:c>
      <x:c r="H32" s="24" t="str">
        <x:v>Internal project asset</x:v>
      </x:c>
      <x:c r="I32" s="24" t="str">
        <x:v>Internal project IP / authorship claim</x:v>
      </x:c>
      <x:c r="J32" s="24" t="str">
        <x:v>Assets.zip + path/hash</x:v>
      </x:c>
      <x:c r="K32" s="24" t="str">
        <x:v>0bcd14604b8bc35e0584cf663eaccc980ee39974d32a72a6ef94b55a7d438f85</x:v>
      </x:c>
      <x:c r="L32" s="24" t="str">
        <x:v>Assets/_Project/Art/Materials/Representative/Amber.mat</x:v>
      </x:c>
      <x:c r="M32" s="24" t="str">
        <x:v>e9a7e6ead29c07a46837f46d7f45583f</x:v>
      </x:c>
      <x:c r="N32" s="24" t="str">
        <x:v>Sí</x:v>
      </x:c>
      <x:c r="O32" s="24" t="str">
        <x:v>Conditional on final provenance confirmation</x:v>
      </x:c>
      <x:c r="P32" s="24" t="str">
        <x:v>Only embedded in authorized build</x:v>
      </x:c>
      <x:c r="Q32" s="24" t="str">
        <x:v>General studio/art credits</x:v>
      </x:c>
      <x:c r="R32" s="24" t="str">
        <x:v>No standalone redistribution; avoid third-party logos/trade dress</x:v>
      </x:c>
      <x:c r="S32" s="24" t="str">
        <x:v>CONDITIONALLY APPROVED</x:v>
      </x:c>
      <x:c r="T32" s="24" t="str">
        <x:v>Imported</x:v>
      </x:c>
      <x:c r="U32" s="24" t="str">
        <x:v>Internal; H6 after visual/legal audit</x:v>
      </x:c>
      <x:c r="V32" s="24" t="str">
        <x:v>Low</x:v>
      </x:c>
      <x:c r="W32" s="24" t="str">
        <x:v>VRM Games</x:v>
      </x:c>
      <x:c r="X32" s="24" t="str">
        <x:v>Los materiales sin texturas externas aparentes siguen requiriendo confirmación de origen por lote.</x:v>
      </x:c>
    </x:row>
    <x:row r="33" ht="34" customHeight="1">
      <x:c r="A33" s="24" t="str">
        <x:v>MTX-029</x:v>
      </x:c>
      <x:c r="B33" s="24" t="str">
        <x:v>5aace571ca03cfa478e96975a7ee5667</x:v>
      </x:c>
      <x:c r="C33" s="24" t="str">
        <x:v>BlueGray.mat</x:v>
      </x:c>
      <x:c r="D33" s="24" t="str">
        <x:v>Material</x:v>
      </x:c>
      <x:c r="E33" s="24" t="str">
        <x:v>Materials</x:v>
      </x:c>
      <x:c r="F33" s="24" t="str">
        <x:v>VRM Games / internal pipeline</x:v>
      </x:c>
      <x:c r="G33" s="24" t="str">
        <x:v>VRM Games / Blas Luis Rocha González</x:v>
      </x:c>
      <x:c r="H33" s="24" t="str">
        <x:v>Internal project asset</x:v>
      </x:c>
      <x:c r="I33" s="24" t="str">
        <x:v>Internal project IP / authorship claim</x:v>
      </x:c>
      <x:c r="J33" s="24" t="str">
        <x:v>Assets.zip + path/hash</x:v>
      </x:c>
      <x:c r="K33" s="24" t="str">
        <x:v>1a58e2b7f761b298af95b342c8d6fe4b43fffbafe5f7ff1516616ba86b94c971</x:v>
      </x:c>
      <x:c r="L33" s="24" t="str">
        <x:v>Assets/_Project/Art/Materials/Representative/BlueGray.mat</x:v>
      </x:c>
      <x:c r="M33" s="24" t="str">
        <x:v>5aace571ca03cfa478e96975a7ee5667</x:v>
      </x:c>
      <x:c r="N33" s="24" t="str">
        <x:v>Sí</x:v>
      </x:c>
      <x:c r="O33" s="24" t="str">
        <x:v>Conditional on final provenance confirmation</x:v>
      </x:c>
      <x:c r="P33" s="24" t="str">
        <x:v>Only embedded in authorized build</x:v>
      </x:c>
      <x:c r="Q33" s="24" t="str">
        <x:v>General studio/art credits</x:v>
      </x:c>
      <x:c r="R33" s="24" t="str">
        <x:v>No standalone redistribution; avoid third-party logos/trade dress</x:v>
      </x:c>
      <x:c r="S33" s="24" t="str">
        <x:v>CONDITIONALLY APPROVED</x:v>
      </x:c>
      <x:c r="T33" s="24" t="str">
        <x:v>Imported</x:v>
      </x:c>
      <x:c r="U33" s="24" t="str">
        <x:v>Internal; H6 after visual/legal audit</x:v>
      </x:c>
      <x:c r="V33" s="24" t="str">
        <x:v>Low</x:v>
      </x:c>
      <x:c r="W33" s="24" t="str">
        <x:v>VRM Games</x:v>
      </x:c>
      <x:c r="X33" s="24" t="str">
        <x:v>Los materiales sin texturas externas aparentes siguen requiriendo confirmación de origen por lote.</x:v>
      </x:c>
    </x:row>
    <x:row r="34" ht="34" customHeight="1">
      <x:c r="A34" s="24" t="str">
        <x:v>MTX-030</x:v>
      </x:c>
      <x:c r="B34" s="24" t="str">
        <x:v>fabc9b019c8a2e0459d607e051183e8f</x:v>
      </x:c>
      <x:c r="C34" s="24" t="str">
        <x:v>Cardboard.mat</x:v>
      </x:c>
      <x:c r="D34" s="24" t="str">
        <x:v>Material</x:v>
      </x:c>
      <x:c r="E34" s="24" t="str">
        <x:v>Materials</x:v>
      </x:c>
      <x:c r="F34" s="24" t="str">
        <x:v>VRM Games / internal pipeline</x:v>
      </x:c>
      <x:c r="G34" s="24" t="str">
        <x:v>VRM Games / Blas Luis Rocha González</x:v>
      </x:c>
      <x:c r="H34" s="24" t="str">
        <x:v>Internal project asset</x:v>
      </x:c>
      <x:c r="I34" s="24" t="str">
        <x:v>Internal project IP / authorship claim</x:v>
      </x:c>
      <x:c r="J34" s="24" t="str">
        <x:v>Assets.zip + path/hash</x:v>
      </x:c>
      <x:c r="K34" s="24" t="str">
        <x:v>0c00085dd7b187af1493205d396d6964fa254e51548c508244ba804061ea5908</x:v>
      </x:c>
      <x:c r="L34" s="24" t="str">
        <x:v>Assets/_Project/Art/Materials/Representative/Cardboard.mat</x:v>
      </x:c>
      <x:c r="M34" s="24" t="str">
        <x:v>fabc9b019c8a2e0459d607e051183e8f</x:v>
      </x:c>
      <x:c r="N34" s="24" t="str">
        <x:v>Sí</x:v>
      </x:c>
      <x:c r="O34" s="24" t="str">
        <x:v>Conditional on final provenance confirmation</x:v>
      </x:c>
      <x:c r="P34" s="24" t="str">
        <x:v>Only embedded in authorized build</x:v>
      </x:c>
      <x:c r="Q34" s="24" t="str">
        <x:v>General studio/art credits</x:v>
      </x:c>
      <x:c r="R34" s="24" t="str">
        <x:v>No standalone redistribution; avoid third-party logos/trade dress</x:v>
      </x:c>
      <x:c r="S34" s="24" t="str">
        <x:v>CONDITIONALLY APPROVED</x:v>
      </x:c>
      <x:c r="T34" s="24" t="str">
        <x:v>Imported</x:v>
      </x:c>
      <x:c r="U34" s="24" t="str">
        <x:v>Internal; H6 after visual/legal audit</x:v>
      </x:c>
      <x:c r="V34" s="24" t="str">
        <x:v>Low</x:v>
      </x:c>
      <x:c r="W34" s="24" t="str">
        <x:v>VRM Games</x:v>
      </x:c>
      <x:c r="X34" s="24" t="str">
        <x:v>Los materiales sin texturas externas aparentes siguen requiriendo confirmación de origen por lote.</x:v>
      </x:c>
    </x:row>
    <x:row r="35" ht="34" customHeight="1">
      <x:c r="A35" s="24" t="str">
        <x:v>MTX-031</x:v>
      </x:c>
      <x:c r="B35" s="24" t="str">
        <x:v>bc3fad4479f8bb641a96ab3d7412ab6a</x:v>
      </x:c>
      <x:c r="C35" s="24" t="str">
        <x:v>Cyan.mat</x:v>
      </x:c>
      <x:c r="D35" s="24" t="str">
        <x:v>Material</x:v>
      </x:c>
      <x:c r="E35" s="24" t="str">
        <x:v>Materials</x:v>
      </x:c>
      <x:c r="F35" s="24" t="str">
        <x:v>VRM Games / internal pipeline</x:v>
      </x:c>
      <x:c r="G35" s="24" t="str">
        <x:v>VRM Games / Blas Luis Rocha González</x:v>
      </x:c>
      <x:c r="H35" s="24" t="str">
        <x:v>Internal project asset</x:v>
      </x:c>
      <x:c r="I35" s="24" t="str">
        <x:v>Internal project IP / authorship claim</x:v>
      </x:c>
      <x:c r="J35" s="24" t="str">
        <x:v>Assets.zip + path/hash</x:v>
      </x:c>
      <x:c r="K35" s="24" t="str">
        <x:v>52da5b53e2e42ac5b572a1731e2ed7fe3e6f792b2b6b625a15f42c30d742e07c</x:v>
      </x:c>
      <x:c r="L35" s="24" t="str">
        <x:v>Assets/_Project/Art/Materials/Representative/Cyan.mat</x:v>
      </x:c>
      <x:c r="M35" s="24" t="str">
        <x:v>bc3fad4479f8bb641a96ab3d7412ab6a</x:v>
      </x:c>
      <x:c r="N35" s="24" t="str">
        <x:v>Sí</x:v>
      </x:c>
      <x:c r="O35" s="24" t="str">
        <x:v>Conditional on final provenance confirmation</x:v>
      </x:c>
      <x:c r="P35" s="24" t="str">
        <x:v>Only embedded in authorized build</x:v>
      </x:c>
      <x:c r="Q35" s="24" t="str">
        <x:v>General studio/art credits</x:v>
      </x:c>
      <x:c r="R35" s="24" t="str">
        <x:v>No standalone redistribution; avoid third-party logos/trade dress</x:v>
      </x:c>
      <x:c r="S35" s="24" t="str">
        <x:v>CONDITIONALLY APPROVED</x:v>
      </x:c>
      <x:c r="T35" s="24" t="str">
        <x:v>Imported</x:v>
      </x:c>
      <x:c r="U35" s="24" t="str">
        <x:v>Internal; H6 after visual/legal audit</x:v>
      </x:c>
      <x:c r="V35" s="24" t="str">
        <x:v>Low</x:v>
      </x:c>
      <x:c r="W35" s="24" t="str">
        <x:v>VRM Games</x:v>
      </x:c>
      <x:c r="X35" s="24" t="str">
        <x:v>Los materiales sin texturas externas aparentes siguen requiriendo confirmación de origen por lote.</x:v>
      </x:c>
    </x:row>
    <x:row r="36" ht="34" customHeight="1">
      <x:c r="A36" s="24" t="str">
        <x:v>MTX-032</x:v>
      </x:c>
      <x:c r="B36" s="24" t="str">
        <x:v>5478184d5a9c7a847924b46f518809ab</x:v>
      </x:c>
      <x:c r="C36" s="24" t="str">
        <x:v>CyanEmissive.mat</x:v>
      </x:c>
      <x:c r="D36" s="24" t="str">
        <x:v>Material</x:v>
      </x:c>
      <x:c r="E36" s="24" t="str">
        <x:v>Materials</x:v>
      </x:c>
      <x:c r="F36" s="24" t="str">
        <x:v>VRM Games / internal pipeline</x:v>
      </x:c>
      <x:c r="G36" s="24" t="str">
        <x:v>VRM Games / Blas Luis Rocha González</x:v>
      </x:c>
      <x:c r="H36" s="24" t="str">
        <x:v>Internal project asset</x:v>
      </x:c>
      <x:c r="I36" s="24" t="str">
        <x:v>Internal project IP / authorship claim</x:v>
      </x:c>
      <x:c r="J36" s="24" t="str">
        <x:v>Assets.zip + path/hash</x:v>
      </x:c>
      <x:c r="K36" s="24" t="str">
        <x:v>3821918a11574ed5ce7ef04d06cdd109122d25573b25997a1b01f3c2c936d64a</x:v>
      </x:c>
      <x:c r="L36" s="24" t="str">
        <x:v>Assets/_Project/Art/Materials/Representative/CyanEmissive.mat</x:v>
      </x:c>
      <x:c r="M36" s="24" t="str">
        <x:v>5478184d5a9c7a847924b46f518809ab</x:v>
      </x:c>
      <x:c r="N36" s="24" t="str">
        <x:v>Sí</x:v>
      </x:c>
      <x:c r="O36" s="24" t="str">
        <x:v>Conditional on final provenance confirmation</x:v>
      </x:c>
      <x:c r="P36" s="24" t="str">
        <x:v>Only embedded in authorized build</x:v>
      </x:c>
      <x:c r="Q36" s="24" t="str">
        <x:v>General studio/art credits</x:v>
      </x:c>
      <x:c r="R36" s="24" t="str">
        <x:v>No standalone redistribution; avoid third-party logos/trade dress</x:v>
      </x:c>
      <x:c r="S36" s="24" t="str">
        <x:v>CONDITIONALLY APPROVED</x:v>
      </x:c>
      <x:c r="T36" s="24" t="str">
        <x:v>Imported</x:v>
      </x:c>
      <x:c r="U36" s="24" t="str">
        <x:v>Internal; H6 after visual/legal audit</x:v>
      </x:c>
      <x:c r="V36" s="24" t="str">
        <x:v>Low</x:v>
      </x:c>
      <x:c r="W36" s="24" t="str">
        <x:v>VRM Games</x:v>
      </x:c>
      <x:c r="X36" s="24" t="str">
        <x:v>Los materiales sin texturas externas aparentes siguen requiriendo confirmación de origen por lote.</x:v>
      </x:c>
    </x:row>
    <x:row r="37" ht="34" customHeight="1">
      <x:c r="A37" s="24" t="str">
        <x:v>MTX-033</x:v>
      </x:c>
      <x:c r="B37" s="24" t="str">
        <x:v>fd2d442dc1f37c54184a14e0f0ccff98</x:v>
      </x:c>
      <x:c r="C37" s="24" t="str">
        <x:v>DarkSurface.mat</x:v>
      </x:c>
      <x:c r="D37" s="24" t="str">
        <x:v>Material</x:v>
      </x:c>
      <x:c r="E37" s="24" t="str">
        <x:v>Materials</x:v>
      </x:c>
      <x:c r="F37" s="24" t="str">
        <x:v>VRM Games / internal pipeline</x:v>
      </x:c>
      <x:c r="G37" s="24" t="str">
        <x:v>VRM Games / Blas Luis Rocha González</x:v>
      </x:c>
      <x:c r="H37" s="24" t="str">
        <x:v>Internal project asset</x:v>
      </x:c>
      <x:c r="I37" s="24" t="str">
        <x:v>Internal project IP / authorship claim</x:v>
      </x:c>
      <x:c r="J37" s="24" t="str">
        <x:v>Assets.zip + path/hash</x:v>
      </x:c>
      <x:c r="K37" s="24" t="str">
        <x:v>e1d42c315bee2b70323ff002dfd39e3fdac8c4f80cdd3b2fdec6efa69221457d</x:v>
      </x:c>
      <x:c r="L37" s="24" t="str">
        <x:v>Assets/_Project/Art/Materials/Representative/DarkSurface.mat</x:v>
      </x:c>
      <x:c r="M37" s="24" t="str">
        <x:v>fd2d442dc1f37c54184a14e0f0ccff98</x:v>
      </x:c>
      <x:c r="N37" s="24" t="str">
        <x:v>Sí</x:v>
      </x:c>
      <x:c r="O37" s="24" t="str">
        <x:v>Conditional on final provenance confirmation</x:v>
      </x:c>
      <x:c r="P37" s="24" t="str">
        <x:v>Only embedded in authorized build</x:v>
      </x:c>
      <x:c r="Q37" s="24" t="str">
        <x:v>General studio/art credits</x:v>
      </x:c>
      <x:c r="R37" s="24" t="str">
        <x:v>No standalone redistribution; avoid third-party logos/trade dress</x:v>
      </x:c>
      <x:c r="S37" s="24" t="str">
        <x:v>CONDITIONALLY APPROVED</x:v>
      </x:c>
      <x:c r="T37" s="24" t="str">
        <x:v>Imported</x:v>
      </x:c>
      <x:c r="U37" s="24" t="str">
        <x:v>Internal; H6 after visual/legal audit</x:v>
      </x:c>
      <x:c r="V37" s="24" t="str">
        <x:v>Low</x:v>
      </x:c>
      <x:c r="W37" s="24" t="str">
        <x:v>VRM Games</x:v>
      </x:c>
      <x:c r="X37" s="24" t="str">
        <x:v>Los materiales sin texturas externas aparentes siguen requiriendo confirmación de origen por lote.</x:v>
      </x:c>
    </x:row>
    <x:row r="38" ht="34" customHeight="1">
      <x:c r="A38" s="24" t="str">
        <x:v>MTX-034</x:v>
      </x:c>
      <x:c r="B38" s="24" t="str">
        <x:v>c5ce338d6ad18e44898ebe940b4b9cd3</x:v>
      </x:c>
      <x:c r="C38" s="24" t="str">
        <x:v>Glass.mat</x:v>
      </x:c>
      <x:c r="D38" s="24" t="str">
        <x:v>Material</x:v>
      </x:c>
      <x:c r="E38" s="24" t="str">
        <x:v>Materials</x:v>
      </x:c>
      <x:c r="F38" s="24" t="str">
        <x:v>VRM Games / internal pipeline</x:v>
      </x:c>
      <x:c r="G38" s="24" t="str">
        <x:v>VRM Games / Blas Luis Rocha González</x:v>
      </x:c>
      <x:c r="H38" s="24" t="str">
        <x:v>Internal project asset</x:v>
      </x:c>
      <x:c r="I38" s="24" t="str">
        <x:v>Internal project IP / authorship claim</x:v>
      </x:c>
      <x:c r="J38" s="24" t="str">
        <x:v>Assets.zip + path/hash</x:v>
      </x:c>
      <x:c r="K38" s="24" t="str">
        <x:v>548acbafff9f28c1a688b49fa6fc705c65122b14b05a15f870dbf16a43b39201</x:v>
      </x:c>
      <x:c r="L38" s="24" t="str">
        <x:v>Assets/_Project/Art/Materials/Representative/Glass.mat</x:v>
      </x:c>
      <x:c r="M38" s="24" t="str">
        <x:v>c5ce338d6ad18e44898ebe940b4b9cd3</x:v>
      </x:c>
      <x:c r="N38" s="24" t="str">
        <x:v>Sí</x:v>
      </x:c>
      <x:c r="O38" s="24" t="str">
        <x:v>Conditional on final provenance confirmation</x:v>
      </x:c>
      <x:c r="P38" s="24" t="str">
        <x:v>Only embedded in authorized build</x:v>
      </x:c>
      <x:c r="Q38" s="24" t="str">
        <x:v>General studio/art credits</x:v>
      </x:c>
      <x:c r="R38" s="24" t="str">
        <x:v>No standalone redistribution; avoid third-party logos/trade dress</x:v>
      </x:c>
      <x:c r="S38" s="24" t="str">
        <x:v>CONDITIONALLY APPROVED</x:v>
      </x:c>
      <x:c r="T38" s="24" t="str">
        <x:v>Imported</x:v>
      </x:c>
      <x:c r="U38" s="24" t="str">
        <x:v>Internal; H6 after visual/legal audit</x:v>
      </x:c>
      <x:c r="V38" s="24" t="str">
        <x:v>Low</x:v>
      </x:c>
      <x:c r="W38" s="24" t="str">
        <x:v>VRM Games</x:v>
      </x:c>
      <x:c r="X38" s="24" t="str">
        <x:v>Los materiales sin texturas externas aparentes siguen requiriendo confirmación de origen por lote.</x:v>
      </x:c>
    </x:row>
    <x:row r="39" ht="34" customHeight="1">
      <x:c r="A39" s="24" t="str">
        <x:v>MTX-035</x:v>
      </x:c>
      <x:c r="B39" s="24" t="str">
        <x:v>c3ef741ec3b5b5144a95f70d7cf83b1a</x:v>
      </x:c>
      <x:c r="C39" s="24" t="str">
        <x:v>Graphite.mat</x:v>
      </x:c>
      <x:c r="D39" s="24" t="str">
        <x:v>Material</x:v>
      </x:c>
      <x:c r="E39" s="24" t="str">
        <x:v>Materials</x:v>
      </x:c>
      <x:c r="F39" s="24" t="str">
        <x:v>VRM Games / internal pipeline</x:v>
      </x:c>
      <x:c r="G39" s="24" t="str">
        <x:v>VRM Games / Blas Luis Rocha González</x:v>
      </x:c>
      <x:c r="H39" s="24" t="str">
        <x:v>Internal project asset</x:v>
      </x:c>
      <x:c r="I39" s="24" t="str">
        <x:v>Internal project IP / authorship claim</x:v>
      </x:c>
      <x:c r="J39" s="24" t="str">
        <x:v>Assets.zip + path/hash</x:v>
      </x:c>
      <x:c r="K39" s="24" t="str">
        <x:v>c48c8dd86340f75e1655a1a8771c13549a172d00d688301f6e2e5700fe5b6e89</x:v>
      </x:c>
      <x:c r="L39" s="24" t="str">
        <x:v>Assets/_Project/Art/Materials/Representative/Graphite.mat</x:v>
      </x:c>
      <x:c r="M39" s="24" t="str">
        <x:v>c3ef741ec3b5b5144a95f70d7cf83b1a</x:v>
      </x:c>
      <x:c r="N39" s="24" t="str">
        <x:v>Sí</x:v>
      </x:c>
      <x:c r="O39" s="24" t="str">
        <x:v>Conditional on final provenance confirmation</x:v>
      </x:c>
      <x:c r="P39" s="24" t="str">
        <x:v>Only embedded in authorized build</x:v>
      </x:c>
      <x:c r="Q39" s="24" t="str">
        <x:v>General studio/art credits</x:v>
      </x:c>
      <x:c r="R39" s="24" t="str">
        <x:v>No standalone redistribution; avoid third-party logos/trade dress</x:v>
      </x:c>
      <x:c r="S39" s="24" t="str">
        <x:v>CONDITIONALLY APPROVED</x:v>
      </x:c>
      <x:c r="T39" s="24" t="str">
        <x:v>Imported</x:v>
      </x:c>
      <x:c r="U39" s="24" t="str">
        <x:v>Internal; H6 after visual/legal audit</x:v>
      </x:c>
      <x:c r="V39" s="24" t="str">
        <x:v>Low</x:v>
      </x:c>
      <x:c r="W39" s="24" t="str">
        <x:v>VRM Games</x:v>
      </x:c>
      <x:c r="X39" s="24" t="str">
        <x:v>Los materiales sin texturas externas aparentes siguen requiriendo confirmación de origen por lote.</x:v>
      </x:c>
    </x:row>
    <x:row r="40" ht="34" customHeight="1">
      <x:c r="A40" s="24" t="str">
        <x:v>MTX-036</x:v>
      </x:c>
      <x:c r="B40" s="24" t="str">
        <x:v>7825ba7dd6bdae94e9269af8b70ab14f</x:v>
      </x:c>
      <x:c r="C40" s="24" t="str">
        <x:v>LightNeutral.mat</x:v>
      </x:c>
      <x:c r="D40" s="24" t="str">
        <x:v>Material</x:v>
      </x:c>
      <x:c r="E40" s="24" t="str">
        <x:v>Materials</x:v>
      </x:c>
      <x:c r="F40" s="24" t="str">
        <x:v>VRM Games / internal pipeline</x:v>
      </x:c>
      <x:c r="G40" s="24" t="str">
        <x:v>VRM Games / Blas Luis Rocha González</x:v>
      </x:c>
      <x:c r="H40" s="24" t="str">
        <x:v>Internal project asset</x:v>
      </x:c>
      <x:c r="I40" s="24" t="str">
        <x:v>Internal project IP / authorship claim</x:v>
      </x:c>
      <x:c r="J40" s="24" t="str">
        <x:v>Assets.zip + path/hash</x:v>
      </x:c>
      <x:c r="K40" s="24" t="str">
        <x:v>779143a44de3039e8a74f894b2d43b8a2196972e4c4e34652856772c635f4466</x:v>
      </x:c>
      <x:c r="L40" s="24" t="str">
        <x:v>Assets/_Project/Art/Materials/Representative/LightNeutral.mat</x:v>
      </x:c>
      <x:c r="M40" s="24" t="str">
        <x:v>7825ba7dd6bdae94e9269af8b70ab14f</x:v>
      </x:c>
      <x:c r="N40" s="24" t="str">
        <x:v>Sí</x:v>
      </x:c>
      <x:c r="O40" s="24" t="str">
        <x:v>Conditional on final provenance confirmation</x:v>
      </x:c>
      <x:c r="P40" s="24" t="str">
        <x:v>Only embedded in authorized build</x:v>
      </x:c>
      <x:c r="Q40" s="24" t="str">
        <x:v>General studio/art credits</x:v>
      </x:c>
      <x:c r="R40" s="24" t="str">
        <x:v>No standalone redistribution; avoid third-party logos/trade dress</x:v>
      </x:c>
      <x:c r="S40" s="24" t="str">
        <x:v>CONDITIONALLY APPROVED</x:v>
      </x:c>
      <x:c r="T40" s="24" t="str">
        <x:v>Imported</x:v>
      </x:c>
      <x:c r="U40" s="24" t="str">
        <x:v>Internal; H6 after visual/legal audit</x:v>
      </x:c>
      <x:c r="V40" s="24" t="str">
        <x:v>Low</x:v>
      </x:c>
      <x:c r="W40" s="24" t="str">
        <x:v>VRM Games</x:v>
      </x:c>
      <x:c r="X40" s="24" t="str">
        <x:v>Los materiales sin texturas externas aparentes siguen requiriendo confirmación de origen por lote.</x:v>
      </x:c>
    </x:row>
    <x:row r="41" ht="34" customHeight="1">
      <x:c r="A41" s="24" t="str">
        <x:v>MTX-037</x:v>
      </x:c>
      <x:c r="B41" s="24" t="str">
        <x:v>66acee09c9b77a4448e19515fb417ec9</x:v>
      </x:c>
      <x:c r="C41" s="24" t="str">
        <x:v>Red.mat</x:v>
      </x:c>
      <x:c r="D41" s="24" t="str">
        <x:v>Material</x:v>
      </x:c>
      <x:c r="E41" s="24" t="str">
        <x:v>Materials</x:v>
      </x:c>
      <x:c r="F41" s="24" t="str">
        <x:v>VRM Games / internal pipeline</x:v>
      </x:c>
      <x:c r="G41" s="24" t="str">
        <x:v>VRM Games / Blas Luis Rocha González</x:v>
      </x:c>
      <x:c r="H41" s="24" t="str">
        <x:v>Internal project asset</x:v>
      </x:c>
      <x:c r="I41" s="24" t="str">
        <x:v>Internal project IP / authorship claim</x:v>
      </x:c>
      <x:c r="J41" s="24" t="str">
        <x:v>Assets.zip + path/hash</x:v>
      </x:c>
      <x:c r="K41" s="24" t="str">
        <x:v>a0369df4d4440f79644fc3809cf70c129cc518ac72a1cf8ba4cf89696640c58c</x:v>
      </x:c>
      <x:c r="L41" s="24" t="str">
        <x:v>Assets/_Project/Art/Materials/Representative/Red.mat</x:v>
      </x:c>
      <x:c r="M41" s="24" t="str">
        <x:v>66acee09c9b77a4448e19515fb417ec9</x:v>
      </x:c>
      <x:c r="N41" s="24" t="str">
        <x:v>Sí</x:v>
      </x:c>
      <x:c r="O41" s="24" t="str">
        <x:v>Conditional on final provenance confirmation</x:v>
      </x:c>
      <x:c r="P41" s="24" t="str">
        <x:v>Only embedded in authorized build</x:v>
      </x:c>
      <x:c r="Q41" s="24" t="str">
        <x:v>General studio/art credits</x:v>
      </x:c>
      <x:c r="R41" s="24" t="str">
        <x:v>No standalone redistribution; avoid third-party logos/trade dress</x:v>
      </x:c>
      <x:c r="S41" s="24" t="str">
        <x:v>CONDITIONALLY APPROVED</x:v>
      </x:c>
      <x:c r="T41" s="24" t="str">
        <x:v>Imported</x:v>
      </x:c>
      <x:c r="U41" s="24" t="str">
        <x:v>Internal; H6 after visual/legal audit</x:v>
      </x:c>
      <x:c r="V41" s="24" t="str">
        <x:v>Low</x:v>
      </x:c>
      <x:c r="W41" s="24" t="str">
        <x:v>VRM Games</x:v>
      </x:c>
      <x:c r="X41" s="24" t="str">
        <x:v>Los materiales sin texturas externas aparentes siguen requiriendo confirmación de origen por lote.</x:v>
      </x:c>
    </x:row>
    <x:row r="42" ht="34" customHeight="1">
      <x:c r="A42" s="24" t="str">
        <x:v>MTX-038</x:v>
      </x:c>
      <x:c r="B42" s="24" t="str">
        <x:v>deadbc48b5d1847419439baba3abb446</x:v>
      </x:c>
      <x:c r="C42" s="24" t="str">
        <x:v>VRMGreen.mat</x:v>
      </x:c>
      <x:c r="D42" s="24" t="str">
        <x:v>Material</x:v>
      </x:c>
      <x:c r="E42" s="24" t="str">
        <x:v>Materials</x:v>
      </x:c>
      <x:c r="F42" s="24" t="str">
        <x:v>VRM Games / internal pipeline</x:v>
      </x:c>
      <x:c r="G42" s="24" t="str">
        <x:v>VRM Games / Blas Luis Rocha González</x:v>
      </x:c>
      <x:c r="H42" s="24" t="str">
        <x:v>Internal project asset</x:v>
      </x:c>
      <x:c r="I42" s="24" t="str">
        <x:v>Internal project IP / authorship claim</x:v>
      </x:c>
      <x:c r="J42" s="24" t="str">
        <x:v>Assets.zip + path/hash</x:v>
      </x:c>
      <x:c r="K42" s="24" t="str">
        <x:v>c744fc6073c10e4941b6d4b30107319f5e997cc1b13425dcba98b76397da66a1</x:v>
      </x:c>
      <x:c r="L42" s="24" t="str">
        <x:v>Assets/_Project/Art/Materials/Representative/VRMGreen.mat</x:v>
      </x:c>
      <x:c r="M42" s="24" t="str">
        <x:v>deadbc48b5d1847419439baba3abb446</x:v>
      </x:c>
      <x:c r="N42" s="24" t="str">
        <x:v>Sí</x:v>
      </x:c>
      <x:c r="O42" s="24" t="str">
        <x:v>Conditional on final provenance confirmation</x:v>
      </x:c>
      <x:c r="P42" s="24" t="str">
        <x:v>Only embedded in authorized build</x:v>
      </x:c>
      <x:c r="Q42" s="24" t="str">
        <x:v>General studio/art credits</x:v>
      </x:c>
      <x:c r="R42" s="24" t="str">
        <x:v>No standalone redistribution; avoid third-party logos/trade dress</x:v>
      </x:c>
      <x:c r="S42" s="24" t="str">
        <x:v>CONDITIONALLY APPROVED</x:v>
      </x:c>
      <x:c r="T42" s="24" t="str">
        <x:v>Imported</x:v>
      </x:c>
      <x:c r="U42" s="24" t="str">
        <x:v>Internal; H6 after visual/legal audit</x:v>
      </x:c>
      <x:c r="V42" s="24" t="str">
        <x:v>Low</x:v>
      </x:c>
      <x:c r="W42" s="24" t="str">
        <x:v>VRM Games</x:v>
      </x:c>
      <x:c r="X42" s="24" t="str">
        <x:v>Los materiales sin texturas externas aparentes siguen requiriendo confirmación de origen por lote.</x:v>
      </x:c>
    </x:row>
    <x:row r="43" ht="34" customHeight="1">
      <x:c r="A43" s="24" t="str">
        <x:v>MTX-039</x:v>
      </x:c>
      <x:c r="B43" s="24" t="str">
        <x:v>0b36bf9c749064348bba97bbec2942c9</x:v>
      </x:c>
      <x:c r="C43" s="24" t="str">
        <x:v>VRMGreenEmissive.mat</x:v>
      </x:c>
      <x:c r="D43" s="24" t="str">
        <x:v>Material</x:v>
      </x:c>
      <x:c r="E43" s="24" t="str">
        <x:v>Materials</x:v>
      </x:c>
      <x:c r="F43" s="24" t="str">
        <x:v>VRM Games / internal pipeline</x:v>
      </x:c>
      <x:c r="G43" s="24" t="str">
        <x:v>VRM Games / Blas Luis Rocha González</x:v>
      </x:c>
      <x:c r="H43" s="24" t="str">
        <x:v>Internal project asset</x:v>
      </x:c>
      <x:c r="I43" s="24" t="str">
        <x:v>Internal project IP / authorship claim</x:v>
      </x:c>
      <x:c r="J43" s="24" t="str">
        <x:v>Assets.zip + path/hash</x:v>
      </x:c>
      <x:c r="K43" s="24" t="str">
        <x:v>b2cf4e50c17cd0adc30088d0086652ed551d3d4fff636222a711eb801b406a6a</x:v>
      </x:c>
      <x:c r="L43" s="24" t="str">
        <x:v>Assets/_Project/Art/Materials/Representative/VRMGreenEmissive.mat</x:v>
      </x:c>
      <x:c r="M43" s="24" t="str">
        <x:v>0b36bf9c749064348bba97bbec2942c9</x:v>
      </x:c>
      <x:c r="N43" s="24" t="str">
        <x:v>Sí</x:v>
      </x:c>
      <x:c r="O43" s="24" t="str">
        <x:v>Conditional on final provenance confirmation</x:v>
      </x:c>
      <x:c r="P43" s="24" t="str">
        <x:v>Only embedded in authorized build</x:v>
      </x:c>
      <x:c r="Q43" s="24" t="str">
        <x:v>General studio/art credits</x:v>
      </x:c>
      <x:c r="R43" s="24" t="str">
        <x:v>No standalone redistribution; avoid third-party logos/trade dress</x:v>
      </x:c>
      <x:c r="S43" s="24" t="str">
        <x:v>CONDITIONALLY APPROVED</x:v>
      </x:c>
      <x:c r="T43" s="24" t="str">
        <x:v>Imported</x:v>
      </x:c>
      <x:c r="U43" s="24" t="str">
        <x:v>Internal; H6 after visual/legal audit</x:v>
      </x:c>
      <x:c r="V43" s="24" t="str">
        <x:v>Low</x:v>
      </x:c>
      <x:c r="W43" s="24" t="str">
        <x:v>VRM Games</x:v>
      </x:c>
      <x:c r="X43" s="24" t="str">
        <x:v>Los materiales sin texturas externas aparentes siguen requiriendo confirmación de origen por lote.</x:v>
      </x:c>
    </x:row>
    <x:row r="44" ht="34" customHeight="1">
      <x:c r="A44" s="24" t="str">
        <x:v>MTX-040</x:v>
      </x:c>
      <x:c r="B44" s="24" t="str">
        <x:v>f29c9f5017f38184bb87ca20fcb77015</x:v>
      </x:c>
      <x:c r="C44" s="24" t="str">
        <x:v>WarmWood.mat</x:v>
      </x:c>
      <x:c r="D44" s="24" t="str">
        <x:v>Material</x:v>
      </x:c>
      <x:c r="E44" s="24" t="str">
        <x:v>Materials</x:v>
      </x:c>
      <x:c r="F44" s="24" t="str">
        <x:v>VRM Games / internal pipeline</x:v>
      </x:c>
      <x:c r="G44" s="24" t="str">
        <x:v>VRM Games / Blas Luis Rocha González</x:v>
      </x:c>
      <x:c r="H44" s="24" t="str">
        <x:v>Internal project asset</x:v>
      </x:c>
      <x:c r="I44" s="24" t="str">
        <x:v>Internal project IP / authorship claim</x:v>
      </x:c>
      <x:c r="J44" s="24" t="str">
        <x:v>Assets.zip + path/hash</x:v>
      </x:c>
      <x:c r="K44" s="24" t="str">
        <x:v>69090921169d5b51a2d6541b371b19397e54a3ad7daeba396db35406c620aab8</x:v>
      </x:c>
      <x:c r="L44" s="24" t="str">
        <x:v>Assets/_Project/Art/Materials/Representative/WarmWood.mat</x:v>
      </x:c>
      <x:c r="M44" s="24" t="str">
        <x:v>f29c9f5017f38184bb87ca20fcb77015</x:v>
      </x:c>
      <x:c r="N44" s="24" t="str">
        <x:v>Sí</x:v>
      </x:c>
      <x:c r="O44" s="24" t="str">
        <x:v>Conditional on final provenance confirmation</x:v>
      </x:c>
      <x:c r="P44" s="24" t="str">
        <x:v>Only embedded in authorized build</x:v>
      </x:c>
      <x:c r="Q44" s="24" t="str">
        <x:v>General studio/art credits</x:v>
      </x:c>
      <x:c r="R44" s="24" t="str">
        <x:v>No standalone redistribution; avoid third-party logos/trade dress</x:v>
      </x:c>
      <x:c r="S44" s="24" t="str">
        <x:v>CONDITIONALLY APPROVED</x:v>
      </x:c>
      <x:c r="T44" s="24" t="str">
        <x:v>Imported</x:v>
      </x:c>
      <x:c r="U44" s="24" t="str">
        <x:v>Internal; H6 after visual/legal audit</x:v>
      </x:c>
      <x:c r="V44" s="24" t="str">
        <x:v>Low</x:v>
      </x:c>
      <x:c r="W44" s="24" t="str">
        <x:v>VRM Games</x:v>
      </x:c>
      <x:c r="X44" s="24" t="str">
        <x:v>Los materiales sin texturas externas aparentes siguen requiriendo confirmación de origen por lote.</x:v>
      </x:c>
    </x:row>
    <x:row r="45" ht="34" customHeight="1">
      <x:c r="A45" s="24" t="str">
        <x:v>MTX-041</x:v>
      </x:c>
      <x:c r="B45" s="24" t="str">
        <x:v>93e1a822e9cc2bd45a73e82e53b83c83</x:v>
      </x:c>
      <x:c r="C45" s="24" t="str">
        <x:v>CC_S4_GhostInvalid.mat</x:v>
      </x:c>
      <x:c r="D45" s="24" t="str">
        <x:v>Material</x:v>
      </x:c>
      <x:c r="E45" s="24" t="str">
        <x:v>Materials</x:v>
      </x:c>
      <x:c r="F45" s="24" t="str">
        <x:v>VRM Games / internal pipeline</x:v>
      </x:c>
      <x:c r="G45" s="24" t="str">
        <x:v>VRM Games / Blas Luis Rocha González</x:v>
      </x:c>
      <x:c r="H45" s="24" t="str">
        <x:v>Internal project asset</x:v>
      </x:c>
      <x:c r="I45" s="24" t="str">
        <x:v>Internal project IP / authorship claim</x:v>
      </x:c>
      <x:c r="J45" s="24" t="str">
        <x:v>Assets.zip + path/hash</x:v>
      </x:c>
      <x:c r="K45" s="24" t="str">
        <x:v>b2eae76ee2d085b9b57f3cc3f4ed318c3b9daa3dfce6af08acd57dda17e908f1</x:v>
      </x:c>
      <x:c r="L45" s="24" t="str">
        <x:v>Assets/_Project/Art/Materials/Technical/CC_S4_GhostInvalid.mat</x:v>
      </x:c>
      <x:c r="M45" s="24" t="str">
        <x:v>93e1a822e9cc2bd45a73e82e53b83c83</x:v>
      </x:c>
      <x:c r="N45" s="24" t="str">
        <x:v>Sí</x:v>
      </x:c>
      <x:c r="O45" s="24" t="str">
        <x:v>Conditional on final provenance confirmation</x:v>
      </x:c>
      <x:c r="P45" s="24" t="str">
        <x:v>Only embedded in authorized build</x:v>
      </x:c>
      <x:c r="Q45" s="24" t="str">
        <x:v>General studio/art credits</x:v>
      </x:c>
      <x:c r="R45" s="24" t="str">
        <x:v>No standalone redistribution; avoid third-party logos/trade dress</x:v>
      </x:c>
      <x:c r="S45" s="24" t="str">
        <x:v>CONDITIONALLY APPROVED</x:v>
      </x:c>
      <x:c r="T45" s="24" t="str">
        <x:v>Imported</x:v>
      </x:c>
      <x:c r="U45" s="24" t="str">
        <x:v>Internal; H6 after visual/legal audit</x:v>
      </x:c>
      <x:c r="V45" s="24" t="str">
        <x:v>Low</x:v>
      </x:c>
      <x:c r="W45" s="24" t="str">
        <x:v>VRM Games</x:v>
      </x:c>
      <x:c r="X45" s="24" t="str">
        <x:v>Los materiales sin texturas externas aparentes siguen requiriendo confirmación de origen por lote.</x:v>
      </x:c>
    </x:row>
    <x:row r="46" ht="34" customHeight="1">
      <x:c r="A46" s="24" t="str">
        <x:v>MTX-042</x:v>
      </x:c>
      <x:c r="B46" s="24" t="str">
        <x:v>2c5dceb53ebc55240bae2b0418adb5c4</x:v>
      </x:c>
      <x:c r="C46" s="24" t="str">
        <x:v>CC_S4_GhostValid.mat</x:v>
      </x:c>
      <x:c r="D46" s="24" t="str">
        <x:v>Material</x:v>
      </x:c>
      <x:c r="E46" s="24" t="str">
        <x:v>Materials</x:v>
      </x:c>
      <x:c r="F46" s="24" t="str">
        <x:v>VRM Games / internal pipeline</x:v>
      </x:c>
      <x:c r="G46" s="24" t="str">
        <x:v>VRM Games / Blas Luis Rocha González</x:v>
      </x:c>
      <x:c r="H46" s="24" t="str">
        <x:v>Internal project asset</x:v>
      </x:c>
      <x:c r="I46" s="24" t="str">
        <x:v>Internal project IP / authorship claim</x:v>
      </x:c>
      <x:c r="J46" s="24" t="str">
        <x:v>Assets.zip + path/hash</x:v>
      </x:c>
      <x:c r="K46" s="24" t="str">
        <x:v>e3f2c7f0cf18ae9e21c5dc6973baa7aa6579fd4befbaa1e803758c4aa683da56</x:v>
      </x:c>
      <x:c r="L46" s="24" t="str">
        <x:v>Assets/_Project/Art/Materials/Technical/CC_S4_GhostValid.mat</x:v>
      </x:c>
      <x:c r="M46" s="24" t="str">
        <x:v>2c5dceb53ebc55240bae2b0418adb5c4</x:v>
      </x:c>
      <x:c r="N46" s="24" t="str">
        <x:v>Sí</x:v>
      </x:c>
      <x:c r="O46" s="24" t="str">
        <x:v>Conditional on final provenance confirmation</x:v>
      </x:c>
      <x:c r="P46" s="24" t="str">
        <x:v>Only embedded in authorized build</x:v>
      </x:c>
      <x:c r="Q46" s="24" t="str">
        <x:v>General studio/art credits</x:v>
      </x:c>
      <x:c r="R46" s="24" t="str">
        <x:v>No standalone redistribution; avoid third-party logos/trade dress</x:v>
      </x:c>
      <x:c r="S46" s="24" t="str">
        <x:v>CONDITIONALLY APPROVED</x:v>
      </x:c>
      <x:c r="T46" s="24" t="str">
        <x:v>Imported</x:v>
      </x:c>
      <x:c r="U46" s="24" t="str">
        <x:v>Internal; H6 after visual/legal audit</x:v>
      </x:c>
      <x:c r="V46" s="24" t="str">
        <x:v>Low</x:v>
      </x:c>
      <x:c r="W46" s="24" t="str">
        <x:v>VRM Games</x:v>
      </x:c>
      <x:c r="X46" s="24" t="str">
        <x:v>Los materiales sin texturas externas aparentes siguen requiriendo confirmación de origen por lote.</x:v>
      </x:c>
    </x:row>
    <x:row r="47" ht="34" customHeight="1">
      <x:c r="A47" s="24" t="str">
        <x:v>MTX-043</x:v>
      </x:c>
      <x:c r="B47" s="24" t="str">
        <x:v>73280ea062c7a6940aa81ddf62e17915</x:v>
      </x:c>
      <x:c r="C47" s="24" t="str">
        <x:v>CC_S4_PlacedTechnical.mat</x:v>
      </x:c>
      <x:c r="D47" s="24" t="str">
        <x:v>Material</x:v>
      </x:c>
      <x:c r="E47" s="24" t="str">
        <x:v>Materials</x:v>
      </x:c>
      <x:c r="F47" s="24" t="str">
        <x:v>VRM Games / internal pipeline</x:v>
      </x:c>
      <x:c r="G47" s="24" t="str">
        <x:v>VRM Games / Blas Luis Rocha González</x:v>
      </x:c>
      <x:c r="H47" s="24" t="str">
        <x:v>Internal project asset</x:v>
      </x:c>
      <x:c r="I47" s="24" t="str">
        <x:v>Internal project IP / authorship claim</x:v>
      </x:c>
      <x:c r="J47" s="24" t="str">
        <x:v>Assets.zip + path/hash</x:v>
      </x:c>
      <x:c r="K47" s="24" t="str">
        <x:v>117f9aa38ed541305668a41db94d33e22ea3c0f14979b6ea758ef5a57b42ee8c</x:v>
      </x:c>
      <x:c r="L47" s="24" t="str">
        <x:v>Assets/_Project/Art/Materials/Technical/CC_S4_PlacedTechnical.mat</x:v>
      </x:c>
      <x:c r="M47" s="24" t="str">
        <x:v>73280ea062c7a6940aa81ddf62e17915</x:v>
      </x:c>
      <x:c r="N47" s="24" t="str">
        <x:v>Sí</x:v>
      </x:c>
      <x:c r="O47" s="24" t="str">
        <x:v>Conditional on final provenance confirmation</x:v>
      </x:c>
      <x:c r="P47" s="24" t="str">
        <x:v>Only embedded in authorized build</x:v>
      </x:c>
      <x:c r="Q47" s="24" t="str">
        <x:v>General studio/art credits</x:v>
      </x:c>
      <x:c r="R47" s="24" t="str">
        <x:v>No standalone redistribution; avoid third-party logos/trade dress</x:v>
      </x:c>
      <x:c r="S47" s="24" t="str">
        <x:v>CONDITIONALLY APPROVED</x:v>
      </x:c>
      <x:c r="T47" s="24" t="str">
        <x:v>Imported</x:v>
      </x:c>
      <x:c r="U47" s="24" t="str">
        <x:v>Internal; H6 after visual/legal audit</x:v>
      </x:c>
      <x:c r="V47" s="24" t="str">
        <x:v>Low</x:v>
      </x:c>
      <x:c r="W47" s="24" t="str">
        <x:v>VRM Games</x:v>
      </x:c>
      <x:c r="X47" s="24" t="str">
        <x:v>Los materiales sin texturas externas aparentes siguen requiriendo confirmación de origen por lote.</x:v>
      </x:c>
    </x:row>
    <x:row r="48" ht="34" customHeight="1">
      <x:c r="A48" s="24" t="str">
        <x:v>MTX-044</x:v>
      </x:c>
      <x:c r="B48" s="24" t="str">
        <x:v>d97a3c4e4a87ce14cbdac1f7b41cbf4c</x:v>
      </x:c>
      <x:c r="C48" s="24" t="str">
        <x:v>CC_S5_AccessAnchorMarker.mat</x:v>
      </x:c>
      <x:c r="D48" s="24" t="str">
        <x:v>Material</x:v>
      </x:c>
      <x:c r="E48" s="24" t="str">
        <x:v>Materials</x:v>
      </x:c>
      <x:c r="F48" s="24" t="str">
        <x:v>VRM Games / internal pipeline</x:v>
      </x:c>
      <x:c r="G48" s="24" t="str">
        <x:v>VRM Games / Blas Luis Rocha González</x:v>
      </x:c>
      <x:c r="H48" s="24" t="str">
        <x:v>Internal project asset</x:v>
      </x:c>
      <x:c r="I48" s="24" t="str">
        <x:v>Internal project IP / authorship claim</x:v>
      </x:c>
      <x:c r="J48" s="24" t="str">
        <x:v>Assets.zip + path/hash</x:v>
      </x:c>
      <x:c r="K48" s="24" t="str">
        <x:v>afe9f7e50e51b143a38a867d6c5ede653a9d5563203fa1ba80144c7cacbdbf07</x:v>
      </x:c>
      <x:c r="L48" s="24" t="str">
        <x:v>Assets/_Project/Art/Materials/Technical/CC_S5_AccessAnchorMarker.mat</x:v>
      </x:c>
      <x:c r="M48" s="24" t="str">
        <x:v>d97a3c4e4a87ce14cbdac1f7b41cbf4c</x:v>
      </x:c>
      <x:c r="N48" s="24" t="str">
        <x:v>Sí</x:v>
      </x:c>
      <x:c r="O48" s="24" t="str">
        <x:v>Conditional on final provenance confirmation</x:v>
      </x:c>
      <x:c r="P48" s="24" t="str">
        <x:v>Only embedded in authorized build</x:v>
      </x:c>
      <x:c r="Q48" s="24" t="str">
        <x:v>General studio/art credits</x:v>
      </x:c>
      <x:c r="R48" s="24" t="str">
        <x:v>No standalone redistribution; avoid third-party logos/trade dress</x:v>
      </x:c>
      <x:c r="S48" s="24" t="str">
        <x:v>CONDITIONALLY APPROVED</x:v>
      </x:c>
      <x:c r="T48" s="24" t="str">
        <x:v>Imported</x:v>
      </x:c>
      <x:c r="U48" s="24" t="str">
        <x:v>Internal; H6 after visual/legal audit</x:v>
      </x:c>
      <x:c r="V48" s="24" t="str">
        <x:v>Low</x:v>
      </x:c>
      <x:c r="W48" s="24" t="str">
        <x:v>VRM Games</x:v>
      </x:c>
      <x:c r="X48" s="24" t="str">
        <x:v>Los materiales sin texturas externas aparentes siguen requiriendo confirmación de origen por lote.</x:v>
      </x:c>
    </x:row>
    <x:row r="49" ht="34" customHeight="1">
      <x:c r="A49" s="24" t="str">
        <x:v>MTX-045</x:v>
      </x:c>
      <x:c r="B49" s="24" t="str">
        <x:v>a43d2c00f454bf844b1ee7275211c2bd</x:v>
      </x:c>
      <x:c r="C49" s="24" t="str">
        <x:v>CC_S5_EntranceReserveMarker.mat</x:v>
      </x:c>
      <x:c r="D49" s="24" t="str">
        <x:v>Material</x:v>
      </x:c>
      <x:c r="E49" s="24" t="str">
        <x:v>Materials</x:v>
      </x:c>
      <x:c r="F49" s="24" t="str">
        <x:v>VRM Games / internal pipeline</x:v>
      </x:c>
      <x:c r="G49" s="24" t="str">
        <x:v>VRM Games / Blas Luis Rocha González</x:v>
      </x:c>
      <x:c r="H49" s="24" t="str">
        <x:v>Internal project asset</x:v>
      </x:c>
      <x:c r="I49" s="24" t="str">
        <x:v>Internal project IP / authorship claim</x:v>
      </x:c>
      <x:c r="J49" s="24" t="str">
        <x:v>Assets.zip + path/hash</x:v>
      </x:c>
      <x:c r="K49" s="24" t="str">
        <x:v>3810beff98bc2bbc41be26404d0d3587450ce4f49f082406407e3adbadee0491</x:v>
      </x:c>
      <x:c r="L49" s="24" t="str">
        <x:v>Assets/_Project/Art/Materials/Technical/CC_S5_EntranceReserveMarker.mat</x:v>
      </x:c>
      <x:c r="M49" s="24" t="str">
        <x:v>a43d2c00f454bf844b1ee7275211c2bd</x:v>
      </x:c>
      <x:c r="N49" s="24" t="str">
        <x:v>Sí</x:v>
      </x:c>
      <x:c r="O49" s="24" t="str">
        <x:v>Conditional on final provenance confirmation</x:v>
      </x:c>
      <x:c r="P49" s="24" t="str">
        <x:v>Only embedded in authorized build</x:v>
      </x:c>
      <x:c r="Q49" s="24" t="str">
        <x:v>General studio/art credits</x:v>
      </x:c>
      <x:c r="R49" s="24" t="str">
        <x:v>No standalone redistribution; avoid third-party logos/trade dress</x:v>
      </x:c>
      <x:c r="S49" s="24" t="str">
        <x:v>CONDITIONALLY APPROVED</x:v>
      </x:c>
      <x:c r="T49" s="24" t="str">
        <x:v>Imported</x:v>
      </x:c>
      <x:c r="U49" s="24" t="str">
        <x:v>Internal; H6 after visual/legal audit</x:v>
      </x:c>
      <x:c r="V49" s="24" t="str">
        <x:v>Low</x:v>
      </x:c>
      <x:c r="W49" s="24" t="str">
        <x:v>VRM Games</x:v>
      </x:c>
      <x:c r="X49" s="24" t="str">
        <x:v>Los materiales sin texturas externas aparentes siguen requiriendo confirmación de origen por lote.</x:v>
      </x:c>
    </x:row>
    <x:row r="50" ht="34" customHeight="1">
      <x:c r="A50" s="24" t="str">
        <x:v>MTX-046</x:v>
      </x:c>
      <x:c r="B50" s="24" t="str">
        <x:v>d430dbea45d18d54fa22f394bb09e5e8</x:v>
      </x:c>
      <x:c r="C50" s="24" t="str">
        <x:v>CC_S5_PlacedTechnical.mat</x:v>
      </x:c>
      <x:c r="D50" s="24" t="str">
        <x:v>Material</x:v>
      </x:c>
      <x:c r="E50" s="24" t="str">
        <x:v>Materials</x:v>
      </x:c>
      <x:c r="F50" s="24" t="str">
        <x:v>VRM Games / internal pipeline</x:v>
      </x:c>
      <x:c r="G50" s="24" t="str">
        <x:v>VRM Games / Blas Luis Rocha González</x:v>
      </x:c>
      <x:c r="H50" s="24" t="str">
        <x:v>Internal project asset</x:v>
      </x:c>
      <x:c r="I50" s="24" t="str">
        <x:v>Internal project IP / authorship claim</x:v>
      </x:c>
      <x:c r="J50" s="24" t="str">
        <x:v>Assets.zip + path/hash</x:v>
      </x:c>
      <x:c r="K50" s="24" t="str">
        <x:v>602eee0ebba6317d58f1d353572c096d5883aca1198b4e13fda6abbe1aa3a352</x:v>
      </x:c>
      <x:c r="L50" s="24" t="str">
        <x:v>Assets/_Project/Art/Materials/Technical/CC_S5_PlacedTechnical.mat</x:v>
      </x:c>
      <x:c r="M50" s="24" t="str">
        <x:v>d430dbea45d18d54fa22f394bb09e5e8</x:v>
      </x:c>
      <x:c r="N50" s="24" t="str">
        <x:v>Sí</x:v>
      </x:c>
      <x:c r="O50" s="24" t="str">
        <x:v>Conditional on final provenance confirmation</x:v>
      </x:c>
      <x:c r="P50" s="24" t="str">
        <x:v>Only embedded in authorized build</x:v>
      </x:c>
      <x:c r="Q50" s="24" t="str">
        <x:v>General studio/art credits</x:v>
      </x:c>
      <x:c r="R50" s="24" t="str">
        <x:v>No standalone redistribution; avoid third-party logos/trade dress</x:v>
      </x:c>
      <x:c r="S50" s="24" t="str">
        <x:v>CONDITIONALLY APPROVED</x:v>
      </x:c>
      <x:c r="T50" s="24" t="str">
        <x:v>Imported</x:v>
      </x:c>
      <x:c r="U50" s="24" t="str">
        <x:v>Internal; H6 after visual/legal audit</x:v>
      </x:c>
      <x:c r="V50" s="24" t="str">
        <x:v>Low</x:v>
      </x:c>
      <x:c r="W50" s="24" t="str">
        <x:v>VRM Games</x:v>
      </x:c>
      <x:c r="X50" s="24" t="str">
        <x:v>Los materiales sin texturas externas aparentes siguen requiriendo confirmación de origen por lote.</x:v>
      </x:c>
    </x:row>
    <x:row r="51" ht="34" customHeight="1">
      <x:c r="A51" s="24" t="str">
        <x:v>MTX-047</x:v>
      </x:c>
      <x:c r="B51" s="24" t="str">
        <x:v>7a6d13ecba35b6142833314c6d3dd4e3</x:v>
      </x:c>
      <x:c r="C51" s="24" t="str">
        <x:v>CC_S5_PlacementInvalid.mat</x:v>
      </x:c>
      <x:c r="D51" s="24" t="str">
        <x:v>Material</x:v>
      </x:c>
      <x:c r="E51" s="24" t="str">
        <x:v>Materials</x:v>
      </x:c>
      <x:c r="F51" s="24" t="str">
        <x:v>VRM Games / internal pipeline</x:v>
      </x:c>
      <x:c r="G51" s="24" t="str">
        <x:v>VRM Games / Blas Luis Rocha González</x:v>
      </x:c>
      <x:c r="H51" s="24" t="str">
        <x:v>Internal project asset</x:v>
      </x:c>
      <x:c r="I51" s="24" t="str">
        <x:v>Internal project IP / authorship claim</x:v>
      </x:c>
      <x:c r="J51" s="24" t="str">
        <x:v>Assets.zip + path/hash</x:v>
      </x:c>
      <x:c r="K51" s="24" t="str">
        <x:v>39bdb2a5a81c07ace4f937cd41a6f0b83a06e3e11144c95126d33717d8f2bfb8</x:v>
      </x:c>
      <x:c r="L51" s="24" t="str">
        <x:v>Assets/_Project/Art/Materials/Technical/CC_S5_PlacementInvalid.mat</x:v>
      </x:c>
      <x:c r="M51" s="24" t="str">
        <x:v>7a6d13ecba35b6142833314c6d3dd4e3</x:v>
      </x:c>
      <x:c r="N51" s="24" t="str">
        <x:v>Sí</x:v>
      </x:c>
      <x:c r="O51" s="24" t="str">
        <x:v>Conditional on final provenance confirmation</x:v>
      </x:c>
      <x:c r="P51" s="24" t="str">
        <x:v>Only embedded in authorized build</x:v>
      </x:c>
      <x:c r="Q51" s="24" t="str">
        <x:v>General studio/art credits</x:v>
      </x:c>
      <x:c r="R51" s="24" t="str">
        <x:v>No standalone redistribution; avoid third-party logos/trade dress</x:v>
      </x:c>
      <x:c r="S51" s="24" t="str">
        <x:v>CONDITIONALLY APPROVED</x:v>
      </x:c>
      <x:c r="T51" s="24" t="str">
        <x:v>Imported</x:v>
      </x:c>
      <x:c r="U51" s="24" t="str">
        <x:v>Internal; H6 after visual/legal audit</x:v>
      </x:c>
      <x:c r="V51" s="24" t="str">
        <x:v>Low</x:v>
      </x:c>
      <x:c r="W51" s="24" t="str">
        <x:v>VRM Games</x:v>
      </x:c>
      <x:c r="X51" s="24" t="str">
        <x:v>Los materiales sin texturas externas aparentes siguen requiriendo confirmación de origen por lote.</x:v>
      </x:c>
    </x:row>
    <x:row r="52" ht="34" customHeight="1">
      <x:c r="A52" s="24" t="str">
        <x:v>MTX-048</x:v>
      </x:c>
      <x:c r="B52" s="24" t="str">
        <x:v>0b21e154d6a431344bce6ed394378c0b</x:v>
      </x:c>
      <x:c r="C52" s="24" t="str">
        <x:v>CC_S5_PlacementValid.mat</x:v>
      </x:c>
      <x:c r="D52" s="24" t="str">
        <x:v>Material</x:v>
      </x:c>
      <x:c r="E52" s="24" t="str">
        <x:v>Materials</x:v>
      </x:c>
      <x:c r="F52" s="24" t="str">
        <x:v>VRM Games / internal pipeline</x:v>
      </x:c>
      <x:c r="G52" s="24" t="str">
        <x:v>VRM Games / Blas Luis Rocha González</x:v>
      </x:c>
      <x:c r="H52" s="24" t="str">
        <x:v>Internal project asset</x:v>
      </x:c>
      <x:c r="I52" s="24" t="str">
        <x:v>Internal project IP / authorship claim</x:v>
      </x:c>
      <x:c r="J52" s="24" t="str">
        <x:v>Assets.zip + path/hash</x:v>
      </x:c>
      <x:c r="K52" s="24" t="str">
        <x:v>c1f1d2674bef8bca1ea0b4e4c32e4b5358cb564e6b4f05606b4fe3777bd6064a</x:v>
      </x:c>
      <x:c r="L52" s="24" t="str">
        <x:v>Assets/_Project/Art/Materials/Technical/CC_S5_PlacementValid.mat</x:v>
      </x:c>
      <x:c r="M52" s="24" t="str">
        <x:v>0b21e154d6a431344bce6ed394378c0b</x:v>
      </x:c>
      <x:c r="N52" s="24" t="str">
        <x:v>Sí</x:v>
      </x:c>
      <x:c r="O52" s="24" t="str">
        <x:v>Conditional on final provenance confirmation</x:v>
      </x:c>
      <x:c r="P52" s="24" t="str">
        <x:v>Only embedded in authorized build</x:v>
      </x:c>
      <x:c r="Q52" s="24" t="str">
        <x:v>General studio/art credits</x:v>
      </x:c>
      <x:c r="R52" s="24" t="str">
        <x:v>No standalone redistribution; avoid third-party logos/trade dress</x:v>
      </x:c>
      <x:c r="S52" s="24" t="str">
        <x:v>CONDITIONALLY APPROVED</x:v>
      </x:c>
      <x:c r="T52" s="24" t="str">
        <x:v>Imported</x:v>
      </x:c>
      <x:c r="U52" s="24" t="str">
        <x:v>Internal; H6 after visual/legal audit</x:v>
      </x:c>
      <x:c r="V52" s="24" t="str">
        <x:v>Low</x:v>
      </x:c>
      <x:c r="W52" s="24" t="str">
        <x:v>VRM Games</x:v>
      </x:c>
      <x:c r="X52" s="24" t="str">
        <x:v>Los materiales sin texturas externas aparentes siguen requiriendo confirmación de origen por lote.</x:v>
      </x:c>
    </x:row>
    <x:row r="53" ht="34" customHeight="1">
      <x:c r="A53" s="24" t="str">
        <x:v>MTX-049</x:v>
      </x:c>
      <x:c r="B53" s="24" t="str">
        <x:v>b96b73b4ca6f8e141abf7154d79f03f1</x:v>
      </x:c>
      <x:c r="C53" s="24" t="str">
        <x:v>CC_S5_StoreEntranceTechnical.mat</x:v>
      </x:c>
      <x:c r="D53" s="24" t="str">
        <x:v>Material</x:v>
      </x:c>
      <x:c r="E53" s="24" t="str">
        <x:v>Materials</x:v>
      </x:c>
      <x:c r="F53" s="24" t="str">
        <x:v>VRM Games / internal pipeline</x:v>
      </x:c>
      <x:c r="G53" s="24" t="str">
        <x:v>VRM Games / Blas Luis Rocha González</x:v>
      </x:c>
      <x:c r="H53" s="24" t="str">
        <x:v>Internal project asset</x:v>
      </x:c>
      <x:c r="I53" s="24" t="str">
        <x:v>Internal project IP / authorship claim</x:v>
      </x:c>
      <x:c r="J53" s="24" t="str">
        <x:v>Assets.zip + path/hash</x:v>
      </x:c>
      <x:c r="K53" s="24" t="str">
        <x:v>b600db18248169c160b26714eebcf2c5d98d2a919bedd5f60526d7faa96eb82c</x:v>
      </x:c>
      <x:c r="L53" s="24" t="str">
        <x:v>Assets/_Project/Art/Materials/Technical/CC_S5_StoreEntranceTechnical.mat</x:v>
      </x:c>
      <x:c r="M53" s="24" t="str">
        <x:v>b96b73b4ca6f8e141abf7154d79f03f1</x:v>
      </x:c>
      <x:c r="N53" s="24" t="str">
        <x:v>Sí</x:v>
      </x:c>
      <x:c r="O53" s="24" t="str">
        <x:v>Conditional on final provenance confirmation</x:v>
      </x:c>
      <x:c r="P53" s="24" t="str">
        <x:v>Only embedded in authorized build</x:v>
      </x:c>
      <x:c r="Q53" s="24" t="str">
        <x:v>General studio/art credits</x:v>
      </x:c>
      <x:c r="R53" s="24" t="str">
        <x:v>No standalone redistribution; avoid third-party logos/trade dress</x:v>
      </x:c>
      <x:c r="S53" s="24" t="str">
        <x:v>CONDITIONALLY APPROVED</x:v>
      </x:c>
      <x:c r="T53" s="24" t="str">
        <x:v>Imported</x:v>
      </x:c>
      <x:c r="U53" s="24" t="str">
        <x:v>Internal; H6 after visual/legal audit</x:v>
      </x:c>
      <x:c r="V53" s="24" t="str">
        <x:v>Low</x:v>
      </x:c>
      <x:c r="W53" s="24" t="str">
        <x:v>VRM Games</x:v>
      </x:c>
      <x:c r="X53" s="24" t="str">
        <x:v>Los materiales sin texturas externas aparentes siguen requiriendo confirmación de origen por lote.</x:v>
      </x:c>
    </x:row>
    <x:row r="54" ht="34" customHeight="1">
      <x:c r="A54" s="24" t="str">
        <x:v>MTX-050</x:v>
      </x:c>
      <x:c r="B54" s="24" t="str">
        <x:v>dc20a3078d485984f9c7a9d258600732</x:v>
      </x:c>
      <x:c r="C54" s="24" t="str">
        <x:v>CC_S5_StoreFloorTechnical.mat</x:v>
      </x:c>
      <x:c r="D54" s="24" t="str">
        <x:v>Material</x:v>
      </x:c>
      <x:c r="E54" s="24" t="str">
        <x:v>Materials</x:v>
      </x:c>
      <x:c r="F54" s="24" t="str">
        <x:v>VRM Games / internal pipeline</x:v>
      </x:c>
      <x:c r="G54" s="24" t="str">
        <x:v>VRM Games / Blas Luis Rocha González</x:v>
      </x:c>
      <x:c r="H54" s="24" t="str">
        <x:v>Internal project asset</x:v>
      </x:c>
      <x:c r="I54" s="24" t="str">
        <x:v>Internal project IP / authorship claim</x:v>
      </x:c>
      <x:c r="J54" s="24" t="str">
        <x:v>Assets.zip + path/hash</x:v>
      </x:c>
      <x:c r="K54" s="24" t="str">
        <x:v>194810c1b0699d9f7366c1b64c0dca214a042282fe753d38e306ac2a286b97c5</x:v>
      </x:c>
      <x:c r="L54" s="24" t="str">
        <x:v>Assets/_Project/Art/Materials/Technical/CC_S5_StoreFloorTechnical.mat</x:v>
      </x:c>
      <x:c r="M54" s="24" t="str">
        <x:v>dc20a3078d485984f9c7a9d258600732</x:v>
      </x:c>
      <x:c r="N54" s="24" t="str">
        <x:v>Sí</x:v>
      </x:c>
      <x:c r="O54" s="24" t="str">
        <x:v>Conditional on final provenance confirmation</x:v>
      </x:c>
      <x:c r="P54" s="24" t="str">
        <x:v>Only embedded in authorized build</x:v>
      </x:c>
      <x:c r="Q54" s="24" t="str">
        <x:v>General studio/art credits</x:v>
      </x:c>
      <x:c r="R54" s="24" t="str">
        <x:v>No standalone redistribution; avoid third-party logos/trade dress</x:v>
      </x:c>
      <x:c r="S54" s="24" t="str">
        <x:v>CONDITIONALLY APPROVED</x:v>
      </x:c>
      <x:c r="T54" s="24" t="str">
        <x:v>Imported</x:v>
      </x:c>
      <x:c r="U54" s="24" t="str">
        <x:v>Internal; H6 after visual/legal audit</x:v>
      </x:c>
      <x:c r="V54" s="24" t="str">
        <x:v>Low</x:v>
      </x:c>
      <x:c r="W54" s="24" t="str">
        <x:v>VRM Games</x:v>
      </x:c>
      <x:c r="X54" s="24" t="str">
        <x:v>Los materiales sin texturas externas aparentes siguen requiriendo confirmación de origen por lote.</x:v>
      </x:c>
    </x:row>
    <x:row r="55" ht="34" customHeight="1">
      <x:c r="A55" s="24" t="str">
        <x:v>MTX-051</x:v>
      </x:c>
      <x:c r="B55" s="24" t="str">
        <x:v>d61fc2385715d4746ba4b2b689248d3b</x:v>
      </x:c>
      <x:c r="C55" s="24" t="str">
        <x:v>CC_S5_StorePlayerTechnical.mat</x:v>
      </x:c>
      <x:c r="D55" s="24" t="str">
        <x:v>Material</x:v>
      </x:c>
      <x:c r="E55" s="24" t="str">
        <x:v>Materials</x:v>
      </x:c>
      <x:c r="F55" s="24" t="str">
        <x:v>VRM Games / internal pipeline</x:v>
      </x:c>
      <x:c r="G55" s="24" t="str">
        <x:v>VRM Games / Blas Luis Rocha González</x:v>
      </x:c>
      <x:c r="H55" s="24" t="str">
        <x:v>Internal project asset</x:v>
      </x:c>
      <x:c r="I55" s="24" t="str">
        <x:v>Internal project IP / authorship claim</x:v>
      </x:c>
      <x:c r="J55" s="24" t="str">
        <x:v>Assets.zip + path/hash</x:v>
      </x:c>
      <x:c r="K55" s="24" t="str">
        <x:v>2e6969a23ea2cdfed571f2e49a780e66ac68d15df52bbfdc32011ef903280c0c</x:v>
      </x:c>
      <x:c r="L55" s="24" t="str">
        <x:v>Assets/_Project/Art/Materials/Technical/CC_S5_StorePlayerTechnical.mat</x:v>
      </x:c>
      <x:c r="M55" s="24" t="str">
        <x:v>d61fc2385715d4746ba4b2b689248d3b</x:v>
      </x:c>
      <x:c r="N55" s="24" t="str">
        <x:v>Sí</x:v>
      </x:c>
      <x:c r="O55" s="24" t="str">
        <x:v>Conditional on final provenance confirmation</x:v>
      </x:c>
      <x:c r="P55" s="24" t="str">
        <x:v>Only embedded in authorized build</x:v>
      </x:c>
      <x:c r="Q55" s="24" t="str">
        <x:v>General studio/art credits</x:v>
      </x:c>
      <x:c r="R55" s="24" t="str">
        <x:v>No standalone redistribution; avoid third-party logos/trade dress</x:v>
      </x:c>
      <x:c r="S55" s="24" t="str">
        <x:v>CONDITIONALLY APPROVED</x:v>
      </x:c>
      <x:c r="T55" s="24" t="str">
        <x:v>Imported</x:v>
      </x:c>
      <x:c r="U55" s="24" t="str">
        <x:v>Internal; H6 after visual/legal audit</x:v>
      </x:c>
      <x:c r="V55" s="24" t="str">
        <x:v>Low</x:v>
      </x:c>
      <x:c r="W55" s="24" t="str">
        <x:v>VRM Games</x:v>
      </x:c>
      <x:c r="X55" s="24" t="str">
        <x:v>Los materiales sin texturas externas aparentes siguen requiriendo confirmación de origen por lote.</x:v>
      </x:c>
    </x:row>
    <x:row r="56" ht="34" customHeight="1">
      <x:c r="A56" s="24" t="str">
        <x:v>MTX-052</x:v>
      </x:c>
      <x:c r="B56" s="24" t="str">
        <x:v>056ccf5de784b274da4b4e809060173c</x:v>
      </x:c>
      <x:c r="C56" s="24" t="str">
        <x:v>CC_S5_StoreWallTechnical.mat</x:v>
      </x:c>
      <x:c r="D56" s="24" t="str">
        <x:v>Material</x:v>
      </x:c>
      <x:c r="E56" s="24" t="str">
        <x:v>Materials</x:v>
      </x:c>
      <x:c r="F56" s="24" t="str">
        <x:v>VRM Games / internal pipeline</x:v>
      </x:c>
      <x:c r="G56" s="24" t="str">
        <x:v>VRM Games / Blas Luis Rocha González</x:v>
      </x:c>
      <x:c r="H56" s="24" t="str">
        <x:v>Internal project asset</x:v>
      </x:c>
      <x:c r="I56" s="24" t="str">
        <x:v>Internal project IP / authorship claim</x:v>
      </x:c>
      <x:c r="J56" s="24" t="str">
        <x:v>Assets.zip + path/hash</x:v>
      </x:c>
      <x:c r="K56" s="24" t="str">
        <x:v>7cfe50d37a404ff711acac62a1207af8fd10b24cde5ab878df91e7cff58268f8</x:v>
      </x:c>
      <x:c r="L56" s="24" t="str">
        <x:v>Assets/_Project/Art/Materials/Technical/CC_S5_StoreWallTechnical.mat</x:v>
      </x:c>
      <x:c r="M56" s="24" t="str">
        <x:v>056ccf5de784b274da4b4e809060173c</x:v>
      </x:c>
      <x:c r="N56" s="24" t="str">
        <x:v>Sí</x:v>
      </x:c>
      <x:c r="O56" s="24" t="str">
        <x:v>Conditional on final provenance confirmation</x:v>
      </x:c>
      <x:c r="P56" s="24" t="str">
        <x:v>Only embedded in authorized build</x:v>
      </x:c>
      <x:c r="Q56" s="24" t="str">
        <x:v>General studio/art credits</x:v>
      </x:c>
      <x:c r="R56" s="24" t="str">
        <x:v>No standalone redistribution; avoid third-party logos/trade dress</x:v>
      </x:c>
      <x:c r="S56" s="24" t="str">
        <x:v>CONDITIONALLY APPROVED</x:v>
      </x:c>
      <x:c r="T56" s="24" t="str">
        <x:v>Imported</x:v>
      </x:c>
      <x:c r="U56" s="24" t="str">
        <x:v>Internal; H6 after visual/legal audit</x:v>
      </x:c>
      <x:c r="V56" s="24" t="str">
        <x:v>Low</x:v>
      </x:c>
      <x:c r="W56" s="24" t="str">
        <x:v>VRM Games</x:v>
      </x:c>
      <x:c r="X56" s="24" t="str">
        <x:v>Los materiales sin texturas externas aparentes siguen requiriendo confirmación de origen por lote.</x:v>
      </x:c>
    </x:row>
    <x:row r="57" ht="34" customHeight="1">
      <x:c r="A57" s="24" t="str">
        <x:v>MTX-053</x:v>
      </x:c>
      <x:c r="B57" s="24" t="str">
        <x:v>99ad8e1cc769d203874d34b007d6b1fb</x:v>
      </x:c>
      <x:c r="C57" s="24" t="str">
        <x:v>accessory-memory-core_cover.png</x:v>
      </x:c>
      <x:c r="D57" s="24" t="str">
        <x:v>Texture</x:v>
      </x:c>
      <x:c r="E57" s="24" t="str">
        <x:v>Textures</x:v>
      </x:c>
      <x:c r="F57" s="24" t="str">
        <x:v>VRM Games / internal pipeline</x:v>
      </x:c>
      <x:c r="G57" s="24" t="str">
        <x:v>VRM Games / Blas Luis Rocha González</x:v>
      </x:c>
      <x:c r="H57" s="24" t="str">
        <x:v>Internal project asset</x:v>
      </x:c>
      <x:c r="I57" s="24" t="str">
        <x:v>Internal project IP / authorship claim</x:v>
      </x:c>
      <x:c r="J57" s="24" t="str">
        <x:v>Assets.zip + path/hash</x:v>
      </x:c>
      <x:c r="K57" s="24" t="str">
        <x:v>23093ed99ade7984b50a548095c52039533cf77233e1e164d4fd238b1f378ac2</x:v>
      </x:c>
      <x:c r="L57" s="24" t="str">
        <x:v>Assets/_Project/Art/Textures/Products/Covers/accessory-memory-core_cover.png</x:v>
      </x:c>
      <x:c r="M57" s="24" t="str">
        <x:v>99ad8e1cc769d203874d34b007d6b1fb</x:v>
      </x:c>
      <x:c r="N57" s="24" t="str">
        <x:v>Sí</x:v>
      </x:c>
      <x:c r="O57" s="24" t="str">
        <x:v>Conditional on final provenance confirmation</x:v>
      </x:c>
      <x:c r="P57" s="24" t="str">
        <x:v>Only embedded in authorized build</x:v>
      </x:c>
      <x:c r="Q57" s="24" t="str">
        <x:v>General studio/art credits</x:v>
      </x:c>
      <x:c r="R57" s="24" t="str">
        <x:v>No standalone redistribution; avoid third-party logos/trade dress</x:v>
      </x:c>
      <x:c r="S57" s="24" t="str">
        <x:v>CONDITIONALLY APPROVED</x:v>
      </x:c>
      <x:c r="T57" s="24" t="str">
        <x:v>Imported</x:v>
      </x:c>
      <x:c r="U57" s="24" t="str">
        <x:v>Internal; H6 after visual/legal audit</x:v>
      </x:c>
      <x:c r="V57" s="24" t="str">
        <x:v>Low</x:v>
      </x:c>
      <x:c r="W57" s="24" t="str">
        <x:v>VRM Games</x:v>
      </x:c>
      <x:c r="X57" s="24" t="str">
        <x:v>Los materiales sin texturas externas aparentes siguen requiriendo confirmación de origen por lote.</x:v>
      </x:c>
    </x:row>
    <x:row r="58" ht="34" customHeight="1">
      <x:c r="A58" s="24" t="str">
        <x:v>MTX-054</x:v>
      </x:c>
      <x:c r="B58" s="24" t="str">
        <x:v>02a2a492a281853daab6388d0ee18a34</x:v>
      </x:c>
      <x:c r="C58" s="24" t="str">
        <x:v>case-cloud-runner_cover.png</x:v>
      </x:c>
      <x:c r="D58" s="24" t="str">
        <x:v>Texture</x:v>
      </x:c>
      <x:c r="E58" s="24" t="str">
        <x:v>Textures</x:v>
      </x:c>
      <x:c r="F58" s="24" t="str">
        <x:v>VRM Games / internal pipeline</x:v>
      </x:c>
      <x:c r="G58" s="24" t="str">
        <x:v>VRM Games / Blas Luis Rocha González</x:v>
      </x:c>
      <x:c r="H58" s="24" t="str">
        <x:v>Internal project asset</x:v>
      </x:c>
      <x:c r="I58" s="24" t="str">
        <x:v>Internal project IP / authorship claim</x:v>
      </x:c>
      <x:c r="J58" s="24" t="str">
        <x:v>Assets.zip + path/hash</x:v>
      </x:c>
      <x:c r="K58" s="24" t="str">
        <x:v>042248c96d5107781d0a133d55211fb06f5393895cb79628fe0c5c8512e262e7</x:v>
      </x:c>
      <x:c r="L58" s="24" t="str">
        <x:v>Assets/_Project/Art/Textures/Products/Covers/case-cloud-runner_cover.png</x:v>
      </x:c>
      <x:c r="M58" s="24" t="str">
        <x:v>02a2a492a281853daab6388d0ee18a34</x:v>
      </x:c>
      <x:c r="N58" s="24" t="str">
        <x:v>Sí</x:v>
      </x:c>
      <x:c r="O58" s="24" t="str">
        <x:v>Conditional on final provenance confirmation</x:v>
      </x:c>
      <x:c r="P58" s="24" t="str">
        <x:v>Only embedded in authorized build</x:v>
      </x:c>
      <x:c r="Q58" s="24" t="str">
        <x:v>General studio/art credits</x:v>
      </x:c>
      <x:c r="R58" s="24" t="str">
        <x:v>No standalone redistribution; avoid third-party logos/trade dress</x:v>
      </x:c>
      <x:c r="S58" s="24" t="str">
        <x:v>CONDITIONALLY APPROVED</x:v>
      </x:c>
      <x:c r="T58" s="24" t="str">
        <x:v>Imported</x:v>
      </x:c>
      <x:c r="U58" s="24" t="str">
        <x:v>Internal; H6 after visual/legal audit</x:v>
      </x:c>
      <x:c r="V58" s="24" t="str">
        <x:v>Low</x:v>
      </x:c>
      <x:c r="W58" s="24" t="str">
        <x:v>VRM Games</x:v>
      </x:c>
      <x:c r="X58" s="24" t="str">
        <x:v>Los materiales sin texturas externas aparentes siguen requiriendo confirmación de origen por lote.</x:v>
      </x:c>
    </x:row>
    <x:row r="59" ht="34" customHeight="1">
      <x:c r="A59" s="24" t="str">
        <x:v>MTX-055</x:v>
      </x:c>
      <x:c r="B59" s="24" t="str">
        <x:v>36c44215e08a5796632b24c7f3fd1ebd</x:v>
      </x:c>
      <x:c r="C59" s="24" t="str">
        <x:v>console-vertex-one_cover.png</x:v>
      </x:c>
      <x:c r="D59" s="24" t="str">
        <x:v>Texture</x:v>
      </x:c>
      <x:c r="E59" s="24" t="str">
        <x:v>Textures</x:v>
      </x:c>
      <x:c r="F59" s="24" t="str">
        <x:v>VRM Games / internal pipeline</x:v>
      </x:c>
      <x:c r="G59" s="24" t="str">
        <x:v>VRM Games / Blas Luis Rocha González</x:v>
      </x:c>
      <x:c r="H59" s="24" t="str">
        <x:v>Internal project asset</x:v>
      </x:c>
      <x:c r="I59" s="24" t="str">
        <x:v>Internal project IP / authorship claim</x:v>
      </x:c>
      <x:c r="J59" s="24" t="str">
        <x:v>Assets.zip + path/hash</x:v>
      </x:c>
      <x:c r="K59" s="24" t="str">
        <x:v>45754fda3c0b992594de591e938520df3cd905e0d4145d13638a2678ee11b2e6</x:v>
      </x:c>
      <x:c r="L59" s="24" t="str">
        <x:v>Assets/_Project/Art/Textures/Products/Covers/console-vertex-one_cover.png</x:v>
      </x:c>
      <x:c r="M59" s="24" t="str">
        <x:v>36c44215e08a5796632b24c7f3fd1ebd</x:v>
      </x:c>
      <x:c r="N59" s="24" t="str">
        <x:v>Sí</x:v>
      </x:c>
      <x:c r="O59" s="24" t="str">
        <x:v>Conditional on final provenance confirmation</x:v>
      </x:c>
      <x:c r="P59" s="24" t="str">
        <x:v>Only embedded in authorized build</x:v>
      </x:c>
      <x:c r="Q59" s="24" t="str">
        <x:v>General studio/art credits</x:v>
      </x:c>
      <x:c r="R59" s="24" t="str">
        <x:v>No standalone redistribution; avoid third-party logos/trade dress</x:v>
      </x:c>
      <x:c r="S59" s="24" t="str">
        <x:v>CONDITIONALLY APPROVED</x:v>
      </x:c>
      <x:c r="T59" s="24" t="str">
        <x:v>Imported</x:v>
      </x:c>
      <x:c r="U59" s="24" t="str">
        <x:v>Internal; H6 after visual/legal audit</x:v>
      </x:c>
      <x:c r="V59" s="24" t="str">
        <x:v>Low</x:v>
      </x:c>
      <x:c r="W59" s="24" t="str">
        <x:v>VRM Games</x:v>
      </x:c>
      <x:c r="X59" s="24" t="str">
        <x:v>Los materiales sin texturas externas aparentes siguen requiriendo confirmación de origen por lote.</x:v>
      </x:c>
    </x:row>
    <x:row r="60" ht="34" customHeight="1">
      <x:c r="A60" s="24" t="str">
        <x:v>MTX-056</x:v>
      </x:c>
      <x:c r="B60" s="24" t="str">
        <x:v>1df6feaefb37bee2c723271f297c84fa</x:v>
      </x:c>
      <x:c r="C60" s="24" t="str">
        <x:v>controller-orbit-pad_cover.png</x:v>
      </x:c>
      <x:c r="D60" s="24" t="str">
        <x:v>Texture</x:v>
      </x:c>
      <x:c r="E60" s="24" t="str">
        <x:v>Textures</x:v>
      </x:c>
      <x:c r="F60" s="24" t="str">
        <x:v>VRM Games / internal pipeline</x:v>
      </x:c>
      <x:c r="G60" s="24" t="str">
        <x:v>VRM Games / Blas Luis Rocha González</x:v>
      </x:c>
      <x:c r="H60" s="24" t="str">
        <x:v>Internal project asset</x:v>
      </x:c>
      <x:c r="I60" s="24" t="str">
        <x:v>Internal project IP / authorship claim</x:v>
      </x:c>
      <x:c r="J60" s="24" t="str">
        <x:v>Assets.zip + path/hash</x:v>
      </x:c>
      <x:c r="K60" s="24" t="str">
        <x:v>753bbda1be3534e086347c32bdeac3ff6e8c595affab3b4a45cb27fe98611646</x:v>
      </x:c>
      <x:c r="L60" s="24" t="str">
        <x:v>Assets/_Project/Art/Textures/Products/Covers/controller-orbit-pad_cover.png</x:v>
      </x:c>
      <x:c r="M60" s="24" t="str">
        <x:v>1df6feaefb37bee2c723271f297c84fa</x:v>
      </x:c>
      <x:c r="N60" s="24" t="str">
        <x:v>Sí</x:v>
      </x:c>
      <x:c r="O60" s="24" t="str">
        <x:v>Conditional on final provenance confirmation</x:v>
      </x:c>
      <x:c r="P60" s="24" t="str">
        <x:v>Only embedded in authorized build</x:v>
      </x:c>
      <x:c r="Q60" s="24" t="str">
        <x:v>General studio/art credits</x:v>
      </x:c>
      <x:c r="R60" s="24" t="str">
        <x:v>No standalone redistribution; avoid third-party logos/trade dress</x:v>
      </x:c>
      <x:c r="S60" s="24" t="str">
        <x:v>CONDITIONALLY APPROVED</x:v>
      </x:c>
      <x:c r="T60" s="24" t="str">
        <x:v>Imported</x:v>
      </x:c>
      <x:c r="U60" s="24" t="str">
        <x:v>Internal; H6 after visual/legal audit</x:v>
      </x:c>
      <x:c r="V60" s="24" t="str">
        <x:v>Low</x:v>
      </x:c>
      <x:c r="W60" s="24" t="str">
        <x:v>VRM Games</x:v>
      </x:c>
      <x:c r="X60" s="24" t="str">
        <x:v>Los materiales sin texturas externas aparentes siguen requiriendo confirmación de origen por lote.</x:v>
      </x:c>
    </x:row>
    <x:row r="61" ht="34" customHeight="1">
      <x:c r="A61" s="24" t="str">
        <x:v>MTX-057</x:v>
      </x:c>
      <x:c r="B61" s="24" t="str">
        <x:v>95a08376e01a66e9fb8be705367e8e70</x:v>
      </x:c>
      <x:c r="C61" s="24" t="str">
        <x:v>game-neon-drift_cover.png</x:v>
      </x:c>
      <x:c r="D61" s="24" t="str">
        <x:v>Texture</x:v>
      </x:c>
      <x:c r="E61" s="24" t="str">
        <x:v>Textures</x:v>
      </x:c>
      <x:c r="F61" s="24" t="str">
        <x:v>VRM Games / internal pipeline</x:v>
      </x:c>
      <x:c r="G61" s="24" t="str">
        <x:v>VRM Games / Blas Luis Rocha González</x:v>
      </x:c>
      <x:c r="H61" s="24" t="str">
        <x:v>Internal project asset</x:v>
      </x:c>
      <x:c r="I61" s="24" t="str">
        <x:v>Internal project IP / authorship claim</x:v>
      </x:c>
      <x:c r="J61" s="24" t="str">
        <x:v>Assets.zip + path/hash</x:v>
      </x:c>
      <x:c r="K61" s="24" t="str">
        <x:v>959600e550e3c4f42571a8258adf7f034bd3448bc63bd9cd1e6d24a41dc82d2b</x:v>
      </x:c>
      <x:c r="L61" s="24" t="str">
        <x:v>Assets/_Project/Art/Textures/Products/Covers/game-neon-drift_cover.png</x:v>
      </x:c>
      <x:c r="M61" s="24" t="str">
        <x:v>95a08376e01a66e9fb8be705367e8e70</x:v>
      </x:c>
      <x:c r="N61" s="24" t="str">
        <x:v>Sí</x:v>
      </x:c>
      <x:c r="O61" s="24" t="str">
        <x:v>Conditional on final provenance confirmation</x:v>
      </x:c>
      <x:c r="P61" s="24" t="str">
        <x:v>Only embedded in authorized build</x:v>
      </x:c>
      <x:c r="Q61" s="24" t="str">
        <x:v>General studio/art credits</x:v>
      </x:c>
      <x:c r="R61" s="24" t="str">
        <x:v>No standalone redistribution; avoid third-party logos/trade dress</x:v>
      </x:c>
      <x:c r="S61" s="24" t="str">
        <x:v>CONDITIONALLY APPROVED</x:v>
      </x:c>
      <x:c r="T61" s="24" t="str">
        <x:v>Imported</x:v>
      </x:c>
      <x:c r="U61" s="24" t="str">
        <x:v>Internal; H6 after visual/legal audit</x:v>
      </x:c>
      <x:c r="V61" s="24" t="str">
        <x:v>Low</x:v>
      </x:c>
      <x:c r="W61" s="24" t="str">
        <x:v>VRM Games</x:v>
      </x:c>
      <x:c r="X61" s="24" t="str">
        <x:v>Los materiales sin texturas externas aparentes siguen requiriendo confirmación de origen por lote.</x:v>
      </x:c>
    </x:row>
    <x:row r="62" ht="34" customHeight="1">
      <x:c r="A62" s="24" t="str">
        <x:v>MTX-058</x:v>
      </x:c>
      <x:c r="B62" s="24" t="str">
        <x:v>555516fd940c23a935886572fcb5dbda</x:v>
      </x:c>
      <x:c r="C62" s="24" t="str">
        <x:v>headset-signal-pro_cover.png</x:v>
      </x:c>
      <x:c r="D62" s="24" t="str">
        <x:v>Texture</x:v>
      </x:c>
      <x:c r="E62" s="24" t="str">
        <x:v>Textures</x:v>
      </x:c>
      <x:c r="F62" s="24" t="str">
        <x:v>VRM Games / internal pipeline</x:v>
      </x:c>
      <x:c r="G62" s="24" t="str">
        <x:v>VRM Games / Blas Luis Rocha González</x:v>
      </x:c>
      <x:c r="H62" s="24" t="str">
        <x:v>Internal project asset</x:v>
      </x:c>
      <x:c r="I62" s="24" t="str">
        <x:v>Internal project IP / authorship claim</x:v>
      </x:c>
      <x:c r="J62" s="24" t="str">
        <x:v>Assets.zip + path/hash</x:v>
      </x:c>
      <x:c r="K62" s="24" t="str">
        <x:v>6aa019355a4239b448e5cce81b19263f999b5d0a2f159c34cbe0395dd3e20f36</x:v>
      </x:c>
      <x:c r="L62" s="24" t="str">
        <x:v>Assets/_Project/Art/Textures/Products/Covers/headset-signal-pro_cover.png</x:v>
      </x:c>
      <x:c r="M62" s="24" t="str">
        <x:v>555516fd940c23a935886572fcb5dbda</x:v>
      </x:c>
      <x:c r="N62" s="24" t="str">
        <x:v>Sí</x:v>
      </x:c>
      <x:c r="O62" s="24" t="str">
        <x:v>Conditional on final provenance confirmation</x:v>
      </x:c>
      <x:c r="P62" s="24" t="str">
        <x:v>Only embedded in authorized build</x:v>
      </x:c>
      <x:c r="Q62" s="24" t="str">
        <x:v>General studio/art credits</x:v>
      </x:c>
      <x:c r="R62" s="24" t="str">
        <x:v>No standalone redistribution; avoid third-party logos/trade dress</x:v>
      </x:c>
      <x:c r="S62" s="24" t="str">
        <x:v>CONDITIONALLY APPROVED</x:v>
      </x:c>
      <x:c r="T62" s="24" t="str">
        <x:v>Imported</x:v>
      </x:c>
      <x:c r="U62" s="24" t="str">
        <x:v>Internal; H6 after visual/legal audit</x:v>
      </x:c>
      <x:c r="V62" s="24" t="str">
        <x:v>Low</x:v>
      </x:c>
      <x:c r="W62" s="24" t="str">
        <x:v>VRM Games</x:v>
      </x:c>
      <x:c r="X62" s="24" t="str">
        <x:v>Los materiales sin texturas externas aparentes siguen requiriendo confirmación de origen por lote.</x:v>
      </x:c>
    </x:row>
    <x:row r="63" ht="34" customHeight="1">
      <x:c r="A63" s="24" t="str">
        <x:v>MTX-059</x:v>
      </x:c>
      <x:c r="B63" s="24" t="str">
        <x:v>6d1ad708b4e4aafaed261b3d970bad30</x:v>
      </x:c>
      <x:c r="C63" s="24" t="str">
        <x:v>accessory-memory-core_icon.png</x:v>
      </x:c>
      <x:c r="D63" s="24" t="str">
        <x:v>Product icon</x:v>
      </x:c>
      <x:c r="E63" s="24" t="str">
        <x:v>Textures</x:v>
      </x:c>
      <x:c r="F63" s="24" t="str">
        <x:v>VRM Games / internal pipeline</x:v>
      </x:c>
      <x:c r="G63" s="24" t="str">
        <x:v>VRM Games / Blas Luis Rocha González</x:v>
      </x:c>
      <x:c r="H63" s="24" t="str">
        <x:v>Internal project asset</x:v>
      </x:c>
      <x:c r="I63" s="24" t="str">
        <x:v>Internal project IP / authorship claim</x:v>
      </x:c>
      <x:c r="J63" s="24" t="str">
        <x:v>Assets.zip + path/hash</x:v>
      </x:c>
      <x:c r="K63" s="24" t="str">
        <x:v>d7a5f75ece0ce0bf4a33206760bd3162bb5e939f27b128def13ac35febd121df</x:v>
      </x:c>
      <x:c r="L63" s="24" t="str">
        <x:v>Assets/_Project/Art/Textures/Products/Icons/accessory-memory-core_icon.png</x:v>
      </x:c>
      <x:c r="M63" s="24" t="str">
        <x:v>6d1ad708b4e4aafaed261b3d970bad30</x:v>
      </x:c>
      <x:c r="N63" s="24" t="str">
        <x:v>Sí</x:v>
      </x:c>
      <x:c r="O63" s="24" t="str">
        <x:v>Conditional on final provenance confirmation</x:v>
      </x:c>
      <x:c r="P63" s="24" t="str">
        <x:v>Only embedded in authorized build</x:v>
      </x:c>
      <x:c r="Q63" s="24" t="str">
        <x:v>General studio/art credits</x:v>
      </x:c>
      <x:c r="R63" s="24" t="str">
        <x:v>No standalone redistribution; avoid third-party logos/trade dress</x:v>
      </x:c>
      <x:c r="S63" s="24" t="str">
        <x:v>CONDITIONALLY APPROVED</x:v>
      </x:c>
      <x:c r="T63" s="24" t="str">
        <x:v>Imported</x:v>
      </x:c>
      <x:c r="U63" s="24" t="str">
        <x:v>Internal; H6 after visual/legal audit</x:v>
      </x:c>
      <x:c r="V63" s="24" t="str">
        <x:v>Low</x:v>
      </x:c>
      <x:c r="W63" s="24" t="str">
        <x:v>VRM Games</x:v>
      </x:c>
      <x:c r="X63" s="24" t="str">
        <x:v>Los materiales sin texturas externas aparentes siguen requiriendo confirmación de origen por lote.</x:v>
      </x:c>
    </x:row>
    <x:row r="64" ht="34" customHeight="1">
      <x:c r="A64" s="24" t="str">
        <x:v>MTX-060</x:v>
      </x:c>
      <x:c r="B64" s="24" t="str">
        <x:v>8c0a1718ad8cc09611a641f822dd6876</x:v>
      </x:c>
      <x:c r="C64" s="24" t="str">
        <x:v>case-cloud-runner_icon.png</x:v>
      </x:c>
      <x:c r="D64" s="24" t="str">
        <x:v>Product icon</x:v>
      </x:c>
      <x:c r="E64" s="24" t="str">
        <x:v>Textures</x:v>
      </x:c>
      <x:c r="F64" s="24" t="str">
        <x:v>VRM Games / internal pipeline</x:v>
      </x:c>
      <x:c r="G64" s="24" t="str">
        <x:v>VRM Games / Blas Luis Rocha González</x:v>
      </x:c>
      <x:c r="H64" s="24" t="str">
        <x:v>Internal project asset</x:v>
      </x:c>
      <x:c r="I64" s="24" t="str">
        <x:v>Internal project IP / authorship claim</x:v>
      </x:c>
      <x:c r="J64" s="24" t="str">
        <x:v>Assets.zip + path/hash</x:v>
      </x:c>
      <x:c r="K64" s="24" t="str">
        <x:v>1f2ce96685cd3ca1d33413d2e5bb3bd1c2dad848e8421821777452b50671465a</x:v>
      </x:c>
      <x:c r="L64" s="24" t="str">
        <x:v>Assets/_Project/Art/Textures/Products/Icons/case-cloud-runner_icon.png</x:v>
      </x:c>
      <x:c r="M64" s="24" t="str">
        <x:v>8c0a1718ad8cc09611a641f822dd6876</x:v>
      </x:c>
      <x:c r="N64" s="24" t="str">
        <x:v>Sí</x:v>
      </x:c>
      <x:c r="O64" s="24" t="str">
        <x:v>Conditional on final provenance confirmation</x:v>
      </x:c>
      <x:c r="P64" s="24" t="str">
        <x:v>Only embedded in authorized build</x:v>
      </x:c>
      <x:c r="Q64" s="24" t="str">
        <x:v>General studio/art credits</x:v>
      </x:c>
      <x:c r="R64" s="24" t="str">
        <x:v>No standalone redistribution; avoid third-party logos/trade dress</x:v>
      </x:c>
      <x:c r="S64" s="24" t="str">
        <x:v>CONDITIONALLY APPROVED</x:v>
      </x:c>
      <x:c r="T64" s="24" t="str">
        <x:v>Imported</x:v>
      </x:c>
      <x:c r="U64" s="24" t="str">
        <x:v>Internal; H6 after visual/legal audit</x:v>
      </x:c>
      <x:c r="V64" s="24" t="str">
        <x:v>Low</x:v>
      </x:c>
      <x:c r="W64" s="24" t="str">
        <x:v>VRM Games</x:v>
      </x:c>
      <x:c r="X64" s="24" t="str">
        <x:v>Los materiales sin texturas externas aparentes siguen requiriendo confirmación de origen por lote.</x:v>
      </x:c>
    </x:row>
    <x:row r="65" ht="34" customHeight="1">
      <x:c r="A65" s="24" t="str">
        <x:v>MTX-061</x:v>
      </x:c>
      <x:c r="B65" s="24" t="str">
        <x:v>6aa6b1239ca9f6cdfd2bb6023eb4c1c4</x:v>
      </x:c>
      <x:c r="C65" s="24" t="str">
        <x:v>console-vertex-one_icon.png</x:v>
      </x:c>
      <x:c r="D65" s="24" t="str">
        <x:v>Product icon</x:v>
      </x:c>
      <x:c r="E65" s="24" t="str">
        <x:v>Textures</x:v>
      </x:c>
      <x:c r="F65" s="24" t="str">
        <x:v>VRM Games / internal pipeline</x:v>
      </x:c>
      <x:c r="G65" s="24" t="str">
        <x:v>VRM Games / Blas Luis Rocha González</x:v>
      </x:c>
      <x:c r="H65" s="24" t="str">
        <x:v>Internal project asset</x:v>
      </x:c>
      <x:c r="I65" s="24" t="str">
        <x:v>Internal project IP / authorship claim</x:v>
      </x:c>
      <x:c r="J65" s="24" t="str">
        <x:v>Assets.zip + path/hash</x:v>
      </x:c>
      <x:c r="K65" s="24" t="str">
        <x:v>420b32b4ca770ab2f6c6356236ff6f08a14116438e847872d4b5af622878ca36</x:v>
      </x:c>
      <x:c r="L65" s="24" t="str">
        <x:v>Assets/_Project/Art/Textures/Products/Icons/console-vertex-one_icon.png</x:v>
      </x:c>
      <x:c r="M65" s="24" t="str">
        <x:v>6aa6b1239ca9f6cdfd2bb6023eb4c1c4</x:v>
      </x:c>
      <x:c r="N65" s="24" t="str">
        <x:v>Sí</x:v>
      </x:c>
      <x:c r="O65" s="24" t="str">
        <x:v>Conditional on final provenance confirmation</x:v>
      </x:c>
      <x:c r="P65" s="24" t="str">
        <x:v>Only embedded in authorized build</x:v>
      </x:c>
      <x:c r="Q65" s="24" t="str">
        <x:v>General studio/art credits</x:v>
      </x:c>
      <x:c r="R65" s="24" t="str">
        <x:v>No standalone redistribution; avoid third-party logos/trade dress</x:v>
      </x:c>
      <x:c r="S65" s="24" t="str">
        <x:v>CONDITIONALLY APPROVED</x:v>
      </x:c>
      <x:c r="T65" s="24" t="str">
        <x:v>Imported</x:v>
      </x:c>
      <x:c r="U65" s="24" t="str">
        <x:v>Internal; H6 after visual/legal audit</x:v>
      </x:c>
      <x:c r="V65" s="24" t="str">
        <x:v>Low</x:v>
      </x:c>
      <x:c r="W65" s="24" t="str">
        <x:v>VRM Games</x:v>
      </x:c>
      <x:c r="X65" s="24" t="str">
        <x:v>Los materiales sin texturas externas aparentes siguen requiriendo confirmación de origen por lote.</x:v>
      </x:c>
    </x:row>
    <x:row r="66" ht="34" customHeight="1">
      <x:c r="A66" s="24" t="str">
        <x:v>MTX-062</x:v>
      </x:c>
      <x:c r="B66" s="24" t="str">
        <x:v>a5a7682e0808b2d2d51bdf3ef57fe2a1</x:v>
      </x:c>
      <x:c r="C66" s="24" t="str">
        <x:v>controller-orbit-pad_icon.png</x:v>
      </x:c>
      <x:c r="D66" s="24" t="str">
        <x:v>Product icon</x:v>
      </x:c>
      <x:c r="E66" s="24" t="str">
        <x:v>Textures</x:v>
      </x:c>
      <x:c r="F66" s="24" t="str">
        <x:v>VRM Games / internal pipeline</x:v>
      </x:c>
      <x:c r="G66" s="24" t="str">
        <x:v>VRM Games / Blas Luis Rocha González</x:v>
      </x:c>
      <x:c r="H66" s="24" t="str">
        <x:v>Internal project asset</x:v>
      </x:c>
      <x:c r="I66" s="24" t="str">
        <x:v>Internal project IP / authorship claim</x:v>
      </x:c>
      <x:c r="J66" s="24" t="str">
        <x:v>Assets.zip + path/hash</x:v>
      </x:c>
      <x:c r="K66" s="24" t="str">
        <x:v>b8e2f451c763a0b2a29052f44d78029476716d8f8940ba70327c44729c07900e</x:v>
      </x:c>
      <x:c r="L66" s="24" t="str">
        <x:v>Assets/_Project/Art/Textures/Products/Icons/controller-orbit-pad_icon.png</x:v>
      </x:c>
      <x:c r="M66" s="24" t="str">
        <x:v>a5a7682e0808b2d2d51bdf3ef57fe2a1</x:v>
      </x:c>
      <x:c r="N66" s="24" t="str">
        <x:v>Sí</x:v>
      </x:c>
      <x:c r="O66" s="24" t="str">
        <x:v>Conditional on final provenance confirmation</x:v>
      </x:c>
      <x:c r="P66" s="24" t="str">
        <x:v>Only embedded in authorized build</x:v>
      </x:c>
      <x:c r="Q66" s="24" t="str">
        <x:v>General studio/art credits</x:v>
      </x:c>
      <x:c r="R66" s="24" t="str">
        <x:v>No standalone redistribution; avoid third-party logos/trade dress</x:v>
      </x:c>
      <x:c r="S66" s="24" t="str">
        <x:v>CONDITIONALLY APPROVED</x:v>
      </x:c>
      <x:c r="T66" s="24" t="str">
        <x:v>Imported</x:v>
      </x:c>
      <x:c r="U66" s="24" t="str">
        <x:v>Internal; H6 after visual/legal audit</x:v>
      </x:c>
      <x:c r="V66" s="24" t="str">
        <x:v>Low</x:v>
      </x:c>
      <x:c r="W66" s="24" t="str">
        <x:v>VRM Games</x:v>
      </x:c>
      <x:c r="X66" s="24" t="str">
        <x:v>Los materiales sin texturas externas aparentes siguen requiriendo confirmación de origen por lote.</x:v>
      </x:c>
    </x:row>
    <x:row r="67" ht="34" customHeight="1">
      <x:c r="A67" s="24" t="str">
        <x:v>MTX-063</x:v>
      </x:c>
      <x:c r="B67" s="24" t="str">
        <x:v>5446fc2e413d4c4501d24e5f36c02441</x:v>
      </x:c>
      <x:c r="C67" s="24" t="str">
        <x:v>game-neon-drift_icon.png</x:v>
      </x:c>
      <x:c r="D67" s="24" t="str">
        <x:v>Product icon</x:v>
      </x:c>
      <x:c r="E67" s="24" t="str">
        <x:v>Textures</x:v>
      </x:c>
      <x:c r="F67" s="24" t="str">
        <x:v>VRM Games / internal pipeline</x:v>
      </x:c>
      <x:c r="G67" s="24" t="str">
        <x:v>VRM Games / Blas Luis Rocha González</x:v>
      </x:c>
      <x:c r="H67" s="24" t="str">
        <x:v>Internal project asset</x:v>
      </x:c>
      <x:c r="I67" s="24" t="str">
        <x:v>Internal project IP / authorship claim</x:v>
      </x:c>
      <x:c r="J67" s="24" t="str">
        <x:v>Assets.zip + path/hash</x:v>
      </x:c>
      <x:c r="K67" s="24" t="str">
        <x:v>5bfa677ba7d80c67d80a1dc7823d9f31a2d1074f2b6bf954258eab8142a5db09</x:v>
      </x:c>
      <x:c r="L67" s="24" t="str">
        <x:v>Assets/_Project/Art/Textures/Products/Icons/game-neon-drift_icon.png</x:v>
      </x:c>
      <x:c r="M67" s="24" t="str">
        <x:v>5446fc2e413d4c4501d24e5f36c02441</x:v>
      </x:c>
      <x:c r="N67" s="24" t="str">
        <x:v>Sí</x:v>
      </x:c>
      <x:c r="O67" s="24" t="str">
        <x:v>Conditional on final provenance confirmation</x:v>
      </x:c>
      <x:c r="P67" s="24" t="str">
        <x:v>Only embedded in authorized build</x:v>
      </x:c>
      <x:c r="Q67" s="24" t="str">
        <x:v>General studio/art credits</x:v>
      </x:c>
      <x:c r="R67" s="24" t="str">
        <x:v>No standalone redistribution; avoid third-party logos/trade dress</x:v>
      </x:c>
      <x:c r="S67" s="24" t="str">
        <x:v>CONDITIONALLY APPROVED</x:v>
      </x:c>
      <x:c r="T67" s="24" t="str">
        <x:v>Imported</x:v>
      </x:c>
      <x:c r="U67" s="24" t="str">
        <x:v>Internal; H6 after visual/legal audit</x:v>
      </x:c>
      <x:c r="V67" s="24" t="str">
        <x:v>Low</x:v>
      </x:c>
      <x:c r="W67" s="24" t="str">
        <x:v>VRM Games</x:v>
      </x:c>
      <x:c r="X67" s="24" t="str">
        <x:v>Los materiales sin texturas externas aparentes siguen requiriendo confirmación de origen por lote.</x:v>
      </x:c>
    </x:row>
    <x:row r="68" ht="34" customHeight="1">
      <x:c r="A68" s="24" t="str">
        <x:v>MTX-064</x:v>
      </x:c>
      <x:c r="B68" s="24" t="str">
        <x:v>c2eab608e2f22d55399d6e4ae9b1b706</x:v>
      </x:c>
      <x:c r="C68" s="24" t="str">
        <x:v>headset-signal-pro_icon.png</x:v>
      </x:c>
      <x:c r="D68" s="24" t="str">
        <x:v>Product icon</x:v>
      </x:c>
      <x:c r="E68" s="24" t="str">
        <x:v>Textures</x:v>
      </x:c>
      <x:c r="F68" s="24" t="str">
        <x:v>VRM Games / internal pipeline</x:v>
      </x:c>
      <x:c r="G68" s="24" t="str">
        <x:v>VRM Games / Blas Luis Rocha González</x:v>
      </x:c>
      <x:c r="H68" s="24" t="str">
        <x:v>Internal project asset</x:v>
      </x:c>
      <x:c r="I68" s="24" t="str">
        <x:v>Internal project IP / authorship claim</x:v>
      </x:c>
      <x:c r="J68" s="24" t="str">
        <x:v>Assets.zip + path/hash</x:v>
      </x:c>
      <x:c r="K68" s="24" t="str">
        <x:v>2a2b0b19b66f8dd43f7256591f348e7b2fbd6605a466105b2e77c6acdab51500</x:v>
      </x:c>
      <x:c r="L68" s="24" t="str">
        <x:v>Assets/_Project/Art/Textures/Products/Icons/headset-signal-pro_icon.png</x:v>
      </x:c>
      <x:c r="M68" s="24" t="str">
        <x:v>c2eab608e2f22d55399d6e4ae9b1b706</x:v>
      </x:c>
      <x:c r="N68" s="24" t="str">
        <x:v>Sí</x:v>
      </x:c>
      <x:c r="O68" s="24" t="str">
        <x:v>Conditional on final provenance confirmation</x:v>
      </x:c>
      <x:c r="P68" s="24" t="str">
        <x:v>Only embedded in authorized build</x:v>
      </x:c>
      <x:c r="Q68" s="24" t="str">
        <x:v>General studio/art credits</x:v>
      </x:c>
      <x:c r="R68" s="24" t="str">
        <x:v>No standalone redistribution; avoid third-party logos/trade dress</x:v>
      </x:c>
      <x:c r="S68" s="24" t="str">
        <x:v>CONDITIONALLY APPROVED</x:v>
      </x:c>
      <x:c r="T68" s="24" t="str">
        <x:v>Imported</x:v>
      </x:c>
      <x:c r="U68" s="24" t="str">
        <x:v>Internal; H6 after visual/legal audit</x:v>
      </x:c>
      <x:c r="V68" s="24" t="str">
        <x:v>Low</x:v>
      </x:c>
      <x:c r="W68" s="24" t="str">
        <x:v>VRM Games</x:v>
      </x:c>
      <x:c r="X68" s="24" t="str">
        <x:v>Los materiales sin texturas externas aparentes siguen requiriendo confirmación de origen por lote.</x:v>
      </x:c>
    </x:row>
  </x:sheetData>
  <x:mergeCells>
    <x:mergeCell ref="A1:X1"/>
    <x:mergeCell ref="A2:X2"/>
  </x:mergeCells>
  <x:conditionalFormatting sqref="S5:S68">
    <x:cfRule type="expression" dxfId="40" priority="1">
      <x:formula>OR(ISNUMBER(SEARCH("APPROVED",S5)),ISNUMBER(SEARCH("READY",S5)),ISNUMBER(SEARCH("ACTIVE",S5)),ISNUMBER(SEARCH("VERIFIED",S5)))</x:formula>
    </x:cfRule>
    <x:cfRule type="expression" dxfId="41" priority="2">
      <x:formula>OR(ISNUMBER(SEARCH("BLOCK",S5)),ISNUMBER(SEARCH("PROHIBITED",S5)),ISNUMBER(SEARCH("CRITICAL",S5)),ISNUMBER(SEARCH("MISSING",S5)))</x:formula>
    </x:cfRule>
    <x:cfRule type="expression" dxfId="42" priority="3">
      <x:formula>OR(ISNUMBER(SEARCH("PENDING",S5)),ISNUMBER(SEARCH("PARTIAL",S5)),ISNUMBER(SEARCH("REVIEW",S5)),ISNUMBER(SEARCH("CONDITIONAL",S5)))</x:formula>
    </x:cfRule>
    <x:cfRule type="expression" dxfId="43" priority="4">
      <x:formula>OR(ISNUMBER(SEARCH("HISTORICAL",S5)),ISNUMBER(SEARCH("VISION",S5)),ISNUMBER(SEARCH("OPTIONAL",S5)))</x:formula>
    </x:cfRule>
  </x:conditionalFormatting>
  <x:conditionalFormatting sqref="V5:V68">
    <x:cfRule type="expression" dxfId="44" priority="5">
      <x:formula>OR(ISNUMBER(SEARCH("APPROVED",V5)),ISNUMBER(SEARCH("READY",V5)),ISNUMBER(SEARCH("ACTIVE",V5)),ISNUMBER(SEARCH("VERIFIED",V5)))</x:formula>
    </x:cfRule>
    <x:cfRule type="expression" dxfId="45" priority="6">
      <x:formula>OR(ISNUMBER(SEARCH("BLOCK",V5)),ISNUMBER(SEARCH("PROHIBITED",V5)),ISNUMBER(SEARCH("CRITICAL",V5)),ISNUMBER(SEARCH("MISSING",V5)))</x:formula>
    </x:cfRule>
    <x:cfRule type="expression" dxfId="46" priority="7">
      <x:formula>OR(ISNUMBER(SEARCH("PENDING",V5)),ISNUMBER(SEARCH("PARTIAL",V5)),ISNUMBER(SEARCH("REVIEW",V5)),ISNUMBER(SEARCH("CONDITIONAL",V5)))</x:formula>
    </x:cfRule>
    <x:cfRule type="expression" dxfId="47" priority="8">
      <x:formula>OR(ISNUMBER(SEARCH("HISTORICAL",V5)),ISNUMBER(SEARCH("VISION",V5)),ISNUMBER(SEARCH("OPTIONAL",V5)))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a991b01944425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6" hidden="0" customWidth="1"/>
    <x:col min="4" max="4" width="22" hidden="0" customWidth="1"/>
    <x:col min="5" max="5" width="20" hidden="0" customWidth="1"/>
    <x:col min="6" max="6" width="34" hidden="0" customWidth="1"/>
    <x:col min="7" max="7" width="34" hidden="0" customWidth="1"/>
    <x:col min="8" max="8" width="30" hidden="0" customWidth="1"/>
    <x:col min="9" max="9" width="46" hidden="0" customWidth="1"/>
    <x:col min="10" max="10" width="18" hidden="0" customWidth="1"/>
    <x:col min="11" max="11" width="32" hidden="0" customWidth="1"/>
    <x:col min="12" max="12" width="48" hidden="0" customWidth="1"/>
    <x:col min="13" max="13" width="68" hidden="0" customWidth="1"/>
    <x:col min="14" max="14" width="72" hidden="0" customWidth="1"/>
    <x:col min="15" max="15" width="36" hidden="0" customWidth="1"/>
    <x:col min="16" max="16" width="18" hidden="0" customWidth="1"/>
    <x:col min="17" max="17" width="24" hidden="0" customWidth="1"/>
    <x:col min="18" max="18" width="34" hidden="0" customWidth="1"/>
    <x:col min="19" max="19" width="30" hidden="0" customWidth="1"/>
    <x:col min="20" max="20" width="44" hidden="0" customWidth="1"/>
    <x:col min="21" max="21" width="32" hidden="0" customWidth="1"/>
    <x:col min="22" max="22" width="18" hidden="0" customWidth="1"/>
    <x:col min="23" max="23" width="44" hidden="0" customWidth="1"/>
    <x:col min="24" max="24" width="20" hidden="0" customWidth="1"/>
    <x:col min="25" max="25" width="55" hidden="0" customWidth="1"/>
  </x:cols>
  <x:sheetData>
    <x:row r="1" ht="30" customHeight="1">
      <x:c r="A1" s="4" t="str">
        <x:v>Audio, música y SFX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2" customHeight="1">
      <x:c r="A2" s="10" t="str">
        <x:v>Registro por clip con procedencia, uso comercial, atribución y bloqueo público.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4" ht="38" customHeight="1">
      <x:c r="A4" s="17" t="str">
        <x:v>License Record ID</x:v>
      </x:c>
      <x:c r="B4" s="17" t="str">
        <x:v>Asset ID</x:v>
      </x:c>
      <x:c r="C4" s="17" t="str">
        <x:v>Nombre</x:v>
      </x:c>
      <x:c r="D4" s="17" t="str">
        <x:v>Tipo</x:v>
      </x:c>
      <x:c r="E4" s="17" t="str">
        <x:v>Canal/Familia</x:v>
      </x:c>
      <x:c r="F4" s="17" t="str">
        <x:v>Autor declarado</x:v>
      </x:c>
      <x:c r="G4" s="17" t="str">
        <x:v>Propietario declarado</x:v>
      </x:c>
      <x:c r="H4" s="17" t="str">
        <x:v>Proveedor</x:v>
      </x:c>
      <x:c r="I4" s="17" t="str">
        <x:v>Origen</x:v>
      </x:c>
      <x:c r="J4" s="17" t="str">
        <x:v>Fecha de obtención</x:v>
      </x:c>
      <x:c r="K4" s="17" t="str">
        <x:v>Licencia</x:v>
      </x:c>
      <x:c r="L4" s="17" t="str">
        <x:v>Prueba documental</x:v>
      </x:c>
      <x:c r="M4" s="17" t="str">
        <x:v>SHA-256</x:v>
      </x:c>
      <x:c r="N4" s="17" t="str">
        <x:v>Ruta</x:v>
      </x:c>
      <x:c r="O4" s="17" t="str">
        <x:v>GUID</x:v>
      </x:c>
      <x:c r="P4" s="17" t="str">
        <x:v>Modificación permitida</x:v>
      </x:c>
      <x:c r="Q4" s="17" t="str">
        <x:v>Uso comercial permitido</x:v>
      </x:c>
      <x:c r="R4" s="17" t="str">
        <x:v>Redistribución permitida</x:v>
      </x:c>
      <x:c r="S4" s="17" t="str">
        <x:v>Atribución requerida</x:v>
      </x:c>
      <x:c r="T4" s="17" t="str">
        <x:v>Restricciones</x:v>
      </x:c>
      <x:c r="U4" s="17" t="str">
        <x:v>Estado legal</x:v>
      </x:c>
      <x:c r="V4" s="17" t="str">
        <x:v>Builds autorizadas</x:v>
      </x:c>
      <x:c r="W4" s="17" t="str">
        <x:v>Riesgo</x:v>
      </x:c>
      <x:c r="X4" s="17" t="str">
        <x:v>Revisión</x:v>
      </x:c>
      <x:c r="Y4" s="17" t="str">
        <x:v>Owner</x:v>
      </x:c>
      <x:c r="Z4" s="17" t="str">
        <x:v>Notas</x:v>
      </x:c>
    </x:row>
    <x:row r="5" ht="34" customHeight="1">
      <x:c r="A5" s="24" t="str">
        <x:v>AUD-LIC-001</x:v>
      </x:c>
      <x:c r="B5" s="24" t="str">
        <x:v>cb709afe7703b9cab572cc895a085ff2</x:v>
      </x:c>
      <x:c r="C5" s="24" t="str">
        <x:v>StoreAmbience.wav</x:v>
      </x:c>
      <x:c r="D5" s="24" t="str">
        <x:v>Ambience loop</x:v>
      </x:c>
      <x:c r="E5" s="24" t="str">
        <x:v>Ambience</x:v>
      </x:c>
      <x:c r="F5" s="24" t="str">
        <x:v>VRM Games / internal representative set</x:v>
      </x:c>
      <x:c r="G5" s="24" t="str">
        <x:v>VRM Games / Blas Luis Rocha González</x:v>
      </x:c>
      <x:c r="H5" s="24" t="str">
        <x:v>Internal/unspecified production method</x:v>
      </x:c>
      <x:c r="I5" s="24" t="str">
        <x:v>Project audio folder; no external provider identified</x:v>
      </x:c>
      <x:c r="J5" s="24" t="str">
        <x:v>Sprint 16 representative pass</x:v>
      </x:c>
      <x:c r="K5" s="24" t="str">
        <x:v>Internal claim; per-clip provenance record incomplete</x:v>
      </x:c>
      <x:c r="L5" s="24" t="str">
        <x:v>WAV file + hash + AudioCatalog mapping</x:v>
      </x:c>
      <x:c r="M5" s="24" t="str">
        <x:v>2faead25215be67735257d0cbdf6912b852da904f069d9298703e3c1baf88b1f</x:v>
      </x:c>
      <x:c r="N5" s="24" t="str">
        <x:v>Assets/_Project/Audio/Ambience/StoreAmbience.wav</x:v>
      </x:c>
      <x:c r="O5" s="24" t="str">
        <x:v>cb709afe7703b9cab572cc895a085ff2</x:v>
      </x:c>
      <x:c r="P5" s="24" t="str">
        <x:v>Sí if internal authorship confirmed</x:v>
      </x:c>
      <x:c r="Q5" s="24" t="str">
        <x:v>PENDING PER-CLIP CONFIRMATION</x:v>
      </x:c>
      <x:c r="R5" s="24" t="str">
        <x:v>No public authorization yet</x:v>
      </x:c>
      <x:c r="S5" s="24" t="str">
        <x:v>Audio credit; individual/provider credit if later identified</x:v>
      </x:c>
      <x:c r="T5" s="24" t="str">
        <x:v>Do not publish if derived from unlicensed samples</x:v>
      </x:c>
      <x:c r="U5" s="24" t="str">
        <x:v>PARTIAL / PUBLIC BLOCKED</x:v>
      </x:c>
      <x:c r="V5" s="24" t="str">
        <x:v>Internal development only</x:v>
      </x:c>
      <x:c r="W5" s="24" t="str">
        <x:v>High</x:v>
      </x:c>
      <x:c r="X5" s="24" t="str">
        <x:v>Complete source/method/license per clip</x:v>
      </x:c>
      <x:c r="Y5" s="24" t="str">
        <x:v>VRM Games</x:v>
      </x:c>
      <x:c r="Z5" s="24" t="str">
        <x:v>Music/Ambience are representative 4s mono loops; technical placeholder status is separate from license status.</x:v>
      </x:c>
    </x:row>
    <x:row r="6" ht="34" customHeight="1">
      <x:c r="A6" s="24" t="str">
        <x:v>AUD-LIC-002</x:v>
      </x:c>
      <x:c r="B6" s="24" t="str">
        <x:v>0690c7c8ed5fb2713089b8f9a4ac688f</x:v>
      </x:c>
      <x:c r="C6" s="24" t="str">
        <x:v>StoreMusic.wav</x:v>
      </x:c>
      <x:c r="D6" s="24" t="str">
        <x:v>Music loop</x:v>
      </x:c>
      <x:c r="E6" s="24" t="str">
        <x:v>Music</x:v>
      </x:c>
      <x:c r="F6" s="24" t="str">
        <x:v>VRM Games / internal representative set</x:v>
      </x:c>
      <x:c r="G6" s="24" t="str">
        <x:v>VRM Games / Blas Luis Rocha González</x:v>
      </x:c>
      <x:c r="H6" s="24" t="str">
        <x:v>Internal/unspecified production method</x:v>
      </x:c>
      <x:c r="I6" s="24" t="str">
        <x:v>Project audio folder; no external provider identified</x:v>
      </x:c>
      <x:c r="J6" s="24" t="str">
        <x:v>Sprint 16 representative pass</x:v>
      </x:c>
      <x:c r="K6" s="24" t="str">
        <x:v>Internal claim; per-clip provenance record incomplete</x:v>
      </x:c>
      <x:c r="L6" s="24" t="str">
        <x:v>WAV file + hash + AudioCatalog mapping</x:v>
      </x:c>
      <x:c r="M6" s="24" t="str">
        <x:v>db0e76e00a881fb36c8865510db3aeb52e8ab574c185eff0d7cb58febafcd9bc</x:v>
      </x:c>
      <x:c r="N6" s="24" t="str">
        <x:v>Assets/_Project/Audio/Music/StoreMusic.wav</x:v>
      </x:c>
      <x:c r="O6" s="24" t="str">
        <x:v>0690c7c8ed5fb2713089b8f9a4ac688f</x:v>
      </x:c>
      <x:c r="P6" s="24" t="str">
        <x:v>Sí if internal authorship confirmed</x:v>
      </x:c>
      <x:c r="Q6" s="24" t="str">
        <x:v>PENDING PER-CLIP CONFIRMATION</x:v>
      </x:c>
      <x:c r="R6" s="24" t="str">
        <x:v>No public authorization yet</x:v>
      </x:c>
      <x:c r="S6" s="24" t="str">
        <x:v>Audio credit; individual/provider credit if later identified</x:v>
      </x:c>
      <x:c r="T6" s="24" t="str">
        <x:v>Do not publish if derived from unlicensed samples</x:v>
      </x:c>
      <x:c r="U6" s="24" t="str">
        <x:v>PARTIAL / PUBLIC BLOCKED</x:v>
      </x:c>
      <x:c r="V6" s="24" t="str">
        <x:v>Internal development only</x:v>
      </x:c>
      <x:c r="W6" s="24" t="str">
        <x:v>High</x:v>
      </x:c>
      <x:c r="X6" s="24" t="str">
        <x:v>Complete source/method/license per clip</x:v>
      </x:c>
      <x:c r="Y6" s="24" t="str">
        <x:v>VRM Games</x:v>
      </x:c>
      <x:c r="Z6" s="24" t="str">
        <x:v>Music/Ambience are representative 4s mono loops; technical placeholder status is separate from license status.</x:v>
      </x:c>
    </x:row>
    <x:row r="7" ht="34" customHeight="1">
      <x:c r="A7" s="24" t="str">
        <x:v>AUD-LIC-003</x:v>
      </x:c>
      <x:c r="B7" s="24" t="str">
        <x:v>ba31e4719471578fa9cae09368b54822</x:v>
      </x:c>
      <x:c r="C7" s="24" t="str">
        <x:v>Checkout.wav</x:v>
      </x:c>
      <x:c r="D7" s="24" t="str">
        <x:v>SFX/UI</x:v>
      </x:c>
      <x:c r="E7" s="24" t="str">
        <x:v>SFX</x:v>
      </x:c>
      <x:c r="F7" s="24" t="str">
        <x:v>VRM Games / internal representative set</x:v>
      </x:c>
      <x:c r="G7" s="24" t="str">
        <x:v>VRM Games / Blas Luis Rocha González</x:v>
      </x:c>
      <x:c r="H7" s="24" t="str">
        <x:v>Internal/unspecified production method</x:v>
      </x:c>
      <x:c r="I7" s="24" t="str">
        <x:v>Project audio folder; no external provider identified</x:v>
      </x:c>
      <x:c r="J7" s="24" t="str">
        <x:v>Sprint 16 representative pass</x:v>
      </x:c>
      <x:c r="K7" s="24" t="str">
        <x:v>Internal claim; per-clip provenance record incomplete</x:v>
      </x:c>
      <x:c r="L7" s="24" t="str">
        <x:v>WAV file + hash + AudioCatalog mapping</x:v>
      </x:c>
      <x:c r="M7" s="24" t="str">
        <x:v>007c220b2d74180a975910331e738ab7911356ac8f01a8bc51b1e6790a807114</x:v>
      </x:c>
      <x:c r="N7" s="24" t="str">
        <x:v>Assets/_Project/Audio/SFX/Checkout.wav</x:v>
      </x:c>
      <x:c r="O7" s="24" t="str">
        <x:v>ba31e4719471578fa9cae09368b54822</x:v>
      </x:c>
      <x:c r="P7" s="24" t="str">
        <x:v>Sí if internal authorship confirmed</x:v>
      </x:c>
      <x:c r="Q7" s="24" t="str">
        <x:v>PENDING PER-CLIP CONFIRMATION</x:v>
      </x:c>
      <x:c r="R7" s="24" t="str">
        <x:v>No public authorization yet</x:v>
      </x:c>
      <x:c r="S7" s="24" t="str">
        <x:v>Audio credit; individual/provider credit if later identified</x:v>
      </x:c>
      <x:c r="T7" s="24" t="str">
        <x:v>Do not publish if derived from unlicensed samples</x:v>
      </x:c>
      <x:c r="U7" s="24" t="str">
        <x:v>PARTIAL / PUBLIC BLOCKED</x:v>
      </x:c>
      <x:c r="V7" s="24" t="str">
        <x:v>Internal development only</x:v>
      </x:c>
      <x:c r="W7" s="24" t="str">
        <x:v>High</x:v>
      </x:c>
      <x:c r="X7" s="24" t="str">
        <x:v>Complete source/method/license per clip</x:v>
      </x:c>
      <x:c r="Y7" s="24" t="str">
        <x:v>VRM Games</x:v>
      </x:c>
      <x:c r="Z7" s="24" t="str">
        <x:v>Music/Ambience are representative 4s mono loops; technical placeholder status is separate from license status.</x:v>
      </x:c>
    </x:row>
    <x:row r="8" ht="34" customHeight="1">
      <x:c r="A8" s="24" t="str">
        <x:v>AUD-LIC-004</x:v>
      </x:c>
      <x:c r="B8" s="24" t="str">
        <x:v>afa05dd2e9a4ff3ace16f07967ef65c9</x:v>
      </x:c>
      <x:c r="C8" s="24" t="str">
        <x:v>DayClosed.wav</x:v>
      </x:c>
      <x:c r="D8" s="24" t="str">
        <x:v>SFX/UI</x:v>
      </x:c>
      <x:c r="E8" s="24" t="str">
        <x:v>SFX</x:v>
      </x:c>
      <x:c r="F8" s="24" t="str">
        <x:v>VRM Games / internal representative set</x:v>
      </x:c>
      <x:c r="G8" s="24" t="str">
        <x:v>VRM Games / Blas Luis Rocha González</x:v>
      </x:c>
      <x:c r="H8" s="24" t="str">
        <x:v>Internal/unspecified production method</x:v>
      </x:c>
      <x:c r="I8" s="24" t="str">
        <x:v>Project audio folder; no external provider identified</x:v>
      </x:c>
      <x:c r="J8" s="24" t="str">
        <x:v>Sprint 16 representative pass</x:v>
      </x:c>
      <x:c r="K8" s="24" t="str">
        <x:v>Internal claim; per-clip provenance record incomplete</x:v>
      </x:c>
      <x:c r="L8" s="24" t="str">
        <x:v>WAV file + hash + AudioCatalog mapping</x:v>
      </x:c>
      <x:c r="M8" s="24" t="str">
        <x:v>31705ae11eda7f71a53ddfb9a2af66fa120c1e19f0c86a9c98d5e1c490dcfdf1</x:v>
      </x:c>
      <x:c r="N8" s="24" t="str">
        <x:v>Assets/_Project/Audio/SFX/DayClosed.wav</x:v>
      </x:c>
      <x:c r="O8" s="24" t="str">
        <x:v>afa05dd2e9a4ff3ace16f07967ef65c9</x:v>
      </x:c>
      <x:c r="P8" s="24" t="str">
        <x:v>Sí if internal authorship confirmed</x:v>
      </x:c>
      <x:c r="Q8" s="24" t="str">
        <x:v>PENDING PER-CLIP CONFIRMATION</x:v>
      </x:c>
      <x:c r="R8" s="24" t="str">
        <x:v>No public authorization yet</x:v>
      </x:c>
      <x:c r="S8" s="24" t="str">
        <x:v>Audio credit; individual/provider credit if later identified</x:v>
      </x:c>
      <x:c r="T8" s="24" t="str">
        <x:v>Do not publish if derived from unlicensed samples</x:v>
      </x:c>
      <x:c r="U8" s="24" t="str">
        <x:v>PARTIAL / PUBLIC BLOCKED</x:v>
      </x:c>
      <x:c r="V8" s="24" t="str">
        <x:v>Internal development only</x:v>
      </x:c>
      <x:c r="W8" s="24" t="str">
        <x:v>High</x:v>
      </x:c>
      <x:c r="X8" s="24" t="str">
        <x:v>Complete source/method/license per clip</x:v>
      </x:c>
      <x:c r="Y8" s="24" t="str">
        <x:v>VRM Games</x:v>
      </x:c>
      <x:c r="Z8" s="24" t="str">
        <x:v>Music/Ambience are representative 4s mono loops; technical placeholder status is separate from license status.</x:v>
      </x:c>
    </x:row>
    <x:row r="9" ht="34" customHeight="1">
      <x:c r="A9" s="24" t="str">
        <x:v>AUD-LIC-005</x:v>
      </x:c>
      <x:c r="B9" s="24" t="str">
        <x:v>2a3bd6d7753bf8508bed82d14fa64b9f</x:v>
      </x:c>
      <x:c r="C9" s="24" t="str">
        <x:v>Door.wav</x:v>
      </x:c>
      <x:c r="D9" s="24" t="str">
        <x:v>SFX/UI</x:v>
      </x:c>
      <x:c r="E9" s="24" t="str">
        <x:v>SFX</x:v>
      </x:c>
      <x:c r="F9" s="24" t="str">
        <x:v>VRM Games / internal representative set</x:v>
      </x:c>
      <x:c r="G9" s="24" t="str">
        <x:v>VRM Games / Blas Luis Rocha González</x:v>
      </x:c>
      <x:c r="H9" s="24" t="str">
        <x:v>Internal/unspecified production method</x:v>
      </x:c>
      <x:c r="I9" s="24" t="str">
        <x:v>Project audio folder; no external provider identified</x:v>
      </x:c>
      <x:c r="J9" s="24" t="str">
        <x:v>Sprint 16 representative pass</x:v>
      </x:c>
      <x:c r="K9" s="24" t="str">
        <x:v>Internal claim; per-clip provenance record incomplete</x:v>
      </x:c>
      <x:c r="L9" s="24" t="str">
        <x:v>WAV file + hash + AudioCatalog mapping</x:v>
      </x:c>
      <x:c r="M9" s="24" t="str">
        <x:v>6c93c93ae3aaa6c97ea5eb372b762c330521534ff1c31f742caf1de7c7477e6e</x:v>
      </x:c>
      <x:c r="N9" s="24" t="str">
        <x:v>Assets/_Project/Audio/SFX/Door.wav</x:v>
      </x:c>
      <x:c r="O9" s="24" t="str">
        <x:v>2a3bd6d7753bf8508bed82d14fa64b9f</x:v>
      </x:c>
      <x:c r="P9" s="24" t="str">
        <x:v>Sí if internal authorship confirmed</x:v>
      </x:c>
      <x:c r="Q9" s="24" t="str">
        <x:v>PENDING PER-CLIP CONFIRMATION</x:v>
      </x:c>
      <x:c r="R9" s="24" t="str">
        <x:v>No public authorization yet</x:v>
      </x:c>
      <x:c r="S9" s="24" t="str">
        <x:v>Audio credit; individual/provider credit if later identified</x:v>
      </x:c>
      <x:c r="T9" s="24" t="str">
        <x:v>Do not publish if derived from unlicensed samples</x:v>
      </x:c>
      <x:c r="U9" s="24" t="str">
        <x:v>PARTIAL / PUBLIC BLOCKED</x:v>
      </x:c>
      <x:c r="V9" s="24" t="str">
        <x:v>Internal development only</x:v>
      </x:c>
      <x:c r="W9" s="24" t="str">
        <x:v>High</x:v>
      </x:c>
      <x:c r="X9" s="24" t="str">
        <x:v>Complete source/method/license per clip</x:v>
      </x:c>
      <x:c r="Y9" s="24" t="str">
        <x:v>VRM Games</x:v>
      </x:c>
      <x:c r="Z9" s="24" t="str">
        <x:v>Music/Ambience are representative 4s mono loops; technical placeholder status is separate from license status.</x:v>
      </x:c>
    </x:row>
    <x:row r="10" ht="34" customHeight="1">
      <x:c r="A10" s="24" t="str">
        <x:v>AUD-LIC-006</x:v>
      </x:c>
      <x:c r="B10" s="24" t="str">
        <x:v>8e2b37d1127285ee1cc44a3d0a8a98c4</x:v>
      </x:c>
      <x:c r="C10" s="24" t="str">
        <x:v>OrderReceived.wav</x:v>
      </x:c>
      <x:c r="D10" s="24" t="str">
        <x:v>SFX/UI</x:v>
      </x:c>
      <x:c r="E10" s="24" t="str">
        <x:v>SFX</x:v>
      </x:c>
      <x:c r="F10" s="24" t="str">
        <x:v>VRM Games / internal representative set</x:v>
      </x:c>
      <x:c r="G10" s="24" t="str">
        <x:v>VRM Games / Blas Luis Rocha González</x:v>
      </x:c>
      <x:c r="H10" s="24" t="str">
        <x:v>Internal/unspecified production method</x:v>
      </x:c>
      <x:c r="I10" s="24" t="str">
        <x:v>Project audio folder; no external provider identified</x:v>
      </x:c>
      <x:c r="J10" s="24" t="str">
        <x:v>Sprint 16 representative pass</x:v>
      </x:c>
      <x:c r="K10" s="24" t="str">
        <x:v>Internal claim; per-clip provenance record incomplete</x:v>
      </x:c>
      <x:c r="L10" s="24" t="str">
        <x:v>WAV file + hash + AudioCatalog mapping</x:v>
      </x:c>
      <x:c r="M10" s="24" t="str">
        <x:v>2f7ea1961f60dfb3656d86656b1249116c3b71461a9756777622de77baf0517b</x:v>
      </x:c>
      <x:c r="N10" s="24" t="str">
        <x:v>Assets/_Project/Audio/SFX/OrderReceived.wav</x:v>
      </x:c>
      <x:c r="O10" s="24" t="str">
        <x:v>8e2b37d1127285ee1cc44a3d0a8a98c4</x:v>
      </x:c>
      <x:c r="P10" s="24" t="str">
        <x:v>Sí if internal authorship confirmed</x:v>
      </x:c>
      <x:c r="Q10" s="24" t="str">
        <x:v>PENDING PER-CLIP CONFIRMATION</x:v>
      </x:c>
      <x:c r="R10" s="24" t="str">
        <x:v>No public authorization yet</x:v>
      </x:c>
      <x:c r="S10" s="24" t="str">
        <x:v>Audio credit; individual/provider credit if later identified</x:v>
      </x:c>
      <x:c r="T10" s="24" t="str">
        <x:v>Do not publish if derived from unlicensed samples</x:v>
      </x:c>
      <x:c r="U10" s="24" t="str">
        <x:v>PARTIAL / PUBLIC BLOCKED</x:v>
      </x:c>
      <x:c r="V10" s="24" t="str">
        <x:v>Internal development only</x:v>
      </x:c>
      <x:c r="W10" s="24" t="str">
        <x:v>High</x:v>
      </x:c>
      <x:c r="X10" s="24" t="str">
        <x:v>Complete source/method/license per clip</x:v>
      </x:c>
      <x:c r="Y10" s="24" t="str">
        <x:v>VRM Games</x:v>
      </x:c>
      <x:c r="Z10" s="24" t="str">
        <x:v>Music/Ambience are representative 4s mono loops; technical placeholder status is separate from license status.</x:v>
      </x:c>
    </x:row>
    <x:row r="11" ht="34" customHeight="1">
      <x:c r="A11" s="24" t="str">
        <x:v>AUD-LIC-007</x:v>
      </x:c>
      <x:c r="B11" s="24" t="str">
        <x:v>ee743d39450d02dbca20e8ce90864804</x:v>
      </x:c>
      <x:c r="C11" s="24" t="str">
        <x:v>PlacementInvalid.wav</x:v>
      </x:c>
      <x:c r="D11" s="24" t="str">
        <x:v>SFX/UI</x:v>
      </x:c>
      <x:c r="E11" s="24" t="str">
        <x:v>SFX</x:v>
      </x:c>
      <x:c r="F11" s="24" t="str">
        <x:v>VRM Games / internal representative set</x:v>
      </x:c>
      <x:c r="G11" s="24" t="str">
        <x:v>VRM Games / Blas Luis Rocha González</x:v>
      </x:c>
      <x:c r="H11" s="24" t="str">
        <x:v>Internal/unspecified production method</x:v>
      </x:c>
      <x:c r="I11" s="24" t="str">
        <x:v>Project audio folder; no external provider identified</x:v>
      </x:c>
      <x:c r="J11" s="24" t="str">
        <x:v>Sprint 16 representative pass</x:v>
      </x:c>
      <x:c r="K11" s="24" t="str">
        <x:v>Internal claim; per-clip provenance record incomplete</x:v>
      </x:c>
      <x:c r="L11" s="24" t="str">
        <x:v>WAV file + hash + AudioCatalog mapping</x:v>
      </x:c>
      <x:c r="M11" s="24" t="str">
        <x:v>93fea3a564062cd9488922b3f079c9d18fb6bba2d0200bef2b4e5c28610a9b58</x:v>
      </x:c>
      <x:c r="N11" s="24" t="str">
        <x:v>Assets/_Project/Audio/SFX/PlacementInvalid.wav</x:v>
      </x:c>
      <x:c r="O11" s="24" t="str">
        <x:v>ee743d39450d02dbca20e8ce90864804</x:v>
      </x:c>
      <x:c r="P11" s="24" t="str">
        <x:v>Sí if internal authorship confirmed</x:v>
      </x:c>
      <x:c r="Q11" s="24" t="str">
        <x:v>PENDING PER-CLIP CONFIRMATION</x:v>
      </x:c>
      <x:c r="R11" s="24" t="str">
        <x:v>No public authorization yet</x:v>
      </x:c>
      <x:c r="S11" s="24" t="str">
        <x:v>Audio credit; individual/provider credit if later identified</x:v>
      </x:c>
      <x:c r="T11" s="24" t="str">
        <x:v>Do not publish if derived from unlicensed samples</x:v>
      </x:c>
      <x:c r="U11" s="24" t="str">
        <x:v>PARTIAL / PUBLIC BLOCKED</x:v>
      </x:c>
      <x:c r="V11" s="24" t="str">
        <x:v>Internal development only</x:v>
      </x:c>
      <x:c r="W11" s="24" t="str">
        <x:v>High</x:v>
      </x:c>
      <x:c r="X11" s="24" t="str">
        <x:v>Complete source/method/license per clip</x:v>
      </x:c>
      <x:c r="Y11" s="24" t="str">
        <x:v>VRM Games</x:v>
      </x:c>
      <x:c r="Z11" s="24" t="str">
        <x:v>Music/Ambience are representative 4s mono loops; technical placeholder status is separate from license status.</x:v>
      </x:c>
    </x:row>
    <x:row r="12" ht="34" customHeight="1">
      <x:c r="A12" s="24" t="str">
        <x:v>AUD-LIC-008</x:v>
      </x:c>
      <x:c r="B12" s="24" t="str">
        <x:v>7481deec07256d3dfc630e4a8f73719e</x:v>
      </x:c>
      <x:c r="C12" s="24" t="str">
        <x:v>PlacementValid.wav</x:v>
      </x:c>
      <x:c r="D12" s="24" t="str">
        <x:v>SFX/UI</x:v>
      </x:c>
      <x:c r="E12" s="24" t="str">
        <x:v>SFX</x:v>
      </x:c>
      <x:c r="F12" s="24" t="str">
        <x:v>VRM Games / internal representative set</x:v>
      </x:c>
      <x:c r="G12" s="24" t="str">
        <x:v>VRM Games / Blas Luis Rocha González</x:v>
      </x:c>
      <x:c r="H12" s="24" t="str">
        <x:v>Internal/unspecified production method</x:v>
      </x:c>
      <x:c r="I12" s="24" t="str">
        <x:v>Project audio folder; no external provider identified</x:v>
      </x:c>
      <x:c r="J12" s="24" t="str">
        <x:v>Sprint 16 representative pass</x:v>
      </x:c>
      <x:c r="K12" s="24" t="str">
        <x:v>Internal claim; per-clip provenance record incomplete</x:v>
      </x:c>
      <x:c r="L12" s="24" t="str">
        <x:v>WAV file + hash + AudioCatalog mapping</x:v>
      </x:c>
      <x:c r="M12" s="24" t="str">
        <x:v>65e6ea5eb176a8f2953abb4f37c2b472899471f404a51407dfd0a7fa4f68224b</x:v>
      </x:c>
      <x:c r="N12" s="24" t="str">
        <x:v>Assets/_Project/Audio/SFX/PlacementValid.wav</x:v>
      </x:c>
      <x:c r="O12" s="24" t="str">
        <x:v>7481deec07256d3dfc630e4a8f73719e</x:v>
      </x:c>
      <x:c r="P12" s="24" t="str">
        <x:v>Sí if internal authorship confirmed</x:v>
      </x:c>
      <x:c r="Q12" s="24" t="str">
        <x:v>PENDING PER-CLIP CONFIRMATION</x:v>
      </x:c>
      <x:c r="R12" s="24" t="str">
        <x:v>No public authorization yet</x:v>
      </x:c>
      <x:c r="S12" s="24" t="str">
        <x:v>Audio credit; individual/provider credit if later identified</x:v>
      </x:c>
      <x:c r="T12" s="24" t="str">
        <x:v>Do not publish if derived from unlicensed samples</x:v>
      </x:c>
      <x:c r="U12" s="24" t="str">
        <x:v>PARTIAL / PUBLIC BLOCKED</x:v>
      </x:c>
      <x:c r="V12" s="24" t="str">
        <x:v>Internal development only</x:v>
      </x:c>
      <x:c r="W12" s="24" t="str">
        <x:v>High</x:v>
      </x:c>
      <x:c r="X12" s="24" t="str">
        <x:v>Complete source/method/license per clip</x:v>
      </x:c>
      <x:c r="Y12" s="24" t="str">
        <x:v>VRM Games</x:v>
      </x:c>
      <x:c r="Z12" s="24" t="str">
        <x:v>Music/Ambience are representative 4s mono loops; technical placeholder status is separate from license status.</x:v>
      </x:c>
    </x:row>
    <x:row r="13" ht="34" customHeight="1">
      <x:c r="A13" s="24" t="str">
        <x:v>AUD-LIC-009</x:v>
      </x:c>
      <x:c r="B13" s="24" t="str">
        <x:v>d9bc385fea51b0ff5f60db1d28fe4650</x:v>
      </x:c>
      <x:c r="C13" s="24" t="str">
        <x:v>UiConfirm.wav</x:v>
      </x:c>
      <x:c r="D13" s="24" t="str">
        <x:v>SFX/UI</x:v>
      </x:c>
      <x:c r="E13" s="24" t="str">
        <x:v>UI</x:v>
      </x:c>
      <x:c r="F13" s="24" t="str">
        <x:v>VRM Games / internal representative set</x:v>
      </x:c>
      <x:c r="G13" s="24" t="str">
        <x:v>VRM Games / Blas Luis Rocha González</x:v>
      </x:c>
      <x:c r="H13" s="24" t="str">
        <x:v>Internal/unspecified production method</x:v>
      </x:c>
      <x:c r="I13" s="24" t="str">
        <x:v>Project audio folder; no external provider identified</x:v>
      </x:c>
      <x:c r="J13" s="24" t="str">
        <x:v>Sprint 16 representative pass</x:v>
      </x:c>
      <x:c r="K13" s="24" t="str">
        <x:v>Internal claim; per-clip provenance record incomplete</x:v>
      </x:c>
      <x:c r="L13" s="24" t="str">
        <x:v>WAV file + hash + AudioCatalog mapping</x:v>
      </x:c>
      <x:c r="M13" s="24" t="str">
        <x:v>7ffea9f36d9c6b6f76941ac5ba8196b8a51b71cc0175d1b888e82e0305296c03</x:v>
      </x:c>
      <x:c r="N13" s="24" t="str">
        <x:v>Assets/_Project/Audio/UI/UiConfirm.wav</x:v>
      </x:c>
      <x:c r="O13" s="24" t="str">
        <x:v>d9bc385fea51b0ff5f60db1d28fe4650</x:v>
      </x:c>
      <x:c r="P13" s="24" t="str">
        <x:v>Sí if internal authorship confirmed</x:v>
      </x:c>
      <x:c r="Q13" s="24" t="str">
        <x:v>PENDING PER-CLIP CONFIRMATION</x:v>
      </x:c>
      <x:c r="R13" s="24" t="str">
        <x:v>No public authorization yet</x:v>
      </x:c>
      <x:c r="S13" s="24" t="str">
        <x:v>Audio credit; individual/provider credit if later identified</x:v>
      </x:c>
      <x:c r="T13" s="24" t="str">
        <x:v>Do not publish if derived from unlicensed samples</x:v>
      </x:c>
      <x:c r="U13" s="24" t="str">
        <x:v>PARTIAL / PUBLIC BLOCKED</x:v>
      </x:c>
      <x:c r="V13" s="24" t="str">
        <x:v>Internal development only</x:v>
      </x:c>
      <x:c r="W13" s="24" t="str">
        <x:v>High</x:v>
      </x:c>
      <x:c r="X13" s="24" t="str">
        <x:v>Complete source/method/license per clip</x:v>
      </x:c>
      <x:c r="Y13" s="24" t="str">
        <x:v>VRM Games</x:v>
      </x:c>
      <x:c r="Z13" s="24" t="str">
        <x:v>Music/Ambience are representative 4s mono loops; technical placeholder status is separate from license status.</x:v>
      </x:c>
    </x:row>
    <x:row r="14" ht="34" customHeight="1">
      <x:c r="A14" s="24" t="str">
        <x:v>AUD-LIC-010</x:v>
      </x:c>
      <x:c r="B14" s="24" t="str">
        <x:v>b2633481fff90cc387bf1bf6d7429bc1</x:v>
      </x:c>
      <x:c r="C14" s="24" t="str">
        <x:v>UiError.wav</x:v>
      </x:c>
      <x:c r="D14" s="24" t="str">
        <x:v>SFX/UI</x:v>
      </x:c>
      <x:c r="E14" s="24" t="str">
        <x:v>UI</x:v>
      </x:c>
      <x:c r="F14" s="24" t="str">
        <x:v>VRM Games / internal representative set</x:v>
      </x:c>
      <x:c r="G14" s="24" t="str">
        <x:v>VRM Games / Blas Luis Rocha González</x:v>
      </x:c>
      <x:c r="H14" s="24" t="str">
        <x:v>Internal/unspecified production method</x:v>
      </x:c>
      <x:c r="I14" s="24" t="str">
        <x:v>Project audio folder; no external provider identified</x:v>
      </x:c>
      <x:c r="J14" s="24" t="str">
        <x:v>Sprint 16 representative pass</x:v>
      </x:c>
      <x:c r="K14" s="24" t="str">
        <x:v>Internal claim; per-clip provenance record incomplete</x:v>
      </x:c>
      <x:c r="L14" s="24" t="str">
        <x:v>WAV file + hash + AudioCatalog mapping</x:v>
      </x:c>
      <x:c r="M14" s="24" t="str">
        <x:v>e11141e228dc3d95422b0609d0e271cf562eb43a465d6bf4680d69e7ecb3ba96</x:v>
      </x:c>
      <x:c r="N14" s="24" t="str">
        <x:v>Assets/_Project/Audio/UI/UiError.wav</x:v>
      </x:c>
      <x:c r="O14" s="24" t="str">
        <x:v>b2633481fff90cc387bf1bf6d7429bc1</x:v>
      </x:c>
      <x:c r="P14" s="24" t="str">
        <x:v>Sí if internal authorship confirmed</x:v>
      </x:c>
      <x:c r="Q14" s="24" t="str">
        <x:v>PENDING PER-CLIP CONFIRMATION</x:v>
      </x:c>
      <x:c r="R14" s="24" t="str">
        <x:v>No public authorization yet</x:v>
      </x:c>
      <x:c r="S14" s="24" t="str">
        <x:v>Audio credit; individual/provider credit if later identified</x:v>
      </x:c>
      <x:c r="T14" s="24" t="str">
        <x:v>Do not publish if derived from unlicensed samples</x:v>
      </x:c>
      <x:c r="U14" s="24" t="str">
        <x:v>PARTIAL / PUBLIC BLOCKED</x:v>
      </x:c>
      <x:c r="V14" s="24" t="str">
        <x:v>Internal development only</x:v>
      </x:c>
      <x:c r="W14" s="24" t="str">
        <x:v>High</x:v>
      </x:c>
      <x:c r="X14" s="24" t="str">
        <x:v>Complete source/method/license per clip</x:v>
      </x:c>
      <x:c r="Y14" s="24" t="str">
        <x:v>VRM Games</x:v>
      </x:c>
      <x:c r="Z14" s="24" t="str">
        <x:v>Music/Ambience are representative 4s mono loops; technical placeholder status is separate from license status.</x:v>
      </x:c>
    </x:row>
  </x:sheetData>
  <x:mergeCells>
    <x:mergeCell ref="A1:Z1"/>
    <x:mergeCell ref="A2:Z2"/>
  </x:mergeCells>
  <x:conditionalFormatting sqref="U5:U14">
    <x:cfRule type="expression" dxfId="48" priority="1">
      <x:formula>OR(ISNUMBER(SEARCH("APPROVED",U5)),ISNUMBER(SEARCH("READY",U5)),ISNUMBER(SEARCH("ACTIVE",U5)),ISNUMBER(SEARCH("VERIFIED",U5)))</x:formula>
    </x:cfRule>
    <x:cfRule type="expression" dxfId="49" priority="2">
      <x:formula>OR(ISNUMBER(SEARCH("BLOCK",U5)),ISNUMBER(SEARCH("PROHIBITED",U5)),ISNUMBER(SEARCH("CRITICAL",U5)),ISNUMBER(SEARCH("MISSING",U5)))</x:formula>
    </x:cfRule>
    <x:cfRule type="expression" dxfId="50" priority="3">
      <x:formula>OR(ISNUMBER(SEARCH("PENDING",U5)),ISNUMBER(SEARCH("PARTIAL",U5)),ISNUMBER(SEARCH("REVIEW",U5)),ISNUMBER(SEARCH("CONDITIONAL",U5)))</x:formula>
    </x:cfRule>
    <x:cfRule type="expression" dxfId="51" priority="4">
      <x:formula>OR(ISNUMBER(SEARCH("HISTORICAL",U5)),ISNUMBER(SEARCH("VISION",U5)),ISNUMBER(SEARCH("OPTIONAL",U5)))</x:formula>
    </x:cfRule>
  </x:conditionalFormatting>
  <x:conditionalFormatting sqref="W5:W14">
    <x:cfRule type="expression" dxfId="52" priority="5">
      <x:formula>OR(ISNUMBER(SEARCH("APPROVED",W5)),ISNUMBER(SEARCH("READY",W5)),ISNUMBER(SEARCH("ACTIVE",W5)),ISNUMBER(SEARCH("VERIFIED",W5)))</x:formula>
    </x:cfRule>
    <x:cfRule type="expression" dxfId="53" priority="6">
      <x:formula>OR(ISNUMBER(SEARCH("BLOCK",W5)),ISNUMBER(SEARCH("PROHIBITED",W5)),ISNUMBER(SEARCH("CRITICAL",W5)),ISNUMBER(SEARCH("MISSING",W5)))</x:formula>
    </x:cfRule>
    <x:cfRule type="expression" dxfId="54" priority="7">
      <x:formula>OR(ISNUMBER(SEARCH("PENDING",W5)),ISNUMBER(SEARCH("PARTIAL",W5)),ISNUMBER(SEARCH("REVIEW",W5)),ISNUMBER(SEARCH("CONDITIONAL",W5)))</x:formula>
    </x:cfRule>
    <x:cfRule type="expression" dxfId="55" priority="8">
      <x:formula>OR(ISNUMBER(SEARCH("HISTORICAL",W5)),ISNUMBER(SEARCH("VISION",W5)),ISNUMBER(SEARCH("OPTIONAL",W5)))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cbf6d4c32c473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24" hidden="0" customWidth="1"/>
    <x:col min="5" max="5" width="34" hidden="0" customWidth="1"/>
    <x:col min="6" max="6" width="34" hidden="0" customWidth="1"/>
    <x:col min="7" max="7" width="42" hidden="0" customWidth="1"/>
    <x:col min="8" max="8" width="48" hidden="0" customWidth="1"/>
    <x:col min="9" max="9" width="68" hidden="0" customWidth="1"/>
    <x:col min="10" max="10" width="72" hidden="0" customWidth="1"/>
    <x:col min="11" max="11" width="36" hidden="0" customWidth="1"/>
    <x:col min="12" max="12" width="18" hidden="0" customWidth="1"/>
    <x:col min="13" max="13" width="24" hidden="0" customWidth="1"/>
    <x:col min="14" max="14" width="34" hidden="0" customWidth="1"/>
    <x:col min="15" max="15" width="30" hidden="0" customWidth="1"/>
    <x:col min="16" max="16" width="30" hidden="0" customWidth="1"/>
    <x:col min="17" max="17" width="18" hidden="0" customWidth="1"/>
    <x:col min="18" max="18" width="34" hidden="0" customWidth="1"/>
    <x:col min="19" max="19" width="20" hidden="0" customWidth="1"/>
    <x:col min="20" max="20" width="55" hidden="0" customWidth="1"/>
  </x:cols>
  <x:sheetData>
    <x:row r="1" ht="30" customHeight="1">
      <x:c r="A1" s="4" t="str">
        <x:v>Fuentes, iconos y UI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22" customHeight="1">
      <x:c r="A2" s="10" t="str">
        <x:v>Iconos internos, fuente fallback y tipografía de producción pendiente.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4" ht="38" customHeight="1">
      <x:c r="A4" s="17" t="str">
        <x:v>License Record ID</x:v>
      </x:c>
      <x:c r="B4" s="17" t="str">
        <x:v>Asset ID</x:v>
      </x:c>
      <x:c r="C4" s="17" t="str">
        <x:v>Nombre</x:v>
      </x:c>
      <x:c r="D4" s="17" t="str">
        <x:v>Tipo</x:v>
      </x:c>
      <x:c r="E4" s="17" t="str">
        <x:v>Autor/Proveedor</x:v>
      </x:c>
      <x:c r="F4" s="17" t="str">
        <x:v>Origen</x:v>
      </x:c>
      <x:c r="G4" s="17" t="str">
        <x:v>Licencia</x:v>
      </x:c>
      <x:c r="H4" s="17" t="str">
        <x:v>Prueba documental</x:v>
      </x:c>
      <x:c r="I4" s="17" t="str">
        <x:v>SHA-256</x:v>
      </x:c>
      <x:c r="J4" s="17" t="str">
        <x:v>Ruta</x:v>
      </x:c>
      <x:c r="K4" s="17" t="str">
        <x:v>GUID</x:v>
      </x:c>
      <x:c r="L4" s="17" t="str">
        <x:v>Uso comercial</x:v>
      </x:c>
      <x:c r="M4" s="17" t="str">
        <x:v>Redistribución</x:v>
      </x:c>
      <x:c r="N4" s="17" t="str">
        <x:v>Atribución</x:v>
      </x:c>
      <x:c r="O4" s="17" t="str">
        <x:v>Estado legal</x:v>
      </x:c>
      <x:c r="P4" s="17" t="str">
        <x:v>Riesgo</x:v>
      </x:c>
      <x:c r="Q4" s="17" t="str">
        <x:v>Builds autorizadas</x:v>
      </x:c>
      <x:c r="R4" s="17" t="str">
        <x:v>Owner</x:v>
      </x:c>
      <x:c r="S4" s="17" t="str">
        <x:v>Notas</x:v>
      </x:c>
    </x:row>
    <x:row r="5" ht="34" customHeight="1">
      <x:c r="A5" s="24" t="str">
        <x:v>UI-LIC-001</x:v>
      </x:c>
      <x:c r="B5" s="24" t="str">
        <x:v>6d1ad708b4e4aafaed261b3d970bad30</x:v>
      </x:c>
      <x:c r="C5" s="24" t="str">
        <x:v>accessory-memory-core_icon.png</x:v>
      </x:c>
      <x:c r="D5" s="24" t="str">
        <x:v>Product icon</x:v>
      </x:c>
      <x:c r="E5" s="24" t="str">
        <x:v>VRM Games / internal</x:v>
      </x:c>
      <x:c r="F5" s="24" t="str">
        <x:v>Internal art pipeline</x:v>
      </x:c>
      <x:c r="G5" s="24" t="str">
        <x:v>Internal project IP / authorship claim</x:v>
      </x:c>
      <x:c r="H5" s="24" t="str">
        <x:v>PNG + path/hash</x:v>
      </x:c>
      <x:c r="I5" s="24" t="str">
        <x:v>d7a5f75ece0ce0bf4a33206760bd3162bb5e939f27b128def13ac35febd121df</x:v>
      </x:c>
      <x:c r="J5" s="24" t="str">
        <x:v>Assets/_Project/Art/Textures/Products/Icons/accessory-memory-core_icon.png</x:v>
      </x:c>
      <x:c r="K5" s="24" t="str">
        <x:v>6d1ad708b4e4aafaed261b3d970bad30</x:v>
      </x:c>
      <x:c r="L5" s="24" t="str">
        <x:v>Conditional approval</x:v>
      </x:c>
      <x:c r="M5" s="24" t="str">
        <x:v>Embedded in authorized build only</x:v>
      </x:c>
      <x:c r="N5" s="24" t="str">
        <x:v>General art credits</x:v>
      </x:c>
      <x:c r="O5" s="24" t="str">
        <x:v>CONDITIONALLY APPROVED</x:v>
      </x:c>
      <x:c r="P5" s="24" t="str">
        <x:v>Low</x:v>
      </x:c>
      <x:c r="Q5" s="24" t="str">
        <x:v>Internal/H6 after audit</x:v>
      </x:c>
      <x:c r="R5" s="24" t="str">
        <x:v>VRM Games</x:v>
      </x:c>
      <x:c r="S5" s="24" t="str">
        <x:v>Fictitious product icons; final similarity/trademark review remains.</x:v>
      </x:c>
    </x:row>
    <x:row r="6" ht="34" customHeight="1">
      <x:c r="A6" s="24" t="str">
        <x:v>UI-LIC-002</x:v>
      </x:c>
      <x:c r="B6" s="24" t="str">
        <x:v>8c0a1718ad8cc09611a641f822dd6876</x:v>
      </x:c>
      <x:c r="C6" s="24" t="str">
        <x:v>case-cloud-runner_icon.png</x:v>
      </x:c>
      <x:c r="D6" s="24" t="str">
        <x:v>Product icon</x:v>
      </x:c>
      <x:c r="E6" s="24" t="str">
        <x:v>VRM Games / internal</x:v>
      </x:c>
      <x:c r="F6" s="24" t="str">
        <x:v>Internal art pipeline</x:v>
      </x:c>
      <x:c r="G6" s="24" t="str">
        <x:v>Internal project IP / authorship claim</x:v>
      </x:c>
      <x:c r="H6" s="24" t="str">
        <x:v>PNG + path/hash</x:v>
      </x:c>
      <x:c r="I6" s="24" t="str">
        <x:v>1f2ce96685cd3ca1d33413d2e5bb3bd1c2dad848e8421821777452b50671465a</x:v>
      </x:c>
      <x:c r="J6" s="24" t="str">
        <x:v>Assets/_Project/Art/Textures/Products/Icons/case-cloud-runner_icon.png</x:v>
      </x:c>
      <x:c r="K6" s="24" t="str">
        <x:v>8c0a1718ad8cc09611a641f822dd6876</x:v>
      </x:c>
      <x:c r="L6" s="24" t="str">
        <x:v>Conditional approval</x:v>
      </x:c>
      <x:c r="M6" s="24" t="str">
        <x:v>Embedded in authorized build only</x:v>
      </x:c>
      <x:c r="N6" s="24" t="str">
        <x:v>General art credits</x:v>
      </x:c>
      <x:c r="O6" s="24" t="str">
        <x:v>CONDITIONALLY APPROVED</x:v>
      </x:c>
      <x:c r="P6" s="24" t="str">
        <x:v>Low</x:v>
      </x:c>
      <x:c r="Q6" s="24" t="str">
        <x:v>Internal/H6 after audit</x:v>
      </x:c>
      <x:c r="R6" s="24" t="str">
        <x:v>VRM Games</x:v>
      </x:c>
      <x:c r="S6" s="24" t="str">
        <x:v>Fictitious product icons; final similarity/trademark review remains.</x:v>
      </x:c>
    </x:row>
    <x:row r="7" ht="34" customHeight="1">
      <x:c r="A7" s="24" t="str">
        <x:v>UI-LIC-003</x:v>
      </x:c>
      <x:c r="B7" s="24" t="str">
        <x:v>6aa6b1239ca9f6cdfd2bb6023eb4c1c4</x:v>
      </x:c>
      <x:c r="C7" s="24" t="str">
        <x:v>console-vertex-one_icon.png</x:v>
      </x:c>
      <x:c r="D7" s="24" t="str">
        <x:v>Product icon</x:v>
      </x:c>
      <x:c r="E7" s="24" t="str">
        <x:v>VRM Games / internal</x:v>
      </x:c>
      <x:c r="F7" s="24" t="str">
        <x:v>Internal art pipeline</x:v>
      </x:c>
      <x:c r="G7" s="24" t="str">
        <x:v>Internal project IP / authorship claim</x:v>
      </x:c>
      <x:c r="H7" s="24" t="str">
        <x:v>PNG + path/hash</x:v>
      </x:c>
      <x:c r="I7" s="24" t="str">
        <x:v>420b32b4ca770ab2f6c6356236ff6f08a14116438e847872d4b5af622878ca36</x:v>
      </x:c>
      <x:c r="J7" s="24" t="str">
        <x:v>Assets/_Project/Art/Textures/Products/Icons/console-vertex-one_icon.png</x:v>
      </x:c>
      <x:c r="K7" s="24" t="str">
        <x:v>6aa6b1239ca9f6cdfd2bb6023eb4c1c4</x:v>
      </x:c>
      <x:c r="L7" s="24" t="str">
        <x:v>Conditional approval</x:v>
      </x:c>
      <x:c r="M7" s="24" t="str">
        <x:v>Embedded in authorized build only</x:v>
      </x:c>
      <x:c r="N7" s="24" t="str">
        <x:v>General art credits</x:v>
      </x:c>
      <x:c r="O7" s="24" t="str">
        <x:v>CONDITIONALLY APPROVED</x:v>
      </x:c>
      <x:c r="P7" s="24" t="str">
        <x:v>Low</x:v>
      </x:c>
      <x:c r="Q7" s="24" t="str">
        <x:v>Internal/H6 after audit</x:v>
      </x:c>
      <x:c r="R7" s="24" t="str">
        <x:v>VRM Games</x:v>
      </x:c>
      <x:c r="S7" s="24" t="str">
        <x:v>Fictitious product icons; final similarity/trademark review remains.</x:v>
      </x:c>
    </x:row>
    <x:row r="8" ht="34" customHeight="1">
      <x:c r="A8" s="24" t="str">
        <x:v>UI-LIC-004</x:v>
      </x:c>
      <x:c r="B8" s="24" t="str">
        <x:v>a5a7682e0808b2d2d51bdf3ef57fe2a1</x:v>
      </x:c>
      <x:c r="C8" s="24" t="str">
        <x:v>controller-orbit-pad_icon.png</x:v>
      </x:c>
      <x:c r="D8" s="24" t="str">
        <x:v>Product icon</x:v>
      </x:c>
      <x:c r="E8" s="24" t="str">
        <x:v>VRM Games / internal</x:v>
      </x:c>
      <x:c r="F8" s="24" t="str">
        <x:v>Internal art pipeline</x:v>
      </x:c>
      <x:c r="G8" s="24" t="str">
        <x:v>Internal project IP / authorship claim</x:v>
      </x:c>
      <x:c r="H8" s="24" t="str">
        <x:v>PNG + path/hash</x:v>
      </x:c>
      <x:c r="I8" s="24" t="str">
        <x:v>b8e2f451c763a0b2a29052f44d78029476716d8f8940ba70327c44729c07900e</x:v>
      </x:c>
      <x:c r="J8" s="24" t="str">
        <x:v>Assets/_Project/Art/Textures/Products/Icons/controller-orbit-pad_icon.png</x:v>
      </x:c>
      <x:c r="K8" s="24" t="str">
        <x:v>a5a7682e0808b2d2d51bdf3ef57fe2a1</x:v>
      </x:c>
      <x:c r="L8" s="24" t="str">
        <x:v>Conditional approval</x:v>
      </x:c>
      <x:c r="M8" s="24" t="str">
        <x:v>Embedded in authorized build only</x:v>
      </x:c>
      <x:c r="N8" s="24" t="str">
        <x:v>General art credits</x:v>
      </x:c>
      <x:c r="O8" s="24" t="str">
        <x:v>CONDITIONALLY APPROVED</x:v>
      </x:c>
      <x:c r="P8" s="24" t="str">
        <x:v>Low</x:v>
      </x:c>
      <x:c r="Q8" s="24" t="str">
        <x:v>Internal/H6 after audit</x:v>
      </x:c>
      <x:c r="R8" s="24" t="str">
        <x:v>VRM Games</x:v>
      </x:c>
      <x:c r="S8" s="24" t="str">
        <x:v>Fictitious product icons; final similarity/trademark review remains.</x:v>
      </x:c>
    </x:row>
    <x:row r="9" ht="34" customHeight="1">
      <x:c r="A9" s="24" t="str">
        <x:v>UI-LIC-005</x:v>
      </x:c>
      <x:c r="B9" s="24" t="str">
        <x:v>5446fc2e413d4c4501d24e5f36c02441</x:v>
      </x:c>
      <x:c r="C9" s="24" t="str">
        <x:v>game-neon-drift_icon.png</x:v>
      </x:c>
      <x:c r="D9" s="24" t="str">
        <x:v>Product icon</x:v>
      </x:c>
      <x:c r="E9" s="24" t="str">
        <x:v>VRM Games / internal</x:v>
      </x:c>
      <x:c r="F9" s="24" t="str">
        <x:v>Internal art pipeline</x:v>
      </x:c>
      <x:c r="G9" s="24" t="str">
        <x:v>Internal project IP / authorship claim</x:v>
      </x:c>
      <x:c r="H9" s="24" t="str">
        <x:v>PNG + path/hash</x:v>
      </x:c>
      <x:c r="I9" s="24" t="str">
        <x:v>5bfa677ba7d80c67d80a1dc7823d9f31a2d1074f2b6bf954258eab8142a5db09</x:v>
      </x:c>
      <x:c r="J9" s="24" t="str">
        <x:v>Assets/_Project/Art/Textures/Products/Icons/game-neon-drift_icon.png</x:v>
      </x:c>
      <x:c r="K9" s="24" t="str">
        <x:v>5446fc2e413d4c4501d24e5f36c02441</x:v>
      </x:c>
      <x:c r="L9" s="24" t="str">
        <x:v>Conditional approval</x:v>
      </x:c>
      <x:c r="M9" s="24" t="str">
        <x:v>Embedded in authorized build only</x:v>
      </x:c>
      <x:c r="N9" s="24" t="str">
        <x:v>General art credits</x:v>
      </x:c>
      <x:c r="O9" s="24" t="str">
        <x:v>CONDITIONALLY APPROVED</x:v>
      </x:c>
      <x:c r="P9" s="24" t="str">
        <x:v>Low</x:v>
      </x:c>
      <x:c r="Q9" s="24" t="str">
        <x:v>Internal/H6 after audit</x:v>
      </x:c>
      <x:c r="R9" s="24" t="str">
        <x:v>VRM Games</x:v>
      </x:c>
      <x:c r="S9" s="24" t="str">
        <x:v>Fictitious product icons; final similarity/trademark review remains.</x:v>
      </x:c>
    </x:row>
    <x:row r="10" ht="34" customHeight="1">
      <x:c r="A10" s="24" t="str">
        <x:v>UI-LIC-006</x:v>
      </x:c>
      <x:c r="B10" s="24" t="str">
        <x:v>c2eab608e2f22d55399d6e4ae9b1b706</x:v>
      </x:c>
      <x:c r="C10" s="24" t="str">
        <x:v>headset-signal-pro_icon.png</x:v>
      </x:c>
      <x:c r="D10" s="24" t="str">
        <x:v>Product icon</x:v>
      </x:c>
      <x:c r="E10" s="24" t="str">
        <x:v>VRM Games / internal</x:v>
      </x:c>
      <x:c r="F10" s="24" t="str">
        <x:v>Internal art pipeline</x:v>
      </x:c>
      <x:c r="G10" s="24" t="str">
        <x:v>Internal project IP / authorship claim</x:v>
      </x:c>
      <x:c r="H10" s="24" t="str">
        <x:v>PNG + path/hash</x:v>
      </x:c>
      <x:c r="I10" s="24" t="str">
        <x:v>2a2b0b19b66f8dd43f7256591f348e7b2fbd6605a466105b2e77c6acdab51500</x:v>
      </x:c>
      <x:c r="J10" s="24" t="str">
        <x:v>Assets/_Project/Art/Textures/Products/Icons/headset-signal-pro_icon.png</x:v>
      </x:c>
      <x:c r="K10" s="24" t="str">
        <x:v>c2eab608e2f22d55399d6e4ae9b1b706</x:v>
      </x:c>
      <x:c r="L10" s="24" t="str">
        <x:v>Conditional approval</x:v>
      </x:c>
      <x:c r="M10" s="24" t="str">
        <x:v>Embedded in authorized build only</x:v>
      </x:c>
      <x:c r="N10" s="24" t="str">
        <x:v>General art credits</x:v>
      </x:c>
      <x:c r="O10" s="24" t="str">
        <x:v>CONDITIONALLY APPROVED</x:v>
      </x:c>
      <x:c r="P10" s="24" t="str">
        <x:v>Low</x:v>
      </x:c>
      <x:c r="Q10" s="24" t="str">
        <x:v>Internal/H6 after audit</x:v>
      </x:c>
      <x:c r="R10" s="24" t="str">
        <x:v>VRM Games</x:v>
      </x:c>
      <x:c r="S10" s="24" t="str">
        <x:v>Fictitious product icons; final similarity/trademark review remains.</x:v>
      </x:c>
    </x:row>
    <x:row r="11" ht="34" customHeight="1">
      <x:c r="A11" s="24" t="str">
        <x:v>UI-FONT-LEGACY</x:v>
      </x:c>
      <x:c r="B11" s="24" t="str">
        <x:v>FONT-LEGACY-RUNTIME</x:v>
      </x:c>
      <x:c r="C11" s="24" t="str">
        <x:v>LegacyRuntime.ttf</x:v>
      </x:c>
      <x:c r="D11" s="24" t="str">
        <x:v>Runtime fallback font</x:v>
      </x:c>
      <x:c r="E11" s="24" t="str">
        <x:v>Unity Technologies / runtime</x:v>
      </x:c>
      <x:c r="F11" s="24" t="str">
        <x:v>Unity built-in resource</x:v>
      </x:c>
      <x:c r="G11" s="24" t="str">
        <x:v>Unity terms; exact font redistribution conditions to verify</x:v>
      </x:c>
      <x:c r="H11" s="24" t="str">
        <x:v>Runtime code usage; no file in UI/Fonts</x:v>
      </x:c>
      <x:c r="I11" s="24" t="str"/>
      <x:c r="J11" s="24" t="str">
        <x:v>Built-in/runtime</x:v>
      </x:c>
      <x:c r="K11" s="24" t="str"/>
      <x:c r="L11" s="24" t="str">
        <x:v>Expected only within Unity-generated UI; verify</x:v>
      </x:c>
      <x:c r="M11" s="24" t="str">
        <x:v>Do not distribute standalone</x:v>
      </x:c>
      <x:c r="N11" s="24" t="str">
        <x:v>Per Unity terms</x:v>
      </x:c>
      <x:c r="O11" s="24" t="str">
        <x:v>TECHNICAL FALLBACK / REVIEW</x:v>
      </x:c>
      <x:c r="P11" s="24" t="str">
        <x:v>Medium</x:v>
      </x:c>
      <x:c r="Q11" s="24" t="str">
        <x:v>Development only until final decision</x:v>
      </x:c>
      <x:c r="R11" s="24" t="str">
        <x:v>VRM Games</x:v>
      </x:c>
      <x:c r="S11" s="24" t="str">
        <x:v>No production branding or separate font file currently exists.</x:v>
      </x:c>
    </x:row>
    <x:row r="12" ht="34" customHeight="1">
      <x:c r="A12" s="24" t="str">
        <x:v>UI-FONT-FUTURE</x:v>
      </x:c>
      <x:c r="B12" s="24" t="str">
        <x:v>FONT-PRODUCTION-TBD</x:v>
      </x:c>
      <x:c r="C12" s="24" t="str">
        <x:v>Production font family</x:v>
      </x:c>
      <x:c r="D12" s="24" t="str">
        <x:v>Future font</x:v>
      </x:c>
      <x:c r="E12" s="24" t="str">
        <x:v>TBD</x:v>
      </x:c>
      <x:c r="F12" s="24" t="str">
        <x:v>Future selection</x:v>
      </x:c>
      <x:c r="G12" s="24" t="str">
        <x:v>TBD; must permit commercial game embedding and necessary glyphs</x:v>
      </x:c>
      <x:c r="H12" s="24" t="str">
        <x:v>License text, source URL/invoice, file hash</x:v>
      </x:c>
      <x:c r="I12" s="24" t="str"/>
      <x:c r="J12" s="24" t="str">
        <x:v>Assets/_Project/UI/Fonts (empty)</x:v>
      </x:c>
      <x:c r="K12" s="24" t="str"/>
      <x:c r="L12" s="24" t="str">
        <x:v>Not authorized</x:v>
      </x:c>
      <x:c r="M12" s="24" t="str">
        <x:v>Not authorized</x:v>
      </x:c>
      <x:c r="N12" s="24" t="str">
        <x:v>TBD</x:v>
      </x:c>
      <x:c r="O12" s="24" t="str">
        <x:v>MISSING / BLOCKED</x:v>
      </x:c>
      <x:c r="P12" s="24" t="str">
        <x:v>High</x:v>
      </x:c>
      <x:c r="Q12" s="24" t="str">
        <x:v>None</x:v>
      </x:c>
      <x:c r="R12" s="24" t="str">
        <x:v>VRM Games</x:v>
      </x:c>
      <x:c r="S12" s="24" t="str">
        <x:v>Required before final localized UI approval.</x:v>
      </x:c>
    </x:row>
  </x:sheetData>
  <x:mergeCells>
    <x:mergeCell ref="A1:S1"/>
    <x:mergeCell ref="A2:S2"/>
  </x:mergeCells>
  <x:conditionalFormatting sqref="O5:O12">
    <x:cfRule type="expression" dxfId="56" priority="1">
      <x:formula>OR(ISNUMBER(SEARCH("APPROVED",O5)),ISNUMBER(SEARCH("READY",O5)),ISNUMBER(SEARCH("ACTIVE",O5)),ISNUMBER(SEARCH("VERIFIED",O5)))</x:formula>
    </x:cfRule>
    <x:cfRule type="expression" dxfId="57" priority="2">
      <x:formula>OR(ISNUMBER(SEARCH("BLOCK",O5)),ISNUMBER(SEARCH("PROHIBITED",O5)),ISNUMBER(SEARCH("CRITICAL",O5)),ISNUMBER(SEARCH("MISSING",O5)))</x:formula>
    </x:cfRule>
    <x:cfRule type="expression" dxfId="58" priority="3">
      <x:formula>OR(ISNUMBER(SEARCH("PENDING",O5)),ISNUMBER(SEARCH("PARTIAL",O5)),ISNUMBER(SEARCH("REVIEW",O5)),ISNUMBER(SEARCH("CONDITIONAL",O5)))</x:formula>
    </x:cfRule>
    <x:cfRule type="expression" dxfId="59" priority="4">
      <x:formula>OR(ISNUMBER(SEARCH("HISTORICAL",O5)),ISNUMBER(SEARCH("VISION",O5)),ISNUMBER(SEARCH("OPTIONAL",O5)))</x:formula>
    </x:cfRule>
  </x:conditionalFormatting>
  <x:conditionalFormatting sqref="P5:P12">
    <x:cfRule type="expression" dxfId="60" priority="5">
      <x:formula>OR(ISNUMBER(SEARCH("APPROVED",P5)),ISNUMBER(SEARCH("READY",P5)),ISNUMBER(SEARCH("ACTIVE",P5)),ISNUMBER(SEARCH("VERIFIED",P5)))</x:formula>
    </x:cfRule>
    <x:cfRule type="expression" dxfId="61" priority="6">
      <x:formula>OR(ISNUMBER(SEARCH("BLOCK",P5)),ISNUMBER(SEARCH("PROHIBITED",P5)),ISNUMBER(SEARCH("CRITICAL",P5)),ISNUMBER(SEARCH("MISSING",P5)))</x:formula>
    </x:cfRule>
    <x:cfRule type="expression" dxfId="62" priority="7">
      <x:formula>OR(ISNUMBER(SEARCH("PENDING",P5)),ISNUMBER(SEARCH("PARTIAL",P5)),ISNUMBER(SEARCH("REVIEW",P5)),ISNUMBER(SEARCH("CONDITIONAL",P5)))</x:formula>
    </x:cfRule>
    <x:cfRule type="expression" dxfId="63" priority="8">
      <x:formula>OR(ISNUMBER(SEARCH("HISTORICAL",P5)),ISNUMBER(SEARCH("VISION",P5)),ISNUMBER(SEARCH("OPTIONAL",P5)))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a57b24dcb2439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2" hidden="0" customWidth="1"/>
    <x:col min="4" max="4" width="38" hidden="0" customWidth="1"/>
    <x:col min="5" max="5" width="32" hidden="0" customWidth="1"/>
    <x:col min="6" max="6" width="44" hidden="0" customWidth="1"/>
    <x:col min="7" max="7" width="50" hidden="0" customWidth="1"/>
    <x:col min="8" max="8" width="48" hidden="0" customWidth="1"/>
    <x:col min="9" max="9" width="36" hidden="0" customWidth="1"/>
    <x:col min="10" max="10" width="30" hidden="0" customWidth="1"/>
    <x:col min="11" max="11" width="34" hidden="0" customWidth="1"/>
    <x:col min="12" max="12" width="28" hidden="0" customWidth="1"/>
    <x:col min="13" max="13" width="34" hidden="0" customWidth="1"/>
    <x:col min="14" max="14" width="32" hidden="0" customWidth="1"/>
    <x:col min="15" max="15" width="18" hidden="0" customWidth="1"/>
    <x:col min="16" max="16" width="55" hidden="0" customWidth="1"/>
  </x:cols>
  <x:sheetData>
    <x:row r="1" ht="30" customHeight="1">
      <x:c r="A1" s="4" t="str">
        <x:v>Localización y traducción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2" customHeight="1">
      <x:c r="A2" s="10" t="str">
        <x:v>Autoría lingüística, herramientas, contratos, privacidad, créditos y estado.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4" ht="38" customHeight="1">
      <x:c r="A4" s="17" t="str">
        <x:v>Record ID</x:v>
      </x:c>
      <x:c r="B4" s="17" t="str">
        <x:v>Idioma/Servicio</x:v>
      </x:c>
      <x:c r="C4" s="17" t="str">
        <x:v>Tipo</x:v>
      </x:c>
      <x:c r="D4" s="17" t="str">
        <x:v>Proveedor/Autor</x:v>
      </x:c>
      <x:c r="E4" s="17" t="str">
        <x:v>Herramienta</x:v>
      </x:c>
      <x:c r="F4" s="17" t="str">
        <x:v>Alcance</x:v>
      </x:c>
      <x:c r="G4" s="17" t="str">
        <x:v>Contrato/Licencia</x:v>
      </x:c>
      <x:c r="H4" s="17" t="str">
        <x:v>Prueba</x:v>
      </x:c>
      <x:c r="I4" s="17" t="str">
        <x:v>Confidencialidad</x:v>
      </x:c>
      <x:c r="J4" s="17" t="str">
        <x:v>Uso comercial</x:v>
      </x:c>
      <x:c r="K4" s="17" t="str">
        <x:v>Atribución</x:v>
      </x:c>
      <x:c r="L4" s="17" t="str">
        <x:v>Estado</x:v>
      </x:c>
      <x:c r="M4" s="17" t="str">
        <x:v>Calidad</x:v>
      </x:c>
      <x:c r="N4" s="17" t="str">
        <x:v>Builds autorizadas</x:v>
      </x:c>
      <x:c r="O4" s="17" t="str">
        <x:v>Owner</x:v>
      </x:c>
      <x:c r="P4" s="17" t="str">
        <x:v>Notas</x:v>
      </x:c>
    </x:row>
    <x:row r="5" ht="34" customHeight="1">
      <x:c r="A5" s="24" t="str">
        <x:v>LOC-LIC-001</x:v>
      </x:c>
      <x:c r="B5" s="24" t="str">
        <x:v>es-ES source copy</x:v>
      </x:c>
      <x:c r="C5" s="24" t="str">
        <x:v>Source language content</x:v>
      </x:c>
      <x:c r="D5" s="24" t="str">
        <x:v>VRM Games / Blas Luis Rocha González</x:v>
      </x:c>
      <x:c r="E5" s="24" t="str">
        <x:v>Internal drafting + AI assistance where recorded</x:v>
      </x:c>
      <x:c r="F5" s="24" t="str">
        <x:v>UI, tutorial, feedback, content names, store copy</x:v>
      </x:c>
      <x:c r="G5" s="24" t="str">
        <x:v>Internal authorship; AI-assisted content governed by tool terms</x:v>
      </x:c>
      <x:c r="H5" s="24" t="str">
        <x:v>22_Localization_Plan.md + future string tables</x:v>
      </x:c>
      <x:c r="I5" s="24" t="str">
        <x:v>Project data only; avoid personal data</x:v>
      </x:c>
      <x:c r="J5" s="24" t="str">
        <x:v>Allowed after editorial review</x:v>
      </x:c>
      <x:c r="K5" s="24" t="str">
        <x:v>Writing/localization credit</x:v>
      </x:c>
      <x:c r="L5" s="24" t="str">
        <x:v>PLANNED / NOT IMPLEMENTED</x:v>
      </x:c>
      <x:c r="M5" s="24" t="str">
        <x:v>Human review required</x:v>
      </x:c>
      <x:c r="N5" s="24" t="str">
        <x:v>None until String Tables exist</x:v>
      </x:c>
      <x:c r="O5" s="24" t="str">
        <x:v>VRM Games</x:v>
      </x:c>
      <x:c r="P5" s="24" t="str">
        <x:v>Spanish is source/development locale, but no operational table currently exists.</x:v>
      </x:c>
    </x:row>
    <x:row r="6" ht="34" customHeight="1">
      <x:c r="A6" s="24" t="str">
        <x:v>LOC-LIC-002</x:v>
      </x:c>
      <x:c r="B6" s="24" t="str">
        <x:v>en-US translation</x:v>
      </x:c>
      <x:c r="C6" s="24" t="str">
        <x:v>Translation</x:v>
      </x:c>
      <x:c r="D6" s="24" t="str">
        <x:v>TBD / project owner or contracted reviewer</x:v>
      </x:c>
      <x:c r="E6" s="24" t="str">
        <x:v>Human translation; MT/AI only as draft</x:v>
      </x:c>
      <x:c r="F6" s="24" t="str">
        <x:v>Full vertical slice player-facing content</x:v>
      </x:c>
      <x:c r="G6" s="24" t="str">
        <x:v>Translator agreement or internal authorship record required</x:v>
      </x:c>
      <x:c r="H6" s="24" t="str">
        <x:v>Translation delivery, review log, invoice/agreement if external</x:v>
      </x:c>
      <x:c r="I6" s="24" t="str">
        <x:v>Share minimum project context</x:v>
      </x:c>
      <x:c r="J6" s="24" t="str">
        <x:v>Not authorized until reviewed</x:v>
      </x:c>
      <x:c r="K6" s="24" t="str">
        <x:v>Translation/revision credit as agreed</x:v>
      </x:c>
      <x:c r="L6" s="24" t="str">
        <x:v>NOT STARTED</x:v>
      </x:c>
      <x:c r="M6" s="24" t="str">
        <x:v>Bilingual human review + functional LQA</x:v>
      </x:c>
      <x:c r="N6" s="24" t="str">
        <x:v>None</x:v>
      </x:c>
      <x:c r="O6" s="24" t="str">
        <x:v>VRM Games</x:v>
      </x:c>
      <x:c r="P6" s="24" t="str">
        <x:v>H6 requires reproducible ES/EN campaigns.</x:v>
      </x:c>
    </x:row>
    <x:row r="7" ht="34" customHeight="1">
      <x:c r="A7" s="24" t="str">
        <x:v>LOC-LIC-003</x:v>
      </x:c>
      <x:c r="B7" s="24" t="str">
        <x:v>qps-ploc pseudolocale</x:v>
      </x:c>
      <x:c r="C7" s="24" t="str">
        <x:v>Testing locale</x:v>
      </x:c>
      <x:c r="D7" s="24" t="str">
        <x:v>Unity Localization / project configuration</x:v>
      </x:c>
      <x:c r="E7" s="24" t="str">
        <x:v>Unity pseudolocalization</x:v>
      </x:c>
      <x:c r="F7" s="24" t="str">
        <x:v>Layout and hardcoded-string detection</x:v>
      </x:c>
      <x:c r="G7" s="24" t="str">
        <x:v>Unity package terms</x:v>
      </x:c>
      <x:c r="H7" s="24" t="str">
        <x:v>Locale/table configuration and test output</x:v>
      </x:c>
      <x:c r="I7" s="24" t="str">
        <x:v>N/A</x:v>
      </x:c>
      <x:c r="J7" s="24" t="str">
        <x:v>QA only</x:v>
      </x:c>
      <x:c r="K7" s="24" t="str">
        <x:v>Not player-facing</x:v>
      </x:c>
      <x:c r="L7" s="24" t="str">
        <x:v>PLANNED</x:v>
      </x:c>
      <x:c r="M7" s="24" t="str">
        <x:v>Automation + screenshots</x:v>
      </x:c>
      <x:c r="N7" s="24" t="str">
        <x:v>Development/test only</x:v>
      </x:c>
      <x:c r="O7" s="24" t="str">
        <x:v>VRM Games</x:v>
      </x:c>
      <x:c r="P7" s="24" t="str">
        <x:v>Must not appear in public release selector.</x:v>
      </x:c>
    </x:row>
    <x:row r="8" ht="34" customHeight="1">
      <x:c r="A8" s="24" t="str">
        <x:v>LOC-LIC-004</x:v>
      </x:c>
      <x:c r="B8" s="24" t="str">
        <x:v>AI/MT translation assistance</x:v>
      </x:c>
      <x:c r="C8" s="24" t="str">
        <x:v>Translation tool</x:v>
      </x:c>
      <x:c r="D8" s="24" t="str">
        <x:v>TBD per tool</x:v>
      </x:c>
      <x:c r="E8" s="24" t="str">
        <x:v>Potential AI/MT provider</x:v>
      </x:c>
      <x:c r="F8" s="24" t="str">
        <x:v>Draft suggestions only</x:v>
      </x:c>
      <x:c r="G8" s="24" t="str">
        <x:v>Provider terms and data-use policy must be reviewed</x:v>
      </x:c>
      <x:c r="H8" s="24" t="str">
        <x:v>Tool/version/date/query log if used</x:v>
      </x:c>
      <x:c r="I8" s="24" t="str">
        <x:v>Do not upload secrets, personal data or unreleased sensitive content without approval</x:v>
      </x:c>
      <x:c r="J8" s="24" t="str">
        <x:v>Only after human review and applicable terms</x:v>
      </x:c>
      <x:c r="K8" s="24" t="str">
        <x:v>Per editorial policy/contract</x:v>
      </x:c>
      <x:c r="L8" s="24" t="str">
        <x:v>OPTIONAL / CONTROLLED</x:v>
      </x:c>
      <x:c r="M8" s="24" t="str">
        <x:v>Never final approval source</x:v>
      </x:c>
      <x:c r="N8" s="24" t="str">
        <x:v>N/A</x:v>
      </x:c>
      <x:c r="O8" s="24" t="str">
        <x:v>VRM Games</x:v>
      </x:c>
      <x:c r="P8" s="24" t="str">
        <x:v>No tool is selected by this register.</x:v>
      </x:c>
    </x:row>
  </x:sheetData>
  <x:mergeCells>
    <x:mergeCell ref="A1:P1"/>
    <x:mergeCell ref="A2:P2"/>
  </x:mergeCells>
  <x:conditionalFormatting sqref="L5:L8">
    <x:cfRule type="expression" dxfId="64" priority="1">
      <x:formula>OR(ISNUMBER(SEARCH("APPROVED",L5)),ISNUMBER(SEARCH("READY",L5)),ISNUMBER(SEARCH("ACTIVE",L5)),ISNUMBER(SEARCH("VERIFIED",L5)))</x:formula>
    </x:cfRule>
    <x:cfRule type="expression" dxfId="65" priority="2">
      <x:formula>OR(ISNUMBER(SEARCH("BLOCK",L5)),ISNUMBER(SEARCH("PROHIBITED",L5)),ISNUMBER(SEARCH("CRITICAL",L5)),ISNUMBER(SEARCH("MISSING",L5)))</x:formula>
    </x:cfRule>
    <x:cfRule type="expression" dxfId="66" priority="3">
      <x:formula>OR(ISNUMBER(SEARCH("PENDING",L5)),ISNUMBER(SEARCH("PARTIAL",L5)),ISNUMBER(SEARCH("REVIEW",L5)),ISNUMBER(SEARCH("CONDITIONAL",L5)))</x:formula>
    </x:cfRule>
    <x:cfRule type="expression" dxfId="67" priority="4">
      <x:formula>OR(ISNUMBER(SEARCH("HISTORICAL",L5)),ISNUMBER(SEARCH("VISION",L5)),ISNUMBER(SEARCH("OPTIONAL",L5)))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c18c39972d4ce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16" hidden="0" customWidth="1"/>
    <x:col min="5" max="5" width="24" hidden="0" customWidth="1"/>
    <x:col min="6" max="6" width="14" hidden="0" customWidth="1"/>
    <x:col min="7" max="7" width="32" hidden="0" customWidth="1"/>
    <x:col min="8" max="8" width="64" hidden="0" customWidth="1"/>
    <x:col min="9" max="9" width="54" hidden="0" customWidth="1"/>
    <x:col min="10" max="10" width="38" hidden="0" customWidth="1"/>
    <x:col min="11" max="11" width="30" hidden="0" customWidth="1"/>
    <x:col min="12" max="12" width="24" hidden="0" customWidth="1"/>
    <x:col min="13" max="13" width="38" hidden="0" customWidth="1"/>
    <x:col min="14" max="14" width="34" hidden="0" customWidth="1"/>
    <x:col min="15" max="15" width="34" hidden="0" customWidth="1"/>
    <x:col min="16" max="16" width="26" hidden="0" customWidth="1"/>
    <x:col min="17" max="17" width="18" hidden="0" customWidth="1"/>
    <x:col min="18" max="18" width="34" hidden="0" customWidth="1"/>
    <x:col min="19" max="19" width="20" hidden="0" customWidth="1"/>
    <x:col min="20" max="20" width="55" hidden="0" customWidth="1"/>
  </x:cols>
  <x:sheetData>
    <x:row r="1" ht="30" customHeight="1">
      <x:c r="A1" s="4" t="str">
        <x:v>Software, paquetes y herramientas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22" customHeight="1">
      <x:c r="A2" s="10" t="str">
        <x:v>Unity, Blender, Git y 57 dependencias Package Manager con obligaciones de NOTICE.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4" ht="38" customHeight="1">
      <x:c r="A4" s="17" t="str">
        <x:v>Software ID</x:v>
      </x:c>
      <x:c r="B4" s="17" t="str">
        <x:v>Nombre</x:v>
      </x:c>
      <x:c r="C4" s="17" t="str">
        <x:v>Package/Component</x:v>
      </x:c>
      <x:c r="D4" s="17" t="str">
        <x:v>Versión</x:v>
      </x:c>
      <x:c r="E4" s="17" t="str">
        <x:v>Tipo</x:v>
      </x:c>
      <x:c r="F4" s="17" t="str">
        <x:v>Directo</x:v>
      </x:c>
      <x:c r="G4" s="17" t="str">
        <x:v>Proveedor</x:v>
      </x:c>
      <x:c r="H4" s="17" t="str">
        <x:v>Fuente</x:v>
      </x:c>
      <x:c r="I4" s="17" t="str">
        <x:v>Licencia/Terms</x:v>
      </x:c>
      <x:c r="J4" s="17" t="str">
        <x:v>LICENSE/NOTICE conservado</x:v>
      </x:c>
      <x:c r="K4" s="17" t="str">
        <x:v>Uso</x:v>
      </x:c>
      <x:c r="L4" s="17" t="str">
        <x:v>Modificaciones</x:v>
      </x:c>
      <x:c r="M4" s="17" t="str">
        <x:v>Redistribución</x:v>
      </x:c>
      <x:c r="N4" s="17" t="str">
        <x:v>Atribución</x:v>
      </x:c>
      <x:c r="O4" s="17" t="str">
        <x:v>Estado</x:v>
      </x:c>
      <x:c r="P4" s="17" t="str">
        <x:v>Riesgo</x:v>
      </x:c>
      <x:c r="Q4" s="17" t="str">
        <x:v>Revisión</x:v>
      </x:c>
      <x:c r="R4" s="17" t="str">
        <x:v>Owner</x:v>
      </x:c>
      <x:c r="S4" s="17" t="str">
        <x:v>Notas</x:v>
      </x:c>
    </x:row>
    <x:row r="5" ht="34" customHeight="1">
      <x:c r="A5" s="24" t="str">
        <x:v>SW-001</x:v>
      </x:c>
      <x:c r="B5" s="24" t="str">
        <x:v>Unity Editor</x:v>
      </x:c>
      <x:c r="C5" s="24" t="str">
        <x:v>Unity 6.3 LTS</x:v>
      </x:c>
      <x:c r="D5" s="24" t="str">
        <x:v>6000.3.18f1</x:v>
      </x:c>
      <x:c r="E5" s="24" t="str">
        <x:v>Engine/editor</x:v>
      </x:c>
      <x:c r="F5" s="24" t="str">
        <x:v>Sí</x:v>
      </x:c>
      <x:c r="G5" s="24" t="str">
        <x:v>Unity Technologies</x:v>
      </x:c>
      <x:c r="H5" s="24" t="str">
        <x:v>Installed editor / ProjectVersion</x:v>
      </x:c>
      <x:c r="I5" s="24" t="str">
        <x:v>Unity Editor/Software Terms applicable to account and version</x:v>
      </x:c>
      <x:c r="J5" s="24" t="str">
        <x:v>Editor installation, not in repo</x:v>
      </x:c>
      <x:c r="K5" s="24" t="str">
        <x:v>Development and build generation</x:v>
      </x:c>
      <x:c r="L5" s="24" t="str">
        <x:v>No</x:v>
      </x:c>
      <x:c r="M5" s="24" t="str">
        <x:v>Only permitted runtime/player components under terms</x:v>
      </x:c>
      <x:c r="N5" s="24" t="str">
        <x:v>Per Unity requirements</x:v>
      </x:c>
      <x:c r="O5" s="24" t="str">
        <x:v>ACTIVE / VERIFY AT RELEASE</x:v>
      </x:c>
      <x:c r="P5" s="24" t="str">
        <x:v>Medium</x:v>
      </x:c>
      <x:c r="Q5" s="24" t="str">
        <x:v>Before Steam candidate</x:v>
      </x:c>
      <x:c r="R5" s="24" t="str">
        <x:v>VRM Games</x:v>
      </x:c>
      <x:c r="S5" s="24" t="str">
        <x:v>Pricing/terms may change; current public terms must be revalidated at release.</x:v>
      </x:c>
    </x:row>
    <x:row r="6" ht="34" customHeight="1">
      <x:c r="A6" s="24" t="str">
        <x:v>SW-002</x:v>
      </x:c>
      <x:c r="B6" s="24" t="str">
        <x:v>Blender</x:v>
      </x:c>
      <x:c r="C6" s="24" t="str">
        <x:v>Blender DCC</x:v>
      </x:c>
      <x:c r="D6" s="24" t="str">
        <x:v>Not evidenced in source package</x:v>
      </x:c>
      <x:c r="E6" s="24" t="str">
        <x:v>Authoring tool</x:v>
      </x:c>
      <x:c r="F6" s="24" t="str">
        <x:v>Tool</x:v>
      </x:c>
      <x:c r="G6" s="24" t="str">
        <x:v>Blender Foundation</x:v>
      </x:c>
      <x:c r="H6" s="24" t="str">
        <x:v>Sprint 16 Blender kit records</x:v>
      </x:c>
      <x:c r="I6" s="24" t="str">
        <x:v>GPL for software; outputs generally separate, subject to input rights</x:v>
      </x:c>
      <x:c r="J6" s="24" t="str">
        <x:v>Tool installation outside repo</x:v>
      </x:c>
      <x:c r="K6" s="24" t="str">
        <x:v>Internal 3D authoring</x:v>
      </x:c>
      <x:c r="L6" s="24" t="str">
        <x:v>Tool scripts may be internal</x:v>
      </x:c>
      <x:c r="M6" s="24" t="str">
        <x:v>Do not redistribute Blender binaries unless obligations met</x:v>
      </x:c>
      <x:c r="N6" s="24" t="str">
        <x:v>Optional tool credit</x:v>
      </x:c>
      <x:c r="O6" s="24" t="str">
        <x:v>ACTIVE TOOL / VERSION DEBT</x:v>
      </x:c>
      <x:c r="P6" s="24" t="str">
        <x:v>Low</x:v>
      </x:c>
      <x:c r="Q6" s="24" t="str">
        <x:v>Record exact version/tool scripts</x:v>
      </x:c>
      <x:c r="R6" s="24" t="str">
        <x:v>VRM Games</x:v>
      </x:c>
      <x:c r="S6" s="24" t="str">
        <x:v>Tool license does not establish rights to third-party inputs.</x:v>
      </x:c>
    </x:row>
    <x:row r="7" ht="34" customHeight="1">
      <x:c r="A7" s="24" t="str">
        <x:v>SW-003</x:v>
      </x:c>
      <x:c r="B7" s="24" t="str">
        <x:v>Git / GitHub Desktop</x:v>
      </x:c>
      <x:c r="C7" s="24" t="str">
        <x:v>Version control tools</x:v>
      </x:c>
      <x:c r="D7" s="24" t="str">
        <x:v>Not evidenced</x:v>
      </x:c>
      <x:c r="E7" s="24" t="str">
        <x:v>Development tool</x:v>
      </x:c>
      <x:c r="F7" s="24" t="str">
        <x:v>Tool</x:v>
      </x:c>
      <x:c r="G7" s="24" t="str">
        <x:v>Git project / GitHub</x:v>
      </x:c>
      <x:c r="H7" s="24" t="str">
        <x:v>Project workflow documentation</x:v>
      </x:c>
      <x:c r="I7" s="24" t="str">
        <x:v>Tool-specific open-source/service terms</x:v>
      </x:c>
      <x:c r="J7" s="24" t="str">
        <x:v>Outside repo / service terms</x:v>
      </x:c>
      <x:c r="K7" s="24" t="str">
        <x:v>Repository/version control</x:v>
      </x:c>
      <x:c r="L7" s="24" t="str">
        <x:v>No</x:v>
      </x:c>
      <x:c r="M7" s="24" t="str">
        <x:v>Not included in game build</x:v>
      </x:c>
      <x:c r="N7" s="24" t="str">
        <x:v>Optional tools credit</x:v>
      </x:c>
      <x:c r="O7" s="24" t="str">
        <x:v>ACTIVE TOOL / VERSION DEBT</x:v>
      </x:c>
      <x:c r="P7" s="24" t="str">
        <x:v>Low</x:v>
      </x:c>
      <x:c r="Q7" s="24" t="str">
        <x:v>Record versions for reproducibility</x:v>
      </x:c>
      <x:c r="R7" s="24" t="str">
        <x:v>VRM Games</x:v>
      </x:c>
      <x:c r="S7" s="24" t="str">
        <x:v>GitHub service terms are separate from software licenses.</x:v>
      </x:c>
    </x:row>
    <x:row r="8" ht="34" customHeight="1">
      <x:c r="A8" s="24" t="str">
        <x:v>PKG-001</x:v>
      </x:c>
      <x:c r="B8" s="24" t="str">
        <x:v>com.unity.addressables</x:v>
      </x:c>
      <x:c r="C8" s="24" t="str">
        <x:v>com.unity.addressables</x:v>
      </x:c>
      <x:c r="D8" s="24" t="str">
        <x:v>2.9.1</x:v>
      </x:c>
      <x:c r="E8" s="24" t="str">
        <x:v>Unity package - registry</x:v>
      </x:c>
      <x:c r="F8" s="24" t="str">
        <x:v>Transitivo</x:v>
      </x:c>
      <x:c r="G8" s="24" t="str">
        <x:v>Unity Technologies / package publisher</x:v>
      </x:c>
      <x:c r="H8" s="24" t="str">
        <x:v>Packages/manifest.json; Packages/packages-lock.json</x:v>
      </x:c>
      <x:c r="I8" s="24" t="str">
        <x:v>Unity Package Manager package terms; verify package LICENSE/NOTICE</x:v>
      </x:c>
      <x:c r="J8" s="24" t="str">
        <x:v>Pending consolidated THIRD_PARTY_NOTICES verification</x:v>
      </x:c>
      <x:c r="K8" s="24" t="str">
        <x:v>Project dependency</x:v>
      </x:c>
      <x:c r="L8" s="24" t="str">
        <x:v>No local modification evidenced</x:v>
      </x:c>
      <x:c r="M8" s="24" t="str">
        <x:v>Per package/Unity terms in built player</x:v>
      </x:c>
      <x:c r="N8" s="24" t="str">
        <x:v>Per package license/NOTICE</x:v>
      </x:c>
      <x:c r="O8" s="24" t="str">
        <x:v>ACTIVE / NOTICE REVIEW</x:v>
      </x:c>
      <x:c r="P8" s="24" t="str">
        <x:v>Medium</x:v>
      </x:c>
      <x:c r="Q8" s="24" t="str">
        <x:v>Release and package update review</x:v>
      </x:c>
      <x:c r="R8" s="24" t="str">
        <x:v>VRM Games</x:v>
      </x:c>
      <x:c r="S8" s="24" t="str">
        <x:v>source=registry; depth=1; deps=com.unity.modules.assetbundle@1.0.0; com.unity.modules.imageconversion@1.0.0; com.unity.modules.jsonserialize@1.0.0; com.unity.modules.unitywebrequest@1.0.0; com.unity.modules.unitywebrequestassetbundle@1.0.0; com.unity.profiling.core@1.0.2; com.unity.scriptablebuildpipeline@2.6.1; com.unity.test-framework@1.4.5</x:v>
      </x:c>
    </x:row>
    <x:row r="9" ht="34" customHeight="1">
      <x:c r="A9" s="24" t="str">
        <x:v>PKG-002</x:v>
      </x:c>
      <x:c r="B9" s="24" t="str">
        <x:v>com.unity.ai.navigation</x:v>
      </x:c>
      <x:c r="C9" s="24" t="str">
        <x:v>com.unity.ai.navigation</x:v>
      </x:c>
      <x:c r="D9" s="24" t="str">
        <x:v>2.0.13</x:v>
      </x:c>
      <x:c r="E9" s="24" t="str">
        <x:v>Unity package - registry</x:v>
      </x:c>
      <x:c r="F9" s="24" t="str">
        <x:v>Sí</x:v>
      </x:c>
      <x:c r="G9" s="24" t="str">
        <x:v>Unity Technologies / package publisher</x:v>
      </x:c>
      <x:c r="H9" s="24" t="str">
        <x:v>Packages/manifest.json; Packages/packages-lock.json</x:v>
      </x:c>
      <x:c r="I9" s="24" t="str">
        <x:v>Unity Package Manager package terms; verify package LICENSE/NOTICE</x:v>
      </x:c>
      <x:c r="J9" s="24" t="str">
        <x:v>Pending consolidated THIRD_PARTY_NOTICES verification</x:v>
      </x:c>
      <x:c r="K9" s="24" t="str">
        <x:v>Project dependency</x:v>
      </x:c>
      <x:c r="L9" s="24" t="str">
        <x:v>No local modification evidenced</x:v>
      </x:c>
      <x:c r="M9" s="24" t="str">
        <x:v>Per package/Unity terms in built player</x:v>
      </x:c>
      <x:c r="N9" s="24" t="str">
        <x:v>Per package license/NOTICE</x:v>
      </x:c>
      <x:c r="O9" s="24" t="str">
        <x:v>ACTIVE / NOTICE REVIEW</x:v>
      </x:c>
      <x:c r="P9" s="24" t="str">
        <x:v>Medium</x:v>
      </x:c>
      <x:c r="Q9" s="24" t="str">
        <x:v>Release and package update review</x:v>
      </x:c>
      <x:c r="R9" s="24" t="str">
        <x:v>VRM Games</x:v>
      </x:c>
      <x:c r="S9" s="24" t="str">
        <x:v>source=registry; depth=0; deps=com.unity.modules.ai@1.0.0</x:v>
      </x:c>
    </x:row>
    <x:row r="10" ht="34" customHeight="1">
      <x:c r="A10" s="24" t="str">
        <x:v>PKG-003</x:v>
      </x:c>
      <x:c r="B10" s="24" t="str">
        <x:v>com.unity.burst</x:v>
      </x:c>
      <x:c r="C10" s="24" t="str">
        <x:v>com.unity.burst</x:v>
      </x:c>
      <x:c r="D10" s="24" t="str">
        <x:v>1.8.29</x:v>
      </x:c>
      <x:c r="E10" s="24" t="str">
        <x:v>Unity package - registry</x:v>
      </x:c>
      <x:c r="F10" s="24" t="str">
        <x:v>Transitivo</x:v>
      </x:c>
      <x:c r="G10" s="24" t="str">
        <x:v>Unity Technologies / package publisher</x:v>
      </x:c>
      <x:c r="H10" s="24" t="str">
        <x:v>Packages/manifest.json; Packages/packages-lock.json</x:v>
      </x:c>
      <x:c r="I10" s="24" t="str">
        <x:v>Unity Package Manager package terms; verify package LICENSE/NOTICE</x:v>
      </x:c>
      <x:c r="J10" s="24" t="str">
        <x:v>Pending consolidated THIRD_PARTY_NOTICES verification</x:v>
      </x:c>
      <x:c r="K10" s="24" t="str">
        <x:v>Project dependency</x:v>
      </x:c>
      <x:c r="L10" s="24" t="str">
        <x:v>No local modification evidenced</x:v>
      </x:c>
      <x:c r="M10" s="24" t="str">
        <x:v>Per package/Unity terms in built player</x:v>
      </x:c>
      <x:c r="N10" s="24" t="str">
        <x:v>Per package license/NOTICE</x:v>
      </x:c>
      <x:c r="O10" s="24" t="str">
        <x:v>ACTIVE / NOTICE REVIEW</x:v>
      </x:c>
      <x:c r="P10" s="24" t="str">
        <x:v>Medium</x:v>
      </x:c>
      <x:c r="Q10" s="24" t="str">
        <x:v>Release and package update review</x:v>
      </x:c>
      <x:c r="R10" s="24" t="str">
        <x:v>VRM Games</x:v>
      </x:c>
      <x:c r="S10" s="24" t="str">
        <x:v>source=registry; depth=2; deps=com.unity.mathematics@1.2.1; com.unity.modules.jsonserialize@1.0.0</x:v>
      </x:c>
    </x:row>
    <x:row r="11" ht="34" customHeight="1">
      <x:c r="A11" s="24" t="str">
        <x:v>PKG-004</x:v>
      </x:c>
      <x:c r="B11" s="24" t="str">
        <x:v>com.unity.collections</x:v>
      </x:c>
      <x:c r="C11" s="24" t="str">
        <x:v>com.unity.collections</x:v>
      </x:c>
      <x:c r="D11" s="24" t="str">
        <x:v>2.6.6</x:v>
      </x:c>
      <x:c r="E11" s="24" t="str">
        <x:v>Unity package - registry</x:v>
      </x:c>
      <x:c r="F11" s="24" t="str">
        <x:v>Transitivo</x:v>
      </x:c>
      <x:c r="G11" s="24" t="str">
        <x:v>Unity Technologies / package publisher</x:v>
      </x:c>
      <x:c r="H11" s="24" t="str">
        <x:v>Packages/manifest.json; Packages/packages-lock.json</x:v>
      </x:c>
      <x:c r="I11" s="24" t="str">
        <x:v>Unity Package Manager package terms; verify package LICENSE/NOTICE</x:v>
      </x:c>
      <x:c r="J11" s="24" t="str">
        <x:v>Pending consolidated THIRD_PARTY_NOTICES verification</x:v>
      </x:c>
      <x:c r="K11" s="24" t="str">
        <x:v>Project dependency</x:v>
      </x:c>
      <x:c r="L11" s="24" t="str">
        <x:v>No local modification evidenced</x:v>
      </x:c>
      <x:c r="M11" s="24" t="str">
        <x:v>Per package/Unity terms in built player</x:v>
      </x:c>
      <x:c r="N11" s="24" t="str">
        <x:v>Per package license/NOTICE</x:v>
      </x:c>
      <x:c r="O11" s="24" t="str">
        <x:v>ACTIVE / NOTICE REVIEW</x:v>
      </x:c>
      <x:c r="P11" s="24" t="str">
        <x:v>Medium</x:v>
      </x:c>
      <x:c r="Q11" s="24" t="str">
        <x:v>Release and package update review</x:v>
      </x:c>
      <x:c r="R11" s="24" t="str">
        <x:v>VRM Games</x:v>
      </x:c>
      <x:c r="S11" s="24" t="str">
        <x:v>source=registry; depth=2; deps=com.unity.burst@1.8.28; com.unity.mathematics@1.3.2; com.unity.nuget.mono-cecil@1.11.6; com.unity.test-framework@1.4.6; com.unity.test-framework.performance@3.0.3</x:v>
      </x:c>
    </x:row>
    <x:row r="12" ht="34" customHeight="1">
      <x:c r="A12" s="24" t="str">
        <x:v>PKG-005</x:v>
      </x:c>
      <x:c r="B12" s="24" t="str">
        <x:v>com.unity.ext.nunit</x:v>
      </x:c>
      <x:c r="C12" s="24" t="str">
        <x:v>com.unity.ext.nunit</x:v>
      </x:c>
      <x:c r="D12" s="24" t="str">
        <x:v>2.0.5</x:v>
      </x:c>
      <x:c r="E12" s="24" t="str">
        <x:v>Unity package - built-in</x:v>
      </x:c>
      <x:c r="F12" s="24" t="str">
        <x:v>Transitivo</x:v>
      </x:c>
      <x:c r="G12" s="24" t="str">
        <x:v>Unity Technologies / package publisher</x:v>
      </x:c>
      <x:c r="H12" s="24" t="str">
        <x:v>Packages/manifest.json; Packages/packages-lock.json</x:v>
      </x:c>
      <x:c r="I12" s="24" t="str">
        <x:v>Unity built-in module / Editor terms</x:v>
      </x:c>
      <x:c r="J12" s="24" t="str">
        <x:v>Pending consolidated THIRD_PARTY_NOTICES verification</x:v>
      </x:c>
      <x:c r="K12" s="24" t="str">
        <x:v>Project dependency</x:v>
      </x:c>
      <x:c r="L12" s="24" t="str">
        <x:v>No local modification evidenced</x:v>
      </x:c>
      <x:c r="M12" s="24" t="str">
        <x:v>Per package/Unity terms in built player</x:v>
      </x:c>
      <x:c r="N12" s="24" t="str">
        <x:v>Per package license/NOTICE</x:v>
      </x:c>
      <x:c r="O12" s="24" t="str">
        <x:v>ACTIVE / NOTICE REVIEW</x:v>
      </x:c>
      <x:c r="P12" s="24" t="str">
        <x:v>Low</x:v>
      </x:c>
      <x:c r="Q12" s="24" t="str">
        <x:v>Release and package update review</x:v>
      </x:c>
      <x:c r="R12" s="24" t="str">
        <x:v>VRM Games</x:v>
      </x:c>
      <x:c r="S12" s="24" t="str">
        <x:v>source=builtin; depth=1; deps=</x:v>
      </x:c>
    </x:row>
    <x:row r="13" ht="34" customHeight="1">
      <x:c r="A13" s="24" t="str">
        <x:v>PKG-006</x:v>
      </x:c>
      <x:c r="B13" s="24" t="str">
        <x:v>com.unity.ide.visualstudio</x:v>
      </x:c>
      <x:c r="C13" s="24" t="str">
        <x:v>com.unity.ide.visualstudio</x:v>
      </x:c>
      <x:c r="D13" s="24" t="str">
        <x:v>2.0.26</x:v>
      </x:c>
      <x:c r="E13" s="24" t="str">
        <x:v>Unity package - registry</x:v>
      </x:c>
      <x:c r="F13" s="24" t="str">
        <x:v>Sí</x:v>
      </x:c>
      <x:c r="G13" s="24" t="str">
        <x:v>Unity Technologies / package publisher</x:v>
      </x:c>
      <x:c r="H13" s="24" t="str">
        <x:v>Packages/manifest.json; Packages/packages-lock.json</x:v>
      </x:c>
      <x:c r="I13" s="24" t="str">
        <x:v>Unity Package Manager package terms; verify package LICENSE/NOTICE</x:v>
      </x:c>
      <x:c r="J13" s="24" t="str">
        <x:v>Pending consolidated THIRD_PARTY_NOTICES verification</x:v>
      </x:c>
      <x:c r="K13" s="24" t="str">
        <x:v>Project dependency</x:v>
      </x:c>
      <x:c r="L13" s="24" t="str">
        <x:v>No local modification evidenced</x:v>
      </x:c>
      <x:c r="M13" s="24" t="str">
        <x:v>Per package/Unity terms in built player</x:v>
      </x:c>
      <x:c r="N13" s="24" t="str">
        <x:v>Per package license/NOTICE</x:v>
      </x:c>
      <x:c r="O13" s="24" t="str">
        <x:v>ACTIVE / NOTICE REVIEW</x:v>
      </x:c>
      <x:c r="P13" s="24" t="str">
        <x:v>Medium</x:v>
      </x:c>
      <x:c r="Q13" s="24" t="str">
        <x:v>Release and package update review</x:v>
      </x:c>
      <x:c r="R13" s="24" t="str">
        <x:v>VRM Games</x:v>
      </x:c>
      <x:c r="S13" s="24" t="str">
        <x:v>source=registry; depth=0; deps=com.unity.test-framework@1.1.33</x:v>
      </x:c>
    </x:row>
    <x:row r="14" ht="34" customHeight="1">
      <x:c r="A14" s="24" t="str">
        <x:v>PKG-007</x:v>
      </x:c>
      <x:c r="B14" s="24" t="str">
        <x:v>com.unity.inputsystem</x:v>
      </x:c>
      <x:c r="C14" s="24" t="str">
        <x:v>com.unity.inputsystem</x:v>
      </x:c>
      <x:c r="D14" s="24" t="str">
        <x:v>1.19.0</x:v>
      </x:c>
      <x:c r="E14" s="24" t="str">
        <x:v>Unity package - registry</x:v>
      </x:c>
      <x:c r="F14" s="24" t="str">
        <x:v>Sí</x:v>
      </x:c>
      <x:c r="G14" s="24" t="str">
        <x:v>Unity Technologies / package publisher</x:v>
      </x:c>
      <x:c r="H14" s="24" t="str">
        <x:v>Packages/manifest.json; Packages/packages-lock.json</x:v>
      </x:c>
      <x:c r="I14" s="24" t="str">
        <x:v>Unity Package Manager package terms; verify package LICENSE/NOTICE</x:v>
      </x:c>
      <x:c r="J14" s="24" t="str">
        <x:v>Pending consolidated THIRD_PARTY_NOTICES verification</x:v>
      </x:c>
      <x:c r="K14" s="24" t="str">
        <x:v>Project dependency</x:v>
      </x:c>
      <x:c r="L14" s="24" t="str">
        <x:v>No local modification evidenced</x:v>
      </x:c>
      <x:c r="M14" s="24" t="str">
        <x:v>Per package/Unity terms in built player</x:v>
      </x:c>
      <x:c r="N14" s="24" t="str">
        <x:v>Per package license/NOTICE</x:v>
      </x:c>
      <x:c r="O14" s="24" t="str">
        <x:v>ACTIVE / NOTICE REVIEW</x:v>
      </x:c>
      <x:c r="P14" s="24" t="str">
        <x:v>Medium</x:v>
      </x:c>
      <x:c r="Q14" s="24" t="str">
        <x:v>Release and package update review</x:v>
      </x:c>
      <x:c r="R14" s="24" t="str">
        <x:v>VRM Games</x:v>
      </x:c>
      <x:c r="S14" s="24" t="str">
        <x:v>source=registry; depth=0; deps=com.unity.modules.uielements@1.0.0</x:v>
      </x:c>
    </x:row>
    <x:row r="15" ht="34" customHeight="1">
      <x:c r="A15" s="24" t="str">
        <x:v>PKG-008</x:v>
      </x:c>
      <x:c r="B15" s="24" t="str">
        <x:v>com.unity.localization</x:v>
      </x:c>
      <x:c r="C15" s="24" t="str">
        <x:v>com.unity.localization</x:v>
      </x:c>
      <x:c r="D15" s="24" t="str">
        <x:v>1.5.12</x:v>
      </x:c>
      <x:c r="E15" s="24" t="str">
        <x:v>Unity package - registry</x:v>
      </x:c>
      <x:c r="F15" s="24" t="str">
        <x:v>Sí</x:v>
      </x:c>
      <x:c r="G15" s="24" t="str">
        <x:v>Unity Technologies / package publisher</x:v>
      </x:c>
      <x:c r="H15" s="24" t="str">
        <x:v>Packages/manifest.json; Packages/packages-lock.json</x:v>
      </x:c>
      <x:c r="I15" s="24" t="str">
        <x:v>Unity Package Manager package terms; verify package LICENSE/NOTICE</x:v>
      </x:c>
      <x:c r="J15" s="24" t="str">
        <x:v>Pending consolidated THIRD_PARTY_NOTICES verification</x:v>
      </x:c>
      <x:c r="K15" s="24" t="str">
        <x:v>Project dependency</x:v>
      </x:c>
      <x:c r="L15" s="24" t="str">
        <x:v>No local modification evidenced</x:v>
      </x:c>
      <x:c r="M15" s="24" t="str">
        <x:v>Per package/Unity terms in built player</x:v>
      </x:c>
      <x:c r="N15" s="24" t="str">
        <x:v>Per package license/NOTICE</x:v>
      </x:c>
      <x:c r="O15" s="24" t="str">
        <x:v>ACTIVE / NOTICE REVIEW</x:v>
      </x:c>
      <x:c r="P15" s="24" t="str">
        <x:v>Medium</x:v>
      </x:c>
      <x:c r="Q15" s="24" t="str">
        <x:v>Release and package update review</x:v>
      </x:c>
      <x:c r="R15" s="24" t="str">
        <x:v>VRM Games</x:v>
      </x:c>
      <x:c r="S15" s="24" t="str">
        <x:v>source=registry; depth=0; deps=com.unity.addressables@1.25.0; com.unity.nuget.newtonsoft-json@3.0.2</x:v>
      </x:c>
    </x:row>
    <x:row r="16" ht="34" customHeight="1">
      <x:c r="A16" s="24" t="str">
        <x:v>PKG-009</x:v>
      </x:c>
      <x:c r="B16" s="24" t="str">
        <x:v>com.unity.mathematics</x:v>
      </x:c>
      <x:c r="C16" s="24" t="str">
        <x:v>com.unity.mathematics</x:v>
      </x:c>
      <x:c r="D16" s="24" t="str">
        <x:v>1.3.3</x:v>
      </x:c>
      <x:c r="E16" s="24" t="str">
        <x:v>Unity package - registry</x:v>
      </x:c>
      <x:c r="F16" s="24" t="str">
        <x:v>Transitivo</x:v>
      </x:c>
      <x:c r="G16" s="24" t="str">
        <x:v>Unity Technologies / package publisher</x:v>
      </x:c>
      <x:c r="H16" s="24" t="str">
        <x:v>Packages/manifest.json; Packages/packages-lock.json</x:v>
      </x:c>
      <x:c r="I16" s="24" t="str">
        <x:v>Unity Package Manager package terms; verify package LICENSE/NOTICE</x:v>
      </x:c>
      <x:c r="J16" s="24" t="str">
        <x:v>Pending consolidated THIRD_PARTY_NOTICES verification</x:v>
      </x:c>
      <x:c r="K16" s="24" t="str">
        <x:v>Project dependency</x:v>
      </x:c>
      <x:c r="L16" s="24" t="str">
        <x:v>No local modification evidenced</x:v>
      </x:c>
      <x:c r="M16" s="24" t="str">
        <x:v>Per package/Unity terms in built player</x:v>
      </x:c>
      <x:c r="N16" s="24" t="str">
        <x:v>Per package license/NOTICE</x:v>
      </x:c>
      <x:c r="O16" s="24" t="str">
        <x:v>ACTIVE / NOTICE REVIEW</x:v>
      </x:c>
      <x:c r="P16" s="24" t="str">
        <x:v>Medium</x:v>
      </x:c>
      <x:c r="Q16" s="24" t="str">
        <x:v>Release and package update review</x:v>
      </x:c>
      <x:c r="R16" s="24" t="str">
        <x:v>VRM Games</x:v>
      </x:c>
      <x:c r="S16" s="24" t="str">
        <x:v>source=registry; depth=2; deps=</x:v>
      </x:c>
    </x:row>
    <x:row r="17" ht="34" customHeight="1">
      <x:c r="A17" s="24" t="str">
        <x:v>PKG-010</x:v>
      </x:c>
      <x:c r="B17" s="24" t="str">
        <x:v>com.unity.modules.accessibility</x:v>
      </x:c>
      <x:c r="C17" s="24" t="str">
        <x:v>com.unity.modules.accessibility</x:v>
      </x:c>
      <x:c r="D17" s="24" t="str">
        <x:v>1.0.0</x:v>
      </x:c>
      <x:c r="E17" s="24" t="str">
        <x:v>Unity package - built-in</x:v>
      </x:c>
      <x:c r="F17" s="24" t="str">
        <x:v>Sí</x:v>
      </x:c>
      <x:c r="G17" s="24" t="str">
        <x:v>Unity Technologies / package publisher</x:v>
      </x:c>
      <x:c r="H17" s="24" t="str">
        <x:v>Packages/manifest.json; Packages/packages-lock.json</x:v>
      </x:c>
      <x:c r="I17" s="24" t="str">
        <x:v>Unity built-in module / Editor terms</x:v>
      </x:c>
      <x:c r="J17" s="24" t="str">
        <x:v>Pending consolidated THIRD_PARTY_NOTICES verification</x:v>
      </x:c>
      <x:c r="K17" s="24" t="str">
        <x:v>Project dependency</x:v>
      </x:c>
      <x:c r="L17" s="24" t="str">
        <x:v>No local modification evidenced</x:v>
      </x:c>
      <x:c r="M17" s="24" t="str">
        <x:v>Per package/Unity terms in built player</x:v>
      </x:c>
      <x:c r="N17" s="24" t="str">
        <x:v>Per package license/NOTICE</x:v>
      </x:c>
      <x:c r="O17" s="24" t="str">
        <x:v>ACTIVE / NOTICE REVIEW</x:v>
      </x:c>
      <x:c r="P17" s="24" t="str">
        <x:v>Low</x:v>
      </x:c>
      <x:c r="Q17" s="24" t="str">
        <x:v>Release and package update review</x:v>
      </x:c>
      <x:c r="R17" s="24" t="str">
        <x:v>VRM Games</x:v>
      </x:c>
      <x:c r="S17" s="24" t="str">
        <x:v>source=builtin; depth=0; deps=</x:v>
      </x:c>
    </x:row>
    <x:row r="18" ht="34" customHeight="1">
      <x:c r="A18" s="24" t="str">
        <x:v>PKG-011</x:v>
      </x:c>
      <x:c r="B18" s="24" t="str">
        <x:v>com.unity.modules.adaptiveperformance</x:v>
      </x:c>
      <x:c r="C18" s="24" t="str">
        <x:v>com.unity.modules.adaptiveperformance</x:v>
      </x:c>
      <x:c r="D18" s="24" t="str">
        <x:v>1.0.0</x:v>
      </x:c>
      <x:c r="E18" s="24" t="str">
        <x:v>Unity package - built-in</x:v>
      </x:c>
      <x:c r="F18" s="24" t="str">
        <x:v>Sí</x:v>
      </x:c>
      <x:c r="G18" s="24" t="str">
        <x:v>Unity Technologies / package publisher</x:v>
      </x:c>
      <x:c r="H18" s="24" t="str">
        <x:v>Packages/manifest.json; Packages/packages-lock.json</x:v>
      </x:c>
      <x:c r="I18" s="24" t="str">
        <x:v>Unity built-in module / Editor terms</x:v>
      </x:c>
      <x:c r="J18" s="24" t="str">
        <x:v>Pending consolidated THIRD_PARTY_NOTICES verification</x:v>
      </x:c>
      <x:c r="K18" s="24" t="str">
        <x:v>Project dependency</x:v>
      </x:c>
      <x:c r="L18" s="24" t="str">
        <x:v>No local modification evidenced</x:v>
      </x:c>
      <x:c r="M18" s="24" t="str">
        <x:v>Per package/Unity terms in built player</x:v>
      </x:c>
      <x:c r="N18" s="24" t="str">
        <x:v>Per package license/NOTICE</x:v>
      </x:c>
      <x:c r="O18" s="24" t="str">
        <x:v>ACTIVE / NOTICE REVIEW</x:v>
      </x:c>
      <x:c r="P18" s="24" t="str">
        <x:v>Low</x:v>
      </x:c>
      <x:c r="Q18" s="24" t="str">
        <x:v>Release and package update review</x:v>
      </x:c>
      <x:c r="R18" s="24" t="str">
        <x:v>VRM Games</x:v>
      </x:c>
      <x:c r="S18" s="24" t="str">
        <x:v>source=builtin; depth=0; deps=com.unity.modules.subsystems@1.0.0</x:v>
      </x:c>
    </x:row>
    <x:row r="19" ht="34" customHeight="1">
      <x:c r="A19" s="24" t="str">
        <x:v>PKG-012</x:v>
      </x:c>
      <x:c r="B19" s="24" t="str">
        <x:v>com.unity.modules.ai</x:v>
      </x:c>
      <x:c r="C19" s="24" t="str">
        <x:v>com.unity.modules.ai</x:v>
      </x:c>
      <x:c r="D19" s="24" t="str">
        <x:v>1.0.0</x:v>
      </x:c>
      <x:c r="E19" s="24" t="str">
        <x:v>Unity package - built-in</x:v>
      </x:c>
      <x:c r="F19" s="24" t="str">
        <x:v>Sí</x:v>
      </x:c>
      <x:c r="G19" s="24" t="str">
        <x:v>Unity Technologies / package publisher</x:v>
      </x:c>
      <x:c r="H19" s="24" t="str">
        <x:v>Packages/manifest.json; Packages/packages-lock.json</x:v>
      </x:c>
      <x:c r="I19" s="24" t="str">
        <x:v>Unity built-in module / Editor terms</x:v>
      </x:c>
      <x:c r="J19" s="24" t="str">
        <x:v>Pending consolidated THIRD_PARTY_NOTICES verification</x:v>
      </x:c>
      <x:c r="K19" s="24" t="str">
        <x:v>Project dependency</x:v>
      </x:c>
      <x:c r="L19" s="24" t="str">
        <x:v>No local modification evidenced</x:v>
      </x:c>
      <x:c r="M19" s="24" t="str">
        <x:v>Per package/Unity terms in built player</x:v>
      </x:c>
      <x:c r="N19" s="24" t="str">
        <x:v>Per package license/NOTICE</x:v>
      </x:c>
      <x:c r="O19" s="24" t="str">
        <x:v>ACTIVE / NOTICE REVIEW</x:v>
      </x:c>
      <x:c r="P19" s="24" t="str">
        <x:v>Low</x:v>
      </x:c>
      <x:c r="Q19" s="24" t="str">
        <x:v>Release and package update review</x:v>
      </x:c>
      <x:c r="R19" s="24" t="str">
        <x:v>VRM Games</x:v>
      </x:c>
      <x:c r="S19" s="24" t="str">
        <x:v>source=builtin; depth=0; deps=</x:v>
      </x:c>
    </x:row>
    <x:row r="20" ht="34" customHeight="1">
      <x:c r="A20" s="24" t="str">
        <x:v>PKG-013</x:v>
      </x:c>
      <x:c r="B20" s="24" t="str">
        <x:v>com.unity.modules.androidjni</x:v>
      </x:c>
      <x:c r="C20" s="24" t="str">
        <x:v>com.unity.modules.androidjni</x:v>
      </x:c>
      <x:c r="D20" s="24" t="str">
        <x:v>1.0.0</x:v>
      </x:c>
      <x:c r="E20" s="24" t="str">
        <x:v>Unity package - built-in</x:v>
      </x:c>
      <x:c r="F20" s="24" t="str">
        <x:v>Sí</x:v>
      </x:c>
      <x:c r="G20" s="24" t="str">
        <x:v>Unity Technologies / package publisher</x:v>
      </x:c>
      <x:c r="H20" s="24" t="str">
        <x:v>Packages/manifest.json; Packages/packages-lock.json</x:v>
      </x:c>
      <x:c r="I20" s="24" t="str">
        <x:v>Unity built-in module / Editor terms</x:v>
      </x:c>
      <x:c r="J20" s="24" t="str">
        <x:v>Pending consolidated THIRD_PARTY_NOTICES verification</x:v>
      </x:c>
      <x:c r="K20" s="24" t="str">
        <x:v>Project dependency</x:v>
      </x:c>
      <x:c r="L20" s="24" t="str">
        <x:v>No local modification evidenced</x:v>
      </x:c>
      <x:c r="M20" s="24" t="str">
        <x:v>Per package/Unity terms in built player</x:v>
      </x:c>
      <x:c r="N20" s="24" t="str">
        <x:v>Per package license/NOTICE</x:v>
      </x:c>
      <x:c r="O20" s="24" t="str">
        <x:v>ACTIVE / NOTICE REVIEW</x:v>
      </x:c>
      <x:c r="P20" s="24" t="str">
        <x:v>Low</x:v>
      </x:c>
      <x:c r="Q20" s="24" t="str">
        <x:v>Release and package update review</x:v>
      </x:c>
      <x:c r="R20" s="24" t="str">
        <x:v>VRM Games</x:v>
      </x:c>
      <x:c r="S20" s="24" t="str">
        <x:v>source=builtin; depth=0; deps=</x:v>
      </x:c>
    </x:row>
    <x:row r="21" ht="34" customHeight="1">
      <x:c r="A21" s="24" t="str">
        <x:v>PKG-014</x:v>
      </x:c>
      <x:c r="B21" s="24" t="str">
        <x:v>com.unity.modules.animation</x:v>
      </x:c>
      <x:c r="C21" s="24" t="str">
        <x:v>com.unity.modules.animation</x:v>
      </x:c>
      <x:c r="D21" s="24" t="str">
        <x:v>1.0.0</x:v>
      </x:c>
      <x:c r="E21" s="24" t="str">
        <x:v>Unity package - built-in</x:v>
      </x:c>
      <x:c r="F21" s="24" t="str">
        <x:v>Sí</x:v>
      </x:c>
      <x:c r="G21" s="24" t="str">
        <x:v>Unity Technologies / package publisher</x:v>
      </x:c>
      <x:c r="H21" s="24" t="str">
        <x:v>Packages/manifest.json; Packages/packages-lock.json</x:v>
      </x:c>
      <x:c r="I21" s="24" t="str">
        <x:v>Unity built-in module / Editor terms</x:v>
      </x:c>
      <x:c r="J21" s="24" t="str">
        <x:v>Pending consolidated THIRD_PARTY_NOTICES verification</x:v>
      </x:c>
      <x:c r="K21" s="24" t="str">
        <x:v>Project dependency</x:v>
      </x:c>
      <x:c r="L21" s="24" t="str">
        <x:v>No local modification evidenced</x:v>
      </x:c>
      <x:c r="M21" s="24" t="str">
        <x:v>Per package/Unity terms in built player</x:v>
      </x:c>
      <x:c r="N21" s="24" t="str">
        <x:v>Per package license/NOTICE</x:v>
      </x:c>
      <x:c r="O21" s="24" t="str">
        <x:v>ACTIVE / NOTICE REVIEW</x:v>
      </x:c>
      <x:c r="P21" s="24" t="str">
        <x:v>Low</x:v>
      </x:c>
      <x:c r="Q21" s="24" t="str">
        <x:v>Release and package update review</x:v>
      </x:c>
      <x:c r="R21" s="24" t="str">
        <x:v>VRM Games</x:v>
      </x:c>
      <x:c r="S21" s="24" t="str">
        <x:v>source=builtin; depth=0; deps=</x:v>
      </x:c>
    </x:row>
    <x:row r="22" ht="34" customHeight="1">
      <x:c r="A22" s="24" t="str">
        <x:v>PKG-015</x:v>
      </x:c>
      <x:c r="B22" s="24" t="str">
        <x:v>com.unity.modules.assetbundle</x:v>
      </x:c>
      <x:c r="C22" s="24" t="str">
        <x:v>com.unity.modules.assetbundle</x:v>
      </x:c>
      <x:c r="D22" s="24" t="str">
        <x:v>1.0.0</x:v>
      </x:c>
      <x:c r="E22" s="24" t="str">
        <x:v>Unity package - built-in</x:v>
      </x:c>
      <x:c r="F22" s="24" t="str">
        <x:v>Sí</x:v>
      </x:c>
      <x:c r="G22" s="24" t="str">
        <x:v>Unity Technologies / package publisher</x:v>
      </x:c>
      <x:c r="H22" s="24" t="str">
        <x:v>Packages/manifest.json; Packages/packages-lock.json</x:v>
      </x:c>
      <x:c r="I22" s="24" t="str">
        <x:v>Unity built-in module / Editor terms</x:v>
      </x:c>
      <x:c r="J22" s="24" t="str">
        <x:v>Pending consolidated THIRD_PARTY_NOTICES verification</x:v>
      </x:c>
      <x:c r="K22" s="24" t="str">
        <x:v>Project dependency</x:v>
      </x:c>
      <x:c r="L22" s="24" t="str">
        <x:v>No local modification evidenced</x:v>
      </x:c>
      <x:c r="M22" s="24" t="str">
        <x:v>Per package/Unity terms in built player</x:v>
      </x:c>
      <x:c r="N22" s="24" t="str">
        <x:v>Per package license/NOTICE</x:v>
      </x:c>
      <x:c r="O22" s="24" t="str">
        <x:v>ACTIVE / NOTICE REVIEW</x:v>
      </x:c>
      <x:c r="P22" s="24" t="str">
        <x:v>Low</x:v>
      </x:c>
      <x:c r="Q22" s="24" t="str">
        <x:v>Release and package update review</x:v>
      </x:c>
      <x:c r="R22" s="24" t="str">
        <x:v>VRM Games</x:v>
      </x:c>
      <x:c r="S22" s="24" t="str">
        <x:v>source=builtin; depth=0; deps=</x:v>
      </x:c>
    </x:row>
    <x:row r="23" ht="34" customHeight="1">
      <x:c r="A23" s="24" t="str">
        <x:v>PKG-016</x:v>
      </x:c>
      <x:c r="B23" s="24" t="str">
        <x:v>com.unity.modules.audio</x:v>
      </x:c>
      <x:c r="C23" s="24" t="str">
        <x:v>com.unity.modules.audio</x:v>
      </x:c>
      <x:c r="D23" s="24" t="str">
        <x:v>1.0.0</x:v>
      </x:c>
      <x:c r="E23" s="24" t="str">
        <x:v>Unity package - built-in</x:v>
      </x:c>
      <x:c r="F23" s="24" t="str">
        <x:v>Sí</x:v>
      </x:c>
      <x:c r="G23" s="24" t="str">
        <x:v>Unity Technologies / package publisher</x:v>
      </x:c>
      <x:c r="H23" s="24" t="str">
        <x:v>Packages/manifest.json; Packages/packages-lock.json</x:v>
      </x:c>
      <x:c r="I23" s="24" t="str">
        <x:v>Unity built-in module / Editor terms</x:v>
      </x:c>
      <x:c r="J23" s="24" t="str">
        <x:v>Pending consolidated THIRD_PARTY_NOTICES verification</x:v>
      </x:c>
      <x:c r="K23" s="24" t="str">
        <x:v>Project dependency</x:v>
      </x:c>
      <x:c r="L23" s="24" t="str">
        <x:v>No local modification evidenced</x:v>
      </x:c>
      <x:c r="M23" s="24" t="str">
        <x:v>Per package/Unity terms in built player</x:v>
      </x:c>
      <x:c r="N23" s="24" t="str">
        <x:v>Per package license/NOTICE</x:v>
      </x:c>
      <x:c r="O23" s="24" t="str">
        <x:v>ACTIVE / NOTICE REVIEW</x:v>
      </x:c>
      <x:c r="P23" s="24" t="str">
        <x:v>Low</x:v>
      </x:c>
      <x:c r="Q23" s="24" t="str">
        <x:v>Release and package update review</x:v>
      </x:c>
      <x:c r="R23" s="24" t="str">
        <x:v>VRM Games</x:v>
      </x:c>
      <x:c r="S23" s="24" t="str">
        <x:v>source=builtin; depth=0; deps=</x:v>
      </x:c>
    </x:row>
    <x:row r="24" ht="34" customHeight="1">
      <x:c r="A24" s="24" t="str">
        <x:v>PKG-017</x:v>
      </x:c>
      <x:c r="B24" s="24" t="str">
        <x:v>com.unity.modules.cloth</x:v>
      </x:c>
      <x:c r="C24" s="24" t="str">
        <x:v>com.unity.modules.cloth</x:v>
      </x:c>
      <x:c r="D24" s="24" t="str">
        <x:v>1.0.0</x:v>
      </x:c>
      <x:c r="E24" s="24" t="str">
        <x:v>Unity package - built-in</x:v>
      </x:c>
      <x:c r="F24" s="24" t="str">
        <x:v>Sí</x:v>
      </x:c>
      <x:c r="G24" s="24" t="str">
        <x:v>Unity Technologies / package publisher</x:v>
      </x:c>
      <x:c r="H24" s="24" t="str">
        <x:v>Packages/manifest.json; Packages/packages-lock.json</x:v>
      </x:c>
      <x:c r="I24" s="24" t="str">
        <x:v>Unity built-in module / Editor terms</x:v>
      </x:c>
      <x:c r="J24" s="24" t="str">
        <x:v>Pending consolidated THIRD_PARTY_NOTICES verification</x:v>
      </x:c>
      <x:c r="K24" s="24" t="str">
        <x:v>Project dependency</x:v>
      </x:c>
      <x:c r="L24" s="24" t="str">
        <x:v>No local modification evidenced</x:v>
      </x:c>
      <x:c r="M24" s="24" t="str">
        <x:v>Per package/Unity terms in built player</x:v>
      </x:c>
      <x:c r="N24" s="24" t="str">
        <x:v>Per package license/NOTICE</x:v>
      </x:c>
      <x:c r="O24" s="24" t="str">
        <x:v>ACTIVE / NOTICE REVIEW</x:v>
      </x:c>
      <x:c r="P24" s="24" t="str">
        <x:v>Low</x:v>
      </x:c>
      <x:c r="Q24" s="24" t="str">
        <x:v>Release and package update review</x:v>
      </x:c>
      <x:c r="R24" s="24" t="str">
        <x:v>VRM Games</x:v>
      </x:c>
      <x:c r="S24" s="24" t="str">
        <x:v>source=builtin; depth=0; deps=com.unity.modules.physics@1.0.0</x:v>
      </x:c>
    </x:row>
    <x:row r="25" ht="34" customHeight="1">
      <x:c r="A25" s="24" t="str">
        <x:v>PKG-018</x:v>
      </x:c>
      <x:c r="B25" s="24" t="str">
        <x:v>com.unity.modules.director</x:v>
      </x:c>
      <x:c r="C25" s="24" t="str">
        <x:v>com.unity.modules.director</x:v>
      </x:c>
      <x:c r="D25" s="24" t="str">
        <x:v>1.0.0</x:v>
      </x:c>
      <x:c r="E25" s="24" t="str">
        <x:v>Unity package - built-in</x:v>
      </x:c>
      <x:c r="F25" s="24" t="str">
        <x:v>Sí</x:v>
      </x:c>
      <x:c r="G25" s="24" t="str">
        <x:v>Unity Technologies / package publisher</x:v>
      </x:c>
      <x:c r="H25" s="24" t="str">
        <x:v>Packages/manifest.json; Packages/packages-lock.json</x:v>
      </x:c>
      <x:c r="I25" s="24" t="str">
        <x:v>Unity built-in module / Editor terms</x:v>
      </x:c>
      <x:c r="J25" s="24" t="str">
        <x:v>Pending consolidated THIRD_PARTY_NOTICES verification</x:v>
      </x:c>
      <x:c r="K25" s="24" t="str">
        <x:v>Project dependency</x:v>
      </x:c>
      <x:c r="L25" s="24" t="str">
        <x:v>No local modification evidenced</x:v>
      </x:c>
      <x:c r="M25" s="24" t="str">
        <x:v>Per package/Unity terms in built player</x:v>
      </x:c>
      <x:c r="N25" s="24" t="str">
        <x:v>Per package license/NOTICE</x:v>
      </x:c>
      <x:c r="O25" s="24" t="str">
        <x:v>ACTIVE / NOTICE REVIEW</x:v>
      </x:c>
      <x:c r="P25" s="24" t="str">
        <x:v>Low</x:v>
      </x:c>
      <x:c r="Q25" s="24" t="str">
        <x:v>Release and package update review</x:v>
      </x:c>
      <x:c r="R25" s="24" t="str">
        <x:v>VRM Games</x:v>
      </x:c>
      <x:c r="S25" s="24" t="str">
        <x:v>source=builtin; depth=0; deps=com.unity.modules.animation@1.0.0; com.unity.modules.audio@1.0.0</x:v>
      </x:c>
    </x:row>
    <x:row r="26" ht="34" customHeight="1">
      <x:c r="A26" s="24" t="str">
        <x:v>PKG-019</x:v>
      </x:c>
      <x:c r="B26" s="24" t="str">
        <x:v>com.unity.modules.hierarchycore</x:v>
      </x:c>
      <x:c r="C26" s="24" t="str">
        <x:v>com.unity.modules.hierarchycore</x:v>
      </x:c>
      <x:c r="D26" s="24" t="str">
        <x:v>1.0.0</x:v>
      </x:c>
      <x:c r="E26" s="24" t="str">
        <x:v>Unity package - built-in</x:v>
      </x:c>
      <x:c r="F26" s="24" t="str">
        <x:v>Transitivo</x:v>
      </x:c>
      <x:c r="G26" s="24" t="str">
        <x:v>Unity Technologies / package publisher</x:v>
      </x:c>
      <x:c r="H26" s="24" t="str">
        <x:v>Packages/manifest.json; Packages/packages-lock.json</x:v>
      </x:c>
      <x:c r="I26" s="24" t="str">
        <x:v>Unity built-in module / Editor terms</x:v>
      </x:c>
      <x:c r="J26" s="24" t="str">
        <x:v>Pending consolidated THIRD_PARTY_NOTICES verification</x:v>
      </x:c>
      <x:c r="K26" s="24" t="str">
        <x:v>Project dependency</x:v>
      </x:c>
      <x:c r="L26" s="24" t="str">
        <x:v>No local modification evidenced</x:v>
      </x:c>
      <x:c r="M26" s="24" t="str">
        <x:v>Per package/Unity terms in built player</x:v>
      </x:c>
      <x:c r="N26" s="24" t="str">
        <x:v>Per package license/NOTICE</x:v>
      </x:c>
      <x:c r="O26" s="24" t="str">
        <x:v>ACTIVE / NOTICE REVIEW</x:v>
      </x:c>
      <x:c r="P26" s="24" t="str">
        <x:v>Low</x:v>
      </x:c>
      <x:c r="Q26" s="24" t="str">
        <x:v>Release and package update review</x:v>
      </x:c>
      <x:c r="R26" s="24" t="str">
        <x:v>VRM Games</x:v>
      </x:c>
      <x:c r="S26" s="24" t="str">
        <x:v>source=builtin; depth=1; deps=</x:v>
      </x:c>
    </x:row>
    <x:row r="27" ht="34" customHeight="1">
      <x:c r="A27" s="24" t="str">
        <x:v>PKG-020</x:v>
      </x:c>
      <x:c r="B27" s="24" t="str">
        <x:v>com.unity.modules.imageconversion</x:v>
      </x:c>
      <x:c r="C27" s="24" t="str">
        <x:v>com.unity.modules.imageconversion</x:v>
      </x:c>
      <x:c r="D27" s="24" t="str">
        <x:v>1.0.0</x:v>
      </x:c>
      <x:c r="E27" s="24" t="str">
        <x:v>Unity package - built-in</x:v>
      </x:c>
      <x:c r="F27" s="24" t="str">
        <x:v>Sí</x:v>
      </x:c>
      <x:c r="G27" s="24" t="str">
        <x:v>Unity Technologies / package publisher</x:v>
      </x:c>
      <x:c r="H27" s="24" t="str">
        <x:v>Packages/manifest.json; Packages/packages-lock.json</x:v>
      </x:c>
      <x:c r="I27" s="24" t="str">
        <x:v>Unity built-in module / Editor terms</x:v>
      </x:c>
      <x:c r="J27" s="24" t="str">
        <x:v>Pending consolidated THIRD_PARTY_NOTICES verification</x:v>
      </x:c>
      <x:c r="K27" s="24" t="str">
        <x:v>Project dependency</x:v>
      </x:c>
      <x:c r="L27" s="24" t="str">
        <x:v>No local modification evidenced</x:v>
      </x:c>
      <x:c r="M27" s="24" t="str">
        <x:v>Per package/Unity terms in built player</x:v>
      </x:c>
      <x:c r="N27" s="24" t="str">
        <x:v>Per package license/NOTICE</x:v>
      </x:c>
      <x:c r="O27" s="24" t="str">
        <x:v>ACTIVE / NOTICE REVIEW</x:v>
      </x:c>
      <x:c r="P27" s="24" t="str">
        <x:v>Low</x:v>
      </x:c>
      <x:c r="Q27" s="24" t="str">
        <x:v>Release and package update review</x:v>
      </x:c>
      <x:c r="R27" s="24" t="str">
        <x:v>VRM Games</x:v>
      </x:c>
      <x:c r="S27" s="24" t="str">
        <x:v>source=builtin; depth=0; deps=</x:v>
      </x:c>
    </x:row>
    <x:row r="28" ht="34" customHeight="1">
      <x:c r="A28" s="24" t="str">
        <x:v>PKG-021</x:v>
      </x:c>
      <x:c r="B28" s="24" t="str">
        <x:v>com.unity.modules.imgui</x:v>
      </x:c>
      <x:c r="C28" s="24" t="str">
        <x:v>com.unity.modules.imgui</x:v>
      </x:c>
      <x:c r="D28" s="24" t="str">
        <x:v>1.0.0</x:v>
      </x:c>
      <x:c r="E28" s="24" t="str">
        <x:v>Unity package - built-in</x:v>
      </x:c>
      <x:c r="F28" s="24" t="str">
        <x:v>Sí</x:v>
      </x:c>
      <x:c r="G28" s="24" t="str">
        <x:v>Unity Technologies / package publisher</x:v>
      </x:c>
      <x:c r="H28" s="24" t="str">
        <x:v>Packages/manifest.json; Packages/packages-lock.json</x:v>
      </x:c>
      <x:c r="I28" s="24" t="str">
        <x:v>Unity built-in module / Editor terms</x:v>
      </x:c>
      <x:c r="J28" s="24" t="str">
        <x:v>Pending consolidated THIRD_PARTY_NOTICES verification</x:v>
      </x:c>
      <x:c r="K28" s="24" t="str">
        <x:v>Project dependency</x:v>
      </x:c>
      <x:c r="L28" s="24" t="str">
        <x:v>No local modification evidenced</x:v>
      </x:c>
      <x:c r="M28" s="24" t="str">
        <x:v>Per package/Unity terms in built player</x:v>
      </x:c>
      <x:c r="N28" s="24" t="str">
        <x:v>Per package license/NOTICE</x:v>
      </x:c>
      <x:c r="O28" s="24" t="str">
        <x:v>ACTIVE / NOTICE REVIEW</x:v>
      </x:c>
      <x:c r="P28" s="24" t="str">
        <x:v>Low</x:v>
      </x:c>
      <x:c r="Q28" s="24" t="str">
        <x:v>Release and package update review</x:v>
      </x:c>
      <x:c r="R28" s="24" t="str">
        <x:v>VRM Games</x:v>
      </x:c>
      <x:c r="S28" s="24" t="str">
        <x:v>source=builtin; depth=0; deps=</x:v>
      </x:c>
    </x:row>
    <x:row r="29" ht="34" customHeight="1">
      <x:c r="A29" s="24" t="str">
        <x:v>PKG-022</x:v>
      </x:c>
      <x:c r="B29" s="24" t="str">
        <x:v>com.unity.modules.jsonserialize</x:v>
      </x:c>
      <x:c r="C29" s="24" t="str">
        <x:v>com.unity.modules.jsonserialize</x:v>
      </x:c>
      <x:c r="D29" s="24" t="str">
        <x:v>1.0.0</x:v>
      </x:c>
      <x:c r="E29" s="24" t="str">
        <x:v>Unity package - built-in</x:v>
      </x:c>
      <x:c r="F29" s="24" t="str">
        <x:v>Sí</x:v>
      </x:c>
      <x:c r="G29" s="24" t="str">
        <x:v>Unity Technologies / package publisher</x:v>
      </x:c>
      <x:c r="H29" s="24" t="str">
        <x:v>Packages/manifest.json; Packages/packages-lock.json</x:v>
      </x:c>
      <x:c r="I29" s="24" t="str">
        <x:v>Unity built-in module / Editor terms</x:v>
      </x:c>
      <x:c r="J29" s="24" t="str">
        <x:v>Pending consolidated THIRD_PARTY_NOTICES verification</x:v>
      </x:c>
      <x:c r="K29" s="24" t="str">
        <x:v>Project dependency</x:v>
      </x:c>
      <x:c r="L29" s="24" t="str">
        <x:v>No local modification evidenced</x:v>
      </x:c>
      <x:c r="M29" s="24" t="str">
        <x:v>Per package/Unity terms in built player</x:v>
      </x:c>
      <x:c r="N29" s="24" t="str">
        <x:v>Per package license/NOTICE</x:v>
      </x:c>
      <x:c r="O29" s="24" t="str">
        <x:v>ACTIVE / NOTICE REVIEW</x:v>
      </x:c>
      <x:c r="P29" s="24" t="str">
        <x:v>Low</x:v>
      </x:c>
      <x:c r="Q29" s="24" t="str">
        <x:v>Release and package update review</x:v>
      </x:c>
      <x:c r="R29" s="24" t="str">
        <x:v>VRM Games</x:v>
      </x:c>
      <x:c r="S29" s="24" t="str">
        <x:v>source=builtin; depth=0; deps=</x:v>
      </x:c>
    </x:row>
    <x:row r="30" ht="34" customHeight="1">
      <x:c r="A30" s="24" t="str">
        <x:v>PKG-023</x:v>
      </x:c>
      <x:c r="B30" s="24" t="str">
        <x:v>com.unity.modules.particlesystem</x:v>
      </x:c>
      <x:c r="C30" s="24" t="str">
        <x:v>com.unity.modules.particlesystem</x:v>
      </x:c>
      <x:c r="D30" s="24" t="str">
        <x:v>1.0.0</x:v>
      </x:c>
      <x:c r="E30" s="24" t="str">
        <x:v>Unity package - built-in</x:v>
      </x:c>
      <x:c r="F30" s="24" t="str">
        <x:v>Sí</x:v>
      </x:c>
      <x:c r="G30" s="24" t="str">
        <x:v>Unity Technologies / package publisher</x:v>
      </x:c>
      <x:c r="H30" s="24" t="str">
        <x:v>Packages/manifest.json; Packages/packages-lock.json</x:v>
      </x:c>
      <x:c r="I30" s="24" t="str">
        <x:v>Unity built-in module / Editor terms</x:v>
      </x:c>
      <x:c r="J30" s="24" t="str">
        <x:v>Pending consolidated THIRD_PARTY_NOTICES verification</x:v>
      </x:c>
      <x:c r="K30" s="24" t="str">
        <x:v>Project dependency</x:v>
      </x:c>
      <x:c r="L30" s="24" t="str">
        <x:v>No local modification evidenced</x:v>
      </x:c>
      <x:c r="M30" s="24" t="str">
        <x:v>Per package/Unity terms in built player</x:v>
      </x:c>
      <x:c r="N30" s="24" t="str">
        <x:v>Per package license/NOTICE</x:v>
      </x:c>
      <x:c r="O30" s="24" t="str">
        <x:v>ACTIVE / NOTICE REVIEW</x:v>
      </x:c>
      <x:c r="P30" s="24" t="str">
        <x:v>Low</x:v>
      </x:c>
      <x:c r="Q30" s="24" t="str">
        <x:v>Release and package update review</x:v>
      </x:c>
      <x:c r="R30" s="24" t="str">
        <x:v>VRM Games</x:v>
      </x:c>
      <x:c r="S30" s="24" t="str">
        <x:v>source=builtin; depth=0; deps=</x:v>
      </x:c>
    </x:row>
    <x:row r="31" ht="34" customHeight="1">
      <x:c r="A31" s="24" t="str">
        <x:v>PKG-024</x:v>
      </x:c>
      <x:c r="B31" s="24" t="str">
        <x:v>com.unity.modules.physics</x:v>
      </x:c>
      <x:c r="C31" s="24" t="str">
        <x:v>com.unity.modules.physics</x:v>
      </x:c>
      <x:c r="D31" s="24" t="str">
        <x:v>1.0.0</x:v>
      </x:c>
      <x:c r="E31" s="24" t="str">
        <x:v>Unity package - built-in</x:v>
      </x:c>
      <x:c r="F31" s="24" t="str">
        <x:v>Sí</x:v>
      </x:c>
      <x:c r="G31" s="24" t="str">
        <x:v>Unity Technologies / package publisher</x:v>
      </x:c>
      <x:c r="H31" s="24" t="str">
        <x:v>Packages/manifest.json; Packages/packages-lock.json</x:v>
      </x:c>
      <x:c r="I31" s="24" t="str">
        <x:v>Unity built-in module / Editor terms</x:v>
      </x:c>
      <x:c r="J31" s="24" t="str">
        <x:v>Pending consolidated THIRD_PARTY_NOTICES verification</x:v>
      </x:c>
      <x:c r="K31" s="24" t="str">
        <x:v>Project dependency</x:v>
      </x:c>
      <x:c r="L31" s="24" t="str">
        <x:v>No local modification evidenced</x:v>
      </x:c>
      <x:c r="M31" s="24" t="str">
        <x:v>Per package/Unity terms in built player</x:v>
      </x:c>
      <x:c r="N31" s="24" t="str">
        <x:v>Per package license/NOTICE</x:v>
      </x:c>
      <x:c r="O31" s="24" t="str">
        <x:v>ACTIVE / NOTICE REVIEW</x:v>
      </x:c>
      <x:c r="P31" s="24" t="str">
        <x:v>Low</x:v>
      </x:c>
      <x:c r="Q31" s="24" t="str">
        <x:v>Release and package update review</x:v>
      </x:c>
      <x:c r="R31" s="24" t="str">
        <x:v>VRM Games</x:v>
      </x:c>
      <x:c r="S31" s="24" t="str">
        <x:v>source=builtin; depth=0; deps=</x:v>
      </x:c>
    </x:row>
    <x:row r="32" ht="34" customHeight="1">
      <x:c r="A32" s="24" t="str">
        <x:v>PKG-025</x:v>
      </x:c>
      <x:c r="B32" s="24" t="str">
        <x:v>com.unity.modules.physics2d</x:v>
      </x:c>
      <x:c r="C32" s="24" t="str">
        <x:v>com.unity.modules.physics2d</x:v>
      </x:c>
      <x:c r="D32" s="24" t="str">
        <x:v>1.0.0</x:v>
      </x:c>
      <x:c r="E32" s="24" t="str">
        <x:v>Unity package - built-in</x:v>
      </x:c>
      <x:c r="F32" s="24" t="str">
        <x:v>Sí</x:v>
      </x:c>
      <x:c r="G32" s="24" t="str">
        <x:v>Unity Technologies / package publisher</x:v>
      </x:c>
      <x:c r="H32" s="24" t="str">
        <x:v>Packages/manifest.json; Packages/packages-lock.json</x:v>
      </x:c>
      <x:c r="I32" s="24" t="str">
        <x:v>Unity built-in module / Editor terms</x:v>
      </x:c>
      <x:c r="J32" s="24" t="str">
        <x:v>Pending consolidated THIRD_PARTY_NOTICES verification</x:v>
      </x:c>
      <x:c r="K32" s="24" t="str">
        <x:v>Project dependency</x:v>
      </x:c>
      <x:c r="L32" s="24" t="str">
        <x:v>No local modification evidenced</x:v>
      </x:c>
      <x:c r="M32" s="24" t="str">
        <x:v>Per package/Unity terms in built player</x:v>
      </x:c>
      <x:c r="N32" s="24" t="str">
        <x:v>Per package license/NOTICE</x:v>
      </x:c>
      <x:c r="O32" s="24" t="str">
        <x:v>ACTIVE / NOTICE REVIEW</x:v>
      </x:c>
      <x:c r="P32" s="24" t="str">
        <x:v>Low</x:v>
      </x:c>
      <x:c r="Q32" s="24" t="str">
        <x:v>Release and package update review</x:v>
      </x:c>
      <x:c r="R32" s="24" t="str">
        <x:v>VRM Games</x:v>
      </x:c>
      <x:c r="S32" s="24" t="str">
        <x:v>source=builtin; depth=0; deps=</x:v>
      </x:c>
    </x:row>
    <x:row r="33" ht="34" customHeight="1">
      <x:c r="A33" s="24" t="str">
        <x:v>PKG-026</x:v>
      </x:c>
      <x:c r="B33" s="24" t="str">
        <x:v>com.unity.modules.screencapture</x:v>
      </x:c>
      <x:c r="C33" s="24" t="str">
        <x:v>com.unity.modules.screencapture</x:v>
      </x:c>
      <x:c r="D33" s="24" t="str">
        <x:v>1.0.0</x:v>
      </x:c>
      <x:c r="E33" s="24" t="str">
        <x:v>Unity package - built-in</x:v>
      </x:c>
      <x:c r="F33" s="24" t="str">
        <x:v>Sí</x:v>
      </x:c>
      <x:c r="G33" s="24" t="str">
        <x:v>Unity Technologies / package publisher</x:v>
      </x:c>
      <x:c r="H33" s="24" t="str">
        <x:v>Packages/manifest.json; Packages/packages-lock.json</x:v>
      </x:c>
      <x:c r="I33" s="24" t="str">
        <x:v>Unity built-in module / Editor terms</x:v>
      </x:c>
      <x:c r="J33" s="24" t="str">
        <x:v>Pending consolidated THIRD_PARTY_NOTICES verification</x:v>
      </x:c>
      <x:c r="K33" s="24" t="str">
        <x:v>Project dependency</x:v>
      </x:c>
      <x:c r="L33" s="24" t="str">
        <x:v>No local modification evidenced</x:v>
      </x:c>
      <x:c r="M33" s="24" t="str">
        <x:v>Per package/Unity terms in built player</x:v>
      </x:c>
      <x:c r="N33" s="24" t="str">
        <x:v>Per package license/NOTICE</x:v>
      </x:c>
      <x:c r="O33" s="24" t="str">
        <x:v>ACTIVE / NOTICE REVIEW</x:v>
      </x:c>
      <x:c r="P33" s="24" t="str">
        <x:v>Low</x:v>
      </x:c>
      <x:c r="Q33" s="24" t="str">
        <x:v>Release and package update review</x:v>
      </x:c>
      <x:c r="R33" s="24" t="str">
        <x:v>VRM Games</x:v>
      </x:c>
      <x:c r="S33" s="24" t="str">
        <x:v>source=builtin; depth=0; deps=com.unity.modules.imageconversion@1.0.0</x:v>
      </x:c>
    </x:row>
    <x:row r="34" ht="34" customHeight="1">
      <x:c r="A34" s="24" t="str">
        <x:v>PKG-027</x:v>
      </x:c>
      <x:c r="B34" s="24" t="str">
        <x:v>com.unity.modules.subsystems</x:v>
      </x:c>
      <x:c r="C34" s="24" t="str">
        <x:v>com.unity.modules.subsystems</x:v>
      </x:c>
      <x:c r="D34" s="24" t="str">
        <x:v>1.0.0</x:v>
      </x:c>
      <x:c r="E34" s="24" t="str">
        <x:v>Unity package - built-in</x:v>
      </x:c>
      <x:c r="F34" s="24" t="str">
        <x:v>Transitivo</x:v>
      </x:c>
      <x:c r="G34" s="24" t="str">
        <x:v>Unity Technologies / package publisher</x:v>
      </x:c>
      <x:c r="H34" s="24" t="str">
        <x:v>Packages/manifest.json; Packages/packages-lock.json</x:v>
      </x:c>
      <x:c r="I34" s="24" t="str">
        <x:v>Unity built-in module / Editor terms</x:v>
      </x:c>
      <x:c r="J34" s="24" t="str">
        <x:v>Pending consolidated THIRD_PARTY_NOTICES verification</x:v>
      </x:c>
      <x:c r="K34" s="24" t="str">
        <x:v>Project dependency</x:v>
      </x:c>
      <x:c r="L34" s="24" t="str">
        <x:v>No local modification evidenced</x:v>
      </x:c>
      <x:c r="M34" s="24" t="str">
        <x:v>Per package/Unity terms in built player</x:v>
      </x:c>
      <x:c r="N34" s="24" t="str">
        <x:v>Per package license/NOTICE</x:v>
      </x:c>
      <x:c r="O34" s="24" t="str">
        <x:v>ACTIVE / NOTICE REVIEW</x:v>
      </x:c>
      <x:c r="P34" s="24" t="str">
        <x:v>Low</x:v>
      </x:c>
      <x:c r="Q34" s="24" t="str">
        <x:v>Release and package update review</x:v>
      </x:c>
      <x:c r="R34" s="24" t="str">
        <x:v>VRM Games</x:v>
      </x:c>
      <x:c r="S34" s="24" t="str">
        <x:v>source=builtin; depth=1; deps=com.unity.modules.jsonserialize@1.0.0</x:v>
      </x:c>
    </x:row>
    <x:row r="35" ht="34" customHeight="1">
      <x:c r="A35" s="24" t="str">
        <x:v>PKG-028</x:v>
      </x:c>
      <x:c r="B35" s="24" t="str">
        <x:v>com.unity.modules.terrain</x:v>
      </x:c>
      <x:c r="C35" s="24" t="str">
        <x:v>com.unity.modules.terrain</x:v>
      </x:c>
      <x:c r="D35" s="24" t="str">
        <x:v>1.0.0</x:v>
      </x:c>
      <x:c r="E35" s="24" t="str">
        <x:v>Unity package - built-in</x:v>
      </x:c>
      <x:c r="F35" s="24" t="str">
        <x:v>Sí</x:v>
      </x:c>
      <x:c r="G35" s="24" t="str">
        <x:v>Unity Technologies / package publisher</x:v>
      </x:c>
      <x:c r="H35" s="24" t="str">
        <x:v>Packages/manifest.json; Packages/packages-lock.json</x:v>
      </x:c>
      <x:c r="I35" s="24" t="str">
        <x:v>Unity built-in module / Editor terms</x:v>
      </x:c>
      <x:c r="J35" s="24" t="str">
        <x:v>Pending consolidated THIRD_PARTY_NOTICES verification</x:v>
      </x:c>
      <x:c r="K35" s="24" t="str">
        <x:v>Project dependency</x:v>
      </x:c>
      <x:c r="L35" s="24" t="str">
        <x:v>No local modification evidenced</x:v>
      </x:c>
      <x:c r="M35" s="24" t="str">
        <x:v>Per package/Unity terms in built player</x:v>
      </x:c>
      <x:c r="N35" s="24" t="str">
        <x:v>Per package license/NOTICE</x:v>
      </x:c>
      <x:c r="O35" s="24" t="str">
        <x:v>ACTIVE / NOTICE REVIEW</x:v>
      </x:c>
      <x:c r="P35" s="24" t="str">
        <x:v>Low</x:v>
      </x:c>
      <x:c r="Q35" s="24" t="str">
        <x:v>Release and package update review</x:v>
      </x:c>
      <x:c r="R35" s="24" t="str">
        <x:v>VRM Games</x:v>
      </x:c>
      <x:c r="S35" s="24" t="str">
        <x:v>source=builtin; depth=0; deps=</x:v>
      </x:c>
    </x:row>
    <x:row r="36" ht="34" customHeight="1">
      <x:c r="A36" s="24" t="str">
        <x:v>PKG-029</x:v>
      </x:c>
      <x:c r="B36" s="24" t="str">
        <x:v>com.unity.modules.terrainphysics</x:v>
      </x:c>
      <x:c r="C36" s="24" t="str">
        <x:v>com.unity.modules.terrainphysics</x:v>
      </x:c>
      <x:c r="D36" s="24" t="str">
        <x:v>1.0.0</x:v>
      </x:c>
      <x:c r="E36" s="24" t="str">
        <x:v>Unity package - built-in</x:v>
      </x:c>
      <x:c r="F36" s="24" t="str">
        <x:v>Sí</x:v>
      </x:c>
      <x:c r="G36" s="24" t="str">
        <x:v>Unity Technologies / package publisher</x:v>
      </x:c>
      <x:c r="H36" s="24" t="str">
        <x:v>Packages/manifest.json; Packages/packages-lock.json</x:v>
      </x:c>
      <x:c r="I36" s="24" t="str">
        <x:v>Unity built-in module / Editor terms</x:v>
      </x:c>
      <x:c r="J36" s="24" t="str">
        <x:v>Pending consolidated THIRD_PARTY_NOTICES verification</x:v>
      </x:c>
      <x:c r="K36" s="24" t="str">
        <x:v>Project dependency</x:v>
      </x:c>
      <x:c r="L36" s="24" t="str">
        <x:v>No local modification evidenced</x:v>
      </x:c>
      <x:c r="M36" s="24" t="str">
        <x:v>Per package/Unity terms in built player</x:v>
      </x:c>
      <x:c r="N36" s="24" t="str">
        <x:v>Per package license/NOTICE</x:v>
      </x:c>
      <x:c r="O36" s="24" t="str">
        <x:v>ACTIVE / NOTICE REVIEW</x:v>
      </x:c>
      <x:c r="P36" s="24" t="str">
        <x:v>Low</x:v>
      </x:c>
      <x:c r="Q36" s="24" t="str">
        <x:v>Release and package update review</x:v>
      </x:c>
      <x:c r="R36" s="24" t="str">
        <x:v>VRM Games</x:v>
      </x:c>
      <x:c r="S36" s="24" t="str">
        <x:v>source=builtin; depth=0; deps=com.unity.modules.physics@1.0.0; com.unity.modules.terrain@1.0.0</x:v>
      </x:c>
    </x:row>
    <x:row r="37" ht="34" customHeight="1">
      <x:c r="A37" s="24" t="str">
        <x:v>PKG-030</x:v>
      </x:c>
      <x:c r="B37" s="24" t="str">
        <x:v>com.unity.modules.tilemap</x:v>
      </x:c>
      <x:c r="C37" s="24" t="str">
        <x:v>com.unity.modules.tilemap</x:v>
      </x:c>
      <x:c r="D37" s="24" t="str">
        <x:v>1.0.0</x:v>
      </x:c>
      <x:c r="E37" s="24" t="str">
        <x:v>Unity package - built-in</x:v>
      </x:c>
      <x:c r="F37" s="24" t="str">
        <x:v>Sí</x:v>
      </x:c>
      <x:c r="G37" s="24" t="str">
        <x:v>Unity Technologies / package publisher</x:v>
      </x:c>
      <x:c r="H37" s="24" t="str">
        <x:v>Packages/manifest.json; Packages/packages-lock.json</x:v>
      </x:c>
      <x:c r="I37" s="24" t="str">
        <x:v>Unity built-in module / Editor terms</x:v>
      </x:c>
      <x:c r="J37" s="24" t="str">
        <x:v>Pending consolidated THIRD_PARTY_NOTICES verification</x:v>
      </x:c>
      <x:c r="K37" s="24" t="str">
        <x:v>Project dependency</x:v>
      </x:c>
      <x:c r="L37" s="24" t="str">
        <x:v>No local modification evidenced</x:v>
      </x:c>
      <x:c r="M37" s="24" t="str">
        <x:v>Per package/Unity terms in built player</x:v>
      </x:c>
      <x:c r="N37" s="24" t="str">
        <x:v>Per package license/NOTICE</x:v>
      </x:c>
      <x:c r="O37" s="24" t="str">
        <x:v>ACTIVE / NOTICE REVIEW</x:v>
      </x:c>
      <x:c r="P37" s="24" t="str">
        <x:v>Low</x:v>
      </x:c>
      <x:c r="Q37" s="24" t="str">
        <x:v>Release and package update review</x:v>
      </x:c>
      <x:c r="R37" s="24" t="str">
        <x:v>VRM Games</x:v>
      </x:c>
      <x:c r="S37" s="24" t="str">
        <x:v>source=builtin; depth=0; deps=com.unity.modules.physics2d@1.0.0</x:v>
      </x:c>
    </x:row>
    <x:row r="38" ht="34" customHeight="1">
      <x:c r="A38" s="24" t="str">
        <x:v>PKG-031</x:v>
      </x:c>
      <x:c r="B38" s="24" t="str">
        <x:v>com.unity.modules.ui</x:v>
      </x:c>
      <x:c r="C38" s="24" t="str">
        <x:v>com.unity.modules.ui</x:v>
      </x:c>
      <x:c r="D38" s="24" t="str">
        <x:v>1.0.0</x:v>
      </x:c>
      <x:c r="E38" s="24" t="str">
        <x:v>Unity package - built-in</x:v>
      </x:c>
      <x:c r="F38" s="24" t="str">
        <x:v>Sí</x:v>
      </x:c>
      <x:c r="G38" s="24" t="str">
        <x:v>Unity Technologies / package publisher</x:v>
      </x:c>
      <x:c r="H38" s="24" t="str">
        <x:v>Packages/manifest.json; Packages/packages-lock.json</x:v>
      </x:c>
      <x:c r="I38" s="24" t="str">
        <x:v>Unity built-in module / Editor terms</x:v>
      </x:c>
      <x:c r="J38" s="24" t="str">
        <x:v>Pending consolidated THIRD_PARTY_NOTICES verification</x:v>
      </x:c>
      <x:c r="K38" s="24" t="str">
        <x:v>Project dependency</x:v>
      </x:c>
      <x:c r="L38" s="24" t="str">
        <x:v>No local modification evidenced</x:v>
      </x:c>
      <x:c r="M38" s="24" t="str">
        <x:v>Per package/Unity terms in built player</x:v>
      </x:c>
      <x:c r="N38" s="24" t="str">
        <x:v>Per package license/NOTICE</x:v>
      </x:c>
      <x:c r="O38" s="24" t="str">
        <x:v>ACTIVE / NOTICE REVIEW</x:v>
      </x:c>
      <x:c r="P38" s="24" t="str">
        <x:v>Low</x:v>
      </x:c>
      <x:c r="Q38" s="24" t="str">
        <x:v>Release and package update review</x:v>
      </x:c>
      <x:c r="R38" s="24" t="str">
        <x:v>VRM Games</x:v>
      </x:c>
      <x:c r="S38" s="24" t="str">
        <x:v>source=builtin; depth=0; deps=</x:v>
      </x:c>
    </x:row>
    <x:row r="39" ht="34" customHeight="1">
      <x:c r="A39" s="24" t="str">
        <x:v>PKG-032</x:v>
      </x:c>
      <x:c r="B39" s="24" t="str">
        <x:v>com.unity.modules.uielements</x:v>
      </x:c>
      <x:c r="C39" s="24" t="str">
        <x:v>com.unity.modules.uielements</x:v>
      </x:c>
      <x:c r="D39" s="24" t="str">
        <x:v>1.0.0</x:v>
      </x:c>
      <x:c r="E39" s="24" t="str">
        <x:v>Unity package - built-in</x:v>
      </x:c>
      <x:c r="F39" s="24" t="str">
        <x:v>Sí</x:v>
      </x:c>
      <x:c r="G39" s="24" t="str">
        <x:v>Unity Technologies / package publisher</x:v>
      </x:c>
      <x:c r="H39" s="24" t="str">
        <x:v>Packages/manifest.json; Packages/packages-lock.json</x:v>
      </x:c>
      <x:c r="I39" s="24" t="str">
        <x:v>Unity built-in module / Editor terms</x:v>
      </x:c>
      <x:c r="J39" s="24" t="str">
        <x:v>Pending consolidated THIRD_PARTY_NOTICES verification</x:v>
      </x:c>
      <x:c r="K39" s="24" t="str">
        <x:v>Project dependency</x:v>
      </x:c>
      <x:c r="L39" s="24" t="str">
        <x:v>No local modification evidenced</x:v>
      </x:c>
      <x:c r="M39" s="24" t="str">
        <x:v>Per package/Unity terms in built player</x:v>
      </x:c>
      <x:c r="N39" s="24" t="str">
        <x:v>Per package license/NOTICE</x:v>
      </x:c>
      <x:c r="O39" s="24" t="str">
        <x:v>ACTIVE / NOTICE REVIEW</x:v>
      </x:c>
      <x:c r="P39" s="24" t="str">
        <x:v>Low</x:v>
      </x:c>
      <x:c r="Q39" s="24" t="str">
        <x:v>Release and package update review</x:v>
      </x:c>
      <x:c r="R39" s="24" t="str">
        <x:v>VRM Games</x:v>
      </x:c>
      <x:c r="S39" s="24" t="str">
        <x:v>source=builtin; depth=0; deps=com.unity.modules.hierarchycore@1.0.0; com.unity.modules.imgui@1.0.0; com.unity.modules.jsonserialize@1.0.0; com.unity.modules.physics@1.0.0; com.unity.modules.ui@1.0.0</x:v>
      </x:c>
    </x:row>
    <x:row r="40" ht="34" customHeight="1">
      <x:c r="A40" s="24" t="str">
        <x:v>PKG-033</x:v>
      </x:c>
      <x:c r="B40" s="24" t="str">
        <x:v>com.unity.modules.umbra</x:v>
      </x:c>
      <x:c r="C40" s="24" t="str">
        <x:v>com.unity.modules.umbra</x:v>
      </x:c>
      <x:c r="D40" s="24" t="str">
        <x:v>1.0.0</x:v>
      </x:c>
      <x:c r="E40" s="24" t="str">
        <x:v>Unity package - built-in</x:v>
      </x:c>
      <x:c r="F40" s="24" t="str">
        <x:v>Sí</x:v>
      </x:c>
      <x:c r="G40" s="24" t="str">
        <x:v>Unity Technologies / package publisher</x:v>
      </x:c>
      <x:c r="H40" s="24" t="str">
        <x:v>Packages/manifest.json; Packages/packages-lock.json</x:v>
      </x:c>
      <x:c r="I40" s="24" t="str">
        <x:v>Unity built-in module / Editor terms</x:v>
      </x:c>
      <x:c r="J40" s="24" t="str">
        <x:v>Pending consolidated THIRD_PARTY_NOTICES verification</x:v>
      </x:c>
      <x:c r="K40" s="24" t="str">
        <x:v>Project dependency</x:v>
      </x:c>
      <x:c r="L40" s="24" t="str">
        <x:v>No local modification evidenced</x:v>
      </x:c>
      <x:c r="M40" s="24" t="str">
        <x:v>Per package/Unity terms in built player</x:v>
      </x:c>
      <x:c r="N40" s="24" t="str">
        <x:v>Per package license/NOTICE</x:v>
      </x:c>
      <x:c r="O40" s="24" t="str">
        <x:v>ACTIVE / NOTICE REVIEW</x:v>
      </x:c>
      <x:c r="P40" s="24" t="str">
        <x:v>Low</x:v>
      </x:c>
      <x:c r="Q40" s="24" t="str">
        <x:v>Release and package update review</x:v>
      </x:c>
      <x:c r="R40" s="24" t="str">
        <x:v>VRM Games</x:v>
      </x:c>
      <x:c r="S40" s="24" t="str">
        <x:v>source=builtin; depth=0; deps=</x:v>
      </x:c>
    </x:row>
    <x:row r="41" ht="34" customHeight="1">
      <x:c r="A41" s="24" t="str">
        <x:v>PKG-034</x:v>
      </x:c>
      <x:c r="B41" s="24" t="str">
        <x:v>com.unity.modules.unityanalytics</x:v>
      </x:c>
      <x:c r="C41" s="24" t="str">
        <x:v>com.unity.modules.unityanalytics</x:v>
      </x:c>
      <x:c r="D41" s="24" t="str">
        <x:v>1.0.0</x:v>
      </x:c>
      <x:c r="E41" s="24" t="str">
        <x:v>Unity package - built-in</x:v>
      </x:c>
      <x:c r="F41" s="24" t="str">
        <x:v>Sí</x:v>
      </x:c>
      <x:c r="G41" s="24" t="str">
        <x:v>Unity Technologies / package publisher</x:v>
      </x:c>
      <x:c r="H41" s="24" t="str">
        <x:v>Packages/manifest.json; Packages/packages-lock.json</x:v>
      </x:c>
      <x:c r="I41" s="24" t="str">
        <x:v>Unity built-in module / Editor terms</x:v>
      </x:c>
      <x:c r="J41" s="24" t="str">
        <x:v>Pending consolidated THIRD_PARTY_NOTICES verification</x:v>
      </x:c>
      <x:c r="K41" s="24" t="str">
        <x:v>Project dependency</x:v>
      </x:c>
      <x:c r="L41" s="24" t="str">
        <x:v>No local modification evidenced</x:v>
      </x:c>
      <x:c r="M41" s="24" t="str">
        <x:v>Per package/Unity terms in built player</x:v>
      </x:c>
      <x:c r="N41" s="24" t="str">
        <x:v>Per package license/NOTICE</x:v>
      </x:c>
      <x:c r="O41" s="24" t="str">
        <x:v>ACTIVE / NOTICE REVIEW</x:v>
      </x:c>
      <x:c r="P41" s="24" t="str">
        <x:v>Low</x:v>
      </x:c>
      <x:c r="Q41" s="24" t="str">
        <x:v>Release and package update review</x:v>
      </x:c>
      <x:c r="R41" s="24" t="str">
        <x:v>VRM Games</x:v>
      </x:c>
      <x:c r="S41" s="24" t="str">
        <x:v>source=builtin; depth=0; deps=com.unity.modules.jsonserialize@1.0.0; com.unity.modules.unitywebrequest@1.0.0</x:v>
      </x:c>
    </x:row>
    <x:row r="42" ht="34" customHeight="1">
      <x:c r="A42" s="24" t="str">
        <x:v>PKG-035</x:v>
      </x:c>
      <x:c r="B42" s="24" t="str">
        <x:v>com.unity.modules.unitywebrequest</x:v>
      </x:c>
      <x:c r="C42" s="24" t="str">
        <x:v>com.unity.modules.unitywebrequest</x:v>
      </x:c>
      <x:c r="D42" s="24" t="str">
        <x:v>1.0.0</x:v>
      </x:c>
      <x:c r="E42" s="24" t="str">
        <x:v>Unity package - built-in</x:v>
      </x:c>
      <x:c r="F42" s="24" t="str">
        <x:v>Sí</x:v>
      </x:c>
      <x:c r="G42" s="24" t="str">
        <x:v>Unity Technologies / package publisher</x:v>
      </x:c>
      <x:c r="H42" s="24" t="str">
        <x:v>Packages/manifest.json; Packages/packages-lock.json</x:v>
      </x:c>
      <x:c r="I42" s="24" t="str">
        <x:v>Unity built-in module / Editor terms</x:v>
      </x:c>
      <x:c r="J42" s="24" t="str">
        <x:v>Pending consolidated THIRD_PARTY_NOTICES verification</x:v>
      </x:c>
      <x:c r="K42" s="24" t="str">
        <x:v>Project dependency</x:v>
      </x:c>
      <x:c r="L42" s="24" t="str">
        <x:v>No local modification evidenced</x:v>
      </x:c>
      <x:c r="M42" s="24" t="str">
        <x:v>Per package/Unity terms in built player</x:v>
      </x:c>
      <x:c r="N42" s="24" t="str">
        <x:v>Per package license/NOTICE</x:v>
      </x:c>
      <x:c r="O42" s="24" t="str">
        <x:v>ACTIVE / NOTICE REVIEW</x:v>
      </x:c>
      <x:c r="P42" s="24" t="str">
        <x:v>Low</x:v>
      </x:c>
      <x:c r="Q42" s="24" t="str">
        <x:v>Release and package update review</x:v>
      </x:c>
      <x:c r="R42" s="24" t="str">
        <x:v>VRM Games</x:v>
      </x:c>
      <x:c r="S42" s="24" t="str">
        <x:v>source=builtin; depth=0; deps=</x:v>
      </x:c>
    </x:row>
    <x:row r="43" ht="34" customHeight="1">
      <x:c r="A43" s="24" t="str">
        <x:v>PKG-036</x:v>
      </x:c>
      <x:c r="B43" s="24" t="str">
        <x:v>com.unity.modules.unitywebrequestassetbundle</x:v>
      </x:c>
      <x:c r="C43" s="24" t="str">
        <x:v>com.unity.modules.unitywebrequestassetbundle</x:v>
      </x:c>
      <x:c r="D43" s="24" t="str">
        <x:v>1.0.0</x:v>
      </x:c>
      <x:c r="E43" s="24" t="str">
        <x:v>Unity package - built-in</x:v>
      </x:c>
      <x:c r="F43" s="24" t="str">
        <x:v>Sí</x:v>
      </x:c>
      <x:c r="G43" s="24" t="str">
        <x:v>Unity Technologies / package publisher</x:v>
      </x:c>
      <x:c r="H43" s="24" t="str">
        <x:v>Packages/manifest.json; Packages/packages-lock.json</x:v>
      </x:c>
      <x:c r="I43" s="24" t="str">
        <x:v>Unity built-in module / Editor terms</x:v>
      </x:c>
      <x:c r="J43" s="24" t="str">
        <x:v>Pending consolidated THIRD_PARTY_NOTICES verification</x:v>
      </x:c>
      <x:c r="K43" s="24" t="str">
        <x:v>Project dependency</x:v>
      </x:c>
      <x:c r="L43" s="24" t="str">
        <x:v>No local modification evidenced</x:v>
      </x:c>
      <x:c r="M43" s="24" t="str">
        <x:v>Per package/Unity terms in built player</x:v>
      </x:c>
      <x:c r="N43" s="24" t="str">
        <x:v>Per package license/NOTICE</x:v>
      </x:c>
      <x:c r="O43" s="24" t="str">
        <x:v>ACTIVE / NOTICE REVIEW</x:v>
      </x:c>
      <x:c r="P43" s="24" t="str">
        <x:v>Low</x:v>
      </x:c>
      <x:c r="Q43" s="24" t="str">
        <x:v>Release and package update review</x:v>
      </x:c>
      <x:c r="R43" s="24" t="str">
        <x:v>VRM Games</x:v>
      </x:c>
      <x:c r="S43" s="24" t="str">
        <x:v>source=builtin; depth=0; deps=com.unity.modules.assetbundle@1.0.0; com.unity.modules.unitywebrequest@1.0.0</x:v>
      </x:c>
    </x:row>
    <x:row r="44" ht="34" customHeight="1">
      <x:c r="A44" s="24" t="str">
        <x:v>PKG-037</x:v>
      </x:c>
      <x:c r="B44" s="24" t="str">
        <x:v>com.unity.modules.unitywebrequestaudio</x:v>
      </x:c>
      <x:c r="C44" s="24" t="str">
        <x:v>com.unity.modules.unitywebrequestaudio</x:v>
      </x:c>
      <x:c r="D44" s="24" t="str">
        <x:v>1.0.0</x:v>
      </x:c>
      <x:c r="E44" s="24" t="str">
        <x:v>Unity package - built-in</x:v>
      </x:c>
      <x:c r="F44" s="24" t="str">
        <x:v>Sí</x:v>
      </x:c>
      <x:c r="G44" s="24" t="str">
        <x:v>Unity Technologies / package publisher</x:v>
      </x:c>
      <x:c r="H44" s="24" t="str">
        <x:v>Packages/manifest.json; Packages/packages-lock.json</x:v>
      </x:c>
      <x:c r="I44" s="24" t="str">
        <x:v>Unity built-in module / Editor terms</x:v>
      </x:c>
      <x:c r="J44" s="24" t="str">
        <x:v>Pending consolidated THIRD_PARTY_NOTICES verification</x:v>
      </x:c>
      <x:c r="K44" s="24" t="str">
        <x:v>Project dependency</x:v>
      </x:c>
      <x:c r="L44" s="24" t="str">
        <x:v>No local modification evidenced</x:v>
      </x:c>
      <x:c r="M44" s="24" t="str">
        <x:v>Per package/Unity terms in built player</x:v>
      </x:c>
      <x:c r="N44" s="24" t="str">
        <x:v>Per package license/NOTICE</x:v>
      </x:c>
      <x:c r="O44" s="24" t="str">
        <x:v>ACTIVE / NOTICE REVIEW</x:v>
      </x:c>
      <x:c r="P44" s="24" t="str">
        <x:v>Low</x:v>
      </x:c>
      <x:c r="Q44" s="24" t="str">
        <x:v>Release and package update review</x:v>
      </x:c>
      <x:c r="R44" s="24" t="str">
        <x:v>VRM Games</x:v>
      </x:c>
      <x:c r="S44" s="24" t="str">
        <x:v>source=builtin; depth=0; deps=com.unity.modules.audio@1.0.0; com.unity.modules.unitywebrequest@1.0.0</x:v>
      </x:c>
    </x:row>
    <x:row r="45" ht="34" customHeight="1">
      <x:c r="A45" s="24" t="str">
        <x:v>PKG-038</x:v>
      </x:c>
      <x:c r="B45" s="24" t="str">
        <x:v>com.unity.modules.unitywebrequesttexture</x:v>
      </x:c>
      <x:c r="C45" s="24" t="str">
        <x:v>com.unity.modules.unitywebrequesttexture</x:v>
      </x:c>
      <x:c r="D45" s="24" t="str">
        <x:v>1.0.0</x:v>
      </x:c>
      <x:c r="E45" s="24" t="str">
        <x:v>Unity package - built-in</x:v>
      </x:c>
      <x:c r="F45" s="24" t="str">
        <x:v>Sí</x:v>
      </x:c>
      <x:c r="G45" s="24" t="str">
        <x:v>Unity Technologies / package publisher</x:v>
      </x:c>
      <x:c r="H45" s="24" t="str">
        <x:v>Packages/manifest.json; Packages/packages-lock.json</x:v>
      </x:c>
      <x:c r="I45" s="24" t="str">
        <x:v>Unity built-in module / Editor terms</x:v>
      </x:c>
      <x:c r="J45" s="24" t="str">
        <x:v>Pending consolidated THIRD_PARTY_NOTICES verification</x:v>
      </x:c>
      <x:c r="K45" s="24" t="str">
        <x:v>Project dependency</x:v>
      </x:c>
      <x:c r="L45" s="24" t="str">
        <x:v>No local modification evidenced</x:v>
      </x:c>
      <x:c r="M45" s="24" t="str">
        <x:v>Per package/Unity terms in built player</x:v>
      </x:c>
      <x:c r="N45" s="24" t="str">
        <x:v>Per package license/NOTICE</x:v>
      </x:c>
      <x:c r="O45" s="24" t="str">
        <x:v>ACTIVE / NOTICE REVIEW</x:v>
      </x:c>
      <x:c r="P45" s="24" t="str">
        <x:v>Low</x:v>
      </x:c>
      <x:c r="Q45" s="24" t="str">
        <x:v>Release and package update review</x:v>
      </x:c>
      <x:c r="R45" s="24" t="str">
        <x:v>VRM Games</x:v>
      </x:c>
      <x:c r="S45" s="24" t="str">
        <x:v>source=builtin; depth=0; deps=com.unity.modules.imageconversion@1.0.0; com.unity.modules.unitywebrequest@1.0.0</x:v>
      </x:c>
    </x:row>
    <x:row r="46" ht="34" customHeight="1">
      <x:c r="A46" s="24" t="str">
        <x:v>PKG-039</x:v>
      </x:c>
      <x:c r="B46" s="24" t="str">
        <x:v>com.unity.modules.unitywebrequestwww</x:v>
      </x:c>
      <x:c r="C46" s="24" t="str">
        <x:v>com.unity.modules.unitywebrequestwww</x:v>
      </x:c>
      <x:c r="D46" s="24" t="str">
        <x:v>1.0.0</x:v>
      </x:c>
      <x:c r="E46" s="24" t="str">
        <x:v>Unity package - built-in</x:v>
      </x:c>
      <x:c r="F46" s="24" t="str">
        <x:v>Sí</x:v>
      </x:c>
      <x:c r="G46" s="24" t="str">
        <x:v>Unity Technologies / package publisher</x:v>
      </x:c>
      <x:c r="H46" s="24" t="str">
        <x:v>Packages/manifest.json; Packages/packages-lock.json</x:v>
      </x:c>
      <x:c r="I46" s="24" t="str">
        <x:v>Unity built-in module / Editor terms</x:v>
      </x:c>
      <x:c r="J46" s="24" t="str">
        <x:v>Pending consolidated THIRD_PARTY_NOTICES verification</x:v>
      </x:c>
      <x:c r="K46" s="24" t="str">
        <x:v>Project dependency</x:v>
      </x:c>
      <x:c r="L46" s="24" t="str">
        <x:v>No local modification evidenced</x:v>
      </x:c>
      <x:c r="M46" s="24" t="str">
        <x:v>Per package/Unity terms in built player</x:v>
      </x:c>
      <x:c r="N46" s="24" t="str">
        <x:v>Per package license/NOTICE</x:v>
      </x:c>
      <x:c r="O46" s="24" t="str">
        <x:v>ACTIVE / NOTICE REVIEW</x:v>
      </x:c>
      <x:c r="P46" s="24" t="str">
        <x:v>Low</x:v>
      </x:c>
      <x:c r="Q46" s="24" t="str">
        <x:v>Release and package update review</x:v>
      </x:c>
      <x:c r="R46" s="24" t="str">
        <x:v>VRM Games</x:v>
      </x:c>
      <x:c r="S46" s="24" t="str">
        <x:v>source=builtin; depth=0; deps=com.unity.modules.assetbundle@1.0.0; com.unity.modules.audio@1.0.0; com.unity.modules.imageconversion@1.0.0; com.unity.modules.unitywebrequest@1.0.0; com.unity.modules.unitywebrequestassetbundle@1.0.0; com.unity.modules.unitywebrequestaudio@1.0.0</x:v>
      </x:c>
    </x:row>
    <x:row r="47" ht="34" customHeight="1">
      <x:c r="A47" s="24" t="str">
        <x:v>PKG-040</x:v>
      </x:c>
      <x:c r="B47" s="24" t="str">
        <x:v>com.unity.modules.vectorgraphics</x:v>
      </x:c>
      <x:c r="C47" s="24" t="str">
        <x:v>com.unity.modules.vectorgraphics</x:v>
      </x:c>
      <x:c r="D47" s="24" t="str">
        <x:v>1.0.0</x:v>
      </x:c>
      <x:c r="E47" s="24" t="str">
        <x:v>Unity package - built-in</x:v>
      </x:c>
      <x:c r="F47" s="24" t="str">
        <x:v>Sí</x:v>
      </x:c>
      <x:c r="G47" s="24" t="str">
        <x:v>Unity Technologies / package publisher</x:v>
      </x:c>
      <x:c r="H47" s="24" t="str">
        <x:v>Packages/manifest.json; Packages/packages-lock.json</x:v>
      </x:c>
      <x:c r="I47" s="24" t="str">
        <x:v>Unity built-in module / Editor terms</x:v>
      </x:c>
      <x:c r="J47" s="24" t="str">
        <x:v>Pending consolidated THIRD_PARTY_NOTICES verification</x:v>
      </x:c>
      <x:c r="K47" s="24" t="str">
        <x:v>Project dependency</x:v>
      </x:c>
      <x:c r="L47" s="24" t="str">
        <x:v>No local modification evidenced</x:v>
      </x:c>
      <x:c r="M47" s="24" t="str">
        <x:v>Per package/Unity terms in built player</x:v>
      </x:c>
      <x:c r="N47" s="24" t="str">
        <x:v>Per package license/NOTICE</x:v>
      </x:c>
      <x:c r="O47" s="24" t="str">
        <x:v>ACTIVE / NOTICE REVIEW</x:v>
      </x:c>
      <x:c r="P47" s="24" t="str">
        <x:v>Low</x:v>
      </x:c>
      <x:c r="Q47" s="24" t="str">
        <x:v>Release and package update review</x:v>
      </x:c>
      <x:c r="R47" s="24" t="str">
        <x:v>VRM Games</x:v>
      </x:c>
      <x:c r="S47" s="24" t="str">
        <x:v>source=builtin; depth=0; deps=com.unity.modules.imageconversion@1.0.0; com.unity.modules.imgui@1.0.0; com.unity.modules.uielements@1.0.0</x:v>
      </x:c>
    </x:row>
    <x:row r="48" ht="34" customHeight="1">
      <x:c r="A48" s="24" t="str">
        <x:v>PKG-041</x:v>
      </x:c>
      <x:c r="B48" s="24" t="str">
        <x:v>com.unity.modules.vehicles</x:v>
      </x:c>
      <x:c r="C48" s="24" t="str">
        <x:v>com.unity.modules.vehicles</x:v>
      </x:c>
      <x:c r="D48" s="24" t="str">
        <x:v>1.0.0</x:v>
      </x:c>
      <x:c r="E48" s="24" t="str">
        <x:v>Unity package - built-in</x:v>
      </x:c>
      <x:c r="F48" s="24" t="str">
        <x:v>Sí</x:v>
      </x:c>
      <x:c r="G48" s="24" t="str">
        <x:v>Unity Technologies / package publisher</x:v>
      </x:c>
      <x:c r="H48" s="24" t="str">
        <x:v>Packages/manifest.json; Packages/packages-lock.json</x:v>
      </x:c>
      <x:c r="I48" s="24" t="str">
        <x:v>Unity built-in module / Editor terms</x:v>
      </x:c>
      <x:c r="J48" s="24" t="str">
        <x:v>Pending consolidated THIRD_PARTY_NOTICES verification</x:v>
      </x:c>
      <x:c r="K48" s="24" t="str">
        <x:v>Project dependency</x:v>
      </x:c>
      <x:c r="L48" s="24" t="str">
        <x:v>No local modification evidenced</x:v>
      </x:c>
      <x:c r="M48" s="24" t="str">
        <x:v>Per package/Unity terms in built player</x:v>
      </x:c>
      <x:c r="N48" s="24" t="str">
        <x:v>Per package license/NOTICE</x:v>
      </x:c>
      <x:c r="O48" s="24" t="str">
        <x:v>ACTIVE / NOTICE REVIEW</x:v>
      </x:c>
      <x:c r="P48" s="24" t="str">
        <x:v>Low</x:v>
      </x:c>
      <x:c r="Q48" s="24" t="str">
        <x:v>Release and package update review</x:v>
      </x:c>
      <x:c r="R48" s="24" t="str">
        <x:v>VRM Games</x:v>
      </x:c>
      <x:c r="S48" s="24" t="str">
        <x:v>source=builtin; depth=0; deps=com.unity.modules.physics@1.0.0</x:v>
      </x:c>
    </x:row>
    <x:row r="49" ht="34" customHeight="1">
      <x:c r="A49" s="24" t="str">
        <x:v>PKG-042</x:v>
      </x:c>
      <x:c r="B49" s="24" t="str">
        <x:v>com.unity.modules.video</x:v>
      </x:c>
      <x:c r="C49" s="24" t="str">
        <x:v>com.unity.modules.video</x:v>
      </x:c>
      <x:c r="D49" s="24" t="str">
        <x:v>1.0.0</x:v>
      </x:c>
      <x:c r="E49" s="24" t="str">
        <x:v>Unity package - built-in</x:v>
      </x:c>
      <x:c r="F49" s="24" t="str">
        <x:v>Sí</x:v>
      </x:c>
      <x:c r="G49" s="24" t="str">
        <x:v>Unity Technologies / package publisher</x:v>
      </x:c>
      <x:c r="H49" s="24" t="str">
        <x:v>Packages/manifest.json; Packages/packages-lock.json</x:v>
      </x:c>
      <x:c r="I49" s="24" t="str">
        <x:v>Unity built-in module / Editor terms</x:v>
      </x:c>
      <x:c r="J49" s="24" t="str">
        <x:v>Pending consolidated THIRD_PARTY_NOTICES verification</x:v>
      </x:c>
      <x:c r="K49" s="24" t="str">
        <x:v>Project dependency</x:v>
      </x:c>
      <x:c r="L49" s="24" t="str">
        <x:v>No local modification evidenced</x:v>
      </x:c>
      <x:c r="M49" s="24" t="str">
        <x:v>Per package/Unity terms in built player</x:v>
      </x:c>
      <x:c r="N49" s="24" t="str">
        <x:v>Per package license/NOTICE</x:v>
      </x:c>
      <x:c r="O49" s="24" t="str">
        <x:v>ACTIVE / NOTICE REVIEW</x:v>
      </x:c>
      <x:c r="P49" s="24" t="str">
        <x:v>Low</x:v>
      </x:c>
      <x:c r="Q49" s="24" t="str">
        <x:v>Release and package update review</x:v>
      </x:c>
      <x:c r="R49" s="24" t="str">
        <x:v>VRM Games</x:v>
      </x:c>
      <x:c r="S49" s="24" t="str">
        <x:v>source=builtin; depth=0; deps=com.unity.modules.audio@1.0.0; com.unity.modules.ui@1.0.0; com.unity.modules.unitywebrequest@1.0.0</x:v>
      </x:c>
    </x:row>
    <x:row r="50" ht="34" customHeight="1">
      <x:c r="A50" s="24" t="str">
        <x:v>PKG-043</x:v>
      </x:c>
      <x:c r="B50" s="24" t="str">
        <x:v>com.unity.modules.vr</x:v>
      </x:c>
      <x:c r="C50" s="24" t="str">
        <x:v>com.unity.modules.vr</x:v>
      </x:c>
      <x:c r="D50" s="24" t="str">
        <x:v>1.0.0</x:v>
      </x:c>
      <x:c r="E50" s="24" t="str">
        <x:v>Unity package - built-in</x:v>
      </x:c>
      <x:c r="F50" s="24" t="str">
        <x:v>Sí</x:v>
      </x:c>
      <x:c r="G50" s="24" t="str">
        <x:v>Unity Technologies / package publisher</x:v>
      </x:c>
      <x:c r="H50" s="24" t="str">
        <x:v>Packages/manifest.json; Packages/packages-lock.json</x:v>
      </x:c>
      <x:c r="I50" s="24" t="str">
        <x:v>Unity built-in module / Editor terms</x:v>
      </x:c>
      <x:c r="J50" s="24" t="str">
        <x:v>Pending consolidated THIRD_PARTY_NOTICES verification</x:v>
      </x:c>
      <x:c r="K50" s="24" t="str">
        <x:v>Project dependency</x:v>
      </x:c>
      <x:c r="L50" s="24" t="str">
        <x:v>No local modification evidenced</x:v>
      </x:c>
      <x:c r="M50" s="24" t="str">
        <x:v>Per package/Unity terms in built player</x:v>
      </x:c>
      <x:c r="N50" s="24" t="str">
        <x:v>Per package license/NOTICE</x:v>
      </x:c>
      <x:c r="O50" s="24" t="str">
        <x:v>ACTIVE / NOTICE REVIEW</x:v>
      </x:c>
      <x:c r="P50" s="24" t="str">
        <x:v>Low</x:v>
      </x:c>
      <x:c r="Q50" s="24" t="str">
        <x:v>Release and package update review</x:v>
      </x:c>
      <x:c r="R50" s="24" t="str">
        <x:v>VRM Games</x:v>
      </x:c>
      <x:c r="S50" s="24" t="str">
        <x:v>source=builtin; depth=0; deps=com.unity.modules.jsonserialize@1.0.0; com.unity.modules.physics@1.0.0; com.unity.modules.xr@1.0.0</x:v>
      </x:c>
    </x:row>
    <x:row r="51" ht="34" customHeight="1">
      <x:c r="A51" s="24" t="str">
        <x:v>PKG-044</x:v>
      </x:c>
      <x:c r="B51" s="24" t="str">
        <x:v>com.unity.modules.wind</x:v>
      </x:c>
      <x:c r="C51" s="24" t="str">
        <x:v>com.unity.modules.wind</x:v>
      </x:c>
      <x:c r="D51" s="24" t="str">
        <x:v>1.0.0</x:v>
      </x:c>
      <x:c r="E51" s="24" t="str">
        <x:v>Unity package - built-in</x:v>
      </x:c>
      <x:c r="F51" s="24" t="str">
        <x:v>Sí</x:v>
      </x:c>
      <x:c r="G51" s="24" t="str">
        <x:v>Unity Technologies / package publisher</x:v>
      </x:c>
      <x:c r="H51" s="24" t="str">
        <x:v>Packages/manifest.json; Packages/packages-lock.json</x:v>
      </x:c>
      <x:c r="I51" s="24" t="str">
        <x:v>Unity built-in module / Editor terms</x:v>
      </x:c>
      <x:c r="J51" s="24" t="str">
        <x:v>Pending consolidated THIRD_PARTY_NOTICES verification</x:v>
      </x:c>
      <x:c r="K51" s="24" t="str">
        <x:v>Project dependency</x:v>
      </x:c>
      <x:c r="L51" s="24" t="str">
        <x:v>No local modification evidenced</x:v>
      </x:c>
      <x:c r="M51" s="24" t="str">
        <x:v>Per package/Unity terms in built player</x:v>
      </x:c>
      <x:c r="N51" s="24" t="str">
        <x:v>Per package license/NOTICE</x:v>
      </x:c>
      <x:c r="O51" s="24" t="str">
        <x:v>ACTIVE / NOTICE REVIEW</x:v>
      </x:c>
      <x:c r="P51" s="24" t="str">
        <x:v>Low</x:v>
      </x:c>
      <x:c r="Q51" s="24" t="str">
        <x:v>Release and package update review</x:v>
      </x:c>
      <x:c r="R51" s="24" t="str">
        <x:v>VRM Games</x:v>
      </x:c>
      <x:c r="S51" s="24" t="str">
        <x:v>source=builtin; depth=0; deps=</x:v>
      </x:c>
    </x:row>
    <x:row r="52" ht="34" customHeight="1">
      <x:c r="A52" s="24" t="str">
        <x:v>PKG-045</x:v>
      </x:c>
      <x:c r="B52" s="24" t="str">
        <x:v>com.unity.modules.xr</x:v>
      </x:c>
      <x:c r="C52" s="24" t="str">
        <x:v>com.unity.modules.xr</x:v>
      </x:c>
      <x:c r="D52" s="24" t="str">
        <x:v>1.0.0</x:v>
      </x:c>
      <x:c r="E52" s="24" t="str">
        <x:v>Unity package - built-in</x:v>
      </x:c>
      <x:c r="F52" s="24" t="str">
        <x:v>Sí</x:v>
      </x:c>
      <x:c r="G52" s="24" t="str">
        <x:v>Unity Technologies / package publisher</x:v>
      </x:c>
      <x:c r="H52" s="24" t="str">
        <x:v>Packages/manifest.json; Packages/packages-lock.json</x:v>
      </x:c>
      <x:c r="I52" s="24" t="str">
        <x:v>Unity built-in module / Editor terms</x:v>
      </x:c>
      <x:c r="J52" s="24" t="str">
        <x:v>Pending consolidated THIRD_PARTY_NOTICES verification</x:v>
      </x:c>
      <x:c r="K52" s="24" t="str">
        <x:v>Project dependency</x:v>
      </x:c>
      <x:c r="L52" s="24" t="str">
        <x:v>No local modification evidenced</x:v>
      </x:c>
      <x:c r="M52" s="24" t="str">
        <x:v>Per package/Unity terms in built player</x:v>
      </x:c>
      <x:c r="N52" s="24" t="str">
        <x:v>Per package license/NOTICE</x:v>
      </x:c>
      <x:c r="O52" s="24" t="str">
        <x:v>ACTIVE / NOTICE REVIEW</x:v>
      </x:c>
      <x:c r="P52" s="24" t="str">
        <x:v>Low</x:v>
      </x:c>
      <x:c r="Q52" s="24" t="str">
        <x:v>Release and package update review</x:v>
      </x:c>
      <x:c r="R52" s="24" t="str">
        <x:v>VRM Games</x:v>
      </x:c>
      <x:c r="S52" s="24" t="str">
        <x:v>source=builtin; depth=0; deps=com.unity.modules.jsonserialize@1.0.0; com.unity.modules.physics@1.0.0; com.unity.modules.subsystems@1.0.0</x:v>
      </x:c>
    </x:row>
    <x:row r="53" ht="34" customHeight="1">
      <x:c r="A53" s="24" t="str">
        <x:v>PKG-046</x:v>
      </x:c>
      <x:c r="B53" s="24" t="str">
        <x:v>com.unity.nuget.mono-cecil</x:v>
      </x:c>
      <x:c r="C53" s="24" t="str">
        <x:v>com.unity.nuget.mono-cecil</x:v>
      </x:c>
      <x:c r="D53" s="24" t="str">
        <x:v>1.11.6</x:v>
      </x:c>
      <x:c r="E53" s="24" t="str">
        <x:v>Unity package - registry</x:v>
      </x:c>
      <x:c r="F53" s="24" t="str">
        <x:v>Transitivo</x:v>
      </x:c>
      <x:c r="G53" s="24" t="str">
        <x:v>Unity Technologies / package publisher</x:v>
      </x:c>
      <x:c r="H53" s="24" t="str">
        <x:v>Packages/manifest.json; Packages/packages-lock.json</x:v>
      </x:c>
      <x:c r="I53" s="24" t="str">
        <x:v>Unity Package Manager package terms; verify package LICENSE/NOTICE</x:v>
      </x:c>
      <x:c r="J53" s="24" t="str">
        <x:v>Pending consolidated THIRD_PARTY_NOTICES verification</x:v>
      </x:c>
      <x:c r="K53" s="24" t="str">
        <x:v>Project dependency</x:v>
      </x:c>
      <x:c r="L53" s="24" t="str">
        <x:v>No local modification evidenced</x:v>
      </x:c>
      <x:c r="M53" s="24" t="str">
        <x:v>Per package/Unity terms in built player</x:v>
      </x:c>
      <x:c r="N53" s="24" t="str">
        <x:v>Per package license/NOTICE</x:v>
      </x:c>
      <x:c r="O53" s="24" t="str">
        <x:v>ACTIVE / NOTICE REVIEW</x:v>
      </x:c>
      <x:c r="P53" s="24" t="str">
        <x:v>Medium</x:v>
      </x:c>
      <x:c r="Q53" s="24" t="str">
        <x:v>Release and package update review</x:v>
      </x:c>
      <x:c r="R53" s="24" t="str">
        <x:v>VRM Games</x:v>
      </x:c>
      <x:c r="S53" s="24" t="str">
        <x:v>source=registry; depth=3; deps=</x:v>
      </x:c>
    </x:row>
    <x:row r="54" ht="34" customHeight="1">
      <x:c r="A54" s="24" t="str">
        <x:v>PKG-047</x:v>
      </x:c>
      <x:c r="B54" s="24" t="str">
        <x:v>com.unity.nuget.newtonsoft-json</x:v>
      </x:c>
      <x:c r="C54" s="24" t="str">
        <x:v>com.unity.nuget.newtonsoft-json</x:v>
      </x:c>
      <x:c r="D54" s="24" t="str">
        <x:v>3.2.2</x:v>
      </x:c>
      <x:c r="E54" s="24" t="str">
        <x:v>Unity package - registry</x:v>
      </x:c>
      <x:c r="F54" s="24" t="str">
        <x:v>Transitivo</x:v>
      </x:c>
      <x:c r="G54" s="24" t="str">
        <x:v>Unity Technologies / package publisher</x:v>
      </x:c>
      <x:c r="H54" s="24" t="str">
        <x:v>Packages/manifest.json; Packages/packages-lock.json</x:v>
      </x:c>
      <x:c r="I54" s="24" t="str">
        <x:v>Unity Package Manager package terms; verify package LICENSE/NOTICE</x:v>
      </x:c>
      <x:c r="J54" s="24" t="str">
        <x:v>Pending consolidated THIRD_PARTY_NOTICES verification</x:v>
      </x:c>
      <x:c r="K54" s="24" t="str">
        <x:v>Project dependency</x:v>
      </x:c>
      <x:c r="L54" s="24" t="str">
        <x:v>No local modification evidenced</x:v>
      </x:c>
      <x:c r="M54" s="24" t="str">
        <x:v>Per package/Unity terms in built player</x:v>
      </x:c>
      <x:c r="N54" s="24" t="str">
        <x:v>Per package license/NOTICE</x:v>
      </x:c>
      <x:c r="O54" s="24" t="str">
        <x:v>ACTIVE / NOTICE REVIEW</x:v>
      </x:c>
      <x:c r="P54" s="24" t="str">
        <x:v>Medium</x:v>
      </x:c>
      <x:c r="Q54" s="24" t="str">
        <x:v>Release and package update review</x:v>
      </x:c>
      <x:c r="R54" s="24" t="str">
        <x:v>VRM Games</x:v>
      </x:c>
      <x:c r="S54" s="24" t="str">
        <x:v>source=registry; depth=1; deps=</x:v>
      </x:c>
    </x:row>
    <x:row r="55" ht="34" customHeight="1">
      <x:c r="A55" s="24" t="str">
        <x:v>PKG-048</x:v>
      </x:c>
      <x:c r="B55" s="24" t="str">
        <x:v>com.unity.profiling.core</x:v>
      </x:c>
      <x:c r="C55" s="24" t="str">
        <x:v>com.unity.profiling.core</x:v>
      </x:c>
      <x:c r="D55" s="24" t="str">
        <x:v>1.0.3</x:v>
      </x:c>
      <x:c r="E55" s="24" t="str">
        <x:v>Unity package - registry</x:v>
      </x:c>
      <x:c r="F55" s="24" t="str">
        <x:v>Transitivo</x:v>
      </x:c>
      <x:c r="G55" s="24" t="str">
        <x:v>Unity Technologies / package publisher</x:v>
      </x:c>
      <x:c r="H55" s="24" t="str">
        <x:v>Packages/manifest.json; Packages/packages-lock.json</x:v>
      </x:c>
      <x:c r="I55" s="24" t="str">
        <x:v>Unity Package Manager package terms; verify package LICENSE/NOTICE</x:v>
      </x:c>
      <x:c r="J55" s="24" t="str">
        <x:v>Pending consolidated THIRD_PARTY_NOTICES verification</x:v>
      </x:c>
      <x:c r="K55" s="24" t="str">
        <x:v>Project dependency</x:v>
      </x:c>
      <x:c r="L55" s="24" t="str">
        <x:v>No local modification evidenced</x:v>
      </x:c>
      <x:c r="M55" s="24" t="str">
        <x:v>Per package/Unity terms in built player</x:v>
      </x:c>
      <x:c r="N55" s="24" t="str">
        <x:v>Per package license/NOTICE</x:v>
      </x:c>
      <x:c r="O55" s="24" t="str">
        <x:v>ACTIVE / NOTICE REVIEW</x:v>
      </x:c>
      <x:c r="P55" s="24" t="str">
        <x:v>Medium</x:v>
      </x:c>
      <x:c r="Q55" s="24" t="str">
        <x:v>Release and package update review</x:v>
      </x:c>
      <x:c r="R55" s="24" t="str">
        <x:v>VRM Games</x:v>
      </x:c>
      <x:c r="S55" s="24" t="str">
        <x:v>source=registry; depth=2; deps=</x:v>
      </x:c>
    </x:row>
    <x:row r="56" ht="34" customHeight="1">
      <x:c r="A56" s="24" t="str">
        <x:v>PKG-049</x:v>
      </x:c>
      <x:c r="B56" s="24" t="str">
        <x:v>com.unity.render-pipelines.core</x:v>
      </x:c>
      <x:c r="C56" s="24" t="str">
        <x:v>com.unity.render-pipelines.core</x:v>
      </x:c>
      <x:c r="D56" s="24" t="str">
        <x:v>17.3.0</x:v>
      </x:c>
      <x:c r="E56" s="24" t="str">
        <x:v>Unity package - built-in</x:v>
      </x:c>
      <x:c r="F56" s="24" t="str">
        <x:v>Transitivo</x:v>
      </x:c>
      <x:c r="G56" s="24" t="str">
        <x:v>Unity Technologies / package publisher</x:v>
      </x:c>
      <x:c r="H56" s="24" t="str">
        <x:v>Packages/manifest.json; Packages/packages-lock.json</x:v>
      </x:c>
      <x:c r="I56" s="24" t="str">
        <x:v>Unity built-in module / Editor terms</x:v>
      </x:c>
      <x:c r="J56" s="24" t="str">
        <x:v>Pending consolidated THIRD_PARTY_NOTICES verification</x:v>
      </x:c>
      <x:c r="K56" s="24" t="str">
        <x:v>Project dependency</x:v>
      </x:c>
      <x:c r="L56" s="24" t="str">
        <x:v>No local modification evidenced</x:v>
      </x:c>
      <x:c r="M56" s="24" t="str">
        <x:v>Per package/Unity terms in built player</x:v>
      </x:c>
      <x:c r="N56" s="24" t="str">
        <x:v>Per package license/NOTICE</x:v>
      </x:c>
      <x:c r="O56" s="24" t="str">
        <x:v>ACTIVE / NOTICE REVIEW</x:v>
      </x:c>
      <x:c r="P56" s="24" t="str">
        <x:v>Low</x:v>
      </x:c>
      <x:c r="Q56" s="24" t="str">
        <x:v>Release and package update review</x:v>
      </x:c>
      <x:c r="R56" s="24" t="str">
        <x:v>VRM Games</x:v>
      </x:c>
      <x:c r="S56" s="24" t="str">
        <x:v>source=builtin; depth=1; deps=com.unity.burst@1.8.14; com.unity.collections@2.4.3; com.unity.mathematics@1.3.2; com.unity.modules.jsonserialize@1.0.0; com.unity.modules.physics@1.0.0; com.unity.modules.terrain@1.0.0; com.unity.ugui@2.0.0</x:v>
      </x:c>
    </x:row>
    <x:row r="57" ht="34" customHeight="1">
      <x:c r="A57" s="24" t="str">
        <x:v>PKG-050</x:v>
      </x:c>
      <x:c r="B57" s="24" t="str">
        <x:v>com.unity.render-pipelines.universal</x:v>
      </x:c>
      <x:c r="C57" s="24" t="str">
        <x:v>com.unity.render-pipelines.universal</x:v>
      </x:c>
      <x:c r="D57" s="24" t="str">
        <x:v>17.3.0</x:v>
      </x:c>
      <x:c r="E57" s="24" t="str">
        <x:v>Unity package - built-in</x:v>
      </x:c>
      <x:c r="F57" s="24" t="str">
        <x:v>Sí</x:v>
      </x:c>
      <x:c r="G57" s="24" t="str">
        <x:v>Unity Technologies / package publisher</x:v>
      </x:c>
      <x:c r="H57" s="24" t="str">
        <x:v>Packages/manifest.json; Packages/packages-lock.json</x:v>
      </x:c>
      <x:c r="I57" s="24" t="str">
        <x:v>Unity built-in module / Editor terms</x:v>
      </x:c>
      <x:c r="J57" s="24" t="str">
        <x:v>Pending consolidated THIRD_PARTY_NOTICES verification</x:v>
      </x:c>
      <x:c r="K57" s="24" t="str">
        <x:v>Project dependency</x:v>
      </x:c>
      <x:c r="L57" s="24" t="str">
        <x:v>No local modification evidenced</x:v>
      </x:c>
      <x:c r="M57" s="24" t="str">
        <x:v>Per package/Unity terms in built player</x:v>
      </x:c>
      <x:c r="N57" s="24" t="str">
        <x:v>Per package license/NOTICE</x:v>
      </x:c>
      <x:c r="O57" s="24" t="str">
        <x:v>ACTIVE / NOTICE REVIEW</x:v>
      </x:c>
      <x:c r="P57" s="24" t="str">
        <x:v>Low</x:v>
      </x:c>
      <x:c r="Q57" s="24" t="str">
        <x:v>Release and package update review</x:v>
      </x:c>
      <x:c r="R57" s="24" t="str">
        <x:v>VRM Games</x:v>
      </x:c>
      <x:c r="S57" s="24" t="str">
        <x:v>source=builtin; depth=0; deps=com.unity.render-pipelines.core@17.3.0; com.unity.render-pipelines.universal-config@17.0.3; com.unity.shadergraph@17.3.0</x:v>
      </x:c>
    </x:row>
    <x:row r="58" ht="34" customHeight="1">
      <x:c r="A58" s="24" t="str">
        <x:v>PKG-051</x:v>
      </x:c>
      <x:c r="B58" s="24" t="str">
        <x:v>com.unity.render-pipelines.universal-config</x:v>
      </x:c>
      <x:c r="C58" s="24" t="str">
        <x:v>com.unity.render-pipelines.universal-config</x:v>
      </x:c>
      <x:c r="D58" s="24" t="str">
        <x:v>17.0.3</x:v>
      </x:c>
      <x:c r="E58" s="24" t="str">
        <x:v>Unity package - built-in</x:v>
      </x:c>
      <x:c r="F58" s="24" t="str">
        <x:v>Transitivo</x:v>
      </x:c>
      <x:c r="G58" s="24" t="str">
        <x:v>Unity Technologies / package publisher</x:v>
      </x:c>
      <x:c r="H58" s="24" t="str">
        <x:v>Packages/manifest.json; Packages/packages-lock.json</x:v>
      </x:c>
      <x:c r="I58" s="24" t="str">
        <x:v>Unity built-in module / Editor terms</x:v>
      </x:c>
      <x:c r="J58" s="24" t="str">
        <x:v>Pending consolidated THIRD_PARTY_NOTICES verification</x:v>
      </x:c>
      <x:c r="K58" s="24" t="str">
        <x:v>Project dependency</x:v>
      </x:c>
      <x:c r="L58" s="24" t="str">
        <x:v>No local modification evidenced</x:v>
      </x:c>
      <x:c r="M58" s="24" t="str">
        <x:v>Per package/Unity terms in built player</x:v>
      </x:c>
      <x:c r="N58" s="24" t="str">
        <x:v>Per package license/NOTICE</x:v>
      </x:c>
      <x:c r="O58" s="24" t="str">
        <x:v>ACTIVE / NOTICE REVIEW</x:v>
      </x:c>
      <x:c r="P58" s="24" t="str">
        <x:v>Low</x:v>
      </x:c>
      <x:c r="Q58" s="24" t="str">
        <x:v>Release and package update review</x:v>
      </x:c>
      <x:c r="R58" s="24" t="str">
        <x:v>VRM Games</x:v>
      </x:c>
      <x:c r="S58" s="24" t="str">
        <x:v>source=builtin; depth=1; deps=com.unity.render-pipelines.core@17.0.3</x:v>
      </x:c>
    </x:row>
    <x:row r="59" ht="34" customHeight="1">
      <x:c r="A59" s="24" t="str">
        <x:v>PKG-052</x:v>
      </x:c>
      <x:c r="B59" s="24" t="str">
        <x:v>com.unity.scriptablebuildpipeline</x:v>
      </x:c>
      <x:c r="C59" s="24" t="str">
        <x:v>com.unity.scriptablebuildpipeline</x:v>
      </x:c>
      <x:c r="D59" s="24" t="str">
        <x:v>2.6.1</x:v>
      </x:c>
      <x:c r="E59" s="24" t="str">
        <x:v>Unity package - registry</x:v>
      </x:c>
      <x:c r="F59" s="24" t="str">
        <x:v>Transitivo</x:v>
      </x:c>
      <x:c r="G59" s="24" t="str">
        <x:v>Unity Technologies / package publisher</x:v>
      </x:c>
      <x:c r="H59" s="24" t="str">
        <x:v>Packages/manifest.json; Packages/packages-lock.json</x:v>
      </x:c>
      <x:c r="I59" s="24" t="str">
        <x:v>Unity Package Manager package terms; verify package LICENSE/NOTICE</x:v>
      </x:c>
      <x:c r="J59" s="24" t="str">
        <x:v>Pending consolidated THIRD_PARTY_NOTICES verification</x:v>
      </x:c>
      <x:c r="K59" s="24" t="str">
        <x:v>Project dependency</x:v>
      </x:c>
      <x:c r="L59" s="24" t="str">
        <x:v>No local modification evidenced</x:v>
      </x:c>
      <x:c r="M59" s="24" t="str">
        <x:v>Per package/Unity terms in built player</x:v>
      </x:c>
      <x:c r="N59" s="24" t="str">
        <x:v>Per package license/NOTICE</x:v>
      </x:c>
      <x:c r="O59" s="24" t="str">
        <x:v>ACTIVE / NOTICE REVIEW</x:v>
      </x:c>
      <x:c r="P59" s="24" t="str">
        <x:v>Medium</x:v>
      </x:c>
      <x:c r="Q59" s="24" t="str">
        <x:v>Release and package update review</x:v>
      </x:c>
      <x:c r="R59" s="24" t="str">
        <x:v>VRM Games</x:v>
      </x:c>
      <x:c r="S59" s="24" t="str">
        <x:v>source=registry; depth=2; deps=com.unity.modules.assetbundle@1.0.0; com.unity.test-framework@1.4.5</x:v>
      </x:c>
    </x:row>
    <x:row r="60" ht="34" customHeight="1">
      <x:c r="A60" s="24" t="str">
        <x:v>PKG-053</x:v>
      </x:c>
      <x:c r="B60" s="24" t="str">
        <x:v>com.unity.searcher</x:v>
      </x:c>
      <x:c r="C60" s="24" t="str">
        <x:v>com.unity.searcher</x:v>
      </x:c>
      <x:c r="D60" s="24" t="str">
        <x:v>4.9.4</x:v>
      </x:c>
      <x:c r="E60" s="24" t="str">
        <x:v>Unity package - registry</x:v>
      </x:c>
      <x:c r="F60" s="24" t="str">
        <x:v>Transitivo</x:v>
      </x:c>
      <x:c r="G60" s="24" t="str">
        <x:v>Unity Technologies / package publisher</x:v>
      </x:c>
      <x:c r="H60" s="24" t="str">
        <x:v>Packages/manifest.json; Packages/packages-lock.json</x:v>
      </x:c>
      <x:c r="I60" s="24" t="str">
        <x:v>Unity Package Manager package terms; verify package LICENSE/NOTICE</x:v>
      </x:c>
      <x:c r="J60" s="24" t="str">
        <x:v>Pending consolidated THIRD_PARTY_NOTICES verification</x:v>
      </x:c>
      <x:c r="K60" s="24" t="str">
        <x:v>Project dependency</x:v>
      </x:c>
      <x:c r="L60" s="24" t="str">
        <x:v>No local modification evidenced</x:v>
      </x:c>
      <x:c r="M60" s="24" t="str">
        <x:v>Per package/Unity terms in built player</x:v>
      </x:c>
      <x:c r="N60" s="24" t="str">
        <x:v>Per package license/NOTICE</x:v>
      </x:c>
      <x:c r="O60" s="24" t="str">
        <x:v>ACTIVE / NOTICE REVIEW</x:v>
      </x:c>
      <x:c r="P60" s="24" t="str">
        <x:v>Medium</x:v>
      </x:c>
      <x:c r="Q60" s="24" t="str">
        <x:v>Release and package update review</x:v>
      </x:c>
      <x:c r="R60" s="24" t="str">
        <x:v>VRM Games</x:v>
      </x:c>
      <x:c r="S60" s="24" t="str">
        <x:v>source=registry; depth=2; deps=</x:v>
      </x:c>
    </x:row>
    <x:row r="61" ht="34" customHeight="1">
      <x:c r="A61" s="24" t="str">
        <x:v>PKG-054</x:v>
      </x:c>
      <x:c r="B61" s="24" t="str">
        <x:v>com.unity.shadergraph</x:v>
      </x:c>
      <x:c r="C61" s="24" t="str">
        <x:v>com.unity.shadergraph</x:v>
      </x:c>
      <x:c r="D61" s="24" t="str">
        <x:v>17.3.0</x:v>
      </x:c>
      <x:c r="E61" s="24" t="str">
        <x:v>Unity package - built-in</x:v>
      </x:c>
      <x:c r="F61" s="24" t="str">
        <x:v>Transitivo</x:v>
      </x:c>
      <x:c r="G61" s="24" t="str">
        <x:v>Unity Technologies / package publisher</x:v>
      </x:c>
      <x:c r="H61" s="24" t="str">
        <x:v>Packages/manifest.json; Packages/packages-lock.json</x:v>
      </x:c>
      <x:c r="I61" s="24" t="str">
        <x:v>Unity built-in module / Editor terms</x:v>
      </x:c>
      <x:c r="J61" s="24" t="str">
        <x:v>Pending consolidated THIRD_PARTY_NOTICES verification</x:v>
      </x:c>
      <x:c r="K61" s="24" t="str">
        <x:v>Project dependency</x:v>
      </x:c>
      <x:c r="L61" s="24" t="str">
        <x:v>No local modification evidenced</x:v>
      </x:c>
      <x:c r="M61" s="24" t="str">
        <x:v>Per package/Unity terms in built player</x:v>
      </x:c>
      <x:c r="N61" s="24" t="str">
        <x:v>Per package license/NOTICE</x:v>
      </x:c>
      <x:c r="O61" s="24" t="str">
        <x:v>ACTIVE / NOTICE REVIEW</x:v>
      </x:c>
      <x:c r="P61" s="24" t="str">
        <x:v>Low</x:v>
      </x:c>
      <x:c r="Q61" s="24" t="str">
        <x:v>Release and package update review</x:v>
      </x:c>
      <x:c r="R61" s="24" t="str">
        <x:v>VRM Games</x:v>
      </x:c>
      <x:c r="S61" s="24" t="str">
        <x:v>source=builtin; depth=1; deps=com.unity.render-pipelines.core@17.3.0; com.unity.searcher@4.9.3</x:v>
      </x:c>
    </x:row>
    <x:row r="62" ht="34" customHeight="1">
      <x:c r="A62" s="24" t="str">
        <x:v>PKG-055</x:v>
      </x:c>
      <x:c r="B62" s="24" t="str">
        <x:v>com.unity.test-framework</x:v>
      </x:c>
      <x:c r="C62" s="24" t="str">
        <x:v>com.unity.test-framework</x:v>
      </x:c>
      <x:c r="D62" s="24" t="str">
        <x:v>1.6.0</x:v>
      </x:c>
      <x:c r="E62" s="24" t="str">
        <x:v>Unity package - built-in</x:v>
      </x:c>
      <x:c r="F62" s="24" t="str">
        <x:v>Sí</x:v>
      </x:c>
      <x:c r="G62" s="24" t="str">
        <x:v>Unity Technologies / package publisher</x:v>
      </x:c>
      <x:c r="H62" s="24" t="str">
        <x:v>Packages/manifest.json; Packages/packages-lock.json</x:v>
      </x:c>
      <x:c r="I62" s="24" t="str">
        <x:v>Unity built-in module / Editor terms</x:v>
      </x:c>
      <x:c r="J62" s="24" t="str">
        <x:v>Pending consolidated THIRD_PARTY_NOTICES verification</x:v>
      </x:c>
      <x:c r="K62" s="24" t="str">
        <x:v>Project dependency</x:v>
      </x:c>
      <x:c r="L62" s="24" t="str">
        <x:v>No local modification evidenced</x:v>
      </x:c>
      <x:c r="M62" s="24" t="str">
        <x:v>Per package/Unity terms in built player</x:v>
      </x:c>
      <x:c r="N62" s="24" t="str">
        <x:v>Per package license/NOTICE</x:v>
      </x:c>
      <x:c r="O62" s="24" t="str">
        <x:v>ACTIVE / NOTICE REVIEW</x:v>
      </x:c>
      <x:c r="P62" s="24" t="str">
        <x:v>Low</x:v>
      </x:c>
      <x:c r="Q62" s="24" t="str">
        <x:v>Release and package update review</x:v>
      </x:c>
      <x:c r="R62" s="24" t="str">
        <x:v>VRM Games</x:v>
      </x:c>
      <x:c r="S62" s="24" t="str">
        <x:v>source=builtin; depth=0; deps=com.unity.ext.nunit@2.0.3; com.unity.modules.imgui@1.0.0; com.unity.modules.jsonserialize@1.0.0</x:v>
      </x:c>
    </x:row>
    <x:row r="63" ht="34" customHeight="1">
      <x:c r="A63" s="24" t="str">
        <x:v>PKG-056</x:v>
      </x:c>
      <x:c r="B63" s="24" t="str">
        <x:v>com.unity.test-framework.performance</x:v>
      </x:c>
      <x:c r="C63" s="24" t="str">
        <x:v>com.unity.test-framework.performance</x:v>
      </x:c>
      <x:c r="D63" s="24" t="str">
        <x:v>3.5.0</x:v>
      </x:c>
      <x:c r="E63" s="24" t="str">
        <x:v>Unity package - registry</x:v>
      </x:c>
      <x:c r="F63" s="24" t="str">
        <x:v>Transitivo</x:v>
      </x:c>
      <x:c r="G63" s="24" t="str">
        <x:v>Unity Technologies / package publisher</x:v>
      </x:c>
      <x:c r="H63" s="24" t="str">
        <x:v>Packages/manifest.json; Packages/packages-lock.json</x:v>
      </x:c>
      <x:c r="I63" s="24" t="str">
        <x:v>Unity Package Manager package terms; verify package LICENSE/NOTICE</x:v>
      </x:c>
      <x:c r="J63" s="24" t="str">
        <x:v>Pending consolidated THIRD_PARTY_NOTICES verification</x:v>
      </x:c>
      <x:c r="K63" s="24" t="str">
        <x:v>Project dependency</x:v>
      </x:c>
      <x:c r="L63" s="24" t="str">
        <x:v>No local modification evidenced</x:v>
      </x:c>
      <x:c r="M63" s="24" t="str">
        <x:v>Per package/Unity terms in built player</x:v>
      </x:c>
      <x:c r="N63" s="24" t="str">
        <x:v>Per package license/NOTICE</x:v>
      </x:c>
      <x:c r="O63" s="24" t="str">
        <x:v>ACTIVE / NOTICE REVIEW</x:v>
      </x:c>
      <x:c r="P63" s="24" t="str">
        <x:v>Medium</x:v>
      </x:c>
      <x:c r="Q63" s="24" t="str">
        <x:v>Release and package update review</x:v>
      </x:c>
      <x:c r="R63" s="24" t="str">
        <x:v>VRM Games</x:v>
      </x:c>
      <x:c r="S63" s="24" t="str">
        <x:v>source=registry; depth=3; deps=com.unity.modules.jsonserialize@1.0.0; com.unity.test-framework@1.1.33</x:v>
      </x:c>
    </x:row>
    <x:row r="64" ht="34" customHeight="1">
      <x:c r="A64" s="24" t="str">
        <x:v>PKG-057</x:v>
      </x:c>
      <x:c r="B64" s="24" t="str">
        <x:v>com.unity.ugui</x:v>
      </x:c>
      <x:c r="C64" s="24" t="str">
        <x:v>com.unity.ugui</x:v>
      </x:c>
      <x:c r="D64" s="24" t="str">
        <x:v>2.0.0</x:v>
      </x:c>
      <x:c r="E64" s="24" t="str">
        <x:v>Unity package - built-in</x:v>
      </x:c>
      <x:c r="F64" s="24" t="str">
        <x:v>Sí</x:v>
      </x:c>
      <x:c r="G64" s="24" t="str">
        <x:v>Unity Technologies / package publisher</x:v>
      </x:c>
      <x:c r="H64" s="24" t="str">
        <x:v>Packages/manifest.json; Packages/packages-lock.json</x:v>
      </x:c>
      <x:c r="I64" s="24" t="str">
        <x:v>Unity built-in module / Editor terms</x:v>
      </x:c>
      <x:c r="J64" s="24" t="str">
        <x:v>Pending consolidated THIRD_PARTY_NOTICES verification</x:v>
      </x:c>
      <x:c r="K64" s="24" t="str">
        <x:v>Project dependency</x:v>
      </x:c>
      <x:c r="L64" s="24" t="str">
        <x:v>No local modification evidenced</x:v>
      </x:c>
      <x:c r="M64" s="24" t="str">
        <x:v>Per package/Unity terms in built player</x:v>
      </x:c>
      <x:c r="N64" s="24" t="str">
        <x:v>Per package license/NOTICE</x:v>
      </x:c>
      <x:c r="O64" s="24" t="str">
        <x:v>ACTIVE / NOTICE REVIEW</x:v>
      </x:c>
      <x:c r="P64" s="24" t="str">
        <x:v>Low</x:v>
      </x:c>
      <x:c r="Q64" s="24" t="str">
        <x:v>Release and package update review</x:v>
      </x:c>
      <x:c r="R64" s="24" t="str">
        <x:v>VRM Games</x:v>
      </x:c>
      <x:c r="S64" s="24" t="str">
        <x:v>source=builtin; depth=0; deps=com.unity.modules.imgui@1.0.0; com.unity.modules.ui@1.0.0</x:v>
      </x:c>
    </x:row>
  </x:sheetData>
  <x:mergeCells>
    <x:mergeCell ref="A1:S1"/>
    <x:mergeCell ref="A2:S2"/>
  </x:mergeCells>
  <x:conditionalFormatting sqref="O5:O64">
    <x:cfRule type="expression" dxfId="68" priority="1">
      <x:formula>OR(ISNUMBER(SEARCH("APPROVED",O5)),ISNUMBER(SEARCH("READY",O5)),ISNUMBER(SEARCH("ACTIVE",O5)),ISNUMBER(SEARCH("VERIFIED",O5)))</x:formula>
    </x:cfRule>
    <x:cfRule type="expression" dxfId="69" priority="2">
      <x:formula>OR(ISNUMBER(SEARCH("BLOCK",O5)),ISNUMBER(SEARCH("PROHIBITED",O5)),ISNUMBER(SEARCH("CRITICAL",O5)),ISNUMBER(SEARCH("MISSING",O5)))</x:formula>
    </x:cfRule>
    <x:cfRule type="expression" dxfId="70" priority="3">
      <x:formula>OR(ISNUMBER(SEARCH("PENDING",O5)),ISNUMBER(SEARCH("PARTIAL",O5)),ISNUMBER(SEARCH("REVIEW",O5)),ISNUMBER(SEARCH("CONDITIONAL",O5)))</x:formula>
    </x:cfRule>
    <x:cfRule type="expression" dxfId="71" priority="4">
      <x:formula>OR(ISNUMBER(SEARCH("HISTORICAL",O5)),ISNUMBER(SEARCH("VISION",O5)),ISNUMBER(SEARCH("OPTIONAL",O5)))</x:formula>
    </x:cfRule>
  </x:conditionalFormatting>
  <x:conditionalFormatting sqref="P5:P64">
    <x:cfRule type="expression" dxfId="72" priority="5">
      <x:formula>OR(ISNUMBER(SEARCH("APPROVED",P5)),ISNUMBER(SEARCH("READY",P5)),ISNUMBER(SEARCH("ACTIVE",P5)),ISNUMBER(SEARCH("VERIFIED",P5)))</x:formula>
    </x:cfRule>
    <x:cfRule type="expression" dxfId="73" priority="6">
      <x:formula>OR(ISNUMBER(SEARCH("BLOCK",P5)),ISNUMBER(SEARCH("PROHIBITED",P5)),ISNUMBER(SEARCH("CRITICAL",P5)),ISNUMBER(SEARCH("MISSING",P5)))</x:formula>
    </x:cfRule>
    <x:cfRule type="expression" dxfId="74" priority="7">
      <x:formula>OR(ISNUMBER(SEARCH("PENDING",P5)),ISNUMBER(SEARCH("PARTIAL",P5)),ISNUMBER(SEARCH("REVIEW",P5)),ISNUMBER(SEARCH("CONDITIONAL",P5)))</x:formula>
    </x:cfRule>
    <x:cfRule type="expression" dxfId="75" priority="8">
      <x:formula>OR(ISNUMBER(SEARCH("HISTORICAL",P5)),ISNUMBER(SEARCH("VISION",P5)),ISNUMBER(SEARCH("OPTIONAL",P5)))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ad7ba359ef4ec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8" hidden="0" customWidth="1"/>
    <x:col min="4" max="4" width="36" hidden="0" customWidth="1"/>
    <x:col min="5" max="5" width="38" hidden="0" customWidth="1"/>
    <x:col min="6" max="6" width="26" hidden="0" customWidth="1"/>
    <x:col min="7" max="7" width="30" hidden="0" customWidth="1"/>
    <x:col min="8" max="8" width="24" hidden="0" customWidth="1"/>
    <x:col min="9" max="9" width="24" hidden="0" customWidth="1"/>
    <x:col min="10" max="10" width="28" hidden="0" customWidth="1"/>
    <x:col min="11" max="11" width="18" hidden="0" customWidth="1"/>
    <x:col min="12" max="12" width="30" hidden="0" customWidth="1"/>
    <x:col min="13" max="13" width="32" hidden="0" customWidth="1"/>
    <x:col min="14" max="14" width="42" hidden="0" customWidth="1"/>
    <x:col min="15" max="15" width="50" hidden="0" customWidth="1"/>
    <x:col min="16" max="16" width="68" hidden="0" customWidth="1"/>
    <x:col min="17" max="17" width="24" hidden="0" customWidth="1"/>
    <x:col min="18" max="18" width="48" hidden="0" customWidth="1"/>
    <x:col min="19" max="19" width="55" hidden="0" customWidth="1"/>
  </x:cols>
  <x:sheetData>
    <x:row r="1" ht="30" customHeight="1">
      <x:c r="A1" s="4" t="str">
        <x:v>Marcas, nombres e IP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2" customHeight="1">
      <x:c r="A2" s="10" t="str">
        <x:v>Título, estudio, productos y proveedores ficticios con estado de clearance.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4" ht="38" customHeight="1">
      <x:c r="A4" s="17" t="str">
        <x:v>IP Record ID</x:v>
      </x:c>
      <x:c r="B4" s="17" t="str">
        <x:v>Nombre/Signo</x:v>
      </x:c>
      <x:c r="C4" s="17" t="str">
        <x:v>Tipo</x:v>
      </x:c>
      <x:c r="D4" s="17" t="str">
        <x:v>Titular declarado</x:v>
      </x:c>
      <x:c r="E4" s="17" t="str">
        <x:v>Origen</x:v>
      </x:c>
      <x:c r="F4" s="17" t="str">
        <x:v>Territorio objetivo</x:v>
      </x:c>
      <x:c r="G4" s="17" t="str">
        <x:v>Clase/Ámbito</x:v>
      </x:c>
      <x:c r="H4" s="17" t="str">
        <x:v>Búsqueda preliminar</x:v>
      </x:c>
      <x:c r="I4" s="17" t="str">
        <x:v>Registro formal</x:v>
      </x:c>
      <x:c r="J4" s="17" t="str">
        <x:v>Uso autorizado</x:v>
      </x:c>
      <x:c r="K4" s="17" t="str">
        <x:v>Estado</x:v>
      </x:c>
      <x:c r="L4" s="17" t="str">
        <x:v>Riesgo</x:v>
      </x:c>
      <x:c r="M4" s="17" t="str">
        <x:v>Conflicto conocido</x:v>
      </x:c>
      <x:c r="N4" s="17" t="str">
        <x:v>Restricciones</x:v>
      </x:c>
      <x:c r="O4" s="17" t="str">
        <x:v>Prueba</x:v>
      </x:c>
      <x:c r="P4" s="17" t="str">
        <x:v>Owner</x:v>
      </x:c>
      <x:c r="Q4" s="17" t="str">
        <x:v>Acción</x:v>
      </x:c>
      <x:c r="R4" s="17" t="str">
        <x:v>Notas</x:v>
      </x:c>
    </x:row>
    <x:row r="5" ht="34" customHeight="1">
      <x:c r="A5" s="24" t="str">
        <x:v>IP-001</x:v>
      </x:c>
      <x:c r="B5" s="24" t="str">
        <x:v>Cartridge &amp; Cloud</x:v>
      </x:c>
      <x:c r="C5" s="24" t="str">
        <x:v>Project/game title</x:v>
      </x:c>
      <x:c r="D5" s="24" t="str">
        <x:v>VRM Games / Blas Luis Rocha González</x:v>
      </x:c>
      <x:c r="E5" s="24" t="str">
        <x:v>Internal project naming</x:v>
      </x:c>
      <x:c r="F5" s="24" t="str">
        <x:v>International / Steam</x:v>
      </x:c>
      <x:c r="G5" s="24" t="str">
        <x:v>Video game/software/entertainment</x:v>
      </x:c>
      <x:c r="H5" s="24" t="str">
        <x:v>Not evidenced</x:v>
      </x:c>
      <x:c r="I5" s="24" t="str">
        <x:v>Not filed/evidenced</x:v>
      </x:c>
      <x:c r="J5" s="24" t="str">
        <x:v>Internal/provisional</x:v>
      </x:c>
      <x:c r="K5" s="24" t="str">
        <x:v>PROVISIONAL / CLEARANCE REQUIRED</x:v>
      </x:c>
      <x:c r="L5" s="24" t="str">
        <x:v>High</x:v>
      </x:c>
      <x:c r="M5" s="24" t="str">
        <x:v>None documented; not equivalent to clearance</x:v>
      </x:c>
      <x:c r="N5" s="24" t="str">
        <x:v>Do not launch campaign/domain/store page as final without search</x:v>
      </x:c>
      <x:c r="O5" s="24" t="str">
        <x:v>Historical legal registers and project docs</x:v>
      </x:c>
      <x:c r="P5" s="24" t="str">
        <x:v>VRM Games</x:v>
      </x:c>
      <x:c r="Q5" s="24" t="str">
        <x:v>Trademark, company, domain and platform-name clearance</x:v>
      </x:c>
      <x:c r="R5" s="24" t="str">
        <x:v>Conservar candidatos históricos internamente.</x:v>
      </x:c>
    </x:row>
    <x:row r="6" ht="34" customHeight="1">
      <x:c r="A6" s="24" t="str">
        <x:v>IP-002</x:v>
      </x:c>
      <x:c r="B6" s="24" t="str">
        <x:v>VRM Games</x:v>
      </x:c>
      <x:c r="C6" s="24" t="str">
        <x:v>Studio/trade name</x:v>
      </x:c>
      <x:c r="D6" s="24" t="str">
        <x:v>Blas Luis Rocha González</x:v>
      </x:c>
      <x:c r="E6" s="24" t="str">
        <x:v>Internal studio name</x:v>
      </x:c>
      <x:c r="F6" s="24" t="str">
        <x:v>Spain/international</x:v>
      </x:c>
      <x:c r="G6" s="24" t="str">
        <x:v>Game development/publishing</x:v>
      </x:c>
      <x:c r="H6" s="24" t="str">
        <x:v>Not evidenced</x:v>
      </x:c>
      <x:c r="I6" s="24" t="str">
        <x:v>Not evidenced</x:v>
      </x:c>
      <x:c r="J6" s="24" t="str">
        <x:v>Internal/provisional</x:v>
      </x:c>
      <x:c r="K6" s="24" t="str">
        <x:v>CLEARANCE REQUIRED</x:v>
      </x:c>
      <x:c r="L6" s="24" t="str">
        <x:v>High</x:v>
      </x:c>
      <x:c r="M6" s="24" t="str">
        <x:v>Not assessed</x:v>
      </x:c>
      <x:c r="N6" s="24" t="str">
        <x:v>Verify legal entity/trade-name and platform account consistency</x:v>
      </x:c>
      <x:c r="O6" s="24" t="str">
        <x:v>Document metadata</x:v>
      </x:c>
      <x:c r="P6" s="24" t="str">
        <x:v>VRM Games</x:v>
      </x:c>
      <x:c r="Q6" s="24" t="str">
        <x:v>Name/trademark/domain/social search</x:v>
      </x:c>
      <x:c r="R6" s="24" t="str">
        <x:v>The acronym may have uses in other sectors; formal review required.</x:v>
      </x:c>
    </x:row>
    <x:row r="7" ht="34" customHeight="1">
      <x:c r="A7" s="24" t="str">
        <x:v>IP-P1-001</x:v>
      </x:c>
      <x:c r="B7" s="24" t="str">
        <x:v>Neon Drift</x:v>
      </x:c>
      <x:c r="C7" s="24" t="str">
        <x:v>Fictitious product/game/hardware name</x:v>
      </x:c>
      <x:c r="D7" s="24" t="str">
        <x:v>VRM Games / Blas Luis Rocha González</x:v>
      </x:c>
      <x:c r="E7" s="24" t="str">
        <x:v>Internal ContentCatalog naming</x:v>
      </x:c>
      <x:c r="F7" s="24" t="str">
        <x:v>In-game fictional market</x:v>
      </x:c>
      <x:c r="G7" s="24" t="str">
        <x:v>Fictional consumer electronics/games</x:v>
      </x:c>
      <x:c r="H7" s="24" t="str">
        <x:v>Not evidenced</x:v>
      </x:c>
      <x:c r="I7" s="24" t="str">
        <x:v>Not planned unless marketing requires</x:v>
      </x:c>
      <x:c r="J7" s="24" t="str">
        <x:v>Internal game content</x:v>
      </x:c>
      <x:c r="K7" s="24" t="str">
        <x:v>FICTIONAL / SIMILARITY REVIEW</x:v>
      </x:c>
      <x:c r="L7" s="24" t="str">
        <x:v>Medium</x:v>
      </x:c>
      <x:c r="M7" s="24" t="str">
        <x:v>None documented</x:v>
      </x:c>
      <x:c r="N7" s="24" t="str">
        <x:v>Avoid real logos, packaging and confusing similarity</x:v>
      </x:c>
      <x:c r="O7" s="24" t="str">
        <x:v>Assets/_Project/Data/Catalogs/ContentCatalog.asset</x:v>
      </x:c>
      <x:c r="P7" s="24" t="str">
        <x:v>VRM Games</x:v>
      </x:c>
      <x:c r="Q7" s="24" t="str">
        <x:v>Search names before public store/marketing exposure</x:v>
      </x:c>
      <x:c r="R7" s="24" t="str">
        <x:v>productId=game-neon-drift; labelId=label-neon-drift</x:v>
      </x:c>
    </x:row>
    <x:row r="8" ht="34" customHeight="1">
      <x:c r="A8" s="24" t="str">
        <x:v>IP-P1-002</x:v>
      </x:c>
      <x:c r="B8" s="24" t="str">
        <x:v>Cloud Runner Case</x:v>
      </x:c>
      <x:c r="C8" s="24" t="str">
        <x:v>Fictitious product/game/hardware name</x:v>
      </x:c>
      <x:c r="D8" s="24" t="str">
        <x:v>VRM Games / Blas Luis Rocha González</x:v>
      </x:c>
      <x:c r="E8" s="24" t="str">
        <x:v>Internal ContentCatalog naming</x:v>
      </x:c>
      <x:c r="F8" s="24" t="str">
        <x:v>In-game fictional market</x:v>
      </x:c>
      <x:c r="G8" s="24" t="str">
        <x:v>Fictional consumer electronics/games</x:v>
      </x:c>
      <x:c r="H8" s="24" t="str">
        <x:v>Not evidenced</x:v>
      </x:c>
      <x:c r="I8" s="24" t="str">
        <x:v>Not planned unless marketing requires</x:v>
      </x:c>
      <x:c r="J8" s="24" t="str">
        <x:v>Internal game content</x:v>
      </x:c>
      <x:c r="K8" s="24" t="str">
        <x:v>FICTIONAL / SIMILARITY REVIEW</x:v>
      </x:c>
      <x:c r="L8" s="24" t="str">
        <x:v>Medium</x:v>
      </x:c>
      <x:c r="M8" s="24" t="str">
        <x:v>None documented</x:v>
      </x:c>
      <x:c r="N8" s="24" t="str">
        <x:v>Avoid real logos, packaging and confusing similarity</x:v>
      </x:c>
      <x:c r="O8" s="24" t="str">
        <x:v>Assets/_Project/Data/Catalogs/ContentCatalog.asset</x:v>
      </x:c>
      <x:c r="P8" s="24" t="str">
        <x:v>VRM Games</x:v>
      </x:c>
      <x:c r="Q8" s="24" t="str">
        <x:v>Search names before public store/marketing exposure</x:v>
      </x:c>
      <x:c r="R8" s="24" t="str">
        <x:v>productId=case-cloud-runner; labelId=label-cloud-runner</x:v>
      </x:c>
    </x:row>
    <x:row r="9" ht="34" customHeight="1">
      <x:c r="A9" s="24" t="str">
        <x:v>IP-P1-003</x:v>
      </x:c>
      <x:c r="B9" s="24" t="str">
        <x:v>Vertex One Console</x:v>
      </x:c>
      <x:c r="C9" s="24" t="str">
        <x:v>Fictitious product/game/hardware name</x:v>
      </x:c>
      <x:c r="D9" s="24" t="str">
        <x:v>VRM Games / Blas Luis Rocha González</x:v>
      </x:c>
      <x:c r="E9" s="24" t="str">
        <x:v>Internal ContentCatalog naming</x:v>
      </x:c>
      <x:c r="F9" s="24" t="str">
        <x:v>In-game fictional market</x:v>
      </x:c>
      <x:c r="G9" s="24" t="str">
        <x:v>Fictional consumer electronics/games</x:v>
      </x:c>
      <x:c r="H9" s="24" t="str">
        <x:v>Not evidenced</x:v>
      </x:c>
      <x:c r="I9" s="24" t="str">
        <x:v>Not planned unless marketing requires</x:v>
      </x:c>
      <x:c r="J9" s="24" t="str">
        <x:v>Internal game content</x:v>
      </x:c>
      <x:c r="K9" s="24" t="str">
        <x:v>FICTIONAL / SIMILARITY REVIEW</x:v>
      </x:c>
      <x:c r="L9" s="24" t="str">
        <x:v>Medium</x:v>
      </x:c>
      <x:c r="M9" s="24" t="str">
        <x:v>None documented</x:v>
      </x:c>
      <x:c r="N9" s="24" t="str">
        <x:v>Avoid real logos, packaging and confusing similarity</x:v>
      </x:c>
      <x:c r="O9" s="24" t="str">
        <x:v>Assets/_Project/Data/Catalogs/ContentCatalog.asset</x:v>
      </x:c>
      <x:c r="P9" s="24" t="str">
        <x:v>VRM Games</x:v>
      </x:c>
      <x:c r="Q9" s="24" t="str">
        <x:v>Search names before public store/marketing exposure</x:v>
      </x:c>
      <x:c r="R9" s="24" t="str">
        <x:v>productId=console-vertex-one; labelId=label-vertex-one</x:v>
      </x:c>
    </x:row>
    <x:row r="10" ht="34" customHeight="1">
      <x:c r="A10" s="24" t="str">
        <x:v>IP-P1-004</x:v>
      </x:c>
      <x:c r="B10" s="24" t="str">
        <x:v>Orbit Pad Controller</x:v>
      </x:c>
      <x:c r="C10" s="24" t="str">
        <x:v>Fictitious product/game/hardware name</x:v>
      </x:c>
      <x:c r="D10" s="24" t="str">
        <x:v>VRM Games / Blas Luis Rocha González</x:v>
      </x:c>
      <x:c r="E10" s="24" t="str">
        <x:v>Internal ContentCatalog naming</x:v>
      </x:c>
      <x:c r="F10" s="24" t="str">
        <x:v>In-game fictional market</x:v>
      </x:c>
      <x:c r="G10" s="24" t="str">
        <x:v>Fictional consumer electronics/games</x:v>
      </x:c>
      <x:c r="H10" s="24" t="str">
        <x:v>Not evidenced</x:v>
      </x:c>
      <x:c r="I10" s="24" t="str">
        <x:v>Not planned unless marketing requires</x:v>
      </x:c>
      <x:c r="J10" s="24" t="str">
        <x:v>Internal game content</x:v>
      </x:c>
      <x:c r="K10" s="24" t="str">
        <x:v>FICTIONAL / SIMILARITY REVIEW</x:v>
      </x:c>
      <x:c r="L10" s="24" t="str">
        <x:v>Medium</x:v>
      </x:c>
      <x:c r="M10" s="24" t="str">
        <x:v>None documented</x:v>
      </x:c>
      <x:c r="N10" s="24" t="str">
        <x:v>Avoid real logos, packaging and confusing similarity</x:v>
      </x:c>
      <x:c r="O10" s="24" t="str">
        <x:v>Assets/_Project/Data/Catalogs/ContentCatalog.asset</x:v>
      </x:c>
      <x:c r="P10" s="24" t="str">
        <x:v>VRM Games</x:v>
      </x:c>
      <x:c r="Q10" s="24" t="str">
        <x:v>Search names before public store/marketing exposure</x:v>
      </x:c>
      <x:c r="R10" s="24" t="str">
        <x:v>productId=controller-orbit-pad; labelId=label-orbit-pad</x:v>
      </x:c>
    </x:row>
    <x:row r="11" ht="34" customHeight="1">
      <x:c r="A11" s="24" t="str">
        <x:v>IP-P1-005</x:v>
      </x:c>
      <x:c r="B11" s="24" t="str">
        <x:v>Signal Pro Headset</x:v>
      </x:c>
      <x:c r="C11" s="24" t="str">
        <x:v>Fictitious product/game/hardware name</x:v>
      </x:c>
      <x:c r="D11" s="24" t="str">
        <x:v>VRM Games / Blas Luis Rocha González</x:v>
      </x:c>
      <x:c r="E11" s="24" t="str">
        <x:v>Internal ContentCatalog naming</x:v>
      </x:c>
      <x:c r="F11" s="24" t="str">
        <x:v>In-game fictional market</x:v>
      </x:c>
      <x:c r="G11" s="24" t="str">
        <x:v>Fictional consumer electronics/games</x:v>
      </x:c>
      <x:c r="H11" s="24" t="str">
        <x:v>Not evidenced</x:v>
      </x:c>
      <x:c r="I11" s="24" t="str">
        <x:v>Not planned unless marketing requires</x:v>
      </x:c>
      <x:c r="J11" s="24" t="str">
        <x:v>Internal game content</x:v>
      </x:c>
      <x:c r="K11" s="24" t="str">
        <x:v>FICTIONAL / SIMILARITY REVIEW</x:v>
      </x:c>
      <x:c r="L11" s="24" t="str">
        <x:v>Medium</x:v>
      </x:c>
      <x:c r="M11" s="24" t="str">
        <x:v>None documented</x:v>
      </x:c>
      <x:c r="N11" s="24" t="str">
        <x:v>Avoid real logos, packaging and confusing similarity</x:v>
      </x:c>
      <x:c r="O11" s="24" t="str">
        <x:v>Assets/_Project/Data/Catalogs/ContentCatalog.asset</x:v>
      </x:c>
      <x:c r="P11" s="24" t="str">
        <x:v>VRM Games</x:v>
      </x:c>
      <x:c r="Q11" s="24" t="str">
        <x:v>Search names before public store/marketing exposure</x:v>
      </x:c>
      <x:c r="R11" s="24" t="str">
        <x:v>productId=headset-signal-pro; labelId=label-signal-pro</x:v>
      </x:c>
    </x:row>
    <x:row r="12" ht="34" customHeight="1">
      <x:c r="A12" s="24" t="str">
        <x:v>IP-P1-006</x:v>
      </x:c>
      <x:c r="B12" s="24" t="str">
        <x:v>Memory Core Accessory</x:v>
      </x:c>
      <x:c r="C12" s="24" t="str">
        <x:v>Fictitious product/game/hardware name</x:v>
      </x:c>
      <x:c r="D12" s="24" t="str">
        <x:v>VRM Games / Blas Luis Rocha González</x:v>
      </x:c>
      <x:c r="E12" s="24" t="str">
        <x:v>Internal ContentCatalog naming</x:v>
      </x:c>
      <x:c r="F12" s="24" t="str">
        <x:v>In-game fictional market</x:v>
      </x:c>
      <x:c r="G12" s="24" t="str">
        <x:v>Fictional consumer electronics/games</x:v>
      </x:c>
      <x:c r="H12" s="24" t="str">
        <x:v>Not evidenced</x:v>
      </x:c>
      <x:c r="I12" s="24" t="str">
        <x:v>Not planned unless marketing requires</x:v>
      </x:c>
      <x:c r="J12" s="24" t="str">
        <x:v>Internal game content</x:v>
      </x:c>
      <x:c r="K12" s="24" t="str">
        <x:v>FICTIONAL / SIMILARITY REVIEW</x:v>
      </x:c>
      <x:c r="L12" s="24" t="str">
        <x:v>Medium</x:v>
      </x:c>
      <x:c r="M12" s="24" t="str">
        <x:v>None documented</x:v>
      </x:c>
      <x:c r="N12" s="24" t="str">
        <x:v>Avoid real logos, packaging and confusing similarity</x:v>
      </x:c>
      <x:c r="O12" s="24" t="str">
        <x:v>Assets/_Project/Data/Catalogs/ContentCatalog.asset</x:v>
      </x:c>
      <x:c r="P12" s="24" t="str">
        <x:v>VRM Games</x:v>
      </x:c>
      <x:c r="Q12" s="24" t="str">
        <x:v>Search names before public store/marketing exposure</x:v>
      </x:c>
      <x:c r="R12" s="24" t="str">
        <x:v>productId=accessory-memory-core; labelId=label-memory-core</x:v>
      </x:c>
    </x:row>
    <x:row r="13" ht="34" customHeight="1">
      <x:c r="A13" s="24" t="str">
        <x:v>IP-TEC-001</x:v>
      </x:c>
      <x:c r="B13" s="24" t="str">
        <x:v>cartridge-cloud-racers</x:v>
      </x:c>
      <x:c r="C13" s="24" t="str">
        <x:v>Technical fictional product ID/name</x:v>
      </x:c>
      <x:c r="D13" s="24" t="str">
        <x:v>VRM Games / Blas Luis Rocha González</x:v>
      </x:c>
      <x:c r="E13" s="24" t="str">
        <x:v>Internal technical catalog</x:v>
      </x:c>
      <x:c r="F13" s="24" t="str">
        <x:v>In-game/internal data</x:v>
      </x:c>
      <x:c r="G13" s="24" t="str">
        <x:v>video-game</x:v>
      </x:c>
      <x:c r="H13" s="24" t="str">
        <x:v>Not evidenced</x:v>
      </x:c>
      <x:c r="I13" s="24" t="str">
        <x:v>No</x:v>
      </x:c>
      <x:c r="J13" s="24" t="str">
        <x:v>Internal/technical</x:v>
      </x:c>
      <x:c r="K13" s="24" t="str">
        <x:v>TECHNICAL / MIGRATION REVIEW</x:v>
      </x:c>
      <x:c r="L13" s="24" t="str">
        <x:v>Medium</x:v>
      </x:c>
      <x:c r="M13" s="24" t="str">
        <x:v>May overlap conceptually with Phase 1 names</x:v>
      </x:c>
      <x:c r="N13" s="24" t="str">
        <x:v>Do not expose raw ID to players</x:v>
      </x:c>
      <x:c r="O13" s="24" t="str">
        <x:v>Assets/_Project/Data/Products/Technical/CC_Product_CloudRacers.asset</x:v>
      </x:c>
      <x:c r="P13" s="24" t="str">
        <x:v>VRM Games</x:v>
      </x:c>
      <x:c r="Q13" s="24" t="str">
        <x:v>Map to canonical product and clear final display name</x:v>
      </x:c>
      <x:c r="R13" s="24" t="str">
        <x:v>display key=products.cartridge_cloud_racers.name</x:v>
      </x:c>
    </x:row>
    <x:row r="14" ht="34" customHeight="1">
      <x:c r="A14" s="24" t="str">
        <x:v>IP-TEC-002</x:v>
      </x:c>
      <x:c r="B14" s="24" t="str">
        <x:v>cartridge-pixel-quest</x:v>
      </x:c>
      <x:c r="C14" s="24" t="str">
        <x:v>Technical fictional product ID/name</x:v>
      </x:c>
      <x:c r="D14" s="24" t="str">
        <x:v>VRM Games / Blas Luis Rocha González</x:v>
      </x:c>
      <x:c r="E14" s="24" t="str">
        <x:v>Internal technical catalog</x:v>
      </x:c>
      <x:c r="F14" s="24" t="str">
        <x:v>In-game/internal data</x:v>
      </x:c>
      <x:c r="G14" s="24" t="str">
        <x:v>video-game</x:v>
      </x:c>
      <x:c r="H14" s="24" t="str">
        <x:v>Not evidenced</x:v>
      </x:c>
      <x:c r="I14" s="24" t="str">
        <x:v>No</x:v>
      </x:c>
      <x:c r="J14" s="24" t="str">
        <x:v>Internal/technical</x:v>
      </x:c>
      <x:c r="K14" s="24" t="str">
        <x:v>TECHNICAL / MIGRATION REVIEW</x:v>
      </x:c>
      <x:c r="L14" s="24" t="str">
        <x:v>Medium</x:v>
      </x:c>
      <x:c r="M14" s="24" t="str">
        <x:v>May overlap conceptually with Phase 1 names</x:v>
      </x:c>
      <x:c r="N14" s="24" t="str">
        <x:v>Do not expose raw ID to players</x:v>
      </x:c>
      <x:c r="O14" s="24" t="str">
        <x:v>Assets/_Project/Data/Products/Technical/CC_Product_PixelQuest.asset</x:v>
      </x:c>
      <x:c r="P14" s="24" t="str">
        <x:v>VRM Games</x:v>
      </x:c>
      <x:c r="Q14" s="24" t="str">
        <x:v>Map to canonical product and clear final display name</x:v>
      </x:c>
      <x:c r="R14" s="24" t="str">
        <x:v>display key=products.cartridge_pixel_quest.name</x:v>
      </x:c>
    </x:row>
    <x:row r="15" ht="34" customHeight="1">
      <x:c r="A15" s="24" t="str">
        <x:v>IP-TEC-003</x:v>
      </x:c>
      <x:c r="B15" s="24" t="str">
        <x:v>collectible-cloud-hero</x:v>
      </x:c>
      <x:c r="C15" s="24" t="str">
        <x:v>Technical fictional product ID/name</x:v>
      </x:c>
      <x:c r="D15" s="24" t="str">
        <x:v>VRM Games / Blas Luis Rocha González</x:v>
      </x:c>
      <x:c r="E15" s="24" t="str">
        <x:v>Internal technical catalog</x:v>
      </x:c>
      <x:c r="F15" s="24" t="str">
        <x:v>In-game/internal data</x:v>
      </x:c>
      <x:c r="G15" s="24" t="str">
        <x:v>collectible</x:v>
      </x:c>
      <x:c r="H15" s="24" t="str">
        <x:v>Not evidenced</x:v>
      </x:c>
      <x:c r="I15" s="24" t="str">
        <x:v>No</x:v>
      </x:c>
      <x:c r="J15" s="24" t="str">
        <x:v>Internal/technical</x:v>
      </x:c>
      <x:c r="K15" s="24" t="str">
        <x:v>TECHNICAL / MIGRATION REVIEW</x:v>
      </x:c>
      <x:c r="L15" s="24" t="str">
        <x:v>Medium</x:v>
      </x:c>
      <x:c r="M15" s="24" t="str">
        <x:v>May overlap conceptually with Phase 1 names</x:v>
      </x:c>
      <x:c r="N15" s="24" t="str">
        <x:v>Do not expose raw ID to players</x:v>
      </x:c>
      <x:c r="O15" s="24" t="str">
        <x:v>Assets/_Project/Data/Products/Technical/CC_Product_CloudHero.asset</x:v>
      </x:c>
      <x:c r="P15" s="24" t="str">
        <x:v>VRM Games</x:v>
      </x:c>
      <x:c r="Q15" s="24" t="str">
        <x:v>Map to canonical product and clear final display name</x:v>
      </x:c>
      <x:c r="R15" s="24" t="str">
        <x:v>display key=products.collectible_cloud_hero.name</x:v>
      </x:c>
    </x:row>
    <x:row r="16" ht="34" customHeight="1">
      <x:c r="A16" s="24" t="str">
        <x:v>IP-TEC-004</x:v>
      </x:c>
      <x:c r="B16" s="24" t="str">
        <x:v>console-nebula-8</x:v>
      </x:c>
      <x:c r="C16" s="24" t="str">
        <x:v>Technical fictional product ID/name</x:v>
      </x:c>
      <x:c r="D16" s="24" t="str">
        <x:v>VRM Games / Blas Luis Rocha González</x:v>
      </x:c>
      <x:c r="E16" s="24" t="str">
        <x:v>Internal technical catalog</x:v>
      </x:c>
      <x:c r="F16" s="24" t="str">
        <x:v>In-game/internal data</x:v>
      </x:c>
      <x:c r="G16" s="24" t="str">
        <x:v>console</x:v>
      </x:c>
      <x:c r="H16" s="24" t="str">
        <x:v>Not evidenced</x:v>
      </x:c>
      <x:c r="I16" s="24" t="str">
        <x:v>No</x:v>
      </x:c>
      <x:c r="J16" s="24" t="str">
        <x:v>Internal/technical</x:v>
      </x:c>
      <x:c r="K16" s="24" t="str">
        <x:v>TECHNICAL / MIGRATION REVIEW</x:v>
      </x:c>
      <x:c r="L16" s="24" t="str">
        <x:v>Medium</x:v>
      </x:c>
      <x:c r="M16" s="24" t="str">
        <x:v>May overlap conceptually with Phase 1 names</x:v>
      </x:c>
      <x:c r="N16" s="24" t="str">
        <x:v>Do not expose raw ID to players</x:v>
      </x:c>
      <x:c r="O16" s="24" t="str">
        <x:v>Assets/_Project/Data/Products/Technical/CC_Product_Nebula8.asset</x:v>
      </x:c>
      <x:c r="P16" s="24" t="str">
        <x:v>VRM Games</x:v>
      </x:c>
      <x:c r="Q16" s="24" t="str">
        <x:v>Map to canonical product and clear final display name</x:v>
      </x:c>
      <x:c r="R16" s="24" t="str">
        <x:v>display key=products.console_nebula_8.name</x:v>
      </x:c>
    </x:row>
    <x:row r="17" ht="34" customHeight="1">
      <x:c r="A17" s="24" t="str">
        <x:v>IP-TEC-005</x:v>
      </x:c>
      <x:c r="B17" s="24" t="str">
        <x:v>controller-orbit-pad</x:v>
      </x:c>
      <x:c r="C17" s="24" t="str">
        <x:v>Technical fictional product ID/name</x:v>
      </x:c>
      <x:c r="D17" s="24" t="str">
        <x:v>VRM Games / Blas Luis Rocha González</x:v>
      </x:c>
      <x:c r="E17" s="24" t="str">
        <x:v>Internal technical catalog</x:v>
      </x:c>
      <x:c r="F17" s="24" t="str">
        <x:v>In-game/internal data</x:v>
      </x:c>
      <x:c r="G17" s="24" t="str">
        <x:v>accessory</x:v>
      </x:c>
      <x:c r="H17" s="24" t="str">
        <x:v>Not evidenced</x:v>
      </x:c>
      <x:c r="I17" s="24" t="str">
        <x:v>No</x:v>
      </x:c>
      <x:c r="J17" s="24" t="str">
        <x:v>Internal/technical</x:v>
      </x:c>
      <x:c r="K17" s="24" t="str">
        <x:v>TECHNICAL / MIGRATION REVIEW</x:v>
      </x:c>
      <x:c r="L17" s="24" t="str">
        <x:v>Medium</x:v>
      </x:c>
      <x:c r="M17" s="24" t="str">
        <x:v>May overlap conceptually with Phase 1 names</x:v>
      </x:c>
      <x:c r="N17" s="24" t="str">
        <x:v>Do not expose raw ID to players</x:v>
      </x:c>
      <x:c r="O17" s="24" t="str">
        <x:v>Assets/_Project/Data/Products/Technical/CC_Product_OrbitPad.asset</x:v>
      </x:c>
      <x:c r="P17" s="24" t="str">
        <x:v>VRM Games</x:v>
      </x:c>
      <x:c r="Q17" s="24" t="str">
        <x:v>Map to canonical product and clear final display name</x:v>
      </x:c>
      <x:c r="R17" s="24" t="str">
        <x:v>display key=products.controller_orbit_pad.name</x:v>
      </x:c>
    </x:row>
    <x:row r="18" ht="34" customHeight="1">
      <x:c r="A18" s="24" t="str">
        <x:v>IP-TEC-006</x:v>
      </x:c>
      <x:c r="B18" s="24" t="str">
        <x:v>memory-card-64</x:v>
      </x:c>
      <x:c r="C18" s="24" t="str">
        <x:v>Technical fictional product ID/name</x:v>
      </x:c>
      <x:c r="D18" s="24" t="str">
        <x:v>VRM Games / Blas Luis Rocha González</x:v>
      </x:c>
      <x:c r="E18" s="24" t="str">
        <x:v>Internal technical catalog</x:v>
      </x:c>
      <x:c r="F18" s="24" t="str">
        <x:v>In-game/internal data</x:v>
      </x:c>
      <x:c r="G18" s="24" t="str">
        <x:v>accessory</x:v>
      </x:c>
      <x:c r="H18" s="24" t="str">
        <x:v>Not evidenced</x:v>
      </x:c>
      <x:c r="I18" s="24" t="str">
        <x:v>No</x:v>
      </x:c>
      <x:c r="J18" s="24" t="str">
        <x:v>Internal/technical</x:v>
      </x:c>
      <x:c r="K18" s="24" t="str">
        <x:v>TECHNICAL / MIGRATION REVIEW</x:v>
      </x:c>
      <x:c r="L18" s="24" t="str">
        <x:v>Medium</x:v>
      </x:c>
      <x:c r="M18" s="24" t="str">
        <x:v>May overlap conceptually with Phase 1 names</x:v>
      </x:c>
      <x:c r="N18" s="24" t="str">
        <x:v>Do not expose raw ID to players</x:v>
      </x:c>
      <x:c r="O18" s="24" t="str">
        <x:v>Assets/_Project/Data/Products/Technical/CC_Product_MemoryCard64.asset</x:v>
      </x:c>
      <x:c r="P18" s="24" t="str">
        <x:v>VRM Games</x:v>
      </x:c>
      <x:c r="Q18" s="24" t="str">
        <x:v>Map to canonical product and clear final display name</x:v>
      </x:c>
      <x:c r="R18" s="24" t="str">
        <x:v>display key=products.memory_card_64.name</x:v>
      </x:c>
    </x:row>
    <x:row r="19" ht="34" customHeight="1">
      <x:c r="A19" s="24" t="str">
        <x:v>IP-SUP-001</x:v>
      </x:c>
      <x:c r="B19" s="24" t="str">
        <x:v>supplier-nebula-distribution</x:v>
      </x:c>
      <x:c r="C19" s="24" t="str">
        <x:v>Fictitious supplier/logistics brand</x:v>
      </x:c>
      <x:c r="D19" s="24" t="str">
        <x:v>VRM Games / Blas Luis Rocha González</x:v>
      </x:c>
      <x:c r="E19" s="24" t="str">
        <x:v>Internal technical supplier catalog</x:v>
      </x:c>
      <x:c r="F19" s="24" t="str">
        <x:v>In-game fictional market</x:v>
      </x:c>
      <x:c r="G19" s="24" t="str">
        <x:v>Wholesale/logistics</x:v>
      </x:c>
      <x:c r="H19" s="24" t="str">
        <x:v>Not evidenced</x:v>
      </x:c>
      <x:c r="I19" s="24" t="str">
        <x:v>No</x:v>
      </x:c>
      <x:c r="J19" s="24" t="str">
        <x:v>Internal game content</x:v>
      </x:c>
      <x:c r="K19" s="24" t="str">
        <x:v>FICTIONAL / SIMILARITY REVIEW</x:v>
      </x:c>
      <x:c r="L19" s="24" t="str">
        <x:v>Medium</x:v>
      </x:c>
      <x:c r="M19" s="24" t="str">
        <x:v>None documented</x:v>
      </x:c>
      <x:c r="N19" s="24" t="str">
        <x:v>Avoid similarity to real distributors/couriers</x:v>
      </x:c>
      <x:c r="O19" s="24" t="str">
        <x:v>Assets/_Project/Data/Suppliers/Technical/CC_Supplier_NebulaDistribution.asset</x:v>
      </x:c>
      <x:c r="P19" s="24" t="str">
        <x:v>VRM Games</x:v>
      </x:c>
      <x:c r="Q19" s="24" t="str">
        <x:v>Final naming and visual identity clearance</x:v>
      </x:c>
      <x:c r="R19" s="24" t="str">
        <x:v>display key=suppliers.nebula_distribution.name</x:v>
      </x:c>
    </x:row>
    <x:row r="20" ht="34" customHeight="1">
      <x:c r="A20" s="24" t="str">
        <x:v>IP-SUP-002</x:v>
      </x:c>
      <x:c r="B20" s="24" t="str">
        <x:v>supplier-pixel-parcel</x:v>
      </x:c>
      <x:c r="C20" s="24" t="str">
        <x:v>Fictitious supplier/logistics brand</x:v>
      </x:c>
      <x:c r="D20" s="24" t="str">
        <x:v>VRM Games / Blas Luis Rocha González</x:v>
      </x:c>
      <x:c r="E20" s="24" t="str">
        <x:v>Internal technical supplier catalog</x:v>
      </x:c>
      <x:c r="F20" s="24" t="str">
        <x:v>In-game fictional market</x:v>
      </x:c>
      <x:c r="G20" s="24" t="str">
        <x:v>Wholesale/logistics</x:v>
      </x:c>
      <x:c r="H20" s="24" t="str">
        <x:v>Not evidenced</x:v>
      </x:c>
      <x:c r="I20" s="24" t="str">
        <x:v>No</x:v>
      </x:c>
      <x:c r="J20" s="24" t="str">
        <x:v>Internal game content</x:v>
      </x:c>
      <x:c r="K20" s="24" t="str">
        <x:v>FICTIONAL / SIMILARITY REVIEW</x:v>
      </x:c>
      <x:c r="L20" s="24" t="str">
        <x:v>Medium</x:v>
      </x:c>
      <x:c r="M20" s="24" t="str">
        <x:v>None documented</x:v>
      </x:c>
      <x:c r="N20" s="24" t="str">
        <x:v>Avoid similarity to real distributors/couriers</x:v>
      </x:c>
      <x:c r="O20" s="24" t="str">
        <x:v>Assets/_Project/Data/Suppliers/Technical/CC_Supplier_PixelParcel.asset</x:v>
      </x:c>
      <x:c r="P20" s="24" t="str">
        <x:v>VRM Games</x:v>
      </x:c>
      <x:c r="Q20" s="24" t="str">
        <x:v>Final naming and visual identity clearance</x:v>
      </x:c>
      <x:c r="R20" s="24" t="str">
        <x:v>display key=suppliers.pixel_parcel.name</x:v>
      </x:c>
    </x:row>
  </x:sheetData>
  <x:mergeCells>
    <x:mergeCell ref="A1:R1"/>
    <x:mergeCell ref="A2:R2"/>
  </x:mergeCells>
  <x:conditionalFormatting sqref="K5:K20">
    <x:cfRule type="expression" dxfId="76" priority="1">
      <x:formula>OR(ISNUMBER(SEARCH("APPROVED",K5)),ISNUMBER(SEARCH("READY",K5)),ISNUMBER(SEARCH("ACTIVE",K5)),ISNUMBER(SEARCH("VERIFIED",K5)))</x:formula>
    </x:cfRule>
    <x:cfRule type="expression" dxfId="77" priority="2">
      <x:formula>OR(ISNUMBER(SEARCH("BLOCK",K5)),ISNUMBER(SEARCH("PROHIBITED",K5)),ISNUMBER(SEARCH("CRITICAL",K5)),ISNUMBER(SEARCH("MISSING",K5)))</x:formula>
    </x:cfRule>
    <x:cfRule type="expression" dxfId="78" priority="3">
      <x:formula>OR(ISNUMBER(SEARCH("PENDING",K5)),ISNUMBER(SEARCH("PARTIAL",K5)),ISNUMBER(SEARCH("REVIEW",K5)),ISNUMBER(SEARCH("CONDITIONAL",K5)))</x:formula>
    </x:cfRule>
    <x:cfRule type="expression" dxfId="79" priority="4">
      <x:formula>OR(ISNUMBER(SEARCH("HISTORICAL",K5)),ISNUMBER(SEARCH("VISION",K5)),ISNUMBER(SEARCH("OPTIONAL",K5)))</x:formula>
    </x:cfRule>
  </x:conditionalFormatting>
  <x:conditionalFormatting sqref="L5:L20">
    <x:cfRule type="expression" dxfId="80" priority="5">
      <x:formula>OR(ISNUMBER(SEARCH("APPROVED",L5)),ISNUMBER(SEARCH("READY",L5)),ISNUMBER(SEARCH("ACTIVE",L5)),ISNUMBER(SEARCH("VERIFIED",L5)))</x:formula>
    </x:cfRule>
    <x:cfRule type="expression" dxfId="81" priority="6">
      <x:formula>OR(ISNUMBER(SEARCH("BLOCK",L5)),ISNUMBER(SEARCH("PROHIBITED",L5)),ISNUMBER(SEARCH("CRITICAL",L5)),ISNUMBER(SEARCH("MISSING",L5)))</x:formula>
    </x:cfRule>
    <x:cfRule type="expression" dxfId="82" priority="7">
      <x:formula>OR(ISNUMBER(SEARCH("PENDING",L5)),ISNUMBER(SEARCH("PARTIAL",L5)),ISNUMBER(SEARCH("REVIEW",L5)),ISNUMBER(SEARCH("CONDITIONAL",L5)))</x:formula>
    </x:cfRule>
    <x:cfRule type="expression" dxfId="83" priority="8">
      <x:formula>OR(ISNUMBER(SEARCH("HISTORICAL",L5)),ISNUMBER(SEARCH("VISION",L5)),ISNUMBER(SEARCH("OPTIONAL",L5)))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7e8fd322c84ed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8" hidden="0" customWidth="1"/>
    <x:col min="4" max="4" width="34" hidden="0" customWidth="1"/>
    <x:col min="5" max="5" width="28" hidden="0" customWidth="1"/>
    <x:col min="6" max="6" width="14" hidden="0" customWidth="1"/>
    <x:col min="7" max="7" width="40" hidden="0" customWidth="1"/>
    <x:col min="8" max="8" width="20" hidden="0" customWidth="1"/>
    <x:col min="9" max="9" width="12" hidden="0" customWidth="1"/>
    <x:col min="10" max="10" width="54" hidden="0" customWidth="1"/>
    <x:col min="11" max="11" width="80" hidden="0" customWidth="1"/>
    <x:col min="12" max="12" width="24" hidden="0" customWidth="1"/>
    <x:col min="13" max="13" width="55" hidden="0" customWidth="1"/>
  </x:cols>
  <x:sheetData>
    <x:row r="1" ht="30" customHeight="1">
      <x:c r="A1" s="4" t="str">
        <x:v>Registro de créditos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2" customHeight="1">
      <x:c r="A2" s="10" t="str">
        <x:v>Secciones, roles, wording, obligatoriedad, consentimiento y estado.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4" ht="38" customHeight="1">
      <x:c r="A4" s="17" t="str">
        <x:v>Credit ID</x:v>
      </x:c>
      <x:c r="B4" s="17" t="str">
        <x:v>Sección</x:v>
      </x:c>
      <x:c r="C4" s="17" t="str">
        <x:v>Rol</x:v>
      </x:c>
      <x:c r="D4" s="17" t="str">
        <x:v>Nombre</x:v>
      </x:c>
      <x:c r="E4" s="17" t="str">
        <x:v>Entidad</x:v>
      </x:c>
      <x:c r="F4" s="17" t="str">
        <x:v>Obligatorio</x:v>
      </x:c>
      <x:c r="G4" s="17" t="str">
        <x:v>Fuente</x:v>
      </x:c>
      <x:c r="H4" s="17" t="str">
        <x:v>Estado</x:v>
      </x:c>
      <x:c r="I4" s="17" t="str">
        <x:v>Orden</x:v>
      </x:c>
      <x:c r="J4" s="17" t="str">
        <x:v>Texto corto</x:v>
      </x:c>
      <x:c r="K4" s="17" t="str">
        <x:v>Texto largo</x:v>
      </x:c>
      <x:c r="L4" s="17" t="str">
        <x:v>Build/Release</x:v>
      </x:c>
      <x:c r="M4" s="17" t="str">
        <x:v>Notas</x:v>
      </x:c>
    </x:row>
    <x:row r="5" ht="34" customHeight="1">
      <x:c r="A5" s="24" t="str">
        <x:v>CR-001</x:v>
      </x:c>
      <x:c r="B5" s="24" t="str">
        <x:v>Core Team</x:v>
      </x:c>
      <x:c r="C5" s="24" t="str">
        <x:v>Creator / Game Director / Lead Developer</x:v>
      </x:c>
      <x:c r="D5" s="24" t="str">
        <x:v>Blas Luis Rocha González</x:v>
      </x:c>
      <x:c r="E5" s="24" t="str">
        <x:v>VRM Games</x:v>
      </x:c>
      <x:c r="F5" s="24" t="str">
        <x:v>Sí</x:v>
      </x:c>
      <x:c r="G5" s="24" t="str">
        <x:v>Project authorship</x:v>
      </x:c>
      <x:c r="H5" s="24" t="str">
        <x:v>READY</x:v>
      </x:c>
      <x:c r="I5" s="32" t="n">
        <x:v>10</x:v>
      </x:c>
      <x:c r="J5" s="24" t="str">
        <x:v>Created and developed by Blas Luis Rocha González / VRM Games</x:v>
      </x:c>
      <x:c r="K5" s="24" t="str">
        <x:v>Game direction, design, programming, production and project ownership: Blas Luis Rocha González / VRM Games.</x:v>
      </x:c>
      <x:c r="L5" s="24" t="str">
        <x:v>All public releases</x:v>
      </x:c>
      <x:c r="M5" s="24" t="str"/>
    </x:row>
    <x:row r="6" ht="34" customHeight="1">
      <x:c r="A6" s="24" t="str">
        <x:v>CR-002</x:v>
      </x:c>
      <x:c r="B6" s="24" t="str">
        <x:v>Design</x:v>
      </x:c>
      <x:c r="C6" s="24" t="str">
        <x:v>Game Design / Systems Design / Economy</x:v>
      </x:c>
      <x:c r="D6" s="24" t="str">
        <x:v>Blas Luis Rocha González</x:v>
      </x:c>
      <x:c r="E6" s="24" t="str">
        <x:v>VRM Games</x:v>
      </x:c>
      <x:c r="F6" s="24" t="str">
        <x:v>Sí</x:v>
      </x:c>
      <x:c r="G6" s="24" t="str">
        <x:v>Project authorship</x:v>
      </x:c>
      <x:c r="H6" s="24" t="str">
        <x:v>READY</x:v>
      </x:c>
      <x:c r="I6" s="32" t="n">
        <x:v>20</x:v>
      </x:c>
      <x:c r="J6" s="24" t="str">
        <x:v>Game Design — Blas Luis Rocha González</x:v>
      </x:c>
      <x:c r="K6" s="24" t="str">
        <x:v>Game design, systems, economy and balance by Blas Luis Rocha González.</x:v>
      </x:c>
      <x:c r="L6" s="24" t="str">
        <x:v>All public releases</x:v>
      </x:c>
      <x:c r="M6" s="24" t="str"/>
    </x:row>
    <x:row r="7" ht="34" customHeight="1">
      <x:c r="A7" s="24" t="str">
        <x:v>CR-003</x:v>
      </x:c>
      <x:c r="B7" s="24" t="str">
        <x:v>Engineering</x:v>
      </x:c>
      <x:c r="C7" s="24" t="str">
        <x:v>Programming / Technical Architecture</x:v>
      </x:c>
      <x:c r="D7" s="24" t="str">
        <x:v>Blas Luis Rocha González</x:v>
      </x:c>
      <x:c r="E7" s="24" t="str">
        <x:v>VRM Games</x:v>
      </x:c>
      <x:c r="F7" s="24" t="str">
        <x:v>Sí</x:v>
      </x:c>
      <x:c r="G7" s="24" t="str">
        <x:v>Repository/code</x:v>
      </x:c>
      <x:c r="H7" s="24" t="str">
        <x:v>READY</x:v>
      </x:c>
      <x:c r="I7" s="32" t="n">
        <x:v>30</x:v>
      </x:c>
      <x:c r="J7" s="24" t="str">
        <x:v>Programming — Blas Luis Rocha González</x:v>
      </x:c>
      <x:c r="K7" s="24" t="str">
        <x:v>Programming and technical architecture by Blas Luis Rocha González.</x:v>
      </x:c>
      <x:c r="L7" s="24" t="str">
        <x:v>All public releases</x:v>
      </x:c>
      <x:c r="M7" s="24" t="str"/>
    </x:row>
    <x:row r="8" ht="34" customHeight="1">
      <x:c r="A8" s="24" t="str">
        <x:v>CR-004</x:v>
      </x:c>
      <x:c r="B8" s="24" t="str">
        <x:v>Art</x:v>
      </x:c>
      <x:c r="C8" s="24" t="str">
        <x:v>Art Direction / 3D / UI</x:v>
      </x:c>
      <x:c r="D8" s="24" t="str">
        <x:v>VRM Games / contributors TBD</x:v>
      </x:c>
      <x:c r="E8" s="24" t="str">
        <x:v>VRM Games</x:v>
      </x:c>
      <x:c r="F8" s="24" t="str">
        <x:v>Sí</x:v>
      </x:c>
      <x:c r="G8" s="24" t="str">
        <x:v>Art records</x:v>
      </x:c>
      <x:c r="H8" s="24" t="str">
        <x:v>PARTIAL</x:v>
      </x:c>
      <x:c r="I8" s="32" t="n">
        <x:v>40</x:v>
      </x:c>
      <x:c r="J8" s="24" t="str">
        <x:v>Art Direction — VRM Games</x:v>
      </x:c>
      <x:c r="K8" s="24" t="str">
        <x:v>Art direction and internal representative assets by VRM Games. Additional individual credits to be completed from provenance records.</x:v>
      </x:c>
      <x:c r="L8" s="24" t="str">
        <x:v>Public candidate</x:v>
      </x:c>
      <x:c r="M8" s="24" t="str">
        <x:v>Do not omit individual contributors if introduced.</x:v>
      </x:c>
    </x:row>
    <x:row r="9" ht="34" customHeight="1">
      <x:c r="A9" s="24" t="str">
        <x:v>CR-005</x:v>
      </x:c>
      <x:c r="B9" s="24" t="str">
        <x:v>Audio</x:v>
      </x:c>
      <x:c r="C9" s="24" t="str">
        <x:v>Audio / Music / SFX</x:v>
      </x:c>
      <x:c r="D9" s="24" t="str">
        <x:v>TBD from per-clip provenance</x:v>
      </x:c>
      <x:c r="E9" s="24" t="str">
        <x:v>VRM Games / provider TBD</x:v>
      </x:c>
      <x:c r="F9" s="24" t="str">
        <x:v>Sí</x:v>
      </x:c>
      <x:c r="G9" s="24" t="str">
        <x:v>Audio register</x:v>
      </x:c>
      <x:c r="H9" s="24" t="str">
        <x:v>BLOCKED</x:v>
      </x:c>
      <x:c r="I9" s="32" t="n">
        <x:v>50</x:v>
      </x:c>
      <x:c r="J9" s="24" t="str">
        <x:v>Audio — TBD</x:v>
      </x:c>
      <x:c r="K9" s="24" t="str">
        <x:v>Audio, music and sound effects credits pending per-clip provenance confirmation.</x:v>
      </x:c>
      <x:c r="L9" s="24" t="str">
        <x:v>Public candidate</x:v>
      </x:c>
      <x:c r="M9" s="24" t="str">
        <x:v>Blocks final credits.</x:v>
      </x:c>
    </x:row>
    <x:row r="10" ht="34" customHeight="1">
      <x:c r="A10" s="24" t="str">
        <x:v>CR-006</x:v>
      </x:c>
      <x:c r="B10" s="24" t="str">
        <x:v>Quality</x:v>
      </x:c>
      <x:c r="C10" s="24" t="str">
        <x:v>QA / Testing</x:v>
      </x:c>
      <x:c r="D10" s="24" t="str">
        <x:v>Blas Luis Rocha González; external testers TBD</x:v>
      </x:c>
      <x:c r="E10" s="24" t="str">
        <x:v>VRM Games</x:v>
      </x:c>
      <x:c r="F10" s="24" t="str">
        <x:v>Sí</x:v>
      </x:c>
      <x:c r="G10" s="24" t="str">
        <x:v>QA records</x:v>
      </x:c>
      <x:c r="H10" s="24" t="str">
        <x:v>PARTIAL</x:v>
      </x:c>
      <x:c r="I10" s="32" t="n">
        <x:v>60</x:v>
      </x:c>
      <x:c r="J10" s="24" t="str">
        <x:v>Quality Assurance — VRM Games</x:v>
      </x:c>
      <x:c r="K10" s="24" t="str">
        <x:v>Quality assurance and testing by VRM Games, with additional external tester credits to be recorded where consented.</x:v>
      </x:c>
      <x:c r="L10" s="24" t="str">
        <x:v>Public candidate</x:v>
      </x:c>
      <x:c r="M10" s="24" t="str">
        <x:v>Obtain consent for public naming of testers.</x:v>
      </x:c>
    </x:row>
    <x:row r="11" ht="34" customHeight="1">
      <x:c r="A11" s="24" t="str">
        <x:v>CR-007</x:v>
      </x:c>
      <x:c r="B11" s="24" t="str">
        <x:v>Localization</x:v>
      </x:c>
      <x:c r="C11" s="24" t="str">
        <x:v>Spanish source / English translation / LQA</x:v>
      </x:c>
      <x:c r="D11" s="24" t="str">
        <x:v>TBD</x:v>
      </x:c>
      <x:c r="E11" s="24" t="str">
        <x:v>VRM Games / translator TBD</x:v>
      </x:c>
      <x:c r="F11" s="24" t="str">
        <x:v>Sí if localized</x:v>
      </x:c>
      <x:c r="G11" s="24" t="str">
        <x:v>Localization plan</x:v>
      </x:c>
      <x:c r="H11" s="24" t="str">
        <x:v>NOT STARTED</x:v>
      </x:c>
      <x:c r="I11" s="32" t="n">
        <x:v>70</x:v>
      </x:c>
      <x:c r="J11" s="24" t="str">
        <x:v>Localization — TBD</x:v>
      </x:c>
      <x:c r="K11" s="24" t="str">
        <x:v>Spanish source, English translation and linguistic QA credits to be completed before localized release.</x:v>
      </x:c>
      <x:c r="L11" s="24" t="str">
        <x:v>H6/public</x:v>
      </x:c>
      <x:c r="M11" s="24" t="str">
        <x:v>Contract/permission may define exact credit.</x:v>
      </x:c>
    </x:row>
    <x:row r="12" ht="34" customHeight="1">
      <x:c r="A12" s="24" t="str">
        <x:v>CR-008</x:v>
      </x:c>
      <x:c r="B12" s="24" t="str">
        <x:v>Technology</x:v>
      </x:c>
      <x:c r="C12" s="24" t="str">
        <x:v>Engine</x:v>
      </x:c>
      <x:c r="D12" s="24" t="str">
        <x:v>Unity</x:v>
      </x:c>
      <x:c r="E12" s="24" t="str">
        <x:v>Unity Technologies</x:v>
      </x:c>
      <x:c r="F12" s="24" t="str">
        <x:v>Per applicable terms</x:v>
      </x:c>
      <x:c r="G12" s="24" t="str">
        <x:v>Unity project</x:v>
      </x:c>
      <x:c r="H12" s="24" t="str">
        <x:v>REVIEW</x:v>
      </x:c>
      <x:c r="I12" s="32" t="n">
        <x:v>80</x:v>
      </x:c>
      <x:c r="J12" s="24" t="str">
        <x:v>Made with Unity</x:v>
      </x:c>
      <x:c r="K12" s="24" t="str">
        <x:v>Uses Unity and Unity packages. Exact trademark/credit wording must follow current Unity requirements.</x:v>
      </x:c>
      <x:c r="L12" s="24" t="str">
        <x:v>Public candidate</x:v>
      </x:c>
      <x:c r="M12" s="24" t="str">
        <x:v>Do not invent required logo/wording; verify current rules.</x:v>
      </x:c>
    </x:row>
    <x:row r="13" ht="34" customHeight="1">
      <x:c r="A13" s="24" t="str">
        <x:v>CR-009</x:v>
      </x:c>
      <x:c r="B13" s="24" t="str">
        <x:v>Tools</x:v>
      </x:c>
      <x:c r="C13" s="24" t="str">
        <x:v>3D authoring</x:v>
      </x:c>
      <x:c r="D13" s="24" t="str">
        <x:v>Blender</x:v>
      </x:c>
      <x:c r="E13" s="24" t="str">
        <x:v>Blender Foundation</x:v>
      </x:c>
      <x:c r="F13" s="24" t="str">
        <x:v>Usually optional; verify use policy</x:v>
      </x:c>
      <x:c r="G13" s="24" t="str">
        <x:v>Sprint 16 records</x:v>
      </x:c>
      <x:c r="H13" s="24" t="str">
        <x:v>OPTIONAL/REVIEW</x:v>
      </x:c>
      <x:c r="I13" s="32" t="n">
        <x:v>90</x:v>
      </x:c>
      <x:c r="J13" s="24" t="str">
        <x:v>3D content created with Blender</x:v>
      </x:c>
      <x:c r="K13" s="24" t="str">
        <x:v>3D authoring workflow used Blender.</x:v>
      </x:c>
      <x:c r="L13" s="24" t="str">
        <x:v>Credits/website optional</x:v>
      </x:c>
      <x:c r="M13" s="24" t="str">
        <x:v>Software credit does not replace asset provenance.</x:v>
      </x:c>
    </x:row>
    <x:row r="14" ht="34" customHeight="1">
      <x:c r="A14" s="24" t="str">
        <x:v>CR-010</x:v>
      </x:c>
      <x:c r="B14" s="24" t="str">
        <x:v>Tools</x:v>
      </x:c>
      <x:c r="C14" s="24" t="str">
        <x:v>AI-assisted concepts/documentation</x:v>
      </x:c>
      <x:c r="D14" s="24" t="str">
        <x:v>OpenAI / ChatGPT</x:v>
      </x:c>
      <x:c r="E14" s="24" t="str">
        <x:v>OpenAI</x:v>
      </x:c>
      <x:c r="F14" s="24" t="str">
        <x:v>Per policy/terms, not assumed</x:v>
      </x:c>
      <x:c r="G14" s="24" t="str">
        <x:v>Generated-content register</x:v>
      </x:c>
      <x:c r="H14" s="24" t="str">
        <x:v>INTERNAL DISCLOSURE / REVIEW</x:v>
      </x:c>
      <x:c r="I14" s="32" t="n">
        <x:v>100</x:v>
      </x:c>
      <x:c r="J14" s="24" t="str">
        <x:v>AI-assisted concept and documentation workflows were used during development.</x:v>
      </x:c>
      <x:c r="K14" s="24" t="str">
        <x:v>Selected internal concept images and project documentation were developed with AI-assisted tools under human direction and review. Public disclosure wording is subject to current policy and terms.</x:v>
      </x:c>
      <x:c r="L14" s="24" t="str">
        <x:v>Credits/about page if adopted</x:v>
      </x:c>
      <x:c r="M14" s="24" t="str">
        <x:v>No attribution claim is made here as a legal requirement.</x:v>
      </x:c>
    </x:row>
    <x:row r="15" ht="34" customHeight="1">
      <x:c r="A15" s="24" t="str">
        <x:v>CR-011</x:v>
      </x:c>
      <x:c r="B15" s="24" t="str">
        <x:v>Third Party</x:v>
      </x:c>
      <x:c r="C15" s="24" t="str">
        <x:v>Packages and notices</x:v>
      </x:c>
      <x:c r="D15" s="24" t="str">
        <x:v>See THIRD_PARTY_NOTICES</x:v>
      </x:c>
      <x:c r="E15" s="24" t="str">
        <x:v>Various/Unity packages</x:v>
      </x:c>
      <x:c r="F15" s="24" t="str">
        <x:v>As required by licenses</x:v>
      </x:c>
      <x:c r="G15" s="24" t="str">
        <x:v>Package register</x:v>
      </x:c>
      <x:c r="H15" s="24" t="str">
        <x:v>PENDING</x:v>
      </x:c>
      <x:c r="I15" s="32" t="n">
        <x:v>110</x:v>
      </x:c>
      <x:c r="J15" s="24" t="str">
        <x:v>Third-party software notices</x:v>
      </x:c>
      <x:c r="K15" s="24" t="str">
        <x:v>Third-party software and package notices are listed in THIRD_PARTY_NOTICES supplied with the release where required.</x:v>
      </x:c>
      <x:c r="L15" s="24" t="str">
        <x:v>Public candidate</x:v>
      </x:c>
      <x:c r="M15" s="24" t="str">
        <x:v>Generate from verified package licenses/notices.</x:v>
      </x:c>
    </x:row>
    <x:row r="16" ht="34" customHeight="1">
      <x:c r="A16" s="24" t="str">
        <x:v>CR-012</x:v>
      </x:c>
      <x:c r="B16" s="24" t="str">
        <x:v>Acknowledgements</x:v>
      </x:c>
      <x:c r="C16" s="24" t="str">
        <x:v>Special Thanks</x:v>
      </x:c>
      <x:c r="D16" s="24" t="str">
        <x:v>TBD</x:v>
      </x:c>
      <x:c r="E16" s="24" t="str"/>
      <x:c r="F16" s="24" t="str">
        <x:v>No</x:v>
      </x:c>
      <x:c r="G16" s="24" t="str">
        <x:v>Project owner decision</x:v>
      </x:c>
      <x:c r="H16" s="24" t="str">
        <x:v>OPTIONAL</x:v>
      </x:c>
      <x:c r="I16" s="32" t="n">
        <x:v>120</x:v>
      </x:c>
      <x:c r="J16" s="24" t="str">
        <x:v>Special Thanks</x:v>
      </x:c>
      <x:c r="K16" s="24" t="str">
        <x:v>Optional acknowledgements subject to consent and accuracy.</x:v>
      </x:c>
      <x:c r="L16" s="24" t="str">
        <x:v>Public release</x:v>
      </x:c>
      <x:c r="M16" s="24" t="str">
        <x:v>Do not publish private names without consent.</x:v>
      </x:c>
    </x:row>
    <x:row r="17" ht="39.599998474121094" hidden="0" customHeight="1">
      <x:c r="A17" s="47" t="str">
        <x:v>CR-013</x:v>
      </x:c>
      <x:c r="B17" s="47" t="str">
        <x:v>Accessibility</x:v>
      </x:c>
      <x:c r="C17" s="47" t="str">
        <x:v>Accessibility / Inclusive QA / User Research</x:v>
      </x:c>
      <x:c r="D17" s="47" t="str">
        <x:v>TBD from executed sessions</x:v>
      </x:c>
      <x:c r="E17" s="47" t="str">
        <x:v>VRM Games / participants TBD</x:v>
      </x:c>
      <x:c r="F17" s="47" t="str">
        <x:v>Required only where credited or contracted</x:v>
      </x:c>
      <x:c r="G17" s="47" t="str">
        <x:v>29_Accessibility_and_Inclusive_Design_Plan.md; 31_H6_and_Release_Readiness_Checklist.xlsx</x:v>
      </x:c>
      <x:c r="H17" s="47" t="str">
        <x:v>NOT STARTED</x:v>
      </x:c>
      <x:c r="I17" s="47" t="n">
        <x:v>130</x:v>
      </x:c>
      <x:c r="J17" s="47" t="str">
        <x:v>Accessibility review — TBD</x:v>
      </x:c>
      <x:c r="K17" s="47" t="str">
        <x:v>Accessibility and inclusive-design review credits will be recorded only for real contributors and with consent or contractual wording.</x:v>
      </x:c>
      <x:c r="L17" s="47" t="str">
        <x:v>H6 / public release</x:v>
      </x:c>
      <x:c r="M17" s="47" t="str">
        <x:v>Do not imply certification or endorsement.</x:v>
      </x:c>
    </x:row>
    <x:row r="18" ht="39.599998474121094" hidden="0" customHeight="1">
      <x:c r="A18" s="47" t="str">
        <x:v>CR-014</x:v>
      </x:c>
      <x:c r="B18" s="47" t="str">
        <x:v>Security &amp; Privacy</x:v>
      </x:c>
      <x:c r="C18" s="47" t="str">
        <x:v>Security / Privacy Review</x:v>
      </x:c>
      <x:c r="D18" s="47" t="str">
        <x:v>VRM Games; external reviewer TBD</x:v>
      </x:c>
      <x:c r="E18" s="47" t="str">
        <x:v>VRM Games / provider TBD</x:v>
      </x:c>
      <x:c r="F18" s="47" t="str">
        <x:v>Optional unless contract or policy requires</x:v>
      </x:c>
      <x:c r="G18" s="47" t="str">
        <x:v>26_Privacy_Data_and_Telemetry_Plan.md; 27_Security_and_Incident_Response_Plan.md</x:v>
      </x:c>
      <x:c r="H18" s="47" t="str">
        <x:v>OPTIONAL/REVIEW</x:v>
      </x:c>
      <x:c r="I18" s="47" t="n">
        <x:v>140</x:v>
      </x:c>
      <x:c r="J18" s="47" t="str">
        <x:v>Security and privacy review — VRM Games</x:v>
      </x:c>
      <x:c r="K18" s="47" t="str">
        <x:v>Security and privacy work may be acknowledged where accurate; sensitive roles, contacts or incident details must not be exposed.</x:v>
      </x:c>
      <x:c r="L18" s="47" t="str">
        <x:v>RC / public release</x:v>
      </x:c>
      <x:c r="M18" s="47" t="str">
        <x:v>Operational ownership remains mandatory even when public credit is omitted.</x:v>
      </x:c>
    </x:row>
    <x:row r="19" ht="26.399999618530273" hidden="0" customHeight="1">
      <x:c r="A19" s="47" t="str">
        <x:v>CR-015</x:v>
      </x:c>
      <x:c r="B19" s="47" t="str">
        <x:v>Marketing &amp; Community</x:v>
      </x:c>
      <x:c r="C19" s="47" t="str">
        <x:v>Marketing / Communications / Community / Press</x:v>
      </x:c>
      <x:c r="D19" s="47" t="str">
        <x:v>TBD</x:v>
      </x:c>
      <x:c r="E19" s="47" t="str">
        <x:v>VRM Games / collaborator TBD</x:v>
      </x:c>
      <x:c r="F19" s="47" t="str">
        <x:v>Contractual or optional</x:v>
      </x:c>
      <x:c r="G19" s="47" t="str">
        <x:v>28_Marketing_and_Communication_Plan.md</x:v>
      </x:c>
      <x:c r="H19" s="47" t="str">
        <x:v>NOT OPEN</x:v>
      </x:c>
      <x:c r="I19" s="47" t="n">
        <x:v>150</x:v>
      </x:c>
      <x:c r="J19" s="47" t="str">
        <x:v>Marketing and communications — TBD</x:v>
      </x:c>
      <x:c r="K19" s="47" t="str">
        <x:v>Marketing, community and press contributors will be credited according to contract, consent and the approved campaign record.</x:v>
      </x:c>
      <x:c r="L19" s="47" t="str">
        <x:v>Public campaign / release</x:v>
      </x:c>
      <x:c r="M19" s="47" t="str">
        <x:v>No public names or agencies before agreement and consent.</x:v>
      </x:c>
    </x:row>
  </x:sheetData>
  <x:mergeCells>
    <x:mergeCell ref="A1:M1"/>
    <x:mergeCell ref="A2:M2"/>
  </x:mergeCells>
  <x:conditionalFormatting sqref="H5:H16">
    <x:cfRule type="expression" dxfId="84" priority="1">
      <x:formula>OR(ISNUMBER(SEARCH("APPROVED",H5)),ISNUMBER(SEARCH("READY",H5)),ISNUMBER(SEARCH("ACTIVE",H5)),ISNUMBER(SEARCH("VERIFIED",H5)))</x:formula>
    </x:cfRule>
    <x:cfRule type="expression" dxfId="85" priority="2">
      <x:formula>OR(ISNUMBER(SEARCH("BLOCK",H5)),ISNUMBER(SEARCH("PROHIBITED",H5)),ISNUMBER(SEARCH("CRITICAL",H5)),ISNUMBER(SEARCH("MISSING",H5)))</x:formula>
    </x:cfRule>
    <x:cfRule type="expression" dxfId="86" priority="3">
      <x:formula>OR(ISNUMBER(SEARCH("PENDING",H5)),ISNUMBER(SEARCH("PARTIAL",H5)),ISNUMBER(SEARCH("REVIEW",H5)),ISNUMBER(SEARCH("CONDITIONAL",H5)))</x:formula>
    </x:cfRule>
    <x:cfRule type="expression" dxfId="87" priority="4">
      <x:formula>OR(ISNUMBER(SEARCH("HISTORICAL",H5)),ISNUMBER(SEARCH("VISION",H5)),ISNUMBER(SEARCH("OPTIONAL",H5)))</x:formula>
    </x:cfRule>
  </x:conditionalFormatting>
  <x:dataValidations count="1">
    <x:dataValidation type="list" sqref="H5:H16">
      <x:formula1>"READY,PARTIAL,BLOCKED,NOT STARTED,PENDING,REVIEW,OPTIONAL,INTERNAL DISCLOSURE /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574bf1573b4a53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4" hidden="0" customWidth="1"/>
    <x:col min="4" max="4" width="18" hidden="0" customWidth="1"/>
    <x:col min="5" max="5" width="100" hidden="0" customWidth="1"/>
    <x:col min="6" max="6" width="50" hidden="0" customWidth="1"/>
    <x:col min="7" max="7" width="34" hidden="0" customWidth="1"/>
    <x:col min="8" max="8" width="30" hidden="0" customWidth="1"/>
    <x:col min="9" max="9" width="20" hidden="0" customWidth="1"/>
    <x:col min="10" max="10" width="55" hidden="0" customWidth="1"/>
  </x:cols>
  <x:sheetData>
    <x:row r="1" ht="30" customHeight="1">
      <x:c r="A1" s="4" t="str">
        <x:v>Textos de atribución y notices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10" t="str">
        <x:v>Wording provisional, fuente legal, ubicación y estado de aprobación.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8" customHeight="1">
      <x:c r="A4" s="17" t="str">
        <x:v>Attribution ID</x:v>
      </x:c>
      <x:c r="B4" s="17" t="str">
        <x:v>Elemento</x:v>
      </x:c>
      <x:c r="C4" s="17" t="str">
        <x:v>Aplica a</x:v>
      </x:c>
      <x:c r="D4" s="17" t="str">
        <x:v>Requerida</x:v>
      </x:c>
      <x:c r="E4" s="17" t="str">
        <x:v>Texto propuesto</x:v>
      </x:c>
      <x:c r="F4" s="17" t="str">
        <x:v>Fuente legal</x:v>
      </x:c>
      <x:c r="G4" s="17" t="str">
        <x:v>Ubicación</x:v>
      </x:c>
      <x:c r="H4" s="17" t="str">
        <x:v>Estado</x:v>
      </x:c>
      <x:c r="I4" s="17" t="str">
        <x:v>Owner</x:v>
      </x:c>
      <x:c r="J4" s="17" t="str">
        <x:v>Notas</x:v>
      </x:c>
    </x:row>
    <x:row r="5" ht="34" customHeight="1">
      <x:c r="A5" s="24" t="str">
        <x:v>ATT-001</x:v>
      </x:c>
      <x:c r="B5" s="24" t="str">
        <x:v>Unity engine/packages</x:v>
      </x:c>
      <x:c r="C5" s="24" t="str">
        <x:v>Public build / credits / notices</x:v>
      </x:c>
      <x:c r="D5" s="24" t="str">
        <x:v>VERIFY</x:v>
      </x:c>
      <x:c r="E5" s="24" t="str">
        <x:v>Made with Unity. Unity and related marks are trademarks or registered trademarks of Unity Technologies or its affiliates.</x:v>
      </x:c>
      <x:c r="F5" s="24" t="str">
        <x:v>Current Unity terms/trademark guidelines required</x:v>
      </x:c>
      <x:c r="G5" s="24" t="str">
        <x:v>Credits and/or THIRD_PARTY_NOTICES</x:v>
      </x:c>
      <x:c r="H5" s="24" t="str">
        <x:v>DRAFT / DO NOT FINALIZE</x:v>
      </x:c>
      <x:c r="I5" s="24" t="str">
        <x:v>VRM Games</x:v>
      </x:c>
      <x:c r="J5" s="24" t="str">
        <x:v>Wording is provisional and must be replaced with current approved wording.</x:v>
      </x:c>
    </x:row>
    <x:row r="6" ht="34" customHeight="1">
      <x:c r="A6" s="24" t="str">
        <x:v>ATT-002</x:v>
      </x:c>
      <x:c r="B6" s="24" t="str">
        <x:v>Third-party packages</x:v>
      </x:c>
      <x:c r="C6" s="24" t="str">
        <x:v>Public build package</x:v>
      </x:c>
      <x:c r="D6" s="24" t="str">
        <x:v>Per package license</x:v>
      </x:c>
      <x:c r="E6" s="24" t="str">
        <x:v>See THIRD_PARTY_NOTICES.txt for third-party software licenses and notices.</x:v>
      </x:c>
      <x:c r="F6" s="24" t="str">
        <x:v>Package LICENSE/NOTICE files</x:v>
      </x:c>
      <x:c r="G6" s="24" t="str">
        <x:v>Install directory / legal menu / distribution archive</x:v>
      </x:c>
      <x:c r="H6" s="24" t="str">
        <x:v>PENDING NOTICE COLLECTION</x:v>
      </x:c>
      <x:c r="I6" s="24" t="str">
        <x:v>VRM Games</x:v>
      </x:c>
      <x:c r="J6" s="24" t="str">
        <x:v>One consolidated notice must not omit package-specific obligations.</x:v>
      </x:c>
    </x:row>
    <x:row r="7" ht="34" customHeight="1">
      <x:c r="A7" s="24" t="str">
        <x:v>ATT-003</x:v>
      </x:c>
      <x:c r="B7" s="24" t="str">
        <x:v>Blender</x:v>
      </x:c>
      <x:c r="C7" s="24" t="str">
        <x:v>Optional credits</x:v>
      </x:c>
      <x:c r="D7" s="24" t="str">
        <x:v>No general output attribution assumed</x:v>
      </x:c>
      <x:c r="E7" s="24" t="str">
        <x:v>3D content created with Blender.</x:v>
      </x:c>
      <x:c r="F7" s="24" t="str">
        <x:v>Blender usage/trademark guidance</x:v>
      </x:c>
      <x:c r="G7" s="24" t="str">
        <x:v>Credits / website</x:v>
      </x:c>
      <x:c r="H7" s="24" t="str">
        <x:v>OPTIONAL / REVIEW</x:v>
      </x:c>
      <x:c r="I7" s="24" t="str">
        <x:v>VRM Games</x:v>
      </x:c>
      <x:c r="J7" s="24" t="str">
        <x:v>Do not imply Blender Foundation endorsement.</x:v>
      </x:c>
    </x:row>
    <x:row r="8" ht="34" customHeight="1">
      <x:c r="A8" s="24" t="str">
        <x:v>ATT-004</x:v>
      </x:c>
      <x:c r="B8" s="24" t="str">
        <x:v>OpenAI-assisted content</x:v>
      </x:c>
      <x:c r="C8" s="24" t="str">
        <x:v>Internal disclosure or public credits if adopted</x:v>
      </x:c>
      <x:c r="D8" s="24" t="str">
        <x:v>Not assumed; policy decision</x:v>
      </x:c>
      <x:c r="E8" s="24" t="str">
        <x:v>Selected concept and documentation workflows used AI-assisted tools under human direction and review.</x:v>
      </x:c>
      <x:c r="F8" s="24" t="str">
        <x:v>Applicable tool terms and project transparency policy</x:v>
      </x:c>
      <x:c r="G8" s="24" t="str">
        <x:v>Credits/about/development notes</x:v>
      </x:c>
      <x:c r="H8" s="24" t="str">
        <x:v>DRAFT / REVIEW</x:v>
      </x:c>
      <x:c r="I8" s="24" t="str">
        <x:v>VRM Games</x:v>
      </x:c>
      <x:c r="J8" s="24" t="str">
        <x:v>Avoid claiming endorsement; do not expose confidential prompt history.</x:v>
      </x:c>
    </x:row>
    <x:row r="9" ht="34" customHeight="1">
      <x:c r="A9" s="24" t="str">
        <x:v>ATT-005</x:v>
      </x:c>
      <x:c r="B9" s="24" t="str">
        <x:v>Production font</x:v>
      </x:c>
      <x:c r="C9" s="24" t="str">
        <x:v>Build/credits/NOTICE</x:v>
      </x:c>
      <x:c r="D9" s="24" t="str">
        <x:v>TBD by selected license</x:v>
      </x:c>
      <x:c r="E9" s="24" t="str">
        <x:v>TBD — exact font name, copyright and license notice.</x:v>
      </x:c>
      <x:c r="F9" s="24" t="str">
        <x:v>Selected font license</x:v>
      </x:c>
      <x:c r="G9" s="24" t="str">
        <x:v>Credits or THIRD_PARTY_NOTICES</x:v>
      </x:c>
      <x:c r="H9" s="24" t="str">
        <x:v>BLOCKED / FONT NOT SELECTED</x:v>
      </x:c>
      <x:c r="I9" s="24" t="str">
        <x:v>VRM Games</x:v>
      </x:c>
      <x:c r="J9" s="24" t="str"/>
    </x:row>
    <x:row r="10" ht="34" customHeight="1">
      <x:c r="A10" s="24" t="str">
        <x:v>ATT-006</x:v>
      </x:c>
      <x:c r="B10" s="24" t="str">
        <x:v>Audio provider/composer</x:v>
      </x:c>
      <x:c r="C10" s="24" t="str">
        <x:v>Credits and marketing</x:v>
      </x:c>
      <x:c r="D10" s="24" t="str">
        <x:v>TBD by provenance/contract</x:v>
      </x:c>
      <x:c r="E10" s="24" t="str">
        <x:v>Music and sound by [credited author/provider].</x:v>
      </x:c>
      <x:c r="F10" s="24" t="str">
        <x:v>Per-clip author/license agreement</x:v>
      </x:c>
      <x:c r="G10" s="24" t="str">
        <x:v>Credits / soundtrack metadata</x:v>
      </x:c>
      <x:c r="H10" s="24" t="str">
        <x:v>BLOCKED</x:v>
      </x:c>
      <x:c r="I10" s="24" t="str">
        <x:v>VRM Games</x:v>
      </x:c>
      <x:c r="J10" s="24" t="str">
        <x:v>Current ten clips lack completed per-clip provenance.</x:v>
      </x:c>
    </x:row>
  </x:sheetData>
  <x:mergeCells>
    <x:mergeCell ref="A1:J1"/>
    <x:mergeCell ref="A2:J2"/>
  </x:mergeCells>
  <x:conditionalFormatting sqref="H5:H10">
    <x:cfRule type="expression" dxfId="88" priority="1">
      <x:formula>OR(ISNUMBER(SEARCH("APPROVED",H5)),ISNUMBER(SEARCH("READY",H5)),ISNUMBER(SEARCH("ACTIVE",H5)),ISNUMBER(SEARCH("VERIFIED",H5)))</x:formula>
    </x:cfRule>
    <x:cfRule type="expression" dxfId="89" priority="2">
      <x:formula>OR(ISNUMBER(SEARCH("BLOCK",H5)),ISNUMBER(SEARCH("PROHIBITED",H5)),ISNUMBER(SEARCH("CRITICAL",H5)),ISNUMBER(SEARCH("MISSING",H5)))</x:formula>
    </x:cfRule>
    <x:cfRule type="expression" dxfId="90" priority="3">
      <x:formula>OR(ISNUMBER(SEARCH("PENDING",H5)),ISNUMBER(SEARCH("PARTIAL",H5)),ISNUMBER(SEARCH("REVIEW",H5)),ISNUMBER(SEARCH("CONDITIONAL",H5)))</x:formula>
    </x:cfRule>
    <x:cfRule type="expression" dxfId="91" priority="4">
      <x:formula>OR(ISNUMBER(SEARCH("HISTORICAL",H5)),ISNUMBER(SEARCH("VISION",H5)),ISNUMBER(SEARCH("OPTIONAL",H5)))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81ec4f7a324265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26" hidden="0" customWidth="1"/>
    <x:col min="4" max="4" width="34" hidden="0" customWidth="1"/>
    <x:col min="5" max="5" width="18" hidden="0" customWidth="1"/>
    <x:col min="6" max="6" width="58" hidden="0" customWidth="1"/>
    <x:col min="7" max="7" width="52" hidden="0" customWidth="1"/>
    <x:col min="8" max="8" width="36" hidden="0" customWidth="1"/>
    <x:col min="9" max="9" width="20" hidden="0" customWidth="1"/>
    <x:col min="10" max="10" width="16" hidden="0" customWidth="1"/>
    <x:col min="11" max="11" width="55" hidden="0" customWidth="1"/>
  </x:cols>
  <x:sheetData>
    <x:row r="1" ht="30" customHeight="1">
      <x:c r="A1" s="4" t="str">
        <x:v>Restricciones y prohibiciones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2" customHeight="1">
      <x:c r="A2" s="10" t="str">
        <x:v>Reglas activas para assets, software, generated content, privacidad y release.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38" customHeight="1">
      <x:c r="A4" s="17" t="str">
        <x:v>Restriction ID</x:v>
      </x:c>
      <x:c r="B4" s="17" t="str">
        <x:v>Regla</x:v>
      </x:c>
      <x:c r="C4" s="17" t="str">
        <x:v>Ámbito</x:v>
      </x:c>
      <x:c r="D4" s="17" t="str">
        <x:v>Superficie</x:v>
      </x:c>
      <x:c r="E4" s="17" t="str">
        <x:v>Nivel</x:v>
      </x:c>
      <x:c r="F4" s="17" t="str">
        <x:v>Criterio</x:v>
      </x:c>
      <x:c r="G4" s="17" t="str">
        <x:v>Remediación</x:v>
      </x:c>
      <x:c r="H4" s="17" t="str">
        <x:v>Fuente</x:v>
      </x:c>
      <x:c r="I4" s="17" t="str">
        <x:v>Owner</x:v>
      </x:c>
      <x:c r="J4" s="17" t="str">
        <x:v>Estado</x:v>
      </x:c>
      <x:c r="K4" s="17" t="str">
        <x:v>Notas</x:v>
      </x:c>
    </x:row>
    <x:row r="5" ht="34" customHeight="1">
      <x:c r="A5" s="24" t="str">
        <x:v>RES-001</x:v>
      </x:c>
      <x:c r="B5" s="24" t="str">
        <x:v>No unregistered asset in public media</x:v>
      </x:c>
      <x:c r="C5" s="24" t="str">
        <x:v>All assets</x:v>
      </x:c>
      <x:c r="D5" s="24" t="str">
        <x:v>Public build, Steam, trailer, web, press kit</x:v>
      </x:c>
      <x:c r="E5" s="24" t="str">
        <x:v>BLOCKING</x:v>
      </x:c>
      <x:c r="F5" s="24" t="str">
        <x:v>Origin, commercial use, attribution and evidence required</x:v>
      </x:c>
      <x:c r="G5" s="24" t="str">
        <x:v>Remove/replace or complete record</x:v>
      </x:c>
      <x:c r="H5" s="24" t="str">
        <x:v>Historical legal policy</x:v>
      </x:c>
      <x:c r="I5" s="24" t="str">
        <x:v>VRM Games</x:v>
      </x:c>
      <x:c r="J5" s="24" t="str">
        <x:v>ACTIVE</x:v>
      </x:c>
      <x:c r="K5" s="24" t="str"/>
    </x:row>
    <x:row r="6" ht="34" customHeight="1">
      <x:c r="A6" s="24" t="str">
        <x:v>RES-002</x:v>
      </x:c>
      <x:c r="B6" s="24" t="str">
        <x:v>No real brands/logos/trade dress</x:v>
      </x:c>
      <x:c r="C6" s="24" t="str">
        <x:v>Products, packaging, suppliers</x:v>
      </x:c>
      <x:c r="D6" s="24" t="str">
        <x:v>Runtime and marketing</x:v>
      </x:c>
      <x:c r="E6" s="24" t="str">
        <x:v>BLOCKING</x:v>
      </x:c>
      <x:c r="F6" s="24" t="str">
        <x:v>Only fictitious original names and designs</x:v>
      </x:c>
      <x:c r="G6" s="24" t="str">
        <x:v>Replace and conduct similarity review</x:v>
      </x:c>
      <x:c r="H6" s="24" t="str">
        <x:v>Art/Legal policy</x:v>
      </x:c>
      <x:c r="I6" s="24" t="str">
        <x:v>VRM Games</x:v>
      </x:c>
      <x:c r="J6" s="24" t="str">
        <x:v>ACTIVE</x:v>
      </x:c>
      <x:c r="K6" s="24" t="str"/>
    </x:row>
    <x:row r="7" ht="34" customHeight="1">
      <x:c r="A7" s="24" t="str">
        <x:v>RES-003</x:v>
      </x:c>
      <x:c r="B7" s="24" t="str">
        <x:v>No ambiguous audio samples</x:v>
      </x:c>
      <x:c r="C7" s="24" t="str">
        <x:v>Music/SFX</x:v>
      </x:c>
      <x:c r="D7" s="24" t="str">
        <x:v>Public distribution</x:v>
      </x:c>
      <x:c r="E7" s="24" t="str">
        <x:v>BLOCKING</x:v>
      </x:c>
      <x:c r="F7" s="24" t="str">
        <x:v>Per-clip source or authorship proof</x:v>
      </x:c>
      <x:c r="G7" s="24" t="str">
        <x:v>Replace clip or obtain license</x:v>
      </x:c>
      <x:c r="H7" s="24" t="str">
        <x:v>Audio Bible</x:v>
      </x:c>
      <x:c r="I7" s="24" t="str">
        <x:v>VRM Games</x:v>
      </x:c>
      <x:c r="J7" s="24" t="str">
        <x:v>ACTIVE</x:v>
      </x:c>
      <x:c r="K7" s="24" t="str"/>
    </x:row>
    <x:row r="8" ht="34" customHeight="1">
      <x:c r="A8" s="24" t="str">
        <x:v>RES-004</x:v>
      </x:c>
      <x:c r="B8" s="24" t="str">
        <x:v>No standalone font redistribution</x:v>
      </x:c>
      <x:c r="C8" s="24" t="str">
        <x:v>Fonts</x:v>
      </x:c>
      <x:c r="D8" s="24" t="str">
        <x:v>Repository/distribution</x:v>
      </x:c>
      <x:c r="E8" s="24" t="str">
        <x:v>BLOCKING</x:v>
      </x:c>
      <x:c r="F8" s="24" t="str">
        <x:v>Embed only as license allows</x:v>
      </x:c>
      <x:c r="G8" s="24" t="str">
        <x:v>Choose approved font and preserve license</x:v>
      </x:c>
      <x:c r="H8" s="24" t="str">
        <x:v>Historical legal policy</x:v>
      </x:c>
      <x:c r="I8" s="24" t="str">
        <x:v>VRM Games</x:v>
      </x:c>
      <x:c r="J8" s="24" t="str">
        <x:v>ACTIVE</x:v>
      </x:c>
      <x:c r="K8" s="24" t="str"/>
    </x:row>
    <x:row r="9" ht="34" customHeight="1">
      <x:c r="A9" s="24" t="str">
        <x:v>RES-005</x:v>
      </x:c>
      <x:c r="B9" s="24" t="str">
        <x:v>Generated concept is not runtime by default</x:v>
      </x:c>
      <x:c r="C9" s="24" t="str">
        <x:v>AI-generated images</x:v>
      </x:c>
      <x:c r="D9" s="24" t="str">
        <x:v>Game build/marketing</x:v>
      </x:c>
      <x:c r="E9" s="24" t="str">
        <x:v>CONTROLLED</x:v>
      </x:c>
      <x:c r="F9" s="24" t="str">
        <x:v>Explicit approval, terms and similarity review</x:v>
      </x:c>
      <x:c r="G9" s="24" t="str">
        <x:v>Keep internal or create approved derivative</x:v>
      </x:c>
      <x:c r="H9" s="24" t="str">
        <x:v>Generated-content policy</x:v>
      </x:c>
      <x:c r="I9" s="24" t="str">
        <x:v>VRM Games</x:v>
      </x:c>
      <x:c r="J9" s="24" t="str">
        <x:v>ACTIVE</x:v>
      </x:c>
      <x:c r="K9" s="24" t="str"/>
    </x:row>
    <x:row r="10" ht="34" customHeight="1">
      <x:c r="A10" s="24" t="str">
        <x:v>RES-006</x:v>
      </x:c>
      <x:c r="B10" s="24" t="str">
        <x:v>No raw technical IDs shown to players</x:v>
      </x:c>
      <x:c r="C10" s="24" t="str">
        <x:v>Catalog/localization</x:v>
      </x:c>
      <x:c r="D10" s="24" t="str">
        <x:v>Runtime UI</x:v>
      </x:c>
      <x:c r="E10" s="24" t="str">
        <x:v>QUALITY/LEGAL</x:v>
      </x:c>
      <x:c r="F10" s="24" t="str">
        <x:v>Use localized display keys and cleared names</x:v>
      </x:c>
      <x:c r="G10" s="24" t="str">
        <x:v>Map IDs to canonical names</x:v>
      </x:c>
      <x:c r="H10" s="24" t="str">
        <x:v>Localization Plan</x:v>
      </x:c>
      <x:c r="I10" s="24" t="str">
        <x:v>VRM Games</x:v>
      </x:c>
      <x:c r="J10" s="24" t="str">
        <x:v>ACTIVE</x:v>
      </x:c>
      <x:c r="K10" s="24" t="str"/>
    </x:row>
    <x:row r="11" ht="34" customHeight="1">
      <x:c r="A11" s="24" t="str">
        <x:v>RES-007</x:v>
      </x:c>
      <x:c r="B11" s="24" t="str">
        <x:v>No expansion content in first-release candidate</x:v>
      </x:c>
      <x:c r="C11" s="24" t="str">
        <x:v>Expansion models/prefabs</x:v>
      </x:c>
      <x:c r="D11" s="24" t="str">
        <x:v>H6/public candidate</x:v>
      </x:c>
      <x:c r="E11" s="24" t="str">
        <x:v>SCOPE BLOCKING</x:v>
      </x:c>
      <x:c r="F11" s="24" t="str">
        <x:v>VISION / NOT OPEN</x:v>
      </x:c>
      <x:c r="G11" s="24" t="str">
        <x:v>Exclude from build/content manifests</x:v>
      </x:c>
      <x:c r="H11" s="24" t="str">
        <x:v>Scope policy</x:v>
      </x:c>
      <x:c r="I11" s="24" t="str">
        <x:v>VRM Games</x:v>
      </x:c>
      <x:c r="J11" s="24" t="str">
        <x:v>ACTIVE</x:v>
      </x:c>
      <x:c r="K11" s="24" t="str"/>
    </x:row>
    <x:row r="12" ht="34" customHeight="1">
      <x:c r="A12" s="24" t="str">
        <x:v>RES-008</x:v>
      </x:c>
      <x:c r="B12" s="24" t="str">
        <x:v>No public candidate with missing notices</x:v>
      </x:c>
      <x:c r="C12" s="24" t="str">
        <x:v>Packages/software</x:v>
      </x:c>
      <x:c r="D12" s="24" t="str">
        <x:v>Public build</x:v>
      </x:c>
      <x:c r="E12" s="24" t="str">
        <x:v>BLOCKING</x:v>
      </x:c>
      <x:c r="F12" s="24" t="str">
        <x:v>Collect LICENSE/NOTICE obligations</x:v>
      </x:c>
      <x:c r="G12" s="24" t="str">
        <x:v>Generate THIRD_PARTY_NOTICES</x:v>
      </x:c>
      <x:c r="H12" s="24" t="str">
        <x:v>Build/legal policy</x:v>
      </x:c>
      <x:c r="I12" s="24" t="str">
        <x:v>VRM Games</x:v>
      </x:c>
      <x:c r="J12" s="24" t="str">
        <x:v>ACTIVE</x:v>
      </x:c>
      <x:c r="K12" s="24" t="str"/>
    </x:row>
    <x:row r="13" ht="34" customHeight="1">
      <x:c r="A13" s="24" t="str">
        <x:v>RES-009</x:v>
      </x:c>
      <x:c r="B13" s="24" t="str">
        <x:v>No contributor content without written permission</x:v>
      </x:c>
      <x:c r="C13" s="24" t="str">
        <x:v>Collaborator work</x:v>
      </x:c>
      <x:c r="D13" s="24" t="str">
        <x:v>Any distribution</x:v>
      </x:c>
      <x:c r="E13" s="24" t="str">
        <x:v>BLOCKING</x:v>
      </x:c>
      <x:c r="F13" s="24" t="str">
        <x:v>Commercial use, modification, credit and compensation terms</x:v>
      </x:c>
      <x:c r="G13" s="24" t="str">
        <x:v>Obtain agreement or remove contribution</x:v>
      </x:c>
      <x:c r="H13" s="24" t="str">
        <x:v>Historical legal policy</x:v>
      </x:c>
      <x:c r="I13" s="24" t="str">
        <x:v>VRM Games</x:v>
      </x:c>
      <x:c r="J13" s="24" t="str">
        <x:v>ACTIVE</x:v>
      </x:c>
      <x:c r="K13" s="24" t="str"/>
    </x:row>
    <x:row r="14" ht="34" customHeight="1">
      <x:c r="A14" s="24" t="str">
        <x:v>RES-010</x:v>
      </x:c>
      <x:c r="B14" s="24" t="str">
        <x:v>No personal data in repository evidence</x:v>
      </x:c>
      <x:c r="C14" s="24" t="str">
        <x:v>Legal/tax/tester data</x:v>
      </x:c>
      <x:c r="D14" s="24" t="str">
        <x:v>Repository and documentation</x:v>
      </x:c>
      <x:c r="E14" s="24" t="str">
        <x:v>SECURITY</x:v>
      </x:c>
      <x:c r="F14" s="24" t="str">
        <x:v>Store sensitive data outside repo</x:v>
      </x:c>
      <x:c r="G14" s="24" t="str">
        <x:v>Redact and reference secure location</x:v>
      </x:c>
      <x:c r="H14" s="24" t="str">
        <x:v>Legal/privacy policy</x:v>
      </x:c>
      <x:c r="I14" s="24" t="str">
        <x:v>VRM Games</x:v>
      </x:c>
      <x:c r="J14" s="24" t="str">
        <x:v>ACTIVE</x:v>
      </x:c>
      <x:c r="K14" s="24" t="str"/>
    </x:row>
    <x:row r="15" ht="34" customHeight="1">
      <x:c r="A15" s="24" t="str">
        <x:v>RES-011</x:v>
      </x:c>
      <x:c r="B15" s="24" t="str">
        <x:v>No privacy policy unless collection is understood</x:v>
      </x:c>
      <x:c r="C15" s="24" t="str">
        <x:v>Telemetry/online</x:v>
      </x:c>
      <x:c r="D15" s="24" t="str">
        <x:v>Public release</x:v>
      </x:c>
      <x:c r="E15" s="24" t="str">
        <x:v>BLOCKING IF DATA COLLECTED</x:v>
      </x:c>
      <x:c r="F15" s="24" t="str">
        <x:v>Inventory data flows and processors</x:v>
      </x:c>
      <x:c r="G15" s="24" t="str">
        <x:v>Draft accurate privacy policy</x:v>
      </x:c>
      <x:c r="H15" s="24" t="str">
        <x:v>Historical legal checklist</x:v>
      </x:c>
      <x:c r="I15" s="24" t="str">
        <x:v>VRM Games</x:v>
      </x:c>
      <x:c r="J15" s="24" t="str">
        <x:v>ACTIVE</x:v>
      </x:c>
      <x:c r="K15" s="24" t="str"/>
    </x:row>
    <x:row r="16" ht="34" customHeight="1">
      <x:c r="A16" s="24" t="str">
        <x:v>RES-012</x:v>
      </x:c>
      <x:c r="B16" s="24" t="str">
        <x:v>No final title campaign without clearance</x:v>
      </x:c>
      <x:c r="C16" s="24" t="str">
        <x:v>Cartridge &amp; Cloud / VRM Games</x:v>
      </x:c>
      <x:c r="D16" s="24" t="str">
        <x:v>Steam/domain/social/marketing</x:v>
      </x:c>
      <x:c r="E16" s="24" t="str">
        <x:v>BLOCKING</x:v>
      </x:c>
      <x:c r="F16" s="24" t="str">
        <x:v>Trademark, company, domain and platform search</x:v>
      </x:c>
      <x:c r="G16" s="24" t="str">
        <x:v>Clear or rename</x:v>
      </x:c>
      <x:c r="H16" s="24" t="str">
        <x:v>Historical legal policy</x:v>
      </x:c>
      <x:c r="I16" s="24" t="str">
        <x:v>VRM Games</x:v>
      </x:c>
      <x:c r="J16" s="24" t="str">
        <x:v>ACTIVE</x:v>
      </x:c>
      <x:c r="K16" s="24" t="str"/>
    </x:row>
    <x:row r="17" ht="34" customHeight="1">
      <x:c r="A17" s="24" t="str">
        <x:v>RES-013</x:v>
      </x:c>
      <x:c r="B17" s="24" t="str">
        <x:v>No AI output used as proof of exclusive ownership</x:v>
      </x:c>
      <x:c r="C17" s="24" t="str">
        <x:v>Generated content</x:v>
      </x:c>
      <x:c r="D17" s="24" t="str">
        <x:v>Legal claims/marketing</x:v>
      </x:c>
      <x:c r="E17" s="24" t="str">
        <x:v>CONTROLLED</x:v>
      </x:c>
      <x:c r="F17" s="24" t="str">
        <x:v>Treat as tool output with terms-dependent rights</x:v>
      </x:c>
      <x:c r="G17" s="24" t="str">
        <x:v>Use human-authored final asset/provenance</x:v>
      </x:c>
      <x:c r="H17" s="24" t="str">
        <x:v>Historical AI policy</x:v>
      </x:c>
      <x:c r="I17" s="24" t="str">
        <x:v>VRM Games</x:v>
      </x:c>
      <x:c r="J17" s="24" t="str">
        <x:v>ACTIVE</x:v>
      </x:c>
      <x:c r="K17" s="24" t="str"/>
    </x:row>
    <x:row r="18" ht="34" customHeight="1">
      <x:c r="A18" s="24" t="str">
        <x:v>RES-014</x:v>
      </x:c>
      <x:c r="B18" s="24" t="str">
        <x:v>No license assumption from file presence</x:v>
      </x:c>
      <x:c r="C18" s="24" t="str">
        <x:v>All assets</x:v>
      </x:c>
      <x:c r="D18" s="24" t="str">
        <x:v>Audit/release</x:v>
      </x:c>
      <x:c r="E18" s="24" t="str">
        <x:v>BLOCKING</x:v>
      </x:c>
      <x:c r="F18" s="24" t="str">
        <x:v>Absence of attribution file is not proof of internal ownership</x:v>
      </x:c>
      <x:c r="G18" s="24" t="str">
        <x:v>Document source or replace</x:v>
      </x:c>
      <x:c r="H18" s="24" t="str">
        <x:v>This register</x:v>
      </x:c>
      <x:c r="I18" s="24" t="str">
        <x:v>VRM Games</x:v>
      </x:c>
      <x:c r="J18" s="24" t="str">
        <x:v>ACTIVE</x:v>
      </x:c>
      <x:c r="K18" s="24" t="str"/>
    </x:row>
    <x:row r="19" ht="34" customHeight="1">
      <x:c r="A19" s="24" t="str">
        <x:v>RES-015</x:v>
      </x:c>
      <x:c r="B19" s="24" t="str">
        <x:v>No package update without license review</x:v>
      </x:c>
      <x:c r="C19" s="24" t="str">
        <x:v>Unity packages</x:v>
      </x:c>
      <x:c r="D19" s="24" t="str">
        <x:v>Dependency update</x:v>
      </x:c>
      <x:c r="E19" s="24" t="str">
        <x:v>CONTROLLED</x:v>
      </x:c>
      <x:c r="F19" s="24" t="str">
        <x:v>Review version, license/notice and compatibility</x:v>
      </x:c>
      <x:c r="G19" s="24" t="str">
        <x:v>Update register and notices</x:v>
      </x:c>
      <x:c r="H19" s="24" t="str">
        <x:v>Build/versioning policy</x:v>
      </x:c>
      <x:c r="I19" s="24" t="str">
        <x:v>VRM Games</x:v>
      </x:c>
      <x:c r="J19" s="24" t="str">
        <x:v>ACTIVE</x:v>
      </x:c>
      <x:c r="K19" s="24" t="str"/>
    </x:row>
    <x:row r="20" ht="34" customHeight="1">
      <x:c r="A20" s="24" t="str">
        <x:v>RES-016</x:v>
      </x:c>
      <x:c r="B20" s="24" t="str">
        <x:v>No public naming of testers without consent</x:v>
      </x:c>
      <x:c r="C20" s="24" t="str">
        <x:v>QA credits</x:v>
      </x:c>
      <x:c r="D20" s="24" t="str">
        <x:v>Credits/marketing</x:v>
      </x:c>
      <x:c r="E20" s="24" t="str">
        <x:v>PRIVACY</x:v>
      </x:c>
      <x:c r="F20" s="24" t="str">
        <x:v>Consent or anonymized/group credit</x:v>
      </x:c>
      <x:c r="G20" s="24" t="str">
        <x:v>Record preference</x:v>
      </x:c>
      <x:c r="H20" s="24" t="str">
        <x:v>Credits policy</x:v>
      </x:c>
      <x:c r="I20" s="24" t="str">
        <x:v>VRM Games</x:v>
      </x:c>
      <x:c r="J20" s="24" t="str">
        <x:v>ACTIVE</x:v>
      </x:c>
      <x:c r="K20" s="24" t="str"/>
    </x:row>
    <x:row r="21" ht="34" customHeight="1">
      <x:c r="A21" s="24" t="str">
        <x:v>RES-017</x:v>
      </x:c>
      <x:c r="B21" s="24" t="str">
        <x:v>No translation accepted solely from MT/AI</x:v>
      </x:c>
      <x:c r="C21" s="24" t="str">
        <x:v>Localization</x:v>
      </x:c>
      <x:c r="D21" s="24" t="str">
        <x:v>Public localized build</x:v>
      </x:c>
      <x:c r="E21" s="24" t="str">
        <x:v>QUALITY BLOCKING</x:v>
      </x:c>
      <x:c r="F21" s="24" t="str">
        <x:v>Human review and LQA required</x:v>
      </x:c>
      <x:c r="G21" s="24" t="str">
        <x:v>Review/rewrite</x:v>
      </x:c>
      <x:c r="H21" s="24" t="str">
        <x:v>Localization Plan</x:v>
      </x:c>
      <x:c r="I21" s="24" t="str">
        <x:v>VRM Games</x:v>
      </x:c>
      <x:c r="J21" s="24" t="str">
        <x:v>ACTIVE</x:v>
      </x:c>
      <x:c r="K21" s="24" t="str"/>
    </x:row>
    <x:row r="22" ht="34" customHeight="1">
      <x:c r="A22" s="24" t="str">
        <x:v>RES-018</x:v>
      </x:c>
      <x:c r="B22" s="24" t="str">
        <x:v>No external URLs as sole evidence</x:v>
      </x:c>
      <x:c r="C22" s="24" t="str">
        <x:v>Licenses</x:v>
      </x:c>
      <x:c r="D22" s="24" t="str">
        <x:v>Long-term audit</x:v>
      </x:c>
      <x:c r="E22" s="24" t="str">
        <x:v>CONTROLLED</x:v>
      </x:c>
      <x:c r="F22" s="24" t="str">
        <x:v>Archive license text/invoice/hash</x:v>
      </x:c>
      <x:c r="G22" s="24" t="str">
        <x:v>Store evidence securely</x:v>
      </x:c>
      <x:c r="H22" s="24" t="str">
        <x:v>Historical register</x:v>
      </x:c>
      <x:c r="I22" s="24" t="str">
        <x:v>VRM Games</x:v>
      </x:c>
      <x:c r="J22" s="24" t="str">
        <x:v>ACTIVE</x:v>
      </x:c>
      <x:c r="K22" s="24" t="str"/>
    </x:row>
    <x:row r="23" ht="34" customHeight="1">
      <x:c r="A23" s="24" t="str">
        <x:v>RES-019</x:v>
      </x:c>
      <x:c r="B23" s="24" t="str">
        <x:v>No release artifact without legal status</x:v>
      </x:c>
      <x:c r="C23" s="24" t="str">
        <x:v>Builds</x:v>
      </x:c>
      <x:c r="D23" s="24" t="str">
        <x:v>Distribution</x:v>
      </x:c>
      <x:c r="E23" s="24" t="str">
        <x:v>BLOCKING</x:v>
      </x:c>
      <x:c r="F23" s="24" t="str">
        <x:v>Explicit INTERNAL/CONDITIONAL/APPROVED/BLOCKED</x:v>
      </x:c>
      <x:c r="G23" s="24" t="str">
        <x:v>Gate in build register</x:v>
      </x:c>
      <x:c r="H23" s="24" t="str">
        <x:v>This register</x:v>
      </x:c>
      <x:c r="I23" s="24" t="str">
        <x:v>VRM Games</x:v>
      </x:c>
      <x:c r="J23" s="24" t="str">
        <x:v>ACTIVE</x:v>
      </x:c>
      <x:c r="K23" s="24" t="str"/>
    </x:row>
    <x:row r="24" ht="34" customHeight="1">
      <x:c r="A24" s="24" t="str">
        <x:v>RES-020</x:v>
      </x:c>
      <x:c r="B24" s="24" t="str">
        <x:v>No third-party source code copied without record</x:v>
      </x:c>
      <x:c r="C24" s="24" t="str">
        <x:v>Code</x:v>
      </x:c>
      <x:c r="D24" s="24" t="str">
        <x:v>Repository/build</x:v>
      </x:c>
      <x:c r="E24" s="24" t="str">
        <x:v>BLOCKING</x:v>
      </x:c>
      <x:c r="F24" s="24" t="str">
        <x:v>License, source, copyright and modifications required</x:v>
      </x:c>
      <x:c r="G24" s="24" t="str">
        <x:v>Register or rewrite</x:v>
      </x:c>
      <x:c r="H24" s="24" t="str">
        <x:v>Historical legal policy</x:v>
      </x:c>
      <x:c r="I24" s="24" t="str">
        <x:v>VRM Games</x:v>
      </x:c>
      <x:c r="J24" s="24" t="str">
        <x:v>ACTIVE</x:v>
      </x:c>
      <x:c r="K24" s="24" t="str"/>
    </x:row>
    <x:row r="25" ht="26.399999618530273" hidden="0" customHeight="1">
      <x:c r="A25" s="47" t="str">
        <x:v>RES-021</x:v>
      </x:c>
      <x:c r="B25" s="47" t="str">
        <x:v>No public claim without evidence and approval</x:v>
      </x:c>
      <x:c r="C25" s="47" t="str">
        <x:v>Product, features, roadmap, awards, availability</x:v>
      </x:c>
      <x:c r="D25" s="47" t="str">
        <x:v>Steam, store, trailer, web, press, social</x:v>
      </x:c>
      <x:c r="E25" s="47" t="str">
        <x:v>BLOCKING</x:v>
      </x:c>
      <x:c r="F25" s="47" t="str">
        <x:v>Claim must link to current build/evidence, owner, date and approval</x:v>
      </x:c>
      <x:c r="G25" s="47" t="str">
        <x:v>Remove, qualify or validate claim</x:v>
      </x:c>
      <x:c r="H25" s="47" t="str">
        <x:v>28_Marketing_and_Communication_Plan.md; 31_H6_and_Release_Readiness_Checklist.xlsx</x:v>
      </x:c>
      <x:c r="I25" s="47" t="str">
        <x:v>VRM Games</x:v>
      </x:c>
      <x:c r="J25" s="47" t="str">
        <x:v>ACTIVE</x:v>
      </x:c>
      <x:c r="K25" s="47" t="str">
        <x:v>Aspirational roadmap is not a release claim.</x:v>
      </x:c>
    </x:row>
    <x:row r="26" ht="39.599998474121094" hidden="0" customHeight="1">
      <x:c r="A26" s="47" t="str">
        <x:v>RES-022</x:v>
      </x:c>
      <x:c r="B26" s="47" t="str">
        <x:v>No accessibility claim beyond tested implementation</x:v>
      </x:c>
      <x:c r="C26" s="47" t="str">
        <x:v>Accessibility features and store statements</x:v>
      </x:c>
      <x:c r="D26" s="47" t="str">
        <x:v>Steam, website, press kit, settings/help</x:v>
      </x:c>
      <x:c r="E26" s="47" t="str">
        <x:v>BLOCKING</x:v>
      </x:c>
      <x:c r="F26" s="47" t="str">
        <x:v>Claim scope, build, platform and test evidence required</x:v>
      </x:c>
      <x:c r="G26" s="47" t="str">
        <x:v>Correct wording or implement/test feature</x:v>
      </x:c>
      <x:c r="H26" s="47" t="str">
        <x:v>29_Accessibility_and_Inclusive_Design_Plan.md; 31_H6_and_Release_Readiness_Checklist.xlsx</x:v>
      </x:c>
      <x:c r="I26" s="47" t="str">
        <x:v>VRM Games</x:v>
      </x:c>
      <x:c r="J26" s="47" t="str">
        <x:v>ACTIVE</x:v>
      </x:c>
      <x:c r="K26" s="47" t="str">
        <x:v>Avoid certification-like language without authority.</x:v>
      </x:c>
    </x:row>
    <x:row r="27" ht="26.399999618530273" hidden="0" customHeight="1">
      <x:c r="A27" s="47" t="str">
        <x:v>RES-023</x:v>
      </x:c>
      <x:c r="B27" s="47" t="str">
        <x:v>No system requirements or performance claim without benchmark</x:v>
      </x:c>
      <x:c r="C27" s="47" t="str">
        <x:v>Hardware, frame rate, load time, memory</x:v>
      </x:c>
      <x:c r="D27" s="47" t="str">
        <x:v>Steam/store/marketing</x:v>
      </x:c>
      <x:c r="E27" s="47" t="str">
        <x:v>BLOCKING</x:v>
      </x:c>
      <x:c r="F27" s="47" t="str">
        <x:v>Representative Player build, hardware, scenario and report required</x:v>
      </x:c>
      <x:c r="G27" s="47" t="str">
        <x:v>Benchmark, qualify or remove claim</x:v>
      </x:c>
      <x:c r="H27" s="47" t="str">
        <x:v>30_Performance_and_Optimization_Plan.md; 31_H6_and_Release_Readiness_Checklist.xlsx</x:v>
      </x:c>
      <x:c r="I27" s="47" t="str">
        <x:v>VRM Games</x:v>
      </x:c>
      <x:c r="J27" s="47" t="str">
        <x:v>ACTIVE</x:v>
      </x:c>
      <x:c r="K27" s="47" t="str">
        <x:v>Editor measurements are insufficient.</x:v>
      </x:c>
    </x:row>
    <x:row r="28" ht="26.399999618530273" hidden="0" customHeight="1">
      <x:c r="A28" s="47" t="str">
        <x:v>RES-024</x:v>
      </x:c>
      <x:c r="B28" s="47" t="str">
        <x:v>No secrets, credentials or PII in distributed artifacts</x:v>
      </x:c>
      <x:c r="C28" s="47" t="str">
        <x:v>Builds, logs, screenshots, crash dumps, docs</x:v>
      </x:c>
      <x:c r="D28" s="47" t="str">
        <x:v>Repository, ZIP, Steam, support, press</x:v>
      </x:c>
      <x:c r="E28" s="47" t="str">
        <x:v>SECURITY BLOCKING</x:v>
      </x:c>
      <x:c r="F28" s="47" t="str">
        <x:v>Secret/PII scan and redaction required</x:v>
      </x:c>
      <x:c r="G28" s="47" t="str">
        <x:v>Revoke/rotate, redact and rebuild</x:v>
      </x:c>
      <x:c r="H28" s="47" t="str">
        <x:v>26_Privacy_Data_and_Telemetry_Plan.md; 27_Security_and_Incident_Response_Plan.md</x:v>
      </x:c>
      <x:c r="I28" s="47" t="str">
        <x:v>VRM Games</x:v>
      </x:c>
      <x:c r="J28" s="47" t="str">
        <x:v>ACTIVE</x:v>
      </x:c>
      <x:c r="K28" s="47" t="str">
        <x:v>Incident handling may be required after exposure.</x:v>
      </x:c>
    </x:row>
    <x:row r="29" ht="26.399999618530273" hidden="0" customHeight="1">
      <x:c r="A29" s="47" t="str">
        <x:v>RES-025</x:v>
      </x:c>
      <x:c r="B29" s="47" t="str">
        <x:v>No H6, RC or launch decision outside checklist 31</x:v>
      </x:c>
      <x:c r="C29" s="47" t="str">
        <x:v>Product and release gates</x:v>
      </x:c>
      <x:c r="D29" s="47" t="str">
        <x:v>H6, demo, Steam, RC, launch</x:v>
      </x:c>
      <x:c r="E29" s="47" t="str">
        <x:v>GOVERNANCE BLOCKING</x:v>
      </x:c>
      <x:c r="F29" s="47" t="str">
        <x:v>Control set, evidence, defects, exceptions and signoff required</x:v>
      </x:c>
      <x:c r="G29" s="47" t="str">
        <x:v>Reopen gate and execute 31</x:v>
      </x:c>
      <x:c r="H29" s="47" t="str">
        <x:v>31_H6_and_Release_Readiness_Checklist.xlsx</x:v>
      </x:c>
      <x:c r="I29" s="47" t="str">
        <x:v>VRM Games</x:v>
      </x:c>
      <x:c r="J29" s="47" t="str">
        <x:v>ACTIVE</x:v>
      </x:c>
      <x:c r="K29" s="47" t="str">
        <x:v>Spreadsheet formulas never replace manual approval.</x:v>
      </x:c>
    </x:row>
    <x:row r="30" ht="39.599998474121094" hidden="0" customHeight="1">
      <x:c r="A30" s="47" t="str">
        <x:v>RES-026</x:v>
      </x:c>
      <x:c r="B30" s="47" t="str">
        <x:v>No deletion of legal evidence without verified backup</x:v>
      </x:c>
      <x:c r="C30" s="47" t="str">
        <x:v>Licenses, contracts, invoices, notices, consent</x:v>
      </x:c>
      <x:c r="D30" s="47" t="str">
        <x:v>Documentation and secure archive</x:v>
      </x:c>
      <x:c r="E30" s="47" t="str">
        <x:v>CONTINUITY BLOCKING</x:v>
      </x:c>
      <x:c r="F30" s="47" t="str">
        <x:v>Backup, checksum, retention and restore test required</x:v>
      </x:c>
      <x:c r="G30" s="47" t="str">
        <x:v>Restore or reacquire evidence before release</x:v>
      </x:c>
      <x:c r="H30" s="47" t="str">
        <x:v>32_Documentation_Baseline_Manifest.xlsx; 33_Project_Risk_Register_and_Business_Continuity_Plan.xlsx</x:v>
      </x:c>
      <x:c r="I30" s="47" t="str">
        <x:v>VRM Games</x:v>
      </x:c>
      <x:c r="J30" s="47" t="str">
        <x:v>ACTIVE</x:v>
      </x:c>
      <x:c r="K30" s="47" t="str">
        <x:v>External URLs alone are not durable evidence.</x:v>
      </x:c>
    </x:row>
    <x:row r="31" ht="52.79999923706055" hidden="0" customHeight="1">
      <x:c r="A31" s="47" t="str">
        <x:v>RES-027</x:v>
      </x:c>
      <x:c r="B31" s="47" t="str">
        <x:v>No handoff dependent on private chat or a single account</x:v>
      </x:c>
      <x:c r="C31" s="47" t="str">
        <x:v>Legal, Steam, domains, social, providers</x:v>
      </x:c>
      <x:c r="D31" s="47" t="str">
        <x:v>Operations and continuity</x:v>
      </x:c>
      <x:c r="E31" s="47" t="str">
        <x:v>CONTROLLED</x:v>
      </x:c>
      <x:c r="F31" s="47" t="str">
        <x:v>Runbook, owner, recovery path and least-privilege access required</x:v>
      </x:c>
      <x:c r="G31" s="47" t="str">
        <x:v>Document and test independent handoff</x:v>
      </x:c>
      <x:c r="H31" s="47" t="str">
        <x:v>34_Final_Handoff_and_Project_Operations_Manual.md; 33_Project_Risk_Register_and_Business_Continuity_Plan.xlsx</x:v>
      </x:c>
      <x:c r="I31" s="47" t="str">
        <x:v>VRM Games</x:v>
      </x:c>
      <x:c r="J31" s="47" t="str">
        <x:v>ACTIVE</x:v>
      </x:c>
      <x:c r="K31" s="47" t="str">
        <x:v>Do not store passwords in this workbook.</x:v>
      </x:c>
    </x:row>
    <x:row r="32" ht="26.399999618530273" hidden="0" customHeight="1">
      <x:c r="A32" s="47" t="str">
        <x:v>RES-028</x:v>
      </x:c>
      <x:c r="B32" s="47" t="str">
        <x:v>No platform upload without current requirement review</x:v>
      </x:c>
      <x:c r="C32" s="47" t="str">
        <x:v>Steamworks, SDK, store assets, agreements</x:v>
      </x:c>
      <x:c r="D32" s="47" t="str">
        <x:v>Steam onboarding and release</x:v>
      </x:c>
      <x:c r="E32" s="47" t="str">
        <x:v>BLOCKING</x:v>
      </x:c>
      <x:c r="F32" s="47" t="str">
        <x:v>Review current platform, tax, banking, content, privacy and asset requirements</x:v>
      </x:c>
      <x:c r="G32" s="47" t="str">
        <x:v>Complete onboarding checklist and archive decision</x:v>
      </x:c>
      <x:c r="H32" s="47" t="str">
        <x:v>24_Steam_Publishing_Plan.md; 31_H6_and_Release_Readiness_Checklist.xlsx</x:v>
      </x:c>
      <x:c r="I32" s="47" t="str">
        <x:v>VRM Games</x:v>
      </x:c>
      <x:c r="J32" s="47" t="str">
        <x:v>ACTIVE</x:v>
      </x:c>
      <x:c r="K32" s="47" t="str">
        <x:v>Requirements may change; historical assumptions are not authority.</x:v>
      </x:c>
    </x:row>
  </x:sheetData>
  <x:mergeCells>
    <x:mergeCell ref="A1:K1"/>
    <x:mergeCell ref="A2:K2"/>
  </x:mergeCells>
  <x:conditionalFormatting sqref="J5:J24">
    <x:cfRule type="expression" dxfId="92" priority="1">
      <x:formula>OR(ISNUMBER(SEARCH("APPROVED",J5)),ISNUMBER(SEARCH("READY",J5)),ISNUMBER(SEARCH("ACTIVE",J5)),ISNUMBER(SEARCH("VERIFIED",J5)))</x:formula>
    </x:cfRule>
    <x:cfRule type="expression" dxfId="93" priority="2">
      <x:formula>OR(ISNUMBER(SEARCH("BLOCK",J5)),ISNUMBER(SEARCH("PROHIBITED",J5)),ISNUMBER(SEARCH("CRITICAL",J5)),ISNUMBER(SEARCH("MISSING",J5)))</x:formula>
    </x:cfRule>
    <x:cfRule type="expression" dxfId="94" priority="3">
      <x:formula>OR(ISNUMBER(SEARCH("PENDING",J5)),ISNUMBER(SEARCH("PARTIAL",J5)),ISNUMBER(SEARCH("REVIEW",J5)),ISNUMBER(SEARCH("CONDITIONAL",J5)))</x:formula>
    </x:cfRule>
    <x:cfRule type="expression" dxfId="95" priority="4">
      <x:formula>OR(ISNUMBER(SEARCH("HISTORICAL",J5)),ISNUMBER(SEARCH("VISION",J5)),ISNUMBER(SEARCH("OPTIONAL",J5)))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ce439115314fa8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0" hidden="0" customWidth="1"/>
    <x:col min="4" max="4" width="78" hidden="0" customWidth="1"/>
    <x:col min="5" max="5" width="24" hidden="0" customWidth="1"/>
    <x:col min="6" max="6" width="68" hidden="0" customWidth="1"/>
    <x:col min="7" max="7" width="34" hidden="0" customWidth="1"/>
    <x:col min="8" max="8" width="38" hidden="0" customWidth="1"/>
    <x:col min="9" max="9" width="28" hidden="0" customWidth="1"/>
    <x:col min="10" max="10" width="16" hidden="0" customWidth="1"/>
    <x:col min="11" max="11" width="24" hidden="0" customWidth="1"/>
    <x:col min="12" max="12" width="30" hidden="0" customWidth="1"/>
    <x:col min="13" max="13" width="20" hidden="0" customWidth="1"/>
    <x:col min="14" max="14" width="55" hidden="0" customWidth="1"/>
  </x:cols>
  <x:sheetData>
    <x:row r="1" ht="30" customHeight="1">
      <x:c r="A1" s="4" t="str">
        <x:v>Pruebas documentales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2" customHeight="1">
      <x:c r="A2" s="10" t="str">
        <x:v>Fuentes actuales, históricas, documentos 00–34, hashes y estado de actualización.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 ht="38" customHeight="1">
      <x:c r="A4" s="17" t="str">
        <x:v>Evidence ID</x:v>
      </x:c>
      <x:c r="B4" s="17" t="str">
        <x:v>Tipo</x:v>
      </x:c>
      <x:c r="C4" s="17" t="str">
        <x:v>Nombre</x:v>
      </x:c>
      <x:c r="D4" s="17" t="str">
        <x:v>Fuente/Ruta</x:v>
      </x:c>
      <x:c r="E4" s="17" t="str">
        <x:v>Fecha/Versión</x:v>
      </x:c>
      <x:c r="F4" s="17" t="str">
        <x:v>SHA-256</x:v>
      </x:c>
      <x:c r="G4" s="17" t="str">
        <x:v>Custodia</x:v>
      </x:c>
      <x:c r="H4" s="17" t="str">
        <x:v>Relaciona</x:v>
      </x:c>
      <x:c r="I4" s="17" t="str">
        <x:v>Validez</x:v>
      </x:c>
      <x:c r="J4" s="17" t="str">
        <x:v>Confidencial</x:v>
      </x:c>
      <x:c r="K4" s="17" t="str">
        <x:v>Estado</x:v>
      </x:c>
      <x:c r="L4" s="17" t="str">
        <x:v>Revisión</x:v>
      </x:c>
      <x:c r="M4" s="17" t="str">
        <x:v>Owner</x:v>
      </x:c>
      <x:c r="N4" s="17" t="str">
        <x:v>Notas</x:v>
      </x:c>
    </x:row>
    <x:row r="5" ht="34" customHeight="1">
      <x:c r="A5" s="24" t="str">
        <x:v>EVD-HIS-001</x:v>
      </x:c>
      <x:c r="B5" s="24" t="str">
        <x:v>Historical legal register</x:v>
      </x:c>
      <x:c r="C5" s="24" t="str">
        <x:v>Cartridge_And_Cloud_Legal_Credits_Licenses_Register_v0.3.pdf</x:v>
      </x:c>
      <x:c r="D5" s="24" t="str">
        <x:v>Documentation/00_Official_Baseline/v0.3/05_Business_Release/Cartridge_And_Cloud_Legal_Credits_Licenses_Register_v0.3.pdf</x:v>
      </x:c>
      <x:c r="E5" s="24" t="str">
        <x:v>0.3</x:v>
      </x:c>
      <x:c r="F5" s="24" t="str">
        <x:v>e358622a237b57cdcd65fb380460d70eafa0ef1085b43bf5e8fb7dff3ee734f0</x:v>
      </x:c>
      <x:c r="G5" s="24" t="str">
        <x:v>Documentation.zip</x:v>
      </x:c>
      <x:c r="H5" s="24" t="str">
        <x:v>Historical policy and genealogy</x:v>
      </x:c>
      <x:c r="I5" s="24" t="str">
        <x:v>Supporting / historical</x:v>
      </x:c>
      <x:c r="J5" s="24" t="str">
        <x:v>No</x:v>
      </x:c>
      <x:c r="K5" s="24" t="str">
        <x:v>VERIFIED HASH</x:v>
      </x:c>
      <x:c r="L5" s="24" t="str">
        <x:v>Preserve immutable</x:v>
      </x:c>
      <x:c r="M5" s="24" t="str">
        <x:v>VRM Games</x:v>
      </x:c>
      <x:c r="N5" s="24" t="str">
        <x:v>PDF; 22.01 KiB</x:v>
      </x:c>
    </x:row>
    <x:row r="6" ht="34" customHeight="1">
      <x:c r="A6" s="24" t="str">
        <x:v>EVD-HIS-002</x:v>
      </x:c>
      <x:c r="B6" s="24" t="str">
        <x:v>Historical legal register</x:v>
      </x:c>
      <x:c r="C6" s="24" t="str">
        <x:v>Cartridge_And_Cloud_Legal_Credits_Licenses_Register_v0.3.md</x:v>
      </x:c>
      <x:c r="D6" s="24" t="str">
        <x:v>Documentation/00_Official_Baseline/v0.3/99_Source_Markdown/Cartridge_And_Cloud_Legal_Credits_Licenses_Register_v0.3.md</x:v>
      </x:c>
      <x:c r="E6" s="24" t="str">
        <x:v>0.3</x:v>
      </x:c>
      <x:c r="F6" s="24" t="str">
        <x:v>ffc5bc6af65b27ede021acfdef2dbc5f20f680560e0be1a872586ab146a2f101</x:v>
      </x:c>
      <x:c r="G6" s="24" t="str">
        <x:v>Documentation.zip</x:v>
      </x:c>
      <x:c r="H6" s="24" t="str">
        <x:v>Historical policy and genealogy</x:v>
      </x:c>
      <x:c r="I6" s="24" t="str">
        <x:v>Supporting / historical</x:v>
      </x:c>
      <x:c r="J6" s="24" t="str">
        <x:v>No</x:v>
      </x:c>
      <x:c r="K6" s="24" t="str">
        <x:v>VERIFIED HASH</x:v>
      </x:c>
      <x:c r="L6" s="24" t="str">
        <x:v>Preserve immutable</x:v>
      </x:c>
      <x:c r="M6" s="24" t="str">
        <x:v>VRM Games</x:v>
      </x:c>
      <x:c r="N6" s="24" t="str">
        <x:v>MD; 3.88 KiB</x:v>
      </x:c>
    </x:row>
    <x:row r="7" ht="34" customHeight="1">
      <x:c r="A7" s="24" t="str">
        <x:v>EVD-HIS-003</x:v>
      </x:c>
      <x:c r="B7" s="24" t="str">
        <x:v>Historical legal register</x:v>
      </x:c>
      <x:c r="C7" s="24" t="str">
        <x:v>Cartridge_And_Cloud_Legal_Credits_Licenses_Register_v0.3.pdf</x:v>
      </x:c>
      <x:c r="D7" s="24" t="str">
        <x:v>Documentation/00_Official_Baseline/v0.4/05_Business_Release/Cartridge_And_Cloud_Legal_Credits_Licenses_Register_v0.3.pdf</x:v>
      </x:c>
      <x:c r="E7" s="24" t="str">
        <x:v>0.4</x:v>
      </x:c>
      <x:c r="F7" s="24" t="str">
        <x:v>e4105813b235d24b75edf539eae505342f58f1f26a4b087e870dcbda9d63f558</x:v>
      </x:c>
      <x:c r="G7" s="24" t="str">
        <x:v>Documentation.zip</x:v>
      </x:c>
      <x:c r="H7" s="24" t="str">
        <x:v>Historical policy and genealogy</x:v>
      </x:c>
      <x:c r="I7" s="24" t="str">
        <x:v>Supporting / historical</x:v>
      </x:c>
      <x:c r="J7" s="24" t="str">
        <x:v>No</x:v>
      </x:c>
      <x:c r="K7" s="24" t="str">
        <x:v>VERIFIED HASH</x:v>
      </x:c>
      <x:c r="L7" s="24" t="str">
        <x:v>Preserve immutable</x:v>
      </x:c>
      <x:c r="M7" s="24" t="str">
        <x:v>VRM Games</x:v>
      </x:c>
      <x:c r="N7" s="24" t="str">
        <x:v>PDF; 41.67 KiB</x:v>
      </x:c>
    </x:row>
    <x:row r="8" ht="34" customHeight="1">
      <x:c r="A8" s="24" t="str">
        <x:v>EVD-HIS-004</x:v>
      </x:c>
      <x:c r="B8" s="24" t="str">
        <x:v>Historical legal register</x:v>
      </x:c>
      <x:c r="C8" s="24" t="str">
        <x:v>Cartridge_And_Cloud_Legal_Credits_Licenses_Register_v0.3.md</x:v>
      </x:c>
      <x:c r="D8" s="24" t="str">
        <x:v>Documentation/00_Official_Baseline/v0.4/99_Source_Markdown/Cartridge_And_Cloud_Legal_Credits_Licenses_Register_v0.3.md</x:v>
      </x:c>
      <x:c r="E8" s="24" t="str">
        <x:v>0.4</x:v>
      </x:c>
      <x:c r="F8" s="24" t="str">
        <x:v>1a0e921f139b73179fe734eec452dcc3aa8c43860309390fe41ea1fb588fe81f</x:v>
      </x:c>
      <x:c r="G8" s="24" t="str">
        <x:v>Documentation.zip</x:v>
      </x:c>
      <x:c r="H8" s="24" t="str">
        <x:v>Historical policy and genealogy</x:v>
      </x:c>
      <x:c r="I8" s="24" t="str">
        <x:v>Supporting / historical</x:v>
      </x:c>
      <x:c r="J8" s="24" t="str">
        <x:v>No</x:v>
      </x:c>
      <x:c r="K8" s="24" t="str">
        <x:v>VERIFIED HASH</x:v>
      </x:c>
      <x:c r="L8" s="24" t="str">
        <x:v>Preserve immutable</x:v>
      </x:c>
      <x:c r="M8" s="24" t="str">
        <x:v>VRM Games</x:v>
      </x:c>
      <x:c r="N8" s="24" t="str">
        <x:v>MD; 3.98 KiB</x:v>
      </x:c>
    </x:row>
    <x:row r="9" ht="34" customHeight="1">
      <x:c r="A9" s="24" t="str">
        <x:v>EVD-HIS-005</x:v>
      </x:c>
      <x:c r="B9" s="24" t="str">
        <x:v>Historical legal register</x:v>
      </x:c>
      <x:c r="C9" s="24" t="str">
        <x:v>Cartridge_And_Cloud_Legal_Credits_Licenses_Register_v0.4.pdf</x:v>
      </x:c>
      <x:c r="D9" s="24" t="str">
        <x:v>Documentation/00_Official_Baseline/v0.5/05_Business_Release/Cartridge_And_Cloud_Legal_Credits_Licenses_Register_v0.4.pdf</x:v>
      </x:c>
      <x:c r="E9" s="24" t="str">
        <x:v>0.5</x:v>
      </x:c>
      <x:c r="F9" s="24" t="str">
        <x:v>d8fa9f63a454facc7e8d4e3fa8e50d1a95f0bb7a8f8bef06211e9d12accb5343</x:v>
      </x:c>
      <x:c r="G9" s="24" t="str">
        <x:v>Documentation.zip</x:v>
      </x:c>
      <x:c r="H9" s="24" t="str">
        <x:v>Historical policy and genealogy</x:v>
      </x:c>
      <x:c r="I9" s="24" t="str">
        <x:v>Supporting / historical</x:v>
      </x:c>
      <x:c r="J9" s="24" t="str">
        <x:v>No</x:v>
      </x:c>
      <x:c r="K9" s="24" t="str">
        <x:v>VERIFIED HASH</x:v>
      </x:c>
      <x:c r="L9" s="24" t="str">
        <x:v>Preserve immutable</x:v>
      </x:c>
      <x:c r="M9" s="24" t="str">
        <x:v>VRM Games</x:v>
      </x:c>
      <x:c r="N9" s="24" t="str">
        <x:v>PDF; 15.41 KiB</x:v>
      </x:c>
    </x:row>
    <x:row r="10" ht="34" customHeight="1">
      <x:c r="A10" s="24" t="str">
        <x:v>EVD-HIS-006</x:v>
      </x:c>
      <x:c r="B10" s="24" t="str">
        <x:v>Historical legal register</x:v>
      </x:c>
      <x:c r="C10" s="24" t="str">
        <x:v>Cartridge_And_Cloud_Legal_Credits_Licenses_Register_v0.4.md</x:v>
      </x:c>
      <x:c r="D10" s="24" t="str">
        <x:v>Documentation/00_Official_Baseline/v0.5/99_Source_Markdown/Cartridge_And_Cloud_Legal_Credits_Licenses_Register_v0.4.md</x:v>
      </x:c>
      <x:c r="E10" s="24" t="str">
        <x:v>0.5</x:v>
      </x:c>
      <x:c r="F10" s="24" t="str">
        <x:v>18f78b69a56edee6f8783d32859d6e231d061422d24abd6feefdbf06fe68567b</x:v>
      </x:c>
      <x:c r="G10" s="24" t="str">
        <x:v>Documentation.zip</x:v>
      </x:c>
      <x:c r="H10" s="24" t="str">
        <x:v>Historical policy and genealogy</x:v>
      </x:c>
      <x:c r="I10" s="24" t="str">
        <x:v>Supporting / historical</x:v>
      </x:c>
      <x:c r="J10" s="24" t="str">
        <x:v>No</x:v>
      </x:c>
      <x:c r="K10" s="24" t="str">
        <x:v>VERIFIED HASH</x:v>
      </x:c>
      <x:c r="L10" s="24" t="str">
        <x:v>Preserve immutable</x:v>
      </x:c>
      <x:c r="M10" s="24" t="str">
        <x:v>VRM Games</x:v>
      </x:c>
      <x:c r="N10" s="24" t="str">
        <x:v>MD; 1.95 KiB</x:v>
      </x:c>
    </x:row>
    <x:row r="11" ht="34" customHeight="1">
      <x:c r="A11" s="24" t="str">
        <x:v>EVD-HIS-007</x:v>
      </x:c>
      <x:c r="B11" s="24" t="str">
        <x:v>Historical legal register</x:v>
      </x:c>
      <x:c r="C11" s="24" t="str">
        <x:v>Cartridge_And_Cloud_Legal_Credits_Licenses_Register_v0.5.pdf</x:v>
      </x:c>
      <x:c r="D11" s="24" t="str">
        <x:v>Documentation/00_Official_Baseline/v0.6/05_Business_Release/Cartridge_And_Cloud_Legal_Credits_Licenses_Register_v0.5.pdf</x:v>
      </x:c>
      <x:c r="E11" s="24" t="str">
        <x:v>0.6</x:v>
      </x:c>
      <x:c r="F11" s="24" t="str">
        <x:v>eee199263d089442dc5ea6228b10b562d7930163c707a7e90402e734bf94db51</x:v>
      </x:c>
      <x:c r="G11" s="24" t="str">
        <x:v>Documentation.zip</x:v>
      </x:c>
      <x:c r="H11" s="24" t="str">
        <x:v>Historical policy and genealogy</x:v>
      </x:c>
      <x:c r="I11" s="24" t="str">
        <x:v>Supporting / historical</x:v>
      </x:c>
      <x:c r="J11" s="24" t="str">
        <x:v>No</x:v>
      </x:c>
      <x:c r="K11" s="24" t="str">
        <x:v>VERIFIED HASH</x:v>
      </x:c>
      <x:c r="L11" s="24" t="str">
        <x:v>Preserve immutable</x:v>
      </x:c>
      <x:c r="M11" s="24" t="str">
        <x:v>VRM Games</x:v>
      </x:c>
      <x:c r="N11" s="24" t="str">
        <x:v>PDF; 28.08 KiB</x:v>
      </x:c>
    </x:row>
    <x:row r="12" ht="34" customHeight="1">
      <x:c r="A12" s="24" t="str">
        <x:v>EVD-HIS-008</x:v>
      </x:c>
      <x:c r="B12" s="24" t="str">
        <x:v>Historical legal register</x:v>
      </x:c>
      <x:c r="C12" s="24" t="str">
        <x:v>Cartridge_And_Cloud_Legal_Credits_Licenses_Register_v0.5.md</x:v>
      </x:c>
      <x:c r="D12" s="24" t="str">
        <x:v>Documentation/00_Official_Baseline/v0.6/99_Source_Markdown/Cartridge_And_Cloud_Legal_Credits_Licenses_Register_v0.5.md</x:v>
      </x:c>
      <x:c r="E12" s="24" t="str">
        <x:v>0.6</x:v>
      </x:c>
      <x:c r="F12" s="24" t="str">
        <x:v>610fc2ca1dd8ea1859fb779039e5de841610646d1e5601d316b2fe34410c3c81</x:v>
      </x:c>
      <x:c r="G12" s="24" t="str">
        <x:v>Documentation.zip</x:v>
      </x:c>
      <x:c r="H12" s="24" t="str">
        <x:v>Historical policy and genealogy</x:v>
      </x:c>
      <x:c r="I12" s="24" t="str">
        <x:v>Supporting / historical</x:v>
      </x:c>
      <x:c r="J12" s="24" t="str">
        <x:v>No</x:v>
      </x:c>
      <x:c r="K12" s="24" t="str">
        <x:v>VERIFIED HASH</x:v>
      </x:c>
      <x:c r="L12" s="24" t="str">
        <x:v>Preserve immutable</x:v>
      </x:c>
      <x:c r="M12" s="24" t="str">
        <x:v>VRM Games</x:v>
      </x:c>
      <x:c r="N12" s="24" t="str">
        <x:v>MD; 1.91 KiB</x:v>
      </x:c>
    </x:row>
    <x:row r="13" ht="34" customHeight="1">
      <x:c r="A13" s="24" t="str">
        <x:v>EVD-PKG-001</x:v>
      </x:c>
      <x:c r="B13" s="24" t="str">
        <x:v>Source package</x:v>
      </x:c>
      <x:c r="C13" s="24" t="str">
        <x:v>Assets.zip</x:v>
      </x:c>
      <x:c r="D13" s="24" t="str">
        <x:v>Assets.zip</x:v>
      </x:c>
      <x:c r="E13" s="24" t="str">
        <x:v>Current supplied package</x:v>
      </x:c>
      <x:c r="F13" s="24" t="str">
        <x:v>080acfc65d512a53ba44746f023e755318561be6ad2de6d85f749049e4a01f61</x:v>
      </x:c>
      <x:c r="G13" s="24" t="str">
        <x:v>/Documentacion or secure archive</x:v>
      </x:c>
      <x:c r="H13" s="24" t="str">
        <x:v>Project source/assets/settings/packages</x:v>
      </x:c>
      <x:c r="I13" s="24" t="str">
        <x:v>Primary evidence</x:v>
      </x:c>
      <x:c r="J13" s="24" t="str">
        <x:v>Internal</x:v>
      </x:c>
      <x:c r="K13" s="24" t="str">
        <x:v>VERIFIED HASH</x:v>
      </x:c>
      <x:c r="L13" s="24" t="str">
        <x:v>Rehash per baseline</x:v>
      </x:c>
      <x:c r="M13" s="24" t="str">
        <x:v>VRM Games</x:v>
      </x:c>
      <x:c r="N13" s="24" t="str">
        <x:v>3558.65 KiB</x:v>
      </x:c>
    </x:row>
    <x:row r="14" ht="34" customHeight="1">
      <x:c r="A14" s="24" t="str">
        <x:v>EVD-PKG-002</x:v>
      </x:c>
      <x:c r="B14" s="24" t="str">
        <x:v>Source package</x:v>
      </x:c>
      <x:c r="C14" s="24" t="str">
        <x:v>Documentation.zip</x:v>
      </x:c>
      <x:c r="D14" s="24" t="str">
        <x:v>Documentation.zip</x:v>
      </x:c>
      <x:c r="E14" s="24" t="str">
        <x:v>Current supplied package</x:v>
      </x:c>
      <x:c r="F14" s="24" t="str">
        <x:v>79479b51b4534e549ee348b2c3dc05c2e7263994bff7927a34803a4bd47ede0c</x:v>
      </x:c>
      <x:c r="G14" s="24" t="str">
        <x:v>/Documentacion or secure archive</x:v>
      </x:c>
      <x:c r="H14" s="24" t="str">
        <x:v>Project source/assets/settings/packages</x:v>
      </x:c>
      <x:c r="I14" s="24" t="str">
        <x:v>Primary evidence</x:v>
      </x:c>
      <x:c r="J14" s="24" t="str">
        <x:v>Internal</x:v>
      </x:c>
      <x:c r="K14" s="24" t="str">
        <x:v>VERIFIED HASH</x:v>
      </x:c>
      <x:c r="L14" s="24" t="str">
        <x:v>Rehash per baseline</x:v>
      </x:c>
      <x:c r="M14" s="24" t="str">
        <x:v>VRM Games</x:v>
      </x:c>
      <x:c r="N14" s="24" t="str">
        <x:v>56034.52 KiB</x:v>
      </x:c>
    </x:row>
    <x:row r="15" ht="34" customHeight="1">
      <x:c r="A15" s="24" t="str">
        <x:v>EVD-PKG-003</x:v>
      </x:c>
      <x:c r="B15" s="24" t="str">
        <x:v>Source package</x:v>
      </x:c>
      <x:c r="C15" s="24" t="str">
        <x:v>Packages.zip</x:v>
      </x:c>
      <x:c r="D15" s="24" t="str">
        <x:v>Packages.zip</x:v>
      </x:c>
      <x:c r="E15" s="24" t="str">
        <x:v>Current supplied package</x:v>
      </x:c>
      <x:c r="F15" s="24" t="str">
        <x:v>d8500c68e792052a68deda54a2f368413fffc21f36647cbc1580dac203a12320</x:v>
      </x:c>
      <x:c r="G15" s="24" t="str">
        <x:v>/Documentacion or secure archive</x:v>
      </x:c>
      <x:c r="H15" s="24" t="str">
        <x:v>Project source/assets/settings/packages</x:v>
      </x:c>
      <x:c r="I15" s="24" t="str">
        <x:v>Primary evidence</x:v>
      </x:c>
      <x:c r="J15" s="24" t="str">
        <x:v>Internal</x:v>
      </x:c>
      <x:c r="K15" s="24" t="str">
        <x:v>VERIFIED HASH</x:v>
      </x:c>
      <x:c r="L15" s="24" t="str">
        <x:v>Rehash per baseline</x:v>
      </x:c>
      <x:c r="M15" s="24" t="str">
        <x:v>VRM Games</x:v>
      </x:c>
      <x:c r="N15" s="24" t="str">
        <x:v>2.74 KiB</x:v>
      </x:c>
    </x:row>
    <x:row r="16" ht="34" customHeight="1">
      <x:c r="A16" s="24" t="str">
        <x:v>EVD-PKG-004</x:v>
      </x:c>
      <x:c r="B16" s="24" t="str">
        <x:v>Source package</x:v>
      </x:c>
      <x:c r="C16" s="24" t="str">
        <x:v>ProjectSettings.zip</x:v>
      </x:c>
      <x:c r="D16" s="24" t="str">
        <x:v>ProjectSettings.zip</x:v>
      </x:c>
      <x:c r="E16" s="24" t="str">
        <x:v>Current supplied package</x:v>
      </x:c>
      <x:c r="F16" s="24" t="str">
        <x:v>ee8d66a7043ad5c387e352c9e5eba5cd8a568b19d620dbec14dd3b1b0c711ddb</x:v>
      </x:c>
      <x:c r="G16" s="24" t="str">
        <x:v>/Documentacion or secure archive</x:v>
      </x:c>
      <x:c r="H16" s="24" t="str">
        <x:v>Project source/assets/settings/packages</x:v>
      </x:c>
      <x:c r="I16" s="24" t="str">
        <x:v>Primary evidence</x:v>
      </x:c>
      <x:c r="J16" s="24" t="str">
        <x:v>Internal</x:v>
      </x:c>
      <x:c r="K16" s="24" t="str">
        <x:v>VERIFIED HASH</x:v>
      </x:c>
      <x:c r="L16" s="24" t="str">
        <x:v>Rehash per baseline</x:v>
      </x:c>
      <x:c r="M16" s="24" t="str">
        <x:v>VRM Games</x:v>
      </x:c>
      <x:c r="N16" s="24" t="str">
        <x:v>20.45 KiB</x:v>
      </x:c>
    </x:row>
    <x:row r="17" ht="34" customHeight="1">
      <x:c r="A17" s="24" t="str">
        <x:v>EVD-DOC-001</x:v>
      </x:c>
      <x:c r="B17" s="24" t="str">
        <x:v>Consolidated document</x:v>
      </x:c>
      <x:c r="C17" s="24" t="str">
        <x:v>00_Enfoque_y_Alcance.md</x:v>
      </x:c>
      <x:c r="D17" s="24" t="str">
        <x:v>00_Enfoque_y_Alcance.md</x:v>
      </x:c>
      <x:c r="E17" s="24" t="str">
        <x:v>2026-07-01 consolidation</x:v>
      </x:c>
      <x:c r="F17" s="24" t="str">
        <x:v>63dd6f0f1b9c2c80be2aec55718d18d9d031ce4acb14f677769d6e69ceaad21f</x:v>
      </x:c>
      <x:c r="G17" s="24" t="str">
        <x:v>Documentacion/</x:v>
      </x:c>
      <x:c r="H17" s="24" t="str">
        <x:v>Current project authority/governance</x:v>
      </x:c>
      <x:c r="I17" s="24" t="str">
        <x:v>Primary current</x:v>
      </x:c>
      <x:c r="J17" s="24" t="str">
        <x:v>Internal / selected sharing</x:v>
      </x:c>
      <x:c r="K17" s="24" t="str">
        <x:v>VERIFIED HASH</x:v>
      </x:c>
      <x:c r="L17" s="24" t="str">
        <x:v>Update after document change</x:v>
      </x:c>
      <x:c r="M17" s="24" t="str">
        <x:v>VRM Games</x:v>
      </x:c>
      <x:c r="N17" s="24" t="str">
        <x:v>124.42 KiB</x:v>
      </x:c>
    </x:row>
    <x:row r="18" ht="34" customHeight="1">
      <x:c r="A18" s="24" t="str">
        <x:v>EVD-DOC-002</x:v>
      </x:c>
      <x:c r="B18" s="24" t="str">
        <x:v>Consolidated document</x:v>
      </x:c>
      <x:c r="C18" s="24" t="str">
        <x:v>01_Game_Design_Document.md</x:v>
      </x:c>
      <x:c r="D18" s="24" t="str">
        <x:v>01_Game_Design_Document.md</x:v>
      </x:c>
      <x:c r="E18" s="24" t="str">
        <x:v>2026-07-01 consolidation</x:v>
      </x:c>
      <x:c r="F18" s="24" t="str">
        <x:v>a9cd9e3203abc5269c25c59dc7f626b0771df4ec2d65e781109ff146bceb2177</x:v>
      </x:c>
      <x:c r="G18" s="24" t="str">
        <x:v>Documentacion/</x:v>
      </x:c>
      <x:c r="H18" s="24" t="str">
        <x:v>Current project authority/governance</x:v>
      </x:c>
      <x:c r="I18" s="24" t="str">
        <x:v>Primary current</x:v>
      </x:c>
      <x:c r="J18" s="24" t="str">
        <x:v>Internal / selected sharing</x:v>
      </x:c>
      <x:c r="K18" s="24" t="str">
        <x:v>VERIFIED HASH</x:v>
      </x:c>
      <x:c r="L18" s="24" t="str">
        <x:v>Update after document change</x:v>
      </x:c>
      <x:c r="M18" s="24" t="str">
        <x:v>VRM Games</x:v>
      </x:c>
      <x:c r="N18" s="24" t="str">
        <x:v>129.71 KiB</x:v>
      </x:c>
    </x:row>
    <x:row r="19" ht="34" customHeight="1">
      <x:c r="A19" s="24" t="str">
        <x:v>EVD-DOC-003</x:v>
      </x:c>
      <x:c r="B19" s="24" t="str">
        <x:v>Consolidated document</x:v>
      </x:c>
      <x:c r="C19" s="24" t="str">
        <x:v>02_Vertical_Slice_Specification.md</x:v>
      </x:c>
      <x:c r="D19" s="24" t="str">
        <x:v>02_Vertical_Slice_Specification.md</x:v>
      </x:c>
      <x:c r="E19" s="24" t="str">
        <x:v>2026-07-01 consolidation</x:v>
      </x:c>
      <x:c r="F19" s="24" t="str">
        <x:v>75893f130116e88a08b8da5590dd81876a234581081eafaa8d08374c1a60513f</x:v>
      </x:c>
      <x:c r="G19" s="24" t="str">
        <x:v>Documentacion/</x:v>
      </x:c>
      <x:c r="H19" s="24" t="str">
        <x:v>Current project authority/governance</x:v>
      </x:c>
      <x:c r="I19" s="24" t="str">
        <x:v>Primary current</x:v>
      </x:c>
      <x:c r="J19" s="24" t="str">
        <x:v>Internal / selected sharing</x:v>
      </x:c>
      <x:c r="K19" s="24" t="str">
        <x:v>VERIFIED HASH</x:v>
      </x:c>
      <x:c r="L19" s="24" t="str">
        <x:v>Update after document change</x:v>
      </x:c>
      <x:c r="M19" s="24" t="str">
        <x:v>VRM Games</x:v>
      </x:c>
      <x:c r="N19" s="24" t="str">
        <x:v>63.02 KiB</x:v>
      </x:c>
    </x:row>
    <x:row r="20" ht="34" customHeight="1">
      <x:c r="A20" s="24" t="str">
        <x:v>EVD-DOC-004</x:v>
      </x:c>
      <x:c r="B20" s="24" t="str">
        <x:v>Consolidated document</x:v>
      </x:c>
      <x:c r="C20" s="24" t="str">
        <x:v>03_Technical_Design_Document.md</x:v>
      </x:c>
      <x:c r="D20" s="24" t="str">
        <x:v>03_Technical_Design_Document.md</x:v>
      </x:c>
      <x:c r="E20" s="24" t="str">
        <x:v>2026-07-01 consolidation</x:v>
      </x:c>
      <x:c r="F20" s="24" t="str">
        <x:v>66264703c5ff4959d03093690e9845a98ec0e5025e685b9a639ac8cbb616cd12</x:v>
      </x:c>
      <x:c r="G20" s="24" t="str">
        <x:v>Documentacion/</x:v>
      </x:c>
      <x:c r="H20" s="24" t="str">
        <x:v>Current project authority/governance</x:v>
      </x:c>
      <x:c r="I20" s="24" t="str">
        <x:v>Primary current</x:v>
      </x:c>
      <x:c r="J20" s="24" t="str">
        <x:v>Internal / selected sharing</x:v>
      </x:c>
      <x:c r="K20" s="24" t="str">
        <x:v>VERIFIED HASH</x:v>
      </x:c>
      <x:c r="L20" s="24" t="str">
        <x:v>Update after document change</x:v>
      </x:c>
      <x:c r="M20" s="24" t="str">
        <x:v>VRM Games</x:v>
      </x:c>
      <x:c r="N20" s="24" t="str">
        <x:v>99.6 KiB</x:v>
      </x:c>
    </x:row>
    <x:row r="21" ht="34" customHeight="1">
      <x:c r="A21" s="24" t="str">
        <x:v>EVD-DOC-005</x:v>
      </x:c>
      <x:c r="B21" s="24" t="str">
        <x:v>Consolidated document</x:v>
      </x:c>
      <x:c r="C21" s="24" t="str">
        <x:v>04_Modelo_de_Datos.md</x:v>
      </x:c>
      <x:c r="D21" s="24" t="str">
        <x:v>04_Modelo_de_Datos.md</x:v>
      </x:c>
      <x:c r="E21" s="24" t="str">
        <x:v>2026-07-01 consolidation</x:v>
      </x:c>
      <x:c r="F21" s="24" t="str">
        <x:v>d851a72b55742c2c704cc7c002929bc5894e7142511c6af843440bb193fb19d4</x:v>
      </x:c>
      <x:c r="G21" s="24" t="str">
        <x:v>Documentacion/</x:v>
      </x:c>
      <x:c r="H21" s="24" t="str">
        <x:v>Current project authority/governance</x:v>
      </x:c>
      <x:c r="I21" s="24" t="str">
        <x:v>Primary current</x:v>
      </x:c>
      <x:c r="J21" s="24" t="str">
        <x:v>Internal / selected sharing</x:v>
      </x:c>
      <x:c r="K21" s="24" t="str">
        <x:v>VERIFIED HASH</x:v>
      </x:c>
      <x:c r="L21" s="24" t="str">
        <x:v>Update after document change</x:v>
      </x:c>
      <x:c r="M21" s="24" t="str">
        <x:v>VRM Games</x:v>
      </x:c>
      <x:c r="N21" s="24" t="str">
        <x:v>100.54 KiB</x:v>
      </x:c>
    </x:row>
    <x:row r="22" ht="34" customHeight="1">
      <x:c r="A22" s="24" t="str">
        <x:v>EVD-DOC-006</x:v>
      </x:c>
      <x:c r="B22" s="24" t="str">
        <x:v>Consolidated document</x:v>
      </x:c>
      <x:c r="C22" s="24" t="str">
        <x:v>05_UX_Flow.md</x:v>
      </x:c>
      <x:c r="D22" s="24" t="str">
        <x:v>05_UX_Flow.md</x:v>
      </x:c>
      <x:c r="E22" s="24" t="str">
        <x:v>2026-07-01 consolidation</x:v>
      </x:c>
      <x:c r="F22" s="24" t="str">
        <x:v>e08da5ff67fb073a8b950babe325ae58ddb2e121513dc2f553acd4f2c14b867e</x:v>
      </x:c>
      <x:c r="G22" s="24" t="str">
        <x:v>Documentacion/</x:v>
      </x:c>
      <x:c r="H22" s="24" t="str">
        <x:v>Current project authority/governance</x:v>
      </x:c>
      <x:c r="I22" s="24" t="str">
        <x:v>Primary current</x:v>
      </x:c>
      <x:c r="J22" s="24" t="str">
        <x:v>Internal / selected sharing</x:v>
      </x:c>
      <x:c r="K22" s="24" t="str">
        <x:v>VERIFIED HASH</x:v>
      </x:c>
      <x:c r="L22" s="24" t="str">
        <x:v>Update after document change</x:v>
      </x:c>
      <x:c r="M22" s="24" t="str">
        <x:v>VRM Games</x:v>
      </x:c>
      <x:c r="N22" s="24" t="str">
        <x:v>55.47 KiB</x:v>
      </x:c>
    </x:row>
    <x:row r="23" ht="34" customHeight="1">
      <x:c r="A23" s="24" t="str">
        <x:v>EVD-DOC-007</x:v>
      </x:c>
      <x:c r="B23" s="24" t="str">
        <x:v>Consolidated document</x:v>
      </x:c>
      <x:c r="C23" s="24" t="str">
        <x:v>06_Production_Roadmap_y_Sprint_Plan.md</x:v>
      </x:c>
      <x:c r="D23" s="24" t="str">
        <x:v>06_Production_Roadmap_y_Sprint_Plan.md</x:v>
      </x:c>
      <x:c r="E23" s="24" t="str">
        <x:v>2026-07-01 consolidation</x:v>
      </x:c>
      <x:c r="F23" s="24" t="str">
        <x:v>d00b156c0ad1c66069278119c55f76c738a577a3e2835f770208d1a5f2faadff</x:v>
      </x:c>
      <x:c r="G23" s="24" t="str">
        <x:v>Documentacion/</x:v>
      </x:c>
      <x:c r="H23" s="24" t="str">
        <x:v>Current project authority/governance</x:v>
      </x:c>
      <x:c r="I23" s="24" t="str">
        <x:v>Primary current</x:v>
      </x:c>
      <x:c r="J23" s="24" t="str">
        <x:v>Internal / selected sharing</x:v>
      </x:c>
      <x:c r="K23" s="24" t="str">
        <x:v>VERIFIED HASH</x:v>
      </x:c>
      <x:c r="L23" s="24" t="str">
        <x:v>Update after document change</x:v>
      </x:c>
      <x:c r="M23" s="24" t="str">
        <x:v>VRM Games</x:v>
      </x:c>
      <x:c r="N23" s="24" t="str">
        <x:v>60.12 KiB</x:v>
      </x:c>
    </x:row>
    <x:row r="24" ht="34" customHeight="1">
      <x:c r="A24" s="24" t="str">
        <x:v>EVD-DOC-008</x:v>
      </x:c>
      <x:c r="B24" s="24" t="str">
        <x:v>Consolidated document</x:v>
      </x:c>
      <x:c r="C24" s="24" t="str">
        <x:v>07_QA_Testing_Plan.md</x:v>
      </x:c>
      <x:c r="D24" s="24" t="str">
        <x:v>07_QA_Testing_Plan.md</x:v>
      </x:c>
      <x:c r="E24" s="24" t="str">
        <x:v>2026-07-01 consolidation</x:v>
      </x:c>
      <x:c r="F24" s="24" t="str">
        <x:v>bc9c05a3737e345546ef16e5390e034295ef35ad66c31647852aec81b4e7affe</x:v>
      </x:c>
      <x:c r="G24" s="24" t="str">
        <x:v>Documentacion/</x:v>
      </x:c>
      <x:c r="H24" s="24" t="str">
        <x:v>Current project authority/governance</x:v>
      </x:c>
      <x:c r="I24" s="24" t="str">
        <x:v>Primary current</x:v>
      </x:c>
      <x:c r="J24" s="24" t="str">
        <x:v>Internal / selected sharing</x:v>
      </x:c>
      <x:c r="K24" s="24" t="str">
        <x:v>VERIFIED HASH</x:v>
      </x:c>
      <x:c r="L24" s="24" t="str">
        <x:v>Update after document change</x:v>
      </x:c>
      <x:c r="M24" s="24" t="str">
        <x:v>VRM Games</x:v>
      </x:c>
      <x:c r="N24" s="24" t="str">
        <x:v>77.57 KiB</x:v>
      </x:c>
    </x:row>
    <x:row r="25" ht="34" customHeight="1">
      <x:c r="A25" s="24" t="str">
        <x:v>EVD-DOC-009</x:v>
      </x:c>
      <x:c r="B25" s="24" t="str">
        <x:v>Consolidated document</x:v>
      </x:c>
      <x:c r="C25" s="24" t="str">
        <x:v>08_QA_Testing_Matrix.xlsx</x:v>
      </x:c>
      <x:c r="D25" s="24" t="str">
        <x:v>08_QA_Testing_Matrix.xlsx</x:v>
      </x:c>
      <x:c r="E25" s="24" t="str">
        <x:v>2026-07-01 consolidation</x:v>
      </x:c>
      <x:c r="F25" s="24" t="str">
        <x:v>233e57f01d2468fe13c136c8fcd3ee75b39bd3de6530349626ea98d4ff254214</x:v>
      </x:c>
      <x:c r="G25" s="24" t="str">
        <x:v>Documentacion/</x:v>
      </x:c>
      <x:c r="H25" s="24" t="str">
        <x:v>Current project authority/governance</x:v>
      </x:c>
      <x:c r="I25" s="24" t="str">
        <x:v>Primary current</x:v>
      </x:c>
      <x:c r="J25" s="24" t="str">
        <x:v>Internal / selected sharing</x:v>
      </x:c>
      <x:c r="K25" s="24" t="str">
        <x:v>VERIFIED HASH</x:v>
      </x:c>
      <x:c r="L25" s="24" t="str">
        <x:v>Update after document change</x:v>
      </x:c>
      <x:c r="M25" s="24" t="str">
        <x:v>VRM Games</x:v>
      </x:c>
      <x:c r="N25" s="24" t="str">
        <x:v>180.7 KiB</x:v>
      </x:c>
    </x:row>
    <x:row r="26" ht="34" customHeight="1">
      <x:c r="A26" s="24" t="str">
        <x:v>EVD-DOC-010</x:v>
      </x:c>
      <x:c r="B26" s="24" t="str">
        <x:v>Consolidated document</x:v>
      </x:c>
      <x:c r="C26" s="24" t="str">
        <x:v>09_CSharp_Coding_Standards.md</x:v>
      </x:c>
      <x:c r="D26" s="24" t="str">
        <x:v>09_CSharp_Coding_Standards.md</x:v>
      </x:c>
      <x:c r="E26" s="24" t="str">
        <x:v>2026-07-01 consolidation</x:v>
      </x:c>
      <x:c r="F26" s="24" t="str">
        <x:v>3b734d6cd49f31c09c10bb4941625e143f6c634e3fb50c157f0720e73b1c2a68</x:v>
      </x:c>
      <x:c r="G26" s="24" t="str">
        <x:v>Documentacion/</x:v>
      </x:c>
      <x:c r="H26" s="24" t="str">
        <x:v>Current project authority/governance</x:v>
      </x:c>
      <x:c r="I26" s="24" t="str">
        <x:v>Primary current</x:v>
      </x:c>
      <x:c r="J26" s="24" t="str">
        <x:v>Internal / selected sharing</x:v>
      </x:c>
      <x:c r="K26" s="24" t="str">
        <x:v>VERIFIED HASH</x:v>
      </x:c>
      <x:c r="L26" s="24" t="str">
        <x:v>Update after document change</x:v>
      </x:c>
      <x:c r="M26" s="24" t="str">
        <x:v>VRM Games</x:v>
      </x:c>
      <x:c r="N26" s="24" t="str">
        <x:v>93.09 KiB</x:v>
      </x:c>
    </x:row>
    <x:row r="27" ht="34" customHeight="1">
      <x:c r="A27" s="24" t="str">
        <x:v>EVD-DOC-011</x:v>
      </x:c>
      <x:c r="B27" s="24" t="str">
        <x:v>Consolidated document</x:v>
      </x:c>
      <x:c r="C27" s="24" t="str">
        <x:v>10_Unity_Project_Setup_Guide.md</x:v>
      </x:c>
      <x:c r="D27" s="24" t="str">
        <x:v>10_Unity_Project_Setup_Guide.md</x:v>
      </x:c>
      <x:c r="E27" s="24" t="str">
        <x:v>2026-07-01 consolidation</x:v>
      </x:c>
      <x:c r="F27" s="24" t="str">
        <x:v>31430bb0544edd9577323aa0009d6ca3df8b9fbcf6c8a150fc33df69b9f963a4</x:v>
      </x:c>
      <x:c r="G27" s="24" t="str">
        <x:v>Documentacion/</x:v>
      </x:c>
      <x:c r="H27" s="24" t="str">
        <x:v>Current project authority/governance</x:v>
      </x:c>
      <x:c r="I27" s="24" t="str">
        <x:v>Primary current</x:v>
      </x:c>
      <x:c r="J27" s="24" t="str">
        <x:v>Internal / selected sharing</x:v>
      </x:c>
      <x:c r="K27" s="24" t="str">
        <x:v>VERIFIED HASH</x:v>
      </x:c>
      <x:c r="L27" s="24" t="str">
        <x:v>Update after document change</x:v>
      </x:c>
      <x:c r="M27" s="24" t="str">
        <x:v>VRM Games</x:v>
      </x:c>
      <x:c r="N27" s="24" t="str">
        <x:v>76.57 KiB</x:v>
      </x:c>
    </x:row>
    <x:row r="28" ht="34" customHeight="1">
      <x:c r="A28" s="24" t="str">
        <x:v>EVD-DOC-012</x:v>
      </x:c>
      <x:c r="B28" s="24" t="str">
        <x:v>Consolidated document</x:v>
      </x:c>
      <x:c r="C28" s="24" t="str">
        <x:v>11_Build_y_Versioning_Guide.md</x:v>
      </x:c>
      <x:c r="D28" s="24" t="str">
        <x:v>11_Build_y_Versioning_Guide.md</x:v>
      </x:c>
      <x:c r="E28" s="24" t="str">
        <x:v>2026-07-01 consolidation</x:v>
      </x:c>
      <x:c r="F28" s="24" t="str">
        <x:v>38a16a0f97505c0b405509dd3c7e3d1b50e77b89fbe3f4cb1931d3e04f602215</x:v>
      </x:c>
      <x:c r="G28" s="24" t="str">
        <x:v>Documentacion/</x:v>
      </x:c>
      <x:c r="H28" s="24" t="str">
        <x:v>Current project authority/governance</x:v>
      </x:c>
      <x:c r="I28" s="24" t="str">
        <x:v>Primary current</x:v>
      </x:c>
      <x:c r="J28" s="24" t="str">
        <x:v>Internal / selected sharing</x:v>
      </x:c>
      <x:c r="K28" s="24" t="str">
        <x:v>VERIFIED HASH</x:v>
      </x:c>
      <x:c r="L28" s="24" t="str">
        <x:v>Update after document change</x:v>
      </x:c>
      <x:c r="M28" s="24" t="str">
        <x:v>VRM Games</x:v>
      </x:c>
      <x:c r="N28" s="24" t="str">
        <x:v>83.32 KiB</x:v>
      </x:c>
    </x:row>
    <x:row r="29" ht="34" customHeight="1">
      <x:c r="A29" s="24" t="str">
        <x:v>EVD-DOC-013</x:v>
      </x:c>
      <x:c r="B29" s="24" t="str">
        <x:v>Consolidated document</x:v>
      </x:c>
      <x:c r="C29" s="24" t="str">
        <x:v>12_Excel_Maestro_de_Produccion.xlsx</x:v>
      </x:c>
      <x:c r="D29" s="24" t="str">
        <x:v>12_Excel_Maestro_de_Produccion.xlsx</x:v>
      </x:c>
      <x:c r="E29" s="24" t="str">
        <x:v>2026-07-01 targeted update</x:v>
      </x:c>
      <x:c r="F29" s="24" t="str">
        <x:v>3d70e97326868389dac977934e6000285c22b3c33c0e62be31313880726b4d7d</x:v>
      </x:c>
      <x:c r="G29" s="24" t="str">
        <x:v>Documentacion/</x:v>
      </x:c>
      <x:c r="H29" s="24" t="str">
        <x:v>Current project authority/governance</x:v>
      </x:c>
      <x:c r="I29" s="24" t="str">
        <x:v>Primary current</x:v>
      </x:c>
      <x:c r="J29" s="24" t="str">
        <x:v>Internal / selected sharing</x:v>
      </x:c>
      <x:c r="K29" s="24" t="str">
        <x:v>TARGETED UPDATE / VERIFIED HASH</x:v>
      </x:c>
      <x:c r="L29" s="24" t="str">
        <x:v>Rehash after any subsequent change</x:v>
      </x:c>
      <x:c r="M29" s="24" t="str">
        <x:v>VRM Games</x:v>
      </x:c>
      <x:c r="N29" s="24" t="str">
        <x:v>473.57 KiB</x:v>
      </x:c>
    </x:row>
    <x:row r="30" ht="34" customHeight="1">
      <x:c r="A30" s="24" t="str">
        <x:v>EVD-DOC-014</x:v>
      </x:c>
      <x:c r="B30" s="24" t="str">
        <x:v>Consolidated document</x:v>
      </x:c>
      <x:c r="C30" s="24" t="str">
        <x:v>13_Trazabilidad_y_Control_de_Cambios.xlsx</x:v>
      </x:c>
      <x:c r="D30" s="24" t="str">
        <x:v>13_Trazabilidad_y_Control_de_Cambios.xlsx</x:v>
      </x:c>
      <x:c r="E30" s="24" t="str">
        <x:v>2026-07-01 targeted update</x:v>
      </x:c>
      <x:c r="F30" s="24" t="str">
        <x:v>97cf106d7707de9e6dcadfa2ec9374676b0ea9fe0945ac87eb89db788df8da43</x:v>
      </x:c>
      <x:c r="G30" s="24" t="str">
        <x:v>Documentacion/</x:v>
      </x:c>
      <x:c r="H30" s="24" t="str">
        <x:v>Current project authority/governance</x:v>
      </x:c>
      <x:c r="I30" s="24" t="str">
        <x:v>Primary current</x:v>
      </x:c>
      <x:c r="J30" s="24" t="str">
        <x:v>Internal / selected sharing</x:v>
      </x:c>
      <x:c r="K30" s="24" t="str">
        <x:v>TARGETED UPDATE / VERIFIED HASH</x:v>
      </x:c>
      <x:c r="L30" s="24" t="str">
        <x:v>Rehash after any subsequent change</x:v>
      </x:c>
      <x:c r="M30" s="24" t="str">
        <x:v>VRM Games</x:v>
      </x:c>
      <x:c r="N30" s="24" t="str">
        <x:v>564.02 KiB</x:v>
      </x:c>
    </x:row>
    <x:row r="31" ht="34" customHeight="1">
      <x:c r="A31" s="24" t="str">
        <x:v>EVD-DOC-015</x:v>
      </x:c>
      <x:c r="B31" s="24" t="str">
        <x:v>Consolidated document</x:v>
      </x:c>
      <x:c r="C31" s="24" t="str">
        <x:v>14_Project_Binder_Indice_Maestro.md</x:v>
      </x:c>
      <x:c r="D31" s="24" t="str">
        <x:v>14_Project_Binder_Indice_Maestro.md</x:v>
      </x:c>
      <x:c r="E31" s="24" t="str">
        <x:v>2026-07-01 targeted update</x:v>
      </x:c>
      <x:c r="F31" s="24" t="str">
        <x:v>d0e8c2b0bf78a414d00c290d8ab8e4b2742e80de7bf509764318c6b7a9e4f144</x:v>
      </x:c>
      <x:c r="G31" s="24" t="str">
        <x:v>Documentacion/</x:v>
      </x:c>
      <x:c r="H31" s="24" t="str">
        <x:v>Current project authority/governance</x:v>
      </x:c>
      <x:c r="I31" s="24" t="str">
        <x:v>Primary current</x:v>
      </x:c>
      <x:c r="J31" s="24" t="str">
        <x:v>Internal / selected sharing</x:v>
      </x:c>
      <x:c r="K31" s="24" t="str">
        <x:v>TARGETED UPDATE / VERIFIED HASH</x:v>
      </x:c>
      <x:c r="L31" s="24" t="str">
        <x:v>Rehash after any subsequent change</x:v>
      </x:c>
      <x:c r="M31" s="24" t="str">
        <x:v>VRM Games</x:v>
      </x:c>
      <x:c r="N31" s="24" t="str">
        <x:v>93.34 KiB</x:v>
      </x:c>
    </x:row>
    <x:row r="32" ht="34" customHeight="1">
      <x:c r="A32" s="24" t="str">
        <x:v>EVD-DOC-016</x:v>
      </x:c>
      <x:c r="B32" s="24" t="str">
        <x:v>Consolidated document</x:v>
      </x:c>
      <x:c r="C32" s="24" t="str">
        <x:v>15_Guia_Maestra.md</x:v>
      </x:c>
      <x:c r="D32" s="24" t="str">
        <x:v>15_Guia_Maestra.md</x:v>
      </x:c>
      <x:c r="E32" s="24" t="str">
        <x:v>2026-07-01 targeted update</x:v>
      </x:c>
      <x:c r="F32" s="24" t="str">
        <x:v>70aa63feb69785d3b2e8b044c73b9c5f075829fd198e4de5504196d2262cae71</x:v>
      </x:c>
      <x:c r="G32" s="24" t="str">
        <x:v>Documentacion/</x:v>
      </x:c>
      <x:c r="H32" s="24" t="str">
        <x:v>Current project authority/governance</x:v>
      </x:c>
      <x:c r="I32" s="24" t="str">
        <x:v>Primary current</x:v>
      </x:c>
      <x:c r="J32" s="24" t="str">
        <x:v>Internal / selected sharing</x:v>
      </x:c>
      <x:c r="K32" s="24" t="str">
        <x:v>TARGETED UPDATE / VERIFIED HASH</x:v>
      </x:c>
      <x:c r="L32" s="24" t="str">
        <x:v>Rehash after any subsequent change</x:v>
      </x:c>
      <x:c r="M32" s="24" t="str">
        <x:v>VRM Games</x:v>
      </x:c>
      <x:c r="N32" s="24" t="str">
        <x:v>146.09 KiB</x:v>
      </x:c>
    </x:row>
    <x:row r="33" ht="34" customHeight="1">
      <x:c r="A33" s="24" t="str">
        <x:v>EVD-DOC-017</x:v>
      </x:c>
      <x:c r="B33" s="24" t="str">
        <x:v>Consolidated document</x:v>
      </x:c>
      <x:c r="C33" s="24" t="str">
        <x:v>16_Auditoria_Global_de_Coherencia.md</x:v>
      </x:c>
      <x:c r="D33" s="24" t="str">
        <x:v>16_Auditoria_Global_de_Coherencia.md</x:v>
      </x:c>
      <x:c r="E33" s="24" t="str">
        <x:v>2026-07-01 consolidation</x:v>
      </x:c>
      <x:c r="F33" s="24" t="str">
        <x:v>4a62376b8aee623be40957ae0511d2dcab2919947f3abb2cef3502b9bb60863e</x:v>
      </x:c>
      <x:c r="G33" s="24" t="str">
        <x:v>Documentacion/</x:v>
      </x:c>
      <x:c r="H33" s="24" t="str">
        <x:v>Current project authority/governance</x:v>
      </x:c>
      <x:c r="I33" s="24" t="str">
        <x:v>Primary current</x:v>
      </x:c>
      <x:c r="J33" s="24" t="str">
        <x:v>Internal / selected sharing</x:v>
      </x:c>
      <x:c r="K33" s="24" t="str">
        <x:v>VERIFIED HASH</x:v>
      </x:c>
      <x:c r="L33" s="24" t="str">
        <x:v>Update after document change</x:v>
      </x:c>
      <x:c r="M33" s="24" t="str">
        <x:v>VRM Games</x:v>
      </x:c>
      <x:c r="N33" s="24" t="str">
        <x:v>85.39 KiB</x:v>
      </x:c>
    </x:row>
    <x:row r="34" ht="34" customHeight="1">
      <x:c r="A34" s="24" t="str">
        <x:v>EVD-DOC-018</x:v>
      </x:c>
      <x:c r="B34" s="24" t="str">
        <x:v>Consolidated document</x:v>
      </x:c>
      <x:c r="C34" s="24" t="str">
        <x:v>17_Art_Bible.md</x:v>
      </x:c>
      <x:c r="D34" s="24" t="str">
        <x:v>17_Art_Bible.md</x:v>
      </x:c>
      <x:c r="E34" s="24" t="str">
        <x:v>2026-07-01 consolidation</x:v>
      </x:c>
      <x:c r="F34" s="24" t="str">
        <x:v>095c6cc42223a972c7faa68435595fc7c22f839fabc62b2038371a0ef6c14239</x:v>
      </x:c>
      <x:c r="G34" s="24" t="str">
        <x:v>Documentacion/</x:v>
      </x:c>
      <x:c r="H34" s="24" t="str">
        <x:v>Current project authority/governance</x:v>
      </x:c>
      <x:c r="I34" s="24" t="str">
        <x:v>Primary current</x:v>
      </x:c>
      <x:c r="J34" s="24" t="str">
        <x:v>Internal / selected sharing</x:v>
      </x:c>
      <x:c r="K34" s="24" t="str">
        <x:v>VERIFIED HASH</x:v>
      </x:c>
      <x:c r="L34" s="24" t="str">
        <x:v>Update after document change</x:v>
      </x:c>
      <x:c r="M34" s="24" t="str">
        <x:v>VRM Games</x:v>
      </x:c>
      <x:c r="N34" s="24" t="str">
        <x:v>130.77 KiB</x:v>
      </x:c>
    </x:row>
    <x:row r="35" ht="34" customHeight="1">
      <x:c r="A35" s="24" t="str">
        <x:v>EVD-DOC-019</x:v>
      </x:c>
      <x:c r="B35" s="24" t="str">
        <x:v>Consolidated document</x:v>
      </x:c>
      <x:c r="C35" s="24" t="str">
        <x:v>18_Audio_Bible.md</x:v>
      </x:c>
      <x:c r="D35" s="24" t="str">
        <x:v>18_Audio_Bible.md</x:v>
      </x:c>
      <x:c r="E35" s="24" t="str">
        <x:v>2026-07-01 consolidation</x:v>
      </x:c>
      <x:c r="F35" s="24" t="str">
        <x:v>c2eabe93a7c26f70e1d4d77fb0ddcaa97e2cdd1e70247e637b9db5bd2f07ce92</x:v>
      </x:c>
      <x:c r="G35" s="24" t="str">
        <x:v>Documentacion/</x:v>
      </x:c>
      <x:c r="H35" s="24" t="str">
        <x:v>Current project authority/governance</x:v>
      </x:c>
      <x:c r="I35" s="24" t="str">
        <x:v>Primary current</x:v>
      </x:c>
      <x:c r="J35" s="24" t="str">
        <x:v>Internal / selected sharing</x:v>
      </x:c>
      <x:c r="K35" s="24" t="str">
        <x:v>VERIFIED HASH</x:v>
      </x:c>
      <x:c r="L35" s="24" t="str">
        <x:v>Update after document change</x:v>
      </x:c>
      <x:c r="M35" s="24" t="str">
        <x:v>VRM Games</x:v>
      </x:c>
      <x:c r="N35" s="24" t="str">
        <x:v>141.14 KiB</x:v>
      </x:c>
    </x:row>
    <x:row r="36" ht="34" customHeight="1">
      <x:c r="A36" s="24" t="str">
        <x:v>EVD-DOC-020</x:v>
      </x:c>
      <x:c r="B36" s="24" t="str">
        <x:v>Consolidated document</x:v>
      </x:c>
      <x:c r="C36" s="24" t="str">
        <x:v>19_UI_Style_Guide.md</x:v>
      </x:c>
      <x:c r="D36" s="24" t="str">
        <x:v>19_UI_Style_Guide.md</x:v>
      </x:c>
      <x:c r="E36" s="24" t="str">
        <x:v>2026-07-01 consolidation</x:v>
      </x:c>
      <x:c r="F36" s="24" t="str">
        <x:v>b34ca4db1eba7a536466b6a9a105d8d92396ade2108aa7dd99fa7d5d4eaebc1a</x:v>
      </x:c>
      <x:c r="G36" s="24" t="str">
        <x:v>Documentacion/</x:v>
      </x:c>
      <x:c r="H36" s="24" t="str">
        <x:v>Current project authority/governance</x:v>
      </x:c>
      <x:c r="I36" s="24" t="str">
        <x:v>Primary current</x:v>
      </x:c>
      <x:c r="J36" s="24" t="str">
        <x:v>Internal / selected sharing</x:v>
      </x:c>
      <x:c r="K36" s="24" t="str">
        <x:v>VERIFIED HASH</x:v>
      </x:c>
      <x:c r="L36" s="24" t="str">
        <x:v>Update after document change</x:v>
      </x:c>
      <x:c r="M36" s="24" t="str">
        <x:v>VRM Games</x:v>
      </x:c>
      <x:c r="N36" s="24" t="str">
        <x:v>146.29 KiB</x:v>
      </x:c>
    </x:row>
    <x:row r="37" ht="34" customHeight="1">
      <x:c r="A37" s="24" t="str">
        <x:v>EVD-DOC-021</x:v>
      </x:c>
      <x:c r="B37" s="24" t="str">
        <x:v>Consolidated document</x:v>
      </x:c>
      <x:c r="C37" s="24" t="str">
        <x:v>20_Economy_and_Balance_Specification.md</x:v>
      </x:c>
      <x:c r="D37" s="24" t="str">
        <x:v>20_Economy_and_Balance_Specification.md</x:v>
      </x:c>
      <x:c r="E37" s="24" t="str">
        <x:v>2026-07-01 consolidation</x:v>
      </x:c>
      <x:c r="F37" s="24" t="str">
        <x:v>908c70772ed35eecdb05c3036c6901523a4caf2c3e708ca8f049c2a160ef2aac</x:v>
      </x:c>
      <x:c r="G37" s="24" t="str">
        <x:v>Documentacion/</x:v>
      </x:c>
      <x:c r="H37" s="24" t="str">
        <x:v>Current project authority/governance</x:v>
      </x:c>
      <x:c r="I37" s="24" t="str">
        <x:v>Primary current</x:v>
      </x:c>
      <x:c r="J37" s="24" t="str">
        <x:v>Internal / selected sharing</x:v>
      </x:c>
      <x:c r="K37" s="24" t="str">
        <x:v>VERIFIED HASH</x:v>
      </x:c>
      <x:c r="L37" s="24" t="str">
        <x:v>Update after document change</x:v>
      </x:c>
      <x:c r="M37" s="24" t="str">
        <x:v>VRM Games</x:v>
      </x:c>
      <x:c r="N37" s="24" t="str">
        <x:v>150.92 KiB</x:v>
      </x:c>
    </x:row>
    <x:row r="38" ht="34" customHeight="1">
      <x:c r="A38" s="24" t="str">
        <x:v>EVD-DOC-022</x:v>
      </x:c>
      <x:c r="B38" s="24" t="str">
        <x:v>Consolidated document</x:v>
      </x:c>
      <x:c r="C38" s="24" t="str">
        <x:v>21_Initial_Content_Catalog.xlsx</x:v>
      </x:c>
      <x:c r="D38" s="24" t="str">
        <x:v>21_Initial_Content_Catalog.xlsx</x:v>
      </x:c>
      <x:c r="E38" s="24" t="str">
        <x:v>2026-07-01 targeted update</x:v>
      </x:c>
      <x:c r="F38" s="24" t="str">
        <x:v>2f98e2b7070e5a1f70d4feee03a7d154a2dcdeff8078b040c442e2393fc676c8</x:v>
      </x:c>
      <x:c r="G38" s="24" t="str">
        <x:v>Documentacion/</x:v>
      </x:c>
      <x:c r="H38" s="24" t="str">
        <x:v>Current project authority/governance</x:v>
      </x:c>
      <x:c r="I38" s="24" t="str">
        <x:v>Primary current</x:v>
      </x:c>
      <x:c r="J38" s="24" t="str">
        <x:v>Internal / selected sharing</x:v>
      </x:c>
      <x:c r="K38" s="24" t="str">
        <x:v>TARGETED UPDATE / VERIFIED HASH</x:v>
      </x:c>
      <x:c r="L38" s="24" t="str">
        <x:v>Rehash after any subsequent change</x:v>
      </x:c>
      <x:c r="M38" s="24" t="str">
        <x:v>VRM Games</x:v>
      </x:c>
      <x:c r="N38" s="24" t="str">
        <x:v>182.23 KiB</x:v>
      </x:c>
    </x:row>
    <x:row r="39" ht="34" customHeight="1">
      <x:c r="A39" s="24" t="str">
        <x:v>EVD-DOC-023</x:v>
      </x:c>
      <x:c r="B39" s="24" t="str">
        <x:v>Consolidated document</x:v>
      </x:c>
      <x:c r="C39" s="24" t="str">
        <x:v>22_Localization_Plan.md</x:v>
      </x:c>
      <x:c r="D39" s="24" t="str">
        <x:v>22_Localization_Plan.md</x:v>
      </x:c>
      <x:c r="E39" s="24" t="str">
        <x:v>2026-07-01 consolidation</x:v>
      </x:c>
      <x:c r="F39" s="24" t="str">
        <x:v>184a53b2813bc1327a6913e6e88ea4c81142da1ee4ddeff88f75467c784f1ff0</x:v>
      </x:c>
      <x:c r="G39" s="24" t="str">
        <x:v>Documentacion/</x:v>
      </x:c>
      <x:c r="H39" s="24" t="str">
        <x:v>Current project authority/governance</x:v>
      </x:c>
      <x:c r="I39" s="24" t="str">
        <x:v>Primary current</x:v>
      </x:c>
      <x:c r="J39" s="24" t="str">
        <x:v>Internal / selected sharing</x:v>
      </x:c>
      <x:c r="K39" s="24" t="str">
        <x:v>VERIFIED HASH</x:v>
      </x:c>
      <x:c r="L39" s="24" t="str">
        <x:v>Update after document change</x:v>
      </x:c>
      <x:c r="M39" s="24" t="str">
        <x:v>VRM Games</x:v>
      </x:c>
      <x:c r="N39" s="24" t="str">
        <x:v>153.64 KiB</x:v>
      </x:c>
    </x:row>
    <x:row r="40" ht="34" customHeight="1">
      <x:c r="A40" s="24" t="str">
        <x:v>EVD-SW-001</x:v>
      </x:c>
      <x:c r="B40" s="24" t="str">
        <x:v>Dependency manifest</x:v>
      </x:c>
      <x:c r="C40" s="24" t="str">
        <x:v>Packages manifest</x:v>
      </x:c>
      <x:c r="D40" s="24" t="str">
        <x:v>Packages/manifest.json</x:v>
      </x:c>
      <x:c r="E40" s="24" t="str">
        <x:v>Current source package</x:v>
      </x:c>
      <x:c r="F40" s="24" t="str">
        <x:v>50137b7babf4c53742103d5f14c86fde2090a984c030292e2e4aaef4ce03dae6</x:v>
      </x:c>
      <x:c r="G40" s="24" t="str">
        <x:v>Packages.zip / repository</x:v>
      </x:c>
      <x:c r="H40" s="24" t="str">
        <x:v>Software packages and versions</x:v>
      </x:c>
      <x:c r="I40" s="24" t="str">
        <x:v>Primary current</x:v>
      </x:c>
      <x:c r="J40" s="24" t="str">
        <x:v>Internal</x:v>
      </x:c>
      <x:c r="K40" s="24" t="str">
        <x:v>VERIFIED HASH</x:v>
      </x:c>
      <x:c r="L40" s="24" t="str">
        <x:v>Each package change</x:v>
      </x:c>
      <x:c r="M40" s="24" t="str">
        <x:v>VRM Games</x:v>
      </x:c>
      <x:c r="N40" s="24" t="str"/>
    </x:row>
    <x:row r="41" ht="34" customHeight="1">
      <x:c r="A41" s="24" t="str">
        <x:v>EVD-SW-002</x:v>
      </x:c>
      <x:c r="B41" s="24" t="str">
        <x:v>Dependency manifest</x:v>
      </x:c>
      <x:c r="C41" s="24" t="str">
        <x:v>Packages lock</x:v>
      </x:c>
      <x:c r="D41" s="24" t="str">
        <x:v>Packages/packages-lock.json</x:v>
      </x:c>
      <x:c r="E41" s="24" t="str">
        <x:v>Current source package</x:v>
      </x:c>
      <x:c r="F41" s="24" t="str">
        <x:v>6af42e872600380cea023aed62c849bed1e4b204a9dfc9e88da8184b06b6bbe2</x:v>
      </x:c>
      <x:c r="G41" s="24" t="str">
        <x:v>Packages.zip / repository</x:v>
      </x:c>
      <x:c r="H41" s="24" t="str">
        <x:v>Software packages and versions</x:v>
      </x:c>
      <x:c r="I41" s="24" t="str">
        <x:v>Primary current</x:v>
      </x:c>
      <x:c r="J41" s="24" t="str">
        <x:v>Internal</x:v>
      </x:c>
      <x:c r="K41" s="24" t="str">
        <x:v>VERIFIED HASH</x:v>
      </x:c>
      <x:c r="L41" s="24" t="str">
        <x:v>Each package change</x:v>
      </x:c>
      <x:c r="M41" s="24" t="str">
        <x:v>VRM Games</x:v>
      </x:c>
      <x:c r="N41" s="24" t="str"/>
    </x:row>
    <x:row r="42" ht="26.399999618530273" hidden="0" customHeight="1">
      <x:c r="A42" s="47" t="str">
        <x:v>EVD-DOC-024</x:v>
      </x:c>
      <x:c r="B42" s="47" t="str">
        <x:v>Consolidated document</x:v>
      </x:c>
      <x:c r="C42" s="47" t="str">
        <x:v>23_Legal_Credits_and_Licenses_Register.xlsx</x:v>
      </x:c>
      <x:c r="D42" s="47" t="str">
        <x:v>23_Legal_Credits_and_Licenses_Register.xlsx</x:v>
      </x:c>
      <x:c r="E42" s="47" t="str">
        <x:v>2026-07-01 targeted update candidate</x:v>
      </x:c>
      <x:c r="F42" s="47" t="str">
        <x:v>PENDING EXTERNAL SELF-HASH</x:v>
      </x:c>
      <x:c r="G42" s="47" t="str">
        <x:v>Documentacion/</x:v>
      </x:c>
      <x:c r="H42" s="47" t="str">
        <x:v>Current project authority/governance and cross-domain dependency</x:v>
      </x:c>
      <x:c r="I42" s="47" t="str">
        <x:v>Primary current / candidate</x:v>
      </x:c>
      <x:c r="J42" s="47" t="str">
        <x:v>Internal / selected sharing</x:v>
      </x:c>
      <x:c r="K42" s="47" t="str">
        <x:v>CANDIDATE / SELF-HASH EXTERNAL</x:v>
      </x:c>
      <x:c r="L42" s="47" t="str">
        <x:v>Record final SHA-256 in 13, 32 and external CHECKSUMS after export</x:v>
      </x:c>
      <x:c r="M42" s="47" t="str">
        <x:v>VRM Games</x:v>
      </x:c>
      <x:c r="N42" s="47" t="str">
        <x:v>Self-hash is intentionally external</x:v>
      </x:c>
    </x:row>
    <x:row r="43" ht="26.399999618530273" hidden="0" customHeight="1">
      <x:c r="A43" s="47" t="str">
        <x:v>EVD-DOC-025</x:v>
      </x:c>
      <x:c r="B43" s="47" t="str">
        <x:v>Consolidated document</x:v>
      </x:c>
      <x:c r="C43" s="47" t="str">
        <x:v>24_Steam_Publishing_Plan.md</x:v>
      </x:c>
      <x:c r="D43" s="47" t="str">
        <x:v>24_Steam_Publishing_Plan.md</x:v>
      </x:c>
      <x:c r="E43" s="47" t="str">
        <x:v>2026-07-01 RC1</x:v>
      </x:c>
      <x:c r="F43" s="47" t="str">
        <x:v>f087e24d3a18f8c4a6651728d5f70d1df804042587e206fdeac2e7e637a87646</x:v>
      </x:c>
      <x:c r="G43" s="47" t="str">
        <x:v>Documentacion/</x:v>
      </x:c>
      <x:c r="H43" s="47" t="str">
        <x:v>Current project authority/governance and cross-domain dependency</x:v>
      </x:c>
      <x:c r="I43" s="47" t="str">
        <x:v>Primary current / candidate</x:v>
      </x:c>
      <x:c r="J43" s="47" t="str">
        <x:v>Internal / selected sharing</x:v>
      </x:c>
      <x:c r="K43" s="47" t="str">
        <x:v>VERIFIED RC1 HASH</x:v>
      </x:c>
      <x:c r="L43" s="47" t="str">
        <x:v>Rehash after document change</x:v>
      </x:c>
      <x:c r="M43" s="47" t="str">
        <x:v>VRM Games</x:v>
      </x:c>
      <x:c r="N43" s="47" t="str">
        <x:v>167.03 KiB</x:v>
      </x:c>
    </x:row>
    <x:row r="44" ht="26.399999618530273" hidden="0" customHeight="1">
      <x:c r="A44" s="47" t="str">
        <x:v>EVD-DOC-026</x:v>
      </x:c>
      <x:c r="B44" s="47" t="str">
        <x:v>Consolidated document</x:v>
      </x:c>
      <x:c r="C44" s="47" t="str">
        <x:v>25_Post_Launch_and_Live_Operations_Plan.md</x:v>
      </x:c>
      <x:c r="D44" s="47" t="str">
        <x:v>25_Post_Launch_and_Live_Operations_Plan.md</x:v>
      </x:c>
      <x:c r="E44" s="47" t="str">
        <x:v>2026-07-01 RC1</x:v>
      </x:c>
      <x:c r="F44" s="47" t="str">
        <x:v>158e1e43514c5d5d6c365f6cd1a73929f54c4a48c5cc460b593530ae5e49bac9</x:v>
      </x:c>
      <x:c r="G44" s="47" t="str">
        <x:v>Documentacion/</x:v>
      </x:c>
      <x:c r="H44" s="47" t="str">
        <x:v>Current project authority/governance and cross-domain dependency</x:v>
      </x:c>
      <x:c r="I44" s="47" t="str">
        <x:v>Primary current / candidate</x:v>
      </x:c>
      <x:c r="J44" s="47" t="str">
        <x:v>Internal / selected sharing</x:v>
      </x:c>
      <x:c r="K44" s="47" t="str">
        <x:v>VERIFIED RC1 HASH</x:v>
      </x:c>
      <x:c r="L44" s="47" t="str">
        <x:v>Rehash after document change</x:v>
      </x:c>
      <x:c r="M44" s="47" t="str">
        <x:v>VRM Games</x:v>
      </x:c>
      <x:c r="N44" s="47" t="str">
        <x:v>319.55 KiB</x:v>
      </x:c>
    </x:row>
    <x:row r="45" ht="26.399999618530273" hidden="0" customHeight="1">
      <x:c r="A45" s="47" t="str">
        <x:v>EVD-DOC-027</x:v>
      </x:c>
      <x:c r="B45" s="47" t="str">
        <x:v>Consolidated document</x:v>
      </x:c>
      <x:c r="C45" s="47" t="str">
        <x:v>26_Privacy_Data_and_Telemetry_Plan.md</x:v>
      </x:c>
      <x:c r="D45" s="47" t="str">
        <x:v>26_Privacy_Data_and_Telemetry_Plan.md</x:v>
      </x:c>
      <x:c r="E45" s="47" t="str">
        <x:v>2026-07-01 RC1</x:v>
      </x:c>
      <x:c r="F45" s="47" t="str">
        <x:v>284abfe537793c2ec8b0e5cbac484cd9395567c4434aef7f5ad5ee7005e95f36</x:v>
      </x:c>
      <x:c r="G45" s="47" t="str">
        <x:v>Documentacion/</x:v>
      </x:c>
      <x:c r="H45" s="47" t="str">
        <x:v>Current project authority/governance and cross-domain dependency</x:v>
      </x:c>
      <x:c r="I45" s="47" t="str">
        <x:v>Primary current / candidate</x:v>
      </x:c>
      <x:c r="J45" s="47" t="str">
        <x:v>Internal / selected sharing</x:v>
      </x:c>
      <x:c r="K45" s="47" t="str">
        <x:v>VERIFIED RC1 HASH</x:v>
      </x:c>
      <x:c r="L45" s="47" t="str">
        <x:v>Rehash after document change</x:v>
      </x:c>
      <x:c r="M45" s="47" t="str">
        <x:v>VRM Games</x:v>
      </x:c>
      <x:c r="N45" s="47" t="str">
        <x:v>313.65 KiB</x:v>
      </x:c>
    </x:row>
    <x:row r="46" ht="26.399999618530273" hidden="0" customHeight="1">
      <x:c r="A46" s="47" t="str">
        <x:v>EVD-DOC-028</x:v>
      </x:c>
      <x:c r="B46" s="47" t="str">
        <x:v>Consolidated document</x:v>
      </x:c>
      <x:c r="C46" s="47" t="str">
        <x:v>27_Security_and_Incident_Response_Plan.md</x:v>
      </x:c>
      <x:c r="D46" s="47" t="str">
        <x:v>27_Security_and_Incident_Response_Plan.md</x:v>
      </x:c>
      <x:c r="E46" s="47" t="str">
        <x:v>2026-07-01 RC1</x:v>
      </x:c>
      <x:c r="F46" s="47" t="str">
        <x:v>f925bfbf3df2000323c12a4486480d06c8ab8181684e5922168b8bdf89d05f92</x:v>
      </x:c>
      <x:c r="G46" s="47" t="str">
        <x:v>Documentacion/</x:v>
      </x:c>
      <x:c r="H46" s="47" t="str">
        <x:v>Current project authority/governance and cross-domain dependency</x:v>
      </x:c>
      <x:c r="I46" s="47" t="str">
        <x:v>Primary current / candidate</x:v>
      </x:c>
      <x:c r="J46" s="47" t="str">
        <x:v>Internal / selected sharing</x:v>
      </x:c>
      <x:c r="K46" s="47" t="str">
        <x:v>VERIFIED RC1 HASH</x:v>
      </x:c>
      <x:c r="L46" s="47" t="str">
        <x:v>Rehash after document change</x:v>
      </x:c>
      <x:c r="M46" s="47" t="str">
        <x:v>VRM Games</x:v>
      </x:c>
      <x:c r="N46" s="47" t="str">
        <x:v>412.29 KiB</x:v>
      </x:c>
    </x:row>
    <x:row r="47" ht="26.399999618530273" hidden="0" customHeight="1">
      <x:c r="A47" s="47" t="str">
        <x:v>EVD-DOC-029</x:v>
      </x:c>
      <x:c r="B47" s="47" t="str">
        <x:v>Consolidated document</x:v>
      </x:c>
      <x:c r="C47" s="47" t="str">
        <x:v>28_Marketing_and_Communication_Plan.md</x:v>
      </x:c>
      <x:c r="D47" s="47" t="str">
        <x:v>28_Marketing_and_Communication_Plan.md</x:v>
      </x:c>
      <x:c r="E47" s="47" t="str">
        <x:v>2026-07-01 RC1</x:v>
      </x:c>
      <x:c r="F47" s="47" t="str">
        <x:v>28dd332855126558b3da6019f2e546b1e8ab7db81dc530a89f3e3fbfe757cded</x:v>
      </x:c>
      <x:c r="G47" s="47" t="str">
        <x:v>Documentacion/</x:v>
      </x:c>
      <x:c r="H47" s="47" t="str">
        <x:v>Current project authority/governance and cross-domain dependency</x:v>
      </x:c>
      <x:c r="I47" s="47" t="str">
        <x:v>Primary current / candidate</x:v>
      </x:c>
      <x:c r="J47" s="47" t="str">
        <x:v>Internal / selected sharing</x:v>
      </x:c>
      <x:c r="K47" s="47" t="str">
        <x:v>VERIFIED RC1 HASH</x:v>
      </x:c>
      <x:c r="L47" s="47" t="str">
        <x:v>Rehash after document change</x:v>
      </x:c>
      <x:c r="M47" s="47" t="str">
        <x:v>VRM Games</x:v>
      </x:c>
      <x:c r="N47" s="47" t="str">
        <x:v>85.46 KiB</x:v>
      </x:c>
    </x:row>
    <x:row r="48" ht="26.399999618530273" hidden="0" customHeight="1">
      <x:c r="A48" s="47" t="str">
        <x:v>EVD-DOC-030</x:v>
      </x:c>
      <x:c r="B48" s="47" t="str">
        <x:v>Consolidated document</x:v>
      </x:c>
      <x:c r="C48" s="47" t="str">
        <x:v>29_Accessibility_and_Inclusive_Design_Plan.md</x:v>
      </x:c>
      <x:c r="D48" s="47" t="str">
        <x:v>29_Accessibility_and_Inclusive_Design_Plan.md</x:v>
      </x:c>
      <x:c r="E48" s="47" t="str">
        <x:v>2026-07-01 RC1</x:v>
      </x:c>
      <x:c r="F48" s="47" t="str">
        <x:v>678ceabb509062cd93c7690315397b1cc6204c0da6a5d57324ba11e2fda64333</x:v>
      </x:c>
      <x:c r="G48" s="47" t="str">
        <x:v>Documentacion/</x:v>
      </x:c>
      <x:c r="H48" s="47" t="str">
        <x:v>Current project authority/governance and cross-domain dependency</x:v>
      </x:c>
      <x:c r="I48" s="47" t="str">
        <x:v>Primary current / candidate</x:v>
      </x:c>
      <x:c r="J48" s="47" t="str">
        <x:v>Internal / selected sharing</x:v>
      </x:c>
      <x:c r="K48" s="47" t="str">
        <x:v>VERIFIED RC1 HASH</x:v>
      </x:c>
      <x:c r="L48" s="47" t="str">
        <x:v>Rehash after document change</x:v>
      </x:c>
      <x:c r="M48" s="47" t="str">
        <x:v>VRM Games</x:v>
      </x:c>
      <x:c r="N48" s="47" t="str">
        <x:v>102.54 KiB</x:v>
      </x:c>
    </x:row>
    <x:row r="49" ht="26.399999618530273" hidden="0" customHeight="1">
      <x:c r="A49" s="47" t="str">
        <x:v>EVD-DOC-031</x:v>
      </x:c>
      <x:c r="B49" s="47" t="str">
        <x:v>Consolidated document</x:v>
      </x:c>
      <x:c r="C49" s="47" t="str">
        <x:v>30_Performance_and_Optimization_Plan.md</x:v>
      </x:c>
      <x:c r="D49" s="47" t="str">
        <x:v>30_Performance_and_Optimization_Plan.md</x:v>
      </x:c>
      <x:c r="E49" s="47" t="str">
        <x:v>2026-07-01 RC1</x:v>
      </x:c>
      <x:c r="F49" s="47" t="str">
        <x:v>18f53eaa61734ad735c02c8b7c70ed37f5f0e80f7c01828b05d092c49b0de260</x:v>
      </x:c>
      <x:c r="G49" s="47" t="str">
        <x:v>Documentacion/</x:v>
      </x:c>
      <x:c r="H49" s="47" t="str">
        <x:v>Current project authority/governance and cross-domain dependency</x:v>
      </x:c>
      <x:c r="I49" s="47" t="str">
        <x:v>Primary current / candidate</x:v>
      </x:c>
      <x:c r="J49" s="47" t="str">
        <x:v>Internal / selected sharing</x:v>
      </x:c>
      <x:c r="K49" s="47" t="str">
        <x:v>VERIFIED RC1 HASH</x:v>
      </x:c>
      <x:c r="L49" s="47" t="str">
        <x:v>Rehash after document change</x:v>
      </x:c>
      <x:c r="M49" s="47" t="str">
        <x:v>VRM Games</x:v>
      </x:c>
      <x:c r="N49" s="47" t="str">
        <x:v>106.92 KiB</x:v>
      </x:c>
    </x:row>
    <x:row r="50" ht="26.399999618530273" hidden="0" customHeight="1">
      <x:c r="A50" s="47" t="str">
        <x:v>EVD-DOC-032</x:v>
      </x:c>
      <x:c r="B50" s="47" t="str">
        <x:v>Consolidated document</x:v>
      </x:c>
      <x:c r="C50" s="47" t="str">
        <x:v>31_H6_and_Release_Readiness_Checklist.xlsx</x:v>
      </x:c>
      <x:c r="D50" s="47" t="str">
        <x:v>31_H6_and_Release_Readiness_Checklist.xlsx</x:v>
      </x:c>
      <x:c r="E50" s="47" t="str">
        <x:v>2026-07-01 RC1</x:v>
      </x:c>
      <x:c r="F50" s="47" t="str">
        <x:v>3ec6265ca8009a6f502008a103161492687efbc026a61c55b1205b976c255aee</x:v>
      </x:c>
      <x:c r="G50" s="47" t="str">
        <x:v>Documentacion/</x:v>
      </x:c>
      <x:c r="H50" s="47" t="str">
        <x:v>Current project authority/governance and cross-domain dependency</x:v>
      </x:c>
      <x:c r="I50" s="47" t="str">
        <x:v>Primary current / candidate</x:v>
      </x:c>
      <x:c r="J50" s="47" t="str">
        <x:v>Internal / selected sharing</x:v>
      </x:c>
      <x:c r="K50" s="47" t="str">
        <x:v>VERIFIED RC1 HASH / TARGETED UPDATE PENDING</x:v>
      </x:c>
      <x:c r="L50" s="47" t="str">
        <x:v>Replace hash after targeted update</x:v>
      </x:c>
      <x:c r="M50" s="47" t="str">
        <x:v>VRM Games</x:v>
      </x:c>
      <x:c r="N50" s="47" t="str">
        <x:v>189.74 KiB</x:v>
      </x:c>
    </x:row>
    <x:row r="51" ht="26.399999618530273" hidden="0" customHeight="1">
      <x:c r="A51" s="47" t="str">
        <x:v>EVD-DOC-033</x:v>
      </x:c>
      <x:c r="B51" s="47" t="str">
        <x:v>Consolidated document</x:v>
      </x:c>
      <x:c r="C51" s="47" t="str">
        <x:v>32_Documentation_Baseline_Manifest.xlsx</x:v>
      </x:c>
      <x:c r="D51" s="47" t="str">
        <x:v>32_Documentation_Baseline_Manifest.xlsx</x:v>
      </x:c>
      <x:c r="E51" s="47" t="str">
        <x:v>2026-07-01 RC1</x:v>
      </x:c>
      <x:c r="F51" s="47" t="str">
        <x:v>05ef1aa53febb8015b1eb40be8f43a4f6cee5be3ce1d31c3eda03346b86ebc64</x:v>
      </x:c>
      <x:c r="G51" s="47" t="str">
        <x:v>Documentacion/</x:v>
      </x:c>
      <x:c r="H51" s="47" t="str">
        <x:v>Current project authority/governance and cross-domain dependency</x:v>
      </x:c>
      <x:c r="I51" s="47" t="str">
        <x:v>Primary current / candidate</x:v>
      </x:c>
      <x:c r="J51" s="47" t="str">
        <x:v>Internal / selected sharing</x:v>
      </x:c>
      <x:c r="K51" s="47" t="str">
        <x:v>VERIFIED RC1 HASH / CANDIDATE REGEN PENDING</x:v>
      </x:c>
      <x:c r="L51" s="47" t="str">
        <x:v>Replace with candidate, then final baseline hash</x:v>
      </x:c>
      <x:c r="M51" s="47" t="str">
        <x:v>VRM Games</x:v>
      </x:c>
      <x:c r="N51" s="47" t="str">
        <x:v>192.63 KiB</x:v>
      </x:c>
    </x:row>
    <x:row r="52" ht="26.399999618530273" hidden="0" customHeight="1">
      <x:c r="A52" s="47" t="str">
        <x:v>EVD-DOC-034</x:v>
      </x:c>
      <x:c r="B52" s="47" t="str">
        <x:v>Consolidated document</x:v>
      </x:c>
      <x:c r="C52" s="47" t="str">
        <x:v>33_Project_Risk_Register_and_Business_Continuity_Plan.xlsx</x:v>
      </x:c>
      <x:c r="D52" s="47" t="str">
        <x:v>33_Project_Risk_Register_and_Business_Continuity_Plan.xlsx</x:v>
      </x:c>
      <x:c r="E52" s="47" t="str">
        <x:v>2026-07-01 RC1</x:v>
      </x:c>
      <x:c r="F52" s="47" t="str">
        <x:v>aff3d5173017c6e90eae4b743b00af9a5106ad8e8b61f4789ff6857d10a61d88</x:v>
      </x:c>
      <x:c r="G52" s="47" t="str">
        <x:v>Documentacion/</x:v>
      </x:c>
      <x:c r="H52" s="47" t="str">
        <x:v>Current project authority/governance and cross-domain dependency</x:v>
      </x:c>
      <x:c r="I52" s="47" t="str">
        <x:v>Primary current / candidate</x:v>
      </x:c>
      <x:c r="J52" s="47" t="str">
        <x:v>Internal / selected sharing</x:v>
      </x:c>
      <x:c r="K52" s="47" t="str">
        <x:v>VERIFIED RC1 HASH / TARGETED UPDATE PENDING</x:v>
      </x:c>
      <x:c r="L52" s="47" t="str">
        <x:v>Replace hash after targeted update</x:v>
      </x:c>
      <x:c r="M52" s="47" t="str">
        <x:v>VRM Games</x:v>
      </x:c>
      <x:c r="N52" s="47" t="str">
        <x:v>288.19 KiB</x:v>
      </x:c>
    </x:row>
    <x:row r="53" ht="26.399999618530273" hidden="0" customHeight="1">
      <x:c r="A53" s="47" t="str">
        <x:v>EVD-DOC-035</x:v>
      </x:c>
      <x:c r="B53" s="47" t="str">
        <x:v>Consolidated document</x:v>
      </x:c>
      <x:c r="C53" s="47" t="str">
        <x:v>34_Final_Handoff_and_Project_Operations_Manual.md</x:v>
      </x:c>
      <x:c r="D53" s="47" t="str">
        <x:v>34_Final_Handoff_and_Project_Operations_Manual.md</x:v>
      </x:c>
      <x:c r="E53" s="47" t="str">
        <x:v>2026-07-01 RC1</x:v>
      </x:c>
      <x:c r="F53" s="47" t="str">
        <x:v>3b3fb3519caa4f899da10bf8bec73d72b5e0c3e3c6839c83157d1351a9ef9001</x:v>
      </x:c>
      <x:c r="G53" s="47" t="str">
        <x:v>Documentacion/</x:v>
      </x:c>
      <x:c r="H53" s="47" t="str">
        <x:v>Current project authority/governance and cross-domain dependency</x:v>
      </x:c>
      <x:c r="I53" s="47" t="str">
        <x:v>Primary current / candidate</x:v>
      </x:c>
      <x:c r="J53" s="47" t="str">
        <x:v>Internal / selected sharing</x:v>
      </x:c>
      <x:c r="K53" s="47" t="str">
        <x:v>VERIFIED RC1 HASH / TARGETED UPDATE PENDING</x:v>
      </x:c>
      <x:c r="L53" s="47" t="str">
        <x:v>Replace hash after targeted update</x:v>
      </x:c>
      <x:c r="M53" s="47" t="str">
        <x:v>VRM Games</x:v>
      </x:c>
      <x:c r="N53" s="47" t="str">
        <x:v>100.29 KiB</x:v>
      </x:c>
    </x:row>
  </x:sheetData>
  <x:mergeCells>
    <x:mergeCell ref="A1:N1"/>
    <x:mergeCell ref="A2:N2"/>
  </x:mergeCells>
  <x:conditionalFormatting sqref="K5:K41">
    <x:cfRule type="expression" dxfId="96" priority="1">
      <x:formula>OR(ISNUMBER(SEARCH("APPROVED",K5)),ISNUMBER(SEARCH("READY",K5)),ISNUMBER(SEARCH("ACTIVE",K5)),ISNUMBER(SEARCH("VERIFIED",K5)))</x:formula>
    </x:cfRule>
    <x:cfRule type="expression" dxfId="97" priority="2">
      <x:formula>OR(ISNUMBER(SEARCH("BLOCK",K5)),ISNUMBER(SEARCH("PROHIBITED",K5)),ISNUMBER(SEARCH("CRITICAL",K5)),ISNUMBER(SEARCH("MISSING",K5)))</x:formula>
    </x:cfRule>
    <x:cfRule type="expression" dxfId="98" priority="3">
      <x:formula>OR(ISNUMBER(SEARCH("PENDING",K5)),ISNUMBER(SEARCH("PARTIAL",K5)),ISNUMBER(SEARCH("REVIEW",K5)),ISNUMBER(SEARCH("CONDITIONAL",K5)))</x:formula>
    </x:cfRule>
    <x:cfRule type="expression" dxfId="99" priority="4">
      <x:formula>OR(ISNUMBER(SEARCH("HISTORICAL",K5)),ISNUMBER(SEARCH("VISION",K5)),ISNUMBER(SEARCH("OPTIONAL",K5)))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281020e0ffe4535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44" hidden="0" customWidth="1"/>
    <x:col min="5" max="5" width="18" hidden="0" customWidth="1"/>
    <x:col min="6" max="6" width="18" hidden="0" customWidth="1"/>
    <x:col min="7" max="7" width="22" hidden="0" customWidth="1"/>
    <x:col min="8" max="8" width="16" hidden="0" customWidth="1"/>
    <x:col min="9" max="9" width="34" hidden="0" customWidth="1"/>
    <x:col min="10" max="10" width="26" hidden="0" customWidth="1"/>
    <x:col min="11" max="11" width="34" hidden="0" customWidth="1"/>
    <x:col min="12" max="12" width="32" hidden="0" customWidth="1"/>
    <x:col min="13" max="13" width="34" hidden="0" customWidth="1"/>
    <x:col min="14" max="14" width="32" hidden="0" customWidth="1"/>
    <x:col min="15" max="15" width="32" hidden="0" customWidth="1"/>
    <x:col min="16" max="16" width="32" hidden="0" customWidth="1"/>
    <x:col min="17" max="17" width="24" hidden="0" customWidth="1"/>
    <x:col min="18" max="18" width="30" hidden="0" customWidth="1"/>
    <x:col min="19" max="19" width="30" hidden="0" customWidth="1"/>
    <x:col min="20" max="20" width="28" hidden="0" customWidth="1"/>
    <x:col min="21" max="21" width="54" hidden="0" customWidth="1"/>
    <x:col min="22" max="22" width="30" hidden="0" customWidth="1"/>
    <x:col min="23" max="23" width="24" hidden="0" customWidth="1"/>
    <x:col min="24" max="24" width="55" hidden="0" customWidth="1"/>
    <x:col min="25" max="25" width="28" hidden="0" customWidth="1"/>
  </x:cols>
  <x:sheetData>
    <x:row r="1" ht="30" customHeight="1">
      <x:c r="A1" s="4" t="str">
        <x:v>Builds y autorización de distribución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22" customHeight="1">
      <x:c r="A2" s="10" t="str">
        <x:v>Estado técnico, legal y cross-domain por build, con controles previos a cualquier distribución.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</x:row>
    <x:row r="4" ht="38" customHeight="1">
      <x:c r="A4" s="17" t="str">
        <x:v>Build Record ID</x:v>
      </x:c>
      <x:c r="B4" s="17" t="str">
        <x:v>Build ID</x:v>
      </x:c>
      <x:c r="C4" s="17" t="str">
        <x:v>Versión</x:v>
      </x:c>
      <x:c r="D4" s="17" t="str">
        <x:v>Commit/SHA</x:v>
      </x:c>
      <x:c r="E4" s="17" t="str">
        <x:v>Plataforma</x:v>
      </x:c>
      <x:c r="F4" s="17" t="str">
        <x:v>Tipo</x:v>
      </x:c>
      <x:c r="G4" s="17" t="str">
        <x:v>Sprint/Hito</x:v>
      </x:c>
      <x:c r="H4" s="17" t="str">
        <x:v>Estado técnico</x:v>
      </x:c>
      <x:c r="I4" s="17" t="str">
        <x:v>Artefacto</x:v>
      </x:c>
      <x:c r="J4" s="17" t="str">
        <x:v>Checksum</x:v>
      </x:c>
      <x:c r="K4" s="17" t="str">
        <x:v>Contenido autorizado</x:v>
      </x:c>
      <x:c r="L4" s="17" t="str">
        <x:v>Software autorizado</x:v>
      </x:c>
      <x:c r="M4" s="17" t="str">
        <x:v>Audio autorizado</x:v>
      </x:c>
      <x:c r="N4" s="17" t="str">
        <x:v>Fuente autorizada</x:v>
      </x:c>
      <x:c r="O4" s="17" t="str">
        <x:v>Localización autorizada</x:v>
      </x:c>
      <x:c r="P4" s="17" t="str">
        <x:v>Marca/título</x:v>
      </x:c>
      <x:c r="Q4" s="17" t="str">
        <x:v>Créditos/Notices</x:v>
      </x:c>
      <x:c r="R4" s="17" t="str">
        <x:v>Privacidad/Online</x:v>
      </x:c>
      <x:c r="S4" s="17" t="str">
        <x:v>Estado legal</x:v>
      </x:c>
      <x:c r="T4" s="17" t="str">
        <x:v>Distribución permitida</x:v>
      </x:c>
      <x:c r="U4" s="17" t="str">
        <x:v>Criterios pendientes</x:v>
      </x:c>
      <x:c r="V4" s="17" t="str">
        <x:v>Decisión</x:v>
      </x:c>
      <x:c r="W4" s="17" t="str">
        <x:v>Owner</x:v>
      </x:c>
      <x:c r="X4" s="17" t="str">
        <x:v>Notas</x:v>
      </x:c>
      <x:c r="Y4" s="17" t="str">
        <x:v>Gate automático</x:v>
      </x:c>
    </x:row>
    <x:row r="5" ht="34" customHeight="1">
      <x:c r="A5" s="24" t="str">
        <x:v>BLD-LIC-001</x:v>
      </x:c>
      <x:c r="B5" s="24" t="str">
        <x:v>BLD-S00</x:v>
      </x:c>
      <x:c r="C5" s="24" t="str">
        <x:v>0.0.1</x:v>
      </x:c>
      <x:c r="D5" s="24"/>
      <x:c r="E5" s="24" t="str">
        <x:v>Windows x64</x:v>
      </x:c>
      <x:c r="F5" s="24" t="str">
        <x:v>Development</x:v>
      </x:c>
      <x:c r="G5" s="24" t="str">
        <x:v>Sprint 0</x:v>
      </x:c>
      <x:c r="H5" s="24" t="str">
        <x:v>PASS</x:v>
      </x:c>
      <x:c r="I5" s="24" t="str">
        <x:v>Local or retained per phase policy</x:v>
      </x:c>
      <x:c r="J5" s="24"/>
      <x:c r="K5" s="24" t="str">
        <x:v>Internal project content; exclude VISION assets</x:v>
      </x:c>
      <x:c r="L5" s="24" t="str">
        <x:v>Unity packages per register; notices pending</x:v>
      </x:c>
      <x:c r="M5" s="24" t="str">
        <x:v>Internal development only until per-clip provenance</x:v>
      </x:c>
      <x:c r="N5" s="24" t="str">
        <x:v>Legacy fallback development only; production font missing</x:v>
      </x:c>
      <x:c r="O5" s="24" t="str">
        <x:v>No operational ES/EN tables yet</x:v>
      </x:c>
      <x:c r="P5" s="24" t="str">
        <x:v>Provisional; no final public clearance</x:v>
      </x:c>
      <x:c r="Q5" s="24" t="str">
        <x:v>Incomplete</x:v>
      </x:c>
      <x:c r="R5" s="24" t="str">
        <x:v>No online/telemetry release authorization</x:v>
      </x:c>
      <x:c r="S5" s="24" t="str">
        <x:v>INTERNAL ONLY</x:v>
      </x:c>
      <x:c r="T5" s="24" t="str">
        <x:v>Local/internal QA only</x:v>
      </x:c>
      <x:c r="U5" s="24" t="str">
        <x:v>Trademark; audio; font; notices; localization; license evidence</x:v>
      </x:c>
      <x:c r="V5" s="24" t="str">
        <x:v>Do not publish externally</x:v>
      </x:c>
      <x:c r="W5" s="24" t="str">
        <x:v>VRM Games</x:v>
      </x:c>
      <x:c r="X5" s="24" t="str">
        <x:v>Historical accepted build/evidence.</x:v>
      </x:c>
      <x:c r="Y5" t="str">
        <x:f>IF(AND(H5="PASS",J5&lt;&gt;"",COUNTIFS('19_Deuda_Pendiente'!$C$5:$C$26,"S1",'19_Deuda_Pendiente'!$F$5:$F$26,"&lt;&gt;Closed")=0,COUNTIFS('18_Riesgos_Legales'!$P$5:$P$32,"Critical",'18_Riesgos_Legales'!$K$5:$K$32,"&lt;&gt;Closed")=0,COUNTIF('13_Creditos'!$H$5:$H$19,"BLOCKED")=0,OR(S5="APPROVED PUBLIC",S5="CONDITIONALLY APPROVED")),"ELIGIBLE FOR MANUAL APPROVAL","BLOCKED")</x:f>
        <x:v>BLOCKED</x:v>
      </x:c>
    </x:row>
    <x:row r="6" ht="34" customHeight="1">
      <x:c r="A6" s="24" t="str">
        <x:v>BLD-LIC-002</x:v>
      </x:c>
      <x:c r="B6" s="24" t="str">
        <x:v>BLD-S01</x:v>
      </x:c>
      <x:c r="C6" s="24" t="str">
        <x:v>0.0.2</x:v>
      </x:c>
      <x:c r="D6" s="24"/>
      <x:c r="E6" s="24" t="str">
        <x:v>Windows x64</x:v>
      </x:c>
      <x:c r="F6" s="24" t="str">
        <x:v>Development</x:v>
      </x:c>
      <x:c r="G6" s="24" t="str">
        <x:v>Sprint 1</x:v>
      </x:c>
      <x:c r="H6" s="24" t="str">
        <x:v>PASS</x:v>
      </x:c>
      <x:c r="I6" s="24" t="str">
        <x:v>Local or retained per phase policy</x:v>
      </x:c>
      <x:c r="J6" s="24"/>
      <x:c r="K6" s="24" t="str">
        <x:v>Internal project content; exclude VISION assets</x:v>
      </x:c>
      <x:c r="L6" s="24" t="str">
        <x:v>Unity packages per register; notices pending</x:v>
      </x:c>
      <x:c r="M6" s="24" t="str">
        <x:v>Internal development only until per-clip provenance</x:v>
      </x:c>
      <x:c r="N6" s="24" t="str">
        <x:v>Legacy fallback development only; production font missing</x:v>
      </x:c>
      <x:c r="O6" s="24" t="str">
        <x:v>No operational ES/EN tables yet</x:v>
      </x:c>
      <x:c r="P6" s="24" t="str">
        <x:v>Provisional; no final public clearance</x:v>
      </x:c>
      <x:c r="Q6" s="24" t="str">
        <x:v>Incomplete</x:v>
      </x:c>
      <x:c r="R6" s="24" t="str">
        <x:v>No online/telemetry release authorization</x:v>
      </x:c>
      <x:c r="S6" s="24" t="str">
        <x:v>INTERNAL ONLY</x:v>
      </x:c>
      <x:c r="T6" s="24" t="str">
        <x:v>Local/internal QA only</x:v>
      </x:c>
      <x:c r="U6" s="24" t="str">
        <x:v>Trademark; audio; font; notices; localization; license evidence</x:v>
      </x:c>
      <x:c r="V6" s="24" t="str">
        <x:v>Do not publish externally</x:v>
      </x:c>
      <x:c r="W6" s="24" t="str">
        <x:v>VRM Games</x:v>
      </x:c>
      <x:c r="X6" s="24" t="str">
        <x:v>Historical accepted build/evidence.</x:v>
      </x:c>
      <x:c r="Y6" t="str">
        <x:f>IF(AND(H6="PASS",J6&lt;&gt;"",COUNTIFS('19_Deuda_Pendiente'!$C$5:$C$26,"S1",'19_Deuda_Pendiente'!$F$5:$F$26,"&lt;&gt;Closed")=0,COUNTIFS('18_Riesgos_Legales'!$P$5:$P$32,"Critical",'18_Riesgos_Legales'!$K$5:$K$32,"&lt;&gt;Closed")=0,COUNTIF('13_Creditos'!$H$5:$H$19,"BLOCKED")=0,OR(S6="APPROVED PUBLIC",S6="CONDITIONALLY APPROVED")),"ELIGIBLE FOR MANUAL APPROVAL","BLOCKED")</x:f>
        <x:v>BLOCKED</x:v>
      </x:c>
    </x:row>
    <x:row r="7" ht="34" customHeight="1">
      <x:c r="A7" s="24" t="str">
        <x:v>BLD-LIC-003</x:v>
      </x:c>
      <x:c r="B7" s="24" t="str">
        <x:v>BLD-S02</x:v>
      </x:c>
      <x:c r="C7" s="24" t="str">
        <x:v>0.0.3</x:v>
      </x:c>
      <x:c r="D7" s="24"/>
      <x:c r="E7" s="24" t="str">
        <x:v>Windows x64</x:v>
      </x:c>
      <x:c r="F7" s="24" t="str">
        <x:v>Development</x:v>
      </x:c>
      <x:c r="G7" s="24" t="str">
        <x:v>Sprint 2</x:v>
      </x:c>
      <x:c r="H7" s="24" t="str">
        <x:v>PASS</x:v>
      </x:c>
      <x:c r="I7" s="24" t="str">
        <x:v>Local or retained per phase policy</x:v>
      </x:c>
      <x:c r="J7" s="24"/>
      <x:c r="K7" s="24" t="str">
        <x:v>Internal project content; exclude VISION assets</x:v>
      </x:c>
      <x:c r="L7" s="24" t="str">
        <x:v>Unity packages per register; notices pending</x:v>
      </x:c>
      <x:c r="M7" s="24" t="str">
        <x:v>Internal development only until per-clip provenance</x:v>
      </x:c>
      <x:c r="N7" s="24" t="str">
        <x:v>Legacy fallback development only; production font missing</x:v>
      </x:c>
      <x:c r="O7" s="24" t="str">
        <x:v>No operational ES/EN tables yet</x:v>
      </x:c>
      <x:c r="P7" s="24" t="str">
        <x:v>Provisional; no final public clearance</x:v>
      </x:c>
      <x:c r="Q7" s="24" t="str">
        <x:v>Incomplete</x:v>
      </x:c>
      <x:c r="R7" s="24" t="str">
        <x:v>No online/telemetry release authorization</x:v>
      </x:c>
      <x:c r="S7" s="24" t="str">
        <x:v>INTERNAL ONLY</x:v>
      </x:c>
      <x:c r="T7" s="24" t="str">
        <x:v>Local/internal QA only</x:v>
      </x:c>
      <x:c r="U7" s="24" t="str">
        <x:v>Trademark; audio; font; notices; localization; license evidence</x:v>
      </x:c>
      <x:c r="V7" s="24" t="str">
        <x:v>Do not publish externally</x:v>
      </x:c>
      <x:c r="W7" s="24" t="str">
        <x:v>VRM Games</x:v>
      </x:c>
      <x:c r="X7" s="24" t="str">
        <x:v>Historical accepted build/evidence.</x:v>
      </x:c>
      <x:c r="Y7" t="str">
        <x:f>IF(AND(H7="PASS",J7&lt;&gt;"",COUNTIFS('19_Deuda_Pendiente'!$C$5:$C$26,"S1",'19_Deuda_Pendiente'!$F$5:$F$26,"&lt;&gt;Closed")=0,COUNTIFS('18_Riesgos_Legales'!$P$5:$P$32,"Critical",'18_Riesgos_Legales'!$K$5:$K$32,"&lt;&gt;Closed")=0,COUNTIF('13_Creditos'!$H$5:$H$19,"BLOCKED")=0,OR(S7="APPROVED PUBLIC",S7="CONDITIONALLY APPROVED")),"ELIGIBLE FOR MANUAL APPROVAL","BLOCKED")</x:f>
        <x:v>BLOCKED</x:v>
      </x:c>
    </x:row>
    <x:row r="8" ht="34" customHeight="1">
      <x:c r="A8" s="24" t="str">
        <x:v>BLD-LIC-004</x:v>
      </x:c>
      <x:c r="B8" s="24" t="str">
        <x:v>BLD-S03</x:v>
      </x:c>
      <x:c r="C8" s="24" t="str">
        <x:v>0.0.4</x:v>
      </x:c>
      <x:c r="D8" s="24"/>
      <x:c r="E8" s="24" t="str">
        <x:v>Windows x64</x:v>
      </x:c>
      <x:c r="F8" s="24" t="str">
        <x:v>Development</x:v>
      </x:c>
      <x:c r="G8" s="24" t="str">
        <x:v>Sprint 3</x:v>
      </x:c>
      <x:c r="H8" s="24" t="str">
        <x:v>PASS</x:v>
      </x:c>
      <x:c r="I8" s="24" t="str">
        <x:v>Local or retained per phase policy</x:v>
      </x:c>
      <x:c r="J8" s="24"/>
      <x:c r="K8" s="24" t="str">
        <x:v>Internal project content; exclude VISION assets</x:v>
      </x:c>
      <x:c r="L8" s="24" t="str">
        <x:v>Unity packages per register; notices pending</x:v>
      </x:c>
      <x:c r="M8" s="24" t="str">
        <x:v>Internal development only until per-clip provenance</x:v>
      </x:c>
      <x:c r="N8" s="24" t="str">
        <x:v>Legacy fallback development only; production font missing</x:v>
      </x:c>
      <x:c r="O8" s="24" t="str">
        <x:v>No operational ES/EN tables yet</x:v>
      </x:c>
      <x:c r="P8" s="24" t="str">
        <x:v>Provisional; no final public clearance</x:v>
      </x:c>
      <x:c r="Q8" s="24" t="str">
        <x:v>Incomplete</x:v>
      </x:c>
      <x:c r="R8" s="24" t="str">
        <x:v>No online/telemetry release authorization</x:v>
      </x:c>
      <x:c r="S8" s="24" t="str">
        <x:v>INTERNAL ONLY</x:v>
      </x:c>
      <x:c r="T8" s="24" t="str">
        <x:v>Local/internal QA only</x:v>
      </x:c>
      <x:c r="U8" s="24" t="str">
        <x:v>Trademark; audio; font; notices; localization; license evidence</x:v>
      </x:c>
      <x:c r="V8" s="24" t="str">
        <x:v>Do not publish externally</x:v>
      </x:c>
      <x:c r="W8" s="24" t="str">
        <x:v>VRM Games</x:v>
      </x:c>
      <x:c r="X8" s="24" t="str">
        <x:v>Historical accepted build/evidence.</x:v>
      </x:c>
      <x:c r="Y8" t="str">
        <x:f>IF(AND(H8="PASS",J8&lt;&gt;"",COUNTIFS('19_Deuda_Pendiente'!$C$5:$C$26,"S1",'19_Deuda_Pendiente'!$F$5:$F$26,"&lt;&gt;Closed")=0,COUNTIFS('18_Riesgos_Legales'!$P$5:$P$32,"Critical",'18_Riesgos_Legales'!$K$5:$K$32,"&lt;&gt;Closed")=0,COUNTIF('13_Creditos'!$H$5:$H$19,"BLOCKED")=0,OR(S8="APPROVED PUBLIC",S8="CONDITIONALLY APPROVED")),"ELIGIBLE FOR MANUAL APPROVAL","BLOCKED")</x:f>
        <x:v>BLOCKED</x:v>
      </x:c>
    </x:row>
    <x:row r="9" ht="34" customHeight="1">
      <x:c r="A9" s="24" t="str">
        <x:v>BLD-LIC-005</x:v>
      </x:c>
      <x:c r="B9" s="24" t="str">
        <x:v>BLD-S04</x:v>
      </x:c>
      <x:c r="C9" s="24" t="str">
        <x:v>0.0.5</x:v>
      </x:c>
      <x:c r="D9" s="24"/>
      <x:c r="E9" s="24" t="str">
        <x:v>Windows x64</x:v>
      </x:c>
      <x:c r="F9" s="24" t="str">
        <x:v>Development</x:v>
      </x:c>
      <x:c r="G9" s="24" t="str">
        <x:v>Sprint 4</x:v>
      </x:c>
      <x:c r="H9" s="24" t="str">
        <x:v>PASS</x:v>
      </x:c>
      <x:c r="I9" s="24" t="str">
        <x:v>Local or retained per phase policy</x:v>
      </x:c>
      <x:c r="J9" s="24"/>
      <x:c r="K9" s="24" t="str">
        <x:v>Internal project content; exclude VISION assets</x:v>
      </x:c>
      <x:c r="L9" s="24" t="str">
        <x:v>Unity packages per register; notices pending</x:v>
      </x:c>
      <x:c r="M9" s="24" t="str">
        <x:v>Internal development only until per-clip provenance</x:v>
      </x:c>
      <x:c r="N9" s="24" t="str">
        <x:v>Legacy fallback development only; production font missing</x:v>
      </x:c>
      <x:c r="O9" s="24" t="str">
        <x:v>No operational ES/EN tables yet</x:v>
      </x:c>
      <x:c r="P9" s="24" t="str">
        <x:v>Provisional; no final public clearance</x:v>
      </x:c>
      <x:c r="Q9" s="24" t="str">
        <x:v>Incomplete</x:v>
      </x:c>
      <x:c r="R9" s="24" t="str">
        <x:v>No online/telemetry release authorization</x:v>
      </x:c>
      <x:c r="S9" s="24" t="str">
        <x:v>INTERNAL ONLY</x:v>
      </x:c>
      <x:c r="T9" s="24" t="str">
        <x:v>Local/internal QA only</x:v>
      </x:c>
      <x:c r="U9" s="24" t="str">
        <x:v>Trademark; audio; font; notices; localization; license evidence</x:v>
      </x:c>
      <x:c r="V9" s="24" t="str">
        <x:v>Do not publish externally</x:v>
      </x:c>
      <x:c r="W9" s="24" t="str">
        <x:v>VRM Games</x:v>
      </x:c>
      <x:c r="X9" s="24" t="str">
        <x:v>Historical accepted build/evidence.</x:v>
      </x:c>
      <x:c r="Y9" t="str">
        <x:f>IF(AND(H9="PASS",J9&lt;&gt;"",COUNTIFS('19_Deuda_Pendiente'!$C$5:$C$26,"S1",'19_Deuda_Pendiente'!$F$5:$F$26,"&lt;&gt;Closed")=0,COUNTIFS('18_Riesgos_Legales'!$P$5:$P$32,"Critical",'18_Riesgos_Legales'!$K$5:$K$32,"&lt;&gt;Closed")=0,COUNTIF('13_Creditos'!$H$5:$H$19,"BLOCKED")=0,OR(S9="APPROVED PUBLIC",S9="CONDITIONALLY APPROVED")),"ELIGIBLE FOR MANUAL APPROVAL","BLOCKED")</x:f>
        <x:v>BLOCKED</x:v>
      </x:c>
    </x:row>
    <x:row r="10" ht="34" customHeight="1">
      <x:c r="A10" s="24" t="str">
        <x:v>BLD-LIC-006</x:v>
      </x:c>
      <x:c r="B10" s="24" t="str">
        <x:v>BLD-S05</x:v>
      </x:c>
      <x:c r="C10" s="24" t="str">
        <x:v>0.0.6</x:v>
      </x:c>
      <x:c r="D10" s="24"/>
      <x:c r="E10" s="24" t="str">
        <x:v>Windows x64</x:v>
      </x:c>
      <x:c r="F10" s="24" t="str">
        <x:v>Development</x:v>
      </x:c>
      <x:c r="G10" s="24" t="str">
        <x:v>Sprint 5</x:v>
      </x:c>
      <x:c r="H10" s="24" t="str">
        <x:v>PASS</x:v>
      </x:c>
      <x:c r="I10" s="24" t="str">
        <x:v>Local or retained per phase policy</x:v>
      </x:c>
      <x:c r="J10" s="24"/>
      <x:c r="K10" s="24" t="str">
        <x:v>Internal project content; exclude VISION assets</x:v>
      </x:c>
      <x:c r="L10" s="24" t="str">
        <x:v>Unity packages per register; notices pending</x:v>
      </x:c>
      <x:c r="M10" s="24" t="str">
        <x:v>Internal development only until per-clip provenance</x:v>
      </x:c>
      <x:c r="N10" s="24" t="str">
        <x:v>Legacy fallback development only; production font missing</x:v>
      </x:c>
      <x:c r="O10" s="24" t="str">
        <x:v>No operational ES/EN tables yet</x:v>
      </x:c>
      <x:c r="P10" s="24" t="str">
        <x:v>Provisional; no final public clearance</x:v>
      </x:c>
      <x:c r="Q10" s="24" t="str">
        <x:v>Incomplete</x:v>
      </x:c>
      <x:c r="R10" s="24" t="str">
        <x:v>No online/telemetry release authorization</x:v>
      </x:c>
      <x:c r="S10" s="24" t="str">
        <x:v>INTERNAL ONLY</x:v>
      </x:c>
      <x:c r="T10" s="24" t="str">
        <x:v>Local/internal QA only</x:v>
      </x:c>
      <x:c r="U10" s="24" t="str">
        <x:v>Trademark; audio; font; notices; localization; license evidence</x:v>
      </x:c>
      <x:c r="V10" s="24" t="str">
        <x:v>Do not publish externally</x:v>
      </x:c>
      <x:c r="W10" s="24" t="str">
        <x:v>VRM Games</x:v>
      </x:c>
      <x:c r="X10" s="24" t="str">
        <x:v>Historical accepted build/evidence.</x:v>
      </x:c>
      <x:c r="Y10" t="str">
        <x:f>IF(AND(H10="PASS",J10&lt;&gt;"",COUNTIFS('19_Deuda_Pendiente'!$C$5:$C$26,"S1",'19_Deuda_Pendiente'!$F$5:$F$26,"&lt;&gt;Closed")=0,COUNTIFS('18_Riesgos_Legales'!$P$5:$P$32,"Critical",'18_Riesgos_Legales'!$K$5:$K$32,"&lt;&gt;Closed")=0,COUNTIF('13_Creditos'!$H$5:$H$19,"BLOCKED")=0,OR(S10="APPROVED PUBLIC",S10="CONDITIONALLY APPROVED")),"ELIGIBLE FOR MANUAL APPROVAL","BLOCKED")</x:f>
        <x:v>BLOCKED</x:v>
      </x:c>
    </x:row>
    <x:row r="11" ht="34" customHeight="1">
      <x:c r="A11" s="24" t="str">
        <x:v>BLD-LIC-007</x:v>
      </x:c>
      <x:c r="B11" s="24" t="str">
        <x:v>BLD-S06</x:v>
      </x:c>
      <x:c r="C11" s="24" t="str">
        <x:v>0.0.7</x:v>
      </x:c>
      <x:c r="D11" s="24"/>
      <x:c r="E11" s="24" t="str">
        <x:v>Windows x64</x:v>
      </x:c>
      <x:c r="F11" s="24" t="str">
        <x:v>Development</x:v>
      </x:c>
      <x:c r="G11" s="24" t="str">
        <x:v>Sprint 6</x:v>
      </x:c>
      <x:c r="H11" s="24" t="str">
        <x:v>PASS</x:v>
      </x:c>
      <x:c r="I11" s="24" t="str">
        <x:v>Local or retained per phase policy</x:v>
      </x:c>
      <x:c r="J11" s="24"/>
      <x:c r="K11" s="24" t="str">
        <x:v>Internal project content; exclude VISION assets</x:v>
      </x:c>
      <x:c r="L11" s="24" t="str">
        <x:v>Unity packages per register; notices pending</x:v>
      </x:c>
      <x:c r="M11" s="24" t="str">
        <x:v>Internal development only until per-clip provenance</x:v>
      </x:c>
      <x:c r="N11" s="24" t="str">
        <x:v>Legacy fallback development only; production font missing</x:v>
      </x:c>
      <x:c r="O11" s="24" t="str">
        <x:v>No operational ES/EN tables yet</x:v>
      </x:c>
      <x:c r="P11" s="24" t="str">
        <x:v>Provisional; no final public clearance</x:v>
      </x:c>
      <x:c r="Q11" s="24" t="str">
        <x:v>Incomplete</x:v>
      </x:c>
      <x:c r="R11" s="24" t="str">
        <x:v>No online/telemetry release authorization</x:v>
      </x:c>
      <x:c r="S11" s="24" t="str">
        <x:v>INTERNAL ONLY</x:v>
      </x:c>
      <x:c r="T11" s="24" t="str">
        <x:v>Local/internal QA only</x:v>
      </x:c>
      <x:c r="U11" s="24" t="str">
        <x:v>Trademark; audio; font; notices; localization; license evidence</x:v>
      </x:c>
      <x:c r="V11" s="24" t="str">
        <x:v>Do not publish externally</x:v>
      </x:c>
      <x:c r="W11" s="24" t="str">
        <x:v>VRM Games</x:v>
      </x:c>
      <x:c r="X11" s="24" t="str">
        <x:v>Historical accepted build/evidence.</x:v>
      </x:c>
      <x:c r="Y11" t="str">
        <x:f>IF(AND(H11="PASS",J11&lt;&gt;"",COUNTIFS('19_Deuda_Pendiente'!$C$5:$C$26,"S1",'19_Deuda_Pendiente'!$F$5:$F$26,"&lt;&gt;Closed")=0,COUNTIFS('18_Riesgos_Legales'!$P$5:$P$32,"Critical",'18_Riesgos_Legales'!$K$5:$K$32,"&lt;&gt;Closed")=0,COUNTIF('13_Creditos'!$H$5:$H$19,"BLOCKED")=0,OR(S11="APPROVED PUBLIC",S11="CONDITIONALLY APPROVED")),"ELIGIBLE FOR MANUAL APPROVAL","BLOCKED")</x:f>
        <x:v>BLOCKED</x:v>
      </x:c>
    </x:row>
    <x:row r="12" ht="34" customHeight="1">
      <x:c r="A12" s="24" t="str">
        <x:v>BLD-LIC-008</x:v>
      </x:c>
      <x:c r="B12" s="24" t="str">
        <x:v>BLD-S07</x:v>
      </x:c>
      <x:c r="C12" s="24" t="str">
        <x:v>0.0.8</x:v>
      </x:c>
      <x:c r="D12" s="24"/>
      <x:c r="E12" s="24" t="str">
        <x:v>Windows x64</x:v>
      </x:c>
      <x:c r="F12" s="24" t="str">
        <x:v>Development</x:v>
      </x:c>
      <x:c r="G12" s="24" t="str">
        <x:v>Sprint 7</x:v>
      </x:c>
      <x:c r="H12" s="24" t="str">
        <x:v>PASS</x:v>
      </x:c>
      <x:c r="I12" s="24" t="str">
        <x:v>Local or retained per phase policy</x:v>
      </x:c>
      <x:c r="J12" s="24"/>
      <x:c r="K12" s="24" t="str">
        <x:v>Internal project content; exclude VISION assets</x:v>
      </x:c>
      <x:c r="L12" s="24" t="str">
        <x:v>Unity packages per register; notices pending</x:v>
      </x:c>
      <x:c r="M12" s="24" t="str">
        <x:v>Internal development only until per-clip provenance</x:v>
      </x:c>
      <x:c r="N12" s="24" t="str">
        <x:v>Legacy fallback development only; production font missing</x:v>
      </x:c>
      <x:c r="O12" s="24" t="str">
        <x:v>No operational ES/EN tables yet</x:v>
      </x:c>
      <x:c r="P12" s="24" t="str">
        <x:v>Provisional; no final public clearance</x:v>
      </x:c>
      <x:c r="Q12" s="24" t="str">
        <x:v>Incomplete</x:v>
      </x:c>
      <x:c r="R12" s="24" t="str">
        <x:v>No online/telemetry release authorization</x:v>
      </x:c>
      <x:c r="S12" s="24" t="str">
        <x:v>INTERNAL ONLY</x:v>
      </x:c>
      <x:c r="T12" s="24" t="str">
        <x:v>Local/internal QA only</x:v>
      </x:c>
      <x:c r="U12" s="24" t="str">
        <x:v>Trademark; audio; font; notices; localization; license evidence</x:v>
      </x:c>
      <x:c r="V12" s="24" t="str">
        <x:v>Do not publish externally</x:v>
      </x:c>
      <x:c r="W12" s="24" t="str">
        <x:v>VRM Games</x:v>
      </x:c>
      <x:c r="X12" s="24" t="str">
        <x:v>Historical accepted build/evidence.</x:v>
      </x:c>
      <x:c r="Y12" t="str">
        <x:f>IF(AND(H12="PASS",J12&lt;&gt;"",COUNTIFS('19_Deuda_Pendiente'!$C$5:$C$26,"S1",'19_Deuda_Pendiente'!$F$5:$F$26,"&lt;&gt;Closed")=0,COUNTIFS('18_Riesgos_Legales'!$P$5:$P$32,"Critical",'18_Riesgos_Legales'!$K$5:$K$32,"&lt;&gt;Closed")=0,COUNTIF('13_Creditos'!$H$5:$H$19,"BLOCKED")=0,OR(S12="APPROVED PUBLIC",S12="CONDITIONALLY APPROVED")),"ELIGIBLE FOR MANUAL APPROVAL","BLOCKED")</x:f>
        <x:v>BLOCKED</x:v>
      </x:c>
    </x:row>
    <x:row r="13" ht="34" customHeight="1">
      <x:c r="A13" s="24" t="str">
        <x:v>BLD-LIC-009</x:v>
      </x:c>
      <x:c r="B13" s="24" t="str">
        <x:v>BLD-S08</x:v>
      </x:c>
      <x:c r="C13" s="24" t="str">
        <x:v>0.0.9</x:v>
      </x:c>
      <x:c r="D13" s="24"/>
      <x:c r="E13" s="24" t="str">
        <x:v>Windows x64</x:v>
      </x:c>
      <x:c r="F13" s="24" t="str">
        <x:v>Development</x:v>
      </x:c>
      <x:c r="G13" s="24" t="str">
        <x:v>Sprint 8</x:v>
      </x:c>
      <x:c r="H13" s="24" t="str">
        <x:v>PASS</x:v>
      </x:c>
      <x:c r="I13" s="24" t="str">
        <x:v>Local or retained per phase policy</x:v>
      </x:c>
      <x:c r="J13" s="24"/>
      <x:c r="K13" s="24" t="str">
        <x:v>Internal project content; exclude VISION assets</x:v>
      </x:c>
      <x:c r="L13" s="24" t="str">
        <x:v>Unity packages per register; notices pending</x:v>
      </x:c>
      <x:c r="M13" s="24" t="str">
        <x:v>Internal development only until per-clip provenance</x:v>
      </x:c>
      <x:c r="N13" s="24" t="str">
        <x:v>Legacy fallback development only; production font missing</x:v>
      </x:c>
      <x:c r="O13" s="24" t="str">
        <x:v>No operational ES/EN tables yet</x:v>
      </x:c>
      <x:c r="P13" s="24" t="str">
        <x:v>Provisional; no final public clearance</x:v>
      </x:c>
      <x:c r="Q13" s="24" t="str">
        <x:v>Incomplete</x:v>
      </x:c>
      <x:c r="R13" s="24" t="str">
        <x:v>No online/telemetry release authorization</x:v>
      </x:c>
      <x:c r="S13" s="24" t="str">
        <x:v>INTERNAL ONLY</x:v>
      </x:c>
      <x:c r="T13" s="24" t="str">
        <x:v>Local/internal QA only</x:v>
      </x:c>
      <x:c r="U13" s="24" t="str">
        <x:v>Trademark; audio; font; notices; localization; license evidence</x:v>
      </x:c>
      <x:c r="V13" s="24" t="str">
        <x:v>Do not publish externally</x:v>
      </x:c>
      <x:c r="W13" s="24" t="str">
        <x:v>VRM Games</x:v>
      </x:c>
      <x:c r="X13" s="24" t="str">
        <x:v>Historical accepted build/evidence.</x:v>
      </x:c>
      <x:c r="Y13" t="str">
        <x:f>IF(AND(H13="PASS",J13&lt;&gt;"",COUNTIFS('19_Deuda_Pendiente'!$C$5:$C$26,"S1",'19_Deuda_Pendiente'!$F$5:$F$26,"&lt;&gt;Closed")=0,COUNTIFS('18_Riesgos_Legales'!$P$5:$P$32,"Critical",'18_Riesgos_Legales'!$K$5:$K$32,"&lt;&gt;Closed")=0,COUNTIF('13_Creditos'!$H$5:$H$19,"BLOCKED")=0,OR(S13="APPROVED PUBLIC",S13="CONDITIONALLY APPROVED")),"ELIGIBLE FOR MANUAL APPROVAL","BLOCKED")</x:f>
        <x:v>BLOCKED</x:v>
      </x:c>
    </x:row>
    <x:row r="14" ht="34" customHeight="1">
      <x:c r="A14" s="24" t="str">
        <x:v>BLD-LIC-010</x:v>
      </x:c>
      <x:c r="B14" s="24" t="str">
        <x:v>BLD-S09</x:v>
      </x:c>
      <x:c r="C14" s="24" t="str">
        <x:v>0.0.10</x:v>
      </x:c>
      <x:c r="D14" s="24"/>
      <x:c r="E14" s="24" t="str">
        <x:v>Windows x64</x:v>
      </x:c>
      <x:c r="F14" s="24" t="str">
        <x:v>Development</x:v>
      </x:c>
      <x:c r="G14" s="24" t="str">
        <x:v>Sprint 9</x:v>
      </x:c>
      <x:c r="H14" s="24" t="str">
        <x:v>PASS</x:v>
      </x:c>
      <x:c r="I14" s="24" t="str">
        <x:v>Local or retained per phase policy</x:v>
      </x:c>
      <x:c r="J14" s="24"/>
      <x:c r="K14" s="24" t="str">
        <x:v>Internal project content; exclude VISION assets</x:v>
      </x:c>
      <x:c r="L14" s="24" t="str">
        <x:v>Unity packages per register; notices pending</x:v>
      </x:c>
      <x:c r="M14" s="24" t="str">
        <x:v>Internal development only until per-clip provenance</x:v>
      </x:c>
      <x:c r="N14" s="24" t="str">
        <x:v>Legacy fallback development only; production font missing</x:v>
      </x:c>
      <x:c r="O14" s="24" t="str">
        <x:v>No operational ES/EN tables yet</x:v>
      </x:c>
      <x:c r="P14" s="24" t="str">
        <x:v>Provisional; no final public clearance</x:v>
      </x:c>
      <x:c r="Q14" s="24" t="str">
        <x:v>Incomplete</x:v>
      </x:c>
      <x:c r="R14" s="24" t="str">
        <x:v>No online/telemetry release authorization</x:v>
      </x:c>
      <x:c r="S14" s="24" t="str">
        <x:v>INTERNAL ONLY</x:v>
      </x:c>
      <x:c r="T14" s="24" t="str">
        <x:v>Local/internal QA only</x:v>
      </x:c>
      <x:c r="U14" s="24" t="str">
        <x:v>Trademark; audio; font; notices; localization; license evidence</x:v>
      </x:c>
      <x:c r="V14" s="24" t="str">
        <x:v>Do not publish externally</x:v>
      </x:c>
      <x:c r="W14" s="24" t="str">
        <x:v>VRM Games</x:v>
      </x:c>
      <x:c r="X14" s="24" t="str">
        <x:v>Historical accepted build/evidence.</x:v>
      </x:c>
      <x:c r="Y14" t="str">
        <x:f>IF(AND(H14="PASS",J14&lt;&gt;"",COUNTIFS('19_Deuda_Pendiente'!$C$5:$C$26,"S1",'19_Deuda_Pendiente'!$F$5:$F$26,"&lt;&gt;Closed")=0,COUNTIFS('18_Riesgos_Legales'!$P$5:$P$32,"Critical",'18_Riesgos_Legales'!$K$5:$K$32,"&lt;&gt;Closed")=0,COUNTIF('13_Creditos'!$H$5:$H$19,"BLOCKED")=0,OR(S14="APPROVED PUBLIC",S14="CONDITIONALLY APPROVED")),"ELIGIBLE FOR MANUAL APPROVAL","BLOCKED")</x:f>
        <x:v>BLOCKED</x:v>
      </x:c>
    </x:row>
    <x:row r="15" ht="34" customHeight="1">
      <x:c r="A15" s="24" t="str">
        <x:v>BLD-LIC-011</x:v>
      </x:c>
      <x:c r="B15" s="24" t="str">
        <x:v>BLD-S10</x:v>
      </x:c>
      <x:c r="C15" s="24" t="str">
        <x:v>0.0.11</x:v>
      </x:c>
      <x:c r="D15" s="24"/>
      <x:c r="E15" s="24" t="str">
        <x:v>Windows x64</x:v>
      </x:c>
      <x:c r="F15" s="24" t="str">
        <x:v>Development</x:v>
      </x:c>
      <x:c r="G15" s="24" t="str">
        <x:v>Sprint 10</x:v>
      </x:c>
      <x:c r="H15" s="24" t="str">
        <x:v>PASS</x:v>
      </x:c>
      <x:c r="I15" s="24" t="str">
        <x:v>Local or retained per phase policy</x:v>
      </x:c>
      <x:c r="J15" s="24"/>
      <x:c r="K15" s="24" t="str">
        <x:v>Internal project content; exclude VISION assets</x:v>
      </x:c>
      <x:c r="L15" s="24" t="str">
        <x:v>Unity packages per register; notices pending</x:v>
      </x:c>
      <x:c r="M15" s="24" t="str">
        <x:v>Internal development only until per-clip provenance</x:v>
      </x:c>
      <x:c r="N15" s="24" t="str">
        <x:v>Legacy fallback development only; production font missing</x:v>
      </x:c>
      <x:c r="O15" s="24" t="str">
        <x:v>No operational ES/EN tables yet</x:v>
      </x:c>
      <x:c r="P15" s="24" t="str">
        <x:v>Provisional; no final public clearance</x:v>
      </x:c>
      <x:c r="Q15" s="24" t="str">
        <x:v>Incomplete</x:v>
      </x:c>
      <x:c r="R15" s="24" t="str">
        <x:v>No online/telemetry release authorization</x:v>
      </x:c>
      <x:c r="S15" s="24" t="str">
        <x:v>INTERNAL ONLY</x:v>
      </x:c>
      <x:c r="T15" s="24" t="str">
        <x:v>Local/internal QA only</x:v>
      </x:c>
      <x:c r="U15" s="24" t="str">
        <x:v>Trademark; audio; font; notices; localization; license evidence</x:v>
      </x:c>
      <x:c r="V15" s="24" t="str">
        <x:v>Do not publish externally</x:v>
      </x:c>
      <x:c r="W15" s="24" t="str">
        <x:v>VRM Games</x:v>
      </x:c>
      <x:c r="X15" s="24" t="str">
        <x:v>Historical accepted build/evidence.</x:v>
      </x:c>
      <x:c r="Y15" t="str">
        <x:f>IF(AND(H15="PASS",J15&lt;&gt;"",COUNTIFS('19_Deuda_Pendiente'!$C$5:$C$26,"S1",'19_Deuda_Pendiente'!$F$5:$F$26,"&lt;&gt;Closed")=0,COUNTIFS('18_Riesgos_Legales'!$P$5:$P$32,"Critical",'18_Riesgos_Legales'!$K$5:$K$32,"&lt;&gt;Closed")=0,COUNTIF('13_Creditos'!$H$5:$H$19,"BLOCKED")=0,OR(S15="APPROVED PUBLIC",S15="CONDITIONALLY APPROVED")),"ELIGIBLE FOR MANUAL APPROVAL","BLOCKED")</x:f>
        <x:v>BLOCKED</x:v>
      </x:c>
    </x:row>
    <x:row r="16" ht="34" customHeight="1">
      <x:c r="A16" s="24" t="str">
        <x:v>BLD-LIC-012</x:v>
      </x:c>
      <x:c r="B16" s="24" t="str">
        <x:v>BLD-S11</x:v>
      </x:c>
      <x:c r="C16" s="24" t="str">
        <x:v>0.0.12</x:v>
      </x:c>
      <x:c r="D16" s="24"/>
      <x:c r="E16" s="24" t="str">
        <x:v>Windows x64</x:v>
      </x:c>
      <x:c r="F16" s="24" t="str">
        <x:v>Development</x:v>
      </x:c>
      <x:c r="G16" s="24" t="str">
        <x:v>Sprint 11</x:v>
      </x:c>
      <x:c r="H16" s="24" t="str">
        <x:v>PASS</x:v>
      </x:c>
      <x:c r="I16" s="24" t="str">
        <x:v>Local or retained per phase policy</x:v>
      </x:c>
      <x:c r="J16" s="24"/>
      <x:c r="K16" s="24" t="str">
        <x:v>Internal project content; exclude VISION assets</x:v>
      </x:c>
      <x:c r="L16" s="24" t="str">
        <x:v>Unity packages per register; notices pending</x:v>
      </x:c>
      <x:c r="M16" s="24" t="str">
        <x:v>Internal development only until per-clip provenance</x:v>
      </x:c>
      <x:c r="N16" s="24" t="str">
        <x:v>Legacy fallback development only; production font missing</x:v>
      </x:c>
      <x:c r="O16" s="24" t="str">
        <x:v>No operational ES/EN tables yet</x:v>
      </x:c>
      <x:c r="P16" s="24" t="str">
        <x:v>Provisional; no final public clearance</x:v>
      </x:c>
      <x:c r="Q16" s="24" t="str">
        <x:v>Incomplete</x:v>
      </x:c>
      <x:c r="R16" s="24" t="str">
        <x:v>No online/telemetry release authorization</x:v>
      </x:c>
      <x:c r="S16" s="24" t="str">
        <x:v>INTERNAL ONLY</x:v>
      </x:c>
      <x:c r="T16" s="24" t="str">
        <x:v>Local/internal QA only</x:v>
      </x:c>
      <x:c r="U16" s="24" t="str">
        <x:v>Trademark; audio; font; notices; localization; license evidence</x:v>
      </x:c>
      <x:c r="V16" s="24" t="str">
        <x:v>Do not publish externally</x:v>
      </x:c>
      <x:c r="W16" s="24" t="str">
        <x:v>VRM Games</x:v>
      </x:c>
      <x:c r="X16" s="24" t="str">
        <x:v>Historical accepted build/evidence.</x:v>
      </x:c>
      <x:c r="Y16" t="str">
        <x:f>IF(AND(H16="PASS",J16&lt;&gt;"",COUNTIFS('19_Deuda_Pendiente'!$C$5:$C$26,"S1",'19_Deuda_Pendiente'!$F$5:$F$26,"&lt;&gt;Closed")=0,COUNTIFS('18_Riesgos_Legales'!$P$5:$P$32,"Critical",'18_Riesgos_Legales'!$K$5:$K$32,"&lt;&gt;Closed")=0,COUNTIF('13_Creditos'!$H$5:$H$19,"BLOCKED")=0,OR(S16="APPROVED PUBLIC",S16="CONDITIONALLY APPROVED")),"ELIGIBLE FOR MANUAL APPROVAL","BLOCKED")</x:f>
        <x:v>BLOCKED</x:v>
      </x:c>
    </x:row>
    <x:row r="17" ht="34" customHeight="1">
      <x:c r="A17" s="24" t="str">
        <x:v>BLD-LIC-013</x:v>
      </x:c>
      <x:c r="B17" s="24" t="str">
        <x:v>BLD-S12</x:v>
      </x:c>
      <x:c r="C17" s="24" t="str">
        <x:v>0.0.13</x:v>
      </x:c>
      <x:c r="D17" s="24"/>
      <x:c r="E17" s="24" t="str">
        <x:v>Windows x64</x:v>
      </x:c>
      <x:c r="F17" s="24" t="str">
        <x:v>Development</x:v>
      </x:c>
      <x:c r="G17" s="24" t="str">
        <x:v>Sprint 12</x:v>
      </x:c>
      <x:c r="H17" s="24" t="str">
        <x:v>PASS</x:v>
      </x:c>
      <x:c r="I17" s="24" t="str">
        <x:v>Local or retained per phase policy</x:v>
      </x:c>
      <x:c r="J17" s="24"/>
      <x:c r="K17" s="24" t="str">
        <x:v>Internal project content; exclude VISION assets</x:v>
      </x:c>
      <x:c r="L17" s="24" t="str">
        <x:v>Unity packages per register; notices pending</x:v>
      </x:c>
      <x:c r="M17" s="24" t="str">
        <x:v>Internal development only until per-clip provenance</x:v>
      </x:c>
      <x:c r="N17" s="24" t="str">
        <x:v>Legacy fallback development only; production font missing</x:v>
      </x:c>
      <x:c r="O17" s="24" t="str">
        <x:v>No operational ES/EN tables yet</x:v>
      </x:c>
      <x:c r="P17" s="24" t="str">
        <x:v>Provisional; no final public clearance</x:v>
      </x:c>
      <x:c r="Q17" s="24" t="str">
        <x:v>Incomplete</x:v>
      </x:c>
      <x:c r="R17" s="24" t="str">
        <x:v>No online/telemetry release authorization</x:v>
      </x:c>
      <x:c r="S17" s="24" t="str">
        <x:v>INTERNAL ONLY</x:v>
      </x:c>
      <x:c r="T17" s="24" t="str">
        <x:v>Local/internal QA only</x:v>
      </x:c>
      <x:c r="U17" s="24" t="str">
        <x:v>Trademark; audio; font; notices; localization; license evidence</x:v>
      </x:c>
      <x:c r="V17" s="24" t="str">
        <x:v>Do not publish externally</x:v>
      </x:c>
      <x:c r="W17" s="24" t="str">
        <x:v>VRM Games</x:v>
      </x:c>
      <x:c r="X17" s="24" t="str">
        <x:v>Historical accepted build/evidence.</x:v>
      </x:c>
      <x:c r="Y17" t="str">
        <x:f>IF(AND(H17="PASS",J17&lt;&gt;"",COUNTIFS('19_Deuda_Pendiente'!$C$5:$C$26,"S1",'19_Deuda_Pendiente'!$F$5:$F$26,"&lt;&gt;Closed")=0,COUNTIFS('18_Riesgos_Legales'!$P$5:$P$32,"Critical",'18_Riesgos_Legales'!$K$5:$K$32,"&lt;&gt;Closed")=0,COUNTIF('13_Creditos'!$H$5:$H$19,"BLOCKED")=0,OR(S17="APPROVED PUBLIC",S17="CONDITIONALLY APPROVED")),"ELIGIBLE FOR MANUAL APPROVAL","BLOCKED")</x:f>
        <x:v>BLOCKED</x:v>
      </x:c>
    </x:row>
    <x:row r="18" ht="34" customHeight="1">
      <x:c r="A18" s="24" t="str">
        <x:v>BLD-LIC-014</x:v>
      </x:c>
      <x:c r="B18" s="24" t="str">
        <x:v>BLD-S13</x:v>
      </x:c>
      <x:c r="C18" s="24" t="str">
        <x:v>0.0.14</x:v>
      </x:c>
      <x:c r="D18" s="24"/>
      <x:c r="E18" s="24" t="str">
        <x:v>Windows x64</x:v>
      </x:c>
      <x:c r="F18" s="24" t="str">
        <x:v>Development</x:v>
      </x:c>
      <x:c r="G18" s="24" t="str">
        <x:v>Sprint 13</x:v>
      </x:c>
      <x:c r="H18" s="24" t="str">
        <x:v>PASS</x:v>
      </x:c>
      <x:c r="I18" s="24" t="str">
        <x:v>Local or retained per phase policy</x:v>
      </x:c>
      <x:c r="J18" s="24"/>
      <x:c r="K18" s="24" t="str">
        <x:v>Internal project content; exclude VISION assets</x:v>
      </x:c>
      <x:c r="L18" s="24" t="str">
        <x:v>Unity packages per register; notices pending</x:v>
      </x:c>
      <x:c r="M18" s="24" t="str">
        <x:v>Internal development only until per-clip provenance</x:v>
      </x:c>
      <x:c r="N18" s="24" t="str">
        <x:v>Legacy fallback development only; production font missing</x:v>
      </x:c>
      <x:c r="O18" s="24" t="str">
        <x:v>No operational ES/EN tables yet</x:v>
      </x:c>
      <x:c r="P18" s="24" t="str">
        <x:v>Provisional; no final public clearance</x:v>
      </x:c>
      <x:c r="Q18" s="24" t="str">
        <x:v>Incomplete</x:v>
      </x:c>
      <x:c r="R18" s="24" t="str">
        <x:v>No online/telemetry release authorization</x:v>
      </x:c>
      <x:c r="S18" s="24" t="str">
        <x:v>INTERNAL ONLY</x:v>
      </x:c>
      <x:c r="T18" s="24" t="str">
        <x:v>Local/internal QA only</x:v>
      </x:c>
      <x:c r="U18" s="24" t="str">
        <x:v>Trademark; audio; font; notices; localization; license evidence</x:v>
      </x:c>
      <x:c r="V18" s="24" t="str">
        <x:v>Do not publish externally</x:v>
      </x:c>
      <x:c r="W18" s="24" t="str">
        <x:v>VRM Games</x:v>
      </x:c>
      <x:c r="X18" s="24" t="str">
        <x:v>Historical accepted build/evidence.</x:v>
      </x:c>
      <x:c r="Y18" t="str">
        <x:f>IF(AND(H18="PASS",J18&lt;&gt;"",COUNTIFS('19_Deuda_Pendiente'!$C$5:$C$26,"S1",'19_Deuda_Pendiente'!$F$5:$F$26,"&lt;&gt;Closed")=0,COUNTIFS('18_Riesgos_Legales'!$P$5:$P$32,"Critical",'18_Riesgos_Legales'!$K$5:$K$32,"&lt;&gt;Closed")=0,COUNTIF('13_Creditos'!$H$5:$H$19,"BLOCKED")=0,OR(S18="APPROVED PUBLIC",S18="CONDITIONALLY APPROVED")),"ELIGIBLE FOR MANUAL APPROVAL","BLOCKED")</x:f>
        <x:v>BLOCKED</x:v>
      </x:c>
    </x:row>
    <x:row r="19" ht="34" customHeight="1">
      <x:c r="A19" s="24" t="str">
        <x:v>BLD-LIC-015</x:v>
      </x:c>
      <x:c r="B19" s="24" t="str">
        <x:v>BLD-S14</x:v>
      </x:c>
      <x:c r="C19" s="24" t="str">
        <x:v>0.0.15</x:v>
      </x:c>
      <x:c r="D19" s="24"/>
      <x:c r="E19" s="24" t="str">
        <x:v>Windows x64</x:v>
      </x:c>
      <x:c r="F19" s="24" t="str">
        <x:v>Development</x:v>
      </x:c>
      <x:c r="G19" s="24" t="str">
        <x:v>Sprint 14</x:v>
      </x:c>
      <x:c r="H19" s="24" t="str">
        <x:v>PASS</x:v>
      </x:c>
      <x:c r="I19" s="24" t="str">
        <x:v>Local or retained per phase policy</x:v>
      </x:c>
      <x:c r="J19" s="24"/>
      <x:c r="K19" s="24" t="str">
        <x:v>Internal project content; exclude VISION assets</x:v>
      </x:c>
      <x:c r="L19" s="24" t="str">
        <x:v>Unity packages per register; notices pending</x:v>
      </x:c>
      <x:c r="M19" s="24" t="str">
        <x:v>Internal development only until per-clip provenance</x:v>
      </x:c>
      <x:c r="N19" s="24" t="str">
        <x:v>Legacy fallback development only; production font missing</x:v>
      </x:c>
      <x:c r="O19" s="24" t="str">
        <x:v>No operational ES/EN tables yet</x:v>
      </x:c>
      <x:c r="P19" s="24" t="str">
        <x:v>Provisional; no final public clearance</x:v>
      </x:c>
      <x:c r="Q19" s="24" t="str">
        <x:v>Incomplete</x:v>
      </x:c>
      <x:c r="R19" s="24" t="str">
        <x:v>No online/telemetry release authorization</x:v>
      </x:c>
      <x:c r="S19" s="24" t="str">
        <x:v>INTERNAL ONLY</x:v>
      </x:c>
      <x:c r="T19" s="24" t="str">
        <x:v>Local/internal QA only</x:v>
      </x:c>
      <x:c r="U19" s="24" t="str">
        <x:v>Trademark; audio; font; notices; localization; license evidence</x:v>
      </x:c>
      <x:c r="V19" s="24" t="str">
        <x:v>Do not publish externally</x:v>
      </x:c>
      <x:c r="W19" s="24" t="str">
        <x:v>VRM Games</x:v>
      </x:c>
      <x:c r="X19" s="24" t="str">
        <x:v>Historical accepted build/evidence.</x:v>
      </x:c>
      <x:c r="Y19" t="str">
        <x:f>IF(AND(H19="PASS",J19&lt;&gt;"",COUNTIFS('19_Deuda_Pendiente'!$C$5:$C$26,"S1",'19_Deuda_Pendiente'!$F$5:$F$26,"&lt;&gt;Closed")=0,COUNTIFS('18_Riesgos_Legales'!$P$5:$P$32,"Critical",'18_Riesgos_Legales'!$K$5:$K$32,"&lt;&gt;Closed")=0,COUNTIF('13_Creditos'!$H$5:$H$19,"BLOCKED")=0,OR(S19="APPROVED PUBLIC",S19="CONDITIONALLY APPROVED")),"ELIGIBLE FOR MANUAL APPROVAL","BLOCKED")</x:f>
        <x:v>BLOCKED</x:v>
      </x:c>
    </x:row>
    <x:row r="20" ht="34" customHeight="1">
      <x:c r="A20" s="24" t="str">
        <x:v>BLD-LIC-016</x:v>
      </x:c>
      <x:c r="B20" s="24" t="str">
        <x:v>BLD-S15</x:v>
      </x:c>
      <x:c r="C20" s="24" t="str">
        <x:v>0.0.16</x:v>
      </x:c>
      <x:c r="D20" s="24"/>
      <x:c r="E20" s="24" t="str">
        <x:v>Windows x64</x:v>
      </x:c>
      <x:c r="F20" s="24" t="str">
        <x:v>Development</x:v>
      </x:c>
      <x:c r="G20" s="24" t="str">
        <x:v>Sprint 15</x:v>
      </x:c>
      <x:c r="H20" s="24" t="str">
        <x:v>PASS</x:v>
      </x:c>
      <x:c r="I20" s="24" t="str">
        <x:v>Local or retained per phase policy</x:v>
      </x:c>
      <x:c r="J20" s="24"/>
      <x:c r="K20" s="24" t="str">
        <x:v>Internal project content; exclude VISION assets</x:v>
      </x:c>
      <x:c r="L20" s="24" t="str">
        <x:v>Unity packages per register; notices pending</x:v>
      </x:c>
      <x:c r="M20" s="24" t="str">
        <x:v>Internal development only until per-clip provenance</x:v>
      </x:c>
      <x:c r="N20" s="24" t="str">
        <x:v>Legacy fallback development only; production font missing</x:v>
      </x:c>
      <x:c r="O20" s="24" t="str">
        <x:v>No operational ES/EN tables yet</x:v>
      </x:c>
      <x:c r="P20" s="24" t="str">
        <x:v>Provisional; no final public clearance</x:v>
      </x:c>
      <x:c r="Q20" s="24" t="str">
        <x:v>Incomplete</x:v>
      </x:c>
      <x:c r="R20" s="24" t="str">
        <x:v>No online/telemetry release authorization</x:v>
      </x:c>
      <x:c r="S20" s="24" t="str">
        <x:v>INTERNAL ONLY</x:v>
      </x:c>
      <x:c r="T20" s="24" t="str">
        <x:v>Local/internal QA only</x:v>
      </x:c>
      <x:c r="U20" s="24" t="str">
        <x:v>Trademark; audio; font; notices; localization; license evidence</x:v>
      </x:c>
      <x:c r="V20" s="24" t="str">
        <x:v>Do not publish externally</x:v>
      </x:c>
      <x:c r="W20" s="24" t="str">
        <x:v>VRM Games</x:v>
      </x:c>
      <x:c r="X20" s="24" t="str">
        <x:v>Historical accepted build/evidence.</x:v>
      </x:c>
      <x:c r="Y20" t="str">
        <x:f>IF(AND(H20="PASS",J20&lt;&gt;"",COUNTIFS('19_Deuda_Pendiente'!$C$5:$C$26,"S1",'19_Deuda_Pendiente'!$F$5:$F$26,"&lt;&gt;Closed")=0,COUNTIFS('18_Riesgos_Legales'!$P$5:$P$32,"Critical",'18_Riesgos_Legales'!$K$5:$K$32,"&lt;&gt;Closed")=0,COUNTIF('13_Creditos'!$H$5:$H$19,"BLOCKED")=0,OR(S20="APPROVED PUBLIC",S20="CONDITIONALLY APPROVED")),"ELIGIBLE FOR MANUAL APPROVAL","BLOCKED")</x:f>
        <x:v>BLOCKED</x:v>
      </x:c>
    </x:row>
    <x:row r="21" ht="34" customHeight="1">
      <x:c r="A21" s="24" t="str">
        <x:v>BLD-LIC-017</x:v>
      </x:c>
      <x:c r="B21" s="24" t="str">
        <x:v>BLD-016-PRE</x:v>
      </x:c>
      <x:c r="C21" s="24" t="str">
        <x:v>0.0.17</x:v>
      </x:c>
      <x:c r="D21" s="24" t="str">
        <x:v>091090c43855b0b26b09abe9335d18b978ac7eab</x:v>
      </x:c>
      <x:c r="E21" s="24" t="str">
        <x:v>Windows x64</x:v>
      </x:c>
      <x:c r="F21" s="24" t="str">
        <x:v>Development</x:v>
      </x:c>
      <x:c r="G21" s="24" t="str">
        <x:v>Sprint 16 pre-integración</x:v>
      </x:c>
      <x:c r="H21" s="24" t="str">
        <x:v>PASS</x:v>
      </x:c>
      <x:c r="I21" s="24" t="str">
        <x:v>Baseline previa</x:v>
      </x:c>
      <x:c r="J21" s="24"/>
      <x:c r="K21" s="24" t="str">
        <x:v>Internal project content; exclude VISION assets</x:v>
      </x:c>
      <x:c r="L21" s="24" t="str">
        <x:v>Unity packages per register; notices pending</x:v>
      </x:c>
      <x:c r="M21" s="24" t="str">
        <x:v>Internal development only until per-clip provenance</x:v>
      </x:c>
      <x:c r="N21" s="24" t="str">
        <x:v>Legacy fallback development only; production font missing</x:v>
      </x:c>
      <x:c r="O21" s="24" t="str">
        <x:v>No operational ES/EN tables yet</x:v>
      </x:c>
      <x:c r="P21" s="24" t="str">
        <x:v>Provisional; no final public clearance</x:v>
      </x:c>
      <x:c r="Q21" s="24" t="str">
        <x:v>Incomplete</x:v>
      </x:c>
      <x:c r="R21" s="24" t="str">
        <x:v>No online/telemetry release authorization</x:v>
      </x:c>
      <x:c r="S21" s="24" t="str">
        <x:v>INTERNAL ONLY</x:v>
      </x:c>
      <x:c r="T21" s="24" t="str">
        <x:v>Local/internal QA only</x:v>
      </x:c>
      <x:c r="U21" s="24" t="str">
        <x:v>Trademark; audio; font; notices; localization; license evidence</x:v>
      </x:c>
      <x:c r="V21" s="24" t="str">
        <x:v>Do not publish externally</x:v>
      </x:c>
      <x:c r="W21" s="24" t="str">
        <x:v>VRM Games</x:v>
      </x:c>
      <x:c r="X21" s="24" t="str">
        <x:v>No cierra Sprint 16.</x:v>
      </x:c>
      <x:c r="Y21" t="str">
        <x:f>IF(AND(H21="PASS",J21&lt;&gt;"",COUNTIFS('19_Deuda_Pendiente'!$C$5:$C$26,"S1",'19_Deuda_Pendiente'!$F$5:$F$26,"&lt;&gt;Closed")=0,COUNTIFS('18_Riesgos_Legales'!$P$5:$P$32,"Critical",'18_Riesgos_Legales'!$K$5:$K$32,"&lt;&gt;Closed")=0,COUNTIF('13_Creditos'!$H$5:$H$19,"BLOCKED")=0,OR(S21="APPROVED PUBLIC",S21="CONDITIONALLY APPROVED")),"ELIGIBLE FOR MANUAL APPROVAL","BLOCKED")</x:f>
        <x:v>BLOCKED</x:v>
      </x:c>
    </x:row>
    <x:row r="22" ht="34" customHeight="1">
      <x:c r="A22" s="24" t="str">
        <x:v>BLD-LIC-018</x:v>
      </x:c>
      <x:c r="B22" s="24" t="str">
        <x:v>BLD-016-POST</x:v>
      </x:c>
      <x:c r="C22" s="24" t="str">
        <x:v>0.0.17</x:v>
      </x:c>
      <x:c r="D22" s="24"/>
      <x:c r="E22" s="24" t="str">
        <x:v>Windows x64</x:v>
      </x:c>
      <x:c r="F22" s="24" t="str">
        <x:v>Development</x:v>
      </x:c>
      <x:c r="G22" s="24" t="str">
        <x:v>Sprint 16 post-integración</x:v>
      </x:c>
      <x:c r="H22" s="24" t="str">
        <x:v>PENDING</x:v>
      </x:c>
      <x:c r="I22" s="24" t="str">
        <x:v>Required</x:v>
      </x:c>
      <x:c r="J22" s="24"/>
      <x:c r="K22" s="24" t="str">
        <x:v>Internal project content; exclude VISION assets</x:v>
      </x:c>
      <x:c r="L22" s="24" t="str">
        <x:v>Unity packages per register; notices pending</x:v>
      </x:c>
      <x:c r="M22" s="24" t="str">
        <x:v>Internal development only until per-clip provenance</x:v>
      </x:c>
      <x:c r="N22" s="24" t="str">
        <x:v>Legacy fallback development only; production font missing</x:v>
      </x:c>
      <x:c r="O22" s="24" t="str">
        <x:v>No operational ES/EN tables yet</x:v>
      </x:c>
      <x:c r="P22" s="24" t="str">
        <x:v>Provisional; no final public clearance</x:v>
      </x:c>
      <x:c r="Q22" s="24" t="str">
        <x:v>Incomplete</x:v>
      </x:c>
      <x:c r="R22" s="24" t="str">
        <x:v>No online/telemetry release authorization</x:v>
      </x:c>
      <x:c r="S22" s="24" t="str">
        <x:v>BLOCKED / NOT BUILT</x:v>
      </x:c>
      <x:c r="T22" s="24" t="str">
        <x:v>Local/internal QA only</x:v>
      </x:c>
      <x:c r="U22" s="24" t="str">
        <x:v>Trademark; audio; font; notices; localization; license evidence</x:v>
      </x:c>
      <x:c r="V22" s="24" t="str">
        <x:v>Do not publish externally</x:v>
      </x:c>
      <x:c r="W22" s="24" t="str">
        <x:v>VRM Games</x:v>
      </x:c>
      <x:c r="X22" s="24" t="str">
        <x:v>Gate de cierre S16.</x:v>
      </x:c>
      <x:c r="Y22" t="str">
        <x:f>IF(AND(H22="PASS",J22&lt;&gt;"",COUNTIFS('19_Deuda_Pendiente'!$C$5:$C$26,"S1",'19_Deuda_Pendiente'!$F$5:$F$26,"&lt;&gt;Closed")=0,COUNTIFS('18_Riesgos_Legales'!$P$5:$P$32,"Critical",'18_Riesgos_Legales'!$K$5:$K$32,"&lt;&gt;Closed")=0,COUNTIF('13_Creditos'!$H$5:$H$19,"BLOCKED")=0,OR(S22="APPROVED PUBLIC",S22="CONDITIONALLY APPROVED")),"ELIGIBLE FOR MANUAL APPROVAL","BLOCKED")</x:f>
        <x:v>BLOCKED</x:v>
      </x:c>
    </x:row>
    <x:row r="23" ht="34" customHeight="1">
      <x:c r="A23" s="24" t="str">
        <x:v>BLD-LIC-019</x:v>
      </x:c>
      <x:c r="B23" s="24" t="str">
        <x:v>BLD-017-QA</x:v>
      </x:c>
      <x:c r="C23" s="24" t="str">
        <x:v>TBD</x:v>
      </x:c>
      <x:c r="D23" s="24"/>
      <x:c r="E23" s="24" t="str">
        <x:v>Windows x64</x:v>
      </x:c>
      <x:c r="F23" s="24" t="str">
        <x:v>QA</x:v>
      </x:c>
      <x:c r="G23" s="24" t="str">
        <x:v>Sprint 17</x:v>
      </x:c>
      <x:c r="H23" s="24" t="str">
        <x:v>PENDING</x:v>
      </x:c>
      <x:c r="I23" s="24" t="str">
        <x:v>Retained</x:v>
      </x:c>
      <x:c r="J23" s="24"/>
      <x:c r="K23" s="24" t="str">
        <x:v>Internal project content; exclude VISION assets</x:v>
      </x:c>
      <x:c r="L23" s="24" t="str">
        <x:v>Unity packages per register; notices pending</x:v>
      </x:c>
      <x:c r="M23" s="24" t="str">
        <x:v>Internal development only until per-clip provenance</x:v>
      </x:c>
      <x:c r="N23" s="24" t="str">
        <x:v>Legacy fallback development only; production font missing</x:v>
      </x:c>
      <x:c r="O23" s="24" t="str">
        <x:v>No operational ES/EN tables yet</x:v>
      </x:c>
      <x:c r="P23" s="24" t="str">
        <x:v>Provisional; no final public clearance</x:v>
      </x:c>
      <x:c r="Q23" s="24" t="str">
        <x:v>Incomplete</x:v>
      </x:c>
      <x:c r="R23" s="24" t="str">
        <x:v>No online/telemetry release authorization</x:v>
      </x:c>
      <x:c r="S23" s="24" t="str">
        <x:v>BLOCKED / NOT BUILT</x:v>
      </x:c>
      <x:c r="T23" s="24" t="str">
        <x:v>Local/internal QA only</x:v>
      </x:c>
      <x:c r="U23" s="24" t="str">
        <x:v>S16 close; legal evidence; accessibility; performance; privacy/security; localization</x:v>
      </x:c>
      <x:c r="V23" s="24" t="str">
        <x:v>Do not distribute externally</x:v>
      </x:c>
      <x:c r="W23" s="24" t="str">
        <x:v>VRM Games</x:v>
      </x:c>
      <x:c r="X23" s="24" t="str">
        <x:v>Profiling, stabilization and cross-domain readiness; governed by 23–31.</x:v>
      </x:c>
      <x:c r="Y23" t="str">
        <x:f>IF(AND(H23="PASS",J23&lt;&gt;"",COUNTIFS('19_Deuda_Pendiente'!$C$5:$C$26,"S1",'19_Deuda_Pendiente'!$F$5:$F$26,"&lt;&gt;Closed")=0,COUNTIFS('18_Riesgos_Legales'!$P$5:$P$32,"Critical",'18_Riesgos_Legales'!$K$5:$K$32,"&lt;&gt;Closed")=0,COUNTIF('13_Creditos'!$H$5:$H$19,"BLOCKED")=0,OR(S23="APPROVED PUBLIC",S23="CONDITIONALLY APPROVED")),"ELIGIBLE FOR MANUAL APPROVAL","BLOCKED")</x:f>
        <x:v>BLOCKED</x:v>
      </x:c>
    </x:row>
    <x:row r="24" ht="34" customHeight="1">
      <x:c r="A24" s="24" t="str">
        <x:v>BLD-LIC-020</x:v>
      </x:c>
      <x:c r="B24" s="24" t="str">
        <x:v>BLD-H6</x:v>
      </x:c>
      <x:c r="C24" s="24" t="str">
        <x:v>TBD</x:v>
      </x:c>
      <x:c r="D24" s="24"/>
      <x:c r="E24" s="24" t="str">
        <x:v>Windows x64</x:v>
      </x:c>
      <x:c r="F24" s="24" t="str">
        <x:v>H6 Candidate</x:v>
      </x:c>
      <x:c r="G24" s="24" t="str">
        <x:v>H6</x:v>
      </x:c>
      <x:c r="H24" s="24" t="str">
        <x:v>PENDING</x:v>
      </x:c>
      <x:c r="I24" s="24" t="str">
        <x:v>ZIP + manifest</x:v>
      </x:c>
      <x:c r="J24" s="24" t="str">
        <x:v>Required</x:v>
      </x:c>
      <x:c r="K24" s="24" t="str">
        <x:v>Internal project content; exclude VISION assets</x:v>
      </x:c>
      <x:c r="L24" s="24" t="str">
        <x:v>Unity packages per register; notices pending</x:v>
      </x:c>
      <x:c r="M24" s="24" t="str">
        <x:v>Internal development only until per-clip provenance</x:v>
      </x:c>
      <x:c r="N24" s="24" t="str">
        <x:v>Legacy fallback development only; production font missing</x:v>
      </x:c>
      <x:c r="O24" s="24" t="str">
        <x:v>No operational ES/EN tables yet</x:v>
      </x:c>
      <x:c r="P24" s="24" t="str">
        <x:v>Provisional; no final public clearance</x:v>
      </x:c>
      <x:c r="Q24" s="24" t="str">
        <x:v>Incomplete</x:v>
      </x:c>
      <x:c r="R24" s="24" t="str">
        <x:v>No online/telemetry release authorization</x:v>
      </x:c>
      <x:c r="S24" s="24" t="str">
        <x:v>BLOCKED / NOT BUILT</x:v>
      </x:c>
      <x:c r="T24" s="24" t="str">
        <x:v>Local/internal QA only</x:v>
      </x:c>
      <x:c r="U24" s="24" t="str">
        <x:v>All H6 controls; legal approvals; notices; claims; accessibility; performance; security; manifest</x:v>
      </x:c>
      <x:c r="V24" s="24" t="str">
        <x:v>Do not publish externally; manual gate required</x:v>
      </x:c>
      <x:c r="W24" s="24" t="str">
        <x:v>VRM Games</x:v>
      </x:c>
      <x:c r="X24" s="24" t="str">
        <x:v>Baseline candidate only after checklist 31 evidence and signoff.</x:v>
      </x:c>
      <x:c r="Y24" t="str">
        <x:f>IF(AND(H24="PASS",J24&lt;&gt;"",COUNTIFS('19_Deuda_Pendiente'!$C$5:$C$26,"S1",'19_Deuda_Pendiente'!$F$5:$F$26,"&lt;&gt;Closed")=0,COUNTIFS('18_Riesgos_Legales'!$P$5:$P$32,"Critical",'18_Riesgos_Legales'!$K$5:$K$32,"&lt;&gt;Closed")=0,COUNTIF('13_Creditos'!$H$5:$H$19,"BLOCKED")=0,OR(S24="APPROVED PUBLIC",S24="CONDITIONALLY APPROVED")),"ELIGIBLE FOR MANUAL APPROVAL","BLOCKED")</x:f>
        <x:v>BLOCKED</x:v>
      </x:c>
    </x:row>
    <x:row r="25" ht="26.399999618530273" hidden="0" customHeight="1">
      <x:c r="A25" s="47" t="str">
        <x:v>BLD-LIC-021</x:v>
      </x:c>
      <x:c r="B25" s="47" t="str">
        <x:v>BLD-STEAM-TEST</x:v>
      </x:c>
      <x:c r="C25" s="47" t="str">
        <x:v>TBD</x:v>
      </x:c>
      <x:c r="D25" s="47"/>
      <x:c r="E25" s="47" t="str">
        <x:v>Windows x64</x:v>
      </x:c>
      <x:c r="F25" s="47" t="str">
        <x:v>Steam Playtest / Demo Candidate</x:v>
      </x:c>
      <x:c r="G25" s="47" t="str">
        <x:v>Pre-Steam</x:v>
      </x:c>
      <x:c r="H25" s="47" t="str">
        <x:v>NOT OPEN</x:v>
      </x:c>
      <x:c r="I25" s="47" t="str">
        <x:v>ZIP + depot manifest</x:v>
      </x:c>
      <x:c r="J25" s="47" t="str">
        <x:v>Required</x:v>
      </x:c>
      <x:c r="K25" s="47" t="str">
        <x:v>Only content approved in 21/23</x:v>
      </x:c>
      <x:c r="L25" s="47" t="str">
        <x:v>Verified package set + notices</x:v>
      </x:c>
      <x:c r="M25" s="47" t="str">
        <x:v>Approved per-clip audio only</x:v>
      </x:c>
      <x:c r="N25" s="47" t="str">
        <x:v>Approved production font only</x:v>
      </x:c>
      <x:c r="O25" s="47" t="str">
        <x:v>Validated ES/EN scope</x:v>
      </x:c>
      <x:c r="P25" s="47" t="str">
        <x:v>Cleared title and store naming</x:v>
      </x:c>
      <x:c r="Q25" s="47" t="str">
        <x:v>Complete credits + notices</x:v>
      </x:c>
      <x:c r="R25" s="47" t="str">
        <x:v>Data inventory and privacy/security review complete</x:v>
      </x:c>
      <x:c r="S25" s="47" t="str">
        <x:v>BLOCKED / NOT BUILT</x:v>
      </x:c>
      <x:c r="T25" s="47" t="str">
        <x:v>No upload or external key distribution</x:v>
      </x:c>
      <x:c r="U25" s="47" t="str">
        <x:v>24/28/29/30/31 gates; Steam onboarding; claims; accessibility; performance; security</x:v>
      </x:c>
      <x:c r="V25" s="47" t="str">
        <x:v>Do not upload</x:v>
      </x:c>
      <x:c r="W25" s="47" t="str">
        <x:v>VRM Games</x:v>
      </x:c>
      <x:c r="X25" s="47" t="str">
        <x:v>Unlisted testing still requires platform and legal controls.</x:v>
      </x:c>
      <x:c r="Y25" s="47" t="str">
        <x:f>IF(AND(H25="PASS",J25&lt;&gt;"",COUNTIFS('19_Deuda_Pendiente'!$C$5:$C$26,"S1",'19_Deuda_Pendiente'!$F$5:$F$26,"&lt;&gt;Closed")=0,COUNTIFS('18_Riesgos_Legales'!$P$5:$P$32,"Critical",'18_Riesgos_Legales'!$K$5:$K$32,"&lt;&gt;Closed")=0,COUNTIF('13_Creditos'!$H$5:$H$19,"BLOCKED")=0,OR(S25="APPROVED PUBLIC",S25="CONDITIONALLY APPROVED")),"ELIGIBLE FOR MANUAL APPROVAL","BLOCKED")</x:f>
        <x:v>BLOCKED</x:v>
      </x:c>
    </x:row>
    <x:row r="26" ht="26.399999618530273" hidden="0" customHeight="1">
      <x:c r="A26" s="47" t="str">
        <x:v>BLD-LIC-022</x:v>
      </x:c>
      <x:c r="B26" s="47" t="str">
        <x:v>BLD-RC1</x:v>
      </x:c>
      <x:c r="C26" s="47" t="str">
        <x:v>TBD</x:v>
      </x:c>
      <x:c r="D26" s="47"/>
      <x:c r="E26" s="47" t="str">
        <x:v>Windows x64</x:v>
      </x:c>
      <x:c r="F26" s="47" t="str">
        <x:v>Release Candidate</x:v>
      </x:c>
      <x:c r="G26" s="47" t="str">
        <x:v>RC</x:v>
      </x:c>
      <x:c r="H26" s="47" t="str">
        <x:v>NOT OPEN</x:v>
      </x:c>
      <x:c r="I26" s="47" t="str">
        <x:v>Signed/retained archive + manifest</x:v>
      </x:c>
      <x:c r="J26" s="47" t="str">
        <x:v>Required</x:v>
      </x:c>
      <x:c r="K26" s="47" t="str">
        <x:v>Release content manifest approved</x:v>
      </x:c>
      <x:c r="L26" s="47" t="str">
        <x:v>Exact dependencies and notices approved</x:v>
      </x:c>
      <x:c r="M26" s="47" t="str">
        <x:v>Audio provenance and credits closed</x:v>
      </x:c>
      <x:c r="N26" s="47" t="str">
        <x:v>Font license and embedding closed</x:v>
      </x:c>
      <x:c r="O26" s="47" t="str">
        <x:v>Release locales and LQA closed</x:v>
      </x:c>
      <x:c r="P26" s="47" t="str">
        <x:v>Title/brand clearance approved</x:v>
      </x:c>
      <x:c r="Q26" s="47" t="str">
        <x:v>Final credits / THIRD_PARTY_NOTICES</x:v>
      </x:c>
      <x:c r="R26" s="47" t="str">
        <x:v>Privacy, security and support wording approved</x:v>
      </x:c>
      <x:c r="S26" s="47" t="str">
        <x:v>BLOCKED / NOT BUILT</x:v>
      </x:c>
      <x:c r="T26" s="47" t="str">
        <x:v>Internal release review only</x:v>
      </x:c>
      <x:c r="U26" s="47" t="str">
        <x:v>All blockers closed or formally excepted in 31; rollback and continuity tested</x:v>
      </x:c>
      <x:c r="V26" s="47" t="str">
        <x:v>No public distribution</x:v>
      </x:c>
      <x:c r="W26" s="47" t="str">
        <x:v>VRM Games</x:v>
      </x:c>
      <x:c r="X26" s="47" t="str">
        <x:v>RC status is manual and build-specific.</x:v>
      </x:c>
      <x:c r="Y26" s="47" t="str">
        <x:f>IF(AND(H26="PASS",J26&lt;&gt;"",COUNTIFS('19_Deuda_Pendiente'!$C$5:$C$26,"S1",'19_Deuda_Pendiente'!$F$5:$F$26,"&lt;&gt;Closed")=0,COUNTIFS('18_Riesgos_Legales'!$P$5:$P$32,"Critical",'18_Riesgos_Legales'!$K$5:$K$32,"&lt;&gt;Closed")=0,COUNTIF('13_Creditos'!$H$5:$H$19,"BLOCKED")=0,OR(S26="APPROVED PUBLIC",S26="CONDITIONALLY APPROVED")),"ELIGIBLE FOR MANUAL APPROVAL","BLOCKED")</x:f>
        <x:v>BLOCKED</x:v>
      </x:c>
    </x:row>
    <x:row r="27" ht="26.399999618530273" hidden="0" customHeight="1">
      <x:c r="A27" s="47" t="str">
        <x:v>BLD-LIC-023</x:v>
      </x:c>
      <x:c r="B27" s="47" t="str">
        <x:v>BLD-LAUNCH</x:v>
      </x:c>
      <x:c r="C27" s="47" t="str">
        <x:v>TBD</x:v>
      </x:c>
      <x:c r="D27" s="47"/>
      <x:c r="E27" s="47" t="str">
        <x:v>Windows x64</x:v>
      </x:c>
      <x:c r="F27" s="47" t="str">
        <x:v>Public Release</x:v>
      </x:c>
      <x:c r="G27" s="47" t="str">
        <x:v>Launch</x:v>
      </x:c>
      <x:c r="H27" s="47" t="str">
        <x:v>NOT OPEN</x:v>
      </x:c>
      <x:c r="I27" s="47" t="str">
        <x:v>Steam depot + immutable release archive</x:v>
      </x:c>
      <x:c r="J27" s="47" t="str">
        <x:v>Required</x:v>
      </x:c>
      <x:c r="K27" s="47" t="str">
        <x:v>Approved launch content only</x:v>
      </x:c>
      <x:c r="L27" s="47" t="str">
        <x:v>Approved dependency/notices set</x:v>
      </x:c>
      <x:c r="M27" s="47" t="str">
        <x:v>Approved audio only</x:v>
      </x:c>
      <x:c r="N27" s="47" t="str">
        <x:v>Approved font only</x:v>
      </x:c>
      <x:c r="O27" s="47" t="str">
        <x:v>Approved release locales</x:v>
      </x:c>
      <x:c r="P27" s="47" t="str">
        <x:v>Final public naming</x:v>
      </x:c>
      <x:c r="Q27" s="47" t="str">
        <x:v>Final credits / notices</x:v>
      </x:c>
      <x:c r="R27" s="47" t="str">
        <x:v>Accurate privacy/security disclosures</x:v>
      </x:c>
      <x:c r="S27" s="47" t="str">
        <x:v>BLOCKED / NOT BUILT</x:v>
      </x:c>
      <x:c r="T27" s="47" t="str">
        <x:v>None until launch signoff</x:v>
      </x:c>
      <x:c r="U27" s="47" t="str">
        <x:v>Steam, legal, marketing, accessibility, performance, support, continuity and launch signoff</x:v>
      </x:c>
      <x:c r="V27" s="47" t="str">
        <x:v>Do not release</x:v>
      </x:c>
      <x:c r="W27" s="47" t="str">
        <x:v>VRM Games</x:v>
      </x:c>
      <x:c r="X27" s="47" t="str">
        <x:v>No automatic inheritance from RC.</x:v>
      </x:c>
      <x:c r="Y27" s="47" t="str">
        <x:f>IF(AND(H27="PASS",J27&lt;&gt;"",COUNTIFS('19_Deuda_Pendiente'!$C$5:$C$26,"S1",'19_Deuda_Pendiente'!$F$5:$F$26,"&lt;&gt;Closed")=0,COUNTIFS('18_Riesgos_Legales'!$P$5:$P$32,"Critical",'18_Riesgos_Legales'!$K$5:$K$32,"&lt;&gt;Closed")=0,COUNTIF('13_Creditos'!$H$5:$H$19,"BLOCKED")=0,OR(S27="APPROVED PUBLIC",S27="CONDITIONALLY APPROVED")),"ELIGIBLE FOR MANUAL APPROVAL","BLOCKED")</x:f>
        <x:v>BLOCKED</x:v>
      </x:c>
    </x:row>
    <x:row r="28" ht="26.399999618530273" hidden="0" customHeight="1">
      <x:c r="A28" s="47" t="str">
        <x:v>BLD-LIC-024</x:v>
      </x:c>
      <x:c r="B28" s="47" t="str">
        <x:v>BLD-PATCH-001</x:v>
      </x:c>
      <x:c r="C28" s="47" t="str">
        <x:v>TBD</x:v>
      </x:c>
      <x:c r="D28" s="47"/>
      <x:c r="E28" s="47" t="str">
        <x:v>Windows x64</x:v>
      </x:c>
      <x:c r="F28" s="47" t="str">
        <x:v>Patch Candidate</x:v>
      </x:c>
      <x:c r="G28" s="47" t="str">
        <x:v>Post-launch</x:v>
      </x:c>
      <x:c r="H28" s="47" t="str">
        <x:v>NOT OPEN</x:v>
      </x:c>
      <x:c r="I28" s="47" t="str">
        <x:v>Versioned patch + rollback package</x:v>
      </x:c>
      <x:c r="J28" s="47" t="str">
        <x:v>Required</x:v>
      </x:c>
      <x:c r="K28" s="47" t="str">
        <x:v>Changed content re-reviewed</x:v>
      </x:c>
      <x:c r="L28" s="47" t="str">
        <x:v>Changed dependencies re-reviewed</x:v>
      </x:c>
      <x:c r="M28" s="47" t="str">
        <x:v>Changed audio re-reviewed</x:v>
      </x:c>
      <x:c r="N28" s="47" t="str">
        <x:v>Changed font/UI re-reviewed</x:v>
      </x:c>
      <x:c r="O28" s="47" t="str">
        <x:v>Changed strings/LQA re-reviewed</x:v>
      </x:c>
      <x:c r="P28" s="47" t="str">
        <x:v>Naming/claims unchanged or reapproved</x:v>
      </x:c>
      <x:c r="Q28" s="47" t="str">
        <x:v>Credits/notices delta</x:v>
      </x:c>
      <x:c r="R28" s="47" t="str">
        <x:v>Privacy/security delta and incident status</x:v>
      </x:c>
      <x:c r="S28" s="47" t="str">
        <x:v>BLOCKED / NOT BUILT</x:v>
      </x:c>
      <x:c r="T28" s="47" t="str">
        <x:v>Staged/internal until approval</x:v>
      </x:c>
      <x:c r="U28" s="47" t="str">
        <x:v>25/27/31/33/34 change, rollback, incident and continuity controls</x:v>
      </x:c>
      <x:c r="V28" s="47" t="str">
        <x:v>Do not deploy</x:v>
      </x:c>
      <x:c r="W28" s="47" t="str">
        <x:v>VRM Games</x:v>
      </x:c>
      <x:c r="X28" s="47" t="str">
        <x:v>Every patch has an independent legal and operational decision.</x:v>
      </x:c>
      <x:c r="Y28" s="47" t="str">
        <x:f>IF(AND(H28="PASS",J28&lt;&gt;"",COUNTIFS('19_Deuda_Pendiente'!$C$5:$C$26,"S1",'19_Deuda_Pendiente'!$F$5:$F$26,"&lt;&gt;Closed")=0,COUNTIFS('18_Riesgos_Legales'!$P$5:$P$32,"Critical",'18_Riesgos_Legales'!$K$5:$K$32,"&lt;&gt;Closed")=0,COUNTIF('13_Creditos'!$H$5:$H$19,"BLOCKED")=0,OR(S28="APPROVED PUBLIC",S28="CONDITIONALLY APPROVED")),"ELIGIBLE FOR MANUAL APPROVAL","BLOCKED")</x:f>
        <x:v>BLOCKED</x:v>
      </x:c>
    </x:row>
  </x:sheetData>
  <x:mergeCells>
    <x:mergeCell ref="A1:X1"/>
    <x:mergeCell ref="A2:X2"/>
  </x:mergeCells>
  <x:conditionalFormatting sqref="S5:S24">
    <x:cfRule type="expression" dxfId="100" priority="1">
      <x:formula>OR(ISNUMBER(SEARCH("APPROVED",S5)),ISNUMBER(SEARCH("READY",S5)),ISNUMBER(SEARCH("ACTIVE",S5)),ISNUMBER(SEARCH("VERIFIED",S5)))</x:formula>
    </x:cfRule>
    <x:cfRule type="expression" dxfId="101" priority="2">
      <x:formula>OR(ISNUMBER(SEARCH("BLOCK",S5)),ISNUMBER(SEARCH("PROHIBITED",S5)),ISNUMBER(SEARCH("CRITICAL",S5)),ISNUMBER(SEARCH("MISSING",S5)))</x:formula>
    </x:cfRule>
    <x:cfRule type="expression" dxfId="102" priority="3">
      <x:formula>OR(ISNUMBER(SEARCH("PENDING",S5)),ISNUMBER(SEARCH("PARTIAL",S5)),ISNUMBER(SEARCH("REVIEW",S5)),ISNUMBER(SEARCH("CONDITIONAL",S5)))</x:formula>
    </x:cfRule>
    <x:cfRule type="expression" dxfId="103" priority="4">
      <x:formula>OR(ISNUMBER(SEARCH("HISTORICAL",S5)),ISNUMBER(SEARCH("VISION",S5)),ISNUMBER(SEARCH("OPTIONAL",S5)))</x:formula>
    </x:cfRule>
  </x:conditionalFormatting>
  <x:conditionalFormatting sqref="H5:H24">
    <x:cfRule type="expression" dxfId="104" priority="5">
      <x:formula>OR(ISNUMBER(SEARCH("APPROVED",H5)),ISNUMBER(SEARCH("READY",H5)),ISNUMBER(SEARCH("ACTIVE",H5)),ISNUMBER(SEARCH("VERIFIED",H5)))</x:formula>
    </x:cfRule>
    <x:cfRule type="expression" dxfId="105" priority="6">
      <x:formula>OR(ISNUMBER(SEARCH("BLOCK",H5)),ISNUMBER(SEARCH("PROHIBITED",H5)),ISNUMBER(SEARCH("CRITICAL",H5)),ISNUMBER(SEARCH("MISSING",H5)))</x:formula>
    </x:cfRule>
    <x:cfRule type="expression" dxfId="106" priority="7">
      <x:formula>OR(ISNUMBER(SEARCH("PENDING",H5)),ISNUMBER(SEARCH("PARTIAL",H5)),ISNUMBER(SEARCH("REVIEW",H5)),ISNUMBER(SEARCH("CONDITIONAL",H5)))</x:formula>
    </x:cfRule>
    <x:cfRule type="expression" dxfId="107" priority="8">
      <x:formula>OR(ISNUMBER(SEARCH("HISTORICAL",H5)),ISNUMBER(SEARCH("VISION",H5)),ISNUMBER(SEARCH("OPTIONAL",H5)))</x:formula>
    </x:cfRule>
  </x:conditionalFormatting>
  <x:conditionalFormatting sqref="Y5:Y24">
    <x:cfRule type="expression" dxfId="144" priority="9">
      <x:formula>OR(ISNUMBER(SEARCH("APPROVED",Y5)),ISNUMBER(SEARCH("READY",Y5)),ISNUMBER(SEARCH("ACTIVE",Y5)),ISNUMBER(SEARCH("VERIFIED",Y5)))</x:formula>
    </x:cfRule>
    <x:cfRule type="expression" dxfId="145" priority="10">
      <x:formula>OR(ISNUMBER(SEARCH("BLOCK",Y5)),ISNUMBER(SEARCH("PROHIBITED",Y5)),ISNUMBER(SEARCH("CRITICAL",Y5)),ISNUMBER(SEARCH("MISSING",Y5)))</x:formula>
    </x:cfRule>
    <x:cfRule type="expression" dxfId="146" priority="11">
      <x:formula>OR(ISNUMBER(SEARCH("PENDING",Y5)),ISNUMBER(SEARCH("PARTIAL",Y5)),ISNUMBER(SEARCH("REVIEW",Y5)),ISNUMBER(SEARCH("CONDITIONAL",Y5)))</x:formula>
    </x:cfRule>
    <x:cfRule type="expression" dxfId="147" priority="12">
      <x:formula>OR(ISNUMBER(SEARCH("HISTORICAL",Y5)),ISNUMBER(SEARCH("VISION",Y5)),ISNUMBER(SEARCH("OPTIONAL",Y5)))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4eb0066a8f4fc1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5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48" hidden="0" customWidth="1"/>
    <x:col min="10" max="10" width="58" hidden="0" customWidth="1"/>
    <x:col min="11" max="11" width="22" hidden="0" customWidth="1"/>
    <x:col min="12" max="12" width="16" hidden="0" customWidth="1"/>
    <x:col min="13" max="13" width="20" hidden="0" customWidth="1"/>
    <x:col min="14" max="14" width="18" hidden="0" customWidth="1"/>
    <x:col min="15" max="15" width="48" hidden="0" customWidth="1"/>
    <x:col min="16" max="16" width="18" hidden="0" customWidth="1"/>
  </x:cols>
  <x:sheetData>
    <x:row r="1" ht="30" customHeight="1">
      <x:c r="A1" s="4" t="str">
        <x:v>Riesgos legales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2" customHeight="1">
      <x:c r="A2" s="10" t="str">
        <x:v>Probabilidad, impacto, exposición, mitigación y gate, incluidos release, claims, seguridad, accesibilidad, rendimiento y continuidad.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38" customHeight="1">
      <x:c r="A4" s="17" t="str">
        <x:v>Risk ID</x:v>
      </x:c>
      <x:c r="B4" s="17" t="str">
        <x:v>Área</x:v>
      </x:c>
      <x:c r="C4" s="17" t="str">
        <x:v>Descripción</x:v>
      </x:c>
      <x:c r="D4" s="17" t="str">
        <x:v>Nivel cualitativo</x:v>
      </x:c>
      <x:c r="E4" s="17" t="str">
        <x:v>Probabilidad</x:v>
      </x:c>
      <x:c r="F4" s="17" t="str">
        <x:v>Impacto</x:v>
      </x:c>
      <x:c r="G4" s="17" t="str">
        <x:v>Exposición</x:v>
      </x:c>
      <x:c r="H4" s="17" t="str">
        <x:v>Consecuencia</x:v>
      </x:c>
      <x:c r="I4" s="17" t="str">
        <x:v>Mitigación/Acción</x:v>
      </x:c>
      <x:c r="J4" s="17" t="str">
        <x:v>Objetivo</x:v>
      </x:c>
      <x:c r="K4" s="17" t="str">
        <x:v>Estado</x:v>
      </x:c>
      <x:c r="L4" s="17" t="str">
        <x:v>Owner</x:v>
      </x:c>
      <x:c r="M4" s="17" t="str">
        <x:v>Gate</x:v>
      </x:c>
      <x:c r="N4" s="17" t="str">
        <x:v>Evidencia de cierre</x:v>
      </x:c>
      <x:c r="O4" s="17" t="str">
        <x:v>Notas</x:v>
      </x:c>
      <x:c r="P4" s="17" t="str">
        <x:v>Banda calculada</x:v>
      </x:c>
    </x:row>
    <x:row r="5" ht="34" customHeight="1">
      <x:c r="A5" s="24" t="str">
        <x:v>LR-001</x:v>
      </x:c>
      <x:c r="B5" s="24" t="str">
        <x:v>Trademark</x:v>
      </x:c>
      <x:c r="C5" s="24" t="str">
        <x:v>Cartridge &amp; Cloud title not cleared</x:v>
      </x:c>
      <x:c r="D5" s="24" t="str">
        <x:v>High</x:v>
      </x:c>
      <x:c r="E5" s="32" t="n">
        <x:v>4</x:v>
      </x:c>
      <x:c r="F5" s="32" t="n">
        <x:v>4</x:v>
      </x:c>
      <x:c r="G5" s="32" t="n">
        <x:f>E5*F5</x:f>
        <x:v>16</x:v>
      </x:c>
      <x:c r="H5" s="24" t="str">
        <x:v>Steam/store campaign conflict</x:v>
      </x:c>
      <x:c r="I5" s="24" t="str">
        <x:v>Perform trademark, company, domain and platform search</x:v>
      </x:c>
      <x:c r="J5" s="24" t="str">
        <x:v>Pre-Steam/H6 legal gate</x:v>
      </x:c>
      <x:c r="K5" s="24" t="str">
        <x:v>OPEN</x:v>
      </x:c>
      <x:c r="L5" s="24" t="str">
        <x:v>VRM Games</x:v>
      </x:c>
      <x:c r="M5" s="24" t="str">
        <x:v>H6</x:v>
      </x:c>
      <x:c r="N5" s="24" t="str">
        <x:v>Documented license/decision/search/notice as applicable</x:v>
      </x:c>
      <x:c r="O5" s="24" t="str"/>
      <x:c r="P5" t="str">
        <x:f>IF(G5&gt;=16,"Critical",IF(G5&gt;=10,"High",IF(G5&gt;=5,"Medium","Low")))</x:f>
        <x:v>Critical</x:v>
      </x:c>
    </x:row>
    <x:row r="6" ht="34" customHeight="1">
      <x:c r="A6" s="24" t="str">
        <x:v>LR-002</x:v>
      </x:c>
      <x:c r="B6" s="24" t="str">
        <x:v>Trademark</x:v>
      </x:c>
      <x:c r="C6" s="24" t="str">
        <x:v>VRM Games trade name not cleared</x:v>
      </x:c>
      <x:c r="D6" s="24" t="str">
        <x:v>High</x:v>
      </x:c>
      <x:c r="E6" s="32" t="n">
        <x:v>3</x:v>
      </x:c>
      <x:c r="F6" s="32" t="n">
        <x:v>4</x:v>
      </x:c>
      <x:c r="G6" s="32" t="n">
        <x:f>E6*F6</x:f>
        <x:v>12</x:v>
      </x:c>
      <x:c r="H6" s="24" t="str">
        <x:v>Studio/account inconsistency or conflict</x:v>
      </x:c>
      <x:c r="I6" s="24" t="str">
        <x:v>Clear name and legal/publishing identity</x:v>
      </x:c>
      <x:c r="J6" s="24" t="str">
        <x:v>Pre-Steam</x:v>
      </x:c>
      <x:c r="K6" s="24" t="str">
        <x:v>OPEN</x:v>
      </x:c>
      <x:c r="L6" s="24" t="str">
        <x:v>VRM Games</x:v>
      </x:c>
      <x:c r="M6" s="24" t="str">
        <x:v>Pre-release</x:v>
      </x:c>
      <x:c r="N6" s="24" t="str">
        <x:v>Documented license/decision/search/notice as applicable</x:v>
      </x:c>
      <x:c r="O6" s="24" t="str"/>
      <x:c r="P6" t="str">
        <x:f>IF(G6&gt;=16,"Critical",IF(G6&gt;=10,"High",IF(G6&gt;=5,"Medium","Low")))</x:f>
        <x:v>High</x:v>
      </x:c>
    </x:row>
    <x:row r="7" ht="34" customHeight="1">
      <x:c r="A7" s="24" t="str">
        <x:v>LR-003</x:v>
      </x:c>
      <x:c r="B7" s="24" t="str">
        <x:v>Audio</x:v>
      </x:c>
      <x:c r="C7" s="24" t="str">
        <x:v>Ten WAV clips lack completed per-clip provenance</x:v>
      </x:c>
      <x:c r="D7" s="24" t="str">
        <x:v>Critical</x:v>
      </x:c>
      <x:c r="E7" s="32" t="n">
        <x:v>4</x:v>
      </x:c>
      <x:c r="F7" s="32" t="n">
        <x:v>5</x:v>
      </x:c>
      <x:c r="G7" s="32" t="n">
        <x:f>E7*F7</x:f>
        <x:v>20</x:v>
      </x:c>
      <x:c r="H7" s="24" t="str">
        <x:v>Public distribution infringement risk</x:v>
      </x:c>
      <x:c r="I7" s="24" t="str">
        <x:v>Document source/method or replace</x:v>
      </x:c>
      <x:c r="J7" s="24" t="str">
        <x:v>H6</x:v>
      </x:c>
      <x:c r="K7" s="24" t="str">
        <x:v>OPEN</x:v>
      </x:c>
      <x:c r="L7" s="24" t="str">
        <x:v>VRM Games</x:v>
      </x:c>
      <x:c r="M7" s="24" t="str">
        <x:v>H6</x:v>
      </x:c>
      <x:c r="N7" s="24" t="str">
        <x:v>Documented license/decision/search/notice as applicable</x:v>
      </x:c>
      <x:c r="O7" s="24" t="str"/>
      <x:c r="P7" t="str">
        <x:f>IF(G7&gt;=16,"Critical",IF(G7&gt;=10,"High",IF(G7&gt;=5,"Medium","Low")))</x:f>
        <x:v>Critical</x:v>
      </x:c>
    </x:row>
    <x:row r="8" ht="34" customHeight="1">
      <x:c r="A8" s="24" t="str">
        <x:v>LR-004</x:v>
      </x:c>
      <x:c r="B8" s="24" t="str">
        <x:v>Font</x:v>
      </x:c>
      <x:c r="C8" s="24" t="str">
        <x:v>Production font absent; fallback terms not release plan</x:v>
      </x:c>
      <x:c r="D8" s="24" t="str">
        <x:v>High</x:v>
      </x:c>
      <x:c r="E8" s="32" t="n">
        <x:v>4</x:v>
      </x:c>
      <x:c r="F8" s="32" t="n">
        <x:v>4</x:v>
      </x:c>
      <x:c r="G8" s="32" t="n">
        <x:f>E8*F8</x:f>
        <x:v>16</x:v>
      </x:c>
      <x:c r="H8" s="24" t="str">
        <x:v>UI release blocked or improper embedding</x:v>
      </x:c>
      <x:c r="I8" s="24" t="str">
        <x:v>Select licensed font and archive license</x:v>
      </x:c>
      <x:c r="J8" s="24" t="str">
        <x:v>Sprint 17/H6</x:v>
      </x:c>
      <x:c r="K8" s="24" t="str">
        <x:v>OPEN</x:v>
      </x:c>
      <x:c r="L8" s="24" t="str">
        <x:v>VRM Games</x:v>
      </x:c>
      <x:c r="M8" s="24" t="str">
        <x:v>H6</x:v>
      </x:c>
      <x:c r="N8" s="24" t="str">
        <x:v>Documented license/decision/search/notice as applicable</x:v>
      </x:c>
      <x:c r="O8" s="24" t="str"/>
      <x:c r="P8" t="str">
        <x:f>IF(G8&gt;=16,"Critical",IF(G8&gt;=10,"High",IF(G8&gt;=5,"Medium","Low")))</x:f>
        <x:v>Critical</x:v>
      </x:c>
    </x:row>
    <x:row r="9" ht="34" customHeight="1">
      <x:c r="A9" s="24" t="str">
        <x:v>LR-005</x:v>
      </x:c>
      <x:c r="B9" s="24" t="str">
        <x:v>Packages</x:v>
      </x:c>
      <x:c r="C9" s="24" t="str">
        <x:v>THIRD_PARTY_NOTICES not generated</x:v>
      </x:c>
      <x:c r="D9" s="24" t="str">
        <x:v>High</x:v>
      </x:c>
      <x:c r="E9" s="32" t="n">
        <x:v>3</x:v>
      </x:c>
      <x:c r="F9" s="32" t="n">
        <x:v>4</x:v>
      </x:c>
      <x:c r="G9" s="32" t="n">
        <x:f>E9*F9</x:f>
        <x:v>12</x:v>
      </x:c>
      <x:c r="H9" s="24" t="str">
        <x:v>Missed license/notice obligations</x:v>
      </x:c>
      <x:c r="I9" s="24" t="str">
        <x:v>Collect package licenses and create notices</x:v>
      </x:c>
      <x:c r="J9" s="24" t="str">
        <x:v>H6</x:v>
      </x:c>
      <x:c r="K9" s="24" t="str">
        <x:v>OPEN</x:v>
      </x:c>
      <x:c r="L9" s="24" t="str">
        <x:v>VRM Games</x:v>
      </x:c>
      <x:c r="M9" s="24" t="str">
        <x:v>H6</x:v>
      </x:c>
      <x:c r="N9" s="24" t="str">
        <x:v>Documented license/decision/search/notice as applicable</x:v>
      </x:c>
      <x:c r="O9" s="24" t="str"/>
      <x:c r="P9" t="str">
        <x:f>IF(G9&gt;=16,"Critical",IF(G9&gt;=10,"High",IF(G9&gt;=5,"Medium","Low")))</x:f>
        <x:v>High</x:v>
      </x:c>
    </x:row>
    <x:row r="10" ht="34" customHeight="1">
      <x:c r="A10" s="24" t="str">
        <x:v>LR-006</x:v>
      </x:c>
      <x:c r="B10" s="24" t="str">
        <x:v>Generated AI</x:v>
      </x:c>
      <x:c r="C10" s="24" t="str">
        <x:v>27 concepts lack per-image prompt/terms/similarity record</x:v>
      </x:c>
      <x:c r="D10" s="24" t="str">
        <x:v>Medium</x:v>
      </x:c>
      <x:c r="E10" s="32" t="n">
        <x:v>3</x:v>
      </x:c>
      <x:c r="F10" s="32" t="n">
        <x:v>3</x:v>
      </x:c>
      <x:c r="G10" s="32" t="n">
        <x:f>E10*F10</x:f>
        <x:v>9</x:v>
      </x:c>
      <x:c r="H10" s="24" t="str">
        <x:v>Unsafe marketing/runtime use</x:v>
      </x:c>
      <x:c r="I10" s="24" t="str">
        <x:v>Keep internal or complete review per image</x:v>
      </x:c>
      <x:c r="J10" s="24" t="str">
        <x:v>Before public use</x:v>
      </x:c>
      <x:c r="K10" s="24" t="str">
        <x:v>OPEN</x:v>
      </x:c>
      <x:c r="L10" s="24" t="str">
        <x:v>VRM Games</x:v>
      </x:c>
      <x:c r="M10" s="24" t="str">
        <x:v>Pre-release</x:v>
      </x:c>
      <x:c r="N10" s="24" t="str">
        <x:v>Documented license/decision/search/notice as applicable</x:v>
      </x:c>
      <x:c r="O10" s="24" t="str"/>
      <x:c r="P10" t="str">
        <x:f>IF(G10&gt;=16,"Critical",IF(G10&gt;=10,"High",IF(G10&gt;=5,"Medium","Low")))</x:f>
        <x:v>Medium</x:v>
      </x:c>
    </x:row>
    <x:row r="11" ht="34" customHeight="1">
      <x:c r="A11" s="24" t="str">
        <x:v>LR-007</x:v>
      </x:c>
      <x:c r="B11" s="24" t="str">
        <x:v>Models</x:v>
      </x:c>
      <x:c r="C11" s="24" t="str">
        <x:v>Internal authorship asserted but source-history evidence incomplete per model</x:v>
      </x:c>
      <x:c r="D11" s="24" t="str">
        <x:v>Medium</x:v>
      </x:c>
      <x:c r="E11" s="32" t="n">
        <x:v>2</x:v>
      </x:c>
      <x:c r="F11" s="32" t="n">
        <x:v>3</x:v>
      </x:c>
      <x:c r="G11" s="32" t="n">
        <x:f>E11*F11</x:f>
        <x:v>6</x:v>
      </x:c>
      <x:c r="H11" s="24" t="str">
        <x:v>Provenance dispute or collaborator omission</x:v>
      </x:c>
      <x:c r="I11" s="24" t="str">
        <x:v>Retain Blender sources/history/author declarations</x:v>
      </x:c>
      <x:c r="J11" s="24" t="str">
        <x:v>H6</x:v>
      </x:c>
      <x:c r="K11" s="24" t="str">
        <x:v>OPEN</x:v>
      </x:c>
      <x:c r="L11" s="24" t="str">
        <x:v>VRM Games</x:v>
      </x:c>
      <x:c r="M11" s="24" t="str">
        <x:v>H6</x:v>
      </x:c>
      <x:c r="N11" s="24" t="str">
        <x:v>Documented license/decision/search/notice as applicable</x:v>
      </x:c>
      <x:c r="O11" s="24" t="str"/>
      <x:c r="P11" t="str">
        <x:f>IF(G11&gt;=16,"Critical",IF(G11&gt;=10,"High",IF(G11&gt;=5,"Medium","Low")))</x:f>
        <x:v>Medium</x:v>
      </x:c>
    </x:row>
    <x:row r="12" ht="34" customHeight="1">
      <x:c r="A12" s="24" t="str">
        <x:v>LR-008</x:v>
      </x:c>
      <x:c r="B12" s="24" t="str">
        <x:v>Localization</x:v>
      </x:c>
      <x:c r="C12" s="24" t="str">
        <x:v>Translator agreement/credit and ES/EN rights not established</x:v>
      </x:c>
      <x:c r="D12" s="24" t="str">
        <x:v>Medium</x:v>
      </x:c>
      <x:c r="E12" s="32" t="n">
        <x:v>3</x:v>
      </x:c>
      <x:c r="F12" s="32" t="n">
        <x:v>3</x:v>
      </x:c>
      <x:c r="G12" s="32" t="n">
        <x:f>E12*F12</x:f>
        <x:v>9</x:v>
      </x:c>
      <x:c r="H12" s="24" t="str">
        <x:v>Unclear ownership or credit</x:v>
      </x:c>
      <x:c r="I12" s="24" t="str">
        <x:v>Use internal authorship log or written contract</x:v>
      </x:c>
      <x:c r="J12" s="24" t="str">
        <x:v>Sprint 17/H6</x:v>
      </x:c>
      <x:c r="K12" s="24" t="str">
        <x:v>OPEN</x:v>
      </x:c>
      <x:c r="L12" s="24" t="str">
        <x:v>VRM Games</x:v>
      </x:c>
      <x:c r="M12" s="24" t="str">
        <x:v>H6</x:v>
      </x:c>
      <x:c r="N12" s="24" t="str">
        <x:v>Documented license/decision/search/notice as applicable</x:v>
      </x:c>
      <x:c r="O12" s="24" t="str"/>
      <x:c r="P12" t="str">
        <x:f>IF(G12&gt;=16,"Critical",IF(G12&gt;=10,"High",IF(G12&gt;=5,"Medium","Low")))</x:f>
        <x:v>Medium</x:v>
      </x:c>
    </x:row>
    <x:row r="13" ht="34" customHeight="1">
      <x:c r="A13" s="24" t="str">
        <x:v>LR-009</x:v>
      </x:c>
      <x:c r="B13" s="24" t="str">
        <x:v>Brand/IP</x:v>
      </x:c>
      <x:c r="C13" s="24" t="str">
        <x:v>Fictitious product and supplier names not searched</x:v>
      </x:c>
      <x:c r="D13" s="24" t="str">
        <x:v>Medium</x:v>
      </x:c>
      <x:c r="E13" s="32" t="n">
        <x:v>3</x:v>
      </x:c>
      <x:c r="F13" s="32" t="n">
        <x:v>3</x:v>
      </x:c>
      <x:c r="G13" s="32" t="n">
        <x:f>E13*F13</x:f>
        <x:v>9</x:v>
      </x:c>
      <x:c r="H13" s="24" t="str">
        <x:v>Confusing similarity</x:v>
      </x:c>
      <x:c r="I13" s="24" t="str">
        <x:v>Name and visual similarity review</x:v>
      </x:c>
      <x:c r="J13" s="24" t="str">
        <x:v>Before marketing</x:v>
      </x:c>
      <x:c r="K13" s="24" t="str">
        <x:v>OPEN</x:v>
      </x:c>
      <x:c r="L13" s="24" t="str">
        <x:v>VRM Games</x:v>
      </x:c>
      <x:c r="M13" s="24" t="str">
        <x:v>Pre-release</x:v>
      </x:c>
      <x:c r="N13" s="24" t="str">
        <x:v>Documented license/decision/search/notice as applicable</x:v>
      </x:c>
      <x:c r="O13" s="24" t="str"/>
      <x:c r="P13" t="str">
        <x:f>IF(G13&gt;=16,"Critical",IF(G13&gt;=10,"High",IF(G13&gt;=5,"Medium","Low")))</x:f>
        <x:v>Medium</x:v>
      </x:c>
    </x:row>
    <x:row r="14" ht="34" customHeight="1">
      <x:c r="A14" s="24" t="str">
        <x:v>LR-010</x:v>
      </x:c>
      <x:c r="B14" s="24" t="str">
        <x:v>Privacy</x:v>
      </x:c>
      <x:c r="C14" s="24" t="str">
        <x:v>Future telemetry/online systems have no data inventory/privacy policy</x:v>
      </x:c>
      <x:c r="D14" s="24" t="str">
        <x:v>High</x:v>
      </x:c>
      <x:c r="E14" s="32" t="n">
        <x:v>2</x:v>
      </x:c>
      <x:c r="F14" s="32" t="n">
        <x:v>5</x:v>
      </x:c>
      <x:c r="G14" s="32" t="n">
        <x:f>E14*F14</x:f>
        <x:v>10</x:v>
      </x:c>
      <x:c r="H14" s="24" t="str">
        <x:v>Regulatory/platform risk if activated</x:v>
      </x:c>
      <x:c r="I14" s="24" t="str">
        <x:v>Keep systems NOT OPEN; conduct DPI/data-flow review before implementation</x:v>
      </x:c>
      <x:c r="J14" s="24" t="str">
        <x:v>Post-H6</x:v>
      </x:c>
      <x:c r="K14" s="24" t="str">
        <x:v>OPEN</x:v>
      </x:c>
      <x:c r="L14" s="24" t="str">
        <x:v>VRM Games</x:v>
      </x:c>
      <x:c r="M14" s="24" t="str">
        <x:v>H6</x:v>
      </x:c>
      <x:c r="N14" s="24" t="str">
        <x:v>Documented license/decision/search/notice as applicable</x:v>
      </x:c>
      <x:c r="O14" s="24" t="str"/>
      <x:c r="P14" t="str">
        <x:f>IF(G14&gt;=16,"Critical",IF(G14&gt;=10,"High",IF(G14&gt;=5,"Medium","Low")))</x:f>
        <x:v>High</x:v>
      </x:c>
    </x:row>
    <x:row r="15" ht="34" customHeight="1">
      <x:c r="A15" s="24" t="str">
        <x:v>LR-011</x:v>
      </x:c>
      <x:c r="B15" s="24" t="str">
        <x:v>Contributors</x:v>
      </x:c>
      <x:c r="C15" s="24" t="str">
        <x:v>No contributor agreement framework for future collaborators</x:v>
      </x:c>
      <x:c r="D15" s="24" t="str">
        <x:v>High</x:v>
      </x:c>
      <x:c r="E15" s="32" t="n">
        <x:v>2</x:v>
      </x:c>
      <x:c r="F15" s="32" t="n">
        <x:v>4</x:v>
      </x:c>
      <x:c r="G15" s="32" t="n">
        <x:f>E15*F15</x:f>
        <x:v>8</x:v>
      </x:c>
      <x:c r="H15" s="24" t="str">
        <x:v>Ownership/credit disputes</x:v>
      </x:c>
      <x:c r="I15" s="24" t="str">
        <x:v>Prepare contribution/IP/credit agreement template</x:v>
      </x:c>
      <x:c r="J15" s="24" t="str">
        <x:v>Before collaboration</x:v>
      </x:c>
      <x:c r="K15" s="24" t="str">
        <x:v>OPEN</x:v>
      </x:c>
      <x:c r="L15" s="24" t="str">
        <x:v>VRM Games</x:v>
      </x:c>
      <x:c r="M15" s="24" t="str">
        <x:v>Pre-release</x:v>
      </x:c>
      <x:c r="N15" s="24" t="str">
        <x:v>Documented license/decision/search/notice as applicable</x:v>
      </x:c>
      <x:c r="O15" s="24" t="str"/>
      <x:c r="P15" t="str">
        <x:f>IF(G15&gt;=16,"Critical",IF(G15&gt;=10,"High",IF(G15&gt;=5,"Medium","Low")))</x:f>
        <x:v>Medium</x:v>
      </x:c>
    </x:row>
    <x:row r="16" ht="34" customHeight="1">
      <x:c r="A16" s="24" t="str">
        <x:v>LR-012</x:v>
      </x:c>
      <x:c r="B16" s="24" t="str">
        <x:v>Credits</x:v>
      </x:c>
      <x:c r="C16" s="24" t="str">
        <x:v>Audio/localization/tester credits incomplete</x:v>
      </x:c>
      <x:c r="D16" s="24" t="str">
        <x:v>Medium</x:v>
      </x:c>
      <x:c r="E16" s="32" t="n">
        <x:v>4</x:v>
      </x:c>
      <x:c r="F16" s="32" t="n">
        <x:v>2</x:v>
      </x:c>
      <x:c r="G16" s="32" t="n">
        <x:f>E16*F16</x:f>
        <x:v>8</x:v>
      </x:c>
      <x:c r="H16" s="24" t="str">
        <x:v>Attribution/relationship issues</x:v>
      </x:c>
      <x:c r="I16" s="24" t="str">
        <x:v>Close credits register and obtain consent</x:v>
      </x:c>
      <x:c r="J16" s="24" t="str">
        <x:v>H6</x:v>
      </x:c>
      <x:c r="K16" s="24" t="str">
        <x:v>OPEN</x:v>
      </x:c>
      <x:c r="L16" s="24" t="str">
        <x:v>VRM Games</x:v>
      </x:c>
      <x:c r="M16" s="24" t="str">
        <x:v>H6</x:v>
      </x:c>
      <x:c r="N16" s="24" t="str">
        <x:v>Documented license/decision/search/notice as applicable</x:v>
      </x:c>
      <x:c r="O16" s="24" t="str"/>
      <x:c r="P16" t="str">
        <x:f>IF(G16&gt;=16,"Critical",IF(G16&gt;=10,"High",IF(G16&gt;=5,"Medium","Low")))</x:f>
        <x:v>Medium</x:v>
      </x:c>
    </x:row>
    <x:row r="17" ht="34" customHeight="1">
      <x:c r="A17" s="24" t="str">
        <x:v>LR-013</x:v>
      </x:c>
      <x:c r="B17" s="24" t="str">
        <x:v>Evidence</x:v>
      </x:c>
      <x:c r="C17" s="24" t="str">
        <x:v>URLs/terms not archived with license versions</x:v>
      </x:c>
      <x:c r="D17" s="24" t="str">
        <x:v>Medium</x:v>
      </x:c>
      <x:c r="E17" s="32" t="n">
        <x:v>3</x:v>
      </x:c>
      <x:c r="F17" s="32" t="n">
        <x:v>3</x:v>
      </x:c>
      <x:c r="G17" s="32" t="n">
        <x:f>E17*F17</x:f>
        <x:v>9</x:v>
      </x:c>
      <x:c r="H17" s="24" t="str">
        <x:v>Future link rot or terms ambiguity</x:v>
      </x:c>
      <x:c r="I17" s="24" t="str">
        <x:v>Archive relevant terms/invoices/hashes securely</x:v>
      </x:c>
      <x:c r="J17" s="24" t="str">
        <x:v>Baseline v1.0</x:v>
      </x:c>
      <x:c r="K17" s="24" t="str">
        <x:v>OPEN</x:v>
      </x:c>
      <x:c r="L17" s="24" t="str">
        <x:v>VRM Games</x:v>
      </x:c>
      <x:c r="M17" s="24" t="str">
        <x:v>Pre-release</x:v>
      </x:c>
      <x:c r="N17" s="24" t="str">
        <x:v>Documented license/decision/search/notice as applicable</x:v>
      </x:c>
      <x:c r="O17" s="24" t="str"/>
      <x:c r="P17" t="str">
        <x:f>IF(G17&gt;=16,"Critical",IF(G17&gt;=10,"High",IF(G17&gt;=5,"Medium","Low")))</x:f>
        <x:v>Medium</x:v>
      </x:c>
    </x:row>
    <x:row r="18" ht="34" customHeight="1">
      <x:c r="A18" s="24" t="str">
        <x:v>LR-014</x:v>
      </x:c>
      <x:c r="B18" s="24" t="str">
        <x:v>Build</x:v>
      </x:c>
      <x:c r="C18" s="24" t="str">
        <x:v>No public build has explicit legal approval</x:v>
      </x:c>
      <x:c r="D18" s="24" t="str">
        <x:v>Critical</x:v>
      </x:c>
      <x:c r="E18" s="32" t="n">
        <x:v>5</x:v>
      </x:c>
      <x:c r="F18" s="32" t="n">
        <x:v>4</x:v>
      </x:c>
      <x:c r="G18" s="32" t="n">
        <x:f>E18*F18</x:f>
        <x:v>20</x:v>
      </x:c>
      <x:c r="H18" s="24" t="str">
        <x:v>Accidental external distribution</x:v>
      </x:c>
      <x:c r="I18" s="24" t="str">
        <x:v>Use distribution gate and signed decision</x:v>
      </x:c>
      <x:c r="J18" s="24" t="str">
        <x:v>Immediately</x:v>
      </x:c>
      <x:c r="K18" s="24" t="str">
        <x:v>OPEN</x:v>
      </x:c>
      <x:c r="L18" s="24" t="str">
        <x:v>VRM Games</x:v>
      </x:c>
      <x:c r="M18" s="24" t="str">
        <x:v>Pre-release</x:v>
      </x:c>
      <x:c r="N18" s="24" t="str">
        <x:v>Documented license/decision/search/notice as applicable</x:v>
      </x:c>
      <x:c r="O18" s="24" t="str"/>
      <x:c r="P18" t="str">
        <x:f>IF(G18&gt;=16,"Critical",IF(G18&gt;=10,"High",IF(G18&gt;=5,"Medium","Low")))</x:f>
        <x:v>Critical</x:v>
      </x:c>
    </x:row>
    <x:row r="19" ht="34" customHeight="1">
      <x:c r="A19" s="24" t="str">
        <x:v>LR-015</x:v>
      </x:c>
      <x:c r="B19" s="24" t="str">
        <x:v>Marketing</x:v>
      </x:c>
      <x:c r="C19" s="24" t="str">
        <x:v>Concept/mockup screenshots could be mistaken for actual build</x:v>
      </x:c>
      <x:c r="D19" s="24" t="str">
        <x:v>Medium</x:v>
      </x:c>
      <x:c r="E19" s="32" t="n">
        <x:v>3</x:v>
      </x:c>
      <x:c r="F19" s="32" t="n">
        <x:v>3</x:v>
      </x:c>
      <x:c r="G19" s="32" t="n">
        <x:f>E19*F19</x:f>
        <x:v>9</x:v>
      </x:c>
      <x:c r="H19" s="24" t="str">
        <x:v>Misleading store/press material</x:v>
      </x:c>
      <x:c r="I19" s="24" t="str">
        <x:v>Label concept art and use real candidate captures</x:v>
      </x:c>
      <x:c r="J19" s="24" t="str">
        <x:v>Marketing phase</x:v>
      </x:c>
      <x:c r="K19" s="24" t="str">
        <x:v>OPEN</x:v>
      </x:c>
      <x:c r="L19" s="24" t="str">
        <x:v>VRM Games</x:v>
      </x:c>
      <x:c r="M19" s="24" t="str">
        <x:v>Pre-release</x:v>
      </x:c>
      <x:c r="N19" s="24" t="str">
        <x:v>Documented license/decision/search/notice as applicable</x:v>
      </x:c>
      <x:c r="O19" s="24" t="str"/>
      <x:c r="P19" t="str">
        <x:f>IF(G19&gt;=16,"Critical",IF(G19&gt;=10,"High",IF(G19&gt;=5,"Medium","Low")))</x:f>
        <x:v>Medium</x:v>
      </x:c>
    </x:row>
    <x:row r="20" ht="34" customHeight="1">
      <x:c r="A20" s="24" t="str">
        <x:v>LR-016</x:v>
      </x:c>
      <x:c r="B20" s="24" t="str">
        <x:v>Source Code</x:v>
      </x:c>
      <x:c r="C20" s="24" t="str">
        <x:v>No external copied-code register beyond packages</x:v>
      </x:c>
      <x:c r="D20" s="24" t="str">
        <x:v>Medium</x:v>
      </x:c>
      <x:c r="E20" s="32" t="n">
        <x:v>2</x:v>
      </x:c>
      <x:c r="F20" s="32" t="n">
        <x:v>4</x:v>
      </x:c>
      <x:c r="G20" s="32" t="n">
        <x:f>E20*F20</x:f>
        <x:v>8</x:v>
      </x:c>
      <x:c r="H20" s="24" t="str">
        <x:v>Unrecorded snippets/license contamination</x:v>
      </x:c>
      <x:c r="I20" s="24" t="str">
        <x:v>Code provenance review and dependency scan</x:v>
      </x:c>
      <x:c r="J20" s="24" t="str">
        <x:v>Before public release</x:v>
      </x:c>
      <x:c r="K20" s="24" t="str">
        <x:v>OPEN</x:v>
      </x:c>
      <x:c r="L20" s="24" t="str">
        <x:v>VRM Games</x:v>
      </x:c>
      <x:c r="M20" s="24" t="str">
        <x:v>Pre-release</x:v>
      </x:c>
      <x:c r="N20" s="24" t="str">
        <x:v>Documented license/decision/search/notice as applicable</x:v>
      </x:c>
      <x:c r="O20" s="24" t="str"/>
      <x:c r="P20" t="str">
        <x:f>IF(G20&gt;=16,"Critical",IF(G20&gt;=10,"High",IF(G20&gt;=5,"Medium","Low")))</x:f>
        <x:v>Medium</x:v>
      </x:c>
    </x:row>
    <x:row r="21" ht="34" customHeight="1">
      <x:c r="A21" s="24" t="str">
        <x:v>LR-017</x:v>
      </x:c>
      <x:c r="B21" s="24" t="str">
        <x:v>Open source</x:v>
      </x:c>
      <x:c r="C21" s="24" t="str">
        <x:v>Package license family generalized; exact files not collected</x:v>
      </x:c>
      <x:c r="D21" s="24" t="str">
        <x:v>High</x:v>
      </x:c>
      <x:c r="E21" s="32" t="n">
        <x:v>3</x:v>
      </x:c>
      <x:c r="F21" s="32" t="n">
        <x:v>4</x:v>
      </x:c>
      <x:c r="G21" s="32" t="n">
        <x:f>E21*F21</x:f>
        <x:v>12</x:v>
      </x:c>
      <x:c r="H21" s="24" t="str">
        <x:v>Incorrect notices/redistribution assumptions</x:v>
      </x:c>
      <x:c r="I21" s="24" t="str">
        <x:v>Extract exact LICENSE/NOTICE per package version</x:v>
      </x:c>
      <x:c r="J21" s="24" t="str">
        <x:v>H6</x:v>
      </x:c>
      <x:c r="K21" s="24" t="str">
        <x:v>OPEN</x:v>
      </x:c>
      <x:c r="L21" s="24" t="str">
        <x:v>VRM Games</x:v>
      </x:c>
      <x:c r="M21" s="24" t="str">
        <x:v>H6</x:v>
      </x:c>
      <x:c r="N21" s="24" t="str">
        <x:v>Documented license/decision/search/notice as applicable</x:v>
      </x:c>
      <x:c r="O21" s="24" t="str"/>
      <x:c r="P21" t="str">
        <x:f>IF(G21&gt;=16,"Critical",IF(G21&gt;=10,"High",IF(G21&gt;=5,"Medium","Low")))</x:f>
        <x:v>High</x:v>
      </x:c>
    </x:row>
    <x:row r="22" ht="34" customHeight="1">
      <x:c r="A22" s="24" t="str">
        <x:v>LR-018</x:v>
      </x:c>
      <x:c r="B22" s="24" t="str">
        <x:v>Steam</x:v>
      </x:c>
      <x:c r="C22" s="24" t="str">
        <x:v>Current Steamworks/legal requirements not validated</x:v>
      </x:c>
      <x:c r="D22" s="24" t="str">
        <x:v>High</x:v>
      </x:c>
      <x:c r="E22" s="32" t="n">
        <x:v>3</x:v>
      </x:c>
      <x:c r="F22" s="32" t="n">
        <x:v>4</x:v>
      </x:c>
      <x:c r="G22" s="32" t="n">
        <x:f>E22*F22</x:f>
        <x:v>12</x:v>
      </x:c>
      <x:c r="H22" s="24" t="str">
        <x:v>Submission/release delay</x:v>
      </x:c>
      <x:c r="I22" s="24" t="str">
        <x:v>Review official current requirements at onboarding</x:v>
      </x:c>
      <x:c r="J22" s="24" t="str">
        <x:v>Pre-Steam</x:v>
      </x:c>
      <x:c r="K22" s="24" t="str">
        <x:v>OPEN</x:v>
      </x:c>
      <x:c r="L22" s="24" t="str">
        <x:v>VRM Games</x:v>
      </x:c>
      <x:c r="M22" s="24" t="str">
        <x:v>Pre-release</x:v>
      </x:c>
      <x:c r="N22" s="24" t="str">
        <x:v>Documented license/decision/search/notice as applicable</x:v>
      </x:c>
      <x:c r="O22" s="24" t="str"/>
      <x:c r="P22" t="str">
        <x:f>IF(G22&gt;=16,"Critical",IF(G22&gt;=10,"High",IF(G22&gt;=5,"Medium","Low")))</x:f>
        <x:v>High</x:v>
      </x:c>
    </x:row>
    <x:row r="23" ht="34" customHeight="1">
      <x:c r="A23" s="24" t="str">
        <x:v>LR-019</x:v>
      </x:c>
      <x:c r="B23" s="24" t="str">
        <x:v>Generated docs</x:v>
      </x:c>
      <x:c r="C23" s="24" t="str">
        <x:v>AI-assisted docs may repeat source wording without explicit quote review</x:v>
      </x:c>
      <x:c r="D23" s="24" t="str">
        <x:v>Low</x:v>
      </x:c>
      <x:c r="E23" s="32" t="n">
        <x:v>2</x:v>
      </x:c>
      <x:c r="F23" s="32" t="n">
        <x:v>2</x:v>
      </x:c>
      <x:c r="G23" s="32" t="n">
        <x:f>E23*F23</x:f>
        <x:v>4</x:v>
      </x:c>
      <x:c r="H23" s="24" t="str">
        <x:v>Documentation publication issue</x:v>
      </x:c>
      <x:c r="I23" s="24" t="str">
        <x:v>Keep internal; review external extracts and citations</x:v>
      </x:c>
      <x:c r="J23" s="24" t="str">
        <x:v>Before public docs</x:v>
      </x:c>
      <x:c r="K23" s="24" t="str">
        <x:v>OPEN</x:v>
      </x:c>
      <x:c r="L23" s="24" t="str">
        <x:v>VRM Games</x:v>
      </x:c>
      <x:c r="M23" s="24" t="str">
        <x:v>Pre-release</x:v>
      </x:c>
      <x:c r="N23" s="24" t="str">
        <x:v>Documented license/decision/search/notice as applicable</x:v>
      </x:c>
      <x:c r="O23" s="24" t="str"/>
      <x:c r="P23" t="str">
        <x:f>IF(G23&gt;=16,"Critical",IF(G23&gt;=10,"High",IF(G23&gt;=5,"Medium","Low")))</x:f>
        <x:v>Low</x:v>
      </x:c>
    </x:row>
    <x:row r="24" ht="34" customHeight="1">
      <x:c r="A24" s="24" t="str">
        <x:v>LR-020</x:v>
      </x:c>
      <x:c r="B24" s="24" t="str">
        <x:v>Scope</x:v>
      </x:c>
      <x:c r="C24" s="24" t="str">
        <x:v>Expansion assets exist in source tree</x:v>
      </x:c>
      <x:c r="D24" s="24" t="str">
        <x:v>Medium</x:v>
      </x:c>
      <x:c r="E24" s="32" t="n">
        <x:v>2</x:v>
      </x:c>
      <x:c r="F24" s="32" t="n">
        <x:v>3</x:v>
      </x:c>
      <x:c r="G24" s="32" t="n">
        <x:f>E24*F24</x:f>
        <x:v>6</x:v>
      </x:c>
      <x:c r="H24" s="24" t="str">
        <x:v>Accidental inclusion or implied commitment</x:v>
      </x:c>
      <x:c r="I24" s="24" t="str">
        <x:v>Exclude from build/addressables and mark NOT OPEN</x:v>
      </x:c>
      <x:c r="J24" s="24" t="str">
        <x:v>H6</x:v>
      </x:c>
      <x:c r="K24" s="24" t="str">
        <x:v>OPEN</x:v>
      </x:c>
      <x:c r="L24" s="24" t="str">
        <x:v>VRM Games</x:v>
      </x:c>
      <x:c r="M24" s="24" t="str">
        <x:v>H6</x:v>
      </x:c>
      <x:c r="N24" s="24" t="str">
        <x:v>Documented license/decision/search/notice as applicable</x:v>
      </x:c>
      <x:c r="O24" s="24" t="str"/>
      <x:c r="P24" t="str">
        <x:f>IF(G24&gt;=16,"Critical",IF(G24&gt;=10,"High",IF(G24&gt;=5,"Medium","Low")))</x:f>
        <x:v>Medium</x:v>
      </x:c>
    </x:row>
    <x:row r="25" ht="52.79999923706055" hidden="0" customHeight="1">
      <x:c r="A25" s="47" t="str">
        <x:v>LR-021</x:v>
      </x:c>
      <x:c r="B25" s="47" t="str">
        <x:v>Marketing</x:v>
      </x:c>
      <x:c r="C25" s="47" t="str">
        <x:v>Public claims or media are not linked to an approved build and evidence</x:v>
      </x:c>
      <x:c r="D25" s="47" t="str">
        <x:v>High</x:v>
      </x:c>
      <x:c r="E25" s="47" t="n">
        <x:v>3</x:v>
      </x:c>
      <x:c r="F25" s="47" t="n">
        <x:v>4</x:v>
      </x:c>
      <x:c r="G25" s="47" t="n">
        <x:f>E25*F25</x:f>
        <x:v>12</x:v>
      </x:c>
      <x:c r="H25" s="47" t="str">
        <x:v>Misleading communication, takedown or loss of trust</x:v>
      </x:c>
      <x:c r="I25" s="47" t="str">
        <x:v>Implement claim matrix with build/evidence/legal/marketing approval</x:v>
      </x:c>
      <x:c r="J25" s="47" t="str">
        <x:v>Before premarketing</x:v>
      </x:c>
      <x:c r="K25" s="47" t="str">
        <x:v>OPEN</x:v>
      </x:c>
      <x:c r="L25" s="47" t="str">
        <x:v>VRM Games</x:v>
      </x:c>
      <x:c r="M25" s="47" t="str">
        <x:v>Premarketing</x:v>
      </x:c>
      <x:c r="N25" s="47" t="str">
        <x:v>Approved claim record, source build and media provenance</x:v>
      </x:c>
      <x:c r="O25" s="47"/>
      <x:c r="P25" s="47" t="str">
        <x:f>IF(G25&gt;=16,"Critical",IF(G25&gt;=10,"High",IF(G25&gt;=5,"Medium","Low")))</x:f>
        <x:v>High</x:v>
      </x:c>
    </x:row>
    <x:row r="26" ht="52.79999923706055" hidden="0" customHeight="1">
      <x:c r="A26" s="47" t="str">
        <x:v>LR-022</x:v>
      </x:c>
      <x:c r="B26" s="47" t="str">
        <x:v>Accessibility</x:v>
      </x:c>
      <x:c r="C26" s="47" t="str">
        <x:v>Accessibility statements exceed implemented and tested scope</x:v>
      </x:c>
      <x:c r="D26" s="47" t="str">
        <x:v>High</x:v>
      </x:c>
      <x:c r="E26" s="47" t="n">
        <x:v>3</x:v>
      </x:c>
      <x:c r="F26" s="47" t="n">
        <x:v>4</x:v>
      </x:c>
      <x:c r="G26" s="47" t="n">
        <x:f>E26*F26</x:f>
        <x:v>12</x:v>
      </x:c>
      <x:c r="H26" s="47" t="str">
        <x:v>Misrepresentation, user harm or platform/store correction</x:v>
      </x:c>
      <x:c r="I26" s="47" t="str">
        <x:v>Use feature-level evidence and qualified wording</x:v>
      </x:c>
      <x:c r="J26" s="47" t="str">
        <x:v>H6 / before store publication</x:v>
      </x:c>
      <x:c r="K26" s="47" t="str">
        <x:v>OPEN</x:v>
      </x:c>
      <x:c r="L26" s="47" t="str">
        <x:v>VRM Games</x:v>
      </x:c>
      <x:c r="M26" s="47" t="str">
        <x:v>H6</x:v>
      </x:c>
      <x:c r="N26" s="47" t="str">
        <x:v>Accessibility report, build evidence and approved wording</x:v>
      </x:c>
      <x:c r="O26" s="47"/>
      <x:c r="P26" s="47" t="str">
        <x:f>IF(G26&gt;=16,"Critical",IF(G26&gt;=10,"High",IF(G26&gt;=5,"Medium","Low")))</x:f>
        <x:v>High</x:v>
      </x:c>
    </x:row>
    <x:row r="27" ht="39.599998474121094" hidden="0" customHeight="1">
      <x:c r="A27" s="47" t="str">
        <x:v>LR-023</x:v>
      </x:c>
      <x:c r="B27" s="47" t="str">
        <x:v>Performance</x:v>
      </x:c>
      <x:c r="C27" s="47" t="str">
        <x:v>System requirements or performance claims lack representative benchmarks</x:v>
      </x:c>
      <x:c r="D27" s="47" t="str">
        <x:v>High</x:v>
      </x:c>
      <x:c r="E27" s="47" t="n">
        <x:v>3</x:v>
      </x:c>
      <x:c r="F27" s="47" t="n">
        <x:v>4</x:v>
      </x:c>
      <x:c r="G27" s="47" t="n">
        <x:f>E27*F27</x:f>
        <x:v>12</x:v>
      </x:c>
      <x:c r="H27" s="47" t="str">
        <x:v>Inaccurate store requirements, refunds or support burden</x:v>
      </x:c>
      <x:c r="I27" s="47" t="str">
        <x:v>Benchmark Player build on documented hardware and scenarios</x:v>
      </x:c>
      <x:c r="J27" s="47" t="str">
        <x:v>H6 / pre-Steam</x:v>
      </x:c>
      <x:c r="K27" s="47" t="str">
        <x:v>OPEN</x:v>
      </x:c>
      <x:c r="L27" s="47" t="str">
        <x:v>VRM Games</x:v>
      </x:c>
      <x:c r="M27" s="47" t="str">
        <x:v>H6</x:v>
      </x:c>
      <x:c r="N27" s="47" t="str">
        <x:v>Performance report and approved requirements</x:v>
      </x:c>
      <x:c r="O27" s="47"/>
      <x:c r="P27" s="47" t="str">
        <x:f>IF(G27&gt;=16,"Critical",IF(G27&gt;=10,"High",IF(G27&gt;=5,"Medium","Low")))</x:f>
        <x:v>High</x:v>
      </x:c>
    </x:row>
    <x:row r="28" ht="52.79999923706055" hidden="0" customHeight="1">
      <x:c r="A28" s="47" t="str">
        <x:v>LR-024</x:v>
      </x:c>
      <x:c r="B28" s="47" t="str">
        <x:v>Security</x:v>
      </x:c>
      <x:c r="C28" s="47" t="str">
        <x:v>Secret, credential, PII or sensitive metadata leaks in public package or media</x:v>
      </x:c>
      <x:c r="D28" s="47" t="str">
        <x:v>Critical</x:v>
      </x:c>
      <x:c r="E28" s="47" t="n">
        <x:v>4</x:v>
      </x:c>
      <x:c r="F28" s="47" t="n">
        <x:v>5</x:v>
      </x:c>
      <x:c r="G28" s="47" t="n">
        <x:f>E28*F28</x:f>
        <x:v>20</x:v>
      </x:c>
      <x:c r="H28" s="47" t="str">
        <x:v>Account compromise, incident response and legal/platform exposure</x:v>
      </x:c>
      <x:c r="I28" s="47" t="str">
        <x:v>Secret/PII scan, least privilege, rotation and release package review</x:v>
      </x:c>
      <x:c r="J28" s="47" t="str">
        <x:v>Before every external distribution</x:v>
      </x:c>
      <x:c r="K28" s="47" t="str">
        <x:v>OPEN</x:v>
      </x:c>
      <x:c r="L28" s="47" t="str">
        <x:v>VRM Games</x:v>
      </x:c>
      <x:c r="M28" s="47" t="str">
        <x:v>H6 / RC</x:v>
      </x:c>
      <x:c r="N28" s="47" t="str">
        <x:v>Scan report, remediation and incident decision</x:v>
      </x:c>
      <x:c r="O28" s="47"/>
      <x:c r="P28" s="47" t="str">
        <x:f>IF(G28&gt;=16,"Critical",IF(G28&gt;=10,"High",IF(G28&gt;=5,"Medium","Low")))</x:f>
        <x:v>Critical</x:v>
      </x:c>
    </x:row>
    <x:row r="29" ht="52.79999923706055" hidden="0" customHeight="1">
      <x:c r="A29" s="47" t="str">
        <x:v>LR-025</x:v>
      </x:c>
      <x:c r="B29" s="47" t="str">
        <x:v>Privacy</x:v>
      </x:c>
      <x:c r="C29" s="47" t="str">
        <x:v>Telemetry, support or online scope changes without data-flow/provider review</x:v>
      </x:c>
      <x:c r="D29" s="47" t="str">
        <x:v>High</x:v>
      </x:c>
      <x:c r="E29" s="47" t="n">
        <x:v>3</x:v>
      </x:c>
      <x:c r="F29" s="47" t="n">
        <x:v>5</x:v>
      </x:c>
      <x:c r="G29" s="47" t="n">
        <x:f>E29*F29</x:f>
        <x:v>15</x:v>
      </x:c>
      <x:c r="H29" s="47" t="str">
        <x:v>Invalid disclosures, excessive collection or platform/regulatory risk</x:v>
      </x:c>
      <x:c r="I29" s="47" t="str">
        <x:v>Keep feature closed until inventory, purpose, retention and provider review</x:v>
      </x:c>
      <x:c r="J29" s="47" t="str">
        <x:v>Before implementation / release</x:v>
      </x:c>
      <x:c r="K29" s="47" t="str">
        <x:v>OPEN</x:v>
      </x:c>
      <x:c r="L29" s="47" t="str">
        <x:v>VRM Games</x:v>
      </x:c>
      <x:c r="M29" s="47" t="str">
        <x:v>H6 / RC</x:v>
      </x:c>
      <x:c r="N29" s="47" t="str">
        <x:v>Data inventory, DPIA/decision and accurate policy where applicable</x:v>
      </x:c>
      <x:c r="O29" s="47"/>
      <x:c r="P29" s="47" t="str">
        <x:f>IF(G29&gt;=16,"Critical",IF(G29&gt;=10,"High",IF(G29&gt;=5,"Medium","Low")))</x:f>
        <x:v>High</x:v>
      </x:c>
    </x:row>
    <x:row r="30" ht="52.79999923706055" hidden="0" customHeight="1">
      <x:c r="A30" s="47" t="str">
        <x:v>LR-026</x:v>
      </x:c>
      <x:c r="B30" s="47" t="str">
        <x:v>Release governance</x:v>
      </x:c>
      <x:c r="C30" s="47" t="str">
        <x:v>H6, RC or launch is approved without checklist 31 evidence and signoff</x:v>
      </x:c>
      <x:c r="D30" s="47" t="str">
        <x:v>Critical</x:v>
      </x:c>
      <x:c r="E30" s="47" t="n">
        <x:v>4</x:v>
      </x:c>
      <x:c r="F30" s="47" t="n">
        <x:v>5</x:v>
      </x:c>
      <x:c r="G30" s="47" t="n">
        <x:f>E30*F30</x:f>
        <x:v>20</x:v>
      </x:c>
      <x:c r="H30" s="47" t="str">
        <x:v>Uncontrolled distribution with unresolved legal or operational blockers</x:v>
      </x:c>
      <x:c r="I30" s="47" t="str">
        <x:v>Require build-specific checklist, defects, exceptions and signatures</x:v>
      </x:c>
      <x:c r="J30" s="47" t="str">
        <x:v>Every gate</x:v>
      </x:c>
      <x:c r="K30" s="47" t="str">
        <x:v>OPEN</x:v>
      </x:c>
      <x:c r="L30" s="47" t="str">
        <x:v>VRM Games</x:v>
      </x:c>
      <x:c r="M30" s="47" t="str">
        <x:v>H6 / RC / Launch</x:v>
      </x:c>
      <x:c r="N30" s="47" t="str">
        <x:v>31 decision record and immutable evidence package</x:v>
      </x:c>
      <x:c r="O30" s="47"/>
      <x:c r="P30" s="47" t="str">
        <x:f>IF(G30&gt;=16,"Critical",IF(G30&gt;=10,"High",IF(G30&gt;=5,"Medium","Low")))</x:f>
        <x:v>Critical</x:v>
      </x:c>
    </x:row>
    <x:row r="31" ht="52.79999923706055" hidden="0" customHeight="1">
      <x:c r="A31" s="47" t="str">
        <x:v>LR-027</x:v>
      </x:c>
      <x:c r="B31" s="47" t="str">
        <x:v>Continuity</x:v>
      </x:c>
      <x:c r="C31" s="47" t="str">
        <x:v>Licenses, contracts, receipts, notices or platform accounts cannot be restored</x:v>
      </x:c>
      <x:c r="D31" s="47" t="str">
        <x:v>High</x:v>
      </x:c>
      <x:c r="E31" s="47" t="n">
        <x:v>3</x:v>
      </x:c>
      <x:c r="F31" s="47" t="n">
        <x:v>4</x:v>
      </x:c>
      <x:c r="G31" s="47" t="n">
        <x:f>E31*F31</x:f>
        <x:v>12</x:v>
      </x:c>
      <x:c r="H31" s="47" t="str">
        <x:v>Release delay, inability to prove rights or recover publishing access</x:v>
      </x:c>
      <x:c r="I31" s="47" t="str">
        <x:v>Independent backup, checksums, owner mapping and restore drill</x:v>
      </x:c>
      <x:c r="J31" s="47" t="str">
        <x:v>Before final baseline / release</x:v>
      </x:c>
      <x:c r="K31" s="47" t="str">
        <x:v>OPEN</x:v>
      </x:c>
      <x:c r="L31" s="47" t="str">
        <x:v>VRM Games</x:v>
      </x:c>
      <x:c r="M31" s="47" t="str">
        <x:v>Final Baseline</x:v>
      </x:c>
      <x:c r="N31" s="47" t="str">
        <x:v>Restore report, access recovery test and risk treatment</x:v>
      </x:c>
      <x:c r="O31" s="47"/>
      <x:c r="P31" s="47" t="str">
        <x:f>IF(G31&gt;=16,"Critical",IF(G31&gt;=10,"High",IF(G31&gt;=5,"Medium","Low")))</x:f>
        <x:v>High</x:v>
      </x:c>
    </x:row>
    <x:row r="32" ht="39.599998474121094" hidden="0" customHeight="1">
      <x:c r="A32" s="47" t="str">
        <x:v>LR-028</x:v>
      </x:c>
      <x:c r="B32" s="47" t="str">
        <x:v>Handoff</x:v>
      </x:c>
      <x:c r="C32" s="47" t="str">
        <x:v>Legal and release operation depends on private chat, memory or a single account</x:v>
      </x:c>
      <x:c r="D32" s="47" t="str">
        <x:v>High</x:v>
      </x:c>
      <x:c r="E32" s="47" t="n">
        <x:v>3</x:v>
      </x:c>
      <x:c r="F32" s="47" t="n">
        <x:v>4</x:v>
      </x:c>
      <x:c r="G32" s="47" t="n">
        <x:f>E32*F32</x:f>
        <x:v>12</x:v>
      </x:c>
      <x:c r="H32" s="47" t="str">
        <x:v>Project cannot be resumed, audited or transferred safely</x:v>
      </x:c>
      <x:c r="I32" s="47" t="str">
        <x:v>Complete manual 34, least-privilege access map and independent handoff test</x:v>
      </x:c>
      <x:c r="J32" s="47" t="str">
        <x:v>Before collaborator/release handoff</x:v>
      </x:c>
      <x:c r="K32" s="47" t="str">
        <x:v>OPEN</x:v>
      </x:c>
      <x:c r="L32" s="47" t="str">
        <x:v>VRM Games</x:v>
      </x:c>
      <x:c r="M32" s="47" t="str">
        <x:v>Operations</x:v>
      </x:c>
      <x:c r="N32" s="47" t="str">
        <x:v>Independent handoff result and updated runbook</x:v>
      </x:c>
      <x:c r="O32" s="47"/>
      <x:c r="P32" s="47" t="str">
        <x:f>IF(G32&gt;=16,"Critical",IF(G32&gt;=10,"High",IF(G32&gt;=5,"Medium","Low")))</x:f>
        <x:v>High</x:v>
      </x:c>
    </x:row>
  </x:sheetData>
  <x:mergeCells>
    <x:mergeCell ref="A1:O1"/>
    <x:mergeCell ref="A2:O2"/>
  </x:mergeCells>
  <x:conditionalFormatting sqref="K5:K24">
    <x:cfRule type="expression" dxfId="108" priority="1">
      <x:formula>OR(ISNUMBER(SEARCH("APPROVED",K5)),ISNUMBER(SEARCH("READY",K5)),ISNUMBER(SEARCH("ACTIVE",K5)),ISNUMBER(SEARCH("VERIFIED",K5)))</x:formula>
    </x:cfRule>
    <x:cfRule type="expression" dxfId="109" priority="2">
      <x:formula>OR(ISNUMBER(SEARCH("BLOCK",K5)),ISNUMBER(SEARCH("PROHIBITED",K5)),ISNUMBER(SEARCH("CRITICAL",K5)),ISNUMBER(SEARCH("MISSING",K5)))</x:formula>
    </x:cfRule>
    <x:cfRule type="expression" dxfId="110" priority="3">
      <x:formula>OR(ISNUMBER(SEARCH("PENDING",K5)),ISNUMBER(SEARCH("PARTIAL",K5)),ISNUMBER(SEARCH("REVIEW",K5)),ISNUMBER(SEARCH("CONDITIONAL",K5)))</x:formula>
    </x:cfRule>
    <x:cfRule type="expression" dxfId="111" priority="4">
      <x:formula>OR(ISNUMBER(SEARCH("HISTORICAL",K5)),ISNUMBER(SEARCH("VISION",K5)),ISNUMBER(SEARCH("OPTIONAL",K5)))</x:formula>
    </x:cfRule>
  </x:conditionalFormatting>
  <x:conditionalFormatting sqref="D5:D24">
    <x:cfRule type="expression" dxfId="112" priority="5">
      <x:formula>OR(ISNUMBER(SEARCH("APPROVED",D5)),ISNUMBER(SEARCH("READY",D5)),ISNUMBER(SEARCH("ACTIVE",D5)),ISNUMBER(SEARCH("VERIFIED",D5)))</x:formula>
    </x:cfRule>
    <x:cfRule type="expression" dxfId="113" priority="6">
      <x:formula>OR(ISNUMBER(SEARCH("BLOCK",D5)),ISNUMBER(SEARCH("PROHIBITED",D5)),ISNUMBER(SEARCH("CRITICAL",D5)),ISNUMBER(SEARCH("MISSING",D5)))</x:formula>
    </x:cfRule>
    <x:cfRule type="expression" dxfId="114" priority="7">
      <x:formula>OR(ISNUMBER(SEARCH("PENDING",D5)),ISNUMBER(SEARCH("PARTIAL",D5)),ISNUMBER(SEARCH("REVIEW",D5)),ISNUMBER(SEARCH("CONDITIONAL",D5)))</x:formula>
    </x:cfRule>
    <x:cfRule type="expression" dxfId="115" priority="8">
      <x:formula>OR(ISNUMBER(SEARCH("HISTORICAL",D5)),ISNUMBER(SEARCH("VISION",D5)),ISNUMBER(SEARCH("OPTIONAL",D5)))</x:formula>
    </x:cfRule>
  </x:conditionalFormatting>
  <x:conditionalFormatting sqref="P5:P24">
    <x:cfRule type="expression" dxfId="140" priority="9">
      <x:formula>OR(ISNUMBER(SEARCH("APPROVED",P5)),ISNUMBER(SEARCH("READY",P5)),ISNUMBER(SEARCH("ACTIVE",P5)),ISNUMBER(SEARCH("VERIFIED",P5)))</x:formula>
    </x:cfRule>
    <x:cfRule type="expression" dxfId="141" priority="10">
      <x:formula>OR(ISNUMBER(SEARCH("BLOCK",P5)),ISNUMBER(SEARCH("PROHIBITED",P5)),ISNUMBER(SEARCH("CRITICAL",P5)),ISNUMBER(SEARCH("MISSING",P5)))</x:formula>
    </x:cfRule>
    <x:cfRule type="expression" dxfId="142" priority="11">
      <x:formula>OR(ISNUMBER(SEARCH("PENDING",P5)),ISNUMBER(SEARCH("PARTIAL",P5)),ISNUMBER(SEARCH("REVIEW",P5)),ISNUMBER(SEARCH("CONDITIONAL",P5)))</x:formula>
    </x:cfRule>
    <x:cfRule type="expression" dxfId="143" priority="12">
      <x:formula>OR(ISNUMBER(SEARCH("HISTORICAL",P5)),ISNUMBER(SEARCH("VISION",P5)),ISNUMBER(SEARCH("OPTIONAL",P5)))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6830079527f4767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22" hidden="0" customWidth="1"/>
    <x:col min="5" max="5" width="58" hidden="0" customWidth="1"/>
    <x:col min="6" max="6" width="16" hidden="0" customWidth="1"/>
    <x:col min="7" max="7" width="58" hidden="0" customWidth="1"/>
    <x:col min="8" max="8" width="20" hidden="0" customWidth="1"/>
    <x:col min="9" max="9" width="16" hidden="0" customWidth="1"/>
    <x:col min="10" max="10" width="46" hidden="0" customWidth="1"/>
    <x:col min="11" max="11" width="30" hidden="0" customWidth="1"/>
    <x:col min="12" max="12" width="18" hidden="0" customWidth="1"/>
    <x:col min="13" max="13" width="48" hidden="0" customWidth="1"/>
    <x:col min="14" max="14" width="20" hidden="0" customWidth="1"/>
    <x:col min="15" max="15" width="55" hidden="0" customWidth="1"/>
  </x:cols>
  <x:sheetData>
    <x:row r="1" ht="30" customHeight="1">
      <x:c r="A1" s="4" t="str">
        <x:v>Deuda legal y de licencias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2" customHeight="1">
      <x:c r="A2" s="10" t="str">
        <x:v>Pendientes, bloqueos, sustituciones, objetivos y evidencia de cierre para H6, Steam, release y operaciones.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38" customHeight="1">
      <x:c r="A4" s="17" t="str">
        <x:v>Debt ID</x:v>
      </x:c>
      <x:c r="B4" s="17" t="str">
        <x:v>Tipo</x:v>
      </x:c>
      <x:c r="C4" s="17" t="str">
        <x:v>Severidad</x:v>
      </x:c>
      <x:c r="D4" s="17" t="str">
        <x:v>Área</x:v>
      </x:c>
      <x:c r="E4" s="17" t="str">
        <x:v>Descripción</x:v>
      </x:c>
      <x:c r="F4" s="17" t="str">
        <x:v>Estado</x:v>
      </x:c>
      <x:c r="G4" s="17" t="str">
        <x:v>Acción requerida</x:v>
      </x:c>
      <x:c r="H4" s="17" t="str">
        <x:v>Objetivo</x:v>
      </x:c>
      <x:c r="I4" s="17" t="str">
        <x:v>Gate</x:v>
      </x:c>
      <x:c r="J4" s="17" t="str">
        <x:v>Fuente</x:v>
      </x:c>
      <x:c r="K4" s="17" t="str">
        <x:v>Registro relacionado</x:v>
      </x:c>
      <x:c r="L4" s="17" t="str">
        <x:v>Bloquea distribución</x:v>
      </x:c>
      <x:c r="M4" s="17" t="str">
        <x:v>Evidencia de cierre</x:v>
      </x:c>
      <x:c r="N4" s="17" t="str">
        <x:v>Owner</x:v>
      </x:c>
      <x:c r="O4" s="17" t="str">
        <x:v>Notas</x:v>
      </x:c>
    </x:row>
    <x:row r="5" ht="34" customHeight="1">
      <x:c r="A5" s="24" t="str">
        <x:v>SETUP-DEBT-005</x:v>
      </x:c>
      <x:c r="B5" s="24" t="str">
        <x:v>Technical Debt</x:v>
      </x:c>
      <x:c r="C5" s="24" t="str">
        <x:v>S1</x:v>
      </x:c>
      <x:c r="D5" s="24" t="str">
        <x:v>Setup</x:v>
      </x:c>
      <x:c r="E5" s="24" t="str">
        <x:v>Localization sin tablas visibles</x:v>
      </x:c>
      <x:c r="F5" s="24" t="str">
        <x:v>Open</x:v>
      </x:c>
      <x:c r="G5" s="24" t="str">
        <x:v>completar en Sprint 17/H6</x:v>
      </x:c>
      <x:c r="H5" s="24" t="str">
        <x:v>Sprint 17/Post-H6</x:v>
      </x:c>
      <x:c r="I5" s="24" t="str">
        <x:v>S16/H6</x:v>
      </x:c>
      <x:c r="J5" s="24" t="str">
        <x:v>12_Excel_Maestro_de_Produccion.xlsx</x:v>
      </x:c>
      <x:c r="K5" s="24" t="str">
        <x:v>SETUP-DEBT-005</x:v>
      </x:c>
      <x:c r="L5" s="24" t="str">
        <x:v>Sí</x:v>
      </x:c>
      <x:c r="M5" s="24" t="str">
        <x:v>Asset/scene/build/test evidence</x:v>
      </x:c>
      <x:c r="N5" s="24" t="str">
        <x:v>VRM Games</x:v>
      </x:c>
      <x:c r="O5" s="24" t="str">
        <x:v>ES/EN no queda demostrado</x:v>
      </x:c>
    </x:row>
    <x:row r="6" ht="34" customHeight="1">
      <x:c r="A6" s="24" t="str">
        <x:v>DEBT-BUILD-002</x:v>
      </x:c>
      <x:c r="B6" s="24" t="str">
        <x:v>Process Debt</x:v>
      </x:c>
      <x:c r="C6" s="24" t="str">
        <x:v>S2</x:v>
      </x:c>
      <x:c r="D6" s="24" t="str">
        <x:v>Build</x:v>
      </x:c>
      <x:c r="E6" s="24" t="str">
        <x:v>CI futura no configurada</x:v>
      </x:c>
      <x:c r="F6" s="24" t="str">
        <x:v>Open</x:v>
      </x:c>
      <x:c r="G6" s="24" t="str">
        <x:v>Diseñar pipeline cuando el build local sea estable</x:v>
      </x:c>
      <x:c r="H6" s="24" t="str">
        <x:v>Post-H6</x:v>
      </x:c>
      <x:c r="I6" s="24" t="str">
        <x:v>S16/H6</x:v>
      </x:c>
      <x:c r="J6" s="24" t="str">
        <x:v>12_Excel_Maestro_de_Produccion.xlsx</x:v>
      </x:c>
      <x:c r="K6" s="24" t="str">
        <x:v>BUILD-STD-029</x:v>
      </x:c>
      <x:c r="L6" s="24" t="str">
        <x:v>Review</x:v>
      </x:c>
      <x:c r="M6" s="24" t="str">
        <x:v>Asset/scene/build/test evidence</x:v>
      </x:c>
      <x:c r="N6" s="24" t="str">
        <x:v>VRM Games</x:v>
      </x:c>
      <x:c r="O6" s="24"/>
    </x:row>
    <x:row r="7" ht="34" customHeight="1">
      <x:c r="A7" s="24" t="str">
        <x:v>DEBT-LOC-001</x:v>
      </x:c>
      <x:c r="B7" s="24" t="str">
        <x:v>Content Debt</x:v>
      </x:c>
      <x:c r="C7" s="24" t="str">
        <x:v>S2</x:v>
      </x:c>
      <x:c r="D7" s="24" t="str">
        <x:v>Localization</x:v>
      </x:c>
      <x:c r="E7" s="24" t="str">
        <x:v>No existen tablas ES/EN visibles</x:v>
      </x:c>
      <x:c r="F7" s="24" t="str">
        <x:v>Open</x:v>
      </x:c>
      <x:c r="G7" s="24" t="str">
        <x:v>Crear tablas y pruebas de truncamiento</x:v>
      </x:c>
      <x:c r="H7" s="24" t="str">
        <x:v>Sprint 17</x:v>
      </x:c>
      <x:c r="I7" s="24" t="str">
        <x:v>S16/H6</x:v>
      </x:c>
      <x:c r="J7" s="24" t="str">
        <x:v>12_Excel_Maestro_de_Produccion.xlsx</x:v>
      </x:c>
      <x:c r="K7" s="24" t="str">
        <x:v>SETUP-DEBT-005</x:v>
      </x:c>
      <x:c r="L7" s="24" t="str">
        <x:v>Review</x:v>
      </x:c>
      <x:c r="M7" s="24" t="str">
        <x:v>Asset/scene/build/test evidence</x:v>
      </x:c>
      <x:c r="N7" s="24" t="str">
        <x:v>VRM Games</x:v>
      </x:c>
      <x:c r="O7" s="24"/>
    </x:row>
    <x:row r="8" ht="34" customHeight="1">
      <x:c r="A8" s="24" t="str">
        <x:v>CNT-DEBT-006</x:v>
      </x:c>
      <x:c r="B8" s="24" t="str">
        <x:v>Audio</x:v>
      </x:c>
      <x:c r="C8" s="24" t="str">
        <x:v>S2</x:v>
      </x:c>
      <x:c r="D8" s="24" t="str">
        <x:v>Music/Ambience</x:v>
      </x:c>
      <x:c r="E8" s="24" t="str">
        <x:v>Four-second mono loops are placeholders</x:v>
      </x:c>
      <x:c r="F8" s="24" t="str">
        <x:v>Open</x:v>
      </x:c>
      <x:c r="G8" s="24" t="str">
        <x:v>Replace with approved loops and listening QA</x:v>
      </x:c>
      <x:c r="H8" s="24" t="n">
        <x:v>17</x:v>
      </x:c>
      <x:c r="I8" s="24" t="str">
        <x:v>H6</x:v>
      </x:c>
      <x:c r="J8" s="24" t="str">
        <x:v>18_Audio_Bible.md</x:v>
      </x:c>
      <x:c r="K8" s="24" t="str">
        <x:v>VS-AUD-001</x:v>
      </x:c>
      <x:c r="L8" s="24" t="str">
        <x:v>Review</x:v>
      </x:c>
      <x:c r="M8" s="24" t="str">
        <x:v>Asset/scene/build/test evidence</x:v>
      </x:c>
      <x:c r="N8" s="24" t="str">
        <x:v>VRM Games</x:v>
      </x:c>
      <x:c r="O8" s="24"/>
    </x:row>
    <x:row r="9" ht="34" customHeight="1">
      <x:c r="A9" s="24" t="str">
        <x:v>CNT-DEBT-008</x:v>
      </x:c>
      <x:c r="B9" s="24" t="str">
        <x:v>Localization</x:v>
      </x:c>
      <x:c r="C9" s="24" t="str">
        <x:v>S2</x:v>
      </x:c>
      <x:c r="D9" s="24" t="str">
        <x:v>ES/EN</x:v>
      </x:c>
      <x:c r="E9" s="24" t="str">
        <x:v>String tables absent</x:v>
      </x:c>
      <x:c r="F9" s="24" t="str">
        <x:v>Open</x:v>
      </x:c>
      <x:c r="G9" s="24" t="str">
        <x:v>Create locales/tables and layout tests</x:v>
      </x:c>
      <x:c r="H9" s="24" t="n">
        <x:v>17</x:v>
      </x:c>
      <x:c r="I9" s="24" t="str">
        <x:v>H6</x:v>
      </x:c>
      <x:c r="J9" s="24" t="str">
        <x:v>19_UI_Style_Guide.md</x:v>
      </x:c>
      <x:c r="K9" s="24" t="str">
        <x:v>VS-UI-002</x:v>
      </x:c>
      <x:c r="L9" s="24" t="str">
        <x:v>Review</x:v>
      </x:c>
      <x:c r="M9" s="24" t="str">
        <x:v>Asset/scene/build/test evidence</x:v>
      </x:c>
      <x:c r="N9" s="24" t="str">
        <x:v>VRM Games</x:v>
      </x:c>
      <x:c r="O9" s="24"/>
    </x:row>
    <x:row r="10" ht="34" customHeight="1">
      <x:c r="A10" s="24" t="str">
        <x:v>CNT-DEBT-010</x:v>
      </x:c>
      <x:c r="B10" s="24" t="str">
        <x:v>Licensing</x:v>
      </x:c>
      <x:c r="C10" s="24" t="str">
        <x:v>S1</x:v>
      </x:c>
      <x:c r="D10" s="24" t="str">
        <x:v>Assets</x:v>
      </x:c>
      <x:c r="E10" s="24" t="str">
        <x:v>Per-asset provenance incomplete</x:v>
      </x:c>
      <x:c r="F10" s="24" t="str">
        <x:v>Open</x:v>
      </x:c>
      <x:c r="G10" s="24" t="str">
        <x:v>Complete legal register before public candidate</x:v>
      </x:c>
      <x:c r="H10" s="24" t="n">
        <x:v>17</x:v>
      </x:c>
      <x:c r="I10" s="24" t="str">
        <x:v>H6</x:v>
      </x:c>
      <x:c r="J10" s="24" t="str">
        <x:v>Historical legal registers</x:v>
      </x:c>
      <x:c r="K10" s="24" t="str">
        <x:v>GOV-LEGAL</x:v>
      </x:c>
      <x:c r="L10" s="24" t="str">
        <x:v>Sí</x:v>
      </x:c>
      <x:c r="M10" s="24" t="str">
        <x:v>Asset/scene/build/test evidence</x:v>
      </x:c>
      <x:c r="N10" s="24" t="str">
        <x:v>VRM Games</x:v>
      </x:c>
      <x:c r="O10" s="24"/>
    </x:row>
    <x:row r="11" ht="34" customHeight="1">
      <x:c r="A11" s="24" t="str">
        <x:v>LEG-DEBT-001</x:v>
      </x:c>
      <x:c r="B11" s="24" t="str">
        <x:v>Legal</x:v>
      </x:c>
      <x:c r="C11" s="24" t="str">
        <x:v>S1</x:v>
      </x:c>
      <x:c r="D11" s="24" t="str">
        <x:v>Trademark</x:v>
      </x:c>
      <x:c r="E11" s="24" t="str">
        <x:v>Title and studio name clearance absent</x:v>
      </x:c>
      <x:c r="F11" s="24" t="str">
        <x:v>Open</x:v>
      </x:c>
      <x:c r="G11" s="24" t="str">
        <x:v>Perform and archive searches; decide final names</x:v>
      </x:c>
      <x:c r="H11" s="24" t="str">
        <x:v>Pre-Steam</x:v>
      </x:c>
      <x:c r="I11" s="24" t="str">
        <x:v>Public</x:v>
      </x:c>
      <x:c r="J11" s="24" t="str">
        <x:v>Historical legal policy</x:v>
      </x:c>
      <x:c r="K11" s="24" t="str">
        <x:v>IP-001;IP-002</x:v>
      </x:c>
      <x:c r="L11" s="24" t="str">
        <x:v>Sí</x:v>
      </x:c>
      <x:c r="M11" s="24" t="str">
        <x:v>Search report and decision</x:v>
      </x:c>
      <x:c r="N11" s="24" t="str">
        <x:v>VRM Games</x:v>
      </x:c>
      <x:c r="O11" s="24" t="str"/>
    </x:row>
    <x:row r="12" ht="34" customHeight="1">
      <x:c r="A12" s="24" t="str">
        <x:v>LEG-DEBT-002</x:v>
      </x:c>
      <x:c r="B12" s="24" t="str">
        <x:v>Legal</x:v>
      </x:c>
      <x:c r="C12" s="24" t="str">
        <x:v>S1</x:v>
      </x:c>
      <x:c r="D12" s="24" t="str">
        <x:v>Audio</x:v>
      </x:c>
      <x:c r="E12" s="24" t="str">
        <x:v>Per-clip source/license evidence incomplete</x:v>
      </x:c>
      <x:c r="F12" s="24" t="str">
        <x:v>Open</x:v>
      </x:c>
      <x:c r="G12" s="24" t="str">
        <x:v>Complete 10 clip records or replace</x:v>
      </x:c>
      <x:c r="H12" s="24" t="str">
        <x:v>Sprint 17/H6</x:v>
      </x:c>
      <x:c r="I12" s="24" t="str">
        <x:v>H6</x:v>
      </x:c>
      <x:c r="J12" s="24" t="str">
        <x:v>18_Audio_Bible.md</x:v>
      </x:c>
      <x:c r="K12" s="24" t="str">
        <x:v>AUD-LIC-*</x:v>
      </x:c>
      <x:c r="L12" s="24" t="str">
        <x:v>Sí</x:v>
      </x:c>
      <x:c r="M12" s="24" t="str">
        <x:v>Per-clip evidence and credit</x:v>
      </x:c>
      <x:c r="N12" s="24" t="str">
        <x:v>VRM Games</x:v>
      </x:c>
      <x:c r="O12" s="24" t="str"/>
    </x:row>
    <x:row r="13" ht="34" customHeight="1">
      <x:c r="A13" s="24" t="str">
        <x:v>LEG-DEBT-003</x:v>
      </x:c>
      <x:c r="B13" s="24" t="str">
        <x:v>Legal</x:v>
      </x:c>
      <x:c r="C13" s="24" t="str">
        <x:v>S1</x:v>
      </x:c>
      <x:c r="D13" s="24" t="str">
        <x:v>Font</x:v>
      </x:c>
      <x:c r="E13" s="24" t="str">
        <x:v>Production font missing and fallback not final</x:v>
      </x:c>
      <x:c r="F13" s="24" t="str">
        <x:v>Open</x:v>
      </x:c>
      <x:c r="G13" s="24" t="str">
        <x:v>Select, license, hash and test font</x:v>
      </x:c>
      <x:c r="H13" s="24" t="str">
        <x:v>Sprint 17/H6</x:v>
      </x:c>
      <x:c r="I13" s="24" t="str">
        <x:v>H6</x:v>
      </x:c>
      <x:c r="J13" s="24" t="str">
        <x:v>19_UI_Style_Guide.md</x:v>
      </x:c>
      <x:c r="K13" s="24" t="str">
        <x:v>UI-FONT-FUTURE</x:v>
      </x:c>
      <x:c r="L13" s="24" t="str">
        <x:v>Sí</x:v>
      </x:c>
      <x:c r="M13" s="24" t="str">
        <x:v>Font license + build evidence</x:v>
      </x:c>
      <x:c r="N13" s="24" t="str">
        <x:v>VRM Games</x:v>
      </x:c>
      <x:c r="O13" s="24" t="str"/>
    </x:row>
    <x:row r="14" ht="34" customHeight="1">
      <x:c r="A14" s="24" t="str">
        <x:v>LEG-DEBT-004</x:v>
      </x:c>
      <x:c r="B14" s="24" t="str">
        <x:v>Legal</x:v>
      </x:c>
      <x:c r="C14" s="24" t="str">
        <x:v>S1</x:v>
      </x:c>
      <x:c r="D14" s="24" t="str">
        <x:v>Packages</x:v>
      </x:c>
      <x:c r="E14" s="24" t="str">
        <x:v>Exact LICENSE/NOTICE collection missing</x:v>
      </x:c>
      <x:c r="F14" s="24" t="str">
        <x:v>Open</x:v>
      </x:c>
      <x:c r="G14" s="24" t="str">
        <x:v>Generate package license archive and THIRD_PARTY_NOTICES</x:v>
      </x:c>
      <x:c r="H14" s="24" t="str">
        <x:v>H6</x:v>
      </x:c>
      <x:c r="I14" s="24" t="str">
        <x:v>H6</x:v>
      </x:c>
      <x:c r="J14" s="24" t="str">
        <x:v>Packages.zip</x:v>
      </x:c>
      <x:c r="K14" s="24" t="str">
        <x:v>PKG-*</x:v>
      </x:c>
      <x:c r="L14" s="24" t="str">
        <x:v>Sí</x:v>
      </x:c>
      <x:c r="M14" s="24" t="str">
        <x:v>Notices file and audit</x:v>
      </x:c>
      <x:c r="N14" s="24" t="str">
        <x:v>VRM Games</x:v>
      </x:c>
      <x:c r="O14" s="24" t="str"/>
    </x:row>
    <x:row r="15" ht="34" customHeight="1">
      <x:c r="A15" s="24" t="str">
        <x:v>LEG-DEBT-005</x:v>
      </x:c>
      <x:c r="B15" s="24" t="str">
        <x:v>Legal</x:v>
      </x:c>
      <x:c r="C15" s="24" t="str">
        <x:v>S2</x:v>
      </x:c>
      <x:c r="D15" s="24" t="str">
        <x:v>Generated content</x:v>
      </x:c>
      <x:c r="E15" s="24" t="str">
        <x:v>Concept prompt/terms/use decision incomplete per image</x:v>
      </x:c>
      <x:c r="F15" s="24" t="str">
        <x:v>Open</x:v>
      </x:c>
      <x:c r="G15" s="24" t="str">
        <x:v>Record generation context and public-use decision</x:v>
      </x:c>
      <x:c r="H15" s="24" t="str">
        <x:v>Before public use</x:v>
      </x:c>
      <x:c r="I15" s="24" t="str">
        <x:v>Marketing</x:v>
      </x:c>
      <x:c r="J15" s="24" t="str">
        <x:v>Concept folders</x:v>
      </x:c>
      <x:c r="K15" s="24" t="str">
        <x:v>GEN-IMG-*</x:v>
      </x:c>
      <x:c r="L15" s="24" t="str">
        <x:v>Review</x:v>
      </x:c>
      <x:c r="M15" s="24" t="str">
        <x:v>Per-image record</x:v>
      </x:c>
      <x:c r="N15" s="24" t="str">
        <x:v>VRM Games</x:v>
      </x:c>
      <x:c r="O15" s="24" t="str"/>
    </x:row>
    <x:row r="16" ht="34" customHeight="1">
      <x:c r="A16" s="24" t="str">
        <x:v>LEG-DEBT-006</x:v>
      </x:c>
      <x:c r="B16" s="24" t="str">
        <x:v>Legal</x:v>
      </x:c>
      <x:c r="C16" s="24" t="str">
        <x:v>S2</x:v>
      </x:c>
      <x:c r="D16" s="24" t="str">
        <x:v>Credits</x:v>
      </x:c>
      <x:c r="E16" s="24" t="str">
        <x:v>Audio/localization/tester names and consent incomplete</x:v>
      </x:c>
      <x:c r="F16" s="24" t="str">
        <x:v>Open</x:v>
      </x:c>
      <x:c r="G16" s="24" t="str">
        <x:v>Complete credits and permissions</x:v>
      </x:c>
      <x:c r="H16" s="24" t="str">
        <x:v>H6</x:v>
      </x:c>
      <x:c r="I16" s="24" t="str">
        <x:v>H6</x:v>
      </x:c>
      <x:c r="J16" s="24" t="str">
        <x:v>Credits register</x:v>
      </x:c>
      <x:c r="K16" s="24" t="str">
        <x:v>CR-005;CR-006;CR-007</x:v>
      </x:c>
      <x:c r="L16" s="24" t="str">
        <x:v>Review</x:v>
      </x:c>
      <x:c r="M16" s="24" t="str">
        <x:v>Approved credits</x:v>
      </x:c>
      <x:c r="N16" s="24" t="str">
        <x:v>VRM Games</x:v>
      </x:c>
      <x:c r="O16" s="24" t="str"/>
    </x:row>
    <x:row r="17" ht="34" customHeight="1">
      <x:c r="A17" s="24" t="str">
        <x:v>LEG-DEBT-007</x:v>
      </x:c>
      <x:c r="B17" s="24" t="str">
        <x:v>Legal</x:v>
      </x:c>
      <x:c r="C17" s="24" t="str">
        <x:v>S2</x:v>
      </x:c>
      <x:c r="D17" s="24" t="str">
        <x:v>Localization</x:v>
      </x:c>
      <x:c r="E17" s="24" t="str">
        <x:v>Translator agreement and data handling process absent</x:v>
      </x:c>
      <x:c r="F17" s="24" t="str">
        <x:v>Open</x:v>
      </x:c>
      <x:c r="G17" s="24" t="str">
        <x:v>Prepare internal/external translation terms</x:v>
      </x:c>
      <x:c r="H17" s="24" t="str">
        <x:v>Sprint 17</x:v>
      </x:c>
      <x:c r="I17" s="24" t="str">
        <x:v>H6</x:v>
      </x:c>
      <x:c r="J17" s="24" t="str">
        <x:v>22_Localization_Plan.md</x:v>
      </x:c>
      <x:c r="K17" s="24" t="str">
        <x:v>LOC-LIC-002</x:v>
      </x:c>
      <x:c r="L17" s="24" t="str">
        <x:v>Review</x:v>
      </x:c>
      <x:c r="M17" s="24" t="str">
        <x:v>Agreement or authorship record</x:v>
      </x:c>
      <x:c r="N17" s="24" t="str">
        <x:v>VRM Games</x:v>
      </x:c>
      <x:c r="O17" s="24" t="str"/>
    </x:row>
    <x:row r="18" ht="34" customHeight="1">
      <x:c r="A18" s="24" t="str">
        <x:v>LEG-DEBT-008</x:v>
      </x:c>
      <x:c r="B18" s="24" t="str">
        <x:v>Legal</x:v>
      </x:c>
      <x:c r="C18" s="24" t="str">
        <x:v>S2</x:v>
      </x:c>
      <x:c r="D18" s="24" t="str">
        <x:v>Models</x:v>
      </x:c>
      <x:c r="E18" s="24" t="str">
        <x:v>Blender/source provenance not linked per model</x:v>
      </x:c>
      <x:c r="F18" s="24" t="str">
        <x:v>Open</x:v>
      </x:c>
      <x:c r="G18" s="24" t="str">
        <x:v>Archive source files or authorship batch declaration</x:v>
      </x:c>
      <x:c r="H18" s="24" t="str">
        <x:v>H6</x:v>
      </x:c>
      <x:c r="I18" s="24" t="str">
        <x:v>H6</x:v>
      </x:c>
      <x:c r="J18" s="24" t="str">
        <x:v>Assets.zip</x:v>
      </x:c>
      <x:c r="K18" s="24" t="str">
        <x:v>MOD-*</x:v>
      </x:c>
      <x:c r="L18" s="24" t="str">
        <x:v>Review</x:v>
      </x:c>
      <x:c r="M18" s="24" t="str">
        <x:v>Source manifest</x:v>
      </x:c>
      <x:c r="N18" s="24" t="str">
        <x:v>VRM Games</x:v>
      </x:c>
      <x:c r="O18" s="24" t="str"/>
    </x:row>
    <x:row r="19" ht="34" customHeight="1">
      <x:c r="A19" s="24" t="str">
        <x:v>LEG-DEBT-009</x:v>
      </x:c>
      <x:c r="B19" s="24" t="str">
        <x:v>Legal</x:v>
      </x:c>
      <x:c r="C19" s="24" t="str">
        <x:v>S1</x:v>
      </x:c>
      <x:c r="D19" s="24" t="str">
        <x:v>Build gate</x:v>
      </x:c>
      <x:c r="E19" s="24" t="str">
        <x:v>No legal approval workflow executed on a candidate</x:v>
      </x:c>
      <x:c r="F19" s="24" t="str">
        <x:v>Open</x:v>
      </x:c>
      <x:c r="G19" s="24" t="str">
        <x:v>Run legal release checklist and sign decision</x:v>
      </x:c>
      <x:c r="H19" s="24" t="str">
        <x:v>H6</x:v>
      </x:c>
      <x:c r="I19" s="24" t="str">
        <x:v>H6</x:v>
      </x:c>
      <x:c r="J19" s="24" t="str">
        <x:v>Build register</x:v>
      </x:c>
      <x:c r="K19" s="24" t="str">
        <x:v>BLD-H6</x:v>
      </x:c>
      <x:c r="L19" s="24" t="str">
        <x:v>Sí</x:v>
      </x:c>
      <x:c r="M19" s="24" t="str">
        <x:v>Approved candidate record</x:v>
      </x:c>
      <x:c r="N19" s="24" t="str">
        <x:v>VRM Games</x:v>
      </x:c>
      <x:c r="O19" s="24" t="str"/>
    </x:row>
    <x:row r="20" ht="34" customHeight="1">
      <x:c r="A20" s="24" t="str">
        <x:v>LEG-DEBT-010</x:v>
      </x:c>
      <x:c r="B20" s="24" t="str">
        <x:v>Legal</x:v>
      </x:c>
      <x:c r="C20" s="24" t="str">
        <x:v>S2</x:v>
      </x:c>
      <x:c r="D20" s="24" t="str">
        <x:v>Privacy</x:v>
      </x:c>
      <x:c r="E20" s="24" t="str">
        <x:v>No data-flow inventory for future online/telemetry features</x:v>
      </x:c>
      <x:c r="F20" s="24" t="str">
        <x:v>Deferred</x:v>
      </x:c>
      <x:c r="G20" s="24" t="str">
        <x:v>Keep systems closed; create before implementation</x:v>
      </x:c>
      <x:c r="H20" s="24" t="str">
        <x:v>Post-H6</x:v>
      </x:c>
      <x:c r="I20" s="24" t="str">
        <x:v>Future</x:v>
      </x:c>
      <x:c r="J20" s="24" t="str">
        <x:v>Scope documents</x:v>
      </x:c>
      <x:c r="K20" s="24" t="str">
        <x:v>Future systems</x:v>
      </x:c>
      <x:c r="L20" s="24" t="str">
        <x:v>No current</x:v>
      </x:c>
      <x:c r="M20" s="24" t="str">
        <x:v>Data inventory/privacy plan</x:v>
      </x:c>
      <x:c r="N20" s="24" t="str">
        <x:v>VRM Games</x:v>
      </x:c>
      <x:c r="O20" s="24" t="str"/>
    </x:row>
    <x:row r="21" ht="26.399999618530273" hidden="0" customHeight="1">
      <x:c r="A21" s="47" t="str">
        <x:v>LEG-DEBT-011</x:v>
      </x:c>
      <x:c r="B21" s="47" t="str">
        <x:v>Legal / Marketing</x:v>
      </x:c>
      <x:c r="C21" s="47" t="str">
        <x:v>S1</x:v>
      </x:c>
      <x:c r="D21" s="47" t="str">
        <x:v>Claims</x:v>
      </x:c>
      <x:c r="E21" s="47" t="str">
        <x:v>Claim matrix and source-build approval are not executed</x:v>
      </x:c>
      <x:c r="F21" s="47" t="str">
        <x:v>Open</x:v>
      </x:c>
      <x:c r="G21" s="47" t="str">
        <x:v>Link each public claim/media item to evidence, legal review and marketing approval</x:v>
      </x:c>
      <x:c r="H21" s="47" t="str">
        <x:v>Premarketing</x:v>
      </x:c>
      <x:c r="I21" s="47" t="str">
        <x:v>Premarketing</x:v>
      </x:c>
      <x:c r="J21" s="47" t="str">
        <x:v>28_Marketing_and_Communication_Plan.md; 31_H6_and_Release_Readiness_Checklist.xlsx</x:v>
      </x:c>
      <x:c r="K21" s="47" t="str">
        <x:v>LR-021</x:v>
      </x:c>
      <x:c r="L21" s="47" t="str">
        <x:v>Sí</x:v>
      </x:c>
      <x:c r="M21" s="47" t="str">
        <x:v>Approved claim matrix and media provenance</x:v>
      </x:c>
      <x:c r="N21" s="47" t="str">
        <x:v>VRM Games</x:v>
      </x:c>
      <x:c r="O21" s="47" t="str">
        <x:v>Campaign remains NOT OPEN.</x:v>
      </x:c>
    </x:row>
    <x:row r="22" ht="15" hidden="0" customHeight="1">
      <x:c r="A22" s="47" t="str">
        <x:v>LEG-DEBT-012</x:v>
      </x:c>
      <x:c r="B22" s="47" t="str">
        <x:v>Legal / Accessibility</x:v>
      </x:c>
      <x:c r="C22" s="47" t="str">
        <x:v>S1</x:v>
      </x:c>
      <x:c r="D22" s="47" t="str">
        <x:v>Accessibility</x:v>
      </x:c>
      <x:c r="E22" s="47" t="str">
        <x:v>No approved accessibility statement tied to implemented/tested features</x:v>
      </x:c>
      <x:c r="F22" s="47" t="str">
        <x:v>Open</x:v>
      </x:c>
      <x:c r="G22" s="47" t="str">
        <x:v>Execute accessibility QA and approve qualified store wording</x:v>
      </x:c>
      <x:c r="H22" s="47" t="str">
        <x:v>H6 / pre-Steam</x:v>
      </x:c>
      <x:c r="I22" s="47" t="str">
        <x:v>H6</x:v>
      </x:c>
      <x:c r="J22" s="47" t="str">
        <x:v>29_Accessibility_and_Inclusive_Design_Plan.md</x:v>
      </x:c>
      <x:c r="K22" s="47" t="str">
        <x:v>LR-022</x:v>
      </x:c>
      <x:c r="L22" s="47" t="str">
        <x:v>Sí</x:v>
      </x:c>
      <x:c r="M22" s="47" t="str">
        <x:v>Accessibility report, build and statement</x:v>
      </x:c>
      <x:c r="N22" s="47" t="str">
        <x:v>VRM Games</x:v>
      </x:c>
      <x:c r="O22" s="47" t="str">
        <x:v>Do not publish aspirational claims.</x:v>
      </x:c>
    </x:row>
    <x:row r="23" ht="26.399999618530273" hidden="0" customHeight="1">
      <x:c r="A23" s="47" t="str">
        <x:v>LEG-DEBT-013</x:v>
      </x:c>
      <x:c r="B23" s="47" t="str">
        <x:v>Legal / Performance</x:v>
      </x:c>
      <x:c r="C23" s="47" t="str">
        <x:v>S1</x:v>
      </x:c>
      <x:c r="D23" s="47" t="str">
        <x:v>System requirements</x:v>
      </x:c>
      <x:c r="E23" s="47" t="str">
        <x:v>No reproducible benchmark supports store requirements or performance claims</x:v>
      </x:c>
      <x:c r="F23" s="47" t="str">
        <x:v>Open</x:v>
      </x:c>
      <x:c r="G23" s="47" t="str">
        <x:v>Run benchmark protocol and approve requirements</x:v>
      </x:c>
      <x:c r="H23" s="47" t="str">
        <x:v>H6 / pre-Steam</x:v>
      </x:c>
      <x:c r="I23" s="47" t="str">
        <x:v>H6</x:v>
      </x:c>
      <x:c r="J23" s="47" t="str">
        <x:v>30_Performance_and_Optimization_Plan.md</x:v>
      </x:c>
      <x:c r="K23" s="47" t="str">
        <x:v>LR-023</x:v>
      </x:c>
      <x:c r="L23" s="47" t="str">
        <x:v>Sí</x:v>
      </x:c>
      <x:c r="M23" s="47" t="str">
        <x:v>Performance report and requirements decision</x:v>
      </x:c>
      <x:c r="N23" s="47" t="str">
        <x:v>VRM Games</x:v>
      </x:c>
      <x:c r="O23" s="47" t="str">
        <x:v>Editor results are insufficient.</x:v>
      </x:c>
    </x:row>
    <x:row r="24" ht="26.399999618530273" hidden="0" customHeight="1">
      <x:c r="A24" s="47" t="str">
        <x:v>LEG-DEBT-014</x:v>
      </x:c>
      <x:c r="B24" s="47" t="str">
        <x:v>Security / Privacy</x:v>
      </x:c>
      <x:c r="C24" s="47" t="str">
        <x:v>S1</x:v>
      </x:c>
      <x:c r="D24" s="47" t="str">
        <x:v>Release package</x:v>
      </x:c>
      <x:c r="E24" s="47" t="str">
        <x:v>Secret/PII scan, data-flow review and incident ownership not executed</x:v>
      </x:c>
      <x:c r="F24" s="47" t="str">
        <x:v>Open</x:v>
      </x:c>
      <x:c r="G24" s="47" t="str">
        <x:v>Run scans and privacy/security release review</x:v>
      </x:c>
      <x:c r="H24" s="47" t="str">
        <x:v>H6 / RC</x:v>
      </x:c>
      <x:c r="I24" s="47" t="str">
        <x:v>H6/RC</x:v>
      </x:c>
      <x:c r="J24" s="47" t="str">
        <x:v>26_Privacy_Data_and_Telemetry_Plan.md; 27_Security_and_Incident_Response_Plan.md</x:v>
      </x:c>
      <x:c r="K24" s="47" t="str">
        <x:v>LR-024;LR-025</x:v>
      </x:c>
      <x:c r="L24" s="47" t="str">
        <x:v>Sí</x:v>
      </x:c>
      <x:c r="M24" s="47" t="str">
        <x:v>Scan reports, data inventory and approvals</x:v>
      </x:c>
      <x:c r="N24" s="47" t="str">
        <x:v>VRM Games</x:v>
      </x:c>
      <x:c r="O24" s="47" t="str">
        <x:v>Systems remain closed until reviewed.</x:v>
      </x:c>
    </x:row>
    <x:row r="25" ht="39.599998474121094" hidden="0" customHeight="1">
      <x:c r="A25" s="47" t="str">
        <x:v>LEG-DEBT-015</x:v>
      </x:c>
      <x:c r="B25" s="47" t="str">
        <x:v>Continuity</x:v>
      </x:c>
      <x:c r="C25" s="47" t="str">
        <x:v>S1</x:v>
      </x:c>
      <x:c r="D25" s="47" t="str">
        <x:v>Legal evidence</x:v>
      </x:c>
      <x:c r="E25" s="47" t="str">
        <x:v>Backup and restoration of legal evidence/accounts not verified</x:v>
      </x:c>
      <x:c r="F25" s="47" t="str">
        <x:v>Open</x:v>
      </x:c>
      <x:c r="G25" s="47" t="str">
        <x:v>Create independent copies, hashes, recovery map and restore test</x:v>
      </x:c>
      <x:c r="H25" s="47" t="str">
        <x:v>Final Baseline</x:v>
      </x:c>
      <x:c r="I25" s="47" t="str">
        <x:v>Final Baseline</x:v>
      </x:c>
      <x:c r="J25" s="47" t="str">
        <x:v>32_Documentation_Baseline_Manifest.xlsx; 33_Project_Risk_Register_and_Business_Continuity_Plan.xlsx</x:v>
      </x:c>
      <x:c r="K25" s="47" t="str">
        <x:v>LR-027</x:v>
      </x:c>
      <x:c r="L25" s="47" t="str">
        <x:v>Sí</x:v>
      </x:c>
      <x:c r="M25" s="47" t="str">
        <x:v>Restore report and access recovery evidence</x:v>
      </x:c>
      <x:c r="N25" s="47" t="str">
        <x:v>VRM Games</x:v>
      </x:c>
      <x:c r="O25" s="47" t="str">
        <x:v>External URLs alone are insufficient.</x:v>
      </x:c>
    </x:row>
    <x:row r="26" ht="26.399999618530273" hidden="0" customHeight="1">
      <x:c r="A26" s="47" t="str">
        <x:v>LEG-DEBT-016</x:v>
      </x:c>
      <x:c r="B26" s="47" t="str">
        <x:v>Operations / Handoff</x:v>
      </x:c>
      <x:c r="C26" s="47" t="str">
        <x:v>S2</x:v>
      </x:c>
      <x:c r="D26" s="47" t="str">
        <x:v>Handoff</x:v>
      </x:c>
      <x:c r="E26" s="47" t="str">
        <x:v>Final legal/release runbook, account map, commit/tag and independent handoff test absent</x:v>
      </x:c>
      <x:c r="F26" s="47" t="str">
        <x:v>Open</x:v>
      </x:c>
      <x:c r="G26" s="47" t="str">
        <x:v>Complete 34 and execute independent handoff</x:v>
      </x:c>
      <x:c r="H26" s="47" t="str">
        <x:v>Before release handoff</x:v>
      </x:c>
      <x:c r="I26" s="47" t="str">
        <x:v>Operations</x:v>
      </x:c>
      <x:c r="J26" s="47" t="str">
        <x:v>34_Final_Handoff_and_Project_Operations_Manual.md</x:v>
      </x:c>
      <x:c r="K26" s="47" t="str">
        <x:v>LR-028</x:v>
      </x:c>
      <x:c r="L26" s="47" t="str">
        <x:v>Review</x:v>
      </x:c>
      <x:c r="M26" s="47" t="str">
        <x:v>Signed handoff and runbook verification</x:v>
      </x:c>
      <x:c r="N26" s="47" t="str">
        <x:v>VRM Games</x:v>
      </x:c>
      <x:c r="O26" s="47" t="str">
        <x:v>No credentials stored in workbook.</x:v>
      </x:c>
    </x:row>
  </x:sheetData>
  <x:mergeCells>
    <x:mergeCell ref="A1:O1"/>
    <x:mergeCell ref="A2:O2"/>
  </x:mergeCells>
  <x:conditionalFormatting sqref="F5:F20">
    <x:cfRule type="expression" dxfId="116" priority="1">
      <x:formula>OR(ISNUMBER(SEARCH("APPROVED",F5)),ISNUMBER(SEARCH("READY",F5)),ISNUMBER(SEARCH("ACTIVE",F5)),ISNUMBER(SEARCH("VERIFIED",F5)))</x:formula>
    </x:cfRule>
    <x:cfRule type="expression" dxfId="117" priority="2">
      <x:formula>OR(ISNUMBER(SEARCH("BLOCK",F5)),ISNUMBER(SEARCH("PROHIBITED",F5)),ISNUMBER(SEARCH("CRITICAL",F5)),ISNUMBER(SEARCH("MISSING",F5)))</x:formula>
    </x:cfRule>
    <x:cfRule type="expression" dxfId="118" priority="3">
      <x:formula>OR(ISNUMBER(SEARCH("PENDING",F5)),ISNUMBER(SEARCH("PARTIAL",F5)),ISNUMBER(SEARCH("REVIEW",F5)),ISNUMBER(SEARCH("CONDITIONAL",F5)))</x:formula>
    </x:cfRule>
    <x:cfRule type="expression" dxfId="119" priority="4">
      <x:formula>OR(ISNUMBER(SEARCH("HISTORICAL",F5)),ISNUMBER(SEARCH("VISION",F5)),ISNUMBER(SEARCH("OPTIONAL",F5)))</x:formula>
    </x:cfRule>
  </x:conditionalFormatting>
  <x:conditionalFormatting sqref="C5:C20">
    <x:cfRule type="expression" dxfId="120" priority="5">
      <x:formula>OR(ISNUMBER(SEARCH("APPROVED",C5)),ISNUMBER(SEARCH("READY",C5)),ISNUMBER(SEARCH("ACTIVE",C5)),ISNUMBER(SEARCH("VERIFIED",C5)))</x:formula>
    </x:cfRule>
    <x:cfRule type="expression" dxfId="121" priority="6">
      <x:formula>OR(ISNUMBER(SEARCH("BLOCK",C5)),ISNUMBER(SEARCH("PROHIBITED",C5)),ISNUMBER(SEARCH("CRITICAL",C5)),ISNUMBER(SEARCH("MISSING",C5)))</x:formula>
    </x:cfRule>
    <x:cfRule type="expression" dxfId="122" priority="7">
      <x:formula>OR(ISNUMBER(SEARCH("PENDING",C5)),ISNUMBER(SEARCH("PARTIAL",C5)),ISNUMBER(SEARCH("REVIEW",C5)),ISNUMBER(SEARCH("CONDITIONAL",C5)))</x:formula>
    </x:cfRule>
    <x:cfRule type="expression" dxfId="123" priority="8">
      <x:formula>OR(ISNUMBER(SEARCH("HISTORICAL",C5)),ISNUMBER(SEARCH("VISION",C5)),ISNUMBER(SEARCH("OPTIONAL",C5)))</x:formula>
    </x:cfRule>
  </x:conditionalFormatting>
  <x:dataValidations count="2">
    <x:dataValidation type="list" sqref="C5:C20">
      <x:formula1>"S0,S1,S2,S3,S4"</x:formula1>
    </x:dataValidation>
    <x:dataValidation type="list" sqref="F5:F20">
      <x:formula1>"Open,In Progress,Closed,Deferred,Accepted Debt,Blocked"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c5a32b66624ae9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54" hidden="0" customWidth="1"/>
    <x:col min="4" max="4" width="12" hidden="0" customWidth="1"/>
    <x:col min="5" max="5" width="82" hidden="0" customWidth="1"/>
    <x:col min="6" max="6" width="68" hidden="0" customWidth="1"/>
    <x:col min="7" max="7" width="28" hidden="0" customWidth="1"/>
    <x:col min="8" max="8" width="90" hidden="0" customWidth="1"/>
    <x:col min="9" max="9" width="42" hidden="0" customWidth="1"/>
    <x:col min="10" max="10" width="46" hidden="0" customWidth="1"/>
    <x:col min="11" max="11" width="44" hidden="0" customWidth="1"/>
    <x:col min="12" max="12" width="55" hidden="0" customWidth="1"/>
  </x:cols>
  <x:sheetData>
    <x:row r="1" ht="30" customHeight="1">
      <x:c r="A1" s="4" t="str">
        <x:v>Genealogía de registros legales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10" t="str">
        <x:v>Versiones v0.3–v0.5, hashes, políticas y sustitución.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8" customHeight="1">
      <x:c r="A4" s="17" t="str">
        <x:v>History ID</x:v>
      </x:c>
      <x:c r="B4" s="17" t="str">
        <x:v>Baseline</x:v>
      </x:c>
      <x:c r="C4" s="17" t="str">
        <x:v>Documento</x:v>
      </x:c>
      <x:c r="D4" s="17" t="str">
        <x:v>Tipo</x:v>
      </x:c>
      <x:c r="E4" s="17" t="str">
        <x:v>Ruta</x:v>
      </x:c>
      <x:c r="F4" s="17" t="str">
        <x:v>SHA-256</x:v>
      </x:c>
      <x:c r="G4" s="17" t="str">
        <x:v>Estado histórico</x:v>
      </x:c>
      <x:c r="H4" s="17" t="str">
        <x:v>Política/Contenido</x:v>
      </x:c>
      <x:c r="I4" s="17" t="str">
        <x:v>Autoridad actual</x:v>
      </x:c>
      <x:c r="J4" s="17" t="str">
        <x:v>Cambios relevantes</x:v>
      </x:c>
      <x:c r="K4" s="17" t="str">
        <x:v>Acción</x:v>
      </x:c>
      <x:c r="L4" s="17" t="str">
        <x:v>Notas</x:v>
      </x:c>
    </x:row>
    <x:row r="5" ht="34" customHeight="1">
      <x:c r="A5" s="24" t="str">
        <x:v>HIS-001</x:v>
      </x:c>
      <x:c r="B5" s="24" t="str">
        <x:v>0.3</x:v>
      </x:c>
      <x:c r="C5" s="24" t="str">
        <x:v>Cartridge_And_Cloud_Legal_Credits_Licenses_Register_v0.3.pdf</x:v>
      </x:c>
      <x:c r="D5" s="24" t="str">
        <x:v>PDF</x:v>
      </x:c>
      <x:c r="E5" s="24" t="str">
        <x:v>Documentation/00_Official_Baseline/v0.3/05_Business_Release/Cartridge_And_Cloud_Legal_Credits_Licenses_Register_v0.3.pdf</x:v>
      </x:c>
      <x:c r="F5" s="24" t="str">
        <x:v>e358622a237b57cdcd65fb380460d70eafa0ef1085b43bf5e8fb7dff3ee734f0</x:v>
      </x:c>
      <x:c r="G5" s="24" t="str">
        <x:v>Superseded but preserved</x:v>
      </x:c>
      <x:c r="H5" s="24" t="str">
        <x:v>Preproduction rule: no public asset without origin, commercial use, attribution and evidence; AI, brands, contributors, fonts, open source and credits policies introduced.</x:v>
      </x:c>
      <x:c r="I5" s="24" t="str">
        <x:v>23_Legal_Credits_and_Licenses_Register.xlsx</x:v>
      </x:c>
      <x:c r="J5" s="24" t="str">
        <x:v>Increasing implementation specificity while preserving original safety rule</x:v>
      </x:c>
      <x:c r="K5" s="24" t="str">
        <x:v>Preserve immutable; use for genealogy and audit</x:v>
      </x:c>
      <x:c r="L5" s="24" t="str">
        <x:v>22.01 KiB</x:v>
      </x:c>
    </x:row>
    <x:row r="6" ht="34" customHeight="1">
      <x:c r="A6" s="24" t="str">
        <x:v>HIS-002</x:v>
      </x:c>
      <x:c r="B6" s="24" t="str">
        <x:v>0.3</x:v>
      </x:c>
      <x:c r="C6" s="24" t="str">
        <x:v>Cartridge_And_Cloud_Legal_Credits_Licenses_Register_v0.3.md</x:v>
      </x:c>
      <x:c r="D6" s="24" t="str">
        <x:v>MD</x:v>
      </x:c>
      <x:c r="E6" s="24" t="str">
        <x:v>Documentation/00_Official_Baseline/v0.3/99_Source_Markdown/Cartridge_And_Cloud_Legal_Credits_Licenses_Register_v0.3.md</x:v>
      </x:c>
      <x:c r="F6" s="24" t="str">
        <x:v>ffc5bc6af65b27ede021acfdef2dbc5f20f680560e0be1a872586ab146a2f101</x:v>
      </x:c>
      <x:c r="G6" s="24" t="str">
        <x:v>Superseded but preserved</x:v>
      </x:c>
      <x:c r="H6" s="24" t="str">
        <x:v>Preproduction rule: no public asset without origin, commercial use, attribution and evidence; AI, brands, contributors, fonts, open source and credits policies introduced.</x:v>
      </x:c>
      <x:c r="I6" s="24" t="str">
        <x:v>23_Legal_Credits_and_Licenses_Register.xlsx</x:v>
      </x:c>
      <x:c r="J6" s="24" t="str">
        <x:v>Increasing implementation specificity while preserving original safety rule</x:v>
      </x:c>
      <x:c r="K6" s="24" t="str">
        <x:v>Preserve immutable; use for genealogy and audit</x:v>
      </x:c>
      <x:c r="L6" s="24" t="str">
        <x:v>3.88 KiB</x:v>
      </x:c>
    </x:row>
    <x:row r="7" ht="34" customHeight="1">
      <x:c r="A7" s="24" t="str">
        <x:v>HIS-003</x:v>
      </x:c>
      <x:c r="B7" s="24" t="str">
        <x:v>0.4</x:v>
      </x:c>
      <x:c r="C7" s="24" t="str">
        <x:v>Cartridge_And_Cloud_Legal_Credits_Licenses_Register_v0.3.pdf</x:v>
      </x:c>
      <x:c r="D7" s="24" t="str">
        <x:v>PDF</x:v>
      </x:c>
      <x:c r="E7" s="24" t="str">
        <x:v>Documentation/00_Official_Baseline/v0.4/05_Business_Release/Cartridge_And_Cloud_Legal_Credits_Licenses_Register_v0.3.pdf</x:v>
      </x:c>
      <x:c r="F7" s="24" t="str">
        <x:v>e4105813b235d24b75edf539eae505342f58f1f26a4b087e870dcbda9d63f558</x:v>
      </x:c>
      <x:c r="G7" s="24" t="str">
        <x:v>Superseded but preserved</x:v>
      </x:c>
      <x:c r="H7" s="24" t="str">
        <x:v>Reissued v0.3 after Sprint 0 foundation; policy retained and technical baseline added.</x:v>
      </x:c>
      <x:c r="I7" s="24" t="str">
        <x:v>23_Legal_Credits_and_Licenses_Register.xlsx</x:v>
      </x:c>
      <x:c r="J7" s="24" t="str">
        <x:v>Increasing implementation specificity while preserving original safety rule</x:v>
      </x:c>
      <x:c r="K7" s="24" t="str">
        <x:v>Preserve immutable; use for genealogy and audit</x:v>
      </x:c>
      <x:c r="L7" s="24" t="str">
        <x:v>41.67 KiB</x:v>
      </x:c>
    </x:row>
    <x:row r="8" ht="34" customHeight="1">
      <x:c r="A8" s="24" t="str">
        <x:v>HIS-004</x:v>
      </x:c>
      <x:c r="B8" s="24" t="str">
        <x:v>0.4</x:v>
      </x:c>
      <x:c r="C8" s="24" t="str">
        <x:v>Cartridge_And_Cloud_Legal_Credits_Licenses_Register_v0.3.md</x:v>
      </x:c>
      <x:c r="D8" s="24" t="str">
        <x:v>MD</x:v>
      </x:c>
      <x:c r="E8" s="24" t="str">
        <x:v>Documentation/00_Official_Baseline/v0.4/99_Source_Markdown/Cartridge_And_Cloud_Legal_Credits_Licenses_Register_v0.3.md</x:v>
      </x:c>
      <x:c r="F8" s="24" t="str">
        <x:v>1a0e921f139b73179fe734eec452dcc3aa8c43860309390fe41ea1fb588fe81f</x:v>
      </x:c>
      <x:c r="G8" s="24" t="str">
        <x:v>Superseded but preserved</x:v>
      </x:c>
      <x:c r="H8" s="24" t="str">
        <x:v>Reissued v0.3 after Sprint 0 foundation; policy retained and technical baseline added.</x:v>
      </x:c>
      <x:c r="I8" s="24" t="str">
        <x:v>23_Legal_Credits_and_Licenses_Register.xlsx</x:v>
      </x:c>
      <x:c r="J8" s="24" t="str">
        <x:v>Increasing implementation specificity while preserving original safety rule</x:v>
      </x:c>
      <x:c r="K8" s="24" t="str">
        <x:v>Preserve immutable; use for genealogy and audit</x:v>
      </x:c>
      <x:c r="L8" s="24" t="str">
        <x:v>3.98 KiB</x:v>
      </x:c>
    </x:row>
    <x:row r="9" ht="34" customHeight="1">
      <x:c r="A9" s="24" t="str">
        <x:v>HIS-005</x:v>
      </x:c>
      <x:c r="B9" s="24" t="str">
        <x:v>0.5</x:v>
      </x:c>
      <x:c r="C9" s="24" t="str">
        <x:v>Cartridge_And_Cloud_Legal_Credits_Licenses_Register_v0.4.pdf</x:v>
      </x:c>
      <x:c r="D9" s="24" t="str">
        <x:v>PDF</x:v>
      </x:c>
      <x:c r="E9" s="24" t="str">
        <x:v>Documentation/00_Official_Baseline/v0.5/05_Business_Release/Cartridge_And_Cloud_Legal_Credits_Licenses_Register_v0.4.pdf</x:v>
      </x:c>
      <x:c r="F9" s="24" t="str">
        <x:v>d8fa9f63a454facc7e8d4e3fa8e50d1a95f0bb7a8f8bef06211e9d12accb5343</x:v>
      </x:c>
      <x:c r="G9" s="24" t="str">
        <x:v>Superseded but preserved</x:v>
      </x:c>
      <x:c r="H9" s="24" t="str">
        <x:v>v0.4 register: project ownership stated; primitives/materials internal; no final commercial assets approved at Sprint 5.</x:v>
      </x:c>
      <x:c r="I9" s="24" t="str">
        <x:v>23_Legal_Credits_and_Licenses_Register.xlsx</x:v>
      </x:c>
      <x:c r="J9" s="24" t="str">
        <x:v>Increasing implementation specificity while preserving original safety rule</x:v>
      </x:c>
      <x:c r="K9" s="24" t="str">
        <x:v>Preserve immutable; use for genealogy and audit</x:v>
      </x:c>
      <x:c r="L9" s="24" t="str">
        <x:v>15.41 KiB</x:v>
      </x:c>
    </x:row>
    <x:row r="10" ht="34" customHeight="1">
      <x:c r="A10" s="24" t="str">
        <x:v>HIS-006</x:v>
      </x:c>
      <x:c r="B10" s="24" t="str">
        <x:v>0.5</x:v>
      </x:c>
      <x:c r="C10" s="24" t="str">
        <x:v>Cartridge_And_Cloud_Legal_Credits_Licenses_Register_v0.4.md</x:v>
      </x:c>
      <x:c r="D10" s="24" t="str">
        <x:v>MD</x:v>
      </x:c>
      <x:c r="E10" s="24" t="str">
        <x:v>Documentation/00_Official_Baseline/v0.5/99_Source_Markdown/Cartridge_And_Cloud_Legal_Credits_Licenses_Register_v0.4.md</x:v>
      </x:c>
      <x:c r="F10" s="24" t="str">
        <x:v>18f78b69a56edee6f8783d32859d6e231d061422d24abd6feefdbf06fe68567b</x:v>
      </x:c>
      <x:c r="G10" s="24" t="str">
        <x:v>Superseded but preserved</x:v>
      </x:c>
      <x:c r="H10" s="24" t="str">
        <x:v>v0.4 register: project ownership stated; primitives/materials internal; no final commercial assets approved at Sprint 5.</x:v>
      </x:c>
      <x:c r="I10" s="24" t="str">
        <x:v>23_Legal_Credits_and_Licenses_Register.xlsx</x:v>
      </x:c>
      <x:c r="J10" s="24" t="str">
        <x:v>Increasing implementation specificity while preserving original safety rule</x:v>
      </x:c>
      <x:c r="K10" s="24" t="str">
        <x:v>Preserve immutable; use for genealogy and audit</x:v>
      </x:c>
      <x:c r="L10" s="24" t="str">
        <x:v>1.95 KiB</x:v>
      </x:c>
    </x:row>
    <x:row r="11" ht="34" customHeight="1">
      <x:c r="A11" s="24" t="str">
        <x:v>HIS-007</x:v>
      </x:c>
      <x:c r="B11" s="24" t="str">
        <x:v>0.6</x:v>
      </x:c>
      <x:c r="C11" s="24" t="str">
        <x:v>Cartridge_And_Cloud_Legal_Credits_Licenses_Register_v0.5.pdf</x:v>
      </x:c>
      <x:c r="D11" s="24" t="str">
        <x:v>PDF</x:v>
      </x:c>
      <x:c r="E11" s="24" t="str">
        <x:v>Documentation/00_Official_Baseline/v0.6/05_Business_Release/Cartridge_And_Cloud_Legal_Credits_Licenses_Register_v0.5.pdf</x:v>
      </x:c>
      <x:c r="F11" s="24" t="str">
        <x:v>eee199263d089442dc5ea6228b10b562d7930163c707a7e90402e734bf94db51</x:v>
      </x:c>
      <x:c r="G11" s="24" t="str">
        <x:v>Superseded but preserved</x:v>
      </x:c>
      <x:c r="H11" s="24" t="str">
        <x:v>v0.5 register: internal Blender kit assets treated as own production until documented otherwise; Unity packages under their terms; pre-Steam gate for notices, audio/fonts, privacy and brands.</x:v>
      </x:c>
      <x:c r="I11" s="24" t="str">
        <x:v>23_Legal_Credits_and_Licenses_Register.xlsx</x:v>
      </x:c>
      <x:c r="J11" s="24" t="str">
        <x:v>Increasing implementation specificity while preserving original safety rule</x:v>
      </x:c>
      <x:c r="K11" s="24" t="str">
        <x:v>Preserve immutable; use for genealogy and audit</x:v>
      </x:c>
      <x:c r="L11" s="24" t="str">
        <x:v>28.08 KiB</x:v>
      </x:c>
    </x:row>
    <x:row r="12" ht="34" customHeight="1">
      <x:c r="A12" s="24" t="str">
        <x:v>HIS-008</x:v>
      </x:c>
      <x:c r="B12" s="24" t="str">
        <x:v>0.6</x:v>
      </x:c>
      <x:c r="C12" s="24" t="str">
        <x:v>Cartridge_And_Cloud_Legal_Credits_Licenses_Register_v0.5.md</x:v>
      </x:c>
      <x:c r="D12" s="24" t="str">
        <x:v>MD</x:v>
      </x:c>
      <x:c r="E12" s="24" t="str">
        <x:v>Documentation/00_Official_Baseline/v0.6/99_Source_Markdown/Cartridge_And_Cloud_Legal_Credits_Licenses_Register_v0.5.md</x:v>
      </x:c>
      <x:c r="F12" s="24" t="str">
        <x:v>610fc2ca1dd8ea1859fb779039e5de841610646d1e5601d316b2fe34410c3c81</x:v>
      </x:c>
      <x:c r="G12" s="24" t="str">
        <x:v>Superseded but preserved</x:v>
      </x:c>
      <x:c r="H12" s="24" t="str">
        <x:v>v0.5 register: internal Blender kit assets treated as own production until documented otherwise; Unity packages under their terms; pre-Steam gate for notices, audio/fonts, privacy and brands.</x:v>
      </x:c>
      <x:c r="I12" s="24" t="str">
        <x:v>23_Legal_Credits_and_Licenses_Register.xlsx</x:v>
      </x:c>
      <x:c r="J12" s="24" t="str">
        <x:v>Increasing implementation specificity while preserving original safety rule</x:v>
      </x:c>
      <x:c r="K12" s="24" t="str">
        <x:v>Preserve immutable; use for genealogy and audit</x:v>
      </x:c>
      <x:c r="L12" s="24" t="str">
        <x:v>1.91 KiB</x:v>
      </x:c>
    </x:row>
    <x:row r="13" ht="26.399999618530273" hidden="0" customHeight="1">
      <x:c r="A13" s="47" t="str">
        <x:v>HIS-009</x:v>
      </x:c>
      <x:c r="B13" s="47" t="str">
        <x:v>RC1</x:v>
      </x:c>
      <x:c r="C13" s="47" t="str">
        <x:v>23_Legal_Credits_and_Licenses_Register.xlsx</x:v>
      </x:c>
      <x:c r="D13" s="47" t="str">
        <x:v>XLSX</x:v>
      </x:c>
      <x:c r="E13" s="47" t="str">
        <x:v>Documentation_RC1/23_Legal_Credits_and_Licenses_Register.xlsx</x:v>
      </x:c>
      <x:c r="F13" s="47" t="str">
        <x:v>f543b3b5de8900f405910fac5d72697045f8c4969d98fce4c1cf4f12e532b2f1</x:v>
      </x:c>
      <x:c r="G13" s="47" t="str">
        <x:v>Superseded by targeted update candidate</x:v>
      </x:c>
      <x:c r="H13" s="47" t="str">
        <x:v>First complete 00–22 legal register; cross-domain documents 24–34 not yet integrated.</x:v>
      </x:c>
      <x:c r="I13" s="47" t="str">
        <x:v>23_Legal_Credits_and_Licenses_Register.xlsx</x:v>
      </x:c>
      <x:c r="J13" s="47" t="str">
        <x:v>Adds 00–34 sources, cross-domain gates, risks, debt, restrictions and handoff/continuity.</x:v>
      </x:c>
      <x:c r="K13" s="47" t="str">
        <x:v>Preserve immutable; compare during audit</x:v>
      </x:c>
      <x:c r="L13" s="47" t="str">
        <x:v>454.23 KiB</x:v>
      </x:c>
    </x:row>
    <x:row r="14" ht="26.399999618530273" hidden="0" customHeight="1">
      <x:c r="A14" s="47" t="str">
        <x:v>HIS-010</x:v>
      </x:c>
      <x:c r="B14" s="47" t="str">
        <x:v>RC1 targeted update</x:v>
      </x:c>
      <x:c r="C14" s="47" t="str">
        <x:v>23_Legal_Credits_and_Licenses_Register.xlsx</x:v>
      </x:c>
      <x:c r="D14" s="47" t="str">
        <x:v>XLSX</x:v>
      </x:c>
      <x:c r="E14" s="47" t="str">
        <x:v>Documentacion_Tras_RC1/23_Legal_Credits_and_Licenses_Register.xlsx</x:v>
      </x:c>
      <x:c r="F14" s="47" t="str">
        <x:v>PENDING EXTERNAL SELF-HASH</x:v>
      </x:c>
      <x:c r="G14" s="47" t="str">
        <x:v>Current candidate</x:v>
      </x:c>
      <x:c r="H14" s="47" t="str">
        <x:v>Integrated with updated 12–15/21 and RC1 documents 24–34; still subject to 31/33/34, candidate 32 and audit 16.</x:v>
      </x:c>
      <x:c r="I14" s="47" t="str">
        <x:v>23_Legal_Credits_and_Licenses_Register.xlsx</x:v>
      </x:c>
      <x:c r="J14" s="47" t="str">
        <x:v>Current targeted update; final hash must be external and later propagated.</x:v>
      </x:c>
      <x:c r="K14" s="47" t="str">
        <x:v>Rehash after export and after any audit correction</x:v>
      </x:c>
      <x:c r="L14" s="47" t="str">
        <x:v>Candidate / not frozen</x:v>
      </x:c>
    </x:row>
  </x:sheetData>
  <x:mergeCells>
    <x:mergeCell ref="A1:L1"/>
    <x:mergeCell ref="A2:L2"/>
  </x:mergeCells>
  <x:conditionalFormatting sqref="G5:G12">
    <x:cfRule type="expression" dxfId="124" priority="1">
      <x:formula>OR(ISNUMBER(SEARCH("APPROVED",G5)),ISNUMBER(SEARCH("READY",G5)),ISNUMBER(SEARCH("ACTIVE",G5)),ISNUMBER(SEARCH("VERIFIED",G5)))</x:formula>
    </x:cfRule>
    <x:cfRule type="expression" dxfId="125" priority="2">
      <x:formula>OR(ISNUMBER(SEARCH("BLOCK",G5)),ISNUMBER(SEARCH("PROHIBITED",G5)),ISNUMBER(SEARCH("CRITICAL",G5)),ISNUMBER(SEARCH("MISSING",G5)))</x:formula>
    </x:cfRule>
    <x:cfRule type="expression" dxfId="126" priority="3">
      <x:formula>OR(ISNUMBER(SEARCH("PENDING",G5)),ISNUMBER(SEARCH("PARTIAL",G5)),ISNUMBER(SEARCH("REVIEW",G5)),ISNUMBER(SEARCH("CONDITIONAL",G5)))</x:formula>
    </x:cfRule>
    <x:cfRule type="expression" dxfId="127" priority="4">
      <x:formula>OR(ISNUMBER(SEARCH("HISTORICAL",G5)),ISNUMBER(SEARCH("VISION",G5)),ISNUMBER(SEARCH("OPTIONAL",G5)))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ba28b370d048b8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30" customHeight="1">
      <x:c r="A1" s="4" t="str">
        <x:v>Catálogos controlados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10" t="str">
        <x:v>Estados, riesgos, severidades, gates y decisiones válidas.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8" customHeight="1">
      <x:c r="A4" s="17" t="str">
        <x:v>Estado legal</x:v>
      </x:c>
      <x:c r="B4" s="17" t="str">
        <x:v>Evidencia</x:v>
      </x:c>
      <x:c r="C4" s="17" t="str">
        <x:v>Riesgo</x:v>
      </x:c>
      <x:c r="D4" s="17" t="str">
        <x:v>Severidad</x:v>
      </x:c>
      <x:c r="E4" s="17" t="str">
        <x:v>Estado deuda</x:v>
      </x:c>
      <x:c r="F4" s="17" t="str">
        <x:v>Estado crédito</x:v>
      </x:c>
      <x:c r="G4" s="17" t="str">
        <x:v>Distribución</x:v>
      </x:c>
      <x:c r="H4" s="17" t="str">
        <x:v>Atribución</x:v>
      </x:c>
      <x:c r="I4" s="17" t="str">
        <x:v>Tipo asset</x:v>
      </x:c>
      <x:c r="J4" s="17" t="str">
        <x:v>Cobertura</x:v>
      </x:c>
      <x:c r="K4" s="17" t="str">
        <x:v>Gate</x:v>
      </x:c>
      <x:c r="L4" s="17" t="str">
        <x:v>Decisión</x:v>
      </x:c>
    </x:row>
    <x:row r="5" ht="34" customHeight="1">
      <x:c r="A5" s="24" t="str">
        <x:v>APPROVED PUBLIC</x:v>
      </x:c>
      <x:c r="B5" s="24" t="str">
        <x:v>Sí</x:v>
      </x:c>
      <x:c r="C5" s="24" t="str">
        <x:v>Low</x:v>
      </x:c>
      <x:c r="D5" s="24" t="str">
        <x:v>S0</x:v>
      </x:c>
      <x:c r="E5" s="24" t="str">
        <x:v>Open</x:v>
      </x:c>
      <x:c r="F5" s="24" t="str">
        <x:v>READY</x:v>
      </x:c>
      <x:c r="G5" s="24" t="str">
        <x:v>None</x:v>
      </x:c>
      <x:c r="H5" s="24" t="str">
        <x:v>Required</x:v>
      </x:c>
      <x:c r="I5" s="24" t="str">
        <x:v>Code</x:v>
      </x:c>
      <x:c r="J5" s="24" t="str">
        <x:v>T0</x:v>
      </x:c>
      <x:c r="K5" s="24" t="str">
        <x:v>Baseline</x:v>
      </x:c>
      <x:c r="L5" s="24" t="str">
        <x:v>APPROVED</x:v>
      </x:c>
    </x:row>
    <x:row r="6" ht="34" customHeight="1">
      <x:c r="A6" s="24" t="str">
        <x:v>CONDITIONALLY APPROVED</x:v>
      </x:c>
      <x:c r="B6" s="24" t="str">
        <x:v>Parcial</x:v>
      </x:c>
      <x:c r="C6" s="24" t="str">
        <x:v>Medium</x:v>
      </x:c>
      <x:c r="D6" s="24" t="str">
        <x:v>S1</x:v>
      </x:c>
      <x:c r="E6" s="24" t="str">
        <x:v>In Progress</x:v>
      </x:c>
      <x:c r="F6" s="24" t="str">
        <x:v>PARTIAL</x:v>
      </x:c>
      <x:c r="G6" s="24" t="str">
        <x:v>Internal development</x:v>
      </x:c>
      <x:c r="H6" s="24" t="str">
        <x:v>Not required</x:v>
      </x:c>
      <x:c r="I6" s="24" t="str">
        <x:v>Assembly definition</x:v>
      </x:c>
      <x:c r="J6" s="24" t="str">
        <x:v>T1</x:v>
      </x:c>
      <x:c r="K6" s="24" t="str">
        <x:v>Sprint 16</x:v>
      </x:c>
      <x:c r="L6" s="24" t="str">
        <x:v>REJECTED</x:v>
      </x:c>
    </x:row>
    <x:row r="7" ht="34" customHeight="1">
      <x:c r="A7" s="24" t="str">
        <x:v>INTERNAL ONLY</x:v>
      </x:c>
      <x:c r="B7" s="24" t="str">
        <x:v>No</x:v>
      </x:c>
      <x:c r="C7" s="24" t="str">
        <x:v>High</x:v>
      </x:c>
      <x:c r="D7" s="24" t="str">
        <x:v>S2</x:v>
      </x:c>
      <x:c r="E7" s="24" t="str">
        <x:v>Closed</x:v>
      </x:c>
      <x:c r="F7" s="24" t="str">
        <x:v>BLOCKED</x:v>
      </x:c>
      <x:c r="G7" s="24" t="str">
        <x:v>Internal QA</x:v>
      </x:c>
      <x:c r="H7" s="24" t="str">
        <x:v>Conditional</x:v>
      </x:c>
      <x:c r="I7" s="24" t="str">
        <x:v>Prefab</x:v>
      </x:c>
      <x:c r="J7" s="24" t="str">
        <x:v>T2</x:v>
      </x:c>
      <x:c r="K7" s="24" t="str">
        <x:v>Sprint 17</x:v>
      </x:c>
      <x:c r="L7" s="24" t="str">
        <x:v>BLOCKED</x:v>
      </x:c>
    </x:row>
    <x:row r="8" ht="34" customHeight="1">
      <x:c r="A8" s="24" t="str">
        <x:v>PARTIAL / PUBLIC BLOCKED</x:v>
      </x:c>
      <x:c r="B8" s="24" t="str">
        <x:v>N/A</x:v>
      </x:c>
      <x:c r="C8" s="24" t="str">
        <x:v>Critical</x:v>
      </x:c>
      <x:c r="D8" s="24" t="str">
        <x:v>S3</x:v>
      </x:c>
      <x:c r="E8" s="24" t="str">
        <x:v>Deferred</x:v>
      </x:c>
      <x:c r="F8" s="24" t="str">
        <x:v>NOT STARTED</x:v>
      </x:c>
      <x:c r="G8" s="24" t="str">
        <x:v>External closed test</x:v>
      </x:c>
      <x:c r="H8" s="24" t="str">
        <x:v>Verify</x:v>
      </x:c>
      <x:c r="I8" s="24" t="str">
        <x:v>3D model</x:v>
      </x:c>
      <x:c r="J8" s="24" t="str">
        <x:v>T3</x:v>
      </x:c>
      <x:c r="K8" s="24" t="str">
        <x:v>H6</x:v>
      </x:c>
      <x:c r="L8" s="24" t="str">
        <x:v>INTERNAL ONLY</x:v>
      </x:c>
    </x:row>
    <x:row r="9" ht="34" customHeight="1">
      <x:c r="A9" s="24" t="str">
        <x:v>TECHNICAL FALLBACK / REVIEW</x:v>
      </x:c>
      <x:c r="B9" s="24"/>
      <x:c r="C9" s="24"/>
      <x:c r="D9" s="24" t="str">
        <x:v>S4</x:v>
      </x:c>
      <x:c r="E9" s="24" t="str">
        <x:v>Accepted Debt</x:v>
      </x:c>
      <x:c r="F9" s="24" t="str">
        <x:v>PENDING</x:v>
      </x:c>
      <x:c r="G9" s="24" t="str">
        <x:v>Public candidate</x:v>
      </x:c>
      <x:c r="H9" s="24" t="str">
        <x:v>TBD</x:v>
      </x:c>
      <x:c r="I9" s="24" t="str">
        <x:v>Material</x:v>
      </x:c>
      <x:c r="J9" s="24" t="str">
        <x:v>T4</x:v>
      </x:c>
      <x:c r="K9" s="24" t="str">
        <x:v>Pre-Steam</x:v>
      </x:c>
      <x:c r="L9" s="24" t="str">
        <x:v>PENDING REVIEW</x:v>
      </x:c>
    </x:row>
    <x:row r="10" ht="34" customHeight="1">
      <x:c r="A10" s="24" t="str">
        <x:v>MISSING / BLOCKED</x:v>
      </x:c>
      <x:c r="B10" s="24"/>
      <x:c r="C10" s="24"/>
      <x:c r="D10" s="24"/>
      <x:c r="E10" s="24" t="str">
        <x:v>Blocked</x:v>
      </x:c>
      <x:c r="F10" s="24" t="str">
        <x:v>REVIEW</x:v>
      </x:c>
      <x:c r="G10" s="24" t="str">
        <x:v>Public release</x:v>
      </x:c>
      <x:c r="H10" s="24"/>
      <x:c r="I10" s="24" t="str">
        <x:v>Texture/Icon</x:v>
      </x:c>
      <x:c r="J10" s="24" t="str">
        <x:v>T5</x:v>
      </x:c>
      <x:c r="K10" s="24" t="str">
        <x:v>Public release</x:v>
      </x:c>
      <x:c r="L10" s="24"/>
    </x:row>
    <x:row r="11" ht="34" customHeight="1">
      <x:c r="A11" s="24" t="str">
        <x:v>NOT AUTHORIZED</x:v>
      </x:c>
      <x:c r="B11" s="24"/>
      <x:c r="C11" s="24"/>
      <x:c r="D11" s="24"/>
      <x:c r="E11" s="24"/>
      <x:c r="F11" s="24" t="str">
        <x:v>OPTIONAL</x:v>
      </x:c>
      <x:c r="G11" s="24"/>
      <x:c r="H11" s="24"/>
      <x:c r="I11" s="24" t="str">
        <x:v>Audio</x:v>
      </x:c>
      <x:c r="J11" s="24" t="str">
        <x:v>T6</x:v>
      </x:c>
      <x:c r="K11" s="24" t="str">
        <x:v>Post-H6</x:v>
      </x:c>
      <x:c r="L11" s="24"/>
    </x:row>
    <x:row r="12" ht="34" customHeight="1">
      <x:c r="A12" s="24" t="str">
        <x:v>PROHIBITED</x:v>
      </x:c>
      <x:c r="B12" s="24"/>
      <x:c r="C12" s="24"/>
      <x:c r="D12" s="24"/>
      <x:c r="E12" s="24"/>
      <x:c r="F12" s="24" t="str">
        <x:v>INTERNAL DISCLOSURE / REVIEW</x:v>
      </x:c>
      <x:c r="G12" s="24"/>
      <x:c r="H12" s="24"/>
      <x:c r="I12" s="24" t="str">
        <x:v>Animation</x:v>
      </x:c>
      <x:c r="J12" s="24"/>
      <x:c r="K12" s="24"/>
      <x:c r="L12" s="24"/>
    </x:row>
    <x:row r="13" ht="34" customHeight="1">
      <x:c r="A13" s="24" t="str">
        <x:v>ACTIVE / VERIFY AT RELEASE</x:v>
      </x:c>
      <x:c r="B13" s="24"/>
      <x:c r="C13" s="24"/>
      <x:c r="D13" s="24"/>
      <x:c r="E13" s="24"/>
      <x:c r="F13" s="24"/>
      <x:c r="G13" s="24"/>
      <x:c r="H13" s="24"/>
      <x:c r="I13" s="24" t="str">
        <x:v>Scene</x:v>
      </x:c>
      <x:c r="J13" s="24"/>
      <x:c r="K13" s="24"/>
      <x:c r="L13" s="24"/>
    </x:row>
    <x:row r="14" ht="34" customHeight="1">
      <x:c r="A14" s="24" t="str">
        <x:v>ACTIVE / NOTICE REVIEW</x:v>
      </x:c>
      <x:c r="B14" s="24"/>
      <x:c r="C14" s="24"/>
      <x:c r="D14" s="24"/>
      <x:c r="E14" s="24"/>
      <x:c r="F14" s="24"/>
      <x:c r="G14" s="24"/>
      <x:c r="H14" s="24"/>
      <x:c r="I14" s="24" t="str">
        <x:v>Unity data asset</x:v>
      </x:c>
      <x:c r="J14" s="24"/>
      <x:c r="K14" s="24"/>
      <x:c r="L14" s="24"/>
    </x:row>
    <x:row r="15" ht="34" customHeight="1">
      <x:c r="A15" s="24" t="str">
        <x:v>HISTORICAL</x:v>
      </x:c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</x:row>
    <x:row r="16" ht="34" customHeight="1">
      <x:c r="A16" s="24" t="str">
        <x:v>OPTIONAL / REVIEW</x:v>
      </x:c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</x:row>
    <x:row r="17">
      <x:c r="A17" s="47" t="str">
        <x:v>CANDIDATE / SELF-HASH EXTERNAL</x:v>
      </x:c>
      <x:c r="B17" s="47" t="str">
        <x:v>External hash</x:v>
      </x:c>
      <x:c r="C17" s="47" t="str">
        <x:v>Informational</x:v>
      </x:c>
      <x:c r="D17" s="47" t="str">
        <x:v>S5</x:v>
      </x:c>
      <x:c r="E17" s="47" t="str">
        <x:v>Not Started</x:v>
      </x:c>
      <x:c r="F17" s="47" t="str">
        <x:v>NOT OPEN</x:v>
      </x:c>
      <x:c r="G17" s="47" t="str">
        <x:v>Unlisted Steam test</x:v>
      </x:c>
      <x:c r="H17" s="47" t="str">
        <x:v>Contractual</x:v>
      </x:c>
      <x:c r="I17" s="47" t="str">
        <x:v>Marketing media</x:v>
      </x:c>
      <x:c r="J17" s="47" t="str">
        <x:v>T5</x:v>
      </x:c>
      <x:c r="K17" s="47" t="str">
        <x:v>Premarketing</x:v>
      </x:c>
      <x:c r="L17" s="47" t="str">
        <x:v>CONDITIONAL</x:v>
      </x:c>
    </x:row>
    <x:row r="18">
      <x:c r="A18" s="47" t="str">
        <x:v>REVIEW REQUIRED</x:v>
      </x:c>
      <x:c r="B18" s="47" t="str">
        <x:v>Archived</x:v>
      </x:c>
      <x:c r="C18" s="47" t="str">
        <x:v>Blocker</x:v>
      </x:c>
      <x:c r="D18" s="47"/>
      <x:c r="E18" s="47" t="str">
        <x:v>Waived with exception</x:v>
      </x:c>
      <x:c r="F18" s="47" t="str">
        <x:v>CONSENT REQUIRED</x:v>
      </x:c>
      <x:c r="G18" s="47" t="str">
        <x:v>Steam Playtest</x:v>
      </x:c>
      <x:c r="H18" s="47" t="str">
        <x:v>Consent</x:v>
      </x:c>
      <x:c r="I18" s="47" t="str">
        <x:v>Localization</x:v>
      </x:c>
      <x:c r="J18" s="47" t="str">
        <x:v>T6</x:v>
      </x:c>
      <x:c r="K18" s="47" t="str">
        <x:v>Steam onboarding</x:v>
      </x:c>
      <x:c r="L18" s="47" t="str">
        <x:v>EXCEPTION</x:v>
      </x:c>
    </x:row>
    <x:row r="19">
      <x:c r="A19" s="47" t="str">
        <x:v>RELEASE BLOCKED</x:v>
      </x:c>
      <x:c r="B19" s="47"/>
      <x:c r="C19" s="47"/>
      <x:c r="D19" s="47"/>
      <x:c r="E19" s="47"/>
      <x:c r="F19" s="47"/>
      <x:c r="G19" s="47" t="str">
        <x:v>Release candidate</x:v>
      </x:c>
      <x:c r="H19" s="47"/>
      <x:c r="I19" s="47" t="str">
        <x:v>Legal document</x:v>
      </x:c>
      <x:c r="J19" s="47"/>
      <x:c r="K19" s="47" t="str">
        <x:v>RC</x:v>
      </x:c>
      <x:c r="L19" s="47" t="str">
        <x:v>REVIEW REQUIRED</x:v>
      </x:c>
    </x:row>
    <x:row r="20">
      <x:c r="A20" s="47" t="str">
        <x:v>APPROVED FOR NAMED BUILD</x:v>
      </x:c>
      <x:c r="B20" s="47"/>
      <x:c r="C20" s="47"/>
      <x:c r="D20" s="47"/>
      <x:c r="E20" s="47"/>
      <x:c r="F20" s="47"/>
      <x:c r="G20" s="47" t="str">
        <x:v>Public launch</x:v>
      </x:c>
      <x:c r="H20" s="47"/>
      <x:c r="I20" s="47" t="str">
        <x:v>Build artifact</x:v>
      </x:c>
      <x:c r="J20" s="47"/>
      <x:c r="K20" s="47" t="str">
        <x:v>Launch</x:v>
      </x:c>
      <x:c r="L20" s="47" t="str">
        <x:v>APPROVED FOR BUILD</x:v>
      </x:c>
    </x:row>
    <x:row r="21">
      <x:c r="A21" s="47" t="str">
        <x:v>REVOKED</x:v>
      </x:c>
      <x:c r="B21" s="47"/>
      <x:c r="C21" s="47"/>
      <x:c r="D21" s="47"/>
      <x:c r="E21" s="47"/>
      <x:c r="F21" s="47"/>
      <x:c r="G21" s="47" t="str">
        <x:v>Patch candidate</x:v>
      </x:c>
      <x:c r="H21" s="47"/>
      <x:c r="I21" s="47" t="str">
        <x:v>Evidence package</x:v>
      </x:c>
      <x:c r="J21" s="47"/>
      <x:c r="K21" s="47" t="str">
        <x:v>Final Baseline</x:v>
      </x:c>
      <x:c r="L21" s="47" t="str">
        <x:v>REVOKED</x:v>
      </x:c>
    </x:row>
    <x:row r="22">
      <x:c r="A22" s="47" t="str">
        <x:v>UNVERIFIED</x:v>
      </x:c>
      <x:c r="B22" s="47"/>
      <x:c r="C22" s="47"/>
      <x:c r="D22" s="47"/>
      <x:c r="E22" s="47"/>
      <x:c r="F22" s="47"/>
      <x:c r="G22" s="47" t="str">
        <x:v>Operations only</x:v>
      </x:c>
      <x:c r="H22" s="47"/>
      <x:c r="I22" s="47" t="str">
        <x:v>Account / access</x:v>
      </x:c>
      <x:c r="J22" s="47"/>
      <x:c r="K22" s="47" t="str">
        <x:v>Operations</x:v>
      </x:c>
      <x:c r="L22" s="47" t="str">
        <x:v>NOT RUN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233c86e2366465d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2" hidden="0" customWidth="1"/>
    <x:col min="3" max="3" width="50" hidden="0" customWidth="1"/>
    <x:col min="4" max="4" width="28" hidden="0" customWidth="1"/>
    <x:col min="5" max="5" width="24" hidden="0" customWidth="1"/>
    <x:col min="6" max="6" width="68" hidden="0" customWidth="1"/>
    <x:col min="7" max="7" width="30" hidden="0" customWidth="1"/>
    <x:col min="8" max="8" width="34" hidden="0" customWidth="1"/>
    <x:col min="9" max="9" width="24" hidden="0" customWidth="1"/>
    <x:col min="10" max="10" width="16" hidden="0" customWidth="1"/>
    <x:col min="11" max="11" width="30" hidden="0" customWidth="1"/>
    <x:col min="12" max="12" width="55" hidden="0" customWidth="1"/>
  </x:cols>
  <x:sheetData>
    <x:row r="1" ht="30" customHeight="1">
      <x:c r="A1" s="4" t="str">
        <x:v>Fuentes y procedencia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10" t="str">
        <x:v>Registro de fuentes actuales, históricas, paquetes y documentos 00–34 con hash o self-hash externo.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8" customHeight="1">
      <x:c r="A4" s="17" t="str">
        <x:v>Source ID</x:v>
      </x:c>
      <x:c r="B4" s="17" t="str">
        <x:v>Fuente</x:v>
      </x:c>
      <x:c r="C4" s="17" t="str">
        <x:v>Nombre</x:v>
      </x:c>
      <x:c r="D4" s="17" t="str">
        <x:v>Tipo</x:v>
      </x:c>
      <x:c r="E4" s="17" t="str">
        <x:v>Versión/Fecha</x:v>
      </x:c>
      <x:c r="F4" s="17" t="str">
        <x:v>SHA-256</x:v>
      </x:c>
      <x:c r="G4" s="17" t="str">
        <x:v>Autoridad/Uso</x:v>
      </x:c>
      <x:c r="H4" s="17" t="str">
        <x:v>Custodia</x:v>
      </x:c>
      <x:c r="I4" s="17" t="str">
        <x:v>Estado</x:v>
      </x:c>
      <x:c r="J4" s="17" t="str">
        <x:v>Confidencial</x:v>
      </x:c>
      <x:c r="K4" s="17" t="str">
        <x:v>Revisión</x:v>
      </x:c>
      <x:c r="L4" s="17" t="str">
        <x:v>Notas</x:v>
      </x:c>
    </x:row>
    <x:row r="5" ht="34" customHeight="1">
      <x:c r="A5" s="24" t="str">
        <x:v>SRC-0001</x:v>
      </x:c>
      <x:c r="B5" s="24" t="str">
        <x:v>Documentation/00_Official_Baseline/v0.3/05_Business_Release/Cartridge_And_Cloud_Legal_Credits_Licenses_Register_v0.3.pdf</x:v>
      </x:c>
      <x:c r="C5" s="24" t="str">
        <x:v>Cartridge_And_Cloud_Legal_Credits_Licenses_Register_v0.3.pdf</x:v>
      </x:c>
      <x:c r="D5" s="24" t="str">
        <x:v>Historical legal register</x:v>
      </x:c>
      <x:c r="E5" s="24" t="str">
        <x:v>0.3</x:v>
      </x:c>
      <x:c r="F5" s="24" t="str">
        <x:v>e358622a237b57cdcd65fb380460d70eafa0ef1085b43bf5e8fb7dff3ee734f0</x:v>
      </x:c>
      <x:c r="G5" s="24" t="str">
        <x:v>Supporting / historical</x:v>
      </x:c>
      <x:c r="H5" s="24" t="str">
        <x:v>Documentation.zip</x:v>
      </x:c>
      <x:c r="I5" s="24" t="str">
        <x:v>VERIFIED HASH</x:v>
      </x:c>
      <x:c r="J5" s="24" t="str">
        <x:v>No</x:v>
      </x:c>
      <x:c r="K5" s="24" t="str">
        <x:v>Preserve immutable</x:v>
      </x:c>
      <x:c r="L5" s="24" t="str">
        <x:v>PDF; 22.01 KiB</x:v>
      </x:c>
    </x:row>
    <x:row r="6" ht="34" customHeight="1">
      <x:c r="A6" s="24" t="str">
        <x:v>SRC-0002</x:v>
      </x:c>
      <x:c r="B6" s="24" t="str">
        <x:v>Documentation/00_Official_Baseline/v0.3/99_Source_Markdown/Cartridge_And_Cloud_Legal_Credits_Licenses_Register_v0.3.md</x:v>
      </x:c>
      <x:c r="C6" s="24" t="str">
        <x:v>Cartridge_And_Cloud_Legal_Credits_Licenses_Register_v0.3.md</x:v>
      </x:c>
      <x:c r="D6" s="24" t="str">
        <x:v>Historical legal register</x:v>
      </x:c>
      <x:c r="E6" s="24" t="str">
        <x:v>0.3</x:v>
      </x:c>
      <x:c r="F6" s="24" t="str">
        <x:v>ffc5bc6af65b27ede021acfdef2dbc5f20f680560e0be1a872586ab146a2f101</x:v>
      </x:c>
      <x:c r="G6" s="24" t="str">
        <x:v>Supporting / historical</x:v>
      </x:c>
      <x:c r="H6" s="24" t="str">
        <x:v>Documentation.zip</x:v>
      </x:c>
      <x:c r="I6" s="24" t="str">
        <x:v>VERIFIED HASH</x:v>
      </x:c>
      <x:c r="J6" s="24" t="str">
        <x:v>No</x:v>
      </x:c>
      <x:c r="K6" s="24" t="str">
        <x:v>Preserve immutable</x:v>
      </x:c>
      <x:c r="L6" s="24" t="str">
        <x:v>MD; 3.88 KiB</x:v>
      </x:c>
    </x:row>
    <x:row r="7" ht="34" customHeight="1">
      <x:c r="A7" s="24" t="str">
        <x:v>SRC-0003</x:v>
      </x:c>
      <x:c r="B7" s="24" t="str">
        <x:v>Documentation/00_Official_Baseline/v0.4/05_Business_Release/Cartridge_And_Cloud_Legal_Credits_Licenses_Register_v0.3.pdf</x:v>
      </x:c>
      <x:c r="C7" s="24" t="str">
        <x:v>Cartridge_And_Cloud_Legal_Credits_Licenses_Register_v0.3.pdf</x:v>
      </x:c>
      <x:c r="D7" s="24" t="str">
        <x:v>Historical legal register</x:v>
      </x:c>
      <x:c r="E7" s="24" t="str">
        <x:v>0.4</x:v>
      </x:c>
      <x:c r="F7" s="24" t="str">
        <x:v>e4105813b235d24b75edf539eae505342f58f1f26a4b087e870dcbda9d63f558</x:v>
      </x:c>
      <x:c r="G7" s="24" t="str">
        <x:v>Supporting / historical</x:v>
      </x:c>
      <x:c r="H7" s="24" t="str">
        <x:v>Documentation.zip</x:v>
      </x:c>
      <x:c r="I7" s="24" t="str">
        <x:v>VERIFIED HASH</x:v>
      </x:c>
      <x:c r="J7" s="24" t="str">
        <x:v>No</x:v>
      </x:c>
      <x:c r="K7" s="24" t="str">
        <x:v>Preserve immutable</x:v>
      </x:c>
      <x:c r="L7" s="24" t="str">
        <x:v>PDF; 41.67 KiB</x:v>
      </x:c>
    </x:row>
    <x:row r="8" ht="34" customHeight="1">
      <x:c r="A8" s="24" t="str">
        <x:v>SRC-0004</x:v>
      </x:c>
      <x:c r="B8" s="24" t="str">
        <x:v>Documentation/00_Official_Baseline/v0.4/99_Source_Markdown/Cartridge_And_Cloud_Legal_Credits_Licenses_Register_v0.3.md</x:v>
      </x:c>
      <x:c r="C8" s="24" t="str">
        <x:v>Cartridge_And_Cloud_Legal_Credits_Licenses_Register_v0.3.md</x:v>
      </x:c>
      <x:c r="D8" s="24" t="str">
        <x:v>Historical legal register</x:v>
      </x:c>
      <x:c r="E8" s="24" t="str">
        <x:v>0.4</x:v>
      </x:c>
      <x:c r="F8" s="24" t="str">
        <x:v>1a0e921f139b73179fe734eec452dcc3aa8c43860309390fe41ea1fb588fe81f</x:v>
      </x:c>
      <x:c r="G8" s="24" t="str">
        <x:v>Supporting / historical</x:v>
      </x:c>
      <x:c r="H8" s="24" t="str">
        <x:v>Documentation.zip</x:v>
      </x:c>
      <x:c r="I8" s="24" t="str">
        <x:v>VERIFIED HASH</x:v>
      </x:c>
      <x:c r="J8" s="24" t="str">
        <x:v>No</x:v>
      </x:c>
      <x:c r="K8" s="24" t="str">
        <x:v>Preserve immutable</x:v>
      </x:c>
      <x:c r="L8" s="24" t="str">
        <x:v>MD; 3.98 KiB</x:v>
      </x:c>
    </x:row>
    <x:row r="9" ht="34" customHeight="1">
      <x:c r="A9" s="24" t="str">
        <x:v>SRC-0005</x:v>
      </x:c>
      <x:c r="B9" s="24" t="str">
        <x:v>Documentation/00_Official_Baseline/v0.5/05_Business_Release/Cartridge_And_Cloud_Legal_Credits_Licenses_Register_v0.4.pdf</x:v>
      </x:c>
      <x:c r="C9" s="24" t="str">
        <x:v>Cartridge_And_Cloud_Legal_Credits_Licenses_Register_v0.4.pdf</x:v>
      </x:c>
      <x:c r="D9" s="24" t="str">
        <x:v>Historical legal register</x:v>
      </x:c>
      <x:c r="E9" s="24" t="str">
        <x:v>0.5</x:v>
      </x:c>
      <x:c r="F9" s="24" t="str">
        <x:v>d8fa9f63a454facc7e8d4e3fa8e50d1a95f0bb7a8f8bef06211e9d12accb5343</x:v>
      </x:c>
      <x:c r="G9" s="24" t="str">
        <x:v>Supporting / historical</x:v>
      </x:c>
      <x:c r="H9" s="24" t="str">
        <x:v>Documentation.zip</x:v>
      </x:c>
      <x:c r="I9" s="24" t="str">
        <x:v>VERIFIED HASH</x:v>
      </x:c>
      <x:c r="J9" s="24" t="str">
        <x:v>No</x:v>
      </x:c>
      <x:c r="K9" s="24" t="str">
        <x:v>Preserve immutable</x:v>
      </x:c>
      <x:c r="L9" s="24" t="str">
        <x:v>PDF; 15.41 KiB</x:v>
      </x:c>
    </x:row>
    <x:row r="10" ht="34" customHeight="1">
      <x:c r="A10" s="24" t="str">
        <x:v>SRC-0006</x:v>
      </x:c>
      <x:c r="B10" s="24" t="str">
        <x:v>Documentation/00_Official_Baseline/v0.5/99_Source_Markdown/Cartridge_And_Cloud_Legal_Credits_Licenses_Register_v0.4.md</x:v>
      </x:c>
      <x:c r="C10" s="24" t="str">
        <x:v>Cartridge_And_Cloud_Legal_Credits_Licenses_Register_v0.4.md</x:v>
      </x:c>
      <x:c r="D10" s="24" t="str">
        <x:v>Historical legal register</x:v>
      </x:c>
      <x:c r="E10" s="24" t="str">
        <x:v>0.5</x:v>
      </x:c>
      <x:c r="F10" s="24" t="str">
        <x:v>18f78b69a56edee6f8783d32859d6e231d061422d24abd6feefdbf06fe68567b</x:v>
      </x:c>
      <x:c r="G10" s="24" t="str">
        <x:v>Supporting / historical</x:v>
      </x:c>
      <x:c r="H10" s="24" t="str">
        <x:v>Documentation.zip</x:v>
      </x:c>
      <x:c r="I10" s="24" t="str">
        <x:v>VERIFIED HASH</x:v>
      </x:c>
      <x:c r="J10" s="24" t="str">
        <x:v>No</x:v>
      </x:c>
      <x:c r="K10" s="24" t="str">
        <x:v>Preserve immutable</x:v>
      </x:c>
      <x:c r="L10" s="24" t="str">
        <x:v>MD; 1.95 KiB</x:v>
      </x:c>
    </x:row>
    <x:row r="11" ht="34" customHeight="1">
      <x:c r="A11" s="24" t="str">
        <x:v>SRC-0007</x:v>
      </x:c>
      <x:c r="B11" s="24" t="str">
        <x:v>Documentation/00_Official_Baseline/v0.6/05_Business_Release/Cartridge_And_Cloud_Legal_Credits_Licenses_Register_v0.5.pdf</x:v>
      </x:c>
      <x:c r="C11" s="24" t="str">
        <x:v>Cartridge_And_Cloud_Legal_Credits_Licenses_Register_v0.5.pdf</x:v>
      </x:c>
      <x:c r="D11" s="24" t="str">
        <x:v>Historical legal register</x:v>
      </x:c>
      <x:c r="E11" s="24" t="str">
        <x:v>0.6</x:v>
      </x:c>
      <x:c r="F11" s="24" t="str">
        <x:v>eee199263d089442dc5ea6228b10b562d7930163c707a7e90402e734bf94db51</x:v>
      </x:c>
      <x:c r="G11" s="24" t="str">
        <x:v>Supporting / historical</x:v>
      </x:c>
      <x:c r="H11" s="24" t="str">
        <x:v>Documentation.zip</x:v>
      </x:c>
      <x:c r="I11" s="24" t="str">
        <x:v>VERIFIED HASH</x:v>
      </x:c>
      <x:c r="J11" s="24" t="str">
        <x:v>No</x:v>
      </x:c>
      <x:c r="K11" s="24" t="str">
        <x:v>Preserve immutable</x:v>
      </x:c>
      <x:c r="L11" s="24" t="str">
        <x:v>PDF; 28.08 KiB</x:v>
      </x:c>
    </x:row>
    <x:row r="12" ht="34" customHeight="1">
      <x:c r="A12" s="24" t="str">
        <x:v>SRC-0008</x:v>
      </x:c>
      <x:c r="B12" s="24" t="str">
        <x:v>Documentation/00_Official_Baseline/v0.6/99_Source_Markdown/Cartridge_And_Cloud_Legal_Credits_Licenses_Register_v0.5.md</x:v>
      </x:c>
      <x:c r="C12" s="24" t="str">
        <x:v>Cartridge_And_Cloud_Legal_Credits_Licenses_Register_v0.5.md</x:v>
      </x:c>
      <x:c r="D12" s="24" t="str">
        <x:v>Historical legal register</x:v>
      </x:c>
      <x:c r="E12" s="24" t="str">
        <x:v>0.6</x:v>
      </x:c>
      <x:c r="F12" s="24" t="str">
        <x:v>610fc2ca1dd8ea1859fb779039e5de841610646d1e5601d316b2fe34410c3c81</x:v>
      </x:c>
      <x:c r="G12" s="24" t="str">
        <x:v>Supporting / historical</x:v>
      </x:c>
      <x:c r="H12" s="24" t="str">
        <x:v>Documentation.zip</x:v>
      </x:c>
      <x:c r="I12" s="24" t="str">
        <x:v>VERIFIED HASH</x:v>
      </x:c>
      <x:c r="J12" s="24" t="str">
        <x:v>No</x:v>
      </x:c>
      <x:c r="K12" s="24" t="str">
        <x:v>Preserve immutable</x:v>
      </x:c>
      <x:c r="L12" s="24" t="str">
        <x:v>MD; 1.91 KiB</x:v>
      </x:c>
    </x:row>
    <x:row r="13" ht="34" customHeight="1">
      <x:c r="A13" s="24" t="str">
        <x:v>SRC-0009</x:v>
      </x:c>
      <x:c r="B13" s="24" t="str">
        <x:v>Assets.zip</x:v>
      </x:c>
      <x:c r="C13" s="24" t="str">
        <x:v>Assets.zip</x:v>
      </x:c>
      <x:c r="D13" s="24" t="str">
        <x:v>Source package</x:v>
      </x:c>
      <x:c r="E13" s="24" t="str">
        <x:v>Current supplied package</x:v>
      </x:c>
      <x:c r="F13" s="24" t="str">
        <x:v>080acfc65d512a53ba44746f023e755318561be6ad2de6d85f749049e4a01f61</x:v>
      </x:c>
      <x:c r="G13" s="24" t="str">
        <x:v>Primary evidence</x:v>
      </x:c>
      <x:c r="H13" s="24" t="str">
        <x:v>/Documentacion or secure archive</x:v>
      </x:c>
      <x:c r="I13" s="24" t="str">
        <x:v>VERIFIED HASH</x:v>
      </x:c>
      <x:c r="J13" s="24" t="str">
        <x:v>Internal</x:v>
      </x:c>
      <x:c r="K13" s="24" t="str">
        <x:v>Rehash per baseline</x:v>
      </x:c>
      <x:c r="L13" s="24" t="str">
        <x:v>3558.65 KiB</x:v>
      </x:c>
    </x:row>
    <x:row r="14" ht="34" customHeight="1">
      <x:c r="A14" s="24" t="str">
        <x:v>SRC-0010</x:v>
      </x:c>
      <x:c r="B14" s="24" t="str">
        <x:v>Documentation.zip</x:v>
      </x:c>
      <x:c r="C14" s="24" t="str">
        <x:v>Documentation.zip</x:v>
      </x:c>
      <x:c r="D14" s="24" t="str">
        <x:v>Source package</x:v>
      </x:c>
      <x:c r="E14" s="24" t="str">
        <x:v>Current supplied package</x:v>
      </x:c>
      <x:c r="F14" s="24" t="str">
        <x:v>79479b51b4534e549ee348b2c3dc05c2e7263994bff7927a34803a4bd47ede0c</x:v>
      </x:c>
      <x:c r="G14" s="24" t="str">
        <x:v>Primary evidence</x:v>
      </x:c>
      <x:c r="H14" s="24" t="str">
        <x:v>/Documentacion or secure archive</x:v>
      </x:c>
      <x:c r="I14" s="24" t="str">
        <x:v>VERIFIED HASH</x:v>
      </x:c>
      <x:c r="J14" s="24" t="str">
        <x:v>Internal</x:v>
      </x:c>
      <x:c r="K14" s="24" t="str">
        <x:v>Rehash per baseline</x:v>
      </x:c>
      <x:c r="L14" s="24" t="str">
        <x:v>56034.52 KiB</x:v>
      </x:c>
    </x:row>
    <x:row r="15" ht="34" customHeight="1">
      <x:c r="A15" s="24" t="str">
        <x:v>SRC-0011</x:v>
      </x:c>
      <x:c r="B15" s="24" t="str">
        <x:v>Packages.zip</x:v>
      </x:c>
      <x:c r="C15" s="24" t="str">
        <x:v>Packages.zip</x:v>
      </x:c>
      <x:c r="D15" s="24" t="str">
        <x:v>Source package</x:v>
      </x:c>
      <x:c r="E15" s="24" t="str">
        <x:v>Current supplied package</x:v>
      </x:c>
      <x:c r="F15" s="24" t="str">
        <x:v>d8500c68e792052a68deda54a2f368413fffc21f36647cbc1580dac203a12320</x:v>
      </x:c>
      <x:c r="G15" s="24" t="str">
        <x:v>Primary evidence</x:v>
      </x:c>
      <x:c r="H15" s="24" t="str">
        <x:v>/Documentacion or secure archive</x:v>
      </x:c>
      <x:c r="I15" s="24" t="str">
        <x:v>VERIFIED HASH</x:v>
      </x:c>
      <x:c r="J15" s="24" t="str">
        <x:v>Internal</x:v>
      </x:c>
      <x:c r="K15" s="24" t="str">
        <x:v>Rehash per baseline</x:v>
      </x:c>
      <x:c r="L15" s="24" t="str">
        <x:v>2.74 KiB</x:v>
      </x:c>
    </x:row>
    <x:row r="16" ht="34" customHeight="1">
      <x:c r="A16" s="24" t="str">
        <x:v>SRC-0012</x:v>
      </x:c>
      <x:c r="B16" s="24" t="str">
        <x:v>ProjectSettings.zip</x:v>
      </x:c>
      <x:c r="C16" s="24" t="str">
        <x:v>ProjectSettings.zip</x:v>
      </x:c>
      <x:c r="D16" s="24" t="str">
        <x:v>Source package</x:v>
      </x:c>
      <x:c r="E16" s="24" t="str">
        <x:v>Current supplied package</x:v>
      </x:c>
      <x:c r="F16" s="24" t="str">
        <x:v>ee8d66a7043ad5c387e352c9e5eba5cd8a568b19d620dbec14dd3b1b0c711ddb</x:v>
      </x:c>
      <x:c r="G16" s="24" t="str">
        <x:v>Primary evidence</x:v>
      </x:c>
      <x:c r="H16" s="24" t="str">
        <x:v>/Documentacion or secure archive</x:v>
      </x:c>
      <x:c r="I16" s="24" t="str">
        <x:v>VERIFIED HASH</x:v>
      </x:c>
      <x:c r="J16" s="24" t="str">
        <x:v>Internal</x:v>
      </x:c>
      <x:c r="K16" s="24" t="str">
        <x:v>Rehash per baseline</x:v>
      </x:c>
      <x:c r="L16" s="24" t="str">
        <x:v>20.45 KiB</x:v>
      </x:c>
    </x:row>
    <x:row r="17" ht="34" customHeight="1">
      <x:c r="A17" s="24" t="str">
        <x:v>SRC-0013</x:v>
      </x:c>
      <x:c r="B17" s="24" t="str">
        <x:v>00_Enfoque_y_Alcance.md</x:v>
      </x:c>
      <x:c r="C17" s="24" t="str">
        <x:v>00_Enfoque_y_Alcance.md</x:v>
      </x:c>
      <x:c r="D17" s="24" t="str">
        <x:v>Consolidated document</x:v>
      </x:c>
      <x:c r="E17" s="24" t="str">
        <x:v>2026-07-01 consolidation</x:v>
      </x:c>
      <x:c r="F17" s="24" t="str">
        <x:v>63dd6f0f1b9c2c80be2aec55718d18d9d031ce4acb14f677769d6e69ceaad21f</x:v>
      </x:c>
      <x:c r="G17" s="24" t="str">
        <x:v>Primary current</x:v>
      </x:c>
      <x:c r="H17" s="24" t="str">
        <x:v>Documentacion/</x:v>
      </x:c>
      <x:c r="I17" s="24" t="str">
        <x:v>VERIFIED HASH</x:v>
      </x:c>
      <x:c r="J17" s="24" t="str">
        <x:v>Internal / selected sharing</x:v>
      </x:c>
      <x:c r="K17" s="24" t="str">
        <x:v>Update after document change</x:v>
      </x:c>
      <x:c r="L17" s="24" t="str">
        <x:v>124.42 KiB</x:v>
      </x:c>
    </x:row>
    <x:row r="18" ht="34" customHeight="1">
      <x:c r="A18" s="24" t="str">
        <x:v>SRC-0014</x:v>
      </x:c>
      <x:c r="B18" s="24" t="str">
        <x:v>01_Game_Design_Document.md</x:v>
      </x:c>
      <x:c r="C18" s="24" t="str">
        <x:v>01_Game_Design_Document.md</x:v>
      </x:c>
      <x:c r="D18" s="24" t="str">
        <x:v>Consolidated document</x:v>
      </x:c>
      <x:c r="E18" s="24" t="str">
        <x:v>2026-07-01 consolidation</x:v>
      </x:c>
      <x:c r="F18" s="24" t="str">
        <x:v>a9cd9e3203abc5269c25c59dc7f626b0771df4ec2d65e781109ff146bceb2177</x:v>
      </x:c>
      <x:c r="G18" s="24" t="str">
        <x:v>Primary current</x:v>
      </x:c>
      <x:c r="H18" s="24" t="str">
        <x:v>Documentacion/</x:v>
      </x:c>
      <x:c r="I18" s="24" t="str">
        <x:v>VERIFIED HASH</x:v>
      </x:c>
      <x:c r="J18" s="24" t="str">
        <x:v>Internal / selected sharing</x:v>
      </x:c>
      <x:c r="K18" s="24" t="str">
        <x:v>Update after document change</x:v>
      </x:c>
      <x:c r="L18" s="24" t="str">
        <x:v>129.71 KiB</x:v>
      </x:c>
    </x:row>
    <x:row r="19" ht="34" customHeight="1">
      <x:c r="A19" s="24" t="str">
        <x:v>SRC-0015</x:v>
      </x:c>
      <x:c r="B19" s="24" t="str">
        <x:v>02_Vertical_Slice_Specification.md</x:v>
      </x:c>
      <x:c r="C19" s="24" t="str">
        <x:v>02_Vertical_Slice_Specification.md</x:v>
      </x:c>
      <x:c r="D19" s="24" t="str">
        <x:v>Consolidated document</x:v>
      </x:c>
      <x:c r="E19" s="24" t="str">
        <x:v>2026-07-01 consolidation</x:v>
      </x:c>
      <x:c r="F19" s="24" t="str">
        <x:v>75893f130116e88a08b8da5590dd81876a234581081eafaa8d08374c1a60513f</x:v>
      </x:c>
      <x:c r="G19" s="24" t="str">
        <x:v>Primary current</x:v>
      </x:c>
      <x:c r="H19" s="24" t="str">
        <x:v>Documentacion/</x:v>
      </x:c>
      <x:c r="I19" s="24" t="str">
        <x:v>VERIFIED HASH</x:v>
      </x:c>
      <x:c r="J19" s="24" t="str">
        <x:v>Internal / selected sharing</x:v>
      </x:c>
      <x:c r="K19" s="24" t="str">
        <x:v>Update after document change</x:v>
      </x:c>
      <x:c r="L19" s="24" t="str">
        <x:v>63.02 KiB</x:v>
      </x:c>
    </x:row>
    <x:row r="20" ht="34" customHeight="1">
      <x:c r="A20" s="24" t="str">
        <x:v>SRC-0016</x:v>
      </x:c>
      <x:c r="B20" s="24" t="str">
        <x:v>03_Technical_Design_Document.md</x:v>
      </x:c>
      <x:c r="C20" s="24" t="str">
        <x:v>03_Technical_Design_Document.md</x:v>
      </x:c>
      <x:c r="D20" s="24" t="str">
        <x:v>Consolidated document</x:v>
      </x:c>
      <x:c r="E20" s="24" t="str">
        <x:v>2026-07-01 consolidation</x:v>
      </x:c>
      <x:c r="F20" s="24" t="str">
        <x:v>66264703c5ff4959d03093690e9845a98ec0e5025e685b9a639ac8cbb616cd12</x:v>
      </x:c>
      <x:c r="G20" s="24" t="str">
        <x:v>Primary current</x:v>
      </x:c>
      <x:c r="H20" s="24" t="str">
        <x:v>Documentacion/</x:v>
      </x:c>
      <x:c r="I20" s="24" t="str">
        <x:v>VERIFIED HASH</x:v>
      </x:c>
      <x:c r="J20" s="24" t="str">
        <x:v>Internal / selected sharing</x:v>
      </x:c>
      <x:c r="K20" s="24" t="str">
        <x:v>Update after document change</x:v>
      </x:c>
      <x:c r="L20" s="24" t="str">
        <x:v>99.6 KiB</x:v>
      </x:c>
    </x:row>
    <x:row r="21" ht="34" customHeight="1">
      <x:c r="A21" s="24" t="str">
        <x:v>SRC-0017</x:v>
      </x:c>
      <x:c r="B21" s="24" t="str">
        <x:v>04_Modelo_de_Datos.md</x:v>
      </x:c>
      <x:c r="C21" s="24" t="str">
        <x:v>04_Modelo_de_Datos.md</x:v>
      </x:c>
      <x:c r="D21" s="24" t="str">
        <x:v>Consolidated document</x:v>
      </x:c>
      <x:c r="E21" s="24" t="str">
        <x:v>2026-07-01 consolidation</x:v>
      </x:c>
      <x:c r="F21" s="24" t="str">
        <x:v>d851a72b55742c2c704cc7c002929bc5894e7142511c6af843440bb193fb19d4</x:v>
      </x:c>
      <x:c r="G21" s="24" t="str">
        <x:v>Primary current</x:v>
      </x:c>
      <x:c r="H21" s="24" t="str">
        <x:v>Documentacion/</x:v>
      </x:c>
      <x:c r="I21" s="24" t="str">
        <x:v>VERIFIED HASH</x:v>
      </x:c>
      <x:c r="J21" s="24" t="str">
        <x:v>Internal / selected sharing</x:v>
      </x:c>
      <x:c r="K21" s="24" t="str">
        <x:v>Update after document change</x:v>
      </x:c>
      <x:c r="L21" s="24" t="str">
        <x:v>100.54 KiB</x:v>
      </x:c>
    </x:row>
    <x:row r="22" ht="34" customHeight="1">
      <x:c r="A22" s="24" t="str">
        <x:v>SRC-0018</x:v>
      </x:c>
      <x:c r="B22" s="24" t="str">
        <x:v>05_UX_Flow.md</x:v>
      </x:c>
      <x:c r="C22" s="24" t="str">
        <x:v>05_UX_Flow.md</x:v>
      </x:c>
      <x:c r="D22" s="24" t="str">
        <x:v>Consolidated document</x:v>
      </x:c>
      <x:c r="E22" s="24" t="str">
        <x:v>2026-07-01 consolidation</x:v>
      </x:c>
      <x:c r="F22" s="24" t="str">
        <x:v>e08da5ff67fb073a8b950babe325ae58ddb2e121513dc2f553acd4f2c14b867e</x:v>
      </x:c>
      <x:c r="G22" s="24" t="str">
        <x:v>Primary current</x:v>
      </x:c>
      <x:c r="H22" s="24" t="str">
        <x:v>Documentacion/</x:v>
      </x:c>
      <x:c r="I22" s="24" t="str">
        <x:v>VERIFIED HASH</x:v>
      </x:c>
      <x:c r="J22" s="24" t="str">
        <x:v>Internal / selected sharing</x:v>
      </x:c>
      <x:c r="K22" s="24" t="str">
        <x:v>Update after document change</x:v>
      </x:c>
      <x:c r="L22" s="24" t="str">
        <x:v>55.47 KiB</x:v>
      </x:c>
    </x:row>
    <x:row r="23" ht="34" customHeight="1">
      <x:c r="A23" s="24" t="str">
        <x:v>SRC-0019</x:v>
      </x:c>
      <x:c r="B23" s="24" t="str">
        <x:v>06_Production_Roadmap_y_Sprint_Plan.md</x:v>
      </x:c>
      <x:c r="C23" s="24" t="str">
        <x:v>06_Production_Roadmap_y_Sprint_Plan.md</x:v>
      </x:c>
      <x:c r="D23" s="24" t="str">
        <x:v>Consolidated document</x:v>
      </x:c>
      <x:c r="E23" s="24" t="str">
        <x:v>2026-07-01 consolidation</x:v>
      </x:c>
      <x:c r="F23" s="24" t="str">
        <x:v>d00b156c0ad1c66069278119c55f76c738a577a3e2835f770208d1a5f2faadff</x:v>
      </x:c>
      <x:c r="G23" s="24" t="str">
        <x:v>Primary current</x:v>
      </x:c>
      <x:c r="H23" s="24" t="str">
        <x:v>Documentacion/</x:v>
      </x:c>
      <x:c r="I23" s="24" t="str">
        <x:v>VERIFIED HASH</x:v>
      </x:c>
      <x:c r="J23" s="24" t="str">
        <x:v>Internal / selected sharing</x:v>
      </x:c>
      <x:c r="K23" s="24" t="str">
        <x:v>Update after document change</x:v>
      </x:c>
      <x:c r="L23" s="24" t="str">
        <x:v>60.12 KiB</x:v>
      </x:c>
    </x:row>
    <x:row r="24" ht="34" customHeight="1">
      <x:c r="A24" s="24" t="str">
        <x:v>SRC-0020</x:v>
      </x:c>
      <x:c r="B24" s="24" t="str">
        <x:v>07_QA_Testing_Plan.md</x:v>
      </x:c>
      <x:c r="C24" s="24" t="str">
        <x:v>07_QA_Testing_Plan.md</x:v>
      </x:c>
      <x:c r="D24" s="24" t="str">
        <x:v>Consolidated document</x:v>
      </x:c>
      <x:c r="E24" s="24" t="str">
        <x:v>2026-07-01 consolidation</x:v>
      </x:c>
      <x:c r="F24" s="24" t="str">
        <x:v>bc9c05a3737e345546ef16e5390e034295ef35ad66c31647852aec81b4e7affe</x:v>
      </x:c>
      <x:c r="G24" s="24" t="str">
        <x:v>Primary current</x:v>
      </x:c>
      <x:c r="H24" s="24" t="str">
        <x:v>Documentacion/</x:v>
      </x:c>
      <x:c r="I24" s="24" t="str">
        <x:v>VERIFIED HASH</x:v>
      </x:c>
      <x:c r="J24" s="24" t="str">
        <x:v>Internal / selected sharing</x:v>
      </x:c>
      <x:c r="K24" s="24" t="str">
        <x:v>Update after document change</x:v>
      </x:c>
      <x:c r="L24" s="24" t="str">
        <x:v>77.57 KiB</x:v>
      </x:c>
    </x:row>
    <x:row r="25" ht="34" customHeight="1">
      <x:c r="A25" s="24" t="str">
        <x:v>SRC-0021</x:v>
      </x:c>
      <x:c r="B25" s="24" t="str">
        <x:v>08_QA_Testing_Matrix.xlsx</x:v>
      </x:c>
      <x:c r="C25" s="24" t="str">
        <x:v>08_QA_Testing_Matrix.xlsx</x:v>
      </x:c>
      <x:c r="D25" s="24" t="str">
        <x:v>Consolidated document</x:v>
      </x:c>
      <x:c r="E25" s="24" t="str">
        <x:v>2026-07-01 consolidation</x:v>
      </x:c>
      <x:c r="F25" s="24" t="str">
        <x:v>233e57f01d2468fe13c136c8fcd3ee75b39bd3de6530349626ea98d4ff254214</x:v>
      </x:c>
      <x:c r="G25" s="24" t="str">
        <x:v>Primary current</x:v>
      </x:c>
      <x:c r="H25" s="24" t="str">
        <x:v>Documentacion/</x:v>
      </x:c>
      <x:c r="I25" s="24" t="str">
        <x:v>VERIFIED HASH</x:v>
      </x:c>
      <x:c r="J25" s="24" t="str">
        <x:v>Internal / selected sharing</x:v>
      </x:c>
      <x:c r="K25" s="24" t="str">
        <x:v>Update after document change</x:v>
      </x:c>
      <x:c r="L25" s="24" t="str">
        <x:v>180.7 KiB</x:v>
      </x:c>
    </x:row>
    <x:row r="26" ht="34" customHeight="1">
      <x:c r="A26" s="24" t="str">
        <x:v>SRC-0022</x:v>
      </x:c>
      <x:c r="B26" s="24" t="str">
        <x:v>09_CSharp_Coding_Standards.md</x:v>
      </x:c>
      <x:c r="C26" s="24" t="str">
        <x:v>09_CSharp_Coding_Standards.md</x:v>
      </x:c>
      <x:c r="D26" s="24" t="str">
        <x:v>Consolidated document</x:v>
      </x:c>
      <x:c r="E26" s="24" t="str">
        <x:v>2026-07-01 consolidation</x:v>
      </x:c>
      <x:c r="F26" s="24" t="str">
        <x:v>3b734d6cd49f31c09c10bb4941625e143f6c634e3fb50c157f0720e73b1c2a68</x:v>
      </x:c>
      <x:c r="G26" s="24" t="str">
        <x:v>Primary current</x:v>
      </x:c>
      <x:c r="H26" s="24" t="str">
        <x:v>Documentacion/</x:v>
      </x:c>
      <x:c r="I26" s="24" t="str">
        <x:v>VERIFIED HASH</x:v>
      </x:c>
      <x:c r="J26" s="24" t="str">
        <x:v>Internal / selected sharing</x:v>
      </x:c>
      <x:c r="K26" s="24" t="str">
        <x:v>Update after document change</x:v>
      </x:c>
      <x:c r="L26" s="24" t="str">
        <x:v>93.09 KiB</x:v>
      </x:c>
    </x:row>
    <x:row r="27" ht="34" customHeight="1">
      <x:c r="A27" s="24" t="str">
        <x:v>SRC-0023</x:v>
      </x:c>
      <x:c r="B27" s="24" t="str">
        <x:v>10_Unity_Project_Setup_Guide.md</x:v>
      </x:c>
      <x:c r="C27" s="24" t="str">
        <x:v>10_Unity_Project_Setup_Guide.md</x:v>
      </x:c>
      <x:c r="D27" s="24" t="str">
        <x:v>Consolidated document</x:v>
      </x:c>
      <x:c r="E27" s="24" t="str">
        <x:v>2026-07-01 consolidation</x:v>
      </x:c>
      <x:c r="F27" s="24" t="str">
        <x:v>31430bb0544edd9577323aa0009d6ca3df8b9fbcf6c8a150fc33df69b9f963a4</x:v>
      </x:c>
      <x:c r="G27" s="24" t="str">
        <x:v>Primary current</x:v>
      </x:c>
      <x:c r="H27" s="24" t="str">
        <x:v>Documentacion/</x:v>
      </x:c>
      <x:c r="I27" s="24" t="str">
        <x:v>VERIFIED HASH</x:v>
      </x:c>
      <x:c r="J27" s="24" t="str">
        <x:v>Internal / selected sharing</x:v>
      </x:c>
      <x:c r="K27" s="24" t="str">
        <x:v>Update after document change</x:v>
      </x:c>
      <x:c r="L27" s="24" t="str">
        <x:v>76.57 KiB</x:v>
      </x:c>
    </x:row>
    <x:row r="28" ht="34" customHeight="1">
      <x:c r="A28" s="24" t="str">
        <x:v>SRC-0024</x:v>
      </x:c>
      <x:c r="B28" s="24" t="str">
        <x:v>11_Build_y_Versioning_Guide.md</x:v>
      </x:c>
      <x:c r="C28" s="24" t="str">
        <x:v>11_Build_y_Versioning_Guide.md</x:v>
      </x:c>
      <x:c r="D28" s="24" t="str">
        <x:v>Consolidated document</x:v>
      </x:c>
      <x:c r="E28" s="24" t="str">
        <x:v>2026-07-01 consolidation</x:v>
      </x:c>
      <x:c r="F28" s="24" t="str">
        <x:v>38a16a0f97505c0b405509dd3c7e3d1b50e77b89fbe3f4cb1931d3e04f602215</x:v>
      </x:c>
      <x:c r="G28" s="24" t="str">
        <x:v>Primary current</x:v>
      </x:c>
      <x:c r="H28" s="24" t="str">
        <x:v>Documentacion/</x:v>
      </x:c>
      <x:c r="I28" s="24" t="str">
        <x:v>VERIFIED HASH</x:v>
      </x:c>
      <x:c r="J28" s="24" t="str">
        <x:v>Internal / selected sharing</x:v>
      </x:c>
      <x:c r="K28" s="24" t="str">
        <x:v>Update after document change</x:v>
      </x:c>
      <x:c r="L28" s="24" t="str">
        <x:v>83.32 KiB</x:v>
      </x:c>
    </x:row>
    <x:row r="29" ht="34" customHeight="1">
      <x:c r="A29" s="24" t="str">
        <x:v>SRC-0025</x:v>
      </x:c>
      <x:c r="B29" s="24" t="str">
        <x:v>12_Excel_Maestro_de_Produccion.xlsx</x:v>
      </x:c>
      <x:c r="C29" s="24" t="str">
        <x:v>12_Excel_Maestro_de_Produccion.xlsx</x:v>
      </x:c>
      <x:c r="D29" s="24" t="str">
        <x:v>Consolidated document</x:v>
      </x:c>
      <x:c r="E29" s="24" t="str">
        <x:v>2026-07-01 targeted update</x:v>
      </x:c>
      <x:c r="F29" s="24" t="str">
        <x:v>3d70e97326868389dac977934e6000285c22b3c33c0e62be31313880726b4d7d</x:v>
      </x:c>
      <x:c r="G29" s="24" t="str">
        <x:v>Primary current</x:v>
      </x:c>
      <x:c r="H29" s="24" t="str">
        <x:v>Documentacion/</x:v>
      </x:c>
      <x:c r="I29" s="24" t="str">
        <x:v>TARGETED UPDATE / VERIFIED HASH</x:v>
      </x:c>
      <x:c r="J29" s="24" t="str">
        <x:v>Internal / selected sharing</x:v>
      </x:c>
      <x:c r="K29" s="24" t="str">
        <x:v>Rehash after document change</x:v>
      </x:c>
      <x:c r="L29" s="24" t="str">
        <x:v>473.57 KiB</x:v>
      </x:c>
    </x:row>
    <x:row r="30" ht="34" customHeight="1">
      <x:c r="A30" s="24" t="str">
        <x:v>SRC-0026</x:v>
      </x:c>
      <x:c r="B30" s="24" t="str">
        <x:v>13_Trazabilidad_y_Control_de_Cambios.xlsx</x:v>
      </x:c>
      <x:c r="C30" s="24" t="str">
        <x:v>13_Trazabilidad_y_Control_de_Cambios.xlsx</x:v>
      </x:c>
      <x:c r="D30" s="24" t="str">
        <x:v>Consolidated document</x:v>
      </x:c>
      <x:c r="E30" s="24" t="str">
        <x:v>2026-07-01 targeted update</x:v>
      </x:c>
      <x:c r="F30" s="24" t="str">
        <x:v>97cf106d7707de9e6dcadfa2ec9374676b0ea9fe0945ac87eb89db788df8da43</x:v>
      </x:c>
      <x:c r="G30" s="24" t="str">
        <x:v>Primary current</x:v>
      </x:c>
      <x:c r="H30" s="24" t="str">
        <x:v>Documentacion/</x:v>
      </x:c>
      <x:c r="I30" s="24" t="str">
        <x:v>TARGETED UPDATE / VERIFIED HASH</x:v>
      </x:c>
      <x:c r="J30" s="24" t="str">
        <x:v>Internal / selected sharing</x:v>
      </x:c>
      <x:c r="K30" s="24" t="str">
        <x:v>Rehash after document change</x:v>
      </x:c>
      <x:c r="L30" s="24" t="str">
        <x:v>564.02 KiB</x:v>
      </x:c>
    </x:row>
    <x:row r="31" ht="34" customHeight="1">
      <x:c r="A31" s="24" t="str">
        <x:v>SRC-0027</x:v>
      </x:c>
      <x:c r="B31" s="24" t="str">
        <x:v>14_Project_Binder_Indice_Maestro.md</x:v>
      </x:c>
      <x:c r="C31" s="24" t="str">
        <x:v>14_Project_Binder_Indice_Maestro.md</x:v>
      </x:c>
      <x:c r="D31" s="24" t="str">
        <x:v>Consolidated document</x:v>
      </x:c>
      <x:c r="E31" s="24" t="str">
        <x:v>2026-07-01 targeted update</x:v>
      </x:c>
      <x:c r="F31" s="24" t="str">
        <x:v>d0e8c2b0bf78a414d00c290d8ab8e4b2742e80de7bf509764318c6b7a9e4f144</x:v>
      </x:c>
      <x:c r="G31" s="24" t="str">
        <x:v>Primary current</x:v>
      </x:c>
      <x:c r="H31" s="24" t="str">
        <x:v>Documentacion/</x:v>
      </x:c>
      <x:c r="I31" s="24" t="str">
        <x:v>TARGETED UPDATE / VERIFIED HASH</x:v>
      </x:c>
      <x:c r="J31" s="24" t="str">
        <x:v>Internal / selected sharing</x:v>
      </x:c>
      <x:c r="K31" s="24" t="str">
        <x:v>Rehash after document change</x:v>
      </x:c>
      <x:c r="L31" s="24" t="str">
        <x:v>93.34 KiB</x:v>
      </x:c>
    </x:row>
    <x:row r="32" ht="34" customHeight="1">
      <x:c r="A32" s="24" t="str">
        <x:v>SRC-0028</x:v>
      </x:c>
      <x:c r="B32" s="24" t="str">
        <x:v>15_Guia_Maestra.md</x:v>
      </x:c>
      <x:c r="C32" s="24" t="str">
        <x:v>15_Guia_Maestra.md</x:v>
      </x:c>
      <x:c r="D32" s="24" t="str">
        <x:v>Consolidated document</x:v>
      </x:c>
      <x:c r="E32" s="24" t="str">
        <x:v>2026-07-01 targeted update</x:v>
      </x:c>
      <x:c r="F32" s="24" t="str">
        <x:v>70aa63feb69785d3b2e8b044c73b9c5f075829fd198e4de5504196d2262cae71</x:v>
      </x:c>
      <x:c r="G32" s="24" t="str">
        <x:v>Primary current</x:v>
      </x:c>
      <x:c r="H32" s="24" t="str">
        <x:v>Documentacion/</x:v>
      </x:c>
      <x:c r="I32" s="24" t="str">
        <x:v>TARGETED UPDATE / VERIFIED HASH</x:v>
      </x:c>
      <x:c r="J32" s="24" t="str">
        <x:v>Internal / selected sharing</x:v>
      </x:c>
      <x:c r="K32" s="24" t="str">
        <x:v>Rehash after document change</x:v>
      </x:c>
      <x:c r="L32" s="24" t="str">
        <x:v>146.09 KiB</x:v>
      </x:c>
    </x:row>
    <x:row r="33" ht="34" customHeight="1">
      <x:c r="A33" s="24" t="str">
        <x:v>SRC-0029</x:v>
      </x:c>
      <x:c r="B33" s="24" t="str">
        <x:v>16_Auditoria_Global_de_Coherencia.md</x:v>
      </x:c>
      <x:c r="C33" s="24" t="str">
        <x:v>16_Auditoria_Global_de_Coherencia.md</x:v>
      </x:c>
      <x:c r="D33" s="24" t="str">
        <x:v>Consolidated document</x:v>
      </x:c>
      <x:c r="E33" s="24" t="str">
        <x:v>2026-07-01 consolidation</x:v>
      </x:c>
      <x:c r="F33" s="24" t="str">
        <x:v>4a62376b8aee623be40957ae0511d2dcab2919947f3abb2cef3502b9bb60863e</x:v>
      </x:c>
      <x:c r="G33" s="24" t="str">
        <x:v>Primary current</x:v>
      </x:c>
      <x:c r="H33" s="24" t="str">
        <x:v>Documentacion/</x:v>
      </x:c>
      <x:c r="I33" s="24" t="str">
        <x:v>VERIFIED HASH</x:v>
      </x:c>
      <x:c r="J33" s="24" t="str">
        <x:v>Internal / selected sharing</x:v>
      </x:c>
      <x:c r="K33" s="24" t="str">
        <x:v>Update after document change</x:v>
      </x:c>
      <x:c r="L33" s="24" t="str">
        <x:v>85.39 KiB</x:v>
      </x:c>
    </x:row>
    <x:row r="34" ht="34" customHeight="1">
      <x:c r="A34" s="24" t="str">
        <x:v>SRC-0030</x:v>
      </x:c>
      <x:c r="B34" s="24" t="str">
        <x:v>17_Art_Bible.md</x:v>
      </x:c>
      <x:c r="C34" s="24" t="str">
        <x:v>17_Art_Bible.md</x:v>
      </x:c>
      <x:c r="D34" s="24" t="str">
        <x:v>Consolidated document</x:v>
      </x:c>
      <x:c r="E34" s="24" t="str">
        <x:v>2026-07-01 consolidation</x:v>
      </x:c>
      <x:c r="F34" s="24" t="str">
        <x:v>095c6cc42223a972c7faa68435595fc7c22f839fabc62b2038371a0ef6c14239</x:v>
      </x:c>
      <x:c r="G34" s="24" t="str">
        <x:v>Primary current</x:v>
      </x:c>
      <x:c r="H34" s="24" t="str">
        <x:v>Documentacion/</x:v>
      </x:c>
      <x:c r="I34" s="24" t="str">
        <x:v>VERIFIED HASH</x:v>
      </x:c>
      <x:c r="J34" s="24" t="str">
        <x:v>Internal / selected sharing</x:v>
      </x:c>
      <x:c r="K34" s="24" t="str">
        <x:v>Update after document change</x:v>
      </x:c>
      <x:c r="L34" s="24" t="str">
        <x:v>130.77 KiB</x:v>
      </x:c>
    </x:row>
    <x:row r="35" ht="34" customHeight="1">
      <x:c r="A35" s="24" t="str">
        <x:v>SRC-0031</x:v>
      </x:c>
      <x:c r="B35" s="24" t="str">
        <x:v>18_Audio_Bible.md</x:v>
      </x:c>
      <x:c r="C35" s="24" t="str">
        <x:v>18_Audio_Bible.md</x:v>
      </x:c>
      <x:c r="D35" s="24" t="str">
        <x:v>Consolidated document</x:v>
      </x:c>
      <x:c r="E35" s="24" t="str">
        <x:v>2026-07-01 consolidation</x:v>
      </x:c>
      <x:c r="F35" s="24" t="str">
        <x:v>c2eabe93a7c26f70e1d4d77fb0ddcaa97e2cdd1e70247e637b9db5bd2f07ce92</x:v>
      </x:c>
      <x:c r="G35" s="24" t="str">
        <x:v>Primary current</x:v>
      </x:c>
      <x:c r="H35" s="24" t="str">
        <x:v>Documentacion/</x:v>
      </x:c>
      <x:c r="I35" s="24" t="str">
        <x:v>VERIFIED HASH</x:v>
      </x:c>
      <x:c r="J35" s="24" t="str">
        <x:v>Internal / selected sharing</x:v>
      </x:c>
      <x:c r="K35" s="24" t="str">
        <x:v>Update after document change</x:v>
      </x:c>
      <x:c r="L35" s="24" t="str">
        <x:v>141.14 KiB</x:v>
      </x:c>
    </x:row>
    <x:row r="36" ht="34" customHeight="1">
      <x:c r="A36" s="24" t="str">
        <x:v>SRC-0032</x:v>
      </x:c>
      <x:c r="B36" s="24" t="str">
        <x:v>19_UI_Style_Guide.md</x:v>
      </x:c>
      <x:c r="C36" s="24" t="str">
        <x:v>19_UI_Style_Guide.md</x:v>
      </x:c>
      <x:c r="D36" s="24" t="str">
        <x:v>Consolidated document</x:v>
      </x:c>
      <x:c r="E36" s="24" t="str">
        <x:v>2026-07-01 consolidation</x:v>
      </x:c>
      <x:c r="F36" s="24" t="str">
        <x:v>b34ca4db1eba7a536466b6a9a105d8d92396ade2108aa7dd99fa7d5d4eaebc1a</x:v>
      </x:c>
      <x:c r="G36" s="24" t="str">
        <x:v>Primary current</x:v>
      </x:c>
      <x:c r="H36" s="24" t="str">
        <x:v>Documentacion/</x:v>
      </x:c>
      <x:c r="I36" s="24" t="str">
        <x:v>VERIFIED HASH</x:v>
      </x:c>
      <x:c r="J36" s="24" t="str">
        <x:v>Internal / selected sharing</x:v>
      </x:c>
      <x:c r="K36" s="24" t="str">
        <x:v>Update after document change</x:v>
      </x:c>
      <x:c r="L36" s="24" t="str">
        <x:v>146.29 KiB</x:v>
      </x:c>
    </x:row>
    <x:row r="37" ht="34" customHeight="1">
      <x:c r="A37" s="24" t="str">
        <x:v>SRC-0033</x:v>
      </x:c>
      <x:c r="B37" s="24" t="str">
        <x:v>20_Economy_and_Balance_Specification.md</x:v>
      </x:c>
      <x:c r="C37" s="24" t="str">
        <x:v>20_Economy_and_Balance_Specification.md</x:v>
      </x:c>
      <x:c r="D37" s="24" t="str">
        <x:v>Consolidated document</x:v>
      </x:c>
      <x:c r="E37" s="24" t="str">
        <x:v>2026-07-01 consolidation</x:v>
      </x:c>
      <x:c r="F37" s="24" t="str">
        <x:v>908c70772ed35eecdb05c3036c6901523a4caf2c3e708ca8f049c2a160ef2aac</x:v>
      </x:c>
      <x:c r="G37" s="24" t="str">
        <x:v>Primary current</x:v>
      </x:c>
      <x:c r="H37" s="24" t="str">
        <x:v>Documentacion/</x:v>
      </x:c>
      <x:c r="I37" s="24" t="str">
        <x:v>VERIFIED HASH</x:v>
      </x:c>
      <x:c r="J37" s="24" t="str">
        <x:v>Internal / selected sharing</x:v>
      </x:c>
      <x:c r="K37" s="24" t="str">
        <x:v>Update after document change</x:v>
      </x:c>
      <x:c r="L37" s="24" t="str">
        <x:v>150.92 KiB</x:v>
      </x:c>
    </x:row>
    <x:row r="38" ht="34" customHeight="1">
      <x:c r="A38" s="24" t="str">
        <x:v>SRC-0034</x:v>
      </x:c>
      <x:c r="B38" s="24" t="str">
        <x:v>21_Initial_Content_Catalog.xlsx</x:v>
      </x:c>
      <x:c r="C38" s="24" t="str">
        <x:v>21_Initial_Content_Catalog.xlsx</x:v>
      </x:c>
      <x:c r="D38" s="24" t="str">
        <x:v>Consolidated document</x:v>
      </x:c>
      <x:c r="E38" s="24" t="str">
        <x:v>2026-07-01 targeted update</x:v>
      </x:c>
      <x:c r="F38" s="24" t="str">
        <x:v>2f98e2b7070e5a1f70d4feee03a7d154a2dcdeff8078b040c442e2393fc676c8</x:v>
      </x:c>
      <x:c r="G38" s="24" t="str">
        <x:v>Primary current</x:v>
      </x:c>
      <x:c r="H38" s="24" t="str">
        <x:v>Documentacion/</x:v>
      </x:c>
      <x:c r="I38" s="24" t="str">
        <x:v>TARGETED UPDATE / VERIFIED HASH</x:v>
      </x:c>
      <x:c r="J38" s="24" t="str">
        <x:v>Internal / selected sharing</x:v>
      </x:c>
      <x:c r="K38" s="24" t="str">
        <x:v>Rehash after document change</x:v>
      </x:c>
      <x:c r="L38" s="24" t="str">
        <x:v>182.23 KiB</x:v>
      </x:c>
    </x:row>
    <x:row r="39" ht="34" customHeight="1">
      <x:c r="A39" s="24" t="str">
        <x:v>SRC-0035</x:v>
      </x:c>
      <x:c r="B39" s="24" t="str">
        <x:v>22_Localization_Plan.md</x:v>
      </x:c>
      <x:c r="C39" s="24" t="str">
        <x:v>22_Localization_Plan.md</x:v>
      </x:c>
      <x:c r="D39" s="24" t="str">
        <x:v>Consolidated document</x:v>
      </x:c>
      <x:c r="E39" s="24" t="str">
        <x:v>2026-07-01 consolidation</x:v>
      </x:c>
      <x:c r="F39" s="24" t="str">
        <x:v>184a53b2813bc1327a6913e6e88ea4c81142da1ee4ddeff88f75467c784f1ff0</x:v>
      </x:c>
      <x:c r="G39" s="24" t="str">
        <x:v>Primary current</x:v>
      </x:c>
      <x:c r="H39" s="24" t="str">
        <x:v>Documentacion/</x:v>
      </x:c>
      <x:c r="I39" s="24" t="str">
        <x:v>VERIFIED HASH</x:v>
      </x:c>
      <x:c r="J39" s="24" t="str">
        <x:v>Internal / selected sharing</x:v>
      </x:c>
      <x:c r="K39" s="24" t="str">
        <x:v>Update after document change</x:v>
      </x:c>
      <x:c r="L39" s="24" t="str">
        <x:v>153.64 KiB</x:v>
      </x:c>
    </x:row>
    <x:row r="40" ht="34" customHeight="1">
      <x:c r="A40" s="24" t="str">
        <x:v>SRC-0036</x:v>
      </x:c>
      <x:c r="B40" s="24" t="str">
        <x:v>Packages/manifest.json</x:v>
      </x:c>
      <x:c r="C40" s="24" t="str">
        <x:v>Packages manifest</x:v>
      </x:c>
      <x:c r="D40" s="24" t="str">
        <x:v>Dependency manifest</x:v>
      </x:c>
      <x:c r="E40" s="24" t="str">
        <x:v>Current source package</x:v>
      </x:c>
      <x:c r="F40" s="24" t="str">
        <x:v>50137b7babf4c53742103d5f14c86fde2090a984c030292e2e4aaef4ce03dae6</x:v>
      </x:c>
      <x:c r="G40" s="24" t="str">
        <x:v>Primary current</x:v>
      </x:c>
      <x:c r="H40" s="24" t="str">
        <x:v>Packages.zip / repository</x:v>
      </x:c>
      <x:c r="I40" s="24" t="str">
        <x:v>VERIFIED HASH</x:v>
      </x:c>
      <x:c r="J40" s="24" t="str">
        <x:v>Internal</x:v>
      </x:c>
      <x:c r="K40" s="24" t="str">
        <x:v>Each package change</x:v>
      </x:c>
      <x:c r="L40" s="24" t="str"/>
    </x:row>
    <x:row r="41" ht="34" customHeight="1">
      <x:c r="A41" s="24" t="str">
        <x:v>SRC-0037</x:v>
      </x:c>
      <x:c r="B41" s="24" t="str">
        <x:v>Packages/packages-lock.json</x:v>
      </x:c>
      <x:c r="C41" s="24" t="str">
        <x:v>Packages lock</x:v>
      </x:c>
      <x:c r="D41" s="24" t="str">
        <x:v>Dependency manifest</x:v>
      </x:c>
      <x:c r="E41" s="24" t="str">
        <x:v>Current source package</x:v>
      </x:c>
      <x:c r="F41" s="24" t="str">
        <x:v>6af42e872600380cea023aed62c849bed1e4b204a9dfc9e88da8184b06b6bbe2</x:v>
      </x:c>
      <x:c r="G41" s="24" t="str">
        <x:v>Primary current</x:v>
      </x:c>
      <x:c r="H41" s="24" t="str">
        <x:v>Packages.zip / repository</x:v>
      </x:c>
      <x:c r="I41" s="24" t="str">
        <x:v>VERIFIED HASH</x:v>
      </x:c>
      <x:c r="J41" s="24" t="str">
        <x:v>Internal</x:v>
      </x:c>
      <x:c r="K41" s="24" t="str">
        <x:v>Each package change</x:v>
      </x:c>
      <x:c r="L41" s="24" t="str"/>
    </x:row>
    <x:row r="42" ht="26.399999618530273" hidden="0" customHeight="1">
      <x:c r="A42" s="47" t="str">
        <x:v>SRC-0038</x:v>
      </x:c>
      <x:c r="B42" s="47" t="str">
        <x:v>23_Legal_Credits_and_Licenses_Register.xlsx</x:v>
      </x:c>
      <x:c r="C42" s="47" t="str">
        <x:v>23_Legal_Credits_and_Licenses_Register.xlsx</x:v>
      </x:c>
      <x:c r="D42" s="47" t="str">
        <x:v>Current governing document</x:v>
      </x:c>
      <x:c r="E42" s="47" t="str">
        <x:v>2026-07-01 targeted update candidate</x:v>
      </x:c>
      <x:c r="F42" s="47" t="str">
        <x:v>PENDING EXTERNAL SELF-HASH</x:v>
      </x:c>
      <x:c r="G42" s="47" t="str">
        <x:v>Primary current / candidate</x:v>
      </x:c>
      <x:c r="H42" s="47" t="str">
        <x:v>Documentacion/</x:v>
      </x:c>
      <x:c r="I42" s="47" t="str">
        <x:v>CANDIDATE / SELF-HASH EXTERNAL</x:v>
      </x:c>
      <x:c r="J42" s="47" t="str">
        <x:v>Internal / selected sharing</x:v>
      </x:c>
      <x:c r="K42" s="47" t="str">
        <x:v>Record final hash externally after export</x:v>
      </x:c>
      <x:c r="L42" s="47" t="str">
        <x:v>Self-hash intentionally external</x:v>
      </x:c>
    </x:row>
    <x:row r="43" ht="26.399999618530273" hidden="0" customHeight="1">
      <x:c r="A43" s="47" t="str">
        <x:v>SRC-0039</x:v>
      </x:c>
      <x:c r="B43" s="47" t="str">
        <x:v>24_Steam_Publishing_Plan.md</x:v>
      </x:c>
      <x:c r="C43" s="47" t="str">
        <x:v>24_Steam_Publishing_Plan.md</x:v>
      </x:c>
      <x:c r="D43" s="47" t="str">
        <x:v>Current governing document</x:v>
      </x:c>
      <x:c r="E43" s="47" t="str">
        <x:v>2026-07-01 RC1</x:v>
      </x:c>
      <x:c r="F43" s="47" t="str">
        <x:v>f087e24d3a18f8c4a6651728d5f70d1df804042587e206fdeac2e7e637a87646</x:v>
      </x:c>
      <x:c r="G43" s="47" t="str">
        <x:v>Primary current / candidate</x:v>
      </x:c>
      <x:c r="H43" s="47" t="str">
        <x:v>Documentacion/</x:v>
      </x:c>
      <x:c r="I43" s="47" t="str">
        <x:v>VERIFIED RC1 HASH</x:v>
      </x:c>
      <x:c r="J43" s="47" t="str">
        <x:v>Internal / selected sharing</x:v>
      </x:c>
      <x:c r="K43" s="47" t="str">
        <x:v>Rehash after document change</x:v>
      </x:c>
      <x:c r="L43" s="47" t="str">
        <x:v>167.03 KiB</x:v>
      </x:c>
    </x:row>
    <x:row r="44" ht="26.399999618530273" hidden="0" customHeight="1">
      <x:c r="A44" s="47" t="str">
        <x:v>SRC-0040</x:v>
      </x:c>
      <x:c r="B44" s="47" t="str">
        <x:v>25_Post_Launch_and_Live_Operations_Plan.md</x:v>
      </x:c>
      <x:c r="C44" s="47" t="str">
        <x:v>25_Post_Launch_and_Live_Operations_Plan.md</x:v>
      </x:c>
      <x:c r="D44" s="47" t="str">
        <x:v>Current governing document</x:v>
      </x:c>
      <x:c r="E44" s="47" t="str">
        <x:v>2026-07-01 RC1</x:v>
      </x:c>
      <x:c r="F44" s="47" t="str">
        <x:v>158e1e43514c5d5d6c365f6cd1a73929f54c4a48c5cc460b593530ae5e49bac9</x:v>
      </x:c>
      <x:c r="G44" s="47" t="str">
        <x:v>Primary current / candidate</x:v>
      </x:c>
      <x:c r="H44" s="47" t="str">
        <x:v>Documentacion/</x:v>
      </x:c>
      <x:c r="I44" s="47" t="str">
        <x:v>VERIFIED RC1 HASH</x:v>
      </x:c>
      <x:c r="J44" s="47" t="str">
        <x:v>Internal / selected sharing</x:v>
      </x:c>
      <x:c r="K44" s="47" t="str">
        <x:v>Rehash after document change</x:v>
      </x:c>
      <x:c r="L44" s="47" t="str">
        <x:v>319.55 KiB</x:v>
      </x:c>
    </x:row>
    <x:row r="45" ht="26.399999618530273" hidden="0" customHeight="1">
      <x:c r="A45" s="47" t="str">
        <x:v>SRC-0041</x:v>
      </x:c>
      <x:c r="B45" s="47" t="str">
        <x:v>26_Privacy_Data_and_Telemetry_Plan.md</x:v>
      </x:c>
      <x:c r="C45" s="47" t="str">
        <x:v>26_Privacy_Data_and_Telemetry_Plan.md</x:v>
      </x:c>
      <x:c r="D45" s="47" t="str">
        <x:v>Current governing document</x:v>
      </x:c>
      <x:c r="E45" s="47" t="str">
        <x:v>2026-07-01 RC1</x:v>
      </x:c>
      <x:c r="F45" s="47" t="str">
        <x:v>284abfe537793c2ec8b0e5cbac484cd9395567c4434aef7f5ad5ee7005e95f36</x:v>
      </x:c>
      <x:c r="G45" s="47" t="str">
        <x:v>Primary current / candidate</x:v>
      </x:c>
      <x:c r="H45" s="47" t="str">
        <x:v>Documentacion/</x:v>
      </x:c>
      <x:c r="I45" s="47" t="str">
        <x:v>VERIFIED RC1 HASH</x:v>
      </x:c>
      <x:c r="J45" s="47" t="str">
        <x:v>Internal / selected sharing</x:v>
      </x:c>
      <x:c r="K45" s="47" t="str">
        <x:v>Rehash after document change</x:v>
      </x:c>
      <x:c r="L45" s="47" t="str">
        <x:v>313.65 KiB</x:v>
      </x:c>
    </x:row>
    <x:row r="46" ht="26.399999618530273" hidden="0" customHeight="1">
      <x:c r="A46" s="47" t="str">
        <x:v>SRC-0042</x:v>
      </x:c>
      <x:c r="B46" s="47" t="str">
        <x:v>27_Security_and_Incident_Response_Plan.md</x:v>
      </x:c>
      <x:c r="C46" s="47" t="str">
        <x:v>27_Security_and_Incident_Response_Plan.md</x:v>
      </x:c>
      <x:c r="D46" s="47" t="str">
        <x:v>Current governing document</x:v>
      </x:c>
      <x:c r="E46" s="47" t="str">
        <x:v>2026-07-01 RC1</x:v>
      </x:c>
      <x:c r="F46" s="47" t="str">
        <x:v>f925bfbf3df2000323c12a4486480d06c8ab8181684e5922168b8bdf89d05f92</x:v>
      </x:c>
      <x:c r="G46" s="47" t="str">
        <x:v>Primary current / candidate</x:v>
      </x:c>
      <x:c r="H46" s="47" t="str">
        <x:v>Documentacion/</x:v>
      </x:c>
      <x:c r="I46" s="47" t="str">
        <x:v>VERIFIED RC1 HASH</x:v>
      </x:c>
      <x:c r="J46" s="47" t="str">
        <x:v>Internal / selected sharing</x:v>
      </x:c>
      <x:c r="K46" s="47" t="str">
        <x:v>Rehash after document change</x:v>
      </x:c>
      <x:c r="L46" s="47" t="str">
        <x:v>412.29 KiB</x:v>
      </x:c>
    </x:row>
    <x:row r="47" ht="26.399999618530273" hidden="0" customHeight="1">
      <x:c r="A47" s="47" t="str">
        <x:v>SRC-0043</x:v>
      </x:c>
      <x:c r="B47" s="47" t="str">
        <x:v>28_Marketing_and_Communication_Plan.md</x:v>
      </x:c>
      <x:c r="C47" s="47" t="str">
        <x:v>28_Marketing_and_Communication_Plan.md</x:v>
      </x:c>
      <x:c r="D47" s="47" t="str">
        <x:v>Current governing document</x:v>
      </x:c>
      <x:c r="E47" s="47" t="str">
        <x:v>2026-07-01 RC1</x:v>
      </x:c>
      <x:c r="F47" s="47" t="str">
        <x:v>28dd332855126558b3da6019f2e546b1e8ab7db81dc530a89f3e3fbfe757cded</x:v>
      </x:c>
      <x:c r="G47" s="47" t="str">
        <x:v>Primary current / candidate</x:v>
      </x:c>
      <x:c r="H47" s="47" t="str">
        <x:v>Documentacion/</x:v>
      </x:c>
      <x:c r="I47" s="47" t="str">
        <x:v>VERIFIED RC1 HASH</x:v>
      </x:c>
      <x:c r="J47" s="47" t="str">
        <x:v>Internal / selected sharing</x:v>
      </x:c>
      <x:c r="K47" s="47" t="str">
        <x:v>Rehash after document change</x:v>
      </x:c>
      <x:c r="L47" s="47" t="str">
        <x:v>85.46 KiB</x:v>
      </x:c>
    </x:row>
    <x:row r="48" ht="26.399999618530273" hidden="0" customHeight="1">
      <x:c r="A48" s="47" t="str">
        <x:v>SRC-0044</x:v>
      </x:c>
      <x:c r="B48" s="47" t="str">
        <x:v>29_Accessibility_and_Inclusive_Design_Plan.md</x:v>
      </x:c>
      <x:c r="C48" s="47" t="str">
        <x:v>29_Accessibility_and_Inclusive_Design_Plan.md</x:v>
      </x:c>
      <x:c r="D48" s="47" t="str">
        <x:v>Current governing document</x:v>
      </x:c>
      <x:c r="E48" s="47" t="str">
        <x:v>2026-07-01 RC1</x:v>
      </x:c>
      <x:c r="F48" s="47" t="str">
        <x:v>678ceabb509062cd93c7690315397b1cc6204c0da6a5d57324ba11e2fda64333</x:v>
      </x:c>
      <x:c r="G48" s="47" t="str">
        <x:v>Primary current / candidate</x:v>
      </x:c>
      <x:c r="H48" s="47" t="str">
        <x:v>Documentacion/</x:v>
      </x:c>
      <x:c r="I48" s="47" t="str">
        <x:v>VERIFIED RC1 HASH</x:v>
      </x:c>
      <x:c r="J48" s="47" t="str">
        <x:v>Internal / selected sharing</x:v>
      </x:c>
      <x:c r="K48" s="47" t="str">
        <x:v>Rehash after document change</x:v>
      </x:c>
      <x:c r="L48" s="47" t="str">
        <x:v>102.54 KiB</x:v>
      </x:c>
    </x:row>
    <x:row r="49" ht="26.399999618530273" hidden="0" customHeight="1">
      <x:c r="A49" s="47" t="str">
        <x:v>SRC-0045</x:v>
      </x:c>
      <x:c r="B49" s="47" t="str">
        <x:v>30_Performance_and_Optimization_Plan.md</x:v>
      </x:c>
      <x:c r="C49" s="47" t="str">
        <x:v>30_Performance_and_Optimization_Plan.md</x:v>
      </x:c>
      <x:c r="D49" s="47" t="str">
        <x:v>Current governing document</x:v>
      </x:c>
      <x:c r="E49" s="47" t="str">
        <x:v>2026-07-01 RC1</x:v>
      </x:c>
      <x:c r="F49" s="47" t="str">
        <x:v>18f53eaa61734ad735c02c8b7c70ed37f5f0e80f7c01828b05d092c49b0de260</x:v>
      </x:c>
      <x:c r="G49" s="47" t="str">
        <x:v>Primary current / candidate</x:v>
      </x:c>
      <x:c r="H49" s="47" t="str">
        <x:v>Documentacion/</x:v>
      </x:c>
      <x:c r="I49" s="47" t="str">
        <x:v>VERIFIED RC1 HASH</x:v>
      </x:c>
      <x:c r="J49" s="47" t="str">
        <x:v>Internal / selected sharing</x:v>
      </x:c>
      <x:c r="K49" s="47" t="str">
        <x:v>Rehash after document change</x:v>
      </x:c>
      <x:c r="L49" s="47" t="str">
        <x:v>106.92 KiB</x:v>
      </x:c>
    </x:row>
    <x:row r="50" ht="26.399999618530273" hidden="0" customHeight="1">
      <x:c r="A50" s="47" t="str">
        <x:v>SRC-0046</x:v>
      </x:c>
      <x:c r="B50" s="47" t="str">
        <x:v>31_H6_and_Release_Readiness_Checklist.xlsx</x:v>
      </x:c>
      <x:c r="C50" s="47" t="str">
        <x:v>31_H6_and_Release_Readiness_Checklist.xlsx</x:v>
      </x:c>
      <x:c r="D50" s="47" t="str">
        <x:v>Current governing document</x:v>
      </x:c>
      <x:c r="E50" s="47" t="str">
        <x:v>2026-07-01 RC1</x:v>
      </x:c>
      <x:c r="F50" s="47" t="str">
        <x:v>3ec6265ca8009a6f502008a103161492687efbc026a61c55b1205b976c255aee</x:v>
      </x:c>
      <x:c r="G50" s="47" t="str">
        <x:v>Primary current / candidate</x:v>
      </x:c>
      <x:c r="H50" s="47" t="str">
        <x:v>Documentacion/</x:v>
      </x:c>
      <x:c r="I50" s="47" t="str">
        <x:v>VERIFIED RC1 HASH / UPDATE PENDING</x:v>
      </x:c>
      <x:c r="J50" s="47" t="str">
        <x:v>Internal / selected sharing</x:v>
      </x:c>
      <x:c r="K50" s="47" t="str">
        <x:v>Replace after targeted update</x:v>
      </x:c>
      <x:c r="L50" s="47" t="str">
        <x:v>189.74 KiB</x:v>
      </x:c>
    </x:row>
    <x:row r="51" ht="26.399999618530273" hidden="0" customHeight="1">
      <x:c r="A51" s="47" t="str">
        <x:v>SRC-0047</x:v>
      </x:c>
      <x:c r="B51" s="47" t="str">
        <x:v>32_Documentation_Baseline_Manifest.xlsx</x:v>
      </x:c>
      <x:c r="C51" s="47" t="str">
        <x:v>32_Documentation_Baseline_Manifest.xlsx</x:v>
      </x:c>
      <x:c r="D51" s="47" t="str">
        <x:v>Current governing document</x:v>
      </x:c>
      <x:c r="E51" s="47" t="str">
        <x:v>2026-07-01 RC1</x:v>
      </x:c>
      <x:c r="F51" s="47" t="str">
        <x:v>05ef1aa53febb8015b1eb40be8f43a4f6cee5be3ce1d31c3eda03346b86ebc64</x:v>
      </x:c>
      <x:c r="G51" s="47" t="str">
        <x:v>Primary current / candidate</x:v>
      </x:c>
      <x:c r="H51" s="47" t="str">
        <x:v>Documentacion/</x:v>
      </x:c>
      <x:c r="I51" s="47" t="str">
        <x:v>VERIFIED RC1 HASH / CANDIDATE REGEN PENDING</x:v>
      </x:c>
      <x:c r="J51" s="47" t="str">
        <x:v>Internal / selected sharing</x:v>
      </x:c>
      <x:c r="K51" s="47" t="str">
        <x:v>Replace after candidate/final regeneration</x:v>
      </x:c>
      <x:c r="L51" s="47" t="str">
        <x:v>192.63 KiB</x:v>
      </x:c>
    </x:row>
    <x:row r="52" ht="26.399999618530273" hidden="0" customHeight="1">
      <x:c r="A52" s="47" t="str">
        <x:v>SRC-0048</x:v>
      </x:c>
      <x:c r="B52" s="47" t="str">
        <x:v>33_Project_Risk_Register_and_Business_Continuity_Plan.xlsx</x:v>
      </x:c>
      <x:c r="C52" s="47" t="str">
        <x:v>33_Project_Risk_Register_and_Business_Continuity_Plan.xlsx</x:v>
      </x:c>
      <x:c r="D52" s="47" t="str">
        <x:v>Current governing document</x:v>
      </x:c>
      <x:c r="E52" s="47" t="str">
        <x:v>2026-07-01 RC1</x:v>
      </x:c>
      <x:c r="F52" s="47" t="str">
        <x:v>aff3d5173017c6e90eae4b743b00af9a5106ad8e8b61f4789ff6857d10a61d88</x:v>
      </x:c>
      <x:c r="G52" s="47" t="str">
        <x:v>Primary current / candidate</x:v>
      </x:c>
      <x:c r="H52" s="47" t="str">
        <x:v>Documentacion/</x:v>
      </x:c>
      <x:c r="I52" s="47" t="str">
        <x:v>VERIFIED RC1 HASH / UPDATE PENDING</x:v>
      </x:c>
      <x:c r="J52" s="47" t="str">
        <x:v>Internal / selected sharing</x:v>
      </x:c>
      <x:c r="K52" s="47" t="str">
        <x:v>Replace after targeted update</x:v>
      </x:c>
      <x:c r="L52" s="47" t="str">
        <x:v>288.19 KiB</x:v>
      </x:c>
    </x:row>
    <x:row r="53" ht="26.399999618530273" hidden="0" customHeight="1">
      <x:c r="A53" s="47" t="str">
        <x:v>SRC-0049</x:v>
      </x:c>
      <x:c r="B53" s="47" t="str">
        <x:v>34_Final_Handoff_and_Project_Operations_Manual.md</x:v>
      </x:c>
      <x:c r="C53" s="47" t="str">
        <x:v>34_Final_Handoff_and_Project_Operations_Manual.md</x:v>
      </x:c>
      <x:c r="D53" s="47" t="str">
        <x:v>Current governing document</x:v>
      </x:c>
      <x:c r="E53" s="47" t="str">
        <x:v>2026-07-01 RC1</x:v>
      </x:c>
      <x:c r="F53" s="47" t="str">
        <x:v>3b3fb3519caa4f899da10bf8bec73d72b5e0c3e3c6839c83157d1351a9ef9001</x:v>
      </x:c>
      <x:c r="G53" s="47" t="str">
        <x:v>Primary current / candidate</x:v>
      </x:c>
      <x:c r="H53" s="47" t="str">
        <x:v>Documentacion/</x:v>
      </x:c>
      <x:c r="I53" s="47" t="str">
        <x:v>VERIFIED RC1 HASH / UPDATE PENDING</x:v>
      </x:c>
      <x:c r="J53" s="47" t="str">
        <x:v>Internal / selected sharing</x:v>
      </x:c>
      <x:c r="K53" s="47" t="str">
        <x:v>Replace after targeted update</x:v>
      </x:c>
      <x:c r="L53" s="47" t="str">
        <x:v>100.29 KiB</x:v>
      </x:c>
    </x:row>
  </x:sheetData>
  <x:mergeCells>
    <x:mergeCell ref="A1:L1"/>
    <x:mergeCell ref="A2:L2"/>
  </x:mergeCells>
  <x:conditionalFormatting sqref="I5:I41">
    <x:cfRule type="expression" dxfId="128" priority="1">
      <x:formula>OR(ISNUMBER(SEARCH("APPROVED",I5)),ISNUMBER(SEARCH("READY",I5)),ISNUMBER(SEARCH("ACTIVE",I5)),ISNUMBER(SEARCH("VERIFIED",I5)))</x:formula>
    </x:cfRule>
    <x:cfRule type="expression" dxfId="129" priority="2">
      <x:formula>OR(ISNUMBER(SEARCH("BLOCK",I5)),ISNUMBER(SEARCH("PROHIBITED",I5)),ISNUMBER(SEARCH("CRITICAL",I5)),ISNUMBER(SEARCH("MISSING",I5)))</x:formula>
    </x:cfRule>
    <x:cfRule type="expression" dxfId="130" priority="3">
      <x:formula>OR(ISNUMBER(SEARCH("PENDING",I5)),ISNUMBER(SEARCH("PARTIAL",I5)),ISNUMBER(SEARCH("REVIEW",I5)),ISNUMBER(SEARCH("CONDITIONAL",I5)))</x:formula>
    </x:cfRule>
    <x:cfRule type="expression" dxfId="131" priority="4">
      <x:formula>OR(ISNUMBER(SEARCH("HISTORICAL",I5)),ISNUMBER(SEARCH("VISION",I5)),ISNUMBER(SEARCH("OPTIONAL",I5)))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d1562655481414a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44" hidden="0" customWidth="1"/>
    <x:col min="4" max="4" width="24" hidden="0" customWidth="1"/>
    <x:col min="5" max="5" width="28" hidden="0" customWidth="1"/>
    <x:col min="6" max="6" width="22" hidden="0" customWidth="1"/>
    <x:col min="7" max="7" width="34" hidden="0" customWidth="1"/>
    <x:col min="8" max="8" width="54" hidden="0" customWidth="1"/>
    <x:col min="9" max="9" width="50" hidden="0" customWidth="1"/>
    <x:col min="10" max="10" width="68" hidden="0" customWidth="1"/>
    <x:col min="11" max="11" width="78" hidden="0" customWidth="1"/>
    <x:col min="12" max="12" width="18" hidden="0" customWidth="1"/>
    <x:col min="13" max="13" width="18" hidden="0" customWidth="1"/>
    <x:col min="14" max="14" width="24" hidden="0" customWidth="1"/>
    <x:col min="15" max="15" width="38" hidden="0" customWidth="1"/>
    <x:col min="16" max="16" width="34" hidden="0" customWidth="1"/>
    <x:col min="17" max="17" width="16" hidden="0" customWidth="1"/>
    <x:col min="18" max="18" width="22" hidden="0" customWidth="1"/>
    <x:col min="19" max="19" width="16" hidden="0" customWidth="1"/>
    <x:col min="20" max="20" width="14" hidden="0" customWidth="1"/>
    <x:col min="21" max="21" width="20" hidden="0" customWidth="1"/>
    <x:col min="22" max="22" width="55" hidden="0" customWidth="1"/>
  </x:cols>
  <x:sheetData>
    <x:row r="1" ht="30" customHeight="1">
      <x:c r="A1" s="4" t="str">
        <x:v>Trazabilidad legal end-to-end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22" customHeight="1">
      <x:c r="A2" s="10" t="str">
        <x:v>Objeto → registro → autor/licencia → prueba → crédito → restricción → build → riesgo/deuda → gate 00–34.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</x:row>
    <x:row r="4" ht="38" customHeight="1">
      <x:c r="A4" s="17" t="str">
        <x:v>Trace ID</x:v>
      </x:c>
      <x:c r="B4" s="17" t="str">
        <x:v>Objeto ID</x:v>
      </x:c>
      <x:c r="C4" s="17" t="str">
        <x:v>Nombre</x:v>
      </x:c>
      <x:c r="D4" s="17" t="str">
        <x:v>Categoría</x:v>
      </x:c>
      <x:c r="E4" s="17" t="str">
        <x:v>Fuente hoja</x:v>
      </x:c>
      <x:c r="F4" s="17" t="str">
        <x:v>Registro legal</x:v>
      </x:c>
      <x:c r="G4" s="17" t="str">
        <x:v>Autor/Proveedor</x:v>
      </x:c>
      <x:c r="H4" s="17" t="str">
        <x:v>Licencia/Terms</x:v>
      </x:c>
      <x:c r="I4" s="17" t="str">
        <x:v>Prueba documental</x:v>
      </x:c>
      <x:c r="J4" s="17" t="str">
        <x:v>SHA-256</x:v>
      </x:c>
      <x:c r="K4" s="17" t="str">
        <x:v>Ruta/Referencia</x:v>
      </x:c>
      <x:c r="L4" s="17" t="str">
        <x:v>Crédito</x:v>
      </x:c>
      <x:c r="M4" s="17" t="str">
        <x:v>Atribución</x:v>
      </x:c>
      <x:c r="N4" s="17" t="str">
        <x:v>Restricción</x:v>
      </x:c>
      <x:c r="O4" s="17" t="str">
        <x:v>Builds autorizadas</x:v>
      </x:c>
      <x:c r="P4" s="17" t="str">
        <x:v>Estado legal</x:v>
      </x:c>
      <x:c r="Q4" s="17" t="str">
        <x:v>Riesgo</x:v>
      </x:c>
      <x:c r="R4" s="17" t="str">
        <x:v>Deuda</x:v>
      </x:c>
      <x:c r="S4" s="17" t="str">
        <x:v>Evidencia completa</x:v>
      </x:c>
      <x:c r="T4" s="17" t="str">
        <x:v>Cobertura</x:v>
      </x:c>
      <x:c r="U4" s="17" t="str">
        <x:v>Owner</x:v>
      </x:c>
      <x:c r="V4" s="17" t="str">
        <x:v>Notas</x:v>
      </x:c>
    </x:row>
    <x:row r="5" ht="34" customHeight="1">
      <x:c r="A5" s="24" t="str">
        <x:v>TRC-00001</x:v>
      </x:c>
      <x:c r="B5" s="24" t="str">
        <x:v>b3bb35a4ebf1741da87f244f45e51cbd</x:v>
      </x:c>
      <x:c r="C5" s="24" t="str">
        <x:v>Checkout.anim</x:v>
      </x:c>
      <x:c r="D5" s="24" t="str">
        <x:v>Animation</x:v>
      </x:c>
      <x:c r="E5" s="24" t="str">
        <x:v>03_Assets_Internos</x:v>
      </x:c>
      <x:c r="F5" s="24" t="str">
        <x:v>INT-0001</x:v>
      </x:c>
      <x:c r="G5" s="24" t="str">
        <x:v>VRM Games / Blas Luis Rocha González</x:v>
      </x:c>
      <x:c r="H5" s="24" t="str">
        <x:v>Internal project IP / authorship claim</x:v>
      </x:c>
      <x:c r="I5" s="24" t="str">
        <x:v>Source package + repository path + hash</x:v>
      </x:c>
      <x:c r="J5" s="24" t="str">
        <x:v>07cc540f0eec0e061d388e39826a54cba0bdb3d0fbbf921b5e1624dc2a298267</x:v>
      </x:c>
      <x:c r="K5" s="24" t="str">
        <x:v>Assets/_Project/Animations/Characters/Checkout.anim</x:v>
      </x:c>
      <x:c r="L5" s="24" t="str">
        <x:v>CR-004</x:v>
      </x:c>
      <x:c r="M5" s="24" t="str"/>
      <x:c r="N5" s="24" t="str">
        <x:v>RES-001;RES-014</x:v>
      </x:c>
      <x:c r="O5" s="24" t="str">
        <x:v>Internal development; public candidate requires gate</x:v>
      </x:c>
      <x:c r="P5" s="24" t="str">
        <x:v>CONDITIONALLY APPROVED</x:v>
      </x:c>
      <x:c r="Q5" s="24" t="str">
        <x:v>Medium</x:v>
      </x:c>
      <x:c r="R5" s="24" t="str"/>
      <x:c r="S5" s="24" t="str">
        <x:v>Parcial</x:v>
      </x:c>
      <x:c r="T5" s="24" t="str">
        <x:f>"T"&amp;IF(AND(H5&lt;&gt;"",I5&lt;&gt;"",J5&lt;&gt;"",L5&lt;&gt;"",N5&lt;&gt;"",O5&lt;&gt;"",P5="APPROVED PUBLIC",S5="Sí"),6,IF(AND(H5&lt;&gt;"",I5&lt;&gt;"",J5&lt;&gt;"",L5&lt;&gt;"",N5&lt;&gt;"",O5&lt;&gt;"",P5&lt;&gt;"",S5="Sí"),5,IF(AND(H5&lt;&gt;"",I5&lt;&gt;"",P5&lt;&gt;"",S5&lt;&gt;"No"),4,IF(AND(H5&lt;&gt;"",I5&lt;&gt;""),3,IF(F5&lt;&gt;"",2,1)))))</x:f>
        <x:v>T4</x:v>
      </x:c>
      <x:c r="U5" s="24" t="str">
        <x:v>VRM Games</x:v>
      </x:c>
      <x:c r="V5" s="24" t="str">
        <x:v>No se detectó proveedor externo en la ruta; confirmar autoría por lote antes de release público.</x:v>
      </x:c>
    </x:row>
    <x:row r="6" ht="34" customHeight="1">
      <x:c r="A6" s="24" t="str">
        <x:v>TRC-00002</x:v>
      </x:c>
      <x:c r="B6" s="24" t="str">
        <x:v>3ac28672d02429830e5ec6c5e7d09d82</x:v>
      </x:c>
      <x:c r="C6" s="24" t="str">
        <x:v>Frustrated.anim</x:v>
      </x:c>
      <x:c r="D6" s="24" t="str">
        <x:v>Animation</x:v>
      </x:c>
      <x:c r="E6" s="24" t="str">
        <x:v>03_Assets_Internos</x:v>
      </x:c>
      <x:c r="F6" s="24" t="str">
        <x:v>INT-0002</x:v>
      </x:c>
      <x:c r="G6" s="24" t="str">
        <x:v>VRM Games / Blas Luis Rocha González</x:v>
      </x:c>
      <x:c r="H6" s="24" t="str">
        <x:v>Internal project IP / authorship claim</x:v>
      </x:c>
      <x:c r="I6" s="24" t="str">
        <x:v>Source package + repository path + hash</x:v>
      </x:c>
      <x:c r="J6" s="24" t="str">
        <x:v>6abc2a67725bb6dcd8df807438ba8f8ff2135c8541f64fb94c8361548d16719f</x:v>
      </x:c>
      <x:c r="K6" s="24" t="str">
        <x:v>Assets/_Project/Animations/Characters/Frustrated.anim</x:v>
      </x:c>
      <x:c r="L6" s="24" t="str">
        <x:v>CR-004</x:v>
      </x:c>
      <x:c r="M6" s="24" t="str"/>
      <x:c r="N6" s="24" t="str">
        <x:v>RES-001;RES-014</x:v>
      </x:c>
      <x:c r="O6" s="24" t="str">
        <x:v>Internal development; public candidate requires gate</x:v>
      </x:c>
      <x:c r="P6" s="24" t="str">
        <x:v>CONDITIONALLY APPROVED</x:v>
      </x:c>
      <x:c r="Q6" s="24" t="str">
        <x:v>Medium</x:v>
      </x:c>
      <x:c r="R6" s="24" t="str"/>
      <x:c r="S6" s="24" t="str">
        <x:v>Parcial</x:v>
      </x:c>
      <x:c r="T6" s="24" t="str">
        <x:f>"T"&amp;IF(AND(H6&lt;&gt;"",I6&lt;&gt;"",J6&lt;&gt;"",L6&lt;&gt;"",N6&lt;&gt;"",O6&lt;&gt;"",P6="APPROVED PUBLIC",S6="Sí"),6,IF(AND(H6&lt;&gt;"",I6&lt;&gt;"",J6&lt;&gt;"",L6&lt;&gt;"",N6&lt;&gt;"",O6&lt;&gt;"",P6&lt;&gt;"",S6="Sí"),5,IF(AND(H6&lt;&gt;"",I6&lt;&gt;"",P6&lt;&gt;"",S6&lt;&gt;"No"),4,IF(AND(H6&lt;&gt;"",I6&lt;&gt;""),3,IF(F6&lt;&gt;"",2,1)))))</x:f>
        <x:v>T4</x:v>
      </x:c>
      <x:c r="U6" s="24" t="str">
        <x:v>VRM Games</x:v>
      </x:c>
      <x:c r="V6" s="24" t="str">
        <x:v>No se detectó proveedor externo en la ruta; confirmar autoría por lote antes de release público.</x:v>
      </x:c>
    </x:row>
    <x:row r="7" ht="34" customHeight="1">
      <x:c r="A7" s="24" t="str">
        <x:v>TRC-00003</x:v>
      </x:c>
      <x:c r="B7" s="24" t="str">
        <x:v>00b8a0a5b29b4bd340b6c524f0a1137a</x:v>
      </x:c>
      <x:c r="C7" s="24" t="str">
        <x:v>Idle.anim</x:v>
      </x:c>
      <x:c r="D7" s="24" t="str">
        <x:v>Animation</x:v>
      </x:c>
      <x:c r="E7" s="24" t="str">
        <x:v>03_Assets_Internos</x:v>
      </x:c>
      <x:c r="F7" s="24" t="str">
        <x:v>INT-0003</x:v>
      </x:c>
      <x:c r="G7" s="24" t="str">
        <x:v>VRM Games / Blas Luis Rocha González</x:v>
      </x:c>
      <x:c r="H7" s="24" t="str">
        <x:v>Internal project IP / authorship claim</x:v>
      </x:c>
      <x:c r="I7" s="24" t="str">
        <x:v>Source package + repository path + hash</x:v>
      </x:c>
      <x:c r="J7" s="24" t="str">
        <x:v>bd88ea9b4600a052122405227af854dcd452f5f3274552483bf293cb36501098</x:v>
      </x:c>
      <x:c r="K7" s="24" t="str">
        <x:v>Assets/_Project/Animations/Characters/Idle.anim</x:v>
      </x:c>
      <x:c r="L7" s="24" t="str">
        <x:v>CR-004</x:v>
      </x:c>
      <x:c r="M7" s="24" t="str"/>
      <x:c r="N7" s="24" t="str">
        <x:v>RES-001;RES-014</x:v>
      </x:c>
      <x:c r="O7" s="24" t="str">
        <x:v>Internal development; public candidate requires gate</x:v>
      </x:c>
      <x:c r="P7" s="24" t="str">
        <x:v>CONDITIONALLY APPROVED</x:v>
      </x:c>
      <x:c r="Q7" s="24" t="str">
        <x:v>Medium</x:v>
      </x:c>
      <x:c r="R7" s="24" t="str"/>
      <x:c r="S7" s="24" t="str">
        <x:v>Parcial</x:v>
      </x:c>
      <x:c r="T7" s="24" t="str">
        <x:f>"T"&amp;IF(AND(H7&lt;&gt;"",I7&lt;&gt;"",J7&lt;&gt;"",L7&lt;&gt;"",N7&lt;&gt;"",O7&lt;&gt;"",P7="APPROVED PUBLIC",S7="Sí"),6,IF(AND(H7&lt;&gt;"",I7&lt;&gt;"",J7&lt;&gt;"",L7&lt;&gt;"",N7&lt;&gt;"",O7&lt;&gt;"",P7&lt;&gt;"",S7="Sí"),5,IF(AND(H7&lt;&gt;"",I7&lt;&gt;"",P7&lt;&gt;"",S7&lt;&gt;"No"),4,IF(AND(H7&lt;&gt;"",I7&lt;&gt;""),3,IF(F7&lt;&gt;"",2,1)))))</x:f>
        <x:v>T4</x:v>
      </x:c>
      <x:c r="U7" s="24" t="str">
        <x:v>VRM Games</x:v>
      </x:c>
      <x:c r="V7" s="24" t="str">
        <x:v>No se detectó proveedor externo en la ruta; confirmar autoría por lote antes de release público.</x:v>
      </x:c>
    </x:row>
    <x:row r="8" ht="34" customHeight="1">
      <x:c r="A8" s="24" t="str">
        <x:v>TRC-00004</x:v>
      </x:c>
      <x:c r="B8" s="24" t="str">
        <x:v>f52ffcf3371527d29e26f3d0d549d19d</x:v>
      </x:c>
      <x:c r="C8" s="24" t="str">
        <x:v>MoveCrate.anim</x:v>
      </x:c>
      <x:c r="D8" s="24" t="str">
        <x:v>Animation</x:v>
      </x:c>
      <x:c r="E8" s="24" t="str">
        <x:v>03_Assets_Internos</x:v>
      </x:c>
      <x:c r="F8" s="24" t="str">
        <x:v>INT-0004</x:v>
      </x:c>
      <x:c r="G8" s="24" t="str">
        <x:v>VRM Games / Blas Luis Rocha González</x:v>
      </x:c>
      <x:c r="H8" s="24" t="str">
        <x:v>Internal project IP / authorship claim</x:v>
      </x:c>
      <x:c r="I8" s="24" t="str">
        <x:v>Source package + repository path + hash</x:v>
      </x:c>
      <x:c r="J8" s="24" t="str">
        <x:v>00e941f9c90417371db7e77b520f6a692e6603d8a50719ff604401f06877ef4f</x:v>
      </x:c>
      <x:c r="K8" s="24" t="str">
        <x:v>Assets/_Project/Animations/Characters/MoveCrate.anim</x:v>
      </x:c>
      <x:c r="L8" s="24" t="str">
        <x:v>CR-004</x:v>
      </x:c>
      <x:c r="M8" s="24" t="str"/>
      <x:c r="N8" s="24" t="str">
        <x:v>RES-001;RES-014</x:v>
      </x:c>
      <x:c r="O8" s="24" t="str">
        <x:v>Internal development; public candidate requires gate</x:v>
      </x:c>
      <x:c r="P8" s="24" t="str">
        <x:v>CONDITIONALLY APPROVED</x:v>
      </x:c>
      <x:c r="Q8" s="24" t="str">
        <x:v>Medium</x:v>
      </x:c>
      <x:c r="R8" s="24" t="str"/>
      <x:c r="S8" s="24" t="str">
        <x:v>Parcial</x:v>
      </x:c>
      <x:c r="T8" s="24" t="str">
        <x:f>"T"&amp;IF(AND(H8&lt;&gt;"",I8&lt;&gt;"",J8&lt;&gt;"",L8&lt;&gt;"",N8&lt;&gt;"",O8&lt;&gt;"",P8="APPROVED PUBLIC",S8="Sí"),6,IF(AND(H8&lt;&gt;"",I8&lt;&gt;"",J8&lt;&gt;"",L8&lt;&gt;"",N8&lt;&gt;"",O8&lt;&gt;"",P8&lt;&gt;"",S8="Sí"),5,IF(AND(H8&lt;&gt;"",I8&lt;&gt;"",P8&lt;&gt;"",S8&lt;&gt;"No"),4,IF(AND(H8&lt;&gt;"",I8&lt;&gt;""),3,IF(F8&lt;&gt;"",2,1)))))</x:f>
        <x:v>T4</x:v>
      </x:c>
      <x:c r="U8" s="24" t="str">
        <x:v>VRM Games</x:v>
      </x:c>
      <x:c r="V8" s="24" t="str">
        <x:v>No se detectó proveedor externo en la ruta; confirmar autoría por lote antes de release público.</x:v>
      </x:c>
    </x:row>
    <x:row r="9" ht="34" customHeight="1">
      <x:c r="A9" s="24" t="str">
        <x:v>TRC-00005</x:v>
      </x:c>
      <x:c r="B9" s="24" t="str">
        <x:v>7bbf91dbfdf8f766043333960b92fc7e</x:v>
      </x:c>
      <x:c r="C9" s="24" t="str">
        <x:v>Observe.anim</x:v>
      </x:c>
      <x:c r="D9" s="24" t="str">
        <x:v>Animation</x:v>
      </x:c>
      <x:c r="E9" s="24" t="str">
        <x:v>03_Assets_Internos</x:v>
      </x:c>
      <x:c r="F9" s="24" t="str">
        <x:v>INT-0005</x:v>
      </x:c>
      <x:c r="G9" s="24" t="str">
        <x:v>VRM Games / Blas Luis Rocha González</x:v>
      </x:c>
      <x:c r="H9" s="24" t="str">
        <x:v>Internal project IP / authorship claim</x:v>
      </x:c>
      <x:c r="I9" s="24" t="str">
        <x:v>Source package + repository path + hash</x:v>
      </x:c>
      <x:c r="J9" s="24" t="str">
        <x:v>2b4a83fbabf7c07283918b372f8ab67565a4bdef10bcddd4f7d379a04c4e2c87</x:v>
      </x:c>
      <x:c r="K9" s="24" t="str">
        <x:v>Assets/_Project/Animations/Characters/Observe.anim</x:v>
      </x:c>
      <x:c r="L9" s="24" t="str">
        <x:v>CR-004</x:v>
      </x:c>
      <x:c r="M9" s="24" t="str"/>
      <x:c r="N9" s="24" t="str">
        <x:v>RES-001;RES-014</x:v>
      </x:c>
      <x:c r="O9" s="24" t="str">
        <x:v>Internal development; public candidate requires gate</x:v>
      </x:c>
      <x:c r="P9" s="24" t="str">
        <x:v>CONDITIONALLY APPROVED</x:v>
      </x:c>
      <x:c r="Q9" s="24" t="str">
        <x:v>Medium</x:v>
      </x:c>
      <x:c r="R9" s="24" t="str"/>
      <x:c r="S9" s="24" t="str">
        <x:v>Parcial</x:v>
      </x:c>
      <x:c r="T9" s="24" t="str">
        <x:f>"T"&amp;IF(AND(H9&lt;&gt;"",I9&lt;&gt;"",J9&lt;&gt;"",L9&lt;&gt;"",N9&lt;&gt;"",O9&lt;&gt;"",P9="APPROVED PUBLIC",S9="Sí"),6,IF(AND(H9&lt;&gt;"",I9&lt;&gt;"",J9&lt;&gt;"",L9&lt;&gt;"",N9&lt;&gt;"",O9&lt;&gt;"",P9&lt;&gt;"",S9="Sí"),5,IF(AND(H9&lt;&gt;"",I9&lt;&gt;"",P9&lt;&gt;"",S9&lt;&gt;"No"),4,IF(AND(H9&lt;&gt;"",I9&lt;&gt;""),3,IF(F9&lt;&gt;"",2,1)))))</x:f>
        <x:v>T4</x:v>
      </x:c>
      <x:c r="U9" s="24" t="str">
        <x:v>VRM Games</x:v>
      </x:c>
      <x:c r="V9" s="24" t="str">
        <x:v>No se detectó proveedor externo en la ruta; confirmar autoría por lote antes de release público.</x:v>
      </x:c>
    </x:row>
    <x:row r="10" ht="34" customHeight="1">
      <x:c r="A10" s="24" t="str">
        <x:v>TRC-00006</x:v>
      </x:c>
      <x:c r="B10" s="24" t="str">
        <x:v>df5fd4a5d0068ad75bd607aa764805bd</x:v>
      </x:c>
      <x:c r="C10" s="24" t="str">
        <x:v>PickProduct.anim</x:v>
      </x:c>
      <x:c r="D10" s="24" t="str">
        <x:v>Animation</x:v>
      </x:c>
      <x:c r="E10" s="24" t="str">
        <x:v>03_Assets_Internos</x:v>
      </x:c>
      <x:c r="F10" s="24" t="str">
        <x:v>INT-0006</x:v>
      </x:c>
      <x:c r="G10" s="24" t="str">
        <x:v>VRM Games / Blas Luis Rocha González</x:v>
      </x:c>
      <x:c r="H10" s="24" t="str">
        <x:v>Internal project IP / authorship claim</x:v>
      </x:c>
      <x:c r="I10" s="24" t="str">
        <x:v>Source package + repository path + hash</x:v>
      </x:c>
      <x:c r="J10" s="24" t="str">
        <x:v>0497e883440ec89887d95ccd72b05485b7ff6762d11fa7a62d4b5a88c8df0096</x:v>
      </x:c>
      <x:c r="K10" s="24" t="str">
        <x:v>Assets/_Project/Animations/Characters/PickProduct.anim</x:v>
      </x:c>
      <x:c r="L10" s="24" t="str">
        <x:v>CR-004</x:v>
      </x:c>
      <x:c r="M10" s="24" t="str"/>
      <x:c r="N10" s="24" t="str">
        <x:v>RES-001;RES-014</x:v>
      </x:c>
      <x:c r="O10" s="24" t="str">
        <x:v>Internal development; public candidate requires gate</x:v>
      </x:c>
      <x:c r="P10" s="24" t="str">
        <x:v>CONDITIONALLY APPROVED</x:v>
      </x:c>
      <x:c r="Q10" s="24" t="str">
        <x:v>Medium</x:v>
      </x:c>
      <x:c r="R10" s="24" t="str"/>
      <x:c r="S10" s="24" t="str">
        <x:v>Parcial</x:v>
      </x:c>
      <x:c r="T10" s="24" t="str">
        <x:f>"T"&amp;IF(AND(H10&lt;&gt;"",I10&lt;&gt;"",J10&lt;&gt;"",L10&lt;&gt;"",N10&lt;&gt;"",O10&lt;&gt;"",P10="APPROVED PUBLIC",S10="Sí"),6,IF(AND(H10&lt;&gt;"",I10&lt;&gt;"",J10&lt;&gt;"",L10&lt;&gt;"",N10&lt;&gt;"",O10&lt;&gt;"",P10&lt;&gt;"",S10="Sí"),5,IF(AND(H10&lt;&gt;"",I10&lt;&gt;"",P10&lt;&gt;"",S10&lt;&gt;"No"),4,IF(AND(H10&lt;&gt;"",I10&lt;&gt;""),3,IF(F10&lt;&gt;"",2,1)))))</x:f>
        <x:v>T4</x:v>
      </x:c>
      <x:c r="U10" s="24" t="str">
        <x:v>VRM Games</x:v>
      </x:c>
      <x:c r="V10" s="24" t="str">
        <x:v>No se detectó proveedor externo en la ruta; confirmar autoría por lote antes de release público.</x:v>
      </x:c>
    </x:row>
    <x:row r="11" ht="34" customHeight="1">
      <x:c r="A11" s="24" t="str">
        <x:v>TRC-00007</x:v>
      </x:c>
      <x:c r="B11" s="24" t="str">
        <x:v>d936bbd9c9cbae26a1c5dc0b58eb9437</x:v>
      </x:c>
      <x:c r="C11" s="24" t="str">
        <x:v>PlayerPlace.anim</x:v>
      </x:c>
      <x:c r="D11" s="24" t="str">
        <x:v>Animation</x:v>
      </x:c>
      <x:c r="E11" s="24" t="str">
        <x:v>03_Assets_Internos</x:v>
      </x:c>
      <x:c r="F11" s="24" t="str">
        <x:v>INT-0007</x:v>
      </x:c>
      <x:c r="G11" s="24" t="str">
        <x:v>VRM Games / Blas Luis Rocha González</x:v>
      </x:c>
      <x:c r="H11" s="24" t="str">
        <x:v>Internal project IP / authorship claim</x:v>
      </x:c>
      <x:c r="I11" s="24" t="str">
        <x:v>Source package + repository path + hash</x:v>
      </x:c>
      <x:c r="J11" s="24" t="str">
        <x:v>8da2f2905ded4d15ec2f0439c8b67f14ea16d8d7feae9ce283d6b02f925375c5</x:v>
      </x:c>
      <x:c r="K11" s="24" t="str">
        <x:v>Assets/_Project/Animations/Characters/PlayerPlace.anim</x:v>
      </x:c>
      <x:c r="L11" s="24" t="str">
        <x:v>CR-004</x:v>
      </x:c>
      <x:c r="M11" s="24" t="str"/>
      <x:c r="N11" s="24" t="str">
        <x:v>RES-001;RES-014</x:v>
      </x:c>
      <x:c r="O11" s="24" t="str">
        <x:v>Internal development; public candidate requires gate</x:v>
      </x:c>
      <x:c r="P11" s="24" t="str">
        <x:v>CONDITIONALLY APPROVED</x:v>
      </x:c>
      <x:c r="Q11" s="24" t="str">
        <x:v>Medium</x:v>
      </x:c>
      <x:c r="R11" s="24" t="str"/>
      <x:c r="S11" s="24" t="str">
        <x:v>Parcial</x:v>
      </x:c>
      <x:c r="T11" s="24" t="str">
        <x:f>"T"&amp;IF(AND(H11&lt;&gt;"",I11&lt;&gt;"",J11&lt;&gt;"",L11&lt;&gt;"",N11&lt;&gt;"",O11&lt;&gt;"",P11="APPROVED PUBLIC",S11="Sí"),6,IF(AND(H11&lt;&gt;"",I11&lt;&gt;"",J11&lt;&gt;"",L11&lt;&gt;"",N11&lt;&gt;"",O11&lt;&gt;"",P11&lt;&gt;"",S11="Sí"),5,IF(AND(H11&lt;&gt;"",I11&lt;&gt;"",P11&lt;&gt;"",S11&lt;&gt;"No"),4,IF(AND(H11&lt;&gt;"",I11&lt;&gt;""),3,IF(F11&lt;&gt;"",2,1)))))</x:f>
        <x:v>T4</x:v>
      </x:c>
      <x:c r="U11" s="24" t="str">
        <x:v>VRM Games</x:v>
      </x:c>
      <x:c r="V11" s="24" t="str">
        <x:v>No se detectó proveedor externo en la ruta; confirmar autoría por lote antes de release público.</x:v>
      </x:c>
    </x:row>
    <x:row r="12" ht="34" customHeight="1">
      <x:c r="A12" s="24" t="str">
        <x:v>TRC-00008</x:v>
      </x:c>
      <x:c r="B12" s="24" t="str">
        <x:v>84c4837405aef34de6df41828111ba2e</x:v>
      </x:c>
      <x:c r="C12" s="24" t="str">
        <x:v>PlayerRemove.anim</x:v>
      </x:c>
      <x:c r="D12" s="24" t="str">
        <x:v>Animation</x:v>
      </x:c>
      <x:c r="E12" s="24" t="str">
        <x:v>03_Assets_Internos</x:v>
      </x:c>
      <x:c r="F12" s="24" t="str">
        <x:v>INT-0008</x:v>
      </x:c>
      <x:c r="G12" s="24" t="str">
        <x:v>VRM Games / Blas Luis Rocha González</x:v>
      </x:c>
      <x:c r="H12" s="24" t="str">
        <x:v>Internal project IP / authorship claim</x:v>
      </x:c>
      <x:c r="I12" s="24" t="str">
        <x:v>Source package + repository path + hash</x:v>
      </x:c>
      <x:c r="J12" s="24" t="str">
        <x:v>82642a6b961bd7d04f7885851d93b4bd6ede1f644fd98b107f7fbaa7f5f79639</x:v>
      </x:c>
      <x:c r="K12" s="24" t="str">
        <x:v>Assets/_Project/Animations/Characters/PlayerRemove.anim</x:v>
      </x:c>
      <x:c r="L12" s="24" t="str">
        <x:v>CR-004</x:v>
      </x:c>
      <x:c r="M12" s="24" t="str"/>
      <x:c r="N12" s="24" t="str">
        <x:v>RES-001;RES-014</x:v>
      </x:c>
      <x:c r="O12" s="24" t="str">
        <x:v>Internal development; public candidate requires gate</x:v>
      </x:c>
      <x:c r="P12" s="24" t="str">
        <x:v>CONDITIONALLY APPROVED</x:v>
      </x:c>
      <x:c r="Q12" s="24" t="str">
        <x:v>Medium</x:v>
      </x:c>
      <x:c r="R12" s="24" t="str"/>
      <x:c r="S12" s="24" t="str">
        <x:v>Parcial</x:v>
      </x:c>
      <x:c r="T12" s="24" t="str">
        <x:f>"T"&amp;IF(AND(H12&lt;&gt;"",I12&lt;&gt;"",J12&lt;&gt;"",L12&lt;&gt;"",N12&lt;&gt;"",O12&lt;&gt;"",P12="APPROVED PUBLIC",S12="Sí"),6,IF(AND(H12&lt;&gt;"",I12&lt;&gt;"",J12&lt;&gt;"",L12&lt;&gt;"",N12&lt;&gt;"",O12&lt;&gt;"",P12&lt;&gt;"",S12="Sí"),5,IF(AND(H12&lt;&gt;"",I12&lt;&gt;"",P12&lt;&gt;"",S12&lt;&gt;"No"),4,IF(AND(H12&lt;&gt;"",I12&lt;&gt;""),3,IF(F12&lt;&gt;"",2,1)))))</x:f>
        <x:v>T4</x:v>
      </x:c>
      <x:c r="U12" s="24" t="str">
        <x:v>VRM Games</x:v>
      </x:c>
      <x:c r="V12" s="24" t="str">
        <x:v>No se detectó proveedor externo en la ruta; confirmar autoría por lote antes de release público.</x:v>
      </x:c>
    </x:row>
    <x:row r="13" ht="34" customHeight="1">
      <x:c r="A13" s="24" t="str">
        <x:v>TRC-00009</x:v>
      </x:c>
      <x:c r="B13" s="24" t="str">
        <x:v>c6ebe55717d652582cbd7f1690e8d84c</x:v>
      </x:c>
      <x:c r="C13" s="24" t="str">
        <x:v>QueueWait.anim</x:v>
      </x:c>
      <x:c r="D13" s="24" t="str">
        <x:v>Animation</x:v>
      </x:c>
      <x:c r="E13" s="24" t="str">
        <x:v>03_Assets_Internos</x:v>
      </x:c>
      <x:c r="F13" s="24" t="str">
        <x:v>INT-0009</x:v>
      </x:c>
      <x:c r="G13" s="24" t="str">
        <x:v>VRM Games / Blas Luis Rocha González</x:v>
      </x:c>
      <x:c r="H13" s="24" t="str">
        <x:v>Internal project IP / authorship claim</x:v>
      </x:c>
      <x:c r="I13" s="24" t="str">
        <x:v>Source package + repository path + hash</x:v>
      </x:c>
      <x:c r="J13" s="24" t="str">
        <x:v>4e6e51c5c673f827f0c3c0374091b39f870c00a4f029b97a876eb2fa7f2a260e</x:v>
      </x:c>
      <x:c r="K13" s="24" t="str">
        <x:v>Assets/_Project/Animations/Characters/QueueWait.anim</x:v>
      </x:c>
      <x:c r="L13" s="24" t="str">
        <x:v>CR-004</x:v>
      </x:c>
      <x:c r="M13" s="24" t="str"/>
      <x:c r="N13" s="24" t="str">
        <x:v>RES-001;RES-014</x:v>
      </x:c>
      <x:c r="O13" s="24" t="str">
        <x:v>Internal development; public candidate requires gate</x:v>
      </x:c>
      <x:c r="P13" s="24" t="str">
        <x:v>CONDITIONALLY APPROVED</x:v>
      </x:c>
      <x:c r="Q13" s="24" t="str">
        <x:v>Medium</x:v>
      </x:c>
      <x:c r="R13" s="24" t="str"/>
      <x:c r="S13" s="24" t="str">
        <x:v>Parcial</x:v>
      </x:c>
      <x:c r="T13" s="24" t="str">
        <x:f>"T"&amp;IF(AND(H13&lt;&gt;"",I13&lt;&gt;"",J13&lt;&gt;"",L13&lt;&gt;"",N13&lt;&gt;"",O13&lt;&gt;"",P13="APPROVED PUBLIC",S13="Sí"),6,IF(AND(H13&lt;&gt;"",I13&lt;&gt;"",J13&lt;&gt;"",L13&lt;&gt;"",N13&lt;&gt;"",O13&lt;&gt;"",P13&lt;&gt;"",S13="Sí"),5,IF(AND(H13&lt;&gt;"",I13&lt;&gt;"",P13&lt;&gt;"",S13&lt;&gt;"No"),4,IF(AND(H13&lt;&gt;"",I13&lt;&gt;""),3,IF(F13&lt;&gt;"",2,1)))))</x:f>
        <x:v>T4</x:v>
      </x:c>
      <x:c r="U13" s="24" t="str">
        <x:v>VRM Games</x:v>
      </x:c>
      <x:c r="V13" s="24" t="str">
        <x:v>No se detectó proveedor externo en la ruta; confirmar autoría por lote antes de release público.</x:v>
      </x:c>
    </x:row>
    <x:row r="14" ht="34" customHeight="1">
      <x:c r="A14" s="24" t="str">
        <x:v>TRC-00010</x:v>
      </x:c>
      <x:c r="B14" s="24" t="str">
        <x:v>4b84f7b6061bcf8a6c324f4dc5f2f96d</x:v>
      </x:c>
      <x:c r="C14" s="24" t="str">
        <x:v>Satisfied.anim</x:v>
      </x:c>
      <x:c r="D14" s="24" t="str">
        <x:v>Animation</x:v>
      </x:c>
      <x:c r="E14" s="24" t="str">
        <x:v>03_Assets_Internos</x:v>
      </x:c>
      <x:c r="F14" s="24" t="str">
        <x:v>INT-0010</x:v>
      </x:c>
      <x:c r="G14" s="24" t="str">
        <x:v>VRM Games / Blas Luis Rocha González</x:v>
      </x:c>
      <x:c r="H14" s="24" t="str">
        <x:v>Internal project IP / authorship claim</x:v>
      </x:c>
      <x:c r="I14" s="24" t="str">
        <x:v>Source package + repository path + hash</x:v>
      </x:c>
      <x:c r="J14" s="24" t="str">
        <x:v>73397d1a3f8c596b841268a47df06fe2d931e1cc6cd839f21a5eb32d0a4e8ca1</x:v>
      </x:c>
      <x:c r="K14" s="24" t="str">
        <x:v>Assets/_Project/Animations/Characters/Satisfied.anim</x:v>
      </x:c>
      <x:c r="L14" s="24" t="str">
        <x:v>CR-004</x:v>
      </x:c>
      <x:c r="M14" s="24" t="str"/>
      <x:c r="N14" s="24" t="str">
        <x:v>RES-001;RES-014</x:v>
      </x:c>
      <x:c r="O14" s="24" t="str">
        <x:v>Internal development; public candidate requires gate</x:v>
      </x:c>
      <x:c r="P14" s="24" t="str">
        <x:v>CONDITIONALLY APPROVED</x:v>
      </x:c>
      <x:c r="Q14" s="24" t="str">
        <x:v>Medium</x:v>
      </x:c>
      <x:c r="R14" s="24" t="str"/>
      <x:c r="S14" s="24" t="str">
        <x:v>Parcial</x:v>
      </x:c>
      <x:c r="T14" s="24" t="str">
        <x:f>"T"&amp;IF(AND(H14&lt;&gt;"",I14&lt;&gt;"",J14&lt;&gt;"",L14&lt;&gt;"",N14&lt;&gt;"",O14&lt;&gt;"",P14="APPROVED PUBLIC",S14="Sí"),6,IF(AND(H14&lt;&gt;"",I14&lt;&gt;"",J14&lt;&gt;"",L14&lt;&gt;"",N14&lt;&gt;"",O14&lt;&gt;"",P14&lt;&gt;"",S14="Sí"),5,IF(AND(H14&lt;&gt;"",I14&lt;&gt;"",P14&lt;&gt;"",S14&lt;&gt;"No"),4,IF(AND(H14&lt;&gt;"",I14&lt;&gt;""),3,IF(F14&lt;&gt;"",2,1)))))</x:f>
        <x:v>T4</x:v>
      </x:c>
      <x:c r="U14" s="24" t="str">
        <x:v>VRM Games</x:v>
      </x:c>
      <x:c r="V14" s="24" t="str">
        <x:v>No se detectó proveedor externo en la ruta; confirmar autoría por lote antes de release público.</x:v>
      </x:c>
    </x:row>
    <x:row r="15" ht="34" customHeight="1">
      <x:c r="A15" s="24" t="str">
        <x:v>TRC-00011</x:v>
      </x:c>
      <x:c r="B15" s="24" t="str">
        <x:v>9ab8e0041fe30860d769d97c4cd5c961</x:v>
      </x:c>
      <x:c r="C15" s="24" t="str">
        <x:v>Walk.anim</x:v>
      </x:c>
      <x:c r="D15" s="24" t="str">
        <x:v>Animation</x:v>
      </x:c>
      <x:c r="E15" s="24" t="str">
        <x:v>03_Assets_Internos</x:v>
      </x:c>
      <x:c r="F15" s="24" t="str">
        <x:v>INT-0011</x:v>
      </x:c>
      <x:c r="G15" s="24" t="str">
        <x:v>VRM Games / Blas Luis Rocha González</x:v>
      </x:c>
      <x:c r="H15" s="24" t="str">
        <x:v>Internal project IP / authorship claim</x:v>
      </x:c>
      <x:c r="I15" s="24" t="str">
        <x:v>Source package + repository path + hash</x:v>
      </x:c>
      <x:c r="J15" s="24" t="str">
        <x:v>df13ab10ca2d551b8ae4129ccddd04ace2dd3f412af5386041ef74ec329f1192</x:v>
      </x:c>
      <x:c r="K15" s="24" t="str">
        <x:v>Assets/_Project/Animations/Characters/Walk.anim</x:v>
      </x:c>
      <x:c r="L15" s="24" t="str">
        <x:v>CR-004</x:v>
      </x:c>
      <x:c r="M15" s="24" t="str"/>
      <x:c r="N15" s="24" t="str">
        <x:v>RES-001;RES-014</x:v>
      </x:c>
      <x:c r="O15" s="24" t="str">
        <x:v>Internal development; public candidate requires gate</x:v>
      </x:c>
      <x:c r="P15" s="24" t="str">
        <x:v>CONDITIONALLY APPROVED</x:v>
      </x:c>
      <x:c r="Q15" s="24" t="str">
        <x:v>Medium</x:v>
      </x:c>
      <x:c r="R15" s="24" t="str"/>
      <x:c r="S15" s="24" t="str">
        <x:v>Parcial</x:v>
      </x:c>
      <x:c r="T15" s="24" t="str">
        <x:f>"T"&amp;IF(AND(H15&lt;&gt;"",I15&lt;&gt;"",J15&lt;&gt;"",L15&lt;&gt;"",N15&lt;&gt;"",O15&lt;&gt;"",P15="APPROVED PUBLIC",S15="Sí"),6,IF(AND(H15&lt;&gt;"",I15&lt;&gt;"",J15&lt;&gt;"",L15&lt;&gt;"",N15&lt;&gt;"",O15&lt;&gt;"",P15&lt;&gt;"",S15="Sí"),5,IF(AND(H15&lt;&gt;"",I15&lt;&gt;"",P15&lt;&gt;"",S15&lt;&gt;"No"),4,IF(AND(H15&lt;&gt;"",I15&lt;&gt;""),3,IF(F15&lt;&gt;"",2,1)))))</x:f>
        <x:v>T4</x:v>
      </x:c>
      <x:c r="U15" s="24" t="str">
        <x:v>VRM Games</x:v>
      </x:c>
      <x:c r="V15" s="24" t="str">
        <x:v>No se detectó proveedor externo en la ruta; confirmar autoría por lote antes de release público.</x:v>
      </x:c>
    </x:row>
    <x:row r="16" ht="34" customHeight="1">
      <x:c r="A16" s="24" t="str">
        <x:v>TRC-00012</x:v>
      </x:c>
      <x:c r="B16" s="24" t="str">
        <x:v>35787df586ad5129d27061d5e7aeea65</x:v>
      </x:c>
      <x:c r="C16" s="24" t="str">
        <x:v>ShellFloor.mat</x:v>
      </x:c>
      <x:c r="D16" s="24" t="str">
        <x:v>Material</x:v>
      </x:c>
      <x:c r="E16" s="24" t="str">
        <x:v>03_Assets_Internos</x:v>
      </x:c>
      <x:c r="F16" s="24" t="str">
        <x:v>MTX-001</x:v>
      </x:c>
      <x:c r="G16" s="24" t="str">
        <x:v>VRM Games / Blas Luis Rocha González</x:v>
      </x:c>
      <x:c r="H16" s="24" t="str">
        <x:v>Internal project IP / authorship claim</x:v>
      </x:c>
      <x:c r="I16" s="24" t="str">
        <x:v>Source package + repository path + hash</x:v>
      </x:c>
      <x:c r="J16" s="24" t="str">
        <x:v>d0fe951273c5c9fb2e86912599c1a29a78d2d76213e369533cd99d740537ef03</x:v>
      </x:c>
      <x:c r="K16" s="24" t="str">
        <x:v>Assets/_Project/Art/Materials/Architecture/ShellFloor.mat</x:v>
      </x:c>
      <x:c r="L16" s="24" t="str">
        <x:v>CR-004</x:v>
      </x:c>
      <x:c r="M16" s="24" t="str"/>
      <x:c r="N16" s="24" t="str">
        <x:v>RES-001;RES-014</x:v>
      </x:c>
      <x:c r="O16" s="24" t="str">
        <x:v>Internal development; public candidate requires gate</x:v>
      </x:c>
      <x:c r="P16" s="24" t="str">
        <x:v>CONDITIONALLY APPROVED</x:v>
      </x:c>
      <x:c r="Q16" s="24" t="str">
        <x:v>Medium</x:v>
      </x:c>
      <x:c r="R16" s="24" t="str"/>
      <x:c r="S16" s="24" t="str">
        <x:v>Parcial</x:v>
      </x:c>
      <x:c r="T16" s="24" t="str">
        <x:f>"T"&amp;IF(AND(H16&lt;&gt;"",I16&lt;&gt;"",J16&lt;&gt;"",L16&lt;&gt;"",N16&lt;&gt;"",O16&lt;&gt;"",P16="APPROVED PUBLIC",S16="Sí"),6,IF(AND(H16&lt;&gt;"",I16&lt;&gt;"",J16&lt;&gt;"",L16&lt;&gt;"",N16&lt;&gt;"",O16&lt;&gt;"",P16&lt;&gt;"",S16="Sí"),5,IF(AND(H16&lt;&gt;"",I16&lt;&gt;"",P16&lt;&gt;"",S16&lt;&gt;"No"),4,IF(AND(H16&lt;&gt;"",I16&lt;&gt;""),3,IF(F16&lt;&gt;"",2,1)))))</x:f>
        <x:v>T4</x:v>
      </x:c>
      <x:c r="U16" s="24" t="str">
        <x:v>VRM Games</x:v>
      </x:c>
      <x:c r="V16" s="24" t="str">
        <x:v>No se detectó proveedor externo en la ruta; confirmar autoría por lote antes de release público.</x:v>
      </x:c>
    </x:row>
    <x:row r="17" ht="34" customHeight="1">
      <x:c r="A17" s="24" t="str">
        <x:v>TRC-00013</x:v>
      </x:c>
      <x:c r="B17" s="24" t="str">
        <x:v>1a9b44fd5329085763b0f345145d40c9</x:v>
      </x:c>
      <x:c r="C17" s="24" t="str">
        <x:v>ShellGlass.mat</x:v>
      </x:c>
      <x:c r="D17" s="24" t="str">
        <x:v>Material</x:v>
      </x:c>
      <x:c r="E17" s="24" t="str">
        <x:v>03_Assets_Internos</x:v>
      </x:c>
      <x:c r="F17" s="24" t="str">
        <x:v>MTX-002</x:v>
      </x:c>
      <x:c r="G17" s="24" t="str">
        <x:v>VRM Games / Blas Luis Rocha González</x:v>
      </x:c>
      <x:c r="H17" s="24" t="str">
        <x:v>Internal project IP / authorship claim</x:v>
      </x:c>
      <x:c r="I17" s="24" t="str">
        <x:v>Source package + repository path + hash</x:v>
      </x:c>
      <x:c r="J17" s="24" t="str">
        <x:v>5c6157600dbdca131da48bd6ba4047344d38312141bad10b4d45f42668ee61bf</x:v>
      </x:c>
      <x:c r="K17" s="24" t="str">
        <x:v>Assets/_Project/Art/Materials/Architecture/ShellGlass.mat</x:v>
      </x:c>
      <x:c r="L17" s="24" t="str">
        <x:v>CR-004</x:v>
      </x:c>
      <x:c r="M17" s="24" t="str"/>
      <x:c r="N17" s="24" t="str">
        <x:v>RES-001;RES-014</x:v>
      </x:c>
      <x:c r="O17" s="24" t="str">
        <x:v>Internal development; public candidate requires gate</x:v>
      </x:c>
      <x:c r="P17" s="24" t="str">
        <x:v>CONDITIONALLY APPROVED</x:v>
      </x:c>
      <x:c r="Q17" s="24" t="str">
        <x:v>Medium</x:v>
      </x:c>
      <x:c r="R17" s="24" t="str"/>
      <x:c r="S17" s="24" t="str">
        <x:v>Parcial</x:v>
      </x:c>
      <x:c r="T17" s="24" t="str">
        <x:f>"T"&amp;IF(AND(H17&lt;&gt;"",I17&lt;&gt;"",J17&lt;&gt;"",L17&lt;&gt;"",N17&lt;&gt;"",O17&lt;&gt;"",P17="APPROVED PUBLIC",S17="Sí"),6,IF(AND(H17&lt;&gt;"",I17&lt;&gt;"",J17&lt;&gt;"",L17&lt;&gt;"",N17&lt;&gt;"",O17&lt;&gt;"",P17&lt;&gt;"",S17="Sí"),5,IF(AND(H17&lt;&gt;"",I17&lt;&gt;"",P17&lt;&gt;"",S17&lt;&gt;"No"),4,IF(AND(H17&lt;&gt;"",I17&lt;&gt;""),3,IF(F17&lt;&gt;"",2,1)))))</x:f>
        <x:v>T4</x:v>
      </x:c>
      <x:c r="U17" s="24" t="str">
        <x:v>VRM Games</x:v>
      </x:c>
      <x:c r="V17" s="24" t="str">
        <x:v>No se detectó proveedor externo en la ruta; confirmar autoría por lote antes de release público.</x:v>
      </x:c>
    </x:row>
    <x:row r="18" ht="34" customHeight="1">
      <x:c r="A18" s="24" t="str">
        <x:v>TRC-00014</x:v>
      </x:c>
      <x:c r="B18" s="24" t="str">
        <x:v>99ceafb6c0982bae467daab3dfa2984c</x:v>
      </x:c>
      <x:c r="C18" s="24" t="str">
        <x:v>ShellWall.mat</x:v>
      </x:c>
      <x:c r="D18" s="24" t="str">
        <x:v>Material</x:v>
      </x:c>
      <x:c r="E18" s="24" t="str">
        <x:v>03_Assets_Internos</x:v>
      </x:c>
      <x:c r="F18" s="24" t="str">
        <x:v>MTX-003</x:v>
      </x:c>
      <x:c r="G18" s="24" t="str">
        <x:v>VRM Games / Blas Luis Rocha González</x:v>
      </x:c>
      <x:c r="H18" s="24" t="str">
        <x:v>Internal project IP / authorship claim</x:v>
      </x:c>
      <x:c r="I18" s="24" t="str">
        <x:v>Source package + repository path + hash</x:v>
      </x:c>
      <x:c r="J18" s="24" t="str">
        <x:v>ec641f52b6806c16cefdd08aa422e10fa6300a92501a32ccc687ad48707001ed</x:v>
      </x:c>
      <x:c r="K18" s="24" t="str">
        <x:v>Assets/_Project/Art/Materials/Architecture/ShellWall.mat</x:v>
      </x:c>
      <x:c r="L18" s="24" t="str">
        <x:v>CR-004</x:v>
      </x:c>
      <x:c r="M18" s="24" t="str"/>
      <x:c r="N18" s="24" t="str">
        <x:v>RES-001;RES-014</x:v>
      </x:c>
      <x:c r="O18" s="24" t="str">
        <x:v>Internal development; public candidate requires gate</x:v>
      </x:c>
      <x:c r="P18" s="24" t="str">
        <x:v>CONDITIONALLY APPROVED</x:v>
      </x:c>
      <x:c r="Q18" s="24" t="str">
        <x:v>Medium</x:v>
      </x:c>
      <x:c r="R18" s="24" t="str"/>
      <x:c r="S18" s="24" t="str">
        <x:v>Parcial</x:v>
      </x:c>
      <x:c r="T18" s="24" t="str">
        <x:f>"T"&amp;IF(AND(H18&lt;&gt;"",I18&lt;&gt;"",J18&lt;&gt;"",L18&lt;&gt;"",N18&lt;&gt;"",O18&lt;&gt;"",P18="APPROVED PUBLIC",S18="Sí"),6,IF(AND(H18&lt;&gt;"",I18&lt;&gt;"",J18&lt;&gt;"",L18&lt;&gt;"",N18&lt;&gt;"",O18&lt;&gt;"",P18&lt;&gt;"",S18="Sí"),5,IF(AND(H18&lt;&gt;"",I18&lt;&gt;"",P18&lt;&gt;"",S18&lt;&gt;"No"),4,IF(AND(H18&lt;&gt;"",I18&lt;&gt;""),3,IF(F18&lt;&gt;"",2,1)))))</x:f>
        <x:v>T4</x:v>
      </x:c>
      <x:c r="U18" s="24" t="str">
        <x:v>VRM Games</x:v>
      </x:c>
      <x:c r="V18" s="24" t="str">
        <x:v>No se detectó proveedor externo en la ruta; confirmar autoría por lote antes de release público.</x:v>
      </x:c>
    </x:row>
    <x:row r="19" ht="34" customHeight="1">
      <x:c r="A19" s="24" t="str">
        <x:v>TRC-00015</x:v>
      </x:c>
      <x:c r="B19" s="24" t="str">
        <x:v>c782c4414c516742462a774199fed352</x:v>
      </x:c>
      <x:c r="C19" s="24" t="str">
        <x:v>ZoneBackroom.mat</x:v>
      </x:c>
      <x:c r="D19" s="24" t="str">
        <x:v>Material</x:v>
      </x:c>
      <x:c r="E19" s="24" t="str">
        <x:v>03_Assets_Internos</x:v>
      </x:c>
      <x:c r="F19" s="24" t="str">
        <x:v>MTX-004</x:v>
      </x:c>
      <x:c r="G19" s="24" t="str">
        <x:v>VRM Games / Blas Luis Rocha González</x:v>
      </x:c>
      <x:c r="H19" s="24" t="str">
        <x:v>Internal project IP / authorship claim</x:v>
      </x:c>
      <x:c r="I19" s="24" t="str">
        <x:v>Source package + repository path + hash</x:v>
      </x:c>
      <x:c r="J19" s="24" t="str">
        <x:v>b236aaa68fbc9bdcffad1031947b8665b923c6811b57299d0f08cdbe3a371aed</x:v>
      </x:c>
      <x:c r="K19" s="24" t="str">
        <x:v>Assets/_Project/Art/Materials/Architecture/ZoneBackroom.mat</x:v>
      </x:c>
      <x:c r="L19" s="24" t="str">
        <x:v>CR-004</x:v>
      </x:c>
      <x:c r="M19" s="24" t="str"/>
      <x:c r="N19" s="24" t="str">
        <x:v>RES-001;RES-014</x:v>
      </x:c>
      <x:c r="O19" s="24" t="str">
        <x:v>Internal development; public candidate requires gate</x:v>
      </x:c>
      <x:c r="P19" s="24" t="str">
        <x:v>CONDITIONALLY APPROVED</x:v>
      </x:c>
      <x:c r="Q19" s="24" t="str">
        <x:v>Medium</x:v>
      </x:c>
      <x:c r="R19" s="24" t="str"/>
      <x:c r="S19" s="24" t="str">
        <x:v>Parcial</x:v>
      </x:c>
      <x:c r="T19" s="24" t="str">
        <x:f>"T"&amp;IF(AND(H19&lt;&gt;"",I19&lt;&gt;"",J19&lt;&gt;"",L19&lt;&gt;"",N19&lt;&gt;"",O19&lt;&gt;"",P19="APPROVED PUBLIC",S19="Sí"),6,IF(AND(H19&lt;&gt;"",I19&lt;&gt;"",J19&lt;&gt;"",L19&lt;&gt;"",N19&lt;&gt;"",O19&lt;&gt;"",P19&lt;&gt;"",S19="Sí"),5,IF(AND(H19&lt;&gt;"",I19&lt;&gt;"",P19&lt;&gt;"",S19&lt;&gt;"No"),4,IF(AND(H19&lt;&gt;"",I19&lt;&gt;""),3,IF(F19&lt;&gt;"",2,1)))))</x:f>
        <x:v>T4</x:v>
      </x:c>
      <x:c r="U19" s="24" t="str">
        <x:v>VRM Games</x:v>
      </x:c>
      <x:c r="V19" s="24" t="str">
        <x:v>No se detectó proveedor externo en la ruta; confirmar autoría por lote antes de release público.</x:v>
      </x:c>
    </x:row>
    <x:row r="20" ht="34" customHeight="1">
      <x:c r="A20" s="24" t="str">
        <x:v>TRC-00016</x:v>
      </x:c>
      <x:c r="B20" s="24" t="str">
        <x:v>5a3312c0cbd9a8960940d3122e5329a6</x:v>
      </x:c>
      <x:c r="C20" s="24" t="str">
        <x:v>ZoneCheckout.mat</x:v>
      </x:c>
      <x:c r="D20" s="24" t="str">
        <x:v>Material</x:v>
      </x:c>
      <x:c r="E20" s="24" t="str">
        <x:v>03_Assets_Internos</x:v>
      </x:c>
      <x:c r="F20" s="24" t="str">
        <x:v>MTX-005</x:v>
      </x:c>
      <x:c r="G20" s="24" t="str">
        <x:v>VRM Games / Blas Luis Rocha González</x:v>
      </x:c>
      <x:c r="H20" s="24" t="str">
        <x:v>Internal project IP / authorship claim</x:v>
      </x:c>
      <x:c r="I20" s="24" t="str">
        <x:v>Source package + repository path + hash</x:v>
      </x:c>
      <x:c r="J20" s="24" t="str">
        <x:v>8120bdc2a26b062bf42183b37fe06733dc05f5156fcae5e233e1bb185ced675a</x:v>
      </x:c>
      <x:c r="K20" s="24" t="str">
        <x:v>Assets/_Project/Art/Materials/Architecture/ZoneCheckout.mat</x:v>
      </x:c>
      <x:c r="L20" s="24" t="str">
        <x:v>CR-004</x:v>
      </x:c>
      <x:c r="M20" s="24" t="str"/>
      <x:c r="N20" s="24" t="str">
        <x:v>RES-001;RES-014</x:v>
      </x:c>
      <x:c r="O20" s="24" t="str">
        <x:v>Internal development; public candidate requires gate</x:v>
      </x:c>
      <x:c r="P20" s="24" t="str">
        <x:v>CONDITIONALLY APPROVED</x:v>
      </x:c>
      <x:c r="Q20" s="24" t="str">
        <x:v>Medium</x:v>
      </x:c>
      <x:c r="R20" s="24" t="str"/>
      <x:c r="S20" s="24" t="str">
        <x:v>Parcial</x:v>
      </x:c>
      <x:c r="T20" s="24" t="str">
        <x:f>"T"&amp;IF(AND(H20&lt;&gt;"",I20&lt;&gt;"",J20&lt;&gt;"",L20&lt;&gt;"",N20&lt;&gt;"",O20&lt;&gt;"",P20="APPROVED PUBLIC",S20="Sí"),6,IF(AND(H20&lt;&gt;"",I20&lt;&gt;"",J20&lt;&gt;"",L20&lt;&gt;"",N20&lt;&gt;"",O20&lt;&gt;"",P20&lt;&gt;"",S20="Sí"),5,IF(AND(H20&lt;&gt;"",I20&lt;&gt;"",P20&lt;&gt;"",S20&lt;&gt;"No"),4,IF(AND(H20&lt;&gt;"",I20&lt;&gt;""),3,IF(F20&lt;&gt;"",2,1)))))</x:f>
        <x:v>T4</x:v>
      </x:c>
      <x:c r="U20" s="24" t="str">
        <x:v>VRM Games</x:v>
      </x:c>
      <x:c r="V20" s="24" t="str">
        <x:v>No se detectó proveedor externo en la ruta; confirmar autoría por lote antes de release público.</x:v>
      </x:c>
    </x:row>
    <x:row r="21" ht="34" customHeight="1">
      <x:c r="A21" s="24" t="str">
        <x:v>TRC-00017</x:v>
      </x:c>
      <x:c r="B21" s="24" t="str">
        <x:v>193d039aa473c0a93826ea14a72c4680</x:v>
      </x:c>
      <x:c r="C21" s="24" t="str">
        <x:v>ZoneMarker.mat</x:v>
      </x:c>
      <x:c r="D21" s="24" t="str">
        <x:v>Material</x:v>
      </x:c>
      <x:c r="E21" s="24" t="str">
        <x:v>03_Assets_Internos</x:v>
      </x:c>
      <x:c r="F21" s="24" t="str">
        <x:v>MTX-006</x:v>
      </x:c>
      <x:c r="G21" s="24" t="str">
        <x:v>VRM Games / Blas Luis Rocha González</x:v>
      </x:c>
      <x:c r="H21" s="24" t="str">
        <x:v>Internal project IP / authorship claim</x:v>
      </x:c>
      <x:c r="I21" s="24" t="str">
        <x:v>Source package + repository path + hash</x:v>
      </x:c>
      <x:c r="J21" s="24" t="str">
        <x:v>31d4824c2cb1e819ad6b860aa77119e7e2f239cfe2a4b369671d4bbe4ada4652</x:v>
      </x:c>
      <x:c r="K21" s="24" t="str">
        <x:v>Assets/_Project/Art/Materials/Architecture/ZoneMarker.mat</x:v>
      </x:c>
      <x:c r="L21" s="24" t="str">
        <x:v>CR-004</x:v>
      </x:c>
      <x:c r="M21" s="24" t="str"/>
      <x:c r="N21" s="24" t="str">
        <x:v>RES-001;RES-014</x:v>
      </x:c>
      <x:c r="O21" s="24" t="str">
        <x:v>Internal development; public candidate requires gate</x:v>
      </x:c>
      <x:c r="P21" s="24" t="str">
        <x:v>CONDITIONALLY APPROVED</x:v>
      </x:c>
      <x:c r="Q21" s="24" t="str">
        <x:v>Medium</x:v>
      </x:c>
      <x:c r="R21" s="24" t="str"/>
      <x:c r="S21" s="24" t="str">
        <x:v>Parcial</x:v>
      </x:c>
      <x:c r="T21" s="24" t="str">
        <x:f>"T"&amp;IF(AND(H21&lt;&gt;"",I21&lt;&gt;"",J21&lt;&gt;"",L21&lt;&gt;"",N21&lt;&gt;"",O21&lt;&gt;"",P21="APPROVED PUBLIC",S21="Sí"),6,IF(AND(H21&lt;&gt;"",I21&lt;&gt;"",J21&lt;&gt;"",L21&lt;&gt;"",N21&lt;&gt;"",O21&lt;&gt;"",P21&lt;&gt;"",S21="Sí"),5,IF(AND(H21&lt;&gt;"",I21&lt;&gt;"",P21&lt;&gt;"",S21&lt;&gt;"No"),4,IF(AND(H21&lt;&gt;"",I21&lt;&gt;""),3,IF(F21&lt;&gt;"",2,1)))))</x:f>
        <x:v>T4</x:v>
      </x:c>
      <x:c r="U21" s="24" t="str">
        <x:v>VRM Games</x:v>
      </x:c>
      <x:c r="V21" s="24" t="str">
        <x:v>No se detectó proveedor externo en la ruta; confirmar autoría por lote antes de release público.</x:v>
      </x:c>
    </x:row>
    <x:row r="22" ht="34" customHeight="1">
      <x:c r="A22" s="24" t="str">
        <x:v>TRC-00018</x:v>
      </x:c>
      <x:c r="B22" s="24" t="str">
        <x:v>b0e960507b1e1a1abd814dbed7612c7c</x:v>
      </x:c>
      <x:c r="C22" s="24" t="str">
        <x:v>ZoneReceiving.mat</x:v>
      </x:c>
      <x:c r="D22" s="24" t="str">
        <x:v>Material</x:v>
      </x:c>
      <x:c r="E22" s="24" t="str">
        <x:v>03_Assets_Internos</x:v>
      </x:c>
      <x:c r="F22" s="24" t="str">
        <x:v>MTX-007</x:v>
      </x:c>
      <x:c r="G22" s="24" t="str">
        <x:v>VRM Games / Blas Luis Rocha González</x:v>
      </x:c>
      <x:c r="H22" s="24" t="str">
        <x:v>Internal project IP / authorship claim</x:v>
      </x:c>
      <x:c r="I22" s="24" t="str">
        <x:v>Source package + repository path + hash</x:v>
      </x:c>
      <x:c r="J22" s="24" t="str">
        <x:v>2dbfd1659688cf496309ca738809105ff5da47b82f6f01b356eb15e25077178d</x:v>
      </x:c>
      <x:c r="K22" s="24" t="str">
        <x:v>Assets/_Project/Art/Materials/Architecture/ZoneReceiving.mat</x:v>
      </x:c>
      <x:c r="L22" s="24" t="str">
        <x:v>CR-004</x:v>
      </x:c>
      <x:c r="M22" s="24" t="str"/>
      <x:c r="N22" s="24" t="str">
        <x:v>RES-001;RES-014</x:v>
      </x:c>
      <x:c r="O22" s="24" t="str">
        <x:v>Internal development; public candidate requires gate</x:v>
      </x:c>
      <x:c r="P22" s="24" t="str">
        <x:v>CONDITIONALLY APPROVED</x:v>
      </x:c>
      <x:c r="Q22" s="24" t="str">
        <x:v>Medium</x:v>
      </x:c>
      <x:c r="R22" s="24" t="str"/>
      <x:c r="S22" s="24" t="str">
        <x:v>Parcial</x:v>
      </x:c>
      <x:c r="T22" s="24" t="str">
        <x:f>"T"&amp;IF(AND(H22&lt;&gt;"",I22&lt;&gt;"",J22&lt;&gt;"",L22&lt;&gt;"",N22&lt;&gt;"",O22&lt;&gt;"",P22="APPROVED PUBLIC",S22="Sí"),6,IF(AND(H22&lt;&gt;"",I22&lt;&gt;"",J22&lt;&gt;"",L22&lt;&gt;"",N22&lt;&gt;"",O22&lt;&gt;"",P22&lt;&gt;"",S22="Sí"),5,IF(AND(H22&lt;&gt;"",I22&lt;&gt;"",P22&lt;&gt;"",S22&lt;&gt;"No"),4,IF(AND(H22&lt;&gt;"",I22&lt;&gt;""),3,IF(F22&lt;&gt;"",2,1)))))</x:f>
        <x:v>T4</x:v>
      </x:c>
      <x:c r="U22" s="24" t="str">
        <x:v>VRM Games</x:v>
      </x:c>
      <x:c r="V22" s="24" t="str">
        <x:v>No se detectó proveedor externo en la ruta; confirmar autoría por lote antes de release público.</x:v>
      </x:c>
    </x:row>
    <x:row r="23" ht="34" customHeight="1">
      <x:c r="A23" s="24" t="str">
        <x:v>TRC-00019</x:v>
      </x:c>
      <x:c r="B23" s="24" t="str">
        <x:v>450505c32f7e3e847f6347db0ac01057</x:v>
      </x:c>
      <x:c r="C23" s="24" t="str">
        <x:v>CharacterCustomer.mat</x:v>
      </x:c>
      <x:c r="D23" s="24" t="str">
        <x:v>Material</x:v>
      </x:c>
      <x:c r="E23" s="24" t="str">
        <x:v>03_Assets_Internos</x:v>
      </x:c>
      <x:c r="F23" s="24" t="str">
        <x:v>MTX-008</x:v>
      </x:c>
      <x:c r="G23" s="24" t="str">
        <x:v>VRM Games / Blas Luis Rocha González</x:v>
      </x:c>
      <x:c r="H23" s="24" t="str">
        <x:v>Internal project IP / authorship claim</x:v>
      </x:c>
      <x:c r="I23" s="24" t="str">
        <x:v>Source package + repository path + hash</x:v>
      </x:c>
      <x:c r="J23" s="24" t="str">
        <x:v>10412c41d67729dd61a89d13db008b32ca3552f08d6459c954efbc8a156d7390</x:v>
      </x:c>
      <x:c r="K23" s="24" t="str">
        <x:v>Assets/_Project/Art/Materials/Characters/CharacterCustomer.mat</x:v>
      </x:c>
      <x:c r="L23" s="24" t="str">
        <x:v>CR-004</x:v>
      </x:c>
      <x:c r="M23" s="24" t="str"/>
      <x:c r="N23" s="24" t="str">
        <x:v>RES-001;RES-014</x:v>
      </x:c>
      <x:c r="O23" s="24" t="str">
        <x:v>Internal development; public candidate requires gate</x:v>
      </x:c>
      <x:c r="P23" s="24" t="str">
        <x:v>CONDITIONALLY APPROVED</x:v>
      </x:c>
      <x:c r="Q23" s="24" t="str">
        <x:v>Medium</x:v>
      </x:c>
      <x:c r="R23" s="24" t="str"/>
      <x:c r="S23" s="24" t="str">
        <x:v>Parcial</x:v>
      </x:c>
      <x:c r="T23" s="24" t="str">
        <x:f>"T"&amp;IF(AND(H23&lt;&gt;"",I23&lt;&gt;"",J23&lt;&gt;"",L23&lt;&gt;"",N23&lt;&gt;"",O23&lt;&gt;"",P23="APPROVED PUBLIC",S23="Sí"),6,IF(AND(H23&lt;&gt;"",I23&lt;&gt;"",J23&lt;&gt;"",L23&lt;&gt;"",N23&lt;&gt;"",O23&lt;&gt;"",P23&lt;&gt;"",S23="Sí"),5,IF(AND(H23&lt;&gt;"",I23&lt;&gt;"",P23&lt;&gt;"",S23&lt;&gt;"No"),4,IF(AND(H23&lt;&gt;"",I23&lt;&gt;""),3,IF(F23&lt;&gt;"",2,1)))))</x:f>
        <x:v>T4</x:v>
      </x:c>
      <x:c r="U23" s="24" t="str">
        <x:v>VRM Games</x:v>
      </x:c>
      <x:c r="V23" s="24" t="str">
        <x:v>No se detectó proveedor externo en la ruta; confirmar autoría por lote antes de release público.</x:v>
      </x:c>
    </x:row>
    <x:row r="24" ht="34" customHeight="1">
      <x:c r="A24" s="24" t="str">
        <x:v>TRC-00020</x:v>
      </x:c>
      <x:c r="B24" s="24" t="str">
        <x:v>742683d58b0e90e474c01b05742063b0</x:v>
      </x:c>
      <x:c r="C24" s="24" t="str">
        <x:v>CharacterEmployee.mat</x:v>
      </x:c>
      <x:c r="D24" s="24" t="str">
        <x:v>Material</x:v>
      </x:c>
      <x:c r="E24" s="24" t="str">
        <x:v>03_Assets_Internos</x:v>
      </x:c>
      <x:c r="F24" s="24" t="str">
        <x:v>MTX-009</x:v>
      </x:c>
      <x:c r="G24" s="24" t="str">
        <x:v>VRM Games / Blas Luis Rocha González</x:v>
      </x:c>
      <x:c r="H24" s="24" t="str">
        <x:v>Internal project IP / authorship claim</x:v>
      </x:c>
      <x:c r="I24" s="24" t="str">
        <x:v>Source package + repository path + hash</x:v>
      </x:c>
      <x:c r="J24" s="24" t="str">
        <x:v>ac69a559c9bf9fce3f89305992cbf1409a8a9bcd0912d9c64661815c28a70a4a</x:v>
      </x:c>
      <x:c r="K24" s="24" t="str">
        <x:v>Assets/_Project/Art/Materials/Characters/CharacterEmployee.mat</x:v>
      </x:c>
      <x:c r="L24" s="24" t="str">
        <x:v>CR-004</x:v>
      </x:c>
      <x:c r="M24" s="24" t="str"/>
      <x:c r="N24" s="24" t="str">
        <x:v>RES-001;RES-014</x:v>
      </x:c>
      <x:c r="O24" s="24" t="str">
        <x:v>Internal development; public candidate requires gate</x:v>
      </x:c>
      <x:c r="P24" s="24" t="str">
        <x:v>CONDITIONALLY APPROVED</x:v>
      </x:c>
      <x:c r="Q24" s="24" t="str">
        <x:v>Medium</x:v>
      </x:c>
      <x:c r="R24" s="24" t="str"/>
      <x:c r="S24" s="24" t="str">
        <x:v>Parcial</x:v>
      </x:c>
      <x:c r="T24" s="24" t="str">
        <x:f>"T"&amp;IF(AND(H24&lt;&gt;"",I24&lt;&gt;"",J24&lt;&gt;"",L24&lt;&gt;"",N24&lt;&gt;"",O24&lt;&gt;"",P24="APPROVED PUBLIC",S24="Sí"),6,IF(AND(H24&lt;&gt;"",I24&lt;&gt;"",J24&lt;&gt;"",L24&lt;&gt;"",N24&lt;&gt;"",O24&lt;&gt;"",P24&lt;&gt;"",S24="Sí"),5,IF(AND(H24&lt;&gt;"",I24&lt;&gt;"",P24&lt;&gt;"",S24&lt;&gt;"No"),4,IF(AND(H24&lt;&gt;"",I24&lt;&gt;""),3,IF(F24&lt;&gt;"",2,1)))))</x:f>
        <x:v>T4</x:v>
      </x:c>
      <x:c r="U24" s="24" t="str">
        <x:v>VRM Games</x:v>
      </x:c>
      <x:c r="V24" s="24" t="str">
        <x:v>No se detectó proveedor externo en la ruta; confirmar autoría por lote antes de release público.</x:v>
      </x:c>
    </x:row>
    <x:row r="25" ht="34" customHeight="1">
      <x:c r="A25" s="24" t="str">
        <x:v>TRC-00021</x:v>
      </x:c>
      <x:c r="B25" s="24" t="str">
        <x:v>3625b86ddf190a169cdb4f1f16066794</x:v>
      </x:c>
      <x:c r="C25" s="24" t="str">
        <x:v>CharacterSupplier.mat</x:v>
      </x:c>
      <x:c r="D25" s="24" t="str">
        <x:v>Material</x:v>
      </x:c>
      <x:c r="E25" s="24" t="str">
        <x:v>03_Assets_Internos</x:v>
      </x:c>
      <x:c r="F25" s="24" t="str">
        <x:v>MTX-010</x:v>
      </x:c>
      <x:c r="G25" s="24" t="str">
        <x:v>VRM Games / Blas Luis Rocha González</x:v>
      </x:c>
      <x:c r="H25" s="24" t="str">
        <x:v>Internal project IP / authorship claim</x:v>
      </x:c>
      <x:c r="I25" s="24" t="str">
        <x:v>Source package + repository path + hash</x:v>
      </x:c>
      <x:c r="J25" s="24" t="str">
        <x:v>140dc16872341edc2c0f6a0930d47d169b5c311cce8a4824eac9fb49ec403ce7</x:v>
      </x:c>
      <x:c r="K25" s="24" t="str">
        <x:v>Assets/_Project/Art/Materials/Characters/CharacterSupplier.mat</x:v>
      </x:c>
      <x:c r="L25" s="24" t="str">
        <x:v>CR-004</x:v>
      </x:c>
      <x:c r="M25" s="24" t="str"/>
      <x:c r="N25" s="24" t="str">
        <x:v>RES-001;RES-014</x:v>
      </x:c>
      <x:c r="O25" s="24" t="str">
        <x:v>Internal development; public candidate requires gate</x:v>
      </x:c>
      <x:c r="P25" s="24" t="str">
        <x:v>CONDITIONALLY APPROVED</x:v>
      </x:c>
      <x:c r="Q25" s="24" t="str">
        <x:v>Medium</x:v>
      </x:c>
      <x:c r="R25" s="24" t="str"/>
      <x:c r="S25" s="24" t="str">
        <x:v>Parcial</x:v>
      </x:c>
      <x:c r="T25" s="24" t="str">
        <x:f>"T"&amp;IF(AND(H25&lt;&gt;"",I25&lt;&gt;"",J25&lt;&gt;"",L25&lt;&gt;"",N25&lt;&gt;"",O25&lt;&gt;"",P25="APPROVED PUBLIC",S25="Sí"),6,IF(AND(H25&lt;&gt;"",I25&lt;&gt;"",J25&lt;&gt;"",L25&lt;&gt;"",N25&lt;&gt;"",O25&lt;&gt;"",P25&lt;&gt;"",S25="Sí"),5,IF(AND(H25&lt;&gt;"",I25&lt;&gt;"",P25&lt;&gt;"",S25&lt;&gt;"No"),4,IF(AND(H25&lt;&gt;"",I25&lt;&gt;""),3,IF(F25&lt;&gt;"",2,1)))))</x:f>
        <x:v>T4</x:v>
      </x:c>
      <x:c r="U25" s="24" t="str">
        <x:v>VRM Games</x:v>
      </x:c>
      <x:c r="V25" s="24" t="str">
        <x:v>No se detectó proveedor externo en la ruta; confirmar autoría por lote antes de release público.</x:v>
      </x:c>
    </x:row>
    <x:row r="26" ht="34" customHeight="1">
      <x:c r="A26" s="24" t="str">
        <x:v>TRC-00022</x:v>
      </x:c>
      <x:c r="B26" s="24" t="str">
        <x:v>b3fe4bf4ecc4e4728253176b4c0d4a5d</x:v>
      </x:c>
      <x:c r="C26" s="24" t="str">
        <x:v>FeedbackInvalid.mat</x:v>
      </x:c>
      <x:c r="D26" s="24" t="str">
        <x:v>Material</x:v>
      </x:c>
      <x:c r="E26" s="24" t="str">
        <x:v>03_Assets_Internos</x:v>
      </x:c>
      <x:c r="F26" s="24" t="str">
        <x:v>MTX-011</x:v>
      </x:c>
      <x:c r="G26" s="24" t="str">
        <x:v>VRM Games / Blas Luis Rocha González</x:v>
      </x:c>
      <x:c r="H26" s="24" t="str">
        <x:v>Internal project IP / authorship claim</x:v>
      </x:c>
      <x:c r="I26" s="24" t="str">
        <x:v>Source package + repository path + hash</x:v>
      </x:c>
      <x:c r="J26" s="24" t="str">
        <x:v>b61725227eb2c8d1030b9f345c85eae1d6162b2d315dfd1ab091f06562808d73</x:v>
      </x:c>
      <x:c r="K26" s="24" t="str">
        <x:v>Assets/_Project/Art/Materials/Feedback/FeedbackInvalid.mat</x:v>
      </x:c>
      <x:c r="L26" s="24" t="str">
        <x:v>CR-004</x:v>
      </x:c>
      <x:c r="M26" s="24" t="str"/>
      <x:c r="N26" s="24" t="str">
        <x:v>RES-001;RES-014</x:v>
      </x:c>
      <x:c r="O26" s="24" t="str">
        <x:v>Internal development; public candidate requires gate</x:v>
      </x:c>
      <x:c r="P26" s="24" t="str">
        <x:v>CONDITIONALLY APPROVED</x:v>
      </x:c>
      <x:c r="Q26" s="24" t="str">
        <x:v>Medium</x:v>
      </x:c>
      <x:c r="R26" s="24" t="str"/>
      <x:c r="S26" s="24" t="str">
        <x:v>Parcial</x:v>
      </x:c>
      <x:c r="T26" s="24" t="str">
        <x:f>"T"&amp;IF(AND(H26&lt;&gt;"",I26&lt;&gt;"",J26&lt;&gt;"",L26&lt;&gt;"",N26&lt;&gt;"",O26&lt;&gt;"",P26="APPROVED PUBLIC",S26="Sí"),6,IF(AND(H26&lt;&gt;"",I26&lt;&gt;"",J26&lt;&gt;"",L26&lt;&gt;"",N26&lt;&gt;"",O26&lt;&gt;"",P26&lt;&gt;"",S26="Sí"),5,IF(AND(H26&lt;&gt;"",I26&lt;&gt;"",P26&lt;&gt;"",S26&lt;&gt;"No"),4,IF(AND(H26&lt;&gt;"",I26&lt;&gt;""),3,IF(F26&lt;&gt;"",2,1)))))</x:f>
        <x:v>T4</x:v>
      </x:c>
      <x:c r="U26" s="24" t="str">
        <x:v>VRM Games</x:v>
      </x:c>
      <x:c r="V26" s="24" t="str">
        <x:v>No se detectó proveedor externo en la ruta; confirmar autoría por lote antes de release público.</x:v>
      </x:c>
    </x:row>
    <x:row r="27" ht="34" customHeight="1">
      <x:c r="A27" s="24" t="str">
        <x:v>TRC-00023</x:v>
      </x:c>
      <x:c r="B27" s="24" t="str">
        <x:v>9634685bae2bcc88df5569bdd3f78957</x:v>
      </x:c>
      <x:c r="C27" s="24" t="str">
        <x:v>FeedbackValid.mat</x:v>
      </x:c>
      <x:c r="D27" s="24" t="str">
        <x:v>Material</x:v>
      </x:c>
      <x:c r="E27" s="24" t="str">
        <x:v>03_Assets_Internos</x:v>
      </x:c>
      <x:c r="F27" s="24" t="str">
        <x:v>MTX-012</x:v>
      </x:c>
      <x:c r="G27" s="24" t="str">
        <x:v>VRM Games / Blas Luis Rocha González</x:v>
      </x:c>
      <x:c r="H27" s="24" t="str">
        <x:v>Internal project IP / authorship claim</x:v>
      </x:c>
      <x:c r="I27" s="24" t="str">
        <x:v>Source package + repository path + hash</x:v>
      </x:c>
      <x:c r="J27" s="24" t="str">
        <x:v>652a2447766dabf80abd745e8ee4069c714e92a78c3ace65612e5ebf2b193cc1</x:v>
      </x:c>
      <x:c r="K27" s="24" t="str">
        <x:v>Assets/_Project/Art/Materials/Feedback/FeedbackValid.mat</x:v>
      </x:c>
      <x:c r="L27" s="24" t="str">
        <x:v>CR-004</x:v>
      </x:c>
      <x:c r="M27" s="24" t="str"/>
      <x:c r="N27" s="24" t="str">
        <x:v>RES-001;RES-014</x:v>
      </x:c>
      <x:c r="O27" s="24" t="str">
        <x:v>Internal development; public candidate requires gate</x:v>
      </x:c>
      <x:c r="P27" s="24" t="str">
        <x:v>CONDITIONALLY APPROVED</x:v>
      </x:c>
      <x:c r="Q27" s="24" t="str">
        <x:v>Medium</x:v>
      </x:c>
      <x:c r="R27" s="24" t="str"/>
      <x:c r="S27" s="24" t="str">
        <x:v>Parcial</x:v>
      </x:c>
      <x:c r="T27" s="24" t="str">
        <x:f>"T"&amp;IF(AND(H27&lt;&gt;"",I27&lt;&gt;"",J27&lt;&gt;"",L27&lt;&gt;"",N27&lt;&gt;"",O27&lt;&gt;"",P27="APPROVED PUBLIC",S27="Sí"),6,IF(AND(H27&lt;&gt;"",I27&lt;&gt;"",J27&lt;&gt;"",L27&lt;&gt;"",N27&lt;&gt;"",O27&lt;&gt;"",P27&lt;&gt;"",S27="Sí"),5,IF(AND(H27&lt;&gt;"",I27&lt;&gt;"",P27&lt;&gt;"",S27&lt;&gt;"No"),4,IF(AND(H27&lt;&gt;"",I27&lt;&gt;""),3,IF(F27&lt;&gt;"",2,1)))))</x:f>
        <x:v>T4</x:v>
      </x:c>
      <x:c r="U27" s="24" t="str">
        <x:v>VRM Games</x:v>
      </x:c>
      <x:c r="V27" s="24" t="str">
        <x:v>No se detectó proveedor externo en la ruta; confirmar autoría por lote antes de release público.</x:v>
      </x:c>
    </x:row>
    <x:row r="28" ht="34" customHeight="1">
      <x:c r="A28" s="24" t="str">
        <x:v>TRC-00024</x:v>
      </x:c>
      <x:c r="B28" s="24" t="str">
        <x:v>85fc7825d05ea003423e646cfeeedf70</x:v>
      </x:c>
      <x:c r="C28" s="24" t="str">
        <x:v>FeedbackWarning.mat</x:v>
      </x:c>
      <x:c r="D28" s="24" t="str">
        <x:v>Material</x:v>
      </x:c>
      <x:c r="E28" s="24" t="str">
        <x:v>03_Assets_Internos</x:v>
      </x:c>
      <x:c r="F28" s="24" t="str">
        <x:v>MTX-013</x:v>
      </x:c>
      <x:c r="G28" s="24" t="str">
        <x:v>VRM Games / Blas Luis Rocha González</x:v>
      </x:c>
      <x:c r="H28" s="24" t="str">
        <x:v>Internal project IP / authorship claim</x:v>
      </x:c>
      <x:c r="I28" s="24" t="str">
        <x:v>Source package + repository path + hash</x:v>
      </x:c>
      <x:c r="J28" s="24" t="str">
        <x:v>f51c174f61ade75df0358d744b93a59003776eee6fe14ab566a395ccd9ea38fd</x:v>
      </x:c>
      <x:c r="K28" s="24" t="str">
        <x:v>Assets/_Project/Art/Materials/Feedback/FeedbackWarning.mat</x:v>
      </x:c>
      <x:c r="L28" s="24" t="str">
        <x:v>CR-004</x:v>
      </x:c>
      <x:c r="M28" s="24" t="str"/>
      <x:c r="N28" s="24" t="str">
        <x:v>RES-001;RES-014</x:v>
      </x:c>
      <x:c r="O28" s="24" t="str">
        <x:v>Internal development; public candidate requires gate</x:v>
      </x:c>
      <x:c r="P28" s="24" t="str">
        <x:v>CONDITIONALLY APPROVED</x:v>
      </x:c>
      <x:c r="Q28" s="24" t="str">
        <x:v>Medium</x:v>
      </x:c>
      <x:c r="R28" s="24" t="str"/>
      <x:c r="S28" s="24" t="str">
        <x:v>Parcial</x:v>
      </x:c>
      <x:c r="T28" s="24" t="str">
        <x:f>"T"&amp;IF(AND(H28&lt;&gt;"",I28&lt;&gt;"",J28&lt;&gt;"",L28&lt;&gt;"",N28&lt;&gt;"",O28&lt;&gt;"",P28="APPROVED PUBLIC",S28="Sí"),6,IF(AND(H28&lt;&gt;"",I28&lt;&gt;"",J28&lt;&gt;"",L28&lt;&gt;"",N28&lt;&gt;"",O28&lt;&gt;"",P28&lt;&gt;"",S28="Sí"),5,IF(AND(H28&lt;&gt;"",I28&lt;&gt;"",P28&lt;&gt;"",S28&lt;&gt;"No"),4,IF(AND(H28&lt;&gt;"",I28&lt;&gt;""),3,IF(F28&lt;&gt;"",2,1)))))</x:f>
        <x:v>T4</x:v>
      </x:c>
      <x:c r="U28" s="24" t="str">
        <x:v>VRM Games</x:v>
      </x:c>
      <x:c r="V28" s="24" t="str">
        <x:v>No se detectó proveedor externo en la ruta; confirmar autoría por lote antes de release público.</x:v>
      </x:c>
    </x:row>
    <x:row r="29" ht="34" customHeight="1">
      <x:c r="A29" s="24" t="str">
        <x:v>TRC-00025</x:v>
      </x:c>
      <x:c r="B29" s="24" t="str">
        <x:v>f6b8ad1a77540220bcfd0341d169cf09</x:v>
      </x:c>
      <x:c r="C29" s="24" t="str">
        <x:v>Decoration.mat</x:v>
      </x:c>
      <x:c r="D29" s="24" t="str">
        <x:v>Material</x:v>
      </x:c>
      <x:c r="E29" s="24" t="str">
        <x:v>03_Assets_Internos</x:v>
      </x:c>
      <x:c r="F29" s="24" t="str">
        <x:v>MTX-014</x:v>
      </x:c>
      <x:c r="G29" s="24" t="str">
        <x:v>VRM Games / Blas Luis Rocha González</x:v>
      </x:c>
      <x:c r="H29" s="24" t="str">
        <x:v>Internal project IP / authorship claim</x:v>
      </x:c>
      <x:c r="I29" s="24" t="str">
        <x:v>Source package + repository path + hash</x:v>
      </x:c>
      <x:c r="J29" s="24" t="str">
        <x:v>09bac2621ec910e35a8bb3460a51d846a58ba3808239fc927fe2f9db0de2d08a</x:v>
      </x:c>
      <x:c r="K29" s="24" t="str">
        <x:v>Assets/_Project/Art/Materials/Furniture/Decoration.mat</x:v>
      </x:c>
      <x:c r="L29" s="24" t="str">
        <x:v>CR-004</x:v>
      </x:c>
      <x:c r="M29" s="24" t="str"/>
      <x:c r="N29" s="24" t="str">
        <x:v>RES-001;RES-014</x:v>
      </x:c>
      <x:c r="O29" s="24" t="str">
        <x:v>Internal development; public candidate requires gate</x:v>
      </x:c>
      <x:c r="P29" s="24" t="str">
        <x:v>CONDITIONALLY APPROVED</x:v>
      </x:c>
      <x:c r="Q29" s="24" t="str">
        <x:v>Medium</x:v>
      </x:c>
      <x:c r="R29" s="24" t="str"/>
      <x:c r="S29" s="24" t="str">
        <x:v>Parcial</x:v>
      </x:c>
      <x:c r="T29" s="24" t="str">
        <x:f>"T"&amp;IF(AND(H29&lt;&gt;"",I29&lt;&gt;"",J29&lt;&gt;"",L29&lt;&gt;"",N29&lt;&gt;"",O29&lt;&gt;"",P29="APPROVED PUBLIC",S29="Sí"),6,IF(AND(H29&lt;&gt;"",I29&lt;&gt;"",J29&lt;&gt;"",L29&lt;&gt;"",N29&lt;&gt;"",O29&lt;&gt;"",P29&lt;&gt;"",S29="Sí"),5,IF(AND(H29&lt;&gt;"",I29&lt;&gt;"",P29&lt;&gt;"",S29&lt;&gt;"No"),4,IF(AND(H29&lt;&gt;"",I29&lt;&gt;""),3,IF(F29&lt;&gt;"",2,1)))))</x:f>
        <x:v>T4</x:v>
      </x:c>
      <x:c r="U29" s="24" t="str">
        <x:v>VRM Games</x:v>
      </x:c>
      <x:c r="V29" s="24" t="str">
        <x:v>No se detectó proveedor externo en la ruta; confirmar autoría por lote antes de release público.</x:v>
      </x:c>
    </x:row>
    <x:row r="30" ht="34" customHeight="1">
      <x:c r="A30" s="24" t="str">
        <x:v>TRC-00026</x:v>
      </x:c>
      <x:c r="B30" s="24" t="str">
        <x:v>c24be953a6037fcc6e90961127549a86</x:v>
      </x:c>
      <x:c r="C30" s="24" t="str">
        <x:v>FurnitureCentralShelf.mat</x:v>
      </x:c>
      <x:c r="D30" s="24" t="str">
        <x:v>Material</x:v>
      </x:c>
      <x:c r="E30" s="24" t="str">
        <x:v>03_Assets_Internos</x:v>
      </x:c>
      <x:c r="F30" s="24" t="str">
        <x:v>MTX-015</x:v>
      </x:c>
      <x:c r="G30" s="24" t="str">
        <x:v>VRM Games / Blas Luis Rocha González</x:v>
      </x:c>
      <x:c r="H30" s="24" t="str">
        <x:v>Internal project IP / authorship claim</x:v>
      </x:c>
      <x:c r="I30" s="24" t="str">
        <x:v>Source package + repository path + hash</x:v>
      </x:c>
      <x:c r="J30" s="24" t="str">
        <x:v>a38be52b5c875a5b0dd0fe34b05cafd39ceca532fec87adf80730220d5c28d8d</x:v>
      </x:c>
      <x:c r="K30" s="24" t="str">
        <x:v>Assets/_Project/Art/Materials/Furniture/FurnitureCentralShelf.mat</x:v>
      </x:c>
      <x:c r="L30" s="24" t="str">
        <x:v>CR-004</x:v>
      </x:c>
      <x:c r="M30" s="24" t="str"/>
      <x:c r="N30" s="24" t="str">
        <x:v>RES-001;RES-014</x:v>
      </x:c>
      <x:c r="O30" s="24" t="str">
        <x:v>Internal development; public candidate requires gate</x:v>
      </x:c>
      <x:c r="P30" s="24" t="str">
        <x:v>CONDITIONALLY APPROVED</x:v>
      </x:c>
      <x:c r="Q30" s="24" t="str">
        <x:v>Medium</x:v>
      </x:c>
      <x:c r="R30" s="24" t="str"/>
      <x:c r="S30" s="24" t="str">
        <x:v>Parcial</x:v>
      </x:c>
      <x:c r="T30" s="24" t="str">
        <x:f>"T"&amp;IF(AND(H30&lt;&gt;"",I30&lt;&gt;"",J30&lt;&gt;"",L30&lt;&gt;"",N30&lt;&gt;"",O30&lt;&gt;"",P30="APPROVED PUBLIC",S30="Sí"),6,IF(AND(H30&lt;&gt;"",I30&lt;&gt;"",J30&lt;&gt;"",L30&lt;&gt;"",N30&lt;&gt;"",O30&lt;&gt;"",P30&lt;&gt;"",S30="Sí"),5,IF(AND(H30&lt;&gt;"",I30&lt;&gt;"",P30&lt;&gt;"",S30&lt;&gt;"No"),4,IF(AND(H30&lt;&gt;"",I30&lt;&gt;""),3,IF(F30&lt;&gt;"",2,1)))))</x:f>
        <x:v>T4</x:v>
      </x:c>
      <x:c r="U30" s="24" t="str">
        <x:v>VRM Games</x:v>
      </x:c>
      <x:c r="V30" s="24" t="str">
        <x:v>No se detectó proveedor externo en la ruta; confirmar autoría por lote antes de release público.</x:v>
      </x:c>
    </x:row>
    <x:row r="31" ht="34" customHeight="1">
      <x:c r="A31" s="24" t="str">
        <x:v>TRC-00027</x:v>
      </x:c>
      <x:c r="B31" s="24" t="str">
        <x:v>774d28a5615ff64312780a0dd1cda67a</x:v>
      </x:c>
      <x:c r="C31" s="24" t="str">
        <x:v>FurnitureCheckout.mat</x:v>
      </x:c>
      <x:c r="D31" s="24" t="str">
        <x:v>Material</x:v>
      </x:c>
      <x:c r="E31" s="24" t="str">
        <x:v>03_Assets_Internos</x:v>
      </x:c>
      <x:c r="F31" s="24" t="str">
        <x:v>MTX-016</x:v>
      </x:c>
      <x:c r="G31" s="24" t="str">
        <x:v>VRM Games / Blas Luis Rocha González</x:v>
      </x:c>
      <x:c r="H31" s="24" t="str">
        <x:v>Internal project IP / authorship claim</x:v>
      </x:c>
      <x:c r="I31" s="24" t="str">
        <x:v>Source package + repository path + hash</x:v>
      </x:c>
      <x:c r="J31" s="24" t="str">
        <x:v>9bc93a2949c8a9831017d72fd193cd917c5865bad3bb10679a8cf7adb0db64ec</x:v>
      </x:c>
      <x:c r="K31" s="24" t="str">
        <x:v>Assets/_Project/Art/Materials/Furniture/FurnitureCheckout.mat</x:v>
      </x:c>
      <x:c r="L31" s="24" t="str">
        <x:v>CR-004</x:v>
      </x:c>
      <x:c r="M31" s="24" t="str"/>
      <x:c r="N31" s="24" t="str">
        <x:v>RES-001;RES-014</x:v>
      </x:c>
      <x:c r="O31" s="24" t="str">
        <x:v>Internal development; public candidate requires gate</x:v>
      </x:c>
      <x:c r="P31" s="24" t="str">
        <x:v>CONDITIONALLY APPROVED</x:v>
      </x:c>
      <x:c r="Q31" s="24" t="str">
        <x:v>Medium</x:v>
      </x:c>
      <x:c r="R31" s="24" t="str"/>
      <x:c r="S31" s="24" t="str">
        <x:v>Parcial</x:v>
      </x:c>
      <x:c r="T31" s="24" t="str">
        <x:f>"T"&amp;IF(AND(H31&lt;&gt;"",I31&lt;&gt;"",J31&lt;&gt;"",L31&lt;&gt;"",N31&lt;&gt;"",O31&lt;&gt;"",P31="APPROVED PUBLIC",S31="Sí"),6,IF(AND(H31&lt;&gt;"",I31&lt;&gt;"",J31&lt;&gt;"",L31&lt;&gt;"",N31&lt;&gt;"",O31&lt;&gt;"",P31&lt;&gt;"",S31="Sí"),5,IF(AND(H31&lt;&gt;"",I31&lt;&gt;"",P31&lt;&gt;"",S31&lt;&gt;"No"),4,IF(AND(H31&lt;&gt;"",I31&lt;&gt;""),3,IF(F31&lt;&gt;"",2,1)))))</x:f>
        <x:v>T4</x:v>
      </x:c>
      <x:c r="U31" s="24" t="str">
        <x:v>VRM Games</x:v>
      </x:c>
      <x:c r="V31" s="24" t="str">
        <x:v>No se detectó proveedor externo en la ruta; confirmar autoría por lote antes de release público.</x:v>
      </x:c>
    </x:row>
    <x:row r="32" ht="34" customHeight="1">
      <x:c r="A32" s="24" t="str">
        <x:v>TRC-00028</x:v>
      </x:c>
      <x:c r="B32" s="24" t="str">
        <x:v>2056a1f3145d493024412a9453580fd1</x:v>
      </x:c>
      <x:c r="C32" s="24" t="str">
        <x:v>FurnitureCrate.mat</x:v>
      </x:c>
      <x:c r="D32" s="24" t="str">
        <x:v>Material</x:v>
      </x:c>
      <x:c r="E32" s="24" t="str">
        <x:v>03_Assets_Internos</x:v>
      </x:c>
      <x:c r="F32" s="24" t="str">
        <x:v>MTX-017</x:v>
      </x:c>
      <x:c r="G32" s="24" t="str">
        <x:v>VRM Games / Blas Luis Rocha González</x:v>
      </x:c>
      <x:c r="H32" s="24" t="str">
        <x:v>Internal project IP / authorship claim</x:v>
      </x:c>
      <x:c r="I32" s="24" t="str">
        <x:v>Source package + repository path + hash</x:v>
      </x:c>
      <x:c r="J32" s="24" t="str">
        <x:v>fd200e26d41a6bbaf04a960006557ec29489113d19cd3e8b777c7b914d392931</x:v>
      </x:c>
      <x:c r="K32" s="24" t="str">
        <x:v>Assets/_Project/Art/Materials/Furniture/FurnitureCrate.mat</x:v>
      </x:c>
      <x:c r="L32" s="24" t="str">
        <x:v>CR-004</x:v>
      </x:c>
      <x:c r="M32" s="24" t="str"/>
      <x:c r="N32" s="24" t="str">
        <x:v>RES-001;RES-014</x:v>
      </x:c>
      <x:c r="O32" s="24" t="str">
        <x:v>Internal development; public candidate requires gate</x:v>
      </x:c>
      <x:c r="P32" s="24" t="str">
        <x:v>CONDITIONALLY APPROVED</x:v>
      </x:c>
      <x:c r="Q32" s="24" t="str">
        <x:v>Medium</x:v>
      </x:c>
      <x:c r="R32" s="24" t="str"/>
      <x:c r="S32" s="24" t="str">
        <x:v>Parcial</x:v>
      </x:c>
      <x:c r="T32" s="24" t="str">
        <x:f>"T"&amp;IF(AND(H32&lt;&gt;"",I32&lt;&gt;"",J32&lt;&gt;"",L32&lt;&gt;"",N32&lt;&gt;"",O32&lt;&gt;"",P32="APPROVED PUBLIC",S32="Sí"),6,IF(AND(H32&lt;&gt;"",I32&lt;&gt;"",J32&lt;&gt;"",L32&lt;&gt;"",N32&lt;&gt;"",O32&lt;&gt;"",P32&lt;&gt;"",S32="Sí"),5,IF(AND(H32&lt;&gt;"",I32&lt;&gt;"",P32&lt;&gt;"",S32&lt;&gt;"No"),4,IF(AND(H32&lt;&gt;"",I32&lt;&gt;""),3,IF(F32&lt;&gt;"",2,1)))))</x:f>
        <x:v>T4</x:v>
      </x:c>
      <x:c r="U32" s="24" t="str">
        <x:v>VRM Games</x:v>
      </x:c>
      <x:c r="V32" s="24" t="str">
        <x:v>No se detectó proveedor externo en la ruta; confirmar autoría por lote antes de release público.</x:v>
      </x:c>
    </x:row>
    <x:row r="33" ht="34" customHeight="1">
      <x:c r="A33" s="24" t="str">
        <x:v>TRC-00029</x:v>
      </x:c>
      <x:c r="B33" s="24" t="str">
        <x:v>5fe21f7983022016f5221ddaa19189f1</x:v>
      </x:c>
      <x:c r="C33" s="24" t="str">
        <x:v>FurnitureFeatured.mat</x:v>
      </x:c>
      <x:c r="D33" s="24" t="str">
        <x:v>Material</x:v>
      </x:c>
      <x:c r="E33" s="24" t="str">
        <x:v>03_Assets_Internos</x:v>
      </x:c>
      <x:c r="F33" s="24" t="str">
        <x:v>MTX-018</x:v>
      </x:c>
      <x:c r="G33" s="24" t="str">
        <x:v>VRM Games / Blas Luis Rocha González</x:v>
      </x:c>
      <x:c r="H33" s="24" t="str">
        <x:v>Internal project IP / authorship claim</x:v>
      </x:c>
      <x:c r="I33" s="24" t="str">
        <x:v>Source package + repository path + hash</x:v>
      </x:c>
      <x:c r="J33" s="24" t="str">
        <x:v>df254ccb32ee6483562abc0d71f62fa51ecd053e27fe99c0252096e54fa4d869</x:v>
      </x:c>
      <x:c r="K33" s="24" t="str">
        <x:v>Assets/_Project/Art/Materials/Furniture/FurnitureFeatured.mat</x:v>
      </x:c>
      <x:c r="L33" s="24" t="str">
        <x:v>CR-004</x:v>
      </x:c>
      <x:c r="M33" s="24" t="str"/>
      <x:c r="N33" s="24" t="str">
        <x:v>RES-001;RES-014</x:v>
      </x:c>
      <x:c r="O33" s="24" t="str">
        <x:v>Internal development; public candidate requires gate</x:v>
      </x:c>
      <x:c r="P33" s="24" t="str">
        <x:v>CONDITIONALLY APPROVED</x:v>
      </x:c>
      <x:c r="Q33" s="24" t="str">
        <x:v>Medium</x:v>
      </x:c>
      <x:c r="R33" s="24" t="str"/>
      <x:c r="S33" s="24" t="str">
        <x:v>Parcial</x:v>
      </x:c>
      <x:c r="T33" s="24" t="str">
        <x:f>"T"&amp;IF(AND(H33&lt;&gt;"",I33&lt;&gt;"",J33&lt;&gt;"",L33&lt;&gt;"",N33&lt;&gt;"",O33&lt;&gt;"",P33="APPROVED PUBLIC",S33="Sí"),6,IF(AND(H33&lt;&gt;"",I33&lt;&gt;"",J33&lt;&gt;"",L33&lt;&gt;"",N33&lt;&gt;"",O33&lt;&gt;"",P33&lt;&gt;"",S33="Sí"),5,IF(AND(H33&lt;&gt;"",I33&lt;&gt;"",P33&lt;&gt;"",S33&lt;&gt;"No"),4,IF(AND(H33&lt;&gt;"",I33&lt;&gt;""),3,IF(F33&lt;&gt;"",2,1)))))</x:f>
        <x:v>T4</x:v>
      </x:c>
      <x:c r="U33" s="24" t="str">
        <x:v>VRM Games</x:v>
      </x:c>
      <x:c r="V33" s="24" t="str">
        <x:v>No se detectó proveedor externo en la ruta; confirmar autoría por lote antes de release público.</x:v>
      </x:c>
    </x:row>
    <x:row r="34" ht="34" customHeight="1">
      <x:c r="A34" s="24" t="str">
        <x:v>TRC-00030</x:v>
      </x:c>
      <x:c r="B34" s="24" t="str">
        <x:v>3581cddeb260abc6af819d45d50d4088</x:v>
      </x:c>
      <x:c r="C34" s="24" t="str">
        <x:v>FurnitureLowDisplay.mat</x:v>
      </x:c>
      <x:c r="D34" s="24" t="str">
        <x:v>Material</x:v>
      </x:c>
      <x:c r="E34" s="24" t="str">
        <x:v>03_Assets_Internos</x:v>
      </x:c>
      <x:c r="F34" s="24" t="str">
        <x:v>MTX-019</x:v>
      </x:c>
      <x:c r="G34" s="24" t="str">
        <x:v>VRM Games / Blas Luis Rocha González</x:v>
      </x:c>
      <x:c r="H34" s="24" t="str">
        <x:v>Internal project IP / authorship claim</x:v>
      </x:c>
      <x:c r="I34" s="24" t="str">
        <x:v>Source package + repository path + hash</x:v>
      </x:c>
      <x:c r="J34" s="24" t="str">
        <x:v>7135a4169acb6ea603c1bcc4930dfc4cd8e322141360cf46bf7462c7af92c741</x:v>
      </x:c>
      <x:c r="K34" s="24" t="str">
        <x:v>Assets/_Project/Art/Materials/Furniture/FurnitureLowDisplay.mat</x:v>
      </x:c>
      <x:c r="L34" s="24" t="str">
        <x:v>CR-004</x:v>
      </x:c>
      <x:c r="M34" s="24" t="str"/>
      <x:c r="N34" s="24" t="str">
        <x:v>RES-001;RES-014</x:v>
      </x:c>
      <x:c r="O34" s="24" t="str">
        <x:v>Internal development; public candidate requires gate</x:v>
      </x:c>
      <x:c r="P34" s="24" t="str">
        <x:v>CONDITIONALLY APPROVED</x:v>
      </x:c>
      <x:c r="Q34" s="24" t="str">
        <x:v>Medium</x:v>
      </x:c>
      <x:c r="R34" s="24" t="str"/>
      <x:c r="S34" s="24" t="str">
        <x:v>Parcial</x:v>
      </x:c>
      <x:c r="T34" s="24" t="str">
        <x:f>"T"&amp;IF(AND(H34&lt;&gt;"",I34&lt;&gt;"",J34&lt;&gt;"",L34&lt;&gt;"",N34&lt;&gt;"",O34&lt;&gt;"",P34="APPROVED PUBLIC",S34="Sí"),6,IF(AND(H34&lt;&gt;"",I34&lt;&gt;"",J34&lt;&gt;"",L34&lt;&gt;"",N34&lt;&gt;"",O34&lt;&gt;"",P34&lt;&gt;"",S34="Sí"),5,IF(AND(H34&lt;&gt;"",I34&lt;&gt;"",P34&lt;&gt;"",S34&lt;&gt;"No"),4,IF(AND(H34&lt;&gt;"",I34&lt;&gt;""),3,IF(F34&lt;&gt;"",2,1)))))</x:f>
        <x:v>T4</x:v>
      </x:c>
      <x:c r="U34" s="24" t="str">
        <x:v>VRM Games</x:v>
      </x:c>
      <x:c r="V34" s="24" t="str">
        <x:v>No se detectó proveedor externo en la ruta; confirmar autoría por lote antes de release público.</x:v>
      </x:c>
    </x:row>
    <x:row r="35" ht="34" customHeight="1">
      <x:c r="A35" s="24" t="str">
        <x:v>TRC-00031</x:v>
      </x:c>
      <x:c r="B35" s="24" t="str">
        <x:v>8ac885c5b01be0dbc5dcb92550b137c3</x:v>
      </x:c>
      <x:c r="C35" s="24" t="str">
        <x:v>FurnitureStorage.mat</x:v>
      </x:c>
      <x:c r="D35" s="24" t="str">
        <x:v>Material</x:v>
      </x:c>
      <x:c r="E35" s="24" t="str">
        <x:v>03_Assets_Internos</x:v>
      </x:c>
      <x:c r="F35" s="24" t="str">
        <x:v>MTX-020</x:v>
      </x:c>
      <x:c r="G35" s="24" t="str">
        <x:v>VRM Games / Blas Luis Rocha González</x:v>
      </x:c>
      <x:c r="H35" s="24" t="str">
        <x:v>Internal project IP / authorship claim</x:v>
      </x:c>
      <x:c r="I35" s="24" t="str">
        <x:v>Source package + repository path + hash</x:v>
      </x:c>
      <x:c r="J35" s="24" t="str">
        <x:v>67f5eb3cc36d7799a9659c8d92b6f470a0d65191b6c0d6d32674675c45aac948</x:v>
      </x:c>
      <x:c r="K35" s="24" t="str">
        <x:v>Assets/_Project/Art/Materials/Furniture/FurnitureStorage.mat</x:v>
      </x:c>
      <x:c r="L35" s="24" t="str">
        <x:v>CR-004</x:v>
      </x:c>
      <x:c r="M35" s="24" t="str"/>
      <x:c r="N35" s="24" t="str">
        <x:v>RES-001;RES-014</x:v>
      </x:c>
      <x:c r="O35" s="24" t="str">
        <x:v>Internal development; public candidate requires gate</x:v>
      </x:c>
      <x:c r="P35" s="24" t="str">
        <x:v>CONDITIONALLY APPROVED</x:v>
      </x:c>
      <x:c r="Q35" s="24" t="str">
        <x:v>Medium</x:v>
      </x:c>
      <x:c r="R35" s="24" t="str"/>
      <x:c r="S35" s="24" t="str">
        <x:v>Parcial</x:v>
      </x:c>
      <x:c r="T35" s="24" t="str">
        <x:f>"T"&amp;IF(AND(H35&lt;&gt;"",I35&lt;&gt;"",J35&lt;&gt;"",L35&lt;&gt;"",N35&lt;&gt;"",O35&lt;&gt;"",P35="APPROVED PUBLIC",S35="Sí"),6,IF(AND(H35&lt;&gt;"",I35&lt;&gt;"",J35&lt;&gt;"",L35&lt;&gt;"",N35&lt;&gt;"",O35&lt;&gt;"",P35&lt;&gt;"",S35="Sí"),5,IF(AND(H35&lt;&gt;"",I35&lt;&gt;"",P35&lt;&gt;"",S35&lt;&gt;"No"),4,IF(AND(H35&lt;&gt;"",I35&lt;&gt;""),3,IF(F35&lt;&gt;"",2,1)))))</x:f>
        <x:v>T4</x:v>
      </x:c>
      <x:c r="U35" s="24" t="str">
        <x:v>VRM Games</x:v>
      </x:c>
      <x:c r="V35" s="24" t="str">
        <x:v>No se detectó proveedor externo en la ruta; confirmar autoría por lote antes de release público.</x:v>
      </x:c>
    </x:row>
    <x:row r="36" ht="34" customHeight="1">
      <x:c r="A36" s="24" t="str">
        <x:v>TRC-00032</x:v>
      </x:c>
      <x:c r="B36" s="24" t="str">
        <x:v>aa560f38bb0d79f36343458850d48646</x:v>
      </x:c>
      <x:c r="C36" s="24" t="str">
        <x:v>FurnitureWallShelf.mat</x:v>
      </x:c>
      <x:c r="D36" s="24" t="str">
        <x:v>Material</x:v>
      </x:c>
      <x:c r="E36" s="24" t="str">
        <x:v>03_Assets_Internos</x:v>
      </x:c>
      <x:c r="F36" s="24" t="str">
        <x:v>MTX-021</x:v>
      </x:c>
      <x:c r="G36" s="24" t="str">
        <x:v>VRM Games / Blas Luis Rocha González</x:v>
      </x:c>
      <x:c r="H36" s="24" t="str">
        <x:v>Internal project IP / authorship claim</x:v>
      </x:c>
      <x:c r="I36" s="24" t="str">
        <x:v>Source package + repository path + hash</x:v>
      </x:c>
      <x:c r="J36" s="24" t="str">
        <x:v>c2e952b1e3eb77da9dd1f9aa669ccbd8595854b822fc9a038adae76f27aa9cea</x:v>
      </x:c>
      <x:c r="K36" s="24" t="str">
        <x:v>Assets/_Project/Art/Materials/Furniture/FurnitureWallShelf.mat</x:v>
      </x:c>
      <x:c r="L36" s="24" t="str">
        <x:v>CR-004</x:v>
      </x:c>
      <x:c r="M36" s="24" t="str"/>
      <x:c r="N36" s="24" t="str">
        <x:v>RES-001;RES-014</x:v>
      </x:c>
      <x:c r="O36" s="24" t="str">
        <x:v>Internal development; public candidate requires gate</x:v>
      </x:c>
      <x:c r="P36" s="24" t="str">
        <x:v>CONDITIONALLY APPROVED</x:v>
      </x:c>
      <x:c r="Q36" s="24" t="str">
        <x:v>Medium</x:v>
      </x:c>
      <x:c r="R36" s="24" t="str"/>
      <x:c r="S36" s="24" t="str">
        <x:v>Parcial</x:v>
      </x:c>
      <x:c r="T36" s="24" t="str">
        <x:f>"T"&amp;IF(AND(H36&lt;&gt;"",I36&lt;&gt;"",J36&lt;&gt;"",L36&lt;&gt;"",N36&lt;&gt;"",O36&lt;&gt;"",P36="APPROVED PUBLIC",S36="Sí"),6,IF(AND(H36&lt;&gt;"",I36&lt;&gt;"",J36&lt;&gt;"",L36&lt;&gt;"",N36&lt;&gt;"",O36&lt;&gt;"",P36&lt;&gt;"",S36="Sí"),5,IF(AND(H36&lt;&gt;"",I36&lt;&gt;"",P36&lt;&gt;"",S36&lt;&gt;"No"),4,IF(AND(H36&lt;&gt;"",I36&lt;&gt;""),3,IF(F36&lt;&gt;"",2,1)))))</x:f>
        <x:v>T4</x:v>
      </x:c>
      <x:c r="U36" s="24" t="str">
        <x:v>VRM Games</x:v>
      </x:c>
      <x:c r="V36" s="24" t="str">
        <x:v>No se detectó proveedor externo en la ruta; confirmar autoría por lote antes de release público.</x:v>
      </x:c>
    </x:row>
    <x:row r="37" ht="34" customHeight="1">
      <x:c r="A37" s="24" t="str">
        <x:v>TRC-00033</x:v>
      </x:c>
      <x:c r="B37" s="24" t="str">
        <x:v>08e87121591997032ca879eaaa356a07</x:v>
      </x:c>
      <x:c r="C37" s="24" t="str">
        <x:v>ProductAccessory.mat</x:v>
      </x:c>
      <x:c r="D37" s="24" t="str">
        <x:v>Material</x:v>
      </x:c>
      <x:c r="E37" s="24" t="str">
        <x:v>03_Assets_Internos</x:v>
      </x:c>
      <x:c r="F37" s="24" t="str">
        <x:v>MTX-022</x:v>
      </x:c>
      <x:c r="G37" s="24" t="str">
        <x:v>VRM Games / Blas Luis Rocha González</x:v>
      </x:c>
      <x:c r="H37" s="24" t="str">
        <x:v>Internal project IP / authorship claim</x:v>
      </x:c>
      <x:c r="I37" s="24" t="str">
        <x:v>Source package + repository path + hash</x:v>
      </x:c>
      <x:c r="J37" s="24" t="str">
        <x:v>71e0b3b587284ccb8d8318cd9fe38c4e035171525de61d9d7414df91cbf66f80</x:v>
      </x:c>
      <x:c r="K37" s="24" t="str">
        <x:v>Assets/_Project/Art/Materials/Products/ProductAccessory.mat</x:v>
      </x:c>
      <x:c r="L37" s="24" t="str">
        <x:v>CR-004</x:v>
      </x:c>
      <x:c r="M37" s="24" t="str"/>
      <x:c r="N37" s="24" t="str">
        <x:v>RES-001;RES-014</x:v>
      </x:c>
      <x:c r="O37" s="24" t="str">
        <x:v>Internal development; public candidate requires gate</x:v>
      </x:c>
      <x:c r="P37" s="24" t="str">
        <x:v>CONDITIONALLY APPROVED</x:v>
      </x:c>
      <x:c r="Q37" s="24" t="str">
        <x:v>Medium</x:v>
      </x:c>
      <x:c r="R37" s="24" t="str"/>
      <x:c r="S37" s="24" t="str">
        <x:v>Parcial</x:v>
      </x:c>
      <x:c r="T37" s="24" t="str">
        <x:f>"T"&amp;IF(AND(H37&lt;&gt;"",I37&lt;&gt;"",J37&lt;&gt;"",L37&lt;&gt;"",N37&lt;&gt;"",O37&lt;&gt;"",P37="APPROVED PUBLIC",S37="Sí"),6,IF(AND(H37&lt;&gt;"",I37&lt;&gt;"",J37&lt;&gt;"",L37&lt;&gt;"",N37&lt;&gt;"",O37&lt;&gt;"",P37&lt;&gt;"",S37="Sí"),5,IF(AND(H37&lt;&gt;"",I37&lt;&gt;"",P37&lt;&gt;"",S37&lt;&gt;"No"),4,IF(AND(H37&lt;&gt;"",I37&lt;&gt;""),3,IF(F37&lt;&gt;"",2,1)))))</x:f>
        <x:v>T4</x:v>
      </x:c>
      <x:c r="U37" s="24" t="str">
        <x:v>VRM Games</x:v>
      </x:c>
      <x:c r="V37" s="24" t="str">
        <x:v>No se detectó proveedor externo en la ruta; confirmar autoría por lote antes de release público.</x:v>
      </x:c>
    </x:row>
    <x:row r="38" ht="34" customHeight="1">
      <x:c r="A38" s="24" t="str">
        <x:v>TRC-00034</x:v>
      </x:c>
      <x:c r="B38" s="24" t="str">
        <x:v>af1c448dfd8137fe79bd9438ff09be1b</x:v>
      </x:c>
      <x:c r="C38" s="24" t="str">
        <x:v>ProductCase.mat</x:v>
      </x:c>
      <x:c r="D38" s="24" t="str">
        <x:v>Material</x:v>
      </x:c>
      <x:c r="E38" s="24" t="str">
        <x:v>03_Assets_Internos</x:v>
      </x:c>
      <x:c r="F38" s="24" t="str">
        <x:v>MTX-023</x:v>
      </x:c>
      <x:c r="G38" s="24" t="str">
        <x:v>VRM Games / Blas Luis Rocha González</x:v>
      </x:c>
      <x:c r="H38" s="24" t="str">
        <x:v>Internal project IP / authorship claim</x:v>
      </x:c>
      <x:c r="I38" s="24" t="str">
        <x:v>Source package + repository path + hash</x:v>
      </x:c>
      <x:c r="J38" s="24" t="str">
        <x:v>834b583e79f73a78e7594d054c599b9f67d62bcd16c48b0e3ad1cf6fd4e36c93</x:v>
      </x:c>
      <x:c r="K38" s="24" t="str">
        <x:v>Assets/_Project/Art/Materials/Products/ProductCase.mat</x:v>
      </x:c>
      <x:c r="L38" s="24" t="str">
        <x:v>CR-004</x:v>
      </x:c>
      <x:c r="M38" s="24" t="str"/>
      <x:c r="N38" s="24" t="str">
        <x:v>RES-001;RES-014</x:v>
      </x:c>
      <x:c r="O38" s="24" t="str">
        <x:v>Internal development; public candidate requires gate</x:v>
      </x:c>
      <x:c r="P38" s="24" t="str">
        <x:v>CONDITIONALLY APPROVED</x:v>
      </x:c>
      <x:c r="Q38" s="24" t="str">
        <x:v>Medium</x:v>
      </x:c>
      <x:c r="R38" s="24" t="str"/>
      <x:c r="S38" s="24" t="str">
        <x:v>Parcial</x:v>
      </x:c>
      <x:c r="T38" s="24" t="str">
        <x:f>"T"&amp;IF(AND(H38&lt;&gt;"",I38&lt;&gt;"",J38&lt;&gt;"",L38&lt;&gt;"",N38&lt;&gt;"",O38&lt;&gt;"",P38="APPROVED PUBLIC",S38="Sí"),6,IF(AND(H38&lt;&gt;"",I38&lt;&gt;"",J38&lt;&gt;"",L38&lt;&gt;"",N38&lt;&gt;"",O38&lt;&gt;"",P38&lt;&gt;"",S38="Sí"),5,IF(AND(H38&lt;&gt;"",I38&lt;&gt;"",P38&lt;&gt;"",S38&lt;&gt;"No"),4,IF(AND(H38&lt;&gt;"",I38&lt;&gt;""),3,IF(F38&lt;&gt;"",2,1)))))</x:f>
        <x:v>T4</x:v>
      </x:c>
      <x:c r="U38" s="24" t="str">
        <x:v>VRM Games</x:v>
      </x:c>
      <x:c r="V38" s="24" t="str">
        <x:v>No se detectó proveedor externo en la ruta; confirmar autoría por lote antes de release público.</x:v>
      </x:c>
    </x:row>
    <x:row r="39" ht="34" customHeight="1">
      <x:c r="A39" s="24" t="str">
        <x:v>TRC-00035</x:v>
      </x:c>
      <x:c r="B39" s="24" t="str">
        <x:v>91fb5d72264906772aa10997a671c030</x:v>
      </x:c>
      <x:c r="C39" s="24" t="str">
        <x:v>ProductConsole.mat</x:v>
      </x:c>
      <x:c r="D39" s="24" t="str">
        <x:v>Material</x:v>
      </x:c>
      <x:c r="E39" s="24" t="str">
        <x:v>03_Assets_Internos</x:v>
      </x:c>
      <x:c r="F39" s="24" t="str">
        <x:v>MTX-024</x:v>
      </x:c>
      <x:c r="G39" s="24" t="str">
        <x:v>VRM Games / Blas Luis Rocha González</x:v>
      </x:c>
      <x:c r="H39" s="24" t="str">
        <x:v>Internal project IP / authorship claim</x:v>
      </x:c>
      <x:c r="I39" s="24" t="str">
        <x:v>Source package + repository path + hash</x:v>
      </x:c>
      <x:c r="J39" s="24" t="str">
        <x:v>a5d532ea13f610139d55a058954ab6cd2a4e81e108153f743254ea062fa73613</x:v>
      </x:c>
      <x:c r="K39" s="24" t="str">
        <x:v>Assets/_Project/Art/Materials/Products/ProductConsole.mat</x:v>
      </x:c>
      <x:c r="L39" s="24" t="str">
        <x:v>CR-004</x:v>
      </x:c>
      <x:c r="M39" s="24" t="str"/>
      <x:c r="N39" s="24" t="str">
        <x:v>RES-001;RES-014</x:v>
      </x:c>
      <x:c r="O39" s="24" t="str">
        <x:v>Internal development; public candidate requires gate</x:v>
      </x:c>
      <x:c r="P39" s="24" t="str">
        <x:v>CONDITIONALLY APPROVED</x:v>
      </x:c>
      <x:c r="Q39" s="24" t="str">
        <x:v>Medium</x:v>
      </x:c>
      <x:c r="R39" s="24" t="str"/>
      <x:c r="S39" s="24" t="str">
        <x:v>Parcial</x:v>
      </x:c>
      <x:c r="T39" s="24" t="str">
        <x:f>"T"&amp;IF(AND(H39&lt;&gt;"",I39&lt;&gt;"",J39&lt;&gt;"",L39&lt;&gt;"",N39&lt;&gt;"",O39&lt;&gt;"",P39="APPROVED PUBLIC",S39="Sí"),6,IF(AND(H39&lt;&gt;"",I39&lt;&gt;"",J39&lt;&gt;"",L39&lt;&gt;"",N39&lt;&gt;"",O39&lt;&gt;"",P39&lt;&gt;"",S39="Sí"),5,IF(AND(H39&lt;&gt;"",I39&lt;&gt;"",P39&lt;&gt;"",S39&lt;&gt;"No"),4,IF(AND(H39&lt;&gt;"",I39&lt;&gt;""),3,IF(F39&lt;&gt;"",2,1)))))</x:f>
        <x:v>T4</x:v>
      </x:c>
      <x:c r="U39" s="24" t="str">
        <x:v>VRM Games</x:v>
      </x:c>
      <x:c r="V39" s="24" t="str">
        <x:v>No se detectó proveedor externo en la ruta; confirmar autoría por lote antes de release público.</x:v>
      </x:c>
    </x:row>
    <x:row r="40" ht="34" customHeight="1">
      <x:c r="A40" s="24" t="str">
        <x:v>TRC-00036</x:v>
      </x:c>
      <x:c r="B40" s="24" t="str">
        <x:v>040fec7468929c920b836d7e60a9dbda</x:v>
      </x:c>
      <x:c r="C40" s="24" t="str">
        <x:v>ProductController.mat</x:v>
      </x:c>
      <x:c r="D40" s="24" t="str">
        <x:v>Material</x:v>
      </x:c>
      <x:c r="E40" s="24" t="str">
        <x:v>03_Assets_Internos</x:v>
      </x:c>
      <x:c r="F40" s="24" t="str">
        <x:v>MTX-025</x:v>
      </x:c>
      <x:c r="G40" s="24" t="str">
        <x:v>VRM Games / Blas Luis Rocha González</x:v>
      </x:c>
      <x:c r="H40" s="24" t="str">
        <x:v>Internal project IP / authorship claim</x:v>
      </x:c>
      <x:c r="I40" s="24" t="str">
        <x:v>Source package + repository path + hash</x:v>
      </x:c>
      <x:c r="J40" s="24" t="str">
        <x:v>c31cf694323b395a0abe9064711cfde500a265bdb019814629b01eb5a4b7e652</x:v>
      </x:c>
      <x:c r="K40" s="24" t="str">
        <x:v>Assets/_Project/Art/Materials/Products/ProductController.mat</x:v>
      </x:c>
      <x:c r="L40" s="24" t="str">
        <x:v>CR-004</x:v>
      </x:c>
      <x:c r="M40" s="24" t="str"/>
      <x:c r="N40" s="24" t="str">
        <x:v>RES-001;RES-014</x:v>
      </x:c>
      <x:c r="O40" s="24" t="str">
        <x:v>Internal development; public candidate requires gate</x:v>
      </x:c>
      <x:c r="P40" s="24" t="str">
        <x:v>CONDITIONALLY APPROVED</x:v>
      </x:c>
      <x:c r="Q40" s="24" t="str">
        <x:v>Medium</x:v>
      </x:c>
      <x:c r="R40" s="24" t="str"/>
      <x:c r="S40" s="24" t="str">
        <x:v>Parcial</x:v>
      </x:c>
      <x:c r="T40" s="24" t="str">
        <x:f>"T"&amp;IF(AND(H40&lt;&gt;"",I40&lt;&gt;"",J40&lt;&gt;"",L40&lt;&gt;"",N40&lt;&gt;"",O40&lt;&gt;"",P40="APPROVED PUBLIC",S40="Sí"),6,IF(AND(H40&lt;&gt;"",I40&lt;&gt;"",J40&lt;&gt;"",L40&lt;&gt;"",N40&lt;&gt;"",O40&lt;&gt;"",P40&lt;&gt;"",S40="Sí"),5,IF(AND(H40&lt;&gt;"",I40&lt;&gt;"",P40&lt;&gt;"",S40&lt;&gt;"No"),4,IF(AND(H40&lt;&gt;"",I40&lt;&gt;""),3,IF(F40&lt;&gt;"",2,1)))))</x:f>
        <x:v>T4</x:v>
      </x:c>
      <x:c r="U40" s="24" t="str">
        <x:v>VRM Games</x:v>
      </x:c>
      <x:c r="V40" s="24" t="str">
        <x:v>No se detectó proveedor externo en la ruta; confirmar autoría por lote antes de release público.</x:v>
      </x:c>
    </x:row>
    <x:row r="41" ht="34" customHeight="1">
      <x:c r="A41" s="24" t="str">
        <x:v>TRC-00037</x:v>
      </x:c>
      <x:c r="B41" s="24" t="str">
        <x:v>9cf2ce93cf9b7a3ced6951ffcf43df73</x:v>
      </x:c>
      <x:c r="C41" s="24" t="str">
        <x:v>ProductGame.mat</x:v>
      </x:c>
      <x:c r="D41" s="24" t="str">
        <x:v>Material</x:v>
      </x:c>
      <x:c r="E41" s="24" t="str">
        <x:v>03_Assets_Internos</x:v>
      </x:c>
      <x:c r="F41" s="24" t="str">
        <x:v>MTX-026</x:v>
      </x:c>
      <x:c r="G41" s="24" t="str">
        <x:v>VRM Games / Blas Luis Rocha González</x:v>
      </x:c>
      <x:c r="H41" s="24" t="str">
        <x:v>Internal project IP / authorship claim</x:v>
      </x:c>
      <x:c r="I41" s="24" t="str">
        <x:v>Source package + repository path + hash</x:v>
      </x:c>
      <x:c r="J41" s="24" t="str">
        <x:v>46f739d2d6ef1d819082423a419c7992e28453c1c13420709aa4c663eed92e17</x:v>
      </x:c>
      <x:c r="K41" s="24" t="str">
        <x:v>Assets/_Project/Art/Materials/Products/ProductGame.mat</x:v>
      </x:c>
      <x:c r="L41" s="24" t="str">
        <x:v>CR-004</x:v>
      </x:c>
      <x:c r="M41" s="24" t="str"/>
      <x:c r="N41" s="24" t="str">
        <x:v>RES-001;RES-014</x:v>
      </x:c>
      <x:c r="O41" s="24" t="str">
        <x:v>Internal development; public candidate requires gate</x:v>
      </x:c>
      <x:c r="P41" s="24" t="str">
        <x:v>CONDITIONALLY APPROVED</x:v>
      </x:c>
      <x:c r="Q41" s="24" t="str">
        <x:v>Medium</x:v>
      </x:c>
      <x:c r="R41" s="24" t="str"/>
      <x:c r="S41" s="24" t="str">
        <x:v>Parcial</x:v>
      </x:c>
      <x:c r="T41" s="24" t="str">
        <x:f>"T"&amp;IF(AND(H41&lt;&gt;"",I41&lt;&gt;"",J41&lt;&gt;"",L41&lt;&gt;"",N41&lt;&gt;"",O41&lt;&gt;"",P41="APPROVED PUBLIC",S41="Sí"),6,IF(AND(H41&lt;&gt;"",I41&lt;&gt;"",J41&lt;&gt;"",L41&lt;&gt;"",N41&lt;&gt;"",O41&lt;&gt;"",P41&lt;&gt;"",S41="Sí"),5,IF(AND(H41&lt;&gt;"",I41&lt;&gt;"",P41&lt;&gt;"",S41&lt;&gt;"No"),4,IF(AND(H41&lt;&gt;"",I41&lt;&gt;""),3,IF(F41&lt;&gt;"",2,1)))))</x:f>
        <x:v>T4</x:v>
      </x:c>
      <x:c r="U41" s="24" t="str">
        <x:v>VRM Games</x:v>
      </x:c>
      <x:c r="V41" s="24" t="str">
        <x:v>No se detectó proveedor externo en la ruta; confirmar autoría por lote antes de release público.</x:v>
      </x:c>
    </x:row>
    <x:row r="42" ht="34" customHeight="1">
      <x:c r="A42" s="24" t="str">
        <x:v>TRC-00038</x:v>
      </x:c>
      <x:c r="B42" s="24" t="str">
        <x:v>9353ad2fbbce45937735cde7a1cc2ea7</x:v>
      </x:c>
      <x:c r="C42" s="24" t="str">
        <x:v>ProductHeadset.mat</x:v>
      </x:c>
      <x:c r="D42" s="24" t="str">
        <x:v>Material</x:v>
      </x:c>
      <x:c r="E42" s="24" t="str">
        <x:v>03_Assets_Internos</x:v>
      </x:c>
      <x:c r="F42" s="24" t="str">
        <x:v>MTX-027</x:v>
      </x:c>
      <x:c r="G42" s="24" t="str">
        <x:v>VRM Games / Blas Luis Rocha González</x:v>
      </x:c>
      <x:c r="H42" s="24" t="str">
        <x:v>Internal project IP / authorship claim</x:v>
      </x:c>
      <x:c r="I42" s="24" t="str">
        <x:v>Source package + repository path + hash</x:v>
      </x:c>
      <x:c r="J42" s="24" t="str">
        <x:v>5f5bd2966de5b86944b581d21d45381c1412f2623d4e087283c125ec7be3c3ea</x:v>
      </x:c>
      <x:c r="K42" s="24" t="str">
        <x:v>Assets/_Project/Art/Materials/Products/ProductHeadset.mat</x:v>
      </x:c>
      <x:c r="L42" s="24" t="str">
        <x:v>CR-004</x:v>
      </x:c>
      <x:c r="M42" s="24" t="str"/>
      <x:c r="N42" s="24" t="str">
        <x:v>RES-001;RES-014</x:v>
      </x:c>
      <x:c r="O42" s="24" t="str">
        <x:v>Internal development; public candidate requires gate</x:v>
      </x:c>
      <x:c r="P42" s="24" t="str">
        <x:v>CONDITIONALLY APPROVED</x:v>
      </x:c>
      <x:c r="Q42" s="24" t="str">
        <x:v>Medium</x:v>
      </x:c>
      <x:c r="R42" s="24" t="str"/>
      <x:c r="S42" s="24" t="str">
        <x:v>Parcial</x:v>
      </x:c>
      <x:c r="T42" s="24" t="str">
        <x:f>"T"&amp;IF(AND(H42&lt;&gt;"",I42&lt;&gt;"",J42&lt;&gt;"",L42&lt;&gt;"",N42&lt;&gt;"",O42&lt;&gt;"",P42="APPROVED PUBLIC",S42="Sí"),6,IF(AND(H42&lt;&gt;"",I42&lt;&gt;"",J42&lt;&gt;"",L42&lt;&gt;"",N42&lt;&gt;"",O42&lt;&gt;"",P42&lt;&gt;"",S42="Sí"),5,IF(AND(H42&lt;&gt;"",I42&lt;&gt;"",P42&lt;&gt;"",S42&lt;&gt;"No"),4,IF(AND(H42&lt;&gt;"",I42&lt;&gt;""),3,IF(F42&lt;&gt;"",2,1)))))</x:f>
        <x:v>T4</x:v>
      </x:c>
      <x:c r="U42" s="24" t="str">
        <x:v>VRM Games</x:v>
      </x:c>
      <x:c r="V42" s="24" t="str">
        <x:v>No se detectó proveedor externo en la ruta; confirmar autoría por lote antes de release público.</x:v>
      </x:c>
    </x:row>
    <x:row r="43" ht="34" customHeight="1">
      <x:c r="A43" s="24" t="str">
        <x:v>TRC-00039</x:v>
      </x:c>
      <x:c r="B43" s="24" t="str">
        <x:v>e9a7e6ead29c07a46837f46d7f45583f</x:v>
      </x:c>
      <x:c r="C43" s="24" t="str">
        <x:v>Amber.mat</x:v>
      </x:c>
      <x:c r="D43" s="24" t="str">
        <x:v>Material</x:v>
      </x:c>
      <x:c r="E43" s="24" t="str">
        <x:v>03_Assets_Internos</x:v>
      </x:c>
      <x:c r="F43" s="24" t="str">
        <x:v>MTX-028</x:v>
      </x:c>
      <x:c r="G43" s="24" t="str">
        <x:v>VRM Games / Blas Luis Rocha González</x:v>
      </x:c>
      <x:c r="H43" s="24" t="str">
        <x:v>Internal project IP / authorship claim</x:v>
      </x:c>
      <x:c r="I43" s="24" t="str">
        <x:v>Source package + repository path + hash</x:v>
      </x:c>
      <x:c r="J43" s="24" t="str">
        <x:v>0bcd14604b8bc35e0584cf663eaccc980ee39974d32a72a6ef94b55a7d438f85</x:v>
      </x:c>
      <x:c r="K43" s="24" t="str">
        <x:v>Assets/_Project/Art/Materials/Representative/Amber.mat</x:v>
      </x:c>
      <x:c r="L43" s="24" t="str">
        <x:v>CR-004</x:v>
      </x:c>
      <x:c r="M43" s="24" t="str"/>
      <x:c r="N43" s="24" t="str">
        <x:v>RES-001;RES-014</x:v>
      </x:c>
      <x:c r="O43" s="24" t="str">
        <x:v>Internal development; public candidate requires gate</x:v>
      </x:c>
      <x:c r="P43" s="24" t="str">
        <x:v>CONDITIONALLY APPROVED</x:v>
      </x:c>
      <x:c r="Q43" s="24" t="str">
        <x:v>Medium</x:v>
      </x:c>
      <x:c r="R43" s="24" t="str"/>
      <x:c r="S43" s="24" t="str">
        <x:v>Parcial</x:v>
      </x:c>
      <x:c r="T43" s="24" t="str">
        <x:f>"T"&amp;IF(AND(H43&lt;&gt;"",I43&lt;&gt;"",J43&lt;&gt;"",L43&lt;&gt;"",N43&lt;&gt;"",O43&lt;&gt;"",P43="APPROVED PUBLIC",S43="Sí"),6,IF(AND(H43&lt;&gt;"",I43&lt;&gt;"",J43&lt;&gt;"",L43&lt;&gt;"",N43&lt;&gt;"",O43&lt;&gt;"",P43&lt;&gt;"",S43="Sí"),5,IF(AND(H43&lt;&gt;"",I43&lt;&gt;"",P43&lt;&gt;"",S43&lt;&gt;"No"),4,IF(AND(H43&lt;&gt;"",I43&lt;&gt;""),3,IF(F43&lt;&gt;"",2,1)))))</x:f>
        <x:v>T4</x:v>
      </x:c>
      <x:c r="U43" s="24" t="str">
        <x:v>VRM Games</x:v>
      </x:c>
      <x:c r="V43" s="24" t="str">
        <x:v>No se detectó proveedor externo en la ruta; confirmar autoría por lote antes de release público.</x:v>
      </x:c>
    </x:row>
    <x:row r="44" ht="34" customHeight="1">
      <x:c r="A44" s="24" t="str">
        <x:v>TRC-00040</x:v>
      </x:c>
      <x:c r="B44" s="24" t="str">
        <x:v>5aace571ca03cfa478e96975a7ee5667</x:v>
      </x:c>
      <x:c r="C44" s="24" t="str">
        <x:v>BlueGray.mat</x:v>
      </x:c>
      <x:c r="D44" s="24" t="str">
        <x:v>Material</x:v>
      </x:c>
      <x:c r="E44" s="24" t="str">
        <x:v>03_Assets_Internos</x:v>
      </x:c>
      <x:c r="F44" s="24" t="str">
        <x:v>MTX-029</x:v>
      </x:c>
      <x:c r="G44" s="24" t="str">
        <x:v>VRM Games / Blas Luis Rocha González</x:v>
      </x:c>
      <x:c r="H44" s="24" t="str">
        <x:v>Internal project IP / authorship claim</x:v>
      </x:c>
      <x:c r="I44" s="24" t="str">
        <x:v>Source package + repository path + hash</x:v>
      </x:c>
      <x:c r="J44" s="24" t="str">
        <x:v>1a58e2b7f761b298af95b342c8d6fe4b43fffbafe5f7ff1516616ba86b94c971</x:v>
      </x:c>
      <x:c r="K44" s="24" t="str">
        <x:v>Assets/_Project/Art/Materials/Representative/BlueGray.mat</x:v>
      </x:c>
      <x:c r="L44" s="24" t="str">
        <x:v>CR-004</x:v>
      </x:c>
      <x:c r="M44" s="24" t="str"/>
      <x:c r="N44" s="24" t="str">
        <x:v>RES-001;RES-014</x:v>
      </x:c>
      <x:c r="O44" s="24" t="str">
        <x:v>Internal development; public candidate requires gate</x:v>
      </x:c>
      <x:c r="P44" s="24" t="str">
        <x:v>CONDITIONALLY APPROVED</x:v>
      </x:c>
      <x:c r="Q44" s="24" t="str">
        <x:v>Medium</x:v>
      </x:c>
      <x:c r="R44" s="24" t="str"/>
      <x:c r="S44" s="24" t="str">
        <x:v>Parcial</x:v>
      </x:c>
      <x:c r="T44" s="24" t="str">
        <x:f>"T"&amp;IF(AND(H44&lt;&gt;"",I44&lt;&gt;"",J44&lt;&gt;"",L44&lt;&gt;"",N44&lt;&gt;"",O44&lt;&gt;"",P44="APPROVED PUBLIC",S44="Sí"),6,IF(AND(H44&lt;&gt;"",I44&lt;&gt;"",J44&lt;&gt;"",L44&lt;&gt;"",N44&lt;&gt;"",O44&lt;&gt;"",P44&lt;&gt;"",S44="Sí"),5,IF(AND(H44&lt;&gt;"",I44&lt;&gt;"",P44&lt;&gt;"",S44&lt;&gt;"No"),4,IF(AND(H44&lt;&gt;"",I44&lt;&gt;""),3,IF(F44&lt;&gt;"",2,1)))))</x:f>
        <x:v>T4</x:v>
      </x:c>
      <x:c r="U44" s="24" t="str">
        <x:v>VRM Games</x:v>
      </x:c>
      <x:c r="V44" s="24" t="str">
        <x:v>No se detectó proveedor externo en la ruta; confirmar autoría por lote antes de release público.</x:v>
      </x:c>
    </x:row>
    <x:row r="45" ht="34" customHeight="1">
      <x:c r="A45" s="24" t="str">
        <x:v>TRC-00041</x:v>
      </x:c>
      <x:c r="B45" s="24" t="str">
        <x:v>fabc9b019c8a2e0459d607e051183e8f</x:v>
      </x:c>
      <x:c r="C45" s="24" t="str">
        <x:v>Cardboard.mat</x:v>
      </x:c>
      <x:c r="D45" s="24" t="str">
        <x:v>Material</x:v>
      </x:c>
      <x:c r="E45" s="24" t="str">
        <x:v>03_Assets_Internos</x:v>
      </x:c>
      <x:c r="F45" s="24" t="str">
        <x:v>MTX-030</x:v>
      </x:c>
      <x:c r="G45" s="24" t="str">
        <x:v>VRM Games / Blas Luis Rocha González</x:v>
      </x:c>
      <x:c r="H45" s="24" t="str">
        <x:v>Internal project IP / authorship claim</x:v>
      </x:c>
      <x:c r="I45" s="24" t="str">
        <x:v>Source package + repository path + hash</x:v>
      </x:c>
      <x:c r="J45" s="24" t="str">
        <x:v>0c00085dd7b187af1493205d396d6964fa254e51548c508244ba804061ea5908</x:v>
      </x:c>
      <x:c r="K45" s="24" t="str">
        <x:v>Assets/_Project/Art/Materials/Representative/Cardboard.mat</x:v>
      </x:c>
      <x:c r="L45" s="24" t="str">
        <x:v>CR-004</x:v>
      </x:c>
      <x:c r="M45" s="24" t="str"/>
      <x:c r="N45" s="24" t="str">
        <x:v>RES-001;RES-014</x:v>
      </x:c>
      <x:c r="O45" s="24" t="str">
        <x:v>Internal development; public candidate requires gate</x:v>
      </x:c>
      <x:c r="P45" s="24" t="str">
        <x:v>CONDITIONALLY APPROVED</x:v>
      </x:c>
      <x:c r="Q45" s="24" t="str">
        <x:v>Medium</x:v>
      </x:c>
      <x:c r="R45" s="24" t="str"/>
      <x:c r="S45" s="24" t="str">
        <x:v>Parcial</x:v>
      </x:c>
      <x:c r="T45" s="24" t="str">
        <x:f>"T"&amp;IF(AND(H45&lt;&gt;"",I45&lt;&gt;"",J45&lt;&gt;"",L45&lt;&gt;"",N45&lt;&gt;"",O45&lt;&gt;"",P45="APPROVED PUBLIC",S45="Sí"),6,IF(AND(H45&lt;&gt;"",I45&lt;&gt;"",J45&lt;&gt;"",L45&lt;&gt;"",N45&lt;&gt;"",O45&lt;&gt;"",P45&lt;&gt;"",S45="Sí"),5,IF(AND(H45&lt;&gt;"",I45&lt;&gt;"",P45&lt;&gt;"",S45&lt;&gt;"No"),4,IF(AND(H45&lt;&gt;"",I45&lt;&gt;""),3,IF(F45&lt;&gt;"",2,1)))))</x:f>
        <x:v>T4</x:v>
      </x:c>
      <x:c r="U45" s="24" t="str">
        <x:v>VRM Games</x:v>
      </x:c>
      <x:c r="V45" s="24" t="str">
        <x:v>No se detectó proveedor externo en la ruta; confirmar autoría por lote antes de release público.</x:v>
      </x:c>
    </x:row>
    <x:row r="46" ht="34" customHeight="1">
      <x:c r="A46" s="24" t="str">
        <x:v>TRC-00042</x:v>
      </x:c>
      <x:c r="B46" s="24" t="str">
        <x:v>bc3fad4479f8bb641a96ab3d7412ab6a</x:v>
      </x:c>
      <x:c r="C46" s="24" t="str">
        <x:v>Cyan.mat</x:v>
      </x:c>
      <x:c r="D46" s="24" t="str">
        <x:v>Material</x:v>
      </x:c>
      <x:c r="E46" s="24" t="str">
        <x:v>03_Assets_Internos</x:v>
      </x:c>
      <x:c r="F46" s="24" t="str">
        <x:v>MTX-031</x:v>
      </x:c>
      <x:c r="G46" s="24" t="str">
        <x:v>VRM Games / Blas Luis Rocha González</x:v>
      </x:c>
      <x:c r="H46" s="24" t="str">
        <x:v>Internal project IP / authorship claim</x:v>
      </x:c>
      <x:c r="I46" s="24" t="str">
        <x:v>Source package + repository path + hash</x:v>
      </x:c>
      <x:c r="J46" s="24" t="str">
        <x:v>52da5b53e2e42ac5b572a1731e2ed7fe3e6f792b2b6b625a15f42c30d742e07c</x:v>
      </x:c>
      <x:c r="K46" s="24" t="str">
        <x:v>Assets/_Project/Art/Materials/Representative/Cyan.mat</x:v>
      </x:c>
      <x:c r="L46" s="24" t="str">
        <x:v>CR-004</x:v>
      </x:c>
      <x:c r="M46" s="24" t="str"/>
      <x:c r="N46" s="24" t="str">
        <x:v>RES-001;RES-014</x:v>
      </x:c>
      <x:c r="O46" s="24" t="str">
        <x:v>Internal development; public candidate requires gate</x:v>
      </x:c>
      <x:c r="P46" s="24" t="str">
        <x:v>CONDITIONALLY APPROVED</x:v>
      </x:c>
      <x:c r="Q46" s="24" t="str">
        <x:v>Medium</x:v>
      </x:c>
      <x:c r="R46" s="24" t="str"/>
      <x:c r="S46" s="24" t="str">
        <x:v>Parcial</x:v>
      </x:c>
      <x:c r="T46" s="24" t="str">
        <x:f>"T"&amp;IF(AND(H46&lt;&gt;"",I46&lt;&gt;"",J46&lt;&gt;"",L46&lt;&gt;"",N46&lt;&gt;"",O46&lt;&gt;"",P46="APPROVED PUBLIC",S46="Sí"),6,IF(AND(H46&lt;&gt;"",I46&lt;&gt;"",J46&lt;&gt;"",L46&lt;&gt;"",N46&lt;&gt;"",O46&lt;&gt;"",P46&lt;&gt;"",S46="Sí"),5,IF(AND(H46&lt;&gt;"",I46&lt;&gt;"",P46&lt;&gt;"",S46&lt;&gt;"No"),4,IF(AND(H46&lt;&gt;"",I46&lt;&gt;""),3,IF(F46&lt;&gt;"",2,1)))))</x:f>
        <x:v>T4</x:v>
      </x:c>
      <x:c r="U46" s="24" t="str">
        <x:v>VRM Games</x:v>
      </x:c>
      <x:c r="V46" s="24" t="str">
        <x:v>No se detectó proveedor externo en la ruta; confirmar autoría por lote antes de release público.</x:v>
      </x:c>
    </x:row>
    <x:row r="47" ht="34" customHeight="1">
      <x:c r="A47" s="24" t="str">
        <x:v>TRC-00043</x:v>
      </x:c>
      <x:c r="B47" s="24" t="str">
        <x:v>5478184d5a9c7a847924b46f518809ab</x:v>
      </x:c>
      <x:c r="C47" s="24" t="str">
        <x:v>CyanEmissive.mat</x:v>
      </x:c>
      <x:c r="D47" s="24" t="str">
        <x:v>Material</x:v>
      </x:c>
      <x:c r="E47" s="24" t="str">
        <x:v>03_Assets_Internos</x:v>
      </x:c>
      <x:c r="F47" s="24" t="str">
        <x:v>MTX-032</x:v>
      </x:c>
      <x:c r="G47" s="24" t="str">
        <x:v>VRM Games / Blas Luis Rocha González</x:v>
      </x:c>
      <x:c r="H47" s="24" t="str">
        <x:v>Internal project IP / authorship claim</x:v>
      </x:c>
      <x:c r="I47" s="24" t="str">
        <x:v>Source package + repository path + hash</x:v>
      </x:c>
      <x:c r="J47" s="24" t="str">
        <x:v>3821918a11574ed5ce7ef04d06cdd109122d25573b25997a1b01f3c2c936d64a</x:v>
      </x:c>
      <x:c r="K47" s="24" t="str">
        <x:v>Assets/_Project/Art/Materials/Representative/CyanEmissive.mat</x:v>
      </x:c>
      <x:c r="L47" s="24" t="str">
        <x:v>CR-004</x:v>
      </x:c>
      <x:c r="M47" s="24" t="str"/>
      <x:c r="N47" s="24" t="str">
        <x:v>RES-001;RES-014</x:v>
      </x:c>
      <x:c r="O47" s="24" t="str">
        <x:v>Internal development; public candidate requires gate</x:v>
      </x:c>
      <x:c r="P47" s="24" t="str">
        <x:v>CONDITIONALLY APPROVED</x:v>
      </x:c>
      <x:c r="Q47" s="24" t="str">
        <x:v>Medium</x:v>
      </x:c>
      <x:c r="R47" s="24" t="str"/>
      <x:c r="S47" s="24" t="str">
        <x:v>Parcial</x:v>
      </x:c>
      <x:c r="T47" s="24" t="str">
        <x:f>"T"&amp;IF(AND(H47&lt;&gt;"",I47&lt;&gt;"",J47&lt;&gt;"",L47&lt;&gt;"",N47&lt;&gt;"",O47&lt;&gt;"",P47="APPROVED PUBLIC",S47="Sí"),6,IF(AND(H47&lt;&gt;"",I47&lt;&gt;"",J47&lt;&gt;"",L47&lt;&gt;"",N47&lt;&gt;"",O47&lt;&gt;"",P47&lt;&gt;"",S47="Sí"),5,IF(AND(H47&lt;&gt;"",I47&lt;&gt;"",P47&lt;&gt;"",S47&lt;&gt;"No"),4,IF(AND(H47&lt;&gt;"",I47&lt;&gt;""),3,IF(F47&lt;&gt;"",2,1)))))</x:f>
        <x:v>T4</x:v>
      </x:c>
      <x:c r="U47" s="24" t="str">
        <x:v>VRM Games</x:v>
      </x:c>
      <x:c r="V47" s="24" t="str">
        <x:v>No se detectó proveedor externo en la ruta; confirmar autoría por lote antes de release público.</x:v>
      </x:c>
    </x:row>
    <x:row r="48" ht="34" customHeight="1">
      <x:c r="A48" s="24" t="str">
        <x:v>TRC-00044</x:v>
      </x:c>
      <x:c r="B48" s="24" t="str">
        <x:v>fd2d442dc1f37c54184a14e0f0ccff98</x:v>
      </x:c>
      <x:c r="C48" s="24" t="str">
        <x:v>DarkSurface.mat</x:v>
      </x:c>
      <x:c r="D48" s="24" t="str">
        <x:v>Material</x:v>
      </x:c>
      <x:c r="E48" s="24" t="str">
        <x:v>03_Assets_Internos</x:v>
      </x:c>
      <x:c r="F48" s="24" t="str">
        <x:v>MTX-033</x:v>
      </x:c>
      <x:c r="G48" s="24" t="str">
        <x:v>VRM Games / Blas Luis Rocha González</x:v>
      </x:c>
      <x:c r="H48" s="24" t="str">
        <x:v>Internal project IP / authorship claim</x:v>
      </x:c>
      <x:c r="I48" s="24" t="str">
        <x:v>Source package + repository path + hash</x:v>
      </x:c>
      <x:c r="J48" s="24" t="str">
        <x:v>e1d42c315bee2b70323ff002dfd39e3fdac8c4f80cdd3b2fdec6efa69221457d</x:v>
      </x:c>
      <x:c r="K48" s="24" t="str">
        <x:v>Assets/_Project/Art/Materials/Representative/DarkSurface.mat</x:v>
      </x:c>
      <x:c r="L48" s="24" t="str">
        <x:v>CR-004</x:v>
      </x:c>
      <x:c r="M48" s="24" t="str"/>
      <x:c r="N48" s="24" t="str">
        <x:v>RES-001;RES-014</x:v>
      </x:c>
      <x:c r="O48" s="24" t="str">
        <x:v>Internal development; public candidate requires gate</x:v>
      </x:c>
      <x:c r="P48" s="24" t="str">
        <x:v>CONDITIONALLY APPROVED</x:v>
      </x:c>
      <x:c r="Q48" s="24" t="str">
        <x:v>Medium</x:v>
      </x:c>
      <x:c r="R48" s="24" t="str"/>
      <x:c r="S48" s="24" t="str">
        <x:v>Parcial</x:v>
      </x:c>
      <x:c r="T48" s="24" t="str">
        <x:f>"T"&amp;IF(AND(H48&lt;&gt;"",I48&lt;&gt;"",J48&lt;&gt;"",L48&lt;&gt;"",N48&lt;&gt;"",O48&lt;&gt;"",P48="APPROVED PUBLIC",S48="Sí"),6,IF(AND(H48&lt;&gt;"",I48&lt;&gt;"",J48&lt;&gt;"",L48&lt;&gt;"",N48&lt;&gt;"",O48&lt;&gt;"",P48&lt;&gt;"",S48="Sí"),5,IF(AND(H48&lt;&gt;"",I48&lt;&gt;"",P48&lt;&gt;"",S48&lt;&gt;"No"),4,IF(AND(H48&lt;&gt;"",I48&lt;&gt;""),3,IF(F48&lt;&gt;"",2,1)))))</x:f>
        <x:v>T4</x:v>
      </x:c>
      <x:c r="U48" s="24" t="str">
        <x:v>VRM Games</x:v>
      </x:c>
      <x:c r="V48" s="24" t="str">
        <x:v>No se detectó proveedor externo en la ruta; confirmar autoría por lote antes de release público.</x:v>
      </x:c>
    </x:row>
    <x:row r="49" ht="34" customHeight="1">
      <x:c r="A49" s="24" t="str">
        <x:v>TRC-00045</x:v>
      </x:c>
      <x:c r="B49" s="24" t="str">
        <x:v>c5ce338d6ad18e44898ebe940b4b9cd3</x:v>
      </x:c>
      <x:c r="C49" s="24" t="str">
        <x:v>Glass.mat</x:v>
      </x:c>
      <x:c r="D49" s="24" t="str">
        <x:v>Material</x:v>
      </x:c>
      <x:c r="E49" s="24" t="str">
        <x:v>03_Assets_Internos</x:v>
      </x:c>
      <x:c r="F49" s="24" t="str">
        <x:v>MTX-034</x:v>
      </x:c>
      <x:c r="G49" s="24" t="str">
        <x:v>VRM Games / Blas Luis Rocha González</x:v>
      </x:c>
      <x:c r="H49" s="24" t="str">
        <x:v>Internal project IP / authorship claim</x:v>
      </x:c>
      <x:c r="I49" s="24" t="str">
        <x:v>Source package + repository path + hash</x:v>
      </x:c>
      <x:c r="J49" s="24" t="str">
        <x:v>548acbafff9f28c1a688b49fa6fc705c65122b14b05a15f870dbf16a43b39201</x:v>
      </x:c>
      <x:c r="K49" s="24" t="str">
        <x:v>Assets/_Project/Art/Materials/Representative/Glass.mat</x:v>
      </x:c>
      <x:c r="L49" s="24" t="str">
        <x:v>CR-004</x:v>
      </x:c>
      <x:c r="M49" s="24" t="str"/>
      <x:c r="N49" s="24" t="str">
        <x:v>RES-001;RES-014</x:v>
      </x:c>
      <x:c r="O49" s="24" t="str">
        <x:v>Internal development; public candidate requires gate</x:v>
      </x:c>
      <x:c r="P49" s="24" t="str">
        <x:v>CONDITIONALLY APPROVED</x:v>
      </x:c>
      <x:c r="Q49" s="24" t="str">
        <x:v>Medium</x:v>
      </x:c>
      <x:c r="R49" s="24" t="str"/>
      <x:c r="S49" s="24" t="str">
        <x:v>Parcial</x:v>
      </x:c>
      <x:c r="T49" s="24" t="str">
        <x:f>"T"&amp;IF(AND(H49&lt;&gt;"",I49&lt;&gt;"",J49&lt;&gt;"",L49&lt;&gt;"",N49&lt;&gt;"",O49&lt;&gt;"",P49="APPROVED PUBLIC",S49="Sí"),6,IF(AND(H49&lt;&gt;"",I49&lt;&gt;"",J49&lt;&gt;"",L49&lt;&gt;"",N49&lt;&gt;"",O49&lt;&gt;"",P49&lt;&gt;"",S49="Sí"),5,IF(AND(H49&lt;&gt;"",I49&lt;&gt;"",P49&lt;&gt;"",S49&lt;&gt;"No"),4,IF(AND(H49&lt;&gt;"",I49&lt;&gt;""),3,IF(F49&lt;&gt;"",2,1)))))</x:f>
        <x:v>T4</x:v>
      </x:c>
      <x:c r="U49" s="24" t="str">
        <x:v>VRM Games</x:v>
      </x:c>
      <x:c r="V49" s="24" t="str">
        <x:v>No se detectó proveedor externo en la ruta; confirmar autoría por lote antes de release público.</x:v>
      </x:c>
    </x:row>
    <x:row r="50" ht="34" customHeight="1">
      <x:c r="A50" s="24" t="str">
        <x:v>TRC-00046</x:v>
      </x:c>
      <x:c r="B50" s="24" t="str">
        <x:v>c3ef741ec3b5b5144a95f70d7cf83b1a</x:v>
      </x:c>
      <x:c r="C50" s="24" t="str">
        <x:v>Graphite.mat</x:v>
      </x:c>
      <x:c r="D50" s="24" t="str">
        <x:v>Material</x:v>
      </x:c>
      <x:c r="E50" s="24" t="str">
        <x:v>03_Assets_Internos</x:v>
      </x:c>
      <x:c r="F50" s="24" t="str">
        <x:v>MTX-035</x:v>
      </x:c>
      <x:c r="G50" s="24" t="str">
        <x:v>VRM Games / Blas Luis Rocha González</x:v>
      </x:c>
      <x:c r="H50" s="24" t="str">
        <x:v>Internal project IP / authorship claim</x:v>
      </x:c>
      <x:c r="I50" s="24" t="str">
        <x:v>Source package + repository path + hash</x:v>
      </x:c>
      <x:c r="J50" s="24" t="str">
        <x:v>c48c8dd86340f75e1655a1a8771c13549a172d00d688301f6e2e5700fe5b6e89</x:v>
      </x:c>
      <x:c r="K50" s="24" t="str">
        <x:v>Assets/_Project/Art/Materials/Representative/Graphite.mat</x:v>
      </x:c>
      <x:c r="L50" s="24" t="str">
        <x:v>CR-004</x:v>
      </x:c>
      <x:c r="M50" s="24" t="str"/>
      <x:c r="N50" s="24" t="str">
        <x:v>RES-001;RES-014</x:v>
      </x:c>
      <x:c r="O50" s="24" t="str">
        <x:v>Internal development; public candidate requires gate</x:v>
      </x:c>
      <x:c r="P50" s="24" t="str">
        <x:v>CONDITIONALLY APPROVED</x:v>
      </x:c>
      <x:c r="Q50" s="24" t="str">
        <x:v>Medium</x:v>
      </x:c>
      <x:c r="R50" s="24" t="str"/>
      <x:c r="S50" s="24" t="str">
        <x:v>Parcial</x:v>
      </x:c>
      <x:c r="T50" s="24" t="str">
        <x:f>"T"&amp;IF(AND(H50&lt;&gt;"",I50&lt;&gt;"",J50&lt;&gt;"",L50&lt;&gt;"",N50&lt;&gt;"",O50&lt;&gt;"",P50="APPROVED PUBLIC",S50="Sí"),6,IF(AND(H50&lt;&gt;"",I50&lt;&gt;"",J50&lt;&gt;"",L50&lt;&gt;"",N50&lt;&gt;"",O50&lt;&gt;"",P50&lt;&gt;"",S50="Sí"),5,IF(AND(H50&lt;&gt;"",I50&lt;&gt;"",P50&lt;&gt;"",S50&lt;&gt;"No"),4,IF(AND(H50&lt;&gt;"",I50&lt;&gt;""),3,IF(F50&lt;&gt;"",2,1)))))</x:f>
        <x:v>T4</x:v>
      </x:c>
      <x:c r="U50" s="24" t="str">
        <x:v>VRM Games</x:v>
      </x:c>
      <x:c r="V50" s="24" t="str">
        <x:v>No se detectó proveedor externo en la ruta; confirmar autoría por lote antes de release público.</x:v>
      </x:c>
    </x:row>
    <x:row r="51" ht="34" customHeight="1">
      <x:c r="A51" s="24" t="str">
        <x:v>TRC-00047</x:v>
      </x:c>
      <x:c r="B51" s="24" t="str">
        <x:v>7825ba7dd6bdae94e9269af8b70ab14f</x:v>
      </x:c>
      <x:c r="C51" s="24" t="str">
        <x:v>LightNeutral.mat</x:v>
      </x:c>
      <x:c r="D51" s="24" t="str">
        <x:v>Material</x:v>
      </x:c>
      <x:c r="E51" s="24" t="str">
        <x:v>03_Assets_Internos</x:v>
      </x:c>
      <x:c r="F51" s="24" t="str">
        <x:v>MTX-036</x:v>
      </x:c>
      <x:c r="G51" s="24" t="str">
        <x:v>VRM Games / Blas Luis Rocha González</x:v>
      </x:c>
      <x:c r="H51" s="24" t="str">
        <x:v>Internal project IP / authorship claim</x:v>
      </x:c>
      <x:c r="I51" s="24" t="str">
        <x:v>Source package + repository path + hash</x:v>
      </x:c>
      <x:c r="J51" s="24" t="str">
        <x:v>779143a44de3039e8a74f894b2d43b8a2196972e4c4e34652856772c635f4466</x:v>
      </x:c>
      <x:c r="K51" s="24" t="str">
        <x:v>Assets/_Project/Art/Materials/Representative/LightNeutral.mat</x:v>
      </x:c>
      <x:c r="L51" s="24" t="str">
        <x:v>CR-004</x:v>
      </x:c>
      <x:c r="M51" s="24" t="str"/>
      <x:c r="N51" s="24" t="str">
        <x:v>RES-001;RES-014</x:v>
      </x:c>
      <x:c r="O51" s="24" t="str">
        <x:v>Internal development; public candidate requires gate</x:v>
      </x:c>
      <x:c r="P51" s="24" t="str">
        <x:v>CONDITIONALLY APPROVED</x:v>
      </x:c>
      <x:c r="Q51" s="24" t="str">
        <x:v>Medium</x:v>
      </x:c>
      <x:c r="R51" s="24" t="str"/>
      <x:c r="S51" s="24" t="str">
        <x:v>Parcial</x:v>
      </x:c>
      <x:c r="T51" s="24" t="str">
        <x:f>"T"&amp;IF(AND(H51&lt;&gt;"",I51&lt;&gt;"",J51&lt;&gt;"",L51&lt;&gt;"",N51&lt;&gt;"",O51&lt;&gt;"",P51="APPROVED PUBLIC",S51="Sí"),6,IF(AND(H51&lt;&gt;"",I51&lt;&gt;"",J51&lt;&gt;"",L51&lt;&gt;"",N51&lt;&gt;"",O51&lt;&gt;"",P51&lt;&gt;"",S51="Sí"),5,IF(AND(H51&lt;&gt;"",I51&lt;&gt;"",P51&lt;&gt;"",S51&lt;&gt;"No"),4,IF(AND(H51&lt;&gt;"",I51&lt;&gt;""),3,IF(F51&lt;&gt;"",2,1)))))</x:f>
        <x:v>T4</x:v>
      </x:c>
      <x:c r="U51" s="24" t="str">
        <x:v>VRM Games</x:v>
      </x:c>
      <x:c r="V51" s="24" t="str">
        <x:v>No se detectó proveedor externo en la ruta; confirmar autoría por lote antes de release público.</x:v>
      </x:c>
    </x:row>
    <x:row r="52" ht="34" customHeight="1">
      <x:c r="A52" s="24" t="str">
        <x:v>TRC-00048</x:v>
      </x:c>
      <x:c r="B52" s="24" t="str">
        <x:v>66acee09c9b77a4448e19515fb417ec9</x:v>
      </x:c>
      <x:c r="C52" s="24" t="str">
        <x:v>Red.mat</x:v>
      </x:c>
      <x:c r="D52" s="24" t="str">
        <x:v>Material</x:v>
      </x:c>
      <x:c r="E52" s="24" t="str">
        <x:v>03_Assets_Internos</x:v>
      </x:c>
      <x:c r="F52" s="24" t="str">
        <x:v>MTX-037</x:v>
      </x:c>
      <x:c r="G52" s="24" t="str">
        <x:v>VRM Games / Blas Luis Rocha González</x:v>
      </x:c>
      <x:c r="H52" s="24" t="str">
        <x:v>Internal project IP / authorship claim</x:v>
      </x:c>
      <x:c r="I52" s="24" t="str">
        <x:v>Source package + repository path + hash</x:v>
      </x:c>
      <x:c r="J52" s="24" t="str">
        <x:v>a0369df4d4440f79644fc3809cf70c129cc518ac72a1cf8ba4cf89696640c58c</x:v>
      </x:c>
      <x:c r="K52" s="24" t="str">
        <x:v>Assets/_Project/Art/Materials/Representative/Red.mat</x:v>
      </x:c>
      <x:c r="L52" s="24" t="str">
        <x:v>CR-004</x:v>
      </x:c>
      <x:c r="M52" s="24" t="str"/>
      <x:c r="N52" s="24" t="str">
        <x:v>RES-001;RES-014</x:v>
      </x:c>
      <x:c r="O52" s="24" t="str">
        <x:v>Internal development; public candidate requires gate</x:v>
      </x:c>
      <x:c r="P52" s="24" t="str">
        <x:v>CONDITIONALLY APPROVED</x:v>
      </x:c>
      <x:c r="Q52" s="24" t="str">
        <x:v>Medium</x:v>
      </x:c>
      <x:c r="R52" s="24" t="str"/>
      <x:c r="S52" s="24" t="str">
        <x:v>Parcial</x:v>
      </x:c>
      <x:c r="T52" s="24" t="str">
        <x:f>"T"&amp;IF(AND(H52&lt;&gt;"",I52&lt;&gt;"",J52&lt;&gt;"",L52&lt;&gt;"",N52&lt;&gt;"",O52&lt;&gt;"",P52="APPROVED PUBLIC",S52="Sí"),6,IF(AND(H52&lt;&gt;"",I52&lt;&gt;"",J52&lt;&gt;"",L52&lt;&gt;"",N52&lt;&gt;"",O52&lt;&gt;"",P52&lt;&gt;"",S52="Sí"),5,IF(AND(H52&lt;&gt;"",I52&lt;&gt;"",P52&lt;&gt;"",S52&lt;&gt;"No"),4,IF(AND(H52&lt;&gt;"",I52&lt;&gt;""),3,IF(F52&lt;&gt;"",2,1)))))</x:f>
        <x:v>T4</x:v>
      </x:c>
      <x:c r="U52" s="24" t="str">
        <x:v>VRM Games</x:v>
      </x:c>
      <x:c r="V52" s="24" t="str">
        <x:v>No se detectó proveedor externo en la ruta; confirmar autoría por lote antes de release público.</x:v>
      </x:c>
    </x:row>
    <x:row r="53" ht="34" customHeight="1">
      <x:c r="A53" s="24" t="str">
        <x:v>TRC-00049</x:v>
      </x:c>
      <x:c r="B53" s="24" t="str">
        <x:v>deadbc48b5d1847419439baba3abb446</x:v>
      </x:c>
      <x:c r="C53" s="24" t="str">
        <x:v>VRMGreen.mat</x:v>
      </x:c>
      <x:c r="D53" s="24" t="str">
        <x:v>Material</x:v>
      </x:c>
      <x:c r="E53" s="24" t="str">
        <x:v>03_Assets_Internos</x:v>
      </x:c>
      <x:c r="F53" s="24" t="str">
        <x:v>MTX-038</x:v>
      </x:c>
      <x:c r="G53" s="24" t="str">
        <x:v>VRM Games / Blas Luis Rocha González</x:v>
      </x:c>
      <x:c r="H53" s="24" t="str">
        <x:v>Internal project IP / authorship claim</x:v>
      </x:c>
      <x:c r="I53" s="24" t="str">
        <x:v>Source package + repository path + hash</x:v>
      </x:c>
      <x:c r="J53" s="24" t="str">
        <x:v>c744fc6073c10e4941b6d4b30107319f5e997cc1b13425dcba98b76397da66a1</x:v>
      </x:c>
      <x:c r="K53" s="24" t="str">
        <x:v>Assets/_Project/Art/Materials/Representative/VRMGreen.mat</x:v>
      </x:c>
      <x:c r="L53" s="24" t="str">
        <x:v>CR-004</x:v>
      </x:c>
      <x:c r="M53" s="24" t="str"/>
      <x:c r="N53" s="24" t="str">
        <x:v>RES-001;RES-014</x:v>
      </x:c>
      <x:c r="O53" s="24" t="str">
        <x:v>Internal development; public candidate requires gate</x:v>
      </x:c>
      <x:c r="P53" s="24" t="str">
        <x:v>CONDITIONALLY APPROVED</x:v>
      </x:c>
      <x:c r="Q53" s="24" t="str">
        <x:v>Medium</x:v>
      </x:c>
      <x:c r="R53" s="24" t="str"/>
      <x:c r="S53" s="24" t="str">
        <x:v>Parcial</x:v>
      </x:c>
      <x:c r="T53" s="24" t="str">
        <x:f>"T"&amp;IF(AND(H53&lt;&gt;"",I53&lt;&gt;"",J53&lt;&gt;"",L53&lt;&gt;"",N53&lt;&gt;"",O53&lt;&gt;"",P53="APPROVED PUBLIC",S53="Sí"),6,IF(AND(H53&lt;&gt;"",I53&lt;&gt;"",J53&lt;&gt;"",L53&lt;&gt;"",N53&lt;&gt;"",O53&lt;&gt;"",P53&lt;&gt;"",S53="Sí"),5,IF(AND(H53&lt;&gt;"",I53&lt;&gt;"",P53&lt;&gt;"",S53&lt;&gt;"No"),4,IF(AND(H53&lt;&gt;"",I53&lt;&gt;""),3,IF(F53&lt;&gt;"",2,1)))))</x:f>
        <x:v>T4</x:v>
      </x:c>
      <x:c r="U53" s="24" t="str">
        <x:v>VRM Games</x:v>
      </x:c>
      <x:c r="V53" s="24" t="str">
        <x:v>No se detectó proveedor externo en la ruta; confirmar autoría por lote antes de release público.</x:v>
      </x:c>
    </x:row>
    <x:row r="54" ht="34" customHeight="1">
      <x:c r="A54" s="24" t="str">
        <x:v>TRC-00050</x:v>
      </x:c>
      <x:c r="B54" s="24" t="str">
        <x:v>0b36bf9c749064348bba97bbec2942c9</x:v>
      </x:c>
      <x:c r="C54" s="24" t="str">
        <x:v>VRMGreenEmissive.mat</x:v>
      </x:c>
      <x:c r="D54" s="24" t="str">
        <x:v>Material</x:v>
      </x:c>
      <x:c r="E54" s="24" t="str">
        <x:v>03_Assets_Internos</x:v>
      </x:c>
      <x:c r="F54" s="24" t="str">
        <x:v>MTX-039</x:v>
      </x:c>
      <x:c r="G54" s="24" t="str">
        <x:v>VRM Games / Blas Luis Rocha González</x:v>
      </x:c>
      <x:c r="H54" s="24" t="str">
        <x:v>Internal project IP / authorship claim</x:v>
      </x:c>
      <x:c r="I54" s="24" t="str">
        <x:v>Source package + repository path + hash</x:v>
      </x:c>
      <x:c r="J54" s="24" t="str">
        <x:v>b2cf4e50c17cd0adc30088d0086652ed551d3d4fff636222a711eb801b406a6a</x:v>
      </x:c>
      <x:c r="K54" s="24" t="str">
        <x:v>Assets/_Project/Art/Materials/Representative/VRMGreenEmissive.mat</x:v>
      </x:c>
      <x:c r="L54" s="24" t="str">
        <x:v>CR-004</x:v>
      </x:c>
      <x:c r="M54" s="24" t="str"/>
      <x:c r="N54" s="24" t="str">
        <x:v>RES-001;RES-014</x:v>
      </x:c>
      <x:c r="O54" s="24" t="str">
        <x:v>Internal development; public candidate requires gate</x:v>
      </x:c>
      <x:c r="P54" s="24" t="str">
        <x:v>CONDITIONALLY APPROVED</x:v>
      </x:c>
      <x:c r="Q54" s="24" t="str">
        <x:v>Medium</x:v>
      </x:c>
      <x:c r="R54" s="24" t="str"/>
      <x:c r="S54" s="24" t="str">
        <x:v>Parcial</x:v>
      </x:c>
      <x:c r="T54" s="24" t="str">
        <x:f>"T"&amp;IF(AND(H54&lt;&gt;"",I54&lt;&gt;"",J54&lt;&gt;"",L54&lt;&gt;"",N54&lt;&gt;"",O54&lt;&gt;"",P54="APPROVED PUBLIC",S54="Sí"),6,IF(AND(H54&lt;&gt;"",I54&lt;&gt;"",J54&lt;&gt;"",L54&lt;&gt;"",N54&lt;&gt;"",O54&lt;&gt;"",P54&lt;&gt;"",S54="Sí"),5,IF(AND(H54&lt;&gt;"",I54&lt;&gt;"",P54&lt;&gt;"",S54&lt;&gt;"No"),4,IF(AND(H54&lt;&gt;"",I54&lt;&gt;""),3,IF(F54&lt;&gt;"",2,1)))))</x:f>
        <x:v>T4</x:v>
      </x:c>
      <x:c r="U54" s="24" t="str">
        <x:v>VRM Games</x:v>
      </x:c>
      <x:c r="V54" s="24" t="str">
        <x:v>No se detectó proveedor externo en la ruta; confirmar autoría por lote antes de release público.</x:v>
      </x:c>
    </x:row>
    <x:row r="55" ht="34" customHeight="1">
      <x:c r="A55" s="24" t="str">
        <x:v>TRC-00051</x:v>
      </x:c>
      <x:c r="B55" s="24" t="str">
        <x:v>f29c9f5017f38184bb87ca20fcb77015</x:v>
      </x:c>
      <x:c r="C55" s="24" t="str">
        <x:v>WarmWood.mat</x:v>
      </x:c>
      <x:c r="D55" s="24" t="str">
        <x:v>Material</x:v>
      </x:c>
      <x:c r="E55" s="24" t="str">
        <x:v>03_Assets_Internos</x:v>
      </x:c>
      <x:c r="F55" s="24" t="str">
        <x:v>MTX-040</x:v>
      </x:c>
      <x:c r="G55" s="24" t="str">
        <x:v>VRM Games / Blas Luis Rocha González</x:v>
      </x:c>
      <x:c r="H55" s="24" t="str">
        <x:v>Internal project IP / authorship claim</x:v>
      </x:c>
      <x:c r="I55" s="24" t="str">
        <x:v>Source package + repository path + hash</x:v>
      </x:c>
      <x:c r="J55" s="24" t="str">
        <x:v>69090921169d5b51a2d6541b371b19397e54a3ad7daeba396db35406c620aab8</x:v>
      </x:c>
      <x:c r="K55" s="24" t="str">
        <x:v>Assets/_Project/Art/Materials/Representative/WarmWood.mat</x:v>
      </x:c>
      <x:c r="L55" s="24" t="str">
        <x:v>CR-004</x:v>
      </x:c>
      <x:c r="M55" s="24" t="str"/>
      <x:c r="N55" s="24" t="str">
        <x:v>RES-001;RES-014</x:v>
      </x:c>
      <x:c r="O55" s="24" t="str">
        <x:v>Internal development; public candidate requires gate</x:v>
      </x:c>
      <x:c r="P55" s="24" t="str">
        <x:v>CONDITIONALLY APPROVED</x:v>
      </x:c>
      <x:c r="Q55" s="24" t="str">
        <x:v>Medium</x:v>
      </x:c>
      <x:c r="R55" s="24" t="str"/>
      <x:c r="S55" s="24" t="str">
        <x:v>Parcial</x:v>
      </x:c>
      <x:c r="T55" s="24" t="str">
        <x:f>"T"&amp;IF(AND(H55&lt;&gt;"",I55&lt;&gt;"",J55&lt;&gt;"",L55&lt;&gt;"",N55&lt;&gt;"",O55&lt;&gt;"",P55="APPROVED PUBLIC",S55="Sí"),6,IF(AND(H55&lt;&gt;"",I55&lt;&gt;"",J55&lt;&gt;"",L55&lt;&gt;"",N55&lt;&gt;"",O55&lt;&gt;"",P55&lt;&gt;"",S55="Sí"),5,IF(AND(H55&lt;&gt;"",I55&lt;&gt;"",P55&lt;&gt;"",S55&lt;&gt;"No"),4,IF(AND(H55&lt;&gt;"",I55&lt;&gt;""),3,IF(F55&lt;&gt;"",2,1)))))</x:f>
        <x:v>T4</x:v>
      </x:c>
      <x:c r="U55" s="24" t="str">
        <x:v>VRM Games</x:v>
      </x:c>
      <x:c r="V55" s="24" t="str">
        <x:v>No se detectó proveedor externo en la ruta; confirmar autoría por lote antes de release público.</x:v>
      </x:c>
    </x:row>
    <x:row r="56" ht="34" customHeight="1">
      <x:c r="A56" s="24" t="str">
        <x:v>TRC-00052</x:v>
      </x:c>
      <x:c r="B56" s="24" t="str">
        <x:v>93e1a822e9cc2bd45a73e82e53b83c83</x:v>
      </x:c>
      <x:c r="C56" s="24" t="str">
        <x:v>CC_S4_GhostInvalid.mat</x:v>
      </x:c>
      <x:c r="D56" s="24" t="str">
        <x:v>Material</x:v>
      </x:c>
      <x:c r="E56" s="24" t="str">
        <x:v>03_Assets_Internos</x:v>
      </x:c>
      <x:c r="F56" s="24" t="str">
        <x:v>MTX-041</x:v>
      </x:c>
      <x:c r="G56" s="24" t="str">
        <x:v>VRM Games / Blas Luis Rocha González</x:v>
      </x:c>
      <x:c r="H56" s="24" t="str">
        <x:v>Internal project IP / authorship claim</x:v>
      </x:c>
      <x:c r="I56" s="24" t="str">
        <x:v>Source package + repository path + hash</x:v>
      </x:c>
      <x:c r="J56" s="24" t="str">
        <x:v>b2eae76ee2d085b9b57f3cc3f4ed318c3b9daa3dfce6af08acd57dda17e908f1</x:v>
      </x:c>
      <x:c r="K56" s="24" t="str">
        <x:v>Assets/_Project/Art/Materials/Technical/CC_S4_GhostInvalid.mat</x:v>
      </x:c>
      <x:c r="L56" s="24" t="str">
        <x:v>CR-004</x:v>
      </x:c>
      <x:c r="M56" s="24" t="str"/>
      <x:c r="N56" s="24" t="str">
        <x:v>RES-001;RES-014</x:v>
      </x:c>
      <x:c r="O56" s="24" t="str">
        <x:v>Internal development; public candidate requires gate</x:v>
      </x:c>
      <x:c r="P56" s="24" t="str">
        <x:v>CONDITIONALLY APPROVED</x:v>
      </x:c>
      <x:c r="Q56" s="24" t="str">
        <x:v>Medium</x:v>
      </x:c>
      <x:c r="R56" s="24" t="str"/>
      <x:c r="S56" s="24" t="str">
        <x:v>Parcial</x:v>
      </x:c>
      <x:c r="T56" s="24" t="str">
        <x:f>"T"&amp;IF(AND(H56&lt;&gt;"",I56&lt;&gt;"",J56&lt;&gt;"",L56&lt;&gt;"",N56&lt;&gt;"",O56&lt;&gt;"",P56="APPROVED PUBLIC",S56="Sí"),6,IF(AND(H56&lt;&gt;"",I56&lt;&gt;"",J56&lt;&gt;"",L56&lt;&gt;"",N56&lt;&gt;"",O56&lt;&gt;"",P56&lt;&gt;"",S56="Sí"),5,IF(AND(H56&lt;&gt;"",I56&lt;&gt;"",P56&lt;&gt;"",S56&lt;&gt;"No"),4,IF(AND(H56&lt;&gt;"",I56&lt;&gt;""),3,IF(F56&lt;&gt;"",2,1)))))</x:f>
        <x:v>T4</x:v>
      </x:c>
      <x:c r="U56" s="24" t="str">
        <x:v>VRM Games</x:v>
      </x:c>
      <x:c r="V56" s="24" t="str">
        <x:v>No se detectó proveedor externo en la ruta; confirmar autoría por lote antes de release público.</x:v>
      </x:c>
    </x:row>
    <x:row r="57" ht="34" customHeight="1">
      <x:c r="A57" s="24" t="str">
        <x:v>TRC-00053</x:v>
      </x:c>
      <x:c r="B57" s="24" t="str">
        <x:v>2c5dceb53ebc55240bae2b0418adb5c4</x:v>
      </x:c>
      <x:c r="C57" s="24" t="str">
        <x:v>CC_S4_GhostValid.mat</x:v>
      </x:c>
      <x:c r="D57" s="24" t="str">
        <x:v>Material</x:v>
      </x:c>
      <x:c r="E57" s="24" t="str">
        <x:v>03_Assets_Internos</x:v>
      </x:c>
      <x:c r="F57" s="24" t="str">
        <x:v>MTX-042</x:v>
      </x:c>
      <x:c r="G57" s="24" t="str">
        <x:v>VRM Games / Blas Luis Rocha González</x:v>
      </x:c>
      <x:c r="H57" s="24" t="str">
        <x:v>Internal project IP / authorship claim</x:v>
      </x:c>
      <x:c r="I57" s="24" t="str">
        <x:v>Source package + repository path + hash</x:v>
      </x:c>
      <x:c r="J57" s="24" t="str">
        <x:v>e3f2c7f0cf18ae9e21c5dc6973baa7aa6579fd4befbaa1e803758c4aa683da56</x:v>
      </x:c>
      <x:c r="K57" s="24" t="str">
        <x:v>Assets/_Project/Art/Materials/Technical/CC_S4_GhostValid.mat</x:v>
      </x:c>
      <x:c r="L57" s="24" t="str">
        <x:v>CR-004</x:v>
      </x:c>
      <x:c r="M57" s="24" t="str"/>
      <x:c r="N57" s="24" t="str">
        <x:v>RES-001;RES-014</x:v>
      </x:c>
      <x:c r="O57" s="24" t="str">
        <x:v>Internal development; public candidate requires gate</x:v>
      </x:c>
      <x:c r="P57" s="24" t="str">
        <x:v>CONDITIONALLY APPROVED</x:v>
      </x:c>
      <x:c r="Q57" s="24" t="str">
        <x:v>Medium</x:v>
      </x:c>
      <x:c r="R57" s="24" t="str"/>
      <x:c r="S57" s="24" t="str">
        <x:v>Parcial</x:v>
      </x:c>
      <x:c r="T57" s="24" t="str">
        <x:f>"T"&amp;IF(AND(H57&lt;&gt;"",I57&lt;&gt;"",J57&lt;&gt;"",L57&lt;&gt;"",N57&lt;&gt;"",O57&lt;&gt;"",P57="APPROVED PUBLIC",S57="Sí"),6,IF(AND(H57&lt;&gt;"",I57&lt;&gt;"",J57&lt;&gt;"",L57&lt;&gt;"",N57&lt;&gt;"",O57&lt;&gt;"",P57&lt;&gt;"",S57="Sí"),5,IF(AND(H57&lt;&gt;"",I57&lt;&gt;"",P57&lt;&gt;"",S57&lt;&gt;"No"),4,IF(AND(H57&lt;&gt;"",I57&lt;&gt;""),3,IF(F57&lt;&gt;"",2,1)))))</x:f>
        <x:v>T4</x:v>
      </x:c>
      <x:c r="U57" s="24" t="str">
        <x:v>VRM Games</x:v>
      </x:c>
      <x:c r="V57" s="24" t="str">
        <x:v>No se detectó proveedor externo en la ruta; confirmar autoría por lote antes de release público.</x:v>
      </x:c>
    </x:row>
    <x:row r="58" ht="34" customHeight="1">
      <x:c r="A58" s="24" t="str">
        <x:v>TRC-00054</x:v>
      </x:c>
      <x:c r="B58" s="24" t="str">
        <x:v>73280ea062c7a6940aa81ddf62e17915</x:v>
      </x:c>
      <x:c r="C58" s="24" t="str">
        <x:v>CC_S4_PlacedTechnical.mat</x:v>
      </x:c>
      <x:c r="D58" s="24" t="str">
        <x:v>Material</x:v>
      </x:c>
      <x:c r="E58" s="24" t="str">
        <x:v>03_Assets_Internos</x:v>
      </x:c>
      <x:c r="F58" s="24" t="str">
        <x:v>MTX-043</x:v>
      </x:c>
      <x:c r="G58" s="24" t="str">
        <x:v>VRM Games / Blas Luis Rocha González</x:v>
      </x:c>
      <x:c r="H58" s="24" t="str">
        <x:v>Internal project IP / authorship claim</x:v>
      </x:c>
      <x:c r="I58" s="24" t="str">
        <x:v>Source package + repository path + hash</x:v>
      </x:c>
      <x:c r="J58" s="24" t="str">
        <x:v>117f9aa38ed541305668a41db94d33e22ea3c0f14979b6ea758ef5a57b42ee8c</x:v>
      </x:c>
      <x:c r="K58" s="24" t="str">
        <x:v>Assets/_Project/Art/Materials/Technical/CC_S4_PlacedTechnical.mat</x:v>
      </x:c>
      <x:c r="L58" s="24" t="str">
        <x:v>CR-004</x:v>
      </x:c>
      <x:c r="M58" s="24" t="str"/>
      <x:c r="N58" s="24" t="str">
        <x:v>RES-001;RES-014</x:v>
      </x:c>
      <x:c r="O58" s="24" t="str">
        <x:v>Internal development; public candidate requires gate</x:v>
      </x:c>
      <x:c r="P58" s="24" t="str">
        <x:v>CONDITIONALLY APPROVED</x:v>
      </x:c>
      <x:c r="Q58" s="24" t="str">
        <x:v>Medium</x:v>
      </x:c>
      <x:c r="R58" s="24" t="str"/>
      <x:c r="S58" s="24" t="str">
        <x:v>Parcial</x:v>
      </x:c>
      <x:c r="T58" s="24" t="str">
        <x:f>"T"&amp;IF(AND(H58&lt;&gt;"",I58&lt;&gt;"",J58&lt;&gt;"",L58&lt;&gt;"",N58&lt;&gt;"",O58&lt;&gt;"",P58="APPROVED PUBLIC",S58="Sí"),6,IF(AND(H58&lt;&gt;"",I58&lt;&gt;"",J58&lt;&gt;"",L58&lt;&gt;"",N58&lt;&gt;"",O58&lt;&gt;"",P58&lt;&gt;"",S58="Sí"),5,IF(AND(H58&lt;&gt;"",I58&lt;&gt;"",P58&lt;&gt;"",S58&lt;&gt;"No"),4,IF(AND(H58&lt;&gt;"",I58&lt;&gt;""),3,IF(F58&lt;&gt;"",2,1)))))</x:f>
        <x:v>T4</x:v>
      </x:c>
      <x:c r="U58" s="24" t="str">
        <x:v>VRM Games</x:v>
      </x:c>
      <x:c r="V58" s="24" t="str">
        <x:v>No se detectó proveedor externo en la ruta; confirmar autoría por lote antes de release público.</x:v>
      </x:c>
    </x:row>
    <x:row r="59" ht="34" customHeight="1">
      <x:c r="A59" s="24" t="str">
        <x:v>TRC-00055</x:v>
      </x:c>
      <x:c r="B59" s="24" t="str">
        <x:v>d97a3c4e4a87ce14cbdac1f7b41cbf4c</x:v>
      </x:c>
      <x:c r="C59" s="24" t="str">
        <x:v>CC_S5_AccessAnchorMarker.mat</x:v>
      </x:c>
      <x:c r="D59" s="24" t="str">
        <x:v>Material</x:v>
      </x:c>
      <x:c r="E59" s="24" t="str">
        <x:v>03_Assets_Internos</x:v>
      </x:c>
      <x:c r="F59" s="24" t="str">
        <x:v>MTX-044</x:v>
      </x:c>
      <x:c r="G59" s="24" t="str">
        <x:v>VRM Games / Blas Luis Rocha González</x:v>
      </x:c>
      <x:c r="H59" s="24" t="str">
        <x:v>Internal project IP / authorship claim</x:v>
      </x:c>
      <x:c r="I59" s="24" t="str">
        <x:v>Source package + repository path + hash</x:v>
      </x:c>
      <x:c r="J59" s="24" t="str">
        <x:v>afe9f7e50e51b143a38a867d6c5ede653a9d5563203fa1ba80144c7cacbdbf07</x:v>
      </x:c>
      <x:c r="K59" s="24" t="str">
        <x:v>Assets/_Project/Art/Materials/Technical/CC_S5_AccessAnchorMarker.mat</x:v>
      </x:c>
      <x:c r="L59" s="24" t="str">
        <x:v>CR-004</x:v>
      </x:c>
      <x:c r="M59" s="24" t="str"/>
      <x:c r="N59" s="24" t="str">
        <x:v>RES-001;RES-014</x:v>
      </x:c>
      <x:c r="O59" s="24" t="str">
        <x:v>Internal development; public candidate requires gate</x:v>
      </x:c>
      <x:c r="P59" s="24" t="str">
        <x:v>CONDITIONALLY APPROVED</x:v>
      </x:c>
      <x:c r="Q59" s="24" t="str">
        <x:v>Medium</x:v>
      </x:c>
      <x:c r="R59" s="24" t="str"/>
      <x:c r="S59" s="24" t="str">
        <x:v>Parcial</x:v>
      </x:c>
      <x:c r="T59" s="24" t="str">
        <x:f>"T"&amp;IF(AND(H59&lt;&gt;"",I59&lt;&gt;"",J59&lt;&gt;"",L59&lt;&gt;"",N59&lt;&gt;"",O59&lt;&gt;"",P59="APPROVED PUBLIC",S59="Sí"),6,IF(AND(H59&lt;&gt;"",I59&lt;&gt;"",J59&lt;&gt;"",L59&lt;&gt;"",N59&lt;&gt;"",O59&lt;&gt;"",P59&lt;&gt;"",S59="Sí"),5,IF(AND(H59&lt;&gt;"",I59&lt;&gt;"",P59&lt;&gt;"",S59&lt;&gt;"No"),4,IF(AND(H59&lt;&gt;"",I59&lt;&gt;""),3,IF(F59&lt;&gt;"",2,1)))))</x:f>
        <x:v>T4</x:v>
      </x:c>
      <x:c r="U59" s="24" t="str">
        <x:v>VRM Games</x:v>
      </x:c>
      <x:c r="V59" s="24" t="str">
        <x:v>No se detectó proveedor externo en la ruta; confirmar autoría por lote antes de release público.</x:v>
      </x:c>
    </x:row>
    <x:row r="60" ht="34" customHeight="1">
      <x:c r="A60" s="24" t="str">
        <x:v>TRC-00056</x:v>
      </x:c>
      <x:c r="B60" s="24" t="str">
        <x:v>a43d2c00f454bf844b1ee7275211c2bd</x:v>
      </x:c>
      <x:c r="C60" s="24" t="str">
        <x:v>CC_S5_EntranceReserveMarker.mat</x:v>
      </x:c>
      <x:c r="D60" s="24" t="str">
        <x:v>Material</x:v>
      </x:c>
      <x:c r="E60" s="24" t="str">
        <x:v>03_Assets_Internos</x:v>
      </x:c>
      <x:c r="F60" s="24" t="str">
        <x:v>MTX-045</x:v>
      </x:c>
      <x:c r="G60" s="24" t="str">
        <x:v>VRM Games / Blas Luis Rocha González</x:v>
      </x:c>
      <x:c r="H60" s="24" t="str">
        <x:v>Internal project IP / authorship claim</x:v>
      </x:c>
      <x:c r="I60" s="24" t="str">
        <x:v>Source package + repository path + hash</x:v>
      </x:c>
      <x:c r="J60" s="24" t="str">
        <x:v>3810beff98bc2bbc41be26404d0d3587450ce4f49f082406407e3adbadee0491</x:v>
      </x:c>
      <x:c r="K60" s="24" t="str">
        <x:v>Assets/_Project/Art/Materials/Technical/CC_S5_EntranceReserveMarker.mat</x:v>
      </x:c>
      <x:c r="L60" s="24" t="str">
        <x:v>CR-004</x:v>
      </x:c>
      <x:c r="M60" s="24" t="str"/>
      <x:c r="N60" s="24" t="str">
        <x:v>RES-001;RES-014</x:v>
      </x:c>
      <x:c r="O60" s="24" t="str">
        <x:v>Internal development; public candidate requires gate</x:v>
      </x:c>
      <x:c r="P60" s="24" t="str">
        <x:v>CONDITIONALLY APPROVED</x:v>
      </x:c>
      <x:c r="Q60" s="24" t="str">
        <x:v>Medium</x:v>
      </x:c>
      <x:c r="R60" s="24" t="str"/>
      <x:c r="S60" s="24" t="str">
        <x:v>Parcial</x:v>
      </x:c>
      <x:c r="T60" s="24" t="str">
        <x:f>"T"&amp;IF(AND(H60&lt;&gt;"",I60&lt;&gt;"",J60&lt;&gt;"",L60&lt;&gt;"",N60&lt;&gt;"",O60&lt;&gt;"",P60="APPROVED PUBLIC",S60="Sí"),6,IF(AND(H60&lt;&gt;"",I60&lt;&gt;"",J60&lt;&gt;"",L60&lt;&gt;"",N60&lt;&gt;"",O60&lt;&gt;"",P60&lt;&gt;"",S60="Sí"),5,IF(AND(H60&lt;&gt;"",I60&lt;&gt;"",P60&lt;&gt;"",S60&lt;&gt;"No"),4,IF(AND(H60&lt;&gt;"",I60&lt;&gt;""),3,IF(F60&lt;&gt;"",2,1)))))</x:f>
        <x:v>T4</x:v>
      </x:c>
      <x:c r="U60" s="24" t="str">
        <x:v>VRM Games</x:v>
      </x:c>
      <x:c r="V60" s="24" t="str">
        <x:v>No se detectó proveedor externo en la ruta; confirmar autoría por lote antes de release público.</x:v>
      </x:c>
    </x:row>
    <x:row r="61" ht="34" customHeight="1">
      <x:c r="A61" s="24" t="str">
        <x:v>TRC-00057</x:v>
      </x:c>
      <x:c r="B61" s="24" t="str">
        <x:v>d430dbea45d18d54fa22f394bb09e5e8</x:v>
      </x:c>
      <x:c r="C61" s="24" t="str">
        <x:v>CC_S5_PlacedTechnical.mat</x:v>
      </x:c>
      <x:c r="D61" s="24" t="str">
        <x:v>Material</x:v>
      </x:c>
      <x:c r="E61" s="24" t="str">
        <x:v>03_Assets_Internos</x:v>
      </x:c>
      <x:c r="F61" s="24" t="str">
        <x:v>MTX-046</x:v>
      </x:c>
      <x:c r="G61" s="24" t="str">
        <x:v>VRM Games / Blas Luis Rocha González</x:v>
      </x:c>
      <x:c r="H61" s="24" t="str">
        <x:v>Internal project IP / authorship claim</x:v>
      </x:c>
      <x:c r="I61" s="24" t="str">
        <x:v>Source package + repository path + hash</x:v>
      </x:c>
      <x:c r="J61" s="24" t="str">
        <x:v>602eee0ebba6317d58f1d353572c096d5883aca1198b4e13fda6abbe1aa3a352</x:v>
      </x:c>
      <x:c r="K61" s="24" t="str">
        <x:v>Assets/_Project/Art/Materials/Technical/CC_S5_PlacedTechnical.mat</x:v>
      </x:c>
      <x:c r="L61" s="24" t="str">
        <x:v>CR-004</x:v>
      </x:c>
      <x:c r="M61" s="24" t="str"/>
      <x:c r="N61" s="24" t="str">
        <x:v>RES-001;RES-014</x:v>
      </x:c>
      <x:c r="O61" s="24" t="str">
        <x:v>Internal development; public candidate requires gate</x:v>
      </x:c>
      <x:c r="P61" s="24" t="str">
        <x:v>CONDITIONALLY APPROVED</x:v>
      </x:c>
      <x:c r="Q61" s="24" t="str">
        <x:v>Medium</x:v>
      </x:c>
      <x:c r="R61" s="24" t="str"/>
      <x:c r="S61" s="24" t="str">
        <x:v>Parcial</x:v>
      </x:c>
      <x:c r="T61" s="24" t="str">
        <x:f>"T"&amp;IF(AND(H61&lt;&gt;"",I61&lt;&gt;"",J61&lt;&gt;"",L61&lt;&gt;"",N61&lt;&gt;"",O61&lt;&gt;"",P61="APPROVED PUBLIC",S61="Sí"),6,IF(AND(H61&lt;&gt;"",I61&lt;&gt;"",J61&lt;&gt;"",L61&lt;&gt;"",N61&lt;&gt;"",O61&lt;&gt;"",P61&lt;&gt;"",S61="Sí"),5,IF(AND(H61&lt;&gt;"",I61&lt;&gt;"",P61&lt;&gt;"",S61&lt;&gt;"No"),4,IF(AND(H61&lt;&gt;"",I61&lt;&gt;""),3,IF(F61&lt;&gt;"",2,1)))))</x:f>
        <x:v>T4</x:v>
      </x:c>
      <x:c r="U61" s="24" t="str">
        <x:v>VRM Games</x:v>
      </x:c>
      <x:c r="V61" s="24" t="str">
        <x:v>No se detectó proveedor externo en la ruta; confirmar autoría por lote antes de release público.</x:v>
      </x:c>
    </x:row>
    <x:row r="62" ht="34" customHeight="1">
      <x:c r="A62" s="24" t="str">
        <x:v>TRC-00058</x:v>
      </x:c>
      <x:c r="B62" s="24" t="str">
        <x:v>7a6d13ecba35b6142833314c6d3dd4e3</x:v>
      </x:c>
      <x:c r="C62" s="24" t="str">
        <x:v>CC_S5_PlacementInvalid.mat</x:v>
      </x:c>
      <x:c r="D62" s="24" t="str">
        <x:v>Material</x:v>
      </x:c>
      <x:c r="E62" s="24" t="str">
        <x:v>03_Assets_Internos</x:v>
      </x:c>
      <x:c r="F62" s="24" t="str">
        <x:v>MTX-047</x:v>
      </x:c>
      <x:c r="G62" s="24" t="str">
        <x:v>VRM Games / Blas Luis Rocha González</x:v>
      </x:c>
      <x:c r="H62" s="24" t="str">
        <x:v>Internal project IP / authorship claim</x:v>
      </x:c>
      <x:c r="I62" s="24" t="str">
        <x:v>Source package + repository path + hash</x:v>
      </x:c>
      <x:c r="J62" s="24" t="str">
        <x:v>39bdb2a5a81c07ace4f937cd41a6f0b83a06e3e11144c95126d33717d8f2bfb8</x:v>
      </x:c>
      <x:c r="K62" s="24" t="str">
        <x:v>Assets/_Project/Art/Materials/Technical/CC_S5_PlacementInvalid.mat</x:v>
      </x:c>
      <x:c r="L62" s="24" t="str">
        <x:v>CR-004</x:v>
      </x:c>
      <x:c r="M62" s="24" t="str"/>
      <x:c r="N62" s="24" t="str">
        <x:v>RES-001;RES-014</x:v>
      </x:c>
      <x:c r="O62" s="24" t="str">
        <x:v>Internal development; public candidate requires gate</x:v>
      </x:c>
      <x:c r="P62" s="24" t="str">
        <x:v>CONDITIONALLY APPROVED</x:v>
      </x:c>
      <x:c r="Q62" s="24" t="str">
        <x:v>Medium</x:v>
      </x:c>
      <x:c r="R62" s="24" t="str"/>
      <x:c r="S62" s="24" t="str">
        <x:v>Parcial</x:v>
      </x:c>
      <x:c r="T62" s="24" t="str">
        <x:f>"T"&amp;IF(AND(H62&lt;&gt;"",I62&lt;&gt;"",J62&lt;&gt;"",L62&lt;&gt;"",N62&lt;&gt;"",O62&lt;&gt;"",P62="APPROVED PUBLIC",S62="Sí"),6,IF(AND(H62&lt;&gt;"",I62&lt;&gt;"",J62&lt;&gt;"",L62&lt;&gt;"",N62&lt;&gt;"",O62&lt;&gt;"",P62&lt;&gt;"",S62="Sí"),5,IF(AND(H62&lt;&gt;"",I62&lt;&gt;"",P62&lt;&gt;"",S62&lt;&gt;"No"),4,IF(AND(H62&lt;&gt;"",I62&lt;&gt;""),3,IF(F62&lt;&gt;"",2,1)))))</x:f>
        <x:v>T4</x:v>
      </x:c>
      <x:c r="U62" s="24" t="str">
        <x:v>VRM Games</x:v>
      </x:c>
      <x:c r="V62" s="24" t="str">
        <x:v>No se detectó proveedor externo en la ruta; confirmar autoría por lote antes de release público.</x:v>
      </x:c>
    </x:row>
    <x:row r="63" ht="34" customHeight="1">
      <x:c r="A63" s="24" t="str">
        <x:v>TRC-00059</x:v>
      </x:c>
      <x:c r="B63" s="24" t="str">
        <x:v>0b21e154d6a431344bce6ed394378c0b</x:v>
      </x:c>
      <x:c r="C63" s="24" t="str">
        <x:v>CC_S5_PlacementValid.mat</x:v>
      </x:c>
      <x:c r="D63" s="24" t="str">
        <x:v>Material</x:v>
      </x:c>
      <x:c r="E63" s="24" t="str">
        <x:v>03_Assets_Internos</x:v>
      </x:c>
      <x:c r="F63" s="24" t="str">
        <x:v>MTX-048</x:v>
      </x:c>
      <x:c r="G63" s="24" t="str">
        <x:v>VRM Games / Blas Luis Rocha González</x:v>
      </x:c>
      <x:c r="H63" s="24" t="str">
        <x:v>Internal project IP / authorship claim</x:v>
      </x:c>
      <x:c r="I63" s="24" t="str">
        <x:v>Source package + repository path + hash</x:v>
      </x:c>
      <x:c r="J63" s="24" t="str">
        <x:v>c1f1d2674bef8bca1ea0b4e4c32e4b5358cb564e6b4f05606b4fe3777bd6064a</x:v>
      </x:c>
      <x:c r="K63" s="24" t="str">
        <x:v>Assets/_Project/Art/Materials/Technical/CC_S5_PlacementValid.mat</x:v>
      </x:c>
      <x:c r="L63" s="24" t="str">
        <x:v>CR-004</x:v>
      </x:c>
      <x:c r="M63" s="24" t="str"/>
      <x:c r="N63" s="24" t="str">
        <x:v>RES-001;RES-014</x:v>
      </x:c>
      <x:c r="O63" s="24" t="str">
        <x:v>Internal development; public candidate requires gate</x:v>
      </x:c>
      <x:c r="P63" s="24" t="str">
        <x:v>CONDITIONALLY APPROVED</x:v>
      </x:c>
      <x:c r="Q63" s="24" t="str">
        <x:v>Medium</x:v>
      </x:c>
      <x:c r="R63" s="24" t="str"/>
      <x:c r="S63" s="24" t="str">
        <x:v>Parcial</x:v>
      </x:c>
      <x:c r="T63" s="24" t="str">
        <x:f>"T"&amp;IF(AND(H63&lt;&gt;"",I63&lt;&gt;"",J63&lt;&gt;"",L63&lt;&gt;"",N63&lt;&gt;"",O63&lt;&gt;"",P63="APPROVED PUBLIC",S63="Sí"),6,IF(AND(H63&lt;&gt;"",I63&lt;&gt;"",J63&lt;&gt;"",L63&lt;&gt;"",N63&lt;&gt;"",O63&lt;&gt;"",P63&lt;&gt;"",S63="Sí"),5,IF(AND(H63&lt;&gt;"",I63&lt;&gt;"",P63&lt;&gt;"",S63&lt;&gt;"No"),4,IF(AND(H63&lt;&gt;"",I63&lt;&gt;""),3,IF(F63&lt;&gt;"",2,1)))))</x:f>
        <x:v>T4</x:v>
      </x:c>
      <x:c r="U63" s="24" t="str">
        <x:v>VRM Games</x:v>
      </x:c>
      <x:c r="V63" s="24" t="str">
        <x:v>No se detectó proveedor externo en la ruta; confirmar autoría por lote antes de release público.</x:v>
      </x:c>
    </x:row>
    <x:row r="64" ht="34" customHeight="1">
      <x:c r="A64" s="24" t="str">
        <x:v>TRC-00060</x:v>
      </x:c>
      <x:c r="B64" s="24" t="str">
        <x:v>b96b73b4ca6f8e141abf7154d79f03f1</x:v>
      </x:c>
      <x:c r="C64" s="24" t="str">
        <x:v>CC_S5_StoreEntranceTechnical.mat</x:v>
      </x:c>
      <x:c r="D64" s="24" t="str">
        <x:v>Material</x:v>
      </x:c>
      <x:c r="E64" s="24" t="str">
        <x:v>03_Assets_Internos</x:v>
      </x:c>
      <x:c r="F64" s="24" t="str">
        <x:v>MTX-049</x:v>
      </x:c>
      <x:c r="G64" s="24" t="str">
        <x:v>VRM Games / Blas Luis Rocha González</x:v>
      </x:c>
      <x:c r="H64" s="24" t="str">
        <x:v>Internal project IP / authorship claim</x:v>
      </x:c>
      <x:c r="I64" s="24" t="str">
        <x:v>Source package + repository path + hash</x:v>
      </x:c>
      <x:c r="J64" s="24" t="str">
        <x:v>b600db18248169c160b26714eebcf2c5d98d2a919bedd5f60526d7faa96eb82c</x:v>
      </x:c>
      <x:c r="K64" s="24" t="str">
        <x:v>Assets/_Project/Art/Materials/Technical/CC_S5_StoreEntranceTechnical.mat</x:v>
      </x:c>
      <x:c r="L64" s="24" t="str">
        <x:v>CR-004</x:v>
      </x:c>
      <x:c r="M64" s="24" t="str"/>
      <x:c r="N64" s="24" t="str">
        <x:v>RES-001;RES-014</x:v>
      </x:c>
      <x:c r="O64" s="24" t="str">
        <x:v>Internal development; public candidate requires gate</x:v>
      </x:c>
      <x:c r="P64" s="24" t="str">
        <x:v>CONDITIONALLY APPROVED</x:v>
      </x:c>
      <x:c r="Q64" s="24" t="str">
        <x:v>Medium</x:v>
      </x:c>
      <x:c r="R64" s="24" t="str"/>
      <x:c r="S64" s="24" t="str">
        <x:v>Parcial</x:v>
      </x:c>
      <x:c r="T64" s="24" t="str">
        <x:f>"T"&amp;IF(AND(H64&lt;&gt;"",I64&lt;&gt;"",J64&lt;&gt;"",L64&lt;&gt;"",N64&lt;&gt;"",O64&lt;&gt;"",P64="APPROVED PUBLIC",S64="Sí"),6,IF(AND(H64&lt;&gt;"",I64&lt;&gt;"",J64&lt;&gt;"",L64&lt;&gt;"",N64&lt;&gt;"",O64&lt;&gt;"",P64&lt;&gt;"",S64="Sí"),5,IF(AND(H64&lt;&gt;"",I64&lt;&gt;"",P64&lt;&gt;"",S64&lt;&gt;"No"),4,IF(AND(H64&lt;&gt;"",I64&lt;&gt;""),3,IF(F64&lt;&gt;"",2,1)))))</x:f>
        <x:v>T4</x:v>
      </x:c>
      <x:c r="U64" s="24" t="str">
        <x:v>VRM Games</x:v>
      </x:c>
      <x:c r="V64" s="24" t="str">
        <x:v>No se detectó proveedor externo en la ruta; confirmar autoría por lote antes de release público.</x:v>
      </x:c>
    </x:row>
    <x:row r="65" ht="34" customHeight="1">
      <x:c r="A65" s="24" t="str">
        <x:v>TRC-00061</x:v>
      </x:c>
      <x:c r="B65" s="24" t="str">
        <x:v>dc20a3078d485984f9c7a9d258600732</x:v>
      </x:c>
      <x:c r="C65" s="24" t="str">
        <x:v>CC_S5_StoreFloorTechnical.mat</x:v>
      </x:c>
      <x:c r="D65" s="24" t="str">
        <x:v>Material</x:v>
      </x:c>
      <x:c r="E65" s="24" t="str">
        <x:v>03_Assets_Internos</x:v>
      </x:c>
      <x:c r="F65" s="24" t="str">
        <x:v>MTX-050</x:v>
      </x:c>
      <x:c r="G65" s="24" t="str">
        <x:v>VRM Games / Blas Luis Rocha González</x:v>
      </x:c>
      <x:c r="H65" s="24" t="str">
        <x:v>Internal project IP / authorship claim</x:v>
      </x:c>
      <x:c r="I65" s="24" t="str">
        <x:v>Source package + repository path + hash</x:v>
      </x:c>
      <x:c r="J65" s="24" t="str">
        <x:v>194810c1b0699d9f7366c1b64c0dca214a042282fe753d38e306ac2a286b97c5</x:v>
      </x:c>
      <x:c r="K65" s="24" t="str">
        <x:v>Assets/_Project/Art/Materials/Technical/CC_S5_StoreFloorTechnical.mat</x:v>
      </x:c>
      <x:c r="L65" s="24" t="str">
        <x:v>CR-004</x:v>
      </x:c>
      <x:c r="M65" s="24" t="str"/>
      <x:c r="N65" s="24" t="str">
        <x:v>RES-001;RES-014</x:v>
      </x:c>
      <x:c r="O65" s="24" t="str">
        <x:v>Internal development; public candidate requires gate</x:v>
      </x:c>
      <x:c r="P65" s="24" t="str">
        <x:v>CONDITIONALLY APPROVED</x:v>
      </x:c>
      <x:c r="Q65" s="24" t="str">
        <x:v>Medium</x:v>
      </x:c>
      <x:c r="R65" s="24" t="str"/>
      <x:c r="S65" s="24" t="str">
        <x:v>Parcial</x:v>
      </x:c>
      <x:c r="T65" s="24" t="str">
        <x:f>"T"&amp;IF(AND(H65&lt;&gt;"",I65&lt;&gt;"",J65&lt;&gt;"",L65&lt;&gt;"",N65&lt;&gt;"",O65&lt;&gt;"",P65="APPROVED PUBLIC",S65="Sí"),6,IF(AND(H65&lt;&gt;"",I65&lt;&gt;"",J65&lt;&gt;"",L65&lt;&gt;"",N65&lt;&gt;"",O65&lt;&gt;"",P65&lt;&gt;"",S65="Sí"),5,IF(AND(H65&lt;&gt;"",I65&lt;&gt;"",P65&lt;&gt;"",S65&lt;&gt;"No"),4,IF(AND(H65&lt;&gt;"",I65&lt;&gt;""),3,IF(F65&lt;&gt;"",2,1)))))</x:f>
        <x:v>T4</x:v>
      </x:c>
      <x:c r="U65" s="24" t="str">
        <x:v>VRM Games</x:v>
      </x:c>
      <x:c r="V65" s="24" t="str">
        <x:v>No se detectó proveedor externo en la ruta; confirmar autoría por lote antes de release público.</x:v>
      </x:c>
    </x:row>
    <x:row r="66" ht="34" customHeight="1">
      <x:c r="A66" s="24" t="str">
        <x:v>TRC-00062</x:v>
      </x:c>
      <x:c r="B66" s="24" t="str">
        <x:v>d61fc2385715d4746ba4b2b689248d3b</x:v>
      </x:c>
      <x:c r="C66" s="24" t="str">
        <x:v>CC_S5_StorePlayerTechnical.mat</x:v>
      </x:c>
      <x:c r="D66" s="24" t="str">
        <x:v>Material</x:v>
      </x:c>
      <x:c r="E66" s="24" t="str">
        <x:v>03_Assets_Internos</x:v>
      </x:c>
      <x:c r="F66" s="24" t="str">
        <x:v>MTX-051</x:v>
      </x:c>
      <x:c r="G66" s="24" t="str">
        <x:v>VRM Games / Blas Luis Rocha González</x:v>
      </x:c>
      <x:c r="H66" s="24" t="str">
        <x:v>Internal project IP / authorship claim</x:v>
      </x:c>
      <x:c r="I66" s="24" t="str">
        <x:v>Source package + repository path + hash</x:v>
      </x:c>
      <x:c r="J66" s="24" t="str">
        <x:v>2e6969a23ea2cdfed571f2e49a780e66ac68d15df52bbfdc32011ef903280c0c</x:v>
      </x:c>
      <x:c r="K66" s="24" t="str">
        <x:v>Assets/_Project/Art/Materials/Technical/CC_S5_StorePlayerTechnical.mat</x:v>
      </x:c>
      <x:c r="L66" s="24" t="str">
        <x:v>CR-004</x:v>
      </x:c>
      <x:c r="M66" s="24" t="str"/>
      <x:c r="N66" s="24" t="str">
        <x:v>RES-001;RES-014</x:v>
      </x:c>
      <x:c r="O66" s="24" t="str">
        <x:v>Internal development; public candidate requires gate</x:v>
      </x:c>
      <x:c r="P66" s="24" t="str">
        <x:v>CONDITIONALLY APPROVED</x:v>
      </x:c>
      <x:c r="Q66" s="24" t="str">
        <x:v>Medium</x:v>
      </x:c>
      <x:c r="R66" s="24" t="str"/>
      <x:c r="S66" s="24" t="str">
        <x:v>Parcial</x:v>
      </x:c>
      <x:c r="T66" s="24" t="str">
        <x:f>"T"&amp;IF(AND(H66&lt;&gt;"",I66&lt;&gt;"",J66&lt;&gt;"",L66&lt;&gt;"",N66&lt;&gt;"",O66&lt;&gt;"",P66="APPROVED PUBLIC",S66="Sí"),6,IF(AND(H66&lt;&gt;"",I66&lt;&gt;"",J66&lt;&gt;"",L66&lt;&gt;"",N66&lt;&gt;"",O66&lt;&gt;"",P66&lt;&gt;"",S66="Sí"),5,IF(AND(H66&lt;&gt;"",I66&lt;&gt;"",P66&lt;&gt;"",S66&lt;&gt;"No"),4,IF(AND(H66&lt;&gt;"",I66&lt;&gt;""),3,IF(F66&lt;&gt;"",2,1)))))</x:f>
        <x:v>T4</x:v>
      </x:c>
      <x:c r="U66" s="24" t="str">
        <x:v>VRM Games</x:v>
      </x:c>
      <x:c r="V66" s="24" t="str">
        <x:v>No se detectó proveedor externo en la ruta; confirmar autoría por lote antes de release público.</x:v>
      </x:c>
    </x:row>
    <x:row r="67" ht="34" customHeight="1">
      <x:c r="A67" s="24" t="str">
        <x:v>TRC-00063</x:v>
      </x:c>
      <x:c r="B67" s="24" t="str">
        <x:v>056ccf5de784b274da4b4e809060173c</x:v>
      </x:c>
      <x:c r="C67" s="24" t="str">
        <x:v>CC_S5_StoreWallTechnical.mat</x:v>
      </x:c>
      <x:c r="D67" s="24" t="str">
        <x:v>Material</x:v>
      </x:c>
      <x:c r="E67" s="24" t="str">
        <x:v>03_Assets_Internos</x:v>
      </x:c>
      <x:c r="F67" s="24" t="str">
        <x:v>MTX-052</x:v>
      </x:c>
      <x:c r="G67" s="24" t="str">
        <x:v>VRM Games / Blas Luis Rocha González</x:v>
      </x:c>
      <x:c r="H67" s="24" t="str">
        <x:v>Internal project IP / authorship claim</x:v>
      </x:c>
      <x:c r="I67" s="24" t="str">
        <x:v>Source package + repository path + hash</x:v>
      </x:c>
      <x:c r="J67" s="24" t="str">
        <x:v>7cfe50d37a404ff711acac62a1207af8fd10b24cde5ab878df91e7cff58268f8</x:v>
      </x:c>
      <x:c r="K67" s="24" t="str">
        <x:v>Assets/_Project/Art/Materials/Technical/CC_S5_StoreWallTechnical.mat</x:v>
      </x:c>
      <x:c r="L67" s="24" t="str">
        <x:v>CR-004</x:v>
      </x:c>
      <x:c r="M67" s="24" t="str"/>
      <x:c r="N67" s="24" t="str">
        <x:v>RES-001;RES-014</x:v>
      </x:c>
      <x:c r="O67" s="24" t="str">
        <x:v>Internal development; public candidate requires gate</x:v>
      </x:c>
      <x:c r="P67" s="24" t="str">
        <x:v>CONDITIONALLY APPROVED</x:v>
      </x:c>
      <x:c r="Q67" s="24" t="str">
        <x:v>Medium</x:v>
      </x:c>
      <x:c r="R67" s="24" t="str"/>
      <x:c r="S67" s="24" t="str">
        <x:v>Parcial</x:v>
      </x:c>
      <x:c r="T67" s="24" t="str">
        <x:f>"T"&amp;IF(AND(H67&lt;&gt;"",I67&lt;&gt;"",J67&lt;&gt;"",L67&lt;&gt;"",N67&lt;&gt;"",O67&lt;&gt;"",P67="APPROVED PUBLIC",S67="Sí"),6,IF(AND(H67&lt;&gt;"",I67&lt;&gt;"",J67&lt;&gt;"",L67&lt;&gt;"",N67&lt;&gt;"",O67&lt;&gt;"",P67&lt;&gt;"",S67="Sí"),5,IF(AND(H67&lt;&gt;"",I67&lt;&gt;"",P67&lt;&gt;"",S67&lt;&gt;"No"),4,IF(AND(H67&lt;&gt;"",I67&lt;&gt;""),3,IF(F67&lt;&gt;"",2,1)))))</x:f>
        <x:v>T4</x:v>
      </x:c>
      <x:c r="U67" s="24" t="str">
        <x:v>VRM Games</x:v>
      </x:c>
      <x:c r="V67" s="24" t="str">
        <x:v>No se detectó proveedor externo en la ruta; confirmar autoría por lote antes de release público.</x:v>
      </x:c>
    </x:row>
    <x:row r="68" ht="34" customHeight="1">
      <x:c r="A68" s="24" t="str">
        <x:v>TRC-00064</x:v>
      </x:c>
      <x:c r="B68" s="24" t="str">
        <x:v>260150304c11e7a44b6d8b97dc4b669d</x:v>
      </x:c>
      <x:c r="C68" s="24" t="str">
        <x:v>CC_S16_P2_Architecture_AutoDoor_Root.fbx</x:v>
      </x:c>
      <x:c r="D68" s="24" t="str">
        <x:v>3D model</x:v>
      </x:c>
      <x:c r="E68" s="24" t="str">
        <x:v>03_Assets_Internos</x:v>
      </x:c>
      <x:c r="F68" s="24" t="str">
        <x:v>MOD-001</x:v>
      </x:c>
      <x:c r="G68" s="24" t="str">
        <x:v>VRM Games / Blas Luis Rocha González</x:v>
      </x:c>
      <x:c r="H68" s="24" t="str">
        <x:v>Internal project IP / authorship claim</x:v>
      </x:c>
      <x:c r="I68" s="24" t="str">
        <x:v>Source package + repository path + hash</x:v>
      </x:c>
      <x:c r="J68" s="24" t="str">
        <x:v>a063f4afe11e51e1198be8c769d59c5ed7248b6ebf4bcac97e14a983ea64edaa</x:v>
      </x:c>
      <x:c r="K68" s="24" t="str">
        <x:v>Assets/_Project/Art/Models/Architecture/CC_S16_P2_Architecture_AutoDoor_Root.fbx</x:v>
      </x:c>
      <x:c r="L68" s="24" t="str">
        <x:v>CR-004</x:v>
      </x:c>
      <x:c r="M68" s="24" t="str"/>
      <x:c r="N68" s="24" t="str">
        <x:v>RES-001;RES-014</x:v>
      </x:c>
      <x:c r="O68" s="24" t="str">
        <x:v>Internal development; public candidate requires gate</x:v>
      </x:c>
      <x:c r="P68" s="24" t="str">
        <x:v>CONDITIONALLY APPROVED</x:v>
      </x:c>
      <x:c r="Q68" s="24" t="str">
        <x:v>Medium</x:v>
      </x:c>
      <x:c r="R68" s="24" t="str">
        <x:v>LEG-DEBT-008</x:v>
      </x:c>
      <x:c r="S68" s="24" t="str">
        <x:v>Parcial</x:v>
      </x:c>
      <x:c r="T68" s="24" t="str">
        <x:f>"T"&amp;IF(AND(H68&lt;&gt;"",I68&lt;&gt;"",J68&lt;&gt;"",L68&lt;&gt;"",N68&lt;&gt;"",O68&lt;&gt;"",P68="APPROVED PUBLIC",S68="Sí"),6,IF(AND(H68&lt;&gt;"",I68&lt;&gt;"",J68&lt;&gt;"",L68&lt;&gt;"",N68&lt;&gt;"",O68&lt;&gt;"",P68&lt;&gt;"",S68="Sí"),5,IF(AND(H68&lt;&gt;"",I68&lt;&gt;"",P68&lt;&gt;"",S68&lt;&gt;"No"),4,IF(AND(H68&lt;&gt;"",I68&lt;&gt;""),3,IF(F68&lt;&gt;"",2,1)))))</x:f>
        <x:v>T4</x:v>
      </x:c>
      <x:c r="U68" s="24" t="str">
        <x:v>VRM Games</x:v>
      </x:c>
      <x:c r="V68" s="24" t="str">
        <x:v>No se detectó proveedor externo en la ruta; confirmar autoría por lote antes de release público.</x:v>
      </x:c>
    </x:row>
    <x:row r="69" ht="34" customHeight="1">
      <x:c r="A69" s="24" t="str">
        <x:v>TRC-00065</x:v>
      </x:c>
      <x:c r="B69" s="24" t="str">
        <x:v>4510eb49f8a894643844998321745148</x:v>
      </x:c>
      <x:c r="C69" s="24" t="str">
        <x:v>CC_S16_P2_Architecture_BackroomPartition_LOD0.fbx</x:v>
      </x:c>
      <x:c r="D69" s="24" t="str">
        <x:v>3D model</x:v>
      </x:c>
      <x:c r="E69" s="24" t="str">
        <x:v>03_Assets_Internos</x:v>
      </x:c>
      <x:c r="F69" s="24" t="str">
        <x:v>MOD-002</x:v>
      </x:c>
      <x:c r="G69" s="24" t="str">
        <x:v>VRM Games / Blas Luis Rocha González</x:v>
      </x:c>
      <x:c r="H69" s="24" t="str">
        <x:v>Internal project IP / authorship claim</x:v>
      </x:c>
      <x:c r="I69" s="24" t="str">
        <x:v>Source package + repository path + hash</x:v>
      </x:c>
      <x:c r="J69" s="24" t="str">
        <x:v>b49b5e954ba3fb15b3ddeb397016211fd2fd62f113557cd5ba3c579be555eaa1</x:v>
      </x:c>
      <x:c r="K69" s="24" t="str">
        <x:v>Assets/_Project/Art/Models/Architecture/CC_S16_P2_Architecture_BackroomPartition_LOD0.fbx</x:v>
      </x:c>
      <x:c r="L69" s="24" t="str">
        <x:v>CR-004</x:v>
      </x:c>
      <x:c r="M69" s="24" t="str"/>
      <x:c r="N69" s="24" t="str">
        <x:v>RES-001;RES-014</x:v>
      </x:c>
      <x:c r="O69" s="24" t="str">
        <x:v>Internal development; public candidate requires gate</x:v>
      </x:c>
      <x:c r="P69" s="24" t="str">
        <x:v>CONDITIONALLY APPROVED</x:v>
      </x:c>
      <x:c r="Q69" s="24" t="str">
        <x:v>Medium</x:v>
      </x:c>
      <x:c r="R69" s="24" t="str">
        <x:v>LEG-DEBT-008</x:v>
      </x:c>
      <x:c r="S69" s="24" t="str">
        <x:v>Parcial</x:v>
      </x:c>
      <x:c r="T69" s="24" t="str">
        <x:f>"T"&amp;IF(AND(H69&lt;&gt;"",I69&lt;&gt;"",J69&lt;&gt;"",L69&lt;&gt;"",N69&lt;&gt;"",O69&lt;&gt;"",P69="APPROVED PUBLIC",S69="Sí"),6,IF(AND(H69&lt;&gt;"",I69&lt;&gt;"",J69&lt;&gt;"",L69&lt;&gt;"",N69&lt;&gt;"",O69&lt;&gt;"",P69&lt;&gt;"",S69="Sí"),5,IF(AND(H69&lt;&gt;"",I69&lt;&gt;"",P69&lt;&gt;"",S69&lt;&gt;"No"),4,IF(AND(H69&lt;&gt;"",I69&lt;&gt;""),3,IF(F69&lt;&gt;"",2,1)))))</x:f>
        <x:v>T4</x:v>
      </x:c>
      <x:c r="U69" s="24" t="str">
        <x:v>VRM Games</x:v>
      </x:c>
      <x:c r="V69" s="24" t="str">
        <x:v>No se detectó proveedor externo en la ruta; confirmar autoría por lote antes de release público.</x:v>
      </x:c>
    </x:row>
    <x:row r="70" ht="34" customHeight="1">
      <x:c r="A70" s="24" t="str">
        <x:v>TRC-00066</x:v>
      </x:c>
      <x:c r="B70" s="24" t="str">
        <x:v>e4da385572533f7499d46bb3e7432b84</x:v>
      </x:c>
      <x:c r="C70" s="24" t="str">
        <x:v>CC_S16_P2_Architecture_CornerInner_LOD0.fbx</x:v>
      </x:c>
      <x:c r="D70" s="24" t="str">
        <x:v>3D model</x:v>
      </x:c>
      <x:c r="E70" s="24" t="str">
        <x:v>03_Assets_Internos</x:v>
      </x:c>
      <x:c r="F70" s="24" t="str">
        <x:v>MOD-003</x:v>
      </x:c>
      <x:c r="G70" s="24" t="str">
        <x:v>VRM Games / Blas Luis Rocha González</x:v>
      </x:c>
      <x:c r="H70" s="24" t="str">
        <x:v>Internal project IP / authorship claim</x:v>
      </x:c>
      <x:c r="I70" s="24" t="str">
        <x:v>Source package + repository path + hash</x:v>
      </x:c>
      <x:c r="J70" s="24" t="str">
        <x:v>f8f36846a8585c8c607b6be0d22a9bfb6ce2b94419ff87b7811929befe4a6128</x:v>
      </x:c>
      <x:c r="K70" s="24" t="str">
        <x:v>Assets/_Project/Art/Models/Architecture/CC_S16_P2_Architecture_CornerInner_LOD0.fbx</x:v>
      </x:c>
      <x:c r="L70" s="24" t="str">
        <x:v>CR-004</x:v>
      </x:c>
      <x:c r="M70" s="24" t="str"/>
      <x:c r="N70" s="24" t="str">
        <x:v>RES-001;RES-014</x:v>
      </x:c>
      <x:c r="O70" s="24" t="str">
        <x:v>Internal development; public candidate requires gate</x:v>
      </x:c>
      <x:c r="P70" s="24" t="str">
        <x:v>CONDITIONALLY APPROVED</x:v>
      </x:c>
      <x:c r="Q70" s="24" t="str">
        <x:v>Medium</x:v>
      </x:c>
      <x:c r="R70" s="24" t="str">
        <x:v>LEG-DEBT-008</x:v>
      </x:c>
      <x:c r="S70" s="24" t="str">
        <x:v>Parcial</x:v>
      </x:c>
      <x:c r="T70" s="24" t="str">
        <x:f>"T"&amp;IF(AND(H70&lt;&gt;"",I70&lt;&gt;"",J70&lt;&gt;"",L70&lt;&gt;"",N70&lt;&gt;"",O70&lt;&gt;"",P70="APPROVED PUBLIC",S70="Sí"),6,IF(AND(H70&lt;&gt;"",I70&lt;&gt;"",J70&lt;&gt;"",L70&lt;&gt;"",N70&lt;&gt;"",O70&lt;&gt;"",P70&lt;&gt;"",S70="Sí"),5,IF(AND(H70&lt;&gt;"",I70&lt;&gt;"",P70&lt;&gt;"",S70&lt;&gt;"No"),4,IF(AND(H70&lt;&gt;"",I70&lt;&gt;""),3,IF(F70&lt;&gt;"",2,1)))))</x:f>
        <x:v>T4</x:v>
      </x:c>
      <x:c r="U70" s="24" t="str">
        <x:v>VRM Games</x:v>
      </x:c>
      <x:c r="V70" s="24" t="str">
        <x:v>No se detectó proveedor externo en la ruta; confirmar autoría por lote antes de release público.</x:v>
      </x:c>
    </x:row>
    <x:row r="71" ht="34" customHeight="1">
      <x:c r="A71" s="24" t="str">
        <x:v>TRC-00067</x:v>
      </x:c>
      <x:c r="B71" s="24" t="str">
        <x:v>c7161ca6e911d0a4d87a5452d660d616</x:v>
      </x:c>
      <x:c r="C71" s="24" t="str">
        <x:v>CC_S16_P2_Architecture_CornerOuter_LOD0.fbx</x:v>
      </x:c>
      <x:c r="D71" s="24" t="str">
        <x:v>3D model</x:v>
      </x:c>
      <x:c r="E71" s="24" t="str">
        <x:v>03_Assets_Internos</x:v>
      </x:c>
      <x:c r="F71" s="24" t="str">
        <x:v>MOD-004</x:v>
      </x:c>
      <x:c r="G71" s="24" t="str">
        <x:v>VRM Games / Blas Luis Rocha González</x:v>
      </x:c>
      <x:c r="H71" s="24" t="str">
        <x:v>Internal project IP / authorship claim</x:v>
      </x:c>
      <x:c r="I71" s="24" t="str">
        <x:v>Source package + repository path + hash</x:v>
      </x:c>
      <x:c r="J71" s="24" t="str">
        <x:v>89fc3d7fe59462a667fb0c8ad121a0bd0fdeaa9a5889e2f354dc5ed69e1909fc</x:v>
      </x:c>
      <x:c r="K71" s="24" t="str">
        <x:v>Assets/_Project/Art/Models/Architecture/CC_S16_P2_Architecture_CornerOuter_LOD0.fbx</x:v>
      </x:c>
      <x:c r="L71" s="24" t="str">
        <x:v>CR-004</x:v>
      </x:c>
      <x:c r="M71" s="24" t="str"/>
      <x:c r="N71" s="24" t="str">
        <x:v>RES-001;RES-014</x:v>
      </x:c>
      <x:c r="O71" s="24" t="str">
        <x:v>Internal development; public candidate requires gate</x:v>
      </x:c>
      <x:c r="P71" s="24" t="str">
        <x:v>CONDITIONALLY APPROVED</x:v>
      </x:c>
      <x:c r="Q71" s="24" t="str">
        <x:v>Medium</x:v>
      </x:c>
      <x:c r="R71" s="24" t="str">
        <x:v>LEG-DEBT-008</x:v>
      </x:c>
      <x:c r="S71" s="24" t="str">
        <x:v>Parcial</x:v>
      </x:c>
      <x:c r="T71" s="24" t="str">
        <x:f>"T"&amp;IF(AND(H71&lt;&gt;"",I71&lt;&gt;"",J71&lt;&gt;"",L71&lt;&gt;"",N71&lt;&gt;"",O71&lt;&gt;"",P71="APPROVED PUBLIC",S71="Sí"),6,IF(AND(H71&lt;&gt;"",I71&lt;&gt;"",J71&lt;&gt;"",L71&lt;&gt;"",N71&lt;&gt;"",O71&lt;&gt;"",P71&lt;&gt;"",S71="Sí"),5,IF(AND(H71&lt;&gt;"",I71&lt;&gt;"",P71&lt;&gt;"",S71&lt;&gt;"No"),4,IF(AND(H71&lt;&gt;"",I71&lt;&gt;""),3,IF(F71&lt;&gt;"",2,1)))))</x:f>
        <x:v>T4</x:v>
      </x:c>
      <x:c r="U71" s="24" t="str">
        <x:v>VRM Games</x:v>
      </x:c>
      <x:c r="V71" s="24" t="str">
        <x:v>No se detectó proveedor externo en la ruta; confirmar autoría por lote antes de release público.</x:v>
      </x:c>
    </x:row>
    <x:row r="72" ht="34" customHeight="1">
      <x:c r="A72" s="24" t="str">
        <x:v>TRC-00068</x:v>
      </x:c>
      <x:c r="B72" s="24" t="str">
        <x:v>52e9d18ef16581c4bb6ff8dd1472d314</x:v>
      </x:c>
      <x:c r="C72" s="24" t="str">
        <x:v>CC_S16_P2_Architecture_EndCap_LOD0.fbx</x:v>
      </x:c>
      <x:c r="D72" s="24" t="str">
        <x:v>3D model</x:v>
      </x:c>
      <x:c r="E72" s="24" t="str">
        <x:v>03_Assets_Internos</x:v>
      </x:c>
      <x:c r="F72" s="24" t="str">
        <x:v>MOD-005</x:v>
      </x:c>
      <x:c r="G72" s="24" t="str">
        <x:v>VRM Games / Blas Luis Rocha González</x:v>
      </x:c>
      <x:c r="H72" s="24" t="str">
        <x:v>Internal project IP / authorship claim</x:v>
      </x:c>
      <x:c r="I72" s="24" t="str">
        <x:v>Source package + repository path + hash</x:v>
      </x:c>
      <x:c r="J72" s="24" t="str">
        <x:v>1b9d42af8c1f29e3210e29a2c1b53f4dbd1a6ffe12ef3b3cac8c810cf8a4ac87</x:v>
      </x:c>
      <x:c r="K72" s="24" t="str">
        <x:v>Assets/_Project/Art/Models/Architecture/CC_S16_P2_Architecture_EndCap_LOD0.fbx</x:v>
      </x:c>
      <x:c r="L72" s="24" t="str">
        <x:v>CR-004</x:v>
      </x:c>
      <x:c r="M72" s="24" t="str"/>
      <x:c r="N72" s="24" t="str">
        <x:v>RES-001;RES-014</x:v>
      </x:c>
      <x:c r="O72" s="24" t="str">
        <x:v>Internal development; public candidate requires gate</x:v>
      </x:c>
      <x:c r="P72" s="24" t="str">
        <x:v>CONDITIONALLY APPROVED</x:v>
      </x:c>
      <x:c r="Q72" s="24" t="str">
        <x:v>Medium</x:v>
      </x:c>
      <x:c r="R72" s="24" t="str">
        <x:v>LEG-DEBT-008</x:v>
      </x:c>
      <x:c r="S72" s="24" t="str">
        <x:v>Parcial</x:v>
      </x:c>
      <x:c r="T72" s="24" t="str">
        <x:f>"T"&amp;IF(AND(H72&lt;&gt;"",I72&lt;&gt;"",J72&lt;&gt;"",L72&lt;&gt;"",N72&lt;&gt;"",O72&lt;&gt;"",P72="APPROVED PUBLIC",S72="Sí"),6,IF(AND(H72&lt;&gt;"",I72&lt;&gt;"",J72&lt;&gt;"",L72&lt;&gt;"",N72&lt;&gt;"",O72&lt;&gt;"",P72&lt;&gt;"",S72="Sí"),5,IF(AND(H72&lt;&gt;"",I72&lt;&gt;"",P72&lt;&gt;"",S72&lt;&gt;"No"),4,IF(AND(H72&lt;&gt;"",I72&lt;&gt;""),3,IF(F72&lt;&gt;"",2,1)))))</x:f>
        <x:v>T4</x:v>
      </x:c>
      <x:c r="U72" s="24" t="str">
        <x:v>VRM Games</x:v>
      </x:c>
      <x:c r="V72" s="24" t="str">
        <x:v>No se detectó proveedor externo en la ruta; confirmar autoría por lote antes de release público.</x:v>
      </x:c>
    </x:row>
    <x:row r="73" ht="34" customHeight="1">
      <x:c r="A73" s="24" t="str">
        <x:v>TRC-00069</x:v>
      </x:c>
      <x:c r="B73" s="24" t="str">
        <x:v>5136cd5af5055954fbc58b6c20d30b72</x:v>
      </x:c>
      <x:c r="C73" s="24" t="str">
        <x:v>CC_S16_P2_Architecture_EntranceThreshold_LOD0.fbx</x:v>
      </x:c>
      <x:c r="D73" s="24" t="str">
        <x:v>3D model</x:v>
      </x:c>
      <x:c r="E73" s="24" t="str">
        <x:v>03_Assets_Internos</x:v>
      </x:c>
      <x:c r="F73" s="24" t="str">
        <x:v>MOD-006</x:v>
      </x:c>
      <x:c r="G73" s="24" t="str">
        <x:v>VRM Games / Blas Luis Rocha González</x:v>
      </x:c>
      <x:c r="H73" s="24" t="str">
        <x:v>Internal project IP / authorship claim</x:v>
      </x:c>
      <x:c r="I73" s="24" t="str">
        <x:v>Source package + repository path + hash</x:v>
      </x:c>
      <x:c r="J73" s="24" t="str">
        <x:v>184b889aacde35a310f4b00e23cc2da1dbac035ea2c7cec379dd42aa9fbc6041</x:v>
      </x:c>
      <x:c r="K73" s="24" t="str">
        <x:v>Assets/_Project/Art/Models/Architecture/CC_S16_P2_Architecture_EntranceThreshold_LOD0.fbx</x:v>
      </x:c>
      <x:c r="L73" s="24" t="str">
        <x:v>CR-004</x:v>
      </x:c>
      <x:c r="M73" s="24" t="str"/>
      <x:c r="N73" s="24" t="str">
        <x:v>RES-001;RES-014</x:v>
      </x:c>
      <x:c r="O73" s="24" t="str">
        <x:v>Internal development; public candidate requires gate</x:v>
      </x:c>
      <x:c r="P73" s="24" t="str">
        <x:v>CONDITIONALLY APPROVED</x:v>
      </x:c>
      <x:c r="Q73" s="24" t="str">
        <x:v>Medium</x:v>
      </x:c>
      <x:c r="R73" s="24" t="str">
        <x:v>LEG-DEBT-008</x:v>
      </x:c>
      <x:c r="S73" s="24" t="str">
        <x:v>Parcial</x:v>
      </x:c>
      <x:c r="T73" s="24" t="str">
        <x:f>"T"&amp;IF(AND(H73&lt;&gt;"",I73&lt;&gt;"",J73&lt;&gt;"",L73&lt;&gt;"",N73&lt;&gt;"",O73&lt;&gt;"",P73="APPROVED PUBLIC",S73="Sí"),6,IF(AND(H73&lt;&gt;"",I73&lt;&gt;"",J73&lt;&gt;"",L73&lt;&gt;"",N73&lt;&gt;"",O73&lt;&gt;"",P73&lt;&gt;"",S73="Sí"),5,IF(AND(H73&lt;&gt;"",I73&lt;&gt;"",P73&lt;&gt;"",S73&lt;&gt;"No"),4,IF(AND(H73&lt;&gt;"",I73&lt;&gt;""),3,IF(F73&lt;&gt;"",2,1)))))</x:f>
        <x:v>T4</x:v>
      </x:c>
      <x:c r="U73" s="24" t="str">
        <x:v>VRM Games</x:v>
      </x:c>
      <x:c r="V73" s="24" t="str">
        <x:v>No se detectó proveedor externo en la ruta; confirmar autoría por lote antes de release público.</x:v>
      </x:c>
    </x:row>
    <x:row r="74" ht="34" customHeight="1">
      <x:c r="A74" s="24" t="str">
        <x:v>TRC-00070</x:v>
      </x:c>
      <x:c r="B74" s="24" t="str">
        <x:v>3f9be7c6bb4416b4fab77e8346fdbef7</x:v>
      </x:c>
      <x:c r="C74" s="24" t="str">
        <x:v>CC_S16_P2_Architecture_FloorEdge_100_LOD0.fbx</x:v>
      </x:c>
      <x:c r="D74" s="24" t="str">
        <x:v>3D model</x:v>
      </x:c>
      <x:c r="E74" s="24" t="str">
        <x:v>03_Assets_Internos</x:v>
      </x:c>
      <x:c r="F74" s="24" t="str">
        <x:v>MOD-007</x:v>
      </x:c>
      <x:c r="G74" s="24" t="str">
        <x:v>VRM Games / Blas Luis Rocha González</x:v>
      </x:c>
      <x:c r="H74" s="24" t="str">
        <x:v>Internal project IP / authorship claim</x:v>
      </x:c>
      <x:c r="I74" s="24" t="str">
        <x:v>Source package + repository path + hash</x:v>
      </x:c>
      <x:c r="J74" s="24" t="str">
        <x:v>715d29c15074533edd3c4ec5475002e571092a5d745be227969ebe9bed873c1d</x:v>
      </x:c>
      <x:c r="K74" s="24" t="str">
        <x:v>Assets/_Project/Art/Models/Architecture/CC_S16_P2_Architecture_FloorEdge_100_LOD0.fbx</x:v>
      </x:c>
      <x:c r="L74" s="24" t="str">
        <x:v>CR-004</x:v>
      </x:c>
      <x:c r="M74" s="24" t="str"/>
      <x:c r="N74" s="24" t="str">
        <x:v>RES-001;RES-014</x:v>
      </x:c>
      <x:c r="O74" s="24" t="str">
        <x:v>Internal development; public candidate requires gate</x:v>
      </x:c>
      <x:c r="P74" s="24" t="str">
        <x:v>CONDITIONALLY APPROVED</x:v>
      </x:c>
      <x:c r="Q74" s="24" t="str">
        <x:v>Medium</x:v>
      </x:c>
      <x:c r="R74" s="24" t="str">
        <x:v>LEG-DEBT-008</x:v>
      </x:c>
      <x:c r="S74" s="24" t="str">
        <x:v>Parcial</x:v>
      </x:c>
      <x:c r="T74" s="24" t="str">
        <x:f>"T"&amp;IF(AND(H74&lt;&gt;"",I74&lt;&gt;"",J74&lt;&gt;"",L74&lt;&gt;"",N74&lt;&gt;"",O74&lt;&gt;"",P74="APPROVED PUBLIC",S74="Sí"),6,IF(AND(H74&lt;&gt;"",I74&lt;&gt;"",J74&lt;&gt;"",L74&lt;&gt;"",N74&lt;&gt;"",O74&lt;&gt;"",P74&lt;&gt;"",S74="Sí"),5,IF(AND(H74&lt;&gt;"",I74&lt;&gt;"",P74&lt;&gt;"",S74&lt;&gt;"No"),4,IF(AND(H74&lt;&gt;"",I74&lt;&gt;""),3,IF(F74&lt;&gt;"",2,1)))))</x:f>
        <x:v>T4</x:v>
      </x:c>
      <x:c r="U74" s="24" t="str">
        <x:v>VRM Games</x:v>
      </x:c>
      <x:c r="V74" s="24" t="str">
        <x:v>No se detectó proveedor externo en la ruta; confirmar autoría por lote antes de release público.</x:v>
      </x:c>
    </x:row>
    <x:row r="75" ht="34" customHeight="1">
      <x:c r="A75" s="24" t="str">
        <x:v>TRC-00071</x:v>
      </x:c>
      <x:c r="B75" s="24" t="str">
        <x:v>495aa7fc13cc0c04cb1e71f075d90fe4</x:v>
      </x:c>
      <x:c r="C75" s="24" t="str">
        <x:v>CC_S16_P2_Architecture_FloorTransition_100_LOD0.fbx</x:v>
      </x:c>
      <x:c r="D75" s="24" t="str">
        <x:v>3D model</x:v>
      </x:c>
      <x:c r="E75" s="24" t="str">
        <x:v>03_Assets_Internos</x:v>
      </x:c>
      <x:c r="F75" s="24" t="str">
        <x:v>MOD-008</x:v>
      </x:c>
      <x:c r="G75" s="24" t="str">
        <x:v>VRM Games / Blas Luis Rocha González</x:v>
      </x:c>
      <x:c r="H75" s="24" t="str">
        <x:v>Internal project IP / authorship claim</x:v>
      </x:c>
      <x:c r="I75" s="24" t="str">
        <x:v>Source package + repository path + hash</x:v>
      </x:c>
      <x:c r="J75" s="24" t="str">
        <x:v>0a13586cc34e20951f86416030f74a1946e8abedf9dd9f7e55727e9d86490658</x:v>
      </x:c>
      <x:c r="K75" s="24" t="str">
        <x:v>Assets/_Project/Art/Models/Architecture/CC_S16_P2_Architecture_FloorTransition_100_LOD0.fbx</x:v>
      </x:c>
      <x:c r="L75" s="24" t="str">
        <x:v>CR-004</x:v>
      </x:c>
      <x:c r="M75" s="24" t="str"/>
      <x:c r="N75" s="24" t="str">
        <x:v>RES-001;RES-014</x:v>
      </x:c>
      <x:c r="O75" s="24" t="str">
        <x:v>Internal development; public candidate requires gate</x:v>
      </x:c>
      <x:c r="P75" s="24" t="str">
        <x:v>CONDITIONALLY APPROVED</x:v>
      </x:c>
      <x:c r="Q75" s="24" t="str">
        <x:v>Medium</x:v>
      </x:c>
      <x:c r="R75" s="24" t="str">
        <x:v>LEG-DEBT-008</x:v>
      </x:c>
      <x:c r="S75" s="24" t="str">
        <x:v>Parcial</x:v>
      </x:c>
      <x:c r="T75" s="24" t="str">
        <x:f>"T"&amp;IF(AND(H75&lt;&gt;"",I75&lt;&gt;"",J75&lt;&gt;"",L75&lt;&gt;"",N75&lt;&gt;"",O75&lt;&gt;"",P75="APPROVED PUBLIC",S75="Sí"),6,IF(AND(H75&lt;&gt;"",I75&lt;&gt;"",J75&lt;&gt;"",L75&lt;&gt;"",N75&lt;&gt;"",O75&lt;&gt;"",P75&lt;&gt;"",S75="Sí"),5,IF(AND(H75&lt;&gt;"",I75&lt;&gt;"",P75&lt;&gt;"",S75&lt;&gt;"No"),4,IF(AND(H75&lt;&gt;"",I75&lt;&gt;""),3,IF(F75&lt;&gt;"",2,1)))))</x:f>
        <x:v>T4</x:v>
      </x:c>
      <x:c r="U75" s="24" t="str">
        <x:v>VRM Games</x:v>
      </x:c>
      <x:c r="V75" s="24" t="str">
        <x:v>No se detectó proveedor externo en la ruta; confirmar autoría por lote antes de release público.</x:v>
      </x:c>
    </x:row>
    <x:row r="76" ht="34" customHeight="1">
      <x:c r="A76" s="24" t="str">
        <x:v>TRC-00072</x:v>
      </x:c>
      <x:c r="B76" s="24" t="str">
        <x:v>aab6ff15134ac4a48b5a42b8ec896aaf</x:v>
      </x:c>
      <x:c r="C76" s="24" t="str">
        <x:v>CC_S16_P2_Architecture_Floor_100_LOD0.fbx</x:v>
      </x:c>
      <x:c r="D76" s="24" t="str">
        <x:v>3D model</x:v>
      </x:c>
      <x:c r="E76" s="24" t="str">
        <x:v>03_Assets_Internos</x:v>
      </x:c>
      <x:c r="F76" s="24" t="str">
        <x:v>MOD-009</x:v>
      </x:c>
      <x:c r="G76" s="24" t="str">
        <x:v>VRM Games / Blas Luis Rocha González</x:v>
      </x:c>
      <x:c r="H76" s="24" t="str">
        <x:v>Internal project IP / authorship claim</x:v>
      </x:c>
      <x:c r="I76" s="24" t="str">
        <x:v>Source package + repository path + hash</x:v>
      </x:c>
      <x:c r="J76" s="24" t="str">
        <x:v>83e57e98d998db88cbad91c55ffe05f16ba6f27815626b5d2c9d3c57048c4c5f</x:v>
      </x:c>
      <x:c r="K76" s="24" t="str">
        <x:v>Assets/_Project/Art/Models/Architecture/CC_S16_P2_Architecture_Floor_100_LOD0.fbx</x:v>
      </x:c>
      <x:c r="L76" s="24" t="str">
        <x:v>CR-004</x:v>
      </x:c>
      <x:c r="M76" s="24" t="str"/>
      <x:c r="N76" s="24" t="str">
        <x:v>RES-001;RES-014</x:v>
      </x:c>
      <x:c r="O76" s="24" t="str">
        <x:v>Internal development; public candidate requires gate</x:v>
      </x:c>
      <x:c r="P76" s="24" t="str">
        <x:v>CONDITIONALLY APPROVED</x:v>
      </x:c>
      <x:c r="Q76" s="24" t="str">
        <x:v>Medium</x:v>
      </x:c>
      <x:c r="R76" s="24" t="str">
        <x:v>LEG-DEBT-008</x:v>
      </x:c>
      <x:c r="S76" s="24" t="str">
        <x:v>Parcial</x:v>
      </x:c>
      <x:c r="T76" s="24" t="str">
        <x:f>"T"&amp;IF(AND(H76&lt;&gt;"",I76&lt;&gt;"",J76&lt;&gt;"",L76&lt;&gt;"",N76&lt;&gt;"",O76&lt;&gt;"",P76="APPROVED PUBLIC",S76="Sí"),6,IF(AND(H76&lt;&gt;"",I76&lt;&gt;"",J76&lt;&gt;"",L76&lt;&gt;"",N76&lt;&gt;"",O76&lt;&gt;"",P76&lt;&gt;"",S76="Sí"),5,IF(AND(H76&lt;&gt;"",I76&lt;&gt;"",P76&lt;&gt;"",S76&lt;&gt;"No"),4,IF(AND(H76&lt;&gt;"",I76&lt;&gt;""),3,IF(F76&lt;&gt;"",2,1)))))</x:f>
        <x:v>T4</x:v>
      </x:c>
      <x:c r="U76" s="24" t="str">
        <x:v>VRM Games</x:v>
      </x:c>
      <x:c r="V76" s="24" t="str">
        <x:v>No se detectó proveedor externo en la ruta; confirmar autoría por lote antes de release público.</x:v>
      </x:c>
    </x:row>
    <x:row r="77" ht="34" customHeight="1">
      <x:c r="A77" s="24" t="str">
        <x:v>TRC-00073</x:v>
      </x:c>
      <x:c r="B77" s="24" t="str">
        <x:v>42fbba6170ed9974f85c2d9da30cadde</x:v>
      </x:c>
      <x:c r="C77" s="24" t="str">
        <x:v>CC_S16_P2_Architecture_Floor_200_LOD0.fbx</x:v>
      </x:c>
      <x:c r="D77" s="24" t="str">
        <x:v>3D model</x:v>
      </x:c>
      <x:c r="E77" s="24" t="str">
        <x:v>03_Assets_Internos</x:v>
      </x:c>
      <x:c r="F77" s="24" t="str">
        <x:v>MOD-010</x:v>
      </x:c>
      <x:c r="G77" s="24" t="str">
        <x:v>VRM Games / Blas Luis Rocha González</x:v>
      </x:c>
      <x:c r="H77" s="24" t="str">
        <x:v>Internal project IP / authorship claim</x:v>
      </x:c>
      <x:c r="I77" s="24" t="str">
        <x:v>Source package + repository path + hash</x:v>
      </x:c>
      <x:c r="J77" s="24" t="str">
        <x:v>d5090ad15177a3f8296be3992339c10d2dac398d8c554f2fd45d46a4053a6a98</x:v>
      </x:c>
      <x:c r="K77" s="24" t="str">
        <x:v>Assets/_Project/Art/Models/Architecture/CC_S16_P2_Architecture_Floor_200_LOD0.fbx</x:v>
      </x:c>
      <x:c r="L77" s="24" t="str">
        <x:v>CR-004</x:v>
      </x:c>
      <x:c r="M77" s="24" t="str"/>
      <x:c r="N77" s="24" t="str">
        <x:v>RES-001;RES-014</x:v>
      </x:c>
      <x:c r="O77" s="24" t="str">
        <x:v>Internal development; public candidate requires gate</x:v>
      </x:c>
      <x:c r="P77" s="24" t="str">
        <x:v>CONDITIONALLY APPROVED</x:v>
      </x:c>
      <x:c r="Q77" s="24" t="str">
        <x:v>Medium</x:v>
      </x:c>
      <x:c r="R77" s="24" t="str">
        <x:v>LEG-DEBT-008</x:v>
      </x:c>
      <x:c r="S77" s="24" t="str">
        <x:v>Parcial</x:v>
      </x:c>
      <x:c r="T77" s="24" t="str">
        <x:f>"T"&amp;IF(AND(H77&lt;&gt;"",I77&lt;&gt;"",J77&lt;&gt;"",L77&lt;&gt;"",N77&lt;&gt;"",O77&lt;&gt;"",P77="APPROVED PUBLIC",S77="Sí"),6,IF(AND(H77&lt;&gt;"",I77&lt;&gt;"",J77&lt;&gt;"",L77&lt;&gt;"",N77&lt;&gt;"",O77&lt;&gt;"",P77&lt;&gt;"",S77="Sí"),5,IF(AND(H77&lt;&gt;"",I77&lt;&gt;"",P77&lt;&gt;"",S77&lt;&gt;"No"),4,IF(AND(H77&lt;&gt;"",I77&lt;&gt;""),3,IF(F77&lt;&gt;"",2,1)))))</x:f>
        <x:v>T4</x:v>
      </x:c>
      <x:c r="U77" s="24" t="str">
        <x:v>VRM Games</x:v>
      </x:c>
      <x:c r="V77" s="24" t="str">
        <x:v>No se detectó proveedor externo en la ruta; confirmar autoría por lote antes de release público.</x:v>
      </x:c>
    </x:row>
    <x:row r="78" ht="34" customHeight="1">
      <x:c r="A78" s="24" t="str">
        <x:v>TRC-00074</x:v>
      </x:c>
      <x:c r="B78" s="24" t="str">
        <x:v>864e2e17997ef2f43b7336bc19133aed</x:v>
      </x:c>
      <x:c r="C78" s="24" t="str">
        <x:v>CC_S16_P2_Architecture_LightRail_100_LOD0.fbx</x:v>
      </x:c>
      <x:c r="D78" s="24" t="str">
        <x:v>3D model</x:v>
      </x:c>
      <x:c r="E78" s="24" t="str">
        <x:v>03_Assets_Internos</x:v>
      </x:c>
      <x:c r="F78" s="24" t="str">
        <x:v>MOD-011</x:v>
      </x:c>
      <x:c r="G78" s="24" t="str">
        <x:v>VRM Games / Blas Luis Rocha González</x:v>
      </x:c>
      <x:c r="H78" s="24" t="str">
        <x:v>Internal project IP / authorship claim</x:v>
      </x:c>
      <x:c r="I78" s="24" t="str">
        <x:v>Source package + repository path + hash</x:v>
      </x:c>
      <x:c r="J78" s="24" t="str">
        <x:v>a094a08bb865505551e69ddbd1a1ab83f682442d4eab1b5869874e131ba0e30f</x:v>
      </x:c>
      <x:c r="K78" s="24" t="str">
        <x:v>Assets/_Project/Art/Models/Architecture/CC_S16_P2_Architecture_LightRail_100_LOD0.fbx</x:v>
      </x:c>
      <x:c r="L78" s="24" t="str">
        <x:v>CR-004</x:v>
      </x:c>
      <x:c r="M78" s="24" t="str"/>
      <x:c r="N78" s="24" t="str">
        <x:v>RES-001;RES-014</x:v>
      </x:c>
      <x:c r="O78" s="24" t="str">
        <x:v>Internal development; public candidate requires gate</x:v>
      </x:c>
      <x:c r="P78" s="24" t="str">
        <x:v>CONDITIONALLY APPROVED</x:v>
      </x:c>
      <x:c r="Q78" s="24" t="str">
        <x:v>Medium</x:v>
      </x:c>
      <x:c r="R78" s="24" t="str">
        <x:v>LEG-DEBT-008</x:v>
      </x:c>
      <x:c r="S78" s="24" t="str">
        <x:v>Parcial</x:v>
      </x:c>
      <x:c r="T78" s="24" t="str">
        <x:f>"T"&amp;IF(AND(H78&lt;&gt;"",I78&lt;&gt;"",J78&lt;&gt;"",L78&lt;&gt;"",N78&lt;&gt;"",O78&lt;&gt;"",P78="APPROVED PUBLIC",S78="Sí"),6,IF(AND(H78&lt;&gt;"",I78&lt;&gt;"",J78&lt;&gt;"",L78&lt;&gt;"",N78&lt;&gt;"",O78&lt;&gt;"",P78&lt;&gt;"",S78="Sí"),5,IF(AND(H78&lt;&gt;"",I78&lt;&gt;"",P78&lt;&gt;"",S78&lt;&gt;"No"),4,IF(AND(H78&lt;&gt;"",I78&lt;&gt;""),3,IF(F78&lt;&gt;"",2,1)))))</x:f>
        <x:v>T4</x:v>
      </x:c>
      <x:c r="U78" s="24" t="str">
        <x:v>VRM Games</x:v>
      </x:c>
      <x:c r="V78" s="24" t="str">
        <x:v>No se detectó proveedor externo en la ruta; confirmar autoría por lote antes de release público.</x:v>
      </x:c>
    </x:row>
    <x:row r="79" ht="34" customHeight="1">
      <x:c r="A79" s="24" t="str">
        <x:v>TRC-00075</x:v>
      </x:c>
      <x:c r="B79" s="24" t="str">
        <x:v>88499b783ac785a4ab108e1a0800e38e</x:v>
      </x:c>
      <x:c r="C79" s="24" t="str">
        <x:v>CC_S16_P2_Architecture_LightRail_200_LOD0.fbx</x:v>
      </x:c>
      <x:c r="D79" s="24" t="str">
        <x:v>3D model</x:v>
      </x:c>
      <x:c r="E79" s="24" t="str">
        <x:v>03_Assets_Internos</x:v>
      </x:c>
      <x:c r="F79" s="24" t="str">
        <x:v>MOD-012</x:v>
      </x:c>
      <x:c r="G79" s="24" t="str">
        <x:v>VRM Games / Blas Luis Rocha González</x:v>
      </x:c>
      <x:c r="H79" s="24" t="str">
        <x:v>Internal project IP / authorship claim</x:v>
      </x:c>
      <x:c r="I79" s="24" t="str">
        <x:v>Source package + repository path + hash</x:v>
      </x:c>
      <x:c r="J79" s="24" t="str">
        <x:v>feb376953f3f1e5a11702cc1433bab851eab0b84770d50659cc141d601146d7a</x:v>
      </x:c>
      <x:c r="K79" s="24" t="str">
        <x:v>Assets/_Project/Art/Models/Architecture/CC_S16_P2_Architecture_LightRail_200_LOD0.fbx</x:v>
      </x:c>
      <x:c r="L79" s="24" t="str">
        <x:v>CR-004</x:v>
      </x:c>
      <x:c r="M79" s="24" t="str"/>
      <x:c r="N79" s="24" t="str">
        <x:v>RES-001;RES-014</x:v>
      </x:c>
      <x:c r="O79" s="24" t="str">
        <x:v>Internal development; public candidate requires gate</x:v>
      </x:c>
      <x:c r="P79" s="24" t="str">
        <x:v>CONDITIONALLY APPROVED</x:v>
      </x:c>
      <x:c r="Q79" s="24" t="str">
        <x:v>Medium</x:v>
      </x:c>
      <x:c r="R79" s="24" t="str">
        <x:v>LEG-DEBT-008</x:v>
      </x:c>
      <x:c r="S79" s="24" t="str">
        <x:v>Parcial</x:v>
      </x:c>
      <x:c r="T79" s="24" t="str">
        <x:f>"T"&amp;IF(AND(H79&lt;&gt;"",I79&lt;&gt;"",J79&lt;&gt;"",L79&lt;&gt;"",N79&lt;&gt;"",O79&lt;&gt;"",P79="APPROVED PUBLIC",S79="Sí"),6,IF(AND(H79&lt;&gt;"",I79&lt;&gt;"",J79&lt;&gt;"",L79&lt;&gt;"",N79&lt;&gt;"",O79&lt;&gt;"",P79&lt;&gt;"",S79="Sí"),5,IF(AND(H79&lt;&gt;"",I79&lt;&gt;"",P79&lt;&gt;"",S79&lt;&gt;"No"),4,IF(AND(H79&lt;&gt;"",I79&lt;&gt;""),3,IF(F79&lt;&gt;"",2,1)))))</x:f>
        <x:v>T4</x:v>
      </x:c>
      <x:c r="U79" s="24" t="str">
        <x:v>VRM Games</x:v>
      </x:c>
      <x:c r="V79" s="24" t="str">
        <x:v>No se detectó proveedor externo en la ruta; confirmar autoría por lote antes de release público.</x:v>
      </x:c>
    </x:row>
    <x:row r="80" ht="34" customHeight="1">
      <x:c r="A80" s="24" t="str">
        <x:v>TRC-00076</x:v>
      </x:c>
      <x:c r="B80" s="24" t="str">
        <x:v>af023954a29dec14f9fa2ff12ea783f9</x:v>
      </x:c>
      <x:c r="C80" s="24" t="str">
        <x:v>CC_S16_P2_Architecture_LinearPanel_LOD0.fbx</x:v>
      </x:c>
      <x:c r="D80" s="24" t="str">
        <x:v>3D model</x:v>
      </x:c>
      <x:c r="E80" s="24" t="str">
        <x:v>03_Assets_Internos</x:v>
      </x:c>
      <x:c r="F80" s="24" t="str">
        <x:v>MOD-013</x:v>
      </x:c>
      <x:c r="G80" s="24" t="str">
        <x:v>VRM Games / Blas Luis Rocha González</x:v>
      </x:c>
      <x:c r="H80" s="24" t="str">
        <x:v>Internal project IP / authorship claim</x:v>
      </x:c>
      <x:c r="I80" s="24" t="str">
        <x:v>Source package + repository path + hash</x:v>
      </x:c>
      <x:c r="J80" s="24" t="str">
        <x:v>ff153e46836ae8297211a5fc15714fdd8b7bc7fe9168836853faef51830c4fe2</x:v>
      </x:c>
      <x:c r="K80" s="24" t="str">
        <x:v>Assets/_Project/Art/Models/Architecture/CC_S16_P2_Architecture_LinearPanel_LOD0.fbx</x:v>
      </x:c>
      <x:c r="L80" s="24" t="str">
        <x:v>CR-004</x:v>
      </x:c>
      <x:c r="M80" s="24" t="str"/>
      <x:c r="N80" s="24" t="str">
        <x:v>RES-001;RES-014</x:v>
      </x:c>
      <x:c r="O80" s="24" t="str">
        <x:v>Internal development; public candidate requires gate</x:v>
      </x:c>
      <x:c r="P80" s="24" t="str">
        <x:v>CONDITIONALLY APPROVED</x:v>
      </x:c>
      <x:c r="Q80" s="24" t="str">
        <x:v>Medium</x:v>
      </x:c>
      <x:c r="R80" s="24" t="str">
        <x:v>LEG-DEBT-008</x:v>
      </x:c>
      <x:c r="S80" s="24" t="str">
        <x:v>Parcial</x:v>
      </x:c>
      <x:c r="T80" s="24" t="str">
        <x:f>"T"&amp;IF(AND(H80&lt;&gt;"",I80&lt;&gt;"",J80&lt;&gt;"",L80&lt;&gt;"",N80&lt;&gt;"",O80&lt;&gt;"",P80="APPROVED PUBLIC",S80="Sí"),6,IF(AND(H80&lt;&gt;"",I80&lt;&gt;"",J80&lt;&gt;"",L80&lt;&gt;"",N80&lt;&gt;"",O80&lt;&gt;"",P80&lt;&gt;"",S80="Sí"),5,IF(AND(H80&lt;&gt;"",I80&lt;&gt;"",P80&lt;&gt;"",S80&lt;&gt;"No"),4,IF(AND(H80&lt;&gt;"",I80&lt;&gt;""),3,IF(F80&lt;&gt;"",2,1)))))</x:f>
        <x:v>T4</x:v>
      </x:c>
      <x:c r="U80" s="24" t="str">
        <x:v>VRM Games</x:v>
      </x:c>
      <x:c r="V80" s="24" t="str">
        <x:v>No se detectó proveedor externo en la ruta; confirmar autoría por lote antes de release público.</x:v>
      </x:c>
    </x:row>
    <x:row r="81" ht="34" customHeight="1">
      <x:c r="A81" s="24" t="str">
        <x:v>TRC-00077</x:v>
      </x:c>
      <x:c r="B81" s="24" t="str">
        <x:v>007e905b11046184a907b1da3fd14e8a</x:v>
      </x:c>
      <x:c r="C81" s="24" t="str">
        <x:v>CC_S16_P2_Architecture_SpotLight_LOD0.fbx</x:v>
      </x:c>
      <x:c r="D81" s="24" t="str">
        <x:v>3D model</x:v>
      </x:c>
      <x:c r="E81" s="24" t="str">
        <x:v>03_Assets_Internos</x:v>
      </x:c>
      <x:c r="F81" s="24" t="str">
        <x:v>MOD-014</x:v>
      </x:c>
      <x:c r="G81" s="24" t="str">
        <x:v>VRM Games / Blas Luis Rocha González</x:v>
      </x:c>
      <x:c r="H81" s="24" t="str">
        <x:v>Internal project IP / authorship claim</x:v>
      </x:c>
      <x:c r="I81" s="24" t="str">
        <x:v>Source package + repository path + hash</x:v>
      </x:c>
      <x:c r="J81" s="24" t="str">
        <x:v>a779e89b674c12fc66183495ac340094ff961e007342725e01eb2cc77f1eb39b</x:v>
      </x:c>
      <x:c r="K81" s="24" t="str">
        <x:v>Assets/_Project/Art/Models/Architecture/CC_S16_P2_Architecture_SpotLight_LOD0.fbx</x:v>
      </x:c>
      <x:c r="L81" s="24" t="str">
        <x:v>CR-004</x:v>
      </x:c>
      <x:c r="M81" s="24" t="str"/>
      <x:c r="N81" s="24" t="str">
        <x:v>RES-001;RES-014</x:v>
      </x:c>
      <x:c r="O81" s="24" t="str">
        <x:v>Internal development; public candidate requires gate</x:v>
      </x:c>
      <x:c r="P81" s="24" t="str">
        <x:v>CONDITIONALLY APPROVED</x:v>
      </x:c>
      <x:c r="Q81" s="24" t="str">
        <x:v>Medium</x:v>
      </x:c>
      <x:c r="R81" s="24" t="str">
        <x:v>LEG-DEBT-008</x:v>
      </x:c>
      <x:c r="S81" s="24" t="str">
        <x:v>Parcial</x:v>
      </x:c>
      <x:c r="T81" s="24" t="str">
        <x:f>"T"&amp;IF(AND(H81&lt;&gt;"",I81&lt;&gt;"",J81&lt;&gt;"",L81&lt;&gt;"",N81&lt;&gt;"",O81&lt;&gt;"",P81="APPROVED PUBLIC",S81="Sí"),6,IF(AND(H81&lt;&gt;"",I81&lt;&gt;"",J81&lt;&gt;"",L81&lt;&gt;"",N81&lt;&gt;"",O81&lt;&gt;"",P81&lt;&gt;"",S81="Sí"),5,IF(AND(H81&lt;&gt;"",I81&lt;&gt;"",P81&lt;&gt;"",S81&lt;&gt;"No"),4,IF(AND(H81&lt;&gt;"",I81&lt;&gt;""),3,IF(F81&lt;&gt;"",2,1)))))</x:f>
        <x:v>T4</x:v>
      </x:c>
      <x:c r="U81" s="24" t="str">
        <x:v>VRM Games</x:v>
      </x:c>
      <x:c r="V81" s="24" t="str">
        <x:v>No se detectó proveedor externo en la ruta; confirmar autoría por lote antes de release público.</x:v>
      </x:c>
    </x:row>
    <x:row r="82" ht="34" customHeight="1">
      <x:c r="A82" s="24" t="str">
        <x:v>TRC-00078</x:v>
      </x:c>
      <x:c r="B82" s="24" t="str">
        <x:v>d45130bb326b77a45affb4a5e9dffd2d</x:v>
      </x:c>
      <x:c r="C82" s="24" t="str">
        <x:v>CC_S16_P2_Architecture_StoreGlass_Left_LOD0.fbx</x:v>
      </x:c>
      <x:c r="D82" s="24" t="str">
        <x:v>3D model</x:v>
      </x:c>
      <x:c r="E82" s="24" t="str">
        <x:v>03_Assets_Internos</x:v>
      </x:c>
      <x:c r="F82" s="24" t="str">
        <x:v>MOD-015</x:v>
      </x:c>
      <x:c r="G82" s="24" t="str">
        <x:v>VRM Games / Blas Luis Rocha González</x:v>
      </x:c>
      <x:c r="H82" s="24" t="str">
        <x:v>Internal project IP / authorship claim</x:v>
      </x:c>
      <x:c r="I82" s="24" t="str">
        <x:v>Source package + repository path + hash</x:v>
      </x:c>
      <x:c r="J82" s="24" t="str">
        <x:v>ba0a62188260b2a58c7f7c46b6121dec3291992515a4e9bb27de2da26dec93ad</x:v>
      </x:c>
      <x:c r="K82" s="24" t="str">
        <x:v>Assets/_Project/Art/Models/Architecture/CC_S16_P2_Architecture_StoreGlass_Left_LOD0.fbx</x:v>
      </x:c>
      <x:c r="L82" s="24" t="str">
        <x:v>CR-004</x:v>
      </x:c>
      <x:c r="M82" s="24" t="str"/>
      <x:c r="N82" s="24" t="str">
        <x:v>RES-001;RES-014</x:v>
      </x:c>
      <x:c r="O82" s="24" t="str">
        <x:v>Internal development; public candidate requires gate</x:v>
      </x:c>
      <x:c r="P82" s="24" t="str">
        <x:v>CONDITIONALLY APPROVED</x:v>
      </x:c>
      <x:c r="Q82" s="24" t="str">
        <x:v>Medium</x:v>
      </x:c>
      <x:c r="R82" s="24" t="str">
        <x:v>LEG-DEBT-008</x:v>
      </x:c>
      <x:c r="S82" s="24" t="str">
        <x:v>Parcial</x:v>
      </x:c>
      <x:c r="T82" s="24" t="str">
        <x:f>"T"&amp;IF(AND(H82&lt;&gt;"",I82&lt;&gt;"",J82&lt;&gt;"",L82&lt;&gt;"",N82&lt;&gt;"",O82&lt;&gt;"",P82="APPROVED PUBLIC",S82="Sí"),6,IF(AND(H82&lt;&gt;"",I82&lt;&gt;"",J82&lt;&gt;"",L82&lt;&gt;"",N82&lt;&gt;"",O82&lt;&gt;"",P82&lt;&gt;"",S82="Sí"),5,IF(AND(H82&lt;&gt;"",I82&lt;&gt;"",P82&lt;&gt;"",S82&lt;&gt;"No"),4,IF(AND(H82&lt;&gt;"",I82&lt;&gt;""),3,IF(F82&lt;&gt;"",2,1)))))</x:f>
        <x:v>T4</x:v>
      </x:c>
      <x:c r="U82" s="24" t="str">
        <x:v>VRM Games</x:v>
      </x:c>
      <x:c r="V82" s="24" t="str">
        <x:v>No se detectó proveedor externo en la ruta; confirmar autoría por lote antes de release público.</x:v>
      </x:c>
    </x:row>
    <x:row r="83" ht="34" customHeight="1">
      <x:c r="A83" s="24" t="str">
        <x:v>TRC-00079</x:v>
      </x:c>
      <x:c r="B83" s="24" t="str">
        <x:v>974b55e4efe70d5469eb42fe2648baea</x:v>
      </x:c>
      <x:c r="C83" s="24" t="str">
        <x:v>CC_S16_P2_Architecture_StoreGlass_Right_LOD0.fbx</x:v>
      </x:c>
      <x:c r="D83" s="24" t="str">
        <x:v>3D model</x:v>
      </x:c>
      <x:c r="E83" s="24" t="str">
        <x:v>03_Assets_Internos</x:v>
      </x:c>
      <x:c r="F83" s="24" t="str">
        <x:v>MOD-016</x:v>
      </x:c>
      <x:c r="G83" s="24" t="str">
        <x:v>VRM Games / Blas Luis Rocha González</x:v>
      </x:c>
      <x:c r="H83" s="24" t="str">
        <x:v>Internal project IP / authorship claim</x:v>
      </x:c>
      <x:c r="I83" s="24" t="str">
        <x:v>Source package + repository path + hash</x:v>
      </x:c>
      <x:c r="J83" s="24" t="str">
        <x:v>d0c5ee92af7552cf0084b2ce2791687daf39a6498b963cb19a4af9e1f305d3e7</x:v>
      </x:c>
      <x:c r="K83" s="24" t="str">
        <x:v>Assets/_Project/Art/Models/Architecture/CC_S16_P2_Architecture_StoreGlass_Right_LOD0.fbx</x:v>
      </x:c>
      <x:c r="L83" s="24" t="str">
        <x:v>CR-004</x:v>
      </x:c>
      <x:c r="M83" s="24" t="str"/>
      <x:c r="N83" s="24" t="str">
        <x:v>RES-001;RES-014</x:v>
      </x:c>
      <x:c r="O83" s="24" t="str">
        <x:v>Internal development; public candidate requires gate</x:v>
      </x:c>
      <x:c r="P83" s="24" t="str">
        <x:v>CONDITIONALLY APPROVED</x:v>
      </x:c>
      <x:c r="Q83" s="24" t="str">
        <x:v>Medium</x:v>
      </x:c>
      <x:c r="R83" s="24" t="str">
        <x:v>LEG-DEBT-008</x:v>
      </x:c>
      <x:c r="S83" s="24" t="str">
        <x:v>Parcial</x:v>
      </x:c>
      <x:c r="T83" s="24" t="str">
        <x:f>"T"&amp;IF(AND(H83&lt;&gt;"",I83&lt;&gt;"",J83&lt;&gt;"",L83&lt;&gt;"",N83&lt;&gt;"",O83&lt;&gt;"",P83="APPROVED PUBLIC",S83="Sí"),6,IF(AND(H83&lt;&gt;"",I83&lt;&gt;"",J83&lt;&gt;"",L83&lt;&gt;"",N83&lt;&gt;"",O83&lt;&gt;"",P83&lt;&gt;"",S83="Sí"),5,IF(AND(H83&lt;&gt;"",I83&lt;&gt;"",P83&lt;&gt;"",S83&lt;&gt;"No"),4,IF(AND(H83&lt;&gt;"",I83&lt;&gt;""),3,IF(F83&lt;&gt;"",2,1)))))</x:f>
        <x:v>T4</x:v>
      </x:c>
      <x:c r="U83" s="24" t="str">
        <x:v>VRM Games</x:v>
      </x:c>
      <x:c r="V83" s="24" t="str">
        <x:v>No se detectó proveedor externo en la ruta; confirmar autoría por lote antes de release público.</x:v>
      </x:c>
    </x:row>
    <x:row r="84" ht="34" customHeight="1">
      <x:c r="A84" s="24" t="str">
        <x:v>TRC-00080</x:v>
      </x:c>
      <x:c r="B84" s="24" t="str">
        <x:v>544eb76a67a2bd44a9bec931a4eaba58</x:v>
      </x:c>
      <x:c r="C84" s="24" t="str">
        <x:v>CC_S16_P2_Architecture_StoreSign_LOD0.fbx</x:v>
      </x:c>
      <x:c r="D84" s="24" t="str">
        <x:v>3D model</x:v>
      </x:c>
      <x:c r="E84" s="24" t="str">
        <x:v>03_Assets_Internos</x:v>
      </x:c>
      <x:c r="F84" s="24" t="str">
        <x:v>MOD-017</x:v>
      </x:c>
      <x:c r="G84" s="24" t="str">
        <x:v>VRM Games / Blas Luis Rocha González</x:v>
      </x:c>
      <x:c r="H84" s="24" t="str">
        <x:v>Internal project IP / authorship claim</x:v>
      </x:c>
      <x:c r="I84" s="24" t="str">
        <x:v>Source package + repository path + hash</x:v>
      </x:c>
      <x:c r="J84" s="24" t="str">
        <x:v>3d5366d0f15ea0a48ff3d1559c8d84887304f345824702ad3cdb24705b255a4e</x:v>
      </x:c>
      <x:c r="K84" s="24" t="str">
        <x:v>Assets/_Project/Art/Models/Architecture/CC_S16_P2_Architecture_StoreSign_LOD0.fbx</x:v>
      </x:c>
      <x:c r="L84" s="24" t="str">
        <x:v>CR-004</x:v>
      </x:c>
      <x:c r="M84" s="24" t="str"/>
      <x:c r="N84" s="24" t="str">
        <x:v>RES-001;RES-014</x:v>
      </x:c>
      <x:c r="O84" s="24" t="str">
        <x:v>Internal development; public candidate requires gate</x:v>
      </x:c>
      <x:c r="P84" s="24" t="str">
        <x:v>CONDITIONALLY APPROVED</x:v>
      </x:c>
      <x:c r="Q84" s="24" t="str">
        <x:v>Medium</x:v>
      </x:c>
      <x:c r="R84" s="24" t="str">
        <x:v>LEG-DEBT-008</x:v>
      </x:c>
      <x:c r="S84" s="24" t="str">
        <x:v>Parcial</x:v>
      </x:c>
      <x:c r="T84" s="24" t="str">
        <x:f>"T"&amp;IF(AND(H84&lt;&gt;"",I84&lt;&gt;"",J84&lt;&gt;"",L84&lt;&gt;"",N84&lt;&gt;"",O84&lt;&gt;"",P84="APPROVED PUBLIC",S84="Sí"),6,IF(AND(H84&lt;&gt;"",I84&lt;&gt;"",J84&lt;&gt;"",L84&lt;&gt;"",N84&lt;&gt;"",O84&lt;&gt;"",P84&lt;&gt;"",S84="Sí"),5,IF(AND(H84&lt;&gt;"",I84&lt;&gt;"",P84&lt;&gt;"",S84&lt;&gt;"No"),4,IF(AND(H84&lt;&gt;"",I84&lt;&gt;""),3,IF(F84&lt;&gt;"",2,1)))))</x:f>
        <x:v>T4</x:v>
      </x:c>
      <x:c r="U84" s="24" t="str">
        <x:v>VRM Games</x:v>
      </x:c>
      <x:c r="V84" s="24" t="str">
        <x:v>No se detectó proveedor externo en la ruta; confirmar autoría por lote antes de release público.</x:v>
      </x:c>
    </x:row>
    <x:row r="85" ht="34" customHeight="1">
      <x:c r="A85" s="24" t="str">
        <x:v>TRC-00081</x:v>
      </x:c>
      <x:c r="B85" s="24" t="str">
        <x:v>dee5e71b70190c9479bf738c46653083</x:v>
      </x:c>
      <x:c r="C85" s="24" t="str">
        <x:v>CC_S16_P2_Architecture_StorefrontFacade_LOD0.fbx</x:v>
      </x:c>
      <x:c r="D85" s="24" t="str">
        <x:v>3D model</x:v>
      </x:c>
      <x:c r="E85" s="24" t="str">
        <x:v>03_Assets_Internos</x:v>
      </x:c>
      <x:c r="F85" s="24" t="str">
        <x:v>MOD-018</x:v>
      </x:c>
      <x:c r="G85" s="24" t="str">
        <x:v>VRM Games / Blas Luis Rocha González</x:v>
      </x:c>
      <x:c r="H85" s="24" t="str">
        <x:v>Internal project IP / authorship claim</x:v>
      </x:c>
      <x:c r="I85" s="24" t="str">
        <x:v>Source package + repository path + hash</x:v>
      </x:c>
      <x:c r="J85" s="24" t="str">
        <x:v>0acabe2655f122cb5eb528733a0e973d9c8af1f388ebf7ac0bc496f90a7b8155</x:v>
      </x:c>
      <x:c r="K85" s="24" t="str">
        <x:v>Assets/_Project/Art/Models/Architecture/CC_S16_P2_Architecture_StorefrontFacade_LOD0.fbx</x:v>
      </x:c>
      <x:c r="L85" s="24" t="str">
        <x:v>CR-004</x:v>
      </x:c>
      <x:c r="M85" s="24" t="str"/>
      <x:c r="N85" s="24" t="str">
        <x:v>RES-001;RES-014</x:v>
      </x:c>
      <x:c r="O85" s="24" t="str">
        <x:v>Internal development; public candidate requires gate</x:v>
      </x:c>
      <x:c r="P85" s="24" t="str">
        <x:v>CONDITIONALLY APPROVED</x:v>
      </x:c>
      <x:c r="Q85" s="24" t="str">
        <x:v>Medium</x:v>
      </x:c>
      <x:c r="R85" s="24" t="str">
        <x:v>LEG-DEBT-008</x:v>
      </x:c>
      <x:c r="S85" s="24" t="str">
        <x:v>Parcial</x:v>
      </x:c>
      <x:c r="T85" s="24" t="str">
        <x:f>"T"&amp;IF(AND(H85&lt;&gt;"",I85&lt;&gt;"",J85&lt;&gt;"",L85&lt;&gt;"",N85&lt;&gt;"",O85&lt;&gt;"",P85="APPROVED PUBLIC",S85="Sí"),6,IF(AND(H85&lt;&gt;"",I85&lt;&gt;"",J85&lt;&gt;"",L85&lt;&gt;"",N85&lt;&gt;"",O85&lt;&gt;"",P85&lt;&gt;"",S85="Sí"),5,IF(AND(H85&lt;&gt;"",I85&lt;&gt;"",P85&lt;&gt;"",S85&lt;&gt;"No"),4,IF(AND(H85&lt;&gt;"",I85&lt;&gt;""),3,IF(F85&lt;&gt;"",2,1)))))</x:f>
        <x:v>T4</x:v>
      </x:c>
      <x:c r="U85" s="24" t="str">
        <x:v>VRM Games</x:v>
      </x:c>
      <x:c r="V85" s="24" t="str">
        <x:v>No se detectó proveedor externo en la ruta; confirmar autoría por lote antes de release público.</x:v>
      </x:c>
    </x:row>
    <x:row r="86" ht="34" customHeight="1">
      <x:c r="A86" s="24" t="str">
        <x:v>TRC-00082</x:v>
      </x:c>
      <x:c r="B86" s="24" t="str">
        <x:v>4aa586a80c309e041a20c6c55a8247d0</x:v>
      </x:c>
      <x:c r="C86" s="24" t="str">
        <x:v>CC_S16_P2_Architecture_Wall_100_LOD0.fbx</x:v>
      </x:c>
      <x:c r="D86" s="24" t="str">
        <x:v>3D model</x:v>
      </x:c>
      <x:c r="E86" s="24" t="str">
        <x:v>03_Assets_Internos</x:v>
      </x:c>
      <x:c r="F86" s="24" t="str">
        <x:v>MOD-019</x:v>
      </x:c>
      <x:c r="G86" s="24" t="str">
        <x:v>VRM Games / Blas Luis Rocha González</x:v>
      </x:c>
      <x:c r="H86" s="24" t="str">
        <x:v>Internal project IP / authorship claim</x:v>
      </x:c>
      <x:c r="I86" s="24" t="str">
        <x:v>Source package + repository path + hash</x:v>
      </x:c>
      <x:c r="J86" s="24" t="str">
        <x:v>99d686bd4ac96fc67445f9b3f5a100d3ee56f9254373f34eff966cf00747acfc</x:v>
      </x:c>
      <x:c r="K86" s="24" t="str">
        <x:v>Assets/_Project/Art/Models/Architecture/CC_S16_P2_Architecture_Wall_100_LOD0.fbx</x:v>
      </x:c>
      <x:c r="L86" s="24" t="str">
        <x:v>CR-004</x:v>
      </x:c>
      <x:c r="M86" s="24" t="str"/>
      <x:c r="N86" s="24" t="str">
        <x:v>RES-001;RES-014</x:v>
      </x:c>
      <x:c r="O86" s="24" t="str">
        <x:v>Internal development; public candidate requires gate</x:v>
      </x:c>
      <x:c r="P86" s="24" t="str">
        <x:v>CONDITIONALLY APPROVED</x:v>
      </x:c>
      <x:c r="Q86" s="24" t="str">
        <x:v>Medium</x:v>
      </x:c>
      <x:c r="R86" s="24" t="str">
        <x:v>LEG-DEBT-008</x:v>
      </x:c>
      <x:c r="S86" s="24" t="str">
        <x:v>Parcial</x:v>
      </x:c>
      <x:c r="T86" s="24" t="str">
        <x:f>"T"&amp;IF(AND(H86&lt;&gt;"",I86&lt;&gt;"",J86&lt;&gt;"",L86&lt;&gt;"",N86&lt;&gt;"",O86&lt;&gt;"",P86="APPROVED PUBLIC",S86="Sí"),6,IF(AND(H86&lt;&gt;"",I86&lt;&gt;"",J86&lt;&gt;"",L86&lt;&gt;"",N86&lt;&gt;"",O86&lt;&gt;"",P86&lt;&gt;"",S86="Sí"),5,IF(AND(H86&lt;&gt;"",I86&lt;&gt;"",P86&lt;&gt;"",S86&lt;&gt;"No"),4,IF(AND(H86&lt;&gt;"",I86&lt;&gt;""),3,IF(F86&lt;&gt;"",2,1)))))</x:f>
        <x:v>T4</x:v>
      </x:c>
      <x:c r="U86" s="24" t="str">
        <x:v>VRM Games</x:v>
      </x:c>
      <x:c r="V86" s="24" t="str">
        <x:v>No se detectó proveedor externo en la ruta; confirmar autoría por lote antes de release público.</x:v>
      </x:c>
    </x:row>
    <x:row r="87" ht="34" customHeight="1">
      <x:c r="A87" s="24" t="str">
        <x:v>TRC-00083</x:v>
      </x:c>
      <x:c r="B87" s="24" t="str">
        <x:v>e353e2191b0a90941bdefad00d9960d4</x:v>
      </x:c>
      <x:c r="C87" s="24" t="str">
        <x:v>CC_S16_P2_Architecture_Wall_200_LOD0.fbx</x:v>
      </x:c>
      <x:c r="D87" s="24" t="str">
        <x:v>3D model</x:v>
      </x:c>
      <x:c r="E87" s="24" t="str">
        <x:v>03_Assets_Internos</x:v>
      </x:c>
      <x:c r="F87" s="24" t="str">
        <x:v>MOD-020</x:v>
      </x:c>
      <x:c r="G87" s="24" t="str">
        <x:v>VRM Games / Blas Luis Rocha González</x:v>
      </x:c>
      <x:c r="H87" s="24" t="str">
        <x:v>Internal project IP / authorship claim</x:v>
      </x:c>
      <x:c r="I87" s="24" t="str">
        <x:v>Source package + repository path + hash</x:v>
      </x:c>
      <x:c r="J87" s="24" t="str">
        <x:v>2bbcbe4f8b54af34b000c0948c18c48a17f4cc4f3b0c229db2718d39baecadf6</x:v>
      </x:c>
      <x:c r="K87" s="24" t="str">
        <x:v>Assets/_Project/Art/Models/Architecture/CC_S16_P2_Architecture_Wall_200_LOD0.fbx</x:v>
      </x:c>
      <x:c r="L87" s="24" t="str">
        <x:v>CR-004</x:v>
      </x:c>
      <x:c r="M87" s="24" t="str"/>
      <x:c r="N87" s="24" t="str">
        <x:v>RES-001;RES-014</x:v>
      </x:c>
      <x:c r="O87" s="24" t="str">
        <x:v>Internal development; public candidate requires gate</x:v>
      </x:c>
      <x:c r="P87" s="24" t="str">
        <x:v>CONDITIONALLY APPROVED</x:v>
      </x:c>
      <x:c r="Q87" s="24" t="str">
        <x:v>Medium</x:v>
      </x:c>
      <x:c r="R87" s="24" t="str">
        <x:v>LEG-DEBT-008</x:v>
      </x:c>
      <x:c r="S87" s="24" t="str">
        <x:v>Parcial</x:v>
      </x:c>
      <x:c r="T87" s="24" t="str">
        <x:f>"T"&amp;IF(AND(H87&lt;&gt;"",I87&lt;&gt;"",J87&lt;&gt;"",L87&lt;&gt;"",N87&lt;&gt;"",O87&lt;&gt;"",P87="APPROVED PUBLIC",S87="Sí"),6,IF(AND(H87&lt;&gt;"",I87&lt;&gt;"",J87&lt;&gt;"",L87&lt;&gt;"",N87&lt;&gt;"",O87&lt;&gt;"",P87&lt;&gt;"",S87="Sí"),5,IF(AND(H87&lt;&gt;"",I87&lt;&gt;"",P87&lt;&gt;"",S87&lt;&gt;"No"),4,IF(AND(H87&lt;&gt;"",I87&lt;&gt;""),3,IF(F87&lt;&gt;"",2,1)))))</x:f>
        <x:v>T4</x:v>
      </x:c>
      <x:c r="U87" s="24" t="str">
        <x:v>VRM Games</x:v>
      </x:c>
      <x:c r="V87" s="24" t="str">
        <x:v>No se detectó proveedor externo en la ruta; confirmar autoría por lote antes de release público.</x:v>
      </x:c>
    </x:row>
    <x:row r="88" ht="34" customHeight="1">
      <x:c r="A88" s="24" t="str">
        <x:v>TRC-00084</x:v>
      </x:c>
      <x:c r="B88" s="24" t="str">
        <x:v>b824b8033d3d90845a4ed0be74f084af</x:v>
      </x:c>
      <x:c r="C88" s="24" t="str">
        <x:v>CC_S16_P2_Architecture_Wall_400_LOD0.fbx</x:v>
      </x:c>
      <x:c r="D88" s="24" t="str">
        <x:v>3D model</x:v>
      </x:c>
      <x:c r="E88" s="24" t="str">
        <x:v>03_Assets_Internos</x:v>
      </x:c>
      <x:c r="F88" s="24" t="str">
        <x:v>MOD-021</x:v>
      </x:c>
      <x:c r="G88" s="24" t="str">
        <x:v>VRM Games / Blas Luis Rocha González</x:v>
      </x:c>
      <x:c r="H88" s="24" t="str">
        <x:v>Internal project IP / authorship claim</x:v>
      </x:c>
      <x:c r="I88" s="24" t="str">
        <x:v>Source package + repository path + hash</x:v>
      </x:c>
      <x:c r="J88" s="24" t="str">
        <x:v>c8918845a74e8dca892cc9b88a3c516923c6b05952704784e3dfea9ccebd5b88</x:v>
      </x:c>
      <x:c r="K88" s="24" t="str">
        <x:v>Assets/_Project/Art/Models/Architecture/CC_S16_P2_Architecture_Wall_400_LOD0.fbx</x:v>
      </x:c>
      <x:c r="L88" s="24" t="str">
        <x:v>CR-004</x:v>
      </x:c>
      <x:c r="M88" s="24" t="str"/>
      <x:c r="N88" s="24" t="str">
        <x:v>RES-001;RES-014</x:v>
      </x:c>
      <x:c r="O88" s="24" t="str">
        <x:v>Internal development; public candidate requires gate</x:v>
      </x:c>
      <x:c r="P88" s="24" t="str">
        <x:v>CONDITIONALLY APPROVED</x:v>
      </x:c>
      <x:c r="Q88" s="24" t="str">
        <x:v>Medium</x:v>
      </x:c>
      <x:c r="R88" s="24" t="str">
        <x:v>LEG-DEBT-008</x:v>
      </x:c>
      <x:c r="S88" s="24" t="str">
        <x:v>Parcial</x:v>
      </x:c>
      <x:c r="T88" s="24" t="str">
        <x:f>"T"&amp;IF(AND(H88&lt;&gt;"",I88&lt;&gt;"",J88&lt;&gt;"",L88&lt;&gt;"",N88&lt;&gt;"",O88&lt;&gt;"",P88="APPROVED PUBLIC",S88="Sí"),6,IF(AND(H88&lt;&gt;"",I88&lt;&gt;"",J88&lt;&gt;"",L88&lt;&gt;"",N88&lt;&gt;"",O88&lt;&gt;"",P88&lt;&gt;"",S88="Sí"),5,IF(AND(H88&lt;&gt;"",I88&lt;&gt;"",P88&lt;&gt;"",S88&lt;&gt;"No"),4,IF(AND(H88&lt;&gt;"",I88&lt;&gt;""),3,IF(F88&lt;&gt;"",2,1)))))</x:f>
        <x:v>T4</x:v>
      </x:c>
      <x:c r="U88" s="24" t="str">
        <x:v>VRM Games</x:v>
      </x:c>
      <x:c r="V88" s="24" t="str">
        <x:v>No se detectó proveedor externo en la ruta; confirmar autoría por lote antes de release público.</x:v>
      </x:c>
    </x:row>
    <x:row r="89" ht="34" customHeight="1">
      <x:c r="A89" s="24" t="str">
        <x:v>TRC-00085</x:v>
      </x:c>
      <x:c r="B89" s="24" t="str">
        <x:v>e641408631203c349abeb5059cb863fa</x:v>
      </x:c>
      <x:c r="C89" s="24" t="str">
        <x:v>CC_S16_P2_Architecture_ZoneBackroom_LOD0.fbx</x:v>
      </x:c>
      <x:c r="D89" s="24" t="str">
        <x:v>3D model</x:v>
      </x:c>
      <x:c r="E89" s="24" t="str">
        <x:v>03_Assets_Internos</x:v>
      </x:c>
      <x:c r="F89" s="24" t="str">
        <x:v>MOD-022</x:v>
      </x:c>
      <x:c r="G89" s="24" t="str">
        <x:v>VRM Games / Blas Luis Rocha González</x:v>
      </x:c>
      <x:c r="H89" s="24" t="str">
        <x:v>Internal project IP / authorship claim</x:v>
      </x:c>
      <x:c r="I89" s="24" t="str">
        <x:v>Source package + repository path + hash</x:v>
      </x:c>
      <x:c r="J89" s="24" t="str">
        <x:v>f743b353bd8f2e863758b034407e7c8d052ed55bd278dc6b3e55e981263c91d1</x:v>
      </x:c>
      <x:c r="K89" s="24" t="str">
        <x:v>Assets/_Project/Art/Models/Architecture/CC_S16_P2_Architecture_ZoneBackroom_LOD0.fbx</x:v>
      </x:c>
      <x:c r="L89" s="24" t="str">
        <x:v>CR-004</x:v>
      </x:c>
      <x:c r="M89" s="24" t="str"/>
      <x:c r="N89" s="24" t="str">
        <x:v>RES-001;RES-014</x:v>
      </x:c>
      <x:c r="O89" s="24" t="str">
        <x:v>Internal development; public candidate requires gate</x:v>
      </x:c>
      <x:c r="P89" s="24" t="str">
        <x:v>CONDITIONALLY APPROVED</x:v>
      </x:c>
      <x:c r="Q89" s="24" t="str">
        <x:v>Medium</x:v>
      </x:c>
      <x:c r="R89" s="24" t="str">
        <x:v>LEG-DEBT-008</x:v>
      </x:c>
      <x:c r="S89" s="24" t="str">
        <x:v>Parcial</x:v>
      </x:c>
      <x:c r="T89" s="24" t="str">
        <x:f>"T"&amp;IF(AND(H89&lt;&gt;"",I89&lt;&gt;"",J89&lt;&gt;"",L89&lt;&gt;"",N89&lt;&gt;"",O89&lt;&gt;"",P89="APPROVED PUBLIC",S89="Sí"),6,IF(AND(H89&lt;&gt;"",I89&lt;&gt;"",J89&lt;&gt;"",L89&lt;&gt;"",N89&lt;&gt;"",O89&lt;&gt;"",P89&lt;&gt;"",S89="Sí"),5,IF(AND(H89&lt;&gt;"",I89&lt;&gt;"",P89&lt;&gt;"",S89&lt;&gt;"No"),4,IF(AND(H89&lt;&gt;"",I89&lt;&gt;""),3,IF(F89&lt;&gt;"",2,1)))))</x:f>
        <x:v>T4</x:v>
      </x:c>
      <x:c r="U89" s="24" t="str">
        <x:v>VRM Games</x:v>
      </x:c>
      <x:c r="V89" s="24" t="str">
        <x:v>No se detectó proveedor externo en la ruta; confirmar autoría por lote antes de release público.</x:v>
      </x:c>
    </x:row>
    <x:row r="90" ht="34" customHeight="1">
      <x:c r="A90" s="24" t="str">
        <x:v>TRC-00086</x:v>
      </x:c>
      <x:c r="B90" s="24" t="str">
        <x:v>9b63907c5be795240a22c773ad61a3b0</x:v>
      </x:c>
      <x:c r="C90" s="24" t="str">
        <x:v>CC_S16_P2_Architecture_ZoneCheckout_LOD0.fbx</x:v>
      </x:c>
      <x:c r="D90" s="24" t="str">
        <x:v>3D model</x:v>
      </x:c>
      <x:c r="E90" s="24" t="str">
        <x:v>03_Assets_Internos</x:v>
      </x:c>
      <x:c r="F90" s="24" t="str">
        <x:v>MOD-023</x:v>
      </x:c>
      <x:c r="G90" s="24" t="str">
        <x:v>VRM Games / Blas Luis Rocha González</x:v>
      </x:c>
      <x:c r="H90" s="24" t="str">
        <x:v>Internal project IP / authorship claim</x:v>
      </x:c>
      <x:c r="I90" s="24" t="str">
        <x:v>Source package + repository path + hash</x:v>
      </x:c>
      <x:c r="J90" s="24" t="str">
        <x:v>dfcc527c11094d7feaf92e28e07c0bb7278b3a8101c8686d18b18e42e8f3096d</x:v>
      </x:c>
      <x:c r="K90" s="24" t="str">
        <x:v>Assets/_Project/Art/Models/Architecture/CC_S16_P2_Architecture_ZoneCheckout_LOD0.fbx</x:v>
      </x:c>
      <x:c r="L90" s="24" t="str">
        <x:v>CR-004</x:v>
      </x:c>
      <x:c r="M90" s="24" t="str"/>
      <x:c r="N90" s="24" t="str">
        <x:v>RES-001;RES-014</x:v>
      </x:c>
      <x:c r="O90" s="24" t="str">
        <x:v>Internal development; public candidate requires gate</x:v>
      </x:c>
      <x:c r="P90" s="24" t="str">
        <x:v>CONDITIONALLY APPROVED</x:v>
      </x:c>
      <x:c r="Q90" s="24" t="str">
        <x:v>Medium</x:v>
      </x:c>
      <x:c r="R90" s="24" t="str">
        <x:v>LEG-DEBT-008</x:v>
      </x:c>
      <x:c r="S90" s="24" t="str">
        <x:v>Parcial</x:v>
      </x:c>
      <x:c r="T90" s="24" t="str">
        <x:f>"T"&amp;IF(AND(H90&lt;&gt;"",I90&lt;&gt;"",J90&lt;&gt;"",L90&lt;&gt;"",N90&lt;&gt;"",O90&lt;&gt;"",P90="APPROVED PUBLIC",S90="Sí"),6,IF(AND(H90&lt;&gt;"",I90&lt;&gt;"",J90&lt;&gt;"",L90&lt;&gt;"",N90&lt;&gt;"",O90&lt;&gt;"",P90&lt;&gt;"",S90="Sí"),5,IF(AND(H90&lt;&gt;"",I90&lt;&gt;"",P90&lt;&gt;"",S90&lt;&gt;"No"),4,IF(AND(H90&lt;&gt;"",I90&lt;&gt;""),3,IF(F90&lt;&gt;"",2,1)))))</x:f>
        <x:v>T4</x:v>
      </x:c>
      <x:c r="U90" s="24" t="str">
        <x:v>VRM Games</x:v>
      </x:c>
      <x:c r="V90" s="24" t="str">
        <x:v>No se detectó proveedor externo en la ruta; confirmar autoría por lote antes de release público.</x:v>
      </x:c>
    </x:row>
    <x:row r="91" ht="34" customHeight="1">
      <x:c r="A91" s="24" t="str">
        <x:v>TRC-00087</x:v>
      </x:c>
      <x:c r="B91" s="24" t="str">
        <x:v>065bf64b81b82ee44b01b10ed498673f</x:v>
      </x:c>
      <x:c r="C91" s="24" t="str">
        <x:v>CC_S16_P2_Architecture_ZoneReceiving_LOD0.fbx</x:v>
      </x:c>
      <x:c r="D91" s="24" t="str">
        <x:v>3D model</x:v>
      </x:c>
      <x:c r="E91" s="24" t="str">
        <x:v>03_Assets_Internos</x:v>
      </x:c>
      <x:c r="F91" s="24" t="str">
        <x:v>MOD-024</x:v>
      </x:c>
      <x:c r="G91" s="24" t="str">
        <x:v>VRM Games / Blas Luis Rocha González</x:v>
      </x:c>
      <x:c r="H91" s="24" t="str">
        <x:v>Internal project IP / authorship claim</x:v>
      </x:c>
      <x:c r="I91" s="24" t="str">
        <x:v>Source package + repository path + hash</x:v>
      </x:c>
      <x:c r="J91" s="24" t="str">
        <x:v>112f1cb074ac24efca52c9fea068ddca1bdee154433c098ac7e020efa6991cdf</x:v>
      </x:c>
      <x:c r="K91" s="24" t="str">
        <x:v>Assets/_Project/Art/Models/Architecture/CC_S16_P2_Architecture_ZoneReceiving_LOD0.fbx</x:v>
      </x:c>
      <x:c r="L91" s="24" t="str">
        <x:v>CR-004</x:v>
      </x:c>
      <x:c r="M91" s="24" t="str"/>
      <x:c r="N91" s="24" t="str">
        <x:v>RES-001;RES-014</x:v>
      </x:c>
      <x:c r="O91" s="24" t="str">
        <x:v>Internal development; public candidate requires gate</x:v>
      </x:c>
      <x:c r="P91" s="24" t="str">
        <x:v>CONDITIONALLY APPROVED</x:v>
      </x:c>
      <x:c r="Q91" s="24" t="str">
        <x:v>Medium</x:v>
      </x:c>
      <x:c r="R91" s="24" t="str">
        <x:v>LEG-DEBT-008</x:v>
      </x:c>
      <x:c r="S91" s="24" t="str">
        <x:v>Parcial</x:v>
      </x:c>
      <x:c r="T91" s="24" t="str">
        <x:f>"T"&amp;IF(AND(H91&lt;&gt;"",I91&lt;&gt;"",J91&lt;&gt;"",L91&lt;&gt;"",N91&lt;&gt;"",O91&lt;&gt;"",P91="APPROVED PUBLIC",S91="Sí"),6,IF(AND(H91&lt;&gt;"",I91&lt;&gt;"",J91&lt;&gt;"",L91&lt;&gt;"",N91&lt;&gt;"",O91&lt;&gt;"",P91&lt;&gt;"",S91="Sí"),5,IF(AND(H91&lt;&gt;"",I91&lt;&gt;"",P91&lt;&gt;"",S91&lt;&gt;"No"),4,IF(AND(H91&lt;&gt;"",I91&lt;&gt;""),3,IF(F91&lt;&gt;"",2,1)))))</x:f>
        <x:v>T4</x:v>
      </x:c>
      <x:c r="U91" s="24" t="str">
        <x:v>VRM Games</x:v>
      </x:c>
      <x:c r="V91" s="24" t="str">
        <x:v>No se detectó proveedor externo en la ruta; confirmar autoría por lote antes de release público.</x:v>
      </x:c>
    </x:row>
    <x:row r="92" ht="34" customHeight="1">
      <x:c r="A92" s="24" t="str">
        <x:v>TRC-00088</x:v>
      </x:c>
      <x:c r="B92" s="24" t="str">
        <x:v>e6b4d7fe891fb2e4e970d5089bb7596d</x:v>
      </x:c>
      <x:c r="C92" s="24" t="str">
        <x:v>CC_S16_P2_Expansion_Digital_CodeCardRack_LOD0.fbx</x:v>
      </x:c>
      <x:c r="D92" s="24" t="str">
        <x:v>3D model</x:v>
      </x:c>
      <x:c r="E92" s="24" t="str">
        <x:v>03_Assets_Internos</x:v>
      </x:c>
      <x:c r="F92" s="24" t="str">
        <x:v>MOD-025</x:v>
      </x:c>
      <x:c r="G92" s="24" t="str">
        <x:v>VRM Games / Blas Luis Rocha González</x:v>
      </x:c>
      <x:c r="H92" s="24" t="str">
        <x:v>Internal project IP / authorship claim</x:v>
      </x:c>
      <x:c r="I92" s="24" t="str">
        <x:v>Source package + repository path + hash</x:v>
      </x:c>
      <x:c r="J92" s="24" t="str">
        <x:v>8d69e014f7a6709110357898a9562ae96c268ebcaadd21281cad768ee793795d</x:v>
      </x:c>
      <x:c r="K92" s="24" t="str">
        <x:v>Assets/_Project/Art/Models/Expansions/CC_S16_P2_Expansion_Digital_CodeCardRack_LOD0.fbx</x:v>
      </x:c>
      <x:c r="L92" s="24" t="str">
        <x:v>CR-004</x:v>
      </x:c>
      <x:c r="M92" s="24" t="str"/>
      <x:c r="N92" s="24" t="str">
        <x:v>RES-001;RES-014</x:v>
      </x:c>
      <x:c r="O92" s="24" t="str">
        <x:v>Internal development; public candidate requires gate</x:v>
      </x:c>
      <x:c r="P92" s="24" t="str">
        <x:v>NOT AUTHORIZED</x:v>
      </x:c>
      <x:c r="Q92" s="24" t="str">
        <x:v>Medium</x:v>
      </x:c>
      <x:c r="R92" s="24" t="str">
        <x:v>LEG-DEBT-008</x:v>
      </x:c>
      <x:c r="S92" s="24" t="str">
        <x:v>Parcial</x:v>
      </x:c>
      <x:c r="T92" s="24" t="str">
        <x:f>"T"&amp;IF(AND(H92&lt;&gt;"",I92&lt;&gt;"",J92&lt;&gt;"",L92&lt;&gt;"",N92&lt;&gt;"",O92&lt;&gt;"",P92="APPROVED PUBLIC",S92="Sí"),6,IF(AND(H92&lt;&gt;"",I92&lt;&gt;"",J92&lt;&gt;"",L92&lt;&gt;"",N92&lt;&gt;"",O92&lt;&gt;"",P92&lt;&gt;"",S92="Sí"),5,IF(AND(H92&lt;&gt;"",I92&lt;&gt;"",P92&lt;&gt;"",S92&lt;&gt;"No"),4,IF(AND(H92&lt;&gt;"",I92&lt;&gt;""),3,IF(F92&lt;&gt;"",2,1)))))</x:f>
        <x:v>T4</x:v>
      </x:c>
      <x:c r="U92" s="24" t="str">
        <x:v>VRM Games</x:v>
      </x:c>
      <x:c r="V92" s="24" t="str">
        <x:v>No se detectó proveedor externo en la ruta; confirmar autoría por lote antes de release público.</x:v>
      </x:c>
    </x:row>
    <x:row r="93" ht="34" customHeight="1">
      <x:c r="A93" s="24" t="str">
        <x:v>TRC-00089</x:v>
      </x:c>
      <x:c r="B93" s="24" t="str">
        <x:v>2c8ff385e33e790438ae7f4fb327391b</x:v>
      </x:c>
      <x:c r="C93" s="24" t="str">
        <x:v>CC_S16_P2_Expansion_Digital_Kiosk_LOD0.fbx</x:v>
      </x:c>
      <x:c r="D93" s="24" t="str">
        <x:v>3D model</x:v>
      </x:c>
      <x:c r="E93" s="24" t="str">
        <x:v>03_Assets_Internos</x:v>
      </x:c>
      <x:c r="F93" s="24" t="str">
        <x:v>MOD-026</x:v>
      </x:c>
      <x:c r="G93" s="24" t="str">
        <x:v>VRM Games / Blas Luis Rocha González</x:v>
      </x:c>
      <x:c r="H93" s="24" t="str">
        <x:v>Internal project IP / authorship claim</x:v>
      </x:c>
      <x:c r="I93" s="24" t="str">
        <x:v>Source package + repository path + hash</x:v>
      </x:c>
      <x:c r="J93" s="24" t="str">
        <x:v>5906c221011dcf5ab71756b77626e5b15cf12c46f7c1a7c9cb72932de18e41f3</x:v>
      </x:c>
      <x:c r="K93" s="24" t="str">
        <x:v>Assets/_Project/Art/Models/Expansions/CC_S16_P2_Expansion_Digital_Kiosk_LOD0.fbx</x:v>
      </x:c>
      <x:c r="L93" s="24" t="str">
        <x:v>CR-004</x:v>
      </x:c>
      <x:c r="M93" s="24" t="str"/>
      <x:c r="N93" s="24" t="str">
        <x:v>RES-001;RES-014</x:v>
      </x:c>
      <x:c r="O93" s="24" t="str">
        <x:v>Internal development; public candidate requires gate</x:v>
      </x:c>
      <x:c r="P93" s="24" t="str">
        <x:v>NOT AUTHORIZED</x:v>
      </x:c>
      <x:c r="Q93" s="24" t="str">
        <x:v>Medium</x:v>
      </x:c>
      <x:c r="R93" s="24" t="str">
        <x:v>LEG-DEBT-008</x:v>
      </x:c>
      <x:c r="S93" s="24" t="str">
        <x:v>Parcial</x:v>
      </x:c>
      <x:c r="T93" s="24" t="str">
        <x:f>"T"&amp;IF(AND(H93&lt;&gt;"",I93&lt;&gt;"",J93&lt;&gt;"",L93&lt;&gt;"",N93&lt;&gt;"",O93&lt;&gt;"",P93="APPROVED PUBLIC",S93="Sí"),6,IF(AND(H93&lt;&gt;"",I93&lt;&gt;"",J93&lt;&gt;"",L93&lt;&gt;"",N93&lt;&gt;"",O93&lt;&gt;"",P93&lt;&gt;"",S93="Sí"),5,IF(AND(H93&lt;&gt;"",I93&lt;&gt;"",P93&lt;&gt;"",S93&lt;&gt;"No"),4,IF(AND(H93&lt;&gt;"",I93&lt;&gt;""),3,IF(F93&lt;&gt;"",2,1)))))</x:f>
        <x:v>T4</x:v>
      </x:c>
      <x:c r="U93" s="24" t="str">
        <x:v>VRM Games</x:v>
      </x:c>
      <x:c r="V93" s="24" t="str">
        <x:v>No se detectó proveedor externo en la ruta; confirmar autoría por lote antes de release público.</x:v>
      </x:c>
    </x:row>
    <x:row r="94" ht="34" customHeight="1">
      <x:c r="A94" s="24" t="str">
        <x:v>TRC-00090</x:v>
      </x:c>
      <x:c r="B94" s="24" t="str">
        <x:v>2143c4f0a77adb84fb538b257198b550</x:v>
      </x:c>
      <x:c r="C94" s="24" t="str">
        <x:v>CC_S16_P2_Expansion_Ecommerce_OrderDesk_LOD0.fbx</x:v>
      </x:c>
      <x:c r="D94" s="24" t="str">
        <x:v>3D model</x:v>
      </x:c>
      <x:c r="E94" s="24" t="str">
        <x:v>03_Assets_Internos</x:v>
      </x:c>
      <x:c r="F94" s="24" t="str">
        <x:v>MOD-027</x:v>
      </x:c>
      <x:c r="G94" s="24" t="str">
        <x:v>VRM Games / Blas Luis Rocha González</x:v>
      </x:c>
      <x:c r="H94" s="24" t="str">
        <x:v>Internal project IP / authorship claim</x:v>
      </x:c>
      <x:c r="I94" s="24" t="str">
        <x:v>Source package + repository path + hash</x:v>
      </x:c>
      <x:c r="J94" s="24" t="str">
        <x:v>e3fd82002353740cb7e1c66d306501c2ecfbe9751340ef5384a6ff986d745a9c</x:v>
      </x:c>
      <x:c r="K94" s="24" t="str">
        <x:v>Assets/_Project/Art/Models/Expansions/CC_S16_P2_Expansion_Ecommerce_OrderDesk_LOD0.fbx</x:v>
      </x:c>
      <x:c r="L94" s="24" t="str">
        <x:v>CR-004</x:v>
      </x:c>
      <x:c r="M94" s="24" t="str"/>
      <x:c r="N94" s="24" t="str">
        <x:v>RES-001;RES-014</x:v>
      </x:c>
      <x:c r="O94" s="24" t="str">
        <x:v>Internal development; public candidate requires gate</x:v>
      </x:c>
      <x:c r="P94" s="24" t="str">
        <x:v>NOT AUTHORIZED</x:v>
      </x:c>
      <x:c r="Q94" s="24" t="str">
        <x:v>Medium</x:v>
      </x:c>
      <x:c r="R94" s="24" t="str">
        <x:v>LEG-DEBT-008</x:v>
      </x:c>
      <x:c r="S94" s="24" t="str">
        <x:v>Parcial</x:v>
      </x:c>
      <x:c r="T94" s="24" t="str">
        <x:f>"T"&amp;IF(AND(H94&lt;&gt;"",I94&lt;&gt;"",J94&lt;&gt;"",L94&lt;&gt;"",N94&lt;&gt;"",O94&lt;&gt;"",P94="APPROVED PUBLIC",S94="Sí"),6,IF(AND(H94&lt;&gt;"",I94&lt;&gt;"",J94&lt;&gt;"",L94&lt;&gt;"",N94&lt;&gt;"",O94&lt;&gt;"",P94&lt;&gt;"",S94="Sí"),5,IF(AND(H94&lt;&gt;"",I94&lt;&gt;"",P94&lt;&gt;"",S94&lt;&gt;"No"),4,IF(AND(H94&lt;&gt;"",I94&lt;&gt;""),3,IF(F94&lt;&gt;"",2,1)))))</x:f>
        <x:v>T4</x:v>
      </x:c>
      <x:c r="U94" s="24" t="str">
        <x:v>VRM Games</x:v>
      </x:c>
      <x:c r="V94" s="24" t="str">
        <x:v>No se detectó proveedor externo en la ruta; confirmar autoría por lote antes de release público.</x:v>
      </x:c>
    </x:row>
    <x:row r="95" ht="34" customHeight="1">
      <x:c r="A95" s="24" t="str">
        <x:v>TRC-00091</x:v>
      </x:c>
      <x:c r="B95" s="24" t="str">
        <x:v>24c54534aabefea448bb311c1801f05a</x:v>
      </x:c>
      <x:c r="C95" s="24" t="str">
        <x:v>CC_S16_P2_Expansion_Ecommerce_SortBins_LOD0.fbx</x:v>
      </x:c>
      <x:c r="D95" s="24" t="str">
        <x:v>3D model</x:v>
      </x:c>
      <x:c r="E95" s="24" t="str">
        <x:v>03_Assets_Internos</x:v>
      </x:c>
      <x:c r="F95" s="24" t="str">
        <x:v>MOD-028</x:v>
      </x:c>
      <x:c r="G95" s="24" t="str">
        <x:v>VRM Games / Blas Luis Rocha González</x:v>
      </x:c>
      <x:c r="H95" s="24" t="str">
        <x:v>Internal project IP / authorship claim</x:v>
      </x:c>
      <x:c r="I95" s="24" t="str">
        <x:v>Source package + repository path + hash</x:v>
      </x:c>
      <x:c r="J95" s="24" t="str">
        <x:v>c87ad746c00902282f0c92af8daf49dd7398f51b8a242dac01d24b09769340b5</x:v>
      </x:c>
      <x:c r="K95" s="24" t="str">
        <x:v>Assets/_Project/Art/Models/Expansions/CC_S16_P2_Expansion_Ecommerce_SortBins_LOD0.fbx</x:v>
      </x:c>
      <x:c r="L95" s="24" t="str">
        <x:v>CR-004</x:v>
      </x:c>
      <x:c r="M95" s="24" t="str"/>
      <x:c r="N95" s="24" t="str">
        <x:v>RES-001;RES-014</x:v>
      </x:c>
      <x:c r="O95" s="24" t="str">
        <x:v>Internal development; public candidate requires gate</x:v>
      </x:c>
      <x:c r="P95" s="24" t="str">
        <x:v>NOT AUTHORIZED</x:v>
      </x:c>
      <x:c r="Q95" s="24" t="str">
        <x:v>Medium</x:v>
      </x:c>
      <x:c r="R95" s="24" t="str">
        <x:v>LEG-DEBT-008</x:v>
      </x:c>
      <x:c r="S95" s="24" t="str">
        <x:v>Parcial</x:v>
      </x:c>
      <x:c r="T95" s="24" t="str">
        <x:f>"T"&amp;IF(AND(H95&lt;&gt;"",I95&lt;&gt;"",J95&lt;&gt;"",L95&lt;&gt;"",N95&lt;&gt;"",O95&lt;&gt;"",P95="APPROVED PUBLIC",S95="Sí"),6,IF(AND(H95&lt;&gt;"",I95&lt;&gt;"",J95&lt;&gt;"",L95&lt;&gt;"",N95&lt;&gt;"",O95&lt;&gt;"",P95&lt;&gt;"",S95="Sí"),5,IF(AND(H95&lt;&gt;"",I95&lt;&gt;"",P95&lt;&gt;"",S95&lt;&gt;"No"),4,IF(AND(H95&lt;&gt;"",I95&lt;&gt;""),3,IF(F95&lt;&gt;"",2,1)))))</x:f>
        <x:v>T4</x:v>
      </x:c>
      <x:c r="U95" s="24" t="str">
        <x:v>VRM Games</x:v>
      </x:c>
      <x:c r="V95" s="24" t="str">
        <x:v>No se detectó proveedor externo en la ruta; confirmar autoría por lote antes de release público.</x:v>
      </x:c>
    </x:row>
    <x:row r="96" ht="34" customHeight="1">
      <x:c r="A96" s="24" t="str">
        <x:v>TRC-00092</x:v>
      </x:c>
      <x:c r="B96" s="24" t="str">
        <x:v>b04ecb2fb4854264987e00391cbd02ad</x:v>
      </x:c>
      <x:c r="C96" s="24" t="str">
        <x:v>CC_S16_P2_Expansion_Logistics_Conveyor_LOD0.fbx</x:v>
      </x:c>
      <x:c r="D96" s="24" t="str">
        <x:v>3D model</x:v>
      </x:c>
      <x:c r="E96" s="24" t="str">
        <x:v>03_Assets_Internos</x:v>
      </x:c>
      <x:c r="F96" s="24" t="str">
        <x:v>MOD-029</x:v>
      </x:c>
      <x:c r="G96" s="24" t="str">
        <x:v>VRM Games / Blas Luis Rocha González</x:v>
      </x:c>
      <x:c r="H96" s="24" t="str">
        <x:v>Internal project IP / authorship claim</x:v>
      </x:c>
      <x:c r="I96" s="24" t="str">
        <x:v>Source package + repository path + hash</x:v>
      </x:c>
      <x:c r="J96" s="24" t="str">
        <x:v>305ba35f3c673e599add1d1db217972943cdd196f3aa89d1124e4e3d20f3e8f9</x:v>
      </x:c>
      <x:c r="K96" s="24" t="str">
        <x:v>Assets/_Project/Art/Models/Expansions/CC_S16_P2_Expansion_Logistics_Conveyor_LOD0.fbx</x:v>
      </x:c>
      <x:c r="L96" s="24" t="str">
        <x:v>CR-004</x:v>
      </x:c>
      <x:c r="M96" s="24" t="str"/>
      <x:c r="N96" s="24" t="str">
        <x:v>RES-001;RES-014</x:v>
      </x:c>
      <x:c r="O96" s="24" t="str">
        <x:v>Internal development; public candidate requires gate</x:v>
      </x:c>
      <x:c r="P96" s="24" t="str">
        <x:v>NOT AUTHORIZED</x:v>
      </x:c>
      <x:c r="Q96" s="24" t="str">
        <x:v>Medium</x:v>
      </x:c>
      <x:c r="R96" s="24" t="str">
        <x:v>LEG-DEBT-008</x:v>
      </x:c>
      <x:c r="S96" s="24" t="str">
        <x:v>Parcial</x:v>
      </x:c>
      <x:c r="T96" s="24" t="str">
        <x:f>"T"&amp;IF(AND(H96&lt;&gt;"",I96&lt;&gt;"",J96&lt;&gt;"",L96&lt;&gt;"",N96&lt;&gt;"",O96&lt;&gt;"",P96="APPROVED PUBLIC",S96="Sí"),6,IF(AND(H96&lt;&gt;"",I96&lt;&gt;"",J96&lt;&gt;"",L96&lt;&gt;"",N96&lt;&gt;"",O96&lt;&gt;"",P96&lt;&gt;"",S96="Sí"),5,IF(AND(H96&lt;&gt;"",I96&lt;&gt;"",P96&lt;&gt;"",S96&lt;&gt;"No"),4,IF(AND(H96&lt;&gt;"",I96&lt;&gt;""),3,IF(F96&lt;&gt;"",2,1)))))</x:f>
        <x:v>T4</x:v>
      </x:c>
      <x:c r="U96" s="24" t="str">
        <x:v>VRM Games</x:v>
      </x:c>
      <x:c r="V96" s="24" t="str">
        <x:v>No se detectó proveedor externo en la ruta; confirmar autoría por lote antes de release público.</x:v>
      </x:c>
    </x:row>
    <x:row r="97" ht="34" customHeight="1">
      <x:c r="A97" s="24" t="str">
        <x:v>TRC-00093</x:v>
      </x:c>
      <x:c r="B97" s="24" t="str">
        <x:v>a51368b9c94c45443ba4dce7586cb1f4</x:v>
      </x:c>
      <x:c r="C97" s="24" t="str">
        <x:v>CC_S16_P2_Expansion_Logistics_PackingStation_LOD0.fbx</x:v>
      </x:c>
      <x:c r="D97" s="24" t="str">
        <x:v>3D model</x:v>
      </x:c>
      <x:c r="E97" s="24" t="str">
        <x:v>03_Assets_Internos</x:v>
      </x:c>
      <x:c r="F97" s="24" t="str">
        <x:v>MOD-030</x:v>
      </x:c>
      <x:c r="G97" s="24" t="str">
        <x:v>VRM Games / Blas Luis Rocha González</x:v>
      </x:c>
      <x:c r="H97" s="24" t="str">
        <x:v>Internal project IP / authorship claim</x:v>
      </x:c>
      <x:c r="I97" s="24" t="str">
        <x:v>Source package + repository path + hash</x:v>
      </x:c>
      <x:c r="J97" s="24" t="str">
        <x:v>3068ef90bb6b01016edcd3e241774e542b77d7018c0cb20473cde8e2fec09b48</x:v>
      </x:c>
      <x:c r="K97" s="24" t="str">
        <x:v>Assets/_Project/Art/Models/Expansions/CC_S16_P2_Expansion_Logistics_PackingStation_LOD0.fbx</x:v>
      </x:c>
      <x:c r="L97" s="24" t="str">
        <x:v>CR-004</x:v>
      </x:c>
      <x:c r="M97" s="24" t="str"/>
      <x:c r="N97" s="24" t="str">
        <x:v>RES-001;RES-014</x:v>
      </x:c>
      <x:c r="O97" s="24" t="str">
        <x:v>Internal development; public candidate requires gate</x:v>
      </x:c>
      <x:c r="P97" s="24" t="str">
        <x:v>NOT AUTHORIZED</x:v>
      </x:c>
      <x:c r="Q97" s="24" t="str">
        <x:v>Medium</x:v>
      </x:c>
      <x:c r="R97" s="24" t="str">
        <x:v>LEG-DEBT-008</x:v>
      </x:c>
      <x:c r="S97" s="24" t="str">
        <x:v>Parcial</x:v>
      </x:c>
      <x:c r="T97" s="24" t="str">
        <x:f>"T"&amp;IF(AND(H97&lt;&gt;"",I97&lt;&gt;"",J97&lt;&gt;"",L97&lt;&gt;"",N97&lt;&gt;"",O97&lt;&gt;"",P97="APPROVED PUBLIC",S97="Sí"),6,IF(AND(H97&lt;&gt;"",I97&lt;&gt;"",J97&lt;&gt;"",L97&lt;&gt;"",N97&lt;&gt;"",O97&lt;&gt;"",P97&lt;&gt;"",S97="Sí"),5,IF(AND(H97&lt;&gt;"",I97&lt;&gt;"",P97&lt;&gt;"",S97&lt;&gt;"No"),4,IF(AND(H97&lt;&gt;"",I97&lt;&gt;""),3,IF(F97&lt;&gt;"",2,1)))))</x:f>
        <x:v>T4</x:v>
      </x:c>
      <x:c r="U97" s="24" t="str">
        <x:v>VRM Games</x:v>
      </x:c>
      <x:c r="V97" s="24" t="str">
        <x:v>No se detectó proveedor externo en la ruta; confirmar autoría por lote antes de release público.</x:v>
      </x:c>
    </x:row>
    <x:row r="98" ht="34" customHeight="1">
      <x:c r="A98" s="24" t="str">
        <x:v>TRC-00094</x:v>
      </x:c>
      <x:c r="B98" s="24" t="str">
        <x:v>0fa4164ed7d39704996193fb645bcded</x:v>
      </x:c>
      <x:c r="C98" s="24" t="str">
        <x:v>CC_S16_P2_Expansion_Logistics_RollingCart_LOD0.fbx</x:v>
      </x:c>
      <x:c r="D98" s="24" t="str">
        <x:v>3D model</x:v>
      </x:c>
      <x:c r="E98" s="24" t="str">
        <x:v>03_Assets_Internos</x:v>
      </x:c>
      <x:c r="F98" s="24" t="str">
        <x:v>MOD-031</x:v>
      </x:c>
      <x:c r="G98" s="24" t="str">
        <x:v>VRM Games / Blas Luis Rocha González</x:v>
      </x:c>
      <x:c r="H98" s="24" t="str">
        <x:v>Internal project IP / authorship claim</x:v>
      </x:c>
      <x:c r="I98" s="24" t="str">
        <x:v>Source package + repository path + hash</x:v>
      </x:c>
      <x:c r="J98" s="24" t="str">
        <x:v>f6dfcd7b9ac8dae16c1b19be4b7c9e91980282a46cac8f129586104132222f09</x:v>
      </x:c>
      <x:c r="K98" s="24" t="str">
        <x:v>Assets/_Project/Art/Models/Expansions/CC_S16_P2_Expansion_Logistics_RollingCart_LOD0.fbx</x:v>
      </x:c>
      <x:c r="L98" s="24" t="str">
        <x:v>CR-004</x:v>
      </x:c>
      <x:c r="M98" s="24" t="str"/>
      <x:c r="N98" s="24" t="str">
        <x:v>RES-001;RES-014</x:v>
      </x:c>
      <x:c r="O98" s="24" t="str">
        <x:v>Internal development; public candidate requires gate</x:v>
      </x:c>
      <x:c r="P98" s="24" t="str">
        <x:v>NOT AUTHORIZED</x:v>
      </x:c>
      <x:c r="Q98" s="24" t="str">
        <x:v>Medium</x:v>
      </x:c>
      <x:c r="R98" s="24" t="str">
        <x:v>LEG-DEBT-008</x:v>
      </x:c>
      <x:c r="S98" s="24" t="str">
        <x:v>Parcial</x:v>
      </x:c>
      <x:c r="T98" s="24" t="str">
        <x:f>"T"&amp;IF(AND(H98&lt;&gt;"",I98&lt;&gt;"",J98&lt;&gt;"",L98&lt;&gt;"",N98&lt;&gt;"",O98&lt;&gt;"",P98="APPROVED PUBLIC",S98="Sí"),6,IF(AND(H98&lt;&gt;"",I98&lt;&gt;"",J98&lt;&gt;"",L98&lt;&gt;"",N98&lt;&gt;"",O98&lt;&gt;"",P98&lt;&gt;"",S98="Sí"),5,IF(AND(H98&lt;&gt;"",I98&lt;&gt;"",P98&lt;&gt;"",S98&lt;&gt;"No"),4,IF(AND(H98&lt;&gt;"",I98&lt;&gt;""),3,IF(F98&lt;&gt;"",2,1)))))</x:f>
        <x:v>T4</x:v>
      </x:c>
      <x:c r="U98" s="24" t="str">
        <x:v>VRM Games</x:v>
      </x:c>
      <x:c r="V98" s="24" t="str">
        <x:v>No se detectó proveedor externo en la ruta; confirmar autoría por lote antes de release público.</x:v>
      </x:c>
    </x:row>
    <x:row r="99" ht="34" customHeight="1">
      <x:c r="A99" s="24" t="str">
        <x:v>TRC-00095</x:v>
      </x:c>
      <x:c r="B99" s="24" t="str">
        <x:v>cb0dfed80858bad408443931deea902a</x:v>
      </x:c>
      <x:c r="C99" s="24" t="str">
        <x:v>CC_S16_P2_Expansion_Market_AnalysisWall_LOD0.fbx</x:v>
      </x:c>
      <x:c r="D99" s="24" t="str">
        <x:v>3D model</x:v>
      </x:c>
      <x:c r="E99" s="24" t="str">
        <x:v>03_Assets_Internos</x:v>
      </x:c>
      <x:c r="F99" s="24" t="str">
        <x:v>MOD-032</x:v>
      </x:c>
      <x:c r="G99" s="24" t="str">
        <x:v>VRM Games / Blas Luis Rocha González</x:v>
      </x:c>
      <x:c r="H99" s="24" t="str">
        <x:v>Internal project IP / authorship claim</x:v>
      </x:c>
      <x:c r="I99" s="24" t="str">
        <x:v>Source package + repository path + hash</x:v>
      </x:c>
      <x:c r="J99" s="24" t="str">
        <x:v>a594dcbcc6e01bfb3183b72c78b2ecdf263ce6e933adb4442a87150e139145aa</x:v>
      </x:c>
      <x:c r="K99" s="24" t="str">
        <x:v>Assets/_Project/Art/Models/Expansions/CC_S16_P2_Expansion_Market_AnalysisWall_LOD0.fbx</x:v>
      </x:c>
      <x:c r="L99" s="24" t="str">
        <x:v>CR-004</x:v>
      </x:c>
      <x:c r="M99" s="24" t="str"/>
      <x:c r="N99" s="24" t="str">
        <x:v>RES-001;RES-014</x:v>
      </x:c>
      <x:c r="O99" s="24" t="str">
        <x:v>Internal development; public candidate requires gate</x:v>
      </x:c>
      <x:c r="P99" s="24" t="str">
        <x:v>NOT AUTHORIZED</x:v>
      </x:c>
      <x:c r="Q99" s="24" t="str">
        <x:v>Medium</x:v>
      </x:c>
      <x:c r="R99" s="24" t="str">
        <x:v>LEG-DEBT-008</x:v>
      </x:c>
      <x:c r="S99" s="24" t="str">
        <x:v>Parcial</x:v>
      </x:c>
      <x:c r="T99" s="24" t="str">
        <x:f>"T"&amp;IF(AND(H99&lt;&gt;"",I99&lt;&gt;"",J99&lt;&gt;"",L99&lt;&gt;"",N99&lt;&gt;"",O99&lt;&gt;"",P99="APPROVED PUBLIC",S99="Sí"),6,IF(AND(H99&lt;&gt;"",I99&lt;&gt;"",J99&lt;&gt;"",L99&lt;&gt;"",N99&lt;&gt;"",O99&lt;&gt;"",P99&lt;&gt;"",S99="Sí"),5,IF(AND(H99&lt;&gt;"",I99&lt;&gt;"",P99&lt;&gt;"",S99&lt;&gt;"No"),4,IF(AND(H99&lt;&gt;"",I99&lt;&gt;""),3,IF(F99&lt;&gt;"",2,1)))))</x:f>
        <x:v>T4</x:v>
      </x:c>
      <x:c r="U99" s="24" t="str">
        <x:v>VRM Games</x:v>
      </x:c>
      <x:c r="V99" s="24" t="str">
        <x:v>No se detectó proveedor externo en la ruta; confirmar autoría por lote antes de release público.</x:v>
      </x:c>
    </x:row>
    <x:row r="100" ht="34" customHeight="1">
      <x:c r="A100" s="24" t="str">
        <x:v>TRC-00096</x:v>
      </x:c>
      <x:c r="B100" s="24" t="str">
        <x:v>cc0c519fc2bef5b4ba565287a828941d</x:v>
      </x:c>
      <x:c r="C100" s="24" t="str">
        <x:v>CC_S16_P2_Expansion_Market_PlanningTable_LOD0.fbx</x:v>
      </x:c>
      <x:c r="D100" s="24" t="str">
        <x:v>3D model</x:v>
      </x:c>
      <x:c r="E100" s="24" t="str">
        <x:v>03_Assets_Internos</x:v>
      </x:c>
      <x:c r="F100" s="24" t="str">
        <x:v>MOD-033</x:v>
      </x:c>
      <x:c r="G100" s="24" t="str">
        <x:v>VRM Games / Blas Luis Rocha González</x:v>
      </x:c>
      <x:c r="H100" s="24" t="str">
        <x:v>Internal project IP / authorship claim</x:v>
      </x:c>
      <x:c r="I100" s="24" t="str">
        <x:v>Source package + repository path + hash</x:v>
      </x:c>
      <x:c r="J100" s="24" t="str">
        <x:v>a612b7894c3e6acda54589ba76b1bcd2b05a4965e65138ef461fc1ef529a2f65</x:v>
      </x:c>
      <x:c r="K100" s="24" t="str">
        <x:v>Assets/_Project/Art/Models/Expansions/CC_S16_P2_Expansion_Market_PlanningTable_LOD0.fbx</x:v>
      </x:c>
      <x:c r="L100" s="24" t="str">
        <x:v>CR-004</x:v>
      </x:c>
      <x:c r="M100" s="24" t="str"/>
      <x:c r="N100" s="24" t="str">
        <x:v>RES-001;RES-014</x:v>
      </x:c>
      <x:c r="O100" s="24" t="str">
        <x:v>Internal development; public candidate requires gate</x:v>
      </x:c>
      <x:c r="P100" s="24" t="str">
        <x:v>NOT AUTHORIZED</x:v>
      </x:c>
      <x:c r="Q100" s="24" t="str">
        <x:v>Medium</x:v>
      </x:c>
      <x:c r="R100" s="24" t="str">
        <x:v>LEG-DEBT-008</x:v>
      </x:c>
      <x:c r="S100" s="24" t="str">
        <x:v>Parcial</x:v>
      </x:c>
      <x:c r="T100" s="24" t="str">
        <x:f>"T"&amp;IF(AND(H100&lt;&gt;"",I100&lt;&gt;"",J100&lt;&gt;"",L100&lt;&gt;"",N100&lt;&gt;"",O100&lt;&gt;"",P100="APPROVED PUBLIC",S100="Sí"),6,IF(AND(H100&lt;&gt;"",I100&lt;&gt;"",J100&lt;&gt;"",L100&lt;&gt;"",N100&lt;&gt;"",O100&lt;&gt;"",P100&lt;&gt;"",S100="Sí"),5,IF(AND(H100&lt;&gt;"",I100&lt;&gt;"",P100&lt;&gt;"",S100&lt;&gt;"No"),4,IF(AND(H100&lt;&gt;"",I100&lt;&gt;""),3,IF(F100&lt;&gt;"",2,1)))))</x:f>
        <x:v>T4</x:v>
      </x:c>
      <x:c r="U100" s="24" t="str">
        <x:v>VRM Games</x:v>
      </x:c>
      <x:c r="V100" s="24" t="str">
        <x:v>No se detectó proveedor externo en la ruta; confirmar autoría por lote antes de release público.</x:v>
      </x:c>
    </x:row>
    <x:row r="101" ht="34" customHeight="1">
      <x:c r="A101" s="24" t="str">
        <x:v>TRC-00097</x:v>
      </x:c>
      <x:c r="B101" s="24" t="str">
        <x:v>b50029fd4e3ba70419973f37abf637eb</x:v>
      </x:c>
      <x:c r="C101" s="24" t="str">
        <x:v>CC_S16_P2_Expansion_Publishing_LineupWall_LOD0.fbx</x:v>
      </x:c>
      <x:c r="D101" s="24" t="str">
        <x:v>3D model</x:v>
      </x:c>
      <x:c r="E101" s="24" t="str">
        <x:v>03_Assets_Internos</x:v>
      </x:c>
      <x:c r="F101" s="24" t="str">
        <x:v>MOD-034</x:v>
      </x:c>
      <x:c r="G101" s="24" t="str">
        <x:v>VRM Games / Blas Luis Rocha González</x:v>
      </x:c>
      <x:c r="H101" s="24" t="str">
        <x:v>Internal project IP / authorship claim</x:v>
      </x:c>
      <x:c r="I101" s="24" t="str">
        <x:v>Source package + repository path + hash</x:v>
      </x:c>
      <x:c r="J101" s="24" t="str">
        <x:v>4e94db58372070b9b35e7f7a1e9f835f4450814a7715ea0e228e9800cdf4bb36</x:v>
      </x:c>
      <x:c r="K101" s="24" t="str">
        <x:v>Assets/_Project/Art/Models/Expansions/CC_S16_P2_Expansion_Publishing_LineupWall_LOD0.fbx</x:v>
      </x:c>
      <x:c r="L101" s="24" t="str">
        <x:v>CR-004</x:v>
      </x:c>
      <x:c r="M101" s="24" t="str"/>
      <x:c r="N101" s="24" t="str">
        <x:v>RES-001;RES-014</x:v>
      </x:c>
      <x:c r="O101" s="24" t="str">
        <x:v>Internal development; public candidate requires gate</x:v>
      </x:c>
      <x:c r="P101" s="24" t="str">
        <x:v>NOT AUTHORIZED</x:v>
      </x:c>
      <x:c r="Q101" s="24" t="str">
        <x:v>Medium</x:v>
      </x:c>
      <x:c r="R101" s="24" t="str">
        <x:v>LEG-DEBT-008</x:v>
      </x:c>
      <x:c r="S101" s="24" t="str">
        <x:v>Parcial</x:v>
      </x:c>
      <x:c r="T101" s="24" t="str">
        <x:f>"T"&amp;IF(AND(H101&lt;&gt;"",I101&lt;&gt;"",J101&lt;&gt;"",L101&lt;&gt;"",N101&lt;&gt;"",O101&lt;&gt;"",P101="APPROVED PUBLIC",S101="Sí"),6,IF(AND(H101&lt;&gt;"",I101&lt;&gt;"",J101&lt;&gt;"",L101&lt;&gt;"",N101&lt;&gt;"",O101&lt;&gt;"",P101&lt;&gt;"",S101="Sí"),5,IF(AND(H101&lt;&gt;"",I101&lt;&gt;"",P101&lt;&gt;"",S101&lt;&gt;"No"),4,IF(AND(H101&lt;&gt;"",I101&lt;&gt;""),3,IF(F101&lt;&gt;"",2,1)))))</x:f>
        <x:v>T4</x:v>
      </x:c>
      <x:c r="U101" s="24" t="str">
        <x:v>VRM Games</x:v>
      </x:c>
      <x:c r="V101" s="24" t="str">
        <x:v>No se detectó proveedor externo en la ruta; confirmar autoría por lote antes de release público.</x:v>
      </x:c>
    </x:row>
    <x:row r="102" ht="34" customHeight="1">
      <x:c r="A102" s="24" t="str">
        <x:v>TRC-00098</x:v>
      </x:c>
      <x:c r="B102" s="24" t="str">
        <x:v>6c141e31332fc604c8f1f0a0d9cc885a</x:v>
      </x:c>
      <x:c r="C102" s="24" t="str">
        <x:v>CC_S16_P2_Expansion_Publishing_MeetingTable_LOD0.fbx</x:v>
      </x:c>
      <x:c r="D102" s="24" t="str">
        <x:v>3D model</x:v>
      </x:c>
      <x:c r="E102" s="24" t="str">
        <x:v>03_Assets_Internos</x:v>
      </x:c>
      <x:c r="F102" s="24" t="str">
        <x:v>MOD-035</x:v>
      </x:c>
      <x:c r="G102" s="24" t="str">
        <x:v>VRM Games / Blas Luis Rocha González</x:v>
      </x:c>
      <x:c r="H102" s="24" t="str">
        <x:v>Internal project IP / authorship claim</x:v>
      </x:c>
      <x:c r="I102" s="24" t="str">
        <x:v>Source package + repository path + hash</x:v>
      </x:c>
      <x:c r="J102" s="24" t="str">
        <x:v>f7c61da61dd21b6c830f0ad3889d2a1ce0065dcbbc23ebf9c4e55937a641ab63</x:v>
      </x:c>
      <x:c r="K102" s="24" t="str">
        <x:v>Assets/_Project/Art/Models/Expansions/CC_S16_P2_Expansion_Publishing_MeetingTable_LOD0.fbx</x:v>
      </x:c>
      <x:c r="L102" s="24" t="str">
        <x:v>CR-004</x:v>
      </x:c>
      <x:c r="M102" s="24" t="str"/>
      <x:c r="N102" s="24" t="str">
        <x:v>RES-001;RES-014</x:v>
      </x:c>
      <x:c r="O102" s="24" t="str">
        <x:v>Internal development; public candidate requires gate</x:v>
      </x:c>
      <x:c r="P102" s="24" t="str">
        <x:v>NOT AUTHORIZED</x:v>
      </x:c>
      <x:c r="Q102" s="24" t="str">
        <x:v>Medium</x:v>
      </x:c>
      <x:c r="R102" s="24" t="str">
        <x:v>LEG-DEBT-008</x:v>
      </x:c>
      <x:c r="S102" s="24" t="str">
        <x:v>Parcial</x:v>
      </x:c>
      <x:c r="T102" s="24" t="str">
        <x:f>"T"&amp;IF(AND(H102&lt;&gt;"",I102&lt;&gt;"",J102&lt;&gt;"",L102&lt;&gt;"",N102&lt;&gt;"",O102&lt;&gt;"",P102="APPROVED PUBLIC",S102="Sí"),6,IF(AND(H102&lt;&gt;"",I102&lt;&gt;"",J102&lt;&gt;"",L102&lt;&gt;"",N102&lt;&gt;"",O102&lt;&gt;"",P102&lt;&gt;"",S102="Sí"),5,IF(AND(H102&lt;&gt;"",I102&lt;&gt;"",P102&lt;&gt;"",S102&lt;&gt;"No"),4,IF(AND(H102&lt;&gt;"",I102&lt;&gt;""),3,IF(F102&lt;&gt;"",2,1)))))</x:f>
        <x:v>T4</x:v>
      </x:c>
      <x:c r="U102" s="24" t="str">
        <x:v>VRM Games</x:v>
      </x:c>
      <x:c r="V102" s="24" t="str">
        <x:v>No se detectó proveedor externo en la ruta; confirmar autoría por lote antes de release público.</x:v>
      </x:c>
    </x:row>
    <x:row r="103" ht="34" customHeight="1">
      <x:c r="A103" s="24" t="str">
        <x:v>TRC-00099</x:v>
      </x:c>
      <x:c r="B103" s="24" t="str">
        <x:v>17846925eb6921c428a2f5ce773935d2</x:v>
      </x:c>
      <x:c r="C103" s="24" t="str">
        <x:v>CC_S16_P2_Expansion_Server_OperationsDesk_LOD0.fbx</x:v>
      </x:c>
      <x:c r="D103" s="24" t="str">
        <x:v>3D model</x:v>
      </x:c>
      <x:c r="E103" s="24" t="str">
        <x:v>03_Assets_Internos</x:v>
      </x:c>
      <x:c r="F103" s="24" t="str">
        <x:v>MOD-036</x:v>
      </x:c>
      <x:c r="G103" s="24" t="str">
        <x:v>VRM Games / Blas Luis Rocha González</x:v>
      </x:c>
      <x:c r="H103" s="24" t="str">
        <x:v>Internal project IP / authorship claim</x:v>
      </x:c>
      <x:c r="I103" s="24" t="str">
        <x:v>Source package + repository path + hash</x:v>
      </x:c>
      <x:c r="J103" s="24" t="str">
        <x:v>9d37a881f666825dfd614eaa3224e225794b095f523282201fb663c4ca47df89</x:v>
      </x:c>
      <x:c r="K103" s="24" t="str">
        <x:v>Assets/_Project/Art/Models/Expansions/CC_S16_P2_Expansion_Server_OperationsDesk_LOD0.fbx</x:v>
      </x:c>
      <x:c r="L103" s="24" t="str">
        <x:v>CR-004</x:v>
      </x:c>
      <x:c r="M103" s="24" t="str"/>
      <x:c r="N103" s="24" t="str">
        <x:v>RES-001;RES-014</x:v>
      </x:c>
      <x:c r="O103" s="24" t="str">
        <x:v>Internal development; public candidate requires gate</x:v>
      </x:c>
      <x:c r="P103" s="24" t="str">
        <x:v>NOT AUTHORIZED</x:v>
      </x:c>
      <x:c r="Q103" s="24" t="str">
        <x:v>Medium</x:v>
      </x:c>
      <x:c r="R103" s="24" t="str">
        <x:v>LEG-DEBT-008</x:v>
      </x:c>
      <x:c r="S103" s="24" t="str">
        <x:v>Parcial</x:v>
      </x:c>
      <x:c r="T103" s="24" t="str">
        <x:f>"T"&amp;IF(AND(H103&lt;&gt;"",I103&lt;&gt;"",J103&lt;&gt;"",L103&lt;&gt;"",N103&lt;&gt;"",O103&lt;&gt;"",P103="APPROVED PUBLIC",S103="Sí"),6,IF(AND(H103&lt;&gt;"",I103&lt;&gt;"",J103&lt;&gt;"",L103&lt;&gt;"",N103&lt;&gt;"",O103&lt;&gt;"",P103&lt;&gt;"",S103="Sí"),5,IF(AND(H103&lt;&gt;"",I103&lt;&gt;"",P103&lt;&gt;"",S103&lt;&gt;"No"),4,IF(AND(H103&lt;&gt;"",I103&lt;&gt;""),3,IF(F103&lt;&gt;"",2,1)))))</x:f>
        <x:v>T4</x:v>
      </x:c>
      <x:c r="U103" s="24" t="str">
        <x:v>VRM Games</x:v>
      </x:c>
      <x:c r="V103" s="24" t="str">
        <x:v>No se detectó proveedor externo en la ruta; confirmar autoría por lote antes de release público.</x:v>
      </x:c>
    </x:row>
    <x:row r="104" ht="34" customHeight="1">
      <x:c r="A104" s="24" t="str">
        <x:v>TRC-00100</x:v>
      </x:c>
      <x:c r="B104" s="24" t="str">
        <x:v>204399e5da28adb439aebf0cde285bd0</x:v>
      </x:c>
      <x:c r="C104" s="24" t="str">
        <x:v>CC_S16_P2_Expansion_Server_Rack_LOD0.fbx</x:v>
      </x:c>
      <x:c r="D104" s="24" t="str">
        <x:v>3D model</x:v>
      </x:c>
      <x:c r="E104" s="24" t="str">
        <x:v>03_Assets_Internos</x:v>
      </x:c>
      <x:c r="F104" s="24" t="str">
        <x:v>MOD-037</x:v>
      </x:c>
      <x:c r="G104" s="24" t="str">
        <x:v>VRM Games / Blas Luis Rocha González</x:v>
      </x:c>
      <x:c r="H104" s="24" t="str">
        <x:v>Internal project IP / authorship claim</x:v>
      </x:c>
      <x:c r="I104" s="24" t="str">
        <x:v>Source package + repository path + hash</x:v>
      </x:c>
      <x:c r="J104" s="24" t="str">
        <x:v>18eba25930b3c683e59d3b83e9bf8cea1d7e3a09051b675babe771aba9d0ab6e</x:v>
      </x:c>
      <x:c r="K104" s="24" t="str">
        <x:v>Assets/_Project/Art/Models/Expansions/CC_S16_P2_Expansion_Server_Rack_LOD0.fbx</x:v>
      </x:c>
      <x:c r="L104" s="24" t="str">
        <x:v>CR-004</x:v>
      </x:c>
      <x:c r="M104" s="24" t="str"/>
      <x:c r="N104" s="24" t="str">
        <x:v>RES-001;RES-014</x:v>
      </x:c>
      <x:c r="O104" s="24" t="str">
        <x:v>Internal development; public candidate requires gate</x:v>
      </x:c>
      <x:c r="P104" s="24" t="str">
        <x:v>NOT AUTHORIZED</x:v>
      </x:c>
      <x:c r="Q104" s="24" t="str">
        <x:v>Medium</x:v>
      </x:c>
      <x:c r="R104" s="24" t="str">
        <x:v>LEG-DEBT-008</x:v>
      </x:c>
      <x:c r="S104" s="24" t="str">
        <x:v>Parcial</x:v>
      </x:c>
      <x:c r="T104" s="24" t="str">
        <x:f>"T"&amp;IF(AND(H104&lt;&gt;"",I104&lt;&gt;"",J104&lt;&gt;"",L104&lt;&gt;"",N104&lt;&gt;"",O104&lt;&gt;"",P104="APPROVED PUBLIC",S104="Sí"),6,IF(AND(H104&lt;&gt;"",I104&lt;&gt;"",J104&lt;&gt;"",L104&lt;&gt;"",N104&lt;&gt;"",O104&lt;&gt;"",P104&lt;&gt;"",S104="Sí"),5,IF(AND(H104&lt;&gt;"",I104&lt;&gt;"",P104&lt;&gt;"",S104&lt;&gt;"No"),4,IF(AND(H104&lt;&gt;"",I104&lt;&gt;""),3,IF(F104&lt;&gt;"",2,1)))))</x:f>
        <x:v>T4</x:v>
      </x:c>
      <x:c r="U104" s="24" t="str">
        <x:v>VRM Games</x:v>
      </x:c>
      <x:c r="V104" s="24" t="str">
        <x:v>No se detectó proveedor externo en la ruta; confirmar autoría por lote antes de release público.</x:v>
      </x:c>
    </x:row>
    <x:row r="105" ht="34" customHeight="1">
      <x:c r="A105" s="24" t="str">
        <x:v>TRC-00101</x:v>
      </x:c>
      <x:c r="B105" s="24" t="str">
        <x:v>74aea53309a8b58468b5d7dff2f1544c</x:v>
      </x:c>
      <x:c r="C105" s="24" t="str">
        <x:v>CC_S16_P2_Expansion_Server_UPS_LOD0.fbx</x:v>
      </x:c>
      <x:c r="D105" s="24" t="str">
        <x:v>3D model</x:v>
      </x:c>
      <x:c r="E105" s="24" t="str">
        <x:v>03_Assets_Internos</x:v>
      </x:c>
      <x:c r="F105" s="24" t="str">
        <x:v>MOD-038</x:v>
      </x:c>
      <x:c r="G105" s="24" t="str">
        <x:v>VRM Games / Blas Luis Rocha González</x:v>
      </x:c>
      <x:c r="H105" s="24" t="str">
        <x:v>Internal project IP / authorship claim</x:v>
      </x:c>
      <x:c r="I105" s="24" t="str">
        <x:v>Source package + repository path + hash</x:v>
      </x:c>
      <x:c r="J105" s="24" t="str">
        <x:v>ce53d5dabbb2374f2319a42c104ad39f51e08d54ebba79d07ea16cac2abab413</x:v>
      </x:c>
      <x:c r="K105" s="24" t="str">
        <x:v>Assets/_Project/Art/Models/Expansions/CC_S16_P2_Expansion_Server_UPS_LOD0.fbx</x:v>
      </x:c>
      <x:c r="L105" s="24" t="str">
        <x:v>CR-004</x:v>
      </x:c>
      <x:c r="M105" s="24" t="str"/>
      <x:c r="N105" s="24" t="str">
        <x:v>RES-001;RES-014</x:v>
      </x:c>
      <x:c r="O105" s="24" t="str">
        <x:v>Internal development; public candidate requires gate</x:v>
      </x:c>
      <x:c r="P105" s="24" t="str">
        <x:v>NOT AUTHORIZED</x:v>
      </x:c>
      <x:c r="Q105" s="24" t="str">
        <x:v>Medium</x:v>
      </x:c>
      <x:c r="R105" s="24" t="str">
        <x:v>LEG-DEBT-008</x:v>
      </x:c>
      <x:c r="S105" s="24" t="str">
        <x:v>Parcial</x:v>
      </x:c>
      <x:c r="T105" s="24" t="str">
        <x:f>"T"&amp;IF(AND(H105&lt;&gt;"",I105&lt;&gt;"",J105&lt;&gt;"",L105&lt;&gt;"",N105&lt;&gt;"",O105&lt;&gt;"",P105="APPROVED PUBLIC",S105="Sí"),6,IF(AND(H105&lt;&gt;"",I105&lt;&gt;"",J105&lt;&gt;"",L105&lt;&gt;"",N105&lt;&gt;"",O105&lt;&gt;"",P105&lt;&gt;"",S105="Sí"),5,IF(AND(H105&lt;&gt;"",I105&lt;&gt;"",P105&lt;&gt;"",S105&lt;&gt;"No"),4,IF(AND(H105&lt;&gt;"",I105&lt;&gt;""),3,IF(F105&lt;&gt;"",2,1)))))</x:f>
        <x:v>T4</x:v>
      </x:c>
      <x:c r="U105" s="24" t="str">
        <x:v>VRM Games</x:v>
      </x:c>
      <x:c r="V105" s="24" t="str">
        <x:v>No se detectó proveedor externo en la ruta; confirmar autoría por lote antes de release público.</x:v>
      </x:c>
    </x:row>
    <x:row r="106" ht="34" customHeight="1">
      <x:c r="A106" s="24" t="str">
        <x:v>TRC-00102</x:v>
      </x:c>
      <x:c r="B106" s="24" t="str">
        <x:v>fa15200d66b290f47aeb00d882793ab4</x:v>
      </x:c>
      <x:c r="C106" s="24" t="str">
        <x:v>CC_S16_P2_Expansion_Staff_Locker_LOD0.fbx</x:v>
      </x:c>
      <x:c r="D106" s="24" t="str">
        <x:v>3D model</x:v>
      </x:c>
      <x:c r="E106" s="24" t="str">
        <x:v>03_Assets_Internos</x:v>
      </x:c>
      <x:c r="F106" s="24" t="str">
        <x:v>MOD-039</x:v>
      </x:c>
      <x:c r="G106" s="24" t="str">
        <x:v>VRM Games / Blas Luis Rocha González</x:v>
      </x:c>
      <x:c r="H106" s="24" t="str">
        <x:v>Internal project IP / authorship claim</x:v>
      </x:c>
      <x:c r="I106" s="24" t="str">
        <x:v>Source package + repository path + hash</x:v>
      </x:c>
      <x:c r="J106" s="24" t="str">
        <x:v>32480272093b7113f3fc07b7a284a75642f5e24a392c4b1417bc82dafcb3df5e</x:v>
      </x:c>
      <x:c r="K106" s="24" t="str">
        <x:v>Assets/_Project/Art/Models/Expansions/CC_S16_P2_Expansion_Staff_Locker_LOD0.fbx</x:v>
      </x:c>
      <x:c r="L106" s="24" t="str">
        <x:v>CR-004</x:v>
      </x:c>
      <x:c r="M106" s="24" t="str"/>
      <x:c r="N106" s="24" t="str">
        <x:v>RES-001;RES-014</x:v>
      </x:c>
      <x:c r="O106" s="24" t="str">
        <x:v>Internal development; public candidate requires gate</x:v>
      </x:c>
      <x:c r="P106" s="24" t="str">
        <x:v>NOT AUTHORIZED</x:v>
      </x:c>
      <x:c r="Q106" s="24" t="str">
        <x:v>Medium</x:v>
      </x:c>
      <x:c r="R106" s="24" t="str">
        <x:v>LEG-DEBT-008</x:v>
      </x:c>
      <x:c r="S106" s="24" t="str">
        <x:v>Parcial</x:v>
      </x:c>
      <x:c r="T106" s="24" t="str">
        <x:f>"T"&amp;IF(AND(H106&lt;&gt;"",I106&lt;&gt;"",J106&lt;&gt;"",L106&lt;&gt;"",N106&lt;&gt;"",O106&lt;&gt;"",P106="APPROVED PUBLIC",S106="Sí"),6,IF(AND(H106&lt;&gt;"",I106&lt;&gt;"",J106&lt;&gt;"",L106&lt;&gt;"",N106&lt;&gt;"",O106&lt;&gt;"",P106&lt;&gt;"",S106="Sí"),5,IF(AND(H106&lt;&gt;"",I106&lt;&gt;"",P106&lt;&gt;"",S106&lt;&gt;"No"),4,IF(AND(H106&lt;&gt;"",I106&lt;&gt;""),3,IF(F106&lt;&gt;"",2,1)))))</x:f>
        <x:v>T4</x:v>
      </x:c>
      <x:c r="U106" s="24" t="str">
        <x:v>VRM Games</x:v>
      </x:c>
      <x:c r="V106" s="24" t="str">
        <x:v>No se detectó proveedor externo en la ruta; confirmar autoría por lote antes de release público.</x:v>
      </x:c>
    </x:row>
    <x:row r="107" ht="34" customHeight="1">
      <x:c r="A107" s="24" t="str">
        <x:v>TRC-00103</x:v>
      </x:c>
      <x:c r="B107" s="24" t="str">
        <x:v>0078898a24a29dc41a65dee8b477dd29</x:v>
      </x:c>
      <x:c r="C107" s="24" t="str">
        <x:v>CC_S16_P2_Expansion_Staff_TaskBoard_LOD0.fbx</x:v>
      </x:c>
      <x:c r="D107" s="24" t="str">
        <x:v>3D model</x:v>
      </x:c>
      <x:c r="E107" s="24" t="str">
        <x:v>03_Assets_Internos</x:v>
      </x:c>
      <x:c r="F107" s="24" t="str">
        <x:v>MOD-040</x:v>
      </x:c>
      <x:c r="G107" s="24" t="str">
        <x:v>VRM Games / Blas Luis Rocha González</x:v>
      </x:c>
      <x:c r="H107" s="24" t="str">
        <x:v>Internal project IP / authorship claim</x:v>
      </x:c>
      <x:c r="I107" s="24" t="str">
        <x:v>Source package + repository path + hash</x:v>
      </x:c>
      <x:c r="J107" s="24" t="str">
        <x:v>3e74bc8cfcd90bd028cee1b6c5b3e3f982b1e0c1a74bd823bcb1b77ffe30f2d8</x:v>
      </x:c>
      <x:c r="K107" s="24" t="str">
        <x:v>Assets/_Project/Art/Models/Expansions/CC_S16_P2_Expansion_Staff_TaskBoard_LOD0.fbx</x:v>
      </x:c>
      <x:c r="L107" s="24" t="str">
        <x:v>CR-004</x:v>
      </x:c>
      <x:c r="M107" s="24" t="str"/>
      <x:c r="N107" s="24" t="str">
        <x:v>RES-001;RES-014</x:v>
      </x:c>
      <x:c r="O107" s="24" t="str">
        <x:v>Internal development; public candidate requires gate</x:v>
      </x:c>
      <x:c r="P107" s="24" t="str">
        <x:v>NOT AUTHORIZED</x:v>
      </x:c>
      <x:c r="Q107" s="24" t="str">
        <x:v>Medium</x:v>
      </x:c>
      <x:c r="R107" s="24" t="str">
        <x:v>LEG-DEBT-008</x:v>
      </x:c>
      <x:c r="S107" s="24" t="str">
        <x:v>Parcial</x:v>
      </x:c>
      <x:c r="T107" s="24" t="str">
        <x:f>"T"&amp;IF(AND(H107&lt;&gt;"",I107&lt;&gt;"",J107&lt;&gt;"",L107&lt;&gt;"",N107&lt;&gt;"",O107&lt;&gt;"",P107="APPROVED PUBLIC",S107="Sí"),6,IF(AND(H107&lt;&gt;"",I107&lt;&gt;"",J107&lt;&gt;"",L107&lt;&gt;"",N107&lt;&gt;"",O107&lt;&gt;"",P107&lt;&gt;"",S107="Sí"),5,IF(AND(H107&lt;&gt;"",I107&lt;&gt;"",P107&lt;&gt;"",S107&lt;&gt;"No"),4,IF(AND(H107&lt;&gt;"",I107&lt;&gt;""),3,IF(F107&lt;&gt;"",2,1)))))</x:f>
        <x:v>T4</x:v>
      </x:c>
      <x:c r="U107" s="24" t="str">
        <x:v>VRM Games</x:v>
      </x:c>
      <x:c r="V107" s="24" t="str">
        <x:v>No se detectó proveedor externo en la ruta; confirmar autoría por lote antes de release público.</x:v>
      </x:c>
    </x:row>
    <x:row r="108" ht="34" customHeight="1">
      <x:c r="A108" s="24" t="str">
        <x:v>TRC-00104</x:v>
      </x:c>
      <x:c r="B108" s="24" t="str">
        <x:v>9af269fcf34719d489ffe10ff65e5b30</x:v>
      </x:c>
      <x:c r="C108" s="24" t="str">
        <x:v>CC_S16_P2_Expansion_Studio_ArtDesk_LOD0.fbx</x:v>
      </x:c>
      <x:c r="D108" s="24" t="str">
        <x:v>3D model</x:v>
      </x:c>
      <x:c r="E108" s="24" t="str">
        <x:v>03_Assets_Internos</x:v>
      </x:c>
      <x:c r="F108" s="24" t="str">
        <x:v>MOD-041</x:v>
      </x:c>
      <x:c r="G108" s="24" t="str">
        <x:v>VRM Games / Blas Luis Rocha González</x:v>
      </x:c>
      <x:c r="H108" s="24" t="str">
        <x:v>Internal project IP / authorship claim</x:v>
      </x:c>
      <x:c r="I108" s="24" t="str">
        <x:v>Source package + repository path + hash</x:v>
      </x:c>
      <x:c r="J108" s="24" t="str">
        <x:v>8bb2db04b636d7ba053de3df2e783e4fbef56da4185f82f2210bec3591dc8663</x:v>
      </x:c>
      <x:c r="K108" s="24" t="str">
        <x:v>Assets/_Project/Art/Models/Expansions/CC_S16_P2_Expansion_Studio_ArtDesk_LOD0.fbx</x:v>
      </x:c>
      <x:c r="L108" s="24" t="str">
        <x:v>CR-004</x:v>
      </x:c>
      <x:c r="M108" s="24" t="str"/>
      <x:c r="N108" s="24" t="str">
        <x:v>RES-001;RES-014</x:v>
      </x:c>
      <x:c r="O108" s="24" t="str">
        <x:v>Internal development; public candidate requires gate</x:v>
      </x:c>
      <x:c r="P108" s="24" t="str">
        <x:v>NOT AUTHORIZED</x:v>
      </x:c>
      <x:c r="Q108" s="24" t="str">
        <x:v>Medium</x:v>
      </x:c>
      <x:c r="R108" s="24" t="str">
        <x:v>LEG-DEBT-008</x:v>
      </x:c>
      <x:c r="S108" s="24" t="str">
        <x:v>Parcial</x:v>
      </x:c>
      <x:c r="T108" s="24" t="str">
        <x:f>"T"&amp;IF(AND(H108&lt;&gt;"",I108&lt;&gt;"",J108&lt;&gt;"",L108&lt;&gt;"",N108&lt;&gt;"",O108&lt;&gt;"",P108="APPROVED PUBLIC",S108="Sí"),6,IF(AND(H108&lt;&gt;"",I108&lt;&gt;"",J108&lt;&gt;"",L108&lt;&gt;"",N108&lt;&gt;"",O108&lt;&gt;"",P108&lt;&gt;"",S108="Sí"),5,IF(AND(H108&lt;&gt;"",I108&lt;&gt;"",P108&lt;&gt;"",S108&lt;&gt;"No"),4,IF(AND(H108&lt;&gt;"",I108&lt;&gt;""),3,IF(F108&lt;&gt;"",2,1)))))</x:f>
        <x:v>T4</x:v>
      </x:c>
      <x:c r="U108" s="24" t="str">
        <x:v>VRM Games</x:v>
      </x:c>
      <x:c r="V108" s="24" t="str">
        <x:v>No se detectó proveedor externo en la ruta; confirmar autoría por lote antes de release público.</x:v>
      </x:c>
    </x:row>
    <x:row r="109" ht="34" customHeight="1">
      <x:c r="A109" s="24" t="str">
        <x:v>TRC-00105</x:v>
      </x:c>
      <x:c r="B109" s="24" t="str">
        <x:v>0d4831e8c9d56654c845d8ab5d008481</x:v>
      </x:c>
      <x:c r="C109" s="24" t="str">
        <x:v>CC_S16_P2_Expansion_Studio_AudioStation_LOD0.fbx</x:v>
      </x:c>
      <x:c r="D109" s="24" t="str">
        <x:v>3D model</x:v>
      </x:c>
      <x:c r="E109" s="24" t="str">
        <x:v>03_Assets_Internos</x:v>
      </x:c>
      <x:c r="F109" s="24" t="str">
        <x:v>MOD-042</x:v>
      </x:c>
      <x:c r="G109" s="24" t="str">
        <x:v>VRM Games / Blas Luis Rocha González</x:v>
      </x:c>
      <x:c r="H109" s="24" t="str">
        <x:v>Internal project IP / authorship claim</x:v>
      </x:c>
      <x:c r="I109" s="24" t="str">
        <x:v>Source package + repository path + hash</x:v>
      </x:c>
      <x:c r="J109" s="24" t="str">
        <x:v>4932a1747a15c0dacd560a8e3c81ed55a9ab80928a294311762471279429621c</x:v>
      </x:c>
      <x:c r="K109" s="24" t="str">
        <x:v>Assets/_Project/Art/Models/Expansions/CC_S16_P2_Expansion_Studio_AudioStation_LOD0.fbx</x:v>
      </x:c>
      <x:c r="L109" s="24" t="str">
        <x:v>CR-004</x:v>
      </x:c>
      <x:c r="M109" s="24" t="str"/>
      <x:c r="N109" s="24" t="str">
        <x:v>RES-001;RES-014</x:v>
      </x:c>
      <x:c r="O109" s="24" t="str">
        <x:v>Internal development; public candidate requires gate</x:v>
      </x:c>
      <x:c r="P109" s="24" t="str">
        <x:v>NOT AUTHORIZED</x:v>
      </x:c>
      <x:c r="Q109" s="24" t="str">
        <x:v>Medium</x:v>
      </x:c>
      <x:c r="R109" s="24" t="str">
        <x:v>LEG-DEBT-008</x:v>
      </x:c>
      <x:c r="S109" s="24" t="str">
        <x:v>Parcial</x:v>
      </x:c>
      <x:c r="T109" s="24" t="str">
        <x:f>"T"&amp;IF(AND(H109&lt;&gt;"",I109&lt;&gt;"",J109&lt;&gt;"",L109&lt;&gt;"",N109&lt;&gt;"",O109&lt;&gt;"",P109="APPROVED PUBLIC",S109="Sí"),6,IF(AND(H109&lt;&gt;"",I109&lt;&gt;"",J109&lt;&gt;"",L109&lt;&gt;"",N109&lt;&gt;"",O109&lt;&gt;"",P109&lt;&gt;"",S109="Sí"),5,IF(AND(H109&lt;&gt;"",I109&lt;&gt;"",P109&lt;&gt;"",S109&lt;&gt;"No"),4,IF(AND(H109&lt;&gt;"",I109&lt;&gt;""),3,IF(F109&lt;&gt;"",2,1)))))</x:f>
        <x:v>T4</x:v>
      </x:c>
      <x:c r="U109" s="24" t="str">
        <x:v>VRM Games</x:v>
      </x:c>
      <x:c r="V109" s="24" t="str">
        <x:v>No se detectó proveedor externo en la ruta; confirmar autoría por lote antes de release público.</x:v>
      </x:c>
    </x:row>
    <x:row r="110" ht="34" customHeight="1">
      <x:c r="A110" s="24" t="str">
        <x:v>TRC-00106</x:v>
      </x:c>
      <x:c r="B110" s="24" t="str">
        <x:v>dd410bcf3e55c5f49bbf3e1241e777f5</x:v>
      </x:c>
      <x:c r="C110" s="24" t="str">
        <x:v>CC_S16_P2_Expansion_Studio_DevDesk_LOD0.fbx</x:v>
      </x:c>
      <x:c r="D110" s="24" t="str">
        <x:v>3D model</x:v>
      </x:c>
      <x:c r="E110" s="24" t="str">
        <x:v>03_Assets_Internos</x:v>
      </x:c>
      <x:c r="F110" s="24" t="str">
        <x:v>MOD-043</x:v>
      </x:c>
      <x:c r="G110" s="24" t="str">
        <x:v>VRM Games / Blas Luis Rocha González</x:v>
      </x:c>
      <x:c r="H110" s="24" t="str">
        <x:v>Internal project IP / authorship claim</x:v>
      </x:c>
      <x:c r="I110" s="24" t="str">
        <x:v>Source package + repository path + hash</x:v>
      </x:c>
      <x:c r="J110" s="24" t="str">
        <x:v>151a622bcc7626d96385005fd5c5a6c3cd876fad78f72770ad06a1d2f89594f8</x:v>
      </x:c>
      <x:c r="K110" s="24" t="str">
        <x:v>Assets/_Project/Art/Models/Expansions/CC_S16_P2_Expansion_Studio_DevDesk_LOD0.fbx</x:v>
      </x:c>
      <x:c r="L110" s="24" t="str">
        <x:v>CR-004</x:v>
      </x:c>
      <x:c r="M110" s="24" t="str"/>
      <x:c r="N110" s="24" t="str">
        <x:v>RES-001;RES-014</x:v>
      </x:c>
      <x:c r="O110" s="24" t="str">
        <x:v>Internal development; public candidate requires gate</x:v>
      </x:c>
      <x:c r="P110" s="24" t="str">
        <x:v>NOT AUTHORIZED</x:v>
      </x:c>
      <x:c r="Q110" s="24" t="str">
        <x:v>Medium</x:v>
      </x:c>
      <x:c r="R110" s="24" t="str">
        <x:v>LEG-DEBT-008</x:v>
      </x:c>
      <x:c r="S110" s="24" t="str">
        <x:v>Parcial</x:v>
      </x:c>
      <x:c r="T110" s="24" t="str">
        <x:f>"T"&amp;IF(AND(H110&lt;&gt;"",I110&lt;&gt;"",J110&lt;&gt;"",L110&lt;&gt;"",N110&lt;&gt;"",O110&lt;&gt;"",P110="APPROVED PUBLIC",S110="Sí"),6,IF(AND(H110&lt;&gt;"",I110&lt;&gt;"",J110&lt;&gt;"",L110&lt;&gt;"",N110&lt;&gt;"",O110&lt;&gt;"",P110&lt;&gt;"",S110="Sí"),5,IF(AND(H110&lt;&gt;"",I110&lt;&gt;"",P110&lt;&gt;"",S110&lt;&gt;"No"),4,IF(AND(H110&lt;&gt;"",I110&lt;&gt;""),3,IF(F110&lt;&gt;"",2,1)))))</x:f>
        <x:v>T4</x:v>
      </x:c>
      <x:c r="U110" s="24" t="str">
        <x:v>VRM Games</x:v>
      </x:c>
      <x:c r="V110" s="24" t="str">
        <x:v>No se detectó proveedor externo en la ruta; confirmar autoría por lote antes de release público.</x:v>
      </x:c>
    </x:row>
    <x:row r="111" ht="34" customHeight="1">
      <x:c r="A111" s="24" t="str">
        <x:v>TRC-00107</x:v>
      </x:c>
      <x:c r="B111" s="24" t="str">
        <x:v>caa4ecf609f0333479ac4127e9107679</x:v>
      </x:c>
      <x:c r="C111" s="24" t="str">
        <x:v>CC_S16_P2_Furniture_BackroomStorage_LOD0.fbx</x:v>
      </x:c>
      <x:c r="D111" s="24" t="str">
        <x:v>3D model</x:v>
      </x:c>
      <x:c r="E111" s="24" t="str">
        <x:v>03_Assets_Internos</x:v>
      </x:c>
      <x:c r="F111" s="24" t="str">
        <x:v>MOD-044</x:v>
      </x:c>
      <x:c r="G111" s="24" t="str">
        <x:v>VRM Games / Blas Luis Rocha González</x:v>
      </x:c>
      <x:c r="H111" s="24" t="str">
        <x:v>Internal project IP / authorship claim</x:v>
      </x:c>
      <x:c r="I111" s="24" t="str">
        <x:v>Source package + repository path + hash</x:v>
      </x:c>
      <x:c r="J111" s="24" t="str">
        <x:v>8c763b7cb85764edddb28b83b9d337f6d153afb7033121143a3136da59dcead6</x:v>
      </x:c>
      <x:c r="K111" s="24" t="str">
        <x:v>Assets/_Project/Art/Models/Furniture/CC_S16_P2_Furniture_BackroomStorage_LOD0.fbx</x:v>
      </x:c>
      <x:c r="L111" s="24" t="str">
        <x:v>CR-004</x:v>
      </x:c>
      <x:c r="M111" s="24" t="str"/>
      <x:c r="N111" s="24" t="str">
        <x:v>RES-001;RES-014</x:v>
      </x:c>
      <x:c r="O111" s="24" t="str">
        <x:v>Internal development; public candidate requires gate</x:v>
      </x:c>
      <x:c r="P111" s="24" t="str">
        <x:v>CONDITIONALLY APPROVED</x:v>
      </x:c>
      <x:c r="Q111" s="24" t="str">
        <x:v>Medium</x:v>
      </x:c>
      <x:c r="R111" s="24" t="str">
        <x:v>LEG-DEBT-008</x:v>
      </x:c>
      <x:c r="S111" s="24" t="str">
        <x:v>Parcial</x:v>
      </x:c>
      <x:c r="T111" s="24" t="str">
        <x:f>"T"&amp;IF(AND(H111&lt;&gt;"",I111&lt;&gt;"",J111&lt;&gt;"",L111&lt;&gt;"",N111&lt;&gt;"",O111&lt;&gt;"",P111="APPROVED PUBLIC",S111="Sí"),6,IF(AND(H111&lt;&gt;"",I111&lt;&gt;"",J111&lt;&gt;"",L111&lt;&gt;"",N111&lt;&gt;"",O111&lt;&gt;"",P111&lt;&gt;"",S111="Sí"),5,IF(AND(H111&lt;&gt;"",I111&lt;&gt;"",P111&lt;&gt;"",S111&lt;&gt;"No"),4,IF(AND(H111&lt;&gt;"",I111&lt;&gt;""),3,IF(F111&lt;&gt;"",2,1)))))</x:f>
        <x:v>T4</x:v>
      </x:c>
      <x:c r="U111" s="24" t="str">
        <x:v>VRM Games</x:v>
      </x:c>
      <x:c r="V111" s="24" t="str">
        <x:v>No se detectó proveedor externo en la ruta; confirmar autoría por lote antes de release público.</x:v>
      </x:c>
    </x:row>
    <x:row r="112" ht="34" customHeight="1">
      <x:c r="A112" s="24" t="str">
        <x:v>TRC-00108</x:v>
      </x:c>
      <x:c r="B112" s="24" t="str">
        <x:v>5d2c13b48c956bc46b826c9dee5e6400</x:v>
      </x:c>
      <x:c r="C112" s="24" t="str">
        <x:v>CC_S16_P2_Furniture_CentralShelf_LOD0.fbx</x:v>
      </x:c>
      <x:c r="D112" s="24" t="str">
        <x:v>3D model</x:v>
      </x:c>
      <x:c r="E112" s="24" t="str">
        <x:v>03_Assets_Internos</x:v>
      </x:c>
      <x:c r="F112" s="24" t="str">
        <x:v>MOD-045</x:v>
      </x:c>
      <x:c r="G112" s="24" t="str">
        <x:v>VRM Games / Blas Luis Rocha González</x:v>
      </x:c>
      <x:c r="H112" s="24" t="str">
        <x:v>Internal project IP / authorship claim</x:v>
      </x:c>
      <x:c r="I112" s="24" t="str">
        <x:v>Source package + repository path + hash</x:v>
      </x:c>
      <x:c r="J112" s="24" t="str">
        <x:v>ac4c523a61c0835b43bfca403a46032659d48f038aa6216e9f286af2b646fda4</x:v>
      </x:c>
      <x:c r="K112" s="24" t="str">
        <x:v>Assets/_Project/Art/Models/Furniture/CC_S16_P2_Furniture_CentralShelf_LOD0.fbx</x:v>
      </x:c>
      <x:c r="L112" s="24" t="str">
        <x:v>CR-004</x:v>
      </x:c>
      <x:c r="M112" s="24" t="str"/>
      <x:c r="N112" s="24" t="str">
        <x:v>RES-001;RES-014</x:v>
      </x:c>
      <x:c r="O112" s="24" t="str">
        <x:v>Internal development; public candidate requires gate</x:v>
      </x:c>
      <x:c r="P112" s="24" t="str">
        <x:v>CONDITIONALLY APPROVED</x:v>
      </x:c>
      <x:c r="Q112" s="24" t="str">
        <x:v>Medium</x:v>
      </x:c>
      <x:c r="R112" s="24" t="str">
        <x:v>LEG-DEBT-008</x:v>
      </x:c>
      <x:c r="S112" s="24" t="str">
        <x:v>Parcial</x:v>
      </x:c>
      <x:c r="T112" s="24" t="str">
        <x:f>"T"&amp;IF(AND(H112&lt;&gt;"",I112&lt;&gt;"",J112&lt;&gt;"",L112&lt;&gt;"",N112&lt;&gt;"",O112&lt;&gt;"",P112="APPROVED PUBLIC",S112="Sí"),6,IF(AND(H112&lt;&gt;"",I112&lt;&gt;"",J112&lt;&gt;"",L112&lt;&gt;"",N112&lt;&gt;"",O112&lt;&gt;"",P112&lt;&gt;"",S112="Sí"),5,IF(AND(H112&lt;&gt;"",I112&lt;&gt;"",P112&lt;&gt;"",S112&lt;&gt;"No"),4,IF(AND(H112&lt;&gt;"",I112&lt;&gt;""),3,IF(F112&lt;&gt;"",2,1)))))</x:f>
        <x:v>T4</x:v>
      </x:c>
      <x:c r="U112" s="24" t="str">
        <x:v>VRM Games</x:v>
      </x:c>
      <x:c r="V112" s="24" t="str">
        <x:v>No se detectó proveedor externo en la ruta; confirmar autoría por lote antes de release público.</x:v>
      </x:c>
    </x:row>
    <x:row r="113" ht="34" customHeight="1">
      <x:c r="A113" s="24" t="str">
        <x:v>TRC-00109</x:v>
      </x:c>
      <x:c r="B113" s="24" t="str">
        <x:v>6a8e518eca8fdc54480401ab55849fdd</x:v>
      </x:c>
      <x:c r="C113" s="24" t="str">
        <x:v>CC_S16_P2_Furniture_CheckoutCounter_LOD0.fbx</x:v>
      </x:c>
      <x:c r="D113" s="24" t="str">
        <x:v>3D model</x:v>
      </x:c>
      <x:c r="E113" s="24" t="str">
        <x:v>03_Assets_Internos</x:v>
      </x:c>
      <x:c r="F113" s="24" t="str">
        <x:v>MOD-046</x:v>
      </x:c>
      <x:c r="G113" s="24" t="str">
        <x:v>VRM Games / Blas Luis Rocha González</x:v>
      </x:c>
      <x:c r="H113" s="24" t="str">
        <x:v>Internal project IP / authorship claim</x:v>
      </x:c>
      <x:c r="I113" s="24" t="str">
        <x:v>Source package + repository path + hash</x:v>
      </x:c>
      <x:c r="J113" s="24" t="str">
        <x:v>dbfb07cf0f01b0f2118817318adde191158cba517d99a6ec69ce3f4da5456354</x:v>
      </x:c>
      <x:c r="K113" s="24" t="str">
        <x:v>Assets/_Project/Art/Models/Furniture/CC_S16_P2_Furniture_CheckoutCounter_LOD0.fbx</x:v>
      </x:c>
      <x:c r="L113" s="24" t="str">
        <x:v>CR-004</x:v>
      </x:c>
      <x:c r="M113" s="24" t="str"/>
      <x:c r="N113" s="24" t="str">
        <x:v>RES-001;RES-014</x:v>
      </x:c>
      <x:c r="O113" s="24" t="str">
        <x:v>Internal development; public candidate requires gate</x:v>
      </x:c>
      <x:c r="P113" s="24" t="str">
        <x:v>CONDITIONALLY APPROVED</x:v>
      </x:c>
      <x:c r="Q113" s="24" t="str">
        <x:v>Medium</x:v>
      </x:c>
      <x:c r="R113" s="24" t="str">
        <x:v>LEG-DEBT-008</x:v>
      </x:c>
      <x:c r="S113" s="24" t="str">
        <x:v>Parcial</x:v>
      </x:c>
      <x:c r="T113" s="24" t="str">
        <x:f>"T"&amp;IF(AND(H113&lt;&gt;"",I113&lt;&gt;"",J113&lt;&gt;"",L113&lt;&gt;"",N113&lt;&gt;"",O113&lt;&gt;"",P113="APPROVED PUBLIC",S113="Sí"),6,IF(AND(H113&lt;&gt;"",I113&lt;&gt;"",J113&lt;&gt;"",L113&lt;&gt;"",N113&lt;&gt;"",O113&lt;&gt;"",P113&lt;&gt;"",S113="Sí"),5,IF(AND(H113&lt;&gt;"",I113&lt;&gt;"",P113&lt;&gt;"",S113&lt;&gt;"No"),4,IF(AND(H113&lt;&gt;"",I113&lt;&gt;""),3,IF(F113&lt;&gt;"",2,1)))))</x:f>
        <x:v>T4</x:v>
      </x:c>
      <x:c r="U113" s="24" t="str">
        <x:v>VRM Games</x:v>
      </x:c>
      <x:c r="V113" s="24" t="str">
        <x:v>No se detectó proveedor externo en la ruta; confirmar autoría por lote antes de release público.</x:v>
      </x:c>
    </x:row>
    <x:row r="114" ht="34" customHeight="1">
      <x:c r="A114" s="24" t="str">
        <x:v>TRC-00110</x:v>
      </x:c>
      <x:c r="B114" s="24" t="str">
        <x:v>d000e3c5e4dc91643af5db8d5a682a59</x:v>
      </x:c>
      <x:c r="C114" s="24" t="str">
        <x:v>CC_S16_P2_Furniture_DecorativePlant_LOD0.fbx</x:v>
      </x:c>
      <x:c r="D114" s="24" t="str">
        <x:v>3D model</x:v>
      </x:c>
      <x:c r="E114" s="24" t="str">
        <x:v>03_Assets_Internos</x:v>
      </x:c>
      <x:c r="F114" s="24" t="str">
        <x:v>MOD-047</x:v>
      </x:c>
      <x:c r="G114" s="24" t="str">
        <x:v>VRM Games / Blas Luis Rocha González</x:v>
      </x:c>
      <x:c r="H114" s="24" t="str">
        <x:v>Internal project IP / authorship claim</x:v>
      </x:c>
      <x:c r="I114" s="24" t="str">
        <x:v>Source package + repository path + hash</x:v>
      </x:c>
      <x:c r="J114" s="24" t="str">
        <x:v>ae324a9a47261e6a30e75d0c1487df72d8dd5f7e9de60d1a7569c1e7d4cb5c71</x:v>
      </x:c>
      <x:c r="K114" s="24" t="str">
        <x:v>Assets/_Project/Art/Models/Furniture/CC_S16_P2_Furniture_DecorativePlant_LOD0.fbx</x:v>
      </x:c>
      <x:c r="L114" s="24" t="str">
        <x:v>CR-004</x:v>
      </x:c>
      <x:c r="M114" s="24" t="str"/>
      <x:c r="N114" s="24" t="str">
        <x:v>RES-001;RES-014</x:v>
      </x:c>
      <x:c r="O114" s="24" t="str">
        <x:v>Internal development; public candidate requires gate</x:v>
      </x:c>
      <x:c r="P114" s="24" t="str">
        <x:v>CONDITIONALLY APPROVED</x:v>
      </x:c>
      <x:c r="Q114" s="24" t="str">
        <x:v>Medium</x:v>
      </x:c>
      <x:c r="R114" s="24" t="str">
        <x:v>LEG-DEBT-008</x:v>
      </x:c>
      <x:c r="S114" s="24" t="str">
        <x:v>Parcial</x:v>
      </x:c>
      <x:c r="T114" s="24" t="str">
        <x:f>"T"&amp;IF(AND(H114&lt;&gt;"",I114&lt;&gt;"",J114&lt;&gt;"",L114&lt;&gt;"",N114&lt;&gt;"",O114&lt;&gt;"",P114="APPROVED PUBLIC",S114="Sí"),6,IF(AND(H114&lt;&gt;"",I114&lt;&gt;"",J114&lt;&gt;"",L114&lt;&gt;"",N114&lt;&gt;"",O114&lt;&gt;"",P114&lt;&gt;"",S114="Sí"),5,IF(AND(H114&lt;&gt;"",I114&lt;&gt;"",P114&lt;&gt;"",S114&lt;&gt;"No"),4,IF(AND(H114&lt;&gt;"",I114&lt;&gt;""),3,IF(F114&lt;&gt;"",2,1)))))</x:f>
        <x:v>T4</x:v>
      </x:c>
      <x:c r="U114" s="24" t="str">
        <x:v>VRM Games</x:v>
      </x:c>
      <x:c r="V114" s="24" t="str">
        <x:v>No se detectó proveedor externo en la ruta; confirmar autoría por lote antes de release público.</x:v>
      </x:c>
    </x:row>
    <x:row r="115" ht="34" customHeight="1">
      <x:c r="A115" s="24" t="str">
        <x:v>TRC-00111</x:v>
      </x:c>
      <x:c r="B115" s="24" t="str">
        <x:v>366b6e46f77550c47bd5cf6abc4acfc1</x:v>
      </x:c>
      <x:c r="C115" s="24" t="str">
        <x:v>CC_S16_P2_Furniture_FeaturedDisplay_LOD0.fbx</x:v>
      </x:c>
      <x:c r="D115" s="24" t="str">
        <x:v>3D model</x:v>
      </x:c>
      <x:c r="E115" s="24" t="str">
        <x:v>03_Assets_Internos</x:v>
      </x:c>
      <x:c r="F115" s="24" t="str">
        <x:v>MOD-048</x:v>
      </x:c>
      <x:c r="G115" s="24" t="str">
        <x:v>VRM Games / Blas Luis Rocha González</x:v>
      </x:c>
      <x:c r="H115" s="24" t="str">
        <x:v>Internal project IP / authorship claim</x:v>
      </x:c>
      <x:c r="I115" s="24" t="str">
        <x:v>Source package + repository path + hash</x:v>
      </x:c>
      <x:c r="J115" s="24" t="str">
        <x:v>0d49181fbd45d065cd5e4c4875249856fad7f9bad8a0f98735302603bb79bce4</x:v>
      </x:c>
      <x:c r="K115" s="24" t="str">
        <x:v>Assets/_Project/Art/Models/Furniture/CC_S16_P2_Furniture_FeaturedDisplay_LOD0.fbx</x:v>
      </x:c>
      <x:c r="L115" s="24" t="str">
        <x:v>CR-004</x:v>
      </x:c>
      <x:c r="M115" s="24" t="str"/>
      <x:c r="N115" s="24" t="str">
        <x:v>RES-001;RES-014</x:v>
      </x:c>
      <x:c r="O115" s="24" t="str">
        <x:v>Internal development; public candidate requires gate</x:v>
      </x:c>
      <x:c r="P115" s="24" t="str">
        <x:v>CONDITIONALLY APPROVED</x:v>
      </x:c>
      <x:c r="Q115" s="24" t="str">
        <x:v>Medium</x:v>
      </x:c>
      <x:c r="R115" s="24" t="str">
        <x:v>LEG-DEBT-008</x:v>
      </x:c>
      <x:c r="S115" s="24" t="str">
        <x:v>Parcial</x:v>
      </x:c>
      <x:c r="T115" s="24" t="str">
        <x:f>"T"&amp;IF(AND(H115&lt;&gt;"",I115&lt;&gt;"",J115&lt;&gt;"",L115&lt;&gt;"",N115&lt;&gt;"",O115&lt;&gt;"",P115="APPROVED PUBLIC",S115="Sí"),6,IF(AND(H115&lt;&gt;"",I115&lt;&gt;"",J115&lt;&gt;"",L115&lt;&gt;"",N115&lt;&gt;"",O115&lt;&gt;"",P115&lt;&gt;"",S115="Sí"),5,IF(AND(H115&lt;&gt;"",I115&lt;&gt;"",P115&lt;&gt;"",S115&lt;&gt;"No"),4,IF(AND(H115&lt;&gt;"",I115&lt;&gt;""),3,IF(F115&lt;&gt;"",2,1)))))</x:f>
        <x:v>T4</x:v>
      </x:c>
      <x:c r="U115" s="24" t="str">
        <x:v>VRM Games</x:v>
      </x:c>
      <x:c r="V115" s="24" t="str">
        <x:v>No se detectó proveedor externo en la ruta; confirmar autoría por lote antes de release público.</x:v>
      </x:c>
    </x:row>
    <x:row r="116" ht="34" customHeight="1">
      <x:c r="A116" s="24" t="str">
        <x:v>TRC-00112</x:v>
      </x:c>
      <x:c r="B116" s="24" t="str">
        <x:v>d74b514638edac2439009f1e23ad7479</x:v>
      </x:c>
      <x:c r="C116" s="24" t="str">
        <x:v>CC_S16_P2_Furniture_LowDisplay_LOD0.fbx</x:v>
      </x:c>
      <x:c r="D116" s="24" t="str">
        <x:v>3D model</x:v>
      </x:c>
      <x:c r="E116" s="24" t="str">
        <x:v>03_Assets_Internos</x:v>
      </x:c>
      <x:c r="F116" s="24" t="str">
        <x:v>MOD-049</x:v>
      </x:c>
      <x:c r="G116" s="24" t="str">
        <x:v>VRM Games / Blas Luis Rocha González</x:v>
      </x:c>
      <x:c r="H116" s="24" t="str">
        <x:v>Internal project IP / authorship claim</x:v>
      </x:c>
      <x:c r="I116" s="24" t="str">
        <x:v>Source package + repository path + hash</x:v>
      </x:c>
      <x:c r="J116" s="24" t="str">
        <x:v>a2f6f6543d73aab04eb0b73018c1c8a48421441b1e1d6939263adf4972be523e</x:v>
      </x:c>
      <x:c r="K116" s="24" t="str">
        <x:v>Assets/_Project/Art/Models/Furniture/CC_S16_P2_Furniture_LowDisplay_LOD0.fbx</x:v>
      </x:c>
      <x:c r="L116" s="24" t="str">
        <x:v>CR-004</x:v>
      </x:c>
      <x:c r="M116" s="24" t="str"/>
      <x:c r="N116" s="24" t="str">
        <x:v>RES-001;RES-014</x:v>
      </x:c>
      <x:c r="O116" s="24" t="str">
        <x:v>Internal development; public candidate requires gate</x:v>
      </x:c>
      <x:c r="P116" s="24" t="str">
        <x:v>CONDITIONALLY APPROVED</x:v>
      </x:c>
      <x:c r="Q116" s="24" t="str">
        <x:v>Medium</x:v>
      </x:c>
      <x:c r="R116" s="24" t="str">
        <x:v>LEG-DEBT-008</x:v>
      </x:c>
      <x:c r="S116" s="24" t="str">
        <x:v>Parcial</x:v>
      </x:c>
      <x:c r="T116" s="24" t="str">
        <x:f>"T"&amp;IF(AND(H116&lt;&gt;"",I116&lt;&gt;"",J116&lt;&gt;"",L116&lt;&gt;"",N116&lt;&gt;"",O116&lt;&gt;"",P116="APPROVED PUBLIC",S116="Sí"),6,IF(AND(H116&lt;&gt;"",I116&lt;&gt;"",J116&lt;&gt;"",L116&lt;&gt;"",N116&lt;&gt;"",O116&lt;&gt;"",P116&lt;&gt;"",S116="Sí"),5,IF(AND(H116&lt;&gt;"",I116&lt;&gt;"",P116&lt;&gt;"",S116&lt;&gt;"No"),4,IF(AND(H116&lt;&gt;"",I116&lt;&gt;""),3,IF(F116&lt;&gt;"",2,1)))))</x:f>
        <x:v>T4</x:v>
      </x:c>
      <x:c r="U116" s="24" t="str">
        <x:v>VRM Games</x:v>
      </x:c>
      <x:c r="V116" s="24" t="str">
        <x:v>No se detectó proveedor externo en la ruta; confirmar autoría por lote antes de release público.</x:v>
      </x:c>
    </x:row>
    <x:row r="117" ht="34" customHeight="1">
      <x:c r="A117" s="24" t="str">
        <x:v>TRC-00113</x:v>
      </x:c>
      <x:c r="B117" s="24" t="str">
        <x:v>bb90e34ce1c024842a2ef7a99c00ae01</x:v>
      </x:c>
      <x:c r="C117" s="24" t="str">
        <x:v>CC_S16_P2_Furniture_ReceivingCrate_LOD0.fbx</x:v>
      </x:c>
      <x:c r="D117" s="24" t="str">
        <x:v>3D model</x:v>
      </x:c>
      <x:c r="E117" s="24" t="str">
        <x:v>03_Assets_Internos</x:v>
      </x:c>
      <x:c r="F117" s="24" t="str">
        <x:v>MOD-050</x:v>
      </x:c>
      <x:c r="G117" s="24" t="str">
        <x:v>VRM Games / Blas Luis Rocha González</x:v>
      </x:c>
      <x:c r="H117" s="24" t="str">
        <x:v>Internal project IP / authorship claim</x:v>
      </x:c>
      <x:c r="I117" s="24" t="str">
        <x:v>Source package + repository path + hash</x:v>
      </x:c>
      <x:c r="J117" s="24" t="str">
        <x:v>fbc14bc267a2256361330081b5e04413483259564c53b60e250828f186525798</x:v>
      </x:c>
      <x:c r="K117" s="24" t="str">
        <x:v>Assets/_Project/Art/Models/Furniture/CC_S16_P2_Furniture_ReceivingCrate_LOD0.fbx</x:v>
      </x:c>
      <x:c r="L117" s="24" t="str">
        <x:v>CR-004</x:v>
      </x:c>
      <x:c r="M117" s="24" t="str"/>
      <x:c r="N117" s="24" t="str">
        <x:v>RES-001;RES-014</x:v>
      </x:c>
      <x:c r="O117" s="24" t="str">
        <x:v>Internal development; public candidate requires gate</x:v>
      </x:c>
      <x:c r="P117" s="24" t="str">
        <x:v>CONDITIONALLY APPROVED</x:v>
      </x:c>
      <x:c r="Q117" s="24" t="str">
        <x:v>Medium</x:v>
      </x:c>
      <x:c r="R117" s="24" t="str">
        <x:v>LEG-DEBT-008</x:v>
      </x:c>
      <x:c r="S117" s="24" t="str">
        <x:v>Parcial</x:v>
      </x:c>
      <x:c r="T117" s="24" t="str">
        <x:f>"T"&amp;IF(AND(H117&lt;&gt;"",I117&lt;&gt;"",J117&lt;&gt;"",L117&lt;&gt;"",N117&lt;&gt;"",O117&lt;&gt;"",P117="APPROVED PUBLIC",S117="Sí"),6,IF(AND(H117&lt;&gt;"",I117&lt;&gt;"",J117&lt;&gt;"",L117&lt;&gt;"",N117&lt;&gt;"",O117&lt;&gt;"",P117&lt;&gt;"",S117="Sí"),5,IF(AND(H117&lt;&gt;"",I117&lt;&gt;"",P117&lt;&gt;"",S117&lt;&gt;"No"),4,IF(AND(H117&lt;&gt;"",I117&lt;&gt;""),3,IF(F117&lt;&gt;"",2,1)))))</x:f>
        <x:v>T4</x:v>
      </x:c>
      <x:c r="U117" s="24" t="str">
        <x:v>VRM Games</x:v>
      </x:c>
      <x:c r="V117" s="24" t="str">
        <x:v>No se detectó proveedor externo en la ruta; confirmar autoría por lote antes de release público.</x:v>
      </x:c>
    </x:row>
    <x:row r="118" ht="34" customHeight="1">
      <x:c r="A118" s="24" t="str">
        <x:v>TRC-00114</x:v>
      </x:c>
      <x:c r="B118" s="24" t="str">
        <x:v>3f5aff978cf86e64caf314275af67e77</x:v>
      </x:c>
      <x:c r="C118" s="24" t="str">
        <x:v>CC_S16_P2_Furniture_WallShelf_LOD0.fbx</x:v>
      </x:c>
      <x:c r="D118" s="24" t="str">
        <x:v>3D model</x:v>
      </x:c>
      <x:c r="E118" s="24" t="str">
        <x:v>03_Assets_Internos</x:v>
      </x:c>
      <x:c r="F118" s="24" t="str">
        <x:v>MOD-051</x:v>
      </x:c>
      <x:c r="G118" s="24" t="str">
        <x:v>VRM Games / Blas Luis Rocha González</x:v>
      </x:c>
      <x:c r="H118" s="24" t="str">
        <x:v>Internal project IP / authorship claim</x:v>
      </x:c>
      <x:c r="I118" s="24" t="str">
        <x:v>Source package + repository path + hash</x:v>
      </x:c>
      <x:c r="J118" s="24" t="str">
        <x:v>2c7387bcaa497c5e56f6d9aa4a30f2dafb7ecbcf9f923a3dae0024cdae706bac</x:v>
      </x:c>
      <x:c r="K118" s="24" t="str">
        <x:v>Assets/_Project/Art/Models/Furniture/CC_S16_P2_Furniture_WallShelf_LOD0.fbx</x:v>
      </x:c>
      <x:c r="L118" s="24" t="str">
        <x:v>CR-004</x:v>
      </x:c>
      <x:c r="M118" s="24" t="str"/>
      <x:c r="N118" s="24" t="str">
        <x:v>RES-001;RES-014</x:v>
      </x:c>
      <x:c r="O118" s="24" t="str">
        <x:v>Internal development; public candidate requires gate</x:v>
      </x:c>
      <x:c r="P118" s="24" t="str">
        <x:v>CONDITIONALLY APPROVED</x:v>
      </x:c>
      <x:c r="Q118" s="24" t="str">
        <x:v>Medium</x:v>
      </x:c>
      <x:c r="R118" s="24" t="str">
        <x:v>LEG-DEBT-008</x:v>
      </x:c>
      <x:c r="S118" s="24" t="str">
        <x:v>Parcial</x:v>
      </x:c>
      <x:c r="T118" s="24" t="str">
        <x:f>"T"&amp;IF(AND(H118&lt;&gt;"",I118&lt;&gt;"",J118&lt;&gt;"",L118&lt;&gt;"",N118&lt;&gt;"",O118&lt;&gt;"",P118="APPROVED PUBLIC",S118="Sí"),6,IF(AND(H118&lt;&gt;"",I118&lt;&gt;"",J118&lt;&gt;"",L118&lt;&gt;"",N118&lt;&gt;"",O118&lt;&gt;"",P118&lt;&gt;"",S118="Sí"),5,IF(AND(H118&lt;&gt;"",I118&lt;&gt;"",P118&lt;&gt;"",S118&lt;&gt;"No"),4,IF(AND(H118&lt;&gt;"",I118&lt;&gt;""),3,IF(F118&lt;&gt;"",2,1)))))</x:f>
        <x:v>T4</x:v>
      </x:c>
      <x:c r="U118" s="24" t="str">
        <x:v>VRM Games</x:v>
      </x:c>
      <x:c r="V118" s="24" t="str">
        <x:v>No se detectó proveedor externo en la ruta; confirmar autoría por lote antes de release público.</x:v>
      </x:c>
    </x:row>
    <x:row r="119" ht="34" customHeight="1">
      <x:c r="A119" s="24" t="str">
        <x:v>TRC-00115</x:v>
      </x:c>
      <x:c r="B119" s="24" t="str">
        <x:v>a77141c3d81ed9c4fb7589effc023554</x:v>
      </x:c>
      <x:c r="C119" s="24" t="str">
        <x:v>CC_S16_P2_Product_CloudRunnerCase_Box_LOD0.fbx</x:v>
      </x:c>
      <x:c r="D119" s="24" t="str">
        <x:v>3D model</x:v>
      </x:c>
      <x:c r="E119" s="24" t="str">
        <x:v>03_Assets_Internos</x:v>
      </x:c>
      <x:c r="F119" s="24" t="str">
        <x:v>MOD-052</x:v>
      </x:c>
      <x:c r="G119" s="24" t="str">
        <x:v>VRM Games / Blas Luis Rocha González</x:v>
      </x:c>
      <x:c r="H119" s="24" t="str">
        <x:v>Internal project IP / authorship claim</x:v>
      </x:c>
      <x:c r="I119" s="24" t="str">
        <x:v>Source package + repository path + hash</x:v>
      </x:c>
      <x:c r="J119" s="24" t="str">
        <x:v>c1eedf8195e0694b20b19293ccc44e91abc5a3ba2ce5cff4ed4891b009239638</x:v>
      </x:c>
      <x:c r="K119" s="24" t="str">
        <x:v>Assets/_Project/Art/Models/Products/CC_S16_P2_Product_CloudRunnerCase_Box_LOD0.fbx</x:v>
      </x:c>
      <x:c r="L119" s="24" t="str">
        <x:v>CR-004</x:v>
      </x:c>
      <x:c r="M119" s="24" t="str"/>
      <x:c r="N119" s="24" t="str">
        <x:v>RES-001;RES-014</x:v>
      </x:c>
      <x:c r="O119" s="24" t="str">
        <x:v>Internal development; public candidate requires gate</x:v>
      </x:c>
      <x:c r="P119" s="24" t="str">
        <x:v>CONDITIONALLY APPROVED</x:v>
      </x:c>
      <x:c r="Q119" s="24" t="str">
        <x:v>Medium</x:v>
      </x:c>
      <x:c r="R119" s="24" t="str">
        <x:v>LEG-DEBT-008</x:v>
      </x:c>
      <x:c r="S119" s="24" t="str">
        <x:v>Parcial</x:v>
      </x:c>
      <x:c r="T119" s="24" t="str">
        <x:f>"T"&amp;IF(AND(H119&lt;&gt;"",I119&lt;&gt;"",J119&lt;&gt;"",L119&lt;&gt;"",N119&lt;&gt;"",O119&lt;&gt;"",P119="APPROVED PUBLIC",S119="Sí"),6,IF(AND(H119&lt;&gt;"",I119&lt;&gt;"",J119&lt;&gt;"",L119&lt;&gt;"",N119&lt;&gt;"",O119&lt;&gt;"",P119&lt;&gt;"",S119="Sí"),5,IF(AND(H119&lt;&gt;"",I119&lt;&gt;"",P119&lt;&gt;"",S119&lt;&gt;"No"),4,IF(AND(H119&lt;&gt;"",I119&lt;&gt;""),3,IF(F119&lt;&gt;"",2,1)))))</x:f>
        <x:v>T4</x:v>
      </x:c>
      <x:c r="U119" s="24" t="str">
        <x:v>VRM Games</x:v>
      </x:c>
      <x:c r="V119" s="24" t="str">
        <x:v>No se detectó proveedor externo en la ruta; confirmar autoría por lote antes de release público.</x:v>
      </x:c>
    </x:row>
    <x:row r="120" ht="34" customHeight="1">
      <x:c r="A120" s="24" t="str">
        <x:v>TRC-00116</x:v>
      </x:c>
      <x:c r="B120" s="24" t="str">
        <x:v>99ca15e906cfec640aa6bf7bab3052cb</x:v>
      </x:c>
      <x:c r="C120" s="24" t="str">
        <x:v>CC_S16_P2_Product_CloudRunnerCase_LOD0.fbx</x:v>
      </x:c>
      <x:c r="D120" s="24" t="str">
        <x:v>3D model</x:v>
      </x:c>
      <x:c r="E120" s="24" t="str">
        <x:v>03_Assets_Internos</x:v>
      </x:c>
      <x:c r="F120" s="24" t="str">
        <x:v>MOD-053</x:v>
      </x:c>
      <x:c r="G120" s="24" t="str">
        <x:v>VRM Games / Blas Luis Rocha González</x:v>
      </x:c>
      <x:c r="H120" s="24" t="str">
        <x:v>Internal project IP / authorship claim</x:v>
      </x:c>
      <x:c r="I120" s="24" t="str">
        <x:v>Source package + repository path + hash</x:v>
      </x:c>
      <x:c r="J120" s="24" t="str">
        <x:v>53bb9523ca139d47620882ec031933f4f798c18b78e5ea1372613dba57240b6c</x:v>
      </x:c>
      <x:c r="K120" s="24" t="str">
        <x:v>Assets/_Project/Art/Models/Products/CC_S16_P2_Product_CloudRunnerCase_LOD0.fbx</x:v>
      </x:c>
      <x:c r="L120" s="24" t="str">
        <x:v>CR-004</x:v>
      </x:c>
      <x:c r="M120" s="24" t="str"/>
      <x:c r="N120" s="24" t="str">
        <x:v>RES-001;RES-014</x:v>
      </x:c>
      <x:c r="O120" s="24" t="str">
        <x:v>Internal development; public candidate requires gate</x:v>
      </x:c>
      <x:c r="P120" s="24" t="str">
        <x:v>CONDITIONALLY APPROVED</x:v>
      </x:c>
      <x:c r="Q120" s="24" t="str">
        <x:v>Medium</x:v>
      </x:c>
      <x:c r="R120" s="24" t="str">
        <x:v>LEG-DEBT-008</x:v>
      </x:c>
      <x:c r="S120" s="24" t="str">
        <x:v>Parcial</x:v>
      </x:c>
      <x:c r="T120" s="24" t="str">
        <x:f>"T"&amp;IF(AND(H120&lt;&gt;"",I120&lt;&gt;"",J120&lt;&gt;"",L120&lt;&gt;"",N120&lt;&gt;"",O120&lt;&gt;"",P120="APPROVED PUBLIC",S120="Sí"),6,IF(AND(H120&lt;&gt;"",I120&lt;&gt;"",J120&lt;&gt;"",L120&lt;&gt;"",N120&lt;&gt;"",O120&lt;&gt;"",P120&lt;&gt;"",S120="Sí"),5,IF(AND(H120&lt;&gt;"",I120&lt;&gt;"",P120&lt;&gt;"",S120&lt;&gt;"No"),4,IF(AND(H120&lt;&gt;"",I120&lt;&gt;""),3,IF(F120&lt;&gt;"",2,1)))))</x:f>
        <x:v>T4</x:v>
      </x:c>
      <x:c r="U120" s="24" t="str">
        <x:v>VRM Games</x:v>
      </x:c>
      <x:c r="V120" s="24" t="str">
        <x:v>No se detectó proveedor externo en la ruta; confirmar autoría por lote antes de release público.</x:v>
      </x:c>
    </x:row>
    <x:row r="121" ht="34" customHeight="1">
      <x:c r="A121" s="24" t="str">
        <x:v>TRC-00117</x:v>
      </x:c>
      <x:c r="B121" s="24" t="str">
        <x:v>a1b7b4404aa4b714f917609c87c8565d</x:v>
      </x:c>
      <x:c r="C121" s="24" t="str">
        <x:v>CC_S16_P2_Product_MemoryCore_Box_LOD0.fbx</x:v>
      </x:c>
      <x:c r="D121" s="24" t="str">
        <x:v>3D model</x:v>
      </x:c>
      <x:c r="E121" s="24" t="str">
        <x:v>03_Assets_Internos</x:v>
      </x:c>
      <x:c r="F121" s="24" t="str">
        <x:v>MOD-054</x:v>
      </x:c>
      <x:c r="G121" s="24" t="str">
        <x:v>VRM Games / Blas Luis Rocha González</x:v>
      </x:c>
      <x:c r="H121" s="24" t="str">
        <x:v>Internal project IP / authorship claim</x:v>
      </x:c>
      <x:c r="I121" s="24" t="str">
        <x:v>Source package + repository path + hash</x:v>
      </x:c>
      <x:c r="J121" s="24" t="str">
        <x:v>e77cc37a98593081859fed6035835d89a9eafcd15058ebae3c75bfd9411c3908</x:v>
      </x:c>
      <x:c r="K121" s="24" t="str">
        <x:v>Assets/_Project/Art/Models/Products/CC_S16_P2_Product_MemoryCore_Box_LOD0.fbx</x:v>
      </x:c>
      <x:c r="L121" s="24" t="str">
        <x:v>CR-004</x:v>
      </x:c>
      <x:c r="M121" s="24" t="str"/>
      <x:c r="N121" s="24" t="str">
        <x:v>RES-001;RES-014</x:v>
      </x:c>
      <x:c r="O121" s="24" t="str">
        <x:v>Internal development; public candidate requires gate</x:v>
      </x:c>
      <x:c r="P121" s="24" t="str">
        <x:v>CONDITIONALLY APPROVED</x:v>
      </x:c>
      <x:c r="Q121" s="24" t="str">
        <x:v>Medium</x:v>
      </x:c>
      <x:c r="R121" s="24" t="str">
        <x:v>LEG-DEBT-008</x:v>
      </x:c>
      <x:c r="S121" s="24" t="str">
        <x:v>Parcial</x:v>
      </x:c>
      <x:c r="T121" s="24" t="str">
        <x:f>"T"&amp;IF(AND(H121&lt;&gt;"",I121&lt;&gt;"",J121&lt;&gt;"",L121&lt;&gt;"",N121&lt;&gt;"",O121&lt;&gt;"",P121="APPROVED PUBLIC",S121="Sí"),6,IF(AND(H121&lt;&gt;"",I121&lt;&gt;"",J121&lt;&gt;"",L121&lt;&gt;"",N121&lt;&gt;"",O121&lt;&gt;"",P121&lt;&gt;"",S121="Sí"),5,IF(AND(H121&lt;&gt;"",I121&lt;&gt;"",P121&lt;&gt;"",S121&lt;&gt;"No"),4,IF(AND(H121&lt;&gt;"",I121&lt;&gt;""),3,IF(F121&lt;&gt;"",2,1)))))</x:f>
        <x:v>T4</x:v>
      </x:c>
      <x:c r="U121" s="24" t="str">
        <x:v>VRM Games</x:v>
      </x:c>
      <x:c r="V121" s="24" t="str">
        <x:v>No se detectó proveedor externo en la ruta; confirmar autoría por lote antes de release público.</x:v>
      </x:c>
    </x:row>
    <x:row r="122" ht="34" customHeight="1">
      <x:c r="A122" s="24" t="str">
        <x:v>TRC-00118</x:v>
      </x:c>
      <x:c r="B122" s="24" t="str">
        <x:v>5462512357d03424f9609d9617697c19</x:v>
      </x:c>
      <x:c r="C122" s="24" t="str">
        <x:v>CC_S16_P2_Product_MemoryCore_LOD0.fbx</x:v>
      </x:c>
      <x:c r="D122" s="24" t="str">
        <x:v>3D model</x:v>
      </x:c>
      <x:c r="E122" s="24" t="str">
        <x:v>03_Assets_Internos</x:v>
      </x:c>
      <x:c r="F122" s="24" t="str">
        <x:v>MOD-055</x:v>
      </x:c>
      <x:c r="G122" s="24" t="str">
        <x:v>VRM Games / Blas Luis Rocha González</x:v>
      </x:c>
      <x:c r="H122" s="24" t="str">
        <x:v>Internal project IP / authorship claim</x:v>
      </x:c>
      <x:c r="I122" s="24" t="str">
        <x:v>Source package + repository path + hash</x:v>
      </x:c>
      <x:c r="J122" s="24" t="str">
        <x:v>a3a3aba6ad7b1f24843416ad9bb283d80355d1bbe2ccbad15621bbbf038a00e5</x:v>
      </x:c>
      <x:c r="K122" s="24" t="str">
        <x:v>Assets/_Project/Art/Models/Products/CC_S16_P2_Product_MemoryCore_LOD0.fbx</x:v>
      </x:c>
      <x:c r="L122" s="24" t="str">
        <x:v>CR-004</x:v>
      </x:c>
      <x:c r="M122" s="24" t="str"/>
      <x:c r="N122" s="24" t="str">
        <x:v>RES-001;RES-014</x:v>
      </x:c>
      <x:c r="O122" s="24" t="str">
        <x:v>Internal development; public candidate requires gate</x:v>
      </x:c>
      <x:c r="P122" s="24" t="str">
        <x:v>CONDITIONALLY APPROVED</x:v>
      </x:c>
      <x:c r="Q122" s="24" t="str">
        <x:v>Medium</x:v>
      </x:c>
      <x:c r="R122" s="24" t="str">
        <x:v>LEG-DEBT-008</x:v>
      </x:c>
      <x:c r="S122" s="24" t="str">
        <x:v>Parcial</x:v>
      </x:c>
      <x:c r="T122" s="24" t="str">
        <x:f>"T"&amp;IF(AND(H122&lt;&gt;"",I122&lt;&gt;"",J122&lt;&gt;"",L122&lt;&gt;"",N122&lt;&gt;"",O122&lt;&gt;"",P122="APPROVED PUBLIC",S122="Sí"),6,IF(AND(H122&lt;&gt;"",I122&lt;&gt;"",J122&lt;&gt;"",L122&lt;&gt;"",N122&lt;&gt;"",O122&lt;&gt;"",P122&lt;&gt;"",S122="Sí"),5,IF(AND(H122&lt;&gt;"",I122&lt;&gt;"",P122&lt;&gt;"",S122&lt;&gt;"No"),4,IF(AND(H122&lt;&gt;"",I122&lt;&gt;""),3,IF(F122&lt;&gt;"",2,1)))))</x:f>
        <x:v>T4</x:v>
      </x:c>
      <x:c r="U122" s="24" t="str">
        <x:v>VRM Games</x:v>
      </x:c>
      <x:c r="V122" s="24" t="str">
        <x:v>No se detectó proveedor externo en la ruta; confirmar autoría por lote antes de release público.</x:v>
      </x:c>
    </x:row>
    <x:row r="123" ht="34" customHeight="1">
      <x:c r="A123" s="24" t="str">
        <x:v>TRC-00119</x:v>
      </x:c>
      <x:c r="B123" s="24" t="str">
        <x:v>cd575d7e9f65a2f4ebe585507d455523</x:v>
      </x:c>
      <x:c r="C123" s="24" t="str">
        <x:v>CC_S16_P2_Product_NeonDrift_LOD0.fbx</x:v>
      </x:c>
      <x:c r="D123" s="24" t="str">
        <x:v>3D model</x:v>
      </x:c>
      <x:c r="E123" s="24" t="str">
        <x:v>03_Assets_Internos</x:v>
      </x:c>
      <x:c r="F123" s="24" t="str">
        <x:v>MOD-056</x:v>
      </x:c>
      <x:c r="G123" s="24" t="str">
        <x:v>VRM Games / Blas Luis Rocha González</x:v>
      </x:c>
      <x:c r="H123" s="24" t="str">
        <x:v>Internal project IP / authorship claim</x:v>
      </x:c>
      <x:c r="I123" s="24" t="str">
        <x:v>Source package + repository path + hash</x:v>
      </x:c>
      <x:c r="J123" s="24" t="str">
        <x:v>078321464844e67de1c27b11992ad3bd965f6cb3b3999ca89a5354d5e35d67da</x:v>
      </x:c>
      <x:c r="K123" s="24" t="str">
        <x:v>Assets/_Project/Art/Models/Products/CC_S16_P2_Product_NeonDrift_LOD0.fbx</x:v>
      </x:c>
      <x:c r="L123" s="24" t="str">
        <x:v>CR-004</x:v>
      </x:c>
      <x:c r="M123" s="24" t="str"/>
      <x:c r="N123" s="24" t="str">
        <x:v>RES-001;RES-014</x:v>
      </x:c>
      <x:c r="O123" s="24" t="str">
        <x:v>Internal development; public candidate requires gate</x:v>
      </x:c>
      <x:c r="P123" s="24" t="str">
        <x:v>CONDITIONALLY APPROVED</x:v>
      </x:c>
      <x:c r="Q123" s="24" t="str">
        <x:v>Medium</x:v>
      </x:c>
      <x:c r="R123" s="24" t="str">
        <x:v>LEG-DEBT-008</x:v>
      </x:c>
      <x:c r="S123" s="24" t="str">
        <x:v>Parcial</x:v>
      </x:c>
      <x:c r="T123" s="24" t="str">
        <x:f>"T"&amp;IF(AND(H123&lt;&gt;"",I123&lt;&gt;"",J123&lt;&gt;"",L123&lt;&gt;"",N123&lt;&gt;"",O123&lt;&gt;"",P123="APPROVED PUBLIC",S123="Sí"),6,IF(AND(H123&lt;&gt;"",I123&lt;&gt;"",J123&lt;&gt;"",L123&lt;&gt;"",N123&lt;&gt;"",O123&lt;&gt;"",P123&lt;&gt;"",S123="Sí"),5,IF(AND(H123&lt;&gt;"",I123&lt;&gt;"",P123&lt;&gt;"",S123&lt;&gt;"No"),4,IF(AND(H123&lt;&gt;"",I123&lt;&gt;""),3,IF(F123&lt;&gt;"",2,1)))))</x:f>
        <x:v>T4</x:v>
      </x:c>
      <x:c r="U123" s="24" t="str">
        <x:v>VRM Games</x:v>
      </x:c>
      <x:c r="V123" s="24" t="str">
        <x:v>No se detectó proveedor externo en la ruta; confirmar autoría por lote antes de release público.</x:v>
      </x:c>
    </x:row>
    <x:row r="124" ht="34" customHeight="1">
      <x:c r="A124" s="24" t="str">
        <x:v>TRC-00120</x:v>
      </x:c>
      <x:c r="B124" s="24" t="str">
        <x:v>0ae1338aaae756b458789c7ad0287d78</x:v>
      </x:c>
      <x:c r="C124" s="24" t="str">
        <x:v>CC_S16_P2_Product_OrbitPad_Box_LOD0.fbx</x:v>
      </x:c>
      <x:c r="D124" s="24" t="str">
        <x:v>3D model</x:v>
      </x:c>
      <x:c r="E124" s="24" t="str">
        <x:v>03_Assets_Internos</x:v>
      </x:c>
      <x:c r="F124" s="24" t="str">
        <x:v>MOD-057</x:v>
      </x:c>
      <x:c r="G124" s="24" t="str">
        <x:v>VRM Games / Blas Luis Rocha González</x:v>
      </x:c>
      <x:c r="H124" s="24" t="str">
        <x:v>Internal project IP / authorship claim</x:v>
      </x:c>
      <x:c r="I124" s="24" t="str">
        <x:v>Source package + repository path + hash</x:v>
      </x:c>
      <x:c r="J124" s="24" t="str">
        <x:v>049a2b8b79f5dde49b66ea0ae0ffbc9fe46e4ab1a7ea379162388289ebadd1c5</x:v>
      </x:c>
      <x:c r="K124" s="24" t="str">
        <x:v>Assets/_Project/Art/Models/Products/CC_S16_P2_Product_OrbitPad_Box_LOD0.fbx</x:v>
      </x:c>
      <x:c r="L124" s="24" t="str">
        <x:v>CR-004</x:v>
      </x:c>
      <x:c r="M124" s="24" t="str"/>
      <x:c r="N124" s="24" t="str">
        <x:v>RES-001;RES-014</x:v>
      </x:c>
      <x:c r="O124" s="24" t="str">
        <x:v>Internal development; public candidate requires gate</x:v>
      </x:c>
      <x:c r="P124" s="24" t="str">
        <x:v>CONDITIONALLY APPROVED</x:v>
      </x:c>
      <x:c r="Q124" s="24" t="str">
        <x:v>Medium</x:v>
      </x:c>
      <x:c r="R124" s="24" t="str">
        <x:v>LEG-DEBT-008</x:v>
      </x:c>
      <x:c r="S124" s="24" t="str">
        <x:v>Parcial</x:v>
      </x:c>
      <x:c r="T124" s="24" t="str">
        <x:f>"T"&amp;IF(AND(H124&lt;&gt;"",I124&lt;&gt;"",J124&lt;&gt;"",L124&lt;&gt;"",N124&lt;&gt;"",O124&lt;&gt;"",P124="APPROVED PUBLIC",S124="Sí"),6,IF(AND(H124&lt;&gt;"",I124&lt;&gt;"",J124&lt;&gt;"",L124&lt;&gt;"",N124&lt;&gt;"",O124&lt;&gt;"",P124&lt;&gt;"",S124="Sí"),5,IF(AND(H124&lt;&gt;"",I124&lt;&gt;"",P124&lt;&gt;"",S124&lt;&gt;"No"),4,IF(AND(H124&lt;&gt;"",I124&lt;&gt;""),3,IF(F124&lt;&gt;"",2,1)))))</x:f>
        <x:v>T4</x:v>
      </x:c>
      <x:c r="U124" s="24" t="str">
        <x:v>VRM Games</x:v>
      </x:c>
      <x:c r="V124" s="24" t="str">
        <x:v>No se detectó proveedor externo en la ruta; confirmar autoría por lote antes de release público.</x:v>
      </x:c>
    </x:row>
    <x:row r="125" ht="34" customHeight="1">
      <x:c r="A125" s="24" t="str">
        <x:v>TRC-00121</x:v>
      </x:c>
      <x:c r="B125" s="24" t="str">
        <x:v>5fd66b34d59bcdc409a5134b16c8683d</x:v>
      </x:c>
      <x:c r="C125" s="24" t="str">
        <x:v>CC_S16_P2_Product_OrbitPad_LOD0.fbx</x:v>
      </x:c>
      <x:c r="D125" s="24" t="str">
        <x:v>3D model</x:v>
      </x:c>
      <x:c r="E125" s="24" t="str">
        <x:v>03_Assets_Internos</x:v>
      </x:c>
      <x:c r="F125" s="24" t="str">
        <x:v>MOD-058</x:v>
      </x:c>
      <x:c r="G125" s="24" t="str">
        <x:v>VRM Games / Blas Luis Rocha González</x:v>
      </x:c>
      <x:c r="H125" s="24" t="str">
        <x:v>Internal project IP / authorship claim</x:v>
      </x:c>
      <x:c r="I125" s="24" t="str">
        <x:v>Source package + repository path + hash</x:v>
      </x:c>
      <x:c r="J125" s="24" t="str">
        <x:v>3823f056c1776a380ae543e1d914a55d2d3b6090c16f7edbae7ba1a65fb33f67</x:v>
      </x:c>
      <x:c r="K125" s="24" t="str">
        <x:v>Assets/_Project/Art/Models/Products/CC_S16_P2_Product_OrbitPad_LOD0.fbx</x:v>
      </x:c>
      <x:c r="L125" s="24" t="str">
        <x:v>CR-004</x:v>
      </x:c>
      <x:c r="M125" s="24" t="str"/>
      <x:c r="N125" s="24" t="str">
        <x:v>RES-001;RES-014</x:v>
      </x:c>
      <x:c r="O125" s="24" t="str">
        <x:v>Internal development; public candidate requires gate</x:v>
      </x:c>
      <x:c r="P125" s="24" t="str">
        <x:v>CONDITIONALLY APPROVED</x:v>
      </x:c>
      <x:c r="Q125" s="24" t="str">
        <x:v>Medium</x:v>
      </x:c>
      <x:c r="R125" s="24" t="str">
        <x:v>LEG-DEBT-008</x:v>
      </x:c>
      <x:c r="S125" s="24" t="str">
        <x:v>Parcial</x:v>
      </x:c>
      <x:c r="T125" s="24" t="str">
        <x:f>"T"&amp;IF(AND(H125&lt;&gt;"",I125&lt;&gt;"",J125&lt;&gt;"",L125&lt;&gt;"",N125&lt;&gt;"",O125&lt;&gt;"",P125="APPROVED PUBLIC",S125="Sí"),6,IF(AND(H125&lt;&gt;"",I125&lt;&gt;"",J125&lt;&gt;"",L125&lt;&gt;"",N125&lt;&gt;"",O125&lt;&gt;"",P125&lt;&gt;"",S125="Sí"),5,IF(AND(H125&lt;&gt;"",I125&lt;&gt;"",P125&lt;&gt;"",S125&lt;&gt;"No"),4,IF(AND(H125&lt;&gt;"",I125&lt;&gt;""),3,IF(F125&lt;&gt;"",2,1)))))</x:f>
        <x:v>T4</x:v>
      </x:c>
      <x:c r="U125" s="24" t="str">
        <x:v>VRM Games</x:v>
      </x:c>
      <x:c r="V125" s="24" t="str">
        <x:v>No se detectó proveedor externo en la ruta; confirmar autoría por lote antes de release público.</x:v>
      </x:c>
    </x:row>
    <x:row r="126" ht="34" customHeight="1">
      <x:c r="A126" s="24" t="str">
        <x:v>TRC-00122</x:v>
      </x:c>
      <x:c r="B126" s="24" t="str">
        <x:v>d3231e93f43119d40b47ac8fb7b78251</x:v>
      </x:c>
      <x:c r="C126" s="24" t="str">
        <x:v>CC_S16_P2_Product_SignalProHeadset_LOD0.fbx</x:v>
      </x:c>
      <x:c r="D126" s="24" t="str">
        <x:v>3D model</x:v>
      </x:c>
      <x:c r="E126" s="24" t="str">
        <x:v>03_Assets_Internos</x:v>
      </x:c>
      <x:c r="F126" s="24" t="str">
        <x:v>MOD-059</x:v>
      </x:c>
      <x:c r="G126" s="24" t="str">
        <x:v>VRM Games / Blas Luis Rocha González</x:v>
      </x:c>
      <x:c r="H126" s="24" t="str">
        <x:v>Internal project IP / authorship claim</x:v>
      </x:c>
      <x:c r="I126" s="24" t="str">
        <x:v>Source package + repository path + hash</x:v>
      </x:c>
      <x:c r="J126" s="24" t="str">
        <x:v>67ca2bdfd58becd8724fcfd276f148abd089d6059fb4f8b234084413d0c11c6e</x:v>
      </x:c>
      <x:c r="K126" s="24" t="str">
        <x:v>Assets/_Project/Art/Models/Products/CC_S16_P2_Product_SignalProHeadset_LOD0.fbx</x:v>
      </x:c>
      <x:c r="L126" s="24" t="str">
        <x:v>CR-004</x:v>
      </x:c>
      <x:c r="M126" s="24" t="str"/>
      <x:c r="N126" s="24" t="str">
        <x:v>RES-001;RES-014</x:v>
      </x:c>
      <x:c r="O126" s="24" t="str">
        <x:v>Internal development; public candidate requires gate</x:v>
      </x:c>
      <x:c r="P126" s="24" t="str">
        <x:v>CONDITIONALLY APPROVED</x:v>
      </x:c>
      <x:c r="Q126" s="24" t="str">
        <x:v>Medium</x:v>
      </x:c>
      <x:c r="R126" s="24" t="str">
        <x:v>LEG-DEBT-008</x:v>
      </x:c>
      <x:c r="S126" s="24" t="str">
        <x:v>Parcial</x:v>
      </x:c>
      <x:c r="T126" s="24" t="str">
        <x:f>"T"&amp;IF(AND(H126&lt;&gt;"",I126&lt;&gt;"",J126&lt;&gt;"",L126&lt;&gt;"",N126&lt;&gt;"",O126&lt;&gt;"",P126="APPROVED PUBLIC",S126="Sí"),6,IF(AND(H126&lt;&gt;"",I126&lt;&gt;"",J126&lt;&gt;"",L126&lt;&gt;"",N126&lt;&gt;"",O126&lt;&gt;"",P126&lt;&gt;"",S126="Sí"),5,IF(AND(H126&lt;&gt;"",I126&lt;&gt;"",P126&lt;&gt;"",S126&lt;&gt;"No"),4,IF(AND(H126&lt;&gt;"",I126&lt;&gt;""),3,IF(F126&lt;&gt;"",2,1)))))</x:f>
        <x:v>T4</x:v>
      </x:c>
      <x:c r="U126" s="24" t="str">
        <x:v>VRM Games</x:v>
      </x:c>
      <x:c r="V126" s="24" t="str">
        <x:v>No se detectó proveedor externo en la ruta; confirmar autoría por lote antes de release público.</x:v>
      </x:c>
    </x:row>
    <x:row r="127" ht="34" customHeight="1">
      <x:c r="A127" s="24" t="str">
        <x:v>TRC-00123</x:v>
      </x:c>
      <x:c r="B127" s="24" t="str">
        <x:v>9c5f88fa3f3bfc14dae291700dea108a</x:v>
      </x:c>
      <x:c r="C127" s="24" t="str">
        <x:v>CC_S16_P2_Product_SignalPro_Box_LOD0.fbx</x:v>
      </x:c>
      <x:c r="D127" s="24" t="str">
        <x:v>3D model</x:v>
      </x:c>
      <x:c r="E127" s="24" t="str">
        <x:v>03_Assets_Internos</x:v>
      </x:c>
      <x:c r="F127" s="24" t="str">
        <x:v>MOD-060</x:v>
      </x:c>
      <x:c r="G127" s="24" t="str">
        <x:v>VRM Games / Blas Luis Rocha González</x:v>
      </x:c>
      <x:c r="H127" s="24" t="str">
        <x:v>Internal project IP / authorship claim</x:v>
      </x:c>
      <x:c r="I127" s="24" t="str">
        <x:v>Source package + repository path + hash</x:v>
      </x:c>
      <x:c r="J127" s="24" t="str">
        <x:v>7ab8f088e6f50fe7bd89ec8a980ff4aea71408cd47b51606b1aa2798d7ca780e</x:v>
      </x:c>
      <x:c r="K127" s="24" t="str">
        <x:v>Assets/_Project/Art/Models/Products/CC_S16_P2_Product_SignalPro_Box_LOD0.fbx</x:v>
      </x:c>
      <x:c r="L127" s="24" t="str">
        <x:v>CR-004</x:v>
      </x:c>
      <x:c r="M127" s="24" t="str"/>
      <x:c r="N127" s="24" t="str">
        <x:v>RES-001;RES-014</x:v>
      </x:c>
      <x:c r="O127" s="24" t="str">
        <x:v>Internal development; public candidate requires gate</x:v>
      </x:c>
      <x:c r="P127" s="24" t="str">
        <x:v>CONDITIONALLY APPROVED</x:v>
      </x:c>
      <x:c r="Q127" s="24" t="str">
        <x:v>Medium</x:v>
      </x:c>
      <x:c r="R127" s="24" t="str">
        <x:v>LEG-DEBT-008</x:v>
      </x:c>
      <x:c r="S127" s="24" t="str">
        <x:v>Parcial</x:v>
      </x:c>
      <x:c r="T127" s="24" t="str">
        <x:f>"T"&amp;IF(AND(H127&lt;&gt;"",I127&lt;&gt;"",J127&lt;&gt;"",L127&lt;&gt;"",N127&lt;&gt;"",O127&lt;&gt;"",P127="APPROVED PUBLIC",S127="Sí"),6,IF(AND(H127&lt;&gt;"",I127&lt;&gt;"",J127&lt;&gt;"",L127&lt;&gt;"",N127&lt;&gt;"",O127&lt;&gt;"",P127&lt;&gt;"",S127="Sí"),5,IF(AND(H127&lt;&gt;"",I127&lt;&gt;"",P127&lt;&gt;"",S127&lt;&gt;"No"),4,IF(AND(H127&lt;&gt;"",I127&lt;&gt;""),3,IF(F127&lt;&gt;"",2,1)))))</x:f>
        <x:v>T4</x:v>
      </x:c>
      <x:c r="U127" s="24" t="str">
        <x:v>VRM Games</x:v>
      </x:c>
      <x:c r="V127" s="24" t="str">
        <x:v>No se detectó proveedor externo en la ruta; confirmar autoría por lote antes de release público.</x:v>
      </x:c>
    </x:row>
    <x:row r="128" ht="34" customHeight="1">
      <x:c r="A128" s="24" t="str">
        <x:v>TRC-00124</x:v>
      </x:c>
      <x:c r="B128" s="24" t="str">
        <x:v>f9d4cf6bb7e802d4e94e31cbce40ba82</x:v>
      </x:c>
      <x:c r="C128" s="24" t="str">
        <x:v>CC_S16_P2_Product_VertexOneConsole_LOD0.fbx</x:v>
      </x:c>
      <x:c r="D128" s="24" t="str">
        <x:v>3D model</x:v>
      </x:c>
      <x:c r="E128" s="24" t="str">
        <x:v>03_Assets_Internos</x:v>
      </x:c>
      <x:c r="F128" s="24" t="str">
        <x:v>MOD-061</x:v>
      </x:c>
      <x:c r="G128" s="24" t="str">
        <x:v>VRM Games / Blas Luis Rocha González</x:v>
      </x:c>
      <x:c r="H128" s="24" t="str">
        <x:v>Internal project IP / authorship claim</x:v>
      </x:c>
      <x:c r="I128" s="24" t="str">
        <x:v>Source package + repository path + hash</x:v>
      </x:c>
      <x:c r="J128" s="24" t="str">
        <x:v>1d5fe536e805e0900aa45bfff348625d297657671927efcc9edda05fb722a268</x:v>
      </x:c>
      <x:c r="K128" s="24" t="str">
        <x:v>Assets/_Project/Art/Models/Products/CC_S16_P2_Product_VertexOneConsole_LOD0.fbx</x:v>
      </x:c>
      <x:c r="L128" s="24" t="str">
        <x:v>CR-004</x:v>
      </x:c>
      <x:c r="M128" s="24" t="str"/>
      <x:c r="N128" s="24" t="str">
        <x:v>RES-001;RES-014</x:v>
      </x:c>
      <x:c r="O128" s="24" t="str">
        <x:v>Internal development; public candidate requires gate</x:v>
      </x:c>
      <x:c r="P128" s="24" t="str">
        <x:v>CONDITIONALLY APPROVED</x:v>
      </x:c>
      <x:c r="Q128" s="24" t="str">
        <x:v>Medium</x:v>
      </x:c>
      <x:c r="R128" s="24" t="str">
        <x:v>LEG-DEBT-008</x:v>
      </x:c>
      <x:c r="S128" s="24" t="str">
        <x:v>Parcial</x:v>
      </x:c>
      <x:c r="T128" s="24" t="str">
        <x:f>"T"&amp;IF(AND(H128&lt;&gt;"",I128&lt;&gt;"",J128&lt;&gt;"",L128&lt;&gt;"",N128&lt;&gt;"",O128&lt;&gt;"",P128="APPROVED PUBLIC",S128="Sí"),6,IF(AND(H128&lt;&gt;"",I128&lt;&gt;"",J128&lt;&gt;"",L128&lt;&gt;"",N128&lt;&gt;"",O128&lt;&gt;"",P128&lt;&gt;"",S128="Sí"),5,IF(AND(H128&lt;&gt;"",I128&lt;&gt;"",P128&lt;&gt;"",S128&lt;&gt;"No"),4,IF(AND(H128&lt;&gt;"",I128&lt;&gt;""),3,IF(F128&lt;&gt;"",2,1)))))</x:f>
        <x:v>T4</x:v>
      </x:c>
      <x:c r="U128" s="24" t="str">
        <x:v>VRM Games</x:v>
      </x:c>
      <x:c r="V128" s="24" t="str">
        <x:v>No se detectó proveedor externo en la ruta; confirmar autoría por lote antes de release público.</x:v>
      </x:c>
    </x:row>
    <x:row r="129" ht="34" customHeight="1">
      <x:c r="A129" s="24" t="str">
        <x:v>TRC-00125</x:v>
      </x:c>
      <x:c r="B129" s="24" t="str">
        <x:v>967d692d9cc65d343b6533abb59e1b22</x:v>
      </x:c>
      <x:c r="C129" s="24" t="str">
        <x:v>CC_S16_P2_Product_VertexOne_Box_LOD0.fbx</x:v>
      </x:c>
      <x:c r="D129" s="24" t="str">
        <x:v>3D model</x:v>
      </x:c>
      <x:c r="E129" s="24" t="str">
        <x:v>03_Assets_Internos</x:v>
      </x:c>
      <x:c r="F129" s="24" t="str">
        <x:v>MOD-062</x:v>
      </x:c>
      <x:c r="G129" s="24" t="str">
        <x:v>VRM Games / Blas Luis Rocha González</x:v>
      </x:c>
      <x:c r="H129" s="24" t="str">
        <x:v>Internal project IP / authorship claim</x:v>
      </x:c>
      <x:c r="I129" s="24" t="str">
        <x:v>Source package + repository path + hash</x:v>
      </x:c>
      <x:c r="J129" s="24" t="str">
        <x:v>2c1a74761dd91a91d908f8776d33efb7538ed264008ffe1d3933440850f477bf</x:v>
      </x:c>
      <x:c r="K129" s="24" t="str">
        <x:v>Assets/_Project/Art/Models/Products/CC_S16_P2_Product_VertexOne_Box_LOD0.fbx</x:v>
      </x:c>
      <x:c r="L129" s="24" t="str">
        <x:v>CR-004</x:v>
      </x:c>
      <x:c r="M129" s="24" t="str"/>
      <x:c r="N129" s="24" t="str">
        <x:v>RES-001;RES-014</x:v>
      </x:c>
      <x:c r="O129" s="24" t="str">
        <x:v>Internal development; public candidate requires gate</x:v>
      </x:c>
      <x:c r="P129" s="24" t="str">
        <x:v>CONDITIONALLY APPROVED</x:v>
      </x:c>
      <x:c r="Q129" s="24" t="str">
        <x:v>Medium</x:v>
      </x:c>
      <x:c r="R129" s="24" t="str">
        <x:v>LEG-DEBT-008</x:v>
      </x:c>
      <x:c r="S129" s="24" t="str">
        <x:v>Parcial</x:v>
      </x:c>
      <x:c r="T129" s="24" t="str">
        <x:f>"T"&amp;IF(AND(H129&lt;&gt;"",I129&lt;&gt;"",J129&lt;&gt;"",L129&lt;&gt;"",N129&lt;&gt;"",O129&lt;&gt;"",P129="APPROVED PUBLIC",S129="Sí"),6,IF(AND(H129&lt;&gt;"",I129&lt;&gt;"",J129&lt;&gt;"",L129&lt;&gt;"",N129&lt;&gt;"",O129&lt;&gt;"",P129&lt;&gt;"",S129="Sí"),5,IF(AND(H129&lt;&gt;"",I129&lt;&gt;"",P129&lt;&gt;"",S129&lt;&gt;"No"),4,IF(AND(H129&lt;&gt;"",I129&lt;&gt;""),3,IF(F129&lt;&gt;"",2,1)))))</x:f>
        <x:v>T4</x:v>
      </x:c>
      <x:c r="U129" s="24" t="str">
        <x:v>VRM Games</x:v>
      </x:c>
      <x:c r="V129" s="24" t="str">
        <x:v>No se detectó proveedor externo en la ruta; confirmar autoría por lote antes de release público.</x:v>
      </x:c>
    </x:row>
    <x:row r="130" ht="34" customHeight="1">
      <x:c r="A130" s="24" t="str">
        <x:v>TRC-00126</x:v>
      </x:c>
      <x:c r="B130" s="24" t="str">
        <x:v>99ad8e1cc769d203874d34b007d6b1fb</x:v>
      </x:c>
      <x:c r="C130" s="24" t="str">
        <x:v>accessory-memory-core_cover.png</x:v>
      </x:c>
      <x:c r="D130" s="24" t="str">
        <x:v>Texture/Icon</x:v>
      </x:c>
      <x:c r="E130" s="24" t="str">
        <x:v>03_Assets_Internos</x:v>
      </x:c>
      <x:c r="F130" s="24" t="str">
        <x:v>MTX-053</x:v>
      </x:c>
      <x:c r="G130" s="24" t="str">
        <x:v>VRM Games / Blas Luis Rocha González</x:v>
      </x:c>
      <x:c r="H130" s="24" t="str">
        <x:v>Internal project IP / authorship claim</x:v>
      </x:c>
      <x:c r="I130" s="24" t="str">
        <x:v>Source package + repository path + hash</x:v>
      </x:c>
      <x:c r="J130" s="24" t="str">
        <x:v>23093ed99ade7984b50a548095c52039533cf77233e1e164d4fd238b1f378ac2</x:v>
      </x:c>
      <x:c r="K130" s="24" t="str">
        <x:v>Assets/_Project/Art/Textures/Products/Covers/accessory-memory-core_cover.png</x:v>
      </x:c>
      <x:c r="L130" s="24" t="str">
        <x:v>CR-004</x:v>
      </x:c>
      <x:c r="M130" s="24" t="str"/>
      <x:c r="N130" s="24" t="str">
        <x:v>RES-001;RES-014</x:v>
      </x:c>
      <x:c r="O130" s="24" t="str">
        <x:v>Internal development; public candidate requires gate</x:v>
      </x:c>
      <x:c r="P130" s="24" t="str">
        <x:v>CONDITIONALLY APPROVED</x:v>
      </x:c>
      <x:c r="Q130" s="24" t="str">
        <x:v>Medium</x:v>
      </x:c>
      <x:c r="R130" s="24" t="str"/>
      <x:c r="S130" s="24" t="str">
        <x:v>Parcial</x:v>
      </x:c>
      <x:c r="T130" s="24" t="str">
        <x:f>"T"&amp;IF(AND(H130&lt;&gt;"",I130&lt;&gt;"",J130&lt;&gt;"",L130&lt;&gt;"",N130&lt;&gt;"",O130&lt;&gt;"",P130="APPROVED PUBLIC",S130="Sí"),6,IF(AND(H130&lt;&gt;"",I130&lt;&gt;"",J130&lt;&gt;"",L130&lt;&gt;"",N130&lt;&gt;"",O130&lt;&gt;"",P130&lt;&gt;"",S130="Sí"),5,IF(AND(H130&lt;&gt;"",I130&lt;&gt;"",P130&lt;&gt;"",S130&lt;&gt;"No"),4,IF(AND(H130&lt;&gt;"",I130&lt;&gt;""),3,IF(F130&lt;&gt;"",2,1)))))</x:f>
        <x:v>T4</x:v>
      </x:c>
      <x:c r="U130" s="24" t="str">
        <x:v>VRM Games</x:v>
      </x:c>
      <x:c r="V130" s="24" t="str">
        <x:v>No se detectó proveedor externo en la ruta; confirmar autoría por lote antes de release público.</x:v>
      </x:c>
    </x:row>
    <x:row r="131" ht="34" customHeight="1">
      <x:c r="A131" s="24" t="str">
        <x:v>TRC-00127</x:v>
      </x:c>
      <x:c r="B131" s="24" t="str">
        <x:v>02a2a492a281853daab6388d0ee18a34</x:v>
      </x:c>
      <x:c r="C131" s="24" t="str">
        <x:v>case-cloud-runner_cover.png</x:v>
      </x:c>
      <x:c r="D131" s="24" t="str">
        <x:v>Texture/Icon</x:v>
      </x:c>
      <x:c r="E131" s="24" t="str">
        <x:v>03_Assets_Internos</x:v>
      </x:c>
      <x:c r="F131" s="24" t="str">
        <x:v>MTX-054</x:v>
      </x:c>
      <x:c r="G131" s="24" t="str">
        <x:v>VRM Games / Blas Luis Rocha González</x:v>
      </x:c>
      <x:c r="H131" s="24" t="str">
        <x:v>Internal project IP / authorship claim</x:v>
      </x:c>
      <x:c r="I131" s="24" t="str">
        <x:v>Source package + repository path + hash</x:v>
      </x:c>
      <x:c r="J131" s="24" t="str">
        <x:v>042248c96d5107781d0a133d55211fb06f5393895cb79628fe0c5c8512e262e7</x:v>
      </x:c>
      <x:c r="K131" s="24" t="str">
        <x:v>Assets/_Project/Art/Textures/Products/Covers/case-cloud-runner_cover.png</x:v>
      </x:c>
      <x:c r="L131" s="24" t="str">
        <x:v>CR-004</x:v>
      </x:c>
      <x:c r="M131" s="24" t="str"/>
      <x:c r="N131" s="24" t="str">
        <x:v>RES-001;RES-014</x:v>
      </x:c>
      <x:c r="O131" s="24" t="str">
        <x:v>Internal development; public candidate requires gate</x:v>
      </x:c>
      <x:c r="P131" s="24" t="str">
        <x:v>CONDITIONALLY APPROVED</x:v>
      </x:c>
      <x:c r="Q131" s="24" t="str">
        <x:v>Medium</x:v>
      </x:c>
      <x:c r="R131" s="24" t="str"/>
      <x:c r="S131" s="24" t="str">
        <x:v>Parcial</x:v>
      </x:c>
      <x:c r="T131" s="24" t="str">
        <x:f>"T"&amp;IF(AND(H131&lt;&gt;"",I131&lt;&gt;"",J131&lt;&gt;"",L131&lt;&gt;"",N131&lt;&gt;"",O131&lt;&gt;"",P131="APPROVED PUBLIC",S131="Sí"),6,IF(AND(H131&lt;&gt;"",I131&lt;&gt;"",J131&lt;&gt;"",L131&lt;&gt;"",N131&lt;&gt;"",O131&lt;&gt;"",P131&lt;&gt;"",S131="Sí"),5,IF(AND(H131&lt;&gt;"",I131&lt;&gt;"",P131&lt;&gt;"",S131&lt;&gt;"No"),4,IF(AND(H131&lt;&gt;"",I131&lt;&gt;""),3,IF(F131&lt;&gt;"",2,1)))))</x:f>
        <x:v>T4</x:v>
      </x:c>
      <x:c r="U131" s="24" t="str">
        <x:v>VRM Games</x:v>
      </x:c>
      <x:c r="V131" s="24" t="str">
        <x:v>No se detectó proveedor externo en la ruta; confirmar autoría por lote antes de release público.</x:v>
      </x:c>
    </x:row>
    <x:row r="132" ht="34" customHeight="1">
      <x:c r="A132" s="24" t="str">
        <x:v>TRC-00128</x:v>
      </x:c>
      <x:c r="B132" s="24" t="str">
        <x:v>36c44215e08a5796632b24c7f3fd1ebd</x:v>
      </x:c>
      <x:c r="C132" s="24" t="str">
        <x:v>console-vertex-one_cover.png</x:v>
      </x:c>
      <x:c r="D132" s="24" t="str">
        <x:v>Texture/Icon</x:v>
      </x:c>
      <x:c r="E132" s="24" t="str">
        <x:v>03_Assets_Internos</x:v>
      </x:c>
      <x:c r="F132" s="24" t="str">
        <x:v>MTX-055</x:v>
      </x:c>
      <x:c r="G132" s="24" t="str">
        <x:v>VRM Games / Blas Luis Rocha González</x:v>
      </x:c>
      <x:c r="H132" s="24" t="str">
        <x:v>Internal project IP / authorship claim</x:v>
      </x:c>
      <x:c r="I132" s="24" t="str">
        <x:v>Source package + repository path + hash</x:v>
      </x:c>
      <x:c r="J132" s="24" t="str">
        <x:v>45754fda3c0b992594de591e938520df3cd905e0d4145d13638a2678ee11b2e6</x:v>
      </x:c>
      <x:c r="K132" s="24" t="str">
        <x:v>Assets/_Project/Art/Textures/Products/Covers/console-vertex-one_cover.png</x:v>
      </x:c>
      <x:c r="L132" s="24" t="str">
        <x:v>CR-004</x:v>
      </x:c>
      <x:c r="M132" s="24" t="str"/>
      <x:c r="N132" s="24" t="str">
        <x:v>RES-001;RES-014</x:v>
      </x:c>
      <x:c r="O132" s="24" t="str">
        <x:v>Internal development; public candidate requires gate</x:v>
      </x:c>
      <x:c r="P132" s="24" t="str">
        <x:v>CONDITIONALLY APPROVED</x:v>
      </x:c>
      <x:c r="Q132" s="24" t="str">
        <x:v>Medium</x:v>
      </x:c>
      <x:c r="R132" s="24" t="str"/>
      <x:c r="S132" s="24" t="str">
        <x:v>Parcial</x:v>
      </x:c>
      <x:c r="T132" s="24" t="str">
        <x:f>"T"&amp;IF(AND(H132&lt;&gt;"",I132&lt;&gt;"",J132&lt;&gt;"",L132&lt;&gt;"",N132&lt;&gt;"",O132&lt;&gt;"",P132="APPROVED PUBLIC",S132="Sí"),6,IF(AND(H132&lt;&gt;"",I132&lt;&gt;"",J132&lt;&gt;"",L132&lt;&gt;"",N132&lt;&gt;"",O132&lt;&gt;"",P132&lt;&gt;"",S132="Sí"),5,IF(AND(H132&lt;&gt;"",I132&lt;&gt;"",P132&lt;&gt;"",S132&lt;&gt;"No"),4,IF(AND(H132&lt;&gt;"",I132&lt;&gt;""),3,IF(F132&lt;&gt;"",2,1)))))</x:f>
        <x:v>T4</x:v>
      </x:c>
      <x:c r="U132" s="24" t="str">
        <x:v>VRM Games</x:v>
      </x:c>
      <x:c r="V132" s="24" t="str">
        <x:v>No se detectó proveedor externo en la ruta; confirmar autoría por lote antes de release público.</x:v>
      </x:c>
    </x:row>
    <x:row r="133" ht="34" customHeight="1">
      <x:c r="A133" s="24" t="str">
        <x:v>TRC-00129</x:v>
      </x:c>
      <x:c r="B133" s="24" t="str">
        <x:v>1df6feaefb37bee2c723271f297c84fa</x:v>
      </x:c>
      <x:c r="C133" s="24" t="str">
        <x:v>controller-orbit-pad_cover.png</x:v>
      </x:c>
      <x:c r="D133" s="24" t="str">
        <x:v>Texture/Icon</x:v>
      </x:c>
      <x:c r="E133" s="24" t="str">
        <x:v>03_Assets_Internos</x:v>
      </x:c>
      <x:c r="F133" s="24" t="str">
        <x:v>MTX-056</x:v>
      </x:c>
      <x:c r="G133" s="24" t="str">
        <x:v>VRM Games / Blas Luis Rocha González</x:v>
      </x:c>
      <x:c r="H133" s="24" t="str">
        <x:v>Internal project IP / authorship claim</x:v>
      </x:c>
      <x:c r="I133" s="24" t="str">
        <x:v>Source package + repository path + hash</x:v>
      </x:c>
      <x:c r="J133" s="24" t="str">
        <x:v>753bbda1be3534e086347c32bdeac3ff6e8c595affab3b4a45cb27fe98611646</x:v>
      </x:c>
      <x:c r="K133" s="24" t="str">
        <x:v>Assets/_Project/Art/Textures/Products/Covers/controller-orbit-pad_cover.png</x:v>
      </x:c>
      <x:c r="L133" s="24" t="str">
        <x:v>CR-004</x:v>
      </x:c>
      <x:c r="M133" s="24" t="str"/>
      <x:c r="N133" s="24" t="str">
        <x:v>RES-001;RES-014</x:v>
      </x:c>
      <x:c r="O133" s="24" t="str">
        <x:v>Internal development; public candidate requires gate</x:v>
      </x:c>
      <x:c r="P133" s="24" t="str">
        <x:v>CONDITIONALLY APPROVED</x:v>
      </x:c>
      <x:c r="Q133" s="24" t="str">
        <x:v>Medium</x:v>
      </x:c>
      <x:c r="R133" s="24" t="str"/>
      <x:c r="S133" s="24" t="str">
        <x:v>Parcial</x:v>
      </x:c>
      <x:c r="T133" s="24" t="str">
        <x:f>"T"&amp;IF(AND(H133&lt;&gt;"",I133&lt;&gt;"",J133&lt;&gt;"",L133&lt;&gt;"",N133&lt;&gt;"",O133&lt;&gt;"",P133="APPROVED PUBLIC",S133="Sí"),6,IF(AND(H133&lt;&gt;"",I133&lt;&gt;"",J133&lt;&gt;"",L133&lt;&gt;"",N133&lt;&gt;"",O133&lt;&gt;"",P133&lt;&gt;"",S133="Sí"),5,IF(AND(H133&lt;&gt;"",I133&lt;&gt;"",P133&lt;&gt;"",S133&lt;&gt;"No"),4,IF(AND(H133&lt;&gt;"",I133&lt;&gt;""),3,IF(F133&lt;&gt;"",2,1)))))</x:f>
        <x:v>T4</x:v>
      </x:c>
      <x:c r="U133" s="24" t="str">
        <x:v>VRM Games</x:v>
      </x:c>
      <x:c r="V133" s="24" t="str">
        <x:v>No se detectó proveedor externo en la ruta; confirmar autoría por lote antes de release público.</x:v>
      </x:c>
    </x:row>
    <x:row r="134" ht="34" customHeight="1">
      <x:c r="A134" s="24" t="str">
        <x:v>TRC-00130</x:v>
      </x:c>
      <x:c r="B134" s="24" t="str">
        <x:v>95a08376e01a66e9fb8be705367e8e70</x:v>
      </x:c>
      <x:c r="C134" s="24" t="str">
        <x:v>game-neon-drift_cover.png</x:v>
      </x:c>
      <x:c r="D134" s="24" t="str">
        <x:v>Texture/Icon</x:v>
      </x:c>
      <x:c r="E134" s="24" t="str">
        <x:v>03_Assets_Internos</x:v>
      </x:c>
      <x:c r="F134" s="24" t="str">
        <x:v>MTX-057</x:v>
      </x:c>
      <x:c r="G134" s="24" t="str">
        <x:v>VRM Games / Blas Luis Rocha González</x:v>
      </x:c>
      <x:c r="H134" s="24" t="str">
        <x:v>Internal project IP / authorship claim</x:v>
      </x:c>
      <x:c r="I134" s="24" t="str">
        <x:v>Source package + repository path + hash</x:v>
      </x:c>
      <x:c r="J134" s="24" t="str">
        <x:v>959600e550e3c4f42571a8258adf7f034bd3448bc63bd9cd1e6d24a41dc82d2b</x:v>
      </x:c>
      <x:c r="K134" s="24" t="str">
        <x:v>Assets/_Project/Art/Textures/Products/Covers/game-neon-drift_cover.png</x:v>
      </x:c>
      <x:c r="L134" s="24" t="str">
        <x:v>CR-004</x:v>
      </x:c>
      <x:c r="M134" s="24" t="str"/>
      <x:c r="N134" s="24" t="str">
        <x:v>RES-001;RES-014</x:v>
      </x:c>
      <x:c r="O134" s="24" t="str">
        <x:v>Internal development; public candidate requires gate</x:v>
      </x:c>
      <x:c r="P134" s="24" t="str">
        <x:v>CONDITIONALLY APPROVED</x:v>
      </x:c>
      <x:c r="Q134" s="24" t="str">
        <x:v>Medium</x:v>
      </x:c>
      <x:c r="R134" s="24" t="str"/>
      <x:c r="S134" s="24" t="str">
        <x:v>Parcial</x:v>
      </x:c>
      <x:c r="T134" s="24" t="str">
        <x:f>"T"&amp;IF(AND(H134&lt;&gt;"",I134&lt;&gt;"",J134&lt;&gt;"",L134&lt;&gt;"",N134&lt;&gt;"",O134&lt;&gt;"",P134="APPROVED PUBLIC",S134="Sí"),6,IF(AND(H134&lt;&gt;"",I134&lt;&gt;"",J134&lt;&gt;"",L134&lt;&gt;"",N134&lt;&gt;"",O134&lt;&gt;"",P134&lt;&gt;"",S134="Sí"),5,IF(AND(H134&lt;&gt;"",I134&lt;&gt;"",P134&lt;&gt;"",S134&lt;&gt;"No"),4,IF(AND(H134&lt;&gt;"",I134&lt;&gt;""),3,IF(F134&lt;&gt;"",2,1)))))</x:f>
        <x:v>T4</x:v>
      </x:c>
      <x:c r="U134" s="24" t="str">
        <x:v>VRM Games</x:v>
      </x:c>
      <x:c r="V134" s="24" t="str">
        <x:v>No se detectó proveedor externo en la ruta; confirmar autoría por lote antes de release público.</x:v>
      </x:c>
    </x:row>
    <x:row r="135" ht="34" customHeight="1">
      <x:c r="A135" s="24" t="str">
        <x:v>TRC-00131</x:v>
      </x:c>
      <x:c r="B135" s="24" t="str">
        <x:v>555516fd940c23a935886572fcb5dbda</x:v>
      </x:c>
      <x:c r="C135" s="24" t="str">
        <x:v>headset-signal-pro_cover.png</x:v>
      </x:c>
      <x:c r="D135" s="24" t="str">
        <x:v>Texture/Icon</x:v>
      </x:c>
      <x:c r="E135" s="24" t="str">
        <x:v>03_Assets_Internos</x:v>
      </x:c>
      <x:c r="F135" s="24" t="str">
        <x:v>MTX-058</x:v>
      </x:c>
      <x:c r="G135" s="24" t="str">
        <x:v>VRM Games / Blas Luis Rocha González</x:v>
      </x:c>
      <x:c r="H135" s="24" t="str">
        <x:v>Internal project IP / authorship claim</x:v>
      </x:c>
      <x:c r="I135" s="24" t="str">
        <x:v>Source package + repository path + hash</x:v>
      </x:c>
      <x:c r="J135" s="24" t="str">
        <x:v>6aa019355a4239b448e5cce81b19263f999b5d0a2f159c34cbe0395dd3e20f36</x:v>
      </x:c>
      <x:c r="K135" s="24" t="str">
        <x:v>Assets/_Project/Art/Textures/Products/Covers/headset-signal-pro_cover.png</x:v>
      </x:c>
      <x:c r="L135" s="24" t="str">
        <x:v>CR-004</x:v>
      </x:c>
      <x:c r="M135" s="24" t="str"/>
      <x:c r="N135" s="24" t="str">
        <x:v>RES-001;RES-014</x:v>
      </x:c>
      <x:c r="O135" s="24" t="str">
        <x:v>Internal development; public candidate requires gate</x:v>
      </x:c>
      <x:c r="P135" s="24" t="str">
        <x:v>CONDITIONALLY APPROVED</x:v>
      </x:c>
      <x:c r="Q135" s="24" t="str">
        <x:v>Medium</x:v>
      </x:c>
      <x:c r="R135" s="24" t="str"/>
      <x:c r="S135" s="24" t="str">
        <x:v>Parcial</x:v>
      </x:c>
      <x:c r="T135" s="24" t="str">
        <x:f>"T"&amp;IF(AND(H135&lt;&gt;"",I135&lt;&gt;"",J135&lt;&gt;"",L135&lt;&gt;"",N135&lt;&gt;"",O135&lt;&gt;"",P135="APPROVED PUBLIC",S135="Sí"),6,IF(AND(H135&lt;&gt;"",I135&lt;&gt;"",J135&lt;&gt;"",L135&lt;&gt;"",N135&lt;&gt;"",O135&lt;&gt;"",P135&lt;&gt;"",S135="Sí"),5,IF(AND(H135&lt;&gt;"",I135&lt;&gt;"",P135&lt;&gt;"",S135&lt;&gt;"No"),4,IF(AND(H135&lt;&gt;"",I135&lt;&gt;""),3,IF(F135&lt;&gt;"",2,1)))))</x:f>
        <x:v>T4</x:v>
      </x:c>
      <x:c r="U135" s="24" t="str">
        <x:v>VRM Games</x:v>
      </x:c>
      <x:c r="V135" s="24" t="str">
        <x:v>No se detectó proveedor externo en la ruta; confirmar autoría por lote antes de release público.</x:v>
      </x:c>
    </x:row>
    <x:row r="136" ht="34" customHeight="1">
      <x:c r="A136" s="24" t="str">
        <x:v>TRC-00132</x:v>
      </x:c>
      <x:c r="B136" s="24" t="str">
        <x:v>6d1ad708b4e4aafaed261b3d970bad30</x:v>
      </x:c>
      <x:c r="C136" s="24" t="str">
        <x:v>accessory-memory-core_icon.png</x:v>
      </x:c>
      <x:c r="D136" s="24" t="str">
        <x:v>Texture/Icon</x:v>
      </x:c>
      <x:c r="E136" s="24" t="str">
        <x:v>03_Assets_Internos</x:v>
      </x:c>
      <x:c r="F136" s="24" t="str">
        <x:v>MTX-059</x:v>
      </x:c>
      <x:c r="G136" s="24" t="str">
        <x:v>VRM Games / Blas Luis Rocha González</x:v>
      </x:c>
      <x:c r="H136" s="24" t="str">
        <x:v>Internal project IP / authorship claim</x:v>
      </x:c>
      <x:c r="I136" s="24" t="str">
        <x:v>Source package + repository path + hash</x:v>
      </x:c>
      <x:c r="J136" s="24" t="str">
        <x:v>d7a5f75ece0ce0bf4a33206760bd3162bb5e939f27b128def13ac35febd121df</x:v>
      </x:c>
      <x:c r="K136" s="24" t="str">
        <x:v>Assets/_Project/Art/Textures/Products/Icons/accessory-memory-core_icon.png</x:v>
      </x:c>
      <x:c r="L136" s="24" t="str">
        <x:v>CR-004</x:v>
      </x:c>
      <x:c r="M136" s="24" t="str"/>
      <x:c r="N136" s="24" t="str">
        <x:v>RES-001;RES-014</x:v>
      </x:c>
      <x:c r="O136" s="24" t="str">
        <x:v>Internal development; public candidate requires gate</x:v>
      </x:c>
      <x:c r="P136" s="24" t="str">
        <x:v>CONDITIONALLY APPROVED</x:v>
      </x:c>
      <x:c r="Q136" s="24" t="str">
        <x:v>Medium</x:v>
      </x:c>
      <x:c r="R136" s="24" t="str"/>
      <x:c r="S136" s="24" t="str">
        <x:v>Parcial</x:v>
      </x:c>
      <x:c r="T136" s="24" t="str">
        <x:f>"T"&amp;IF(AND(H136&lt;&gt;"",I136&lt;&gt;"",J136&lt;&gt;"",L136&lt;&gt;"",N136&lt;&gt;"",O136&lt;&gt;"",P136="APPROVED PUBLIC",S136="Sí"),6,IF(AND(H136&lt;&gt;"",I136&lt;&gt;"",J136&lt;&gt;"",L136&lt;&gt;"",N136&lt;&gt;"",O136&lt;&gt;"",P136&lt;&gt;"",S136="Sí"),5,IF(AND(H136&lt;&gt;"",I136&lt;&gt;"",P136&lt;&gt;"",S136&lt;&gt;"No"),4,IF(AND(H136&lt;&gt;"",I136&lt;&gt;""),3,IF(F136&lt;&gt;"",2,1)))))</x:f>
        <x:v>T4</x:v>
      </x:c>
      <x:c r="U136" s="24" t="str">
        <x:v>VRM Games</x:v>
      </x:c>
      <x:c r="V136" s="24" t="str">
        <x:v>No se detectó proveedor externo en la ruta; confirmar autoría por lote antes de release público.</x:v>
      </x:c>
    </x:row>
    <x:row r="137" ht="34" customHeight="1">
      <x:c r="A137" s="24" t="str">
        <x:v>TRC-00133</x:v>
      </x:c>
      <x:c r="B137" s="24" t="str">
        <x:v>8c0a1718ad8cc09611a641f822dd6876</x:v>
      </x:c>
      <x:c r="C137" s="24" t="str">
        <x:v>case-cloud-runner_icon.png</x:v>
      </x:c>
      <x:c r="D137" s="24" t="str">
        <x:v>Texture/Icon</x:v>
      </x:c>
      <x:c r="E137" s="24" t="str">
        <x:v>03_Assets_Internos</x:v>
      </x:c>
      <x:c r="F137" s="24" t="str">
        <x:v>MTX-060</x:v>
      </x:c>
      <x:c r="G137" s="24" t="str">
        <x:v>VRM Games / Blas Luis Rocha González</x:v>
      </x:c>
      <x:c r="H137" s="24" t="str">
        <x:v>Internal project IP / authorship claim</x:v>
      </x:c>
      <x:c r="I137" s="24" t="str">
        <x:v>Source package + repository path + hash</x:v>
      </x:c>
      <x:c r="J137" s="24" t="str">
        <x:v>1f2ce96685cd3ca1d33413d2e5bb3bd1c2dad848e8421821777452b50671465a</x:v>
      </x:c>
      <x:c r="K137" s="24" t="str">
        <x:v>Assets/_Project/Art/Textures/Products/Icons/case-cloud-runner_icon.png</x:v>
      </x:c>
      <x:c r="L137" s="24" t="str">
        <x:v>CR-004</x:v>
      </x:c>
      <x:c r="M137" s="24" t="str"/>
      <x:c r="N137" s="24" t="str">
        <x:v>RES-001;RES-014</x:v>
      </x:c>
      <x:c r="O137" s="24" t="str">
        <x:v>Internal development; public candidate requires gate</x:v>
      </x:c>
      <x:c r="P137" s="24" t="str">
        <x:v>CONDITIONALLY APPROVED</x:v>
      </x:c>
      <x:c r="Q137" s="24" t="str">
        <x:v>Medium</x:v>
      </x:c>
      <x:c r="R137" s="24" t="str"/>
      <x:c r="S137" s="24" t="str">
        <x:v>Parcial</x:v>
      </x:c>
      <x:c r="T137" s="24" t="str">
        <x:f>"T"&amp;IF(AND(H137&lt;&gt;"",I137&lt;&gt;"",J137&lt;&gt;"",L137&lt;&gt;"",N137&lt;&gt;"",O137&lt;&gt;"",P137="APPROVED PUBLIC",S137="Sí"),6,IF(AND(H137&lt;&gt;"",I137&lt;&gt;"",J137&lt;&gt;"",L137&lt;&gt;"",N137&lt;&gt;"",O137&lt;&gt;"",P137&lt;&gt;"",S137="Sí"),5,IF(AND(H137&lt;&gt;"",I137&lt;&gt;"",P137&lt;&gt;"",S137&lt;&gt;"No"),4,IF(AND(H137&lt;&gt;"",I137&lt;&gt;""),3,IF(F137&lt;&gt;"",2,1)))))</x:f>
        <x:v>T4</x:v>
      </x:c>
      <x:c r="U137" s="24" t="str">
        <x:v>VRM Games</x:v>
      </x:c>
      <x:c r="V137" s="24" t="str">
        <x:v>No se detectó proveedor externo en la ruta; confirmar autoría por lote antes de release público.</x:v>
      </x:c>
    </x:row>
    <x:row r="138" ht="34" customHeight="1">
      <x:c r="A138" s="24" t="str">
        <x:v>TRC-00134</x:v>
      </x:c>
      <x:c r="B138" s="24" t="str">
        <x:v>6aa6b1239ca9f6cdfd2bb6023eb4c1c4</x:v>
      </x:c>
      <x:c r="C138" s="24" t="str">
        <x:v>console-vertex-one_icon.png</x:v>
      </x:c>
      <x:c r="D138" s="24" t="str">
        <x:v>Texture/Icon</x:v>
      </x:c>
      <x:c r="E138" s="24" t="str">
        <x:v>03_Assets_Internos</x:v>
      </x:c>
      <x:c r="F138" s="24" t="str">
        <x:v>MTX-061</x:v>
      </x:c>
      <x:c r="G138" s="24" t="str">
        <x:v>VRM Games / Blas Luis Rocha González</x:v>
      </x:c>
      <x:c r="H138" s="24" t="str">
        <x:v>Internal project IP / authorship claim</x:v>
      </x:c>
      <x:c r="I138" s="24" t="str">
        <x:v>Source package + repository path + hash</x:v>
      </x:c>
      <x:c r="J138" s="24" t="str">
        <x:v>420b32b4ca770ab2f6c6356236ff6f08a14116438e847872d4b5af622878ca36</x:v>
      </x:c>
      <x:c r="K138" s="24" t="str">
        <x:v>Assets/_Project/Art/Textures/Products/Icons/console-vertex-one_icon.png</x:v>
      </x:c>
      <x:c r="L138" s="24" t="str">
        <x:v>CR-004</x:v>
      </x:c>
      <x:c r="M138" s="24" t="str"/>
      <x:c r="N138" s="24" t="str">
        <x:v>RES-001;RES-014</x:v>
      </x:c>
      <x:c r="O138" s="24" t="str">
        <x:v>Internal development; public candidate requires gate</x:v>
      </x:c>
      <x:c r="P138" s="24" t="str">
        <x:v>CONDITIONALLY APPROVED</x:v>
      </x:c>
      <x:c r="Q138" s="24" t="str">
        <x:v>Medium</x:v>
      </x:c>
      <x:c r="R138" s="24" t="str"/>
      <x:c r="S138" s="24" t="str">
        <x:v>Parcial</x:v>
      </x:c>
      <x:c r="T138" s="24" t="str">
        <x:f>"T"&amp;IF(AND(H138&lt;&gt;"",I138&lt;&gt;"",J138&lt;&gt;"",L138&lt;&gt;"",N138&lt;&gt;"",O138&lt;&gt;"",P138="APPROVED PUBLIC",S138="Sí"),6,IF(AND(H138&lt;&gt;"",I138&lt;&gt;"",J138&lt;&gt;"",L138&lt;&gt;"",N138&lt;&gt;"",O138&lt;&gt;"",P138&lt;&gt;"",S138="Sí"),5,IF(AND(H138&lt;&gt;"",I138&lt;&gt;"",P138&lt;&gt;"",S138&lt;&gt;"No"),4,IF(AND(H138&lt;&gt;"",I138&lt;&gt;""),3,IF(F138&lt;&gt;"",2,1)))))</x:f>
        <x:v>T4</x:v>
      </x:c>
      <x:c r="U138" s="24" t="str">
        <x:v>VRM Games</x:v>
      </x:c>
      <x:c r="V138" s="24" t="str">
        <x:v>No se detectó proveedor externo en la ruta; confirmar autoría por lote antes de release público.</x:v>
      </x:c>
    </x:row>
    <x:row r="139" ht="34" customHeight="1">
      <x:c r="A139" s="24" t="str">
        <x:v>TRC-00135</x:v>
      </x:c>
      <x:c r="B139" s="24" t="str">
        <x:v>a5a7682e0808b2d2d51bdf3ef57fe2a1</x:v>
      </x:c>
      <x:c r="C139" s="24" t="str">
        <x:v>controller-orbit-pad_icon.png</x:v>
      </x:c>
      <x:c r="D139" s="24" t="str">
        <x:v>Texture/Icon</x:v>
      </x:c>
      <x:c r="E139" s="24" t="str">
        <x:v>03_Assets_Internos</x:v>
      </x:c>
      <x:c r="F139" s="24" t="str">
        <x:v>MTX-062</x:v>
      </x:c>
      <x:c r="G139" s="24" t="str">
        <x:v>VRM Games / Blas Luis Rocha González</x:v>
      </x:c>
      <x:c r="H139" s="24" t="str">
        <x:v>Internal project IP / authorship claim</x:v>
      </x:c>
      <x:c r="I139" s="24" t="str">
        <x:v>Source package + repository path + hash</x:v>
      </x:c>
      <x:c r="J139" s="24" t="str">
        <x:v>b8e2f451c763a0b2a29052f44d78029476716d8f8940ba70327c44729c07900e</x:v>
      </x:c>
      <x:c r="K139" s="24" t="str">
        <x:v>Assets/_Project/Art/Textures/Products/Icons/controller-orbit-pad_icon.png</x:v>
      </x:c>
      <x:c r="L139" s="24" t="str">
        <x:v>CR-004</x:v>
      </x:c>
      <x:c r="M139" s="24" t="str"/>
      <x:c r="N139" s="24" t="str">
        <x:v>RES-001;RES-014</x:v>
      </x:c>
      <x:c r="O139" s="24" t="str">
        <x:v>Internal development; public candidate requires gate</x:v>
      </x:c>
      <x:c r="P139" s="24" t="str">
        <x:v>CONDITIONALLY APPROVED</x:v>
      </x:c>
      <x:c r="Q139" s="24" t="str">
        <x:v>Medium</x:v>
      </x:c>
      <x:c r="R139" s="24" t="str"/>
      <x:c r="S139" s="24" t="str">
        <x:v>Parcial</x:v>
      </x:c>
      <x:c r="T139" s="24" t="str">
        <x:f>"T"&amp;IF(AND(H139&lt;&gt;"",I139&lt;&gt;"",J139&lt;&gt;"",L139&lt;&gt;"",N139&lt;&gt;"",O139&lt;&gt;"",P139="APPROVED PUBLIC",S139="Sí"),6,IF(AND(H139&lt;&gt;"",I139&lt;&gt;"",J139&lt;&gt;"",L139&lt;&gt;"",N139&lt;&gt;"",O139&lt;&gt;"",P139&lt;&gt;"",S139="Sí"),5,IF(AND(H139&lt;&gt;"",I139&lt;&gt;"",P139&lt;&gt;"",S139&lt;&gt;"No"),4,IF(AND(H139&lt;&gt;"",I139&lt;&gt;""),3,IF(F139&lt;&gt;"",2,1)))))</x:f>
        <x:v>T4</x:v>
      </x:c>
      <x:c r="U139" s="24" t="str">
        <x:v>VRM Games</x:v>
      </x:c>
      <x:c r="V139" s="24" t="str">
        <x:v>No se detectó proveedor externo en la ruta; confirmar autoría por lote antes de release público.</x:v>
      </x:c>
    </x:row>
    <x:row r="140" ht="34" customHeight="1">
      <x:c r="A140" s="24" t="str">
        <x:v>TRC-00136</x:v>
      </x:c>
      <x:c r="B140" s="24" t="str">
        <x:v>5446fc2e413d4c4501d24e5f36c02441</x:v>
      </x:c>
      <x:c r="C140" s="24" t="str">
        <x:v>game-neon-drift_icon.png</x:v>
      </x:c>
      <x:c r="D140" s="24" t="str">
        <x:v>Texture/Icon</x:v>
      </x:c>
      <x:c r="E140" s="24" t="str">
        <x:v>03_Assets_Internos</x:v>
      </x:c>
      <x:c r="F140" s="24" t="str">
        <x:v>MTX-063</x:v>
      </x:c>
      <x:c r="G140" s="24" t="str">
        <x:v>VRM Games / Blas Luis Rocha González</x:v>
      </x:c>
      <x:c r="H140" s="24" t="str">
        <x:v>Internal project IP / authorship claim</x:v>
      </x:c>
      <x:c r="I140" s="24" t="str">
        <x:v>Source package + repository path + hash</x:v>
      </x:c>
      <x:c r="J140" s="24" t="str">
        <x:v>5bfa677ba7d80c67d80a1dc7823d9f31a2d1074f2b6bf954258eab8142a5db09</x:v>
      </x:c>
      <x:c r="K140" s="24" t="str">
        <x:v>Assets/_Project/Art/Textures/Products/Icons/game-neon-drift_icon.png</x:v>
      </x:c>
      <x:c r="L140" s="24" t="str">
        <x:v>CR-004</x:v>
      </x:c>
      <x:c r="M140" s="24" t="str"/>
      <x:c r="N140" s="24" t="str">
        <x:v>RES-001;RES-014</x:v>
      </x:c>
      <x:c r="O140" s="24" t="str">
        <x:v>Internal development; public candidate requires gate</x:v>
      </x:c>
      <x:c r="P140" s="24" t="str">
        <x:v>CONDITIONALLY APPROVED</x:v>
      </x:c>
      <x:c r="Q140" s="24" t="str">
        <x:v>Medium</x:v>
      </x:c>
      <x:c r="R140" s="24" t="str"/>
      <x:c r="S140" s="24" t="str">
        <x:v>Parcial</x:v>
      </x:c>
      <x:c r="T140" s="24" t="str">
        <x:f>"T"&amp;IF(AND(H140&lt;&gt;"",I140&lt;&gt;"",J140&lt;&gt;"",L140&lt;&gt;"",N140&lt;&gt;"",O140&lt;&gt;"",P140="APPROVED PUBLIC",S140="Sí"),6,IF(AND(H140&lt;&gt;"",I140&lt;&gt;"",J140&lt;&gt;"",L140&lt;&gt;"",N140&lt;&gt;"",O140&lt;&gt;"",P140&lt;&gt;"",S140="Sí"),5,IF(AND(H140&lt;&gt;"",I140&lt;&gt;"",P140&lt;&gt;"",S140&lt;&gt;"No"),4,IF(AND(H140&lt;&gt;"",I140&lt;&gt;""),3,IF(F140&lt;&gt;"",2,1)))))</x:f>
        <x:v>T4</x:v>
      </x:c>
      <x:c r="U140" s="24" t="str">
        <x:v>VRM Games</x:v>
      </x:c>
      <x:c r="V140" s="24" t="str">
        <x:v>No se detectó proveedor externo en la ruta; confirmar autoría por lote antes de release público.</x:v>
      </x:c>
    </x:row>
    <x:row r="141" ht="34" customHeight="1">
      <x:c r="A141" s="24" t="str">
        <x:v>TRC-00137</x:v>
      </x:c>
      <x:c r="B141" s="24" t="str">
        <x:v>c2eab608e2f22d55399d6e4ae9b1b706</x:v>
      </x:c>
      <x:c r="C141" s="24" t="str">
        <x:v>headset-signal-pro_icon.png</x:v>
      </x:c>
      <x:c r="D141" s="24" t="str">
        <x:v>Texture/Icon</x:v>
      </x:c>
      <x:c r="E141" s="24" t="str">
        <x:v>03_Assets_Internos</x:v>
      </x:c>
      <x:c r="F141" s="24" t="str">
        <x:v>MTX-064</x:v>
      </x:c>
      <x:c r="G141" s="24" t="str">
        <x:v>VRM Games / Blas Luis Rocha González</x:v>
      </x:c>
      <x:c r="H141" s="24" t="str">
        <x:v>Internal project IP / authorship claim</x:v>
      </x:c>
      <x:c r="I141" s="24" t="str">
        <x:v>Source package + repository path + hash</x:v>
      </x:c>
      <x:c r="J141" s="24" t="str">
        <x:v>2a2b0b19b66f8dd43f7256591f348e7b2fbd6605a466105b2e77c6acdab51500</x:v>
      </x:c>
      <x:c r="K141" s="24" t="str">
        <x:v>Assets/_Project/Art/Textures/Products/Icons/headset-signal-pro_icon.png</x:v>
      </x:c>
      <x:c r="L141" s="24" t="str">
        <x:v>CR-004</x:v>
      </x:c>
      <x:c r="M141" s="24" t="str"/>
      <x:c r="N141" s="24" t="str">
        <x:v>RES-001;RES-014</x:v>
      </x:c>
      <x:c r="O141" s="24" t="str">
        <x:v>Internal development; public candidate requires gate</x:v>
      </x:c>
      <x:c r="P141" s="24" t="str">
        <x:v>CONDITIONALLY APPROVED</x:v>
      </x:c>
      <x:c r="Q141" s="24" t="str">
        <x:v>Medium</x:v>
      </x:c>
      <x:c r="R141" s="24" t="str"/>
      <x:c r="S141" s="24" t="str">
        <x:v>Parcial</x:v>
      </x:c>
      <x:c r="T141" s="24" t="str">
        <x:f>"T"&amp;IF(AND(H141&lt;&gt;"",I141&lt;&gt;"",J141&lt;&gt;"",L141&lt;&gt;"",N141&lt;&gt;"",O141&lt;&gt;"",P141="APPROVED PUBLIC",S141="Sí"),6,IF(AND(H141&lt;&gt;"",I141&lt;&gt;"",J141&lt;&gt;"",L141&lt;&gt;"",N141&lt;&gt;"",O141&lt;&gt;"",P141&lt;&gt;"",S141="Sí"),5,IF(AND(H141&lt;&gt;"",I141&lt;&gt;"",P141&lt;&gt;"",S141&lt;&gt;"No"),4,IF(AND(H141&lt;&gt;"",I141&lt;&gt;""),3,IF(F141&lt;&gt;"",2,1)))))</x:f>
        <x:v>T4</x:v>
      </x:c>
      <x:c r="U141" s="24" t="str">
        <x:v>VRM Games</x:v>
      </x:c>
      <x:c r="V141" s="24" t="str">
        <x:v>No se detectó proveedor externo en la ruta; confirmar autoría por lote antes de release público.</x:v>
      </x:c>
    </x:row>
    <x:row r="142" ht="34" customHeight="1">
      <x:c r="A142" s="24" t="str">
        <x:v>TRC-00138</x:v>
      </x:c>
      <x:c r="B142" s="24" t="str">
        <x:v>cb709afe7703b9cab572cc895a085ff2</x:v>
      </x:c>
      <x:c r="C142" s="24" t="str">
        <x:v>StoreAmbience.wav</x:v>
      </x:c>
      <x:c r="D142" s="24" t="str">
        <x:v>Audio</x:v>
      </x:c>
      <x:c r="E142" s="24" t="str">
        <x:v>03_Assets_Internos</x:v>
      </x:c>
      <x:c r="F142" s="24" t="str">
        <x:v>AUD-LIC-001</x:v>
      </x:c>
      <x:c r="G142" s="24" t="str">
        <x:v>VRM Games / Blas Luis Rocha González</x:v>
      </x:c>
      <x:c r="H142" s="24" t="str">
        <x:v>Internal project IP / authorship claim</x:v>
      </x:c>
      <x:c r="I142" s="24" t="str">
        <x:v>Source package + repository path + hash</x:v>
      </x:c>
      <x:c r="J142" s="24" t="str">
        <x:v>2faead25215be67735257d0cbdf6912b852da904f069d9298703e3c1baf88b1f</x:v>
      </x:c>
      <x:c r="K142" s="24" t="str">
        <x:v>Assets/_Project/Audio/Ambience/StoreAmbience.wav</x:v>
      </x:c>
      <x:c r="L142" s="24" t="str">
        <x:v>CR-005</x:v>
      </x:c>
      <x:c r="M142" s="24" t="str"/>
      <x:c r="N142" s="24" t="str">
        <x:v>RES-001;RES-014</x:v>
      </x:c>
      <x:c r="O142" s="24" t="str">
        <x:v>Internal development; public candidate requires gate</x:v>
      </x:c>
      <x:c r="P142" s="24" t="str">
        <x:v>INTERNAL ONLY / PUBLIC REVIEW</x:v>
      </x:c>
      <x:c r="Q142" s="24" t="str">
        <x:v>Medium</x:v>
      </x:c>
      <x:c r="R142" s="24" t="str">
        <x:v>LEG-DEBT-002</x:v>
      </x:c>
      <x:c r="S142" s="24" t="str">
        <x:v>Parcial</x:v>
      </x:c>
      <x:c r="T142" s="24" t="str">
        <x:f>"T"&amp;IF(AND(H142&lt;&gt;"",I142&lt;&gt;"",J142&lt;&gt;"",L142&lt;&gt;"",N142&lt;&gt;"",O142&lt;&gt;"",P142="APPROVED PUBLIC",S142="Sí"),6,IF(AND(H142&lt;&gt;"",I142&lt;&gt;"",J142&lt;&gt;"",L142&lt;&gt;"",N142&lt;&gt;"",O142&lt;&gt;"",P142&lt;&gt;"",S142="Sí"),5,IF(AND(H142&lt;&gt;"",I142&lt;&gt;"",P142&lt;&gt;"",S142&lt;&gt;"No"),4,IF(AND(H142&lt;&gt;"",I142&lt;&gt;""),3,IF(F142&lt;&gt;"",2,1)))))</x:f>
        <x:v>T4</x:v>
      </x:c>
      <x:c r="U142" s="24" t="str">
        <x:v>VRM Games</x:v>
      </x:c>
      <x:c r="V142" s="24" t="str">
        <x:v>No se detectó proveedor externo en la ruta; confirmar autoría por lote antes de release público.</x:v>
      </x:c>
    </x:row>
    <x:row r="143" ht="34" customHeight="1">
      <x:c r="A143" s="24" t="str">
        <x:v>TRC-00139</x:v>
      </x:c>
      <x:c r="B143" s="24" t="str">
        <x:v>0690c7c8ed5fb2713089b8f9a4ac688f</x:v>
      </x:c>
      <x:c r="C143" s="24" t="str">
        <x:v>StoreMusic.wav</x:v>
      </x:c>
      <x:c r="D143" s="24" t="str">
        <x:v>Audio</x:v>
      </x:c>
      <x:c r="E143" s="24" t="str">
        <x:v>03_Assets_Internos</x:v>
      </x:c>
      <x:c r="F143" s="24" t="str">
        <x:v>AUD-LIC-002</x:v>
      </x:c>
      <x:c r="G143" s="24" t="str">
        <x:v>VRM Games / Blas Luis Rocha González</x:v>
      </x:c>
      <x:c r="H143" s="24" t="str">
        <x:v>Internal project IP / authorship claim</x:v>
      </x:c>
      <x:c r="I143" s="24" t="str">
        <x:v>Source package + repository path + hash</x:v>
      </x:c>
      <x:c r="J143" s="24" t="str">
        <x:v>db0e76e00a881fb36c8865510db3aeb52e8ab574c185eff0d7cb58febafcd9bc</x:v>
      </x:c>
      <x:c r="K143" s="24" t="str">
        <x:v>Assets/_Project/Audio/Music/StoreMusic.wav</x:v>
      </x:c>
      <x:c r="L143" s="24" t="str">
        <x:v>CR-005</x:v>
      </x:c>
      <x:c r="M143" s="24" t="str"/>
      <x:c r="N143" s="24" t="str">
        <x:v>RES-001;RES-014</x:v>
      </x:c>
      <x:c r="O143" s="24" t="str">
        <x:v>Internal development; public candidate requires gate</x:v>
      </x:c>
      <x:c r="P143" s="24" t="str">
        <x:v>INTERNAL ONLY / PUBLIC REVIEW</x:v>
      </x:c>
      <x:c r="Q143" s="24" t="str">
        <x:v>Medium</x:v>
      </x:c>
      <x:c r="R143" s="24" t="str">
        <x:v>LEG-DEBT-002</x:v>
      </x:c>
      <x:c r="S143" s="24" t="str">
        <x:v>Parcial</x:v>
      </x:c>
      <x:c r="T143" s="24" t="str">
        <x:f>"T"&amp;IF(AND(H143&lt;&gt;"",I143&lt;&gt;"",J143&lt;&gt;"",L143&lt;&gt;"",N143&lt;&gt;"",O143&lt;&gt;"",P143="APPROVED PUBLIC",S143="Sí"),6,IF(AND(H143&lt;&gt;"",I143&lt;&gt;"",J143&lt;&gt;"",L143&lt;&gt;"",N143&lt;&gt;"",O143&lt;&gt;"",P143&lt;&gt;"",S143="Sí"),5,IF(AND(H143&lt;&gt;"",I143&lt;&gt;"",P143&lt;&gt;"",S143&lt;&gt;"No"),4,IF(AND(H143&lt;&gt;"",I143&lt;&gt;""),3,IF(F143&lt;&gt;"",2,1)))))</x:f>
        <x:v>T4</x:v>
      </x:c>
      <x:c r="U143" s="24" t="str">
        <x:v>VRM Games</x:v>
      </x:c>
      <x:c r="V143" s="24" t="str">
        <x:v>No se detectó proveedor externo en la ruta; confirmar autoría por lote antes de release público.</x:v>
      </x:c>
    </x:row>
    <x:row r="144" ht="34" customHeight="1">
      <x:c r="A144" s="24" t="str">
        <x:v>TRC-00140</x:v>
      </x:c>
      <x:c r="B144" s="24" t="str">
        <x:v>ba31e4719471578fa9cae09368b54822</x:v>
      </x:c>
      <x:c r="C144" s="24" t="str">
        <x:v>Checkout.wav</x:v>
      </x:c>
      <x:c r="D144" s="24" t="str">
        <x:v>Audio</x:v>
      </x:c>
      <x:c r="E144" s="24" t="str">
        <x:v>03_Assets_Internos</x:v>
      </x:c>
      <x:c r="F144" s="24" t="str">
        <x:v>AUD-LIC-003</x:v>
      </x:c>
      <x:c r="G144" s="24" t="str">
        <x:v>VRM Games / Blas Luis Rocha González</x:v>
      </x:c>
      <x:c r="H144" s="24" t="str">
        <x:v>Internal project IP / authorship claim</x:v>
      </x:c>
      <x:c r="I144" s="24" t="str">
        <x:v>Source package + repository path + hash</x:v>
      </x:c>
      <x:c r="J144" s="24" t="str">
        <x:v>007c220b2d74180a975910331e738ab7911356ac8f01a8bc51b1e6790a807114</x:v>
      </x:c>
      <x:c r="K144" s="24" t="str">
        <x:v>Assets/_Project/Audio/SFX/Checkout.wav</x:v>
      </x:c>
      <x:c r="L144" s="24" t="str">
        <x:v>CR-005</x:v>
      </x:c>
      <x:c r="M144" s="24" t="str"/>
      <x:c r="N144" s="24" t="str">
        <x:v>RES-001;RES-014</x:v>
      </x:c>
      <x:c r="O144" s="24" t="str">
        <x:v>Internal development; public candidate requires gate</x:v>
      </x:c>
      <x:c r="P144" s="24" t="str">
        <x:v>INTERNAL ONLY / PUBLIC REVIEW</x:v>
      </x:c>
      <x:c r="Q144" s="24" t="str">
        <x:v>Medium</x:v>
      </x:c>
      <x:c r="R144" s="24" t="str">
        <x:v>LEG-DEBT-002</x:v>
      </x:c>
      <x:c r="S144" s="24" t="str">
        <x:v>Parcial</x:v>
      </x:c>
      <x:c r="T144" s="24" t="str">
        <x:f>"T"&amp;IF(AND(H144&lt;&gt;"",I144&lt;&gt;"",J144&lt;&gt;"",L144&lt;&gt;"",N144&lt;&gt;"",O144&lt;&gt;"",P144="APPROVED PUBLIC",S144="Sí"),6,IF(AND(H144&lt;&gt;"",I144&lt;&gt;"",J144&lt;&gt;"",L144&lt;&gt;"",N144&lt;&gt;"",O144&lt;&gt;"",P144&lt;&gt;"",S144="Sí"),5,IF(AND(H144&lt;&gt;"",I144&lt;&gt;"",P144&lt;&gt;"",S144&lt;&gt;"No"),4,IF(AND(H144&lt;&gt;"",I144&lt;&gt;""),3,IF(F144&lt;&gt;"",2,1)))))</x:f>
        <x:v>T4</x:v>
      </x:c>
      <x:c r="U144" s="24" t="str">
        <x:v>VRM Games</x:v>
      </x:c>
      <x:c r="V144" s="24" t="str">
        <x:v>No se detectó proveedor externo en la ruta; confirmar autoría por lote antes de release público.</x:v>
      </x:c>
    </x:row>
    <x:row r="145" ht="34" customHeight="1">
      <x:c r="A145" s="24" t="str">
        <x:v>TRC-00141</x:v>
      </x:c>
      <x:c r="B145" s="24" t="str">
        <x:v>afa05dd2e9a4ff3ace16f07967ef65c9</x:v>
      </x:c>
      <x:c r="C145" s="24" t="str">
        <x:v>DayClosed.wav</x:v>
      </x:c>
      <x:c r="D145" s="24" t="str">
        <x:v>Audio</x:v>
      </x:c>
      <x:c r="E145" s="24" t="str">
        <x:v>03_Assets_Internos</x:v>
      </x:c>
      <x:c r="F145" s="24" t="str">
        <x:v>AUD-LIC-004</x:v>
      </x:c>
      <x:c r="G145" s="24" t="str">
        <x:v>VRM Games / Blas Luis Rocha González</x:v>
      </x:c>
      <x:c r="H145" s="24" t="str">
        <x:v>Internal project IP / authorship claim</x:v>
      </x:c>
      <x:c r="I145" s="24" t="str">
        <x:v>Source package + repository path + hash</x:v>
      </x:c>
      <x:c r="J145" s="24" t="str">
        <x:v>31705ae11eda7f71a53ddfb9a2af66fa120c1e19f0c86a9c98d5e1c490dcfdf1</x:v>
      </x:c>
      <x:c r="K145" s="24" t="str">
        <x:v>Assets/_Project/Audio/SFX/DayClosed.wav</x:v>
      </x:c>
      <x:c r="L145" s="24" t="str">
        <x:v>CR-005</x:v>
      </x:c>
      <x:c r="M145" s="24" t="str"/>
      <x:c r="N145" s="24" t="str">
        <x:v>RES-001;RES-014</x:v>
      </x:c>
      <x:c r="O145" s="24" t="str">
        <x:v>Internal development; public candidate requires gate</x:v>
      </x:c>
      <x:c r="P145" s="24" t="str">
        <x:v>INTERNAL ONLY / PUBLIC REVIEW</x:v>
      </x:c>
      <x:c r="Q145" s="24" t="str">
        <x:v>Medium</x:v>
      </x:c>
      <x:c r="R145" s="24" t="str">
        <x:v>LEG-DEBT-002</x:v>
      </x:c>
      <x:c r="S145" s="24" t="str">
        <x:v>Parcial</x:v>
      </x:c>
      <x:c r="T145" s="24" t="str">
        <x:f>"T"&amp;IF(AND(H145&lt;&gt;"",I145&lt;&gt;"",J145&lt;&gt;"",L145&lt;&gt;"",N145&lt;&gt;"",O145&lt;&gt;"",P145="APPROVED PUBLIC",S145="Sí"),6,IF(AND(H145&lt;&gt;"",I145&lt;&gt;"",J145&lt;&gt;"",L145&lt;&gt;"",N145&lt;&gt;"",O145&lt;&gt;"",P145&lt;&gt;"",S145="Sí"),5,IF(AND(H145&lt;&gt;"",I145&lt;&gt;"",P145&lt;&gt;"",S145&lt;&gt;"No"),4,IF(AND(H145&lt;&gt;"",I145&lt;&gt;""),3,IF(F145&lt;&gt;"",2,1)))))</x:f>
        <x:v>T4</x:v>
      </x:c>
      <x:c r="U145" s="24" t="str">
        <x:v>VRM Games</x:v>
      </x:c>
      <x:c r="V145" s="24" t="str">
        <x:v>No se detectó proveedor externo en la ruta; confirmar autoría por lote antes de release público.</x:v>
      </x:c>
    </x:row>
    <x:row r="146" ht="34" customHeight="1">
      <x:c r="A146" s="24" t="str">
        <x:v>TRC-00142</x:v>
      </x:c>
      <x:c r="B146" s="24" t="str">
        <x:v>2a3bd6d7753bf8508bed82d14fa64b9f</x:v>
      </x:c>
      <x:c r="C146" s="24" t="str">
        <x:v>Door.wav</x:v>
      </x:c>
      <x:c r="D146" s="24" t="str">
        <x:v>Audio</x:v>
      </x:c>
      <x:c r="E146" s="24" t="str">
        <x:v>03_Assets_Internos</x:v>
      </x:c>
      <x:c r="F146" s="24" t="str">
        <x:v>AUD-LIC-005</x:v>
      </x:c>
      <x:c r="G146" s="24" t="str">
        <x:v>VRM Games / Blas Luis Rocha González</x:v>
      </x:c>
      <x:c r="H146" s="24" t="str">
        <x:v>Internal project IP / authorship claim</x:v>
      </x:c>
      <x:c r="I146" s="24" t="str">
        <x:v>Source package + repository path + hash</x:v>
      </x:c>
      <x:c r="J146" s="24" t="str">
        <x:v>6c93c93ae3aaa6c97ea5eb372b762c330521534ff1c31f742caf1de7c7477e6e</x:v>
      </x:c>
      <x:c r="K146" s="24" t="str">
        <x:v>Assets/_Project/Audio/SFX/Door.wav</x:v>
      </x:c>
      <x:c r="L146" s="24" t="str">
        <x:v>CR-005</x:v>
      </x:c>
      <x:c r="M146" s="24" t="str"/>
      <x:c r="N146" s="24" t="str">
        <x:v>RES-001;RES-014</x:v>
      </x:c>
      <x:c r="O146" s="24" t="str">
        <x:v>Internal development; public candidate requires gate</x:v>
      </x:c>
      <x:c r="P146" s="24" t="str">
        <x:v>INTERNAL ONLY / PUBLIC REVIEW</x:v>
      </x:c>
      <x:c r="Q146" s="24" t="str">
        <x:v>Medium</x:v>
      </x:c>
      <x:c r="R146" s="24" t="str">
        <x:v>LEG-DEBT-002</x:v>
      </x:c>
      <x:c r="S146" s="24" t="str">
        <x:v>Parcial</x:v>
      </x:c>
      <x:c r="T146" s="24" t="str">
        <x:f>"T"&amp;IF(AND(H146&lt;&gt;"",I146&lt;&gt;"",J146&lt;&gt;"",L146&lt;&gt;"",N146&lt;&gt;"",O146&lt;&gt;"",P146="APPROVED PUBLIC",S146="Sí"),6,IF(AND(H146&lt;&gt;"",I146&lt;&gt;"",J146&lt;&gt;"",L146&lt;&gt;"",N146&lt;&gt;"",O146&lt;&gt;"",P146&lt;&gt;"",S146="Sí"),5,IF(AND(H146&lt;&gt;"",I146&lt;&gt;"",P146&lt;&gt;"",S146&lt;&gt;"No"),4,IF(AND(H146&lt;&gt;"",I146&lt;&gt;""),3,IF(F146&lt;&gt;"",2,1)))))</x:f>
        <x:v>T4</x:v>
      </x:c>
      <x:c r="U146" s="24" t="str">
        <x:v>VRM Games</x:v>
      </x:c>
      <x:c r="V146" s="24" t="str">
        <x:v>No se detectó proveedor externo en la ruta; confirmar autoría por lote antes de release público.</x:v>
      </x:c>
    </x:row>
    <x:row r="147" ht="34" customHeight="1">
      <x:c r="A147" s="24" t="str">
        <x:v>TRC-00143</x:v>
      </x:c>
      <x:c r="B147" s="24" t="str">
        <x:v>8e2b37d1127285ee1cc44a3d0a8a98c4</x:v>
      </x:c>
      <x:c r="C147" s="24" t="str">
        <x:v>OrderReceived.wav</x:v>
      </x:c>
      <x:c r="D147" s="24" t="str">
        <x:v>Audio</x:v>
      </x:c>
      <x:c r="E147" s="24" t="str">
        <x:v>03_Assets_Internos</x:v>
      </x:c>
      <x:c r="F147" s="24" t="str">
        <x:v>AUD-LIC-006</x:v>
      </x:c>
      <x:c r="G147" s="24" t="str">
        <x:v>VRM Games / Blas Luis Rocha González</x:v>
      </x:c>
      <x:c r="H147" s="24" t="str">
        <x:v>Internal project IP / authorship claim</x:v>
      </x:c>
      <x:c r="I147" s="24" t="str">
        <x:v>Source package + repository path + hash</x:v>
      </x:c>
      <x:c r="J147" s="24" t="str">
        <x:v>2f7ea1961f60dfb3656d86656b1249116c3b71461a9756777622de77baf0517b</x:v>
      </x:c>
      <x:c r="K147" s="24" t="str">
        <x:v>Assets/_Project/Audio/SFX/OrderReceived.wav</x:v>
      </x:c>
      <x:c r="L147" s="24" t="str">
        <x:v>CR-005</x:v>
      </x:c>
      <x:c r="M147" s="24" t="str"/>
      <x:c r="N147" s="24" t="str">
        <x:v>RES-001;RES-014</x:v>
      </x:c>
      <x:c r="O147" s="24" t="str">
        <x:v>Internal development; public candidate requires gate</x:v>
      </x:c>
      <x:c r="P147" s="24" t="str">
        <x:v>INTERNAL ONLY / PUBLIC REVIEW</x:v>
      </x:c>
      <x:c r="Q147" s="24" t="str">
        <x:v>Medium</x:v>
      </x:c>
      <x:c r="R147" s="24" t="str">
        <x:v>LEG-DEBT-002</x:v>
      </x:c>
      <x:c r="S147" s="24" t="str">
        <x:v>Parcial</x:v>
      </x:c>
      <x:c r="T147" s="24" t="str">
        <x:f>"T"&amp;IF(AND(H147&lt;&gt;"",I147&lt;&gt;"",J147&lt;&gt;"",L147&lt;&gt;"",N147&lt;&gt;"",O147&lt;&gt;"",P147="APPROVED PUBLIC",S147="Sí"),6,IF(AND(H147&lt;&gt;"",I147&lt;&gt;"",J147&lt;&gt;"",L147&lt;&gt;"",N147&lt;&gt;"",O147&lt;&gt;"",P147&lt;&gt;"",S147="Sí"),5,IF(AND(H147&lt;&gt;"",I147&lt;&gt;"",P147&lt;&gt;"",S147&lt;&gt;"No"),4,IF(AND(H147&lt;&gt;"",I147&lt;&gt;""),3,IF(F147&lt;&gt;"",2,1)))))</x:f>
        <x:v>T4</x:v>
      </x:c>
      <x:c r="U147" s="24" t="str">
        <x:v>VRM Games</x:v>
      </x:c>
      <x:c r="V147" s="24" t="str">
        <x:v>No se detectó proveedor externo en la ruta; confirmar autoría por lote antes de release público.</x:v>
      </x:c>
    </x:row>
    <x:row r="148" ht="34" customHeight="1">
      <x:c r="A148" s="24" t="str">
        <x:v>TRC-00144</x:v>
      </x:c>
      <x:c r="B148" s="24" t="str">
        <x:v>ee743d39450d02dbca20e8ce90864804</x:v>
      </x:c>
      <x:c r="C148" s="24" t="str">
        <x:v>PlacementInvalid.wav</x:v>
      </x:c>
      <x:c r="D148" s="24" t="str">
        <x:v>Audio</x:v>
      </x:c>
      <x:c r="E148" s="24" t="str">
        <x:v>03_Assets_Internos</x:v>
      </x:c>
      <x:c r="F148" s="24" t="str">
        <x:v>AUD-LIC-007</x:v>
      </x:c>
      <x:c r="G148" s="24" t="str">
        <x:v>VRM Games / Blas Luis Rocha González</x:v>
      </x:c>
      <x:c r="H148" s="24" t="str">
        <x:v>Internal project IP / authorship claim</x:v>
      </x:c>
      <x:c r="I148" s="24" t="str">
        <x:v>Source package + repository path + hash</x:v>
      </x:c>
      <x:c r="J148" s="24" t="str">
        <x:v>93fea3a564062cd9488922b3f079c9d18fb6bba2d0200bef2b4e5c28610a9b58</x:v>
      </x:c>
      <x:c r="K148" s="24" t="str">
        <x:v>Assets/_Project/Audio/SFX/PlacementInvalid.wav</x:v>
      </x:c>
      <x:c r="L148" s="24" t="str">
        <x:v>CR-005</x:v>
      </x:c>
      <x:c r="M148" s="24" t="str"/>
      <x:c r="N148" s="24" t="str">
        <x:v>RES-001;RES-014</x:v>
      </x:c>
      <x:c r="O148" s="24" t="str">
        <x:v>Internal development; public candidate requires gate</x:v>
      </x:c>
      <x:c r="P148" s="24" t="str">
        <x:v>INTERNAL ONLY / PUBLIC REVIEW</x:v>
      </x:c>
      <x:c r="Q148" s="24" t="str">
        <x:v>Medium</x:v>
      </x:c>
      <x:c r="R148" s="24" t="str">
        <x:v>LEG-DEBT-002</x:v>
      </x:c>
      <x:c r="S148" s="24" t="str">
        <x:v>Parcial</x:v>
      </x:c>
      <x:c r="T148" s="24" t="str">
        <x:f>"T"&amp;IF(AND(H148&lt;&gt;"",I148&lt;&gt;"",J148&lt;&gt;"",L148&lt;&gt;"",N148&lt;&gt;"",O148&lt;&gt;"",P148="APPROVED PUBLIC",S148="Sí"),6,IF(AND(H148&lt;&gt;"",I148&lt;&gt;"",J148&lt;&gt;"",L148&lt;&gt;"",N148&lt;&gt;"",O148&lt;&gt;"",P148&lt;&gt;"",S148="Sí"),5,IF(AND(H148&lt;&gt;"",I148&lt;&gt;"",P148&lt;&gt;"",S148&lt;&gt;"No"),4,IF(AND(H148&lt;&gt;"",I148&lt;&gt;""),3,IF(F148&lt;&gt;"",2,1)))))</x:f>
        <x:v>T4</x:v>
      </x:c>
      <x:c r="U148" s="24" t="str">
        <x:v>VRM Games</x:v>
      </x:c>
      <x:c r="V148" s="24" t="str">
        <x:v>No se detectó proveedor externo en la ruta; confirmar autoría por lote antes de release público.</x:v>
      </x:c>
    </x:row>
    <x:row r="149" ht="34" customHeight="1">
      <x:c r="A149" s="24" t="str">
        <x:v>TRC-00145</x:v>
      </x:c>
      <x:c r="B149" s="24" t="str">
        <x:v>7481deec07256d3dfc630e4a8f73719e</x:v>
      </x:c>
      <x:c r="C149" s="24" t="str">
        <x:v>PlacementValid.wav</x:v>
      </x:c>
      <x:c r="D149" s="24" t="str">
        <x:v>Audio</x:v>
      </x:c>
      <x:c r="E149" s="24" t="str">
        <x:v>03_Assets_Internos</x:v>
      </x:c>
      <x:c r="F149" s="24" t="str">
        <x:v>AUD-LIC-008</x:v>
      </x:c>
      <x:c r="G149" s="24" t="str">
        <x:v>VRM Games / Blas Luis Rocha González</x:v>
      </x:c>
      <x:c r="H149" s="24" t="str">
        <x:v>Internal project IP / authorship claim</x:v>
      </x:c>
      <x:c r="I149" s="24" t="str">
        <x:v>Source package + repository path + hash</x:v>
      </x:c>
      <x:c r="J149" s="24" t="str">
        <x:v>65e6ea5eb176a8f2953abb4f37c2b472899471f404a51407dfd0a7fa4f68224b</x:v>
      </x:c>
      <x:c r="K149" s="24" t="str">
        <x:v>Assets/_Project/Audio/SFX/PlacementValid.wav</x:v>
      </x:c>
      <x:c r="L149" s="24" t="str">
        <x:v>CR-005</x:v>
      </x:c>
      <x:c r="M149" s="24" t="str"/>
      <x:c r="N149" s="24" t="str">
        <x:v>RES-001;RES-014</x:v>
      </x:c>
      <x:c r="O149" s="24" t="str">
        <x:v>Internal development; public candidate requires gate</x:v>
      </x:c>
      <x:c r="P149" s="24" t="str">
        <x:v>INTERNAL ONLY / PUBLIC REVIEW</x:v>
      </x:c>
      <x:c r="Q149" s="24" t="str">
        <x:v>Medium</x:v>
      </x:c>
      <x:c r="R149" s="24" t="str">
        <x:v>LEG-DEBT-002</x:v>
      </x:c>
      <x:c r="S149" s="24" t="str">
        <x:v>Parcial</x:v>
      </x:c>
      <x:c r="T149" s="24" t="str">
        <x:f>"T"&amp;IF(AND(H149&lt;&gt;"",I149&lt;&gt;"",J149&lt;&gt;"",L149&lt;&gt;"",N149&lt;&gt;"",O149&lt;&gt;"",P149="APPROVED PUBLIC",S149="Sí"),6,IF(AND(H149&lt;&gt;"",I149&lt;&gt;"",J149&lt;&gt;"",L149&lt;&gt;"",N149&lt;&gt;"",O149&lt;&gt;"",P149&lt;&gt;"",S149="Sí"),5,IF(AND(H149&lt;&gt;"",I149&lt;&gt;"",P149&lt;&gt;"",S149&lt;&gt;"No"),4,IF(AND(H149&lt;&gt;"",I149&lt;&gt;""),3,IF(F149&lt;&gt;"",2,1)))))</x:f>
        <x:v>T4</x:v>
      </x:c>
      <x:c r="U149" s="24" t="str">
        <x:v>VRM Games</x:v>
      </x:c>
      <x:c r="V149" s="24" t="str">
        <x:v>No se detectó proveedor externo en la ruta; confirmar autoría por lote antes de release público.</x:v>
      </x:c>
    </x:row>
    <x:row r="150" ht="34" customHeight="1">
      <x:c r="A150" s="24" t="str">
        <x:v>TRC-00146</x:v>
      </x:c>
      <x:c r="B150" s="24" t="str">
        <x:v>d9bc385fea51b0ff5f60db1d28fe4650</x:v>
      </x:c>
      <x:c r="C150" s="24" t="str">
        <x:v>UiConfirm.wav</x:v>
      </x:c>
      <x:c r="D150" s="24" t="str">
        <x:v>Audio</x:v>
      </x:c>
      <x:c r="E150" s="24" t="str">
        <x:v>03_Assets_Internos</x:v>
      </x:c>
      <x:c r="F150" s="24" t="str">
        <x:v>AUD-LIC-009</x:v>
      </x:c>
      <x:c r="G150" s="24" t="str">
        <x:v>VRM Games / Blas Luis Rocha González</x:v>
      </x:c>
      <x:c r="H150" s="24" t="str">
        <x:v>Internal project IP / authorship claim</x:v>
      </x:c>
      <x:c r="I150" s="24" t="str">
        <x:v>Source package + repository path + hash</x:v>
      </x:c>
      <x:c r="J150" s="24" t="str">
        <x:v>7ffea9f36d9c6b6f76941ac5ba8196b8a51b71cc0175d1b888e82e0305296c03</x:v>
      </x:c>
      <x:c r="K150" s="24" t="str">
        <x:v>Assets/_Project/Audio/UI/UiConfirm.wav</x:v>
      </x:c>
      <x:c r="L150" s="24" t="str">
        <x:v>CR-005</x:v>
      </x:c>
      <x:c r="M150" s="24" t="str"/>
      <x:c r="N150" s="24" t="str">
        <x:v>RES-001;RES-014</x:v>
      </x:c>
      <x:c r="O150" s="24" t="str">
        <x:v>Internal development; public candidate requires gate</x:v>
      </x:c>
      <x:c r="P150" s="24" t="str">
        <x:v>INTERNAL ONLY / PUBLIC REVIEW</x:v>
      </x:c>
      <x:c r="Q150" s="24" t="str">
        <x:v>Medium</x:v>
      </x:c>
      <x:c r="R150" s="24" t="str">
        <x:v>LEG-DEBT-002</x:v>
      </x:c>
      <x:c r="S150" s="24" t="str">
        <x:v>Parcial</x:v>
      </x:c>
      <x:c r="T150" s="24" t="str">
        <x:f>"T"&amp;IF(AND(H150&lt;&gt;"",I150&lt;&gt;"",J150&lt;&gt;"",L150&lt;&gt;"",N150&lt;&gt;"",O150&lt;&gt;"",P150="APPROVED PUBLIC",S150="Sí"),6,IF(AND(H150&lt;&gt;"",I150&lt;&gt;"",J150&lt;&gt;"",L150&lt;&gt;"",N150&lt;&gt;"",O150&lt;&gt;"",P150&lt;&gt;"",S150="Sí"),5,IF(AND(H150&lt;&gt;"",I150&lt;&gt;"",P150&lt;&gt;"",S150&lt;&gt;"No"),4,IF(AND(H150&lt;&gt;"",I150&lt;&gt;""),3,IF(F150&lt;&gt;"",2,1)))))</x:f>
        <x:v>T4</x:v>
      </x:c>
      <x:c r="U150" s="24" t="str">
        <x:v>VRM Games</x:v>
      </x:c>
      <x:c r="V150" s="24" t="str">
        <x:v>No se detectó proveedor externo en la ruta; confirmar autoría por lote antes de release público.</x:v>
      </x:c>
    </x:row>
    <x:row r="151" ht="34" customHeight="1">
      <x:c r="A151" s="24" t="str">
        <x:v>TRC-00147</x:v>
      </x:c>
      <x:c r="B151" s="24" t="str">
        <x:v>b2633481fff90cc387bf1bf6d7429bc1</x:v>
      </x:c>
      <x:c r="C151" s="24" t="str">
        <x:v>UiError.wav</x:v>
      </x:c>
      <x:c r="D151" s="24" t="str">
        <x:v>Audio</x:v>
      </x:c>
      <x:c r="E151" s="24" t="str">
        <x:v>03_Assets_Internos</x:v>
      </x:c>
      <x:c r="F151" s="24" t="str">
        <x:v>AUD-LIC-010</x:v>
      </x:c>
      <x:c r="G151" s="24" t="str">
        <x:v>VRM Games / Blas Luis Rocha González</x:v>
      </x:c>
      <x:c r="H151" s="24" t="str">
        <x:v>Internal project IP / authorship claim</x:v>
      </x:c>
      <x:c r="I151" s="24" t="str">
        <x:v>Source package + repository path + hash</x:v>
      </x:c>
      <x:c r="J151" s="24" t="str">
        <x:v>e11141e228dc3d95422b0609d0e271cf562eb43a465d6bf4680d69e7ecb3ba96</x:v>
      </x:c>
      <x:c r="K151" s="24" t="str">
        <x:v>Assets/_Project/Audio/UI/UiError.wav</x:v>
      </x:c>
      <x:c r="L151" s="24" t="str">
        <x:v>CR-005</x:v>
      </x:c>
      <x:c r="M151" s="24" t="str"/>
      <x:c r="N151" s="24" t="str">
        <x:v>RES-001;RES-014</x:v>
      </x:c>
      <x:c r="O151" s="24" t="str">
        <x:v>Internal development; public candidate requires gate</x:v>
      </x:c>
      <x:c r="P151" s="24" t="str">
        <x:v>INTERNAL ONLY / PUBLIC REVIEW</x:v>
      </x:c>
      <x:c r="Q151" s="24" t="str">
        <x:v>Medium</x:v>
      </x:c>
      <x:c r="R151" s="24" t="str">
        <x:v>LEG-DEBT-002</x:v>
      </x:c>
      <x:c r="S151" s="24" t="str">
        <x:v>Parcial</x:v>
      </x:c>
      <x:c r="T151" s="24" t="str">
        <x:f>"T"&amp;IF(AND(H151&lt;&gt;"",I151&lt;&gt;"",J151&lt;&gt;"",L151&lt;&gt;"",N151&lt;&gt;"",O151&lt;&gt;"",P151="APPROVED PUBLIC",S151="Sí"),6,IF(AND(H151&lt;&gt;"",I151&lt;&gt;"",J151&lt;&gt;"",L151&lt;&gt;"",N151&lt;&gt;"",O151&lt;&gt;"",P151&lt;&gt;"",S151="Sí"),5,IF(AND(H151&lt;&gt;"",I151&lt;&gt;"",P151&lt;&gt;"",S151&lt;&gt;"No"),4,IF(AND(H151&lt;&gt;"",I151&lt;&gt;""),3,IF(F151&lt;&gt;"",2,1)))))</x:f>
        <x:v>T4</x:v>
      </x:c>
      <x:c r="U151" s="24" t="str">
        <x:v>VRM Games</x:v>
      </x:c>
      <x:c r="V151" s="24" t="str">
        <x:v>No se detectó proveedor externo en la ruta; confirmar autoría por lote antes de release público.</x:v>
      </x:c>
    </x:row>
    <x:row r="152" ht="34" customHeight="1">
      <x:c r="A152" s="24" t="str">
        <x:v>TRC-00148</x:v>
      </x:c>
      <x:c r="B152" s="24" t="str">
        <x:v>abce973f3500d5704e237a9c1030f3df</x:v>
      </x:c>
      <x:c r="C152" s="24" t="str">
        <x:v>AudioCatalog.asset</x:v>
      </x:c>
      <x:c r="D152" s="24" t="str">
        <x:v>Unity data asset</x:v>
      </x:c>
      <x:c r="E152" s="24" t="str">
        <x:v>03_Assets_Internos</x:v>
      </x:c>
      <x:c r="F152" s="24" t="str">
        <x:v>INT-0148</x:v>
      </x:c>
      <x:c r="G152" s="24" t="str">
        <x:v>VRM Games / Blas Luis Rocha González</x:v>
      </x:c>
      <x:c r="H152" s="24" t="str">
        <x:v>Internal project IP / authorship claim</x:v>
      </x:c>
      <x:c r="I152" s="24" t="str">
        <x:v>Source package + repository path + hash</x:v>
      </x:c>
      <x:c r="J152" s="24" t="str">
        <x:v>e7dcc0563f7809149498cc46c53826b87bcd49de05eef2a4939611134a8847fe</x:v>
      </x:c>
      <x:c r="K152" s="24" t="str">
        <x:v>Assets/_Project/Data/Catalogs/AudioCatalog.asset</x:v>
      </x:c>
      <x:c r="L152" s="24" t="str">
        <x:v>CR-003</x:v>
      </x:c>
      <x:c r="M152" s="24" t="str"/>
      <x:c r="N152" s="24" t="str">
        <x:v>RES-001;RES-014</x:v>
      </x:c>
      <x:c r="O152" s="24" t="str">
        <x:v>Internal development; public candidate requires gate</x:v>
      </x:c>
      <x:c r="P152" s="24" t="str">
        <x:v>CONDITIONALLY APPROVED</x:v>
      </x:c>
      <x:c r="Q152" s="24" t="str">
        <x:v>Low</x:v>
      </x:c>
      <x:c r="R152" s="24" t="str"/>
      <x:c r="S152" s="24" t="str">
        <x:v>Sí</x:v>
      </x:c>
      <x:c r="T152" s="24" t="str">
        <x:f>"T"&amp;IF(AND(H152&lt;&gt;"",I152&lt;&gt;"",J152&lt;&gt;"",L152&lt;&gt;"",N152&lt;&gt;"",O152&lt;&gt;"",P152="APPROVED PUBLIC",S152="Sí"),6,IF(AND(H152&lt;&gt;"",I152&lt;&gt;"",J152&lt;&gt;"",L152&lt;&gt;"",N152&lt;&gt;"",O152&lt;&gt;"",P152&lt;&gt;"",S152="Sí"),5,IF(AND(H152&lt;&gt;"",I152&lt;&gt;"",P152&lt;&gt;"",S152&lt;&gt;"No"),4,IF(AND(H152&lt;&gt;"",I152&lt;&gt;""),3,IF(F152&lt;&gt;"",2,1)))))</x:f>
        <x:v>T5</x:v>
      </x:c>
      <x:c r="U152" s="24" t="str">
        <x:v>VRM Games</x:v>
      </x:c>
      <x:c r="V152" s="24" t="str">
        <x:v>No se detectó proveedor externo en la ruta; confirmar autoría por lote antes de release público.</x:v>
      </x:c>
    </x:row>
    <x:row r="153" ht="34" customHeight="1">
      <x:c r="A153" s="24" t="str">
        <x:v>TRC-00149</x:v>
      </x:c>
      <x:c r="B153" s="24" t="str">
        <x:v>83499b8c0808ba3e4d494a7c1c52a9d2</x:v>
      </x:c>
      <x:c r="C153" s="24" t="str">
        <x:v>ContentCatalog.asset</x:v>
      </x:c>
      <x:c r="D153" s="24" t="str">
        <x:v>Unity data asset</x:v>
      </x:c>
      <x:c r="E153" s="24" t="str">
        <x:v>03_Assets_Internos</x:v>
      </x:c>
      <x:c r="F153" s="24" t="str">
        <x:v>INT-0149</x:v>
      </x:c>
      <x:c r="G153" s="24" t="str">
        <x:v>VRM Games / Blas Luis Rocha González</x:v>
      </x:c>
      <x:c r="H153" s="24" t="str">
        <x:v>Internal project IP / authorship claim</x:v>
      </x:c>
      <x:c r="I153" s="24" t="str">
        <x:v>Source package + repository path + hash</x:v>
      </x:c>
      <x:c r="J153" s="24" t="str">
        <x:v>5f4e477f62b29dd4a39a6a2549b15249aa15885dbcac99e0fd320ab865081daf</x:v>
      </x:c>
      <x:c r="K153" s="24" t="str">
        <x:v>Assets/_Project/Data/Catalogs/ContentCatalog.asset</x:v>
      </x:c>
      <x:c r="L153" s="24" t="str">
        <x:v>CR-003</x:v>
      </x:c>
      <x:c r="M153" s="24" t="str"/>
      <x:c r="N153" s="24" t="str">
        <x:v>RES-001;RES-014</x:v>
      </x:c>
      <x:c r="O153" s="24" t="str">
        <x:v>Internal development; public candidate requires gate</x:v>
      </x:c>
      <x:c r="P153" s="24" t="str">
        <x:v>CONDITIONALLY APPROVED</x:v>
      </x:c>
      <x:c r="Q153" s="24" t="str">
        <x:v>Low</x:v>
      </x:c>
      <x:c r="R153" s="24" t="str"/>
      <x:c r="S153" s="24" t="str">
        <x:v>Sí</x:v>
      </x:c>
      <x:c r="T153" s="24" t="str">
        <x:f>"T"&amp;IF(AND(H153&lt;&gt;"",I153&lt;&gt;"",J153&lt;&gt;"",L153&lt;&gt;"",N153&lt;&gt;"",O153&lt;&gt;"",P153="APPROVED PUBLIC",S153="Sí"),6,IF(AND(H153&lt;&gt;"",I153&lt;&gt;"",J153&lt;&gt;"",L153&lt;&gt;"",N153&lt;&gt;"",O153&lt;&gt;"",P153&lt;&gt;"",S153="Sí"),5,IF(AND(H153&lt;&gt;"",I153&lt;&gt;"",P153&lt;&gt;"",S153&lt;&gt;"No"),4,IF(AND(H153&lt;&gt;"",I153&lt;&gt;""),3,IF(F153&lt;&gt;"",2,1)))))</x:f>
        <x:v>T5</x:v>
      </x:c>
      <x:c r="U153" s="24" t="str">
        <x:v>VRM Games</x:v>
      </x:c>
      <x:c r="V153" s="24" t="str">
        <x:v>No se detectó proveedor externo en la ruta; confirmar autoría por lote antes de release público.</x:v>
      </x:c>
    </x:row>
    <x:row r="154" ht="34" customHeight="1">
      <x:c r="A154" s="24" t="str">
        <x:v>TRC-00150</x:v>
      </x:c>
      <x:c r="B154" s="24" t="str">
        <x:v>a20e0b0558be3f1d3d781b49cfc99403</x:v>
      </x:c>
      <x:c r="C154" s="24" t="str">
        <x:v>MaterialPalette.asset</x:v>
      </x:c>
      <x:c r="D154" s="24" t="str">
        <x:v>Unity data asset</x:v>
      </x:c>
      <x:c r="E154" s="24" t="str">
        <x:v>03_Assets_Internos</x:v>
      </x:c>
      <x:c r="F154" s="24" t="str">
        <x:v>INT-0150</x:v>
      </x:c>
      <x:c r="G154" s="24" t="str">
        <x:v>VRM Games / Blas Luis Rocha González</x:v>
      </x:c>
      <x:c r="H154" s="24" t="str">
        <x:v>Internal project IP / authorship claim</x:v>
      </x:c>
      <x:c r="I154" s="24" t="str">
        <x:v>Source package + repository path + hash</x:v>
      </x:c>
      <x:c r="J154" s="24" t="str">
        <x:v>d8f2928e280eabb39006f87d177c85ba28fca1a35c1fabacbb52b624e3111c2c</x:v>
      </x:c>
      <x:c r="K154" s="24" t="str">
        <x:v>Assets/_Project/Data/Catalogs/MaterialPalette.asset</x:v>
      </x:c>
      <x:c r="L154" s="24" t="str">
        <x:v>CR-003</x:v>
      </x:c>
      <x:c r="M154" s="24" t="str"/>
      <x:c r="N154" s="24" t="str">
        <x:v>RES-001;RES-014</x:v>
      </x:c>
      <x:c r="O154" s="24" t="str">
        <x:v>Internal development; public candidate requires gate</x:v>
      </x:c>
      <x:c r="P154" s="24" t="str">
        <x:v>CONDITIONALLY APPROVED</x:v>
      </x:c>
      <x:c r="Q154" s="24" t="str">
        <x:v>Low</x:v>
      </x:c>
      <x:c r="R154" s="24" t="str"/>
      <x:c r="S154" s="24" t="str">
        <x:v>Sí</x:v>
      </x:c>
      <x:c r="T154" s="24" t="str">
        <x:f>"T"&amp;IF(AND(H154&lt;&gt;"",I154&lt;&gt;"",J154&lt;&gt;"",L154&lt;&gt;"",N154&lt;&gt;"",O154&lt;&gt;"",P154="APPROVED PUBLIC",S154="Sí"),6,IF(AND(H154&lt;&gt;"",I154&lt;&gt;"",J154&lt;&gt;"",L154&lt;&gt;"",N154&lt;&gt;"",O154&lt;&gt;"",P154&lt;&gt;"",S154="Sí"),5,IF(AND(H154&lt;&gt;"",I154&lt;&gt;"",P154&lt;&gt;"",S154&lt;&gt;"No"),4,IF(AND(H154&lt;&gt;"",I154&lt;&gt;""),3,IF(F154&lt;&gt;"",2,1)))))</x:f>
        <x:v>T5</x:v>
      </x:c>
      <x:c r="U154" s="24" t="str">
        <x:v>VRM Games</x:v>
      </x:c>
      <x:c r="V154" s="24" t="str">
        <x:v>No se detectó proveedor externo en la ruta; confirmar autoría por lote antes de release público.</x:v>
      </x:c>
    </x:row>
    <x:row r="155" ht="34" customHeight="1">
      <x:c r="A155" s="24" t="str">
        <x:v>TRC-00151</x:v>
      </x:c>
      <x:c r="B155" s="24" t="str">
        <x:v>0c42349cfba6aa4db3c45d877eba589e</x:v>
      </x:c>
      <x:c r="C155" s="24" t="str">
        <x:v>PresentationCatalog.asset</x:v>
      </x:c>
      <x:c r="D155" s="24" t="str">
        <x:v>Unity data asset</x:v>
      </x:c>
      <x:c r="E155" s="24" t="str">
        <x:v>03_Assets_Internos</x:v>
      </x:c>
      <x:c r="F155" s="24" t="str">
        <x:v>INT-0151</x:v>
      </x:c>
      <x:c r="G155" s="24" t="str">
        <x:v>VRM Games / Blas Luis Rocha González</x:v>
      </x:c>
      <x:c r="H155" s="24" t="str">
        <x:v>Internal project IP / authorship claim</x:v>
      </x:c>
      <x:c r="I155" s="24" t="str">
        <x:v>Source package + repository path + hash</x:v>
      </x:c>
      <x:c r="J155" s="24" t="str">
        <x:v>268f22b00c73fecadeb4d8d0e37e0bbbeb271067a4ce777cc7466b74a3dadf06</x:v>
      </x:c>
      <x:c r="K155" s="24" t="str">
        <x:v>Assets/_Project/Data/Catalogs/PresentationCatalog.asset</x:v>
      </x:c>
      <x:c r="L155" s="24" t="str">
        <x:v>CR-003</x:v>
      </x:c>
      <x:c r="M155" s="24" t="str"/>
      <x:c r="N155" s="24" t="str">
        <x:v>RES-001;RES-014</x:v>
      </x:c>
      <x:c r="O155" s="24" t="str">
        <x:v>Internal development; public candidate requires gate</x:v>
      </x:c>
      <x:c r="P155" s="24" t="str">
        <x:v>CONDITIONALLY APPROVED</x:v>
      </x:c>
      <x:c r="Q155" s="24" t="str">
        <x:v>Low</x:v>
      </x:c>
      <x:c r="R155" s="24" t="str"/>
      <x:c r="S155" s="24" t="str">
        <x:v>Sí</x:v>
      </x:c>
      <x:c r="T155" s="24" t="str">
        <x:f>"T"&amp;IF(AND(H155&lt;&gt;"",I155&lt;&gt;"",J155&lt;&gt;"",L155&lt;&gt;"",N155&lt;&gt;"",O155&lt;&gt;"",P155="APPROVED PUBLIC",S155="Sí"),6,IF(AND(H155&lt;&gt;"",I155&lt;&gt;"",J155&lt;&gt;"",L155&lt;&gt;"",N155&lt;&gt;"",O155&lt;&gt;"",P155&lt;&gt;"",S155="Sí"),5,IF(AND(H155&lt;&gt;"",I155&lt;&gt;"",P155&lt;&gt;"",S155&lt;&gt;"No"),4,IF(AND(H155&lt;&gt;"",I155&lt;&gt;""),3,IF(F155&lt;&gt;"",2,1)))))</x:f>
        <x:v>T5</x:v>
      </x:c>
      <x:c r="U155" s="24" t="str">
        <x:v>VRM Games</x:v>
      </x:c>
      <x:c r="V155" s="24" t="str">
        <x:v>No se detectó proveedor externo en la ruta; confirmar autoría por lote antes de release público.</x:v>
      </x:c>
    </x:row>
    <x:row r="156" ht="34" customHeight="1">
      <x:c r="A156" s="24" t="str">
        <x:v>TRC-00152</x:v>
      </x:c>
      <x:c r="B156" s="24" t="str">
        <x:v>17c4e5c5ea042bd4dbf99c493a2a9298</x:v>
      </x:c>
      <x:c r="C156" s="24" t="str">
        <x:v>RepresentativePrefabCatalog.asset</x:v>
      </x:c>
      <x:c r="D156" s="24" t="str">
        <x:v>Unity data asset</x:v>
      </x:c>
      <x:c r="E156" s="24" t="str">
        <x:v>03_Assets_Internos</x:v>
      </x:c>
      <x:c r="F156" s="24" t="str">
        <x:v>INT-0152</x:v>
      </x:c>
      <x:c r="G156" s="24" t="str">
        <x:v>VRM Games / Blas Luis Rocha González</x:v>
      </x:c>
      <x:c r="H156" s="24" t="str">
        <x:v>Internal project IP / authorship claim</x:v>
      </x:c>
      <x:c r="I156" s="24" t="str">
        <x:v>Source package + repository path + hash</x:v>
      </x:c>
      <x:c r="J156" s="24" t="str">
        <x:v>d699a654b81b8028f9c8b78b99c09fd7760a783a9650e36462246e49b141637d</x:v>
      </x:c>
      <x:c r="K156" s="24" t="str">
        <x:v>Assets/_Project/Data/Catalogs/RepresentativePrefabCatalog.asset</x:v>
      </x:c>
      <x:c r="L156" s="24" t="str">
        <x:v>CR-003</x:v>
      </x:c>
      <x:c r="M156" s="24" t="str"/>
      <x:c r="N156" s="24" t="str">
        <x:v>RES-001;RES-014</x:v>
      </x:c>
      <x:c r="O156" s="24" t="str">
        <x:v>Internal development; public candidate requires gate</x:v>
      </x:c>
      <x:c r="P156" s="24" t="str">
        <x:v>CONDITIONALLY APPROVED</x:v>
      </x:c>
      <x:c r="Q156" s="24" t="str">
        <x:v>Low</x:v>
      </x:c>
      <x:c r="R156" s="24" t="str"/>
      <x:c r="S156" s="24" t="str">
        <x:v>Sí</x:v>
      </x:c>
      <x:c r="T156" s="24" t="str">
        <x:f>"T"&amp;IF(AND(H156&lt;&gt;"",I156&lt;&gt;"",J156&lt;&gt;"",L156&lt;&gt;"",N156&lt;&gt;"",O156&lt;&gt;"",P156="APPROVED PUBLIC",S156="Sí"),6,IF(AND(H156&lt;&gt;"",I156&lt;&gt;"",J156&lt;&gt;"",L156&lt;&gt;"",N156&lt;&gt;"",O156&lt;&gt;"",P156&lt;&gt;"",S156="Sí"),5,IF(AND(H156&lt;&gt;"",I156&lt;&gt;"",P156&lt;&gt;"",S156&lt;&gt;"No"),4,IF(AND(H156&lt;&gt;"",I156&lt;&gt;""),3,IF(F156&lt;&gt;"",2,1)))))</x:f>
        <x:v>T5</x:v>
      </x:c>
      <x:c r="U156" s="24" t="str">
        <x:v>VRM Games</x:v>
      </x:c>
      <x:c r="V156" s="24" t="str">
        <x:v>No se detectó proveedor externo en la ruta; confirmar autoría por lote antes de release público.</x:v>
      </x:c>
    </x:row>
    <x:row r="157" ht="34" customHeight="1">
      <x:c r="A157" s="24" t="str">
        <x:v>TRC-00153</x:v>
      </x:c>
      <x:c r="B157" s="24" t="str">
        <x:v>385ca15f42f547e9af5c27a28dbbd1b3</x:v>
      </x:c>
      <x:c r="C157" s="24" t="str">
        <x:v>CC_CheckoutSettings_Technical.asset</x:v>
      </x:c>
      <x:c r="D157" s="24" t="str">
        <x:v>Unity data asset</x:v>
      </x:c>
      <x:c r="E157" s="24" t="str">
        <x:v>03_Assets_Internos</x:v>
      </x:c>
      <x:c r="F157" s="24" t="str">
        <x:v>INT-0153</x:v>
      </x:c>
      <x:c r="G157" s="24" t="str">
        <x:v>VRM Games / Blas Luis Rocha González</x:v>
      </x:c>
      <x:c r="H157" s="24" t="str">
        <x:v>Internal project IP / authorship claim</x:v>
      </x:c>
      <x:c r="I157" s="24" t="str">
        <x:v>Source package + repository path + hash</x:v>
      </x:c>
      <x:c r="J157" s="24" t="str">
        <x:v>63333c777b727886ee96fafbb5566e503b59f2fb5c3d83e80dcbe50ae27b567a</x:v>
      </x:c>
      <x:c r="K157" s="24" t="str">
        <x:v>Assets/_Project/Data/Checkout/Technical/CC_CheckoutSettings_Technical.asset</x:v>
      </x:c>
      <x:c r="L157" s="24" t="str">
        <x:v>CR-003</x:v>
      </x:c>
      <x:c r="M157" s="24" t="str"/>
      <x:c r="N157" s="24" t="str">
        <x:v>RES-001;RES-014</x:v>
      </x:c>
      <x:c r="O157" s="24" t="str">
        <x:v>Internal development; public candidate requires gate</x:v>
      </x:c>
      <x:c r="P157" s="24" t="str">
        <x:v>CONDITIONALLY APPROVED</x:v>
      </x:c>
      <x:c r="Q157" s="24" t="str">
        <x:v>Low</x:v>
      </x:c>
      <x:c r="R157" s="24" t="str"/>
      <x:c r="S157" s="24" t="str">
        <x:v>Sí</x:v>
      </x:c>
      <x:c r="T157" s="24" t="str">
        <x:f>"T"&amp;IF(AND(H157&lt;&gt;"",I157&lt;&gt;"",J157&lt;&gt;"",L157&lt;&gt;"",N157&lt;&gt;"",O157&lt;&gt;"",P157="APPROVED PUBLIC",S157="Sí"),6,IF(AND(H157&lt;&gt;"",I157&lt;&gt;"",J157&lt;&gt;"",L157&lt;&gt;"",N157&lt;&gt;"",O157&lt;&gt;"",P157&lt;&gt;"",S157="Sí"),5,IF(AND(H157&lt;&gt;"",I157&lt;&gt;"",P157&lt;&gt;"",S157&lt;&gt;"No"),4,IF(AND(H157&lt;&gt;"",I157&lt;&gt;""),3,IF(F157&lt;&gt;"",2,1)))))</x:f>
        <x:v>T5</x:v>
      </x:c>
      <x:c r="U157" s="24" t="str">
        <x:v>VRM Games</x:v>
      </x:c>
      <x:c r="V157" s="24" t="str">
        <x:v>No se detectó proveedor externo en la ruta; confirmar autoría por lote antes de release público.</x:v>
      </x:c>
    </x:row>
    <x:row r="158" ht="34" customHeight="1">
      <x:c r="A158" s="24" t="str">
        <x:v>TRC-00154</x:v>
      </x:c>
      <x:c r="B158" s="24" t="str">
        <x:v>98e635ed7fa645eb9e7cac002784342d</x:v>
      </x:c>
      <x:c r="C158" s="24" t="str">
        <x:v>CC_CustomerProfileCatalog_Technical.asset</x:v>
      </x:c>
      <x:c r="D158" s="24" t="str">
        <x:v>Unity data asset</x:v>
      </x:c>
      <x:c r="E158" s="24" t="str">
        <x:v>03_Assets_Internos</x:v>
      </x:c>
      <x:c r="F158" s="24" t="str">
        <x:v>INT-0154</x:v>
      </x:c>
      <x:c r="G158" s="24" t="str">
        <x:v>VRM Games / Blas Luis Rocha González</x:v>
      </x:c>
      <x:c r="H158" s="24" t="str">
        <x:v>Internal project IP / authorship claim</x:v>
      </x:c>
      <x:c r="I158" s="24" t="str">
        <x:v>Source package + repository path + hash</x:v>
      </x:c>
      <x:c r="J158" s="24" t="str">
        <x:v>2c21cf947a470f9508adca854453f4b6a3dd47244c44bc64b0df59837432f1c6</x:v>
      </x:c>
      <x:c r="K158" s="24" t="str">
        <x:v>Assets/_Project/Data/Customers/Technical/CC_CustomerProfileCatalog_Technical.asset</x:v>
      </x:c>
      <x:c r="L158" s="24" t="str">
        <x:v>CR-003</x:v>
      </x:c>
      <x:c r="M158" s="24" t="str"/>
      <x:c r="N158" s="24" t="str">
        <x:v>RES-001;RES-014</x:v>
      </x:c>
      <x:c r="O158" s="24" t="str">
        <x:v>Internal development; public candidate requires gate</x:v>
      </x:c>
      <x:c r="P158" s="24" t="str">
        <x:v>CONDITIONALLY APPROVED</x:v>
      </x:c>
      <x:c r="Q158" s="24" t="str">
        <x:v>Low</x:v>
      </x:c>
      <x:c r="R158" s="24" t="str"/>
      <x:c r="S158" s="24" t="str">
        <x:v>Sí</x:v>
      </x:c>
      <x:c r="T158" s="24" t="str">
        <x:f>"T"&amp;IF(AND(H158&lt;&gt;"",I158&lt;&gt;"",J158&lt;&gt;"",L158&lt;&gt;"",N158&lt;&gt;"",O158&lt;&gt;"",P158="APPROVED PUBLIC",S158="Sí"),6,IF(AND(H158&lt;&gt;"",I158&lt;&gt;"",J158&lt;&gt;"",L158&lt;&gt;"",N158&lt;&gt;"",O158&lt;&gt;"",P158&lt;&gt;"",S158="Sí"),5,IF(AND(H158&lt;&gt;"",I158&lt;&gt;"",P158&lt;&gt;"",S158&lt;&gt;"No"),4,IF(AND(H158&lt;&gt;"",I158&lt;&gt;""),3,IF(F158&lt;&gt;"",2,1)))))</x:f>
        <x:v>T5</x:v>
      </x:c>
      <x:c r="U158" s="24" t="str">
        <x:v>VRM Games</x:v>
      </x:c>
      <x:c r="V158" s="24" t="str">
        <x:v>No se detectó proveedor externo en la ruta; confirmar autoría por lote antes de release público.</x:v>
      </x:c>
    </x:row>
    <x:row r="159" ht="34" customHeight="1">
      <x:c r="A159" s="24" t="str">
        <x:v>TRC-00155</x:v>
      </x:c>
      <x:c r="B159" s="24" t="str">
        <x:v>e5261bc6a55b4ea59352e5f66b46bc29</x:v>
      </x:c>
      <x:c r="C159" s="24" t="str">
        <x:v>CC_CustomerProfile_CasualBrowser.asset</x:v>
      </x:c>
      <x:c r="D159" s="24" t="str">
        <x:v>Unity data asset</x:v>
      </x:c>
      <x:c r="E159" s="24" t="str">
        <x:v>03_Assets_Internos</x:v>
      </x:c>
      <x:c r="F159" s="24" t="str">
        <x:v>INT-0155</x:v>
      </x:c>
      <x:c r="G159" s="24" t="str">
        <x:v>VRM Games / Blas Luis Rocha González</x:v>
      </x:c>
      <x:c r="H159" s="24" t="str">
        <x:v>Internal project IP / authorship claim</x:v>
      </x:c>
      <x:c r="I159" s="24" t="str">
        <x:v>Source package + repository path + hash</x:v>
      </x:c>
      <x:c r="J159" s="24" t="str">
        <x:v>f14b9d6f87df65aa81b7c814c2d6c590c42b54d33ec21186f1fb2fd676d79062</x:v>
      </x:c>
      <x:c r="K159" s="24" t="str">
        <x:v>Assets/_Project/Data/Customers/Technical/CC_CustomerProfile_CasualBrowser.asset</x:v>
      </x:c>
      <x:c r="L159" s="24" t="str">
        <x:v>CR-003</x:v>
      </x:c>
      <x:c r="M159" s="24" t="str"/>
      <x:c r="N159" s="24" t="str">
        <x:v>RES-001;RES-014</x:v>
      </x:c>
      <x:c r="O159" s="24" t="str">
        <x:v>Internal development; public candidate requires gate</x:v>
      </x:c>
      <x:c r="P159" s="24" t="str">
        <x:v>CONDITIONALLY APPROVED</x:v>
      </x:c>
      <x:c r="Q159" s="24" t="str">
        <x:v>Low</x:v>
      </x:c>
      <x:c r="R159" s="24" t="str"/>
      <x:c r="S159" s="24" t="str">
        <x:v>Sí</x:v>
      </x:c>
      <x:c r="T159" s="24" t="str">
        <x:f>"T"&amp;IF(AND(H159&lt;&gt;"",I159&lt;&gt;"",J159&lt;&gt;"",L159&lt;&gt;"",N159&lt;&gt;"",O159&lt;&gt;"",P159="APPROVED PUBLIC",S159="Sí"),6,IF(AND(H159&lt;&gt;"",I159&lt;&gt;"",J159&lt;&gt;"",L159&lt;&gt;"",N159&lt;&gt;"",O159&lt;&gt;"",P159&lt;&gt;"",S159="Sí"),5,IF(AND(H159&lt;&gt;"",I159&lt;&gt;"",P159&lt;&gt;"",S159&lt;&gt;"No"),4,IF(AND(H159&lt;&gt;"",I159&lt;&gt;""),3,IF(F159&lt;&gt;"",2,1)))))</x:f>
        <x:v>T5</x:v>
      </x:c>
      <x:c r="U159" s="24" t="str">
        <x:v>VRM Games</x:v>
      </x:c>
      <x:c r="V159" s="24" t="str">
        <x:v>No se detectó proveedor externo en la ruta; confirmar autoría por lote antes de release público.</x:v>
      </x:c>
    </x:row>
    <x:row r="160" ht="34" customHeight="1">
      <x:c r="A160" s="24" t="str">
        <x:v>TRC-00156</x:v>
      </x:c>
      <x:c r="B160" s="24" t="str">
        <x:v>b7f01ec48a7f4583971ef1dc7af1b959</x:v>
      </x:c>
      <x:c r="C160" s="24" t="str">
        <x:v>CC_CustomerProfile_Collector.asset</x:v>
      </x:c>
      <x:c r="D160" s="24" t="str">
        <x:v>Unity data asset</x:v>
      </x:c>
      <x:c r="E160" s="24" t="str">
        <x:v>03_Assets_Internos</x:v>
      </x:c>
      <x:c r="F160" s="24" t="str">
        <x:v>INT-0156</x:v>
      </x:c>
      <x:c r="G160" s="24" t="str">
        <x:v>VRM Games / Blas Luis Rocha González</x:v>
      </x:c>
      <x:c r="H160" s="24" t="str">
        <x:v>Internal project IP / authorship claim</x:v>
      </x:c>
      <x:c r="I160" s="24" t="str">
        <x:v>Source package + repository path + hash</x:v>
      </x:c>
      <x:c r="J160" s="24" t="str">
        <x:v>a610873b55c4bca89ab4b78aebea97edafc06ce7486da50d34fa3d639a21ac96</x:v>
      </x:c>
      <x:c r="K160" s="24" t="str">
        <x:v>Assets/_Project/Data/Customers/Technical/CC_CustomerProfile_Collector.asset</x:v>
      </x:c>
      <x:c r="L160" s="24" t="str">
        <x:v>CR-003</x:v>
      </x:c>
      <x:c r="M160" s="24" t="str"/>
      <x:c r="N160" s="24" t="str">
        <x:v>RES-001;RES-014</x:v>
      </x:c>
      <x:c r="O160" s="24" t="str">
        <x:v>Internal development; public candidate requires gate</x:v>
      </x:c>
      <x:c r="P160" s="24" t="str">
        <x:v>CONDITIONALLY APPROVED</x:v>
      </x:c>
      <x:c r="Q160" s="24" t="str">
        <x:v>Low</x:v>
      </x:c>
      <x:c r="R160" s="24" t="str"/>
      <x:c r="S160" s="24" t="str">
        <x:v>Sí</x:v>
      </x:c>
      <x:c r="T160" s="24" t="str">
        <x:f>"T"&amp;IF(AND(H160&lt;&gt;"",I160&lt;&gt;"",J160&lt;&gt;"",L160&lt;&gt;"",N160&lt;&gt;"",O160&lt;&gt;"",P160="APPROVED PUBLIC",S160="Sí"),6,IF(AND(H160&lt;&gt;"",I160&lt;&gt;"",J160&lt;&gt;"",L160&lt;&gt;"",N160&lt;&gt;"",O160&lt;&gt;"",P160&lt;&gt;"",S160="Sí"),5,IF(AND(H160&lt;&gt;"",I160&lt;&gt;"",P160&lt;&gt;"",S160&lt;&gt;"No"),4,IF(AND(H160&lt;&gt;"",I160&lt;&gt;""),3,IF(F160&lt;&gt;"",2,1)))))</x:f>
        <x:v>T5</x:v>
      </x:c>
      <x:c r="U160" s="24" t="str">
        <x:v>VRM Games</x:v>
      </x:c>
      <x:c r="V160" s="24" t="str">
        <x:v>No se detectó proveedor externo en la ruta; confirmar autoría por lote antes de release público.</x:v>
      </x:c>
    </x:row>
    <x:row r="161" ht="34" customHeight="1">
      <x:c r="A161" s="24" t="str">
        <x:v>TRC-00157</x:v>
      </x:c>
      <x:c r="B161" s="24" t="str">
        <x:v>8cf292b4749a4552a94eeee32cd5e324</x:v>
      </x:c>
      <x:c r="C161" s="24" t="str">
        <x:v>CC_CustomerProfile_FocusedBuyer.asset</x:v>
      </x:c>
      <x:c r="D161" s="24" t="str">
        <x:v>Unity data asset</x:v>
      </x:c>
      <x:c r="E161" s="24" t="str">
        <x:v>03_Assets_Internos</x:v>
      </x:c>
      <x:c r="F161" s="24" t="str">
        <x:v>INT-0157</x:v>
      </x:c>
      <x:c r="G161" s="24" t="str">
        <x:v>VRM Games / Blas Luis Rocha González</x:v>
      </x:c>
      <x:c r="H161" s="24" t="str">
        <x:v>Internal project IP / authorship claim</x:v>
      </x:c>
      <x:c r="I161" s="24" t="str">
        <x:v>Source package + repository path + hash</x:v>
      </x:c>
      <x:c r="J161" s="24" t="str">
        <x:v>768e8eaba2511b461e3c46bd0459a3815e003980d2e6fb6f5df0dbe2d78b6c78</x:v>
      </x:c>
      <x:c r="K161" s="24" t="str">
        <x:v>Assets/_Project/Data/Customers/Technical/CC_CustomerProfile_FocusedBuyer.asset</x:v>
      </x:c>
      <x:c r="L161" s="24" t="str">
        <x:v>CR-003</x:v>
      </x:c>
      <x:c r="M161" s="24" t="str"/>
      <x:c r="N161" s="24" t="str">
        <x:v>RES-001;RES-014</x:v>
      </x:c>
      <x:c r="O161" s="24" t="str">
        <x:v>Internal development; public candidate requires gate</x:v>
      </x:c>
      <x:c r="P161" s="24" t="str">
        <x:v>CONDITIONALLY APPROVED</x:v>
      </x:c>
      <x:c r="Q161" s="24" t="str">
        <x:v>Low</x:v>
      </x:c>
      <x:c r="R161" s="24" t="str"/>
      <x:c r="S161" s="24" t="str">
        <x:v>Sí</x:v>
      </x:c>
      <x:c r="T161" s="24" t="str">
        <x:f>"T"&amp;IF(AND(H161&lt;&gt;"",I161&lt;&gt;"",J161&lt;&gt;"",L161&lt;&gt;"",N161&lt;&gt;"",O161&lt;&gt;"",P161="APPROVED PUBLIC",S161="Sí"),6,IF(AND(H161&lt;&gt;"",I161&lt;&gt;"",J161&lt;&gt;"",L161&lt;&gt;"",N161&lt;&gt;"",O161&lt;&gt;"",P161&lt;&gt;"",S161="Sí"),5,IF(AND(H161&lt;&gt;"",I161&lt;&gt;"",P161&lt;&gt;"",S161&lt;&gt;"No"),4,IF(AND(H161&lt;&gt;"",I161&lt;&gt;""),3,IF(F161&lt;&gt;"",2,1)))))</x:f>
        <x:v>T5</x:v>
      </x:c>
      <x:c r="U161" s="24" t="str">
        <x:v>VRM Games</x:v>
      </x:c>
      <x:c r="V161" s="24" t="str">
        <x:v>No se detectó proveedor externo en la ruta; confirmar autoría por lote antes de release público.</x:v>
      </x:c>
    </x:row>
    <x:row r="162" ht="34" customHeight="1">
      <x:c r="A162" s="24" t="str">
        <x:v>TRC-00158</x:v>
      </x:c>
      <x:c r="B162" s="24" t="str">
        <x:v>bce2c4fc2afb44848fb74572ae1a2676</x:v>
      </x:c>
      <x:c r="C162" s="24" t="str">
        <x:v>CC_CustomerProfile_ImpatientVisitor.asset</x:v>
      </x:c>
      <x:c r="D162" s="24" t="str">
        <x:v>Unity data asset</x:v>
      </x:c>
      <x:c r="E162" s="24" t="str">
        <x:v>03_Assets_Internos</x:v>
      </x:c>
      <x:c r="F162" s="24" t="str">
        <x:v>INT-0158</x:v>
      </x:c>
      <x:c r="G162" s="24" t="str">
        <x:v>VRM Games / Blas Luis Rocha González</x:v>
      </x:c>
      <x:c r="H162" s="24" t="str">
        <x:v>Internal project IP / authorship claim</x:v>
      </x:c>
      <x:c r="I162" s="24" t="str">
        <x:v>Source package + repository path + hash</x:v>
      </x:c>
      <x:c r="J162" s="24" t="str">
        <x:v>bf46466f34d3907c5d6229be1a547de10ab7949ebc46ac111404e957af29e0fe</x:v>
      </x:c>
      <x:c r="K162" s="24" t="str">
        <x:v>Assets/_Project/Data/Customers/Technical/CC_CustomerProfile_ImpatientVisitor.asset</x:v>
      </x:c>
      <x:c r="L162" s="24" t="str">
        <x:v>CR-003</x:v>
      </x:c>
      <x:c r="M162" s="24" t="str"/>
      <x:c r="N162" s="24" t="str">
        <x:v>RES-001;RES-014</x:v>
      </x:c>
      <x:c r="O162" s="24" t="str">
        <x:v>Internal development; public candidate requires gate</x:v>
      </x:c>
      <x:c r="P162" s="24" t="str">
        <x:v>CONDITIONALLY APPROVED</x:v>
      </x:c>
      <x:c r="Q162" s="24" t="str">
        <x:v>Low</x:v>
      </x:c>
      <x:c r="R162" s="24" t="str"/>
      <x:c r="S162" s="24" t="str">
        <x:v>Sí</x:v>
      </x:c>
      <x:c r="T162" s="24" t="str">
        <x:f>"T"&amp;IF(AND(H162&lt;&gt;"",I162&lt;&gt;"",J162&lt;&gt;"",L162&lt;&gt;"",N162&lt;&gt;"",O162&lt;&gt;"",P162="APPROVED PUBLIC",S162="Sí"),6,IF(AND(H162&lt;&gt;"",I162&lt;&gt;"",J162&lt;&gt;"",L162&lt;&gt;"",N162&lt;&gt;"",O162&lt;&gt;"",P162&lt;&gt;"",S162="Sí"),5,IF(AND(H162&lt;&gt;"",I162&lt;&gt;"",P162&lt;&gt;"",S162&lt;&gt;"No"),4,IF(AND(H162&lt;&gt;"",I162&lt;&gt;""),3,IF(F162&lt;&gt;"",2,1)))))</x:f>
        <x:v>T5</x:v>
      </x:c>
      <x:c r="U162" s="24" t="str">
        <x:v>VRM Games</x:v>
      </x:c>
      <x:c r="V162" s="24" t="str">
        <x:v>No se detectó proveedor externo en la ruta; confirmar autoría por lote antes de release público.</x:v>
      </x:c>
    </x:row>
    <x:row r="163" ht="34" customHeight="1">
      <x:c r="A163" s="24" t="str">
        <x:v>TRC-00159</x:v>
      </x:c>
      <x:c r="B163" s="24" t="str">
        <x:v>bf0c15d82f2841ce9f9b0232da1384ae</x:v>
      </x:c>
      <x:c r="C163" s="24" t="str">
        <x:v>CC_CustomerSpawnSettings_Technical.asset</x:v>
      </x:c>
      <x:c r="D163" s="24" t="str">
        <x:v>Unity data asset</x:v>
      </x:c>
      <x:c r="E163" s="24" t="str">
        <x:v>03_Assets_Internos</x:v>
      </x:c>
      <x:c r="F163" s="24" t="str">
        <x:v>INT-0159</x:v>
      </x:c>
      <x:c r="G163" s="24" t="str">
        <x:v>VRM Games / Blas Luis Rocha González</x:v>
      </x:c>
      <x:c r="H163" s="24" t="str">
        <x:v>Internal project IP / authorship claim</x:v>
      </x:c>
      <x:c r="I163" s="24" t="str">
        <x:v>Source package + repository path + hash</x:v>
      </x:c>
      <x:c r="J163" s="24" t="str">
        <x:v>0c07fb82252169bea9a14b8bc1763c527b422c6b59a51bf00ab8cbddb320cf53</x:v>
      </x:c>
      <x:c r="K163" s="24" t="str">
        <x:v>Assets/_Project/Data/Customers/Technical/CC_CustomerSpawnSettings_Technical.asset</x:v>
      </x:c>
      <x:c r="L163" s="24" t="str">
        <x:v>CR-003</x:v>
      </x:c>
      <x:c r="M163" s="24" t="str"/>
      <x:c r="N163" s="24" t="str">
        <x:v>RES-001;RES-014</x:v>
      </x:c>
      <x:c r="O163" s="24" t="str">
        <x:v>Internal development; public candidate requires gate</x:v>
      </x:c>
      <x:c r="P163" s="24" t="str">
        <x:v>CONDITIONALLY APPROVED</x:v>
      </x:c>
      <x:c r="Q163" s="24" t="str">
        <x:v>Low</x:v>
      </x:c>
      <x:c r="R163" s="24" t="str"/>
      <x:c r="S163" s="24" t="str">
        <x:v>Sí</x:v>
      </x:c>
      <x:c r="T163" s="24" t="str">
        <x:f>"T"&amp;IF(AND(H163&lt;&gt;"",I163&lt;&gt;"",J163&lt;&gt;"",L163&lt;&gt;"",N163&lt;&gt;"",O163&lt;&gt;"",P163="APPROVED PUBLIC",S163="Sí"),6,IF(AND(H163&lt;&gt;"",I163&lt;&gt;"",J163&lt;&gt;"",L163&lt;&gt;"",N163&lt;&gt;"",O163&lt;&gt;"",P163&lt;&gt;"",S163="Sí"),5,IF(AND(H163&lt;&gt;"",I163&lt;&gt;"",P163&lt;&gt;"",S163&lt;&gt;"No"),4,IF(AND(H163&lt;&gt;"",I163&lt;&gt;""),3,IF(F163&lt;&gt;"",2,1)))))</x:f>
        <x:v>T5</x:v>
      </x:c>
      <x:c r="U163" s="24" t="str">
        <x:v>VRM Games</x:v>
      </x:c>
      <x:c r="V163" s="24" t="str">
        <x:v>No se detectó proveedor externo en la ruta; confirmar autoría por lote antes de release público.</x:v>
      </x:c>
    </x:row>
    <x:row r="164" ht="34" customHeight="1">
      <x:c r="A164" s="24" t="str">
        <x:v>TRC-00160</x:v>
      </x:c>
      <x:c r="B164" s="24" t="str">
        <x:v>a33da2946e164af7858c86805aa654f9</x:v>
      </x:c>
      <x:c r="C164" s="24" t="str">
        <x:v>CC_StoreDaySettings_Technical.asset</x:v>
      </x:c>
      <x:c r="D164" s="24" t="str">
        <x:v>Unity data asset</x:v>
      </x:c>
      <x:c r="E164" s="24" t="str">
        <x:v>03_Assets_Internos</x:v>
      </x:c>
      <x:c r="F164" s="24" t="str">
        <x:v>INT-0160</x:v>
      </x:c>
      <x:c r="G164" s="24" t="str">
        <x:v>VRM Games / Blas Luis Rocha González</x:v>
      </x:c>
      <x:c r="H164" s="24" t="str">
        <x:v>Internal project IP / authorship claim</x:v>
      </x:c>
      <x:c r="I164" s="24" t="str">
        <x:v>Source package + repository path + hash</x:v>
      </x:c>
      <x:c r="J164" s="24" t="str">
        <x:v>9590d09f54b3c53ea4f335d416f034a7b7a4946f53d140542e7ec138921fe05a</x:v>
      </x:c>
      <x:c r="K164" s="24" t="str">
        <x:v>Assets/_Project/Data/DayCycle/Technical/CC_StoreDaySettings_Technical.asset</x:v>
      </x:c>
      <x:c r="L164" s="24" t="str">
        <x:v>CR-003</x:v>
      </x:c>
      <x:c r="M164" s="24" t="str"/>
      <x:c r="N164" s="24" t="str">
        <x:v>RES-001;RES-014</x:v>
      </x:c>
      <x:c r="O164" s="24" t="str">
        <x:v>Internal development; public candidate requires gate</x:v>
      </x:c>
      <x:c r="P164" s="24" t="str">
        <x:v>CONDITIONALLY APPROVED</x:v>
      </x:c>
      <x:c r="Q164" s="24" t="str">
        <x:v>Low</x:v>
      </x:c>
      <x:c r="R164" s="24" t="str"/>
      <x:c r="S164" s="24" t="str">
        <x:v>Sí</x:v>
      </x:c>
      <x:c r="T164" s="24" t="str">
        <x:f>"T"&amp;IF(AND(H164&lt;&gt;"",I164&lt;&gt;"",J164&lt;&gt;"",L164&lt;&gt;"",N164&lt;&gt;"",O164&lt;&gt;"",P164="APPROVED PUBLIC",S164="Sí"),6,IF(AND(H164&lt;&gt;"",I164&lt;&gt;"",J164&lt;&gt;"",L164&lt;&gt;"",N164&lt;&gt;"",O164&lt;&gt;"",P164&lt;&gt;"",S164="Sí"),5,IF(AND(H164&lt;&gt;"",I164&lt;&gt;"",P164&lt;&gt;"",S164&lt;&gt;"No"),4,IF(AND(H164&lt;&gt;"",I164&lt;&gt;""),3,IF(F164&lt;&gt;"",2,1)))))</x:f>
        <x:v>T5</x:v>
      </x:c>
      <x:c r="U164" s="24" t="str">
        <x:v>VRM Games</x:v>
      </x:c>
      <x:c r="V164" s="24" t="str">
        <x:v>No se detectó proveedor externo en la ruta; confirmar autoría por lote antes de release público.</x:v>
      </x:c>
    </x:row>
    <x:row r="165" ht="34" customHeight="1">
      <x:c r="A165" s="24" t="str">
        <x:v>TRC-00161</x:v>
      </x:c>
      <x:c r="B165" s="24" t="str">
        <x:v>d651da75dac94b57938c2d21fb487e60</x:v>
      </x:c>
      <x:c r="C165" s="24" t="str">
        <x:v>CC_DisplayCatalog_Technical.asset</x:v>
      </x:c>
      <x:c r="D165" s="24" t="str">
        <x:v>Unity data asset</x:v>
      </x:c>
      <x:c r="E165" s="24" t="str">
        <x:v>03_Assets_Internos</x:v>
      </x:c>
      <x:c r="F165" s="24" t="str">
        <x:v>INT-0161</x:v>
      </x:c>
      <x:c r="G165" s="24" t="str">
        <x:v>VRM Games / Blas Luis Rocha González</x:v>
      </x:c>
      <x:c r="H165" s="24" t="str">
        <x:v>Internal project IP / authorship claim</x:v>
      </x:c>
      <x:c r="I165" s="24" t="str">
        <x:v>Source package + repository path + hash</x:v>
      </x:c>
      <x:c r="J165" s="24" t="str">
        <x:v>db752e7e7947659af0979764964fd7ebd83bf6fb16163ab0486f358fe9bae1c1</x:v>
      </x:c>
      <x:c r="K165" s="24" t="str">
        <x:v>Assets/_Project/Data/Displays/Technical/CC_DisplayCatalog_Technical.asset</x:v>
      </x:c>
      <x:c r="L165" s="24" t="str">
        <x:v>CR-003</x:v>
      </x:c>
      <x:c r="M165" s="24" t="str"/>
      <x:c r="N165" s="24" t="str">
        <x:v>RES-001;RES-014</x:v>
      </x:c>
      <x:c r="O165" s="24" t="str">
        <x:v>Internal development; public candidate requires gate</x:v>
      </x:c>
      <x:c r="P165" s="24" t="str">
        <x:v>CONDITIONALLY APPROVED</x:v>
      </x:c>
      <x:c r="Q165" s="24" t="str">
        <x:v>Low</x:v>
      </x:c>
      <x:c r="R165" s="24" t="str"/>
      <x:c r="S165" s="24" t="str">
        <x:v>Sí</x:v>
      </x:c>
      <x:c r="T165" s="24" t="str">
        <x:f>"T"&amp;IF(AND(H165&lt;&gt;"",I165&lt;&gt;"",J165&lt;&gt;"",L165&lt;&gt;"",N165&lt;&gt;"",O165&lt;&gt;"",P165="APPROVED PUBLIC",S165="Sí"),6,IF(AND(H165&lt;&gt;"",I165&lt;&gt;"",J165&lt;&gt;"",L165&lt;&gt;"",N165&lt;&gt;"",O165&lt;&gt;"",P165&lt;&gt;"",S165="Sí"),5,IF(AND(H165&lt;&gt;"",I165&lt;&gt;"",P165&lt;&gt;"",S165&lt;&gt;"No"),4,IF(AND(H165&lt;&gt;"",I165&lt;&gt;""),3,IF(F165&lt;&gt;"",2,1)))))</x:f>
        <x:v>T5</x:v>
      </x:c>
      <x:c r="U165" s="24" t="str">
        <x:v>VRM Games</x:v>
      </x:c>
      <x:c r="V165" s="24" t="str">
        <x:v>No se detectó proveedor externo en la ruta; confirmar autoría por lote antes de release público.</x:v>
      </x:c>
    </x:row>
    <x:row r="166" ht="34" customHeight="1">
      <x:c r="A166" s="24" t="str">
        <x:v>TRC-00162</x:v>
      </x:c>
      <x:c r="B166" s="24" t="str">
        <x:v>1f98f7b04dd74a48b73627285c1b01b6</x:v>
      </x:c>
      <x:c r="C166" s="24" t="str">
        <x:v>CC_Display_CountertopRack.asset</x:v>
      </x:c>
      <x:c r="D166" s="24" t="str">
        <x:v>Unity data asset</x:v>
      </x:c>
      <x:c r="E166" s="24" t="str">
        <x:v>03_Assets_Internos</x:v>
      </x:c>
      <x:c r="F166" s="24" t="str">
        <x:v>INT-0162</x:v>
      </x:c>
      <x:c r="G166" s="24" t="str">
        <x:v>VRM Games / Blas Luis Rocha González</x:v>
      </x:c>
      <x:c r="H166" s="24" t="str">
        <x:v>Internal project IP / authorship claim</x:v>
      </x:c>
      <x:c r="I166" s="24" t="str">
        <x:v>Source package + repository path + hash</x:v>
      </x:c>
      <x:c r="J166" s="24" t="str">
        <x:v>e58fba4999f3a79b888ad07c3eeb99620eed3275068233bb8622c58e670d58c4</x:v>
      </x:c>
      <x:c r="K166" s="24" t="str">
        <x:v>Assets/_Project/Data/Displays/Technical/CC_Display_CountertopRack.asset</x:v>
      </x:c>
      <x:c r="L166" s="24" t="str">
        <x:v>CR-003</x:v>
      </x:c>
      <x:c r="M166" s="24" t="str"/>
      <x:c r="N166" s="24" t="str">
        <x:v>RES-001;RES-014</x:v>
      </x:c>
      <x:c r="O166" s="24" t="str">
        <x:v>Internal development; public candidate requires gate</x:v>
      </x:c>
      <x:c r="P166" s="24" t="str">
        <x:v>CONDITIONALLY APPROVED</x:v>
      </x:c>
      <x:c r="Q166" s="24" t="str">
        <x:v>Low</x:v>
      </x:c>
      <x:c r="R166" s="24" t="str"/>
      <x:c r="S166" s="24" t="str">
        <x:v>Sí</x:v>
      </x:c>
      <x:c r="T166" s="24" t="str">
        <x:f>"T"&amp;IF(AND(H166&lt;&gt;"",I166&lt;&gt;"",J166&lt;&gt;"",L166&lt;&gt;"",N166&lt;&gt;"",O166&lt;&gt;"",P166="APPROVED PUBLIC",S166="Sí"),6,IF(AND(H166&lt;&gt;"",I166&lt;&gt;"",J166&lt;&gt;"",L166&lt;&gt;"",N166&lt;&gt;"",O166&lt;&gt;"",P166&lt;&gt;"",S166="Sí"),5,IF(AND(H166&lt;&gt;"",I166&lt;&gt;"",P166&lt;&gt;"",S166&lt;&gt;"No"),4,IF(AND(H166&lt;&gt;"",I166&lt;&gt;""),3,IF(F166&lt;&gt;"",2,1)))))</x:f>
        <x:v>T5</x:v>
      </x:c>
      <x:c r="U166" s="24" t="str">
        <x:v>VRM Games</x:v>
      </x:c>
      <x:c r="V166" s="24" t="str">
        <x:v>No se detectó proveedor externo en la ruta; confirmar autoría por lote antes de release público.</x:v>
      </x:c>
    </x:row>
    <x:row r="167" ht="34" customHeight="1">
      <x:c r="A167" s="24" t="str">
        <x:v>TRC-00163</x:v>
      </x:c>
      <x:c r="B167" s="24" t="str">
        <x:v>9173e71110e34e659d9a23c6c946af94</x:v>
      </x:c>
      <x:c r="C167" s="24" t="str">
        <x:v>CC_Display_FloorStand.asset</x:v>
      </x:c>
      <x:c r="D167" s="24" t="str">
        <x:v>Unity data asset</x:v>
      </x:c>
      <x:c r="E167" s="24" t="str">
        <x:v>03_Assets_Internos</x:v>
      </x:c>
      <x:c r="F167" s="24" t="str">
        <x:v>INT-0163</x:v>
      </x:c>
      <x:c r="G167" s="24" t="str">
        <x:v>VRM Games / Blas Luis Rocha González</x:v>
      </x:c>
      <x:c r="H167" s="24" t="str">
        <x:v>Internal project IP / authorship claim</x:v>
      </x:c>
      <x:c r="I167" s="24" t="str">
        <x:v>Source package + repository path + hash</x:v>
      </x:c>
      <x:c r="J167" s="24" t="str">
        <x:v>e6e56b9af2b8560e7a6a4ab02f4fc0415ee3682616f2cc97e94defd89fe9830e</x:v>
      </x:c>
      <x:c r="K167" s="24" t="str">
        <x:v>Assets/_Project/Data/Displays/Technical/CC_Display_FloorStand.asset</x:v>
      </x:c>
      <x:c r="L167" s="24" t="str">
        <x:v>CR-003</x:v>
      </x:c>
      <x:c r="M167" s="24" t="str"/>
      <x:c r="N167" s="24" t="str">
        <x:v>RES-001;RES-014</x:v>
      </x:c>
      <x:c r="O167" s="24" t="str">
        <x:v>Internal development; public candidate requires gate</x:v>
      </x:c>
      <x:c r="P167" s="24" t="str">
        <x:v>CONDITIONALLY APPROVED</x:v>
      </x:c>
      <x:c r="Q167" s="24" t="str">
        <x:v>Low</x:v>
      </x:c>
      <x:c r="R167" s="24" t="str"/>
      <x:c r="S167" s="24" t="str">
        <x:v>Sí</x:v>
      </x:c>
      <x:c r="T167" s="24" t="str">
        <x:f>"T"&amp;IF(AND(H167&lt;&gt;"",I167&lt;&gt;"",J167&lt;&gt;"",L167&lt;&gt;"",N167&lt;&gt;"",O167&lt;&gt;"",P167="APPROVED PUBLIC",S167="Sí"),6,IF(AND(H167&lt;&gt;"",I167&lt;&gt;"",J167&lt;&gt;"",L167&lt;&gt;"",N167&lt;&gt;"",O167&lt;&gt;"",P167&lt;&gt;"",S167="Sí"),5,IF(AND(H167&lt;&gt;"",I167&lt;&gt;"",P167&lt;&gt;"",S167&lt;&gt;"No"),4,IF(AND(H167&lt;&gt;"",I167&lt;&gt;""),3,IF(F167&lt;&gt;"",2,1)))))</x:f>
        <x:v>T5</x:v>
      </x:c>
      <x:c r="U167" s="24" t="str">
        <x:v>VRM Games</x:v>
      </x:c>
      <x:c r="V167" s="24" t="str">
        <x:v>No se detectó proveedor externo en la ruta; confirmar autoría por lote antes de release público.</x:v>
      </x:c>
    </x:row>
    <x:row r="168" ht="34" customHeight="1">
      <x:c r="A168" s="24" t="str">
        <x:v>TRC-00164</x:v>
      </x:c>
      <x:c r="B168" s="24" t="str">
        <x:v>0039b71c7ee1483b8d905409b7f6841c</x:v>
      </x:c>
      <x:c r="C168" s="24" t="str">
        <x:v>CC_Display_SingleShelf.asset</x:v>
      </x:c>
      <x:c r="D168" s="24" t="str">
        <x:v>Unity data asset</x:v>
      </x:c>
      <x:c r="E168" s="24" t="str">
        <x:v>03_Assets_Internos</x:v>
      </x:c>
      <x:c r="F168" s="24" t="str">
        <x:v>INT-0164</x:v>
      </x:c>
      <x:c r="G168" s="24" t="str">
        <x:v>VRM Games / Blas Luis Rocha González</x:v>
      </x:c>
      <x:c r="H168" s="24" t="str">
        <x:v>Internal project IP / authorship claim</x:v>
      </x:c>
      <x:c r="I168" s="24" t="str">
        <x:v>Source package + repository path + hash</x:v>
      </x:c>
      <x:c r="J168" s="24" t="str">
        <x:v>bb2d13c30464fb75f66a344ef05fb4e69f7091f7cfcdbf38474a64597add7986</x:v>
      </x:c>
      <x:c r="K168" s="24" t="str">
        <x:v>Assets/_Project/Data/Displays/Technical/CC_Display_SingleShelf.asset</x:v>
      </x:c>
      <x:c r="L168" s="24" t="str">
        <x:v>CR-003</x:v>
      </x:c>
      <x:c r="M168" s="24" t="str"/>
      <x:c r="N168" s="24" t="str">
        <x:v>RES-001;RES-014</x:v>
      </x:c>
      <x:c r="O168" s="24" t="str">
        <x:v>Internal development; public candidate requires gate</x:v>
      </x:c>
      <x:c r="P168" s="24" t="str">
        <x:v>CONDITIONALLY APPROVED</x:v>
      </x:c>
      <x:c r="Q168" s="24" t="str">
        <x:v>Low</x:v>
      </x:c>
      <x:c r="R168" s="24" t="str"/>
      <x:c r="S168" s="24" t="str">
        <x:v>Sí</x:v>
      </x:c>
      <x:c r="T168" s="24" t="str">
        <x:f>"T"&amp;IF(AND(H168&lt;&gt;"",I168&lt;&gt;"",J168&lt;&gt;"",L168&lt;&gt;"",N168&lt;&gt;"",O168&lt;&gt;"",P168="APPROVED PUBLIC",S168="Sí"),6,IF(AND(H168&lt;&gt;"",I168&lt;&gt;"",J168&lt;&gt;"",L168&lt;&gt;"",N168&lt;&gt;"",O168&lt;&gt;"",P168&lt;&gt;"",S168="Sí"),5,IF(AND(H168&lt;&gt;"",I168&lt;&gt;"",P168&lt;&gt;"",S168&lt;&gt;"No"),4,IF(AND(H168&lt;&gt;"",I168&lt;&gt;""),3,IF(F168&lt;&gt;"",2,1)))))</x:f>
        <x:v>T5</x:v>
      </x:c>
      <x:c r="U168" s="24" t="str">
        <x:v>VRM Games</x:v>
      </x:c>
      <x:c r="V168" s="24" t="str">
        <x:v>No se detectó proveedor externo en la ruta; confirmar autoría por lote antes de release público.</x:v>
      </x:c>
    </x:row>
    <x:row r="169" ht="34" customHeight="1">
      <x:c r="A169" s="24" t="str">
        <x:v>TRC-00165</x:v>
      </x:c>
      <x:c r="B169" s="24" t="str">
        <x:v>f4181b69ace54e9db0d249b132da7fd1</x:v>
      </x:c>
      <x:c r="C169" s="24" t="str">
        <x:v>CC_EconomySettings_Technical.asset</x:v>
      </x:c>
      <x:c r="D169" s="24" t="str">
        <x:v>Unity data asset</x:v>
      </x:c>
      <x:c r="E169" s="24" t="str">
        <x:v>03_Assets_Internos</x:v>
      </x:c>
      <x:c r="F169" s="24" t="str">
        <x:v>INT-0165</x:v>
      </x:c>
      <x:c r="G169" s="24" t="str">
        <x:v>VRM Games / Blas Luis Rocha González</x:v>
      </x:c>
      <x:c r="H169" s="24" t="str">
        <x:v>Internal project IP / authorship claim</x:v>
      </x:c>
      <x:c r="I169" s="24" t="str">
        <x:v>Source package + repository path + hash</x:v>
      </x:c>
      <x:c r="J169" s="24" t="str">
        <x:v>c0bf10b6798349f574cee479f3989d3ab7c08db72e648d53586fa9c3cfead1d5</x:v>
      </x:c>
      <x:c r="K169" s="24" t="str">
        <x:v>Assets/_Project/Data/Economy/Technical/CC_EconomySettings_Technical.asset</x:v>
      </x:c>
      <x:c r="L169" s="24" t="str">
        <x:v>CR-003</x:v>
      </x:c>
      <x:c r="M169" s="24" t="str"/>
      <x:c r="N169" s="24" t="str">
        <x:v>RES-001;RES-014</x:v>
      </x:c>
      <x:c r="O169" s="24" t="str">
        <x:v>Internal development; public candidate requires gate</x:v>
      </x:c>
      <x:c r="P169" s="24" t="str">
        <x:v>CONDITIONALLY APPROVED</x:v>
      </x:c>
      <x:c r="Q169" s="24" t="str">
        <x:v>Low</x:v>
      </x:c>
      <x:c r="R169" s="24" t="str"/>
      <x:c r="S169" s="24" t="str">
        <x:v>Sí</x:v>
      </x:c>
      <x:c r="T169" s="24" t="str">
        <x:f>"T"&amp;IF(AND(H169&lt;&gt;"",I169&lt;&gt;"",J169&lt;&gt;"",L169&lt;&gt;"",N169&lt;&gt;"",O169&lt;&gt;"",P169="APPROVED PUBLIC",S169="Sí"),6,IF(AND(H169&lt;&gt;"",I169&lt;&gt;"",J169&lt;&gt;"",L169&lt;&gt;"",N169&lt;&gt;"",O169&lt;&gt;"",P169&lt;&gt;"",S169="Sí"),5,IF(AND(H169&lt;&gt;"",I169&lt;&gt;"",P169&lt;&gt;"",S169&lt;&gt;"No"),4,IF(AND(H169&lt;&gt;"",I169&lt;&gt;""),3,IF(F169&lt;&gt;"",2,1)))))</x:f>
        <x:v>T5</x:v>
      </x:c>
      <x:c r="U169" s="24" t="str">
        <x:v>VRM Games</x:v>
      </x:c>
      <x:c r="V169" s="24" t="str">
        <x:v>No se detectó proveedor externo en la ruta; confirmar autoría por lote antes de release público.</x:v>
      </x:c>
    </x:row>
    <x:row r="170" ht="34" customHeight="1">
      <x:c r="A170" s="24" t="str">
        <x:v>TRC-00166</x:v>
      </x:c>
      <x:c r="B170" s="24" t="str">
        <x:v>5dc15dfb7ab041c1bdc56cdab15cdfa8</x:v>
      </x:c>
      <x:c r="C170" s="24" t="str">
        <x:v>CC_ProductSalePriceCatalog_Technical.asset</x:v>
      </x:c>
      <x:c r="D170" s="24" t="str">
        <x:v>Unity data asset</x:v>
      </x:c>
      <x:c r="E170" s="24" t="str">
        <x:v>03_Assets_Internos</x:v>
      </x:c>
      <x:c r="F170" s="24" t="str">
        <x:v>INT-0166</x:v>
      </x:c>
      <x:c r="G170" s="24" t="str">
        <x:v>VRM Games / Blas Luis Rocha González</x:v>
      </x:c>
      <x:c r="H170" s="24" t="str">
        <x:v>Internal project IP / authorship claim</x:v>
      </x:c>
      <x:c r="I170" s="24" t="str">
        <x:v>Source package + repository path + hash</x:v>
      </x:c>
      <x:c r="J170" s="24" t="str">
        <x:v>b249f25cac254e3473439c32c8c5d5ae8c287559a64a41dd05274526781aadff</x:v>
      </x:c>
      <x:c r="K170" s="24" t="str">
        <x:v>Assets/_Project/Data/Economy/Technical/CC_ProductSalePriceCatalog_Technical.asset</x:v>
      </x:c>
      <x:c r="L170" s="24" t="str">
        <x:v>CR-003</x:v>
      </x:c>
      <x:c r="M170" s="24" t="str"/>
      <x:c r="N170" s="24" t="str">
        <x:v>RES-001;RES-014</x:v>
      </x:c>
      <x:c r="O170" s="24" t="str">
        <x:v>Internal development; public candidate requires gate</x:v>
      </x:c>
      <x:c r="P170" s="24" t="str">
        <x:v>CONDITIONALLY APPROVED</x:v>
      </x:c>
      <x:c r="Q170" s="24" t="str">
        <x:v>Low</x:v>
      </x:c>
      <x:c r="R170" s="24" t="str"/>
      <x:c r="S170" s="24" t="str">
        <x:v>Sí</x:v>
      </x:c>
      <x:c r="T170" s="24" t="str">
        <x:f>"T"&amp;IF(AND(H170&lt;&gt;"",I170&lt;&gt;"",J170&lt;&gt;"",L170&lt;&gt;"",N170&lt;&gt;"",O170&lt;&gt;"",P170="APPROVED PUBLIC",S170="Sí"),6,IF(AND(H170&lt;&gt;"",I170&lt;&gt;"",J170&lt;&gt;"",L170&lt;&gt;"",N170&lt;&gt;"",O170&lt;&gt;"",P170&lt;&gt;"",S170="Sí"),5,IF(AND(H170&lt;&gt;"",I170&lt;&gt;"",P170&lt;&gt;"",S170&lt;&gt;"No"),4,IF(AND(H170&lt;&gt;"",I170&lt;&gt;""),3,IF(F170&lt;&gt;"",2,1)))))</x:f>
        <x:v>T5</x:v>
      </x:c>
      <x:c r="U170" s="24" t="str">
        <x:v>VRM Games</x:v>
      </x:c>
      <x:c r="V170" s="24" t="str">
        <x:v>No se detectó proveedor externo en la ruta; confirmar autoría por lote antes de release público.</x:v>
      </x:c>
    </x:row>
    <x:row r="171" ht="34" customHeight="1">
      <x:c r="A171" s="24" t="str">
        <x:v>TRC-00167</x:v>
      </x:c>
      <x:c r="B171" s="24" t="str">
        <x:v>cbd2f70c2a1d403296c0813f33873423</x:v>
      </x:c>
      <x:c r="C171" s="24" t="str">
        <x:v>CC_SaveIntegrationSettings_Technical.asset</x:v>
      </x:c>
      <x:c r="D171" s="24" t="str">
        <x:v>Unity data asset</x:v>
      </x:c>
      <x:c r="E171" s="24" t="str">
        <x:v>03_Assets_Internos</x:v>
      </x:c>
      <x:c r="F171" s="24" t="str">
        <x:v>INT-0167</x:v>
      </x:c>
      <x:c r="G171" s="24" t="str">
        <x:v>VRM Games / Blas Luis Rocha González</x:v>
      </x:c>
      <x:c r="H171" s="24" t="str">
        <x:v>Internal project IP / authorship claim</x:v>
      </x:c>
      <x:c r="I171" s="24" t="str">
        <x:v>Source package + repository path + hash</x:v>
      </x:c>
      <x:c r="J171" s="24" t="str">
        <x:v>997cfc2d6c5dbb7bf5dcf87c277be2a2b60635afe412e916c213315153d6bad9</x:v>
      </x:c>
      <x:c r="K171" s="24" t="str">
        <x:v>Assets/_Project/Data/Persistence/Technical/CC_SaveIntegrationSettings_Technical.asset</x:v>
      </x:c>
      <x:c r="L171" s="24" t="str">
        <x:v>CR-003</x:v>
      </x:c>
      <x:c r="M171" s="24" t="str"/>
      <x:c r="N171" s="24" t="str">
        <x:v>RES-001;RES-014</x:v>
      </x:c>
      <x:c r="O171" s="24" t="str">
        <x:v>Internal development; public candidate requires gate</x:v>
      </x:c>
      <x:c r="P171" s="24" t="str">
        <x:v>CONDITIONALLY APPROVED</x:v>
      </x:c>
      <x:c r="Q171" s="24" t="str">
        <x:v>Low</x:v>
      </x:c>
      <x:c r="R171" s="24" t="str"/>
      <x:c r="S171" s="24" t="str">
        <x:v>Sí</x:v>
      </x:c>
      <x:c r="T171" s="24" t="str">
        <x:f>"T"&amp;IF(AND(H171&lt;&gt;"",I171&lt;&gt;"",J171&lt;&gt;"",L171&lt;&gt;"",N171&lt;&gt;"",O171&lt;&gt;"",P171="APPROVED PUBLIC",S171="Sí"),6,IF(AND(H171&lt;&gt;"",I171&lt;&gt;"",J171&lt;&gt;"",L171&lt;&gt;"",N171&lt;&gt;"",O171&lt;&gt;"",P171&lt;&gt;"",S171="Sí"),5,IF(AND(H171&lt;&gt;"",I171&lt;&gt;"",P171&lt;&gt;"",S171&lt;&gt;"No"),4,IF(AND(H171&lt;&gt;"",I171&lt;&gt;""),3,IF(F171&lt;&gt;"",2,1)))))</x:f>
        <x:v>T5</x:v>
      </x:c>
      <x:c r="U171" s="24" t="str">
        <x:v>VRM Games</x:v>
      </x:c>
      <x:c r="V171" s="24" t="str">
        <x:v>No se detectó proveedor externo en la ruta; confirmar autoría por lote antes de release público.</x:v>
      </x:c>
    </x:row>
    <x:row r="172" ht="34" customHeight="1">
      <x:c r="A172" s="24" t="str">
        <x:v>TRC-00168</x:v>
      </x:c>
      <x:c r="B172" s="24" t="str">
        <x:v>8124c7290407b9c035671ed1805a5b6c</x:v>
      </x:c>
      <x:c r="C172" s="24" t="str">
        <x:v>BackroomStorage.asset</x:v>
      </x:c>
      <x:c r="D172" s="24" t="str">
        <x:v>Unity data asset</x:v>
      </x:c>
      <x:c r="E172" s="24" t="str">
        <x:v>03_Assets_Internos</x:v>
      </x:c>
      <x:c r="F172" s="24" t="str">
        <x:v>INT-0168</x:v>
      </x:c>
      <x:c r="G172" s="24" t="str">
        <x:v>VRM Games / Blas Luis Rocha González</x:v>
      </x:c>
      <x:c r="H172" s="24" t="str">
        <x:v>Internal project IP / authorship claim</x:v>
      </x:c>
      <x:c r="I172" s="24" t="str">
        <x:v>Source package + repository path + hash</x:v>
      </x:c>
      <x:c r="J172" s="24" t="str">
        <x:v>1d5e8e975638ba41a2080a1c9a2e6cf8a0171dc02d984b502b0ed0687a7a0ec9</x:v>
      </x:c>
      <x:c r="K172" s="24" t="str">
        <x:v>Assets/_Project/Data/Placement/Definitions/BackroomStorage.asset</x:v>
      </x:c>
      <x:c r="L172" s="24" t="str">
        <x:v>CR-003</x:v>
      </x:c>
      <x:c r="M172" s="24" t="str"/>
      <x:c r="N172" s="24" t="str">
        <x:v>RES-001;RES-014</x:v>
      </x:c>
      <x:c r="O172" s="24" t="str">
        <x:v>Internal development; public candidate requires gate</x:v>
      </x:c>
      <x:c r="P172" s="24" t="str">
        <x:v>CONDITIONALLY APPROVED</x:v>
      </x:c>
      <x:c r="Q172" s="24" t="str">
        <x:v>Low</x:v>
      </x:c>
      <x:c r="R172" s="24" t="str"/>
      <x:c r="S172" s="24" t="str">
        <x:v>Sí</x:v>
      </x:c>
      <x:c r="T172" s="24" t="str">
        <x:f>"T"&amp;IF(AND(H172&lt;&gt;"",I172&lt;&gt;"",J172&lt;&gt;"",L172&lt;&gt;"",N172&lt;&gt;"",O172&lt;&gt;"",P172="APPROVED PUBLIC",S172="Sí"),6,IF(AND(H172&lt;&gt;"",I172&lt;&gt;"",J172&lt;&gt;"",L172&lt;&gt;"",N172&lt;&gt;"",O172&lt;&gt;"",P172&lt;&gt;"",S172="Sí"),5,IF(AND(H172&lt;&gt;"",I172&lt;&gt;"",P172&lt;&gt;"",S172&lt;&gt;"No"),4,IF(AND(H172&lt;&gt;"",I172&lt;&gt;""),3,IF(F172&lt;&gt;"",2,1)))))</x:f>
        <x:v>T5</x:v>
      </x:c>
      <x:c r="U172" s="24" t="str">
        <x:v>VRM Games</x:v>
      </x:c>
      <x:c r="V172" s="24" t="str">
        <x:v>No se detectó proveedor externo en la ruta; confirmar autoría por lote antes de release público.</x:v>
      </x:c>
    </x:row>
    <x:row r="173" ht="34" customHeight="1">
      <x:c r="A173" s="24" t="str">
        <x:v>TRC-00169</x:v>
      </x:c>
      <x:c r="B173" s="24" t="str">
        <x:v>9546f0e0c162fbb0688005c088fd6ebc</x:v>
      </x:c>
      <x:c r="C173" s="24" t="str">
        <x:v>CentralShelf.asset</x:v>
      </x:c>
      <x:c r="D173" s="24" t="str">
        <x:v>Unity data asset</x:v>
      </x:c>
      <x:c r="E173" s="24" t="str">
        <x:v>03_Assets_Internos</x:v>
      </x:c>
      <x:c r="F173" s="24" t="str">
        <x:v>INT-0169</x:v>
      </x:c>
      <x:c r="G173" s="24" t="str">
        <x:v>VRM Games / Blas Luis Rocha González</x:v>
      </x:c>
      <x:c r="H173" s="24" t="str">
        <x:v>Internal project IP / authorship claim</x:v>
      </x:c>
      <x:c r="I173" s="24" t="str">
        <x:v>Source package + repository path + hash</x:v>
      </x:c>
      <x:c r="J173" s="24" t="str">
        <x:v>2718012a5b6c91051de948489db551127609b31e4095375570c7c43fa7701453</x:v>
      </x:c>
      <x:c r="K173" s="24" t="str">
        <x:v>Assets/_Project/Data/Placement/Definitions/CentralShelf.asset</x:v>
      </x:c>
      <x:c r="L173" s="24" t="str">
        <x:v>CR-003</x:v>
      </x:c>
      <x:c r="M173" s="24" t="str"/>
      <x:c r="N173" s="24" t="str">
        <x:v>RES-001;RES-014</x:v>
      </x:c>
      <x:c r="O173" s="24" t="str">
        <x:v>Internal development; public candidate requires gate</x:v>
      </x:c>
      <x:c r="P173" s="24" t="str">
        <x:v>CONDITIONALLY APPROVED</x:v>
      </x:c>
      <x:c r="Q173" s="24" t="str">
        <x:v>Low</x:v>
      </x:c>
      <x:c r="R173" s="24" t="str"/>
      <x:c r="S173" s="24" t="str">
        <x:v>Sí</x:v>
      </x:c>
      <x:c r="T173" s="24" t="str">
        <x:f>"T"&amp;IF(AND(H173&lt;&gt;"",I173&lt;&gt;"",J173&lt;&gt;"",L173&lt;&gt;"",N173&lt;&gt;"",O173&lt;&gt;"",P173="APPROVED PUBLIC",S173="Sí"),6,IF(AND(H173&lt;&gt;"",I173&lt;&gt;"",J173&lt;&gt;"",L173&lt;&gt;"",N173&lt;&gt;"",O173&lt;&gt;"",P173&lt;&gt;"",S173="Sí"),5,IF(AND(H173&lt;&gt;"",I173&lt;&gt;"",P173&lt;&gt;"",S173&lt;&gt;"No"),4,IF(AND(H173&lt;&gt;"",I173&lt;&gt;""),3,IF(F173&lt;&gt;"",2,1)))))</x:f>
        <x:v>T5</x:v>
      </x:c>
      <x:c r="U173" s="24" t="str">
        <x:v>VRM Games</x:v>
      </x:c>
      <x:c r="V173" s="24" t="str">
        <x:v>No se detectó proveedor externo en la ruta; confirmar autoría por lote antes de release público.</x:v>
      </x:c>
    </x:row>
    <x:row r="174" ht="34" customHeight="1">
      <x:c r="A174" s="24" t="str">
        <x:v>TRC-00170</x:v>
      </x:c>
      <x:c r="B174" s="24" t="str">
        <x:v>b87068af03d7f38ad333269e0847a7e5</x:v>
      </x:c>
      <x:c r="C174" s="24" t="str">
        <x:v>CheckoutCounter.asset</x:v>
      </x:c>
      <x:c r="D174" s="24" t="str">
        <x:v>Unity data asset</x:v>
      </x:c>
      <x:c r="E174" s="24" t="str">
        <x:v>03_Assets_Internos</x:v>
      </x:c>
      <x:c r="F174" s="24" t="str">
        <x:v>INT-0170</x:v>
      </x:c>
      <x:c r="G174" s="24" t="str">
        <x:v>VRM Games / Blas Luis Rocha González</x:v>
      </x:c>
      <x:c r="H174" s="24" t="str">
        <x:v>Internal project IP / authorship claim</x:v>
      </x:c>
      <x:c r="I174" s="24" t="str">
        <x:v>Source package + repository path + hash</x:v>
      </x:c>
      <x:c r="J174" s="24" t="str">
        <x:v>cad01fb5fbcfd2df0d5876c420e9f939d962ffe08029b0b72746a4443567c688</x:v>
      </x:c>
      <x:c r="K174" s="24" t="str">
        <x:v>Assets/_Project/Data/Placement/Definitions/CheckoutCounter.asset</x:v>
      </x:c>
      <x:c r="L174" s="24" t="str">
        <x:v>CR-003</x:v>
      </x:c>
      <x:c r="M174" s="24" t="str"/>
      <x:c r="N174" s="24" t="str">
        <x:v>RES-001;RES-014</x:v>
      </x:c>
      <x:c r="O174" s="24" t="str">
        <x:v>Internal development; public candidate requires gate</x:v>
      </x:c>
      <x:c r="P174" s="24" t="str">
        <x:v>CONDITIONALLY APPROVED</x:v>
      </x:c>
      <x:c r="Q174" s="24" t="str">
        <x:v>Low</x:v>
      </x:c>
      <x:c r="R174" s="24" t="str"/>
      <x:c r="S174" s="24" t="str">
        <x:v>Sí</x:v>
      </x:c>
      <x:c r="T174" s="24" t="str">
        <x:f>"T"&amp;IF(AND(H174&lt;&gt;"",I174&lt;&gt;"",J174&lt;&gt;"",L174&lt;&gt;"",N174&lt;&gt;"",O174&lt;&gt;"",P174="APPROVED PUBLIC",S174="Sí"),6,IF(AND(H174&lt;&gt;"",I174&lt;&gt;"",J174&lt;&gt;"",L174&lt;&gt;"",N174&lt;&gt;"",O174&lt;&gt;"",P174&lt;&gt;"",S174="Sí"),5,IF(AND(H174&lt;&gt;"",I174&lt;&gt;"",P174&lt;&gt;"",S174&lt;&gt;"No"),4,IF(AND(H174&lt;&gt;"",I174&lt;&gt;""),3,IF(F174&lt;&gt;"",2,1)))))</x:f>
        <x:v>T5</x:v>
      </x:c>
      <x:c r="U174" s="24" t="str">
        <x:v>VRM Games</x:v>
      </x:c>
      <x:c r="V174" s="24" t="str">
        <x:v>No se detectó proveedor externo en la ruta; confirmar autoría por lote antes de release público.</x:v>
      </x:c>
    </x:row>
    <x:row r="175" ht="34" customHeight="1">
      <x:c r="A175" s="24" t="str">
        <x:v>TRC-00171</x:v>
      </x:c>
      <x:c r="B175" s="24" t="str">
        <x:v>98479d81b42947ab3f846ff62e0467ca</x:v>
      </x:c>
      <x:c r="C175" s="24" t="str">
        <x:v>DecorationPlant.asset</x:v>
      </x:c>
      <x:c r="D175" s="24" t="str">
        <x:v>Unity data asset</x:v>
      </x:c>
      <x:c r="E175" s="24" t="str">
        <x:v>03_Assets_Internos</x:v>
      </x:c>
      <x:c r="F175" s="24" t="str">
        <x:v>INT-0171</x:v>
      </x:c>
      <x:c r="G175" s="24" t="str">
        <x:v>VRM Games / Blas Luis Rocha González</x:v>
      </x:c>
      <x:c r="H175" s="24" t="str">
        <x:v>Internal project IP / authorship claim</x:v>
      </x:c>
      <x:c r="I175" s="24" t="str">
        <x:v>Source package + repository path + hash</x:v>
      </x:c>
      <x:c r="J175" s="24" t="str">
        <x:v>11236df2a4d76f15730db2cb499b5a3af4fd7edc25d18c3d29a2d65d5911b778</x:v>
      </x:c>
      <x:c r="K175" s="24" t="str">
        <x:v>Assets/_Project/Data/Placement/Definitions/DecorationPlant.asset</x:v>
      </x:c>
      <x:c r="L175" s="24" t="str">
        <x:v>CR-003</x:v>
      </x:c>
      <x:c r="M175" s="24" t="str"/>
      <x:c r="N175" s="24" t="str">
        <x:v>RES-001;RES-014</x:v>
      </x:c>
      <x:c r="O175" s="24" t="str">
        <x:v>Internal development; public candidate requires gate</x:v>
      </x:c>
      <x:c r="P175" s="24" t="str">
        <x:v>CONDITIONALLY APPROVED</x:v>
      </x:c>
      <x:c r="Q175" s="24" t="str">
        <x:v>Low</x:v>
      </x:c>
      <x:c r="R175" s="24" t="str"/>
      <x:c r="S175" s="24" t="str">
        <x:v>Sí</x:v>
      </x:c>
      <x:c r="T175" s="24" t="str">
        <x:f>"T"&amp;IF(AND(H175&lt;&gt;"",I175&lt;&gt;"",J175&lt;&gt;"",L175&lt;&gt;"",N175&lt;&gt;"",O175&lt;&gt;"",P175="APPROVED PUBLIC",S175="Sí"),6,IF(AND(H175&lt;&gt;"",I175&lt;&gt;"",J175&lt;&gt;"",L175&lt;&gt;"",N175&lt;&gt;"",O175&lt;&gt;"",P175&lt;&gt;"",S175="Sí"),5,IF(AND(H175&lt;&gt;"",I175&lt;&gt;"",P175&lt;&gt;"",S175&lt;&gt;"No"),4,IF(AND(H175&lt;&gt;"",I175&lt;&gt;""),3,IF(F175&lt;&gt;"",2,1)))))</x:f>
        <x:v>T5</x:v>
      </x:c>
      <x:c r="U175" s="24" t="str">
        <x:v>VRM Games</x:v>
      </x:c>
      <x:c r="V175" s="24" t="str">
        <x:v>No se detectó proveedor externo en la ruta; confirmar autoría por lote antes de release público.</x:v>
      </x:c>
    </x:row>
    <x:row r="176" ht="34" customHeight="1">
      <x:c r="A176" s="24" t="str">
        <x:v>TRC-00172</x:v>
      </x:c>
      <x:c r="B176" s="24" t="str">
        <x:v>07393abf3e5cea9bdf908fdd0fb0e69e</x:v>
      </x:c>
      <x:c r="C176" s="24" t="str">
        <x:v>FeaturedDisplay.asset</x:v>
      </x:c>
      <x:c r="D176" s="24" t="str">
        <x:v>Unity data asset</x:v>
      </x:c>
      <x:c r="E176" s="24" t="str">
        <x:v>03_Assets_Internos</x:v>
      </x:c>
      <x:c r="F176" s="24" t="str">
        <x:v>INT-0172</x:v>
      </x:c>
      <x:c r="G176" s="24" t="str">
        <x:v>VRM Games / Blas Luis Rocha González</x:v>
      </x:c>
      <x:c r="H176" s="24" t="str">
        <x:v>Internal project IP / authorship claim</x:v>
      </x:c>
      <x:c r="I176" s="24" t="str">
        <x:v>Source package + repository path + hash</x:v>
      </x:c>
      <x:c r="J176" s="24" t="str">
        <x:v>abe0b4f398f1d89a2eb6f34b47d4e5abe693fe5f769a6a571087a352b8e45bbe</x:v>
      </x:c>
      <x:c r="K176" s="24" t="str">
        <x:v>Assets/_Project/Data/Placement/Definitions/FeaturedDisplay.asset</x:v>
      </x:c>
      <x:c r="L176" s="24" t="str">
        <x:v>CR-003</x:v>
      </x:c>
      <x:c r="M176" s="24" t="str"/>
      <x:c r="N176" s="24" t="str">
        <x:v>RES-001;RES-014</x:v>
      </x:c>
      <x:c r="O176" s="24" t="str">
        <x:v>Internal development; public candidate requires gate</x:v>
      </x:c>
      <x:c r="P176" s="24" t="str">
        <x:v>CONDITIONALLY APPROVED</x:v>
      </x:c>
      <x:c r="Q176" s="24" t="str">
        <x:v>Low</x:v>
      </x:c>
      <x:c r="R176" s="24" t="str"/>
      <x:c r="S176" s="24" t="str">
        <x:v>Sí</x:v>
      </x:c>
      <x:c r="T176" s="24" t="str">
        <x:f>"T"&amp;IF(AND(H176&lt;&gt;"",I176&lt;&gt;"",J176&lt;&gt;"",L176&lt;&gt;"",N176&lt;&gt;"",O176&lt;&gt;"",P176="APPROVED PUBLIC",S176="Sí"),6,IF(AND(H176&lt;&gt;"",I176&lt;&gt;"",J176&lt;&gt;"",L176&lt;&gt;"",N176&lt;&gt;"",O176&lt;&gt;"",P176&lt;&gt;"",S176="Sí"),5,IF(AND(H176&lt;&gt;"",I176&lt;&gt;"",P176&lt;&gt;"",S176&lt;&gt;"No"),4,IF(AND(H176&lt;&gt;"",I176&lt;&gt;""),3,IF(F176&lt;&gt;"",2,1)))))</x:f>
        <x:v>T5</x:v>
      </x:c>
      <x:c r="U176" s="24" t="str">
        <x:v>VRM Games</x:v>
      </x:c>
      <x:c r="V176" s="24" t="str">
        <x:v>No se detectó proveedor externo en la ruta; confirmar autoría por lote antes de release público.</x:v>
      </x:c>
    </x:row>
    <x:row r="177" ht="34" customHeight="1">
      <x:c r="A177" s="24" t="str">
        <x:v>TRC-00173</x:v>
      </x:c>
      <x:c r="B177" s="24" t="str">
        <x:v>85b89ccd9ad146e9c16d558381c093ba</x:v>
      </x:c>
      <x:c r="C177" s="24" t="str">
        <x:v>LowDisplay.asset</x:v>
      </x:c>
      <x:c r="D177" s="24" t="str">
        <x:v>Unity data asset</x:v>
      </x:c>
      <x:c r="E177" s="24" t="str">
        <x:v>03_Assets_Internos</x:v>
      </x:c>
      <x:c r="F177" s="24" t="str">
        <x:v>INT-0173</x:v>
      </x:c>
      <x:c r="G177" s="24" t="str">
        <x:v>VRM Games / Blas Luis Rocha González</x:v>
      </x:c>
      <x:c r="H177" s="24" t="str">
        <x:v>Internal project IP / authorship claim</x:v>
      </x:c>
      <x:c r="I177" s="24" t="str">
        <x:v>Source package + repository path + hash</x:v>
      </x:c>
      <x:c r="J177" s="24" t="str">
        <x:v>f005a898c0c76669137e48ae4bc4c3108b2ea39dada1b5e3f070b60aab42489e</x:v>
      </x:c>
      <x:c r="K177" s="24" t="str">
        <x:v>Assets/_Project/Data/Placement/Definitions/LowDisplay.asset</x:v>
      </x:c>
      <x:c r="L177" s="24" t="str">
        <x:v>CR-003</x:v>
      </x:c>
      <x:c r="M177" s="24" t="str"/>
      <x:c r="N177" s="24" t="str">
        <x:v>RES-001;RES-014</x:v>
      </x:c>
      <x:c r="O177" s="24" t="str">
        <x:v>Internal development; public candidate requires gate</x:v>
      </x:c>
      <x:c r="P177" s="24" t="str">
        <x:v>CONDITIONALLY APPROVED</x:v>
      </x:c>
      <x:c r="Q177" s="24" t="str">
        <x:v>Low</x:v>
      </x:c>
      <x:c r="R177" s="24" t="str"/>
      <x:c r="S177" s="24" t="str">
        <x:v>Sí</x:v>
      </x:c>
      <x:c r="T177" s="24" t="str">
        <x:f>"T"&amp;IF(AND(H177&lt;&gt;"",I177&lt;&gt;"",J177&lt;&gt;"",L177&lt;&gt;"",N177&lt;&gt;"",O177&lt;&gt;"",P177="APPROVED PUBLIC",S177="Sí"),6,IF(AND(H177&lt;&gt;"",I177&lt;&gt;"",J177&lt;&gt;"",L177&lt;&gt;"",N177&lt;&gt;"",O177&lt;&gt;"",P177&lt;&gt;"",S177="Sí"),5,IF(AND(H177&lt;&gt;"",I177&lt;&gt;"",P177&lt;&gt;"",S177&lt;&gt;"No"),4,IF(AND(H177&lt;&gt;"",I177&lt;&gt;""),3,IF(F177&lt;&gt;"",2,1)))))</x:f>
        <x:v>T5</x:v>
      </x:c>
      <x:c r="U177" s="24" t="str">
        <x:v>VRM Games</x:v>
      </x:c>
      <x:c r="V177" s="24" t="str">
        <x:v>No se detectó proveedor externo en la ruta; confirmar autoría por lote antes de release público.</x:v>
      </x:c>
    </x:row>
    <x:row r="178" ht="34" customHeight="1">
      <x:c r="A178" s="24" t="str">
        <x:v>TRC-00174</x:v>
      </x:c>
      <x:c r="B178" s="24" t="str">
        <x:v>782c2ba3ad1e23d19ba0672596bf0584</x:v>
      </x:c>
      <x:c r="C178" s="24" t="str">
        <x:v>ReceivingCrate.asset</x:v>
      </x:c>
      <x:c r="D178" s="24" t="str">
        <x:v>Unity data asset</x:v>
      </x:c>
      <x:c r="E178" s="24" t="str">
        <x:v>03_Assets_Internos</x:v>
      </x:c>
      <x:c r="F178" s="24" t="str">
        <x:v>INT-0174</x:v>
      </x:c>
      <x:c r="G178" s="24" t="str">
        <x:v>VRM Games / Blas Luis Rocha González</x:v>
      </x:c>
      <x:c r="H178" s="24" t="str">
        <x:v>Internal project IP / authorship claim</x:v>
      </x:c>
      <x:c r="I178" s="24" t="str">
        <x:v>Source package + repository path + hash</x:v>
      </x:c>
      <x:c r="J178" s="24" t="str">
        <x:v>1dafe02545debb040a074393c897a7005c5d68d3e9f460584a02bf685dc8e424</x:v>
      </x:c>
      <x:c r="K178" s="24" t="str">
        <x:v>Assets/_Project/Data/Placement/Definitions/ReceivingCrate.asset</x:v>
      </x:c>
      <x:c r="L178" s="24" t="str">
        <x:v>CR-003</x:v>
      </x:c>
      <x:c r="M178" s="24" t="str"/>
      <x:c r="N178" s="24" t="str">
        <x:v>RES-001;RES-014</x:v>
      </x:c>
      <x:c r="O178" s="24" t="str">
        <x:v>Internal development; public candidate requires gate</x:v>
      </x:c>
      <x:c r="P178" s="24" t="str">
        <x:v>CONDITIONALLY APPROVED</x:v>
      </x:c>
      <x:c r="Q178" s="24" t="str">
        <x:v>Low</x:v>
      </x:c>
      <x:c r="R178" s="24" t="str"/>
      <x:c r="S178" s="24" t="str">
        <x:v>Sí</x:v>
      </x:c>
      <x:c r="T178" s="24" t="str">
        <x:f>"T"&amp;IF(AND(H178&lt;&gt;"",I178&lt;&gt;"",J178&lt;&gt;"",L178&lt;&gt;"",N178&lt;&gt;"",O178&lt;&gt;"",P178="APPROVED PUBLIC",S178="Sí"),6,IF(AND(H178&lt;&gt;"",I178&lt;&gt;"",J178&lt;&gt;"",L178&lt;&gt;"",N178&lt;&gt;"",O178&lt;&gt;"",P178&lt;&gt;"",S178="Sí"),5,IF(AND(H178&lt;&gt;"",I178&lt;&gt;"",P178&lt;&gt;"",S178&lt;&gt;"No"),4,IF(AND(H178&lt;&gt;"",I178&lt;&gt;""),3,IF(F178&lt;&gt;"",2,1)))))</x:f>
        <x:v>T5</x:v>
      </x:c>
      <x:c r="U178" s="24" t="str">
        <x:v>VRM Games</x:v>
      </x:c>
      <x:c r="V178" s="24" t="str">
        <x:v>No se detectó proveedor externo en la ruta; confirmar autoría por lote antes de release público.</x:v>
      </x:c>
    </x:row>
    <x:row r="179" ht="34" customHeight="1">
      <x:c r="A179" s="24" t="str">
        <x:v>TRC-00175</x:v>
      </x:c>
      <x:c r="B179" s="24" t="str">
        <x:v>79ce826766404ac570968dd398ff6460</x:v>
      </x:c>
      <x:c r="C179" s="24" t="str">
        <x:v>WallShelf.asset</x:v>
      </x:c>
      <x:c r="D179" s="24" t="str">
        <x:v>Unity data asset</x:v>
      </x:c>
      <x:c r="E179" s="24" t="str">
        <x:v>03_Assets_Internos</x:v>
      </x:c>
      <x:c r="F179" s="24" t="str">
        <x:v>INT-0175</x:v>
      </x:c>
      <x:c r="G179" s="24" t="str">
        <x:v>VRM Games / Blas Luis Rocha González</x:v>
      </x:c>
      <x:c r="H179" s="24" t="str">
        <x:v>Internal project IP / authorship claim</x:v>
      </x:c>
      <x:c r="I179" s="24" t="str">
        <x:v>Source package + repository path + hash</x:v>
      </x:c>
      <x:c r="J179" s="24" t="str">
        <x:v>f15dd69980573410a50b26c6cad69265991607d6947817be6631cc2f9fc990d5</x:v>
      </x:c>
      <x:c r="K179" s="24" t="str">
        <x:v>Assets/_Project/Data/Placement/Definitions/WallShelf.asset</x:v>
      </x:c>
      <x:c r="L179" s="24" t="str">
        <x:v>CR-003</x:v>
      </x:c>
      <x:c r="M179" s="24" t="str"/>
      <x:c r="N179" s="24" t="str">
        <x:v>RES-001;RES-014</x:v>
      </x:c>
      <x:c r="O179" s="24" t="str">
        <x:v>Internal development; public candidate requires gate</x:v>
      </x:c>
      <x:c r="P179" s="24" t="str">
        <x:v>CONDITIONALLY APPROVED</x:v>
      </x:c>
      <x:c r="Q179" s="24" t="str">
        <x:v>Low</x:v>
      </x:c>
      <x:c r="R179" s="24" t="str"/>
      <x:c r="S179" s="24" t="str">
        <x:v>Sí</x:v>
      </x:c>
      <x:c r="T179" s="24" t="str">
        <x:f>"T"&amp;IF(AND(H179&lt;&gt;"",I179&lt;&gt;"",J179&lt;&gt;"",L179&lt;&gt;"",N179&lt;&gt;"",O179&lt;&gt;"",P179="APPROVED PUBLIC",S179="Sí"),6,IF(AND(H179&lt;&gt;"",I179&lt;&gt;"",J179&lt;&gt;"",L179&lt;&gt;"",N179&lt;&gt;"",O179&lt;&gt;"",P179&lt;&gt;"",S179="Sí"),5,IF(AND(H179&lt;&gt;"",I179&lt;&gt;"",P179&lt;&gt;"",S179&lt;&gt;"No"),4,IF(AND(H179&lt;&gt;"",I179&lt;&gt;""),3,IF(F179&lt;&gt;"",2,1)))))</x:f>
        <x:v>T5</x:v>
      </x:c>
      <x:c r="U179" s="24" t="str">
        <x:v>VRM Games</x:v>
      </x:c>
      <x:c r="V179" s="24" t="str">
        <x:v>No se detectó proveedor externo en la ruta; confirmar autoría por lote antes de release público.</x:v>
      </x:c>
    </x:row>
    <x:row r="180" ht="34" customHeight="1">
      <x:c r="A180" s="24" t="str">
        <x:v>TRC-00176</x:v>
      </x:c>
      <x:c r="B180" s="24" t="str">
        <x:v>51d86e6c646c6ef47bc08a7149b0587f</x:v>
      </x:c>
      <x:c r="C180" s="24" t="str">
        <x:v>CC_S5_TechnicalShelf4x2.asset</x:v>
      </x:c>
      <x:c r="D180" s="24" t="str">
        <x:v>Unity data asset</x:v>
      </x:c>
      <x:c r="E180" s="24" t="str">
        <x:v>03_Assets_Internos</x:v>
      </x:c>
      <x:c r="F180" s="24" t="str">
        <x:v>INT-0176</x:v>
      </x:c>
      <x:c r="G180" s="24" t="str">
        <x:v>VRM Games / Blas Luis Rocha González</x:v>
      </x:c>
      <x:c r="H180" s="24" t="str">
        <x:v>Internal project IP / authorship claim</x:v>
      </x:c>
      <x:c r="I180" s="24" t="str">
        <x:v>Source package + repository path + hash</x:v>
      </x:c>
      <x:c r="J180" s="24" t="str">
        <x:v>f25720e78c7c049a9cd7337751cf0c0d5d4786495afd7afacef0981f68393976</x:v>
      </x:c>
      <x:c r="K180" s="24" t="str">
        <x:v>Assets/_Project/Data/Placement/Technical/CC_S5_TechnicalShelf4x2.asset</x:v>
      </x:c>
      <x:c r="L180" s="24" t="str">
        <x:v>CR-003</x:v>
      </x:c>
      <x:c r="M180" s="24" t="str"/>
      <x:c r="N180" s="24" t="str">
        <x:v>RES-001;RES-014</x:v>
      </x:c>
      <x:c r="O180" s="24" t="str">
        <x:v>Internal development; public candidate requires gate</x:v>
      </x:c>
      <x:c r="P180" s="24" t="str">
        <x:v>CONDITIONALLY APPROVED</x:v>
      </x:c>
      <x:c r="Q180" s="24" t="str">
        <x:v>Low</x:v>
      </x:c>
      <x:c r="R180" s="24" t="str"/>
      <x:c r="S180" s="24" t="str">
        <x:v>Sí</x:v>
      </x:c>
      <x:c r="T180" s="24" t="str">
        <x:f>"T"&amp;IF(AND(H180&lt;&gt;"",I180&lt;&gt;"",J180&lt;&gt;"",L180&lt;&gt;"",N180&lt;&gt;"",O180&lt;&gt;"",P180="APPROVED PUBLIC",S180="Sí"),6,IF(AND(H180&lt;&gt;"",I180&lt;&gt;"",J180&lt;&gt;"",L180&lt;&gt;"",N180&lt;&gt;"",O180&lt;&gt;"",P180&lt;&gt;"",S180="Sí"),5,IF(AND(H180&lt;&gt;"",I180&lt;&gt;"",P180&lt;&gt;"",S180&lt;&gt;"No"),4,IF(AND(H180&lt;&gt;"",I180&lt;&gt;""),3,IF(F180&lt;&gt;"",2,1)))))</x:f>
        <x:v>T5</x:v>
      </x:c>
      <x:c r="U180" s="24" t="str">
        <x:v>VRM Games</x:v>
      </x:c>
      <x:c r="V180" s="24" t="str">
        <x:v>No se detectó proveedor externo en la ruta; confirmar autoría por lote antes de release público.</x:v>
      </x:c>
    </x:row>
    <x:row r="181" ht="34" customHeight="1">
      <x:c r="A181" s="24" t="str">
        <x:v>TRC-00177</x:v>
      </x:c>
      <x:c r="B181" s="24" t="str">
        <x:v>81c580a2fb544c9d9eccac12c15163bf</x:v>
      </x:c>
      <x:c r="C181" s="24" t="str">
        <x:v>CC_ProductCatalog_Technical.asset</x:v>
      </x:c>
      <x:c r="D181" s="24" t="str">
        <x:v>Unity data asset</x:v>
      </x:c>
      <x:c r="E181" s="24" t="str">
        <x:v>03_Assets_Internos</x:v>
      </x:c>
      <x:c r="F181" s="24" t="str">
        <x:v>INT-0177</x:v>
      </x:c>
      <x:c r="G181" s="24" t="str">
        <x:v>VRM Games / Blas Luis Rocha González</x:v>
      </x:c>
      <x:c r="H181" s="24" t="str">
        <x:v>Internal project IP / authorship claim</x:v>
      </x:c>
      <x:c r="I181" s="24" t="str">
        <x:v>Source package + repository path + hash</x:v>
      </x:c>
      <x:c r="J181" s="24" t="str">
        <x:v>e5edfa29856c4ef2c636a23b867992a856c204a5a8f93050ba5529e05445756d</x:v>
      </x:c>
      <x:c r="K181" s="24" t="str">
        <x:v>Assets/_Project/Data/Products/Technical/CC_ProductCatalog_Technical.asset</x:v>
      </x:c>
      <x:c r="L181" s="24" t="str">
        <x:v>CR-003</x:v>
      </x:c>
      <x:c r="M181" s="24" t="str"/>
      <x:c r="N181" s="24" t="str">
        <x:v>RES-001;RES-014</x:v>
      </x:c>
      <x:c r="O181" s="24" t="str">
        <x:v>Internal development; public candidate requires gate</x:v>
      </x:c>
      <x:c r="P181" s="24" t="str">
        <x:v>CONDITIONALLY APPROVED</x:v>
      </x:c>
      <x:c r="Q181" s="24" t="str">
        <x:v>Low</x:v>
      </x:c>
      <x:c r="R181" s="24" t="str"/>
      <x:c r="S181" s="24" t="str">
        <x:v>Sí</x:v>
      </x:c>
      <x:c r="T181" s="24" t="str">
        <x:f>"T"&amp;IF(AND(H181&lt;&gt;"",I181&lt;&gt;"",J181&lt;&gt;"",L181&lt;&gt;"",N181&lt;&gt;"",O181&lt;&gt;"",P181="APPROVED PUBLIC",S181="Sí"),6,IF(AND(H181&lt;&gt;"",I181&lt;&gt;"",J181&lt;&gt;"",L181&lt;&gt;"",N181&lt;&gt;"",O181&lt;&gt;"",P181&lt;&gt;"",S181="Sí"),5,IF(AND(H181&lt;&gt;"",I181&lt;&gt;"",P181&lt;&gt;"",S181&lt;&gt;"No"),4,IF(AND(H181&lt;&gt;"",I181&lt;&gt;""),3,IF(F181&lt;&gt;"",2,1)))))</x:f>
        <x:v>T5</x:v>
      </x:c>
      <x:c r="U181" s="24" t="str">
        <x:v>VRM Games</x:v>
      </x:c>
      <x:c r="V181" s="24" t="str">
        <x:v>No se detectó proveedor externo en la ruta; confirmar autoría por lote antes de release público.</x:v>
      </x:c>
    </x:row>
    <x:row r="182" ht="34" customHeight="1">
      <x:c r="A182" s="24" t="str">
        <x:v>TRC-00178</x:v>
      </x:c>
      <x:c r="B182" s="24" t="str">
        <x:v>b9f100846f074d75ba09c52b44f28b3a</x:v>
      </x:c>
      <x:c r="C182" s="24" t="str">
        <x:v>CC_Product_CloudHero.asset</x:v>
      </x:c>
      <x:c r="D182" s="24" t="str">
        <x:v>Unity data asset</x:v>
      </x:c>
      <x:c r="E182" s="24" t="str">
        <x:v>03_Assets_Internos</x:v>
      </x:c>
      <x:c r="F182" s="24" t="str">
        <x:v>INT-0178</x:v>
      </x:c>
      <x:c r="G182" s="24" t="str">
        <x:v>VRM Games / Blas Luis Rocha González</x:v>
      </x:c>
      <x:c r="H182" s="24" t="str">
        <x:v>Internal project IP / authorship claim</x:v>
      </x:c>
      <x:c r="I182" s="24" t="str">
        <x:v>Source package + repository path + hash</x:v>
      </x:c>
      <x:c r="J182" s="24" t="str">
        <x:v>b592d524b3d901ec8e2bfa79fce0157e204f781a110e70f13b0200d98608d4e0</x:v>
      </x:c>
      <x:c r="K182" s="24" t="str">
        <x:v>Assets/_Project/Data/Products/Technical/CC_Product_CloudHero.asset</x:v>
      </x:c>
      <x:c r="L182" s="24" t="str">
        <x:v>CR-003</x:v>
      </x:c>
      <x:c r="M182" s="24" t="str"/>
      <x:c r="N182" s="24" t="str">
        <x:v>RES-001;RES-014</x:v>
      </x:c>
      <x:c r="O182" s="24" t="str">
        <x:v>Internal development; public candidate requires gate</x:v>
      </x:c>
      <x:c r="P182" s="24" t="str">
        <x:v>CONDITIONALLY APPROVED</x:v>
      </x:c>
      <x:c r="Q182" s="24" t="str">
        <x:v>Low</x:v>
      </x:c>
      <x:c r="R182" s="24" t="str"/>
      <x:c r="S182" s="24" t="str">
        <x:v>Sí</x:v>
      </x:c>
      <x:c r="T182" s="24" t="str">
        <x:f>"T"&amp;IF(AND(H182&lt;&gt;"",I182&lt;&gt;"",J182&lt;&gt;"",L182&lt;&gt;"",N182&lt;&gt;"",O182&lt;&gt;"",P182="APPROVED PUBLIC",S182="Sí"),6,IF(AND(H182&lt;&gt;"",I182&lt;&gt;"",J182&lt;&gt;"",L182&lt;&gt;"",N182&lt;&gt;"",O182&lt;&gt;"",P182&lt;&gt;"",S182="Sí"),5,IF(AND(H182&lt;&gt;"",I182&lt;&gt;"",P182&lt;&gt;"",S182&lt;&gt;"No"),4,IF(AND(H182&lt;&gt;"",I182&lt;&gt;""),3,IF(F182&lt;&gt;"",2,1)))))</x:f>
        <x:v>T5</x:v>
      </x:c>
      <x:c r="U182" s="24" t="str">
        <x:v>VRM Games</x:v>
      </x:c>
      <x:c r="V182" s="24" t="str">
        <x:v>No se detectó proveedor externo en la ruta; confirmar autoría por lote antes de release público.</x:v>
      </x:c>
    </x:row>
    <x:row r="183" ht="34" customHeight="1">
      <x:c r="A183" s="24" t="str">
        <x:v>TRC-00179</x:v>
      </x:c>
      <x:c r="B183" s="24" t="str">
        <x:v>5d7be371bd8a4bc48df30a4adc2a1a48</x:v>
      </x:c>
      <x:c r="C183" s="24" t="str">
        <x:v>CC_Product_CloudRacers.asset</x:v>
      </x:c>
      <x:c r="D183" s="24" t="str">
        <x:v>Unity data asset</x:v>
      </x:c>
      <x:c r="E183" s="24" t="str">
        <x:v>03_Assets_Internos</x:v>
      </x:c>
      <x:c r="F183" s="24" t="str">
        <x:v>INT-0179</x:v>
      </x:c>
      <x:c r="G183" s="24" t="str">
        <x:v>VRM Games / Blas Luis Rocha González</x:v>
      </x:c>
      <x:c r="H183" s="24" t="str">
        <x:v>Internal project IP / authorship claim</x:v>
      </x:c>
      <x:c r="I183" s="24" t="str">
        <x:v>Source package + repository path + hash</x:v>
      </x:c>
      <x:c r="J183" s="24" t="str">
        <x:v>c780f64a17ea7c8ef499653321847d4b0694f07e28a544e293362587a5623d03</x:v>
      </x:c>
      <x:c r="K183" s="24" t="str">
        <x:v>Assets/_Project/Data/Products/Technical/CC_Product_CloudRacers.asset</x:v>
      </x:c>
      <x:c r="L183" s="24" t="str">
        <x:v>CR-003</x:v>
      </x:c>
      <x:c r="M183" s="24" t="str"/>
      <x:c r="N183" s="24" t="str">
        <x:v>RES-001;RES-014</x:v>
      </x:c>
      <x:c r="O183" s="24" t="str">
        <x:v>Internal development; public candidate requires gate</x:v>
      </x:c>
      <x:c r="P183" s="24" t="str">
        <x:v>CONDITIONALLY APPROVED</x:v>
      </x:c>
      <x:c r="Q183" s="24" t="str">
        <x:v>Low</x:v>
      </x:c>
      <x:c r="R183" s="24" t="str"/>
      <x:c r="S183" s="24" t="str">
        <x:v>Sí</x:v>
      </x:c>
      <x:c r="T183" s="24" t="str">
        <x:f>"T"&amp;IF(AND(H183&lt;&gt;"",I183&lt;&gt;"",J183&lt;&gt;"",L183&lt;&gt;"",N183&lt;&gt;"",O183&lt;&gt;"",P183="APPROVED PUBLIC",S183="Sí"),6,IF(AND(H183&lt;&gt;"",I183&lt;&gt;"",J183&lt;&gt;"",L183&lt;&gt;"",N183&lt;&gt;"",O183&lt;&gt;"",P183&lt;&gt;"",S183="Sí"),5,IF(AND(H183&lt;&gt;"",I183&lt;&gt;"",P183&lt;&gt;"",S183&lt;&gt;"No"),4,IF(AND(H183&lt;&gt;"",I183&lt;&gt;""),3,IF(F183&lt;&gt;"",2,1)))))</x:f>
        <x:v>T5</x:v>
      </x:c>
      <x:c r="U183" s="24" t="str">
        <x:v>VRM Games</x:v>
      </x:c>
      <x:c r="V183" s="24" t="str">
        <x:v>No se detectó proveedor externo en la ruta; confirmar autoría por lote antes de release público.</x:v>
      </x:c>
    </x:row>
    <x:row r="184" ht="34" customHeight="1">
      <x:c r="A184" s="24" t="str">
        <x:v>TRC-00180</x:v>
      </x:c>
      <x:c r="B184" s="24" t="str">
        <x:v>6c8ada0566d54a159b381be668324fc5</x:v>
      </x:c>
      <x:c r="C184" s="24" t="str">
        <x:v>CC_Product_MemoryCard64.asset</x:v>
      </x:c>
      <x:c r="D184" s="24" t="str">
        <x:v>Unity data asset</x:v>
      </x:c>
      <x:c r="E184" s="24" t="str">
        <x:v>03_Assets_Internos</x:v>
      </x:c>
      <x:c r="F184" s="24" t="str">
        <x:v>INT-0180</x:v>
      </x:c>
      <x:c r="G184" s="24" t="str">
        <x:v>VRM Games / Blas Luis Rocha González</x:v>
      </x:c>
      <x:c r="H184" s="24" t="str">
        <x:v>Internal project IP / authorship claim</x:v>
      </x:c>
      <x:c r="I184" s="24" t="str">
        <x:v>Source package + repository path + hash</x:v>
      </x:c>
      <x:c r="J184" s="24" t="str">
        <x:v>67b827d6f22ce2fde2b5bde61991aee65555f9a7e245852d7651560d3596b609</x:v>
      </x:c>
      <x:c r="K184" s="24" t="str">
        <x:v>Assets/_Project/Data/Products/Technical/CC_Product_MemoryCard64.asset</x:v>
      </x:c>
      <x:c r="L184" s="24" t="str">
        <x:v>CR-003</x:v>
      </x:c>
      <x:c r="M184" s="24" t="str"/>
      <x:c r="N184" s="24" t="str">
        <x:v>RES-001;RES-014</x:v>
      </x:c>
      <x:c r="O184" s="24" t="str">
        <x:v>Internal development; public candidate requires gate</x:v>
      </x:c>
      <x:c r="P184" s="24" t="str">
        <x:v>CONDITIONALLY APPROVED</x:v>
      </x:c>
      <x:c r="Q184" s="24" t="str">
        <x:v>Low</x:v>
      </x:c>
      <x:c r="R184" s="24" t="str"/>
      <x:c r="S184" s="24" t="str">
        <x:v>Sí</x:v>
      </x:c>
      <x:c r="T184" s="24" t="str">
        <x:f>"T"&amp;IF(AND(H184&lt;&gt;"",I184&lt;&gt;"",J184&lt;&gt;"",L184&lt;&gt;"",N184&lt;&gt;"",O184&lt;&gt;"",P184="APPROVED PUBLIC",S184="Sí"),6,IF(AND(H184&lt;&gt;"",I184&lt;&gt;"",J184&lt;&gt;"",L184&lt;&gt;"",N184&lt;&gt;"",O184&lt;&gt;"",P184&lt;&gt;"",S184="Sí"),5,IF(AND(H184&lt;&gt;"",I184&lt;&gt;"",P184&lt;&gt;"",S184&lt;&gt;"No"),4,IF(AND(H184&lt;&gt;"",I184&lt;&gt;""),3,IF(F184&lt;&gt;"",2,1)))))</x:f>
        <x:v>T5</x:v>
      </x:c>
      <x:c r="U184" s="24" t="str">
        <x:v>VRM Games</x:v>
      </x:c>
      <x:c r="V184" s="24" t="str">
        <x:v>No se detectó proveedor externo en la ruta; confirmar autoría por lote antes de release público.</x:v>
      </x:c>
    </x:row>
    <x:row r="185" ht="34" customHeight="1">
      <x:c r="A185" s="24" t="str">
        <x:v>TRC-00181</x:v>
      </x:c>
      <x:c r="B185" s="24" t="str">
        <x:v>d91ff75141954b1589b244fa20228938</x:v>
      </x:c>
      <x:c r="C185" s="24" t="str">
        <x:v>CC_Product_Nebula8.asset</x:v>
      </x:c>
      <x:c r="D185" s="24" t="str">
        <x:v>Unity data asset</x:v>
      </x:c>
      <x:c r="E185" s="24" t="str">
        <x:v>03_Assets_Internos</x:v>
      </x:c>
      <x:c r="F185" s="24" t="str">
        <x:v>INT-0181</x:v>
      </x:c>
      <x:c r="G185" s="24" t="str">
        <x:v>VRM Games / Blas Luis Rocha González</x:v>
      </x:c>
      <x:c r="H185" s="24" t="str">
        <x:v>Internal project IP / authorship claim</x:v>
      </x:c>
      <x:c r="I185" s="24" t="str">
        <x:v>Source package + repository path + hash</x:v>
      </x:c>
      <x:c r="J185" s="24" t="str">
        <x:v>e808ddb962e3d4dfa017e1ecf92b93592378dca28fb51110d83a0e5da4c0cd73</x:v>
      </x:c>
      <x:c r="K185" s="24" t="str">
        <x:v>Assets/_Project/Data/Products/Technical/CC_Product_Nebula8.asset</x:v>
      </x:c>
      <x:c r="L185" s="24" t="str">
        <x:v>CR-003</x:v>
      </x:c>
      <x:c r="M185" s="24" t="str"/>
      <x:c r="N185" s="24" t="str">
        <x:v>RES-001;RES-014</x:v>
      </x:c>
      <x:c r="O185" s="24" t="str">
        <x:v>Internal development; public candidate requires gate</x:v>
      </x:c>
      <x:c r="P185" s="24" t="str">
        <x:v>CONDITIONALLY APPROVED</x:v>
      </x:c>
      <x:c r="Q185" s="24" t="str">
        <x:v>Low</x:v>
      </x:c>
      <x:c r="R185" s="24" t="str"/>
      <x:c r="S185" s="24" t="str">
        <x:v>Sí</x:v>
      </x:c>
      <x:c r="T185" s="24" t="str">
        <x:f>"T"&amp;IF(AND(H185&lt;&gt;"",I185&lt;&gt;"",J185&lt;&gt;"",L185&lt;&gt;"",N185&lt;&gt;"",O185&lt;&gt;"",P185="APPROVED PUBLIC",S185="Sí"),6,IF(AND(H185&lt;&gt;"",I185&lt;&gt;"",J185&lt;&gt;"",L185&lt;&gt;"",N185&lt;&gt;"",O185&lt;&gt;"",P185&lt;&gt;"",S185="Sí"),5,IF(AND(H185&lt;&gt;"",I185&lt;&gt;"",P185&lt;&gt;"",S185&lt;&gt;"No"),4,IF(AND(H185&lt;&gt;"",I185&lt;&gt;""),3,IF(F185&lt;&gt;"",2,1)))))</x:f>
        <x:v>T5</x:v>
      </x:c>
      <x:c r="U185" s="24" t="str">
        <x:v>VRM Games</x:v>
      </x:c>
      <x:c r="V185" s="24" t="str">
        <x:v>No se detectó proveedor externo en la ruta; confirmar autoría por lote antes de release público.</x:v>
      </x:c>
    </x:row>
    <x:row r="186" ht="34" customHeight="1">
      <x:c r="A186" s="24" t="str">
        <x:v>TRC-00182</x:v>
      </x:c>
      <x:c r="B186" s="24" t="str">
        <x:v>8da4aa2a2154473a8ed3ed4cabd673c7</x:v>
      </x:c>
      <x:c r="C186" s="24" t="str">
        <x:v>CC_Product_OrbitPad.asset</x:v>
      </x:c>
      <x:c r="D186" s="24" t="str">
        <x:v>Unity data asset</x:v>
      </x:c>
      <x:c r="E186" s="24" t="str">
        <x:v>03_Assets_Internos</x:v>
      </x:c>
      <x:c r="F186" s="24" t="str">
        <x:v>INT-0182</x:v>
      </x:c>
      <x:c r="G186" s="24" t="str">
        <x:v>VRM Games / Blas Luis Rocha González</x:v>
      </x:c>
      <x:c r="H186" s="24" t="str">
        <x:v>Internal project IP / authorship claim</x:v>
      </x:c>
      <x:c r="I186" s="24" t="str">
        <x:v>Source package + repository path + hash</x:v>
      </x:c>
      <x:c r="J186" s="24" t="str">
        <x:v>3543de6d3bb520ae72b626591b3355b5ca64fb081f5a08ebdc8efeb7b4c78e24</x:v>
      </x:c>
      <x:c r="K186" s="24" t="str">
        <x:v>Assets/_Project/Data/Products/Technical/CC_Product_OrbitPad.asset</x:v>
      </x:c>
      <x:c r="L186" s="24" t="str">
        <x:v>CR-003</x:v>
      </x:c>
      <x:c r="M186" s="24" t="str"/>
      <x:c r="N186" s="24" t="str">
        <x:v>RES-001;RES-014</x:v>
      </x:c>
      <x:c r="O186" s="24" t="str">
        <x:v>Internal development; public candidate requires gate</x:v>
      </x:c>
      <x:c r="P186" s="24" t="str">
        <x:v>CONDITIONALLY APPROVED</x:v>
      </x:c>
      <x:c r="Q186" s="24" t="str">
        <x:v>Low</x:v>
      </x:c>
      <x:c r="R186" s="24" t="str"/>
      <x:c r="S186" s="24" t="str">
        <x:v>Sí</x:v>
      </x:c>
      <x:c r="T186" s="24" t="str">
        <x:f>"T"&amp;IF(AND(H186&lt;&gt;"",I186&lt;&gt;"",J186&lt;&gt;"",L186&lt;&gt;"",N186&lt;&gt;"",O186&lt;&gt;"",P186="APPROVED PUBLIC",S186="Sí"),6,IF(AND(H186&lt;&gt;"",I186&lt;&gt;"",J186&lt;&gt;"",L186&lt;&gt;"",N186&lt;&gt;"",O186&lt;&gt;"",P186&lt;&gt;"",S186="Sí"),5,IF(AND(H186&lt;&gt;"",I186&lt;&gt;"",P186&lt;&gt;"",S186&lt;&gt;"No"),4,IF(AND(H186&lt;&gt;"",I186&lt;&gt;""),3,IF(F186&lt;&gt;"",2,1)))))</x:f>
        <x:v>T5</x:v>
      </x:c>
      <x:c r="U186" s="24" t="str">
        <x:v>VRM Games</x:v>
      </x:c>
      <x:c r="V186" s="24" t="str">
        <x:v>No se detectó proveedor externo en la ruta; confirmar autoría por lote antes de release público.</x:v>
      </x:c>
    </x:row>
    <x:row r="187" ht="34" customHeight="1">
      <x:c r="A187" s="24" t="str">
        <x:v>TRC-00183</x:v>
      </x:c>
      <x:c r="B187" s="24" t="str">
        <x:v>b43b3ab75c6e45c69fbb1fb70efa9bc8</x:v>
      </x:c>
      <x:c r="C187" s="24" t="str">
        <x:v>CC_Product_PixelQuest.asset</x:v>
      </x:c>
      <x:c r="D187" s="24" t="str">
        <x:v>Unity data asset</x:v>
      </x:c>
      <x:c r="E187" s="24" t="str">
        <x:v>03_Assets_Internos</x:v>
      </x:c>
      <x:c r="F187" s="24" t="str">
        <x:v>INT-0183</x:v>
      </x:c>
      <x:c r="G187" s="24" t="str">
        <x:v>VRM Games / Blas Luis Rocha González</x:v>
      </x:c>
      <x:c r="H187" s="24" t="str">
        <x:v>Internal project IP / authorship claim</x:v>
      </x:c>
      <x:c r="I187" s="24" t="str">
        <x:v>Source package + repository path + hash</x:v>
      </x:c>
      <x:c r="J187" s="24" t="str">
        <x:v>faee7d6c4937fde88a19957827744d4021d4150bcf68e1458eff7cad79c53ab1</x:v>
      </x:c>
      <x:c r="K187" s="24" t="str">
        <x:v>Assets/_Project/Data/Products/Technical/CC_Product_PixelQuest.asset</x:v>
      </x:c>
      <x:c r="L187" s="24" t="str">
        <x:v>CR-003</x:v>
      </x:c>
      <x:c r="M187" s="24" t="str"/>
      <x:c r="N187" s="24" t="str">
        <x:v>RES-001;RES-014</x:v>
      </x:c>
      <x:c r="O187" s="24" t="str">
        <x:v>Internal development; public candidate requires gate</x:v>
      </x:c>
      <x:c r="P187" s="24" t="str">
        <x:v>CONDITIONALLY APPROVED</x:v>
      </x:c>
      <x:c r="Q187" s="24" t="str">
        <x:v>Low</x:v>
      </x:c>
      <x:c r="R187" s="24" t="str"/>
      <x:c r="S187" s="24" t="str">
        <x:v>Sí</x:v>
      </x:c>
      <x:c r="T187" s="24" t="str">
        <x:f>"T"&amp;IF(AND(H187&lt;&gt;"",I187&lt;&gt;"",J187&lt;&gt;"",L187&lt;&gt;"",N187&lt;&gt;"",O187&lt;&gt;"",P187="APPROVED PUBLIC",S187="Sí"),6,IF(AND(H187&lt;&gt;"",I187&lt;&gt;"",J187&lt;&gt;"",L187&lt;&gt;"",N187&lt;&gt;"",O187&lt;&gt;"",P187&lt;&gt;"",S187="Sí"),5,IF(AND(H187&lt;&gt;"",I187&lt;&gt;"",P187&lt;&gt;"",S187&lt;&gt;"No"),4,IF(AND(H187&lt;&gt;"",I187&lt;&gt;""),3,IF(F187&lt;&gt;"",2,1)))))</x:f>
        <x:v>T5</x:v>
      </x:c>
      <x:c r="U187" s="24" t="str">
        <x:v>VRM Games</x:v>
      </x:c>
      <x:c r="V187" s="24" t="str">
        <x:v>No se detectó proveedor externo en la ruta; confirmar autoría por lote antes de release público.</x:v>
      </x:c>
    </x:row>
    <x:row r="188" ht="34" customHeight="1">
      <x:c r="A188" s="24" t="str">
        <x:v>TRC-00184</x:v>
      </x:c>
      <x:c r="B188" s="24" t="str">
        <x:v>eb68022dcb5c40609f8acb66bf981a4f</x:v>
      </x:c>
      <x:c r="C188" s="24" t="str">
        <x:v>CC_ShoppingSettings_Technical.asset</x:v>
      </x:c>
      <x:c r="D188" s="24" t="str">
        <x:v>Unity data asset</x:v>
      </x:c>
      <x:c r="E188" s="24" t="str">
        <x:v>03_Assets_Internos</x:v>
      </x:c>
      <x:c r="F188" s="24" t="str">
        <x:v>INT-0184</x:v>
      </x:c>
      <x:c r="G188" s="24" t="str">
        <x:v>VRM Games / Blas Luis Rocha González</x:v>
      </x:c>
      <x:c r="H188" s="24" t="str">
        <x:v>Internal project IP / authorship claim</x:v>
      </x:c>
      <x:c r="I188" s="24" t="str">
        <x:v>Source package + repository path + hash</x:v>
      </x:c>
      <x:c r="J188" s="24" t="str">
        <x:v>19d2261232a43dc0c645e2ccee22fbe8eb94e10d81cee373e1bb353646225adc</x:v>
      </x:c>
      <x:c r="K188" s="24" t="str">
        <x:v>Assets/_Project/Data/Shopping/Technical/CC_ShoppingSettings_Technical.asset</x:v>
      </x:c>
      <x:c r="L188" s="24" t="str">
        <x:v>CR-003</x:v>
      </x:c>
      <x:c r="M188" s="24" t="str"/>
      <x:c r="N188" s="24" t="str">
        <x:v>RES-001;RES-014</x:v>
      </x:c>
      <x:c r="O188" s="24" t="str">
        <x:v>Internal development; public candidate requires gate</x:v>
      </x:c>
      <x:c r="P188" s="24" t="str">
        <x:v>CONDITIONALLY APPROVED</x:v>
      </x:c>
      <x:c r="Q188" s="24" t="str">
        <x:v>Low</x:v>
      </x:c>
      <x:c r="R188" s="24" t="str"/>
      <x:c r="S188" s="24" t="str">
        <x:v>Sí</x:v>
      </x:c>
      <x:c r="T188" s="24" t="str">
        <x:f>"T"&amp;IF(AND(H188&lt;&gt;"",I188&lt;&gt;"",J188&lt;&gt;"",L188&lt;&gt;"",N188&lt;&gt;"",O188&lt;&gt;"",P188="APPROVED PUBLIC",S188="Sí"),6,IF(AND(H188&lt;&gt;"",I188&lt;&gt;"",J188&lt;&gt;"",L188&lt;&gt;"",N188&lt;&gt;"",O188&lt;&gt;"",P188&lt;&gt;"",S188="Sí"),5,IF(AND(H188&lt;&gt;"",I188&lt;&gt;"",P188&lt;&gt;"",S188&lt;&gt;"No"),4,IF(AND(H188&lt;&gt;"",I188&lt;&gt;""),3,IF(F188&lt;&gt;"",2,1)))))</x:f>
        <x:v>T5</x:v>
      </x:c>
      <x:c r="U188" s="24" t="str">
        <x:v>VRM Games</x:v>
      </x:c>
      <x:c r="V188" s="24" t="str">
        <x:v>No se detectó proveedor externo en la ruta; confirmar autoría por lote antes de release público.</x:v>
      </x:c>
    </x:row>
    <x:row r="189" ht="34" customHeight="1">
      <x:c r="A189" s="24" t="str">
        <x:v>TRC-00185</x:v>
      </x:c>
      <x:c r="B189" s="24" t="str">
        <x:v>246c0ab3f76cd3e070433c6651cf32c7</x:v>
      </x:c>
      <x:c r="C189" s="24" t="str">
        <x:v>StoreShell.asset</x:v>
      </x:c>
      <x:c r="D189" s="24" t="str">
        <x:v>Unity data asset</x:v>
      </x:c>
      <x:c r="E189" s="24" t="str">
        <x:v>03_Assets_Internos</x:v>
      </x:c>
      <x:c r="F189" s="24" t="str">
        <x:v>INT-0185</x:v>
      </x:c>
      <x:c r="G189" s="24" t="str">
        <x:v>VRM Games / Blas Luis Rocha González</x:v>
      </x:c>
      <x:c r="H189" s="24" t="str">
        <x:v>Internal project IP / authorship claim</x:v>
      </x:c>
      <x:c r="I189" s="24" t="str">
        <x:v>Source package + repository path + hash</x:v>
      </x:c>
      <x:c r="J189" s="24" t="str">
        <x:v>141fa47e0757d68088ed636ddc458f496c3460b2dbc1a15cd8542577ccc655d8</x:v>
      </x:c>
      <x:c r="K189" s="24" t="str">
        <x:v>Assets/_Project/Data/Store/StoreShell.asset</x:v>
      </x:c>
      <x:c r="L189" s="24" t="str">
        <x:v>CR-003</x:v>
      </x:c>
      <x:c r="M189" s="24" t="str"/>
      <x:c r="N189" s="24" t="str">
        <x:v>RES-001;RES-014</x:v>
      </x:c>
      <x:c r="O189" s="24" t="str">
        <x:v>Internal development; public candidate requires gate</x:v>
      </x:c>
      <x:c r="P189" s="24" t="str">
        <x:v>CONDITIONALLY APPROVED</x:v>
      </x:c>
      <x:c r="Q189" s="24" t="str">
        <x:v>Low</x:v>
      </x:c>
      <x:c r="R189" s="24" t="str"/>
      <x:c r="S189" s="24" t="str">
        <x:v>Sí</x:v>
      </x:c>
      <x:c r="T189" s="24" t="str">
        <x:f>"T"&amp;IF(AND(H189&lt;&gt;"",I189&lt;&gt;"",J189&lt;&gt;"",L189&lt;&gt;"",N189&lt;&gt;"",O189&lt;&gt;"",P189="APPROVED PUBLIC",S189="Sí"),6,IF(AND(H189&lt;&gt;"",I189&lt;&gt;"",J189&lt;&gt;"",L189&lt;&gt;"",N189&lt;&gt;"",O189&lt;&gt;"",P189&lt;&gt;"",S189="Sí"),5,IF(AND(H189&lt;&gt;"",I189&lt;&gt;"",P189&lt;&gt;"",S189&lt;&gt;"No"),4,IF(AND(H189&lt;&gt;"",I189&lt;&gt;""),3,IF(F189&lt;&gt;"",2,1)))))</x:f>
        <x:v>T5</x:v>
      </x:c>
      <x:c r="U189" s="24" t="str">
        <x:v>VRM Games</x:v>
      </x:c>
      <x:c r="V189" s="24" t="str">
        <x:v>No se detectó proveedor externo en la ruta; confirmar autoría por lote antes de release público.</x:v>
      </x:c>
    </x:row>
    <x:row r="190" ht="34" customHeight="1">
      <x:c r="A190" s="24" t="str">
        <x:v>TRC-00186</x:v>
      </x:c>
      <x:c r="B190" s="24" t="str">
        <x:v>2650103f7ceb496e94c5bc7eb4c23541</x:v>
      </x:c>
      <x:c r="C190" s="24" t="str">
        <x:v>CC_SupplierCatalog_NebulaDistribution.asset</x:v>
      </x:c>
      <x:c r="D190" s="24" t="str">
        <x:v>Unity data asset</x:v>
      </x:c>
      <x:c r="E190" s="24" t="str">
        <x:v>03_Assets_Internos</x:v>
      </x:c>
      <x:c r="F190" s="24" t="str">
        <x:v>INT-0186</x:v>
      </x:c>
      <x:c r="G190" s="24" t="str">
        <x:v>VRM Games / Blas Luis Rocha González</x:v>
      </x:c>
      <x:c r="H190" s="24" t="str">
        <x:v>Internal project IP / authorship claim</x:v>
      </x:c>
      <x:c r="I190" s="24" t="str">
        <x:v>Source package + repository path + hash</x:v>
      </x:c>
      <x:c r="J190" s="24" t="str">
        <x:v>e4b4dea8cdbf7e9d7d501ff6985d7ca737d409978d3cf05077a7b237f67af713</x:v>
      </x:c>
      <x:c r="K190" s="24" t="str">
        <x:v>Assets/_Project/Data/Suppliers/Technical/CC_SupplierCatalog_NebulaDistribution.asset</x:v>
      </x:c>
      <x:c r="L190" s="24" t="str">
        <x:v>CR-003</x:v>
      </x:c>
      <x:c r="M190" s="24" t="str"/>
      <x:c r="N190" s="24" t="str">
        <x:v>RES-001;RES-014</x:v>
      </x:c>
      <x:c r="O190" s="24" t="str">
        <x:v>Internal development; public candidate requires gate</x:v>
      </x:c>
      <x:c r="P190" s="24" t="str">
        <x:v>CONDITIONALLY APPROVED</x:v>
      </x:c>
      <x:c r="Q190" s="24" t="str">
        <x:v>Low</x:v>
      </x:c>
      <x:c r="R190" s="24" t="str"/>
      <x:c r="S190" s="24" t="str">
        <x:v>Sí</x:v>
      </x:c>
      <x:c r="T190" s="24" t="str">
        <x:f>"T"&amp;IF(AND(H190&lt;&gt;"",I190&lt;&gt;"",J190&lt;&gt;"",L190&lt;&gt;"",N190&lt;&gt;"",O190&lt;&gt;"",P190="APPROVED PUBLIC",S190="Sí"),6,IF(AND(H190&lt;&gt;"",I190&lt;&gt;"",J190&lt;&gt;"",L190&lt;&gt;"",N190&lt;&gt;"",O190&lt;&gt;"",P190&lt;&gt;"",S190="Sí"),5,IF(AND(H190&lt;&gt;"",I190&lt;&gt;"",P190&lt;&gt;"",S190&lt;&gt;"No"),4,IF(AND(H190&lt;&gt;"",I190&lt;&gt;""),3,IF(F190&lt;&gt;"",2,1)))))</x:f>
        <x:v>T5</x:v>
      </x:c>
      <x:c r="U190" s="24" t="str">
        <x:v>VRM Games</x:v>
      </x:c>
      <x:c r="V190" s="24" t="str">
        <x:v>No se detectó proveedor externo en la ruta; confirmar autoría por lote antes de release público.</x:v>
      </x:c>
    </x:row>
    <x:row r="191" ht="34" customHeight="1">
      <x:c r="A191" s="24" t="str">
        <x:v>TRC-00187</x:v>
      </x:c>
      <x:c r="B191" s="24" t="str">
        <x:v>f6038ebb4cba4fa480fce1f14d3b51df</x:v>
      </x:c>
      <x:c r="C191" s="24" t="str">
        <x:v>CC_SupplierCatalog_PixelParcel.asset</x:v>
      </x:c>
      <x:c r="D191" s="24" t="str">
        <x:v>Unity data asset</x:v>
      </x:c>
      <x:c r="E191" s="24" t="str">
        <x:v>03_Assets_Internos</x:v>
      </x:c>
      <x:c r="F191" s="24" t="str">
        <x:v>INT-0187</x:v>
      </x:c>
      <x:c r="G191" s="24" t="str">
        <x:v>VRM Games / Blas Luis Rocha González</x:v>
      </x:c>
      <x:c r="H191" s="24" t="str">
        <x:v>Internal project IP / authorship claim</x:v>
      </x:c>
      <x:c r="I191" s="24" t="str">
        <x:v>Source package + repository path + hash</x:v>
      </x:c>
      <x:c r="J191" s="24" t="str">
        <x:v>687f612f0e40faed8fa2894cf071890bc22226b403bce847b3015a60af9cc6e9</x:v>
      </x:c>
      <x:c r="K191" s="24" t="str">
        <x:v>Assets/_Project/Data/Suppliers/Technical/CC_SupplierCatalog_PixelParcel.asset</x:v>
      </x:c>
      <x:c r="L191" s="24" t="str">
        <x:v>CR-003</x:v>
      </x:c>
      <x:c r="M191" s="24" t="str"/>
      <x:c r="N191" s="24" t="str">
        <x:v>RES-001;RES-014</x:v>
      </x:c>
      <x:c r="O191" s="24" t="str">
        <x:v>Internal development; public candidate requires gate</x:v>
      </x:c>
      <x:c r="P191" s="24" t="str">
        <x:v>CONDITIONALLY APPROVED</x:v>
      </x:c>
      <x:c r="Q191" s="24" t="str">
        <x:v>Low</x:v>
      </x:c>
      <x:c r="R191" s="24" t="str"/>
      <x:c r="S191" s="24" t="str">
        <x:v>Sí</x:v>
      </x:c>
      <x:c r="T191" s="24" t="str">
        <x:f>"T"&amp;IF(AND(H191&lt;&gt;"",I191&lt;&gt;"",J191&lt;&gt;"",L191&lt;&gt;"",N191&lt;&gt;"",O191&lt;&gt;"",P191="APPROVED PUBLIC",S191="Sí"),6,IF(AND(H191&lt;&gt;"",I191&lt;&gt;"",J191&lt;&gt;"",L191&lt;&gt;"",N191&lt;&gt;"",O191&lt;&gt;"",P191&lt;&gt;"",S191="Sí"),5,IF(AND(H191&lt;&gt;"",I191&lt;&gt;"",P191&lt;&gt;"",S191&lt;&gt;"No"),4,IF(AND(H191&lt;&gt;"",I191&lt;&gt;""),3,IF(F191&lt;&gt;"",2,1)))))</x:f>
        <x:v>T5</x:v>
      </x:c>
      <x:c r="U191" s="24" t="str">
        <x:v>VRM Games</x:v>
      </x:c>
      <x:c r="V191" s="24" t="str">
        <x:v>No se detectó proveedor externo en la ruta; confirmar autoría por lote antes de release público.</x:v>
      </x:c>
    </x:row>
    <x:row r="192" ht="34" customHeight="1">
      <x:c r="A192" s="24" t="str">
        <x:v>TRC-00188</x:v>
      </x:c>
      <x:c r="B192" s="24" t="str">
        <x:v>1cf16838a1df4081b0e95eac47a700c2</x:v>
      </x:c>
      <x:c r="C192" s="24" t="str">
        <x:v>CC_Supplier_NebulaDistribution.asset</x:v>
      </x:c>
      <x:c r="D192" s="24" t="str">
        <x:v>Unity data asset</x:v>
      </x:c>
      <x:c r="E192" s="24" t="str">
        <x:v>03_Assets_Internos</x:v>
      </x:c>
      <x:c r="F192" s="24" t="str">
        <x:v>INT-0188</x:v>
      </x:c>
      <x:c r="G192" s="24" t="str">
        <x:v>VRM Games / Blas Luis Rocha González</x:v>
      </x:c>
      <x:c r="H192" s="24" t="str">
        <x:v>Internal project IP / authorship claim</x:v>
      </x:c>
      <x:c r="I192" s="24" t="str">
        <x:v>Source package + repository path + hash</x:v>
      </x:c>
      <x:c r="J192" s="24" t="str">
        <x:v>17ac76951a57d5ac30e8fbb78f76ab76e15c0e2c66d0155ecdb8b93b17b2b22c</x:v>
      </x:c>
      <x:c r="K192" s="24" t="str">
        <x:v>Assets/_Project/Data/Suppliers/Technical/CC_Supplier_NebulaDistribution.asset</x:v>
      </x:c>
      <x:c r="L192" s="24" t="str">
        <x:v>CR-003</x:v>
      </x:c>
      <x:c r="M192" s="24" t="str"/>
      <x:c r="N192" s="24" t="str">
        <x:v>RES-001;RES-014</x:v>
      </x:c>
      <x:c r="O192" s="24" t="str">
        <x:v>Internal development; public candidate requires gate</x:v>
      </x:c>
      <x:c r="P192" s="24" t="str">
        <x:v>CONDITIONALLY APPROVED</x:v>
      </x:c>
      <x:c r="Q192" s="24" t="str">
        <x:v>Low</x:v>
      </x:c>
      <x:c r="R192" s="24" t="str"/>
      <x:c r="S192" s="24" t="str">
        <x:v>Sí</x:v>
      </x:c>
      <x:c r="T192" s="24" t="str">
        <x:f>"T"&amp;IF(AND(H192&lt;&gt;"",I192&lt;&gt;"",J192&lt;&gt;"",L192&lt;&gt;"",N192&lt;&gt;"",O192&lt;&gt;"",P192="APPROVED PUBLIC",S192="Sí"),6,IF(AND(H192&lt;&gt;"",I192&lt;&gt;"",J192&lt;&gt;"",L192&lt;&gt;"",N192&lt;&gt;"",O192&lt;&gt;"",P192&lt;&gt;"",S192="Sí"),5,IF(AND(H192&lt;&gt;"",I192&lt;&gt;"",P192&lt;&gt;"",S192&lt;&gt;"No"),4,IF(AND(H192&lt;&gt;"",I192&lt;&gt;""),3,IF(F192&lt;&gt;"",2,1)))))</x:f>
        <x:v>T5</x:v>
      </x:c>
      <x:c r="U192" s="24" t="str">
        <x:v>VRM Games</x:v>
      </x:c>
      <x:c r="V192" s="24" t="str">
        <x:v>No se detectó proveedor externo en la ruta; confirmar autoría por lote antes de release público.</x:v>
      </x:c>
    </x:row>
    <x:row r="193" ht="34" customHeight="1">
      <x:c r="A193" s="24" t="str">
        <x:v>TRC-00189</x:v>
      </x:c>
      <x:c r="B193" s="24" t="str">
        <x:v>58adf7b912ac4984a21146cb7e7ccc72</x:v>
      </x:c>
      <x:c r="C193" s="24" t="str">
        <x:v>CC_Supplier_PixelParcel.asset</x:v>
      </x:c>
      <x:c r="D193" s="24" t="str">
        <x:v>Unity data asset</x:v>
      </x:c>
      <x:c r="E193" s="24" t="str">
        <x:v>03_Assets_Internos</x:v>
      </x:c>
      <x:c r="F193" s="24" t="str">
        <x:v>INT-0189</x:v>
      </x:c>
      <x:c r="G193" s="24" t="str">
        <x:v>VRM Games / Blas Luis Rocha González</x:v>
      </x:c>
      <x:c r="H193" s="24" t="str">
        <x:v>Internal project IP / authorship claim</x:v>
      </x:c>
      <x:c r="I193" s="24" t="str">
        <x:v>Source package + repository path + hash</x:v>
      </x:c>
      <x:c r="J193" s="24" t="str">
        <x:v>233346e575b9c4ccdd26896cce364f031bc8cbd009ded2d27f790125bf49d5b3</x:v>
      </x:c>
      <x:c r="K193" s="24" t="str">
        <x:v>Assets/_Project/Data/Suppliers/Technical/CC_Supplier_PixelParcel.asset</x:v>
      </x:c>
      <x:c r="L193" s="24" t="str">
        <x:v>CR-003</x:v>
      </x:c>
      <x:c r="M193" s="24" t="str"/>
      <x:c r="N193" s="24" t="str">
        <x:v>RES-001;RES-014</x:v>
      </x:c>
      <x:c r="O193" s="24" t="str">
        <x:v>Internal development; public candidate requires gate</x:v>
      </x:c>
      <x:c r="P193" s="24" t="str">
        <x:v>CONDITIONALLY APPROVED</x:v>
      </x:c>
      <x:c r="Q193" s="24" t="str">
        <x:v>Low</x:v>
      </x:c>
      <x:c r="R193" s="24" t="str"/>
      <x:c r="S193" s="24" t="str">
        <x:v>Sí</x:v>
      </x:c>
      <x:c r="T193" s="24" t="str">
        <x:f>"T"&amp;IF(AND(H193&lt;&gt;"",I193&lt;&gt;"",J193&lt;&gt;"",L193&lt;&gt;"",N193&lt;&gt;"",O193&lt;&gt;"",P193="APPROVED PUBLIC",S193="Sí"),6,IF(AND(H193&lt;&gt;"",I193&lt;&gt;"",J193&lt;&gt;"",L193&lt;&gt;"",N193&lt;&gt;"",O193&lt;&gt;"",P193&lt;&gt;"",S193="Sí"),5,IF(AND(H193&lt;&gt;"",I193&lt;&gt;"",P193&lt;&gt;"",S193&lt;&gt;"No"),4,IF(AND(H193&lt;&gt;"",I193&lt;&gt;""),3,IF(F193&lt;&gt;"",2,1)))))</x:f>
        <x:v>T5</x:v>
      </x:c>
      <x:c r="U193" s="24" t="str">
        <x:v>VRM Games</x:v>
      </x:c>
      <x:c r="V193" s="24" t="str">
        <x:v>No se detectó proveedor externo en la ruta; confirmar autoría por lote antes de release público.</x:v>
      </x:c>
    </x:row>
    <x:row r="194" ht="34" customHeight="1">
      <x:c r="A194" s="24" t="str">
        <x:v>TRC-00190</x:v>
      </x:c>
      <x:c r="B194" s="24" t="str">
        <x:v>f62921b990178964e95d3da7e94ed5be</x:v>
      </x:c>
      <x:c r="C194" s="24" t="str">
        <x:v>ProjectAssetOrganizationMigration.cs</x:v>
      </x:c>
      <x:c r="D194" s="24" t="str">
        <x:v>Code</x:v>
      </x:c>
      <x:c r="E194" s="24" t="str">
        <x:v>03_Assets_Internos</x:v>
      </x:c>
      <x:c r="F194" s="24" t="str">
        <x:v>INT-0190</x:v>
      </x:c>
      <x:c r="G194" s="24" t="str">
        <x:v>VRM Games / Blas Luis Rocha González</x:v>
      </x:c>
      <x:c r="H194" s="24" t="str">
        <x:v>Internal project IP / authorship claim</x:v>
      </x:c>
      <x:c r="I194" s="24" t="str">
        <x:v>Source package + repository path + hash</x:v>
      </x:c>
      <x:c r="J194" s="24" t="str">
        <x:v>44b80af342c4b00a788a607a1a0f2a796f920c610acabef911d2481a599aba45</x:v>
      </x:c>
      <x:c r="K194" s="24" t="str">
        <x:v>Assets/_Project/Editor/ProjectOrganization/ProjectAssetOrganizationMigration.cs</x:v>
      </x:c>
      <x:c r="L194" s="24" t="str">
        <x:v>CR-003</x:v>
      </x:c>
      <x:c r="M194" s="24" t="str"/>
      <x:c r="N194" s="24" t="str">
        <x:v>RES-001;RES-014</x:v>
      </x:c>
      <x:c r="O194" s="24" t="str">
        <x:v>Internal development; public candidate requires gate</x:v>
      </x:c>
      <x:c r="P194" s="24" t="str">
        <x:v>CONDITIONALLY APPROVED</x:v>
      </x:c>
      <x:c r="Q194" s="24" t="str">
        <x:v>Low</x:v>
      </x:c>
      <x:c r="R194" s="24" t="str"/>
      <x:c r="S194" s="24" t="str">
        <x:v>Sí</x:v>
      </x:c>
      <x:c r="T194" s="24" t="str">
        <x:f>"T"&amp;IF(AND(H194&lt;&gt;"",I194&lt;&gt;"",J194&lt;&gt;"",L194&lt;&gt;"",N194&lt;&gt;"",O194&lt;&gt;"",P194="APPROVED PUBLIC",S194="Sí"),6,IF(AND(H194&lt;&gt;"",I194&lt;&gt;"",J194&lt;&gt;"",L194&lt;&gt;"",N194&lt;&gt;"",O194&lt;&gt;"",P194&lt;&gt;"",S194="Sí"),5,IF(AND(H194&lt;&gt;"",I194&lt;&gt;"",P194&lt;&gt;"",S194&lt;&gt;"No"),4,IF(AND(H194&lt;&gt;"",I194&lt;&gt;""),3,IF(F194&lt;&gt;"",2,1)))))</x:f>
        <x:v>T5</x:v>
      </x:c>
      <x:c r="U194" s="24" t="str">
        <x:v>VRM Games</x:v>
      </x:c>
      <x:c r="V194" s="24" t="str">
        <x:v>No se detectó proveedor externo en la ruta; confirmar autoría por lote antes de release público.</x:v>
      </x:c>
    </x:row>
    <x:row r="195" ht="34" customHeight="1">
      <x:c r="A195" s="24" t="str">
        <x:v>TRC-00191</x:v>
      </x:c>
      <x:c r="B195" s="24" t="str">
        <x:v>4c6f7d8432b752b4695fea129c160281</x:v>
      </x:c>
      <x:c r="C195" s="24" t="str">
        <x:v>ProjectAssetOrganizationPlayModeRepair.cs</x:v>
      </x:c>
      <x:c r="D195" s="24" t="str">
        <x:v>Code</x:v>
      </x:c>
      <x:c r="E195" s="24" t="str">
        <x:v>03_Assets_Internos</x:v>
      </x:c>
      <x:c r="F195" s="24" t="str">
        <x:v>INT-0191</x:v>
      </x:c>
      <x:c r="G195" s="24" t="str">
        <x:v>VRM Games / Blas Luis Rocha González</x:v>
      </x:c>
      <x:c r="H195" s="24" t="str">
        <x:v>Internal project IP / authorship claim</x:v>
      </x:c>
      <x:c r="I195" s="24" t="str">
        <x:v>Source package + repository path + hash</x:v>
      </x:c>
      <x:c r="J195" s="24" t="str">
        <x:v>af5c29b2ba2fc89e20f19cf932b7e5f05b80bd36dcfb7fabdbb7688e7ae95c3d</x:v>
      </x:c>
      <x:c r="K195" s="24" t="str">
        <x:v>Assets/_Project/Editor/ProjectOrganization/ProjectAssetOrganizationPlayModeRepair.cs</x:v>
      </x:c>
      <x:c r="L195" s="24" t="str">
        <x:v>CR-003</x:v>
      </x:c>
      <x:c r="M195" s="24" t="str"/>
      <x:c r="N195" s="24" t="str">
        <x:v>RES-001;RES-014</x:v>
      </x:c>
      <x:c r="O195" s="24" t="str">
        <x:v>Internal development; public candidate requires gate</x:v>
      </x:c>
      <x:c r="P195" s="24" t="str">
        <x:v>CONDITIONALLY APPROVED</x:v>
      </x:c>
      <x:c r="Q195" s="24" t="str">
        <x:v>Low</x:v>
      </x:c>
      <x:c r="R195" s="24" t="str"/>
      <x:c r="S195" s="24" t="str">
        <x:v>Sí</x:v>
      </x:c>
      <x:c r="T195" s="24" t="str">
        <x:f>"T"&amp;IF(AND(H195&lt;&gt;"",I195&lt;&gt;"",J195&lt;&gt;"",L195&lt;&gt;"",N195&lt;&gt;"",O195&lt;&gt;"",P195="APPROVED PUBLIC",S195="Sí"),6,IF(AND(H195&lt;&gt;"",I195&lt;&gt;"",J195&lt;&gt;"",L195&lt;&gt;"",N195&lt;&gt;"",O195&lt;&gt;"",P195&lt;&gt;"",S195="Sí"),5,IF(AND(H195&lt;&gt;"",I195&lt;&gt;"",P195&lt;&gt;"",S195&lt;&gt;"No"),4,IF(AND(H195&lt;&gt;"",I195&lt;&gt;""),3,IF(F195&lt;&gt;"",2,1)))))</x:f>
        <x:v>T5</x:v>
      </x:c>
      <x:c r="U195" s="24" t="str">
        <x:v>VRM Games</x:v>
      </x:c>
      <x:c r="V195" s="24" t="str">
        <x:v>No se detectó proveedor externo en la ruta; confirmar autoría por lote antes de release público.</x:v>
      </x:c>
    </x:row>
    <x:row r="196" ht="34" customHeight="1">
      <x:c r="A196" s="24" t="str">
        <x:v>TRC-00192</x:v>
      </x:c>
      <x:c r="B196" s="24" t="str">
        <x:v>0c09cd87d0772084ba0008ad10adcdec</x:v>
      </x:c>
      <x:c r="C196" s="24" t="str">
        <x:v>ProjectAssetOrganizationPrefabFixtureRepair.cs</x:v>
      </x:c>
      <x:c r="D196" s="24" t="str">
        <x:v>Code</x:v>
      </x:c>
      <x:c r="E196" s="24" t="str">
        <x:v>03_Assets_Internos</x:v>
      </x:c>
      <x:c r="F196" s="24" t="str">
        <x:v>INT-0192</x:v>
      </x:c>
      <x:c r="G196" s="24" t="str">
        <x:v>VRM Games / Blas Luis Rocha González</x:v>
      </x:c>
      <x:c r="H196" s="24" t="str">
        <x:v>Internal project IP / authorship claim</x:v>
      </x:c>
      <x:c r="I196" s="24" t="str">
        <x:v>Source package + repository path + hash</x:v>
      </x:c>
      <x:c r="J196" s="24" t="str">
        <x:v>f7dafd7afaa07968e46ff88f6729769875ca4d86e9943166b01561e93dfe8f6e</x:v>
      </x:c>
      <x:c r="K196" s="24" t="str">
        <x:v>Assets/_Project/Editor/ProjectOrganization/ProjectAssetOrganizationPrefabFixtureRepair.cs</x:v>
      </x:c>
      <x:c r="L196" s="24" t="str">
        <x:v>CR-003</x:v>
      </x:c>
      <x:c r="M196" s="24" t="str"/>
      <x:c r="N196" s="24" t="str">
        <x:v>RES-001;RES-014</x:v>
      </x:c>
      <x:c r="O196" s="24" t="str">
        <x:v>Internal development; public candidate requires gate</x:v>
      </x:c>
      <x:c r="P196" s="24" t="str">
        <x:v>CONDITIONALLY APPROVED</x:v>
      </x:c>
      <x:c r="Q196" s="24" t="str">
        <x:v>Low</x:v>
      </x:c>
      <x:c r="R196" s="24" t="str"/>
      <x:c r="S196" s="24" t="str">
        <x:v>Sí</x:v>
      </x:c>
      <x:c r="T196" s="24" t="str">
        <x:f>"T"&amp;IF(AND(H196&lt;&gt;"",I196&lt;&gt;"",J196&lt;&gt;"",L196&lt;&gt;"",N196&lt;&gt;"",O196&lt;&gt;"",P196="APPROVED PUBLIC",S196="Sí"),6,IF(AND(H196&lt;&gt;"",I196&lt;&gt;"",J196&lt;&gt;"",L196&lt;&gt;"",N196&lt;&gt;"",O196&lt;&gt;"",P196&lt;&gt;"",S196="Sí"),5,IF(AND(H196&lt;&gt;"",I196&lt;&gt;"",P196&lt;&gt;"",S196&lt;&gt;"No"),4,IF(AND(H196&lt;&gt;"",I196&lt;&gt;""),3,IF(F196&lt;&gt;"",2,1)))))</x:f>
        <x:v>T5</x:v>
      </x:c>
      <x:c r="U196" s="24" t="str">
        <x:v>VRM Games</x:v>
      </x:c>
      <x:c r="V196" s="24" t="str">
        <x:v>No se detectó proveedor externo en la ruta; confirmar autoría por lote antes de release público.</x:v>
      </x:c>
    </x:row>
    <x:row r="197" ht="34" customHeight="1">
      <x:c r="A197" s="24" t="str">
        <x:v>TRC-00193</x:v>
      </x:c>
      <x:c r="B197" s="24" t="str">
        <x:v>337e402295a55f3499cf2cf19ddd5089</x:v>
      </x:c>
      <x:c r="C197" s="24" t="str">
        <x:v>RepresentativeAssetIntegrationTool.cs</x:v>
      </x:c>
      <x:c r="D197" s="24" t="str">
        <x:v>Code</x:v>
      </x:c>
      <x:c r="E197" s="24" t="str">
        <x:v>03_Assets_Internos</x:v>
      </x:c>
      <x:c r="F197" s="24" t="str">
        <x:v>INT-0193</x:v>
      </x:c>
      <x:c r="G197" s="24" t="str">
        <x:v>VRM Games / Blas Luis Rocha González</x:v>
      </x:c>
      <x:c r="H197" s="24" t="str">
        <x:v>Internal project IP / authorship claim</x:v>
      </x:c>
      <x:c r="I197" s="24" t="str">
        <x:v>Source package + repository path + hash</x:v>
      </x:c>
      <x:c r="J197" s="24" t="str">
        <x:v>a3eeb7a24781d809db58aec9c8a3d8d02882e5ede008249677751d0ee84da214</x:v>
      </x:c>
      <x:c r="K197" s="24" t="str">
        <x:v>Assets/_Project/Editor/ProjectOrganization/RepresentativeAssetIntegrationTool.cs</x:v>
      </x:c>
      <x:c r="L197" s="24" t="str">
        <x:v>CR-003</x:v>
      </x:c>
      <x:c r="M197" s="24" t="str"/>
      <x:c r="N197" s="24" t="str">
        <x:v>RES-001;RES-014</x:v>
      </x:c>
      <x:c r="O197" s="24" t="str">
        <x:v>Internal development; public candidate requires gate</x:v>
      </x:c>
      <x:c r="P197" s="24" t="str">
        <x:v>CONDITIONALLY APPROVED</x:v>
      </x:c>
      <x:c r="Q197" s="24" t="str">
        <x:v>Low</x:v>
      </x:c>
      <x:c r="R197" s="24" t="str"/>
      <x:c r="S197" s="24" t="str">
        <x:v>Sí</x:v>
      </x:c>
      <x:c r="T197" s="24" t="str">
        <x:f>"T"&amp;IF(AND(H197&lt;&gt;"",I197&lt;&gt;"",J197&lt;&gt;"",L197&lt;&gt;"",N197&lt;&gt;"",O197&lt;&gt;"",P197="APPROVED PUBLIC",S197="Sí"),6,IF(AND(H197&lt;&gt;"",I197&lt;&gt;"",J197&lt;&gt;"",L197&lt;&gt;"",N197&lt;&gt;"",O197&lt;&gt;"",P197&lt;&gt;"",S197="Sí"),5,IF(AND(H197&lt;&gt;"",I197&lt;&gt;"",P197&lt;&gt;"",S197&lt;&gt;"No"),4,IF(AND(H197&lt;&gt;"",I197&lt;&gt;""),3,IF(F197&lt;&gt;"",2,1)))))</x:f>
        <x:v>T5</x:v>
      </x:c>
      <x:c r="U197" s="24" t="str">
        <x:v>VRM Games</x:v>
      </x:c>
      <x:c r="V197" s="24" t="str">
        <x:v>No se detectó proveedor externo en la ruta; confirmar autoría por lote antes de release público.</x:v>
      </x:c>
    </x:row>
    <x:row r="198" ht="34" customHeight="1">
      <x:c r="A198" s="24" t="str">
        <x:v>TRC-00194</x:v>
      </x:c>
      <x:c r="B198" s="24" t="str">
        <x:v>19c613806cb559a438ce24b5dc57639a</x:v>
      </x:c>
      <x:c r="C198" s="24" t="str">
        <x:v>RepresentativeRuntimeCatalogLinkRepair.cs</x:v>
      </x:c>
      <x:c r="D198" s="24" t="str">
        <x:v>Code</x:v>
      </x:c>
      <x:c r="E198" s="24" t="str">
        <x:v>03_Assets_Internos</x:v>
      </x:c>
      <x:c r="F198" s="24" t="str">
        <x:v>INT-0194</x:v>
      </x:c>
      <x:c r="G198" s="24" t="str">
        <x:v>VRM Games / Blas Luis Rocha González</x:v>
      </x:c>
      <x:c r="H198" s="24" t="str">
        <x:v>Internal project IP / authorship claim</x:v>
      </x:c>
      <x:c r="I198" s="24" t="str">
        <x:v>Source package + repository path + hash</x:v>
      </x:c>
      <x:c r="J198" s="24" t="str">
        <x:v>43bf03c4037353c791a571bd3cfbe214b061080d815e00f04bda0ca4583970e4</x:v>
      </x:c>
      <x:c r="K198" s="24" t="str">
        <x:v>Assets/_Project/Editor/ProjectOrganization/RepresentativeRuntimeCatalogLinkRepair.cs</x:v>
      </x:c>
      <x:c r="L198" s="24" t="str">
        <x:v>CR-003</x:v>
      </x:c>
      <x:c r="M198" s="24" t="str"/>
      <x:c r="N198" s="24" t="str">
        <x:v>RES-001;RES-014</x:v>
      </x:c>
      <x:c r="O198" s="24" t="str">
        <x:v>Internal development; public candidate requires gate</x:v>
      </x:c>
      <x:c r="P198" s="24" t="str">
        <x:v>CONDITIONALLY APPROVED</x:v>
      </x:c>
      <x:c r="Q198" s="24" t="str">
        <x:v>Low</x:v>
      </x:c>
      <x:c r="R198" s="24" t="str"/>
      <x:c r="S198" s="24" t="str">
        <x:v>Sí</x:v>
      </x:c>
      <x:c r="T198" s="24" t="str">
        <x:f>"T"&amp;IF(AND(H198&lt;&gt;"",I198&lt;&gt;"",J198&lt;&gt;"",L198&lt;&gt;"",N198&lt;&gt;"",O198&lt;&gt;"",P198="APPROVED PUBLIC",S198="Sí"),6,IF(AND(H198&lt;&gt;"",I198&lt;&gt;"",J198&lt;&gt;"",L198&lt;&gt;"",N198&lt;&gt;"",O198&lt;&gt;"",P198&lt;&gt;"",S198="Sí"),5,IF(AND(H198&lt;&gt;"",I198&lt;&gt;"",P198&lt;&gt;"",S198&lt;&gt;"No"),4,IF(AND(H198&lt;&gt;"",I198&lt;&gt;""),3,IF(F198&lt;&gt;"",2,1)))))</x:f>
        <x:v>T5</x:v>
      </x:c>
      <x:c r="U198" s="24" t="str">
        <x:v>VRM Games</x:v>
      </x:c>
      <x:c r="V198" s="24" t="str">
        <x:v>No se detectó proveedor externo en la ruta; confirmar autoría por lote antes de release público.</x:v>
      </x:c>
    </x:row>
    <x:row r="199" ht="34" customHeight="1">
      <x:c r="A199" s="24" t="str">
        <x:v>TRC-00195</x:v>
      </x:c>
      <x:c r="B199" s="24" t="str">
        <x:v>07a194b787d98924fba5b0c2a9acfa54</x:v>
      </x:c>
      <x:c r="C199" s="24" t="str">
        <x:v>VRMGames.CartridgeAndCloud.Editor.ProjectOrganization.asmdef</x:v>
      </x:c>
      <x:c r="D199" s="24" t="str">
        <x:v>Assembly definition</x:v>
      </x:c>
      <x:c r="E199" s="24" t="str">
        <x:v>03_Assets_Internos</x:v>
      </x:c>
      <x:c r="F199" s="24" t="str">
        <x:v>INT-0195</x:v>
      </x:c>
      <x:c r="G199" s="24" t="str">
        <x:v>VRM Games / Blas Luis Rocha González</x:v>
      </x:c>
      <x:c r="H199" s="24" t="str">
        <x:v>Internal project IP / authorship claim</x:v>
      </x:c>
      <x:c r="I199" s="24" t="str">
        <x:v>Source package + repository path + hash</x:v>
      </x:c>
      <x:c r="J199" s="24" t="str">
        <x:v>62d8c89abcf75ef1a1f3c39063638e6270f05742ca33f0b2b3983afb60027712</x:v>
      </x:c>
      <x:c r="K199" s="24" t="str">
        <x:v>Assets/_Project/Editor/ProjectOrganization/VRMGames.CartridgeAndCloud.Editor.ProjectOrganization.asmdef</x:v>
      </x:c>
      <x:c r="L199" s="24" t="str">
        <x:v>CR-003</x:v>
      </x:c>
      <x:c r="M199" s="24" t="str"/>
      <x:c r="N199" s="24" t="str">
        <x:v>RES-001;RES-014</x:v>
      </x:c>
      <x:c r="O199" s="24" t="str">
        <x:v>Internal development; public candidate requires gate</x:v>
      </x:c>
      <x:c r="P199" s="24" t="str">
        <x:v>CONDITIONALLY APPROVED</x:v>
      </x:c>
      <x:c r="Q199" s="24" t="str">
        <x:v>Low</x:v>
      </x:c>
      <x:c r="R199" s="24" t="str"/>
      <x:c r="S199" s="24" t="str">
        <x:v>Sí</x:v>
      </x:c>
      <x:c r="T199" s="24" t="str">
        <x:f>"T"&amp;IF(AND(H199&lt;&gt;"",I199&lt;&gt;"",J199&lt;&gt;"",L199&lt;&gt;"",N199&lt;&gt;"",O199&lt;&gt;"",P199="APPROVED PUBLIC",S199="Sí"),6,IF(AND(H199&lt;&gt;"",I199&lt;&gt;"",J199&lt;&gt;"",L199&lt;&gt;"",N199&lt;&gt;"",O199&lt;&gt;"",P199&lt;&gt;"",S199="Sí"),5,IF(AND(H199&lt;&gt;"",I199&lt;&gt;"",P199&lt;&gt;"",S199&lt;&gt;"No"),4,IF(AND(H199&lt;&gt;"",I199&lt;&gt;""),3,IF(F199&lt;&gt;"",2,1)))))</x:f>
        <x:v>T5</x:v>
      </x:c>
      <x:c r="U199" s="24" t="str">
        <x:v>VRM Games</x:v>
      </x:c>
      <x:c r="V199" s="24" t="str">
        <x:v>No se detectó proveedor externo en la ruta; confirmar autoría por lote antes de release público.</x:v>
      </x:c>
    </x:row>
    <x:row r="200" ht="34" customHeight="1">
      <x:c r="A200" s="24" t="str">
        <x:v>TRC-00196</x:v>
      </x:c>
      <x:c r="B200" s="24" t="str">
        <x:v>90b142bd336e4f23b6125c399c26cb0f</x:v>
      </x:c>
      <x:c r="C200" s="24" t="str">
        <x:v>CCS32ClickToMoveInstaller.cs</x:v>
      </x:c>
      <x:c r="D200" s="24" t="str">
        <x:v>Code</x:v>
      </x:c>
      <x:c r="E200" s="24" t="str">
        <x:v>03_Assets_Internos</x:v>
      </x:c>
      <x:c r="F200" s="24" t="str">
        <x:v>INT-0196</x:v>
      </x:c>
      <x:c r="G200" s="24" t="str">
        <x:v>VRM Games / Blas Luis Rocha González</x:v>
      </x:c>
      <x:c r="H200" s="24" t="str">
        <x:v>Internal project IP / authorship claim</x:v>
      </x:c>
      <x:c r="I200" s="24" t="str">
        <x:v>Source package + repository path + hash</x:v>
      </x:c>
      <x:c r="J200" s="24" t="str">
        <x:v>8403a6c1b6e367ecffebc82f5ec0012c69fdb2b4819fb1addca405a19d67360e</x:v>
      </x:c>
      <x:c r="K200" s="24" t="str">
        <x:v>Assets/_Project/Editor/Sprint3/CCS32ClickToMoveInstaller.cs</x:v>
      </x:c>
      <x:c r="L200" s="24" t="str">
        <x:v>CR-003</x:v>
      </x:c>
      <x:c r="M200" s="24" t="str"/>
      <x:c r="N200" s="24" t="str">
        <x:v>RES-001;RES-014</x:v>
      </x:c>
      <x:c r="O200" s="24" t="str">
        <x:v>Internal development; public candidate requires gate</x:v>
      </x:c>
      <x:c r="P200" s="24" t="str">
        <x:v>CONDITIONALLY APPROVED</x:v>
      </x:c>
      <x:c r="Q200" s="24" t="str">
        <x:v>Low</x:v>
      </x:c>
      <x:c r="R200" s="24" t="str"/>
      <x:c r="S200" s="24" t="str">
        <x:v>Sí</x:v>
      </x:c>
      <x:c r="T200" s="24" t="str">
        <x:f>"T"&amp;IF(AND(H200&lt;&gt;"",I200&lt;&gt;"",J200&lt;&gt;"",L200&lt;&gt;"",N200&lt;&gt;"",O200&lt;&gt;"",P200="APPROVED PUBLIC",S200="Sí"),6,IF(AND(H200&lt;&gt;"",I200&lt;&gt;"",J200&lt;&gt;"",L200&lt;&gt;"",N200&lt;&gt;"",O200&lt;&gt;"",P200&lt;&gt;"",S200="Sí"),5,IF(AND(H200&lt;&gt;"",I200&lt;&gt;"",P200&lt;&gt;"",S200&lt;&gt;"No"),4,IF(AND(H200&lt;&gt;"",I200&lt;&gt;""),3,IF(F200&lt;&gt;"",2,1)))))</x:f>
        <x:v>T5</x:v>
      </x:c>
      <x:c r="U200" s="24" t="str">
        <x:v>VRM Games</x:v>
      </x:c>
      <x:c r="V200" s="24" t="str">
        <x:v>No se detectó proveedor externo en la ruta; confirmar autoría por lote antes de release público.</x:v>
      </x:c>
    </x:row>
    <x:row r="201" ht="34" customHeight="1">
      <x:c r="A201" s="24" t="str">
        <x:v>TRC-00197</x:v>
      </x:c>
      <x:c r="B201" s="24" t="str">
        <x:v>f3a73828fa4c494ba0896cd221a2fed1</x:v>
      </x:c>
      <x:c r="C201" s="24" t="str">
        <x:v>CCS33OrbitZoomCameraInstaller.cs</x:v>
      </x:c>
      <x:c r="D201" s="24" t="str">
        <x:v>Code</x:v>
      </x:c>
      <x:c r="E201" s="24" t="str">
        <x:v>03_Assets_Internos</x:v>
      </x:c>
      <x:c r="F201" s="24" t="str">
        <x:v>INT-0197</x:v>
      </x:c>
      <x:c r="G201" s="24" t="str">
        <x:v>VRM Games / Blas Luis Rocha González</x:v>
      </x:c>
      <x:c r="H201" s="24" t="str">
        <x:v>Internal project IP / authorship claim</x:v>
      </x:c>
      <x:c r="I201" s="24" t="str">
        <x:v>Source package + repository path + hash</x:v>
      </x:c>
      <x:c r="J201" s="24" t="str">
        <x:v>32266d2f45d78bce44304e96ed221ba7eb7920bcefc52b4c68ffa9f52ed5fd92</x:v>
      </x:c>
      <x:c r="K201" s="24" t="str">
        <x:v>Assets/_Project/Editor/Sprint3/CCS33OrbitZoomCameraInstaller.cs</x:v>
      </x:c>
      <x:c r="L201" s="24" t="str">
        <x:v>CR-003</x:v>
      </x:c>
      <x:c r="M201" s="24" t="str"/>
      <x:c r="N201" s="24" t="str">
        <x:v>RES-001;RES-014</x:v>
      </x:c>
      <x:c r="O201" s="24" t="str">
        <x:v>Internal development; public candidate requires gate</x:v>
      </x:c>
      <x:c r="P201" s="24" t="str">
        <x:v>CONDITIONALLY APPROVED</x:v>
      </x:c>
      <x:c r="Q201" s="24" t="str">
        <x:v>Low</x:v>
      </x:c>
      <x:c r="R201" s="24" t="str"/>
      <x:c r="S201" s="24" t="str">
        <x:v>Sí</x:v>
      </x:c>
      <x:c r="T201" s="24" t="str">
        <x:f>"T"&amp;IF(AND(H201&lt;&gt;"",I201&lt;&gt;"",J201&lt;&gt;"",L201&lt;&gt;"",N201&lt;&gt;"",O201&lt;&gt;"",P201="APPROVED PUBLIC",S201="Sí"),6,IF(AND(H201&lt;&gt;"",I201&lt;&gt;"",J201&lt;&gt;"",L201&lt;&gt;"",N201&lt;&gt;"",O201&lt;&gt;"",P201&lt;&gt;"",S201="Sí"),5,IF(AND(H201&lt;&gt;"",I201&lt;&gt;"",P201&lt;&gt;"",S201&lt;&gt;"No"),4,IF(AND(H201&lt;&gt;"",I201&lt;&gt;""),3,IF(F201&lt;&gt;"",2,1)))))</x:f>
        <x:v>T5</x:v>
      </x:c>
      <x:c r="U201" s="24" t="str">
        <x:v>VRM Games</x:v>
      </x:c>
      <x:c r="V201" s="24" t="str">
        <x:v>No se detectó proveedor externo en la ruta; confirmar autoría por lote antes de release público.</x:v>
      </x:c>
    </x:row>
    <x:row r="202" ht="34" customHeight="1">
      <x:c r="A202" s="24" t="str">
        <x:v>TRC-00198</x:v>
      </x:c>
      <x:c r="B202" s="24" t="str">
        <x:v>c6848fdcbc9041f594f35587b21ecc2d</x:v>
      </x:c>
      <x:c r="C202" s="24" t="str">
        <x:v>CCS34InputIntegrationClosureInstaller.cs</x:v>
      </x:c>
      <x:c r="D202" s="24" t="str">
        <x:v>Code</x:v>
      </x:c>
      <x:c r="E202" s="24" t="str">
        <x:v>03_Assets_Internos</x:v>
      </x:c>
      <x:c r="F202" s="24" t="str">
        <x:v>INT-0198</x:v>
      </x:c>
      <x:c r="G202" s="24" t="str">
        <x:v>VRM Games / Blas Luis Rocha González</x:v>
      </x:c>
      <x:c r="H202" s="24" t="str">
        <x:v>Internal project IP / authorship claim</x:v>
      </x:c>
      <x:c r="I202" s="24" t="str">
        <x:v>Source package + repository path + hash</x:v>
      </x:c>
      <x:c r="J202" s="24" t="str">
        <x:v>c679bd9d96274a76a65d9edcdfa1299d875ba115e53edc15e54f523ffbce70ea</x:v>
      </x:c>
      <x:c r="K202" s="24" t="str">
        <x:v>Assets/_Project/Editor/Sprint3/CCS34InputIntegrationClosureInstaller.cs</x:v>
      </x:c>
      <x:c r="L202" s="24" t="str">
        <x:v>CR-003</x:v>
      </x:c>
      <x:c r="M202" s="24" t="str"/>
      <x:c r="N202" s="24" t="str">
        <x:v>RES-001;RES-014</x:v>
      </x:c>
      <x:c r="O202" s="24" t="str">
        <x:v>Internal development; public candidate requires gate</x:v>
      </x:c>
      <x:c r="P202" s="24" t="str">
        <x:v>CONDITIONALLY APPROVED</x:v>
      </x:c>
      <x:c r="Q202" s="24" t="str">
        <x:v>Low</x:v>
      </x:c>
      <x:c r="R202" s="24" t="str"/>
      <x:c r="S202" s="24" t="str">
        <x:v>Sí</x:v>
      </x:c>
      <x:c r="T202" s="24" t="str">
        <x:f>"T"&amp;IF(AND(H202&lt;&gt;"",I202&lt;&gt;"",J202&lt;&gt;"",L202&lt;&gt;"",N202&lt;&gt;"",O202&lt;&gt;"",P202="APPROVED PUBLIC",S202="Sí"),6,IF(AND(H202&lt;&gt;"",I202&lt;&gt;"",J202&lt;&gt;"",L202&lt;&gt;"",N202&lt;&gt;"",O202&lt;&gt;"",P202&lt;&gt;"",S202="Sí"),5,IF(AND(H202&lt;&gt;"",I202&lt;&gt;"",P202&lt;&gt;"",S202&lt;&gt;"No"),4,IF(AND(H202&lt;&gt;"",I202&lt;&gt;""),3,IF(F202&lt;&gt;"",2,1)))))</x:f>
        <x:v>T5</x:v>
      </x:c>
      <x:c r="U202" s="24" t="str">
        <x:v>VRM Games</x:v>
      </x:c>
      <x:c r="V202" s="24" t="str">
        <x:v>No se detectó proveedor externo en la ruta; confirmar autoría por lote antes de release público.</x:v>
      </x:c>
    </x:row>
    <x:row r="203" ht="34" customHeight="1">
      <x:c r="A203" s="24" t="str">
        <x:v>TRC-00199</x:v>
      </x:c>
      <x:c r="B203" s="24" t="str">
        <x:v>fd263da809f24b5186001d4ad29bbbff</x:v>
      </x:c>
      <x:c r="C203" s="24" t="str">
        <x:v>CCS42PlacementPreviewInstaller.cs</x:v>
      </x:c>
      <x:c r="D203" s="24" t="str">
        <x:v>Code</x:v>
      </x:c>
      <x:c r="E203" s="24" t="str">
        <x:v>03_Assets_Internos</x:v>
      </x:c>
      <x:c r="F203" s="24" t="str">
        <x:v>INT-0199</x:v>
      </x:c>
      <x:c r="G203" s="24" t="str">
        <x:v>VRM Games / Blas Luis Rocha González</x:v>
      </x:c>
      <x:c r="H203" s="24" t="str">
        <x:v>Internal project IP / authorship claim</x:v>
      </x:c>
      <x:c r="I203" s="24" t="str">
        <x:v>Source package + repository path + hash</x:v>
      </x:c>
      <x:c r="J203" s="24" t="str">
        <x:v>d1e7773c26355b3edb34f0fad94e9e48e1e0cabbff53973802ddefe7cae004a3</x:v>
      </x:c>
      <x:c r="K203" s="24" t="str">
        <x:v>Assets/_Project/Editor/Sprint4/CCS42PlacementPreviewInstaller.cs</x:v>
      </x:c>
      <x:c r="L203" s="24" t="str">
        <x:v>CR-003</x:v>
      </x:c>
      <x:c r="M203" s="24" t="str"/>
      <x:c r="N203" s="24" t="str">
        <x:v>RES-001;RES-014</x:v>
      </x:c>
      <x:c r="O203" s="24" t="str">
        <x:v>Internal development; public candidate requires gate</x:v>
      </x:c>
      <x:c r="P203" s="24" t="str">
        <x:v>CONDITIONALLY APPROVED</x:v>
      </x:c>
      <x:c r="Q203" s="24" t="str">
        <x:v>Low</x:v>
      </x:c>
      <x:c r="R203" s="24" t="str"/>
      <x:c r="S203" s="24" t="str">
        <x:v>Sí</x:v>
      </x:c>
      <x:c r="T203" s="24" t="str">
        <x:f>"T"&amp;IF(AND(H203&lt;&gt;"",I203&lt;&gt;"",J203&lt;&gt;"",L203&lt;&gt;"",N203&lt;&gt;"",O203&lt;&gt;"",P203="APPROVED PUBLIC",S203="Sí"),6,IF(AND(H203&lt;&gt;"",I203&lt;&gt;"",J203&lt;&gt;"",L203&lt;&gt;"",N203&lt;&gt;"",O203&lt;&gt;"",P203&lt;&gt;"",S203="Sí"),5,IF(AND(H203&lt;&gt;"",I203&lt;&gt;"",P203&lt;&gt;"",S203&lt;&gt;"No"),4,IF(AND(H203&lt;&gt;"",I203&lt;&gt;""),3,IF(F203&lt;&gt;"",2,1)))))</x:f>
        <x:v>T5</x:v>
      </x:c>
      <x:c r="U203" s="24" t="str">
        <x:v>VRM Games</x:v>
      </x:c>
      <x:c r="V203" s="24" t="str">
        <x:v>No se detectó proveedor externo en la ruta; confirmar autoría por lote antes de release público.</x:v>
      </x:c>
    </x:row>
    <x:row r="204" ht="34" customHeight="1">
      <x:c r="A204" s="24" t="str">
        <x:v>TRC-00200</x:v>
      </x:c>
      <x:c r="B204" s="24" t="str">
        <x:v>a07e068906ab4dbda9140c201c45a5d9</x:v>
      </x:c>
      <x:c r="C204" s="24" t="str">
        <x:v>CCS43OccupancyInstaller.cs</x:v>
      </x:c>
      <x:c r="D204" s="24" t="str">
        <x:v>Code</x:v>
      </x:c>
      <x:c r="E204" s="24" t="str">
        <x:v>03_Assets_Internos</x:v>
      </x:c>
      <x:c r="F204" s="24" t="str">
        <x:v>INT-0200</x:v>
      </x:c>
      <x:c r="G204" s="24" t="str">
        <x:v>VRM Games / Blas Luis Rocha González</x:v>
      </x:c>
      <x:c r="H204" s="24" t="str">
        <x:v>Internal project IP / authorship claim</x:v>
      </x:c>
      <x:c r="I204" s="24" t="str">
        <x:v>Source package + repository path + hash</x:v>
      </x:c>
      <x:c r="J204" s="24" t="str">
        <x:v>798214ea047cb3555d3e37b4a1c19be305dcf9af3d44fa400303ec7e1db817a3</x:v>
      </x:c>
      <x:c r="K204" s="24" t="str">
        <x:v>Assets/_Project/Editor/Sprint4/CCS43OccupancyInstaller.cs</x:v>
      </x:c>
      <x:c r="L204" s="24" t="str">
        <x:v>CR-003</x:v>
      </x:c>
      <x:c r="M204" s="24" t="str"/>
      <x:c r="N204" s="24" t="str">
        <x:v>RES-001;RES-014</x:v>
      </x:c>
      <x:c r="O204" s="24" t="str">
        <x:v>Internal development; public candidate requires gate</x:v>
      </x:c>
      <x:c r="P204" s="24" t="str">
        <x:v>CONDITIONALLY APPROVED</x:v>
      </x:c>
      <x:c r="Q204" s="24" t="str">
        <x:v>Low</x:v>
      </x:c>
      <x:c r="R204" s="24" t="str"/>
      <x:c r="S204" s="24" t="str">
        <x:v>Sí</x:v>
      </x:c>
      <x:c r="T204" s="24" t="str">
        <x:f>"T"&amp;IF(AND(H204&lt;&gt;"",I204&lt;&gt;"",J204&lt;&gt;"",L204&lt;&gt;"",N204&lt;&gt;"",O204&lt;&gt;"",P204="APPROVED PUBLIC",S204="Sí"),6,IF(AND(H204&lt;&gt;"",I204&lt;&gt;"",J204&lt;&gt;"",L204&lt;&gt;"",N204&lt;&gt;"",O204&lt;&gt;"",P204&lt;&gt;"",S204="Sí"),5,IF(AND(H204&lt;&gt;"",I204&lt;&gt;"",P204&lt;&gt;"",S204&lt;&gt;"No"),4,IF(AND(H204&lt;&gt;"",I204&lt;&gt;""),3,IF(F204&lt;&gt;"",2,1)))))</x:f>
        <x:v>T5</x:v>
      </x:c>
      <x:c r="U204" s="24" t="str">
        <x:v>VRM Games</x:v>
      </x:c>
      <x:c r="V204" s="24" t="str">
        <x:v>No se detectó proveedor externo en la ruta; confirmar autoría por lote antes de release público.</x:v>
      </x:c>
    </x:row>
    <x:row r="205" ht="34" customHeight="1">
      <x:c r="A205" s="24" t="str">
        <x:v>TRC-00201</x:v>
      </x:c>
      <x:c r="B205" s="24" t="str">
        <x:v>ba91541a2e404f30bc7a859596353edd</x:v>
      </x:c>
      <x:c r="C205" s="24" t="str">
        <x:v>CCS44PlacementFoundationClosureInstaller.cs</x:v>
      </x:c>
      <x:c r="D205" s="24" t="str">
        <x:v>Code</x:v>
      </x:c>
      <x:c r="E205" s="24" t="str">
        <x:v>03_Assets_Internos</x:v>
      </x:c>
      <x:c r="F205" s="24" t="str">
        <x:v>INT-0201</x:v>
      </x:c>
      <x:c r="G205" s="24" t="str">
        <x:v>VRM Games / Blas Luis Rocha González</x:v>
      </x:c>
      <x:c r="H205" s="24" t="str">
        <x:v>Internal project IP / authorship claim</x:v>
      </x:c>
      <x:c r="I205" s="24" t="str">
        <x:v>Source package + repository path + hash</x:v>
      </x:c>
      <x:c r="J205" s="24" t="str">
        <x:v>0908322eda520edfa4833ea2a1edf5e1c3758cc27434eaef2b7dc58831c65acd</x:v>
      </x:c>
      <x:c r="K205" s="24" t="str">
        <x:v>Assets/_Project/Editor/Sprint4/CCS44PlacementFoundationClosureInstaller.cs</x:v>
      </x:c>
      <x:c r="L205" s="24" t="str">
        <x:v>CR-003</x:v>
      </x:c>
      <x:c r="M205" s="24" t="str"/>
      <x:c r="N205" s="24" t="str">
        <x:v>RES-001;RES-014</x:v>
      </x:c>
      <x:c r="O205" s="24" t="str">
        <x:v>Internal development; public candidate requires gate</x:v>
      </x:c>
      <x:c r="P205" s="24" t="str">
        <x:v>CONDITIONALLY APPROVED</x:v>
      </x:c>
      <x:c r="Q205" s="24" t="str">
        <x:v>Low</x:v>
      </x:c>
      <x:c r="R205" s="24" t="str"/>
      <x:c r="S205" s="24" t="str">
        <x:v>Sí</x:v>
      </x:c>
      <x:c r="T205" s="24" t="str">
        <x:f>"T"&amp;IF(AND(H205&lt;&gt;"",I205&lt;&gt;"",J205&lt;&gt;"",L205&lt;&gt;"",N205&lt;&gt;"",O205&lt;&gt;"",P205="APPROVED PUBLIC",S205="Sí"),6,IF(AND(H205&lt;&gt;"",I205&lt;&gt;"",J205&lt;&gt;"",L205&lt;&gt;"",N205&lt;&gt;"",O205&lt;&gt;"",P205&lt;&gt;"",S205="Sí"),5,IF(AND(H205&lt;&gt;"",I205&lt;&gt;"",P205&lt;&gt;"",S205&lt;&gt;"No"),4,IF(AND(H205&lt;&gt;"",I205&lt;&gt;""),3,IF(F205&lt;&gt;"",2,1)))))</x:f>
        <x:v>T5</x:v>
      </x:c>
      <x:c r="U205" s="24" t="str">
        <x:v>VRM Games</x:v>
      </x:c>
      <x:c r="V205" s="24" t="str">
        <x:v>No se detectó proveedor externo en la ruta; confirmar autoría por lote antes de release público.</x:v>
      </x:c>
    </x:row>
    <x:row r="206" ht="34" customHeight="1">
      <x:c r="A206" s="24" t="str">
        <x:v>TRC-00202</x:v>
      </x:c>
      <x:c r="B206" s="24" t="str">
        <x:v>726a0f4d152745c4bc5eabb76f6bd040</x:v>
      </x:c>
      <x:c r="C206" s="24" t="str">
        <x:v>CCS51StoreShellInstaller.cs</x:v>
      </x:c>
      <x:c r="D206" s="24" t="str">
        <x:v>Code</x:v>
      </x:c>
      <x:c r="E206" s="24" t="str">
        <x:v>03_Assets_Internos</x:v>
      </x:c>
      <x:c r="F206" s="24" t="str">
        <x:v>INT-0202</x:v>
      </x:c>
      <x:c r="G206" s="24" t="str">
        <x:v>VRM Games / Blas Luis Rocha González</x:v>
      </x:c>
      <x:c r="H206" s="24" t="str">
        <x:v>Internal project IP / authorship claim</x:v>
      </x:c>
      <x:c r="I206" s="24" t="str">
        <x:v>Source package + repository path + hash</x:v>
      </x:c>
      <x:c r="J206" s="24" t="str">
        <x:v>025c832c93548daa64acf74fff725be80f94d2ceea30c34e8adcc1678b8a8547</x:v>
      </x:c>
      <x:c r="K206" s="24" t="str">
        <x:v>Assets/_Project/Editor/Sprint5/CCS51StoreShellInstaller.cs</x:v>
      </x:c>
      <x:c r="L206" s="24" t="str">
        <x:v>CR-003</x:v>
      </x:c>
      <x:c r="M206" s="24" t="str"/>
      <x:c r="N206" s="24" t="str">
        <x:v>RES-001;RES-014</x:v>
      </x:c>
      <x:c r="O206" s="24" t="str">
        <x:v>Internal development; public candidate requires gate</x:v>
      </x:c>
      <x:c r="P206" s="24" t="str">
        <x:v>CONDITIONALLY APPROVED</x:v>
      </x:c>
      <x:c r="Q206" s="24" t="str">
        <x:v>Low</x:v>
      </x:c>
      <x:c r="R206" s="24" t="str"/>
      <x:c r="S206" s="24" t="str">
        <x:v>Sí</x:v>
      </x:c>
      <x:c r="T206" s="24" t="str">
        <x:f>"T"&amp;IF(AND(H206&lt;&gt;"",I206&lt;&gt;"",J206&lt;&gt;"",L206&lt;&gt;"",N206&lt;&gt;"",O206&lt;&gt;"",P206="APPROVED PUBLIC",S206="Sí"),6,IF(AND(H206&lt;&gt;"",I206&lt;&gt;"",J206&lt;&gt;"",L206&lt;&gt;"",N206&lt;&gt;"",O206&lt;&gt;"",P206&lt;&gt;"",S206="Sí"),5,IF(AND(H206&lt;&gt;"",I206&lt;&gt;"",P206&lt;&gt;"",S206&lt;&gt;"No"),4,IF(AND(H206&lt;&gt;"",I206&lt;&gt;""),3,IF(F206&lt;&gt;"",2,1)))))</x:f>
        <x:v>T5</x:v>
      </x:c>
      <x:c r="U206" s="24" t="str">
        <x:v>VRM Games</x:v>
      </x:c>
      <x:c r="V206" s="24" t="str">
        <x:v>No se detectó proveedor externo en la ruta; confirmar autoría por lote antes de release público.</x:v>
      </x:c>
    </x:row>
    <x:row r="207" ht="34" customHeight="1">
      <x:c r="A207" s="24" t="str">
        <x:v>TRC-00203</x:v>
      </x:c>
      <x:c r="B207" s="24" t="str">
        <x:v>f8acdea1d0714d568353a2b740bf45e6</x:v>
      </x:c>
      <x:c r="C207" s="24" t="str">
        <x:v>CCS53StorePlacementIntegrationInstaller.cs</x:v>
      </x:c>
      <x:c r="D207" s="24" t="str">
        <x:v>Code</x:v>
      </x:c>
      <x:c r="E207" s="24" t="str">
        <x:v>03_Assets_Internos</x:v>
      </x:c>
      <x:c r="F207" s="24" t="str">
        <x:v>INT-0203</x:v>
      </x:c>
      <x:c r="G207" s="24" t="str">
        <x:v>VRM Games / Blas Luis Rocha González</x:v>
      </x:c>
      <x:c r="H207" s="24" t="str">
        <x:v>Internal project IP / authorship claim</x:v>
      </x:c>
      <x:c r="I207" s="24" t="str">
        <x:v>Source package + repository path + hash</x:v>
      </x:c>
      <x:c r="J207" s="24" t="str">
        <x:v>59bf689d5d87525bb9e788629e86e60487ce4e825a930b47ad9c9692a8d5daaf</x:v>
      </x:c>
      <x:c r="K207" s="24" t="str">
        <x:v>Assets/_Project/Editor/Sprint5/CCS53StorePlacementIntegrationInstaller.cs</x:v>
      </x:c>
      <x:c r="L207" s="24" t="str">
        <x:v>CR-003</x:v>
      </x:c>
      <x:c r="M207" s="24" t="str"/>
      <x:c r="N207" s="24" t="str">
        <x:v>RES-001;RES-014</x:v>
      </x:c>
      <x:c r="O207" s="24" t="str">
        <x:v>Internal development; public candidate requires gate</x:v>
      </x:c>
      <x:c r="P207" s="24" t="str">
        <x:v>CONDITIONALLY APPROVED</x:v>
      </x:c>
      <x:c r="Q207" s="24" t="str">
        <x:v>Low</x:v>
      </x:c>
      <x:c r="R207" s="24" t="str"/>
      <x:c r="S207" s="24" t="str">
        <x:v>Sí</x:v>
      </x:c>
      <x:c r="T207" s="24" t="str">
        <x:f>"T"&amp;IF(AND(H207&lt;&gt;"",I207&lt;&gt;"",J207&lt;&gt;"",L207&lt;&gt;"",N207&lt;&gt;"",O207&lt;&gt;"",P207="APPROVED PUBLIC",S207="Sí"),6,IF(AND(H207&lt;&gt;"",I207&lt;&gt;"",J207&lt;&gt;"",L207&lt;&gt;"",N207&lt;&gt;"",O207&lt;&gt;"",P207&lt;&gt;"",S207="Sí"),5,IF(AND(H207&lt;&gt;"",I207&lt;&gt;"",P207&lt;&gt;"",S207&lt;&gt;"No"),4,IF(AND(H207&lt;&gt;"",I207&lt;&gt;""),3,IF(F207&lt;&gt;"",2,1)))))</x:f>
        <x:v>T5</x:v>
      </x:c>
      <x:c r="U207" s="24" t="str">
        <x:v>VRM Games</x:v>
      </x:c>
      <x:c r="V207" s="24" t="str">
        <x:v>No se detectó proveedor externo en la ruta; confirmar autoría por lote antes de release público.</x:v>
      </x:c>
    </x:row>
    <x:row r="208" ht="34" customHeight="1">
      <x:c r="A208" s="24" t="str">
        <x:v>TRC-00204</x:v>
      </x:c>
      <x:c r="B208" s="24" t="str">
        <x:v>69c11610affc4b07a6f0d81453cfdab3</x:v>
      </x:c>
      <x:c r="C208" s="24" t="str">
        <x:v>CCS54StoreFoundationClosureInstaller.cs</x:v>
      </x:c>
      <x:c r="D208" s="24" t="str">
        <x:v>Code</x:v>
      </x:c>
      <x:c r="E208" s="24" t="str">
        <x:v>03_Assets_Internos</x:v>
      </x:c>
      <x:c r="F208" s="24" t="str">
        <x:v>INT-0204</x:v>
      </x:c>
      <x:c r="G208" s="24" t="str">
        <x:v>VRM Games / Blas Luis Rocha González</x:v>
      </x:c>
      <x:c r="H208" s="24" t="str">
        <x:v>Internal project IP / authorship claim</x:v>
      </x:c>
      <x:c r="I208" s="24" t="str">
        <x:v>Source package + repository path + hash</x:v>
      </x:c>
      <x:c r="J208" s="24" t="str">
        <x:v>7517b54aafd0d9e248871a582a7145ec8b724670f0594b3970d85ae59a4dfdf8</x:v>
      </x:c>
      <x:c r="K208" s="24" t="str">
        <x:v>Assets/_Project/Editor/Sprint5/CCS54StoreFoundationClosureInstaller.cs</x:v>
      </x:c>
      <x:c r="L208" s="24" t="str">
        <x:v>CR-003</x:v>
      </x:c>
      <x:c r="M208" s="24" t="str"/>
      <x:c r="N208" s="24" t="str">
        <x:v>RES-001;RES-014</x:v>
      </x:c>
      <x:c r="O208" s="24" t="str">
        <x:v>Internal development; public candidate requires gate</x:v>
      </x:c>
      <x:c r="P208" s="24" t="str">
        <x:v>CONDITIONALLY APPROVED</x:v>
      </x:c>
      <x:c r="Q208" s="24" t="str">
        <x:v>Low</x:v>
      </x:c>
      <x:c r="R208" s="24" t="str"/>
      <x:c r="S208" s="24" t="str">
        <x:v>Sí</x:v>
      </x:c>
      <x:c r="T208" s="24" t="str">
        <x:f>"T"&amp;IF(AND(H208&lt;&gt;"",I208&lt;&gt;"",J208&lt;&gt;"",L208&lt;&gt;"",N208&lt;&gt;"",O208&lt;&gt;"",P208="APPROVED PUBLIC",S208="Sí"),6,IF(AND(H208&lt;&gt;"",I208&lt;&gt;"",J208&lt;&gt;"",L208&lt;&gt;"",N208&lt;&gt;"",O208&lt;&gt;"",P208&lt;&gt;"",S208="Sí"),5,IF(AND(H208&lt;&gt;"",I208&lt;&gt;"",P208&lt;&gt;"",S208&lt;&gt;"No"),4,IF(AND(H208&lt;&gt;"",I208&lt;&gt;""),3,IF(F208&lt;&gt;"",2,1)))))</x:f>
        <x:v>T5</x:v>
      </x:c>
      <x:c r="U208" s="24" t="str">
        <x:v>VRM Games</x:v>
      </x:c>
      <x:c r="V208" s="24" t="str">
        <x:v>No se detectó proveedor externo en la ruta; confirmar autoría por lote antes de release público.</x:v>
      </x:c>
    </x:row>
    <x:row r="209" ht="34" customHeight="1">
      <x:c r="A209" s="24" t="str">
        <x:v>TRC-00205</x:v>
      </x:c>
      <x:c r="B209" s="24" t="str">
        <x:v>2dd796f879834e1f809c3da86d2649b8</x:v>
      </x:c>
      <x:c r="C209" s="24" t="str">
        <x:v>VRMGames.CartridgeAndCloud.Editor.asmdef</x:v>
      </x:c>
      <x:c r="D209" s="24" t="str">
        <x:v>Assembly definition</x:v>
      </x:c>
      <x:c r="E209" s="24" t="str">
        <x:v>03_Assets_Internos</x:v>
      </x:c>
      <x:c r="F209" s="24" t="str">
        <x:v>INT-0205</x:v>
      </x:c>
      <x:c r="G209" s="24" t="str">
        <x:v>VRM Games / Blas Luis Rocha González</x:v>
      </x:c>
      <x:c r="H209" s="24" t="str">
        <x:v>Internal project IP / authorship claim</x:v>
      </x:c>
      <x:c r="I209" s="24" t="str">
        <x:v>Source package + repository path + hash</x:v>
      </x:c>
      <x:c r="J209" s="24" t="str">
        <x:v>d1e1e0e1050471037b4cce3e67929da38b7cf83737d4b892c7f371ab1bffc281</x:v>
      </x:c>
      <x:c r="K209" s="24" t="str">
        <x:v>Assets/_Project/Editor/VRMGames.CartridgeAndCloud.Editor.asmdef</x:v>
      </x:c>
      <x:c r="L209" s="24" t="str">
        <x:v>CR-003</x:v>
      </x:c>
      <x:c r="M209" s="24" t="str"/>
      <x:c r="N209" s="24" t="str">
        <x:v>RES-001;RES-014</x:v>
      </x:c>
      <x:c r="O209" s="24" t="str">
        <x:v>Internal development; public candidate requires gate</x:v>
      </x:c>
      <x:c r="P209" s="24" t="str">
        <x:v>CONDITIONALLY APPROVED</x:v>
      </x:c>
      <x:c r="Q209" s="24" t="str">
        <x:v>Low</x:v>
      </x:c>
      <x:c r="R209" s="24" t="str"/>
      <x:c r="S209" s="24" t="str">
        <x:v>Sí</x:v>
      </x:c>
      <x:c r="T209" s="24" t="str">
        <x:f>"T"&amp;IF(AND(H209&lt;&gt;"",I209&lt;&gt;"",J209&lt;&gt;"",L209&lt;&gt;"",N209&lt;&gt;"",O209&lt;&gt;"",P209="APPROVED PUBLIC",S209="Sí"),6,IF(AND(H209&lt;&gt;"",I209&lt;&gt;"",J209&lt;&gt;"",L209&lt;&gt;"",N209&lt;&gt;"",O209&lt;&gt;"",P209&lt;&gt;"",S209="Sí"),5,IF(AND(H209&lt;&gt;"",I209&lt;&gt;"",P209&lt;&gt;"",S209&lt;&gt;"No"),4,IF(AND(H209&lt;&gt;"",I209&lt;&gt;""),3,IF(F209&lt;&gt;"",2,1)))))</x:f>
        <x:v>T5</x:v>
      </x:c>
      <x:c r="U209" s="24" t="str">
        <x:v>VRM Games</x:v>
      </x:c>
      <x:c r="V209" s="24" t="str">
        <x:v>No se detectó proveedor externo en la ruta; confirmar autoría por lote antes de release público.</x:v>
      </x:c>
    </x:row>
    <x:row r="210" ht="34" customHeight="1">
      <x:c r="A210" s="24" t="str">
        <x:v>TRC-00206</x:v>
      </x:c>
      <x:c r="B210" s="24" t="str">
        <x:v>902fae9f30573af4fb83f30c0eb15af6</x:v>
      </x:c>
      <x:c r="C210" s="24" t="str">
        <x:v>AutomaticDoor.prefab</x:v>
      </x:c>
      <x:c r="D210" s="24" t="str">
        <x:v>Prefab</x:v>
      </x:c>
      <x:c r="E210" s="24" t="str">
        <x:v>03_Assets_Internos</x:v>
      </x:c>
      <x:c r="F210" s="24" t="str">
        <x:v>INT-0206</x:v>
      </x:c>
      <x:c r="G210" s="24" t="str">
        <x:v>VRM Games / Blas Luis Rocha González</x:v>
      </x:c>
      <x:c r="H210" s="24" t="str">
        <x:v>Internal project IP / authorship claim</x:v>
      </x:c>
      <x:c r="I210" s="24" t="str">
        <x:v>Source package + repository path + hash</x:v>
      </x:c>
      <x:c r="J210" s="24" t="str">
        <x:v>fbc5a6f269b85869b27b7ea5eca3344bca9444f5159c520abe48fa12a0815a70</x:v>
      </x:c>
      <x:c r="K210" s="24" t="str">
        <x:v>Assets/_Project/Prefabs/Architecture/AutomaticDoor.prefab</x:v>
      </x:c>
      <x:c r="L210" s="24" t="str">
        <x:v>CR-004</x:v>
      </x:c>
      <x:c r="M210" s="24" t="str"/>
      <x:c r="N210" s="24" t="str">
        <x:v>RES-001;RES-014</x:v>
      </x:c>
      <x:c r="O210" s="24" t="str">
        <x:v>Internal development; public candidate requires gate</x:v>
      </x:c>
      <x:c r="P210" s="24" t="str">
        <x:v>CONDITIONALLY APPROVED</x:v>
      </x:c>
      <x:c r="Q210" s="24" t="str">
        <x:v>Low</x:v>
      </x:c>
      <x:c r="R210" s="24" t="str"/>
      <x:c r="S210" s="24" t="str">
        <x:v>Parcial</x:v>
      </x:c>
      <x:c r="T210" s="24" t="str">
        <x:f>"T"&amp;IF(AND(H210&lt;&gt;"",I210&lt;&gt;"",J210&lt;&gt;"",L210&lt;&gt;"",N210&lt;&gt;"",O210&lt;&gt;"",P210="APPROVED PUBLIC",S210="Sí"),6,IF(AND(H210&lt;&gt;"",I210&lt;&gt;"",J210&lt;&gt;"",L210&lt;&gt;"",N210&lt;&gt;"",O210&lt;&gt;"",P210&lt;&gt;"",S210="Sí"),5,IF(AND(H210&lt;&gt;"",I210&lt;&gt;"",P210&lt;&gt;"",S210&lt;&gt;"No"),4,IF(AND(H210&lt;&gt;"",I210&lt;&gt;""),3,IF(F210&lt;&gt;"",2,1)))))</x:f>
        <x:v>T4</x:v>
      </x:c>
      <x:c r="U210" s="24" t="str">
        <x:v>VRM Games</x:v>
      </x:c>
      <x:c r="V210" s="24" t="str">
        <x:v>No se detectó proveedor externo en la ruta; confirmar autoría por lote antes de release público.</x:v>
      </x:c>
    </x:row>
    <x:row r="211" ht="34" customHeight="1">
      <x:c r="A211" s="24" t="str">
        <x:v>TRC-00207</x:v>
      </x:c>
      <x:c r="B211" s="24" t="str">
        <x:v>6afaabca3fc84ce43bce0d5a571f2141</x:v>
      </x:c>
      <x:c r="C211" s="24" t="str">
        <x:v>BackroomPartition.prefab</x:v>
      </x:c>
      <x:c r="D211" s="24" t="str">
        <x:v>Prefab</x:v>
      </x:c>
      <x:c r="E211" s="24" t="str">
        <x:v>03_Assets_Internos</x:v>
      </x:c>
      <x:c r="F211" s="24" t="str">
        <x:v>INT-0207</x:v>
      </x:c>
      <x:c r="G211" s="24" t="str">
        <x:v>VRM Games / Blas Luis Rocha González</x:v>
      </x:c>
      <x:c r="H211" s="24" t="str">
        <x:v>Internal project IP / authorship claim</x:v>
      </x:c>
      <x:c r="I211" s="24" t="str">
        <x:v>Source package + repository path + hash</x:v>
      </x:c>
      <x:c r="J211" s="24" t="str">
        <x:v>661ce30657172de3591e5eb7e2b5587861fc16fc1e7bd98a979640b956842f1d</x:v>
      </x:c>
      <x:c r="K211" s="24" t="str">
        <x:v>Assets/_Project/Prefabs/Architecture/BackroomPartition.prefab</x:v>
      </x:c>
      <x:c r="L211" s="24" t="str">
        <x:v>CR-004</x:v>
      </x:c>
      <x:c r="M211" s="24" t="str"/>
      <x:c r="N211" s="24" t="str">
        <x:v>RES-001;RES-014</x:v>
      </x:c>
      <x:c r="O211" s="24" t="str">
        <x:v>Internal development; public candidate requires gate</x:v>
      </x:c>
      <x:c r="P211" s="24" t="str">
        <x:v>CONDITIONALLY APPROVED</x:v>
      </x:c>
      <x:c r="Q211" s="24" t="str">
        <x:v>Low</x:v>
      </x:c>
      <x:c r="R211" s="24" t="str"/>
      <x:c r="S211" s="24" t="str">
        <x:v>Parcial</x:v>
      </x:c>
      <x:c r="T211" s="24" t="str">
        <x:f>"T"&amp;IF(AND(H211&lt;&gt;"",I211&lt;&gt;"",J211&lt;&gt;"",L211&lt;&gt;"",N211&lt;&gt;"",O211&lt;&gt;"",P211="APPROVED PUBLIC",S211="Sí"),6,IF(AND(H211&lt;&gt;"",I211&lt;&gt;"",J211&lt;&gt;"",L211&lt;&gt;"",N211&lt;&gt;"",O211&lt;&gt;"",P211&lt;&gt;"",S211="Sí"),5,IF(AND(H211&lt;&gt;"",I211&lt;&gt;"",P211&lt;&gt;"",S211&lt;&gt;"No"),4,IF(AND(H211&lt;&gt;"",I211&lt;&gt;""),3,IF(F211&lt;&gt;"",2,1)))))</x:f>
        <x:v>T4</x:v>
      </x:c>
      <x:c r="U211" s="24" t="str">
        <x:v>VRM Games</x:v>
      </x:c>
      <x:c r="V211" s="24" t="str">
        <x:v>No se detectó proveedor externo en la ruta; confirmar autoría por lote antes de release público.</x:v>
      </x:c>
    </x:row>
    <x:row r="212" ht="34" customHeight="1">
      <x:c r="A212" s="24" t="str">
        <x:v>TRC-00208</x:v>
      </x:c>
      <x:c r="B212" s="24" t="str">
        <x:v>8326de81cbe6b6c488aff3e01eab441a</x:v>
      </x:c>
      <x:c r="C212" s="24" t="str">
        <x:v>CornerInner.prefab</x:v>
      </x:c>
      <x:c r="D212" s="24" t="str">
        <x:v>Prefab</x:v>
      </x:c>
      <x:c r="E212" s="24" t="str">
        <x:v>03_Assets_Internos</x:v>
      </x:c>
      <x:c r="F212" s="24" t="str">
        <x:v>INT-0208</x:v>
      </x:c>
      <x:c r="G212" s="24" t="str">
        <x:v>VRM Games / Blas Luis Rocha González</x:v>
      </x:c>
      <x:c r="H212" s="24" t="str">
        <x:v>Internal project IP / authorship claim</x:v>
      </x:c>
      <x:c r="I212" s="24" t="str">
        <x:v>Source package + repository path + hash</x:v>
      </x:c>
      <x:c r="J212" s="24" t="str">
        <x:v>6d929483bd8918b6f9a99f80a6b698f4b898fdf3ec67f32968ff761e2693eff9</x:v>
      </x:c>
      <x:c r="K212" s="24" t="str">
        <x:v>Assets/_Project/Prefabs/Architecture/CornerInner.prefab</x:v>
      </x:c>
      <x:c r="L212" s="24" t="str">
        <x:v>CR-004</x:v>
      </x:c>
      <x:c r="M212" s="24" t="str"/>
      <x:c r="N212" s="24" t="str">
        <x:v>RES-001;RES-014</x:v>
      </x:c>
      <x:c r="O212" s="24" t="str">
        <x:v>Internal development; public candidate requires gate</x:v>
      </x:c>
      <x:c r="P212" s="24" t="str">
        <x:v>CONDITIONALLY APPROVED</x:v>
      </x:c>
      <x:c r="Q212" s="24" t="str">
        <x:v>Low</x:v>
      </x:c>
      <x:c r="R212" s="24" t="str"/>
      <x:c r="S212" s="24" t="str">
        <x:v>Parcial</x:v>
      </x:c>
      <x:c r="T212" s="24" t="str">
        <x:f>"T"&amp;IF(AND(H212&lt;&gt;"",I212&lt;&gt;"",J212&lt;&gt;"",L212&lt;&gt;"",N212&lt;&gt;"",O212&lt;&gt;"",P212="APPROVED PUBLIC",S212="Sí"),6,IF(AND(H212&lt;&gt;"",I212&lt;&gt;"",J212&lt;&gt;"",L212&lt;&gt;"",N212&lt;&gt;"",O212&lt;&gt;"",P212&lt;&gt;"",S212="Sí"),5,IF(AND(H212&lt;&gt;"",I212&lt;&gt;"",P212&lt;&gt;"",S212&lt;&gt;"No"),4,IF(AND(H212&lt;&gt;"",I212&lt;&gt;""),3,IF(F212&lt;&gt;"",2,1)))))</x:f>
        <x:v>T4</x:v>
      </x:c>
      <x:c r="U212" s="24" t="str">
        <x:v>VRM Games</x:v>
      </x:c>
      <x:c r="V212" s="24" t="str">
        <x:v>No se detectó proveedor externo en la ruta; confirmar autoría por lote antes de release público.</x:v>
      </x:c>
    </x:row>
    <x:row r="213" ht="34" customHeight="1">
      <x:c r="A213" s="24" t="str">
        <x:v>TRC-00209</x:v>
      </x:c>
      <x:c r="B213" s="24" t="str">
        <x:v>86630f8bb9a3dd44eadcc3cb99d1c653</x:v>
      </x:c>
      <x:c r="C213" s="24" t="str">
        <x:v>CornerOuter.prefab</x:v>
      </x:c>
      <x:c r="D213" s="24" t="str">
        <x:v>Prefab</x:v>
      </x:c>
      <x:c r="E213" s="24" t="str">
        <x:v>03_Assets_Internos</x:v>
      </x:c>
      <x:c r="F213" s="24" t="str">
        <x:v>INT-0209</x:v>
      </x:c>
      <x:c r="G213" s="24" t="str">
        <x:v>VRM Games / Blas Luis Rocha González</x:v>
      </x:c>
      <x:c r="H213" s="24" t="str">
        <x:v>Internal project IP / authorship claim</x:v>
      </x:c>
      <x:c r="I213" s="24" t="str">
        <x:v>Source package + repository path + hash</x:v>
      </x:c>
      <x:c r="J213" s="24" t="str">
        <x:v>ebd8436f94506688bc05965933ec463ca3f85cbc41c4827bed836cda4490dead</x:v>
      </x:c>
      <x:c r="K213" s="24" t="str">
        <x:v>Assets/_Project/Prefabs/Architecture/CornerOuter.prefab</x:v>
      </x:c>
      <x:c r="L213" s="24" t="str">
        <x:v>CR-004</x:v>
      </x:c>
      <x:c r="M213" s="24" t="str"/>
      <x:c r="N213" s="24" t="str">
        <x:v>RES-001;RES-014</x:v>
      </x:c>
      <x:c r="O213" s="24" t="str">
        <x:v>Internal development; public candidate requires gate</x:v>
      </x:c>
      <x:c r="P213" s="24" t="str">
        <x:v>CONDITIONALLY APPROVED</x:v>
      </x:c>
      <x:c r="Q213" s="24" t="str">
        <x:v>Low</x:v>
      </x:c>
      <x:c r="R213" s="24" t="str"/>
      <x:c r="S213" s="24" t="str">
        <x:v>Parcial</x:v>
      </x:c>
      <x:c r="T213" s="24" t="str">
        <x:f>"T"&amp;IF(AND(H213&lt;&gt;"",I213&lt;&gt;"",J213&lt;&gt;"",L213&lt;&gt;"",N213&lt;&gt;"",O213&lt;&gt;"",P213="APPROVED PUBLIC",S213="Sí"),6,IF(AND(H213&lt;&gt;"",I213&lt;&gt;"",J213&lt;&gt;"",L213&lt;&gt;"",N213&lt;&gt;"",O213&lt;&gt;"",P213&lt;&gt;"",S213="Sí"),5,IF(AND(H213&lt;&gt;"",I213&lt;&gt;"",P213&lt;&gt;"",S213&lt;&gt;"No"),4,IF(AND(H213&lt;&gt;"",I213&lt;&gt;""),3,IF(F213&lt;&gt;"",2,1)))))</x:f>
        <x:v>T4</x:v>
      </x:c>
      <x:c r="U213" s="24" t="str">
        <x:v>VRM Games</x:v>
      </x:c>
      <x:c r="V213" s="24" t="str">
        <x:v>No se detectó proveedor externo en la ruta; confirmar autoría por lote antes de release público.</x:v>
      </x:c>
    </x:row>
    <x:row r="214" ht="34" customHeight="1">
      <x:c r="A214" s="24" t="str">
        <x:v>TRC-00210</x:v>
      </x:c>
      <x:c r="B214" s="24" t="str">
        <x:v>922447690a287bb40b0e0637e09b8d1c</x:v>
      </x:c>
      <x:c r="C214" s="24" t="str">
        <x:v>EndCap.prefab</x:v>
      </x:c>
      <x:c r="D214" s="24" t="str">
        <x:v>Prefab</x:v>
      </x:c>
      <x:c r="E214" s="24" t="str">
        <x:v>03_Assets_Internos</x:v>
      </x:c>
      <x:c r="F214" s="24" t="str">
        <x:v>INT-0210</x:v>
      </x:c>
      <x:c r="G214" s="24" t="str">
        <x:v>VRM Games / Blas Luis Rocha González</x:v>
      </x:c>
      <x:c r="H214" s="24" t="str">
        <x:v>Internal project IP / authorship claim</x:v>
      </x:c>
      <x:c r="I214" s="24" t="str">
        <x:v>Source package + repository path + hash</x:v>
      </x:c>
      <x:c r="J214" s="24" t="str">
        <x:v>9cac3976f78206ebad2a7d6e85affe9fd0827631d568eca67791d1c6fa12050e</x:v>
      </x:c>
      <x:c r="K214" s="24" t="str">
        <x:v>Assets/_Project/Prefabs/Architecture/EndCap.prefab</x:v>
      </x:c>
      <x:c r="L214" s="24" t="str">
        <x:v>CR-004</x:v>
      </x:c>
      <x:c r="M214" s="24" t="str"/>
      <x:c r="N214" s="24" t="str">
        <x:v>RES-001;RES-014</x:v>
      </x:c>
      <x:c r="O214" s="24" t="str">
        <x:v>Internal development; public candidate requires gate</x:v>
      </x:c>
      <x:c r="P214" s="24" t="str">
        <x:v>CONDITIONALLY APPROVED</x:v>
      </x:c>
      <x:c r="Q214" s="24" t="str">
        <x:v>Low</x:v>
      </x:c>
      <x:c r="R214" s="24" t="str"/>
      <x:c r="S214" s="24" t="str">
        <x:v>Parcial</x:v>
      </x:c>
      <x:c r="T214" s="24" t="str">
        <x:f>"T"&amp;IF(AND(H214&lt;&gt;"",I214&lt;&gt;"",J214&lt;&gt;"",L214&lt;&gt;"",N214&lt;&gt;"",O214&lt;&gt;"",P214="APPROVED PUBLIC",S214="Sí"),6,IF(AND(H214&lt;&gt;"",I214&lt;&gt;"",J214&lt;&gt;"",L214&lt;&gt;"",N214&lt;&gt;"",O214&lt;&gt;"",P214&lt;&gt;"",S214="Sí"),5,IF(AND(H214&lt;&gt;"",I214&lt;&gt;"",P214&lt;&gt;"",S214&lt;&gt;"No"),4,IF(AND(H214&lt;&gt;"",I214&lt;&gt;""),3,IF(F214&lt;&gt;"",2,1)))))</x:f>
        <x:v>T4</x:v>
      </x:c>
      <x:c r="U214" s="24" t="str">
        <x:v>VRM Games</x:v>
      </x:c>
      <x:c r="V214" s="24" t="str">
        <x:v>No se detectó proveedor externo en la ruta; confirmar autoría por lote antes de release público.</x:v>
      </x:c>
    </x:row>
    <x:row r="215" ht="34" customHeight="1">
      <x:c r="A215" s="24" t="str">
        <x:v>TRC-00211</x:v>
      </x:c>
      <x:c r="B215" s="24" t="str">
        <x:v>b6fdade53717521498b183f5bae96305</x:v>
      </x:c>
      <x:c r="C215" s="24" t="str">
        <x:v>EntranceThreshold.prefab</x:v>
      </x:c>
      <x:c r="D215" s="24" t="str">
        <x:v>Prefab</x:v>
      </x:c>
      <x:c r="E215" s="24" t="str">
        <x:v>03_Assets_Internos</x:v>
      </x:c>
      <x:c r="F215" s="24" t="str">
        <x:v>INT-0211</x:v>
      </x:c>
      <x:c r="G215" s="24" t="str">
        <x:v>VRM Games / Blas Luis Rocha González</x:v>
      </x:c>
      <x:c r="H215" s="24" t="str">
        <x:v>Internal project IP / authorship claim</x:v>
      </x:c>
      <x:c r="I215" s="24" t="str">
        <x:v>Source package + repository path + hash</x:v>
      </x:c>
      <x:c r="J215" s="24" t="str">
        <x:v>0b8cd694882f8a50e050b7e3fa361f4789989f6b365e6e1f228f8a666cb278c1</x:v>
      </x:c>
      <x:c r="K215" s="24" t="str">
        <x:v>Assets/_Project/Prefabs/Architecture/EntranceThreshold.prefab</x:v>
      </x:c>
      <x:c r="L215" s="24" t="str">
        <x:v>CR-004</x:v>
      </x:c>
      <x:c r="M215" s="24" t="str"/>
      <x:c r="N215" s="24" t="str">
        <x:v>RES-001;RES-014</x:v>
      </x:c>
      <x:c r="O215" s="24" t="str">
        <x:v>Internal development; public candidate requires gate</x:v>
      </x:c>
      <x:c r="P215" s="24" t="str">
        <x:v>CONDITIONALLY APPROVED</x:v>
      </x:c>
      <x:c r="Q215" s="24" t="str">
        <x:v>Low</x:v>
      </x:c>
      <x:c r="R215" s="24" t="str"/>
      <x:c r="S215" s="24" t="str">
        <x:v>Parcial</x:v>
      </x:c>
      <x:c r="T215" s="24" t="str">
        <x:f>"T"&amp;IF(AND(H215&lt;&gt;"",I215&lt;&gt;"",J215&lt;&gt;"",L215&lt;&gt;"",N215&lt;&gt;"",O215&lt;&gt;"",P215="APPROVED PUBLIC",S215="Sí"),6,IF(AND(H215&lt;&gt;"",I215&lt;&gt;"",J215&lt;&gt;"",L215&lt;&gt;"",N215&lt;&gt;"",O215&lt;&gt;"",P215&lt;&gt;"",S215="Sí"),5,IF(AND(H215&lt;&gt;"",I215&lt;&gt;"",P215&lt;&gt;"",S215&lt;&gt;"No"),4,IF(AND(H215&lt;&gt;"",I215&lt;&gt;""),3,IF(F215&lt;&gt;"",2,1)))))</x:f>
        <x:v>T4</x:v>
      </x:c>
      <x:c r="U215" s="24" t="str">
        <x:v>VRM Games</x:v>
      </x:c>
      <x:c r="V215" s="24" t="str">
        <x:v>No se detectó proveedor externo en la ruta; confirmar autoría por lote antes de release público.</x:v>
      </x:c>
    </x:row>
    <x:row r="216" ht="34" customHeight="1">
      <x:c r="A216" s="24" t="str">
        <x:v>TRC-00212</x:v>
      </x:c>
      <x:c r="B216" s="24" t="str">
        <x:v>94410c856fcbe9a44a4e0565b59a4810</x:v>
      </x:c>
      <x:c r="C216" s="24" t="str">
        <x:v>Floor100.prefab</x:v>
      </x:c>
      <x:c r="D216" s="24" t="str">
        <x:v>Prefab</x:v>
      </x:c>
      <x:c r="E216" s="24" t="str">
        <x:v>03_Assets_Internos</x:v>
      </x:c>
      <x:c r="F216" s="24" t="str">
        <x:v>INT-0212</x:v>
      </x:c>
      <x:c r="G216" s="24" t="str">
        <x:v>VRM Games / Blas Luis Rocha González</x:v>
      </x:c>
      <x:c r="H216" s="24" t="str">
        <x:v>Internal project IP / authorship claim</x:v>
      </x:c>
      <x:c r="I216" s="24" t="str">
        <x:v>Source package + repository path + hash</x:v>
      </x:c>
      <x:c r="J216" s="24" t="str">
        <x:v>2108067e959121e551d7e79c791706b34344b65977ecf602cb90e00c79915138</x:v>
      </x:c>
      <x:c r="K216" s="24" t="str">
        <x:v>Assets/_Project/Prefabs/Architecture/Floor100.prefab</x:v>
      </x:c>
      <x:c r="L216" s="24" t="str">
        <x:v>CR-004</x:v>
      </x:c>
      <x:c r="M216" s="24" t="str"/>
      <x:c r="N216" s="24" t="str">
        <x:v>RES-001;RES-014</x:v>
      </x:c>
      <x:c r="O216" s="24" t="str">
        <x:v>Internal development; public candidate requires gate</x:v>
      </x:c>
      <x:c r="P216" s="24" t="str">
        <x:v>CONDITIONALLY APPROVED</x:v>
      </x:c>
      <x:c r="Q216" s="24" t="str">
        <x:v>Low</x:v>
      </x:c>
      <x:c r="R216" s="24" t="str"/>
      <x:c r="S216" s="24" t="str">
        <x:v>Parcial</x:v>
      </x:c>
      <x:c r="T216" s="24" t="str">
        <x:f>"T"&amp;IF(AND(H216&lt;&gt;"",I216&lt;&gt;"",J216&lt;&gt;"",L216&lt;&gt;"",N216&lt;&gt;"",O216&lt;&gt;"",P216="APPROVED PUBLIC",S216="Sí"),6,IF(AND(H216&lt;&gt;"",I216&lt;&gt;"",J216&lt;&gt;"",L216&lt;&gt;"",N216&lt;&gt;"",O216&lt;&gt;"",P216&lt;&gt;"",S216="Sí"),5,IF(AND(H216&lt;&gt;"",I216&lt;&gt;"",P216&lt;&gt;"",S216&lt;&gt;"No"),4,IF(AND(H216&lt;&gt;"",I216&lt;&gt;""),3,IF(F216&lt;&gt;"",2,1)))))</x:f>
        <x:v>T4</x:v>
      </x:c>
      <x:c r="U216" s="24" t="str">
        <x:v>VRM Games</x:v>
      </x:c>
      <x:c r="V216" s="24" t="str">
        <x:v>No se detectó proveedor externo en la ruta; confirmar autoría por lote antes de release público.</x:v>
      </x:c>
    </x:row>
    <x:row r="217" ht="34" customHeight="1">
      <x:c r="A217" s="24" t="str">
        <x:v>TRC-00213</x:v>
      </x:c>
      <x:c r="B217" s="24" t="str">
        <x:v>07c25de10de27694080275bb6f53c0c5</x:v>
      </x:c>
      <x:c r="C217" s="24" t="str">
        <x:v>Floor200.prefab</x:v>
      </x:c>
      <x:c r="D217" s="24" t="str">
        <x:v>Prefab</x:v>
      </x:c>
      <x:c r="E217" s="24" t="str">
        <x:v>03_Assets_Internos</x:v>
      </x:c>
      <x:c r="F217" s="24" t="str">
        <x:v>INT-0213</x:v>
      </x:c>
      <x:c r="G217" s="24" t="str">
        <x:v>VRM Games / Blas Luis Rocha González</x:v>
      </x:c>
      <x:c r="H217" s="24" t="str">
        <x:v>Internal project IP / authorship claim</x:v>
      </x:c>
      <x:c r="I217" s="24" t="str">
        <x:v>Source package + repository path + hash</x:v>
      </x:c>
      <x:c r="J217" s="24" t="str">
        <x:v>011cbcd0a6cf72a0d7e6ca05feac4f5201e8121bfb18ba6006c778ce83d26371</x:v>
      </x:c>
      <x:c r="K217" s="24" t="str">
        <x:v>Assets/_Project/Prefabs/Architecture/Floor200.prefab</x:v>
      </x:c>
      <x:c r="L217" s="24" t="str">
        <x:v>CR-004</x:v>
      </x:c>
      <x:c r="M217" s="24" t="str"/>
      <x:c r="N217" s="24" t="str">
        <x:v>RES-001;RES-014</x:v>
      </x:c>
      <x:c r="O217" s="24" t="str">
        <x:v>Internal development; public candidate requires gate</x:v>
      </x:c>
      <x:c r="P217" s="24" t="str">
        <x:v>CONDITIONALLY APPROVED</x:v>
      </x:c>
      <x:c r="Q217" s="24" t="str">
        <x:v>Low</x:v>
      </x:c>
      <x:c r="R217" s="24" t="str"/>
      <x:c r="S217" s="24" t="str">
        <x:v>Parcial</x:v>
      </x:c>
      <x:c r="T217" s="24" t="str">
        <x:f>"T"&amp;IF(AND(H217&lt;&gt;"",I217&lt;&gt;"",J217&lt;&gt;"",L217&lt;&gt;"",N217&lt;&gt;"",O217&lt;&gt;"",P217="APPROVED PUBLIC",S217="Sí"),6,IF(AND(H217&lt;&gt;"",I217&lt;&gt;"",J217&lt;&gt;"",L217&lt;&gt;"",N217&lt;&gt;"",O217&lt;&gt;"",P217&lt;&gt;"",S217="Sí"),5,IF(AND(H217&lt;&gt;"",I217&lt;&gt;"",P217&lt;&gt;"",S217&lt;&gt;"No"),4,IF(AND(H217&lt;&gt;"",I217&lt;&gt;""),3,IF(F217&lt;&gt;"",2,1)))))</x:f>
        <x:v>T4</x:v>
      </x:c>
      <x:c r="U217" s="24" t="str">
        <x:v>VRM Games</x:v>
      </x:c>
      <x:c r="V217" s="24" t="str">
        <x:v>No se detectó proveedor externo en la ruta; confirmar autoría por lote antes de release público.</x:v>
      </x:c>
    </x:row>
    <x:row r="218" ht="34" customHeight="1">
      <x:c r="A218" s="24" t="str">
        <x:v>TRC-00214</x:v>
      </x:c>
      <x:c r="B218" s="24" t="str">
        <x:v>a1632d5e73519f4448f13ec11c146a6e</x:v>
      </x:c>
      <x:c r="C218" s="24" t="str">
        <x:v>FloorEdge100.prefab</x:v>
      </x:c>
      <x:c r="D218" s="24" t="str">
        <x:v>Prefab</x:v>
      </x:c>
      <x:c r="E218" s="24" t="str">
        <x:v>03_Assets_Internos</x:v>
      </x:c>
      <x:c r="F218" s="24" t="str">
        <x:v>INT-0214</x:v>
      </x:c>
      <x:c r="G218" s="24" t="str">
        <x:v>VRM Games / Blas Luis Rocha González</x:v>
      </x:c>
      <x:c r="H218" s="24" t="str">
        <x:v>Internal project IP / authorship claim</x:v>
      </x:c>
      <x:c r="I218" s="24" t="str">
        <x:v>Source package + repository path + hash</x:v>
      </x:c>
      <x:c r="J218" s="24" t="str">
        <x:v>c4e2431b62ec2a4115b9986e8791d3ce096b64dc590ccc4eadedf8654ffdeaca</x:v>
      </x:c>
      <x:c r="K218" s="24" t="str">
        <x:v>Assets/_Project/Prefabs/Architecture/FloorEdge100.prefab</x:v>
      </x:c>
      <x:c r="L218" s="24" t="str">
        <x:v>CR-004</x:v>
      </x:c>
      <x:c r="M218" s="24" t="str"/>
      <x:c r="N218" s="24" t="str">
        <x:v>RES-001;RES-014</x:v>
      </x:c>
      <x:c r="O218" s="24" t="str">
        <x:v>Internal development; public candidate requires gate</x:v>
      </x:c>
      <x:c r="P218" s="24" t="str">
        <x:v>CONDITIONALLY APPROVED</x:v>
      </x:c>
      <x:c r="Q218" s="24" t="str">
        <x:v>Low</x:v>
      </x:c>
      <x:c r="R218" s="24" t="str"/>
      <x:c r="S218" s="24" t="str">
        <x:v>Parcial</x:v>
      </x:c>
      <x:c r="T218" s="24" t="str">
        <x:f>"T"&amp;IF(AND(H218&lt;&gt;"",I218&lt;&gt;"",J218&lt;&gt;"",L218&lt;&gt;"",N218&lt;&gt;"",O218&lt;&gt;"",P218="APPROVED PUBLIC",S218="Sí"),6,IF(AND(H218&lt;&gt;"",I218&lt;&gt;"",J218&lt;&gt;"",L218&lt;&gt;"",N218&lt;&gt;"",O218&lt;&gt;"",P218&lt;&gt;"",S218="Sí"),5,IF(AND(H218&lt;&gt;"",I218&lt;&gt;"",P218&lt;&gt;"",S218&lt;&gt;"No"),4,IF(AND(H218&lt;&gt;"",I218&lt;&gt;""),3,IF(F218&lt;&gt;"",2,1)))))</x:f>
        <x:v>T4</x:v>
      </x:c>
      <x:c r="U218" s="24" t="str">
        <x:v>VRM Games</x:v>
      </x:c>
      <x:c r="V218" s="24" t="str">
        <x:v>No se detectó proveedor externo en la ruta; confirmar autoría por lote antes de release público.</x:v>
      </x:c>
    </x:row>
    <x:row r="219" ht="34" customHeight="1">
      <x:c r="A219" s="24" t="str">
        <x:v>TRC-00215</x:v>
      </x:c>
      <x:c r="B219" s="24" t="str">
        <x:v>e41ce63b6c5c01e4b9673778fd7f2336</x:v>
      </x:c>
      <x:c r="C219" s="24" t="str">
        <x:v>FloorTransition100.prefab</x:v>
      </x:c>
      <x:c r="D219" s="24" t="str">
        <x:v>Prefab</x:v>
      </x:c>
      <x:c r="E219" s="24" t="str">
        <x:v>03_Assets_Internos</x:v>
      </x:c>
      <x:c r="F219" s="24" t="str">
        <x:v>INT-0215</x:v>
      </x:c>
      <x:c r="G219" s="24" t="str">
        <x:v>VRM Games / Blas Luis Rocha González</x:v>
      </x:c>
      <x:c r="H219" s="24" t="str">
        <x:v>Internal project IP / authorship claim</x:v>
      </x:c>
      <x:c r="I219" s="24" t="str">
        <x:v>Source package + repository path + hash</x:v>
      </x:c>
      <x:c r="J219" s="24" t="str">
        <x:v>6d14aea59490f9591909f29aefe32c65329131fe929cf53d3f6f9174db79f044</x:v>
      </x:c>
      <x:c r="K219" s="24" t="str">
        <x:v>Assets/_Project/Prefabs/Architecture/FloorTransition100.prefab</x:v>
      </x:c>
      <x:c r="L219" s="24" t="str">
        <x:v>CR-004</x:v>
      </x:c>
      <x:c r="M219" s="24" t="str"/>
      <x:c r="N219" s="24" t="str">
        <x:v>RES-001;RES-014</x:v>
      </x:c>
      <x:c r="O219" s="24" t="str">
        <x:v>Internal development; public candidate requires gate</x:v>
      </x:c>
      <x:c r="P219" s="24" t="str">
        <x:v>CONDITIONALLY APPROVED</x:v>
      </x:c>
      <x:c r="Q219" s="24" t="str">
        <x:v>Low</x:v>
      </x:c>
      <x:c r="R219" s="24" t="str"/>
      <x:c r="S219" s="24" t="str">
        <x:v>Parcial</x:v>
      </x:c>
      <x:c r="T219" s="24" t="str">
        <x:f>"T"&amp;IF(AND(H219&lt;&gt;"",I219&lt;&gt;"",J219&lt;&gt;"",L219&lt;&gt;"",N219&lt;&gt;"",O219&lt;&gt;"",P219="APPROVED PUBLIC",S219="Sí"),6,IF(AND(H219&lt;&gt;"",I219&lt;&gt;"",J219&lt;&gt;"",L219&lt;&gt;"",N219&lt;&gt;"",O219&lt;&gt;"",P219&lt;&gt;"",S219="Sí"),5,IF(AND(H219&lt;&gt;"",I219&lt;&gt;"",P219&lt;&gt;"",S219&lt;&gt;"No"),4,IF(AND(H219&lt;&gt;"",I219&lt;&gt;""),3,IF(F219&lt;&gt;"",2,1)))))</x:f>
        <x:v>T4</x:v>
      </x:c>
      <x:c r="U219" s="24" t="str">
        <x:v>VRM Games</x:v>
      </x:c>
      <x:c r="V219" s="24" t="str">
        <x:v>No se detectó proveedor externo en la ruta; confirmar autoría por lote antes de release público.</x:v>
      </x:c>
    </x:row>
    <x:row r="220" ht="34" customHeight="1">
      <x:c r="A220" s="24" t="str">
        <x:v>TRC-00216</x:v>
      </x:c>
      <x:c r="B220" s="24" t="str">
        <x:v>071a65526166691439a82555489f480b</x:v>
      </x:c>
      <x:c r="C220" s="24" t="str">
        <x:v>LightRail100.prefab</x:v>
      </x:c>
      <x:c r="D220" s="24" t="str">
        <x:v>Prefab</x:v>
      </x:c>
      <x:c r="E220" s="24" t="str">
        <x:v>03_Assets_Internos</x:v>
      </x:c>
      <x:c r="F220" s="24" t="str">
        <x:v>INT-0216</x:v>
      </x:c>
      <x:c r="G220" s="24" t="str">
        <x:v>VRM Games / Blas Luis Rocha González</x:v>
      </x:c>
      <x:c r="H220" s="24" t="str">
        <x:v>Internal project IP / authorship claim</x:v>
      </x:c>
      <x:c r="I220" s="24" t="str">
        <x:v>Source package + repository path + hash</x:v>
      </x:c>
      <x:c r="J220" s="24" t="str">
        <x:v>a1a71aee47551797b8ef3f32bb09d4e5fcb4acbaaee35cc72e8d98c0bdbdc106</x:v>
      </x:c>
      <x:c r="K220" s="24" t="str">
        <x:v>Assets/_Project/Prefabs/Architecture/LightRail100.prefab</x:v>
      </x:c>
      <x:c r="L220" s="24" t="str">
        <x:v>CR-004</x:v>
      </x:c>
      <x:c r="M220" s="24" t="str"/>
      <x:c r="N220" s="24" t="str">
        <x:v>RES-001;RES-014</x:v>
      </x:c>
      <x:c r="O220" s="24" t="str">
        <x:v>Internal development; public candidate requires gate</x:v>
      </x:c>
      <x:c r="P220" s="24" t="str">
        <x:v>CONDITIONALLY APPROVED</x:v>
      </x:c>
      <x:c r="Q220" s="24" t="str">
        <x:v>Low</x:v>
      </x:c>
      <x:c r="R220" s="24" t="str"/>
      <x:c r="S220" s="24" t="str">
        <x:v>Parcial</x:v>
      </x:c>
      <x:c r="T220" s="24" t="str">
        <x:f>"T"&amp;IF(AND(H220&lt;&gt;"",I220&lt;&gt;"",J220&lt;&gt;"",L220&lt;&gt;"",N220&lt;&gt;"",O220&lt;&gt;"",P220="APPROVED PUBLIC",S220="Sí"),6,IF(AND(H220&lt;&gt;"",I220&lt;&gt;"",J220&lt;&gt;"",L220&lt;&gt;"",N220&lt;&gt;"",O220&lt;&gt;"",P220&lt;&gt;"",S220="Sí"),5,IF(AND(H220&lt;&gt;"",I220&lt;&gt;"",P220&lt;&gt;"",S220&lt;&gt;"No"),4,IF(AND(H220&lt;&gt;"",I220&lt;&gt;""),3,IF(F220&lt;&gt;"",2,1)))))</x:f>
        <x:v>T4</x:v>
      </x:c>
      <x:c r="U220" s="24" t="str">
        <x:v>VRM Games</x:v>
      </x:c>
      <x:c r="V220" s="24" t="str">
        <x:v>No se detectó proveedor externo en la ruta; confirmar autoría por lote antes de release público.</x:v>
      </x:c>
    </x:row>
    <x:row r="221" ht="34" customHeight="1">
      <x:c r="A221" s="24" t="str">
        <x:v>TRC-00217</x:v>
      </x:c>
      <x:c r="B221" s="24" t="str">
        <x:v>7166ef018508128479d9430b93d9f5fb</x:v>
      </x:c>
      <x:c r="C221" s="24" t="str">
        <x:v>LightRail200.prefab</x:v>
      </x:c>
      <x:c r="D221" s="24" t="str">
        <x:v>Prefab</x:v>
      </x:c>
      <x:c r="E221" s="24" t="str">
        <x:v>03_Assets_Internos</x:v>
      </x:c>
      <x:c r="F221" s="24" t="str">
        <x:v>INT-0217</x:v>
      </x:c>
      <x:c r="G221" s="24" t="str">
        <x:v>VRM Games / Blas Luis Rocha González</x:v>
      </x:c>
      <x:c r="H221" s="24" t="str">
        <x:v>Internal project IP / authorship claim</x:v>
      </x:c>
      <x:c r="I221" s="24" t="str">
        <x:v>Source package + repository path + hash</x:v>
      </x:c>
      <x:c r="J221" s="24" t="str">
        <x:v>99828e0d60a83e4399cb01ba25a8b2c4450b601cb13284eb5de6f4ea6e51a6c3</x:v>
      </x:c>
      <x:c r="K221" s="24" t="str">
        <x:v>Assets/_Project/Prefabs/Architecture/LightRail200.prefab</x:v>
      </x:c>
      <x:c r="L221" s="24" t="str">
        <x:v>CR-004</x:v>
      </x:c>
      <x:c r="M221" s="24" t="str"/>
      <x:c r="N221" s="24" t="str">
        <x:v>RES-001;RES-014</x:v>
      </x:c>
      <x:c r="O221" s="24" t="str">
        <x:v>Internal development; public candidate requires gate</x:v>
      </x:c>
      <x:c r="P221" s="24" t="str">
        <x:v>CONDITIONALLY APPROVED</x:v>
      </x:c>
      <x:c r="Q221" s="24" t="str">
        <x:v>Low</x:v>
      </x:c>
      <x:c r="R221" s="24" t="str"/>
      <x:c r="S221" s="24" t="str">
        <x:v>Parcial</x:v>
      </x:c>
      <x:c r="T221" s="24" t="str">
        <x:f>"T"&amp;IF(AND(H221&lt;&gt;"",I221&lt;&gt;"",J221&lt;&gt;"",L221&lt;&gt;"",N221&lt;&gt;"",O221&lt;&gt;"",P221="APPROVED PUBLIC",S221="Sí"),6,IF(AND(H221&lt;&gt;"",I221&lt;&gt;"",J221&lt;&gt;"",L221&lt;&gt;"",N221&lt;&gt;"",O221&lt;&gt;"",P221&lt;&gt;"",S221="Sí"),5,IF(AND(H221&lt;&gt;"",I221&lt;&gt;"",P221&lt;&gt;"",S221&lt;&gt;"No"),4,IF(AND(H221&lt;&gt;"",I221&lt;&gt;""),3,IF(F221&lt;&gt;"",2,1)))))</x:f>
        <x:v>T4</x:v>
      </x:c>
      <x:c r="U221" s="24" t="str">
        <x:v>VRM Games</x:v>
      </x:c>
      <x:c r="V221" s="24" t="str">
        <x:v>No se detectó proveedor externo en la ruta; confirmar autoría por lote antes de release público.</x:v>
      </x:c>
    </x:row>
    <x:row r="222" ht="34" customHeight="1">
      <x:c r="A222" s="24" t="str">
        <x:v>TRC-00218</x:v>
      </x:c>
      <x:c r="B222" s="24" t="str">
        <x:v>aa18e2f0d783d234c9e36dc461a8d40b</x:v>
      </x:c>
      <x:c r="C222" s="24" t="str">
        <x:v>LinearPanel.prefab</x:v>
      </x:c>
      <x:c r="D222" s="24" t="str">
        <x:v>Prefab</x:v>
      </x:c>
      <x:c r="E222" s="24" t="str">
        <x:v>03_Assets_Internos</x:v>
      </x:c>
      <x:c r="F222" s="24" t="str">
        <x:v>INT-0218</x:v>
      </x:c>
      <x:c r="G222" s="24" t="str">
        <x:v>VRM Games / Blas Luis Rocha González</x:v>
      </x:c>
      <x:c r="H222" s="24" t="str">
        <x:v>Internal project IP / authorship claim</x:v>
      </x:c>
      <x:c r="I222" s="24" t="str">
        <x:v>Source package + repository path + hash</x:v>
      </x:c>
      <x:c r="J222" s="24" t="str">
        <x:v>2b76a4a30ba4cb428f25fedc03ccd6c2c504e56b048bfb6602a0027efbc2cfa6</x:v>
      </x:c>
      <x:c r="K222" s="24" t="str">
        <x:v>Assets/_Project/Prefabs/Architecture/LinearPanel.prefab</x:v>
      </x:c>
      <x:c r="L222" s="24" t="str">
        <x:v>CR-004</x:v>
      </x:c>
      <x:c r="M222" s="24" t="str"/>
      <x:c r="N222" s="24" t="str">
        <x:v>RES-001;RES-014</x:v>
      </x:c>
      <x:c r="O222" s="24" t="str">
        <x:v>Internal development; public candidate requires gate</x:v>
      </x:c>
      <x:c r="P222" s="24" t="str">
        <x:v>CONDITIONALLY APPROVED</x:v>
      </x:c>
      <x:c r="Q222" s="24" t="str">
        <x:v>Low</x:v>
      </x:c>
      <x:c r="R222" s="24" t="str"/>
      <x:c r="S222" s="24" t="str">
        <x:v>Parcial</x:v>
      </x:c>
      <x:c r="T222" s="24" t="str">
        <x:f>"T"&amp;IF(AND(H222&lt;&gt;"",I222&lt;&gt;"",J222&lt;&gt;"",L222&lt;&gt;"",N222&lt;&gt;"",O222&lt;&gt;"",P222="APPROVED PUBLIC",S222="Sí"),6,IF(AND(H222&lt;&gt;"",I222&lt;&gt;"",J222&lt;&gt;"",L222&lt;&gt;"",N222&lt;&gt;"",O222&lt;&gt;"",P222&lt;&gt;"",S222="Sí"),5,IF(AND(H222&lt;&gt;"",I222&lt;&gt;"",P222&lt;&gt;"",S222&lt;&gt;"No"),4,IF(AND(H222&lt;&gt;"",I222&lt;&gt;""),3,IF(F222&lt;&gt;"",2,1)))))</x:f>
        <x:v>T4</x:v>
      </x:c>
      <x:c r="U222" s="24" t="str">
        <x:v>VRM Games</x:v>
      </x:c>
      <x:c r="V222" s="24" t="str">
        <x:v>No se detectó proveedor externo en la ruta; confirmar autoría por lote antes de release público.</x:v>
      </x:c>
    </x:row>
    <x:row r="223" ht="34" customHeight="1">
      <x:c r="A223" s="24" t="str">
        <x:v>TRC-00219</x:v>
      </x:c>
      <x:c r="B223" s="24" t="str">
        <x:v>caf5768b2fea32a43917881247aac1bb</x:v>
      </x:c>
      <x:c r="C223" s="24" t="str">
        <x:v>SpotLight.prefab</x:v>
      </x:c>
      <x:c r="D223" s="24" t="str">
        <x:v>Prefab</x:v>
      </x:c>
      <x:c r="E223" s="24" t="str">
        <x:v>03_Assets_Internos</x:v>
      </x:c>
      <x:c r="F223" s="24" t="str">
        <x:v>INT-0219</x:v>
      </x:c>
      <x:c r="G223" s="24" t="str">
        <x:v>VRM Games / Blas Luis Rocha González</x:v>
      </x:c>
      <x:c r="H223" s="24" t="str">
        <x:v>Internal project IP / authorship claim</x:v>
      </x:c>
      <x:c r="I223" s="24" t="str">
        <x:v>Source package + repository path + hash</x:v>
      </x:c>
      <x:c r="J223" s="24" t="str">
        <x:v>6733e1a8cc65d20fd919e04286e01d8ff71afa9e73226d4ed84f113fdecd9609</x:v>
      </x:c>
      <x:c r="K223" s="24" t="str">
        <x:v>Assets/_Project/Prefabs/Architecture/SpotLight.prefab</x:v>
      </x:c>
      <x:c r="L223" s="24" t="str">
        <x:v>CR-004</x:v>
      </x:c>
      <x:c r="M223" s="24" t="str"/>
      <x:c r="N223" s="24" t="str">
        <x:v>RES-001;RES-014</x:v>
      </x:c>
      <x:c r="O223" s="24" t="str">
        <x:v>Internal development; public candidate requires gate</x:v>
      </x:c>
      <x:c r="P223" s="24" t="str">
        <x:v>CONDITIONALLY APPROVED</x:v>
      </x:c>
      <x:c r="Q223" s="24" t="str">
        <x:v>Low</x:v>
      </x:c>
      <x:c r="R223" s="24" t="str"/>
      <x:c r="S223" s="24" t="str">
        <x:v>Parcial</x:v>
      </x:c>
      <x:c r="T223" s="24" t="str">
        <x:f>"T"&amp;IF(AND(H223&lt;&gt;"",I223&lt;&gt;"",J223&lt;&gt;"",L223&lt;&gt;"",N223&lt;&gt;"",O223&lt;&gt;"",P223="APPROVED PUBLIC",S223="Sí"),6,IF(AND(H223&lt;&gt;"",I223&lt;&gt;"",J223&lt;&gt;"",L223&lt;&gt;"",N223&lt;&gt;"",O223&lt;&gt;"",P223&lt;&gt;"",S223="Sí"),5,IF(AND(H223&lt;&gt;"",I223&lt;&gt;"",P223&lt;&gt;"",S223&lt;&gt;"No"),4,IF(AND(H223&lt;&gt;"",I223&lt;&gt;""),3,IF(F223&lt;&gt;"",2,1)))))</x:f>
        <x:v>T4</x:v>
      </x:c>
      <x:c r="U223" s="24" t="str">
        <x:v>VRM Games</x:v>
      </x:c>
      <x:c r="V223" s="24" t="str">
        <x:v>No se detectó proveedor externo en la ruta; confirmar autoría por lote antes de release público.</x:v>
      </x:c>
    </x:row>
    <x:row r="224" ht="34" customHeight="1">
      <x:c r="A224" s="24" t="str">
        <x:v>TRC-00220</x:v>
      </x:c>
      <x:c r="B224" s="24" t="str">
        <x:v>337b1f690a30fa94c8695ded302f762c</x:v>
      </x:c>
      <x:c r="C224" s="24" t="str">
        <x:v>StoreGlassLeft.prefab</x:v>
      </x:c>
      <x:c r="D224" s="24" t="str">
        <x:v>Prefab</x:v>
      </x:c>
      <x:c r="E224" s="24" t="str">
        <x:v>03_Assets_Internos</x:v>
      </x:c>
      <x:c r="F224" s="24" t="str">
        <x:v>INT-0220</x:v>
      </x:c>
      <x:c r="G224" s="24" t="str">
        <x:v>VRM Games / Blas Luis Rocha González</x:v>
      </x:c>
      <x:c r="H224" s="24" t="str">
        <x:v>Internal project IP / authorship claim</x:v>
      </x:c>
      <x:c r="I224" s="24" t="str">
        <x:v>Source package + repository path + hash</x:v>
      </x:c>
      <x:c r="J224" s="24" t="str">
        <x:v>f2e6901ae0c9b38b21c53a3a5972aa1b0f8453ffd10779f9042fe434546d0cb2</x:v>
      </x:c>
      <x:c r="K224" s="24" t="str">
        <x:v>Assets/_Project/Prefabs/Architecture/StoreGlassLeft.prefab</x:v>
      </x:c>
      <x:c r="L224" s="24" t="str">
        <x:v>CR-004</x:v>
      </x:c>
      <x:c r="M224" s="24" t="str"/>
      <x:c r="N224" s="24" t="str">
        <x:v>RES-001;RES-014</x:v>
      </x:c>
      <x:c r="O224" s="24" t="str">
        <x:v>Internal development; public candidate requires gate</x:v>
      </x:c>
      <x:c r="P224" s="24" t="str">
        <x:v>CONDITIONALLY APPROVED</x:v>
      </x:c>
      <x:c r="Q224" s="24" t="str">
        <x:v>Low</x:v>
      </x:c>
      <x:c r="R224" s="24" t="str"/>
      <x:c r="S224" s="24" t="str">
        <x:v>Parcial</x:v>
      </x:c>
      <x:c r="T224" s="24" t="str">
        <x:f>"T"&amp;IF(AND(H224&lt;&gt;"",I224&lt;&gt;"",J224&lt;&gt;"",L224&lt;&gt;"",N224&lt;&gt;"",O224&lt;&gt;"",P224="APPROVED PUBLIC",S224="Sí"),6,IF(AND(H224&lt;&gt;"",I224&lt;&gt;"",J224&lt;&gt;"",L224&lt;&gt;"",N224&lt;&gt;"",O224&lt;&gt;"",P224&lt;&gt;"",S224="Sí"),5,IF(AND(H224&lt;&gt;"",I224&lt;&gt;"",P224&lt;&gt;"",S224&lt;&gt;"No"),4,IF(AND(H224&lt;&gt;"",I224&lt;&gt;""),3,IF(F224&lt;&gt;"",2,1)))))</x:f>
        <x:v>T4</x:v>
      </x:c>
      <x:c r="U224" s="24" t="str">
        <x:v>VRM Games</x:v>
      </x:c>
      <x:c r="V224" s="24" t="str">
        <x:v>No se detectó proveedor externo en la ruta; confirmar autoría por lote antes de release público.</x:v>
      </x:c>
    </x:row>
    <x:row r="225" ht="34" customHeight="1">
      <x:c r="A225" s="24" t="str">
        <x:v>TRC-00221</x:v>
      </x:c>
      <x:c r="B225" s="24" t="str">
        <x:v>7ff16f46388b8294db98ef11934e85df</x:v>
      </x:c>
      <x:c r="C225" s="24" t="str">
        <x:v>StoreGlassRight.prefab</x:v>
      </x:c>
      <x:c r="D225" s="24" t="str">
        <x:v>Prefab</x:v>
      </x:c>
      <x:c r="E225" s="24" t="str">
        <x:v>03_Assets_Internos</x:v>
      </x:c>
      <x:c r="F225" s="24" t="str">
        <x:v>INT-0221</x:v>
      </x:c>
      <x:c r="G225" s="24" t="str">
        <x:v>VRM Games / Blas Luis Rocha González</x:v>
      </x:c>
      <x:c r="H225" s="24" t="str">
        <x:v>Internal project IP / authorship claim</x:v>
      </x:c>
      <x:c r="I225" s="24" t="str">
        <x:v>Source package + repository path + hash</x:v>
      </x:c>
      <x:c r="J225" s="24" t="str">
        <x:v>683bf7e7231d0e312051a196de122f0716d78b968aac974d643b7d92e1252cb8</x:v>
      </x:c>
      <x:c r="K225" s="24" t="str">
        <x:v>Assets/_Project/Prefabs/Architecture/StoreGlassRight.prefab</x:v>
      </x:c>
      <x:c r="L225" s="24" t="str">
        <x:v>CR-004</x:v>
      </x:c>
      <x:c r="M225" s="24" t="str"/>
      <x:c r="N225" s="24" t="str">
        <x:v>RES-001;RES-014</x:v>
      </x:c>
      <x:c r="O225" s="24" t="str">
        <x:v>Internal development; public candidate requires gate</x:v>
      </x:c>
      <x:c r="P225" s="24" t="str">
        <x:v>CONDITIONALLY APPROVED</x:v>
      </x:c>
      <x:c r="Q225" s="24" t="str">
        <x:v>Low</x:v>
      </x:c>
      <x:c r="R225" s="24" t="str"/>
      <x:c r="S225" s="24" t="str">
        <x:v>Parcial</x:v>
      </x:c>
      <x:c r="T225" s="24" t="str">
        <x:f>"T"&amp;IF(AND(H225&lt;&gt;"",I225&lt;&gt;"",J225&lt;&gt;"",L225&lt;&gt;"",N225&lt;&gt;"",O225&lt;&gt;"",P225="APPROVED PUBLIC",S225="Sí"),6,IF(AND(H225&lt;&gt;"",I225&lt;&gt;"",J225&lt;&gt;"",L225&lt;&gt;"",N225&lt;&gt;"",O225&lt;&gt;"",P225&lt;&gt;"",S225="Sí"),5,IF(AND(H225&lt;&gt;"",I225&lt;&gt;"",P225&lt;&gt;"",S225&lt;&gt;"No"),4,IF(AND(H225&lt;&gt;"",I225&lt;&gt;""),3,IF(F225&lt;&gt;"",2,1)))))</x:f>
        <x:v>T4</x:v>
      </x:c>
      <x:c r="U225" s="24" t="str">
        <x:v>VRM Games</x:v>
      </x:c>
      <x:c r="V225" s="24" t="str">
        <x:v>No se detectó proveedor externo en la ruta; confirmar autoría por lote antes de release público.</x:v>
      </x:c>
    </x:row>
    <x:row r="226" ht="34" customHeight="1">
      <x:c r="A226" s="24" t="str">
        <x:v>TRC-00222</x:v>
      </x:c>
      <x:c r="B226" s="24" t="str">
        <x:v>42a748f39d94c6944a776252ad5609d9</x:v>
      </x:c>
      <x:c r="C226" s="24" t="str">
        <x:v>StoreSign.prefab</x:v>
      </x:c>
      <x:c r="D226" s="24" t="str">
        <x:v>Prefab</x:v>
      </x:c>
      <x:c r="E226" s="24" t="str">
        <x:v>03_Assets_Internos</x:v>
      </x:c>
      <x:c r="F226" s="24" t="str">
        <x:v>INT-0222</x:v>
      </x:c>
      <x:c r="G226" s="24" t="str">
        <x:v>VRM Games / Blas Luis Rocha González</x:v>
      </x:c>
      <x:c r="H226" s="24" t="str">
        <x:v>Internal project IP / authorship claim</x:v>
      </x:c>
      <x:c r="I226" s="24" t="str">
        <x:v>Source package + repository path + hash</x:v>
      </x:c>
      <x:c r="J226" s="24" t="str">
        <x:v>1fb7cd85649bf25c7493a86d0bf9e9cd8b2db921ffc069a0a2ff1e0e34885a38</x:v>
      </x:c>
      <x:c r="K226" s="24" t="str">
        <x:v>Assets/_Project/Prefabs/Architecture/StoreSign.prefab</x:v>
      </x:c>
      <x:c r="L226" s="24" t="str">
        <x:v>CR-004</x:v>
      </x:c>
      <x:c r="M226" s="24" t="str"/>
      <x:c r="N226" s="24" t="str">
        <x:v>RES-001;RES-014</x:v>
      </x:c>
      <x:c r="O226" s="24" t="str">
        <x:v>Internal development; public candidate requires gate</x:v>
      </x:c>
      <x:c r="P226" s="24" t="str">
        <x:v>CONDITIONALLY APPROVED</x:v>
      </x:c>
      <x:c r="Q226" s="24" t="str">
        <x:v>Low</x:v>
      </x:c>
      <x:c r="R226" s="24" t="str"/>
      <x:c r="S226" s="24" t="str">
        <x:v>Parcial</x:v>
      </x:c>
      <x:c r="T226" s="24" t="str">
        <x:f>"T"&amp;IF(AND(H226&lt;&gt;"",I226&lt;&gt;"",J226&lt;&gt;"",L226&lt;&gt;"",N226&lt;&gt;"",O226&lt;&gt;"",P226="APPROVED PUBLIC",S226="Sí"),6,IF(AND(H226&lt;&gt;"",I226&lt;&gt;"",J226&lt;&gt;"",L226&lt;&gt;"",N226&lt;&gt;"",O226&lt;&gt;"",P226&lt;&gt;"",S226="Sí"),5,IF(AND(H226&lt;&gt;"",I226&lt;&gt;"",P226&lt;&gt;"",S226&lt;&gt;"No"),4,IF(AND(H226&lt;&gt;"",I226&lt;&gt;""),3,IF(F226&lt;&gt;"",2,1)))))</x:f>
        <x:v>T4</x:v>
      </x:c>
      <x:c r="U226" s="24" t="str">
        <x:v>VRM Games</x:v>
      </x:c>
      <x:c r="V226" s="24" t="str">
        <x:v>No se detectó proveedor externo en la ruta; confirmar autoría por lote antes de release público.</x:v>
      </x:c>
    </x:row>
    <x:row r="227" ht="34" customHeight="1">
      <x:c r="A227" s="24" t="str">
        <x:v>TRC-00223</x:v>
      </x:c>
      <x:c r="B227" s="24" t="str">
        <x:v>73650c15b9c87b74aadb4120a3ea7cb1</x:v>
      </x:c>
      <x:c r="C227" s="24" t="str">
        <x:v>StorefrontFacade.prefab</x:v>
      </x:c>
      <x:c r="D227" s="24" t="str">
        <x:v>Prefab</x:v>
      </x:c>
      <x:c r="E227" s="24" t="str">
        <x:v>03_Assets_Internos</x:v>
      </x:c>
      <x:c r="F227" s="24" t="str">
        <x:v>INT-0223</x:v>
      </x:c>
      <x:c r="G227" s="24" t="str">
        <x:v>VRM Games / Blas Luis Rocha González</x:v>
      </x:c>
      <x:c r="H227" s="24" t="str">
        <x:v>Internal project IP / authorship claim</x:v>
      </x:c>
      <x:c r="I227" s="24" t="str">
        <x:v>Source package + repository path + hash</x:v>
      </x:c>
      <x:c r="J227" s="24" t="str">
        <x:v>3bf14ced999a2517a884cd16b698f96f1a856c0fcc9e37f0d030808926d81eb3</x:v>
      </x:c>
      <x:c r="K227" s="24" t="str">
        <x:v>Assets/_Project/Prefabs/Architecture/StorefrontFacade.prefab</x:v>
      </x:c>
      <x:c r="L227" s="24" t="str">
        <x:v>CR-004</x:v>
      </x:c>
      <x:c r="M227" s="24" t="str"/>
      <x:c r="N227" s="24" t="str">
        <x:v>RES-001;RES-014</x:v>
      </x:c>
      <x:c r="O227" s="24" t="str">
        <x:v>Internal development; public candidate requires gate</x:v>
      </x:c>
      <x:c r="P227" s="24" t="str">
        <x:v>CONDITIONALLY APPROVED</x:v>
      </x:c>
      <x:c r="Q227" s="24" t="str">
        <x:v>Low</x:v>
      </x:c>
      <x:c r="R227" s="24" t="str"/>
      <x:c r="S227" s="24" t="str">
        <x:v>Parcial</x:v>
      </x:c>
      <x:c r="T227" s="24" t="str">
        <x:f>"T"&amp;IF(AND(H227&lt;&gt;"",I227&lt;&gt;"",J227&lt;&gt;"",L227&lt;&gt;"",N227&lt;&gt;"",O227&lt;&gt;"",P227="APPROVED PUBLIC",S227="Sí"),6,IF(AND(H227&lt;&gt;"",I227&lt;&gt;"",J227&lt;&gt;"",L227&lt;&gt;"",N227&lt;&gt;"",O227&lt;&gt;"",P227&lt;&gt;"",S227="Sí"),5,IF(AND(H227&lt;&gt;"",I227&lt;&gt;"",P227&lt;&gt;"",S227&lt;&gt;"No"),4,IF(AND(H227&lt;&gt;"",I227&lt;&gt;""),3,IF(F227&lt;&gt;"",2,1)))))</x:f>
        <x:v>T4</x:v>
      </x:c>
      <x:c r="U227" s="24" t="str">
        <x:v>VRM Games</x:v>
      </x:c>
      <x:c r="V227" s="24" t="str">
        <x:v>No se detectó proveedor externo en la ruta; confirmar autoría por lote antes de release público.</x:v>
      </x:c>
    </x:row>
    <x:row r="228" ht="34" customHeight="1">
      <x:c r="A228" s="24" t="str">
        <x:v>TRC-00224</x:v>
      </x:c>
      <x:c r="B228" s="24" t="str">
        <x:v>7b005cd40ae5fc64fbaed6ea5b1c53c6</x:v>
      </x:c>
      <x:c r="C228" s="24" t="str">
        <x:v>Wall100.prefab</x:v>
      </x:c>
      <x:c r="D228" s="24" t="str">
        <x:v>Prefab</x:v>
      </x:c>
      <x:c r="E228" s="24" t="str">
        <x:v>03_Assets_Internos</x:v>
      </x:c>
      <x:c r="F228" s="24" t="str">
        <x:v>INT-0224</x:v>
      </x:c>
      <x:c r="G228" s="24" t="str">
        <x:v>VRM Games / Blas Luis Rocha González</x:v>
      </x:c>
      <x:c r="H228" s="24" t="str">
        <x:v>Internal project IP / authorship claim</x:v>
      </x:c>
      <x:c r="I228" s="24" t="str">
        <x:v>Source package + repository path + hash</x:v>
      </x:c>
      <x:c r="J228" s="24" t="str">
        <x:v>a186b2478c2cf4ecf577e3f4dc5bedc2a15265a817f732117598206c9517c984</x:v>
      </x:c>
      <x:c r="K228" s="24" t="str">
        <x:v>Assets/_Project/Prefabs/Architecture/Wall100.prefab</x:v>
      </x:c>
      <x:c r="L228" s="24" t="str">
        <x:v>CR-004</x:v>
      </x:c>
      <x:c r="M228" s="24" t="str"/>
      <x:c r="N228" s="24" t="str">
        <x:v>RES-001;RES-014</x:v>
      </x:c>
      <x:c r="O228" s="24" t="str">
        <x:v>Internal development; public candidate requires gate</x:v>
      </x:c>
      <x:c r="P228" s="24" t="str">
        <x:v>CONDITIONALLY APPROVED</x:v>
      </x:c>
      <x:c r="Q228" s="24" t="str">
        <x:v>Low</x:v>
      </x:c>
      <x:c r="R228" s="24" t="str"/>
      <x:c r="S228" s="24" t="str">
        <x:v>Parcial</x:v>
      </x:c>
      <x:c r="T228" s="24" t="str">
        <x:f>"T"&amp;IF(AND(H228&lt;&gt;"",I228&lt;&gt;"",J228&lt;&gt;"",L228&lt;&gt;"",N228&lt;&gt;"",O228&lt;&gt;"",P228="APPROVED PUBLIC",S228="Sí"),6,IF(AND(H228&lt;&gt;"",I228&lt;&gt;"",J228&lt;&gt;"",L228&lt;&gt;"",N228&lt;&gt;"",O228&lt;&gt;"",P228&lt;&gt;"",S228="Sí"),5,IF(AND(H228&lt;&gt;"",I228&lt;&gt;"",P228&lt;&gt;"",S228&lt;&gt;"No"),4,IF(AND(H228&lt;&gt;"",I228&lt;&gt;""),3,IF(F228&lt;&gt;"",2,1)))))</x:f>
        <x:v>T4</x:v>
      </x:c>
      <x:c r="U228" s="24" t="str">
        <x:v>VRM Games</x:v>
      </x:c>
      <x:c r="V228" s="24" t="str">
        <x:v>No se detectó proveedor externo en la ruta; confirmar autoría por lote antes de release público.</x:v>
      </x:c>
    </x:row>
    <x:row r="229" ht="34" customHeight="1">
      <x:c r="A229" s="24" t="str">
        <x:v>TRC-00225</x:v>
      </x:c>
      <x:c r="B229" s="24" t="str">
        <x:v>219f7c28a70241e45939b64cb1acf65e</x:v>
      </x:c>
      <x:c r="C229" s="24" t="str">
        <x:v>Wall200.prefab</x:v>
      </x:c>
      <x:c r="D229" s="24" t="str">
        <x:v>Prefab</x:v>
      </x:c>
      <x:c r="E229" s="24" t="str">
        <x:v>03_Assets_Internos</x:v>
      </x:c>
      <x:c r="F229" s="24" t="str">
        <x:v>INT-0225</x:v>
      </x:c>
      <x:c r="G229" s="24" t="str">
        <x:v>VRM Games / Blas Luis Rocha González</x:v>
      </x:c>
      <x:c r="H229" s="24" t="str">
        <x:v>Internal project IP / authorship claim</x:v>
      </x:c>
      <x:c r="I229" s="24" t="str">
        <x:v>Source package + repository path + hash</x:v>
      </x:c>
      <x:c r="J229" s="24" t="str">
        <x:v>cd8417236e9fee3a267832e42bb38e57d8abb52af7dc1741c1c4d45db2eaf5db</x:v>
      </x:c>
      <x:c r="K229" s="24" t="str">
        <x:v>Assets/_Project/Prefabs/Architecture/Wall200.prefab</x:v>
      </x:c>
      <x:c r="L229" s="24" t="str">
        <x:v>CR-004</x:v>
      </x:c>
      <x:c r="M229" s="24" t="str"/>
      <x:c r="N229" s="24" t="str">
        <x:v>RES-001;RES-014</x:v>
      </x:c>
      <x:c r="O229" s="24" t="str">
        <x:v>Internal development; public candidate requires gate</x:v>
      </x:c>
      <x:c r="P229" s="24" t="str">
        <x:v>CONDITIONALLY APPROVED</x:v>
      </x:c>
      <x:c r="Q229" s="24" t="str">
        <x:v>Low</x:v>
      </x:c>
      <x:c r="R229" s="24" t="str"/>
      <x:c r="S229" s="24" t="str">
        <x:v>Parcial</x:v>
      </x:c>
      <x:c r="T229" s="24" t="str">
        <x:f>"T"&amp;IF(AND(H229&lt;&gt;"",I229&lt;&gt;"",J229&lt;&gt;"",L229&lt;&gt;"",N229&lt;&gt;"",O229&lt;&gt;"",P229="APPROVED PUBLIC",S229="Sí"),6,IF(AND(H229&lt;&gt;"",I229&lt;&gt;"",J229&lt;&gt;"",L229&lt;&gt;"",N229&lt;&gt;"",O229&lt;&gt;"",P229&lt;&gt;"",S229="Sí"),5,IF(AND(H229&lt;&gt;"",I229&lt;&gt;"",P229&lt;&gt;"",S229&lt;&gt;"No"),4,IF(AND(H229&lt;&gt;"",I229&lt;&gt;""),3,IF(F229&lt;&gt;"",2,1)))))</x:f>
        <x:v>T4</x:v>
      </x:c>
      <x:c r="U229" s="24" t="str">
        <x:v>VRM Games</x:v>
      </x:c>
      <x:c r="V229" s="24" t="str">
        <x:v>No se detectó proveedor externo en la ruta; confirmar autoría por lote antes de release público.</x:v>
      </x:c>
    </x:row>
    <x:row r="230" ht="34" customHeight="1">
      <x:c r="A230" s="24" t="str">
        <x:v>TRC-00226</x:v>
      </x:c>
      <x:c r="B230" s="24" t="str">
        <x:v>663f1a1d303a53e4eb6308dfc89a0bbf</x:v>
      </x:c>
      <x:c r="C230" s="24" t="str">
        <x:v>Wall400.prefab</x:v>
      </x:c>
      <x:c r="D230" s="24" t="str">
        <x:v>Prefab</x:v>
      </x:c>
      <x:c r="E230" s="24" t="str">
        <x:v>03_Assets_Internos</x:v>
      </x:c>
      <x:c r="F230" s="24" t="str">
        <x:v>INT-0226</x:v>
      </x:c>
      <x:c r="G230" s="24" t="str">
        <x:v>VRM Games / Blas Luis Rocha González</x:v>
      </x:c>
      <x:c r="H230" s="24" t="str">
        <x:v>Internal project IP / authorship claim</x:v>
      </x:c>
      <x:c r="I230" s="24" t="str">
        <x:v>Source package + repository path + hash</x:v>
      </x:c>
      <x:c r="J230" s="24" t="str">
        <x:v>1da27051d5e9c6fa1e03339d1cc3b184e0fc288b13d0234aed9e90360169d705</x:v>
      </x:c>
      <x:c r="K230" s="24" t="str">
        <x:v>Assets/_Project/Prefabs/Architecture/Wall400.prefab</x:v>
      </x:c>
      <x:c r="L230" s="24" t="str">
        <x:v>CR-004</x:v>
      </x:c>
      <x:c r="M230" s="24" t="str"/>
      <x:c r="N230" s="24" t="str">
        <x:v>RES-001;RES-014</x:v>
      </x:c>
      <x:c r="O230" s="24" t="str">
        <x:v>Internal development; public candidate requires gate</x:v>
      </x:c>
      <x:c r="P230" s="24" t="str">
        <x:v>CONDITIONALLY APPROVED</x:v>
      </x:c>
      <x:c r="Q230" s="24" t="str">
        <x:v>Low</x:v>
      </x:c>
      <x:c r="R230" s="24" t="str"/>
      <x:c r="S230" s="24" t="str">
        <x:v>Parcial</x:v>
      </x:c>
      <x:c r="T230" s="24" t="str">
        <x:f>"T"&amp;IF(AND(H230&lt;&gt;"",I230&lt;&gt;"",J230&lt;&gt;"",L230&lt;&gt;"",N230&lt;&gt;"",O230&lt;&gt;"",P230="APPROVED PUBLIC",S230="Sí"),6,IF(AND(H230&lt;&gt;"",I230&lt;&gt;"",J230&lt;&gt;"",L230&lt;&gt;"",N230&lt;&gt;"",O230&lt;&gt;"",P230&lt;&gt;"",S230="Sí"),5,IF(AND(H230&lt;&gt;"",I230&lt;&gt;"",P230&lt;&gt;"",S230&lt;&gt;"No"),4,IF(AND(H230&lt;&gt;"",I230&lt;&gt;""),3,IF(F230&lt;&gt;"",2,1)))))</x:f>
        <x:v>T4</x:v>
      </x:c>
      <x:c r="U230" s="24" t="str">
        <x:v>VRM Games</x:v>
      </x:c>
      <x:c r="V230" s="24" t="str">
        <x:v>No se detectó proveedor externo en la ruta; confirmar autoría por lote antes de release público.</x:v>
      </x:c>
    </x:row>
    <x:row r="231" ht="34" customHeight="1">
      <x:c r="A231" s="24" t="str">
        <x:v>TRC-00227</x:v>
      </x:c>
      <x:c r="B231" s="24" t="str">
        <x:v>cdb9e17a4b7c43a4492d0ac23ae81da2</x:v>
      </x:c>
      <x:c r="C231" s="24" t="str">
        <x:v>ZoneBackroom.prefab</x:v>
      </x:c>
      <x:c r="D231" s="24" t="str">
        <x:v>Prefab</x:v>
      </x:c>
      <x:c r="E231" s="24" t="str">
        <x:v>03_Assets_Internos</x:v>
      </x:c>
      <x:c r="F231" s="24" t="str">
        <x:v>INT-0227</x:v>
      </x:c>
      <x:c r="G231" s="24" t="str">
        <x:v>VRM Games / Blas Luis Rocha González</x:v>
      </x:c>
      <x:c r="H231" s="24" t="str">
        <x:v>Internal project IP / authorship claim</x:v>
      </x:c>
      <x:c r="I231" s="24" t="str">
        <x:v>Source package + repository path + hash</x:v>
      </x:c>
      <x:c r="J231" s="24" t="str">
        <x:v>957bfc6f60ae38f647dd76f278c3575c97d3181be3f50c036760f984553ae5c1</x:v>
      </x:c>
      <x:c r="K231" s="24" t="str">
        <x:v>Assets/_Project/Prefabs/Architecture/ZoneBackroom.prefab</x:v>
      </x:c>
      <x:c r="L231" s="24" t="str">
        <x:v>CR-004</x:v>
      </x:c>
      <x:c r="M231" s="24" t="str"/>
      <x:c r="N231" s="24" t="str">
        <x:v>RES-001;RES-014</x:v>
      </x:c>
      <x:c r="O231" s="24" t="str">
        <x:v>Internal development; public candidate requires gate</x:v>
      </x:c>
      <x:c r="P231" s="24" t="str">
        <x:v>CONDITIONALLY APPROVED</x:v>
      </x:c>
      <x:c r="Q231" s="24" t="str">
        <x:v>Low</x:v>
      </x:c>
      <x:c r="R231" s="24" t="str"/>
      <x:c r="S231" s="24" t="str">
        <x:v>Parcial</x:v>
      </x:c>
      <x:c r="T231" s="24" t="str">
        <x:f>"T"&amp;IF(AND(H231&lt;&gt;"",I231&lt;&gt;"",J231&lt;&gt;"",L231&lt;&gt;"",N231&lt;&gt;"",O231&lt;&gt;"",P231="APPROVED PUBLIC",S231="Sí"),6,IF(AND(H231&lt;&gt;"",I231&lt;&gt;"",J231&lt;&gt;"",L231&lt;&gt;"",N231&lt;&gt;"",O231&lt;&gt;"",P231&lt;&gt;"",S231="Sí"),5,IF(AND(H231&lt;&gt;"",I231&lt;&gt;"",P231&lt;&gt;"",S231&lt;&gt;"No"),4,IF(AND(H231&lt;&gt;"",I231&lt;&gt;""),3,IF(F231&lt;&gt;"",2,1)))))</x:f>
        <x:v>T4</x:v>
      </x:c>
      <x:c r="U231" s="24" t="str">
        <x:v>VRM Games</x:v>
      </x:c>
      <x:c r="V231" s="24" t="str">
        <x:v>No se detectó proveedor externo en la ruta; confirmar autoría por lote antes de release público.</x:v>
      </x:c>
    </x:row>
    <x:row r="232" ht="34" customHeight="1">
      <x:c r="A232" s="24" t="str">
        <x:v>TRC-00228</x:v>
      </x:c>
      <x:c r="B232" s="24" t="str">
        <x:v>c974ec151bb118a408c386f9e8bbb4dd</x:v>
      </x:c>
      <x:c r="C232" s="24" t="str">
        <x:v>ZoneCheckout.prefab</x:v>
      </x:c>
      <x:c r="D232" s="24" t="str">
        <x:v>Prefab</x:v>
      </x:c>
      <x:c r="E232" s="24" t="str">
        <x:v>03_Assets_Internos</x:v>
      </x:c>
      <x:c r="F232" s="24" t="str">
        <x:v>INT-0228</x:v>
      </x:c>
      <x:c r="G232" s="24" t="str">
        <x:v>VRM Games / Blas Luis Rocha González</x:v>
      </x:c>
      <x:c r="H232" s="24" t="str">
        <x:v>Internal project IP / authorship claim</x:v>
      </x:c>
      <x:c r="I232" s="24" t="str">
        <x:v>Source package + repository path + hash</x:v>
      </x:c>
      <x:c r="J232" s="24" t="str">
        <x:v>fbb471478a93a4e8939bbf804c630d8e94e09662f689bd11ef4d8b7887a60a1b</x:v>
      </x:c>
      <x:c r="K232" s="24" t="str">
        <x:v>Assets/_Project/Prefabs/Architecture/ZoneCheckout.prefab</x:v>
      </x:c>
      <x:c r="L232" s="24" t="str">
        <x:v>CR-004</x:v>
      </x:c>
      <x:c r="M232" s="24" t="str"/>
      <x:c r="N232" s="24" t="str">
        <x:v>RES-001;RES-014</x:v>
      </x:c>
      <x:c r="O232" s="24" t="str">
        <x:v>Internal development; public candidate requires gate</x:v>
      </x:c>
      <x:c r="P232" s="24" t="str">
        <x:v>CONDITIONALLY APPROVED</x:v>
      </x:c>
      <x:c r="Q232" s="24" t="str">
        <x:v>Low</x:v>
      </x:c>
      <x:c r="R232" s="24" t="str"/>
      <x:c r="S232" s="24" t="str">
        <x:v>Parcial</x:v>
      </x:c>
      <x:c r="T232" s="24" t="str">
        <x:f>"T"&amp;IF(AND(H232&lt;&gt;"",I232&lt;&gt;"",J232&lt;&gt;"",L232&lt;&gt;"",N232&lt;&gt;"",O232&lt;&gt;"",P232="APPROVED PUBLIC",S232="Sí"),6,IF(AND(H232&lt;&gt;"",I232&lt;&gt;"",J232&lt;&gt;"",L232&lt;&gt;"",N232&lt;&gt;"",O232&lt;&gt;"",P232&lt;&gt;"",S232="Sí"),5,IF(AND(H232&lt;&gt;"",I232&lt;&gt;"",P232&lt;&gt;"",S232&lt;&gt;"No"),4,IF(AND(H232&lt;&gt;"",I232&lt;&gt;""),3,IF(F232&lt;&gt;"",2,1)))))</x:f>
        <x:v>T4</x:v>
      </x:c>
      <x:c r="U232" s="24" t="str">
        <x:v>VRM Games</x:v>
      </x:c>
      <x:c r="V232" s="24" t="str">
        <x:v>No se detectó proveedor externo en la ruta; confirmar autoría por lote antes de release público.</x:v>
      </x:c>
    </x:row>
    <x:row r="233" ht="34" customHeight="1">
      <x:c r="A233" s="24" t="str">
        <x:v>TRC-00229</x:v>
      </x:c>
      <x:c r="B233" s="24" t="str">
        <x:v>c6b702ea4697f7244bb3c227e8531b22</x:v>
      </x:c>
      <x:c r="C233" s="24" t="str">
        <x:v>ZoneReceiving.prefab</x:v>
      </x:c>
      <x:c r="D233" s="24" t="str">
        <x:v>Prefab</x:v>
      </x:c>
      <x:c r="E233" s="24" t="str">
        <x:v>03_Assets_Internos</x:v>
      </x:c>
      <x:c r="F233" s="24" t="str">
        <x:v>INT-0229</x:v>
      </x:c>
      <x:c r="G233" s="24" t="str">
        <x:v>VRM Games / Blas Luis Rocha González</x:v>
      </x:c>
      <x:c r="H233" s="24" t="str">
        <x:v>Internal project IP / authorship claim</x:v>
      </x:c>
      <x:c r="I233" s="24" t="str">
        <x:v>Source package + repository path + hash</x:v>
      </x:c>
      <x:c r="J233" s="24" t="str">
        <x:v>1e74c530096a9d8976bd4bc0346ef3b6637e0ccf7cd044b1c4b9c3ab76d9da9f</x:v>
      </x:c>
      <x:c r="K233" s="24" t="str">
        <x:v>Assets/_Project/Prefabs/Architecture/ZoneReceiving.prefab</x:v>
      </x:c>
      <x:c r="L233" s="24" t="str">
        <x:v>CR-004</x:v>
      </x:c>
      <x:c r="M233" s="24" t="str"/>
      <x:c r="N233" s="24" t="str">
        <x:v>RES-001;RES-014</x:v>
      </x:c>
      <x:c r="O233" s="24" t="str">
        <x:v>Internal development; public candidate requires gate</x:v>
      </x:c>
      <x:c r="P233" s="24" t="str">
        <x:v>CONDITIONALLY APPROVED</x:v>
      </x:c>
      <x:c r="Q233" s="24" t="str">
        <x:v>Low</x:v>
      </x:c>
      <x:c r="R233" s="24" t="str"/>
      <x:c r="S233" s="24" t="str">
        <x:v>Parcial</x:v>
      </x:c>
      <x:c r="T233" s="24" t="str">
        <x:f>"T"&amp;IF(AND(H233&lt;&gt;"",I233&lt;&gt;"",J233&lt;&gt;"",L233&lt;&gt;"",N233&lt;&gt;"",O233&lt;&gt;"",P233="APPROVED PUBLIC",S233="Sí"),6,IF(AND(H233&lt;&gt;"",I233&lt;&gt;"",J233&lt;&gt;"",L233&lt;&gt;"",N233&lt;&gt;"",O233&lt;&gt;"",P233&lt;&gt;"",S233="Sí"),5,IF(AND(H233&lt;&gt;"",I233&lt;&gt;"",P233&lt;&gt;"",S233&lt;&gt;"No"),4,IF(AND(H233&lt;&gt;"",I233&lt;&gt;""),3,IF(F233&lt;&gt;"",2,1)))))</x:f>
        <x:v>T4</x:v>
      </x:c>
      <x:c r="U233" s="24" t="str">
        <x:v>VRM Games</x:v>
      </x:c>
      <x:c r="V233" s="24" t="str">
        <x:v>No se detectó proveedor externo en la ruta; confirmar autoría por lote antes de release público.</x:v>
      </x:c>
    </x:row>
    <x:row r="234" ht="34" customHeight="1">
      <x:c r="A234" s="24" t="str">
        <x:v>TRC-00230</x:v>
      </x:c>
      <x:c r="B234" s="24" t="str">
        <x:v>4162f604c6cdaeb4b371b15c22db37d8</x:v>
      </x:c>
      <x:c r="C234" s="24" t="str">
        <x:v>Customer.prefab</x:v>
      </x:c>
      <x:c r="D234" s="24" t="str">
        <x:v>Prefab</x:v>
      </x:c>
      <x:c r="E234" s="24" t="str">
        <x:v>03_Assets_Internos</x:v>
      </x:c>
      <x:c r="F234" s="24" t="str">
        <x:v>INT-0230</x:v>
      </x:c>
      <x:c r="G234" s="24" t="str">
        <x:v>VRM Games / Blas Luis Rocha González</x:v>
      </x:c>
      <x:c r="H234" s="24" t="str">
        <x:v>Internal project IP / authorship claim</x:v>
      </x:c>
      <x:c r="I234" s="24" t="str">
        <x:v>Source package + repository path + hash</x:v>
      </x:c>
      <x:c r="J234" s="24" t="str">
        <x:v>970c014fa6041d4da1cc2be125f4ebe262aa5429412c90f2c08f8dc7b0cbac5e</x:v>
      </x:c>
      <x:c r="K234" s="24" t="str">
        <x:v>Assets/_Project/Prefabs/Characters/Customer.prefab</x:v>
      </x:c>
      <x:c r="L234" s="24" t="str">
        <x:v>CR-004</x:v>
      </x:c>
      <x:c r="M234" s="24" t="str"/>
      <x:c r="N234" s="24" t="str">
        <x:v>RES-001;RES-014</x:v>
      </x:c>
      <x:c r="O234" s="24" t="str">
        <x:v>Internal development; public candidate requires gate</x:v>
      </x:c>
      <x:c r="P234" s="24" t="str">
        <x:v>CONDITIONALLY APPROVED</x:v>
      </x:c>
      <x:c r="Q234" s="24" t="str">
        <x:v>Low</x:v>
      </x:c>
      <x:c r="R234" s="24" t="str"/>
      <x:c r="S234" s="24" t="str">
        <x:v>Parcial</x:v>
      </x:c>
      <x:c r="T234" s="24" t="str">
        <x:f>"T"&amp;IF(AND(H234&lt;&gt;"",I234&lt;&gt;"",J234&lt;&gt;"",L234&lt;&gt;"",N234&lt;&gt;"",O234&lt;&gt;"",P234="APPROVED PUBLIC",S234="Sí"),6,IF(AND(H234&lt;&gt;"",I234&lt;&gt;"",J234&lt;&gt;"",L234&lt;&gt;"",N234&lt;&gt;"",O234&lt;&gt;"",P234&lt;&gt;"",S234="Sí"),5,IF(AND(H234&lt;&gt;"",I234&lt;&gt;"",P234&lt;&gt;"",S234&lt;&gt;"No"),4,IF(AND(H234&lt;&gt;"",I234&lt;&gt;""),3,IF(F234&lt;&gt;"",2,1)))))</x:f>
        <x:v>T4</x:v>
      </x:c>
      <x:c r="U234" s="24" t="str">
        <x:v>VRM Games</x:v>
      </x:c>
      <x:c r="V234" s="24" t="str">
        <x:v>No se detectó proveedor externo en la ruta; confirmar autoría por lote antes de release público.</x:v>
      </x:c>
    </x:row>
    <x:row r="235" ht="34" customHeight="1">
      <x:c r="A235" s="24" t="str">
        <x:v>TRC-00231</x:v>
      </x:c>
      <x:c r="B235" s="24" t="str">
        <x:v>4b1411d15857a987fb399929287686ee</x:v>
      </x:c>
      <x:c r="C235" s="24" t="str">
        <x:v>Employee.prefab</x:v>
      </x:c>
      <x:c r="D235" s="24" t="str">
        <x:v>Prefab</x:v>
      </x:c>
      <x:c r="E235" s="24" t="str">
        <x:v>03_Assets_Internos</x:v>
      </x:c>
      <x:c r="F235" s="24" t="str">
        <x:v>INT-0231</x:v>
      </x:c>
      <x:c r="G235" s="24" t="str">
        <x:v>VRM Games / Blas Luis Rocha González</x:v>
      </x:c>
      <x:c r="H235" s="24" t="str">
        <x:v>Internal project IP / authorship claim</x:v>
      </x:c>
      <x:c r="I235" s="24" t="str">
        <x:v>Source package + repository path + hash</x:v>
      </x:c>
      <x:c r="J235" s="24" t="str">
        <x:v>e07cfe88858c4b9ec6b0722652058cd33263fafe2cb0a92d771ddc769a34058e</x:v>
      </x:c>
      <x:c r="K235" s="24" t="str">
        <x:v>Assets/_Project/Prefabs/Characters/Employee.prefab</x:v>
      </x:c>
      <x:c r="L235" s="24" t="str">
        <x:v>CR-004</x:v>
      </x:c>
      <x:c r="M235" s="24" t="str"/>
      <x:c r="N235" s="24" t="str">
        <x:v>RES-001;RES-014</x:v>
      </x:c>
      <x:c r="O235" s="24" t="str">
        <x:v>Internal development; public candidate requires gate</x:v>
      </x:c>
      <x:c r="P235" s="24" t="str">
        <x:v>CONDITIONALLY APPROVED</x:v>
      </x:c>
      <x:c r="Q235" s="24" t="str">
        <x:v>Low</x:v>
      </x:c>
      <x:c r="R235" s="24" t="str"/>
      <x:c r="S235" s="24" t="str">
        <x:v>Parcial</x:v>
      </x:c>
      <x:c r="T235" s="24" t="str">
        <x:f>"T"&amp;IF(AND(H235&lt;&gt;"",I235&lt;&gt;"",J235&lt;&gt;"",L235&lt;&gt;"",N235&lt;&gt;"",O235&lt;&gt;"",P235="APPROVED PUBLIC",S235="Sí"),6,IF(AND(H235&lt;&gt;"",I235&lt;&gt;"",J235&lt;&gt;"",L235&lt;&gt;"",N235&lt;&gt;"",O235&lt;&gt;"",P235&lt;&gt;"",S235="Sí"),5,IF(AND(H235&lt;&gt;"",I235&lt;&gt;"",P235&lt;&gt;"",S235&lt;&gt;"No"),4,IF(AND(H235&lt;&gt;"",I235&lt;&gt;""),3,IF(F235&lt;&gt;"",2,1)))))</x:f>
        <x:v>T4</x:v>
      </x:c>
      <x:c r="U235" s="24" t="str">
        <x:v>VRM Games</x:v>
      </x:c>
      <x:c r="V235" s="24" t="str">
        <x:v>No se detectó proveedor externo en la ruta; confirmar autoría por lote antes de release público.</x:v>
      </x:c>
    </x:row>
    <x:row r="236" ht="34" customHeight="1">
      <x:c r="A236" s="24" t="str">
        <x:v>TRC-00232</x:v>
      </x:c>
      <x:c r="B236" s="24" t="str">
        <x:v>9b81dd090fe288d9a27264622bb20fa4</x:v>
      </x:c>
      <x:c r="C236" s="24" t="str">
        <x:v>Supplier.prefab</x:v>
      </x:c>
      <x:c r="D236" s="24" t="str">
        <x:v>Prefab</x:v>
      </x:c>
      <x:c r="E236" s="24" t="str">
        <x:v>03_Assets_Internos</x:v>
      </x:c>
      <x:c r="F236" s="24" t="str">
        <x:v>INT-0232</x:v>
      </x:c>
      <x:c r="G236" s="24" t="str">
        <x:v>VRM Games / Blas Luis Rocha González</x:v>
      </x:c>
      <x:c r="H236" s="24" t="str">
        <x:v>Internal project IP / authorship claim</x:v>
      </x:c>
      <x:c r="I236" s="24" t="str">
        <x:v>Source package + repository path + hash</x:v>
      </x:c>
      <x:c r="J236" s="24" t="str">
        <x:v>2db2a904d43801f18afa988734a7f81d0f4514e20deae09533ea3ae893adfd74</x:v>
      </x:c>
      <x:c r="K236" s="24" t="str">
        <x:v>Assets/_Project/Prefabs/Characters/Supplier.prefab</x:v>
      </x:c>
      <x:c r="L236" s="24" t="str">
        <x:v>CR-004</x:v>
      </x:c>
      <x:c r="M236" s="24" t="str"/>
      <x:c r="N236" s="24" t="str">
        <x:v>RES-001;RES-014</x:v>
      </x:c>
      <x:c r="O236" s="24" t="str">
        <x:v>Internal development; public candidate requires gate</x:v>
      </x:c>
      <x:c r="P236" s="24" t="str">
        <x:v>CONDITIONALLY APPROVED</x:v>
      </x:c>
      <x:c r="Q236" s="24" t="str">
        <x:v>Low</x:v>
      </x:c>
      <x:c r="R236" s="24" t="str"/>
      <x:c r="S236" s="24" t="str">
        <x:v>Parcial</x:v>
      </x:c>
      <x:c r="T236" s="24" t="str">
        <x:f>"T"&amp;IF(AND(H236&lt;&gt;"",I236&lt;&gt;"",J236&lt;&gt;"",L236&lt;&gt;"",N236&lt;&gt;"",O236&lt;&gt;"",P236="APPROVED PUBLIC",S236="Sí"),6,IF(AND(H236&lt;&gt;"",I236&lt;&gt;"",J236&lt;&gt;"",L236&lt;&gt;"",N236&lt;&gt;"",O236&lt;&gt;"",P236&lt;&gt;"",S236="Sí"),5,IF(AND(H236&lt;&gt;"",I236&lt;&gt;"",P236&lt;&gt;"",S236&lt;&gt;"No"),4,IF(AND(H236&lt;&gt;"",I236&lt;&gt;""),3,IF(F236&lt;&gt;"",2,1)))))</x:f>
        <x:v>T4</x:v>
      </x:c>
      <x:c r="U236" s="24" t="str">
        <x:v>VRM Games</x:v>
      </x:c>
      <x:c r="V236" s="24" t="str">
        <x:v>No se detectó proveedor externo en la ruta; confirmar autoría por lote antes de release público.</x:v>
      </x:c>
    </x:row>
    <x:row r="237" ht="34" customHeight="1">
      <x:c r="A237" s="24" t="str">
        <x:v>TRC-00233</x:v>
      </x:c>
      <x:c r="B237" s="24" t="str">
        <x:v>ad136dd934173d54ca638b8d1feaf4b5</x:v>
      </x:c>
      <x:c r="C237" s="24" t="str">
        <x:v>CodeCardRack.prefab</x:v>
      </x:c>
      <x:c r="D237" s="24" t="str">
        <x:v>Prefab</x:v>
      </x:c>
      <x:c r="E237" s="24" t="str">
        <x:v>03_Assets_Internos</x:v>
      </x:c>
      <x:c r="F237" s="24" t="str">
        <x:v>INT-0233</x:v>
      </x:c>
      <x:c r="G237" s="24" t="str">
        <x:v>VRM Games / Blas Luis Rocha González</x:v>
      </x:c>
      <x:c r="H237" s="24" t="str">
        <x:v>Internal project IP / authorship claim</x:v>
      </x:c>
      <x:c r="I237" s="24" t="str">
        <x:v>Source package + repository path + hash</x:v>
      </x:c>
      <x:c r="J237" s="24" t="str">
        <x:v>81b577bdd801ba6fdaebdb0ddc6c369a169652b0155054a53e6316e43eb7b659</x:v>
      </x:c>
      <x:c r="K237" s="24" t="str">
        <x:v>Assets/_Project/Prefabs/Expansions/Digital/CodeCardRack.prefab</x:v>
      </x:c>
      <x:c r="L237" s="24" t="str">
        <x:v>CR-004</x:v>
      </x:c>
      <x:c r="M237" s="24" t="str"/>
      <x:c r="N237" s="24" t="str">
        <x:v>RES-001;RES-014</x:v>
      </x:c>
      <x:c r="O237" s="24" t="str">
        <x:v>Internal development; public candidate requires gate</x:v>
      </x:c>
      <x:c r="P237" s="24" t="str">
        <x:v>NOT AUTHORIZED</x:v>
      </x:c>
      <x:c r="Q237" s="24" t="str">
        <x:v>Low</x:v>
      </x:c>
      <x:c r="R237" s="24" t="str"/>
      <x:c r="S237" s="24" t="str">
        <x:v>Parcial</x:v>
      </x:c>
      <x:c r="T237" s="24" t="str">
        <x:f>"T"&amp;IF(AND(H237&lt;&gt;"",I237&lt;&gt;"",J237&lt;&gt;"",L237&lt;&gt;"",N237&lt;&gt;"",O237&lt;&gt;"",P237="APPROVED PUBLIC",S237="Sí"),6,IF(AND(H237&lt;&gt;"",I237&lt;&gt;"",J237&lt;&gt;"",L237&lt;&gt;"",N237&lt;&gt;"",O237&lt;&gt;"",P237&lt;&gt;"",S237="Sí"),5,IF(AND(H237&lt;&gt;"",I237&lt;&gt;"",P237&lt;&gt;"",S237&lt;&gt;"No"),4,IF(AND(H237&lt;&gt;"",I237&lt;&gt;""),3,IF(F237&lt;&gt;"",2,1)))))</x:f>
        <x:v>T4</x:v>
      </x:c>
      <x:c r="U237" s="24" t="str">
        <x:v>VRM Games</x:v>
      </x:c>
      <x:c r="V237" s="24" t="str">
        <x:v>No se detectó proveedor externo en la ruta; confirmar autoría por lote antes de release público.</x:v>
      </x:c>
    </x:row>
    <x:row r="238" ht="34" customHeight="1">
      <x:c r="A238" s="24" t="str">
        <x:v>TRC-00234</x:v>
      </x:c>
      <x:c r="B238" s="24" t="str">
        <x:v>27b991dc477438f4b89bfdcc0592b050</x:v>
      </x:c>
      <x:c r="C238" s="24" t="str">
        <x:v>Kiosk.prefab</x:v>
      </x:c>
      <x:c r="D238" s="24" t="str">
        <x:v>Prefab</x:v>
      </x:c>
      <x:c r="E238" s="24" t="str">
        <x:v>03_Assets_Internos</x:v>
      </x:c>
      <x:c r="F238" s="24" t="str">
        <x:v>INT-0234</x:v>
      </x:c>
      <x:c r="G238" s="24" t="str">
        <x:v>VRM Games / Blas Luis Rocha González</x:v>
      </x:c>
      <x:c r="H238" s="24" t="str">
        <x:v>Internal project IP / authorship claim</x:v>
      </x:c>
      <x:c r="I238" s="24" t="str">
        <x:v>Source package + repository path + hash</x:v>
      </x:c>
      <x:c r="J238" s="24" t="str">
        <x:v>a2a88dc9ebd00d31fda6da8baf2a92ffa64b12d2de98c11a9d6d7f261e2b3158</x:v>
      </x:c>
      <x:c r="K238" s="24" t="str">
        <x:v>Assets/_Project/Prefabs/Expansions/Digital/Kiosk.prefab</x:v>
      </x:c>
      <x:c r="L238" s="24" t="str">
        <x:v>CR-004</x:v>
      </x:c>
      <x:c r="M238" s="24" t="str"/>
      <x:c r="N238" s="24" t="str">
        <x:v>RES-001;RES-014</x:v>
      </x:c>
      <x:c r="O238" s="24" t="str">
        <x:v>Internal development; public candidate requires gate</x:v>
      </x:c>
      <x:c r="P238" s="24" t="str">
        <x:v>NOT AUTHORIZED</x:v>
      </x:c>
      <x:c r="Q238" s="24" t="str">
        <x:v>Low</x:v>
      </x:c>
      <x:c r="R238" s="24" t="str"/>
      <x:c r="S238" s="24" t="str">
        <x:v>Parcial</x:v>
      </x:c>
      <x:c r="T238" s="24" t="str">
        <x:f>"T"&amp;IF(AND(H238&lt;&gt;"",I238&lt;&gt;"",J238&lt;&gt;"",L238&lt;&gt;"",N238&lt;&gt;"",O238&lt;&gt;"",P238="APPROVED PUBLIC",S238="Sí"),6,IF(AND(H238&lt;&gt;"",I238&lt;&gt;"",J238&lt;&gt;"",L238&lt;&gt;"",N238&lt;&gt;"",O238&lt;&gt;"",P238&lt;&gt;"",S238="Sí"),5,IF(AND(H238&lt;&gt;"",I238&lt;&gt;"",P238&lt;&gt;"",S238&lt;&gt;"No"),4,IF(AND(H238&lt;&gt;"",I238&lt;&gt;""),3,IF(F238&lt;&gt;"",2,1)))))</x:f>
        <x:v>T4</x:v>
      </x:c>
      <x:c r="U238" s="24" t="str">
        <x:v>VRM Games</x:v>
      </x:c>
      <x:c r="V238" s="24" t="str">
        <x:v>No se detectó proveedor externo en la ruta; confirmar autoría por lote antes de release público.</x:v>
      </x:c>
    </x:row>
    <x:row r="239" ht="34" customHeight="1">
      <x:c r="A239" s="24" t="str">
        <x:v>TRC-00235</x:v>
      </x:c>
      <x:c r="B239" s="24" t="str">
        <x:v>5a8a91561c8b8a440a5443f0eb8444c2</x:v>
      </x:c>
      <x:c r="C239" s="24" t="str">
        <x:v>OrderDesk.prefab</x:v>
      </x:c>
      <x:c r="D239" s="24" t="str">
        <x:v>Prefab</x:v>
      </x:c>
      <x:c r="E239" s="24" t="str">
        <x:v>03_Assets_Internos</x:v>
      </x:c>
      <x:c r="F239" s="24" t="str">
        <x:v>INT-0235</x:v>
      </x:c>
      <x:c r="G239" s="24" t="str">
        <x:v>VRM Games / Blas Luis Rocha González</x:v>
      </x:c>
      <x:c r="H239" s="24" t="str">
        <x:v>Internal project IP / authorship claim</x:v>
      </x:c>
      <x:c r="I239" s="24" t="str">
        <x:v>Source package + repository path + hash</x:v>
      </x:c>
      <x:c r="J239" s="24" t="str">
        <x:v>7431cd381bc1c5e2a926de5686c2bdeb4a9a54ee8dabe0ffebe2d89573be9c04</x:v>
      </x:c>
      <x:c r="K239" s="24" t="str">
        <x:v>Assets/_Project/Prefabs/Expansions/Ecommerce/OrderDesk.prefab</x:v>
      </x:c>
      <x:c r="L239" s="24" t="str">
        <x:v>CR-004</x:v>
      </x:c>
      <x:c r="M239" s="24" t="str"/>
      <x:c r="N239" s="24" t="str">
        <x:v>RES-001;RES-014</x:v>
      </x:c>
      <x:c r="O239" s="24" t="str">
        <x:v>Internal development; public candidate requires gate</x:v>
      </x:c>
      <x:c r="P239" s="24" t="str">
        <x:v>NOT AUTHORIZED</x:v>
      </x:c>
      <x:c r="Q239" s="24" t="str">
        <x:v>Low</x:v>
      </x:c>
      <x:c r="R239" s="24" t="str"/>
      <x:c r="S239" s="24" t="str">
        <x:v>Parcial</x:v>
      </x:c>
      <x:c r="T239" s="24" t="str">
        <x:f>"T"&amp;IF(AND(H239&lt;&gt;"",I239&lt;&gt;"",J239&lt;&gt;"",L239&lt;&gt;"",N239&lt;&gt;"",O239&lt;&gt;"",P239="APPROVED PUBLIC",S239="Sí"),6,IF(AND(H239&lt;&gt;"",I239&lt;&gt;"",J239&lt;&gt;"",L239&lt;&gt;"",N239&lt;&gt;"",O239&lt;&gt;"",P239&lt;&gt;"",S239="Sí"),5,IF(AND(H239&lt;&gt;"",I239&lt;&gt;"",P239&lt;&gt;"",S239&lt;&gt;"No"),4,IF(AND(H239&lt;&gt;"",I239&lt;&gt;""),3,IF(F239&lt;&gt;"",2,1)))))</x:f>
        <x:v>T4</x:v>
      </x:c>
      <x:c r="U239" s="24" t="str">
        <x:v>VRM Games</x:v>
      </x:c>
      <x:c r="V239" s="24" t="str">
        <x:v>No se detectó proveedor externo en la ruta; confirmar autoría por lote antes de release público.</x:v>
      </x:c>
    </x:row>
    <x:row r="240" ht="34" customHeight="1">
      <x:c r="A240" s="24" t="str">
        <x:v>TRC-00236</x:v>
      </x:c>
      <x:c r="B240" s="24" t="str">
        <x:v>4377692523ad661419e4bd1c2bbe7a66</x:v>
      </x:c>
      <x:c r="C240" s="24" t="str">
        <x:v>SortBins.prefab</x:v>
      </x:c>
      <x:c r="D240" s="24" t="str">
        <x:v>Prefab</x:v>
      </x:c>
      <x:c r="E240" s="24" t="str">
        <x:v>03_Assets_Internos</x:v>
      </x:c>
      <x:c r="F240" s="24" t="str">
        <x:v>INT-0236</x:v>
      </x:c>
      <x:c r="G240" s="24" t="str">
        <x:v>VRM Games / Blas Luis Rocha González</x:v>
      </x:c>
      <x:c r="H240" s="24" t="str">
        <x:v>Internal project IP / authorship claim</x:v>
      </x:c>
      <x:c r="I240" s="24" t="str">
        <x:v>Source package + repository path + hash</x:v>
      </x:c>
      <x:c r="J240" s="24" t="str">
        <x:v>84783301ee0ed8c7e00fa3058f64ebe11d6da90a99174f38d630ca011f5c6d1f</x:v>
      </x:c>
      <x:c r="K240" s="24" t="str">
        <x:v>Assets/_Project/Prefabs/Expansions/Ecommerce/SortBins.prefab</x:v>
      </x:c>
      <x:c r="L240" s="24" t="str">
        <x:v>CR-004</x:v>
      </x:c>
      <x:c r="M240" s="24" t="str"/>
      <x:c r="N240" s="24" t="str">
        <x:v>RES-001;RES-014</x:v>
      </x:c>
      <x:c r="O240" s="24" t="str">
        <x:v>Internal development; public candidate requires gate</x:v>
      </x:c>
      <x:c r="P240" s="24" t="str">
        <x:v>NOT AUTHORIZED</x:v>
      </x:c>
      <x:c r="Q240" s="24" t="str">
        <x:v>Low</x:v>
      </x:c>
      <x:c r="R240" s="24" t="str"/>
      <x:c r="S240" s="24" t="str">
        <x:v>Parcial</x:v>
      </x:c>
      <x:c r="T240" s="24" t="str">
        <x:f>"T"&amp;IF(AND(H240&lt;&gt;"",I240&lt;&gt;"",J240&lt;&gt;"",L240&lt;&gt;"",N240&lt;&gt;"",O240&lt;&gt;"",P240="APPROVED PUBLIC",S240="Sí"),6,IF(AND(H240&lt;&gt;"",I240&lt;&gt;"",J240&lt;&gt;"",L240&lt;&gt;"",N240&lt;&gt;"",O240&lt;&gt;"",P240&lt;&gt;"",S240="Sí"),5,IF(AND(H240&lt;&gt;"",I240&lt;&gt;"",P240&lt;&gt;"",S240&lt;&gt;"No"),4,IF(AND(H240&lt;&gt;"",I240&lt;&gt;""),3,IF(F240&lt;&gt;"",2,1)))))</x:f>
        <x:v>T4</x:v>
      </x:c>
      <x:c r="U240" s="24" t="str">
        <x:v>VRM Games</x:v>
      </x:c>
      <x:c r="V240" s="24" t="str">
        <x:v>No se detectó proveedor externo en la ruta; confirmar autoría por lote antes de release público.</x:v>
      </x:c>
    </x:row>
    <x:row r="241" ht="34" customHeight="1">
      <x:c r="A241" s="24" t="str">
        <x:v>TRC-00237</x:v>
      </x:c>
      <x:c r="B241" s="24" t="str">
        <x:v>3454415fb9851404a9c41a8b3b6aed6f</x:v>
      </x:c>
      <x:c r="C241" s="24" t="str">
        <x:v>Conveyor.prefab</x:v>
      </x:c>
      <x:c r="D241" s="24" t="str">
        <x:v>Prefab</x:v>
      </x:c>
      <x:c r="E241" s="24" t="str">
        <x:v>03_Assets_Internos</x:v>
      </x:c>
      <x:c r="F241" s="24" t="str">
        <x:v>INT-0237</x:v>
      </x:c>
      <x:c r="G241" s="24" t="str">
        <x:v>VRM Games / Blas Luis Rocha González</x:v>
      </x:c>
      <x:c r="H241" s="24" t="str">
        <x:v>Internal project IP / authorship claim</x:v>
      </x:c>
      <x:c r="I241" s="24" t="str">
        <x:v>Source package + repository path + hash</x:v>
      </x:c>
      <x:c r="J241" s="24" t="str">
        <x:v>4bb5639f0993b04504c3a68fae8a4ad3dc0870106dec6db9679e3ea3721ad091</x:v>
      </x:c>
      <x:c r="K241" s="24" t="str">
        <x:v>Assets/_Project/Prefabs/Expansions/Logistics/Conveyor.prefab</x:v>
      </x:c>
      <x:c r="L241" s="24" t="str">
        <x:v>CR-004</x:v>
      </x:c>
      <x:c r="M241" s="24" t="str"/>
      <x:c r="N241" s="24" t="str">
        <x:v>RES-001;RES-014</x:v>
      </x:c>
      <x:c r="O241" s="24" t="str">
        <x:v>Internal development; public candidate requires gate</x:v>
      </x:c>
      <x:c r="P241" s="24" t="str">
        <x:v>NOT AUTHORIZED</x:v>
      </x:c>
      <x:c r="Q241" s="24" t="str">
        <x:v>Low</x:v>
      </x:c>
      <x:c r="R241" s="24" t="str"/>
      <x:c r="S241" s="24" t="str">
        <x:v>Parcial</x:v>
      </x:c>
      <x:c r="T241" s="24" t="str">
        <x:f>"T"&amp;IF(AND(H241&lt;&gt;"",I241&lt;&gt;"",J241&lt;&gt;"",L241&lt;&gt;"",N241&lt;&gt;"",O241&lt;&gt;"",P241="APPROVED PUBLIC",S241="Sí"),6,IF(AND(H241&lt;&gt;"",I241&lt;&gt;"",J241&lt;&gt;"",L241&lt;&gt;"",N241&lt;&gt;"",O241&lt;&gt;"",P241&lt;&gt;"",S241="Sí"),5,IF(AND(H241&lt;&gt;"",I241&lt;&gt;"",P241&lt;&gt;"",S241&lt;&gt;"No"),4,IF(AND(H241&lt;&gt;"",I241&lt;&gt;""),3,IF(F241&lt;&gt;"",2,1)))))</x:f>
        <x:v>T4</x:v>
      </x:c>
      <x:c r="U241" s="24" t="str">
        <x:v>VRM Games</x:v>
      </x:c>
      <x:c r="V241" s="24" t="str">
        <x:v>No se detectó proveedor externo en la ruta; confirmar autoría por lote antes de release público.</x:v>
      </x:c>
    </x:row>
    <x:row r="242" ht="34" customHeight="1">
      <x:c r="A242" s="24" t="str">
        <x:v>TRC-00238</x:v>
      </x:c>
      <x:c r="B242" s="24" t="str">
        <x:v>1f4581ac17447f64da5511d4de941fd0</x:v>
      </x:c>
      <x:c r="C242" s="24" t="str">
        <x:v>PackingStation.prefab</x:v>
      </x:c>
      <x:c r="D242" s="24" t="str">
        <x:v>Prefab</x:v>
      </x:c>
      <x:c r="E242" s="24" t="str">
        <x:v>03_Assets_Internos</x:v>
      </x:c>
      <x:c r="F242" s="24" t="str">
        <x:v>INT-0238</x:v>
      </x:c>
      <x:c r="G242" s="24" t="str">
        <x:v>VRM Games / Blas Luis Rocha González</x:v>
      </x:c>
      <x:c r="H242" s="24" t="str">
        <x:v>Internal project IP / authorship claim</x:v>
      </x:c>
      <x:c r="I242" s="24" t="str">
        <x:v>Source package + repository path + hash</x:v>
      </x:c>
      <x:c r="J242" s="24" t="str">
        <x:v>12dcafc2f1cb3d906cfe9eddc0d297bd76c478cb60625d45a5c8ddc01d3acd1e</x:v>
      </x:c>
      <x:c r="K242" s="24" t="str">
        <x:v>Assets/_Project/Prefabs/Expansions/Logistics/PackingStation.prefab</x:v>
      </x:c>
      <x:c r="L242" s="24" t="str">
        <x:v>CR-004</x:v>
      </x:c>
      <x:c r="M242" s="24" t="str"/>
      <x:c r="N242" s="24" t="str">
        <x:v>RES-001;RES-014</x:v>
      </x:c>
      <x:c r="O242" s="24" t="str">
        <x:v>Internal development; public candidate requires gate</x:v>
      </x:c>
      <x:c r="P242" s="24" t="str">
        <x:v>NOT AUTHORIZED</x:v>
      </x:c>
      <x:c r="Q242" s="24" t="str">
        <x:v>Low</x:v>
      </x:c>
      <x:c r="R242" s="24" t="str"/>
      <x:c r="S242" s="24" t="str">
        <x:v>Parcial</x:v>
      </x:c>
      <x:c r="T242" s="24" t="str">
        <x:f>"T"&amp;IF(AND(H242&lt;&gt;"",I242&lt;&gt;"",J242&lt;&gt;"",L242&lt;&gt;"",N242&lt;&gt;"",O242&lt;&gt;"",P242="APPROVED PUBLIC",S242="Sí"),6,IF(AND(H242&lt;&gt;"",I242&lt;&gt;"",J242&lt;&gt;"",L242&lt;&gt;"",N242&lt;&gt;"",O242&lt;&gt;"",P242&lt;&gt;"",S242="Sí"),5,IF(AND(H242&lt;&gt;"",I242&lt;&gt;"",P242&lt;&gt;"",S242&lt;&gt;"No"),4,IF(AND(H242&lt;&gt;"",I242&lt;&gt;""),3,IF(F242&lt;&gt;"",2,1)))))</x:f>
        <x:v>T4</x:v>
      </x:c>
      <x:c r="U242" s="24" t="str">
        <x:v>VRM Games</x:v>
      </x:c>
      <x:c r="V242" s="24" t="str">
        <x:v>No se detectó proveedor externo en la ruta; confirmar autoría por lote antes de release público.</x:v>
      </x:c>
    </x:row>
    <x:row r="243" ht="34" customHeight="1">
      <x:c r="A243" s="24" t="str">
        <x:v>TRC-00239</x:v>
      </x:c>
      <x:c r="B243" s="24" t="str">
        <x:v>52697d70fc4c75e4b82e2cc8ebcf6142</x:v>
      </x:c>
      <x:c r="C243" s="24" t="str">
        <x:v>RollingCart.prefab</x:v>
      </x:c>
      <x:c r="D243" s="24" t="str">
        <x:v>Prefab</x:v>
      </x:c>
      <x:c r="E243" s="24" t="str">
        <x:v>03_Assets_Internos</x:v>
      </x:c>
      <x:c r="F243" s="24" t="str">
        <x:v>INT-0239</x:v>
      </x:c>
      <x:c r="G243" s="24" t="str">
        <x:v>VRM Games / Blas Luis Rocha González</x:v>
      </x:c>
      <x:c r="H243" s="24" t="str">
        <x:v>Internal project IP / authorship claim</x:v>
      </x:c>
      <x:c r="I243" s="24" t="str">
        <x:v>Source package + repository path + hash</x:v>
      </x:c>
      <x:c r="J243" s="24" t="str">
        <x:v>1c10c9ffba82d8d37eea9543048b019ec035f46b943c7049c7198883efa4e825</x:v>
      </x:c>
      <x:c r="K243" s="24" t="str">
        <x:v>Assets/_Project/Prefabs/Expansions/Logistics/RollingCart.prefab</x:v>
      </x:c>
      <x:c r="L243" s="24" t="str">
        <x:v>CR-004</x:v>
      </x:c>
      <x:c r="M243" s="24" t="str"/>
      <x:c r="N243" s="24" t="str">
        <x:v>RES-001;RES-014</x:v>
      </x:c>
      <x:c r="O243" s="24" t="str">
        <x:v>Internal development; public candidate requires gate</x:v>
      </x:c>
      <x:c r="P243" s="24" t="str">
        <x:v>NOT AUTHORIZED</x:v>
      </x:c>
      <x:c r="Q243" s="24" t="str">
        <x:v>Low</x:v>
      </x:c>
      <x:c r="R243" s="24" t="str"/>
      <x:c r="S243" s="24" t="str">
        <x:v>Parcial</x:v>
      </x:c>
      <x:c r="T243" s="24" t="str">
        <x:f>"T"&amp;IF(AND(H243&lt;&gt;"",I243&lt;&gt;"",J243&lt;&gt;"",L243&lt;&gt;"",N243&lt;&gt;"",O243&lt;&gt;"",P243="APPROVED PUBLIC",S243="Sí"),6,IF(AND(H243&lt;&gt;"",I243&lt;&gt;"",J243&lt;&gt;"",L243&lt;&gt;"",N243&lt;&gt;"",O243&lt;&gt;"",P243&lt;&gt;"",S243="Sí"),5,IF(AND(H243&lt;&gt;"",I243&lt;&gt;"",P243&lt;&gt;"",S243&lt;&gt;"No"),4,IF(AND(H243&lt;&gt;"",I243&lt;&gt;""),3,IF(F243&lt;&gt;"",2,1)))))</x:f>
        <x:v>T4</x:v>
      </x:c>
      <x:c r="U243" s="24" t="str">
        <x:v>VRM Games</x:v>
      </x:c>
      <x:c r="V243" s="24" t="str">
        <x:v>No se detectó proveedor externo en la ruta; confirmar autoría por lote antes de release público.</x:v>
      </x:c>
    </x:row>
    <x:row r="244" ht="34" customHeight="1">
      <x:c r="A244" s="24" t="str">
        <x:v>TRC-00240</x:v>
      </x:c>
      <x:c r="B244" s="24" t="str">
        <x:v>2b6f8ccb4558f7947bf8aec7c1631ac2</x:v>
      </x:c>
      <x:c r="C244" s="24" t="str">
        <x:v>AnalysisWall.prefab</x:v>
      </x:c>
      <x:c r="D244" s="24" t="str">
        <x:v>Prefab</x:v>
      </x:c>
      <x:c r="E244" s="24" t="str">
        <x:v>03_Assets_Internos</x:v>
      </x:c>
      <x:c r="F244" s="24" t="str">
        <x:v>INT-0240</x:v>
      </x:c>
      <x:c r="G244" s="24" t="str">
        <x:v>VRM Games / Blas Luis Rocha González</x:v>
      </x:c>
      <x:c r="H244" s="24" t="str">
        <x:v>Internal project IP / authorship claim</x:v>
      </x:c>
      <x:c r="I244" s="24" t="str">
        <x:v>Source package + repository path + hash</x:v>
      </x:c>
      <x:c r="J244" s="24" t="str">
        <x:v>d6442db5cf1b4d542441668fef031ffe9c31150ec3bea2a3f2ebe9fc735de73d</x:v>
      </x:c>
      <x:c r="K244" s="24" t="str">
        <x:v>Assets/_Project/Prefabs/Expansions/Market/AnalysisWall.prefab</x:v>
      </x:c>
      <x:c r="L244" s="24" t="str">
        <x:v>CR-004</x:v>
      </x:c>
      <x:c r="M244" s="24" t="str"/>
      <x:c r="N244" s="24" t="str">
        <x:v>RES-001;RES-014</x:v>
      </x:c>
      <x:c r="O244" s="24" t="str">
        <x:v>Internal development; public candidate requires gate</x:v>
      </x:c>
      <x:c r="P244" s="24" t="str">
        <x:v>NOT AUTHORIZED</x:v>
      </x:c>
      <x:c r="Q244" s="24" t="str">
        <x:v>Low</x:v>
      </x:c>
      <x:c r="R244" s="24" t="str"/>
      <x:c r="S244" s="24" t="str">
        <x:v>Parcial</x:v>
      </x:c>
      <x:c r="T244" s="24" t="str">
        <x:f>"T"&amp;IF(AND(H244&lt;&gt;"",I244&lt;&gt;"",J244&lt;&gt;"",L244&lt;&gt;"",N244&lt;&gt;"",O244&lt;&gt;"",P244="APPROVED PUBLIC",S244="Sí"),6,IF(AND(H244&lt;&gt;"",I244&lt;&gt;"",J244&lt;&gt;"",L244&lt;&gt;"",N244&lt;&gt;"",O244&lt;&gt;"",P244&lt;&gt;"",S244="Sí"),5,IF(AND(H244&lt;&gt;"",I244&lt;&gt;"",P244&lt;&gt;"",S244&lt;&gt;"No"),4,IF(AND(H244&lt;&gt;"",I244&lt;&gt;""),3,IF(F244&lt;&gt;"",2,1)))))</x:f>
        <x:v>T4</x:v>
      </x:c>
      <x:c r="U244" s="24" t="str">
        <x:v>VRM Games</x:v>
      </x:c>
      <x:c r="V244" s="24" t="str">
        <x:v>No se detectó proveedor externo en la ruta; confirmar autoría por lote antes de release público.</x:v>
      </x:c>
    </x:row>
    <x:row r="245" ht="34" customHeight="1">
      <x:c r="A245" s="24" t="str">
        <x:v>TRC-00241</x:v>
      </x:c>
      <x:c r="B245" s="24" t="str">
        <x:v>d4fdbaeff51091b4585abadf721f9428</x:v>
      </x:c>
      <x:c r="C245" s="24" t="str">
        <x:v>PlanningTable.prefab</x:v>
      </x:c>
      <x:c r="D245" s="24" t="str">
        <x:v>Prefab</x:v>
      </x:c>
      <x:c r="E245" s="24" t="str">
        <x:v>03_Assets_Internos</x:v>
      </x:c>
      <x:c r="F245" s="24" t="str">
        <x:v>INT-0241</x:v>
      </x:c>
      <x:c r="G245" s="24" t="str">
        <x:v>VRM Games / Blas Luis Rocha González</x:v>
      </x:c>
      <x:c r="H245" s="24" t="str">
        <x:v>Internal project IP / authorship claim</x:v>
      </x:c>
      <x:c r="I245" s="24" t="str">
        <x:v>Source package + repository path + hash</x:v>
      </x:c>
      <x:c r="J245" s="24" t="str">
        <x:v>071cda3128fa82862951965e5af576bf83ff2807ad3132d5b9f0a9d4f68e78e2</x:v>
      </x:c>
      <x:c r="K245" s="24" t="str">
        <x:v>Assets/_Project/Prefabs/Expansions/Market/PlanningTable.prefab</x:v>
      </x:c>
      <x:c r="L245" s="24" t="str">
        <x:v>CR-004</x:v>
      </x:c>
      <x:c r="M245" s="24" t="str"/>
      <x:c r="N245" s="24" t="str">
        <x:v>RES-001;RES-014</x:v>
      </x:c>
      <x:c r="O245" s="24" t="str">
        <x:v>Internal development; public candidate requires gate</x:v>
      </x:c>
      <x:c r="P245" s="24" t="str">
        <x:v>NOT AUTHORIZED</x:v>
      </x:c>
      <x:c r="Q245" s="24" t="str">
        <x:v>Low</x:v>
      </x:c>
      <x:c r="R245" s="24" t="str"/>
      <x:c r="S245" s="24" t="str">
        <x:v>Parcial</x:v>
      </x:c>
      <x:c r="T245" s="24" t="str">
        <x:f>"T"&amp;IF(AND(H245&lt;&gt;"",I245&lt;&gt;"",J245&lt;&gt;"",L245&lt;&gt;"",N245&lt;&gt;"",O245&lt;&gt;"",P245="APPROVED PUBLIC",S245="Sí"),6,IF(AND(H245&lt;&gt;"",I245&lt;&gt;"",J245&lt;&gt;"",L245&lt;&gt;"",N245&lt;&gt;"",O245&lt;&gt;"",P245&lt;&gt;"",S245="Sí"),5,IF(AND(H245&lt;&gt;"",I245&lt;&gt;"",P245&lt;&gt;"",S245&lt;&gt;"No"),4,IF(AND(H245&lt;&gt;"",I245&lt;&gt;""),3,IF(F245&lt;&gt;"",2,1)))))</x:f>
        <x:v>T4</x:v>
      </x:c>
      <x:c r="U245" s="24" t="str">
        <x:v>VRM Games</x:v>
      </x:c>
      <x:c r="V245" s="24" t="str">
        <x:v>No se detectó proveedor externo en la ruta; confirmar autoría por lote antes de release público.</x:v>
      </x:c>
    </x:row>
    <x:row r="246" ht="34" customHeight="1">
      <x:c r="A246" s="24" t="str">
        <x:v>TRC-00242</x:v>
      </x:c>
      <x:c r="B246" s="24" t="str">
        <x:v>814075406f2697a449f45fa440b0d7f1</x:v>
      </x:c>
      <x:c r="C246" s="24" t="str">
        <x:v>LineupWall.prefab</x:v>
      </x:c>
      <x:c r="D246" s="24" t="str">
        <x:v>Prefab</x:v>
      </x:c>
      <x:c r="E246" s="24" t="str">
        <x:v>03_Assets_Internos</x:v>
      </x:c>
      <x:c r="F246" s="24" t="str">
        <x:v>INT-0242</x:v>
      </x:c>
      <x:c r="G246" s="24" t="str">
        <x:v>VRM Games / Blas Luis Rocha González</x:v>
      </x:c>
      <x:c r="H246" s="24" t="str">
        <x:v>Internal project IP / authorship claim</x:v>
      </x:c>
      <x:c r="I246" s="24" t="str">
        <x:v>Source package + repository path + hash</x:v>
      </x:c>
      <x:c r="J246" s="24" t="str">
        <x:v>72a4b02839ecb294de660aa889bcd2514e154af549ac7b908c72d511bc7f86da</x:v>
      </x:c>
      <x:c r="K246" s="24" t="str">
        <x:v>Assets/_Project/Prefabs/Expansions/Publishing/LineupWall.prefab</x:v>
      </x:c>
      <x:c r="L246" s="24" t="str">
        <x:v>CR-004</x:v>
      </x:c>
      <x:c r="M246" s="24" t="str"/>
      <x:c r="N246" s="24" t="str">
        <x:v>RES-001;RES-014</x:v>
      </x:c>
      <x:c r="O246" s="24" t="str">
        <x:v>Internal development; public candidate requires gate</x:v>
      </x:c>
      <x:c r="P246" s="24" t="str">
        <x:v>NOT AUTHORIZED</x:v>
      </x:c>
      <x:c r="Q246" s="24" t="str">
        <x:v>Low</x:v>
      </x:c>
      <x:c r="R246" s="24" t="str"/>
      <x:c r="S246" s="24" t="str">
        <x:v>Parcial</x:v>
      </x:c>
      <x:c r="T246" s="24" t="str">
        <x:f>"T"&amp;IF(AND(H246&lt;&gt;"",I246&lt;&gt;"",J246&lt;&gt;"",L246&lt;&gt;"",N246&lt;&gt;"",O246&lt;&gt;"",P246="APPROVED PUBLIC",S246="Sí"),6,IF(AND(H246&lt;&gt;"",I246&lt;&gt;"",J246&lt;&gt;"",L246&lt;&gt;"",N246&lt;&gt;"",O246&lt;&gt;"",P246&lt;&gt;"",S246="Sí"),5,IF(AND(H246&lt;&gt;"",I246&lt;&gt;"",P246&lt;&gt;"",S246&lt;&gt;"No"),4,IF(AND(H246&lt;&gt;"",I246&lt;&gt;""),3,IF(F246&lt;&gt;"",2,1)))))</x:f>
        <x:v>T4</x:v>
      </x:c>
      <x:c r="U246" s="24" t="str">
        <x:v>VRM Games</x:v>
      </x:c>
      <x:c r="V246" s="24" t="str">
        <x:v>No se detectó proveedor externo en la ruta; confirmar autoría por lote antes de release público.</x:v>
      </x:c>
    </x:row>
    <x:row r="247" ht="34" customHeight="1">
      <x:c r="A247" s="24" t="str">
        <x:v>TRC-00243</x:v>
      </x:c>
      <x:c r="B247" s="24" t="str">
        <x:v>b15b659113d6ac347acd6eb0b047c494</x:v>
      </x:c>
      <x:c r="C247" s="24" t="str">
        <x:v>MeetingTable.prefab</x:v>
      </x:c>
      <x:c r="D247" s="24" t="str">
        <x:v>Prefab</x:v>
      </x:c>
      <x:c r="E247" s="24" t="str">
        <x:v>03_Assets_Internos</x:v>
      </x:c>
      <x:c r="F247" s="24" t="str">
        <x:v>INT-0243</x:v>
      </x:c>
      <x:c r="G247" s="24" t="str">
        <x:v>VRM Games / Blas Luis Rocha González</x:v>
      </x:c>
      <x:c r="H247" s="24" t="str">
        <x:v>Internal project IP / authorship claim</x:v>
      </x:c>
      <x:c r="I247" s="24" t="str">
        <x:v>Source package + repository path + hash</x:v>
      </x:c>
      <x:c r="J247" s="24" t="str">
        <x:v>b0f6f5472e763d1e0b1608855b30c5f1513959031bfc07c43036c30abcb262c3</x:v>
      </x:c>
      <x:c r="K247" s="24" t="str">
        <x:v>Assets/_Project/Prefabs/Expansions/Publishing/MeetingTable.prefab</x:v>
      </x:c>
      <x:c r="L247" s="24" t="str">
        <x:v>CR-004</x:v>
      </x:c>
      <x:c r="M247" s="24" t="str"/>
      <x:c r="N247" s="24" t="str">
        <x:v>RES-001;RES-014</x:v>
      </x:c>
      <x:c r="O247" s="24" t="str">
        <x:v>Internal development; public candidate requires gate</x:v>
      </x:c>
      <x:c r="P247" s="24" t="str">
        <x:v>NOT AUTHORIZED</x:v>
      </x:c>
      <x:c r="Q247" s="24" t="str">
        <x:v>Low</x:v>
      </x:c>
      <x:c r="R247" s="24" t="str"/>
      <x:c r="S247" s="24" t="str">
        <x:v>Parcial</x:v>
      </x:c>
      <x:c r="T247" s="24" t="str">
        <x:f>"T"&amp;IF(AND(H247&lt;&gt;"",I247&lt;&gt;"",J247&lt;&gt;"",L247&lt;&gt;"",N247&lt;&gt;"",O247&lt;&gt;"",P247="APPROVED PUBLIC",S247="Sí"),6,IF(AND(H247&lt;&gt;"",I247&lt;&gt;"",J247&lt;&gt;"",L247&lt;&gt;"",N247&lt;&gt;"",O247&lt;&gt;"",P247&lt;&gt;"",S247="Sí"),5,IF(AND(H247&lt;&gt;"",I247&lt;&gt;"",P247&lt;&gt;"",S247&lt;&gt;"No"),4,IF(AND(H247&lt;&gt;"",I247&lt;&gt;""),3,IF(F247&lt;&gt;"",2,1)))))</x:f>
        <x:v>T4</x:v>
      </x:c>
      <x:c r="U247" s="24" t="str">
        <x:v>VRM Games</x:v>
      </x:c>
      <x:c r="V247" s="24" t="str">
        <x:v>No se detectó proveedor externo en la ruta; confirmar autoría por lote antes de release público.</x:v>
      </x:c>
    </x:row>
    <x:row r="248" ht="34" customHeight="1">
      <x:c r="A248" s="24" t="str">
        <x:v>TRC-00244</x:v>
      </x:c>
      <x:c r="B248" s="24" t="str">
        <x:v>5a6467f26df307d4ea9ac26a83565e70</x:v>
      </x:c>
      <x:c r="C248" s="24" t="str">
        <x:v>OperationsDesk.prefab</x:v>
      </x:c>
      <x:c r="D248" s="24" t="str">
        <x:v>Prefab</x:v>
      </x:c>
      <x:c r="E248" s="24" t="str">
        <x:v>03_Assets_Internos</x:v>
      </x:c>
      <x:c r="F248" s="24" t="str">
        <x:v>INT-0244</x:v>
      </x:c>
      <x:c r="G248" s="24" t="str">
        <x:v>VRM Games / Blas Luis Rocha González</x:v>
      </x:c>
      <x:c r="H248" s="24" t="str">
        <x:v>Internal project IP / authorship claim</x:v>
      </x:c>
      <x:c r="I248" s="24" t="str">
        <x:v>Source package + repository path + hash</x:v>
      </x:c>
      <x:c r="J248" s="24" t="str">
        <x:v>94fd4d681ad6421fb98c09d213da90b543f4542ec2b406cc52701ebfb917593b</x:v>
      </x:c>
      <x:c r="K248" s="24" t="str">
        <x:v>Assets/_Project/Prefabs/Expansions/Server/OperationsDesk.prefab</x:v>
      </x:c>
      <x:c r="L248" s="24" t="str">
        <x:v>CR-004</x:v>
      </x:c>
      <x:c r="M248" s="24" t="str"/>
      <x:c r="N248" s="24" t="str">
        <x:v>RES-001;RES-014</x:v>
      </x:c>
      <x:c r="O248" s="24" t="str">
        <x:v>Internal development; public candidate requires gate</x:v>
      </x:c>
      <x:c r="P248" s="24" t="str">
        <x:v>NOT AUTHORIZED</x:v>
      </x:c>
      <x:c r="Q248" s="24" t="str">
        <x:v>Low</x:v>
      </x:c>
      <x:c r="R248" s="24" t="str"/>
      <x:c r="S248" s="24" t="str">
        <x:v>Parcial</x:v>
      </x:c>
      <x:c r="T248" s="24" t="str">
        <x:f>"T"&amp;IF(AND(H248&lt;&gt;"",I248&lt;&gt;"",J248&lt;&gt;"",L248&lt;&gt;"",N248&lt;&gt;"",O248&lt;&gt;"",P248="APPROVED PUBLIC",S248="Sí"),6,IF(AND(H248&lt;&gt;"",I248&lt;&gt;"",J248&lt;&gt;"",L248&lt;&gt;"",N248&lt;&gt;"",O248&lt;&gt;"",P248&lt;&gt;"",S248="Sí"),5,IF(AND(H248&lt;&gt;"",I248&lt;&gt;"",P248&lt;&gt;"",S248&lt;&gt;"No"),4,IF(AND(H248&lt;&gt;"",I248&lt;&gt;""),3,IF(F248&lt;&gt;"",2,1)))))</x:f>
        <x:v>T4</x:v>
      </x:c>
      <x:c r="U248" s="24" t="str">
        <x:v>VRM Games</x:v>
      </x:c>
      <x:c r="V248" s="24" t="str">
        <x:v>No se detectó proveedor externo en la ruta; confirmar autoría por lote antes de release público.</x:v>
      </x:c>
    </x:row>
    <x:row r="249" ht="34" customHeight="1">
      <x:c r="A249" s="24" t="str">
        <x:v>TRC-00245</x:v>
      </x:c>
      <x:c r="B249" s="24" t="str">
        <x:v>b875fa3bb7b65054e8805c6259510992</x:v>
      </x:c>
      <x:c r="C249" s="24" t="str">
        <x:v>Rack.prefab</x:v>
      </x:c>
      <x:c r="D249" s="24" t="str">
        <x:v>Prefab</x:v>
      </x:c>
      <x:c r="E249" s="24" t="str">
        <x:v>03_Assets_Internos</x:v>
      </x:c>
      <x:c r="F249" s="24" t="str">
        <x:v>INT-0245</x:v>
      </x:c>
      <x:c r="G249" s="24" t="str">
        <x:v>VRM Games / Blas Luis Rocha González</x:v>
      </x:c>
      <x:c r="H249" s="24" t="str">
        <x:v>Internal project IP / authorship claim</x:v>
      </x:c>
      <x:c r="I249" s="24" t="str">
        <x:v>Source package + repository path + hash</x:v>
      </x:c>
      <x:c r="J249" s="24" t="str">
        <x:v>d7281880ab0d78400f0e886f155b50410a46513990754b8a31d2e903f23cff47</x:v>
      </x:c>
      <x:c r="K249" s="24" t="str">
        <x:v>Assets/_Project/Prefabs/Expansions/Server/Rack.prefab</x:v>
      </x:c>
      <x:c r="L249" s="24" t="str">
        <x:v>CR-004</x:v>
      </x:c>
      <x:c r="M249" s="24" t="str"/>
      <x:c r="N249" s="24" t="str">
        <x:v>RES-001;RES-014</x:v>
      </x:c>
      <x:c r="O249" s="24" t="str">
        <x:v>Internal development; public candidate requires gate</x:v>
      </x:c>
      <x:c r="P249" s="24" t="str">
        <x:v>NOT AUTHORIZED</x:v>
      </x:c>
      <x:c r="Q249" s="24" t="str">
        <x:v>Low</x:v>
      </x:c>
      <x:c r="R249" s="24" t="str"/>
      <x:c r="S249" s="24" t="str">
        <x:v>Parcial</x:v>
      </x:c>
      <x:c r="T249" s="24" t="str">
        <x:f>"T"&amp;IF(AND(H249&lt;&gt;"",I249&lt;&gt;"",J249&lt;&gt;"",L249&lt;&gt;"",N249&lt;&gt;"",O249&lt;&gt;"",P249="APPROVED PUBLIC",S249="Sí"),6,IF(AND(H249&lt;&gt;"",I249&lt;&gt;"",J249&lt;&gt;"",L249&lt;&gt;"",N249&lt;&gt;"",O249&lt;&gt;"",P249&lt;&gt;"",S249="Sí"),5,IF(AND(H249&lt;&gt;"",I249&lt;&gt;"",P249&lt;&gt;"",S249&lt;&gt;"No"),4,IF(AND(H249&lt;&gt;"",I249&lt;&gt;""),3,IF(F249&lt;&gt;"",2,1)))))</x:f>
        <x:v>T4</x:v>
      </x:c>
      <x:c r="U249" s="24" t="str">
        <x:v>VRM Games</x:v>
      </x:c>
      <x:c r="V249" s="24" t="str">
        <x:v>No se detectó proveedor externo en la ruta; confirmar autoría por lote antes de release público.</x:v>
      </x:c>
    </x:row>
    <x:row r="250" ht="34" customHeight="1">
      <x:c r="A250" s="24" t="str">
        <x:v>TRC-00246</x:v>
      </x:c>
      <x:c r="B250" s="24" t="str">
        <x:v>16870f8bbfc794e4c894f4fbe9c7765b</x:v>
      </x:c>
      <x:c r="C250" s="24" t="str">
        <x:v>UPS.prefab</x:v>
      </x:c>
      <x:c r="D250" s="24" t="str">
        <x:v>Prefab</x:v>
      </x:c>
      <x:c r="E250" s="24" t="str">
        <x:v>03_Assets_Internos</x:v>
      </x:c>
      <x:c r="F250" s="24" t="str">
        <x:v>INT-0246</x:v>
      </x:c>
      <x:c r="G250" s="24" t="str">
        <x:v>VRM Games / Blas Luis Rocha González</x:v>
      </x:c>
      <x:c r="H250" s="24" t="str">
        <x:v>Internal project IP / authorship claim</x:v>
      </x:c>
      <x:c r="I250" s="24" t="str">
        <x:v>Source package + repository path + hash</x:v>
      </x:c>
      <x:c r="J250" s="24" t="str">
        <x:v>46596a808fbf876011f5c2a7e667dccfa88d7b8108b5154749946db1da06ce69</x:v>
      </x:c>
      <x:c r="K250" s="24" t="str">
        <x:v>Assets/_Project/Prefabs/Expansions/Server/UPS.prefab</x:v>
      </x:c>
      <x:c r="L250" s="24" t="str">
        <x:v>CR-004</x:v>
      </x:c>
      <x:c r="M250" s="24" t="str"/>
      <x:c r="N250" s="24" t="str">
        <x:v>RES-001;RES-014</x:v>
      </x:c>
      <x:c r="O250" s="24" t="str">
        <x:v>Internal development; public candidate requires gate</x:v>
      </x:c>
      <x:c r="P250" s="24" t="str">
        <x:v>NOT AUTHORIZED</x:v>
      </x:c>
      <x:c r="Q250" s="24" t="str">
        <x:v>Low</x:v>
      </x:c>
      <x:c r="R250" s="24" t="str"/>
      <x:c r="S250" s="24" t="str">
        <x:v>Parcial</x:v>
      </x:c>
      <x:c r="T250" s="24" t="str">
        <x:f>"T"&amp;IF(AND(H250&lt;&gt;"",I250&lt;&gt;"",J250&lt;&gt;"",L250&lt;&gt;"",N250&lt;&gt;"",O250&lt;&gt;"",P250="APPROVED PUBLIC",S250="Sí"),6,IF(AND(H250&lt;&gt;"",I250&lt;&gt;"",J250&lt;&gt;"",L250&lt;&gt;"",N250&lt;&gt;"",O250&lt;&gt;"",P250&lt;&gt;"",S250="Sí"),5,IF(AND(H250&lt;&gt;"",I250&lt;&gt;"",P250&lt;&gt;"",S250&lt;&gt;"No"),4,IF(AND(H250&lt;&gt;"",I250&lt;&gt;""),3,IF(F250&lt;&gt;"",2,1)))))</x:f>
        <x:v>T4</x:v>
      </x:c>
      <x:c r="U250" s="24" t="str">
        <x:v>VRM Games</x:v>
      </x:c>
      <x:c r="V250" s="24" t="str">
        <x:v>No se detectó proveedor externo en la ruta; confirmar autoría por lote antes de release público.</x:v>
      </x:c>
    </x:row>
    <x:row r="251" ht="34" customHeight="1">
      <x:c r="A251" s="24" t="str">
        <x:v>TRC-00247</x:v>
      </x:c>
      <x:c r="B251" s="24" t="str">
        <x:v>1d815b53a5f31e245b538fac05b952d7</x:v>
      </x:c>
      <x:c r="C251" s="24" t="str">
        <x:v>Locker.prefab</x:v>
      </x:c>
      <x:c r="D251" s="24" t="str">
        <x:v>Prefab</x:v>
      </x:c>
      <x:c r="E251" s="24" t="str">
        <x:v>03_Assets_Internos</x:v>
      </x:c>
      <x:c r="F251" s="24" t="str">
        <x:v>INT-0247</x:v>
      </x:c>
      <x:c r="G251" s="24" t="str">
        <x:v>VRM Games / Blas Luis Rocha González</x:v>
      </x:c>
      <x:c r="H251" s="24" t="str">
        <x:v>Internal project IP / authorship claim</x:v>
      </x:c>
      <x:c r="I251" s="24" t="str">
        <x:v>Source package + repository path + hash</x:v>
      </x:c>
      <x:c r="J251" s="24" t="str">
        <x:v>cae7f4ea963948f48e327a7e99bac10e862254f84f88840bc54058189d904fe6</x:v>
      </x:c>
      <x:c r="K251" s="24" t="str">
        <x:v>Assets/_Project/Prefabs/Expansions/Staff/Locker.prefab</x:v>
      </x:c>
      <x:c r="L251" s="24" t="str">
        <x:v>CR-004</x:v>
      </x:c>
      <x:c r="M251" s="24" t="str"/>
      <x:c r="N251" s="24" t="str">
        <x:v>RES-001;RES-014</x:v>
      </x:c>
      <x:c r="O251" s="24" t="str">
        <x:v>Internal development; public candidate requires gate</x:v>
      </x:c>
      <x:c r="P251" s="24" t="str">
        <x:v>NOT AUTHORIZED</x:v>
      </x:c>
      <x:c r="Q251" s="24" t="str">
        <x:v>Low</x:v>
      </x:c>
      <x:c r="R251" s="24" t="str"/>
      <x:c r="S251" s="24" t="str">
        <x:v>Parcial</x:v>
      </x:c>
      <x:c r="T251" s="24" t="str">
        <x:f>"T"&amp;IF(AND(H251&lt;&gt;"",I251&lt;&gt;"",J251&lt;&gt;"",L251&lt;&gt;"",N251&lt;&gt;"",O251&lt;&gt;"",P251="APPROVED PUBLIC",S251="Sí"),6,IF(AND(H251&lt;&gt;"",I251&lt;&gt;"",J251&lt;&gt;"",L251&lt;&gt;"",N251&lt;&gt;"",O251&lt;&gt;"",P251&lt;&gt;"",S251="Sí"),5,IF(AND(H251&lt;&gt;"",I251&lt;&gt;"",P251&lt;&gt;"",S251&lt;&gt;"No"),4,IF(AND(H251&lt;&gt;"",I251&lt;&gt;""),3,IF(F251&lt;&gt;"",2,1)))))</x:f>
        <x:v>T4</x:v>
      </x:c>
      <x:c r="U251" s="24" t="str">
        <x:v>VRM Games</x:v>
      </x:c>
      <x:c r="V251" s="24" t="str">
        <x:v>No se detectó proveedor externo en la ruta; confirmar autoría por lote antes de release público.</x:v>
      </x:c>
    </x:row>
    <x:row r="252" ht="34" customHeight="1">
      <x:c r="A252" s="24" t="str">
        <x:v>TRC-00248</x:v>
      </x:c>
      <x:c r="B252" s="24" t="str">
        <x:v>9dbed83b857d07842bf8a63bfa8ba026</x:v>
      </x:c>
      <x:c r="C252" s="24" t="str">
        <x:v>TaskBoard.prefab</x:v>
      </x:c>
      <x:c r="D252" s="24" t="str">
        <x:v>Prefab</x:v>
      </x:c>
      <x:c r="E252" s="24" t="str">
        <x:v>03_Assets_Internos</x:v>
      </x:c>
      <x:c r="F252" s="24" t="str">
        <x:v>INT-0248</x:v>
      </x:c>
      <x:c r="G252" s="24" t="str">
        <x:v>VRM Games / Blas Luis Rocha González</x:v>
      </x:c>
      <x:c r="H252" s="24" t="str">
        <x:v>Internal project IP / authorship claim</x:v>
      </x:c>
      <x:c r="I252" s="24" t="str">
        <x:v>Source package + repository path + hash</x:v>
      </x:c>
      <x:c r="J252" s="24" t="str">
        <x:v>b735548301788a2c4e092492d61c059012fcff4392b19232d273c085c8ec8efc</x:v>
      </x:c>
      <x:c r="K252" s="24" t="str">
        <x:v>Assets/_Project/Prefabs/Expansions/Staff/TaskBoard.prefab</x:v>
      </x:c>
      <x:c r="L252" s="24" t="str">
        <x:v>CR-004</x:v>
      </x:c>
      <x:c r="M252" s="24" t="str"/>
      <x:c r="N252" s="24" t="str">
        <x:v>RES-001;RES-014</x:v>
      </x:c>
      <x:c r="O252" s="24" t="str">
        <x:v>Internal development; public candidate requires gate</x:v>
      </x:c>
      <x:c r="P252" s="24" t="str">
        <x:v>NOT AUTHORIZED</x:v>
      </x:c>
      <x:c r="Q252" s="24" t="str">
        <x:v>Low</x:v>
      </x:c>
      <x:c r="R252" s="24" t="str"/>
      <x:c r="S252" s="24" t="str">
        <x:v>Parcial</x:v>
      </x:c>
      <x:c r="T252" s="24" t="str">
        <x:f>"T"&amp;IF(AND(H252&lt;&gt;"",I252&lt;&gt;"",J252&lt;&gt;"",L252&lt;&gt;"",N252&lt;&gt;"",O252&lt;&gt;"",P252="APPROVED PUBLIC",S252="Sí"),6,IF(AND(H252&lt;&gt;"",I252&lt;&gt;"",J252&lt;&gt;"",L252&lt;&gt;"",N252&lt;&gt;"",O252&lt;&gt;"",P252&lt;&gt;"",S252="Sí"),5,IF(AND(H252&lt;&gt;"",I252&lt;&gt;"",P252&lt;&gt;"",S252&lt;&gt;"No"),4,IF(AND(H252&lt;&gt;"",I252&lt;&gt;""),3,IF(F252&lt;&gt;"",2,1)))))</x:f>
        <x:v>T4</x:v>
      </x:c>
      <x:c r="U252" s="24" t="str">
        <x:v>VRM Games</x:v>
      </x:c>
      <x:c r="V252" s="24" t="str">
        <x:v>No se detectó proveedor externo en la ruta; confirmar autoría por lote antes de release público.</x:v>
      </x:c>
    </x:row>
    <x:row r="253" ht="34" customHeight="1">
      <x:c r="A253" s="24" t="str">
        <x:v>TRC-00249</x:v>
      </x:c>
      <x:c r="B253" s="24" t="str">
        <x:v>ac08309937540d74792dac40dda8b45d</x:v>
      </x:c>
      <x:c r="C253" s="24" t="str">
        <x:v>ArtDesk.prefab</x:v>
      </x:c>
      <x:c r="D253" s="24" t="str">
        <x:v>Prefab</x:v>
      </x:c>
      <x:c r="E253" s="24" t="str">
        <x:v>03_Assets_Internos</x:v>
      </x:c>
      <x:c r="F253" s="24" t="str">
        <x:v>INT-0249</x:v>
      </x:c>
      <x:c r="G253" s="24" t="str">
        <x:v>VRM Games / Blas Luis Rocha González</x:v>
      </x:c>
      <x:c r="H253" s="24" t="str">
        <x:v>Internal project IP / authorship claim</x:v>
      </x:c>
      <x:c r="I253" s="24" t="str">
        <x:v>Source package + repository path + hash</x:v>
      </x:c>
      <x:c r="J253" s="24" t="str">
        <x:v>c67aa6cd9e6d548072657969be61e48d21bdc3c695b454913868e0c3a6642cac</x:v>
      </x:c>
      <x:c r="K253" s="24" t="str">
        <x:v>Assets/_Project/Prefabs/Expansions/Studio/ArtDesk.prefab</x:v>
      </x:c>
      <x:c r="L253" s="24" t="str">
        <x:v>CR-004</x:v>
      </x:c>
      <x:c r="M253" s="24" t="str"/>
      <x:c r="N253" s="24" t="str">
        <x:v>RES-001;RES-014</x:v>
      </x:c>
      <x:c r="O253" s="24" t="str">
        <x:v>Internal development; public candidate requires gate</x:v>
      </x:c>
      <x:c r="P253" s="24" t="str">
        <x:v>NOT AUTHORIZED</x:v>
      </x:c>
      <x:c r="Q253" s="24" t="str">
        <x:v>Low</x:v>
      </x:c>
      <x:c r="R253" s="24" t="str"/>
      <x:c r="S253" s="24" t="str">
        <x:v>Parcial</x:v>
      </x:c>
      <x:c r="T253" s="24" t="str">
        <x:f>"T"&amp;IF(AND(H253&lt;&gt;"",I253&lt;&gt;"",J253&lt;&gt;"",L253&lt;&gt;"",N253&lt;&gt;"",O253&lt;&gt;"",P253="APPROVED PUBLIC",S253="Sí"),6,IF(AND(H253&lt;&gt;"",I253&lt;&gt;"",J253&lt;&gt;"",L253&lt;&gt;"",N253&lt;&gt;"",O253&lt;&gt;"",P253&lt;&gt;"",S253="Sí"),5,IF(AND(H253&lt;&gt;"",I253&lt;&gt;"",P253&lt;&gt;"",S253&lt;&gt;"No"),4,IF(AND(H253&lt;&gt;"",I253&lt;&gt;""),3,IF(F253&lt;&gt;"",2,1)))))</x:f>
        <x:v>T4</x:v>
      </x:c>
      <x:c r="U253" s="24" t="str">
        <x:v>VRM Games</x:v>
      </x:c>
      <x:c r="V253" s="24" t="str">
        <x:v>No se detectó proveedor externo en la ruta; confirmar autoría por lote antes de release público.</x:v>
      </x:c>
    </x:row>
    <x:row r="254" ht="34" customHeight="1">
      <x:c r="A254" s="24" t="str">
        <x:v>TRC-00250</x:v>
      </x:c>
      <x:c r="B254" s="24" t="str">
        <x:v>ec73e52504e46b447a8b28a511e31672</x:v>
      </x:c>
      <x:c r="C254" s="24" t="str">
        <x:v>AudioStation.prefab</x:v>
      </x:c>
      <x:c r="D254" s="24" t="str">
        <x:v>Prefab</x:v>
      </x:c>
      <x:c r="E254" s="24" t="str">
        <x:v>03_Assets_Internos</x:v>
      </x:c>
      <x:c r="F254" s="24" t="str">
        <x:v>INT-0250</x:v>
      </x:c>
      <x:c r="G254" s="24" t="str">
        <x:v>VRM Games / Blas Luis Rocha González</x:v>
      </x:c>
      <x:c r="H254" s="24" t="str">
        <x:v>Internal project IP / authorship claim</x:v>
      </x:c>
      <x:c r="I254" s="24" t="str">
        <x:v>Source package + repository path + hash</x:v>
      </x:c>
      <x:c r="J254" s="24" t="str">
        <x:v>4840b525c8057d5aca7cc055c0f17cd69cc705b3027ea42dd5b5bc7d33d0e651</x:v>
      </x:c>
      <x:c r="K254" s="24" t="str">
        <x:v>Assets/_Project/Prefabs/Expansions/Studio/AudioStation.prefab</x:v>
      </x:c>
      <x:c r="L254" s="24" t="str">
        <x:v>CR-004</x:v>
      </x:c>
      <x:c r="M254" s="24" t="str"/>
      <x:c r="N254" s="24" t="str">
        <x:v>RES-001;RES-014</x:v>
      </x:c>
      <x:c r="O254" s="24" t="str">
        <x:v>Internal development; public candidate requires gate</x:v>
      </x:c>
      <x:c r="P254" s="24" t="str">
        <x:v>NOT AUTHORIZED</x:v>
      </x:c>
      <x:c r="Q254" s="24" t="str">
        <x:v>Low</x:v>
      </x:c>
      <x:c r="R254" s="24" t="str"/>
      <x:c r="S254" s="24" t="str">
        <x:v>Parcial</x:v>
      </x:c>
      <x:c r="T254" s="24" t="str">
        <x:f>"T"&amp;IF(AND(H254&lt;&gt;"",I254&lt;&gt;"",J254&lt;&gt;"",L254&lt;&gt;"",N254&lt;&gt;"",O254&lt;&gt;"",P254="APPROVED PUBLIC",S254="Sí"),6,IF(AND(H254&lt;&gt;"",I254&lt;&gt;"",J254&lt;&gt;"",L254&lt;&gt;"",N254&lt;&gt;"",O254&lt;&gt;"",P254&lt;&gt;"",S254="Sí"),5,IF(AND(H254&lt;&gt;"",I254&lt;&gt;"",P254&lt;&gt;"",S254&lt;&gt;"No"),4,IF(AND(H254&lt;&gt;"",I254&lt;&gt;""),3,IF(F254&lt;&gt;"",2,1)))))</x:f>
        <x:v>T4</x:v>
      </x:c>
      <x:c r="U254" s="24" t="str">
        <x:v>VRM Games</x:v>
      </x:c>
      <x:c r="V254" s="24" t="str">
        <x:v>No se detectó proveedor externo en la ruta; confirmar autoría por lote antes de release público.</x:v>
      </x:c>
    </x:row>
    <x:row r="255" ht="34" customHeight="1">
      <x:c r="A255" s="24" t="str">
        <x:v>TRC-00251</x:v>
      </x:c>
      <x:c r="B255" s="24" t="str">
        <x:v>1f86cd44878a80a49bd1336bb2a8febf</x:v>
      </x:c>
      <x:c r="C255" s="24" t="str">
        <x:v>DevDesk.prefab</x:v>
      </x:c>
      <x:c r="D255" s="24" t="str">
        <x:v>Prefab</x:v>
      </x:c>
      <x:c r="E255" s="24" t="str">
        <x:v>03_Assets_Internos</x:v>
      </x:c>
      <x:c r="F255" s="24" t="str">
        <x:v>INT-0251</x:v>
      </x:c>
      <x:c r="G255" s="24" t="str">
        <x:v>VRM Games / Blas Luis Rocha González</x:v>
      </x:c>
      <x:c r="H255" s="24" t="str">
        <x:v>Internal project IP / authorship claim</x:v>
      </x:c>
      <x:c r="I255" s="24" t="str">
        <x:v>Source package + repository path + hash</x:v>
      </x:c>
      <x:c r="J255" s="24" t="str">
        <x:v>bd1b782e6950d553aa8701b065f76c7e318e3318629cd006c1b1f9388ae20079</x:v>
      </x:c>
      <x:c r="K255" s="24" t="str">
        <x:v>Assets/_Project/Prefabs/Expansions/Studio/DevDesk.prefab</x:v>
      </x:c>
      <x:c r="L255" s="24" t="str">
        <x:v>CR-004</x:v>
      </x:c>
      <x:c r="M255" s="24" t="str"/>
      <x:c r="N255" s="24" t="str">
        <x:v>RES-001;RES-014</x:v>
      </x:c>
      <x:c r="O255" s="24" t="str">
        <x:v>Internal development; public candidate requires gate</x:v>
      </x:c>
      <x:c r="P255" s="24" t="str">
        <x:v>NOT AUTHORIZED</x:v>
      </x:c>
      <x:c r="Q255" s="24" t="str">
        <x:v>Low</x:v>
      </x:c>
      <x:c r="R255" s="24" t="str"/>
      <x:c r="S255" s="24" t="str">
        <x:v>Parcial</x:v>
      </x:c>
      <x:c r="T255" s="24" t="str">
        <x:f>"T"&amp;IF(AND(H255&lt;&gt;"",I255&lt;&gt;"",J255&lt;&gt;"",L255&lt;&gt;"",N255&lt;&gt;"",O255&lt;&gt;"",P255="APPROVED PUBLIC",S255="Sí"),6,IF(AND(H255&lt;&gt;"",I255&lt;&gt;"",J255&lt;&gt;"",L255&lt;&gt;"",N255&lt;&gt;"",O255&lt;&gt;"",P255&lt;&gt;"",S255="Sí"),5,IF(AND(H255&lt;&gt;"",I255&lt;&gt;"",P255&lt;&gt;"",S255&lt;&gt;"No"),4,IF(AND(H255&lt;&gt;"",I255&lt;&gt;""),3,IF(F255&lt;&gt;"",2,1)))))</x:f>
        <x:v>T4</x:v>
      </x:c>
      <x:c r="U255" s="24" t="str">
        <x:v>VRM Games</x:v>
      </x:c>
      <x:c r="V255" s="24" t="str">
        <x:v>No se detectó proveedor externo en la ruta; confirmar autoría por lote antes de release público.</x:v>
      </x:c>
    </x:row>
    <x:row r="256" ht="34" customHeight="1">
      <x:c r="A256" s="24" t="str">
        <x:v>TRC-00252</x:v>
      </x:c>
      <x:c r="B256" s="24" t="str">
        <x:v>6a32d46b756131d355af34feb5ec815a</x:v>
      </x:c>
      <x:c r="C256" s="24" t="str">
        <x:v>BackroomStorage.prefab</x:v>
      </x:c>
      <x:c r="D256" s="24" t="str">
        <x:v>Prefab</x:v>
      </x:c>
      <x:c r="E256" s="24" t="str">
        <x:v>03_Assets_Internos</x:v>
      </x:c>
      <x:c r="F256" s="24" t="str">
        <x:v>INT-0252</x:v>
      </x:c>
      <x:c r="G256" s="24" t="str">
        <x:v>VRM Games / Blas Luis Rocha González</x:v>
      </x:c>
      <x:c r="H256" s="24" t="str">
        <x:v>Internal project IP / authorship claim</x:v>
      </x:c>
      <x:c r="I256" s="24" t="str">
        <x:v>Source package + repository path + hash</x:v>
      </x:c>
      <x:c r="J256" s="24" t="str">
        <x:v>d8836c2777e4d2487a6a8ef692fbd6833d719b999f705a3474457938ffcb30bd</x:v>
      </x:c>
      <x:c r="K256" s="24" t="str">
        <x:v>Assets/_Project/Prefabs/Furniture/BackroomStorage.prefab</x:v>
      </x:c>
      <x:c r="L256" s="24" t="str">
        <x:v>CR-004</x:v>
      </x:c>
      <x:c r="M256" s="24" t="str"/>
      <x:c r="N256" s="24" t="str">
        <x:v>RES-001;RES-014</x:v>
      </x:c>
      <x:c r="O256" s="24" t="str">
        <x:v>Internal development; public candidate requires gate</x:v>
      </x:c>
      <x:c r="P256" s="24" t="str">
        <x:v>CONDITIONALLY APPROVED</x:v>
      </x:c>
      <x:c r="Q256" s="24" t="str">
        <x:v>Low</x:v>
      </x:c>
      <x:c r="R256" s="24" t="str"/>
      <x:c r="S256" s="24" t="str">
        <x:v>Parcial</x:v>
      </x:c>
      <x:c r="T256" s="24" t="str">
        <x:f>"T"&amp;IF(AND(H256&lt;&gt;"",I256&lt;&gt;"",J256&lt;&gt;"",L256&lt;&gt;"",N256&lt;&gt;"",O256&lt;&gt;"",P256="APPROVED PUBLIC",S256="Sí"),6,IF(AND(H256&lt;&gt;"",I256&lt;&gt;"",J256&lt;&gt;"",L256&lt;&gt;"",N256&lt;&gt;"",O256&lt;&gt;"",P256&lt;&gt;"",S256="Sí"),5,IF(AND(H256&lt;&gt;"",I256&lt;&gt;"",P256&lt;&gt;"",S256&lt;&gt;"No"),4,IF(AND(H256&lt;&gt;"",I256&lt;&gt;""),3,IF(F256&lt;&gt;"",2,1)))))</x:f>
        <x:v>T4</x:v>
      </x:c>
      <x:c r="U256" s="24" t="str">
        <x:v>VRM Games</x:v>
      </x:c>
      <x:c r="V256" s="24" t="str">
        <x:v>No se detectó proveedor externo en la ruta; confirmar autoría por lote antes de release público.</x:v>
      </x:c>
    </x:row>
    <x:row r="257" ht="34" customHeight="1">
      <x:c r="A257" s="24" t="str">
        <x:v>TRC-00253</x:v>
      </x:c>
      <x:c r="B257" s="24" t="str">
        <x:v>ee68430315c3ff624c8cb39e759e3362</x:v>
      </x:c>
      <x:c r="C257" s="24" t="str">
        <x:v>CentralShelf.prefab</x:v>
      </x:c>
      <x:c r="D257" s="24" t="str">
        <x:v>Prefab</x:v>
      </x:c>
      <x:c r="E257" s="24" t="str">
        <x:v>03_Assets_Internos</x:v>
      </x:c>
      <x:c r="F257" s="24" t="str">
        <x:v>INT-0253</x:v>
      </x:c>
      <x:c r="G257" s="24" t="str">
        <x:v>VRM Games / Blas Luis Rocha González</x:v>
      </x:c>
      <x:c r="H257" s="24" t="str">
        <x:v>Internal project IP / authorship claim</x:v>
      </x:c>
      <x:c r="I257" s="24" t="str">
        <x:v>Source package + repository path + hash</x:v>
      </x:c>
      <x:c r="J257" s="24" t="str">
        <x:v>8e2ffd72ca4c1f50da39626c94698b32d19ae027feddb846ca729737eff56e80</x:v>
      </x:c>
      <x:c r="K257" s="24" t="str">
        <x:v>Assets/_Project/Prefabs/Furniture/CentralShelf.prefab</x:v>
      </x:c>
      <x:c r="L257" s="24" t="str">
        <x:v>CR-004</x:v>
      </x:c>
      <x:c r="M257" s="24" t="str"/>
      <x:c r="N257" s="24" t="str">
        <x:v>RES-001;RES-014</x:v>
      </x:c>
      <x:c r="O257" s="24" t="str">
        <x:v>Internal development; public candidate requires gate</x:v>
      </x:c>
      <x:c r="P257" s="24" t="str">
        <x:v>CONDITIONALLY APPROVED</x:v>
      </x:c>
      <x:c r="Q257" s="24" t="str">
        <x:v>Low</x:v>
      </x:c>
      <x:c r="R257" s="24" t="str"/>
      <x:c r="S257" s="24" t="str">
        <x:v>Parcial</x:v>
      </x:c>
      <x:c r="T257" s="24" t="str">
        <x:f>"T"&amp;IF(AND(H257&lt;&gt;"",I257&lt;&gt;"",J257&lt;&gt;"",L257&lt;&gt;"",N257&lt;&gt;"",O257&lt;&gt;"",P257="APPROVED PUBLIC",S257="Sí"),6,IF(AND(H257&lt;&gt;"",I257&lt;&gt;"",J257&lt;&gt;"",L257&lt;&gt;"",N257&lt;&gt;"",O257&lt;&gt;"",P257&lt;&gt;"",S257="Sí"),5,IF(AND(H257&lt;&gt;"",I257&lt;&gt;"",P257&lt;&gt;"",S257&lt;&gt;"No"),4,IF(AND(H257&lt;&gt;"",I257&lt;&gt;""),3,IF(F257&lt;&gt;"",2,1)))))</x:f>
        <x:v>T4</x:v>
      </x:c>
      <x:c r="U257" s="24" t="str">
        <x:v>VRM Games</x:v>
      </x:c>
      <x:c r="V257" s="24" t="str">
        <x:v>No se detectó proveedor externo en la ruta; confirmar autoría por lote antes de release público.</x:v>
      </x:c>
    </x:row>
    <x:row r="258" ht="34" customHeight="1">
      <x:c r="A258" s="24" t="str">
        <x:v>TRC-00254</x:v>
      </x:c>
      <x:c r="B258" s="24" t="str">
        <x:v>50cf0cf3c5cf40b6b6cb2622a64001d4</x:v>
      </x:c>
      <x:c r="C258" s="24" t="str">
        <x:v>CheckoutCounter.prefab</x:v>
      </x:c>
      <x:c r="D258" s="24" t="str">
        <x:v>Prefab</x:v>
      </x:c>
      <x:c r="E258" s="24" t="str">
        <x:v>03_Assets_Internos</x:v>
      </x:c>
      <x:c r="F258" s="24" t="str">
        <x:v>INT-0254</x:v>
      </x:c>
      <x:c r="G258" s="24" t="str">
        <x:v>VRM Games / Blas Luis Rocha González</x:v>
      </x:c>
      <x:c r="H258" s="24" t="str">
        <x:v>Internal project IP / authorship claim</x:v>
      </x:c>
      <x:c r="I258" s="24" t="str">
        <x:v>Source package + repository path + hash</x:v>
      </x:c>
      <x:c r="J258" s="24" t="str">
        <x:v>fcef6071e364473568fbfd0e27d1928bee257997787d30b9e15bd6aa4c9948bd</x:v>
      </x:c>
      <x:c r="K258" s="24" t="str">
        <x:v>Assets/_Project/Prefabs/Furniture/CheckoutCounter.prefab</x:v>
      </x:c>
      <x:c r="L258" s="24" t="str">
        <x:v>CR-004</x:v>
      </x:c>
      <x:c r="M258" s="24" t="str"/>
      <x:c r="N258" s="24" t="str">
        <x:v>RES-001;RES-014</x:v>
      </x:c>
      <x:c r="O258" s="24" t="str">
        <x:v>Internal development; public candidate requires gate</x:v>
      </x:c>
      <x:c r="P258" s="24" t="str">
        <x:v>CONDITIONALLY APPROVED</x:v>
      </x:c>
      <x:c r="Q258" s="24" t="str">
        <x:v>Low</x:v>
      </x:c>
      <x:c r="R258" s="24" t="str"/>
      <x:c r="S258" s="24" t="str">
        <x:v>Parcial</x:v>
      </x:c>
      <x:c r="T258" s="24" t="str">
        <x:f>"T"&amp;IF(AND(H258&lt;&gt;"",I258&lt;&gt;"",J258&lt;&gt;"",L258&lt;&gt;"",N258&lt;&gt;"",O258&lt;&gt;"",P258="APPROVED PUBLIC",S258="Sí"),6,IF(AND(H258&lt;&gt;"",I258&lt;&gt;"",J258&lt;&gt;"",L258&lt;&gt;"",N258&lt;&gt;"",O258&lt;&gt;"",P258&lt;&gt;"",S258="Sí"),5,IF(AND(H258&lt;&gt;"",I258&lt;&gt;"",P258&lt;&gt;"",S258&lt;&gt;"No"),4,IF(AND(H258&lt;&gt;"",I258&lt;&gt;""),3,IF(F258&lt;&gt;"",2,1)))))</x:f>
        <x:v>T4</x:v>
      </x:c>
      <x:c r="U258" s="24" t="str">
        <x:v>VRM Games</x:v>
      </x:c>
      <x:c r="V258" s="24" t="str">
        <x:v>No se detectó proveedor externo en la ruta; confirmar autoría por lote antes de release público.</x:v>
      </x:c>
    </x:row>
    <x:row r="259" ht="34" customHeight="1">
      <x:c r="A259" s="24" t="str">
        <x:v>TRC-00255</x:v>
      </x:c>
      <x:c r="B259" s="24" t="str">
        <x:v>f75e2d3953fef002ae67aa64f5d7b9a5</x:v>
      </x:c>
      <x:c r="C259" s="24" t="str">
        <x:v>DecorationPlant.prefab</x:v>
      </x:c>
      <x:c r="D259" s="24" t="str">
        <x:v>Prefab</x:v>
      </x:c>
      <x:c r="E259" s="24" t="str">
        <x:v>03_Assets_Internos</x:v>
      </x:c>
      <x:c r="F259" s="24" t="str">
        <x:v>INT-0255</x:v>
      </x:c>
      <x:c r="G259" s="24" t="str">
        <x:v>VRM Games / Blas Luis Rocha González</x:v>
      </x:c>
      <x:c r="H259" s="24" t="str">
        <x:v>Internal project IP / authorship claim</x:v>
      </x:c>
      <x:c r="I259" s="24" t="str">
        <x:v>Source package + repository path + hash</x:v>
      </x:c>
      <x:c r="J259" s="24" t="str">
        <x:v>0ea233188c6d6d1685500595b8e6790be8c7ad13b39757f992aa1dd9b2563340</x:v>
      </x:c>
      <x:c r="K259" s="24" t="str">
        <x:v>Assets/_Project/Prefabs/Furniture/DecorationPlant.prefab</x:v>
      </x:c>
      <x:c r="L259" s="24" t="str">
        <x:v>CR-004</x:v>
      </x:c>
      <x:c r="M259" s="24" t="str"/>
      <x:c r="N259" s="24" t="str">
        <x:v>RES-001;RES-014</x:v>
      </x:c>
      <x:c r="O259" s="24" t="str">
        <x:v>Internal development; public candidate requires gate</x:v>
      </x:c>
      <x:c r="P259" s="24" t="str">
        <x:v>CONDITIONALLY APPROVED</x:v>
      </x:c>
      <x:c r="Q259" s="24" t="str">
        <x:v>Low</x:v>
      </x:c>
      <x:c r="R259" s="24" t="str"/>
      <x:c r="S259" s="24" t="str">
        <x:v>Parcial</x:v>
      </x:c>
      <x:c r="T259" s="24" t="str">
        <x:f>"T"&amp;IF(AND(H259&lt;&gt;"",I259&lt;&gt;"",J259&lt;&gt;"",L259&lt;&gt;"",N259&lt;&gt;"",O259&lt;&gt;"",P259="APPROVED PUBLIC",S259="Sí"),6,IF(AND(H259&lt;&gt;"",I259&lt;&gt;"",J259&lt;&gt;"",L259&lt;&gt;"",N259&lt;&gt;"",O259&lt;&gt;"",P259&lt;&gt;"",S259="Sí"),5,IF(AND(H259&lt;&gt;"",I259&lt;&gt;"",P259&lt;&gt;"",S259&lt;&gt;"No"),4,IF(AND(H259&lt;&gt;"",I259&lt;&gt;""),3,IF(F259&lt;&gt;"",2,1)))))</x:f>
        <x:v>T4</x:v>
      </x:c>
      <x:c r="U259" s="24" t="str">
        <x:v>VRM Games</x:v>
      </x:c>
      <x:c r="V259" s="24" t="str">
        <x:v>No se detectó proveedor externo en la ruta; confirmar autoría por lote antes de release público.</x:v>
      </x:c>
    </x:row>
    <x:row r="260" ht="34" customHeight="1">
      <x:c r="A260" s="24" t="str">
        <x:v>TRC-00256</x:v>
      </x:c>
      <x:c r="B260" s="24" t="str">
        <x:v>a220b490e14b7507c07ed1d5ebb45162</x:v>
      </x:c>
      <x:c r="C260" s="24" t="str">
        <x:v>FeaturedDisplay.prefab</x:v>
      </x:c>
      <x:c r="D260" s="24" t="str">
        <x:v>Prefab</x:v>
      </x:c>
      <x:c r="E260" s="24" t="str">
        <x:v>03_Assets_Internos</x:v>
      </x:c>
      <x:c r="F260" s="24" t="str">
        <x:v>INT-0256</x:v>
      </x:c>
      <x:c r="G260" s="24" t="str">
        <x:v>VRM Games / Blas Luis Rocha González</x:v>
      </x:c>
      <x:c r="H260" s="24" t="str">
        <x:v>Internal project IP / authorship claim</x:v>
      </x:c>
      <x:c r="I260" s="24" t="str">
        <x:v>Source package + repository path + hash</x:v>
      </x:c>
      <x:c r="J260" s="24" t="str">
        <x:v>1640c14b7e0a04ec84ad65d7435189fbeddd0924ad6f9bb3e35386107587c496</x:v>
      </x:c>
      <x:c r="K260" s="24" t="str">
        <x:v>Assets/_Project/Prefabs/Furniture/FeaturedDisplay.prefab</x:v>
      </x:c>
      <x:c r="L260" s="24" t="str">
        <x:v>CR-004</x:v>
      </x:c>
      <x:c r="M260" s="24" t="str"/>
      <x:c r="N260" s="24" t="str">
        <x:v>RES-001;RES-014</x:v>
      </x:c>
      <x:c r="O260" s="24" t="str">
        <x:v>Internal development; public candidate requires gate</x:v>
      </x:c>
      <x:c r="P260" s="24" t="str">
        <x:v>CONDITIONALLY APPROVED</x:v>
      </x:c>
      <x:c r="Q260" s="24" t="str">
        <x:v>Low</x:v>
      </x:c>
      <x:c r="R260" s="24" t="str"/>
      <x:c r="S260" s="24" t="str">
        <x:v>Parcial</x:v>
      </x:c>
      <x:c r="T260" s="24" t="str">
        <x:f>"T"&amp;IF(AND(H260&lt;&gt;"",I260&lt;&gt;"",J260&lt;&gt;"",L260&lt;&gt;"",N260&lt;&gt;"",O260&lt;&gt;"",P260="APPROVED PUBLIC",S260="Sí"),6,IF(AND(H260&lt;&gt;"",I260&lt;&gt;"",J260&lt;&gt;"",L260&lt;&gt;"",N260&lt;&gt;"",O260&lt;&gt;"",P260&lt;&gt;"",S260="Sí"),5,IF(AND(H260&lt;&gt;"",I260&lt;&gt;"",P260&lt;&gt;"",S260&lt;&gt;"No"),4,IF(AND(H260&lt;&gt;"",I260&lt;&gt;""),3,IF(F260&lt;&gt;"",2,1)))))</x:f>
        <x:v>T4</x:v>
      </x:c>
      <x:c r="U260" s="24" t="str">
        <x:v>VRM Games</x:v>
      </x:c>
      <x:c r="V260" s="24" t="str">
        <x:v>No se detectó proveedor externo en la ruta; confirmar autoría por lote antes de release público.</x:v>
      </x:c>
    </x:row>
    <x:row r="261" ht="34" customHeight="1">
      <x:c r="A261" s="24" t="str">
        <x:v>TRC-00257</x:v>
      </x:c>
      <x:c r="B261" s="24" t="str">
        <x:v>a50740f86803ca60444851be2b42c02e</x:v>
      </x:c>
      <x:c r="C261" s="24" t="str">
        <x:v>LowDisplay.prefab</x:v>
      </x:c>
      <x:c r="D261" s="24" t="str">
        <x:v>Prefab</x:v>
      </x:c>
      <x:c r="E261" s="24" t="str">
        <x:v>03_Assets_Internos</x:v>
      </x:c>
      <x:c r="F261" s="24" t="str">
        <x:v>INT-0257</x:v>
      </x:c>
      <x:c r="G261" s="24" t="str">
        <x:v>VRM Games / Blas Luis Rocha González</x:v>
      </x:c>
      <x:c r="H261" s="24" t="str">
        <x:v>Internal project IP / authorship claim</x:v>
      </x:c>
      <x:c r="I261" s="24" t="str">
        <x:v>Source package + repository path + hash</x:v>
      </x:c>
      <x:c r="J261" s="24" t="str">
        <x:v>052bdf49b4d0d71b3746da6e2bc8ede866f53a1e3a3aeb6e3c54459533bd8326</x:v>
      </x:c>
      <x:c r="K261" s="24" t="str">
        <x:v>Assets/_Project/Prefabs/Furniture/LowDisplay.prefab</x:v>
      </x:c>
      <x:c r="L261" s="24" t="str">
        <x:v>CR-004</x:v>
      </x:c>
      <x:c r="M261" s="24" t="str"/>
      <x:c r="N261" s="24" t="str">
        <x:v>RES-001;RES-014</x:v>
      </x:c>
      <x:c r="O261" s="24" t="str">
        <x:v>Internal development; public candidate requires gate</x:v>
      </x:c>
      <x:c r="P261" s="24" t="str">
        <x:v>CONDITIONALLY APPROVED</x:v>
      </x:c>
      <x:c r="Q261" s="24" t="str">
        <x:v>Low</x:v>
      </x:c>
      <x:c r="R261" s="24" t="str"/>
      <x:c r="S261" s="24" t="str">
        <x:v>Parcial</x:v>
      </x:c>
      <x:c r="T261" s="24" t="str">
        <x:f>"T"&amp;IF(AND(H261&lt;&gt;"",I261&lt;&gt;"",J261&lt;&gt;"",L261&lt;&gt;"",N261&lt;&gt;"",O261&lt;&gt;"",P261="APPROVED PUBLIC",S261="Sí"),6,IF(AND(H261&lt;&gt;"",I261&lt;&gt;"",J261&lt;&gt;"",L261&lt;&gt;"",N261&lt;&gt;"",O261&lt;&gt;"",P261&lt;&gt;"",S261="Sí"),5,IF(AND(H261&lt;&gt;"",I261&lt;&gt;"",P261&lt;&gt;"",S261&lt;&gt;"No"),4,IF(AND(H261&lt;&gt;"",I261&lt;&gt;""),3,IF(F261&lt;&gt;"",2,1)))))</x:f>
        <x:v>T4</x:v>
      </x:c>
      <x:c r="U261" s="24" t="str">
        <x:v>VRM Games</x:v>
      </x:c>
      <x:c r="V261" s="24" t="str">
        <x:v>No se detectó proveedor externo en la ruta; confirmar autoría por lote antes de release público.</x:v>
      </x:c>
    </x:row>
    <x:row r="262" ht="34" customHeight="1">
      <x:c r="A262" s="24" t="str">
        <x:v>TRC-00258</x:v>
      </x:c>
      <x:c r="B262" s="24" t="str">
        <x:v>61dde0e295b6d720919f8fb896444331</x:v>
      </x:c>
      <x:c r="C262" s="24" t="str">
        <x:v>ReceivingCrate.prefab</x:v>
      </x:c>
      <x:c r="D262" s="24" t="str">
        <x:v>Prefab</x:v>
      </x:c>
      <x:c r="E262" s="24" t="str">
        <x:v>03_Assets_Internos</x:v>
      </x:c>
      <x:c r="F262" s="24" t="str">
        <x:v>INT-0258</x:v>
      </x:c>
      <x:c r="G262" s="24" t="str">
        <x:v>VRM Games / Blas Luis Rocha González</x:v>
      </x:c>
      <x:c r="H262" s="24" t="str">
        <x:v>Internal project IP / authorship claim</x:v>
      </x:c>
      <x:c r="I262" s="24" t="str">
        <x:v>Source package + repository path + hash</x:v>
      </x:c>
      <x:c r="J262" s="24" t="str">
        <x:v>ba2e9bc9727a0db46a441b8ecc91ec205c1d8860cda9330390c2add0edbaa5cb</x:v>
      </x:c>
      <x:c r="K262" s="24" t="str">
        <x:v>Assets/_Project/Prefabs/Furniture/ReceivingCrate.prefab</x:v>
      </x:c>
      <x:c r="L262" s="24" t="str">
        <x:v>CR-004</x:v>
      </x:c>
      <x:c r="M262" s="24" t="str"/>
      <x:c r="N262" s="24" t="str">
        <x:v>RES-001;RES-014</x:v>
      </x:c>
      <x:c r="O262" s="24" t="str">
        <x:v>Internal development; public candidate requires gate</x:v>
      </x:c>
      <x:c r="P262" s="24" t="str">
        <x:v>CONDITIONALLY APPROVED</x:v>
      </x:c>
      <x:c r="Q262" s="24" t="str">
        <x:v>Low</x:v>
      </x:c>
      <x:c r="R262" s="24" t="str"/>
      <x:c r="S262" s="24" t="str">
        <x:v>Parcial</x:v>
      </x:c>
      <x:c r="T262" s="24" t="str">
        <x:f>"T"&amp;IF(AND(H262&lt;&gt;"",I262&lt;&gt;"",J262&lt;&gt;"",L262&lt;&gt;"",N262&lt;&gt;"",O262&lt;&gt;"",P262="APPROVED PUBLIC",S262="Sí"),6,IF(AND(H262&lt;&gt;"",I262&lt;&gt;"",J262&lt;&gt;"",L262&lt;&gt;"",N262&lt;&gt;"",O262&lt;&gt;"",P262&lt;&gt;"",S262="Sí"),5,IF(AND(H262&lt;&gt;"",I262&lt;&gt;"",P262&lt;&gt;"",S262&lt;&gt;"No"),4,IF(AND(H262&lt;&gt;"",I262&lt;&gt;""),3,IF(F262&lt;&gt;"",2,1)))))</x:f>
        <x:v>T4</x:v>
      </x:c>
      <x:c r="U262" s="24" t="str">
        <x:v>VRM Games</x:v>
      </x:c>
      <x:c r="V262" s="24" t="str">
        <x:v>No se detectó proveedor externo en la ruta; confirmar autoría por lote antes de release público.</x:v>
      </x:c>
    </x:row>
    <x:row r="263" ht="34" customHeight="1">
      <x:c r="A263" s="24" t="str">
        <x:v>TRC-00259</x:v>
      </x:c>
      <x:c r="B263" s="24" t="str">
        <x:v>d85a9e733850c34695b6e866472e96ed</x:v>
      </x:c>
      <x:c r="C263" s="24" t="str">
        <x:v>WallShelf.prefab</x:v>
      </x:c>
      <x:c r="D263" s="24" t="str">
        <x:v>Prefab</x:v>
      </x:c>
      <x:c r="E263" s="24" t="str">
        <x:v>03_Assets_Internos</x:v>
      </x:c>
      <x:c r="F263" s="24" t="str">
        <x:v>INT-0259</x:v>
      </x:c>
      <x:c r="G263" s="24" t="str">
        <x:v>VRM Games / Blas Luis Rocha González</x:v>
      </x:c>
      <x:c r="H263" s="24" t="str">
        <x:v>Internal project IP / authorship claim</x:v>
      </x:c>
      <x:c r="I263" s="24" t="str">
        <x:v>Source package + repository path + hash</x:v>
      </x:c>
      <x:c r="J263" s="24" t="str">
        <x:v>e66f809bf0814d672fca0b9843c75f24d65190d59d07ef350528eaec1b635059</x:v>
      </x:c>
      <x:c r="K263" s="24" t="str">
        <x:v>Assets/_Project/Prefabs/Furniture/WallShelf.prefab</x:v>
      </x:c>
      <x:c r="L263" s="24" t="str">
        <x:v>CR-004</x:v>
      </x:c>
      <x:c r="M263" s="24" t="str"/>
      <x:c r="N263" s="24" t="str">
        <x:v>RES-001;RES-014</x:v>
      </x:c>
      <x:c r="O263" s="24" t="str">
        <x:v>Internal development; public candidate requires gate</x:v>
      </x:c>
      <x:c r="P263" s="24" t="str">
        <x:v>CONDITIONALLY APPROVED</x:v>
      </x:c>
      <x:c r="Q263" s="24" t="str">
        <x:v>Low</x:v>
      </x:c>
      <x:c r="R263" s="24" t="str"/>
      <x:c r="S263" s="24" t="str">
        <x:v>Parcial</x:v>
      </x:c>
      <x:c r="T263" s="24" t="str">
        <x:f>"T"&amp;IF(AND(H263&lt;&gt;"",I263&lt;&gt;"",J263&lt;&gt;"",L263&lt;&gt;"",N263&lt;&gt;"",O263&lt;&gt;"",P263="APPROVED PUBLIC",S263="Sí"),6,IF(AND(H263&lt;&gt;"",I263&lt;&gt;"",J263&lt;&gt;"",L263&lt;&gt;"",N263&lt;&gt;"",O263&lt;&gt;"",P263&lt;&gt;"",S263="Sí"),5,IF(AND(H263&lt;&gt;"",I263&lt;&gt;"",P263&lt;&gt;"",S263&lt;&gt;"No"),4,IF(AND(H263&lt;&gt;"",I263&lt;&gt;""),3,IF(F263&lt;&gt;"",2,1)))))</x:f>
        <x:v>T4</x:v>
      </x:c>
      <x:c r="U263" s="24" t="str">
        <x:v>VRM Games</x:v>
      </x:c>
      <x:c r="V263" s="24" t="str">
        <x:v>No se detectó proveedor externo en la ruta; confirmar autoría por lote antes de release público.</x:v>
      </x:c>
    </x:row>
    <x:row r="264" ht="34" customHeight="1">
      <x:c r="A264" s="24" t="str">
        <x:v>TRC-00260</x:v>
      </x:c>
      <x:c r="B264" s="24" t="str">
        <x:v>a61666dd7120c6ca962105fa1a44ad89</x:v>
      </x:c>
      <x:c r="C264" s="24" t="str">
        <x:v>CloudRunnerCase.prefab</x:v>
      </x:c>
      <x:c r="D264" s="24" t="str">
        <x:v>Prefab</x:v>
      </x:c>
      <x:c r="E264" s="24" t="str">
        <x:v>03_Assets_Internos</x:v>
      </x:c>
      <x:c r="F264" s="24" t="str">
        <x:v>INT-0260</x:v>
      </x:c>
      <x:c r="G264" s="24" t="str">
        <x:v>VRM Games / Blas Luis Rocha González</x:v>
      </x:c>
      <x:c r="H264" s="24" t="str">
        <x:v>Internal project IP / authorship claim</x:v>
      </x:c>
      <x:c r="I264" s="24" t="str">
        <x:v>Source package + repository path + hash</x:v>
      </x:c>
      <x:c r="J264" s="24" t="str">
        <x:v>1b4d03c69bdecafee8a12378b090f983268471ed13a12e5ec27d47b805f90c1c</x:v>
      </x:c>
      <x:c r="K264" s="24" t="str">
        <x:v>Assets/_Project/Prefabs/Products/CloudRunnerCase.prefab</x:v>
      </x:c>
      <x:c r="L264" s="24" t="str">
        <x:v>CR-004</x:v>
      </x:c>
      <x:c r="M264" s="24" t="str"/>
      <x:c r="N264" s="24" t="str">
        <x:v>RES-001;RES-014</x:v>
      </x:c>
      <x:c r="O264" s="24" t="str">
        <x:v>Internal development; public candidate requires gate</x:v>
      </x:c>
      <x:c r="P264" s="24" t="str">
        <x:v>CONDITIONALLY APPROVED</x:v>
      </x:c>
      <x:c r="Q264" s="24" t="str">
        <x:v>Low</x:v>
      </x:c>
      <x:c r="R264" s="24" t="str"/>
      <x:c r="S264" s="24" t="str">
        <x:v>Parcial</x:v>
      </x:c>
      <x:c r="T264" s="24" t="str">
        <x:f>"T"&amp;IF(AND(H264&lt;&gt;"",I264&lt;&gt;"",J264&lt;&gt;"",L264&lt;&gt;"",N264&lt;&gt;"",O264&lt;&gt;"",P264="APPROVED PUBLIC",S264="Sí"),6,IF(AND(H264&lt;&gt;"",I264&lt;&gt;"",J264&lt;&gt;"",L264&lt;&gt;"",N264&lt;&gt;"",O264&lt;&gt;"",P264&lt;&gt;"",S264="Sí"),5,IF(AND(H264&lt;&gt;"",I264&lt;&gt;"",P264&lt;&gt;"",S264&lt;&gt;"No"),4,IF(AND(H264&lt;&gt;"",I264&lt;&gt;""),3,IF(F264&lt;&gt;"",2,1)))))</x:f>
        <x:v>T4</x:v>
      </x:c>
      <x:c r="U264" s="24" t="str">
        <x:v>VRM Games</x:v>
      </x:c>
      <x:c r="V264" s="24" t="str">
        <x:v>No se detectó proveedor externo en la ruta; confirmar autoría por lote antes de release público.</x:v>
      </x:c>
    </x:row>
    <x:row r="265" ht="34" customHeight="1">
      <x:c r="A265" s="24" t="str">
        <x:v>TRC-00261</x:v>
      </x:c>
      <x:c r="B265" s="24" t="str">
        <x:v>5ede70c331046392f8d66c885ebe2a1e</x:v>
      </x:c>
      <x:c r="C265" s="24" t="str">
        <x:v>MemoryCoreAccessory.prefab</x:v>
      </x:c>
      <x:c r="D265" s="24" t="str">
        <x:v>Prefab</x:v>
      </x:c>
      <x:c r="E265" s="24" t="str">
        <x:v>03_Assets_Internos</x:v>
      </x:c>
      <x:c r="F265" s="24" t="str">
        <x:v>INT-0261</x:v>
      </x:c>
      <x:c r="G265" s="24" t="str">
        <x:v>VRM Games / Blas Luis Rocha González</x:v>
      </x:c>
      <x:c r="H265" s="24" t="str">
        <x:v>Internal project IP / authorship claim</x:v>
      </x:c>
      <x:c r="I265" s="24" t="str">
        <x:v>Source package + repository path + hash</x:v>
      </x:c>
      <x:c r="J265" s="24" t="str">
        <x:v>90541250401c3839df6810e39b2418d783e3225303a0423e9bd97fb22d9a022d</x:v>
      </x:c>
      <x:c r="K265" s="24" t="str">
        <x:v>Assets/_Project/Prefabs/Products/MemoryCoreAccessory.prefab</x:v>
      </x:c>
      <x:c r="L265" s="24" t="str">
        <x:v>CR-004</x:v>
      </x:c>
      <x:c r="M265" s="24" t="str"/>
      <x:c r="N265" s="24" t="str">
        <x:v>RES-001;RES-014</x:v>
      </x:c>
      <x:c r="O265" s="24" t="str">
        <x:v>Internal development; public candidate requires gate</x:v>
      </x:c>
      <x:c r="P265" s="24" t="str">
        <x:v>CONDITIONALLY APPROVED</x:v>
      </x:c>
      <x:c r="Q265" s="24" t="str">
        <x:v>Low</x:v>
      </x:c>
      <x:c r="R265" s="24" t="str"/>
      <x:c r="S265" s="24" t="str">
        <x:v>Parcial</x:v>
      </x:c>
      <x:c r="T265" s="24" t="str">
        <x:f>"T"&amp;IF(AND(H265&lt;&gt;"",I265&lt;&gt;"",J265&lt;&gt;"",L265&lt;&gt;"",N265&lt;&gt;"",O265&lt;&gt;"",P265="APPROVED PUBLIC",S265="Sí"),6,IF(AND(H265&lt;&gt;"",I265&lt;&gt;"",J265&lt;&gt;"",L265&lt;&gt;"",N265&lt;&gt;"",O265&lt;&gt;"",P265&lt;&gt;"",S265="Sí"),5,IF(AND(H265&lt;&gt;"",I265&lt;&gt;"",P265&lt;&gt;"",S265&lt;&gt;"No"),4,IF(AND(H265&lt;&gt;"",I265&lt;&gt;""),3,IF(F265&lt;&gt;"",2,1)))))</x:f>
        <x:v>T4</x:v>
      </x:c>
      <x:c r="U265" s="24" t="str">
        <x:v>VRM Games</x:v>
      </x:c>
      <x:c r="V265" s="24" t="str">
        <x:v>No se detectó proveedor externo en la ruta; confirmar autoría por lote antes de release público.</x:v>
      </x:c>
    </x:row>
    <x:row r="266" ht="34" customHeight="1">
      <x:c r="A266" s="24" t="str">
        <x:v>TRC-00262</x:v>
      </x:c>
      <x:c r="B266" s="24" t="str">
        <x:v>5ff5d278aad9e48c26952b67e72c9405</x:v>
      </x:c>
      <x:c r="C266" s="24" t="str">
        <x:v>NeonDrift.prefab</x:v>
      </x:c>
      <x:c r="D266" s="24" t="str">
        <x:v>Prefab</x:v>
      </x:c>
      <x:c r="E266" s="24" t="str">
        <x:v>03_Assets_Internos</x:v>
      </x:c>
      <x:c r="F266" s="24" t="str">
        <x:v>INT-0262</x:v>
      </x:c>
      <x:c r="G266" s="24" t="str">
        <x:v>VRM Games / Blas Luis Rocha González</x:v>
      </x:c>
      <x:c r="H266" s="24" t="str">
        <x:v>Internal project IP / authorship claim</x:v>
      </x:c>
      <x:c r="I266" s="24" t="str">
        <x:v>Source package + repository path + hash</x:v>
      </x:c>
      <x:c r="J266" s="24" t="str">
        <x:v>1a479080c6c8f41d35bbfeda52c20022d2c868a966c9cab131efbe649b507fcc</x:v>
      </x:c>
      <x:c r="K266" s="24" t="str">
        <x:v>Assets/_Project/Prefabs/Products/NeonDrift.prefab</x:v>
      </x:c>
      <x:c r="L266" s="24" t="str">
        <x:v>CR-004</x:v>
      </x:c>
      <x:c r="M266" s="24" t="str"/>
      <x:c r="N266" s="24" t="str">
        <x:v>RES-001;RES-014</x:v>
      </x:c>
      <x:c r="O266" s="24" t="str">
        <x:v>Internal development; public candidate requires gate</x:v>
      </x:c>
      <x:c r="P266" s="24" t="str">
        <x:v>CONDITIONALLY APPROVED</x:v>
      </x:c>
      <x:c r="Q266" s="24" t="str">
        <x:v>Low</x:v>
      </x:c>
      <x:c r="R266" s="24" t="str"/>
      <x:c r="S266" s="24" t="str">
        <x:v>Parcial</x:v>
      </x:c>
      <x:c r="T266" s="24" t="str">
        <x:f>"T"&amp;IF(AND(H266&lt;&gt;"",I266&lt;&gt;"",J266&lt;&gt;"",L266&lt;&gt;"",N266&lt;&gt;"",O266&lt;&gt;"",P266="APPROVED PUBLIC",S266="Sí"),6,IF(AND(H266&lt;&gt;"",I266&lt;&gt;"",J266&lt;&gt;"",L266&lt;&gt;"",N266&lt;&gt;"",O266&lt;&gt;"",P266&lt;&gt;"",S266="Sí"),5,IF(AND(H266&lt;&gt;"",I266&lt;&gt;"",P266&lt;&gt;"",S266&lt;&gt;"No"),4,IF(AND(H266&lt;&gt;"",I266&lt;&gt;""),3,IF(F266&lt;&gt;"",2,1)))))</x:f>
        <x:v>T4</x:v>
      </x:c>
      <x:c r="U266" s="24" t="str">
        <x:v>VRM Games</x:v>
      </x:c>
      <x:c r="V266" s="24" t="str">
        <x:v>No se detectó proveedor externo en la ruta; confirmar autoría por lote antes de release público.</x:v>
      </x:c>
    </x:row>
    <x:row r="267" ht="34" customHeight="1">
      <x:c r="A267" s="24" t="str">
        <x:v>TRC-00263</x:v>
      </x:c>
      <x:c r="B267" s="24" t="str">
        <x:v>284a9c89ea04890133aedc074bfb9780</x:v>
      </x:c>
      <x:c r="C267" s="24" t="str">
        <x:v>OrbitPadController.prefab</x:v>
      </x:c>
      <x:c r="D267" s="24" t="str">
        <x:v>Prefab</x:v>
      </x:c>
      <x:c r="E267" s="24" t="str">
        <x:v>03_Assets_Internos</x:v>
      </x:c>
      <x:c r="F267" s="24" t="str">
        <x:v>INT-0263</x:v>
      </x:c>
      <x:c r="G267" s="24" t="str">
        <x:v>VRM Games / Blas Luis Rocha González</x:v>
      </x:c>
      <x:c r="H267" s="24" t="str">
        <x:v>Internal project IP / authorship claim</x:v>
      </x:c>
      <x:c r="I267" s="24" t="str">
        <x:v>Source package + repository path + hash</x:v>
      </x:c>
      <x:c r="J267" s="24" t="str">
        <x:v>545b182643d460ef17abfe7a06cca25a68497ea1f5c09bd3c51a034b1862a239</x:v>
      </x:c>
      <x:c r="K267" s="24" t="str">
        <x:v>Assets/_Project/Prefabs/Products/OrbitPadController.prefab</x:v>
      </x:c>
      <x:c r="L267" s="24" t="str">
        <x:v>CR-004</x:v>
      </x:c>
      <x:c r="M267" s="24" t="str"/>
      <x:c r="N267" s="24" t="str">
        <x:v>RES-001;RES-014</x:v>
      </x:c>
      <x:c r="O267" s="24" t="str">
        <x:v>Internal development; public candidate requires gate</x:v>
      </x:c>
      <x:c r="P267" s="24" t="str">
        <x:v>CONDITIONALLY APPROVED</x:v>
      </x:c>
      <x:c r="Q267" s="24" t="str">
        <x:v>Low</x:v>
      </x:c>
      <x:c r="R267" s="24" t="str"/>
      <x:c r="S267" s="24" t="str">
        <x:v>Parcial</x:v>
      </x:c>
      <x:c r="T267" s="24" t="str">
        <x:f>"T"&amp;IF(AND(H267&lt;&gt;"",I267&lt;&gt;"",J267&lt;&gt;"",L267&lt;&gt;"",N267&lt;&gt;"",O267&lt;&gt;"",P267="APPROVED PUBLIC",S267="Sí"),6,IF(AND(H267&lt;&gt;"",I267&lt;&gt;"",J267&lt;&gt;"",L267&lt;&gt;"",N267&lt;&gt;"",O267&lt;&gt;"",P267&lt;&gt;"",S267="Sí"),5,IF(AND(H267&lt;&gt;"",I267&lt;&gt;"",P267&lt;&gt;"",S267&lt;&gt;"No"),4,IF(AND(H267&lt;&gt;"",I267&lt;&gt;""),3,IF(F267&lt;&gt;"",2,1)))))</x:f>
        <x:v>T4</x:v>
      </x:c>
      <x:c r="U267" s="24" t="str">
        <x:v>VRM Games</x:v>
      </x:c>
      <x:c r="V267" s="24" t="str">
        <x:v>No se detectó proveedor externo en la ruta; confirmar autoría por lote antes de release público.</x:v>
      </x:c>
    </x:row>
    <x:row r="268" ht="34" customHeight="1">
      <x:c r="A268" s="24" t="str">
        <x:v>TRC-00264</x:v>
      </x:c>
      <x:c r="B268" s="24" t="str">
        <x:v>a811816a660cd244c8e7cdc35b3a6a29</x:v>
      </x:c>
      <x:c r="C268" s="24" t="str">
        <x:v>MemoryCoreBox.prefab</x:v>
      </x:c>
      <x:c r="D268" s="24" t="str">
        <x:v>Prefab</x:v>
      </x:c>
      <x:c r="E268" s="24" t="str">
        <x:v>03_Assets_Internos</x:v>
      </x:c>
      <x:c r="F268" s="24" t="str">
        <x:v>INT-0264</x:v>
      </x:c>
      <x:c r="G268" s="24" t="str">
        <x:v>VRM Games / Blas Luis Rocha González</x:v>
      </x:c>
      <x:c r="H268" s="24" t="str">
        <x:v>Internal project IP / authorship claim</x:v>
      </x:c>
      <x:c r="I268" s="24" t="str">
        <x:v>Source package + repository path + hash</x:v>
      </x:c>
      <x:c r="J268" s="24" t="str">
        <x:v>90d25a2a327cc6aa69544214bc9c2dd76163a43fae806e98115c7fbda818d76c</x:v>
      </x:c>
      <x:c r="K268" s="24" t="str">
        <x:v>Assets/_Project/Prefabs/Products/Packaging/MemoryCoreBox.prefab</x:v>
      </x:c>
      <x:c r="L268" s="24" t="str">
        <x:v>CR-004</x:v>
      </x:c>
      <x:c r="M268" s="24" t="str"/>
      <x:c r="N268" s="24" t="str">
        <x:v>RES-001;RES-014</x:v>
      </x:c>
      <x:c r="O268" s="24" t="str">
        <x:v>Internal development; public candidate requires gate</x:v>
      </x:c>
      <x:c r="P268" s="24" t="str">
        <x:v>CONDITIONALLY APPROVED</x:v>
      </x:c>
      <x:c r="Q268" s="24" t="str">
        <x:v>Low</x:v>
      </x:c>
      <x:c r="R268" s="24" t="str"/>
      <x:c r="S268" s="24" t="str">
        <x:v>Parcial</x:v>
      </x:c>
      <x:c r="T268" s="24" t="str">
        <x:f>"T"&amp;IF(AND(H268&lt;&gt;"",I268&lt;&gt;"",J268&lt;&gt;"",L268&lt;&gt;"",N268&lt;&gt;"",O268&lt;&gt;"",P268="APPROVED PUBLIC",S268="Sí"),6,IF(AND(H268&lt;&gt;"",I268&lt;&gt;"",J268&lt;&gt;"",L268&lt;&gt;"",N268&lt;&gt;"",O268&lt;&gt;"",P268&lt;&gt;"",S268="Sí"),5,IF(AND(H268&lt;&gt;"",I268&lt;&gt;"",P268&lt;&gt;"",S268&lt;&gt;"No"),4,IF(AND(H268&lt;&gt;"",I268&lt;&gt;""),3,IF(F268&lt;&gt;"",2,1)))))</x:f>
        <x:v>T4</x:v>
      </x:c>
      <x:c r="U268" s="24" t="str">
        <x:v>VRM Games</x:v>
      </x:c>
      <x:c r="V268" s="24" t="str">
        <x:v>No se detectó proveedor externo en la ruta; confirmar autoría por lote antes de release público.</x:v>
      </x:c>
    </x:row>
    <x:row r="269" ht="34" customHeight="1">
      <x:c r="A269" s="24" t="str">
        <x:v>TRC-00265</x:v>
      </x:c>
      <x:c r="B269" s="24" t="str">
        <x:v>deca8db8279a11b4c893b6e1db0b7d75</x:v>
      </x:c>
      <x:c r="C269" s="24" t="str">
        <x:v>OrbitPadBox.prefab</x:v>
      </x:c>
      <x:c r="D269" s="24" t="str">
        <x:v>Prefab</x:v>
      </x:c>
      <x:c r="E269" s="24" t="str">
        <x:v>03_Assets_Internos</x:v>
      </x:c>
      <x:c r="F269" s="24" t="str">
        <x:v>INT-0265</x:v>
      </x:c>
      <x:c r="G269" s="24" t="str">
        <x:v>VRM Games / Blas Luis Rocha González</x:v>
      </x:c>
      <x:c r="H269" s="24" t="str">
        <x:v>Internal project IP / authorship claim</x:v>
      </x:c>
      <x:c r="I269" s="24" t="str">
        <x:v>Source package + repository path + hash</x:v>
      </x:c>
      <x:c r="J269" s="24" t="str">
        <x:v>f7ae48ead9753bdabfc48b61e8bd01670b0257b32a11d58bc045401b30d086e9</x:v>
      </x:c>
      <x:c r="K269" s="24" t="str">
        <x:v>Assets/_Project/Prefabs/Products/Packaging/OrbitPadBox.prefab</x:v>
      </x:c>
      <x:c r="L269" s="24" t="str">
        <x:v>CR-004</x:v>
      </x:c>
      <x:c r="M269" s="24" t="str"/>
      <x:c r="N269" s="24" t="str">
        <x:v>RES-001;RES-014</x:v>
      </x:c>
      <x:c r="O269" s="24" t="str">
        <x:v>Internal development; public candidate requires gate</x:v>
      </x:c>
      <x:c r="P269" s="24" t="str">
        <x:v>CONDITIONALLY APPROVED</x:v>
      </x:c>
      <x:c r="Q269" s="24" t="str">
        <x:v>Low</x:v>
      </x:c>
      <x:c r="R269" s="24" t="str"/>
      <x:c r="S269" s="24" t="str">
        <x:v>Parcial</x:v>
      </x:c>
      <x:c r="T269" s="24" t="str">
        <x:f>"T"&amp;IF(AND(H269&lt;&gt;"",I269&lt;&gt;"",J269&lt;&gt;"",L269&lt;&gt;"",N269&lt;&gt;"",O269&lt;&gt;"",P269="APPROVED PUBLIC",S269="Sí"),6,IF(AND(H269&lt;&gt;"",I269&lt;&gt;"",J269&lt;&gt;"",L269&lt;&gt;"",N269&lt;&gt;"",O269&lt;&gt;"",P269&lt;&gt;"",S269="Sí"),5,IF(AND(H269&lt;&gt;"",I269&lt;&gt;"",P269&lt;&gt;"",S269&lt;&gt;"No"),4,IF(AND(H269&lt;&gt;"",I269&lt;&gt;""),3,IF(F269&lt;&gt;"",2,1)))))</x:f>
        <x:v>T4</x:v>
      </x:c>
      <x:c r="U269" s="24" t="str">
        <x:v>VRM Games</x:v>
      </x:c>
      <x:c r="V269" s="24" t="str">
        <x:v>No se detectó proveedor externo en la ruta; confirmar autoría por lote antes de release público.</x:v>
      </x:c>
    </x:row>
    <x:row r="270" ht="34" customHeight="1">
      <x:c r="A270" s="24" t="str">
        <x:v>TRC-00266</x:v>
      </x:c>
      <x:c r="B270" s="24" t="str">
        <x:v>9cbf9396578b87a4083154ce4c5c83b4</x:v>
      </x:c>
      <x:c r="C270" s="24" t="str">
        <x:v>SignalProBox.prefab</x:v>
      </x:c>
      <x:c r="D270" s="24" t="str">
        <x:v>Prefab</x:v>
      </x:c>
      <x:c r="E270" s="24" t="str">
        <x:v>03_Assets_Internos</x:v>
      </x:c>
      <x:c r="F270" s="24" t="str">
        <x:v>INT-0266</x:v>
      </x:c>
      <x:c r="G270" s="24" t="str">
        <x:v>VRM Games / Blas Luis Rocha González</x:v>
      </x:c>
      <x:c r="H270" s="24" t="str">
        <x:v>Internal project IP / authorship claim</x:v>
      </x:c>
      <x:c r="I270" s="24" t="str">
        <x:v>Source package + repository path + hash</x:v>
      </x:c>
      <x:c r="J270" s="24" t="str">
        <x:v>f4d882c66a94d77a6d86321fef7c6ca121bf493eae01da48cf25479afb2daee5</x:v>
      </x:c>
      <x:c r="K270" s="24" t="str">
        <x:v>Assets/_Project/Prefabs/Products/Packaging/SignalProBox.prefab</x:v>
      </x:c>
      <x:c r="L270" s="24" t="str">
        <x:v>CR-004</x:v>
      </x:c>
      <x:c r="M270" s="24" t="str"/>
      <x:c r="N270" s="24" t="str">
        <x:v>RES-001;RES-014</x:v>
      </x:c>
      <x:c r="O270" s="24" t="str">
        <x:v>Internal development; public candidate requires gate</x:v>
      </x:c>
      <x:c r="P270" s="24" t="str">
        <x:v>CONDITIONALLY APPROVED</x:v>
      </x:c>
      <x:c r="Q270" s="24" t="str">
        <x:v>Low</x:v>
      </x:c>
      <x:c r="R270" s="24" t="str"/>
      <x:c r="S270" s="24" t="str">
        <x:v>Parcial</x:v>
      </x:c>
      <x:c r="T270" s="24" t="str">
        <x:f>"T"&amp;IF(AND(H270&lt;&gt;"",I270&lt;&gt;"",J270&lt;&gt;"",L270&lt;&gt;"",N270&lt;&gt;"",O270&lt;&gt;"",P270="APPROVED PUBLIC",S270="Sí"),6,IF(AND(H270&lt;&gt;"",I270&lt;&gt;"",J270&lt;&gt;"",L270&lt;&gt;"",N270&lt;&gt;"",O270&lt;&gt;"",P270&lt;&gt;"",S270="Sí"),5,IF(AND(H270&lt;&gt;"",I270&lt;&gt;"",P270&lt;&gt;"",S270&lt;&gt;"No"),4,IF(AND(H270&lt;&gt;"",I270&lt;&gt;""),3,IF(F270&lt;&gt;"",2,1)))))</x:f>
        <x:v>T4</x:v>
      </x:c>
      <x:c r="U270" s="24" t="str">
        <x:v>VRM Games</x:v>
      </x:c>
      <x:c r="V270" s="24" t="str">
        <x:v>No se detectó proveedor externo en la ruta; confirmar autoría por lote antes de release público.</x:v>
      </x:c>
    </x:row>
    <x:row r="271" ht="34" customHeight="1">
      <x:c r="A271" s="24" t="str">
        <x:v>TRC-00267</x:v>
      </x:c>
      <x:c r="B271" s="24" t="str">
        <x:v>0be192659d3ef1d4cb8748114dfd2307</x:v>
      </x:c>
      <x:c r="C271" s="24" t="str">
        <x:v>VertexOneBox.prefab</x:v>
      </x:c>
      <x:c r="D271" s="24" t="str">
        <x:v>Prefab</x:v>
      </x:c>
      <x:c r="E271" s="24" t="str">
        <x:v>03_Assets_Internos</x:v>
      </x:c>
      <x:c r="F271" s="24" t="str">
        <x:v>INT-0267</x:v>
      </x:c>
      <x:c r="G271" s="24" t="str">
        <x:v>VRM Games / Blas Luis Rocha González</x:v>
      </x:c>
      <x:c r="H271" s="24" t="str">
        <x:v>Internal project IP / authorship claim</x:v>
      </x:c>
      <x:c r="I271" s="24" t="str">
        <x:v>Source package + repository path + hash</x:v>
      </x:c>
      <x:c r="J271" s="24" t="str">
        <x:v>fe9281509125834eb3289c913f303f2fa78bc9fef79de02a255727044ec4c346</x:v>
      </x:c>
      <x:c r="K271" s="24" t="str">
        <x:v>Assets/_Project/Prefabs/Products/Packaging/VertexOneBox.prefab</x:v>
      </x:c>
      <x:c r="L271" s="24" t="str">
        <x:v>CR-004</x:v>
      </x:c>
      <x:c r="M271" s="24" t="str"/>
      <x:c r="N271" s="24" t="str">
        <x:v>RES-001;RES-014</x:v>
      </x:c>
      <x:c r="O271" s="24" t="str">
        <x:v>Internal development; public candidate requires gate</x:v>
      </x:c>
      <x:c r="P271" s="24" t="str">
        <x:v>CONDITIONALLY APPROVED</x:v>
      </x:c>
      <x:c r="Q271" s="24" t="str">
        <x:v>Low</x:v>
      </x:c>
      <x:c r="R271" s="24" t="str"/>
      <x:c r="S271" s="24" t="str">
        <x:v>Parcial</x:v>
      </x:c>
      <x:c r="T271" s="24" t="str">
        <x:f>"T"&amp;IF(AND(H271&lt;&gt;"",I271&lt;&gt;"",J271&lt;&gt;"",L271&lt;&gt;"",N271&lt;&gt;"",O271&lt;&gt;"",P271="APPROVED PUBLIC",S271="Sí"),6,IF(AND(H271&lt;&gt;"",I271&lt;&gt;"",J271&lt;&gt;"",L271&lt;&gt;"",N271&lt;&gt;"",O271&lt;&gt;"",P271&lt;&gt;"",S271="Sí"),5,IF(AND(H271&lt;&gt;"",I271&lt;&gt;"",P271&lt;&gt;"",S271&lt;&gt;"No"),4,IF(AND(H271&lt;&gt;"",I271&lt;&gt;""),3,IF(F271&lt;&gt;"",2,1)))))</x:f>
        <x:v>T4</x:v>
      </x:c>
      <x:c r="U271" s="24" t="str">
        <x:v>VRM Games</x:v>
      </x:c>
      <x:c r="V271" s="24" t="str">
        <x:v>No se detectó proveedor externo en la ruta; confirmar autoría por lote antes de release público.</x:v>
      </x:c>
    </x:row>
    <x:row r="272" ht="34" customHeight="1">
      <x:c r="A272" s="24" t="str">
        <x:v>TRC-00268</x:v>
      </x:c>
      <x:c r="B272" s="24" t="str">
        <x:v>2ef0238a34274b9d294281346ee99c23</x:v>
      </x:c>
      <x:c r="C272" s="24" t="str">
        <x:v>SignalProHeadset.prefab</x:v>
      </x:c>
      <x:c r="D272" s="24" t="str">
        <x:v>Prefab</x:v>
      </x:c>
      <x:c r="E272" s="24" t="str">
        <x:v>03_Assets_Internos</x:v>
      </x:c>
      <x:c r="F272" s="24" t="str">
        <x:v>INT-0268</x:v>
      </x:c>
      <x:c r="G272" s="24" t="str">
        <x:v>VRM Games / Blas Luis Rocha González</x:v>
      </x:c>
      <x:c r="H272" s="24" t="str">
        <x:v>Internal project IP / authorship claim</x:v>
      </x:c>
      <x:c r="I272" s="24" t="str">
        <x:v>Source package + repository path + hash</x:v>
      </x:c>
      <x:c r="J272" s="24" t="str">
        <x:v>b2901e97048d2f817c5858aed1fc2abc5e71003e4795cfd463f0df0ccaf3dfcd</x:v>
      </x:c>
      <x:c r="K272" s="24" t="str">
        <x:v>Assets/_Project/Prefabs/Products/SignalProHeadset.prefab</x:v>
      </x:c>
      <x:c r="L272" s="24" t="str">
        <x:v>CR-004</x:v>
      </x:c>
      <x:c r="M272" s="24" t="str"/>
      <x:c r="N272" s="24" t="str">
        <x:v>RES-001;RES-014</x:v>
      </x:c>
      <x:c r="O272" s="24" t="str">
        <x:v>Internal development; public candidate requires gate</x:v>
      </x:c>
      <x:c r="P272" s="24" t="str">
        <x:v>CONDITIONALLY APPROVED</x:v>
      </x:c>
      <x:c r="Q272" s="24" t="str">
        <x:v>Low</x:v>
      </x:c>
      <x:c r="R272" s="24" t="str"/>
      <x:c r="S272" s="24" t="str">
        <x:v>Parcial</x:v>
      </x:c>
      <x:c r="T272" s="24" t="str">
        <x:f>"T"&amp;IF(AND(H272&lt;&gt;"",I272&lt;&gt;"",J272&lt;&gt;"",L272&lt;&gt;"",N272&lt;&gt;"",O272&lt;&gt;"",P272="APPROVED PUBLIC",S272="Sí"),6,IF(AND(H272&lt;&gt;"",I272&lt;&gt;"",J272&lt;&gt;"",L272&lt;&gt;"",N272&lt;&gt;"",O272&lt;&gt;"",P272&lt;&gt;"",S272="Sí"),5,IF(AND(H272&lt;&gt;"",I272&lt;&gt;"",P272&lt;&gt;"",S272&lt;&gt;"No"),4,IF(AND(H272&lt;&gt;"",I272&lt;&gt;""),3,IF(F272&lt;&gt;"",2,1)))))</x:f>
        <x:v>T4</x:v>
      </x:c>
      <x:c r="U272" s="24" t="str">
        <x:v>VRM Games</x:v>
      </x:c>
      <x:c r="V272" s="24" t="str">
        <x:v>No se detectó proveedor externo en la ruta; confirmar autoría por lote antes de release público.</x:v>
      </x:c>
    </x:row>
    <x:row r="273" ht="34" customHeight="1">
      <x:c r="A273" s="24" t="str">
        <x:v>TRC-00269</x:v>
      </x:c>
      <x:c r="B273" s="24" t="str">
        <x:v>a13d977b9b4144699385c65def0e446a</x:v>
      </x:c>
      <x:c r="C273" s="24" t="str">
        <x:v>VertexOneConsole.prefab</x:v>
      </x:c>
      <x:c r="D273" s="24" t="str">
        <x:v>Prefab</x:v>
      </x:c>
      <x:c r="E273" s="24" t="str">
        <x:v>03_Assets_Internos</x:v>
      </x:c>
      <x:c r="F273" s="24" t="str">
        <x:v>INT-0269</x:v>
      </x:c>
      <x:c r="G273" s="24" t="str">
        <x:v>VRM Games / Blas Luis Rocha González</x:v>
      </x:c>
      <x:c r="H273" s="24" t="str">
        <x:v>Internal project IP / authorship claim</x:v>
      </x:c>
      <x:c r="I273" s="24" t="str">
        <x:v>Source package + repository path + hash</x:v>
      </x:c>
      <x:c r="J273" s="24" t="str">
        <x:v>614e3b763433ec0ce73f052539547c12d99399c0d0ec8181783ac47d919793ac</x:v>
      </x:c>
      <x:c r="K273" s="24" t="str">
        <x:v>Assets/_Project/Prefabs/Products/VertexOneConsole.prefab</x:v>
      </x:c>
      <x:c r="L273" s="24" t="str">
        <x:v>CR-004</x:v>
      </x:c>
      <x:c r="M273" s="24" t="str"/>
      <x:c r="N273" s="24" t="str">
        <x:v>RES-001;RES-014</x:v>
      </x:c>
      <x:c r="O273" s="24" t="str">
        <x:v>Internal development; public candidate requires gate</x:v>
      </x:c>
      <x:c r="P273" s="24" t="str">
        <x:v>CONDITIONALLY APPROVED</x:v>
      </x:c>
      <x:c r="Q273" s="24" t="str">
        <x:v>Low</x:v>
      </x:c>
      <x:c r="R273" s="24" t="str"/>
      <x:c r="S273" s="24" t="str">
        <x:v>Parcial</x:v>
      </x:c>
      <x:c r="T273" s="24" t="str">
        <x:f>"T"&amp;IF(AND(H273&lt;&gt;"",I273&lt;&gt;"",J273&lt;&gt;"",L273&lt;&gt;"",N273&lt;&gt;"",O273&lt;&gt;"",P273="APPROVED PUBLIC",S273="Sí"),6,IF(AND(H273&lt;&gt;"",I273&lt;&gt;"",J273&lt;&gt;"",L273&lt;&gt;"",N273&lt;&gt;"",O273&lt;&gt;"",P273&lt;&gt;"",S273="Sí"),5,IF(AND(H273&lt;&gt;"",I273&lt;&gt;"",P273&lt;&gt;"",S273&lt;&gt;"No"),4,IF(AND(H273&lt;&gt;"",I273&lt;&gt;""),3,IF(F273&lt;&gt;"",2,1)))))</x:f>
        <x:v>T4</x:v>
      </x:c>
      <x:c r="U273" s="24" t="str">
        <x:v>VRM Games</x:v>
      </x:c>
      <x:c r="V273" s="24" t="str">
        <x:v>No se detectó proveedor externo en la ruta; confirmar autoría por lote antes de release público.</x:v>
      </x:c>
    </x:row>
    <x:row r="274" ht="34" customHeight="1">
      <x:c r="A274" s="24" t="str">
        <x:v>TRC-00270</x:v>
      </x:c>
      <x:c r="B274" s="24" t="str">
        <x:v>ada1e52ac6e09b9468e2109ccc7cbfc0</x:v>
      </x:c>
      <x:c r="C274" s="24" t="str">
        <x:v>Bootstrap.unity</x:v>
      </x:c>
      <x:c r="D274" s="24" t="str">
        <x:v>Scene</x:v>
      </x:c>
      <x:c r="E274" s="24" t="str">
        <x:v>03_Assets_Internos</x:v>
      </x:c>
      <x:c r="F274" s="24" t="str">
        <x:v>INT-0270</x:v>
      </x:c>
      <x:c r="G274" s="24" t="str">
        <x:v>VRM Games / Blas Luis Rocha González</x:v>
      </x:c>
      <x:c r="H274" s="24" t="str">
        <x:v>Internal project IP / authorship claim</x:v>
      </x:c>
      <x:c r="I274" s="24" t="str">
        <x:v>Source package + repository path + hash</x:v>
      </x:c>
      <x:c r="J274" s="24" t="str">
        <x:v>aa0843d2a39cccfa6b60d5e91b8c30657ce5fb2e2c0c1fd2333b3fdf74f35923</x:v>
      </x:c>
      <x:c r="K274" s="24" t="str">
        <x:v>Assets/_Project/Scenes/Bootstrap.unity</x:v>
      </x:c>
      <x:c r="L274" s="24" t="str">
        <x:v>CR-003</x:v>
      </x:c>
      <x:c r="M274" s="24" t="str"/>
      <x:c r="N274" s="24" t="str">
        <x:v>RES-001;RES-014</x:v>
      </x:c>
      <x:c r="O274" s="24" t="str">
        <x:v>Internal development; public candidate requires gate</x:v>
      </x:c>
      <x:c r="P274" s="24" t="str">
        <x:v>CONDITIONALLY APPROVED</x:v>
      </x:c>
      <x:c r="Q274" s="24" t="str">
        <x:v>Low</x:v>
      </x:c>
      <x:c r="R274" s="24" t="str"/>
      <x:c r="S274" s="24" t="str">
        <x:v>Sí</x:v>
      </x:c>
      <x:c r="T274" s="24" t="str">
        <x:f>"T"&amp;IF(AND(H274&lt;&gt;"",I274&lt;&gt;"",J274&lt;&gt;"",L274&lt;&gt;"",N274&lt;&gt;"",O274&lt;&gt;"",P274="APPROVED PUBLIC",S274="Sí"),6,IF(AND(H274&lt;&gt;"",I274&lt;&gt;"",J274&lt;&gt;"",L274&lt;&gt;"",N274&lt;&gt;"",O274&lt;&gt;"",P274&lt;&gt;"",S274="Sí"),5,IF(AND(H274&lt;&gt;"",I274&lt;&gt;"",P274&lt;&gt;"",S274&lt;&gt;"No"),4,IF(AND(H274&lt;&gt;"",I274&lt;&gt;""),3,IF(F274&lt;&gt;"",2,1)))))</x:f>
        <x:v>T5</x:v>
      </x:c>
      <x:c r="U274" s="24" t="str">
        <x:v>VRM Games</x:v>
      </x:c>
      <x:c r="V274" s="24" t="str">
        <x:v>No se detectó proveedor externo en la ruta; confirmar autoría por lote antes de release público.</x:v>
      </x:c>
    </x:row>
    <x:row r="275" ht="34" customHeight="1">
      <x:c r="A275" s="24" t="str">
        <x:v>TRC-00271</x:v>
      </x:c>
      <x:c r="B275" s="24" t="str">
        <x:v>b00786c6952a55d418cf16503030c766</x:v>
      </x:c>
      <x:c r="C275" s="24" t="str">
        <x:v>MainMenu.unity</x:v>
      </x:c>
      <x:c r="D275" s="24" t="str">
        <x:v>Scene</x:v>
      </x:c>
      <x:c r="E275" s="24" t="str">
        <x:v>03_Assets_Internos</x:v>
      </x:c>
      <x:c r="F275" s="24" t="str">
        <x:v>INT-0271</x:v>
      </x:c>
      <x:c r="G275" s="24" t="str">
        <x:v>VRM Games / Blas Luis Rocha González</x:v>
      </x:c>
      <x:c r="H275" s="24" t="str">
        <x:v>Internal project IP / authorship claim</x:v>
      </x:c>
      <x:c r="I275" s="24" t="str">
        <x:v>Source package + repository path + hash</x:v>
      </x:c>
      <x:c r="J275" s="24" t="str">
        <x:v>59880edaca6e2aa67f191ddbe65fd06c0d6d63a05db8b00c625212db10a8dfdb</x:v>
      </x:c>
      <x:c r="K275" s="24" t="str">
        <x:v>Assets/_Project/Scenes/MainMenu.unity</x:v>
      </x:c>
      <x:c r="L275" s="24" t="str">
        <x:v>CR-003</x:v>
      </x:c>
      <x:c r="M275" s="24" t="str"/>
      <x:c r="N275" s="24" t="str">
        <x:v>RES-001;RES-014</x:v>
      </x:c>
      <x:c r="O275" s="24" t="str">
        <x:v>Internal development; public candidate requires gate</x:v>
      </x:c>
      <x:c r="P275" s="24" t="str">
        <x:v>CONDITIONALLY APPROVED</x:v>
      </x:c>
      <x:c r="Q275" s="24" t="str">
        <x:v>Low</x:v>
      </x:c>
      <x:c r="R275" s="24" t="str"/>
      <x:c r="S275" s="24" t="str">
        <x:v>Sí</x:v>
      </x:c>
      <x:c r="T275" s="24" t="str">
        <x:f>"T"&amp;IF(AND(H275&lt;&gt;"",I275&lt;&gt;"",J275&lt;&gt;"",L275&lt;&gt;"",N275&lt;&gt;"",O275&lt;&gt;"",P275="APPROVED PUBLIC",S275="Sí"),6,IF(AND(H275&lt;&gt;"",I275&lt;&gt;"",J275&lt;&gt;"",L275&lt;&gt;"",N275&lt;&gt;"",O275&lt;&gt;"",P275&lt;&gt;"",S275="Sí"),5,IF(AND(H275&lt;&gt;"",I275&lt;&gt;"",P275&lt;&gt;"",S275&lt;&gt;"No"),4,IF(AND(H275&lt;&gt;"",I275&lt;&gt;""),3,IF(F275&lt;&gt;"",2,1)))))</x:f>
        <x:v>T5</x:v>
      </x:c>
      <x:c r="U275" s="24" t="str">
        <x:v>VRM Games</x:v>
      </x:c>
      <x:c r="V275" s="24" t="str">
        <x:v>No se detectó proveedor externo en la ruta; confirmar autoría por lote antes de release público.</x:v>
      </x:c>
    </x:row>
    <x:row r="276" ht="34" customHeight="1">
      <x:c r="A276" s="24" t="str">
        <x:v>TRC-00272</x:v>
      </x:c>
      <x:c r="B276" s="24" t="str">
        <x:v>45adcce906944f74bad3a0fb7d62f8e5</x:v>
      </x:c>
      <x:c r="C276" s="24" t="str">
        <x:v>Store.unity</x:v>
      </x:c>
      <x:c r="D276" s="24" t="str">
        <x:v>Scene</x:v>
      </x:c>
      <x:c r="E276" s="24" t="str">
        <x:v>03_Assets_Internos</x:v>
      </x:c>
      <x:c r="F276" s="24" t="str">
        <x:v>INT-0272</x:v>
      </x:c>
      <x:c r="G276" s="24" t="str">
        <x:v>VRM Games / Blas Luis Rocha González</x:v>
      </x:c>
      <x:c r="H276" s="24" t="str">
        <x:v>Internal project IP / authorship claim</x:v>
      </x:c>
      <x:c r="I276" s="24" t="str">
        <x:v>Source package + repository path + hash</x:v>
      </x:c>
      <x:c r="J276" s="24" t="str">
        <x:v>f8ceebcb55d1a97ca0a1205363d31f8641107e52968b9ab18aefe72d01e43a90</x:v>
      </x:c>
      <x:c r="K276" s="24" t="str">
        <x:v>Assets/_Project/Scenes/Store.unity</x:v>
      </x:c>
      <x:c r="L276" s="24" t="str">
        <x:v>CR-003</x:v>
      </x:c>
      <x:c r="M276" s="24" t="str"/>
      <x:c r="N276" s="24" t="str">
        <x:v>RES-001;RES-014</x:v>
      </x:c>
      <x:c r="O276" s="24" t="str">
        <x:v>Internal development; public candidate requires gate</x:v>
      </x:c>
      <x:c r="P276" s="24" t="str">
        <x:v>CONDITIONALLY APPROVED</x:v>
      </x:c>
      <x:c r="Q276" s="24" t="str">
        <x:v>Low</x:v>
      </x:c>
      <x:c r="R276" s="24" t="str"/>
      <x:c r="S276" s="24" t="str">
        <x:v>Sí</x:v>
      </x:c>
      <x:c r="T276" s="24" t="str">
        <x:f>"T"&amp;IF(AND(H276&lt;&gt;"",I276&lt;&gt;"",J276&lt;&gt;"",L276&lt;&gt;"",N276&lt;&gt;"",O276&lt;&gt;"",P276="APPROVED PUBLIC",S276="Sí"),6,IF(AND(H276&lt;&gt;"",I276&lt;&gt;"",J276&lt;&gt;"",L276&lt;&gt;"",N276&lt;&gt;"",O276&lt;&gt;"",P276&lt;&gt;"",S276="Sí"),5,IF(AND(H276&lt;&gt;"",I276&lt;&gt;"",P276&lt;&gt;"",S276&lt;&gt;"No"),4,IF(AND(H276&lt;&gt;"",I276&lt;&gt;""),3,IF(F276&lt;&gt;"",2,1)))))</x:f>
        <x:v>T5</x:v>
      </x:c>
      <x:c r="U276" s="24" t="str">
        <x:v>VRM Games</x:v>
      </x:c>
      <x:c r="V276" s="24" t="str">
        <x:v>No se detectó proveedor externo en la ruta; confirmar autoría por lote antes de release público.</x:v>
      </x:c>
    </x:row>
    <x:row r="277" ht="34" customHeight="1">
      <x:c r="A277" s="24" t="str">
        <x:v>TRC-00273</x:v>
      </x:c>
      <x:c r="B277" s="24" t="str">
        <x:v>32a95e5e16aaf15449a6f81392cf5dcf</x:v>
      </x:c>
      <x:c r="C277" s="24" t="str">
        <x:v>StoreInitial.unity</x:v>
      </x:c>
      <x:c r="D277" s="24" t="str">
        <x:v>Scene</x:v>
      </x:c>
      <x:c r="E277" s="24" t="str">
        <x:v>03_Assets_Internos</x:v>
      </x:c>
      <x:c r="F277" s="24" t="str">
        <x:v>INT-0273</x:v>
      </x:c>
      <x:c r="G277" s="24" t="str">
        <x:v>VRM Games / Blas Luis Rocha González</x:v>
      </x:c>
      <x:c r="H277" s="24" t="str">
        <x:v>Internal project IP / authorship claim</x:v>
      </x:c>
      <x:c r="I277" s="24" t="str">
        <x:v>Source package + repository path + hash</x:v>
      </x:c>
      <x:c r="J277" s="24" t="str">
        <x:v>ca9689130ae8ad29a04af7145864451213a81d60c249c761ab10bd2401e4ea57</x:v>
      </x:c>
      <x:c r="K277" s="24" t="str">
        <x:v>Assets/_Project/Scenes/StoreInitial.unity</x:v>
      </x:c>
      <x:c r="L277" s="24" t="str">
        <x:v>CR-003</x:v>
      </x:c>
      <x:c r="M277" s="24" t="str"/>
      <x:c r="N277" s="24" t="str">
        <x:v>RES-001;RES-014</x:v>
      </x:c>
      <x:c r="O277" s="24" t="str">
        <x:v>Internal development; public candidate requires gate</x:v>
      </x:c>
      <x:c r="P277" s="24" t="str">
        <x:v>CONDITIONALLY APPROVED</x:v>
      </x:c>
      <x:c r="Q277" s="24" t="str">
        <x:v>Low</x:v>
      </x:c>
      <x:c r="R277" s="24" t="str"/>
      <x:c r="S277" s="24" t="str">
        <x:v>Sí</x:v>
      </x:c>
      <x:c r="T277" s="24" t="str">
        <x:f>"T"&amp;IF(AND(H277&lt;&gt;"",I277&lt;&gt;"",J277&lt;&gt;"",L277&lt;&gt;"",N277&lt;&gt;"",O277&lt;&gt;"",P277="APPROVED PUBLIC",S277="Sí"),6,IF(AND(H277&lt;&gt;"",I277&lt;&gt;"",J277&lt;&gt;"",L277&lt;&gt;"",N277&lt;&gt;"",O277&lt;&gt;"",P277&lt;&gt;"",S277="Sí"),5,IF(AND(H277&lt;&gt;"",I277&lt;&gt;"",P277&lt;&gt;"",S277&lt;&gt;"No"),4,IF(AND(H277&lt;&gt;"",I277&lt;&gt;""),3,IF(F277&lt;&gt;"",2,1)))))</x:f>
        <x:v>T5</x:v>
      </x:c>
      <x:c r="U277" s="24" t="str">
        <x:v>VRM Games</x:v>
      </x:c>
      <x:c r="V277" s="24" t="str">
        <x:v>No se detectó proveedor externo en la ruta; confirmar autoría por lote antes de release público.</x:v>
      </x:c>
    </x:row>
    <x:row r="278" ht="34" customHeight="1">
      <x:c r="A278" s="24" t="str">
        <x:v>TRC-00274</x:v>
      </x:c>
      <x:c r="B278" s="24" t="str">
        <x:v>002b2ad62af3c614b91e32722c9452be</x:v>
      </x:c>
      <x:c r="C278" s="24" t="str">
        <x:v>TestLab.unity</x:v>
      </x:c>
      <x:c r="D278" s="24" t="str">
        <x:v>Scene</x:v>
      </x:c>
      <x:c r="E278" s="24" t="str">
        <x:v>03_Assets_Internos</x:v>
      </x:c>
      <x:c r="F278" s="24" t="str">
        <x:v>INT-0274</x:v>
      </x:c>
      <x:c r="G278" s="24" t="str">
        <x:v>VRM Games / Blas Luis Rocha González</x:v>
      </x:c>
      <x:c r="H278" s="24" t="str">
        <x:v>Internal project IP / authorship claim</x:v>
      </x:c>
      <x:c r="I278" s="24" t="str">
        <x:v>Source package + repository path + hash</x:v>
      </x:c>
      <x:c r="J278" s="24" t="str">
        <x:v>b390fbb375d5f9fb97563afb01fc3e6c0e612b4463411fb6060ac63293c4332a</x:v>
      </x:c>
      <x:c r="K278" s="24" t="str">
        <x:v>Assets/_Project/Scenes/TestLab.unity</x:v>
      </x:c>
      <x:c r="L278" s="24" t="str">
        <x:v>CR-003</x:v>
      </x:c>
      <x:c r="M278" s="24" t="str"/>
      <x:c r="N278" s="24" t="str">
        <x:v>RES-001;RES-014</x:v>
      </x:c>
      <x:c r="O278" s="24" t="str">
        <x:v>Internal development; public candidate requires gate</x:v>
      </x:c>
      <x:c r="P278" s="24" t="str">
        <x:v>CONDITIONALLY APPROVED</x:v>
      </x:c>
      <x:c r="Q278" s="24" t="str">
        <x:v>Low</x:v>
      </x:c>
      <x:c r="R278" s="24" t="str"/>
      <x:c r="S278" s="24" t="str">
        <x:v>Sí</x:v>
      </x:c>
      <x:c r="T278" s="24" t="str">
        <x:f>"T"&amp;IF(AND(H278&lt;&gt;"",I278&lt;&gt;"",J278&lt;&gt;"",L278&lt;&gt;"",N278&lt;&gt;"",O278&lt;&gt;"",P278="APPROVED PUBLIC",S278="Sí"),6,IF(AND(H278&lt;&gt;"",I278&lt;&gt;"",J278&lt;&gt;"",L278&lt;&gt;"",N278&lt;&gt;"",O278&lt;&gt;"",P278&lt;&gt;"",S278="Sí"),5,IF(AND(H278&lt;&gt;"",I278&lt;&gt;"",P278&lt;&gt;"",S278&lt;&gt;"No"),4,IF(AND(H278&lt;&gt;"",I278&lt;&gt;""),3,IF(F278&lt;&gt;"",2,1)))))</x:f>
        <x:v>T5</x:v>
      </x:c>
      <x:c r="U278" s="24" t="str">
        <x:v>VRM Games</x:v>
      </x:c>
      <x:c r="V278" s="24" t="str">
        <x:v>No se detectó proveedor externo en la ruta; confirmar autoría por lote antes de release público.</x:v>
      </x:c>
    </x:row>
    <x:row r="279" ht="34" customHeight="1">
      <x:c r="A279" s="24" t="str">
        <x:v>TRC-00275</x:v>
      </x:c>
      <x:c r="B279" s="24" t="str">
        <x:v>37d42ced75c74ad48faa6deb812224e3</x:v>
      </x:c>
      <x:c r="C279" s="24" t="str">
        <x:v>AccessValidationFailureReason.cs</x:v>
      </x:c>
      <x:c r="D279" s="24" t="str">
        <x:v>Code</x:v>
      </x:c>
      <x:c r="E279" s="24" t="str">
        <x:v>03_Assets_Internos</x:v>
      </x:c>
      <x:c r="F279" s="24" t="str">
        <x:v>INT-0275</x:v>
      </x:c>
      <x:c r="G279" s="24" t="str">
        <x:v>VRM Games / Blas Luis Rocha González</x:v>
      </x:c>
      <x:c r="H279" s="24" t="str">
        <x:v>Internal project IP / authorship claim</x:v>
      </x:c>
      <x:c r="I279" s="24" t="str">
        <x:v>Source package + repository path + hash</x:v>
      </x:c>
      <x:c r="J279" s="24" t="str">
        <x:v>164c39549d08987e45c0829f4f8594f34665cd157da5f3c97bd1c4bf2c26c8c4</x:v>
      </x:c>
      <x:c r="K279" s="24" t="str">
        <x:v>Assets/_Project/Scripts/Application/Access/AccessValidationFailureReason.cs</x:v>
      </x:c>
      <x:c r="L279" s="24" t="str">
        <x:v>CR-003</x:v>
      </x:c>
      <x:c r="M279" s="24" t="str"/>
      <x:c r="N279" s="24" t="str">
        <x:v>RES-001;RES-014</x:v>
      </x:c>
      <x:c r="O279" s="24" t="str">
        <x:v>Internal development; public candidate requires gate</x:v>
      </x:c>
      <x:c r="P279" s="24" t="str">
        <x:v>CONDITIONALLY APPROVED</x:v>
      </x:c>
      <x:c r="Q279" s="24" t="str">
        <x:v>Low</x:v>
      </x:c>
      <x:c r="R279" s="24" t="str"/>
      <x:c r="S279" s="24" t="str">
        <x:v>Sí</x:v>
      </x:c>
      <x:c r="T279" s="24" t="str">
        <x:f>"T"&amp;IF(AND(H279&lt;&gt;"",I279&lt;&gt;"",J279&lt;&gt;"",L279&lt;&gt;"",N279&lt;&gt;"",O279&lt;&gt;"",P279="APPROVED PUBLIC",S279="Sí"),6,IF(AND(H279&lt;&gt;"",I279&lt;&gt;"",J279&lt;&gt;"",L279&lt;&gt;"",N279&lt;&gt;"",O279&lt;&gt;"",P279&lt;&gt;"",S279="Sí"),5,IF(AND(H279&lt;&gt;"",I279&lt;&gt;"",P279&lt;&gt;"",S279&lt;&gt;"No"),4,IF(AND(H279&lt;&gt;"",I279&lt;&gt;""),3,IF(F279&lt;&gt;"",2,1)))))</x:f>
        <x:v>T5</x:v>
      </x:c>
      <x:c r="U279" s="24" t="str">
        <x:v>VRM Games</x:v>
      </x:c>
      <x:c r="V279" s="24" t="str">
        <x:v>No se detectó proveedor externo en la ruta; confirmar autoría por lote antes de release público.</x:v>
      </x:c>
    </x:row>
    <x:row r="280" ht="34" customHeight="1">
      <x:c r="A280" s="24" t="str">
        <x:v>TRC-00276</x:v>
      </x:c>
      <x:c r="B280" s="24" t="str">
        <x:v>fb5c1d08e7554135adaf11f069f272c0</x:v>
      </x:c>
      <x:c r="C280" s="24" t="str">
        <x:v>AccessValidationResult.cs</x:v>
      </x:c>
      <x:c r="D280" s="24" t="str">
        <x:v>Code</x:v>
      </x:c>
      <x:c r="E280" s="24" t="str">
        <x:v>03_Assets_Internos</x:v>
      </x:c>
      <x:c r="F280" s="24" t="str">
        <x:v>INT-0276</x:v>
      </x:c>
      <x:c r="G280" s="24" t="str">
        <x:v>VRM Games / Blas Luis Rocha González</x:v>
      </x:c>
      <x:c r="H280" s="24" t="str">
        <x:v>Internal project IP / authorship claim</x:v>
      </x:c>
      <x:c r="I280" s="24" t="str">
        <x:v>Source package + repository path + hash</x:v>
      </x:c>
      <x:c r="J280" s="24" t="str">
        <x:v>2616fa8d8908f8deec3a88a40ee6b03d3e28ff0f6505568d771f6b492121664a</x:v>
      </x:c>
      <x:c r="K280" s="24" t="str">
        <x:v>Assets/_Project/Scripts/Application/Access/AccessValidationResult.cs</x:v>
      </x:c>
      <x:c r="L280" s="24" t="str">
        <x:v>CR-003</x:v>
      </x:c>
      <x:c r="M280" s="24" t="str"/>
      <x:c r="N280" s="24" t="str">
        <x:v>RES-001;RES-014</x:v>
      </x:c>
      <x:c r="O280" s="24" t="str">
        <x:v>Internal development; public candidate requires gate</x:v>
      </x:c>
      <x:c r="P280" s="24" t="str">
        <x:v>CONDITIONALLY APPROVED</x:v>
      </x:c>
      <x:c r="Q280" s="24" t="str">
        <x:v>Low</x:v>
      </x:c>
      <x:c r="R280" s="24" t="str"/>
      <x:c r="S280" s="24" t="str">
        <x:v>Sí</x:v>
      </x:c>
      <x:c r="T280" s="24" t="str">
        <x:f>"T"&amp;IF(AND(H280&lt;&gt;"",I280&lt;&gt;"",J280&lt;&gt;"",L280&lt;&gt;"",N280&lt;&gt;"",O280&lt;&gt;"",P280="APPROVED PUBLIC",S280="Sí"),6,IF(AND(H280&lt;&gt;"",I280&lt;&gt;"",J280&lt;&gt;"",L280&lt;&gt;"",N280&lt;&gt;"",O280&lt;&gt;"",P280&lt;&gt;"",S280="Sí"),5,IF(AND(H280&lt;&gt;"",I280&lt;&gt;"",P280&lt;&gt;"",S280&lt;&gt;"No"),4,IF(AND(H280&lt;&gt;"",I280&lt;&gt;""),3,IF(F280&lt;&gt;"",2,1)))))</x:f>
        <x:v>T5</x:v>
      </x:c>
      <x:c r="U280" s="24" t="str">
        <x:v>VRM Games</x:v>
      </x:c>
      <x:c r="V280" s="24" t="str">
        <x:v>No se detectó proveedor externo en la ruta; confirmar autoría por lote antes de release público.</x:v>
      </x:c>
    </x:row>
    <x:row r="281" ht="34" customHeight="1">
      <x:c r="A281" s="24" t="str">
        <x:v>TRC-00277</x:v>
      </x:c>
      <x:c r="B281" s="24" t="str">
        <x:v>eab4d4fd008344ffa4409b8401694be5</x:v>
      </x:c>
      <x:c r="C281" s="24" t="str">
        <x:v>GridAccessValidator.cs</x:v>
      </x:c>
      <x:c r="D281" s="24" t="str">
        <x:v>Code</x:v>
      </x:c>
      <x:c r="E281" s="24" t="str">
        <x:v>03_Assets_Internos</x:v>
      </x:c>
      <x:c r="F281" s="24" t="str">
        <x:v>INT-0277</x:v>
      </x:c>
      <x:c r="G281" s="24" t="str">
        <x:v>VRM Games / Blas Luis Rocha González</x:v>
      </x:c>
      <x:c r="H281" s="24" t="str">
        <x:v>Internal project IP / authorship claim</x:v>
      </x:c>
      <x:c r="I281" s="24" t="str">
        <x:v>Source package + repository path + hash</x:v>
      </x:c>
      <x:c r="J281" s="24" t="str">
        <x:v>4a3643314ee3be4da90118b9c1a4c7509c5276037ab4eef1a174c6c10551497f</x:v>
      </x:c>
      <x:c r="K281" s="24" t="str">
        <x:v>Assets/_Project/Scripts/Application/Access/GridAccessValidator.cs</x:v>
      </x:c>
      <x:c r="L281" s="24" t="str">
        <x:v>CR-003</x:v>
      </x:c>
      <x:c r="M281" s="24" t="str"/>
      <x:c r="N281" s="24" t="str">
        <x:v>RES-001;RES-014</x:v>
      </x:c>
      <x:c r="O281" s="24" t="str">
        <x:v>Internal development; public candidate requires gate</x:v>
      </x:c>
      <x:c r="P281" s="24" t="str">
        <x:v>CONDITIONALLY APPROVED</x:v>
      </x:c>
      <x:c r="Q281" s="24" t="str">
        <x:v>Low</x:v>
      </x:c>
      <x:c r="R281" s="24" t="str"/>
      <x:c r="S281" s="24" t="str">
        <x:v>Sí</x:v>
      </x:c>
      <x:c r="T281" s="24" t="str">
        <x:f>"T"&amp;IF(AND(H281&lt;&gt;"",I281&lt;&gt;"",J281&lt;&gt;"",L281&lt;&gt;"",N281&lt;&gt;"",O281&lt;&gt;"",P281="APPROVED PUBLIC",S281="Sí"),6,IF(AND(H281&lt;&gt;"",I281&lt;&gt;"",J281&lt;&gt;"",L281&lt;&gt;"",N281&lt;&gt;"",O281&lt;&gt;"",P281&lt;&gt;"",S281="Sí"),5,IF(AND(H281&lt;&gt;"",I281&lt;&gt;"",P281&lt;&gt;"",S281&lt;&gt;"No"),4,IF(AND(H281&lt;&gt;"",I281&lt;&gt;""),3,IF(F281&lt;&gt;"",2,1)))))</x:f>
        <x:v>T5</x:v>
      </x:c>
      <x:c r="U281" s="24" t="str">
        <x:v>VRM Games</x:v>
      </x:c>
      <x:c r="V281" s="24" t="str">
        <x:v>No se detectó proveedor externo en la ruta; confirmar autoría por lote antes de release público.</x:v>
      </x:c>
    </x:row>
    <x:row r="282" ht="34" customHeight="1">
      <x:c r="A282" s="24" t="str">
        <x:v>TRC-00278</x:v>
      </x:c>
      <x:c r="B282" s="24" t="str">
        <x:v>89da3805b75c4fb8a0141fd007496080</x:v>
      </x:c>
      <x:c r="C282" s="24" t="str">
        <x:v>StoreAccessLayout.cs</x:v>
      </x:c>
      <x:c r="D282" s="24" t="str">
        <x:v>Code</x:v>
      </x:c>
      <x:c r="E282" s="24" t="str">
        <x:v>03_Assets_Internos</x:v>
      </x:c>
      <x:c r="F282" s="24" t="str">
        <x:v>INT-0278</x:v>
      </x:c>
      <x:c r="G282" s="24" t="str">
        <x:v>VRM Games / Blas Luis Rocha González</x:v>
      </x:c>
      <x:c r="H282" s="24" t="str">
        <x:v>Internal project IP / authorship claim</x:v>
      </x:c>
      <x:c r="I282" s="24" t="str">
        <x:v>Source package + repository path + hash</x:v>
      </x:c>
      <x:c r="J282" s="24" t="str">
        <x:v>ac2bf789180a7b1be061a3dd770dea68e2c56893c1c7188625b7a9b60424a4dc</x:v>
      </x:c>
      <x:c r="K282" s="24" t="str">
        <x:v>Assets/_Project/Scripts/Application/Access/StoreAccessLayout.cs</x:v>
      </x:c>
      <x:c r="L282" s="24" t="str">
        <x:v>CR-003</x:v>
      </x:c>
      <x:c r="M282" s="24" t="str"/>
      <x:c r="N282" s="24" t="str">
        <x:v>RES-001;RES-014</x:v>
      </x:c>
      <x:c r="O282" s="24" t="str">
        <x:v>Internal development; public candidate requires gate</x:v>
      </x:c>
      <x:c r="P282" s="24" t="str">
        <x:v>CONDITIONALLY APPROVED</x:v>
      </x:c>
      <x:c r="Q282" s="24" t="str">
        <x:v>Low</x:v>
      </x:c>
      <x:c r="R282" s="24" t="str"/>
      <x:c r="S282" s="24" t="str">
        <x:v>Sí</x:v>
      </x:c>
      <x:c r="T282" s="24" t="str">
        <x:f>"T"&amp;IF(AND(H282&lt;&gt;"",I282&lt;&gt;"",J282&lt;&gt;"",L282&lt;&gt;"",N282&lt;&gt;"",O282&lt;&gt;"",P282="APPROVED PUBLIC",S282="Sí"),6,IF(AND(H282&lt;&gt;"",I282&lt;&gt;"",J282&lt;&gt;"",L282&lt;&gt;"",N282&lt;&gt;"",O282&lt;&gt;"",P282&lt;&gt;"",S282="Sí"),5,IF(AND(H282&lt;&gt;"",I282&lt;&gt;"",P282&lt;&gt;"",S282&lt;&gt;"No"),4,IF(AND(H282&lt;&gt;"",I282&lt;&gt;""),3,IF(F282&lt;&gt;"",2,1)))))</x:f>
        <x:v>T5</x:v>
      </x:c>
      <x:c r="U282" s="24" t="str">
        <x:v>VRM Games</x:v>
      </x:c>
      <x:c r="V282" s="24" t="str">
        <x:v>No se detectó proveedor externo en la ruta; confirmar autoría por lote antes de release público.</x:v>
      </x:c>
    </x:row>
    <x:row r="283" ht="34" customHeight="1">
      <x:c r="A283" s="24" t="str">
        <x:v>TRC-00279</x:v>
      </x:c>
      <x:c r="B283" s="24" t="str">
        <x:v>1f377e703e4f4c2582faabc92a1aa67b</x:v>
      </x:c>
      <x:c r="C283" s="24" t="str">
        <x:v>StorePlacementAccessValidator.cs</x:v>
      </x:c>
      <x:c r="D283" s="24" t="str">
        <x:v>Code</x:v>
      </x:c>
      <x:c r="E283" s="24" t="str">
        <x:v>03_Assets_Internos</x:v>
      </x:c>
      <x:c r="F283" s="24" t="str">
        <x:v>INT-0279</x:v>
      </x:c>
      <x:c r="G283" s="24" t="str">
        <x:v>VRM Games / Blas Luis Rocha González</x:v>
      </x:c>
      <x:c r="H283" s="24" t="str">
        <x:v>Internal project IP / authorship claim</x:v>
      </x:c>
      <x:c r="I283" s="24" t="str">
        <x:v>Source package + repository path + hash</x:v>
      </x:c>
      <x:c r="J283" s="24" t="str">
        <x:v>0d1ec2995449aa2bba4954b00351c04e8462264c40d501b89c6d63e54a731670</x:v>
      </x:c>
      <x:c r="K283" s="24" t="str">
        <x:v>Assets/_Project/Scripts/Application/Access/StorePlacementAccessValidator.cs</x:v>
      </x:c>
      <x:c r="L283" s="24" t="str">
        <x:v>CR-003</x:v>
      </x:c>
      <x:c r="M283" s="24" t="str"/>
      <x:c r="N283" s="24" t="str">
        <x:v>RES-001;RES-014</x:v>
      </x:c>
      <x:c r="O283" s="24" t="str">
        <x:v>Internal development; public candidate requires gate</x:v>
      </x:c>
      <x:c r="P283" s="24" t="str">
        <x:v>CONDITIONALLY APPROVED</x:v>
      </x:c>
      <x:c r="Q283" s="24" t="str">
        <x:v>Low</x:v>
      </x:c>
      <x:c r="R283" s="24" t="str"/>
      <x:c r="S283" s="24" t="str">
        <x:v>Sí</x:v>
      </x:c>
      <x:c r="T283" s="24" t="str">
        <x:f>"T"&amp;IF(AND(H283&lt;&gt;"",I283&lt;&gt;"",J283&lt;&gt;"",L283&lt;&gt;"",N283&lt;&gt;"",O283&lt;&gt;"",P283="APPROVED PUBLIC",S283="Sí"),6,IF(AND(H283&lt;&gt;"",I283&lt;&gt;"",J283&lt;&gt;"",L283&lt;&gt;"",N283&lt;&gt;"",O283&lt;&gt;"",P283&lt;&gt;"",S283="Sí"),5,IF(AND(H283&lt;&gt;"",I283&lt;&gt;"",P283&lt;&gt;"",S283&lt;&gt;"No"),4,IF(AND(H283&lt;&gt;"",I283&lt;&gt;""),3,IF(F283&lt;&gt;"",2,1)))))</x:f>
        <x:v>T5</x:v>
      </x:c>
      <x:c r="U283" s="24" t="str">
        <x:v>VRM Games</x:v>
      </x:c>
      <x:c r="V283" s="24" t="str">
        <x:v>No se detectó proveedor externo en la ruta; confirmar autoría por lote antes de release público.</x:v>
      </x:c>
    </x:row>
    <x:row r="284" ht="34" customHeight="1">
      <x:c r="A284" s="24" t="str">
        <x:v>TRC-00280</x:v>
      </x:c>
      <x:c r="B284" s="24" t="str">
        <x:v>b9bba8d2ae8e4614bfd2ca63cb307f5f</x:v>
      </x:c>
      <x:c r="C284" s="24" t="str">
        <x:v>OrbitCameraCalculator.cs</x:v>
      </x:c>
      <x:c r="D284" s="24" t="str">
        <x:v>Code</x:v>
      </x:c>
      <x:c r="E284" s="24" t="str">
        <x:v>03_Assets_Internos</x:v>
      </x:c>
      <x:c r="F284" s="24" t="str">
        <x:v>INT-0280</x:v>
      </x:c>
      <x:c r="G284" s="24" t="str">
        <x:v>VRM Games / Blas Luis Rocha González</x:v>
      </x:c>
      <x:c r="H284" s="24" t="str">
        <x:v>Internal project IP / authorship claim</x:v>
      </x:c>
      <x:c r="I284" s="24" t="str">
        <x:v>Source package + repository path + hash</x:v>
      </x:c>
      <x:c r="J284" s="24" t="str">
        <x:v>164e11534c9996152f25fe896f19c3bb148891fc887a0e405572f646b35110ed</x:v>
      </x:c>
      <x:c r="K284" s="24" t="str">
        <x:v>Assets/_Project/Scripts/Application/Camera/OrbitCameraCalculator.cs</x:v>
      </x:c>
      <x:c r="L284" s="24" t="str">
        <x:v>CR-003</x:v>
      </x:c>
      <x:c r="M284" s="24" t="str"/>
      <x:c r="N284" s="24" t="str">
        <x:v>RES-001;RES-014</x:v>
      </x:c>
      <x:c r="O284" s="24" t="str">
        <x:v>Internal development; public candidate requires gate</x:v>
      </x:c>
      <x:c r="P284" s="24" t="str">
        <x:v>CONDITIONALLY APPROVED</x:v>
      </x:c>
      <x:c r="Q284" s="24" t="str">
        <x:v>Low</x:v>
      </x:c>
      <x:c r="R284" s="24" t="str"/>
      <x:c r="S284" s="24" t="str">
        <x:v>Sí</x:v>
      </x:c>
      <x:c r="T284" s="24" t="str">
        <x:f>"T"&amp;IF(AND(H284&lt;&gt;"",I284&lt;&gt;"",J284&lt;&gt;"",L284&lt;&gt;"",N284&lt;&gt;"",O284&lt;&gt;"",P284="APPROVED PUBLIC",S284="Sí"),6,IF(AND(H284&lt;&gt;"",I284&lt;&gt;"",J284&lt;&gt;"",L284&lt;&gt;"",N284&lt;&gt;"",O284&lt;&gt;"",P284&lt;&gt;"",S284="Sí"),5,IF(AND(H284&lt;&gt;"",I284&lt;&gt;"",P284&lt;&gt;"",S284&lt;&gt;"No"),4,IF(AND(H284&lt;&gt;"",I284&lt;&gt;""),3,IF(F284&lt;&gt;"",2,1)))))</x:f>
        <x:v>T5</x:v>
      </x:c>
      <x:c r="U284" s="24" t="str">
        <x:v>VRM Games</x:v>
      </x:c>
      <x:c r="V284" s="24" t="str">
        <x:v>No se detectó proveedor externo en la ruta; confirmar autoría por lote antes de release público.</x:v>
      </x:c>
    </x:row>
    <x:row r="285" ht="34" customHeight="1">
      <x:c r="A285" s="24" t="str">
        <x:v>TRC-00281</x:v>
      </x:c>
      <x:c r="B285" s="24" t="str">
        <x:v>7b4271ad166f4d5a95d5b186da4f6f85</x:v>
      </x:c>
      <x:c r="C285" s="24" t="str">
        <x:v>OrbitCameraConstraints.cs</x:v>
      </x:c>
      <x:c r="D285" s="24" t="str">
        <x:v>Code</x:v>
      </x:c>
      <x:c r="E285" s="24" t="str">
        <x:v>03_Assets_Internos</x:v>
      </x:c>
      <x:c r="F285" s="24" t="str">
        <x:v>INT-0281</x:v>
      </x:c>
      <x:c r="G285" s="24" t="str">
        <x:v>VRM Games / Blas Luis Rocha González</x:v>
      </x:c>
      <x:c r="H285" s="24" t="str">
        <x:v>Internal project IP / authorship claim</x:v>
      </x:c>
      <x:c r="I285" s="24" t="str">
        <x:v>Source package + repository path + hash</x:v>
      </x:c>
      <x:c r="J285" s="24" t="str">
        <x:v>db6bc68b879a6e3169d0b9e3af439ba091b464a26bf6b7e842edfddad01189de</x:v>
      </x:c>
      <x:c r="K285" s="24" t="str">
        <x:v>Assets/_Project/Scripts/Application/Camera/OrbitCameraConstraints.cs</x:v>
      </x:c>
      <x:c r="L285" s="24" t="str">
        <x:v>CR-003</x:v>
      </x:c>
      <x:c r="M285" s="24" t="str"/>
      <x:c r="N285" s="24" t="str">
        <x:v>RES-001;RES-014</x:v>
      </x:c>
      <x:c r="O285" s="24" t="str">
        <x:v>Internal development; public candidate requires gate</x:v>
      </x:c>
      <x:c r="P285" s="24" t="str">
        <x:v>CONDITIONALLY APPROVED</x:v>
      </x:c>
      <x:c r="Q285" s="24" t="str">
        <x:v>Low</x:v>
      </x:c>
      <x:c r="R285" s="24" t="str"/>
      <x:c r="S285" s="24" t="str">
        <x:v>Sí</x:v>
      </x:c>
      <x:c r="T285" s="24" t="str">
        <x:f>"T"&amp;IF(AND(H285&lt;&gt;"",I285&lt;&gt;"",J285&lt;&gt;"",L285&lt;&gt;"",N285&lt;&gt;"",O285&lt;&gt;"",P285="APPROVED PUBLIC",S285="Sí"),6,IF(AND(H285&lt;&gt;"",I285&lt;&gt;"",J285&lt;&gt;"",L285&lt;&gt;"",N285&lt;&gt;"",O285&lt;&gt;"",P285&lt;&gt;"",S285="Sí"),5,IF(AND(H285&lt;&gt;"",I285&lt;&gt;"",P285&lt;&gt;"",S285&lt;&gt;"No"),4,IF(AND(H285&lt;&gt;"",I285&lt;&gt;""),3,IF(F285&lt;&gt;"",2,1)))))</x:f>
        <x:v>T5</x:v>
      </x:c>
      <x:c r="U285" s="24" t="str">
        <x:v>VRM Games</x:v>
      </x:c>
      <x:c r="V285" s="24" t="str">
        <x:v>No se detectó proveedor externo en la ruta; confirmar autoría por lote antes de release público.</x:v>
      </x:c>
    </x:row>
    <x:row r="286" ht="34" customHeight="1">
      <x:c r="A286" s="24" t="str">
        <x:v>TRC-00282</x:v>
      </x:c>
      <x:c r="B286" s="24" t="str">
        <x:v>77949a13cb034f428f34eb3c32aa7b7d</x:v>
      </x:c>
      <x:c r="C286" s="24" t="str">
        <x:v>OrbitCameraState.cs</x:v>
      </x:c>
      <x:c r="D286" s="24" t="str">
        <x:v>Code</x:v>
      </x:c>
      <x:c r="E286" s="24" t="str">
        <x:v>03_Assets_Internos</x:v>
      </x:c>
      <x:c r="F286" s="24" t="str">
        <x:v>INT-0282</x:v>
      </x:c>
      <x:c r="G286" s="24" t="str">
        <x:v>VRM Games / Blas Luis Rocha González</x:v>
      </x:c>
      <x:c r="H286" s="24" t="str">
        <x:v>Internal project IP / authorship claim</x:v>
      </x:c>
      <x:c r="I286" s="24" t="str">
        <x:v>Source package + repository path + hash</x:v>
      </x:c>
      <x:c r="J286" s="24" t="str">
        <x:v>ff5f65ee7a9b26363eab136a393ef9c619905ce464111d22393136ee1601350c</x:v>
      </x:c>
      <x:c r="K286" s="24" t="str">
        <x:v>Assets/_Project/Scripts/Application/Camera/OrbitCameraState.cs</x:v>
      </x:c>
      <x:c r="L286" s="24" t="str">
        <x:v>CR-003</x:v>
      </x:c>
      <x:c r="M286" s="24" t="str"/>
      <x:c r="N286" s="24" t="str">
        <x:v>RES-001;RES-014</x:v>
      </x:c>
      <x:c r="O286" s="24" t="str">
        <x:v>Internal development; public candidate requires gate</x:v>
      </x:c>
      <x:c r="P286" s="24" t="str">
        <x:v>CONDITIONALLY APPROVED</x:v>
      </x:c>
      <x:c r="Q286" s="24" t="str">
        <x:v>Low</x:v>
      </x:c>
      <x:c r="R286" s="24" t="str"/>
      <x:c r="S286" s="24" t="str">
        <x:v>Sí</x:v>
      </x:c>
      <x:c r="T286" s="24" t="str">
        <x:f>"T"&amp;IF(AND(H286&lt;&gt;"",I286&lt;&gt;"",J286&lt;&gt;"",L286&lt;&gt;"",N286&lt;&gt;"",O286&lt;&gt;"",P286="APPROVED PUBLIC",S286="Sí"),6,IF(AND(H286&lt;&gt;"",I286&lt;&gt;"",J286&lt;&gt;"",L286&lt;&gt;"",N286&lt;&gt;"",O286&lt;&gt;"",P286&lt;&gt;"",S286="Sí"),5,IF(AND(H286&lt;&gt;"",I286&lt;&gt;"",P286&lt;&gt;"",S286&lt;&gt;"No"),4,IF(AND(H286&lt;&gt;"",I286&lt;&gt;""),3,IF(F286&lt;&gt;"",2,1)))))</x:f>
        <x:v>T5</x:v>
      </x:c>
      <x:c r="U286" s="24" t="str">
        <x:v>VRM Games</x:v>
      </x:c>
      <x:c r="V286" s="24" t="str">
        <x:v>No se detectó proveedor externo en la ruta; confirmar autoría por lote antes de release público.</x:v>
      </x:c>
    </x:row>
    <x:row r="287" ht="34" customHeight="1">
      <x:c r="A287" s="24" t="str">
        <x:v>TRC-00283</x:v>
      </x:c>
      <x:c r="B287" s="24" t="str">
        <x:v>295be1580af2489cb4e9d92a8e6f7568</x:v>
      </x:c>
      <x:c r="C287" s="24" t="str">
        <x:v>CheckoutCancellationService.cs</x:v>
      </x:c>
      <x:c r="D287" s="24" t="str">
        <x:v>Code</x:v>
      </x:c>
      <x:c r="E287" s="24" t="str">
        <x:v>03_Assets_Internos</x:v>
      </x:c>
      <x:c r="F287" s="24" t="str">
        <x:v>INT-0283</x:v>
      </x:c>
      <x:c r="G287" s="24" t="str">
        <x:v>VRM Games / Blas Luis Rocha González</x:v>
      </x:c>
      <x:c r="H287" s="24" t="str">
        <x:v>Internal project IP / authorship claim</x:v>
      </x:c>
      <x:c r="I287" s="24" t="str">
        <x:v>Source package + repository path + hash</x:v>
      </x:c>
      <x:c r="J287" s="24" t="str">
        <x:v>ecbf71eead3ebd167ce958a7ca9e837c1ee0038582c34c72b253631a0df60499</x:v>
      </x:c>
      <x:c r="K287" s="24" t="str">
        <x:v>Assets/_Project/Scripts/Application/Checkout/CheckoutCancellationService.cs</x:v>
      </x:c>
      <x:c r="L287" s="24" t="str">
        <x:v>CR-003</x:v>
      </x:c>
      <x:c r="M287" s="24" t="str"/>
      <x:c r="N287" s="24" t="str">
        <x:v>RES-001;RES-014</x:v>
      </x:c>
      <x:c r="O287" s="24" t="str">
        <x:v>Internal development; public candidate requires gate</x:v>
      </x:c>
      <x:c r="P287" s="24" t="str">
        <x:v>CONDITIONALLY APPROVED</x:v>
      </x:c>
      <x:c r="Q287" s="24" t="str">
        <x:v>Low</x:v>
      </x:c>
      <x:c r="R287" s="24" t="str"/>
      <x:c r="S287" s="24" t="str">
        <x:v>Sí</x:v>
      </x:c>
      <x:c r="T287" s="24" t="str">
        <x:f>"T"&amp;IF(AND(H287&lt;&gt;"",I287&lt;&gt;"",J287&lt;&gt;"",L287&lt;&gt;"",N287&lt;&gt;"",O287&lt;&gt;"",P287="APPROVED PUBLIC",S287="Sí"),6,IF(AND(H287&lt;&gt;"",I287&lt;&gt;"",J287&lt;&gt;"",L287&lt;&gt;"",N287&lt;&gt;"",O287&lt;&gt;"",P287&lt;&gt;"",S287="Sí"),5,IF(AND(H287&lt;&gt;"",I287&lt;&gt;"",P287&lt;&gt;"",S287&lt;&gt;"No"),4,IF(AND(H287&lt;&gt;"",I287&lt;&gt;""),3,IF(F287&lt;&gt;"",2,1)))))</x:f>
        <x:v>T5</x:v>
      </x:c>
      <x:c r="U287" s="24" t="str">
        <x:v>VRM Games</x:v>
      </x:c>
      <x:c r="V287" s="24" t="str">
        <x:v>No se detectó proveedor externo en la ruta; confirmar autoría por lote antes de release público.</x:v>
      </x:c>
    </x:row>
    <x:row r="288" ht="34" customHeight="1">
      <x:c r="A288" s="24" t="str">
        <x:v>TRC-00284</x:v>
      </x:c>
      <x:c r="B288" s="24" t="str">
        <x:v>5e619bba5a8d47e38212052fd9997b80</x:v>
      </x:c>
      <x:c r="C288" s="24" t="str">
        <x:v>CheckoutQueueService.cs</x:v>
      </x:c>
      <x:c r="D288" s="24" t="str">
        <x:v>Code</x:v>
      </x:c>
      <x:c r="E288" s="24" t="str">
        <x:v>03_Assets_Internos</x:v>
      </x:c>
      <x:c r="F288" s="24" t="str">
        <x:v>INT-0284</x:v>
      </x:c>
      <x:c r="G288" s="24" t="str">
        <x:v>VRM Games / Blas Luis Rocha González</x:v>
      </x:c>
      <x:c r="H288" s="24" t="str">
        <x:v>Internal project IP / authorship claim</x:v>
      </x:c>
      <x:c r="I288" s="24" t="str">
        <x:v>Source package + repository path + hash</x:v>
      </x:c>
      <x:c r="J288" s="24" t="str">
        <x:v>10c3004f889f16d435cbd51e69ff4f4253d079343a211ae6e6204216ca3a514c</x:v>
      </x:c>
      <x:c r="K288" s="24" t="str">
        <x:v>Assets/_Project/Scripts/Application/Checkout/CheckoutQueueService.cs</x:v>
      </x:c>
      <x:c r="L288" s="24" t="str">
        <x:v>CR-003</x:v>
      </x:c>
      <x:c r="M288" s="24" t="str"/>
      <x:c r="N288" s="24" t="str">
        <x:v>RES-001;RES-014</x:v>
      </x:c>
      <x:c r="O288" s="24" t="str">
        <x:v>Internal development; public candidate requires gate</x:v>
      </x:c>
      <x:c r="P288" s="24" t="str">
        <x:v>CONDITIONALLY APPROVED</x:v>
      </x:c>
      <x:c r="Q288" s="24" t="str">
        <x:v>Low</x:v>
      </x:c>
      <x:c r="R288" s="24" t="str"/>
      <x:c r="S288" s="24" t="str">
        <x:v>Sí</x:v>
      </x:c>
      <x:c r="T288" s="24" t="str">
        <x:f>"T"&amp;IF(AND(H288&lt;&gt;"",I288&lt;&gt;"",J288&lt;&gt;"",L288&lt;&gt;"",N288&lt;&gt;"",O288&lt;&gt;"",P288="APPROVED PUBLIC",S288="Sí"),6,IF(AND(H288&lt;&gt;"",I288&lt;&gt;"",J288&lt;&gt;"",L288&lt;&gt;"",N288&lt;&gt;"",O288&lt;&gt;"",P288&lt;&gt;"",S288="Sí"),5,IF(AND(H288&lt;&gt;"",I288&lt;&gt;"",P288&lt;&gt;"",S288&lt;&gt;"No"),4,IF(AND(H288&lt;&gt;"",I288&lt;&gt;""),3,IF(F288&lt;&gt;"",2,1)))))</x:f>
        <x:v>T5</x:v>
      </x:c>
      <x:c r="U288" s="24" t="str">
        <x:v>VRM Games</x:v>
      </x:c>
      <x:c r="V288" s="24" t="str">
        <x:v>No se detectó proveedor externo en la ruta; confirmar autoría por lote antes de release público.</x:v>
      </x:c>
    </x:row>
    <x:row r="289" ht="34" customHeight="1">
      <x:c r="A289" s="24" t="str">
        <x:v>TRC-00285</x:v>
      </x:c>
      <x:c r="B289" s="24" t="str">
        <x:v>49a088f042554020a6004d2e5ab2bc26</x:v>
      </x:c>
      <x:c r="C289" s="24" t="str">
        <x:v>CheckoutService.cs</x:v>
      </x:c>
      <x:c r="D289" s="24" t="str">
        <x:v>Code</x:v>
      </x:c>
      <x:c r="E289" s="24" t="str">
        <x:v>03_Assets_Internos</x:v>
      </x:c>
      <x:c r="F289" s="24" t="str">
        <x:v>INT-0285</x:v>
      </x:c>
      <x:c r="G289" s="24" t="str">
        <x:v>VRM Games / Blas Luis Rocha González</x:v>
      </x:c>
      <x:c r="H289" s="24" t="str">
        <x:v>Internal project IP / authorship claim</x:v>
      </x:c>
      <x:c r="I289" s="24" t="str">
        <x:v>Source package + repository path + hash</x:v>
      </x:c>
      <x:c r="J289" s="24" t="str">
        <x:v>4320cce06792f3ee749c72fc0b5c0359f51d9e2eb370d7588ff92c9b89d62a8f</x:v>
      </x:c>
      <x:c r="K289" s="24" t="str">
        <x:v>Assets/_Project/Scripts/Application/Checkout/CheckoutService.cs</x:v>
      </x:c>
      <x:c r="L289" s="24" t="str">
        <x:v>CR-003</x:v>
      </x:c>
      <x:c r="M289" s="24" t="str"/>
      <x:c r="N289" s="24" t="str">
        <x:v>RES-001;RES-014</x:v>
      </x:c>
      <x:c r="O289" s="24" t="str">
        <x:v>Internal development; public candidate requires gate</x:v>
      </x:c>
      <x:c r="P289" s="24" t="str">
        <x:v>CONDITIONALLY APPROVED</x:v>
      </x:c>
      <x:c r="Q289" s="24" t="str">
        <x:v>Low</x:v>
      </x:c>
      <x:c r="R289" s="24" t="str"/>
      <x:c r="S289" s="24" t="str">
        <x:v>Sí</x:v>
      </x:c>
      <x:c r="T289" s="24" t="str">
        <x:f>"T"&amp;IF(AND(H289&lt;&gt;"",I289&lt;&gt;"",J289&lt;&gt;"",L289&lt;&gt;"",N289&lt;&gt;"",O289&lt;&gt;"",P289="APPROVED PUBLIC",S289="Sí"),6,IF(AND(H289&lt;&gt;"",I289&lt;&gt;"",J289&lt;&gt;"",L289&lt;&gt;"",N289&lt;&gt;"",O289&lt;&gt;"",P289&lt;&gt;"",S289="Sí"),5,IF(AND(H289&lt;&gt;"",I289&lt;&gt;"",P289&lt;&gt;"",S289&lt;&gt;"No"),4,IF(AND(H289&lt;&gt;"",I289&lt;&gt;""),3,IF(F289&lt;&gt;"",2,1)))))</x:f>
        <x:v>T5</x:v>
      </x:c>
      <x:c r="U289" s="24" t="str">
        <x:v>VRM Games</x:v>
      </x:c>
      <x:c r="V289" s="24" t="str">
        <x:v>No se detectó proveedor externo en la ruta; confirmar autoría por lote antes de release público.</x:v>
      </x:c>
    </x:row>
    <x:row r="290" ht="34" customHeight="1">
      <x:c r="A290" s="24" t="str">
        <x:v>TRC-00286</x:v>
      </x:c>
      <x:c r="B290" s="24" t="str">
        <x:v>d217e77af7614abdaf39a6168acb9244</x:v>
      </x:c>
      <x:c r="C290" s="24" t="str">
        <x:v>CustomerPatienceService.cs</x:v>
      </x:c>
      <x:c r="D290" s="24" t="str">
        <x:v>Code</x:v>
      </x:c>
      <x:c r="E290" s="24" t="str">
        <x:v>03_Assets_Internos</x:v>
      </x:c>
      <x:c r="F290" s="24" t="str">
        <x:v>INT-0286</x:v>
      </x:c>
      <x:c r="G290" s="24" t="str">
        <x:v>VRM Games / Blas Luis Rocha González</x:v>
      </x:c>
      <x:c r="H290" s="24" t="str">
        <x:v>Internal project IP / authorship claim</x:v>
      </x:c>
      <x:c r="I290" s="24" t="str">
        <x:v>Source package + repository path + hash</x:v>
      </x:c>
      <x:c r="J290" s="24" t="str">
        <x:v>7407e8b410b155ef136d7f85a1a754d7737b85142cb09ffb77288c340424572b</x:v>
      </x:c>
      <x:c r="K290" s="24" t="str">
        <x:v>Assets/_Project/Scripts/Application/Customers/CustomerPatienceService.cs</x:v>
      </x:c>
      <x:c r="L290" s="24" t="str">
        <x:v>CR-003</x:v>
      </x:c>
      <x:c r="M290" s="24" t="str"/>
      <x:c r="N290" s="24" t="str">
        <x:v>RES-001;RES-014</x:v>
      </x:c>
      <x:c r="O290" s="24" t="str">
        <x:v>Internal development; public candidate requires gate</x:v>
      </x:c>
      <x:c r="P290" s="24" t="str">
        <x:v>CONDITIONALLY APPROVED</x:v>
      </x:c>
      <x:c r="Q290" s="24" t="str">
        <x:v>Low</x:v>
      </x:c>
      <x:c r="R290" s="24" t="str"/>
      <x:c r="S290" s="24" t="str">
        <x:v>Sí</x:v>
      </x:c>
      <x:c r="T290" s="24" t="str">
        <x:f>"T"&amp;IF(AND(H290&lt;&gt;"",I290&lt;&gt;"",J290&lt;&gt;"",L290&lt;&gt;"",N290&lt;&gt;"",O290&lt;&gt;"",P290="APPROVED PUBLIC",S290="Sí"),6,IF(AND(H290&lt;&gt;"",I290&lt;&gt;"",J290&lt;&gt;"",L290&lt;&gt;"",N290&lt;&gt;"",O290&lt;&gt;"",P290&lt;&gt;"",S290="Sí"),5,IF(AND(H290&lt;&gt;"",I290&lt;&gt;"",P290&lt;&gt;"",S290&lt;&gt;"No"),4,IF(AND(H290&lt;&gt;"",I290&lt;&gt;""),3,IF(F290&lt;&gt;"",2,1)))))</x:f>
        <x:v>T5</x:v>
      </x:c>
      <x:c r="U290" s="24" t="str">
        <x:v>VRM Games</x:v>
      </x:c>
      <x:c r="V290" s="24" t="str">
        <x:v>No se detectó proveedor externo en la ruta; confirmar autoría por lote antes de release público.</x:v>
      </x:c>
    </x:row>
    <x:row r="291" ht="34" customHeight="1">
      <x:c r="A291" s="24" t="str">
        <x:v>TRC-00287</x:v>
      </x:c>
      <x:c r="B291" s="24" t="str">
        <x:v>43ab3529f5324b2ab2a152855ddef37d</x:v>
      </x:c>
      <x:c r="C291" s="24" t="str">
        <x:v>CustomerPatienceTickResult.cs</x:v>
      </x:c>
      <x:c r="D291" s="24" t="str">
        <x:v>Code</x:v>
      </x:c>
      <x:c r="E291" s="24" t="str">
        <x:v>03_Assets_Internos</x:v>
      </x:c>
      <x:c r="F291" s="24" t="str">
        <x:v>INT-0287</x:v>
      </x:c>
      <x:c r="G291" s="24" t="str">
        <x:v>VRM Games / Blas Luis Rocha González</x:v>
      </x:c>
      <x:c r="H291" s="24" t="str">
        <x:v>Internal project IP / authorship claim</x:v>
      </x:c>
      <x:c r="I291" s="24" t="str">
        <x:v>Source package + repository path + hash</x:v>
      </x:c>
      <x:c r="J291" s="24" t="str">
        <x:v>2161baf126ee792c719ceb7cac85b1960255924733866a423b7a7bd34061830e</x:v>
      </x:c>
      <x:c r="K291" s="24" t="str">
        <x:v>Assets/_Project/Scripts/Application/Customers/CustomerPatienceTickResult.cs</x:v>
      </x:c>
      <x:c r="L291" s="24" t="str">
        <x:v>CR-003</x:v>
      </x:c>
      <x:c r="M291" s="24" t="str"/>
      <x:c r="N291" s="24" t="str">
        <x:v>RES-001;RES-014</x:v>
      </x:c>
      <x:c r="O291" s="24" t="str">
        <x:v>Internal development; public candidate requires gate</x:v>
      </x:c>
      <x:c r="P291" s="24" t="str">
        <x:v>CONDITIONALLY APPROVED</x:v>
      </x:c>
      <x:c r="Q291" s="24" t="str">
        <x:v>Low</x:v>
      </x:c>
      <x:c r="R291" s="24" t="str"/>
      <x:c r="S291" s="24" t="str">
        <x:v>Sí</x:v>
      </x:c>
      <x:c r="T291" s="24" t="str">
        <x:f>"T"&amp;IF(AND(H291&lt;&gt;"",I291&lt;&gt;"",J291&lt;&gt;"",L291&lt;&gt;"",N291&lt;&gt;"",O291&lt;&gt;"",P291="APPROVED PUBLIC",S291="Sí"),6,IF(AND(H291&lt;&gt;"",I291&lt;&gt;"",J291&lt;&gt;"",L291&lt;&gt;"",N291&lt;&gt;"",O291&lt;&gt;"",P291&lt;&gt;"",S291="Sí"),5,IF(AND(H291&lt;&gt;"",I291&lt;&gt;"",P291&lt;&gt;"",S291&lt;&gt;"No"),4,IF(AND(H291&lt;&gt;"",I291&lt;&gt;""),3,IF(F291&lt;&gt;"",2,1)))))</x:f>
        <x:v>T5</x:v>
      </x:c>
      <x:c r="U291" s="24" t="str">
        <x:v>VRM Games</x:v>
      </x:c>
      <x:c r="V291" s="24" t="str">
        <x:v>No se detectó proveedor externo en la ruta; confirmar autoría por lote antes de release público.</x:v>
      </x:c>
    </x:row>
    <x:row r="292" ht="34" customHeight="1">
      <x:c r="A292" s="24" t="str">
        <x:v>TRC-00288</x:v>
      </x:c>
      <x:c r="B292" s="24" t="str">
        <x:v>cf15d201090e467fb1d68831450476af</x:v>
      </x:c>
      <x:c r="C292" s="24" t="str">
        <x:v>CustomerProfileSelector.cs</x:v>
      </x:c>
      <x:c r="D292" s="24" t="str">
        <x:v>Code</x:v>
      </x:c>
      <x:c r="E292" s="24" t="str">
        <x:v>03_Assets_Internos</x:v>
      </x:c>
      <x:c r="F292" s="24" t="str">
        <x:v>INT-0288</x:v>
      </x:c>
      <x:c r="G292" s="24" t="str">
        <x:v>VRM Games / Blas Luis Rocha González</x:v>
      </x:c>
      <x:c r="H292" s="24" t="str">
        <x:v>Internal project IP / authorship claim</x:v>
      </x:c>
      <x:c r="I292" s="24" t="str">
        <x:v>Source package + repository path + hash</x:v>
      </x:c>
      <x:c r="J292" s="24" t="str">
        <x:v>ce18dabc88d5cbff77de7f59d2ff318c5ac6f34bf8166d6fc028ab571705d876</x:v>
      </x:c>
      <x:c r="K292" s="24" t="str">
        <x:v>Assets/_Project/Scripts/Application/Customers/CustomerProfileSelector.cs</x:v>
      </x:c>
      <x:c r="L292" s="24" t="str">
        <x:v>CR-003</x:v>
      </x:c>
      <x:c r="M292" s="24" t="str"/>
      <x:c r="N292" s="24" t="str">
        <x:v>RES-001;RES-014</x:v>
      </x:c>
      <x:c r="O292" s="24" t="str">
        <x:v>Internal development; public candidate requires gate</x:v>
      </x:c>
      <x:c r="P292" s="24" t="str">
        <x:v>CONDITIONALLY APPROVED</x:v>
      </x:c>
      <x:c r="Q292" s="24" t="str">
        <x:v>Low</x:v>
      </x:c>
      <x:c r="R292" s="24" t="str"/>
      <x:c r="S292" s="24" t="str">
        <x:v>Sí</x:v>
      </x:c>
      <x:c r="T292" s="24" t="str">
        <x:f>"T"&amp;IF(AND(H292&lt;&gt;"",I292&lt;&gt;"",J292&lt;&gt;"",L292&lt;&gt;"",N292&lt;&gt;"",O292&lt;&gt;"",P292="APPROVED PUBLIC",S292="Sí"),6,IF(AND(H292&lt;&gt;"",I292&lt;&gt;"",J292&lt;&gt;"",L292&lt;&gt;"",N292&lt;&gt;"",O292&lt;&gt;"",P292&lt;&gt;"",S292="Sí"),5,IF(AND(H292&lt;&gt;"",I292&lt;&gt;"",P292&lt;&gt;"",S292&lt;&gt;"No"),4,IF(AND(H292&lt;&gt;"",I292&lt;&gt;""),3,IF(F292&lt;&gt;"",2,1)))))</x:f>
        <x:v>T5</x:v>
      </x:c>
      <x:c r="U292" s="24" t="str">
        <x:v>VRM Games</x:v>
      </x:c>
      <x:c r="V292" s="24" t="str">
        <x:v>No se detectó proveedor externo en la ruta; confirmar autoría por lote antes de release público.</x:v>
      </x:c>
    </x:row>
    <x:row r="293" ht="34" customHeight="1">
      <x:c r="A293" s="24" t="str">
        <x:v>TRC-00289</x:v>
      </x:c>
      <x:c r="B293" s="24" t="str">
        <x:v>c2fc759c5b3a429cb4f303b091a22a93</x:v>
      </x:c>
      <x:c r="C293" s="24" t="str">
        <x:v>CustomerSpawnFailureReason.cs</x:v>
      </x:c>
      <x:c r="D293" s="24" t="str">
        <x:v>Code</x:v>
      </x:c>
      <x:c r="E293" s="24" t="str">
        <x:v>03_Assets_Internos</x:v>
      </x:c>
      <x:c r="F293" s="24" t="str">
        <x:v>INT-0289</x:v>
      </x:c>
      <x:c r="G293" s="24" t="str">
        <x:v>VRM Games / Blas Luis Rocha González</x:v>
      </x:c>
      <x:c r="H293" s="24" t="str">
        <x:v>Internal project IP / authorship claim</x:v>
      </x:c>
      <x:c r="I293" s="24" t="str">
        <x:v>Source package + repository path + hash</x:v>
      </x:c>
      <x:c r="J293" s="24" t="str">
        <x:v>93164358776616e4f0fe24ac74ddd06a334dd339bb3818601dd7f2cefa6e2a5e</x:v>
      </x:c>
      <x:c r="K293" s="24" t="str">
        <x:v>Assets/_Project/Scripts/Application/Customers/CustomerSpawnFailureReason.cs</x:v>
      </x:c>
      <x:c r="L293" s="24" t="str">
        <x:v>CR-003</x:v>
      </x:c>
      <x:c r="M293" s="24" t="str"/>
      <x:c r="N293" s="24" t="str">
        <x:v>RES-001;RES-014</x:v>
      </x:c>
      <x:c r="O293" s="24" t="str">
        <x:v>Internal development; public candidate requires gate</x:v>
      </x:c>
      <x:c r="P293" s="24" t="str">
        <x:v>CONDITIONALLY APPROVED</x:v>
      </x:c>
      <x:c r="Q293" s="24" t="str">
        <x:v>Low</x:v>
      </x:c>
      <x:c r="R293" s="24" t="str"/>
      <x:c r="S293" s="24" t="str">
        <x:v>Sí</x:v>
      </x:c>
      <x:c r="T293" s="24" t="str">
        <x:f>"T"&amp;IF(AND(H293&lt;&gt;"",I293&lt;&gt;"",J293&lt;&gt;"",L293&lt;&gt;"",N293&lt;&gt;"",O293&lt;&gt;"",P293="APPROVED PUBLIC",S293="Sí"),6,IF(AND(H293&lt;&gt;"",I293&lt;&gt;"",J293&lt;&gt;"",L293&lt;&gt;"",N293&lt;&gt;"",O293&lt;&gt;"",P293&lt;&gt;"",S293="Sí"),5,IF(AND(H293&lt;&gt;"",I293&lt;&gt;"",P293&lt;&gt;"",S293&lt;&gt;"No"),4,IF(AND(H293&lt;&gt;"",I293&lt;&gt;""),3,IF(F293&lt;&gt;"",2,1)))))</x:f>
        <x:v>T5</x:v>
      </x:c>
      <x:c r="U293" s="24" t="str">
        <x:v>VRM Games</x:v>
      </x:c>
      <x:c r="V293" s="24" t="str">
        <x:v>No se detectó proveedor externo en la ruta; confirmar autoría por lote antes de release público.</x:v>
      </x:c>
    </x:row>
    <x:row r="294" ht="34" customHeight="1">
      <x:c r="A294" s="24" t="str">
        <x:v>TRC-00290</x:v>
      </x:c>
      <x:c r="B294" s="24" t="str">
        <x:v>776ae0f610854d6e9ea3aa40d111d7a0</x:v>
      </x:c>
      <x:c r="C294" s="24" t="str">
        <x:v>CustomerSpawnResult.cs</x:v>
      </x:c>
      <x:c r="D294" s="24" t="str">
        <x:v>Code</x:v>
      </x:c>
      <x:c r="E294" s="24" t="str">
        <x:v>03_Assets_Internos</x:v>
      </x:c>
      <x:c r="F294" s="24" t="str">
        <x:v>INT-0290</x:v>
      </x:c>
      <x:c r="G294" s="24" t="str">
        <x:v>VRM Games / Blas Luis Rocha González</x:v>
      </x:c>
      <x:c r="H294" s="24" t="str">
        <x:v>Internal project IP / authorship claim</x:v>
      </x:c>
      <x:c r="I294" s="24" t="str">
        <x:v>Source package + repository path + hash</x:v>
      </x:c>
      <x:c r="J294" s="24" t="str">
        <x:v>7099f148a74e94d594080b93c127f7c7105d10ed7aa7f2630e82968d53b1629a</x:v>
      </x:c>
      <x:c r="K294" s="24" t="str">
        <x:v>Assets/_Project/Scripts/Application/Customers/CustomerSpawnResult.cs</x:v>
      </x:c>
      <x:c r="L294" s="24" t="str">
        <x:v>CR-003</x:v>
      </x:c>
      <x:c r="M294" s="24" t="str"/>
      <x:c r="N294" s="24" t="str">
        <x:v>RES-001;RES-014</x:v>
      </x:c>
      <x:c r="O294" s="24" t="str">
        <x:v>Internal development; public candidate requires gate</x:v>
      </x:c>
      <x:c r="P294" s="24" t="str">
        <x:v>CONDITIONALLY APPROVED</x:v>
      </x:c>
      <x:c r="Q294" s="24" t="str">
        <x:v>Low</x:v>
      </x:c>
      <x:c r="R294" s="24" t="str"/>
      <x:c r="S294" s="24" t="str">
        <x:v>Sí</x:v>
      </x:c>
      <x:c r="T294" s="24" t="str">
        <x:f>"T"&amp;IF(AND(H294&lt;&gt;"",I294&lt;&gt;"",J294&lt;&gt;"",L294&lt;&gt;"",N294&lt;&gt;"",O294&lt;&gt;"",P294="APPROVED PUBLIC",S294="Sí"),6,IF(AND(H294&lt;&gt;"",I294&lt;&gt;"",J294&lt;&gt;"",L294&lt;&gt;"",N294&lt;&gt;"",O294&lt;&gt;"",P294&lt;&gt;"",S294="Sí"),5,IF(AND(H294&lt;&gt;"",I294&lt;&gt;"",P294&lt;&gt;"",S294&lt;&gt;"No"),4,IF(AND(H294&lt;&gt;"",I294&lt;&gt;""),3,IF(F294&lt;&gt;"",2,1)))))</x:f>
        <x:v>T5</x:v>
      </x:c>
      <x:c r="U294" s="24" t="str">
        <x:v>VRM Games</x:v>
      </x:c>
      <x:c r="V294" s="24" t="str">
        <x:v>No se detectó proveedor externo en la ruta; confirmar autoría por lote antes de release público.</x:v>
      </x:c>
    </x:row>
    <x:row r="295" ht="34" customHeight="1">
      <x:c r="A295" s="24" t="str">
        <x:v>TRC-00291</x:v>
      </x:c>
      <x:c r="B295" s="24" t="str">
        <x:v>c6255986228b4c0b8a43d5fa592dcca3</x:v>
      </x:c>
      <x:c r="C295" s="24" t="str">
        <x:v>CustomerSpawnService.cs</x:v>
      </x:c>
      <x:c r="D295" s="24" t="str">
        <x:v>Code</x:v>
      </x:c>
      <x:c r="E295" s="24" t="str">
        <x:v>03_Assets_Internos</x:v>
      </x:c>
      <x:c r="F295" s="24" t="str">
        <x:v>INT-0291</x:v>
      </x:c>
      <x:c r="G295" s="24" t="str">
        <x:v>VRM Games / Blas Luis Rocha González</x:v>
      </x:c>
      <x:c r="H295" s="24" t="str">
        <x:v>Internal project IP / authorship claim</x:v>
      </x:c>
      <x:c r="I295" s="24" t="str">
        <x:v>Source package + repository path + hash</x:v>
      </x:c>
      <x:c r="J295" s="24" t="str">
        <x:v>474ee7ba1c3234c23d40735d7606731bca583c1c917ea1acbb94eb8c99902058</x:v>
      </x:c>
      <x:c r="K295" s="24" t="str">
        <x:v>Assets/_Project/Scripts/Application/Customers/CustomerSpawnService.cs</x:v>
      </x:c>
      <x:c r="L295" s="24" t="str">
        <x:v>CR-003</x:v>
      </x:c>
      <x:c r="M295" s="24" t="str"/>
      <x:c r="N295" s="24" t="str">
        <x:v>RES-001;RES-014</x:v>
      </x:c>
      <x:c r="O295" s="24" t="str">
        <x:v>Internal development; public candidate requires gate</x:v>
      </x:c>
      <x:c r="P295" s="24" t="str">
        <x:v>CONDITIONALLY APPROVED</x:v>
      </x:c>
      <x:c r="Q295" s="24" t="str">
        <x:v>Low</x:v>
      </x:c>
      <x:c r="R295" s="24" t="str"/>
      <x:c r="S295" s="24" t="str">
        <x:v>Sí</x:v>
      </x:c>
      <x:c r="T295" s="24" t="str">
        <x:f>"T"&amp;IF(AND(H295&lt;&gt;"",I295&lt;&gt;"",J295&lt;&gt;"",L295&lt;&gt;"",N295&lt;&gt;"",O295&lt;&gt;"",P295="APPROVED PUBLIC",S295="Sí"),6,IF(AND(H295&lt;&gt;"",I295&lt;&gt;"",J295&lt;&gt;"",L295&lt;&gt;"",N295&lt;&gt;"",O295&lt;&gt;"",P295&lt;&gt;"",S295="Sí"),5,IF(AND(H295&lt;&gt;"",I295&lt;&gt;"",P295&lt;&gt;"",S295&lt;&gt;"No"),4,IF(AND(H295&lt;&gt;"",I295&lt;&gt;""),3,IF(F295&lt;&gt;"",2,1)))))</x:f>
        <x:v>T5</x:v>
      </x:c>
      <x:c r="U295" s="24" t="str">
        <x:v>VRM Games</x:v>
      </x:c>
      <x:c r="V295" s="24" t="str">
        <x:v>No se detectó proveedor externo en la ruta; confirmar autoría por lote antes de release público.</x:v>
      </x:c>
    </x:row>
    <x:row r="296" ht="34" customHeight="1">
      <x:c r="A296" s="24" t="str">
        <x:v>TRC-00292</x:v>
      </x:c>
      <x:c r="B296" s="24" t="str">
        <x:v>94a801d20a8743ea81d78cb2507a27e9</x:v>
      </x:c>
      <x:c r="C296" s="24" t="str">
        <x:v>CustomerDrainService.cs</x:v>
      </x:c>
      <x:c r="D296" s="24" t="str">
        <x:v>Code</x:v>
      </x:c>
      <x:c r="E296" s="24" t="str">
        <x:v>03_Assets_Internos</x:v>
      </x:c>
      <x:c r="F296" s="24" t="str">
        <x:v>INT-0292</x:v>
      </x:c>
      <x:c r="G296" s="24" t="str">
        <x:v>VRM Games / Blas Luis Rocha González</x:v>
      </x:c>
      <x:c r="H296" s="24" t="str">
        <x:v>Internal project IP / authorship claim</x:v>
      </x:c>
      <x:c r="I296" s="24" t="str">
        <x:v>Source package + repository path + hash</x:v>
      </x:c>
      <x:c r="J296" s="24" t="str">
        <x:v>15f0a9f55d736199db5ed273037e9dfb8b6e48d86847f635fae863d4e5f9ce39</x:v>
      </x:c>
      <x:c r="K296" s="24" t="str">
        <x:v>Assets/_Project/Scripts/Application/DayCycle/CustomerDrainService.cs</x:v>
      </x:c>
      <x:c r="L296" s="24" t="str">
        <x:v>CR-003</x:v>
      </x:c>
      <x:c r="M296" s="24" t="str"/>
      <x:c r="N296" s="24" t="str">
        <x:v>RES-001;RES-014</x:v>
      </x:c>
      <x:c r="O296" s="24" t="str">
        <x:v>Internal development; public candidate requires gate</x:v>
      </x:c>
      <x:c r="P296" s="24" t="str">
        <x:v>CONDITIONALLY APPROVED</x:v>
      </x:c>
      <x:c r="Q296" s="24" t="str">
        <x:v>Low</x:v>
      </x:c>
      <x:c r="R296" s="24" t="str"/>
      <x:c r="S296" s="24" t="str">
        <x:v>Sí</x:v>
      </x:c>
      <x:c r="T296" s="24" t="str">
        <x:f>"T"&amp;IF(AND(H296&lt;&gt;"",I296&lt;&gt;"",J296&lt;&gt;"",L296&lt;&gt;"",N296&lt;&gt;"",O296&lt;&gt;"",P296="APPROVED PUBLIC",S296="Sí"),6,IF(AND(H296&lt;&gt;"",I296&lt;&gt;"",J296&lt;&gt;"",L296&lt;&gt;"",N296&lt;&gt;"",O296&lt;&gt;"",P296&lt;&gt;"",S296="Sí"),5,IF(AND(H296&lt;&gt;"",I296&lt;&gt;"",P296&lt;&gt;"",S296&lt;&gt;"No"),4,IF(AND(H296&lt;&gt;"",I296&lt;&gt;""),3,IF(F296&lt;&gt;"",2,1)))))</x:f>
        <x:v>T5</x:v>
      </x:c>
      <x:c r="U296" s="24" t="str">
        <x:v>VRM Games</x:v>
      </x:c>
      <x:c r="V296" s="24" t="str">
        <x:v>No se detectó proveedor externo en la ruta; confirmar autoría por lote antes de release público.</x:v>
      </x:c>
    </x:row>
    <x:row r="297" ht="34" customHeight="1">
      <x:c r="A297" s="24" t="str">
        <x:v>TRC-00293</x:v>
      </x:c>
      <x:c r="B297" s="24" t="str">
        <x:v>f4afe5b0d1c14cd5b33e4a5e9b7a58f9</x:v>
      </x:c>
      <x:c r="C297" s="24" t="str">
        <x:v>StoreClosureCoordinator.cs</x:v>
      </x:c>
      <x:c r="D297" s="24" t="str">
        <x:v>Code</x:v>
      </x:c>
      <x:c r="E297" s="24" t="str">
        <x:v>03_Assets_Internos</x:v>
      </x:c>
      <x:c r="F297" s="24" t="str">
        <x:v>INT-0293</x:v>
      </x:c>
      <x:c r="G297" s="24" t="str">
        <x:v>VRM Games / Blas Luis Rocha González</x:v>
      </x:c>
      <x:c r="H297" s="24" t="str">
        <x:v>Internal project IP / authorship claim</x:v>
      </x:c>
      <x:c r="I297" s="24" t="str">
        <x:v>Source package + repository path + hash</x:v>
      </x:c>
      <x:c r="J297" s="24" t="str">
        <x:v>f4b134b715f32a098b11d228f38f84a2f773d7696f6c56f18cf2eaf3105e3584</x:v>
      </x:c>
      <x:c r="K297" s="24" t="str">
        <x:v>Assets/_Project/Scripts/Application/DayCycle/StoreClosureCoordinator.cs</x:v>
      </x:c>
      <x:c r="L297" s="24" t="str">
        <x:v>CR-003</x:v>
      </x:c>
      <x:c r="M297" s="24" t="str"/>
      <x:c r="N297" s="24" t="str">
        <x:v>RES-001;RES-014</x:v>
      </x:c>
      <x:c r="O297" s="24" t="str">
        <x:v>Internal development; public candidate requires gate</x:v>
      </x:c>
      <x:c r="P297" s="24" t="str">
        <x:v>CONDITIONALLY APPROVED</x:v>
      </x:c>
      <x:c r="Q297" s="24" t="str">
        <x:v>Low</x:v>
      </x:c>
      <x:c r="R297" s="24" t="str"/>
      <x:c r="S297" s="24" t="str">
        <x:v>Sí</x:v>
      </x:c>
      <x:c r="T297" s="24" t="str">
        <x:f>"T"&amp;IF(AND(H297&lt;&gt;"",I297&lt;&gt;"",J297&lt;&gt;"",L297&lt;&gt;"",N297&lt;&gt;"",O297&lt;&gt;"",P297="APPROVED PUBLIC",S297="Sí"),6,IF(AND(H297&lt;&gt;"",I297&lt;&gt;"",J297&lt;&gt;"",L297&lt;&gt;"",N297&lt;&gt;"",O297&lt;&gt;"",P297&lt;&gt;"",S297="Sí"),5,IF(AND(H297&lt;&gt;"",I297&lt;&gt;"",P297&lt;&gt;"",S297&lt;&gt;"No"),4,IF(AND(H297&lt;&gt;"",I297&lt;&gt;""),3,IF(F297&lt;&gt;"",2,1)))))</x:f>
        <x:v>T5</x:v>
      </x:c>
      <x:c r="U297" s="24" t="str">
        <x:v>VRM Games</x:v>
      </x:c>
      <x:c r="V297" s="24" t="str">
        <x:v>No se detectó proveedor externo en la ruta; confirmar autoría por lote antes de release público.</x:v>
      </x:c>
    </x:row>
    <x:row r="298" ht="34" customHeight="1">
      <x:c r="A298" s="24" t="str">
        <x:v>TRC-00294</x:v>
      </x:c>
      <x:c r="B298" s="24" t="str">
        <x:v>cd02271cfc4a4dfcb94e689edeccd56e</x:v>
      </x:c>
      <x:c r="C298" s="24" t="str">
        <x:v>StoreClosureSnapshotFactory.cs</x:v>
      </x:c>
      <x:c r="D298" s="24" t="str">
        <x:v>Code</x:v>
      </x:c>
      <x:c r="E298" s="24" t="str">
        <x:v>03_Assets_Internos</x:v>
      </x:c>
      <x:c r="F298" s="24" t="str">
        <x:v>INT-0294</x:v>
      </x:c>
      <x:c r="G298" s="24" t="str">
        <x:v>VRM Games / Blas Luis Rocha González</x:v>
      </x:c>
      <x:c r="H298" s="24" t="str">
        <x:v>Internal project IP / authorship claim</x:v>
      </x:c>
      <x:c r="I298" s="24" t="str">
        <x:v>Source package + repository path + hash</x:v>
      </x:c>
      <x:c r="J298" s="24" t="str">
        <x:v>96b6d3dc818f2d54781ccf9987a1c88fd942e14cce0bf03e0dc51a776c7d60ba</x:v>
      </x:c>
      <x:c r="K298" s="24" t="str">
        <x:v>Assets/_Project/Scripts/Application/DayCycle/StoreClosureSnapshotFactory.cs</x:v>
      </x:c>
      <x:c r="L298" s="24" t="str">
        <x:v>CR-003</x:v>
      </x:c>
      <x:c r="M298" s="24" t="str"/>
      <x:c r="N298" s="24" t="str">
        <x:v>RES-001;RES-014</x:v>
      </x:c>
      <x:c r="O298" s="24" t="str">
        <x:v>Internal development; public candidate requires gate</x:v>
      </x:c>
      <x:c r="P298" s="24" t="str">
        <x:v>CONDITIONALLY APPROVED</x:v>
      </x:c>
      <x:c r="Q298" s="24" t="str">
        <x:v>Low</x:v>
      </x:c>
      <x:c r="R298" s="24" t="str"/>
      <x:c r="S298" s="24" t="str">
        <x:v>Sí</x:v>
      </x:c>
      <x:c r="T298" s="24" t="str">
        <x:f>"T"&amp;IF(AND(H298&lt;&gt;"",I298&lt;&gt;"",J298&lt;&gt;"",L298&lt;&gt;"",N298&lt;&gt;"",O298&lt;&gt;"",P298="APPROVED PUBLIC",S298="Sí"),6,IF(AND(H298&lt;&gt;"",I298&lt;&gt;"",J298&lt;&gt;"",L298&lt;&gt;"",N298&lt;&gt;"",O298&lt;&gt;"",P298&lt;&gt;"",S298="Sí"),5,IF(AND(H298&lt;&gt;"",I298&lt;&gt;"",P298&lt;&gt;"",S298&lt;&gt;"No"),4,IF(AND(H298&lt;&gt;"",I298&lt;&gt;""),3,IF(F298&lt;&gt;"",2,1)))))</x:f>
        <x:v>T5</x:v>
      </x:c>
      <x:c r="U298" s="24" t="str">
        <x:v>VRM Games</x:v>
      </x:c>
      <x:c r="V298" s="24" t="str">
        <x:v>No se detectó proveedor externo en la ruta; confirmar autoría por lote antes de release público.</x:v>
      </x:c>
    </x:row>
    <x:row r="299" ht="34" customHeight="1">
      <x:c r="A299" s="24" t="str">
        <x:v>TRC-00295</x:v>
      </x:c>
      <x:c r="B299" s="24" t="str">
        <x:v>d3bdc48f86ed48c295705c0b45797418</x:v>
      </x:c>
      <x:c r="C299" s="24" t="str">
        <x:v>StoreDayService.cs</x:v>
      </x:c>
      <x:c r="D299" s="24" t="str">
        <x:v>Code</x:v>
      </x:c>
      <x:c r="E299" s="24" t="str">
        <x:v>03_Assets_Internos</x:v>
      </x:c>
      <x:c r="F299" s="24" t="str">
        <x:v>INT-0295</x:v>
      </x:c>
      <x:c r="G299" s="24" t="str">
        <x:v>VRM Games / Blas Luis Rocha González</x:v>
      </x:c>
      <x:c r="H299" s="24" t="str">
        <x:v>Internal project IP / authorship claim</x:v>
      </x:c>
      <x:c r="I299" s="24" t="str">
        <x:v>Source package + repository path + hash</x:v>
      </x:c>
      <x:c r="J299" s="24" t="str">
        <x:v>038edf01e0068ac1378f946993efeecd827fd5d02af37cd4a1cf1b1e7c5a2c85</x:v>
      </x:c>
      <x:c r="K299" s="24" t="str">
        <x:v>Assets/_Project/Scripts/Application/DayCycle/StoreDayService.cs</x:v>
      </x:c>
      <x:c r="L299" s="24" t="str">
        <x:v>CR-003</x:v>
      </x:c>
      <x:c r="M299" s="24" t="str"/>
      <x:c r="N299" s="24" t="str">
        <x:v>RES-001;RES-014</x:v>
      </x:c>
      <x:c r="O299" s="24" t="str">
        <x:v>Internal development; public candidate requires gate</x:v>
      </x:c>
      <x:c r="P299" s="24" t="str">
        <x:v>CONDITIONALLY APPROVED</x:v>
      </x:c>
      <x:c r="Q299" s="24" t="str">
        <x:v>Low</x:v>
      </x:c>
      <x:c r="R299" s="24" t="str"/>
      <x:c r="S299" s="24" t="str">
        <x:v>Sí</x:v>
      </x:c>
      <x:c r="T299" s="24" t="str">
        <x:f>"T"&amp;IF(AND(H299&lt;&gt;"",I299&lt;&gt;"",J299&lt;&gt;"",L299&lt;&gt;"",N299&lt;&gt;"",O299&lt;&gt;"",P299="APPROVED PUBLIC",S299="Sí"),6,IF(AND(H299&lt;&gt;"",I299&lt;&gt;"",J299&lt;&gt;"",L299&lt;&gt;"",N299&lt;&gt;"",O299&lt;&gt;"",P299&lt;&gt;"",S299="Sí"),5,IF(AND(H299&lt;&gt;"",I299&lt;&gt;"",P299&lt;&gt;"",S299&lt;&gt;"No"),4,IF(AND(H299&lt;&gt;"",I299&lt;&gt;""),3,IF(F299&lt;&gt;"",2,1)))))</x:f>
        <x:v>T5</x:v>
      </x:c>
      <x:c r="U299" s="24" t="str">
        <x:v>VRM Games</x:v>
      </x:c>
      <x:c r="V299" s="24" t="str">
        <x:v>No se detectó proveedor externo en la ruta; confirmar autoría por lote antes de release público.</x:v>
      </x:c>
    </x:row>
    <x:row r="300" ht="34" customHeight="1">
      <x:c r="A300" s="24" t="str">
        <x:v>TRC-00296</x:v>
      </x:c>
      <x:c r="B300" s="24" t="str">
        <x:v>c944210b82ab45d2b8b3d359fb9a7278</x:v>
      </x:c>
      <x:c r="C300" s="24" t="str">
        <x:v>DisplayRestockFailureReason.cs</x:v>
      </x:c>
      <x:c r="D300" s="24" t="str">
        <x:v>Code</x:v>
      </x:c>
      <x:c r="E300" s="24" t="str">
        <x:v>03_Assets_Internos</x:v>
      </x:c>
      <x:c r="F300" s="24" t="str">
        <x:v>INT-0296</x:v>
      </x:c>
      <x:c r="G300" s="24" t="str">
        <x:v>VRM Games / Blas Luis Rocha González</x:v>
      </x:c>
      <x:c r="H300" s="24" t="str">
        <x:v>Internal project IP / authorship claim</x:v>
      </x:c>
      <x:c r="I300" s="24" t="str">
        <x:v>Source package + repository path + hash</x:v>
      </x:c>
      <x:c r="J300" s="24" t="str">
        <x:v>3c9aaf9671bb011d898cb11f2b087a175da4ad0390d90074ff507bfd4b97a569</x:v>
      </x:c>
      <x:c r="K300" s="24" t="str">
        <x:v>Assets/_Project/Scripts/Application/Displays/DisplayRestockFailureReason.cs</x:v>
      </x:c>
      <x:c r="L300" s="24" t="str">
        <x:v>CR-003</x:v>
      </x:c>
      <x:c r="M300" s="24" t="str"/>
      <x:c r="N300" s="24" t="str">
        <x:v>RES-001;RES-014</x:v>
      </x:c>
      <x:c r="O300" s="24" t="str">
        <x:v>Internal development; public candidate requires gate</x:v>
      </x:c>
      <x:c r="P300" s="24" t="str">
        <x:v>CONDITIONALLY APPROVED</x:v>
      </x:c>
      <x:c r="Q300" s="24" t="str">
        <x:v>Low</x:v>
      </x:c>
      <x:c r="R300" s="24" t="str"/>
      <x:c r="S300" s="24" t="str">
        <x:v>Sí</x:v>
      </x:c>
      <x:c r="T300" s="24" t="str">
        <x:f>"T"&amp;IF(AND(H300&lt;&gt;"",I300&lt;&gt;"",J300&lt;&gt;"",L300&lt;&gt;"",N300&lt;&gt;"",O300&lt;&gt;"",P300="APPROVED PUBLIC",S300="Sí"),6,IF(AND(H300&lt;&gt;"",I300&lt;&gt;"",J300&lt;&gt;"",L300&lt;&gt;"",N300&lt;&gt;"",O300&lt;&gt;"",P300&lt;&gt;"",S300="Sí"),5,IF(AND(H300&lt;&gt;"",I300&lt;&gt;"",P300&lt;&gt;"",S300&lt;&gt;"No"),4,IF(AND(H300&lt;&gt;"",I300&lt;&gt;""),3,IF(F300&lt;&gt;"",2,1)))))</x:f>
        <x:v>T5</x:v>
      </x:c>
      <x:c r="U300" s="24" t="str">
        <x:v>VRM Games</x:v>
      </x:c>
      <x:c r="V300" s="24" t="str">
        <x:v>No se detectó proveedor externo en la ruta; confirmar autoría por lote antes de release público.</x:v>
      </x:c>
    </x:row>
    <x:row r="301" ht="34" customHeight="1">
      <x:c r="A301" s="24" t="str">
        <x:v>TRC-00297</x:v>
      </x:c>
      <x:c r="B301" s="24" t="str">
        <x:v>dba5fc5aa87641f2bb7f9bd121479934</x:v>
      </x:c>
      <x:c r="C301" s="24" t="str">
        <x:v>DisplayRestockResult.cs</x:v>
      </x:c>
      <x:c r="D301" s="24" t="str">
        <x:v>Code</x:v>
      </x:c>
      <x:c r="E301" s="24" t="str">
        <x:v>03_Assets_Internos</x:v>
      </x:c>
      <x:c r="F301" s="24" t="str">
        <x:v>INT-0297</x:v>
      </x:c>
      <x:c r="G301" s="24" t="str">
        <x:v>VRM Games / Blas Luis Rocha González</x:v>
      </x:c>
      <x:c r="H301" s="24" t="str">
        <x:v>Internal project IP / authorship claim</x:v>
      </x:c>
      <x:c r="I301" s="24" t="str">
        <x:v>Source package + repository path + hash</x:v>
      </x:c>
      <x:c r="J301" s="24" t="str">
        <x:v>c795fa5e8bef506cb1043461f88bcb9af7bc2fcebb79562150ed7a2409e21ee9</x:v>
      </x:c>
      <x:c r="K301" s="24" t="str">
        <x:v>Assets/_Project/Scripts/Application/Displays/DisplayRestockResult.cs</x:v>
      </x:c>
      <x:c r="L301" s="24" t="str">
        <x:v>CR-003</x:v>
      </x:c>
      <x:c r="M301" s="24" t="str"/>
      <x:c r="N301" s="24" t="str">
        <x:v>RES-001;RES-014</x:v>
      </x:c>
      <x:c r="O301" s="24" t="str">
        <x:v>Internal development; public candidate requires gate</x:v>
      </x:c>
      <x:c r="P301" s="24" t="str">
        <x:v>CONDITIONALLY APPROVED</x:v>
      </x:c>
      <x:c r="Q301" s="24" t="str">
        <x:v>Low</x:v>
      </x:c>
      <x:c r="R301" s="24" t="str"/>
      <x:c r="S301" s="24" t="str">
        <x:v>Sí</x:v>
      </x:c>
      <x:c r="T301" s="24" t="str">
        <x:f>"T"&amp;IF(AND(H301&lt;&gt;"",I301&lt;&gt;"",J301&lt;&gt;"",L301&lt;&gt;"",N301&lt;&gt;"",O301&lt;&gt;"",P301="APPROVED PUBLIC",S301="Sí"),6,IF(AND(H301&lt;&gt;"",I301&lt;&gt;"",J301&lt;&gt;"",L301&lt;&gt;"",N301&lt;&gt;"",O301&lt;&gt;"",P301&lt;&gt;"",S301="Sí"),5,IF(AND(H301&lt;&gt;"",I301&lt;&gt;"",P301&lt;&gt;"",S301&lt;&gt;"No"),4,IF(AND(H301&lt;&gt;"",I301&lt;&gt;""),3,IF(F301&lt;&gt;"",2,1)))))</x:f>
        <x:v>T5</x:v>
      </x:c>
      <x:c r="U301" s="24" t="str">
        <x:v>VRM Games</x:v>
      </x:c>
      <x:c r="V301" s="24" t="str">
        <x:v>No se detectó proveedor externo en la ruta; confirmar autoría por lote antes de release público.</x:v>
      </x:c>
    </x:row>
    <x:row r="302" ht="34" customHeight="1">
      <x:c r="A302" s="24" t="str">
        <x:v>TRC-00298</x:v>
      </x:c>
      <x:c r="B302" s="24" t="str">
        <x:v>0591b4c6b3b54dea8435785f99406c1f</x:v>
      </x:c>
      <x:c r="C302" s="24" t="str">
        <x:v>DisplayRestockService.cs</x:v>
      </x:c>
      <x:c r="D302" s="24" t="str">
        <x:v>Code</x:v>
      </x:c>
      <x:c r="E302" s="24" t="str">
        <x:v>03_Assets_Internos</x:v>
      </x:c>
      <x:c r="F302" s="24" t="str">
        <x:v>INT-0298</x:v>
      </x:c>
      <x:c r="G302" s="24" t="str">
        <x:v>VRM Games / Blas Luis Rocha González</x:v>
      </x:c>
      <x:c r="H302" s="24" t="str">
        <x:v>Internal project IP / authorship claim</x:v>
      </x:c>
      <x:c r="I302" s="24" t="str">
        <x:v>Source package + repository path + hash</x:v>
      </x:c>
      <x:c r="J302" s="24" t="str">
        <x:v>662ab0d432bd64ebee089713ee3cc71fc626f48816df2dff0bb978ed0921dc37</x:v>
      </x:c>
      <x:c r="K302" s="24" t="str">
        <x:v>Assets/_Project/Scripts/Application/Displays/DisplayRestockService.cs</x:v>
      </x:c>
      <x:c r="L302" s="24" t="str">
        <x:v>CR-003</x:v>
      </x:c>
      <x:c r="M302" s="24" t="str"/>
      <x:c r="N302" s="24" t="str">
        <x:v>RES-001;RES-014</x:v>
      </x:c>
      <x:c r="O302" s="24" t="str">
        <x:v>Internal development; public candidate requires gate</x:v>
      </x:c>
      <x:c r="P302" s="24" t="str">
        <x:v>CONDITIONALLY APPROVED</x:v>
      </x:c>
      <x:c r="Q302" s="24" t="str">
        <x:v>Low</x:v>
      </x:c>
      <x:c r="R302" s="24" t="str"/>
      <x:c r="S302" s="24" t="str">
        <x:v>Sí</x:v>
      </x:c>
      <x:c r="T302" s="24" t="str">
        <x:f>"T"&amp;IF(AND(H302&lt;&gt;"",I302&lt;&gt;"",J302&lt;&gt;"",L302&lt;&gt;"",N302&lt;&gt;"",O302&lt;&gt;"",P302="APPROVED PUBLIC",S302="Sí"),6,IF(AND(H302&lt;&gt;"",I302&lt;&gt;"",J302&lt;&gt;"",L302&lt;&gt;"",N302&lt;&gt;"",O302&lt;&gt;"",P302&lt;&gt;"",S302="Sí"),5,IF(AND(H302&lt;&gt;"",I302&lt;&gt;"",P302&lt;&gt;"",S302&lt;&gt;"No"),4,IF(AND(H302&lt;&gt;"",I302&lt;&gt;""),3,IF(F302&lt;&gt;"",2,1)))))</x:f>
        <x:v>T5</x:v>
      </x:c>
      <x:c r="U302" s="24" t="str">
        <x:v>VRM Games</x:v>
      </x:c>
      <x:c r="V302" s="24" t="str">
        <x:v>No se detectó proveedor externo en la ruta; confirmar autoría por lote antes de release público.</x:v>
      </x:c>
    </x:row>
    <x:row r="303" ht="34" customHeight="1">
      <x:c r="A303" s="24" t="str">
        <x:v>TRC-00299</x:v>
      </x:c>
      <x:c r="B303" s="24" t="str">
        <x:v>ece1d3e5d55943a59c2f0c2fbb46e13e</x:v>
      </x:c>
      <x:c r="C303" s="24" t="str">
        <x:v>DisplayReturnStockFailureReason.cs</x:v>
      </x:c>
      <x:c r="D303" s="24" t="str">
        <x:v>Code</x:v>
      </x:c>
      <x:c r="E303" s="24" t="str">
        <x:v>03_Assets_Internos</x:v>
      </x:c>
      <x:c r="F303" s="24" t="str">
        <x:v>INT-0299</x:v>
      </x:c>
      <x:c r="G303" s="24" t="str">
        <x:v>VRM Games / Blas Luis Rocha González</x:v>
      </x:c>
      <x:c r="H303" s="24" t="str">
        <x:v>Internal project IP / authorship claim</x:v>
      </x:c>
      <x:c r="I303" s="24" t="str">
        <x:v>Source package + repository path + hash</x:v>
      </x:c>
      <x:c r="J303" s="24" t="str">
        <x:v>1de892950850dc311d95b3f4f0255926e10e111fbaad3abd5294610b9581227d</x:v>
      </x:c>
      <x:c r="K303" s="24" t="str">
        <x:v>Assets/_Project/Scripts/Application/Displays/DisplayReturnStockFailureReason.cs</x:v>
      </x:c>
      <x:c r="L303" s="24" t="str">
        <x:v>CR-003</x:v>
      </x:c>
      <x:c r="M303" s="24" t="str"/>
      <x:c r="N303" s="24" t="str">
        <x:v>RES-001;RES-014</x:v>
      </x:c>
      <x:c r="O303" s="24" t="str">
        <x:v>Internal development; public candidate requires gate</x:v>
      </x:c>
      <x:c r="P303" s="24" t="str">
        <x:v>CONDITIONALLY APPROVED</x:v>
      </x:c>
      <x:c r="Q303" s="24" t="str">
        <x:v>Low</x:v>
      </x:c>
      <x:c r="R303" s="24" t="str"/>
      <x:c r="S303" s="24" t="str">
        <x:v>Sí</x:v>
      </x:c>
      <x:c r="T303" s="24" t="str">
        <x:f>"T"&amp;IF(AND(H303&lt;&gt;"",I303&lt;&gt;"",J303&lt;&gt;"",L303&lt;&gt;"",N303&lt;&gt;"",O303&lt;&gt;"",P303="APPROVED PUBLIC",S303="Sí"),6,IF(AND(H303&lt;&gt;"",I303&lt;&gt;"",J303&lt;&gt;"",L303&lt;&gt;"",N303&lt;&gt;"",O303&lt;&gt;"",P303&lt;&gt;"",S303="Sí"),5,IF(AND(H303&lt;&gt;"",I303&lt;&gt;"",P303&lt;&gt;"",S303&lt;&gt;"No"),4,IF(AND(H303&lt;&gt;"",I303&lt;&gt;""),3,IF(F303&lt;&gt;"",2,1)))))</x:f>
        <x:v>T5</x:v>
      </x:c>
      <x:c r="U303" s="24" t="str">
        <x:v>VRM Games</x:v>
      </x:c>
      <x:c r="V303" s="24" t="str">
        <x:v>No se detectó proveedor externo en la ruta; confirmar autoría por lote antes de release público.</x:v>
      </x:c>
    </x:row>
    <x:row r="304" ht="34" customHeight="1">
      <x:c r="A304" s="24" t="str">
        <x:v>TRC-00300</x:v>
      </x:c>
      <x:c r="B304" s="24" t="str">
        <x:v>09e87872e6eb4d619889174f541587f8</x:v>
      </x:c>
      <x:c r="C304" s="24" t="str">
        <x:v>DisplayReturnStockResult.cs</x:v>
      </x:c>
      <x:c r="D304" s="24" t="str">
        <x:v>Code</x:v>
      </x:c>
      <x:c r="E304" s="24" t="str">
        <x:v>03_Assets_Internos</x:v>
      </x:c>
      <x:c r="F304" s="24" t="str">
        <x:v>INT-0300</x:v>
      </x:c>
      <x:c r="G304" s="24" t="str">
        <x:v>VRM Games / Blas Luis Rocha González</x:v>
      </x:c>
      <x:c r="H304" s="24" t="str">
        <x:v>Internal project IP / authorship claim</x:v>
      </x:c>
      <x:c r="I304" s="24" t="str">
        <x:v>Source package + repository path + hash</x:v>
      </x:c>
      <x:c r="J304" s="24" t="str">
        <x:v>91be410e2edc0b3d85a51250985b4c8550b4eb98f657cb8b33de06a88c576324</x:v>
      </x:c>
      <x:c r="K304" s="24" t="str">
        <x:v>Assets/_Project/Scripts/Application/Displays/DisplayReturnStockResult.cs</x:v>
      </x:c>
      <x:c r="L304" s="24" t="str">
        <x:v>CR-003</x:v>
      </x:c>
      <x:c r="M304" s="24" t="str"/>
      <x:c r="N304" s="24" t="str">
        <x:v>RES-001;RES-014</x:v>
      </x:c>
      <x:c r="O304" s="24" t="str">
        <x:v>Internal development; public candidate requires gate</x:v>
      </x:c>
      <x:c r="P304" s="24" t="str">
        <x:v>CONDITIONALLY APPROVED</x:v>
      </x:c>
      <x:c r="Q304" s="24" t="str">
        <x:v>Low</x:v>
      </x:c>
      <x:c r="R304" s="24" t="str"/>
      <x:c r="S304" s="24" t="str">
        <x:v>Sí</x:v>
      </x:c>
      <x:c r="T304" s="24" t="str">
        <x:f>"T"&amp;IF(AND(H304&lt;&gt;"",I304&lt;&gt;"",J304&lt;&gt;"",L304&lt;&gt;"",N304&lt;&gt;"",O304&lt;&gt;"",P304="APPROVED PUBLIC",S304="Sí"),6,IF(AND(H304&lt;&gt;"",I304&lt;&gt;"",J304&lt;&gt;"",L304&lt;&gt;"",N304&lt;&gt;"",O304&lt;&gt;"",P304&lt;&gt;"",S304="Sí"),5,IF(AND(H304&lt;&gt;"",I304&lt;&gt;"",P304&lt;&gt;"",S304&lt;&gt;"No"),4,IF(AND(H304&lt;&gt;"",I304&lt;&gt;""),3,IF(F304&lt;&gt;"",2,1)))))</x:f>
        <x:v>T5</x:v>
      </x:c>
      <x:c r="U304" s="24" t="str">
        <x:v>VRM Games</x:v>
      </x:c>
      <x:c r="V304" s="24" t="str">
        <x:v>No se detectó proveedor externo en la ruta; confirmar autoría por lote antes de release público.</x:v>
      </x:c>
    </x:row>
    <x:row r="305" ht="34" customHeight="1">
      <x:c r="A305" s="24" t="str">
        <x:v>TRC-00301</x:v>
      </x:c>
      <x:c r="B305" s="24" t="str">
        <x:v>22cae9906f6247059a2748595d1966da</x:v>
      </x:c>
      <x:c r="C305" s="24" t="str">
        <x:v>DisplayReturnStockService.cs</x:v>
      </x:c>
      <x:c r="D305" s="24" t="str">
        <x:v>Code</x:v>
      </x:c>
      <x:c r="E305" s="24" t="str">
        <x:v>03_Assets_Internos</x:v>
      </x:c>
      <x:c r="F305" s="24" t="str">
        <x:v>INT-0301</x:v>
      </x:c>
      <x:c r="G305" s="24" t="str">
        <x:v>VRM Games / Blas Luis Rocha González</x:v>
      </x:c>
      <x:c r="H305" s="24" t="str">
        <x:v>Internal project IP / authorship claim</x:v>
      </x:c>
      <x:c r="I305" s="24" t="str">
        <x:v>Source package + repository path + hash</x:v>
      </x:c>
      <x:c r="J305" s="24" t="str">
        <x:v>ccb0026a7cfa9f25a51a88f7bc47b87f07a7bc4d6cebe288f70b26b463a7d490</x:v>
      </x:c>
      <x:c r="K305" s="24" t="str">
        <x:v>Assets/_Project/Scripts/Application/Displays/DisplayReturnStockService.cs</x:v>
      </x:c>
      <x:c r="L305" s="24" t="str">
        <x:v>CR-003</x:v>
      </x:c>
      <x:c r="M305" s="24" t="str"/>
      <x:c r="N305" s="24" t="str">
        <x:v>RES-001;RES-014</x:v>
      </x:c>
      <x:c r="O305" s="24" t="str">
        <x:v>Internal development; public candidate requires gate</x:v>
      </x:c>
      <x:c r="P305" s="24" t="str">
        <x:v>CONDITIONALLY APPROVED</x:v>
      </x:c>
      <x:c r="Q305" s="24" t="str">
        <x:v>Low</x:v>
      </x:c>
      <x:c r="R305" s="24" t="str"/>
      <x:c r="S305" s="24" t="str">
        <x:v>Sí</x:v>
      </x:c>
      <x:c r="T305" s="24" t="str">
        <x:f>"T"&amp;IF(AND(H305&lt;&gt;"",I305&lt;&gt;"",J305&lt;&gt;"",L305&lt;&gt;"",N305&lt;&gt;"",O305&lt;&gt;"",P305="APPROVED PUBLIC",S305="Sí"),6,IF(AND(H305&lt;&gt;"",I305&lt;&gt;"",J305&lt;&gt;"",L305&lt;&gt;"",N305&lt;&gt;"",O305&lt;&gt;"",P305&lt;&gt;"",S305="Sí"),5,IF(AND(H305&lt;&gt;"",I305&lt;&gt;"",P305&lt;&gt;"",S305&lt;&gt;"No"),4,IF(AND(H305&lt;&gt;"",I305&lt;&gt;""),3,IF(F305&lt;&gt;"",2,1)))))</x:f>
        <x:v>T5</x:v>
      </x:c>
      <x:c r="U305" s="24" t="str">
        <x:v>VRM Games</x:v>
      </x:c>
      <x:c r="V305" s="24" t="str">
        <x:v>No se detectó proveedor externo en la ruta; confirmar autoría por lote antes de release público.</x:v>
      </x:c>
    </x:row>
    <x:row r="306" ht="34" customHeight="1">
      <x:c r="A306" s="24" t="str">
        <x:v>TRC-00302</x:v>
      </x:c>
      <x:c r="B306" s="24" t="str">
        <x:v>c4b27336deba4fe7bdba4a1cac88e945</x:v>
      </x:c>
      <x:c r="C306" s="24" t="str">
        <x:v>CheckoutEconomyService.cs</x:v>
      </x:c>
      <x:c r="D306" s="24" t="str">
        <x:v>Code</x:v>
      </x:c>
      <x:c r="E306" s="24" t="str">
        <x:v>03_Assets_Internos</x:v>
      </x:c>
      <x:c r="F306" s="24" t="str">
        <x:v>INT-0302</x:v>
      </x:c>
      <x:c r="G306" s="24" t="str">
        <x:v>VRM Games / Blas Luis Rocha González</x:v>
      </x:c>
      <x:c r="H306" s="24" t="str">
        <x:v>Internal project IP / authorship claim</x:v>
      </x:c>
      <x:c r="I306" s="24" t="str">
        <x:v>Source package + repository path + hash</x:v>
      </x:c>
      <x:c r="J306" s="24" t="str">
        <x:v>82eae9476c017c52889506b857418c411d07a4bfbca47d2062fbf47a1167f5af</x:v>
      </x:c>
      <x:c r="K306" s="24" t="str">
        <x:v>Assets/_Project/Scripts/Application/Economy/CheckoutEconomyService.cs</x:v>
      </x:c>
      <x:c r="L306" s="24" t="str">
        <x:v>CR-003</x:v>
      </x:c>
      <x:c r="M306" s="24" t="str"/>
      <x:c r="N306" s="24" t="str">
        <x:v>RES-001;RES-014</x:v>
      </x:c>
      <x:c r="O306" s="24" t="str">
        <x:v>Internal development; public candidate requires gate</x:v>
      </x:c>
      <x:c r="P306" s="24" t="str">
        <x:v>CONDITIONALLY APPROVED</x:v>
      </x:c>
      <x:c r="Q306" s="24" t="str">
        <x:v>Low</x:v>
      </x:c>
      <x:c r="R306" s="24" t="str"/>
      <x:c r="S306" s="24" t="str">
        <x:v>Sí</x:v>
      </x:c>
      <x:c r="T306" s="24" t="str">
        <x:f>"T"&amp;IF(AND(H306&lt;&gt;"",I306&lt;&gt;"",J306&lt;&gt;"",L306&lt;&gt;"",N306&lt;&gt;"",O306&lt;&gt;"",P306="APPROVED PUBLIC",S306="Sí"),6,IF(AND(H306&lt;&gt;"",I306&lt;&gt;"",J306&lt;&gt;"",L306&lt;&gt;"",N306&lt;&gt;"",O306&lt;&gt;"",P306&lt;&gt;"",S306="Sí"),5,IF(AND(H306&lt;&gt;"",I306&lt;&gt;"",P306&lt;&gt;"",S306&lt;&gt;"No"),4,IF(AND(H306&lt;&gt;"",I306&lt;&gt;""),3,IF(F306&lt;&gt;"",2,1)))))</x:f>
        <x:v>T5</x:v>
      </x:c>
      <x:c r="U306" s="24" t="str">
        <x:v>VRM Games</x:v>
      </x:c>
      <x:c r="V306" s="24" t="str">
        <x:v>No se detectó proveedor externo en la ruta; confirmar autoría por lote antes de release público.</x:v>
      </x:c>
    </x:row>
    <x:row r="307" ht="34" customHeight="1">
      <x:c r="A307" s="24" t="str">
        <x:v>TRC-00303</x:v>
      </x:c>
      <x:c r="B307" s="24" t="str">
        <x:v>b6ddc5c1ac2e4cc99ba19d2a5f46c60f</x:v>
      </x:c>
      <x:c r="C307" s="24" t="str">
        <x:v>DailyResultsService.cs</x:v>
      </x:c>
      <x:c r="D307" s="24" t="str">
        <x:v>Code</x:v>
      </x:c>
      <x:c r="E307" s="24" t="str">
        <x:v>03_Assets_Internos</x:v>
      </x:c>
      <x:c r="F307" s="24" t="str">
        <x:v>INT-0303</x:v>
      </x:c>
      <x:c r="G307" s="24" t="str">
        <x:v>VRM Games / Blas Luis Rocha González</x:v>
      </x:c>
      <x:c r="H307" s="24" t="str">
        <x:v>Internal project IP / authorship claim</x:v>
      </x:c>
      <x:c r="I307" s="24" t="str">
        <x:v>Source package + repository path + hash</x:v>
      </x:c>
      <x:c r="J307" s="24" t="str">
        <x:v>04887b7ddff02df5c8b03a002331aa3918221837fe73a65e39e298ec8e995647</x:v>
      </x:c>
      <x:c r="K307" s="24" t="str">
        <x:v>Assets/_Project/Scripts/Application/Economy/DailyResultsService.cs</x:v>
      </x:c>
      <x:c r="L307" s="24" t="str">
        <x:v>CR-003</x:v>
      </x:c>
      <x:c r="M307" s="24" t="str"/>
      <x:c r="N307" s="24" t="str">
        <x:v>RES-001;RES-014</x:v>
      </x:c>
      <x:c r="O307" s="24" t="str">
        <x:v>Internal development; public candidate requires gate</x:v>
      </x:c>
      <x:c r="P307" s="24" t="str">
        <x:v>CONDITIONALLY APPROVED</x:v>
      </x:c>
      <x:c r="Q307" s="24" t="str">
        <x:v>Low</x:v>
      </x:c>
      <x:c r="R307" s="24" t="str"/>
      <x:c r="S307" s="24" t="str">
        <x:v>Sí</x:v>
      </x:c>
      <x:c r="T307" s="24" t="str">
        <x:f>"T"&amp;IF(AND(H307&lt;&gt;"",I307&lt;&gt;"",J307&lt;&gt;"",L307&lt;&gt;"",N307&lt;&gt;"",O307&lt;&gt;"",P307="APPROVED PUBLIC",S307="Sí"),6,IF(AND(H307&lt;&gt;"",I307&lt;&gt;"",J307&lt;&gt;"",L307&lt;&gt;"",N307&lt;&gt;"",O307&lt;&gt;"",P307&lt;&gt;"",S307="Sí"),5,IF(AND(H307&lt;&gt;"",I307&lt;&gt;"",P307&lt;&gt;"",S307&lt;&gt;"No"),4,IF(AND(H307&lt;&gt;"",I307&lt;&gt;""),3,IF(F307&lt;&gt;"",2,1)))))</x:f>
        <x:v>T5</x:v>
      </x:c>
      <x:c r="U307" s="24" t="str">
        <x:v>VRM Games</x:v>
      </x:c>
      <x:c r="V307" s="24" t="str">
        <x:v>No se detectó proveedor externo en la ruta; confirmar autoría por lote antes de release público.</x:v>
      </x:c>
    </x:row>
    <x:row r="308" ht="34" customHeight="1">
      <x:c r="A308" s="24" t="str">
        <x:v>TRC-00304</x:v>
      </x:c>
      <x:c r="B308" s="24" t="str">
        <x:v>f0b0d1eaa4a0494383e61a6071eb669f</x:v>
      </x:c>
      <x:c r="C308" s="24" t="str">
        <x:v>SupplierReceivingEconomyService.cs</x:v>
      </x:c>
      <x:c r="D308" s="24" t="str">
        <x:v>Code</x:v>
      </x:c>
      <x:c r="E308" s="24" t="str">
        <x:v>03_Assets_Internos</x:v>
      </x:c>
      <x:c r="F308" s="24" t="str">
        <x:v>INT-0304</x:v>
      </x:c>
      <x:c r="G308" s="24" t="str">
        <x:v>VRM Games / Blas Luis Rocha González</x:v>
      </x:c>
      <x:c r="H308" s="24" t="str">
        <x:v>Internal project IP / authorship claim</x:v>
      </x:c>
      <x:c r="I308" s="24" t="str">
        <x:v>Source package + repository path + hash</x:v>
      </x:c>
      <x:c r="J308" s="24" t="str">
        <x:v>cb8f09ec686130208bb73925d9d35d5c912746dc3cd7b2c83e5577cdcde84231</x:v>
      </x:c>
      <x:c r="K308" s="24" t="str">
        <x:v>Assets/_Project/Scripts/Application/Economy/SupplierReceivingEconomyService.cs</x:v>
      </x:c>
      <x:c r="L308" s="24" t="str">
        <x:v>CR-003</x:v>
      </x:c>
      <x:c r="M308" s="24" t="str"/>
      <x:c r="N308" s="24" t="str">
        <x:v>RES-001;RES-014</x:v>
      </x:c>
      <x:c r="O308" s="24" t="str">
        <x:v>Internal development; public candidate requires gate</x:v>
      </x:c>
      <x:c r="P308" s="24" t="str">
        <x:v>CONDITIONALLY APPROVED</x:v>
      </x:c>
      <x:c r="Q308" s="24" t="str">
        <x:v>Low</x:v>
      </x:c>
      <x:c r="R308" s="24" t="str"/>
      <x:c r="S308" s="24" t="str">
        <x:v>Sí</x:v>
      </x:c>
      <x:c r="T308" s="24" t="str">
        <x:f>"T"&amp;IF(AND(H308&lt;&gt;"",I308&lt;&gt;"",J308&lt;&gt;"",L308&lt;&gt;"",N308&lt;&gt;"",O308&lt;&gt;"",P308="APPROVED PUBLIC",S308="Sí"),6,IF(AND(H308&lt;&gt;"",I308&lt;&gt;"",J308&lt;&gt;"",L308&lt;&gt;"",N308&lt;&gt;"",O308&lt;&gt;"",P308&lt;&gt;"",S308="Sí"),5,IF(AND(H308&lt;&gt;"",I308&lt;&gt;"",P308&lt;&gt;"",S308&lt;&gt;"No"),4,IF(AND(H308&lt;&gt;"",I308&lt;&gt;""),3,IF(F308&lt;&gt;"",2,1)))))</x:f>
        <x:v>T5</x:v>
      </x:c>
      <x:c r="U308" s="24" t="str">
        <x:v>VRM Games</x:v>
      </x:c>
      <x:c r="V308" s="24" t="str">
        <x:v>No se detectó proveedor externo en la ruta; confirmar autoría por lote antes de release público.</x:v>
      </x:c>
    </x:row>
    <x:row r="309" ht="34" customHeight="1">
      <x:c r="A309" s="24" t="str">
        <x:v>TRC-00305</x:v>
      </x:c>
      <x:c r="B309" s="24" t="str">
        <x:v>0a013daec62b40d18f9442bd1015ec2f</x:v>
      </x:c>
      <x:c r="C309" s="24" t="str">
        <x:v>GameSessionOperationResult.cs</x:v>
      </x:c>
      <x:c r="D309" s="24" t="str">
        <x:v>Code</x:v>
      </x:c>
      <x:c r="E309" s="24" t="str">
        <x:v>03_Assets_Internos</x:v>
      </x:c>
      <x:c r="F309" s="24" t="str">
        <x:v>INT-0305</x:v>
      </x:c>
      <x:c r="G309" s="24" t="str">
        <x:v>VRM Games / Blas Luis Rocha González</x:v>
      </x:c>
      <x:c r="H309" s="24" t="str">
        <x:v>Internal project IP / authorship claim</x:v>
      </x:c>
      <x:c r="I309" s="24" t="str">
        <x:v>Source package + repository path + hash</x:v>
      </x:c>
      <x:c r="J309" s="24" t="str">
        <x:v>e356abfc9b4db65c03d6f249595302546415ec33bbcca2f1baf2606ceea9a4b6</x:v>
      </x:c>
      <x:c r="K309" s="24" t="str">
        <x:v>Assets/_Project/Scripts/Application/GameSession/GameSessionOperationResult.cs</x:v>
      </x:c>
      <x:c r="L309" s="24" t="str">
        <x:v>CR-003</x:v>
      </x:c>
      <x:c r="M309" s="24" t="str"/>
      <x:c r="N309" s="24" t="str">
        <x:v>RES-001;RES-014</x:v>
      </x:c>
      <x:c r="O309" s="24" t="str">
        <x:v>Internal development; public candidate requires gate</x:v>
      </x:c>
      <x:c r="P309" s="24" t="str">
        <x:v>CONDITIONALLY APPROVED</x:v>
      </x:c>
      <x:c r="Q309" s="24" t="str">
        <x:v>Low</x:v>
      </x:c>
      <x:c r="R309" s="24" t="str"/>
      <x:c r="S309" s="24" t="str">
        <x:v>Sí</x:v>
      </x:c>
      <x:c r="T309" s="24" t="str">
        <x:f>"T"&amp;IF(AND(H309&lt;&gt;"",I309&lt;&gt;"",J309&lt;&gt;"",L309&lt;&gt;"",N309&lt;&gt;"",O309&lt;&gt;"",P309="APPROVED PUBLIC",S309="Sí"),6,IF(AND(H309&lt;&gt;"",I309&lt;&gt;"",J309&lt;&gt;"",L309&lt;&gt;"",N309&lt;&gt;"",O309&lt;&gt;"",P309&lt;&gt;"",S309="Sí"),5,IF(AND(H309&lt;&gt;"",I309&lt;&gt;"",P309&lt;&gt;"",S309&lt;&gt;"No"),4,IF(AND(H309&lt;&gt;"",I309&lt;&gt;""),3,IF(F309&lt;&gt;"",2,1)))))</x:f>
        <x:v>T5</x:v>
      </x:c>
      <x:c r="U309" s="24" t="str">
        <x:v>VRM Games</x:v>
      </x:c>
      <x:c r="V309" s="24" t="str">
        <x:v>No se detectó proveedor externo en la ruta; confirmar autoría por lote antes de release público.</x:v>
      </x:c>
    </x:row>
    <x:row r="310" ht="34" customHeight="1">
      <x:c r="A310" s="24" t="str">
        <x:v>TRC-00306</x:v>
      </x:c>
      <x:c r="B310" s="24" t="str">
        <x:v>560c5b21fbc443d48126b7ec75315bec</x:v>
      </x:c>
      <x:c r="C310" s="24" t="str">
        <x:v>GameSessionService.cs</x:v>
      </x:c>
      <x:c r="D310" s="24" t="str">
        <x:v>Code</x:v>
      </x:c>
      <x:c r="E310" s="24" t="str">
        <x:v>03_Assets_Internos</x:v>
      </x:c>
      <x:c r="F310" s="24" t="str">
        <x:v>INT-0306</x:v>
      </x:c>
      <x:c r="G310" s="24" t="str">
        <x:v>VRM Games / Blas Luis Rocha González</x:v>
      </x:c>
      <x:c r="H310" s="24" t="str">
        <x:v>Internal project IP / authorship claim</x:v>
      </x:c>
      <x:c r="I310" s="24" t="str">
        <x:v>Source package + repository path + hash</x:v>
      </x:c>
      <x:c r="J310" s="24" t="str">
        <x:v>10873283126582cbc1dbc53a9ec1a8513c4956d9acec37bcabcac94738c9f868</x:v>
      </x:c>
      <x:c r="K310" s="24" t="str">
        <x:v>Assets/_Project/Scripts/Application/GameSession/GameSessionService.cs</x:v>
      </x:c>
      <x:c r="L310" s="24" t="str">
        <x:v>CR-003</x:v>
      </x:c>
      <x:c r="M310" s="24" t="str"/>
      <x:c r="N310" s="24" t="str">
        <x:v>RES-001;RES-014</x:v>
      </x:c>
      <x:c r="O310" s="24" t="str">
        <x:v>Internal development; public candidate requires gate</x:v>
      </x:c>
      <x:c r="P310" s="24" t="str">
        <x:v>CONDITIONALLY APPROVED</x:v>
      </x:c>
      <x:c r="Q310" s="24" t="str">
        <x:v>Low</x:v>
      </x:c>
      <x:c r="R310" s="24" t="str"/>
      <x:c r="S310" s="24" t="str">
        <x:v>Sí</x:v>
      </x:c>
      <x:c r="T310" s="24" t="str">
        <x:f>"T"&amp;IF(AND(H310&lt;&gt;"",I310&lt;&gt;"",J310&lt;&gt;"",L310&lt;&gt;"",N310&lt;&gt;"",O310&lt;&gt;"",P310="APPROVED PUBLIC",S310="Sí"),6,IF(AND(H310&lt;&gt;"",I310&lt;&gt;"",J310&lt;&gt;"",L310&lt;&gt;"",N310&lt;&gt;"",O310&lt;&gt;"",P310&lt;&gt;"",S310="Sí"),5,IF(AND(H310&lt;&gt;"",I310&lt;&gt;"",P310&lt;&gt;"",S310&lt;&gt;"No"),4,IF(AND(H310&lt;&gt;"",I310&lt;&gt;""),3,IF(F310&lt;&gt;"",2,1)))))</x:f>
        <x:v>T5</x:v>
      </x:c>
      <x:c r="U310" s="24" t="str">
        <x:v>VRM Games</x:v>
      </x:c>
      <x:c r="V310" s="24" t="str">
        <x:v>No se detectó proveedor externo en la ruta; confirmar autoría por lote antes de release público.</x:v>
      </x:c>
    </x:row>
    <x:row r="311" ht="34" customHeight="1">
      <x:c r="A311" s="24" t="str">
        <x:v>TRC-00307</x:v>
      </x:c>
      <x:c r="B311" s="24" t="str">
        <x:v>d47186a7f66244809c6caa11e17d4bc9</x:v>
      </x:c>
      <x:c r="C311" s="24" t="str">
        <x:v>IGameSessionConsumer.cs</x:v>
      </x:c>
      <x:c r="D311" s="24" t="str">
        <x:v>Code</x:v>
      </x:c>
      <x:c r="E311" s="24" t="str">
        <x:v>03_Assets_Internos</x:v>
      </x:c>
      <x:c r="F311" s="24" t="str">
        <x:v>INT-0307</x:v>
      </x:c>
      <x:c r="G311" s="24" t="str">
        <x:v>VRM Games / Blas Luis Rocha González</x:v>
      </x:c>
      <x:c r="H311" s="24" t="str">
        <x:v>Internal project IP / authorship claim</x:v>
      </x:c>
      <x:c r="I311" s="24" t="str">
        <x:v>Source package + repository path + hash</x:v>
      </x:c>
      <x:c r="J311" s="24" t="str">
        <x:v>19295e97db9dd129301eb841c66558d667f3e69ce580527e70e24919a3b7a822</x:v>
      </x:c>
      <x:c r="K311" s="24" t="str">
        <x:v>Assets/_Project/Scripts/Application/GameSession/IGameSessionConsumer.cs</x:v>
      </x:c>
      <x:c r="L311" s="24" t="str">
        <x:v>CR-003</x:v>
      </x:c>
      <x:c r="M311" s="24" t="str"/>
      <x:c r="N311" s="24" t="str">
        <x:v>RES-001;RES-014</x:v>
      </x:c>
      <x:c r="O311" s="24" t="str">
        <x:v>Internal development; public candidate requires gate</x:v>
      </x:c>
      <x:c r="P311" s="24" t="str">
        <x:v>CONDITIONALLY APPROVED</x:v>
      </x:c>
      <x:c r="Q311" s="24" t="str">
        <x:v>Low</x:v>
      </x:c>
      <x:c r="R311" s="24" t="str"/>
      <x:c r="S311" s="24" t="str">
        <x:v>Sí</x:v>
      </x:c>
      <x:c r="T311" s="24" t="str">
        <x:f>"T"&amp;IF(AND(H311&lt;&gt;"",I311&lt;&gt;"",J311&lt;&gt;"",L311&lt;&gt;"",N311&lt;&gt;"",O311&lt;&gt;"",P311="APPROVED PUBLIC",S311="Sí"),6,IF(AND(H311&lt;&gt;"",I311&lt;&gt;"",J311&lt;&gt;"",L311&lt;&gt;"",N311&lt;&gt;"",O311&lt;&gt;"",P311&lt;&gt;"",S311="Sí"),5,IF(AND(H311&lt;&gt;"",I311&lt;&gt;"",P311&lt;&gt;"",S311&lt;&gt;"No"),4,IF(AND(H311&lt;&gt;"",I311&lt;&gt;""),3,IF(F311&lt;&gt;"",2,1)))))</x:f>
        <x:v>T5</x:v>
      </x:c>
      <x:c r="U311" s="24" t="str">
        <x:v>VRM Games</x:v>
      </x:c>
      <x:c r="V311" s="24" t="str">
        <x:v>No se detectó proveedor externo en la ruta; confirmar autoría por lote antes de release público.</x:v>
      </x:c>
    </x:row>
    <x:row r="312" ht="34" customHeight="1">
      <x:c r="A312" s="24" t="str">
        <x:v>TRC-00308</x:v>
      </x:c>
      <x:c r="B312" s="24" t="str">
        <x:v>dd26513922074e348e26f131149e18ce</x:v>
      </x:c>
      <x:c r="C312" s="24" t="str">
        <x:v>IGameSessionService.cs</x:v>
      </x:c>
      <x:c r="D312" s="24" t="str">
        <x:v>Code</x:v>
      </x:c>
      <x:c r="E312" s="24" t="str">
        <x:v>03_Assets_Internos</x:v>
      </x:c>
      <x:c r="F312" s="24" t="str">
        <x:v>INT-0308</x:v>
      </x:c>
      <x:c r="G312" s="24" t="str">
        <x:v>VRM Games / Blas Luis Rocha González</x:v>
      </x:c>
      <x:c r="H312" s="24" t="str">
        <x:v>Internal project IP / authorship claim</x:v>
      </x:c>
      <x:c r="I312" s="24" t="str">
        <x:v>Source package + repository path + hash</x:v>
      </x:c>
      <x:c r="J312" s="24" t="str">
        <x:v>1bfdc24a53a446f11adfc5b95abc0b239b0a3da1568793ac182829bbd9152c6b</x:v>
      </x:c>
      <x:c r="K312" s="24" t="str">
        <x:v>Assets/_Project/Scripts/Application/GameSession/IGameSessionService.cs</x:v>
      </x:c>
      <x:c r="L312" s="24" t="str">
        <x:v>CR-003</x:v>
      </x:c>
      <x:c r="M312" s="24" t="str"/>
      <x:c r="N312" s="24" t="str">
        <x:v>RES-001;RES-014</x:v>
      </x:c>
      <x:c r="O312" s="24" t="str">
        <x:v>Internal development; public candidate requires gate</x:v>
      </x:c>
      <x:c r="P312" s="24" t="str">
        <x:v>CONDITIONALLY APPROVED</x:v>
      </x:c>
      <x:c r="Q312" s="24" t="str">
        <x:v>Low</x:v>
      </x:c>
      <x:c r="R312" s="24" t="str"/>
      <x:c r="S312" s="24" t="str">
        <x:v>Sí</x:v>
      </x:c>
      <x:c r="T312" s="24" t="str">
        <x:f>"T"&amp;IF(AND(H312&lt;&gt;"",I312&lt;&gt;"",J312&lt;&gt;"",L312&lt;&gt;"",N312&lt;&gt;"",O312&lt;&gt;"",P312="APPROVED PUBLIC",S312="Sí"),6,IF(AND(H312&lt;&gt;"",I312&lt;&gt;"",J312&lt;&gt;"",L312&lt;&gt;"",N312&lt;&gt;"",O312&lt;&gt;"",P312&lt;&gt;"",S312="Sí"),5,IF(AND(H312&lt;&gt;"",I312&lt;&gt;"",P312&lt;&gt;"",S312&lt;&gt;"No"),4,IF(AND(H312&lt;&gt;"",I312&lt;&gt;""),3,IF(F312&lt;&gt;"",2,1)))))</x:f>
        <x:v>T5</x:v>
      </x:c>
      <x:c r="U312" s="24" t="str">
        <x:v>VRM Games</x:v>
      </x:c>
      <x:c r="V312" s="24" t="str">
        <x:v>No se detectó proveedor externo en la ruta; confirmar autoría por lote antes de release público.</x:v>
      </x:c>
    </x:row>
    <x:row r="313" ht="34" customHeight="1">
      <x:c r="A313" s="24" t="str">
        <x:v>TRC-00309</x:v>
      </x:c>
      <x:c r="B313" s="24" t="str">
        <x:v>b41c61ee07164c4cace6ed50aca5a281</x:v>
      </x:c>
      <x:c r="C313" s="24" t="str">
        <x:v>ISaveGameRepository.cs</x:v>
      </x:c>
      <x:c r="D313" s="24" t="str">
        <x:v>Code</x:v>
      </x:c>
      <x:c r="E313" s="24" t="str">
        <x:v>03_Assets_Internos</x:v>
      </x:c>
      <x:c r="F313" s="24" t="str">
        <x:v>INT-0309</x:v>
      </x:c>
      <x:c r="G313" s="24" t="str">
        <x:v>VRM Games / Blas Luis Rocha González</x:v>
      </x:c>
      <x:c r="H313" s="24" t="str">
        <x:v>Internal project IP / authorship claim</x:v>
      </x:c>
      <x:c r="I313" s="24" t="str">
        <x:v>Source package + repository path + hash</x:v>
      </x:c>
      <x:c r="J313" s="24" t="str">
        <x:v>091f37105cf8a73fd6a432d16ed1f36f1f84d09b8c1dffa63bfa42b13d668ae9</x:v>
      </x:c>
      <x:c r="K313" s="24" t="str">
        <x:v>Assets/_Project/Scripts/Application/GameSession/ISaveGameRepository.cs</x:v>
      </x:c>
      <x:c r="L313" s="24" t="str">
        <x:v>CR-003</x:v>
      </x:c>
      <x:c r="M313" s="24" t="str"/>
      <x:c r="N313" s="24" t="str">
        <x:v>RES-001;RES-014</x:v>
      </x:c>
      <x:c r="O313" s="24" t="str">
        <x:v>Internal development; public candidate requires gate</x:v>
      </x:c>
      <x:c r="P313" s="24" t="str">
        <x:v>CONDITIONALLY APPROVED</x:v>
      </x:c>
      <x:c r="Q313" s="24" t="str">
        <x:v>Low</x:v>
      </x:c>
      <x:c r="R313" s="24" t="str"/>
      <x:c r="S313" s="24" t="str">
        <x:v>Sí</x:v>
      </x:c>
      <x:c r="T313" s="24" t="str">
        <x:f>"T"&amp;IF(AND(H313&lt;&gt;"",I313&lt;&gt;"",J313&lt;&gt;"",L313&lt;&gt;"",N313&lt;&gt;"",O313&lt;&gt;"",P313="APPROVED PUBLIC",S313="Sí"),6,IF(AND(H313&lt;&gt;"",I313&lt;&gt;"",J313&lt;&gt;"",L313&lt;&gt;"",N313&lt;&gt;"",O313&lt;&gt;"",P313&lt;&gt;"",S313="Sí"),5,IF(AND(H313&lt;&gt;"",I313&lt;&gt;"",P313&lt;&gt;"",S313&lt;&gt;"No"),4,IF(AND(H313&lt;&gt;"",I313&lt;&gt;""),3,IF(F313&lt;&gt;"",2,1)))))</x:f>
        <x:v>T5</x:v>
      </x:c>
      <x:c r="U313" s="24" t="str">
        <x:v>VRM Games</x:v>
      </x:c>
      <x:c r="V313" s="24" t="str">
        <x:v>No se detectó proveedor externo en la ruta; confirmar autoría por lote antes de release público.</x:v>
      </x:c>
    </x:row>
    <x:row r="314" ht="34" customHeight="1">
      <x:c r="A314" s="24" t="str">
        <x:v>TRC-00310</x:v>
      </x:c>
      <x:c r="B314" s="24" t="str">
        <x:v>50bdbdde667240cbb891992880f24af6</x:v>
      </x:c>
      <x:c r="C314" s="24" t="str">
        <x:v>IUtcClock.cs</x:v>
      </x:c>
      <x:c r="D314" s="24" t="str">
        <x:v>Code</x:v>
      </x:c>
      <x:c r="E314" s="24" t="str">
        <x:v>03_Assets_Internos</x:v>
      </x:c>
      <x:c r="F314" s="24" t="str">
        <x:v>INT-0310</x:v>
      </x:c>
      <x:c r="G314" s="24" t="str">
        <x:v>VRM Games / Blas Luis Rocha González</x:v>
      </x:c>
      <x:c r="H314" s="24" t="str">
        <x:v>Internal project IP / authorship claim</x:v>
      </x:c>
      <x:c r="I314" s="24" t="str">
        <x:v>Source package + repository path + hash</x:v>
      </x:c>
      <x:c r="J314" s="24" t="str">
        <x:v>ceefbbd95f0a96e4d49c6b00fc913494c2cff88716e858f4c385efb6ead4a70d</x:v>
      </x:c>
      <x:c r="K314" s="24" t="str">
        <x:v>Assets/_Project/Scripts/Application/GameSession/IUtcClock.cs</x:v>
      </x:c>
      <x:c r="L314" s="24" t="str">
        <x:v>CR-003</x:v>
      </x:c>
      <x:c r="M314" s="24" t="str"/>
      <x:c r="N314" s="24" t="str">
        <x:v>RES-001;RES-014</x:v>
      </x:c>
      <x:c r="O314" s="24" t="str">
        <x:v>Internal development; public candidate requires gate</x:v>
      </x:c>
      <x:c r="P314" s="24" t="str">
        <x:v>CONDITIONALLY APPROVED</x:v>
      </x:c>
      <x:c r="Q314" s="24" t="str">
        <x:v>Low</x:v>
      </x:c>
      <x:c r="R314" s="24" t="str"/>
      <x:c r="S314" s="24" t="str">
        <x:v>Sí</x:v>
      </x:c>
      <x:c r="T314" s="24" t="str">
        <x:f>"T"&amp;IF(AND(H314&lt;&gt;"",I314&lt;&gt;"",J314&lt;&gt;"",L314&lt;&gt;"",N314&lt;&gt;"",O314&lt;&gt;"",P314="APPROVED PUBLIC",S314="Sí"),6,IF(AND(H314&lt;&gt;"",I314&lt;&gt;"",J314&lt;&gt;"",L314&lt;&gt;"",N314&lt;&gt;"",O314&lt;&gt;"",P314&lt;&gt;"",S314="Sí"),5,IF(AND(H314&lt;&gt;"",I314&lt;&gt;"",P314&lt;&gt;"",S314&lt;&gt;"No"),4,IF(AND(H314&lt;&gt;"",I314&lt;&gt;""),3,IF(F314&lt;&gt;"",2,1)))))</x:f>
        <x:v>T5</x:v>
      </x:c>
      <x:c r="U314" s="24" t="str">
        <x:v>VRM Games</x:v>
      </x:c>
      <x:c r="V314" s="24" t="str">
        <x:v>No se detectó proveedor externo en la ruta; confirmar autoría por lote antes de release público.</x:v>
      </x:c>
    </x:row>
    <x:row r="315" ht="34" customHeight="1">
      <x:c r="A315" s="24" t="str">
        <x:v>TRC-00311</x:v>
      </x:c>
      <x:c r="B315" s="24" t="str">
        <x:v>a088ce7bf16f408cbe023e4cb9bd281d</x:v>
      </x:c>
      <x:c r="C315" s="24" t="str">
        <x:v>GridProjectionCalculator.cs</x:v>
      </x:c>
      <x:c r="D315" s="24" t="str">
        <x:v>Code</x:v>
      </x:c>
      <x:c r="E315" s="24" t="str">
        <x:v>03_Assets_Internos</x:v>
      </x:c>
      <x:c r="F315" s="24" t="str">
        <x:v>INT-0311</x:v>
      </x:c>
      <x:c r="G315" s="24" t="str">
        <x:v>VRM Games / Blas Luis Rocha González</x:v>
      </x:c>
      <x:c r="H315" s="24" t="str">
        <x:v>Internal project IP / authorship claim</x:v>
      </x:c>
      <x:c r="I315" s="24" t="str">
        <x:v>Source package + repository path + hash</x:v>
      </x:c>
      <x:c r="J315" s="24" t="str">
        <x:v>50e27902ce08bab6e419e3ecb3ab5fb4d25f61402488a84172cf573f01ac2eb2</x:v>
      </x:c>
      <x:c r="K315" s="24" t="str">
        <x:v>Assets/_Project/Scripts/Application/Grid/GridProjectionCalculator.cs</x:v>
      </x:c>
      <x:c r="L315" s="24" t="str">
        <x:v>CR-003</x:v>
      </x:c>
      <x:c r="M315" s="24" t="str"/>
      <x:c r="N315" s="24" t="str">
        <x:v>RES-001;RES-014</x:v>
      </x:c>
      <x:c r="O315" s="24" t="str">
        <x:v>Internal development; public candidate requires gate</x:v>
      </x:c>
      <x:c r="P315" s="24" t="str">
        <x:v>CONDITIONALLY APPROVED</x:v>
      </x:c>
      <x:c r="Q315" s="24" t="str">
        <x:v>Low</x:v>
      </x:c>
      <x:c r="R315" s="24" t="str"/>
      <x:c r="S315" s="24" t="str">
        <x:v>Sí</x:v>
      </x:c>
      <x:c r="T315" s="24" t="str">
        <x:f>"T"&amp;IF(AND(H315&lt;&gt;"",I315&lt;&gt;"",J315&lt;&gt;"",L315&lt;&gt;"",N315&lt;&gt;"",O315&lt;&gt;"",P315="APPROVED PUBLIC",S315="Sí"),6,IF(AND(H315&lt;&gt;"",I315&lt;&gt;"",J315&lt;&gt;"",L315&lt;&gt;"",N315&lt;&gt;"",O315&lt;&gt;"",P315&lt;&gt;"",S315="Sí"),5,IF(AND(H315&lt;&gt;"",I315&lt;&gt;"",P315&lt;&gt;"",S315&lt;&gt;"No"),4,IF(AND(H315&lt;&gt;"",I315&lt;&gt;""),3,IF(F315&lt;&gt;"",2,1)))))</x:f>
        <x:v>T5</x:v>
      </x:c>
      <x:c r="U315" s="24" t="str">
        <x:v>VRM Games</x:v>
      </x:c>
      <x:c r="V315" s="24" t="str">
        <x:v>No se detectó proveedor externo en la ruta; confirmar autoría por lote antes de release público.</x:v>
      </x:c>
    </x:row>
    <x:row r="316" ht="34" customHeight="1">
      <x:c r="A316" s="24" t="str">
        <x:v>TRC-00312</x:v>
      </x:c>
      <x:c r="B316" s="24" t="str">
        <x:v>096d1abaaf594004b2898df117f2c6ed</x:v>
      </x:c>
      <x:c r="C316" s="24" t="str">
        <x:v>GridWorldPosition.cs</x:v>
      </x:c>
      <x:c r="D316" s="24" t="str">
        <x:v>Code</x:v>
      </x:c>
      <x:c r="E316" s="24" t="str">
        <x:v>03_Assets_Internos</x:v>
      </x:c>
      <x:c r="F316" s="24" t="str">
        <x:v>INT-0312</x:v>
      </x:c>
      <x:c r="G316" s="24" t="str">
        <x:v>VRM Games / Blas Luis Rocha González</x:v>
      </x:c>
      <x:c r="H316" s="24" t="str">
        <x:v>Internal project IP / authorship claim</x:v>
      </x:c>
      <x:c r="I316" s="24" t="str">
        <x:v>Source package + repository path + hash</x:v>
      </x:c>
      <x:c r="J316" s="24" t="str">
        <x:v>06bee27de53f6838aa12ea2dafa4914ed4274aed5a414f9618e9c1cd97cffef4</x:v>
      </x:c>
      <x:c r="K316" s="24" t="str">
        <x:v>Assets/_Project/Scripts/Application/Grid/GridWorldPosition.cs</x:v>
      </x:c>
      <x:c r="L316" s="24" t="str">
        <x:v>CR-003</x:v>
      </x:c>
      <x:c r="M316" s="24" t="str"/>
      <x:c r="N316" s="24" t="str">
        <x:v>RES-001;RES-014</x:v>
      </x:c>
      <x:c r="O316" s="24" t="str">
        <x:v>Internal development; public candidate requires gate</x:v>
      </x:c>
      <x:c r="P316" s="24" t="str">
        <x:v>CONDITIONALLY APPROVED</x:v>
      </x:c>
      <x:c r="Q316" s="24" t="str">
        <x:v>Low</x:v>
      </x:c>
      <x:c r="R316" s="24" t="str"/>
      <x:c r="S316" s="24" t="str">
        <x:v>Sí</x:v>
      </x:c>
      <x:c r="T316" s="24" t="str">
        <x:f>"T"&amp;IF(AND(H316&lt;&gt;"",I316&lt;&gt;"",J316&lt;&gt;"",L316&lt;&gt;"",N316&lt;&gt;"",O316&lt;&gt;"",P316="APPROVED PUBLIC",S316="Sí"),6,IF(AND(H316&lt;&gt;"",I316&lt;&gt;"",J316&lt;&gt;"",L316&lt;&gt;"",N316&lt;&gt;"",O316&lt;&gt;"",P316&lt;&gt;"",S316="Sí"),5,IF(AND(H316&lt;&gt;"",I316&lt;&gt;"",P316&lt;&gt;"",S316&lt;&gt;"No"),4,IF(AND(H316&lt;&gt;"",I316&lt;&gt;""),3,IF(F316&lt;&gt;"",2,1)))))</x:f>
        <x:v>T5</x:v>
      </x:c>
      <x:c r="U316" s="24" t="str">
        <x:v>VRM Games</x:v>
      </x:c>
      <x:c r="V316" s="24" t="str">
        <x:v>No se detectó proveedor externo en la ruta; confirmar autoría por lote antes de release público.</x:v>
      </x:c>
    </x:row>
    <x:row r="317" ht="34" customHeight="1">
      <x:c r="A317" s="24" t="str">
        <x:v>TRC-00313</x:v>
      </x:c>
      <x:c r="B317" s="24" t="str">
        <x:v>d96fde8c80984deb95f9c223d2f2fd00</x:v>
      </x:c>
      <x:c r="C317" s="24" t="str">
        <x:v>IInputContextConsumer.cs</x:v>
      </x:c>
      <x:c r="D317" s="24" t="str">
        <x:v>Code</x:v>
      </x:c>
      <x:c r="E317" s="24" t="str">
        <x:v>03_Assets_Internos</x:v>
      </x:c>
      <x:c r="F317" s="24" t="str">
        <x:v>INT-0313</x:v>
      </x:c>
      <x:c r="G317" s="24" t="str">
        <x:v>VRM Games / Blas Luis Rocha González</x:v>
      </x:c>
      <x:c r="H317" s="24" t="str">
        <x:v>Internal project IP / authorship claim</x:v>
      </x:c>
      <x:c r="I317" s="24" t="str">
        <x:v>Source package + repository path + hash</x:v>
      </x:c>
      <x:c r="J317" s="24" t="str">
        <x:v>ebacdf7159e7a4449b05fa4230d9c7b41adcdeee07e5e36b82f0a366c541b17e</x:v>
      </x:c>
      <x:c r="K317" s="24" t="str">
        <x:v>Assets/_Project/Scripts/Application/InputContexts/IInputContextConsumer.cs</x:v>
      </x:c>
      <x:c r="L317" s="24" t="str">
        <x:v>CR-003</x:v>
      </x:c>
      <x:c r="M317" s="24" t="str"/>
      <x:c r="N317" s="24" t="str">
        <x:v>RES-001;RES-014</x:v>
      </x:c>
      <x:c r="O317" s="24" t="str">
        <x:v>Internal development; public candidate requires gate</x:v>
      </x:c>
      <x:c r="P317" s="24" t="str">
        <x:v>CONDITIONALLY APPROVED</x:v>
      </x:c>
      <x:c r="Q317" s="24" t="str">
        <x:v>Low</x:v>
      </x:c>
      <x:c r="R317" s="24" t="str"/>
      <x:c r="S317" s="24" t="str">
        <x:v>Sí</x:v>
      </x:c>
      <x:c r="T317" s="24" t="str">
        <x:f>"T"&amp;IF(AND(H317&lt;&gt;"",I317&lt;&gt;"",J317&lt;&gt;"",L317&lt;&gt;"",N317&lt;&gt;"",O317&lt;&gt;"",P317="APPROVED PUBLIC",S317="Sí"),6,IF(AND(H317&lt;&gt;"",I317&lt;&gt;"",J317&lt;&gt;"",L317&lt;&gt;"",N317&lt;&gt;"",O317&lt;&gt;"",P317&lt;&gt;"",S317="Sí"),5,IF(AND(H317&lt;&gt;"",I317&lt;&gt;"",P317&lt;&gt;"",S317&lt;&gt;"No"),4,IF(AND(H317&lt;&gt;"",I317&lt;&gt;""),3,IF(F317&lt;&gt;"",2,1)))))</x:f>
        <x:v>T5</x:v>
      </x:c>
      <x:c r="U317" s="24" t="str">
        <x:v>VRM Games</x:v>
      </x:c>
      <x:c r="V317" s="24" t="str">
        <x:v>No se detectó proveedor externo en la ruta; confirmar autoría por lote antes de release público.</x:v>
      </x:c>
    </x:row>
    <x:row r="318" ht="34" customHeight="1">
      <x:c r="A318" s="24" t="str">
        <x:v>TRC-00314</x:v>
      </x:c>
      <x:c r="B318" s="24" t="str">
        <x:v>d0a8bcd187f14550ace22e593da8c1e0</x:v>
      </x:c>
      <x:c r="C318" s="24" t="str">
        <x:v>IInputContextService.cs</x:v>
      </x:c>
      <x:c r="D318" s="24" t="str">
        <x:v>Code</x:v>
      </x:c>
      <x:c r="E318" s="24" t="str">
        <x:v>03_Assets_Internos</x:v>
      </x:c>
      <x:c r="F318" s="24" t="str">
        <x:v>INT-0314</x:v>
      </x:c>
      <x:c r="G318" s="24" t="str">
        <x:v>VRM Games / Blas Luis Rocha González</x:v>
      </x:c>
      <x:c r="H318" s="24" t="str">
        <x:v>Internal project IP / authorship claim</x:v>
      </x:c>
      <x:c r="I318" s="24" t="str">
        <x:v>Source package + repository path + hash</x:v>
      </x:c>
      <x:c r="J318" s="24" t="str">
        <x:v>2ec768f7331012ee3804d8ea84194cbfe9f493e72aa217aef4b1f4274afc2d63</x:v>
      </x:c>
      <x:c r="K318" s="24" t="str">
        <x:v>Assets/_Project/Scripts/Application/InputContexts/IInputContextService.cs</x:v>
      </x:c>
      <x:c r="L318" s="24" t="str">
        <x:v>CR-003</x:v>
      </x:c>
      <x:c r="M318" s="24" t="str"/>
      <x:c r="N318" s="24" t="str">
        <x:v>RES-001;RES-014</x:v>
      </x:c>
      <x:c r="O318" s="24" t="str">
        <x:v>Internal development; public candidate requires gate</x:v>
      </x:c>
      <x:c r="P318" s="24" t="str">
        <x:v>CONDITIONALLY APPROVED</x:v>
      </x:c>
      <x:c r="Q318" s="24" t="str">
        <x:v>Low</x:v>
      </x:c>
      <x:c r="R318" s="24" t="str"/>
      <x:c r="S318" s="24" t="str">
        <x:v>Sí</x:v>
      </x:c>
      <x:c r="T318" s="24" t="str">
        <x:f>"T"&amp;IF(AND(H318&lt;&gt;"",I318&lt;&gt;"",J318&lt;&gt;"",L318&lt;&gt;"",N318&lt;&gt;"",O318&lt;&gt;"",P318="APPROVED PUBLIC",S318="Sí"),6,IF(AND(H318&lt;&gt;"",I318&lt;&gt;"",J318&lt;&gt;"",L318&lt;&gt;"",N318&lt;&gt;"",O318&lt;&gt;"",P318&lt;&gt;"",S318="Sí"),5,IF(AND(H318&lt;&gt;"",I318&lt;&gt;"",P318&lt;&gt;"",S318&lt;&gt;"No"),4,IF(AND(H318&lt;&gt;"",I318&lt;&gt;""),3,IF(F318&lt;&gt;"",2,1)))))</x:f>
        <x:v>T5</x:v>
      </x:c>
      <x:c r="U318" s="24" t="str">
        <x:v>VRM Games</x:v>
      </x:c>
      <x:c r="V318" s="24" t="str">
        <x:v>No se detectó proveedor externo en la ruta; confirmar autoría por lote antes de release público.</x:v>
      </x:c>
    </x:row>
    <x:row r="319" ht="34" customHeight="1">
      <x:c r="A319" s="24" t="str">
        <x:v>TRC-00315</x:v>
      </x:c>
      <x:c r="B319" s="24" t="str">
        <x:v>a93bc91d0ab04d268b123cd5b6b61caf</x:v>
      </x:c>
      <x:c r="C319" s="24" t="str">
        <x:v>InputContextChangeResult.cs</x:v>
      </x:c>
      <x:c r="D319" s="24" t="str">
        <x:v>Code</x:v>
      </x:c>
      <x:c r="E319" s="24" t="str">
        <x:v>03_Assets_Internos</x:v>
      </x:c>
      <x:c r="F319" s="24" t="str">
        <x:v>INT-0315</x:v>
      </x:c>
      <x:c r="G319" s="24" t="str">
        <x:v>VRM Games / Blas Luis Rocha González</x:v>
      </x:c>
      <x:c r="H319" s="24" t="str">
        <x:v>Internal project IP / authorship claim</x:v>
      </x:c>
      <x:c r="I319" s="24" t="str">
        <x:v>Source package + repository path + hash</x:v>
      </x:c>
      <x:c r="J319" s="24" t="str">
        <x:v>3226fa5136ddd0927eea7321366d693eeab599e736b82ea0aa9d087e888cabff</x:v>
      </x:c>
      <x:c r="K319" s="24" t="str">
        <x:v>Assets/_Project/Scripts/Application/InputContexts/InputContextChangeResult.cs</x:v>
      </x:c>
      <x:c r="L319" s="24" t="str">
        <x:v>CR-003</x:v>
      </x:c>
      <x:c r="M319" s="24" t="str"/>
      <x:c r="N319" s="24" t="str">
        <x:v>RES-001;RES-014</x:v>
      </x:c>
      <x:c r="O319" s="24" t="str">
        <x:v>Internal development; public candidate requires gate</x:v>
      </x:c>
      <x:c r="P319" s="24" t="str">
        <x:v>CONDITIONALLY APPROVED</x:v>
      </x:c>
      <x:c r="Q319" s="24" t="str">
        <x:v>Low</x:v>
      </x:c>
      <x:c r="R319" s="24" t="str"/>
      <x:c r="S319" s="24" t="str">
        <x:v>Sí</x:v>
      </x:c>
      <x:c r="T319" s="24" t="str">
        <x:f>"T"&amp;IF(AND(H319&lt;&gt;"",I319&lt;&gt;"",J319&lt;&gt;"",L319&lt;&gt;"",N319&lt;&gt;"",O319&lt;&gt;"",P319="APPROVED PUBLIC",S319="Sí"),6,IF(AND(H319&lt;&gt;"",I319&lt;&gt;"",J319&lt;&gt;"",L319&lt;&gt;"",N319&lt;&gt;"",O319&lt;&gt;"",P319&lt;&gt;"",S319="Sí"),5,IF(AND(H319&lt;&gt;"",I319&lt;&gt;"",P319&lt;&gt;"",S319&lt;&gt;"No"),4,IF(AND(H319&lt;&gt;"",I319&lt;&gt;""),3,IF(F319&lt;&gt;"",2,1)))))</x:f>
        <x:v>T5</x:v>
      </x:c>
      <x:c r="U319" s="24" t="str">
        <x:v>VRM Games</x:v>
      </x:c>
      <x:c r="V319" s="24" t="str">
        <x:v>No se detectó proveedor externo en la ruta; confirmar autoría por lote antes de release público.</x:v>
      </x:c>
    </x:row>
    <x:row r="320" ht="34" customHeight="1">
      <x:c r="A320" s="24" t="str">
        <x:v>TRC-00316</x:v>
      </x:c>
      <x:c r="B320" s="24" t="str">
        <x:v>cc843a9f744d4fc0a17673395cfa6509</x:v>
      </x:c>
      <x:c r="C320" s="24" t="str">
        <x:v>InputContextId.cs</x:v>
      </x:c>
      <x:c r="D320" s="24" t="str">
        <x:v>Code</x:v>
      </x:c>
      <x:c r="E320" s="24" t="str">
        <x:v>03_Assets_Internos</x:v>
      </x:c>
      <x:c r="F320" s="24" t="str">
        <x:v>INT-0316</x:v>
      </x:c>
      <x:c r="G320" s="24" t="str">
        <x:v>VRM Games / Blas Luis Rocha González</x:v>
      </x:c>
      <x:c r="H320" s="24" t="str">
        <x:v>Internal project IP / authorship claim</x:v>
      </x:c>
      <x:c r="I320" s="24" t="str">
        <x:v>Source package + repository path + hash</x:v>
      </x:c>
      <x:c r="J320" s="24" t="str">
        <x:v>01c10bb394469bd256c5c4cc6f9c6a91799c0b72ef29300545e38e3ce0fb43a3</x:v>
      </x:c>
      <x:c r="K320" s="24" t="str">
        <x:v>Assets/_Project/Scripts/Application/InputContexts/InputContextId.cs</x:v>
      </x:c>
      <x:c r="L320" s="24" t="str">
        <x:v>CR-003</x:v>
      </x:c>
      <x:c r="M320" s="24" t="str"/>
      <x:c r="N320" s="24" t="str">
        <x:v>RES-001;RES-014</x:v>
      </x:c>
      <x:c r="O320" s="24" t="str">
        <x:v>Internal development; public candidate requires gate</x:v>
      </x:c>
      <x:c r="P320" s="24" t="str">
        <x:v>CONDITIONALLY APPROVED</x:v>
      </x:c>
      <x:c r="Q320" s="24" t="str">
        <x:v>Low</x:v>
      </x:c>
      <x:c r="R320" s="24" t="str"/>
      <x:c r="S320" s="24" t="str">
        <x:v>Sí</x:v>
      </x:c>
      <x:c r="T320" s="24" t="str">
        <x:f>"T"&amp;IF(AND(H320&lt;&gt;"",I320&lt;&gt;"",J320&lt;&gt;"",L320&lt;&gt;"",N320&lt;&gt;"",O320&lt;&gt;"",P320="APPROVED PUBLIC",S320="Sí"),6,IF(AND(H320&lt;&gt;"",I320&lt;&gt;"",J320&lt;&gt;"",L320&lt;&gt;"",N320&lt;&gt;"",O320&lt;&gt;"",P320&lt;&gt;"",S320="Sí"),5,IF(AND(H320&lt;&gt;"",I320&lt;&gt;"",P320&lt;&gt;"",S320&lt;&gt;"No"),4,IF(AND(H320&lt;&gt;"",I320&lt;&gt;""),3,IF(F320&lt;&gt;"",2,1)))))</x:f>
        <x:v>T5</x:v>
      </x:c>
      <x:c r="U320" s="24" t="str">
        <x:v>VRM Games</x:v>
      </x:c>
      <x:c r="V320" s="24" t="str">
        <x:v>No se detectó proveedor externo en la ruta; confirmar autoría por lote antes de release público.</x:v>
      </x:c>
    </x:row>
    <x:row r="321" ht="34" customHeight="1">
      <x:c r="A321" s="24" t="str">
        <x:v>TRC-00317</x:v>
      </x:c>
      <x:c r="B321" s="24" t="str">
        <x:v>84ff687b6f6948c8b03d1313886d7d90</x:v>
      </x:c>
      <x:c r="C321" s="24" t="str">
        <x:v>InputContextService.cs</x:v>
      </x:c>
      <x:c r="D321" s="24" t="str">
        <x:v>Code</x:v>
      </x:c>
      <x:c r="E321" s="24" t="str">
        <x:v>03_Assets_Internos</x:v>
      </x:c>
      <x:c r="F321" s="24" t="str">
        <x:v>INT-0317</x:v>
      </x:c>
      <x:c r="G321" s="24" t="str">
        <x:v>VRM Games / Blas Luis Rocha González</x:v>
      </x:c>
      <x:c r="H321" s="24" t="str">
        <x:v>Internal project IP / authorship claim</x:v>
      </x:c>
      <x:c r="I321" s="24" t="str">
        <x:v>Source package + repository path + hash</x:v>
      </x:c>
      <x:c r="J321" s="24" t="str">
        <x:v>f1285390083777bd8a064e986e3d93ee4ffee41b2e34c485ae199b3ce75bb20b</x:v>
      </x:c>
      <x:c r="K321" s="24" t="str">
        <x:v>Assets/_Project/Scripts/Application/InputContexts/InputContextService.cs</x:v>
      </x:c>
      <x:c r="L321" s="24" t="str">
        <x:v>CR-003</x:v>
      </x:c>
      <x:c r="M321" s="24" t="str"/>
      <x:c r="N321" s="24" t="str">
        <x:v>RES-001;RES-014</x:v>
      </x:c>
      <x:c r="O321" s="24" t="str">
        <x:v>Internal development; public candidate requires gate</x:v>
      </x:c>
      <x:c r="P321" s="24" t="str">
        <x:v>CONDITIONALLY APPROVED</x:v>
      </x:c>
      <x:c r="Q321" s="24" t="str">
        <x:v>Low</x:v>
      </x:c>
      <x:c r="R321" s="24" t="str"/>
      <x:c r="S321" s="24" t="str">
        <x:v>Sí</x:v>
      </x:c>
      <x:c r="T321" s="24" t="str">
        <x:f>"T"&amp;IF(AND(H321&lt;&gt;"",I321&lt;&gt;"",J321&lt;&gt;"",L321&lt;&gt;"",N321&lt;&gt;"",O321&lt;&gt;"",P321="APPROVED PUBLIC",S321="Sí"),6,IF(AND(H321&lt;&gt;"",I321&lt;&gt;"",J321&lt;&gt;"",L321&lt;&gt;"",N321&lt;&gt;"",O321&lt;&gt;"",P321&lt;&gt;"",S321="Sí"),5,IF(AND(H321&lt;&gt;"",I321&lt;&gt;"",P321&lt;&gt;"",S321&lt;&gt;"No"),4,IF(AND(H321&lt;&gt;"",I321&lt;&gt;""),3,IF(F321&lt;&gt;"",2,1)))))</x:f>
        <x:v>T5</x:v>
      </x:c>
      <x:c r="U321" s="24" t="str">
        <x:v>VRM Games</x:v>
      </x:c>
      <x:c r="V321" s="24" t="str">
        <x:v>No se detectó proveedor externo en la ruta; confirmar autoría por lote antes de release público.</x:v>
      </x:c>
    </x:row>
    <x:row r="322" ht="34" customHeight="1">
      <x:c r="A322" s="24" t="str">
        <x:v>TRC-00318</x:v>
      </x:c>
      <x:c r="B322" s="24" t="str">
        <x:v>7316fbbb0a604a15afe9ebce53dd0842</x:v>
      </x:c>
      <x:c r="C322" s="24" t="str">
        <x:v>OrderCreationFailureReason.cs</x:v>
      </x:c>
      <x:c r="D322" s="24" t="str">
        <x:v>Code</x:v>
      </x:c>
      <x:c r="E322" s="24" t="str">
        <x:v>03_Assets_Internos</x:v>
      </x:c>
      <x:c r="F322" s="24" t="str">
        <x:v>INT-0318</x:v>
      </x:c>
      <x:c r="G322" s="24" t="str">
        <x:v>VRM Games / Blas Luis Rocha González</x:v>
      </x:c>
      <x:c r="H322" s="24" t="str">
        <x:v>Internal project IP / authorship claim</x:v>
      </x:c>
      <x:c r="I322" s="24" t="str">
        <x:v>Source package + repository path + hash</x:v>
      </x:c>
      <x:c r="J322" s="24" t="str">
        <x:v>369ec51cd70a80a2a2596fcab871f02daa4448dcd64d748e485fbcc4804bc3a2</x:v>
      </x:c>
      <x:c r="K322" s="24" t="str">
        <x:v>Assets/_Project/Scripts/Application/Orders/OrderCreationFailureReason.cs</x:v>
      </x:c>
      <x:c r="L322" s="24" t="str">
        <x:v>CR-003</x:v>
      </x:c>
      <x:c r="M322" s="24" t="str"/>
      <x:c r="N322" s="24" t="str">
        <x:v>RES-001;RES-014</x:v>
      </x:c>
      <x:c r="O322" s="24" t="str">
        <x:v>Internal development; public candidate requires gate</x:v>
      </x:c>
      <x:c r="P322" s="24" t="str">
        <x:v>CONDITIONALLY APPROVED</x:v>
      </x:c>
      <x:c r="Q322" s="24" t="str">
        <x:v>Low</x:v>
      </x:c>
      <x:c r="R322" s="24" t="str"/>
      <x:c r="S322" s="24" t="str">
        <x:v>Sí</x:v>
      </x:c>
      <x:c r="T322" s="24" t="str">
        <x:f>"T"&amp;IF(AND(H322&lt;&gt;"",I322&lt;&gt;"",J322&lt;&gt;"",L322&lt;&gt;"",N322&lt;&gt;"",O322&lt;&gt;"",P322="APPROVED PUBLIC",S322="Sí"),6,IF(AND(H322&lt;&gt;"",I322&lt;&gt;"",J322&lt;&gt;"",L322&lt;&gt;"",N322&lt;&gt;"",O322&lt;&gt;"",P322&lt;&gt;"",S322="Sí"),5,IF(AND(H322&lt;&gt;"",I322&lt;&gt;"",P322&lt;&gt;"",S322&lt;&gt;"No"),4,IF(AND(H322&lt;&gt;"",I322&lt;&gt;""),3,IF(F322&lt;&gt;"",2,1)))))</x:f>
        <x:v>T5</x:v>
      </x:c>
      <x:c r="U322" s="24" t="str">
        <x:v>VRM Games</x:v>
      </x:c>
      <x:c r="V322" s="24" t="str">
        <x:v>No se detectó proveedor externo en la ruta; confirmar autoría por lote antes de release público.</x:v>
      </x:c>
    </x:row>
    <x:row r="323" ht="34" customHeight="1">
      <x:c r="A323" s="24" t="str">
        <x:v>TRC-00319</x:v>
      </x:c>
      <x:c r="B323" s="24" t="str">
        <x:v>b16132785d88480e9165fad99f6ed133</x:v>
      </x:c>
      <x:c r="C323" s="24" t="str">
        <x:v>OrderCreationResult.cs</x:v>
      </x:c>
      <x:c r="D323" s="24" t="str">
        <x:v>Code</x:v>
      </x:c>
      <x:c r="E323" s="24" t="str">
        <x:v>03_Assets_Internos</x:v>
      </x:c>
      <x:c r="F323" s="24" t="str">
        <x:v>INT-0319</x:v>
      </x:c>
      <x:c r="G323" s="24" t="str">
        <x:v>VRM Games / Blas Luis Rocha González</x:v>
      </x:c>
      <x:c r="H323" s="24" t="str">
        <x:v>Internal project IP / authorship claim</x:v>
      </x:c>
      <x:c r="I323" s="24" t="str">
        <x:v>Source package + repository path + hash</x:v>
      </x:c>
      <x:c r="J323" s="24" t="str">
        <x:v>b8be79639aec3ba15140ab19e1b8c5159e6c0fa253788b522dcd80a41cb8b7b1</x:v>
      </x:c>
      <x:c r="K323" s="24" t="str">
        <x:v>Assets/_Project/Scripts/Application/Orders/OrderCreationResult.cs</x:v>
      </x:c>
      <x:c r="L323" s="24" t="str">
        <x:v>CR-003</x:v>
      </x:c>
      <x:c r="M323" s="24" t="str"/>
      <x:c r="N323" s="24" t="str">
        <x:v>RES-001;RES-014</x:v>
      </x:c>
      <x:c r="O323" s="24" t="str">
        <x:v>Internal development; public candidate requires gate</x:v>
      </x:c>
      <x:c r="P323" s="24" t="str">
        <x:v>CONDITIONALLY APPROVED</x:v>
      </x:c>
      <x:c r="Q323" s="24" t="str">
        <x:v>Low</x:v>
      </x:c>
      <x:c r="R323" s="24" t="str"/>
      <x:c r="S323" s="24" t="str">
        <x:v>Sí</x:v>
      </x:c>
      <x:c r="T323" s="24" t="str">
        <x:f>"T"&amp;IF(AND(H323&lt;&gt;"",I323&lt;&gt;"",J323&lt;&gt;"",L323&lt;&gt;"",N323&lt;&gt;"",O323&lt;&gt;"",P323="APPROVED PUBLIC",S323="Sí"),6,IF(AND(H323&lt;&gt;"",I323&lt;&gt;"",J323&lt;&gt;"",L323&lt;&gt;"",N323&lt;&gt;"",O323&lt;&gt;"",P323&lt;&gt;"",S323="Sí"),5,IF(AND(H323&lt;&gt;"",I323&lt;&gt;"",P323&lt;&gt;"",S323&lt;&gt;"No"),4,IF(AND(H323&lt;&gt;"",I323&lt;&gt;""),3,IF(F323&lt;&gt;"",2,1)))))</x:f>
        <x:v>T5</x:v>
      </x:c>
      <x:c r="U323" s="24" t="str">
        <x:v>VRM Games</x:v>
      </x:c>
      <x:c r="V323" s="24" t="str">
        <x:v>No se detectó proveedor externo en la ruta; confirmar autoría por lote antes de release público.</x:v>
      </x:c>
    </x:row>
    <x:row r="324" ht="34" customHeight="1">
      <x:c r="A324" s="24" t="str">
        <x:v>TRC-00320</x:v>
      </x:c>
      <x:c r="B324" s="24" t="str">
        <x:v>523b5b32f1e14369806bcbd7146309c2</x:v>
      </x:c>
      <x:c r="C324" s="24" t="str">
        <x:v>SupplierOrderService.cs</x:v>
      </x:c>
      <x:c r="D324" s="24" t="str">
        <x:v>Code</x:v>
      </x:c>
      <x:c r="E324" s="24" t="str">
        <x:v>03_Assets_Internos</x:v>
      </x:c>
      <x:c r="F324" s="24" t="str">
        <x:v>INT-0320</x:v>
      </x:c>
      <x:c r="G324" s="24" t="str">
        <x:v>VRM Games / Blas Luis Rocha González</x:v>
      </x:c>
      <x:c r="H324" s="24" t="str">
        <x:v>Internal project IP / authorship claim</x:v>
      </x:c>
      <x:c r="I324" s="24" t="str">
        <x:v>Source package + repository path + hash</x:v>
      </x:c>
      <x:c r="J324" s="24" t="str">
        <x:v>399b9cce3fec0a0978840ced8e8e5fc29c02fcb0d5eb5ff7b824d07ee04c4c0c</x:v>
      </x:c>
      <x:c r="K324" s="24" t="str">
        <x:v>Assets/_Project/Scripts/Application/Orders/SupplierOrderService.cs</x:v>
      </x:c>
      <x:c r="L324" s="24" t="str">
        <x:v>CR-003</x:v>
      </x:c>
      <x:c r="M324" s="24" t="str"/>
      <x:c r="N324" s="24" t="str">
        <x:v>RES-001;RES-014</x:v>
      </x:c>
      <x:c r="O324" s="24" t="str">
        <x:v>Internal development; public candidate requires gate</x:v>
      </x:c>
      <x:c r="P324" s="24" t="str">
        <x:v>CONDITIONALLY APPROVED</x:v>
      </x:c>
      <x:c r="Q324" s="24" t="str">
        <x:v>Low</x:v>
      </x:c>
      <x:c r="R324" s="24" t="str"/>
      <x:c r="S324" s="24" t="str">
        <x:v>Sí</x:v>
      </x:c>
      <x:c r="T324" s="24" t="str">
        <x:f>"T"&amp;IF(AND(H324&lt;&gt;"",I324&lt;&gt;"",J324&lt;&gt;"",L324&lt;&gt;"",N324&lt;&gt;"",O324&lt;&gt;"",P324="APPROVED PUBLIC",S324="Sí"),6,IF(AND(H324&lt;&gt;"",I324&lt;&gt;"",J324&lt;&gt;"",L324&lt;&gt;"",N324&lt;&gt;"",O324&lt;&gt;"",P324&lt;&gt;"",S324="Sí"),5,IF(AND(H324&lt;&gt;"",I324&lt;&gt;"",P324&lt;&gt;"",S324&lt;&gt;"No"),4,IF(AND(H324&lt;&gt;"",I324&lt;&gt;""),3,IF(F324&lt;&gt;"",2,1)))))</x:f>
        <x:v>T5</x:v>
      </x:c>
      <x:c r="U324" s="24" t="str">
        <x:v>VRM Games</x:v>
      </x:c>
      <x:c r="V324" s="24" t="str">
        <x:v>No se detectó proveedor externo en la ruta; confirmar autoría por lote antes de release público.</x:v>
      </x:c>
    </x:row>
    <x:row r="325" ht="34" customHeight="1">
      <x:c r="A325" s="24" t="str">
        <x:v>TRC-00321</x:v>
      </x:c>
      <x:c r="B325" s="24" t="str">
        <x:v>fc584b080c91488ea617afaad0e95f9c</x:v>
      </x:c>
      <x:c r="C325" s="24" t="str">
        <x:v>InMemoryRestoreTarget.cs</x:v>
      </x:c>
      <x:c r="D325" s="24" t="str">
        <x:v>Code</x:v>
      </x:c>
      <x:c r="E325" s="24" t="str">
        <x:v>03_Assets_Internos</x:v>
      </x:c>
      <x:c r="F325" s="24" t="str">
        <x:v>INT-0321</x:v>
      </x:c>
      <x:c r="G325" s="24" t="str">
        <x:v>VRM Games / Blas Luis Rocha González</x:v>
      </x:c>
      <x:c r="H325" s="24" t="str">
        <x:v>Internal project IP / authorship claim</x:v>
      </x:c>
      <x:c r="I325" s="24" t="str">
        <x:v>Source package + repository path + hash</x:v>
      </x:c>
      <x:c r="J325" s="24" t="str">
        <x:v>06eba107cc9aa54d15b1f491f3f4112c666d29c1d1c2900bbf1a139d979cb0d5</x:v>
      </x:c>
      <x:c r="K325" s="24" t="str">
        <x:v>Assets/_Project/Scripts/Application/Persistence/InMemoryRestoreTarget.cs</x:v>
      </x:c>
      <x:c r="L325" s="24" t="str">
        <x:v>CR-003</x:v>
      </x:c>
      <x:c r="M325" s="24" t="str"/>
      <x:c r="N325" s="24" t="str">
        <x:v>RES-001;RES-014</x:v>
      </x:c>
      <x:c r="O325" s="24" t="str">
        <x:v>Internal development; public candidate requires gate</x:v>
      </x:c>
      <x:c r="P325" s="24" t="str">
        <x:v>CONDITIONALLY APPROVED</x:v>
      </x:c>
      <x:c r="Q325" s="24" t="str">
        <x:v>Low</x:v>
      </x:c>
      <x:c r="R325" s="24" t="str"/>
      <x:c r="S325" s="24" t="str">
        <x:v>Sí</x:v>
      </x:c>
      <x:c r="T325" s="24" t="str">
        <x:f>"T"&amp;IF(AND(H325&lt;&gt;"",I325&lt;&gt;"",J325&lt;&gt;"",L325&lt;&gt;"",N325&lt;&gt;"",O325&lt;&gt;"",P325="APPROVED PUBLIC",S325="Sí"),6,IF(AND(H325&lt;&gt;"",I325&lt;&gt;"",J325&lt;&gt;"",L325&lt;&gt;"",N325&lt;&gt;"",O325&lt;&gt;"",P325&lt;&gt;"",S325="Sí"),5,IF(AND(H325&lt;&gt;"",I325&lt;&gt;"",P325&lt;&gt;"",S325&lt;&gt;"No"),4,IF(AND(H325&lt;&gt;"",I325&lt;&gt;""),3,IF(F325&lt;&gt;"",2,1)))))</x:f>
        <x:v>T5</x:v>
      </x:c>
      <x:c r="U325" s="24" t="str">
        <x:v>VRM Games</x:v>
      </x:c>
      <x:c r="V325" s="24" t="str">
        <x:v>No se detectó proveedor externo en la ruta; confirmar autoría por lote antes de release público.</x:v>
      </x:c>
    </x:row>
    <x:row r="326" ht="34" customHeight="1">
      <x:c r="A326" s="24" t="str">
        <x:v>TRC-00322</x:v>
      </x:c>
      <x:c r="B326" s="24" t="str">
        <x:v>51a2b623d8684676a317877d4442cb63</x:v>
      </x:c>
      <x:c r="C326" s="24" t="str">
        <x:v>IntegratedGameStateBuilder.cs</x:v>
      </x:c>
      <x:c r="D326" s="24" t="str">
        <x:v>Code</x:v>
      </x:c>
      <x:c r="E326" s="24" t="str">
        <x:v>03_Assets_Internos</x:v>
      </x:c>
      <x:c r="F326" s="24" t="str">
        <x:v>INT-0322</x:v>
      </x:c>
      <x:c r="G326" s="24" t="str">
        <x:v>VRM Games / Blas Luis Rocha González</x:v>
      </x:c>
      <x:c r="H326" s="24" t="str">
        <x:v>Internal project IP / authorship claim</x:v>
      </x:c>
      <x:c r="I326" s="24" t="str">
        <x:v>Source package + repository path + hash</x:v>
      </x:c>
      <x:c r="J326" s="24" t="str">
        <x:v>ddab83d85c2f23fd19a52b4b8142d6459531f57088c7e381aba041457d51ef7e</x:v>
      </x:c>
      <x:c r="K326" s="24" t="str">
        <x:v>Assets/_Project/Scripts/Application/Persistence/IntegratedGameStateBuilder.cs</x:v>
      </x:c>
      <x:c r="L326" s="24" t="str">
        <x:v>CR-003</x:v>
      </x:c>
      <x:c r="M326" s="24" t="str"/>
      <x:c r="N326" s="24" t="str">
        <x:v>RES-001;RES-014</x:v>
      </x:c>
      <x:c r="O326" s="24" t="str">
        <x:v>Internal development; public candidate requires gate</x:v>
      </x:c>
      <x:c r="P326" s="24" t="str">
        <x:v>CONDITIONALLY APPROVED</x:v>
      </x:c>
      <x:c r="Q326" s="24" t="str">
        <x:v>Low</x:v>
      </x:c>
      <x:c r="R326" s="24" t="str"/>
      <x:c r="S326" s="24" t="str">
        <x:v>Sí</x:v>
      </x:c>
      <x:c r="T326" s="24" t="str">
        <x:f>"T"&amp;IF(AND(H326&lt;&gt;"",I326&lt;&gt;"",J326&lt;&gt;"",L326&lt;&gt;"",N326&lt;&gt;"",O326&lt;&gt;"",P326="APPROVED PUBLIC",S326="Sí"),6,IF(AND(H326&lt;&gt;"",I326&lt;&gt;"",J326&lt;&gt;"",L326&lt;&gt;"",N326&lt;&gt;"",O326&lt;&gt;"",P326&lt;&gt;"",S326="Sí"),5,IF(AND(H326&lt;&gt;"",I326&lt;&gt;"",P326&lt;&gt;"",S326&lt;&gt;"No"),4,IF(AND(H326&lt;&gt;"",I326&lt;&gt;""),3,IF(F326&lt;&gt;"",2,1)))))</x:f>
        <x:v>T5</x:v>
      </x:c>
      <x:c r="U326" s="24" t="str">
        <x:v>VRM Games</x:v>
      </x:c>
      <x:c r="V326" s="24" t="str">
        <x:v>No se detectó proveedor externo en la ruta; confirmar autoría por lote antes de release público.</x:v>
      </x:c>
    </x:row>
    <x:row r="327" ht="34" customHeight="1">
      <x:c r="A327" s="24" t="str">
        <x:v>TRC-00323</x:v>
      </x:c>
      <x:c r="B327" s="24" t="str">
        <x:v>25d69b720afc4c64945d4b1cf346569f</x:v>
      </x:c>
      <x:c r="C327" s="24" t="str">
        <x:v>IntegratedSaveContracts.cs</x:v>
      </x:c>
      <x:c r="D327" s="24" t="str">
        <x:v>Code</x:v>
      </x:c>
      <x:c r="E327" s="24" t="str">
        <x:v>03_Assets_Internos</x:v>
      </x:c>
      <x:c r="F327" s="24" t="str">
        <x:v>INT-0323</x:v>
      </x:c>
      <x:c r="G327" s="24" t="str">
        <x:v>VRM Games / Blas Luis Rocha González</x:v>
      </x:c>
      <x:c r="H327" s="24" t="str">
        <x:v>Internal project IP / authorship claim</x:v>
      </x:c>
      <x:c r="I327" s="24" t="str">
        <x:v>Source package + repository path + hash</x:v>
      </x:c>
      <x:c r="J327" s="24" t="str">
        <x:v>2f70dacb1588aade0236f7286fffa268fa438ad0b36977a9c6164f173db84b10</x:v>
      </x:c>
      <x:c r="K327" s="24" t="str">
        <x:v>Assets/_Project/Scripts/Application/Persistence/IntegratedSaveContracts.cs</x:v>
      </x:c>
      <x:c r="L327" s="24" t="str">
        <x:v>CR-003</x:v>
      </x:c>
      <x:c r="M327" s="24" t="str"/>
      <x:c r="N327" s="24" t="str">
        <x:v>RES-001;RES-014</x:v>
      </x:c>
      <x:c r="O327" s="24" t="str">
        <x:v>Internal development; public candidate requires gate</x:v>
      </x:c>
      <x:c r="P327" s="24" t="str">
        <x:v>CONDITIONALLY APPROVED</x:v>
      </x:c>
      <x:c r="Q327" s="24" t="str">
        <x:v>Low</x:v>
      </x:c>
      <x:c r="R327" s="24" t="str"/>
      <x:c r="S327" s="24" t="str">
        <x:v>Sí</x:v>
      </x:c>
      <x:c r="T327" s="24" t="str">
        <x:f>"T"&amp;IF(AND(H327&lt;&gt;"",I327&lt;&gt;"",J327&lt;&gt;"",L327&lt;&gt;"",N327&lt;&gt;"",O327&lt;&gt;"",P327="APPROVED PUBLIC",S327="Sí"),6,IF(AND(H327&lt;&gt;"",I327&lt;&gt;"",J327&lt;&gt;"",L327&lt;&gt;"",N327&lt;&gt;"",O327&lt;&gt;"",P327&lt;&gt;"",S327="Sí"),5,IF(AND(H327&lt;&gt;"",I327&lt;&gt;"",P327&lt;&gt;"",S327&lt;&gt;"No"),4,IF(AND(H327&lt;&gt;"",I327&lt;&gt;""),3,IF(F327&lt;&gt;"",2,1)))))</x:f>
        <x:v>T5</x:v>
      </x:c>
      <x:c r="U327" s="24" t="str">
        <x:v>VRM Games</x:v>
      </x:c>
      <x:c r="V327" s="24" t="str">
        <x:v>No se detectó proveedor externo en la ruta; confirmar autoría por lote antes de release público.</x:v>
      </x:c>
    </x:row>
    <x:row r="328" ht="34" customHeight="1">
      <x:c r="A328" s="24" t="str">
        <x:v>TRC-00324</x:v>
      </x:c>
      <x:c r="B328" s="24" t="str">
        <x:v>51d2763e8c4a458eafe7cc6bc9f4fd84</x:v>
      </x:c>
      <x:c r="C328" s="24" t="str">
        <x:v>IntegratedSaveService.cs</x:v>
      </x:c>
      <x:c r="D328" s="24" t="str">
        <x:v>Code</x:v>
      </x:c>
      <x:c r="E328" s="24" t="str">
        <x:v>03_Assets_Internos</x:v>
      </x:c>
      <x:c r="F328" s="24" t="str">
        <x:v>INT-0324</x:v>
      </x:c>
      <x:c r="G328" s="24" t="str">
        <x:v>VRM Games / Blas Luis Rocha González</x:v>
      </x:c>
      <x:c r="H328" s="24" t="str">
        <x:v>Internal project IP / authorship claim</x:v>
      </x:c>
      <x:c r="I328" s="24" t="str">
        <x:v>Source package + repository path + hash</x:v>
      </x:c>
      <x:c r="J328" s="24" t="str">
        <x:v>e6d01c640c22205adb8a888963d33b9696147ad5ca9deaa2370d4261ce81b378</x:v>
      </x:c>
      <x:c r="K328" s="24" t="str">
        <x:v>Assets/_Project/Scripts/Application/Persistence/IntegratedSaveService.cs</x:v>
      </x:c>
      <x:c r="L328" s="24" t="str">
        <x:v>CR-003</x:v>
      </x:c>
      <x:c r="M328" s="24" t="str"/>
      <x:c r="N328" s="24" t="str">
        <x:v>RES-001;RES-014</x:v>
      </x:c>
      <x:c r="O328" s="24" t="str">
        <x:v>Internal development; public candidate requires gate</x:v>
      </x:c>
      <x:c r="P328" s="24" t="str">
        <x:v>CONDITIONALLY APPROVED</x:v>
      </x:c>
      <x:c r="Q328" s="24" t="str">
        <x:v>Low</x:v>
      </x:c>
      <x:c r="R328" s="24" t="str"/>
      <x:c r="S328" s="24" t="str">
        <x:v>Sí</x:v>
      </x:c>
      <x:c r="T328" s="24" t="str">
        <x:f>"T"&amp;IF(AND(H328&lt;&gt;"",I328&lt;&gt;"",J328&lt;&gt;"",L328&lt;&gt;"",N328&lt;&gt;"",O328&lt;&gt;"",P328="APPROVED PUBLIC",S328="Sí"),6,IF(AND(H328&lt;&gt;"",I328&lt;&gt;"",J328&lt;&gt;"",L328&lt;&gt;"",N328&lt;&gt;"",O328&lt;&gt;"",P328&lt;&gt;"",S328="Sí"),5,IF(AND(H328&lt;&gt;"",I328&lt;&gt;"",P328&lt;&gt;"",S328&lt;&gt;"No"),4,IF(AND(H328&lt;&gt;"",I328&lt;&gt;""),3,IF(F328&lt;&gt;"",2,1)))))</x:f>
        <x:v>T5</x:v>
      </x:c>
      <x:c r="U328" s="24" t="str">
        <x:v>VRM Games</x:v>
      </x:c>
      <x:c r="V328" s="24" t="str">
        <x:v>No se detectó proveedor externo en la ruta; confirmar autoría por lote antes de release público.</x:v>
      </x:c>
    </x:row>
    <x:row r="329" ht="34" customHeight="1">
      <x:c r="A329" s="24" t="str">
        <x:v>TRC-00325</x:v>
      </x:c>
      <x:c r="B329" s="24" t="str">
        <x:v>c1d3f5444b4b4675847b63d0b73f6757</x:v>
      </x:c>
      <x:c r="C329" s="24" t="str">
        <x:v>GameplayDestinationInputPolicy.cs</x:v>
      </x:c>
      <x:c r="D329" s="24" t="str">
        <x:v>Code</x:v>
      </x:c>
      <x:c r="E329" s="24" t="str">
        <x:v>03_Assets_Internos</x:v>
      </x:c>
      <x:c r="F329" s="24" t="str">
        <x:v>INT-0325</x:v>
      </x:c>
      <x:c r="G329" s="24" t="str">
        <x:v>VRM Games / Blas Luis Rocha González</x:v>
      </x:c>
      <x:c r="H329" s="24" t="str">
        <x:v>Internal project IP / authorship claim</x:v>
      </x:c>
      <x:c r="I329" s="24" t="str">
        <x:v>Source package + repository path + hash</x:v>
      </x:c>
      <x:c r="J329" s="24" t="str">
        <x:v>3f101fa82b2630167ca73e14278e362702bb4c675900ba87bf9b854c794a7591</x:v>
      </x:c>
      <x:c r="K329" s="24" t="str">
        <x:v>Assets/_Project/Scripts/Application/Placement/GameplayDestinationInputPolicy.cs</x:v>
      </x:c>
      <x:c r="L329" s="24" t="str">
        <x:v>CR-003</x:v>
      </x:c>
      <x:c r="M329" s="24" t="str"/>
      <x:c r="N329" s="24" t="str">
        <x:v>RES-001;RES-014</x:v>
      </x:c>
      <x:c r="O329" s="24" t="str">
        <x:v>Internal development; public candidate requires gate</x:v>
      </x:c>
      <x:c r="P329" s="24" t="str">
        <x:v>CONDITIONALLY APPROVED</x:v>
      </x:c>
      <x:c r="Q329" s="24" t="str">
        <x:v>Low</x:v>
      </x:c>
      <x:c r="R329" s="24" t="str"/>
      <x:c r="S329" s="24" t="str">
        <x:v>Sí</x:v>
      </x:c>
      <x:c r="T329" s="24" t="str">
        <x:f>"T"&amp;IF(AND(H329&lt;&gt;"",I329&lt;&gt;"",J329&lt;&gt;"",L329&lt;&gt;"",N329&lt;&gt;"",O329&lt;&gt;"",P329="APPROVED PUBLIC",S329="Sí"),6,IF(AND(H329&lt;&gt;"",I329&lt;&gt;"",J329&lt;&gt;"",L329&lt;&gt;"",N329&lt;&gt;"",O329&lt;&gt;"",P329&lt;&gt;"",S329="Sí"),5,IF(AND(H329&lt;&gt;"",I329&lt;&gt;"",P329&lt;&gt;"",S329&lt;&gt;"No"),4,IF(AND(H329&lt;&gt;"",I329&lt;&gt;""),3,IF(F329&lt;&gt;"",2,1)))))</x:f>
        <x:v>T5</x:v>
      </x:c>
      <x:c r="U329" s="24" t="str">
        <x:v>VRM Games</x:v>
      </x:c>
      <x:c r="V329" s="24" t="str">
        <x:v>No se detectó proveedor externo en la ruta; confirmar autoría por lote antes de release público.</x:v>
      </x:c>
    </x:row>
    <x:row r="330" ht="34" customHeight="1">
      <x:c r="A330" s="24" t="str">
        <x:v>TRC-00326</x:v>
      </x:c>
      <x:c r="B330" s="24" t="str">
        <x:v>4e05d7fe60864245b9129af7ae9687c9</x:v>
      </x:c>
      <x:c r="C330" s="24" t="str">
        <x:v>PlacementOccupancyRegistry.cs</x:v>
      </x:c>
      <x:c r="D330" s="24" t="str">
        <x:v>Code</x:v>
      </x:c>
      <x:c r="E330" s="24" t="str">
        <x:v>03_Assets_Internos</x:v>
      </x:c>
      <x:c r="F330" s="24" t="str">
        <x:v>INT-0326</x:v>
      </x:c>
      <x:c r="G330" s="24" t="str">
        <x:v>VRM Games / Blas Luis Rocha González</x:v>
      </x:c>
      <x:c r="H330" s="24" t="str">
        <x:v>Internal project IP / authorship claim</x:v>
      </x:c>
      <x:c r="I330" s="24" t="str">
        <x:v>Source package + repository path + hash</x:v>
      </x:c>
      <x:c r="J330" s="24" t="str">
        <x:v>23b1c7ffb4fbfd326ea842069a53be8ad7c043ebf6cb8c1d05c16534711bc940</x:v>
      </x:c>
      <x:c r="K330" s="24" t="str">
        <x:v>Assets/_Project/Scripts/Application/Placement/PlacementOccupancyRegistry.cs</x:v>
      </x:c>
      <x:c r="L330" s="24" t="str">
        <x:v>CR-003</x:v>
      </x:c>
      <x:c r="M330" s="24" t="str"/>
      <x:c r="N330" s="24" t="str">
        <x:v>RES-001;RES-014</x:v>
      </x:c>
      <x:c r="O330" s="24" t="str">
        <x:v>Internal development; public candidate requires gate</x:v>
      </x:c>
      <x:c r="P330" s="24" t="str">
        <x:v>CONDITIONALLY APPROVED</x:v>
      </x:c>
      <x:c r="Q330" s="24" t="str">
        <x:v>Low</x:v>
      </x:c>
      <x:c r="R330" s="24" t="str"/>
      <x:c r="S330" s="24" t="str">
        <x:v>Sí</x:v>
      </x:c>
      <x:c r="T330" s="24" t="str">
        <x:f>"T"&amp;IF(AND(H330&lt;&gt;"",I330&lt;&gt;"",J330&lt;&gt;"",L330&lt;&gt;"",N330&lt;&gt;"",O330&lt;&gt;"",P330="APPROVED PUBLIC",S330="Sí"),6,IF(AND(H330&lt;&gt;"",I330&lt;&gt;"",J330&lt;&gt;"",L330&lt;&gt;"",N330&lt;&gt;"",O330&lt;&gt;"",P330&lt;&gt;"",S330="Sí"),5,IF(AND(H330&lt;&gt;"",I330&lt;&gt;"",P330&lt;&gt;"",S330&lt;&gt;"No"),4,IF(AND(H330&lt;&gt;"",I330&lt;&gt;""),3,IF(F330&lt;&gt;"",2,1)))))</x:f>
        <x:v>T5</x:v>
      </x:c>
      <x:c r="U330" s="24" t="str">
        <x:v>VRM Games</x:v>
      </x:c>
      <x:c r="V330" s="24" t="str">
        <x:v>No se detectó proveedor externo en la ruta; confirmar autoría por lote antes de release público.</x:v>
      </x:c>
    </x:row>
    <x:row r="331" ht="34" customHeight="1">
      <x:c r="A331" s="24" t="str">
        <x:v>TRC-00327</x:v>
      </x:c>
      <x:c r="B331" s="24" t="str">
        <x:v>95f2f4307aa94b5abd5dceace0eb5e2b</x:v>
      </x:c>
      <x:c r="C331" s="24" t="str">
        <x:v>PlacementPreviewCalculator.cs</x:v>
      </x:c>
      <x:c r="D331" s="24" t="str">
        <x:v>Code</x:v>
      </x:c>
      <x:c r="E331" s="24" t="str">
        <x:v>03_Assets_Internos</x:v>
      </x:c>
      <x:c r="F331" s="24" t="str">
        <x:v>INT-0327</x:v>
      </x:c>
      <x:c r="G331" s="24" t="str">
        <x:v>VRM Games / Blas Luis Rocha González</x:v>
      </x:c>
      <x:c r="H331" s="24" t="str">
        <x:v>Internal project IP / authorship claim</x:v>
      </x:c>
      <x:c r="I331" s="24" t="str">
        <x:v>Source package + repository path + hash</x:v>
      </x:c>
      <x:c r="J331" s="24" t="str">
        <x:v>5361a3da8d2ecbe03676350d2b09bf1036f98dcfe2ca4df60fadaa1cde53742b</x:v>
      </x:c>
      <x:c r="K331" s="24" t="str">
        <x:v>Assets/_Project/Scripts/Application/Placement/PlacementPreviewCalculator.cs</x:v>
      </x:c>
      <x:c r="L331" s="24" t="str">
        <x:v>CR-003</x:v>
      </x:c>
      <x:c r="M331" s="24" t="str"/>
      <x:c r="N331" s="24" t="str">
        <x:v>RES-001;RES-014</x:v>
      </x:c>
      <x:c r="O331" s="24" t="str">
        <x:v>Internal development; public candidate requires gate</x:v>
      </x:c>
      <x:c r="P331" s="24" t="str">
        <x:v>CONDITIONALLY APPROVED</x:v>
      </x:c>
      <x:c r="Q331" s="24" t="str">
        <x:v>Low</x:v>
      </x:c>
      <x:c r="R331" s="24" t="str"/>
      <x:c r="S331" s="24" t="str">
        <x:v>Sí</x:v>
      </x:c>
      <x:c r="T331" s="24" t="str">
        <x:f>"T"&amp;IF(AND(H331&lt;&gt;"",I331&lt;&gt;"",J331&lt;&gt;"",L331&lt;&gt;"",N331&lt;&gt;"",O331&lt;&gt;"",P331="APPROVED PUBLIC",S331="Sí"),6,IF(AND(H331&lt;&gt;"",I331&lt;&gt;"",J331&lt;&gt;"",L331&lt;&gt;"",N331&lt;&gt;"",O331&lt;&gt;"",P331&lt;&gt;"",S331="Sí"),5,IF(AND(H331&lt;&gt;"",I331&lt;&gt;"",P331&lt;&gt;"",S331&lt;&gt;"No"),4,IF(AND(H331&lt;&gt;"",I331&lt;&gt;""),3,IF(F331&lt;&gt;"",2,1)))))</x:f>
        <x:v>T5</x:v>
      </x:c>
      <x:c r="U331" s="24" t="str">
        <x:v>VRM Games</x:v>
      </x:c>
      <x:c r="V331" s="24" t="str">
        <x:v>No se detectó proveedor externo en la ruta; confirmar autoría por lote antes de release público.</x:v>
      </x:c>
    </x:row>
    <x:row r="332" ht="34" customHeight="1">
      <x:c r="A332" s="24" t="str">
        <x:v>TRC-00328</x:v>
      </x:c>
      <x:c r="B332" s="24" t="str">
        <x:v>683fc71b119f45eab88fc8a43d1b49b2</x:v>
      </x:c>
      <x:c r="C332" s="24" t="str">
        <x:v>PlacementPreviewState.cs</x:v>
      </x:c>
      <x:c r="D332" s="24" t="str">
        <x:v>Code</x:v>
      </x:c>
      <x:c r="E332" s="24" t="str">
        <x:v>03_Assets_Internos</x:v>
      </x:c>
      <x:c r="F332" s="24" t="str">
        <x:v>INT-0328</x:v>
      </x:c>
      <x:c r="G332" s="24" t="str">
        <x:v>VRM Games / Blas Luis Rocha González</x:v>
      </x:c>
      <x:c r="H332" s="24" t="str">
        <x:v>Internal project IP / authorship claim</x:v>
      </x:c>
      <x:c r="I332" s="24" t="str">
        <x:v>Source package + repository path + hash</x:v>
      </x:c>
      <x:c r="J332" s="24" t="str">
        <x:v>fbcd1db0d142248df9603fb2d1a60ce109cd1483d81389363c87fb93e4d45dbd</x:v>
      </x:c>
      <x:c r="K332" s="24" t="str">
        <x:v>Assets/_Project/Scripts/Application/Placement/PlacementPreviewState.cs</x:v>
      </x:c>
      <x:c r="L332" s="24" t="str">
        <x:v>CR-003</x:v>
      </x:c>
      <x:c r="M332" s="24" t="str"/>
      <x:c r="N332" s="24" t="str">
        <x:v>RES-001;RES-014</x:v>
      </x:c>
      <x:c r="O332" s="24" t="str">
        <x:v>Internal development; public candidate requires gate</x:v>
      </x:c>
      <x:c r="P332" s="24" t="str">
        <x:v>CONDITIONALLY APPROVED</x:v>
      </x:c>
      <x:c r="Q332" s="24" t="str">
        <x:v>Low</x:v>
      </x:c>
      <x:c r="R332" s="24" t="str"/>
      <x:c r="S332" s="24" t="str">
        <x:v>Sí</x:v>
      </x:c>
      <x:c r="T332" s="24" t="str">
        <x:f>"T"&amp;IF(AND(H332&lt;&gt;"",I332&lt;&gt;"",J332&lt;&gt;"",L332&lt;&gt;"",N332&lt;&gt;"",O332&lt;&gt;"",P332="APPROVED PUBLIC",S332="Sí"),6,IF(AND(H332&lt;&gt;"",I332&lt;&gt;"",J332&lt;&gt;"",L332&lt;&gt;"",N332&lt;&gt;"",O332&lt;&gt;"",P332&lt;&gt;"",S332="Sí"),5,IF(AND(H332&lt;&gt;"",I332&lt;&gt;"",P332&lt;&gt;"",S332&lt;&gt;"No"),4,IF(AND(H332&lt;&gt;"",I332&lt;&gt;""),3,IF(F332&lt;&gt;"",2,1)))))</x:f>
        <x:v>T5</x:v>
      </x:c>
      <x:c r="U332" s="24" t="str">
        <x:v>VRM Games</x:v>
      </x:c>
      <x:c r="V332" s="24" t="str">
        <x:v>No se detectó proveedor externo en la ruta; confirmar autoría por lote antes de release público.</x:v>
      </x:c>
    </x:row>
    <x:row r="333" ht="34" customHeight="1">
      <x:c r="A333" s="24" t="str">
        <x:v>TRC-00329</x:v>
      </x:c>
      <x:c r="B333" s="24" t="str">
        <x:v>3d31225713d3416c9fc0b32b421e4424</x:v>
      </x:c>
      <x:c r="C333" s="24" t="str">
        <x:v>PlacementValidationResult.cs</x:v>
      </x:c>
      <x:c r="D333" s="24" t="str">
        <x:v>Code</x:v>
      </x:c>
      <x:c r="E333" s="24" t="str">
        <x:v>03_Assets_Internos</x:v>
      </x:c>
      <x:c r="F333" s="24" t="str">
        <x:v>INT-0329</x:v>
      </x:c>
      <x:c r="G333" s="24" t="str">
        <x:v>VRM Games / Blas Luis Rocha González</x:v>
      </x:c>
      <x:c r="H333" s="24" t="str">
        <x:v>Internal project IP / authorship claim</x:v>
      </x:c>
      <x:c r="I333" s="24" t="str">
        <x:v>Source package + repository path + hash</x:v>
      </x:c>
      <x:c r="J333" s="24" t="str">
        <x:v>40eafb518e3e367480e437e2d756f8bdee8482791d93edaf45e9cdcf291872ea</x:v>
      </x:c>
      <x:c r="K333" s="24" t="str">
        <x:v>Assets/_Project/Scripts/Application/Placement/PlacementValidationResult.cs</x:v>
      </x:c>
      <x:c r="L333" s="24" t="str">
        <x:v>CR-003</x:v>
      </x:c>
      <x:c r="M333" s="24" t="str"/>
      <x:c r="N333" s="24" t="str">
        <x:v>RES-001;RES-014</x:v>
      </x:c>
      <x:c r="O333" s="24" t="str">
        <x:v>Internal development; public candidate requires gate</x:v>
      </x:c>
      <x:c r="P333" s="24" t="str">
        <x:v>CONDITIONALLY APPROVED</x:v>
      </x:c>
      <x:c r="Q333" s="24" t="str">
        <x:v>Low</x:v>
      </x:c>
      <x:c r="R333" s="24" t="str"/>
      <x:c r="S333" s="24" t="str">
        <x:v>Sí</x:v>
      </x:c>
      <x:c r="T333" s="24" t="str">
        <x:f>"T"&amp;IF(AND(H333&lt;&gt;"",I333&lt;&gt;"",J333&lt;&gt;"",L333&lt;&gt;"",N333&lt;&gt;"",O333&lt;&gt;"",P333="APPROVED PUBLIC",S333="Sí"),6,IF(AND(H333&lt;&gt;"",I333&lt;&gt;"",J333&lt;&gt;"",L333&lt;&gt;"",N333&lt;&gt;"",O333&lt;&gt;"",P333&lt;&gt;"",S333="Sí"),5,IF(AND(H333&lt;&gt;"",I333&lt;&gt;"",P333&lt;&gt;"",S333&lt;&gt;"No"),4,IF(AND(H333&lt;&gt;"",I333&lt;&gt;""),3,IF(F333&lt;&gt;"",2,1)))))</x:f>
        <x:v>T5</x:v>
      </x:c>
      <x:c r="U333" s="24" t="str">
        <x:v>VRM Games</x:v>
      </x:c>
      <x:c r="V333" s="24" t="str">
        <x:v>No se detectó proveedor externo en la ruta; confirmar autoría por lote antes de release público.</x:v>
      </x:c>
    </x:row>
    <x:row r="334" ht="34" customHeight="1">
      <x:c r="A334" s="24" t="str">
        <x:v>TRC-00330</x:v>
      </x:c>
      <x:c r="B334" s="24" t="str">
        <x:v>128ca7d140f842c8a52cc534b908d409</x:v>
      </x:c>
      <x:c r="C334" s="24" t="str">
        <x:v>PlanarMovementCalculator.cs</x:v>
      </x:c>
      <x:c r="D334" s="24" t="str">
        <x:v>Code</x:v>
      </x:c>
      <x:c r="E334" s="24" t="str">
        <x:v>03_Assets_Internos</x:v>
      </x:c>
      <x:c r="F334" s="24" t="str">
        <x:v>INT-0330</x:v>
      </x:c>
      <x:c r="G334" s="24" t="str">
        <x:v>VRM Games / Blas Luis Rocha González</x:v>
      </x:c>
      <x:c r="H334" s="24" t="str">
        <x:v>Internal project IP / authorship claim</x:v>
      </x:c>
      <x:c r="I334" s="24" t="str">
        <x:v>Source package + repository path + hash</x:v>
      </x:c>
      <x:c r="J334" s="24" t="str">
        <x:v>13fa124d9395b5262ea11f39611e6a833609665caa8fd24c973ab5062b62449d</x:v>
      </x:c>
      <x:c r="K334" s="24" t="str">
        <x:v>Assets/_Project/Scripts/Application/PlayerMovement/PlanarMovementCalculator.cs</x:v>
      </x:c>
      <x:c r="L334" s="24" t="str">
        <x:v>CR-003</x:v>
      </x:c>
      <x:c r="M334" s="24" t="str"/>
      <x:c r="N334" s="24" t="str">
        <x:v>RES-001;RES-014</x:v>
      </x:c>
      <x:c r="O334" s="24" t="str">
        <x:v>Internal development; public candidate requires gate</x:v>
      </x:c>
      <x:c r="P334" s="24" t="str">
        <x:v>CONDITIONALLY APPROVED</x:v>
      </x:c>
      <x:c r="Q334" s="24" t="str">
        <x:v>Low</x:v>
      </x:c>
      <x:c r="R334" s="24" t="str"/>
      <x:c r="S334" s="24" t="str">
        <x:v>Sí</x:v>
      </x:c>
      <x:c r="T334" s="24" t="str">
        <x:f>"T"&amp;IF(AND(H334&lt;&gt;"",I334&lt;&gt;"",J334&lt;&gt;"",L334&lt;&gt;"",N334&lt;&gt;"",O334&lt;&gt;"",P334="APPROVED PUBLIC",S334="Sí"),6,IF(AND(H334&lt;&gt;"",I334&lt;&gt;"",J334&lt;&gt;"",L334&lt;&gt;"",N334&lt;&gt;"",O334&lt;&gt;"",P334&lt;&gt;"",S334="Sí"),5,IF(AND(H334&lt;&gt;"",I334&lt;&gt;"",P334&lt;&gt;"",S334&lt;&gt;"No"),4,IF(AND(H334&lt;&gt;"",I334&lt;&gt;""),3,IF(F334&lt;&gt;"",2,1)))))</x:f>
        <x:v>T5</x:v>
      </x:c>
      <x:c r="U334" s="24" t="str">
        <x:v>VRM Games</x:v>
      </x:c>
      <x:c r="V334" s="24" t="str">
        <x:v>No se detectó proveedor externo en la ruta; confirmar autoría por lote antes de release público.</x:v>
      </x:c>
    </x:row>
    <x:row r="335" ht="34" customHeight="1">
      <x:c r="A335" s="24" t="str">
        <x:v>TRC-00331</x:v>
      </x:c>
      <x:c r="B335" s="24" t="str">
        <x:v>9f07edebb9fc4a0b94f1627f8488dd63</x:v>
      </x:c>
      <x:c r="C335" s="24" t="str">
        <x:v>PlanarMovementStep.cs</x:v>
      </x:c>
      <x:c r="D335" s="24" t="str">
        <x:v>Code</x:v>
      </x:c>
      <x:c r="E335" s="24" t="str">
        <x:v>03_Assets_Internos</x:v>
      </x:c>
      <x:c r="F335" s="24" t="str">
        <x:v>INT-0331</x:v>
      </x:c>
      <x:c r="G335" s="24" t="str">
        <x:v>VRM Games / Blas Luis Rocha González</x:v>
      </x:c>
      <x:c r="H335" s="24" t="str">
        <x:v>Internal project IP / authorship claim</x:v>
      </x:c>
      <x:c r="I335" s="24" t="str">
        <x:v>Source package + repository path + hash</x:v>
      </x:c>
      <x:c r="J335" s="24" t="str">
        <x:v>df59e2e8bfa703183b9bf255fe1d4153a10715914e55725841a391f9cb9b3c1f</x:v>
      </x:c>
      <x:c r="K335" s="24" t="str">
        <x:v>Assets/_Project/Scripts/Application/PlayerMovement/PlanarMovementStep.cs</x:v>
      </x:c>
      <x:c r="L335" s="24" t="str">
        <x:v>CR-003</x:v>
      </x:c>
      <x:c r="M335" s="24" t="str"/>
      <x:c r="N335" s="24" t="str">
        <x:v>RES-001;RES-014</x:v>
      </x:c>
      <x:c r="O335" s="24" t="str">
        <x:v>Internal development; public candidate requires gate</x:v>
      </x:c>
      <x:c r="P335" s="24" t="str">
        <x:v>CONDITIONALLY APPROVED</x:v>
      </x:c>
      <x:c r="Q335" s="24" t="str">
        <x:v>Low</x:v>
      </x:c>
      <x:c r="R335" s="24" t="str"/>
      <x:c r="S335" s="24" t="str">
        <x:v>Sí</x:v>
      </x:c>
      <x:c r="T335" s="24" t="str">
        <x:f>"T"&amp;IF(AND(H335&lt;&gt;"",I335&lt;&gt;"",J335&lt;&gt;"",L335&lt;&gt;"",N335&lt;&gt;"",O335&lt;&gt;"",P335="APPROVED PUBLIC",S335="Sí"),6,IF(AND(H335&lt;&gt;"",I335&lt;&gt;"",J335&lt;&gt;"",L335&lt;&gt;"",N335&lt;&gt;"",O335&lt;&gt;"",P335&lt;&gt;"",S335="Sí"),5,IF(AND(H335&lt;&gt;"",I335&lt;&gt;"",P335&lt;&gt;"",S335&lt;&gt;"No"),4,IF(AND(H335&lt;&gt;"",I335&lt;&gt;""),3,IF(F335&lt;&gt;"",2,1)))))</x:f>
        <x:v>T5</x:v>
      </x:c>
      <x:c r="U335" s="24" t="str">
        <x:v>VRM Games</x:v>
      </x:c>
      <x:c r="V335" s="24" t="str">
        <x:v>No se detectó proveedor externo en la ruta; confirmar autoría por lote antes de release público.</x:v>
      </x:c>
    </x:row>
    <x:row r="336" ht="34" customHeight="1">
      <x:c r="A336" s="24" t="str">
        <x:v>TRC-00332</x:v>
      </x:c>
      <x:c r="B336" s="24" t="str">
        <x:v>1c62ecf783844999abf0020f4b597de5</x:v>
      </x:c>
      <x:c r="C336" s="24" t="str">
        <x:v>DeliveryCreationFailureReason.cs</x:v>
      </x:c>
      <x:c r="D336" s="24" t="str">
        <x:v>Code</x:v>
      </x:c>
      <x:c r="E336" s="24" t="str">
        <x:v>03_Assets_Internos</x:v>
      </x:c>
      <x:c r="F336" s="24" t="str">
        <x:v>INT-0332</x:v>
      </x:c>
      <x:c r="G336" s="24" t="str">
        <x:v>VRM Games / Blas Luis Rocha González</x:v>
      </x:c>
      <x:c r="H336" s="24" t="str">
        <x:v>Internal project IP / authorship claim</x:v>
      </x:c>
      <x:c r="I336" s="24" t="str">
        <x:v>Source package + repository path + hash</x:v>
      </x:c>
      <x:c r="J336" s="24" t="str">
        <x:v>dd3e6ad5636110c5255da947158e16c586c5b8c295404c1fb132a62bfc35d628</x:v>
      </x:c>
      <x:c r="K336" s="24" t="str">
        <x:v>Assets/_Project/Scripts/Application/Receiving/DeliveryCreationFailureReason.cs</x:v>
      </x:c>
      <x:c r="L336" s="24" t="str">
        <x:v>CR-003</x:v>
      </x:c>
      <x:c r="M336" s="24" t="str"/>
      <x:c r="N336" s="24" t="str">
        <x:v>RES-001;RES-014</x:v>
      </x:c>
      <x:c r="O336" s="24" t="str">
        <x:v>Internal development; public candidate requires gate</x:v>
      </x:c>
      <x:c r="P336" s="24" t="str">
        <x:v>CONDITIONALLY APPROVED</x:v>
      </x:c>
      <x:c r="Q336" s="24" t="str">
        <x:v>Low</x:v>
      </x:c>
      <x:c r="R336" s="24" t="str"/>
      <x:c r="S336" s="24" t="str">
        <x:v>Sí</x:v>
      </x:c>
      <x:c r="T336" s="24" t="str">
        <x:f>"T"&amp;IF(AND(H336&lt;&gt;"",I336&lt;&gt;"",J336&lt;&gt;"",L336&lt;&gt;"",N336&lt;&gt;"",O336&lt;&gt;"",P336="APPROVED PUBLIC",S336="Sí"),6,IF(AND(H336&lt;&gt;"",I336&lt;&gt;"",J336&lt;&gt;"",L336&lt;&gt;"",N336&lt;&gt;"",O336&lt;&gt;"",P336&lt;&gt;"",S336="Sí"),5,IF(AND(H336&lt;&gt;"",I336&lt;&gt;"",P336&lt;&gt;"",S336&lt;&gt;"No"),4,IF(AND(H336&lt;&gt;"",I336&lt;&gt;""),3,IF(F336&lt;&gt;"",2,1)))))</x:f>
        <x:v>T5</x:v>
      </x:c>
      <x:c r="U336" s="24" t="str">
        <x:v>VRM Games</x:v>
      </x:c>
      <x:c r="V336" s="24" t="str">
        <x:v>No se detectó proveedor externo en la ruta; confirmar autoría por lote antes de release público.</x:v>
      </x:c>
    </x:row>
    <x:row r="337" ht="34" customHeight="1">
      <x:c r="A337" s="24" t="str">
        <x:v>TRC-00333</x:v>
      </x:c>
      <x:c r="B337" s="24" t="str">
        <x:v>d5abd2a908df4213814bf17d0e6b14be</x:v>
      </x:c>
      <x:c r="C337" s="24" t="str">
        <x:v>DeliveryCreationResult.cs</x:v>
      </x:c>
      <x:c r="D337" s="24" t="str">
        <x:v>Code</x:v>
      </x:c>
      <x:c r="E337" s="24" t="str">
        <x:v>03_Assets_Internos</x:v>
      </x:c>
      <x:c r="F337" s="24" t="str">
        <x:v>INT-0333</x:v>
      </x:c>
      <x:c r="G337" s="24" t="str">
        <x:v>VRM Games / Blas Luis Rocha González</x:v>
      </x:c>
      <x:c r="H337" s="24" t="str">
        <x:v>Internal project IP / authorship claim</x:v>
      </x:c>
      <x:c r="I337" s="24" t="str">
        <x:v>Source package + repository path + hash</x:v>
      </x:c>
      <x:c r="J337" s="24" t="str">
        <x:v>4c86016c4a278ca53d51251259f9094d179b84f52524433d1ad120f86b10d958</x:v>
      </x:c>
      <x:c r="K337" s="24" t="str">
        <x:v>Assets/_Project/Scripts/Application/Receiving/DeliveryCreationResult.cs</x:v>
      </x:c>
      <x:c r="L337" s="24" t="str">
        <x:v>CR-003</x:v>
      </x:c>
      <x:c r="M337" s="24" t="str"/>
      <x:c r="N337" s="24" t="str">
        <x:v>RES-001;RES-014</x:v>
      </x:c>
      <x:c r="O337" s="24" t="str">
        <x:v>Internal development; public candidate requires gate</x:v>
      </x:c>
      <x:c r="P337" s="24" t="str">
        <x:v>CONDITIONALLY APPROVED</x:v>
      </x:c>
      <x:c r="Q337" s="24" t="str">
        <x:v>Low</x:v>
      </x:c>
      <x:c r="R337" s="24" t="str"/>
      <x:c r="S337" s="24" t="str">
        <x:v>Sí</x:v>
      </x:c>
      <x:c r="T337" s="24" t="str">
        <x:f>"T"&amp;IF(AND(H337&lt;&gt;"",I337&lt;&gt;"",J337&lt;&gt;"",L337&lt;&gt;"",N337&lt;&gt;"",O337&lt;&gt;"",P337="APPROVED PUBLIC",S337="Sí"),6,IF(AND(H337&lt;&gt;"",I337&lt;&gt;"",J337&lt;&gt;"",L337&lt;&gt;"",N337&lt;&gt;"",O337&lt;&gt;"",P337&lt;&gt;"",S337="Sí"),5,IF(AND(H337&lt;&gt;"",I337&lt;&gt;"",P337&lt;&gt;"",S337&lt;&gt;"No"),4,IF(AND(H337&lt;&gt;"",I337&lt;&gt;""),3,IF(F337&lt;&gt;"",2,1)))))</x:f>
        <x:v>T5</x:v>
      </x:c>
      <x:c r="U337" s="24" t="str">
        <x:v>VRM Games</x:v>
      </x:c>
      <x:c r="V337" s="24" t="str">
        <x:v>No se detectó proveedor externo en la ruta; confirmar autoría por lote antes de release público.</x:v>
      </x:c>
    </x:row>
    <x:row r="338" ht="34" customHeight="1">
      <x:c r="A338" s="24" t="str">
        <x:v>TRC-00334</x:v>
      </x:c>
      <x:c r="B338" s="24" t="str">
        <x:v>46591cf6a37d48699e210d9c93625e50</x:v>
      </x:c>
      <x:c r="C338" s="24" t="str">
        <x:v>ReceivingFailureReason.cs</x:v>
      </x:c>
      <x:c r="D338" s="24" t="str">
        <x:v>Code</x:v>
      </x:c>
      <x:c r="E338" s="24" t="str">
        <x:v>03_Assets_Internos</x:v>
      </x:c>
      <x:c r="F338" s="24" t="str">
        <x:v>INT-0334</x:v>
      </x:c>
      <x:c r="G338" s="24" t="str">
        <x:v>VRM Games / Blas Luis Rocha González</x:v>
      </x:c>
      <x:c r="H338" s="24" t="str">
        <x:v>Internal project IP / authorship claim</x:v>
      </x:c>
      <x:c r="I338" s="24" t="str">
        <x:v>Source package + repository path + hash</x:v>
      </x:c>
      <x:c r="J338" s="24" t="str">
        <x:v>cc9c1399c4b9e0bb0eb23e9a8d824bb9d8a2ea36ee271645e27388317dff766e</x:v>
      </x:c>
      <x:c r="K338" s="24" t="str">
        <x:v>Assets/_Project/Scripts/Application/Receiving/ReceivingFailureReason.cs</x:v>
      </x:c>
      <x:c r="L338" s="24" t="str">
        <x:v>CR-003</x:v>
      </x:c>
      <x:c r="M338" s="24" t="str"/>
      <x:c r="N338" s="24" t="str">
        <x:v>RES-001;RES-014</x:v>
      </x:c>
      <x:c r="O338" s="24" t="str">
        <x:v>Internal development; public candidate requires gate</x:v>
      </x:c>
      <x:c r="P338" s="24" t="str">
        <x:v>CONDITIONALLY APPROVED</x:v>
      </x:c>
      <x:c r="Q338" s="24" t="str">
        <x:v>Low</x:v>
      </x:c>
      <x:c r="R338" s="24" t="str"/>
      <x:c r="S338" s="24" t="str">
        <x:v>Sí</x:v>
      </x:c>
      <x:c r="T338" s="24" t="str">
        <x:f>"T"&amp;IF(AND(H338&lt;&gt;"",I338&lt;&gt;"",J338&lt;&gt;"",L338&lt;&gt;"",N338&lt;&gt;"",O338&lt;&gt;"",P338="APPROVED PUBLIC",S338="Sí"),6,IF(AND(H338&lt;&gt;"",I338&lt;&gt;"",J338&lt;&gt;"",L338&lt;&gt;"",N338&lt;&gt;"",O338&lt;&gt;"",P338&lt;&gt;"",S338="Sí"),5,IF(AND(H338&lt;&gt;"",I338&lt;&gt;"",P338&lt;&gt;"",S338&lt;&gt;"No"),4,IF(AND(H338&lt;&gt;"",I338&lt;&gt;""),3,IF(F338&lt;&gt;"",2,1)))))</x:f>
        <x:v>T5</x:v>
      </x:c>
      <x:c r="U338" s="24" t="str">
        <x:v>VRM Games</x:v>
      </x:c>
      <x:c r="V338" s="24" t="str">
        <x:v>No se detectó proveedor externo en la ruta; confirmar autoría por lote antes de release público.</x:v>
      </x:c>
    </x:row>
    <x:row r="339" ht="34" customHeight="1">
      <x:c r="A339" s="24" t="str">
        <x:v>TRC-00335</x:v>
      </x:c>
      <x:c r="B339" s="24" t="str">
        <x:v>3462cafdcc4f4b1880f317fb8f571c6b</x:v>
      </x:c>
      <x:c r="C339" s="24" t="str">
        <x:v>ReceivingResult.cs</x:v>
      </x:c>
      <x:c r="D339" s="24" t="str">
        <x:v>Code</x:v>
      </x:c>
      <x:c r="E339" s="24" t="str">
        <x:v>03_Assets_Internos</x:v>
      </x:c>
      <x:c r="F339" s="24" t="str">
        <x:v>INT-0335</x:v>
      </x:c>
      <x:c r="G339" s="24" t="str">
        <x:v>VRM Games / Blas Luis Rocha González</x:v>
      </x:c>
      <x:c r="H339" s="24" t="str">
        <x:v>Internal project IP / authorship claim</x:v>
      </x:c>
      <x:c r="I339" s="24" t="str">
        <x:v>Source package + repository path + hash</x:v>
      </x:c>
      <x:c r="J339" s="24" t="str">
        <x:v>f7fcdaf7a1860b59018d54f1a5491d5bbc7568c923b55b2b0352c532acbabb4a</x:v>
      </x:c>
      <x:c r="K339" s="24" t="str">
        <x:v>Assets/_Project/Scripts/Application/Receiving/ReceivingResult.cs</x:v>
      </x:c>
      <x:c r="L339" s="24" t="str">
        <x:v>CR-003</x:v>
      </x:c>
      <x:c r="M339" s="24" t="str"/>
      <x:c r="N339" s="24" t="str">
        <x:v>RES-001;RES-014</x:v>
      </x:c>
      <x:c r="O339" s="24" t="str">
        <x:v>Internal development; public candidate requires gate</x:v>
      </x:c>
      <x:c r="P339" s="24" t="str">
        <x:v>CONDITIONALLY APPROVED</x:v>
      </x:c>
      <x:c r="Q339" s="24" t="str">
        <x:v>Low</x:v>
      </x:c>
      <x:c r="R339" s="24" t="str"/>
      <x:c r="S339" s="24" t="str">
        <x:v>Sí</x:v>
      </x:c>
      <x:c r="T339" s="24" t="str">
        <x:f>"T"&amp;IF(AND(H339&lt;&gt;"",I339&lt;&gt;"",J339&lt;&gt;"",L339&lt;&gt;"",N339&lt;&gt;"",O339&lt;&gt;"",P339="APPROVED PUBLIC",S339="Sí"),6,IF(AND(H339&lt;&gt;"",I339&lt;&gt;"",J339&lt;&gt;"",L339&lt;&gt;"",N339&lt;&gt;"",O339&lt;&gt;"",P339&lt;&gt;"",S339="Sí"),5,IF(AND(H339&lt;&gt;"",I339&lt;&gt;"",P339&lt;&gt;"",S339&lt;&gt;"No"),4,IF(AND(H339&lt;&gt;"",I339&lt;&gt;""),3,IF(F339&lt;&gt;"",2,1)))))</x:f>
        <x:v>T5</x:v>
      </x:c>
      <x:c r="U339" s="24" t="str">
        <x:v>VRM Games</x:v>
      </x:c>
      <x:c r="V339" s="24" t="str">
        <x:v>No se detectó proveedor externo en la ruta; confirmar autoría por lote antes de release público.</x:v>
      </x:c>
    </x:row>
    <x:row r="340" ht="34" customHeight="1">
      <x:c r="A340" s="24" t="str">
        <x:v>TRC-00336</x:v>
      </x:c>
      <x:c r="B340" s="24" t="str">
        <x:v>34faa680ee9c4ad8b7a18f320e0ee136</x:v>
      </x:c>
      <x:c r="C340" s="24" t="str">
        <x:v>ReceivingService.cs</x:v>
      </x:c>
      <x:c r="D340" s="24" t="str">
        <x:v>Code</x:v>
      </x:c>
      <x:c r="E340" s="24" t="str">
        <x:v>03_Assets_Internos</x:v>
      </x:c>
      <x:c r="F340" s="24" t="str">
        <x:v>INT-0336</x:v>
      </x:c>
      <x:c r="G340" s="24" t="str">
        <x:v>VRM Games / Blas Luis Rocha González</x:v>
      </x:c>
      <x:c r="H340" s="24" t="str">
        <x:v>Internal project IP / authorship claim</x:v>
      </x:c>
      <x:c r="I340" s="24" t="str">
        <x:v>Source package + repository path + hash</x:v>
      </x:c>
      <x:c r="J340" s="24" t="str">
        <x:v>2413c4fae24e45e52b5aba011a979050d3c76d26044d4e19eb07b89f0d9e4c44</x:v>
      </x:c>
      <x:c r="K340" s="24" t="str">
        <x:v>Assets/_Project/Scripts/Application/Receiving/ReceivingService.cs</x:v>
      </x:c>
      <x:c r="L340" s="24" t="str">
        <x:v>CR-003</x:v>
      </x:c>
      <x:c r="M340" s="24" t="str"/>
      <x:c r="N340" s="24" t="str">
        <x:v>RES-001;RES-014</x:v>
      </x:c>
      <x:c r="O340" s="24" t="str">
        <x:v>Internal development; public candidate requires gate</x:v>
      </x:c>
      <x:c r="P340" s="24" t="str">
        <x:v>CONDITIONALLY APPROVED</x:v>
      </x:c>
      <x:c r="Q340" s="24" t="str">
        <x:v>Low</x:v>
      </x:c>
      <x:c r="R340" s="24" t="str"/>
      <x:c r="S340" s="24" t="str">
        <x:v>Sí</x:v>
      </x:c>
      <x:c r="T340" s="24" t="str">
        <x:f>"T"&amp;IF(AND(H340&lt;&gt;"",I340&lt;&gt;"",J340&lt;&gt;"",L340&lt;&gt;"",N340&lt;&gt;"",O340&lt;&gt;"",P340="APPROVED PUBLIC",S340="Sí"),6,IF(AND(H340&lt;&gt;"",I340&lt;&gt;"",J340&lt;&gt;"",L340&lt;&gt;"",N340&lt;&gt;"",O340&lt;&gt;"",P340&lt;&gt;"",S340="Sí"),5,IF(AND(H340&lt;&gt;"",I340&lt;&gt;"",P340&lt;&gt;"",S340&lt;&gt;"No"),4,IF(AND(H340&lt;&gt;"",I340&lt;&gt;""),3,IF(F340&lt;&gt;"",2,1)))))</x:f>
        <x:v>T5</x:v>
      </x:c>
      <x:c r="U340" s="24" t="str">
        <x:v>VRM Games</x:v>
      </x:c>
      <x:c r="V340" s="24" t="str">
        <x:v>No se detectó proveedor externo en la ruta; confirmar autoría por lote antes de release público.</x:v>
      </x:c>
    </x:row>
    <x:row r="341" ht="34" customHeight="1">
      <x:c r="A341" s="24" t="str">
        <x:v>TRC-00337</x:v>
      </x:c>
      <x:c r="B341" s="24" t="str">
        <x:v>866314074dac4f219a81ab3d2ecc98df</x:v>
      </x:c>
      <x:c r="C341" s="24" t="str">
        <x:v>SupplierDeliveryService.cs</x:v>
      </x:c>
      <x:c r="D341" s="24" t="str">
        <x:v>Code</x:v>
      </x:c>
      <x:c r="E341" s="24" t="str">
        <x:v>03_Assets_Internos</x:v>
      </x:c>
      <x:c r="F341" s="24" t="str">
        <x:v>INT-0337</x:v>
      </x:c>
      <x:c r="G341" s="24" t="str">
        <x:v>VRM Games / Blas Luis Rocha González</x:v>
      </x:c>
      <x:c r="H341" s="24" t="str">
        <x:v>Internal project IP / authorship claim</x:v>
      </x:c>
      <x:c r="I341" s="24" t="str">
        <x:v>Source package + repository path + hash</x:v>
      </x:c>
      <x:c r="J341" s="24" t="str">
        <x:v>0f5b77bf7d2753c1ce9a9a58ff0e0cb7561decc53c93d3f98fafa1cc95dd99c2</x:v>
      </x:c>
      <x:c r="K341" s="24" t="str">
        <x:v>Assets/_Project/Scripts/Application/Receiving/SupplierDeliveryService.cs</x:v>
      </x:c>
      <x:c r="L341" s="24" t="str">
        <x:v>CR-003</x:v>
      </x:c>
      <x:c r="M341" s="24" t="str"/>
      <x:c r="N341" s="24" t="str">
        <x:v>RES-001;RES-014</x:v>
      </x:c>
      <x:c r="O341" s="24" t="str">
        <x:v>Internal development; public candidate requires gate</x:v>
      </x:c>
      <x:c r="P341" s="24" t="str">
        <x:v>CONDITIONALLY APPROVED</x:v>
      </x:c>
      <x:c r="Q341" s="24" t="str">
        <x:v>Low</x:v>
      </x:c>
      <x:c r="R341" s="24" t="str"/>
      <x:c r="S341" s="24" t="str">
        <x:v>Sí</x:v>
      </x:c>
      <x:c r="T341" s="24" t="str">
        <x:f>"T"&amp;IF(AND(H341&lt;&gt;"",I341&lt;&gt;"",J341&lt;&gt;"",L341&lt;&gt;"",N341&lt;&gt;"",O341&lt;&gt;"",P341="APPROVED PUBLIC",S341="Sí"),6,IF(AND(H341&lt;&gt;"",I341&lt;&gt;"",J341&lt;&gt;"",L341&lt;&gt;"",N341&lt;&gt;"",O341&lt;&gt;"",P341&lt;&gt;"",S341="Sí"),5,IF(AND(H341&lt;&gt;"",I341&lt;&gt;"",P341&lt;&gt;"",S341&lt;&gt;"No"),4,IF(AND(H341&lt;&gt;"",I341&lt;&gt;""),3,IF(F341&lt;&gt;"",2,1)))))</x:f>
        <x:v>T5</x:v>
      </x:c>
      <x:c r="U341" s="24" t="str">
        <x:v>VRM Games</x:v>
      </x:c>
      <x:c r="V341" s="24" t="str">
        <x:v>No se detectó proveedor externo en la ruta; confirmar autoría por lote antes de release público.</x:v>
      </x:c>
    </x:row>
    <x:row r="342" ht="34" customHeight="1">
      <x:c r="A342" s="24" t="str">
        <x:v>TRC-00338</x:v>
      </x:c>
      <x:c r="B342" s="24" t="str">
        <x:v>78244222a20d36d43853486b1a6d202d</x:v>
      </x:c>
      <x:c r="C342" s="24" t="str">
        <x:v>ISceneNavigationConsumer.cs</x:v>
      </x:c>
      <x:c r="D342" s="24" t="str">
        <x:v>Code</x:v>
      </x:c>
      <x:c r="E342" s="24" t="str">
        <x:v>03_Assets_Internos</x:v>
      </x:c>
      <x:c r="F342" s="24" t="str">
        <x:v>INT-0338</x:v>
      </x:c>
      <x:c r="G342" s="24" t="str">
        <x:v>VRM Games / Blas Luis Rocha González</x:v>
      </x:c>
      <x:c r="H342" s="24" t="str">
        <x:v>Internal project IP / authorship claim</x:v>
      </x:c>
      <x:c r="I342" s="24" t="str">
        <x:v>Source package + repository path + hash</x:v>
      </x:c>
      <x:c r="J342" s="24" t="str">
        <x:v>04cbbb1ad722035013f44543e3742bb583c39989efe3adb1460c280417298f79</x:v>
      </x:c>
      <x:c r="K342" s="24" t="str">
        <x:v>Assets/_Project/Scripts/Application/SceneFlow/ISceneNavigationConsumer.cs</x:v>
      </x:c>
      <x:c r="L342" s="24" t="str">
        <x:v>CR-003</x:v>
      </x:c>
      <x:c r="M342" s="24" t="str"/>
      <x:c r="N342" s="24" t="str">
        <x:v>RES-001;RES-014</x:v>
      </x:c>
      <x:c r="O342" s="24" t="str">
        <x:v>Internal development; public candidate requires gate</x:v>
      </x:c>
      <x:c r="P342" s="24" t="str">
        <x:v>CONDITIONALLY APPROVED</x:v>
      </x:c>
      <x:c r="Q342" s="24" t="str">
        <x:v>Low</x:v>
      </x:c>
      <x:c r="R342" s="24" t="str"/>
      <x:c r="S342" s="24" t="str">
        <x:v>Sí</x:v>
      </x:c>
      <x:c r="T342" s="24" t="str">
        <x:f>"T"&amp;IF(AND(H342&lt;&gt;"",I342&lt;&gt;"",J342&lt;&gt;"",L342&lt;&gt;"",N342&lt;&gt;"",O342&lt;&gt;"",P342="APPROVED PUBLIC",S342="Sí"),6,IF(AND(H342&lt;&gt;"",I342&lt;&gt;"",J342&lt;&gt;"",L342&lt;&gt;"",N342&lt;&gt;"",O342&lt;&gt;"",P342&lt;&gt;"",S342="Sí"),5,IF(AND(H342&lt;&gt;"",I342&lt;&gt;"",P342&lt;&gt;"",S342&lt;&gt;"No"),4,IF(AND(H342&lt;&gt;"",I342&lt;&gt;""),3,IF(F342&lt;&gt;"",2,1)))))</x:f>
        <x:v>T5</x:v>
      </x:c>
      <x:c r="U342" s="24" t="str">
        <x:v>VRM Games</x:v>
      </x:c>
      <x:c r="V342" s="24" t="str">
        <x:v>No se detectó proveedor externo en la ruta; confirmar autoría por lote antes de release público.</x:v>
      </x:c>
    </x:row>
    <x:row r="343" ht="34" customHeight="1">
      <x:c r="A343" s="24" t="str">
        <x:v>TRC-00339</x:v>
      </x:c>
      <x:c r="B343" s="24" t="str">
        <x:v>ea6014b26144c9544a8d3ae92bf83a4d</x:v>
      </x:c>
      <x:c r="C343" s="24" t="str">
        <x:v>ISceneNavigator.cs</x:v>
      </x:c>
      <x:c r="D343" s="24" t="str">
        <x:v>Code</x:v>
      </x:c>
      <x:c r="E343" s="24" t="str">
        <x:v>03_Assets_Internos</x:v>
      </x:c>
      <x:c r="F343" s="24" t="str">
        <x:v>INT-0339</x:v>
      </x:c>
      <x:c r="G343" s="24" t="str">
        <x:v>VRM Games / Blas Luis Rocha González</x:v>
      </x:c>
      <x:c r="H343" s="24" t="str">
        <x:v>Internal project IP / authorship claim</x:v>
      </x:c>
      <x:c r="I343" s="24" t="str">
        <x:v>Source package + repository path + hash</x:v>
      </x:c>
      <x:c r="J343" s="24" t="str">
        <x:v>46bd710c4baef3dc447dd2fa607e64a206e008486638b362b1f7f936a26d895b</x:v>
      </x:c>
      <x:c r="K343" s="24" t="str">
        <x:v>Assets/_Project/Scripts/Application/SceneFlow/ISceneNavigator.cs</x:v>
      </x:c>
      <x:c r="L343" s="24" t="str">
        <x:v>CR-003</x:v>
      </x:c>
      <x:c r="M343" s="24" t="str"/>
      <x:c r="N343" s="24" t="str">
        <x:v>RES-001;RES-014</x:v>
      </x:c>
      <x:c r="O343" s="24" t="str">
        <x:v>Internal development; public candidate requires gate</x:v>
      </x:c>
      <x:c r="P343" s="24" t="str">
        <x:v>CONDITIONALLY APPROVED</x:v>
      </x:c>
      <x:c r="Q343" s="24" t="str">
        <x:v>Low</x:v>
      </x:c>
      <x:c r="R343" s="24" t="str"/>
      <x:c r="S343" s="24" t="str">
        <x:v>Sí</x:v>
      </x:c>
      <x:c r="T343" s="24" t="str">
        <x:f>"T"&amp;IF(AND(H343&lt;&gt;"",I343&lt;&gt;"",J343&lt;&gt;"",L343&lt;&gt;"",N343&lt;&gt;"",O343&lt;&gt;"",P343="APPROVED PUBLIC",S343="Sí"),6,IF(AND(H343&lt;&gt;"",I343&lt;&gt;"",J343&lt;&gt;"",L343&lt;&gt;"",N343&lt;&gt;"",O343&lt;&gt;"",P343&lt;&gt;"",S343="Sí"),5,IF(AND(H343&lt;&gt;"",I343&lt;&gt;"",P343&lt;&gt;"",S343&lt;&gt;"No"),4,IF(AND(H343&lt;&gt;"",I343&lt;&gt;""),3,IF(F343&lt;&gt;"",2,1)))))</x:f>
        <x:v>T5</x:v>
      </x:c>
      <x:c r="U343" s="24" t="str">
        <x:v>VRM Games</x:v>
      </x:c>
      <x:c r="V343" s="24" t="str">
        <x:v>No se detectó proveedor externo en la ruta; confirmar autoría por lote antes de release público.</x:v>
      </x:c>
    </x:row>
    <x:row r="344" ht="34" customHeight="1">
      <x:c r="A344" s="24" t="str">
        <x:v>TRC-00340</x:v>
      </x:c>
      <x:c r="B344" s="24" t="str">
        <x:v>ffc6f1aeea406cc4eb2268ccf96e3af6</x:v>
      </x:c>
      <x:c r="C344" s="24" t="str">
        <x:v>SceneId.cs</x:v>
      </x:c>
      <x:c r="D344" s="24" t="str">
        <x:v>Code</x:v>
      </x:c>
      <x:c r="E344" s="24" t="str">
        <x:v>03_Assets_Internos</x:v>
      </x:c>
      <x:c r="F344" s="24" t="str">
        <x:v>INT-0340</x:v>
      </x:c>
      <x:c r="G344" s="24" t="str">
        <x:v>VRM Games / Blas Luis Rocha González</x:v>
      </x:c>
      <x:c r="H344" s="24" t="str">
        <x:v>Internal project IP / authorship claim</x:v>
      </x:c>
      <x:c r="I344" s="24" t="str">
        <x:v>Source package + repository path + hash</x:v>
      </x:c>
      <x:c r="J344" s="24" t="str">
        <x:v>f27df1b8cf85b6c9fa6980102c69268daaa234affd255fe34480425c054cb889</x:v>
      </x:c>
      <x:c r="K344" s="24" t="str">
        <x:v>Assets/_Project/Scripts/Application/SceneFlow/SceneId.cs</x:v>
      </x:c>
      <x:c r="L344" s="24" t="str">
        <x:v>CR-003</x:v>
      </x:c>
      <x:c r="M344" s="24" t="str"/>
      <x:c r="N344" s="24" t="str">
        <x:v>RES-001;RES-014</x:v>
      </x:c>
      <x:c r="O344" s="24" t="str">
        <x:v>Internal development; public candidate requires gate</x:v>
      </x:c>
      <x:c r="P344" s="24" t="str">
        <x:v>CONDITIONALLY APPROVED</x:v>
      </x:c>
      <x:c r="Q344" s="24" t="str">
        <x:v>Low</x:v>
      </x:c>
      <x:c r="R344" s="24" t="str"/>
      <x:c r="S344" s="24" t="str">
        <x:v>Sí</x:v>
      </x:c>
      <x:c r="T344" s="24" t="str">
        <x:f>"T"&amp;IF(AND(H344&lt;&gt;"",I344&lt;&gt;"",J344&lt;&gt;"",L344&lt;&gt;"",N344&lt;&gt;"",O344&lt;&gt;"",P344="APPROVED PUBLIC",S344="Sí"),6,IF(AND(H344&lt;&gt;"",I344&lt;&gt;"",J344&lt;&gt;"",L344&lt;&gt;"",N344&lt;&gt;"",O344&lt;&gt;"",P344&lt;&gt;"",S344="Sí"),5,IF(AND(H344&lt;&gt;"",I344&lt;&gt;"",P344&lt;&gt;"",S344&lt;&gt;"No"),4,IF(AND(H344&lt;&gt;"",I344&lt;&gt;""),3,IF(F344&lt;&gt;"",2,1)))))</x:f>
        <x:v>T5</x:v>
      </x:c>
      <x:c r="U344" s="24" t="str">
        <x:v>VRM Games</x:v>
      </x:c>
      <x:c r="V344" s="24" t="str">
        <x:v>No se detectó proveedor externo en la ruta; confirmar autoría por lote antes de release público.</x:v>
      </x:c>
    </x:row>
    <x:row r="345" ht="34" customHeight="1">
      <x:c r="A345" s="24" t="str">
        <x:v>TRC-00341</x:v>
      </x:c>
      <x:c r="B345" s="24" t="str">
        <x:v>6a64a37ff03602e4ca80f5d6e52631f9</x:v>
      </x:c>
      <x:c r="C345" s="24" t="str">
        <x:v>SceneTransitionGate.cs</x:v>
      </x:c>
      <x:c r="D345" s="24" t="str">
        <x:v>Code</x:v>
      </x:c>
      <x:c r="E345" s="24" t="str">
        <x:v>03_Assets_Internos</x:v>
      </x:c>
      <x:c r="F345" s="24" t="str">
        <x:v>INT-0341</x:v>
      </x:c>
      <x:c r="G345" s="24" t="str">
        <x:v>VRM Games / Blas Luis Rocha González</x:v>
      </x:c>
      <x:c r="H345" s="24" t="str">
        <x:v>Internal project IP / authorship claim</x:v>
      </x:c>
      <x:c r="I345" s="24" t="str">
        <x:v>Source package + repository path + hash</x:v>
      </x:c>
      <x:c r="J345" s="24" t="str">
        <x:v>3eb3d2c496988c728b0f0946260763cdeddcfc48f8f31e2102dbebd86c545880</x:v>
      </x:c>
      <x:c r="K345" s="24" t="str">
        <x:v>Assets/_Project/Scripts/Application/SceneFlow/SceneTransitionGate.cs</x:v>
      </x:c>
      <x:c r="L345" s="24" t="str">
        <x:v>CR-003</x:v>
      </x:c>
      <x:c r="M345" s="24" t="str"/>
      <x:c r="N345" s="24" t="str">
        <x:v>RES-001;RES-014</x:v>
      </x:c>
      <x:c r="O345" s="24" t="str">
        <x:v>Internal development; public candidate requires gate</x:v>
      </x:c>
      <x:c r="P345" s="24" t="str">
        <x:v>CONDITIONALLY APPROVED</x:v>
      </x:c>
      <x:c r="Q345" s="24" t="str">
        <x:v>Low</x:v>
      </x:c>
      <x:c r="R345" s="24" t="str"/>
      <x:c r="S345" s="24" t="str">
        <x:v>Sí</x:v>
      </x:c>
      <x:c r="T345" s="24" t="str">
        <x:f>"T"&amp;IF(AND(H345&lt;&gt;"",I345&lt;&gt;"",J345&lt;&gt;"",L345&lt;&gt;"",N345&lt;&gt;"",O345&lt;&gt;"",P345="APPROVED PUBLIC",S345="Sí"),6,IF(AND(H345&lt;&gt;"",I345&lt;&gt;"",J345&lt;&gt;"",L345&lt;&gt;"",N345&lt;&gt;"",O345&lt;&gt;"",P345&lt;&gt;"",S345="Sí"),5,IF(AND(H345&lt;&gt;"",I345&lt;&gt;"",P345&lt;&gt;"",S345&lt;&gt;"No"),4,IF(AND(H345&lt;&gt;"",I345&lt;&gt;""),3,IF(F345&lt;&gt;"",2,1)))))</x:f>
        <x:v>T5</x:v>
      </x:c>
      <x:c r="U345" s="24" t="str">
        <x:v>VRM Games</x:v>
      </x:c>
      <x:c r="V345" s="24" t="str">
        <x:v>No se detectó proveedor externo en la ruta; confirmar autoría por lote antes de release público.</x:v>
      </x:c>
    </x:row>
    <x:row r="346" ht="34" customHeight="1">
      <x:c r="A346" s="24" t="str">
        <x:v>TRC-00342</x:v>
      </x:c>
      <x:c r="B346" s="24" t="str">
        <x:v>807af791056022948b1fbdf32f31e5f5</x:v>
      </x:c>
      <x:c r="C346" s="24" t="str">
        <x:v>SceneTransitionRequestResult.cs</x:v>
      </x:c>
      <x:c r="D346" s="24" t="str">
        <x:v>Code</x:v>
      </x:c>
      <x:c r="E346" s="24" t="str">
        <x:v>03_Assets_Internos</x:v>
      </x:c>
      <x:c r="F346" s="24" t="str">
        <x:v>INT-0342</x:v>
      </x:c>
      <x:c r="G346" s="24" t="str">
        <x:v>VRM Games / Blas Luis Rocha González</x:v>
      </x:c>
      <x:c r="H346" s="24" t="str">
        <x:v>Internal project IP / authorship claim</x:v>
      </x:c>
      <x:c r="I346" s="24" t="str">
        <x:v>Source package + repository path + hash</x:v>
      </x:c>
      <x:c r="J346" s="24" t="str">
        <x:v>f13e6a1287907f08edffdeca701373bc9f4cefcd6d1eb07c7bfeb5818dfb5dde</x:v>
      </x:c>
      <x:c r="K346" s="24" t="str">
        <x:v>Assets/_Project/Scripts/Application/SceneFlow/SceneTransitionRequestResult.cs</x:v>
      </x:c>
      <x:c r="L346" s="24" t="str">
        <x:v>CR-003</x:v>
      </x:c>
      <x:c r="M346" s="24" t="str"/>
      <x:c r="N346" s="24" t="str">
        <x:v>RES-001;RES-014</x:v>
      </x:c>
      <x:c r="O346" s="24" t="str">
        <x:v>Internal development; public candidate requires gate</x:v>
      </x:c>
      <x:c r="P346" s="24" t="str">
        <x:v>CONDITIONALLY APPROVED</x:v>
      </x:c>
      <x:c r="Q346" s="24" t="str">
        <x:v>Low</x:v>
      </x:c>
      <x:c r="R346" s="24" t="str"/>
      <x:c r="S346" s="24" t="str">
        <x:v>Sí</x:v>
      </x:c>
      <x:c r="T346" s="24" t="str">
        <x:f>"T"&amp;IF(AND(H346&lt;&gt;"",I346&lt;&gt;"",J346&lt;&gt;"",L346&lt;&gt;"",N346&lt;&gt;"",O346&lt;&gt;"",P346="APPROVED PUBLIC",S346="Sí"),6,IF(AND(H346&lt;&gt;"",I346&lt;&gt;"",J346&lt;&gt;"",L346&lt;&gt;"",N346&lt;&gt;"",O346&lt;&gt;"",P346&lt;&gt;"",S346="Sí"),5,IF(AND(H346&lt;&gt;"",I346&lt;&gt;"",P346&lt;&gt;"",S346&lt;&gt;"No"),4,IF(AND(H346&lt;&gt;"",I346&lt;&gt;""),3,IF(F346&lt;&gt;"",2,1)))))</x:f>
        <x:v>T5</x:v>
      </x:c>
      <x:c r="U346" s="24" t="str">
        <x:v>VRM Games</x:v>
      </x:c>
      <x:c r="V346" s="24" t="str">
        <x:v>No se detectó proveedor externo en la ruta; confirmar autoría por lote antes de release público.</x:v>
      </x:c>
    </x:row>
    <x:row r="347" ht="34" customHeight="1">
      <x:c r="A347" s="24" t="str">
        <x:v>TRC-00343</x:v>
      </x:c>
      <x:c r="B347" s="24" t="str">
        <x:v>2051d19d8493477dba5528d03dd19c42</x:v>
      </x:c>
      <x:c r="C347" s="24" t="str">
        <x:v>ShoppingAvailabilityAndSearch.cs</x:v>
      </x:c>
      <x:c r="D347" s="24" t="str">
        <x:v>Code</x:v>
      </x:c>
      <x:c r="E347" s="24" t="str">
        <x:v>03_Assets_Internos</x:v>
      </x:c>
      <x:c r="F347" s="24" t="str">
        <x:v>INT-0343</x:v>
      </x:c>
      <x:c r="G347" s="24" t="str">
        <x:v>VRM Games / Blas Luis Rocha González</x:v>
      </x:c>
      <x:c r="H347" s="24" t="str">
        <x:v>Internal project IP / authorship claim</x:v>
      </x:c>
      <x:c r="I347" s="24" t="str">
        <x:v>Source package + repository path + hash</x:v>
      </x:c>
      <x:c r="J347" s="24" t="str">
        <x:v>3d1a5f5010a7d462ee3f20f3b3dda1637b66c952a42d37dd5db922aecb3d529e</x:v>
      </x:c>
      <x:c r="K347" s="24" t="str">
        <x:v>Assets/_Project/Scripts/Application/Shopping/ShoppingAvailabilityAndSearch.cs</x:v>
      </x:c>
      <x:c r="L347" s="24" t="str">
        <x:v>CR-003</x:v>
      </x:c>
      <x:c r="M347" s="24" t="str"/>
      <x:c r="N347" s="24" t="str">
        <x:v>RES-001;RES-014</x:v>
      </x:c>
      <x:c r="O347" s="24" t="str">
        <x:v>Internal development; public candidate requires gate</x:v>
      </x:c>
      <x:c r="P347" s="24" t="str">
        <x:v>CONDITIONALLY APPROVED</x:v>
      </x:c>
      <x:c r="Q347" s="24" t="str">
        <x:v>Low</x:v>
      </x:c>
      <x:c r="R347" s="24" t="str"/>
      <x:c r="S347" s="24" t="str">
        <x:v>Sí</x:v>
      </x:c>
      <x:c r="T347" s="24" t="str">
        <x:f>"T"&amp;IF(AND(H347&lt;&gt;"",I347&lt;&gt;"",J347&lt;&gt;"",L347&lt;&gt;"",N347&lt;&gt;"",O347&lt;&gt;"",P347="APPROVED PUBLIC",S347="Sí"),6,IF(AND(H347&lt;&gt;"",I347&lt;&gt;"",J347&lt;&gt;"",L347&lt;&gt;"",N347&lt;&gt;"",O347&lt;&gt;"",P347&lt;&gt;"",S347="Sí"),5,IF(AND(H347&lt;&gt;"",I347&lt;&gt;"",P347&lt;&gt;"",S347&lt;&gt;"No"),4,IF(AND(H347&lt;&gt;"",I347&lt;&gt;""),3,IF(F347&lt;&gt;"",2,1)))))</x:f>
        <x:v>T5</x:v>
      </x:c>
      <x:c r="U347" s="24" t="str">
        <x:v>VRM Games</x:v>
      </x:c>
      <x:c r="V347" s="24" t="str">
        <x:v>No se detectó proveedor externo en la ruta; confirmar autoría por lote antes de release público.</x:v>
      </x:c>
    </x:row>
    <x:row r="348" ht="34" customHeight="1">
      <x:c r="A348" s="24" t="str">
        <x:v>TRC-00344</x:v>
      </x:c>
      <x:c r="B348" s="24" t="str">
        <x:v>10643f065ac643bebbf635b54b077ca1</x:v>
      </x:c>
      <x:c r="C348" s="24" t="str">
        <x:v>ShoppingCartAndConsistencyServices.cs</x:v>
      </x:c>
      <x:c r="D348" s="24" t="str">
        <x:v>Code</x:v>
      </x:c>
      <x:c r="E348" s="24" t="str">
        <x:v>03_Assets_Internos</x:v>
      </x:c>
      <x:c r="F348" s="24" t="str">
        <x:v>INT-0344</x:v>
      </x:c>
      <x:c r="G348" s="24" t="str">
        <x:v>VRM Games / Blas Luis Rocha González</x:v>
      </x:c>
      <x:c r="H348" s="24" t="str">
        <x:v>Internal project IP / authorship claim</x:v>
      </x:c>
      <x:c r="I348" s="24" t="str">
        <x:v>Source package + repository path + hash</x:v>
      </x:c>
      <x:c r="J348" s="24" t="str">
        <x:v>9575ad23d0ca95e155e04f26d18569bafe24856b89b64f11157bbf42d0bddcc9</x:v>
      </x:c>
      <x:c r="K348" s="24" t="str">
        <x:v>Assets/_Project/Scripts/Application/Shopping/ShoppingCartAndConsistencyServices.cs</x:v>
      </x:c>
      <x:c r="L348" s="24" t="str">
        <x:v>CR-003</x:v>
      </x:c>
      <x:c r="M348" s="24" t="str"/>
      <x:c r="N348" s="24" t="str">
        <x:v>RES-001;RES-014</x:v>
      </x:c>
      <x:c r="O348" s="24" t="str">
        <x:v>Internal development; public candidate requires gate</x:v>
      </x:c>
      <x:c r="P348" s="24" t="str">
        <x:v>CONDITIONALLY APPROVED</x:v>
      </x:c>
      <x:c r="Q348" s="24" t="str">
        <x:v>Low</x:v>
      </x:c>
      <x:c r="R348" s="24" t="str"/>
      <x:c r="S348" s="24" t="str">
        <x:v>Sí</x:v>
      </x:c>
      <x:c r="T348" s="24" t="str">
        <x:f>"T"&amp;IF(AND(H348&lt;&gt;"",I348&lt;&gt;"",J348&lt;&gt;"",L348&lt;&gt;"",N348&lt;&gt;"",O348&lt;&gt;"",P348="APPROVED PUBLIC",S348="Sí"),6,IF(AND(H348&lt;&gt;"",I348&lt;&gt;"",J348&lt;&gt;"",L348&lt;&gt;"",N348&lt;&gt;"",O348&lt;&gt;"",P348&lt;&gt;"",S348="Sí"),5,IF(AND(H348&lt;&gt;"",I348&lt;&gt;"",P348&lt;&gt;"",S348&lt;&gt;"No"),4,IF(AND(H348&lt;&gt;"",I348&lt;&gt;""),3,IF(F348&lt;&gt;"",2,1)))))</x:f>
        <x:v>T5</x:v>
      </x:c>
      <x:c r="U348" s="24" t="str">
        <x:v>VRM Games</x:v>
      </x:c>
      <x:c r="V348" s="24" t="str">
        <x:v>No se detectó proveedor externo en la ruta; confirmar autoría por lote antes de release público.</x:v>
      </x:c>
    </x:row>
    <x:row r="349" ht="34" customHeight="1">
      <x:c r="A349" s="24" t="str">
        <x:v>TRC-00345</x:v>
      </x:c>
      <x:c r="B349" s="24" t="str">
        <x:v>405071dbf6114ed0878ba3a042b595e1</x:v>
      </x:c>
      <x:c r="C349" s="24" t="str">
        <x:v>ShoppingIntentAndFlowServices.cs</x:v>
      </x:c>
      <x:c r="D349" s="24" t="str">
        <x:v>Code</x:v>
      </x:c>
      <x:c r="E349" s="24" t="str">
        <x:v>03_Assets_Internos</x:v>
      </x:c>
      <x:c r="F349" s="24" t="str">
        <x:v>INT-0345</x:v>
      </x:c>
      <x:c r="G349" s="24" t="str">
        <x:v>VRM Games / Blas Luis Rocha González</x:v>
      </x:c>
      <x:c r="H349" s="24" t="str">
        <x:v>Internal project IP / authorship claim</x:v>
      </x:c>
      <x:c r="I349" s="24" t="str">
        <x:v>Source package + repository path + hash</x:v>
      </x:c>
      <x:c r="J349" s="24" t="str">
        <x:v>3a0cc81d7ad818a3e82dac47888be9e110acc78d26a18389cbb51fd8000bdf53</x:v>
      </x:c>
      <x:c r="K349" s="24" t="str">
        <x:v>Assets/_Project/Scripts/Application/Shopping/ShoppingIntentAndFlowServices.cs</x:v>
      </x:c>
      <x:c r="L349" s="24" t="str">
        <x:v>CR-003</x:v>
      </x:c>
      <x:c r="M349" s="24" t="str"/>
      <x:c r="N349" s="24" t="str">
        <x:v>RES-001;RES-014</x:v>
      </x:c>
      <x:c r="O349" s="24" t="str">
        <x:v>Internal development; public candidate requires gate</x:v>
      </x:c>
      <x:c r="P349" s="24" t="str">
        <x:v>CONDITIONALLY APPROVED</x:v>
      </x:c>
      <x:c r="Q349" s="24" t="str">
        <x:v>Low</x:v>
      </x:c>
      <x:c r="R349" s="24" t="str"/>
      <x:c r="S349" s="24" t="str">
        <x:v>Sí</x:v>
      </x:c>
      <x:c r="T349" s="24" t="str">
        <x:f>"T"&amp;IF(AND(H349&lt;&gt;"",I349&lt;&gt;"",J349&lt;&gt;"",L349&lt;&gt;"",N349&lt;&gt;"",O349&lt;&gt;"",P349="APPROVED PUBLIC",S349="Sí"),6,IF(AND(H349&lt;&gt;"",I349&lt;&gt;"",J349&lt;&gt;"",L349&lt;&gt;"",N349&lt;&gt;"",O349&lt;&gt;"",P349&lt;&gt;"",S349="Sí"),5,IF(AND(H349&lt;&gt;"",I349&lt;&gt;"",P349&lt;&gt;"",S349&lt;&gt;"No"),4,IF(AND(H349&lt;&gt;"",I349&lt;&gt;""),3,IF(F349&lt;&gt;"",2,1)))))</x:f>
        <x:v>T5</x:v>
      </x:c>
      <x:c r="U349" s="24" t="str">
        <x:v>VRM Games</x:v>
      </x:c>
      <x:c r="V349" s="24" t="str">
        <x:v>No se detectó proveedor externo en la ruta; confirmar autoría por lote antes de release público.</x:v>
      </x:c>
    </x:row>
    <x:row r="350" ht="34" customHeight="1">
      <x:c r="A350" s="24" t="str">
        <x:v>TRC-00346</x:v>
      </x:c>
      <x:c r="B350" s="24" t="str">
        <x:v>4cf5c097da37427d81caa565e7d9000a</x:v>
      </x:c>
      <x:c r="C350" s="24" t="str">
        <x:v>ShoppingReservationService.cs</x:v>
      </x:c>
      <x:c r="D350" s="24" t="str">
        <x:v>Code</x:v>
      </x:c>
      <x:c r="E350" s="24" t="str">
        <x:v>03_Assets_Internos</x:v>
      </x:c>
      <x:c r="F350" s="24" t="str">
        <x:v>INT-0346</x:v>
      </x:c>
      <x:c r="G350" s="24" t="str">
        <x:v>VRM Games / Blas Luis Rocha González</x:v>
      </x:c>
      <x:c r="H350" s="24" t="str">
        <x:v>Internal project IP / authorship claim</x:v>
      </x:c>
      <x:c r="I350" s="24" t="str">
        <x:v>Source package + repository path + hash</x:v>
      </x:c>
      <x:c r="J350" s="24" t="str">
        <x:v>571e367e95ddfd0cfaaec0f7368b2076581b841bf1bba5314a10ebfb4cc60ed6</x:v>
      </x:c>
      <x:c r="K350" s="24" t="str">
        <x:v>Assets/_Project/Scripts/Application/Shopping/ShoppingReservationService.cs</x:v>
      </x:c>
      <x:c r="L350" s="24" t="str">
        <x:v>CR-003</x:v>
      </x:c>
      <x:c r="M350" s="24" t="str"/>
      <x:c r="N350" s="24" t="str">
        <x:v>RES-001;RES-014</x:v>
      </x:c>
      <x:c r="O350" s="24" t="str">
        <x:v>Internal development; public candidate requires gate</x:v>
      </x:c>
      <x:c r="P350" s="24" t="str">
        <x:v>CONDITIONALLY APPROVED</x:v>
      </x:c>
      <x:c r="Q350" s="24" t="str">
        <x:v>Low</x:v>
      </x:c>
      <x:c r="R350" s="24" t="str"/>
      <x:c r="S350" s="24" t="str">
        <x:v>Sí</x:v>
      </x:c>
      <x:c r="T350" s="24" t="str">
        <x:f>"T"&amp;IF(AND(H350&lt;&gt;"",I350&lt;&gt;"",J350&lt;&gt;"",L350&lt;&gt;"",N350&lt;&gt;"",O350&lt;&gt;"",P350="APPROVED PUBLIC",S350="Sí"),6,IF(AND(H350&lt;&gt;"",I350&lt;&gt;"",J350&lt;&gt;"",L350&lt;&gt;"",N350&lt;&gt;"",O350&lt;&gt;"",P350&lt;&gt;"",S350="Sí"),5,IF(AND(H350&lt;&gt;"",I350&lt;&gt;"",P350&lt;&gt;"",S350&lt;&gt;"No"),4,IF(AND(H350&lt;&gt;"",I350&lt;&gt;""),3,IF(F350&lt;&gt;"",2,1)))))</x:f>
        <x:v>T5</x:v>
      </x:c>
      <x:c r="U350" s="24" t="str">
        <x:v>VRM Games</x:v>
      </x:c>
      <x:c r="V350" s="24" t="str">
        <x:v>No se detectó proveedor externo en la ruta; confirmar autoría por lote antes de release público.</x:v>
      </x:c>
    </x:row>
    <x:row r="351" ht="34" customHeight="1">
      <x:c r="A351" s="24" t="str">
        <x:v>TRC-00347</x:v>
      </x:c>
      <x:c r="B351" s="24" t="str">
        <x:v>452301daa4e346fdbbc52e3567c0560d</x:v>
      </x:c>
      <x:c r="C351" s="24" t="str">
        <x:v>StoreShellSpecification.cs</x:v>
      </x:c>
      <x:c r="D351" s="24" t="str">
        <x:v>Code</x:v>
      </x:c>
      <x:c r="E351" s="24" t="str">
        <x:v>03_Assets_Internos</x:v>
      </x:c>
      <x:c r="F351" s="24" t="str">
        <x:v>INT-0347</x:v>
      </x:c>
      <x:c r="G351" s="24" t="str">
        <x:v>VRM Games / Blas Luis Rocha González</x:v>
      </x:c>
      <x:c r="H351" s="24" t="str">
        <x:v>Internal project IP / authorship claim</x:v>
      </x:c>
      <x:c r="I351" s="24" t="str">
        <x:v>Source package + repository path + hash</x:v>
      </x:c>
      <x:c r="J351" s="24" t="str">
        <x:v>296b2a87286cb8da26d045f4def209c892cfd45510711006016fb1ee9428da8f</x:v>
      </x:c>
      <x:c r="K351" s="24" t="str">
        <x:v>Assets/_Project/Scripts/Application/Store/StoreShellSpecification.cs</x:v>
      </x:c>
      <x:c r="L351" s="24" t="str">
        <x:v>CR-003</x:v>
      </x:c>
      <x:c r="M351" s="24" t="str"/>
      <x:c r="N351" s="24" t="str">
        <x:v>RES-001;RES-014</x:v>
      </x:c>
      <x:c r="O351" s="24" t="str">
        <x:v>Internal development; public candidate requires gate</x:v>
      </x:c>
      <x:c r="P351" s="24" t="str">
        <x:v>CONDITIONALLY APPROVED</x:v>
      </x:c>
      <x:c r="Q351" s="24" t="str">
        <x:v>Low</x:v>
      </x:c>
      <x:c r="R351" s="24" t="str"/>
      <x:c r="S351" s="24" t="str">
        <x:v>Sí</x:v>
      </x:c>
      <x:c r="T351" s="24" t="str">
        <x:f>"T"&amp;IF(AND(H351&lt;&gt;"",I351&lt;&gt;"",J351&lt;&gt;"",L351&lt;&gt;"",N351&lt;&gt;"",O351&lt;&gt;"",P351="APPROVED PUBLIC",S351="Sí"),6,IF(AND(H351&lt;&gt;"",I351&lt;&gt;"",J351&lt;&gt;"",L351&lt;&gt;"",N351&lt;&gt;"",O351&lt;&gt;"",P351&lt;&gt;"",S351="Sí"),5,IF(AND(H351&lt;&gt;"",I351&lt;&gt;"",P351&lt;&gt;"",S351&lt;&gt;"No"),4,IF(AND(H351&lt;&gt;"",I351&lt;&gt;""),3,IF(F351&lt;&gt;"",2,1)))))</x:f>
        <x:v>T5</x:v>
      </x:c>
      <x:c r="U351" s="24" t="str">
        <x:v>VRM Games</x:v>
      </x:c>
      <x:c r="V351" s="24" t="str">
        <x:v>No se detectó proveedor externo en la ruta; confirmar autoría por lote antes de release público.</x:v>
      </x:c>
    </x:row>
    <x:row r="352" ht="34" customHeight="1">
      <x:c r="A352" s="24" t="str">
        <x:v>TRC-00348</x:v>
      </x:c>
      <x:c r="B352" s="24" t="str">
        <x:v>d7253a6ac5694e24afe3f095e620c1b2</x:v>
      </x:c>
      <x:c r="C352" s="24" t="str">
        <x:v>AccessibilitySettingsService.cs</x:v>
      </x:c>
      <x:c r="D352" s="24" t="str">
        <x:v>Code</x:v>
      </x:c>
      <x:c r="E352" s="24" t="str">
        <x:v>03_Assets_Internos</x:v>
      </x:c>
      <x:c r="F352" s="24" t="str">
        <x:v>INT-0348</x:v>
      </x:c>
      <x:c r="G352" s="24" t="str">
        <x:v>VRM Games / Blas Luis Rocha González</x:v>
      </x:c>
      <x:c r="H352" s="24" t="str">
        <x:v>Internal project IP / authorship claim</x:v>
      </x:c>
      <x:c r="I352" s="24" t="str">
        <x:v>Source package + repository path + hash</x:v>
      </x:c>
      <x:c r="J352" s="24" t="str">
        <x:v>c4474286247b5c237cc064ee580df0e8f2c322a0433cab999e2285133d8ae1be</x:v>
      </x:c>
      <x:c r="K352" s="24" t="str">
        <x:v>Assets/_Project/Scripts/Application/UIUX/AccessibilitySettingsService.cs</x:v>
      </x:c>
      <x:c r="L352" s="24" t="str">
        <x:v>CR-003</x:v>
      </x:c>
      <x:c r="M352" s="24" t="str"/>
      <x:c r="N352" s="24" t="str">
        <x:v>RES-001;RES-014</x:v>
      </x:c>
      <x:c r="O352" s="24" t="str">
        <x:v>Internal development; public candidate requires gate</x:v>
      </x:c>
      <x:c r="P352" s="24" t="str">
        <x:v>CONDITIONALLY APPROVED</x:v>
      </x:c>
      <x:c r="Q352" s="24" t="str">
        <x:v>Low</x:v>
      </x:c>
      <x:c r="R352" s="24" t="str"/>
      <x:c r="S352" s="24" t="str">
        <x:v>Sí</x:v>
      </x:c>
      <x:c r="T352" s="24" t="str">
        <x:f>"T"&amp;IF(AND(H352&lt;&gt;"",I352&lt;&gt;"",J352&lt;&gt;"",L352&lt;&gt;"",N352&lt;&gt;"",O352&lt;&gt;"",P352="APPROVED PUBLIC",S352="Sí"),6,IF(AND(H352&lt;&gt;"",I352&lt;&gt;"",J352&lt;&gt;"",L352&lt;&gt;"",N352&lt;&gt;"",O352&lt;&gt;"",P352&lt;&gt;"",S352="Sí"),5,IF(AND(H352&lt;&gt;"",I352&lt;&gt;"",P352&lt;&gt;"",S352&lt;&gt;"No"),4,IF(AND(H352&lt;&gt;"",I352&lt;&gt;""),3,IF(F352&lt;&gt;"",2,1)))))</x:f>
        <x:v>T5</x:v>
      </x:c>
      <x:c r="U352" s="24" t="str">
        <x:v>VRM Games</x:v>
      </x:c>
      <x:c r="V352" s="24" t="str">
        <x:v>No se detectó proveedor externo en la ruta; confirmar autoría por lote antes de release público.</x:v>
      </x:c>
    </x:row>
    <x:row r="353" ht="34" customHeight="1">
      <x:c r="A353" s="24" t="str">
        <x:v>TRC-00349</x:v>
      </x:c>
      <x:c r="B353" s="24" t="str">
        <x:v>047150129994453fad4e95966e385505</x:v>
      </x:c>
      <x:c r="C353" s="24" t="str">
        <x:v>ActiveGameSessionService.cs</x:v>
      </x:c>
      <x:c r="D353" s="24" t="str">
        <x:v>Code</x:v>
      </x:c>
      <x:c r="E353" s="24" t="str">
        <x:v>03_Assets_Internos</x:v>
      </x:c>
      <x:c r="F353" s="24" t="str">
        <x:v>INT-0349</x:v>
      </x:c>
      <x:c r="G353" s="24" t="str">
        <x:v>VRM Games / Blas Luis Rocha González</x:v>
      </x:c>
      <x:c r="H353" s="24" t="str">
        <x:v>Internal project IP / authorship claim</x:v>
      </x:c>
      <x:c r="I353" s="24" t="str">
        <x:v>Source package + repository path + hash</x:v>
      </x:c>
      <x:c r="J353" s="24" t="str">
        <x:v>4e94f1455721e90006b47f789fbb2879d23d9380d88e1e72fe1f16cc48269a71</x:v>
      </x:c>
      <x:c r="K353" s="24" t="str">
        <x:v>Assets/_Project/Scripts/Application/UIUX/ActiveGameSessionService.cs</x:v>
      </x:c>
      <x:c r="L353" s="24" t="str">
        <x:v>CR-003</x:v>
      </x:c>
      <x:c r="M353" s="24" t="str"/>
      <x:c r="N353" s="24" t="str">
        <x:v>RES-001;RES-014</x:v>
      </x:c>
      <x:c r="O353" s="24" t="str">
        <x:v>Internal development; public candidate requires gate</x:v>
      </x:c>
      <x:c r="P353" s="24" t="str">
        <x:v>CONDITIONALLY APPROVED</x:v>
      </x:c>
      <x:c r="Q353" s="24" t="str">
        <x:v>Low</x:v>
      </x:c>
      <x:c r="R353" s="24" t="str"/>
      <x:c r="S353" s="24" t="str">
        <x:v>Sí</x:v>
      </x:c>
      <x:c r="T353" s="24" t="str">
        <x:f>"T"&amp;IF(AND(H353&lt;&gt;"",I353&lt;&gt;"",J353&lt;&gt;"",L353&lt;&gt;"",N353&lt;&gt;"",O353&lt;&gt;"",P353="APPROVED PUBLIC",S353="Sí"),6,IF(AND(H353&lt;&gt;"",I353&lt;&gt;"",J353&lt;&gt;"",L353&lt;&gt;"",N353&lt;&gt;"",O353&lt;&gt;"",P353&lt;&gt;"",S353="Sí"),5,IF(AND(H353&lt;&gt;"",I353&lt;&gt;"",P353&lt;&gt;"",S353&lt;&gt;"No"),4,IF(AND(H353&lt;&gt;"",I353&lt;&gt;""),3,IF(F353&lt;&gt;"",2,1)))))</x:f>
        <x:v>T5</x:v>
      </x:c>
      <x:c r="U353" s="24" t="str">
        <x:v>VRM Games</x:v>
      </x:c>
      <x:c r="V353" s="24" t="str">
        <x:v>No se detectó proveedor externo en la ruta; confirmar autoría por lote antes de release público.</x:v>
      </x:c>
    </x:row>
    <x:row r="354" ht="34" customHeight="1">
      <x:c r="A354" s="24" t="str">
        <x:v>TRC-00350</x:v>
      </x:c>
      <x:c r="B354" s="24" t="str">
        <x:v>c3213fd8f35a469a87fc0b2ea3bad447</x:v>
      </x:c>
      <x:c r="C354" s="24" t="str">
        <x:v>DailyAutosaveService.cs</x:v>
      </x:c>
      <x:c r="D354" s="24" t="str">
        <x:v>Code</x:v>
      </x:c>
      <x:c r="E354" s="24" t="str">
        <x:v>03_Assets_Internos</x:v>
      </x:c>
      <x:c r="F354" s="24" t="str">
        <x:v>INT-0350</x:v>
      </x:c>
      <x:c r="G354" s="24" t="str">
        <x:v>VRM Games / Blas Luis Rocha González</x:v>
      </x:c>
      <x:c r="H354" s="24" t="str">
        <x:v>Internal project IP / authorship claim</x:v>
      </x:c>
      <x:c r="I354" s="24" t="str">
        <x:v>Source package + repository path + hash</x:v>
      </x:c>
      <x:c r="J354" s="24" t="str">
        <x:v>f28ea58bdd0efc43e539e1a1fe18531fd824558ba0fee03a947aeff4598330f4</x:v>
      </x:c>
      <x:c r="K354" s="24" t="str">
        <x:v>Assets/_Project/Scripts/Application/UIUX/DailyAutosaveService.cs</x:v>
      </x:c>
      <x:c r="L354" s="24" t="str">
        <x:v>CR-003</x:v>
      </x:c>
      <x:c r="M354" s="24" t="str"/>
      <x:c r="N354" s="24" t="str">
        <x:v>RES-001;RES-014</x:v>
      </x:c>
      <x:c r="O354" s="24" t="str">
        <x:v>Internal development; public candidate requires gate</x:v>
      </x:c>
      <x:c r="P354" s="24" t="str">
        <x:v>CONDITIONALLY APPROVED</x:v>
      </x:c>
      <x:c r="Q354" s="24" t="str">
        <x:v>Low</x:v>
      </x:c>
      <x:c r="R354" s="24" t="str"/>
      <x:c r="S354" s="24" t="str">
        <x:v>Sí</x:v>
      </x:c>
      <x:c r="T354" s="24" t="str">
        <x:f>"T"&amp;IF(AND(H354&lt;&gt;"",I354&lt;&gt;"",J354&lt;&gt;"",L354&lt;&gt;"",N354&lt;&gt;"",O354&lt;&gt;"",P354="APPROVED PUBLIC",S354="Sí"),6,IF(AND(H354&lt;&gt;"",I354&lt;&gt;"",J354&lt;&gt;"",L354&lt;&gt;"",N354&lt;&gt;"",O354&lt;&gt;"",P354&lt;&gt;"",S354="Sí"),5,IF(AND(H354&lt;&gt;"",I354&lt;&gt;"",P354&lt;&gt;"",S354&lt;&gt;"No"),4,IF(AND(H354&lt;&gt;"",I354&lt;&gt;""),3,IF(F354&lt;&gt;"",2,1)))))</x:f>
        <x:v>T5</x:v>
      </x:c>
      <x:c r="U354" s="24" t="str">
        <x:v>VRM Games</x:v>
      </x:c>
      <x:c r="V354" s="24" t="str">
        <x:v>No se detectó proveedor externo en la ruta; confirmar autoría por lote antes de release público.</x:v>
      </x:c>
    </x:row>
    <x:row r="355" ht="34" customHeight="1">
      <x:c r="A355" s="24" t="str">
        <x:v>TRC-00351</x:v>
      </x:c>
      <x:c r="B355" s="24" t="str">
        <x:v>22a61e36aa8649eea2a35a0c27a6c458</x:v>
      </x:c>
      <x:c r="C355" s="24" t="str">
        <x:v>DefaultIntegratedGameStateFactory.cs</x:v>
      </x:c>
      <x:c r="D355" s="24" t="str">
        <x:v>Code</x:v>
      </x:c>
      <x:c r="E355" s="24" t="str">
        <x:v>03_Assets_Internos</x:v>
      </x:c>
      <x:c r="F355" s="24" t="str">
        <x:v>INT-0351</x:v>
      </x:c>
      <x:c r="G355" s="24" t="str">
        <x:v>VRM Games / Blas Luis Rocha González</x:v>
      </x:c>
      <x:c r="H355" s="24" t="str">
        <x:v>Internal project IP / authorship claim</x:v>
      </x:c>
      <x:c r="I355" s="24" t="str">
        <x:v>Source package + repository path + hash</x:v>
      </x:c>
      <x:c r="J355" s="24" t="str">
        <x:v>4d6c6a00a8e41f7a5247aa66602177a3fa9637a01999c722ce73e1d62b71e719</x:v>
      </x:c>
      <x:c r="K355" s="24" t="str">
        <x:v>Assets/_Project/Scripts/Application/UIUX/DefaultIntegratedGameStateFactory.cs</x:v>
      </x:c>
      <x:c r="L355" s="24" t="str">
        <x:v>CR-003</x:v>
      </x:c>
      <x:c r="M355" s="24" t="str"/>
      <x:c r="N355" s="24" t="str">
        <x:v>RES-001;RES-014</x:v>
      </x:c>
      <x:c r="O355" s="24" t="str">
        <x:v>Internal development; public candidate requires gate</x:v>
      </x:c>
      <x:c r="P355" s="24" t="str">
        <x:v>CONDITIONALLY APPROVED</x:v>
      </x:c>
      <x:c r="Q355" s="24" t="str">
        <x:v>Low</x:v>
      </x:c>
      <x:c r="R355" s="24" t="str"/>
      <x:c r="S355" s="24" t="str">
        <x:v>Sí</x:v>
      </x:c>
      <x:c r="T355" s="24" t="str">
        <x:f>"T"&amp;IF(AND(H355&lt;&gt;"",I355&lt;&gt;"",J355&lt;&gt;"",L355&lt;&gt;"",N355&lt;&gt;"",O355&lt;&gt;"",P355="APPROVED PUBLIC",S355="Sí"),6,IF(AND(H355&lt;&gt;"",I355&lt;&gt;"",J355&lt;&gt;"",L355&lt;&gt;"",N355&lt;&gt;"",O355&lt;&gt;"",P355&lt;&gt;"",S355="Sí"),5,IF(AND(H355&lt;&gt;"",I355&lt;&gt;"",P355&lt;&gt;"",S355&lt;&gt;"No"),4,IF(AND(H355&lt;&gt;"",I355&lt;&gt;""),3,IF(F355&lt;&gt;"",2,1)))))</x:f>
        <x:v>T5</x:v>
      </x:c>
      <x:c r="U355" s="24" t="str">
        <x:v>VRM Games</x:v>
      </x:c>
      <x:c r="V355" s="24" t="str">
        <x:v>No se detectó proveedor externo en la ruta; confirmar autoría por lote antes de release público.</x:v>
      </x:c>
    </x:row>
    <x:row r="356" ht="34" customHeight="1">
      <x:c r="A356" s="24" t="str">
        <x:v>TRC-00352</x:v>
      </x:c>
      <x:c r="B356" s="24" t="str">
        <x:v>c80e9c6f211a4e1f9d68b47c3c78da61</x:v>
      </x:c>
      <x:c r="C356" s="24" t="str">
        <x:v>SlotSelectionService.cs</x:v>
      </x:c>
      <x:c r="D356" s="24" t="str">
        <x:v>Code</x:v>
      </x:c>
      <x:c r="E356" s="24" t="str">
        <x:v>03_Assets_Internos</x:v>
      </x:c>
      <x:c r="F356" s="24" t="str">
        <x:v>INT-0352</x:v>
      </x:c>
      <x:c r="G356" s="24" t="str">
        <x:v>VRM Games / Blas Luis Rocha González</x:v>
      </x:c>
      <x:c r="H356" s="24" t="str">
        <x:v>Internal project IP / authorship claim</x:v>
      </x:c>
      <x:c r="I356" s="24" t="str">
        <x:v>Source package + repository path + hash</x:v>
      </x:c>
      <x:c r="J356" s="24" t="str">
        <x:v>2c1a2241f83001192dcd201a96287d2800ae4c92a22cf699c9f0e8398d557bdf</x:v>
      </x:c>
      <x:c r="K356" s="24" t="str">
        <x:v>Assets/_Project/Scripts/Application/UIUX/SlotSelectionService.cs</x:v>
      </x:c>
      <x:c r="L356" s="24" t="str">
        <x:v>CR-003</x:v>
      </x:c>
      <x:c r="M356" s="24" t="str"/>
      <x:c r="N356" s="24" t="str">
        <x:v>RES-001;RES-014</x:v>
      </x:c>
      <x:c r="O356" s="24" t="str">
        <x:v>Internal development; public candidate requires gate</x:v>
      </x:c>
      <x:c r="P356" s="24" t="str">
        <x:v>CONDITIONALLY APPROVED</x:v>
      </x:c>
      <x:c r="Q356" s="24" t="str">
        <x:v>Low</x:v>
      </x:c>
      <x:c r="R356" s="24" t="str"/>
      <x:c r="S356" s="24" t="str">
        <x:v>Sí</x:v>
      </x:c>
      <x:c r="T356" s="24" t="str">
        <x:f>"T"&amp;IF(AND(H356&lt;&gt;"",I356&lt;&gt;"",J356&lt;&gt;"",L356&lt;&gt;"",N356&lt;&gt;"",O356&lt;&gt;"",P356="APPROVED PUBLIC",S356="Sí"),6,IF(AND(H356&lt;&gt;"",I356&lt;&gt;"",J356&lt;&gt;"",L356&lt;&gt;"",N356&lt;&gt;"",O356&lt;&gt;"",P356&lt;&gt;"",S356="Sí"),5,IF(AND(H356&lt;&gt;"",I356&lt;&gt;"",P356&lt;&gt;"",S356&lt;&gt;"No"),4,IF(AND(H356&lt;&gt;"",I356&lt;&gt;""),3,IF(F356&lt;&gt;"",2,1)))))</x:f>
        <x:v>T5</x:v>
      </x:c>
      <x:c r="U356" s="24" t="str">
        <x:v>VRM Games</x:v>
      </x:c>
      <x:c r="V356" s="24" t="str">
        <x:v>No se detectó proveedor externo en la ruta; confirmar autoría por lote antes de release público.</x:v>
      </x:c>
    </x:row>
    <x:row r="357" ht="34" customHeight="1">
      <x:c r="A357" s="24" t="str">
        <x:v>TRC-00353</x:v>
      </x:c>
      <x:c r="B357" s="24" t="str">
        <x:v>565effce1f604b9cb3cef7d4da8402f8</x:v>
      </x:c>
      <x:c r="C357" s="24" t="str">
        <x:v>StoreUiProjectionService.cs</x:v>
      </x:c>
      <x:c r="D357" s="24" t="str">
        <x:v>Code</x:v>
      </x:c>
      <x:c r="E357" s="24" t="str">
        <x:v>03_Assets_Internos</x:v>
      </x:c>
      <x:c r="F357" s="24" t="str">
        <x:v>INT-0353</x:v>
      </x:c>
      <x:c r="G357" s="24" t="str">
        <x:v>VRM Games / Blas Luis Rocha González</x:v>
      </x:c>
      <x:c r="H357" s="24" t="str">
        <x:v>Internal project IP / authorship claim</x:v>
      </x:c>
      <x:c r="I357" s="24" t="str">
        <x:v>Source package + repository path + hash</x:v>
      </x:c>
      <x:c r="J357" s="24" t="str">
        <x:v>58ebb6c08400aefb50235412b42dce67a14d3a8d7a6a4a6f5ba58cd2aea57e3b</x:v>
      </x:c>
      <x:c r="K357" s="24" t="str">
        <x:v>Assets/_Project/Scripts/Application/UIUX/StoreUiProjectionService.cs</x:v>
      </x:c>
      <x:c r="L357" s="24" t="str">
        <x:v>CR-003</x:v>
      </x:c>
      <x:c r="M357" s="24" t="str"/>
      <x:c r="N357" s="24" t="str">
        <x:v>RES-001;RES-014</x:v>
      </x:c>
      <x:c r="O357" s="24" t="str">
        <x:v>Internal development; public candidate requires gate</x:v>
      </x:c>
      <x:c r="P357" s="24" t="str">
        <x:v>CONDITIONALLY APPROVED</x:v>
      </x:c>
      <x:c r="Q357" s="24" t="str">
        <x:v>Low</x:v>
      </x:c>
      <x:c r="R357" s="24" t="str"/>
      <x:c r="S357" s="24" t="str">
        <x:v>Sí</x:v>
      </x:c>
      <x:c r="T357" s="24" t="str">
        <x:f>"T"&amp;IF(AND(H357&lt;&gt;"",I357&lt;&gt;"",J357&lt;&gt;"",L357&lt;&gt;"",N357&lt;&gt;"",O357&lt;&gt;"",P357="APPROVED PUBLIC",S357="Sí"),6,IF(AND(H357&lt;&gt;"",I357&lt;&gt;"",J357&lt;&gt;"",L357&lt;&gt;"",N357&lt;&gt;"",O357&lt;&gt;"",P357&lt;&gt;"",S357="Sí"),5,IF(AND(H357&lt;&gt;"",I357&lt;&gt;"",P357&lt;&gt;"",S357&lt;&gt;"No"),4,IF(AND(H357&lt;&gt;"",I357&lt;&gt;""),3,IF(F357&lt;&gt;"",2,1)))))</x:f>
        <x:v>T5</x:v>
      </x:c>
      <x:c r="U357" s="24" t="str">
        <x:v>VRM Games</x:v>
      </x:c>
      <x:c r="V357" s="24" t="str">
        <x:v>No se detectó proveedor externo en la ruta; confirmar autoría por lote antes de release público.</x:v>
      </x:c>
    </x:row>
    <x:row r="358" ht="34" customHeight="1">
      <x:c r="A358" s="24" t="str">
        <x:v>TRC-00354</x:v>
      </x:c>
      <x:c r="B358" s="24" t="str">
        <x:v>0b399b46c7d94a25b4563c2ef74e6d59</x:v>
      </x:c>
      <x:c r="C358" s="24" t="str">
        <x:v>TutorialService.cs</x:v>
      </x:c>
      <x:c r="D358" s="24" t="str">
        <x:v>Code</x:v>
      </x:c>
      <x:c r="E358" s="24" t="str">
        <x:v>03_Assets_Internos</x:v>
      </x:c>
      <x:c r="F358" s="24" t="str">
        <x:v>INT-0354</x:v>
      </x:c>
      <x:c r="G358" s="24" t="str">
        <x:v>VRM Games / Blas Luis Rocha González</x:v>
      </x:c>
      <x:c r="H358" s="24" t="str">
        <x:v>Internal project IP / authorship claim</x:v>
      </x:c>
      <x:c r="I358" s="24" t="str">
        <x:v>Source package + repository path + hash</x:v>
      </x:c>
      <x:c r="J358" s="24" t="str">
        <x:v>427a7330b5bdae676152f584824bb612f5dcc3c9928f688ee4dd38ebace3ca76</x:v>
      </x:c>
      <x:c r="K358" s="24" t="str">
        <x:v>Assets/_Project/Scripts/Application/UIUX/TutorialService.cs</x:v>
      </x:c>
      <x:c r="L358" s="24" t="str">
        <x:v>CR-003</x:v>
      </x:c>
      <x:c r="M358" s="24" t="str"/>
      <x:c r="N358" s="24" t="str">
        <x:v>RES-001;RES-014</x:v>
      </x:c>
      <x:c r="O358" s="24" t="str">
        <x:v>Internal development; public candidate requires gate</x:v>
      </x:c>
      <x:c r="P358" s="24" t="str">
        <x:v>CONDITIONALLY APPROVED</x:v>
      </x:c>
      <x:c r="Q358" s="24" t="str">
        <x:v>Low</x:v>
      </x:c>
      <x:c r="R358" s="24" t="str"/>
      <x:c r="S358" s="24" t="str">
        <x:v>Sí</x:v>
      </x:c>
      <x:c r="T358" s="24" t="str">
        <x:f>"T"&amp;IF(AND(H358&lt;&gt;"",I358&lt;&gt;"",J358&lt;&gt;"",L358&lt;&gt;"",N358&lt;&gt;"",O358&lt;&gt;"",P358="APPROVED PUBLIC",S358="Sí"),6,IF(AND(H358&lt;&gt;"",I358&lt;&gt;"",J358&lt;&gt;"",L358&lt;&gt;"",N358&lt;&gt;"",O358&lt;&gt;"",P358&lt;&gt;"",S358="Sí"),5,IF(AND(H358&lt;&gt;"",I358&lt;&gt;"",P358&lt;&gt;"",S358&lt;&gt;"No"),4,IF(AND(H358&lt;&gt;"",I358&lt;&gt;""),3,IF(F358&lt;&gt;"",2,1)))))</x:f>
        <x:v>T5</x:v>
      </x:c>
      <x:c r="U358" s="24" t="str">
        <x:v>VRM Games</x:v>
      </x:c>
      <x:c r="V358" s="24" t="str">
        <x:v>No se detectó proveedor externo en la ruta; confirmar autoría por lote antes de release público.</x:v>
      </x:c>
    </x:row>
    <x:row r="359" ht="34" customHeight="1">
      <x:c r="A359" s="24" t="str">
        <x:v>TRC-00355</x:v>
      </x:c>
      <x:c r="B359" s="24" t="str">
        <x:v>a41501a0ebda46679da2f634f41d09db</x:v>
      </x:c>
      <x:c r="C359" s="24" t="str">
        <x:v>UIUXRepositoryContracts.cs</x:v>
      </x:c>
      <x:c r="D359" s="24" t="str">
        <x:v>Code</x:v>
      </x:c>
      <x:c r="E359" s="24" t="str">
        <x:v>03_Assets_Internos</x:v>
      </x:c>
      <x:c r="F359" s="24" t="str">
        <x:v>INT-0355</x:v>
      </x:c>
      <x:c r="G359" s="24" t="str">
        <x:v>VRM Games / Blas Luis Rocha González</x:v>
      </x:c>
      <x:c r="H359" s="24" t="str">
        <x:v>Internal project IP / authorship claim</x:v>
      </x:c>
      <x:c r="I359" s="24" t="str">
        <x:v>Source package + repository path + hash</x:v>
      </x:c>
      <x:c r="J359" s="24" t="str">
        <x:v>97088c929d191c9abdf17f5056440459dcd399c2d0320c4b92305f96ddf52d0b</x:v>
      </x:c>
      <x:c r="K359" s="24" t="str">
        <x:v>Assets/_Project/Scripts/Application/UIUX/UIUXRepositoryContracts.cs</x:v>
      </x:c>
      <x:c r="L359" s="24" t="str">
        <x:v>CR-003</x:v>
      </x:c>
      <x:c r="M359" s="24" t="str"/>
      <x:c r="N359" s="24" t="str">
        <x:v>RES-001;RES-014</x:v>
      </x:c>
      <x:c r="O359" s="24" t="str">
        <x:v>Internal development; public candidate requires gate</x:v>
      </x:c>
      <x:c r="P359" s="24" t="str">
        <x:v>CONDITIONALLY APPROVED</x:v>
      </x:c>
      <x:c r="Q359" s="24" t="str">
        <x:v>Low</x:v>
      </x:c>
      <x:c r="R359" s="24" t="str"/>
      <x:c r="S359" s="24" t="str">
        <x:v>Sí</x:v>
      </x:c>
      <x:c r="T359" s="24" t="str">
        <x:f>"T"&amp;IF(AND(H359&lt;&gt;"",I359&lt;&gt;"",J359&lt;&gt;"",L359&lt;&gt;"",N359&lt;&gt;"",O359&lt;&gt;"",P359="APPROVED PUBLIC",S359="Sí"),6,IF(AND(H359&lt;&gt;"",I359&lt;&gt;"",J359&lt;&gt;"",L359&lt;&gt;"",N359&lt;&gt;"",O359&lt;&gt;"",P359&lt;&gt;"",S359="Sí"),5,IF(AND(H359&lt;&gt;"",I359&lt;&gt;"",P359&lt;&gt;"",S359&lt;&gt;"No"),4,IF(AND(H359&lt;&gt;"",I359&lt;&gt;""),3,IF(F359&lt;&gt;"",2,1)))))</x:f>
        <x:v>T5</x:v>
      </x:c>
      <x:c r="U359" s="24" t="str">
        <x:v>VRM Games</x:v>
      </x:c>
      <x:c r="V359" s="24" t="str">
        <x:v>No se detectó proveedor externo en la ruta; confirmar autoría por lote antes de release público.</x:v>
      </x:c>
    </x:row>
    <x:row r="360" ht="34" customHeight="1">
      <x:c r="A360" s="24" t="str">
        <x:v>TRC-00356</x:v>
      </x:c>
      <x:c r="B360" s="24" t="str">
        <x:v>784a2cf60a16657418f800629c2b00b3</x:v>
      </x:c>
      <x:c r="C360" s="24" t="str">
        <x:v>VRMGames.CartridgeAndCloud.Application.asmdef</x:v>
      </x:c>
      <x:c r="D360" s="24" t="str">
        <x:v>Assembly definition</x:v>
      </x:c>
      <x:c r="E360" s="24" t="str">
        <x:v>03_Assets_Internos</x:v>
      </x:c>
      <x:c r="F360" s="24" t="str">
        <x:v>INT-0356</x:v>
      </x:c>
      <x:c r="G360" s="24" t="str">
        <x:v>VRM Games / Blas Luis Rocha González</x:v>
      </x:c>
      <x:c r="H360" s="24" t="str">
        <x:v>Internal project IP / authorship claim</x:v>
      </x:c>
      <x:c r="I360" s="24" t="str">
        <x:v>Source package + repository path + hash</x:v>
      </x:c>
      <x:c r="J360" s="24" t="str">
        <x:v>a822e52815b039e3b6ceb4d7174070940a5112ac074012dec8ec400d0de91919</x:v>
      </x:c>
      <x:c r="K360" s="24" t="str">
        <x:v>Assets/_Project/Scripts/Application/VRMGames.CartridgeAndCloud.Application.asmdef</x:v>
      </x:c>
      <x:c r="L360" s="24" t="str">
        <x:v>CR-003</x:v>
      </x:c>
      <x:c r="M360" s="24" t="str"/>
      <x:c r="N360" s="24" t="str">
        <x:v>RES-001;RES-014</x:v>
      </x:c>
      <x:c r="O360" s="24" t="str">
        <x:v>Internal development; public candidate requires gate</x:v>
      </x:c>
      <x:c r="P360" s="24" t="str">
        <x:v>CONDITIONALLY APPROVED</x:v>
      </x:c>
      <x:c r="Q360" s="24" t="str">
        <x:v>Low</x:v>
      </x:c>
      <x:c r="R360" s="24" t="str"/>
      <x:c r="S360" s="24" t="str">
        <x:v>Sí</x:v>
      </x:c>
      <x:c r="T360" s="24" t="str">
        <x:f>"T"&amp;IF(AND(H360&lt;&gt;"",I360&lt;&gt;"",J360&lt;&gt;"",L360&lt;&gt;"",N360&lt;&gt;"",O360&lt;&gt;"",P360="APPROVED PUBLIC",S360="Sí"),6,IF(AND(H360&lt;&gt;"",I360&lt;&gt;"",J360&lt;&gt;"",L360&lt;&gt;"",N360&lt;&gt;"",O360&lt;&gt;"",P360&lt;&gt;"",S360="Sí"),5,IF(AND(H360&lt;&gt;"",I360&lt;&gt;"",P360&lt;&gt;"",S360&lt;&gt;"No"),4,IF(AND(H360&lt;&gt;"",I360&lt;&gt;""),3,IF(F360&lt;&gt;"",2,1)))))</x:f>
        <x:v>T5</x:v>
      </x:c>
      <x:c r="U360" s="24" t="str">
        <x:v>VRM Games</x:v>
      </x:c>
      <x:c r="V360" s="24" t="str">
        <x:v>No se detectó proveedor externo en la ruta; confirmar autoría por lote antes de release público.</x:v>
      </x:c>
    </x:row>
    <x:row r="361" ht="34" customHeight="1">
      <x:c r="A361" s="24" t="str">
        <x:v>TRC-00357</x:v>
      </x:c>
      <x:c r="B361" s="24" t="str">
        <x:v>452a1b5ae2d7c86f11621d22300a1389</x:v>
      </x:c>
      <x:c r="C361" s="24" t="str">
        <x:v>IntegratedSnapshotPhase1Mutator.cs</x:v>
      </x:c>
      <x:c r="D361" s="24" t="str">
        <x:v>Code</x:v>
      </x:c>
      <x:c r="E361" s="24" t="str">
        <x:v>03_Assets_Internos</x:v>
      </x:c>
      <x:c r="F361" s="24" t="str">
        <x:v>INT-0357</x:v>
      </x:c>
      <x:c r="G361" s="24" t="str">
        <x:v>VRM Games / Blas Luis Rocha González</x:v>
      </x:c>
      <x:c r="H361" s="24" t="str">
        <x:v>Internal project IP / authorship claim</x:v>
      </x:c>
      <x:c r="I361" s="24" t="str">
        <x:v>Source package + repository path + hash</x:v>
      </x:c>
      <x:c r="J361" s="24" t="str">
        <x:v>178623373267264b20ab5b589cf081bceb874d3d817d0d446167af53dfb06fd1</x:v>
      </x:c>
      <x:c r="K361" s="24" t="str">
        <x:v>Assets/_Project/Scripts/Application/VerticalSlicePhase1/IntegratedSnapshotPhase1Mutator.cs</x:v>
      </x:c>
      <x:c r="L361" s="24" t="str">
        <x:v>CR-003</x:v>
      </x:c>
      <x:c r="M361" s="24" t="str"/>
      <x:c r="N361" s="24" t="str">
        <x:v>RES-001;RES-014</x:v>
      </x:c>
      <x:c r="O361" s="24" t="str">
        <x:v>Internal development; public candidate requires gate</x:v>
      </x:c>
      <x:c r="P361" s="24" t="str">
        <x:v>CONDITIONALLY APPROVED</x:v>
      </x:c>
      <x:c r="Q361" s="24" t="str">
        <x:v>Low</x:v>
      </x:c>
      <x:c r="R361" s="24" t="str"/>
      <x:c r="S361" s="24" t="str">
        <x:v>Sí</x:v>
      </x:c>
      <x:c r="T361" s="24" t="str">
        <x:f>"T"&amp;IF(AND(H361&lt;&gt;"",I361&lt;&gt;"",J361&lt;&gt;"",L361&lt;&gt;"",N361&lt;&gt;"",O361&lt;&gt;"",P361="APPROVED PUBLIC",S361="Sí"),6,IF(AND(H361&lt;&gt;"",I361&lt;&gt;"",J361&lt;&gt;"",L361&lt;&gt;"",N361&lt;&gt;"",O361&lt;&gt;"",P361&lt;&gt;"",S361="Sí"),5,IF(AND(H361&lt;&gt;"",I361&lt;&gt;"",P361&lt;&gt;"",S361&lt;&gt;"No"),4,IF(AND(H361&lt;&gt;"",I361&lt;&gt;""),3,IF(F361&lt;&gt;"",2,1)))))</x:f>
        <x:v>T5</x:v>
      </x:c>
      <x:c r="U361" s="24" t="str">
        <x:v>VRM Games</x:v>
      </x:c>
      <x:c r="V361" s="24" t="str">
        <x:v>No se detectó proveedor externo en la ruta; confirmar autoría por lote antes de release público.</x:v>
      </x:c>
    </x:row>
    <x:row r="362" ht="34" customHeight="1">
      <x:c r="A362" s="24" t="str">
        <x:v>TRC-00358</x:v>
      </x:c>
      <x:c r="B362" s="24" t="str">
        <x:v>829e6c849176b9ab2c16c14b386e2f33</x:v>
      </x:c>
      <x:c r="C362" s="24" t="str">
        <x:v>Phase1Catalog.cs</x:v>
      </x:c>
      <x:c r="D362" s="24" t="str">
        <x:v>Code</x:v>
      </x:c>
      <x:c r="E362" s="24" t="str">
        <x:v>03_Assets_Internos</x:v>
      </x:c>
      <x:c r="F362" s="24" t="str">
        <x:v>INT-0358</x:v>
      </x:c>
      <x:c r="G362" s="24" t="str">
        <x:v>VRM Games / Blas Luis Rocha González</x:v>
      </x:c>
      <x:c r="H362" s="24" t="str">
        <x:v>Internal project IP / authorship claim</x:v>
      </x:c>
      <x:c r="I362" s="24" t="str">
        <x:v>Source package + repository path + hash</x:v>
      </x:c>
      <x:c r="J362" s="24" t="str">
        <x:v>c3217ddb803da833883b6362254dad8c1679835639adfe99df68136d7af67de0</x:v>
      </x:c>
      <x:c r="K362" s="24" t="str">
        <x:v>Assets/_Project/Scripts/Application/VerticalSlicePhase1/Phase1Catalog.cs</x:v>
      </x:c>
      <x:c r="L362" s="24" t="str">
        <x:v>CR-003</x:v>
      </x:c>
      <x:c r="M362" s="24" t="str"/>
      <x:c r="N362" s="24" t="str">
        <x:v>RES-001;RES-014</x:v>
      </x:c>
      <x:c r="O362" s="24" t="str">
        <x:v>Internal development; public candidate requires gate</x:v>
      </x:c>
      <x:c r="P362" s="24" t="str">
        <x:v>CONDITIONALLY APPROVED</x:v>
      </x:c>
      <x:c r="Q362" s="24" t="str">
        <x:v>Low</x:v>
      </x:c>
      <x:c r="R362" s="24" t="str"/>
      <x:c r="S362" s="24" t="str">
        <x:v>Sí</x:v>
      </x:c>
      <x:c r="T362" s="24" t="str">
        <x:f>"T"&amp;IF(AND(H362&lt;&gt;"",I362&lt;&gt;"",J362&lt;&gt;"",L362&lt;&gt;"",N362&lt;&gt;"",O362&lt;&gt;"",P362="APPROVED PUBLIC",S362="Sí"),6,IF(AND(H362&lt;&gt;"",I362&lt;&gt;"",J362&lt;&gt;"",L362&lt;&gt;"",N362&lt;&gt;"",O362&lt;&gt;"",P362&lt;&gt;"",S362="Sí"),5,IF(AND(H362&lt;&gt;"",I362&lt;&gt;"",P362&lt;&gt;"",S362&lt;&gt;"No"),4,IF(AND(H362&lt;&gt;"",I362&lt;&gt;""),3,IF(F362&lt;&gt;"",2,1)))))</x:f>
        <x:v>T5</x:v>
      </x:c>
      <x:c r="U362" s="24" t="str">
        <x:v>VRM Games</x:v>
      </x:c>
      <x:c r="V362" s="24" t="str">
        <x:v>No se detectó proveedor externo en la ruta; confirmar autoría por lote antes de release público.</x:v>
      </x:c>
    </x:row>
    <x:row r="363" ht="34" customHeight="1">
      <x:c r="A363" s="24" t="str">
        <x:v>TRC-00359</x:v>
      </x:c>
      <x:c r="B363" s="24" t="str">
        <x:v>4fbccc5a51403d9dafe1e210f5647f64</x:v>
      </x:c>
      <x:c r="C363" s="24" t="str">
        <x:v>Phase1Contracts.cs</x:v>
      </x:c>
      <x:c r="D363" s="24" t="str">
        <x:v>Code</x:v>
      </x:c>
      <x:c r="E363" s="24" t="str">
        <x:v>03_Assets_Internos</x:v>
      </x:c>
      <x:c r="F363" s="24" t="str">
        <x:v>INT-0359</x:v>
      </x:c>
      <x:c r="G363" s="24" t="str">
        <x:v>VRM Games / Blas Luis Rocha González</x:v>
      </x:c>
      <x:c r="H363" s="24" t="str">
        <x:v>Internal project IP / authorship claim</x:v>
      </x:c>
      <x:c r="I363" s="24" t="str">
        <x:v>Source package + repository path + hash</x:v>
      </x:c>
      <x:c r="J363" s="24" t="str">
        <x:v>74da88fea1b69fe704fc2d95e6fd66fd72ab4d6dae363697e48669190c4f1fd6</x:v>
      </x:c>
      <x:c r="K363" s="24" t="str">
        <x:v>Assets/_Project/Scripts/Application/VerticalSlicePhase1/Phase1Contracts.cs</x:v>
      </x:c>
      <x:c r="L363" s="24" t="str">
        <x:v>CR-003</x:v>
      </x:c>
      <x:c r="M363" s="24" t="str"/>
      <x:c r="N363" s="24" t="str">
        <x:v>RES-001;RES-014</x:v>
      </x:c>
      <x:c r="O363" s="24" t="str">
        <x:v>Internal development; public candidate requires gate</x:v>
      </x:c>
      <x:c r="P363" s="24" t="str">
        <x:v>CONDITIONALLY APPROVED</x:v>
      </x:c>
      <x:c r="Q363" s="24" t="str">
        <x:v>Low</x:v>
      </x:c>
      <x:c r="R363" s="24" t="str"/>
      <x:c r="S363" s="24" t="str">
        <x:v>Sí</x:v>
      </x:c>
      <x:c r="T363" s="24" t="str">
        <x:f>"T"&amp;IF(AND(H363&lt;&gt;"",I363&lt;&gt;"",J363&lt;&gt;"",L363&lt;&gt;"",N363&lt;&gt;"",O363&lt;&gt;"",P363="APPROVED PUBLIC",S363="Sí"),6,IF(AND(H363&lt;&gt;"",I363&lt;&gt;"",J363&lt;&gt;"",L363&lt;&gt;"",N363&lt;&gt;"",O363&lt;&gt;"",P363&lt;&gt;"",S363="Sí"),5,IF(AND(H363&lt;&gt;"",I363&lt;&gt;"",P363&lt;&gt;"",S363&lt;&gt;"No"),4,IF(AND(H363&lt;&gt;"",I363&lt;&gt;""),3,IF(F363&lt;&gt;"",2,1)))))</x:f>
        <x:v>T5</x:v>
      </x:c>
      <x:c r="U363" s="24" t="str">
        <x:v>VRM Games</x:v>
      </x:c>
      <x:c r="V363" s="24" t="str">
        <x:v>No se detectó proveedor externo en la ruta; confirmar autoría por lote antes de release público.</x:v>
      </x:c>
    </x:row>
    <x:row r="364" ht="34" customHeight="1">
      <x:c r="A364" s="24" t="str">
        <x:v>TRC-00360</x:v>
      </x:c>
      <x:c r="B364" s="24" t="str">
        <x:v>c390cd7cd940b85bc678096de9a48c28</x:v>
      </x:c>
      <x:c r="C364" s="24" t="str">
        <x:v>Phase1PlayableProcedure.cs</x:v>
      </x:c>
      <x:c r="D364" s="24" t="str">
        <x:v>Code</x:v>
      </x:c>
      <x:c r="E364" s="24" t="str">
        <x:v>03_Assets_Internos</x:v>
      </x:c>
      <x:c r="F364" s="24" t="str">
        <x:v>INT-0360</x:v>
      </x:c>
      <x:c r="G364" s="24" t="str">
        <x:v>VRM Games / Blas Luis Rocha González</x:v>
      </x:c>
      <x:c r="H364" s="24" t="str">
        <x:v>Internal project IP / authorship claim</x:v>
      </x:c>
      <x:c r="I364" s="24" t="str">
        <x:v>Source package + repository path + hash</x:v>
      </x:c>
      <x:c r="J364" s="24" t="str">
        <x:v>3c94e4a3ed1602c8e1c65f4c521215fa5abd1c2760f800752b3d7a40cb261719</x:v>
      </x:c>
      <x:c r="K364" s="24" t="str">
        <x:v>Assets/_Project/Scripts/Application/VerticalSlicePhase1/Phase1PlayableProcedure.cs</x:v>
      </x:c>
      <x:c r="L364" s="24" t="str">
        <x:v>CR-003</x:v>
      </x:c>
      <x:c r="M364" s="24" t="str"/>
      <x:c r="N364" s="24" t="str">
        <x:v>RES-001;RES-014</x:v>
      </x:c>
      <x:c r="O364" s="24" t="str">
        <x:v>Internal development; public candidate requires gate</x:v>
      </x:c>
      <x:c r="P364" s="24" t="str">
        <x:v>CONDITIONALLY APPROVED</x:v>
      </x:c>
      <x:c r="Q364" s="24" t="str">
        <x:v>Low</x:v>
      </x:c>
      <x:c r="R364" s="24" t="str"/>
      <x:c r="S364" s="24" t="str">
        <x:v>Sí</x:v>
      </x:c>
      <x:c r="T364" s="24" t="str">
        <x:f>"T"&amp;IF(AND(H364&lt;&gt;"",I364&lt;&gt;"",J364&lt;&gt;"",L364&lt;&gt;"",N364&lt;&gt;"",O364&lt;&gt;"",P364="APPROVED PUBLIC",S364="Sí"),6,IF(AND(H364&lt;&gt;"",I364&lt;&gt;"",J364&lt;&gt;"",L364&lt;&gt;"",N364&lt;&gt;"",O364&lt;&gt;"",P364&lt;&gt;"",S364="Sí"),5,IF(AND(H364&lt;&gt;"",I364&lt;&gt;"",P364&lt;&gt;"",S364&lt;&gt;"No"),4,IF(AND(H364&lt;&gt;"",I364&lt;&gt;""),3,IF(F364&lt;&gt;"",2,1)))))</x:f>
        <x:v>T5</x:v>
      </x:c>
      <x:c r="U364" s="24" t="str">
        <x:v>VRM Games</x:v>
      </x:c>
      <x:c r="V364" s="24" t="str">
        <x:v>No se detectó proveedor externo en la ruta; confirmar autoría por lote antes de release público.</x:v>
      </x:c>
    </x:row>
    <x:row r="365" ht="34" customHeight="1">
      <x:c r="A365" s="24" t="str">
        <x:v>TRC-00361</x:v>
      </x:c>
      <x:c r="B365" s="24" t="str">
        <x:v>3cfb91ae25653650428e1ec25888ed0a</x:v>
      </x:c>
      <x:c r="C365" s="24" t="str">
        <x:v>Phase1StateBuilder.cs</x:v>
      </x:c>
      <x:c r="D365" s="24" t="str">
        <x:v>Code</x:v>
      </x:c>
      <x:c r="E365" s="24" t="str">
        <x:v>03_Assets_Internos</x:v>
      </x:c>
      <x:c r="F365" s="24" t="str">
        <x:v>INT-0361</x:v>
      </x:c>
      <x:c r="G365" s="24" t="str">
        <x:v>VRM Games / Blas Luis Rocha González</x:v>
      </x:c>
      <x:c r="H365" s="24" t="str">
        <x:v>Internal project IP / authorship claim</x:v>
      </x:c>
      <x:c r="I365" s="24" t="str">
        <x:v>Source package + repository path + hash</x:v>
      </x:c>
      <x:c r="J365" s="24" t="str">
        <x:v>3a508fc3ec69525d03e5b53c6a7dc3fd041968ff62c025ecc5cea937728165db</x:v>
      </x:c>
      <x:c r="K365" s="24" t="str">
        <x:v>Assets/_Project/Scripts/Application/VerticalSlicePhase1/Phase1StateBuilder.cs</x:v>
      </x:c>
      <x:c r="L365" s="24" t="str">
        <x:v>CR-003</x:v>
      </x:c>
      <x:c r="M365" s="24" t="str"/>
      <x:c r="N365" s="24" t="str">
        <x:v>RES-001;RES-014</x:v>
      </x:c>
      <x:c r="O365" s="24" t="str">
        <x:v>Internal development; public candidate requires gate</x:v>
      </x:c>
      <x:c r="P365" s="24" t="str">
        <x:v>CONDITIONALLY APPROVED</x:v>
      </x:c>
      <x:c r="Q365" s="24" t="str">
        <x:v>Low</x:v>
      </x:c>
      <x:c r="R365" s="24" t="str"/>
      <x:c r="S365" s="24" t="str">
        <x:v>Sí</x:v>
      </x:c>
      <x:c r="T365" s="24" t="str">
        <x:f>"T"&amp;IF(AND(H365&lt;&gt;"",I365&lt;&gt;"",J365&lt;&gt;"",L365&lt;&gt;"",N365&lt;&gt;"",O365&lt;&gt;"",P365="APPROVED PUBLIC",S365="Sí"),6,IF(AND(H365&lt;&gt;"",I365&lt;&gt;"",J365&lt;&gt;"",L365&lt;&gt;"",N365&lt;&gt;"",O365&lt;&gt;"",P365&lt;&gt;"",S365="Sí"),5,IF(AND(H365&lt;&gt;"",I365&lt;&gt;"",P365&lt;&gt;"",S365&lt;&gt;"No"),4,IF(AND(H365&lt;&gt;"",I365&lt;&gt;""),3,IF(F365&lt;&gt;"",2,1)))))</x:f>
        <x:v>T5</x:v>
      </x:c>
      <x:c r="U365" s="24" t="str">
        <x:v>VRM Games</x:v>
      </x:c>
      <x:c r="V365" s="24" t="str">
        <x:v>No se detectó proveedor externo en la ruta; confirmar autoría por lote antes de release público.</x:v>
      </x:c>
    </x:row>
    <x:row r="366" ht="34" customHeight="1">
      <x:c r="A366" s="24" t="str">
        <x:v>TRC-00362</x:v>
      </x:c>
      <x:c r="B366" s="24" t="str">
        <x:v>a5d3b0da5886d7992b73ce686ec72bdc</x:v>
      </x:c>
      <x:c r="C366" s="24" t="str">
        <x:v>Phase1VerticalSliceService.cs</x:v>
      </x:c>
      <x:c r="D366" s="24" t="str">
        <x:v>Code</x:v>
      </x:c>
      <x:c r="E366" s="24" t="str">
        <x:v>03_Assets_Internos</x:v>
      </x:c>
      <x:c r="F366" s="24" t="str">
        <x:v>INT-0362</x:v>
      </x:c>
      <x:c r="G366" s="24" t="str">
        <x:v>VRM Games / Blas Luis Rocha González</x:v>
      </x:c>
      <x:c r="H366" s="24" t="str">
        <x:v>Internal project IP / authorship claim</x:v>
      </x:c>
      <x:c r="I366" s="24" t="str">
        <x:v>Source package + repository path + hash</x:v>
      </x:c>
      <x:c r="J366" s="24" t="str">
        <x:v>a3f65923f937b4e205a4b3b96adac98b599cad90c795d0e54d75f818205eca15</x:v>
      </x:c>
      <x:c r="K366" s="24" t="str">
        <x:v>Assets/_Project/Scripts/Application/VerticalSlicePhase1/Phase1VerticalSliceService.cs</x:v>
      </x:c>
      <x:c r="L366" s="24" t="str">
        <x:v>CR-003</x:v>
      </x:c>
      <x:c r="M366" s="24" t="str"/>
      <x:c r="N366" s="24" t="str">
        <x:v>RES-001;RES-014</x:v>
      </x:c>
      <x:c r="O366" s="24" t="str">
        <x:v>Internal development; public candidate requires gate</x:v>
      </x:c>
      <x:c r="P366" s="24" t="str">
        <x:v>CONDITIONALLY APPROVED</x:v>
      </x:c>
      <x:c r="Q366" s="24" t="str">
        <x:v>Low</x:v>
      </x:c>
      <x:c r="R366" s="24" t="str"/>
      <x:c r="S366" s="24" t="str">
        <x:v>Sí</x:v>
      </x:c>
      <x:c r="T366" s="24" t="str">
        <x:f>"T"&amp;IF(AND(H366&lt;&gt;"",I366&lt;&gt;"",J366&lt;&gt;"",L366&lt;&gt;"",N366&lt;&gt;"",O366&lt;&gt;"",P366="APPROVED PUBLIC",S366="Sí"),6,IF(AND(H366&lt;&gt;"",I366&lt;&gt;"",J366&lt;&gt;"",L366&lt;&gt;"",N366&lt;&gt;"",O366&lt;&gt;"",P366&lt;&gt;"",S366="Sí"),5,IF(AND(H366&lt;&gt;"",I366&lt;&gt;"",P366&lt;&gt;"",S366&lt;&gt;"No"),4,IF(AND(H366&lt;&gt;"",I366&lt;&gt;""),3,IF(F366&lt;&gt;"",2,1)))))</x:f>
        <x:v>T5</x:v>
      </x:c>
      <x:c r="U366" s="24" t="str">
        <x:v>VRM Games</x:v>
      </x:c>
      <x:c r="V366" s="24" t="str">
        <x:v>No se detectó proveedor externo en la ruta; confirmar autoría por lote antes de release público.</x:v>
      </x:c>
    </x:row>
    <x:row r="367" ht="34" customHeight="1">
      <x:c r="A367" s="24" t="str">
        <x:v>TRC-00363</x:v>
      </x:c>
      <x:c r="B367" s="24" t="str">
        <x:v>6adefdb0183742f6af21940a591e18c3</x:v>
      </x:c>
      <x:c r="C367" s="24" t="str">
        <x:v>AccessAnchor.cs</x:v>
      </x:c>
      <x:c r="D367" s="24" t="str">
        <x:v>Code</x:v>
      </x:c>
      <x:c r="E367" s="24" t="str">
        <x:v>03_Assets_Internos</x:v>
      </x:c>
      <x:c r="F367" s="24" t="str">
        <x:v>INT-0363</x:v>
      </x:c>
      <x:c r="G367" s="24" t="str">
        <x:v>VRM Games / Blas Luis Rocha González</x:v>
      </x:c>
      <x:c r="H367" s="24" t="str">
        <x:v>Internal project IP / authorship claim</x:v>
      </x:c>
      <x:c r="I367" s="24" t="str">
        <x:v>Source package + repository path + hash</x:v>
      </x:c>
      <x:c r="J367" s="24" t="str">
        <x:v>a5aee992b9856abb8faa744f3691354cce3590b5fb261fb0bb42b00528f36f47</x:v>
      </x:c>
      <x:c r="K367" s="24" t="str">
        <x:v>Assets/_Project/Scripts/Domain/Access/AccessAnchor.cs</x:v>
      </x:c>
      <x:c r="L367" s="24" t="str">
        <x:v>CR-003</x:v>
      </x:c>
      <x:c r="M367" s="24" t="str"/>
      <x:c r="N367" s="24" t="str">
        <x:v>RES-001;RES-014</x:v>
      </x:c>
      <x:c r="O367" s="24" t="str">
        <x:v>Internal development; public candidate requires gate</x:v>
      </x:c>
      <x:c r="P367" s="24" t="str">
        <x:v>CONDITIONALLY APPROVED</x:v>
      </x:c>
      <x:c r="Q367" s="24" t="str">
        <x:v>Low</x:v>
      </x:c>
      <x:c r="R367" s="24" t="str"/>
      <x:c r="S367" s="24" t="str">
        <x:v>Sí</x:v>
      </x:c>
      <x:c r="T367" s="24" t="str">
        <x:f>"T"&amp;IF(AND(H367&lt;&gt;"",I367&lt;&gt;"",J367&lt;&gt;"",L367&lt;&gt;"",N367&lt;&gt;"",O367&lt;&gt;"",P367="APPROVED PUBLIC",S367="Sí"),6,IF(AND(H367&lt;&gt;"",I367&lt;&gt;"",J367&lt;&gt;"",L367&lt;&gt;"",N367&lt;&gt;"",O367&lt;&gt;"",P367&lt;&gt;"",S367="Sí"),5,IF(AND(H367&lt;&gt;"",I367&lt;&gt;"",P367&lt;&gt;"",S367&lt;&gt;"No"),4,IF(AND(H367&lt;&gt;"",I367&lt;&gt;""),3,IF(F367&lt;&gt;"",2,1)))))</x:f>
        <x:v>T5</x:v>
      </x:c>
      <x:c r="U367" s="24" t="str">
        <x:v>VRM Games</x:v>
      </x:c>
      <x:c r="V367" s="24" t="str">
        <x:v>No se detectó proveedor externo en la ruta; confirmar autoría por lote antes de release público.</x:v>
      </x:c>
    </x:row>
    <x:row r="368" ht="34" customHeight="1">
      <x:c r="A368" s="24" t="str">
        <x:v>TRC-00364</x:v>
      </x:c>
      <x:c r="B368" s="24" t="str">
        <x:v>59eac66fbc77488096f77112fd81b3a7</x:v>
      </x:c>
      <x:c r="C368" s="24" t="str">
        <x:v>AccessAnchorId.cs</x:v>
      </x:c>
      <x:c r="D368" s="24" t="str">
        <x:v>Code</x:v>
      </x:c>
      <x:c r="E368" s="24" t="str">
        <x:v>03_Assets_Internos</x:v>
      </x:c>
      <x:c r="F368" s="24" t="str">
        <x:v>INT-0364</x:v>
      </x:c>
      <x:c r="G368" s="24" t="str">
        <x:v>VRM Games / Blas Luis Rocha González</x:v>
      </x:c>
      <x:c r="H368" s="24" t="str">
        <x:v>Internal project IP / authorship claim</x:v>
      </x:c>
      <x:c r="I368" s="24" t="str">
        <x:v>Source package + repository path + hash</x:v>
      </x:c>
      <x:c r="J368" s="24" t="str">
        <x:v>675119da1f0f198a61ca644a56aa7079beb4c646e5e4031473a4a95bee4bf29b</x:v>
      </x:c>
      <x:c r="K368" s="24" t="str">
        <x:v>Assets/_Project/Scripts/Domain/Access/AccessAnchorId.cs</x:v>
      </x:c>
      <x:c r="L368" s="24" t="str">
        <x:v>CR-003</x:v>
      </x:c>
      <x:c r="M368" s="24" t="str"/>
      <x:c r="N368" s="24" t="str">
        <x:v>RES-001;RES-014</x:v>
      </x:c>
      <x:c r="O368" s="24" t="str">
        <x:v>Internal development; public candidate requires gate</x:v>
      </x:c>
      <x:c r="P368" s="24" t="str">
        <x:v>CONDITIONALLY APPROVED</x:v>
      </x:c>
      <x:c r="Q368" s="24" t="str">
        <x:v>Low</x:v>
      </x:c>
      <x:c r="R368" s="24" t="str"/>
      <x:c r="S368" s="24" t="str">
        <x:v>Sí</x:v>
      </x:c>
      <x:c r="T368" s="24" t="str">
        <x:f>"T"&amp;IF(AND(H368&lt;&gt;"",I368&lt;&gt;"",J368&lt;&gt;"",L368&lt;&gt;"",N368&lt;&gt;"",O368&lt;&gt;"",P368="APPROVED PUBLIC",S368="Sí"),6,IF(AND(H368&lt;&gt;"",I368&lt;&gt;"",J368&lt;&gt;"",L368&lt;&gt;"",N368&lt;&gt;"",O368&lt;&gt;"",P368&lt;&gt;"",S368="Sí"),5,IF(AND(H368&lt;&gt;"",I368&lt;&gt;"",P368&lt;&gt;"",S368&lt;&gt;"No"),4,IF(AND(H368&lt;&gt;"",I368&lt;&gt;""),3,IF(F368&lt;&gt;"",2,1)))))</x:f>
        <x:v>T5</x:v>
      </x:c>
      <x:c r="U368" s="24" t="str">
        <x:v>VRM Games</x:v>
      </x:c>
      <x:c r="V368" s="24" t="str">
        <x:v>No se detectó proveedor externo en la ruta; confirmar autoría por lote antes de release público.</x:v>
      </x:c>
    </x:row>
    <x:row r="369" ht="34" customHeight="1">
      <x:c r="A369" s="24" t="str">
        <x:v>TRC-00365</x:v>
      </x:c>
      <x:c r="B369" s="24" t="str">
        <x:v>57bcf23ff55b4d15afe3ec347d767ae9</x:v>
      </x:c>
      <x:c r="C369" s="24" t="str">
        <x:v>CheckoutIdsAndPolicy.cs</x:v>
      </x:c>
      <x:c r="D369" s="24" t="str">
        <x:v>Code</x:v>
      </x:c>
      <x:c r="E369" s="24" t="str">
        <x:v>03_Assets_Internos</x:v>
      </x:c>
      <x:c r="F369" s="24" t="str">
        <x:v>INT-0365</x:v>
      </x:c>
      <x:c r="G369" s="24" t="str">
        <x:v>VRM Games / Blas Luis Rocha González</x:v>
      </x:c>
      <x:c r="H369" s="24" t="str">
        <x:v>Internal project IP / authorship claim</x:v>
      </x:c>
      <x:c r="I369" s="24" t="str">
        <x:v>Source package + repository path + hash</x:v>
      </x:c>
      <x:c r="J369" s="24" t="str">
        <x:v>570cbc7829bb295337bc4ab8c5e863459cfa392a3bd30ff34f4dd839c8161928</x:v>
      </x:c>
      <x:c r="K369" s="24" t="str">
        <x:v>Assets/_Project/Scripts/Domain/Checkout/CheckoutIdsAndPolicy.cs</x:v>
      </x:c>
      <x:c r="L369" s="24" t="str">
        <x:v>CR-003</x:v>
      </x:c>
      <x:c r="M369" s="24" t="str"/>
      <x:c r="N369" s="24" t="str">
        <x:v>RES-001;RES-014</x:v>
      </x:c>
      <x:c r="O369" s="24" t="str">
        <x:v>Internal development; public candidate requires gate</x:v>
      </x:c>
      <x:c r="P369" s="24" t="str">
        <x:v>CONDITIONALLY APPROVED</x:v>
      </x:c>
      <x:c r="Q369" s="24" t="str">
        <x:v>Low</x:v>
      </x:c>
      <x:c r="R369" s="24" t="str"/>
      <x:c r="S369" s="24" t="str">
        <x:v>Sí</x:v>
      </x:c>
      <x:c r="T369" s="24" t="str">
        <x:f>"T"&amp;IF(AND(H369&lt;&gt;"",I369&lt;&gt;"",J369&lt;&gt;"",L369&lt;&gt;"",N369&lt;&gt;"",O369&lt;&gt;"",P369="APPROVED PUBLIC",S369="Sí"),6,IF(AND(H369&lt;&gt;"",I369&lt;&gt;"",J369&lt;&gt;"",L369&lt;&gt;"",N369&lt;&gt;"",O369&lt;&gt;"",P369&lt;&gt;"",S369="Sí"),5,IF(AND(H369&lt;&gt;"",I369&lt;&gt;"",P369&lt;&gt;"",S369&lt;&gt;"No"),4,IF(AND(H369&lt;&gt;"",I369&lt;&gt;""),3,IF(F369&lt;&gt;"",2,1)))))</x:f>
        <x:v>T5</x:v>
      </x:c>
      <x:c r="U369" s="24" t="str">
        <x:v>VRM Games</x:v>
      </x:c>
      <x:c r="V369" s="24" t="str">
        <x:v>No se detectó proveedor externo en la ruta; confirmar autoría por lote antes de release público.</x:v>
      </x:c>
    </x:row>
    <x:row r="370" ht="34" customHeight="1">
      <x:c r="A370" s="24" t="str">
        <x:v>TRC-00366</x:v>
      </x:c>
      <x:c r="B370" s="24" t="str">
        <x:v>f753ee1b166b4f1db2c2195ce24a9320</x:v>
      </x:c>
      <x:c r="C370" s="24" t="str">
        <x:v>CheckoutQueue.cs</x:v>
      </x:c>
      <x:c r="D370" s="24" t="str">
        <x:v>Code</x:v>
      </x:c>
      <x:c r="E370" s="24" t="str">
        <x:v>03_Assets_Internos</x:v>
      </x:c>
      <x:c r="F370" s="24" t="str">
        <x:v>INT-0366</x:v>
      </x:c>
      <x:c r="G370" s="24" t="str">
        <x:v>VRM Games / Blas Luis Rocha González</x:v>
      </x:c>
      <x:c r="H370" s="24" t="str">
        <x:v>Internal project IP / authorship claim</x:v>
      </x:c>
      <x:c r="I370" s="24" t="str">
        <x:v>Source package + repository path + hash</x:v>
      </x:c>
      <x:c r="J370" s="24" t="str">
        <x:v>9972f93a2f835229c9dd800b63cd295bb93624577b83f7d6ce3dc9862e55ddbf</x:v>
      </x:c>
      <x:c r="K370" s="24" t="str">
        <x:v>Assets/_Project/Scripts/Domain/Checkout/CheckoutQueue.cs</x:v>
      </x:c>
      <x:c r="L370" s="24" t="str">
        <x:v>CR-003</x:v>
      </x:c>
      <x:c r="M370" s="24" t="str"/>
      <x:c r="N370" s="24" t="str">
        <x:v>RES-001;RES-014</x:v>
      </x:c>
      <x:c r="O370" s="24" t="str">
        <x:v>Internal development; public candidate requires gate</x:v>
      </x:c>
      <x:c r="P370" s="24" t="str">
        <x:v>CONDITIONALLY APPROVED</x:v>
      </x:c>
      <x:c r="Q370" s="24" t="str">
        <x:v>Low</x:v>
      </x:c>
      <x:c r="R370" s="24" t="str"/>
      <x:c r="S370" s="24" t="str">
        <x:v>Sí</x:v>
      </x:c>
      <x:c r="T370" s="24" t="str">
        <x:f>"T"&amp;IF(AND(H370&lt;&gt;"",I370&lt;&gt;"",J370&lt;&gt;"",L370&lt;&gt;"",N370&lt;&gt;"",O370&lt;&gt;"",P370="APPROVED PUBLIC",S370="Sí"),6,IF(AND(H370&lt;&gt;"",I370&lt;&gt;"",J370&lt;&gt;"",L370&lt;&gt;"",N370&lt;&gt;"",O370&lt;&gt;"",P370&lt;&gt;"",S370="Sí"),5,IF(AND(H370&lt;&gt;"",I370&lt;&gt;"",P370&lt;&gt;"",S370&lt;&gt;"No"),4,IF(AND(H370&lt;&gt;"",I370&lt;&gt;""),3,IF(F370&lt;&gt;"",2,1)))))</x:f>
        <x:v>T5</x:v>
      </x:c>
      <x:c r="U370" s="24" t="str">
        <x:v>VRM Games</x:v>
      </x:c>
      <x:c r="V370" s="24" t="str">
        <x:v>No se detectó proveedor externo en la ruta; confirmar autoría por lote antes de release público.</x:v>
      </x:c>
    </x:row>
    <x:row r="371" ht="34" customHeight="1">
      <x:c r="A371" s="24" t="str">
        <x:v>TRC-00367</x:v>
      </x:c>
      <x:c r="B371" s="24" t="str">
        <x:v>55440bcded7c4cf7a572100e4015c5e3</x:v>
      </x:c>
      <x:c r="C371" s="24" t="str">
        <x:v>CheckoutStation.cs</x:v>
      </x:c>
      <x:c r="D371" s="24" t="str">
        <x:v>Code</x:v>
      </x:c>
      <x:c r="E371" s="24" t="str">
        <x:v>03_Assets_Internos</x:v>
      </x:c>
      <x:c r="F371" s="24" t="str">
        <x:v>INT-0367</x:v>
      </x:c>
      <x:c r="G371" s="24" t="str">
        <x:v>VRM Games / Blas Luis Rocha González</x:v>
      </x:c>
      <x:c r="H371" s="24" t="str">
        <x:v>Internal project IP / authorship claim</x:v>
      </x:c>
      <x:c r="I371" s="24" t="str">
        <x:v>Source package + repository path + hash</x:v>
      </x:c>
      <x:c r="J371" s="24" t="str">
        <x:v>bd8413ea5903e7580101492a481cfc54813a5eba3c437325b9a9e3e6986e1953</x:v>
      </x:c>
      <x:c r="K371" s="24" t="str">
        <x:v>Assets/_Project/Scripts/Domain/Checkout/CheckoutStation.cs</x:v>
      </x:c>
      <x:c r="L371" s="24" t="str">
        <x:v>CR-003</x:v>
      </x:c>
      <x:c r="M371" s="24" t="str"/>
      <x:c r="N371" s="24" t="str">
        <x:v>RES-001;RES-014</x:v>
      </x:c>
      <x:c r="O371" s="24" t="str">
        <x:v>Internal development; public candidate requires gate</x:v>
      </x:c>
      <x:c r="P371" s="24" t="str">
        <x:v>CONDITIONALLY APPROVED</x:v>
      </x:c>
      <x:c r="Q371" s="24" t="str">
        <x:v>Low</x:v>
      </x:c>
      <x:c r="R371" s="24" t="str"/>
      <x:c r="S371" s="24" t="str">
        <x:v>Sí</x:v>
      </x:c>
      <x:c r="T371" s="24" t="str">
        <x:f>"T"&amp;IF(AND(H371&lt;&gt;"",I371&lt;&gt;"",J371&lt;&gt;"",L371&lt;&gt;"",N371&lt;&gt;"",O371&lt;&gt;"",P371="APPROVED PUBLIC",S371="Sí"),6,IF(AND(H371&lt;&gt;"",I371&lt;&gt;"",J371&lt;&gt;"",L371&lt;&gt;"",N371&lt;&gt;"",O371&lt;&gt;"",P371&lt;&gt;"",S371="Sí"),5,IF(AND(H371&lt;&gt;"",I371&lt;&gt;"",P371&lt;&gt;"",S371&lt;&gt;"No"),4,IF(AND(H371&lt;&gt;"",I371&lt;&gt;""),3,IF(F371&lt;&gt;"",2,1)))))</x:f>
        <x:v>T5</x:v>
      </x:c>
      <x:c r="U371" s="24" t="str">
        <x:v>VRM Games</x:v>
      </x:c>
      <x:c r="V371" s="24" t="str">
        <x:v>No se detectó proveedor externo en la ruta; confirmar autoría por lote antes de release público.</x:v>
      </x:c>
    </x:row>
    <x:row r="372" ht="34" customHeight="1">
      <x:c r="A372" s="24" t="str">
        <x:v>TRC-00368</x:v>
      </x:c>
      <x:c r="B372" s="24" t="str">
        <x:v>a2fb5222570b4207ac0bbe64988b6dcb</x:v>
      </x:c>
      <x:c r="C372" s="24" t="str">
        <x:v>CheckoutTransaction.cs</x:v>
      </x:c>
      <x:c r="D372" s="24" t="str">
        <x:v>Code</x:v>
      </x:c>
      <x:c r="E372" s="24" t="str">
        <x:v>03_Assets_Internos</x:v>
      </x:c>
      <x:c r="F372" s="24" t="str">
        <x:v>INT-0368</x:v>
      </x:c>
      <x:c r="G372" s="24" t="str">
        <x:v>VRM Games / Blas Luis Rocha González</x:v>
      </x:c>
      <x:c r="H372" s="24" t="str">
        <x:v>Internal project IP / authorship claim</x:v>
      </x:c>
      <x:c r="I372" s="24" t="str">
        <x:v>Source package + repository path + hash</x:v>
      </x:c>
      <x:c r="J372" s="24" t="str">
        <x:v>8430cb9a02f8efc7b0a154211606b27ce49fbbcf7d9aa46240ef53edd9bc513a</x:v>
      </x:c>
      <x:c r="K372" s="24" t="str">
        <x:v>Assets/_Project/Scripts/Domain/Checkout/CheckoutTransaction.cs</x:v>
      </x:c>
      <x:c r="L372" s="24" t="str">
        <x:v>CR-003</x:v>
      </x:c>
      <x:c r="M372" s="24" t="str"/>
      <x:c r="N372" s="24" t="str">
        <x:v>RES-001;RES-014</x:v>
      </x:c>
      <x:c r="O372" s="24" t="str">
        <x:v>Internal development; public candidate requires gate</x:v>
      </x:c>
      <x:c r="P372" s="24" t="str">
        <x:v>CONDITIONALLY APPROVED</x:v>
      </x:c>
      <x:c r="Q372" s="24" t="str">
        <x:v>Low</x:v>
      </x:c>
      <x:c r="R372" s="24" t="str"/>
      <x:c r="S372" s="24" t="str">
        <x:v>Sí</x:v>
      </x:c>
      <x:c r="T372" s="24" t="str">
        <x:f>"T"&amp;IF(AND(H372&lt;&gt;"",I372&lt;&gt;"",J372&lt;&gt;"",L372&lt;&gt;"",N372&lt;&gt;"",O372&lt;&gt;"",P372="APPROVED PUBLIC",S372="Sí"),6,IF(AND(H372&lt;&gt;"",I372&lt;&gt;"",J372&lt;&gt;"",L372&lt;&gt;"",N372&lt;&gt;"",O372&lt;&gt;"",P372&lt;&gt;"",S372="Sí"),5,IF(AND(H372&lt;&gt;"",I372&lt;&gt;"",P372&lt;&gt;"",S372&lt;&gt;"No"),4,IF(AND(H372&lt;&gt;"",I372&lt;&gt;""),3,IF(F372&lt;&gt;"",2,1)))))</x:f>
        <x:v>T5</x:v>
      </x:c>
      <x:c r="U372" s="24" t="str">
        <x:v>VRM Games</x:v>
      </x:c>
      <x:c r="V372" s="24" t="str">
        <x:v>No se detectó proveedor externo en la ruta; confirmar autoría por lote antes de release público.</x:v>
      </x:c>
    </x:row>
    <x:row r="373" ht="34" customHeight="1">
      <x:c r="A373" s="24" t="str">
        <x:v>TRC-00369</x:v>
      </x:c>
      <x:c r="B373" s="24" t="str">
        <x:v>893336148eb64862a1056ffe8cb2b935</x:v>
      </x:c>
      <x:c r="C373" s="24" t="str">
        <x:v>CustomerArrivalClock.cs</x:v>
      </x:c>
      <x:c r="D373" s="24" t="str">
        <x:v>Code</x:v>
      </x:c>
      <x:c r="E373" s="24" t="str">
        <x:v>03_Assets_Internos</x:v>
      </x:c>
      <x:c r="F373" s="24" t="str">
        <x:v>INT-0369</x:v>
      </x:c>
      <x:c r="G373" s="24" t="str">
        <x:v>VRM Games / Blas Luis Rocha González</x:v>
      </x:c>
      <x:c r="H373" s="24" t="str">
        <x:v>Internal project IP / authorship claim</x:v>
      </x:c>
      <x:c r="I373" s="24" t="str">
        <x:v>Source package + repository path + hash</x:v>
      </x:c>
      <x:c r="J373" s="24" t="str">
        <x:v>f44b396461a2fcfe19a650be95149124cab08b84cb599007965b994ecfadd4a1</x:v>
      </x:c>
      <x:c r="K373" s="24" t="str">
        <x:v>Assets/_Project/Scripts/Domain/Customers/CustomerArrivalClock.cs</x:v>
      </x:c>
      <x:c r="L373" s="24" t="str">
        <x:v>CR-003</x:v>
      </x:c>
      <x:c r="M373" s="24" t="str"/>
      <x:c r="N373" s="24" t="str">
        <x:v>RES-001;RES-014</x:v>
      </x:c>
      <x:c r="O373" s="24" t="str">
        <x:v>Internal development; public candidate requires gate</x:v>
      </x:c>
      <x:c r="P373" s="24" t="str">
        <x:v>CONDITIONALLY APPROVED</x:v>
      </x:c>
      <x:c r="Q373" s="24" t="str">
        <x:v>Low</x:v>
      </x:c>
      <x:c r="R373" s="24" t="str"/>
      <x:c r="S373" s="24" t="str">
        <x:v>Sí</x:v>
      </x:c>
      <x:c r="T373" s="24" t="str">
        <x:f>"T"&amp;IF(AND(H373&lt;&gt;"",I373&lt;&gt;"",J373&lt;&gt;"",L373&lt;&gt;"",N373&lt;&gt;"",O373&lt;&gt;"",P373="APPROVED PUBLIC",S373="Sí"),6,IF(AND(H373&lt;&gt;"",I373&lt;&gt;"",J373&lt;&gt;"",L373&lt;&gt;"",N373&lt;&gt;"",O373&lt;&gt;"",P373&lt;&gt;"",S373="Sí"),5,IF(AND(H373&lt;&gt;"",I373&lt;&gt;"",P373&lt;&gt;"",S373&lt;&gt;"No"),4,IF(AND(H373&lt;&gt;"",I373&lt;&gt;""),3,IF(F373&lt;&gt;"",2,1)))))</x:f>
        <x:v>T5</x:v>
      </x:c>
      <x:c r="U373" s="24" t="str">
        <x:v>VRM Games</x:v>
      </x:c>
      <x:c r="V373" s="24" t="str">
        <x:v>No se detectó proveedor externo en la ruta; confirmar autoría por lote antes de release público.</x:v>
      </x:c>
    </x:row>
    <x:row r="374" ht="34" customHeight="1">
      <x:c r="A374" s="24" t="str">
        <x:v>TRC-00370</x:v>
      </x:c>
      <x:c r="B374" s="24" t="str">
        <x:v>9577c2abce31464fba52f114db9dddb1</x:v>
      </x:c>
      <x:c r="C374" s="24" t="str">
        <x:v>CustomerInstance.cs</x:v>
      </x:c>
      <x:c r="D374" s="24" t="str">
        <x:v>Code</x:v>
      </x:c>
      <x:c r="E374" s="24" t="str">
        <x:v>03_Assets_Internos</x:v>
      </x:c>
      <x:c r="F374" s="24" t="str">
        <x:v>INT-0370</x:v>
      </x:c>
      <x:c r="G374" s="24" t="str">
        <x:v>VRM Games / Blas Luis Rocha González</x:v>
      </x:c>
      <x:c r="H374" s="24" t="str">
        <x:v>Internal project IP / authorship claim</x:v>
      </x:c>
      <x:c r="I374" s="24" t="str">
        <x:v>Source package + repository path + hash</x:v>
      </x:c>
      <x:c r="J374" s="24" t="str">
        <x:v>38589ecc07de9d8a75f164cbecbec4afea3d7b065c4d8ff4acbb67bb7913fb45</x:v>
      </x:c>
      <x:c r="K374" s="24" t="str">
        <x:v>Assets/_Project/Scripts/Domain/Customers/CustomerInstance.cs</x:v>
      </x:c>
      <x:c r="L374" s="24" t="str">
        <x:v>CR-003</x:v>
      </x:c>
      <x:c r="M374" s="24" t="str"/>
      <x:c r="N374" s="24" t="str">
        <x:v>RES-001;RES-014</x:v>
      </x:c>
      <x:c r="O374" s="24" t="str">
        <x:v>Internal development; public candidate requires gate</x:v>
      </x:c>
      <x:c r="P374" s="24" t="str">
        <x:v>CONDITIONALLY APPROVED</x:v>
      </x:c>
      <x:c r="Q374" s="24" t="str">
        <x:v>Low</x:v>
      </x:c>
      <x:c r="R374" s="24" t="str"/>
      <x:c r="S374" s="24" t="str">
        <x:v>Sí</x:v>
      </x:c>
      <x:c r="T374" s="24" t="str">
        <x:f>"T"&amp;IF(AND(H374&lt;&gt;"",I374&lt;&gt;"",J374&lt;&gt;"",L374&lt;&gt;"",N374&lt;&gt;"",O374&lt;&gt;"",P374="APPROVED PUBLIC",S374="Sí"),6,IF(AND(H374&lt;&gt;"",I374&lt;&gt;"",J374&lt;&gt;"",L374&lt;&gt;"",N374&lt;&gt;"",O374&lt;&gt;"",P374&lt;&gt;"",S374="Sí"),5,IF(AND(H374&lt;&gt;"",I374&lt;&gt;"",P374&lt;&gt;"",S374&lt;&gt;"No"),4,IF(AND(H374&lt;&gt;"",I374&lt;&gt;""),3,IF(F374&lt;&gt;"",2,1)))))</x:f>
        <x:v>T5</x:v>
      </x:c>
      <x:c r="U374" s="24" t="str">
        <x:v>VRM Games</x:v>
      </x:c>
      <x:c r="V374" s="24" t="str">
        <x:v>No se detectó proveedor externo en la ruta; confirmar autoría por lote antes de release público.</x:v>
      </x:c>
    </x:row>
    <x:row r="375" ht="34" customHeight="1">
      <x:c r="A375" s="24" t="str">
        <x:v>TRC-00371</x:v>
      </x:c>
      <x:c r="B375" s="24" t="str">
        <x:v>b27c1a48b0184194bcbc07b6dd336dc6</x:v>
      </x:c>
      <x:c r="C375" s="24" t="str">
        <x:v>CustomerInstanceId.cs</x:v>
      </x:c>
      <x:c r="D375" s="24" t="str">
        <x:v>Code</x:v>
      </x:c>
      <x:c r="E375" s="24" t="str">
        <x:v>03_Assets_Internos</x:v>
      </x:c>
      <x:c r="F375" s="24" t="str">
        <x:v>INT-0371</x:v>
      </x:c>
      <x:c r="G375" s="24" t="str">
        <x:v>VRM Games / Blas Luis Rocha González</x:v>
      </x:c>
      <x:c r="H375" s="24" t="str">
        <x:v>Internal project IP / authorship claim</x:v>
      </x:c>
      <x:c r="I375" s="24" t="str">
        <x:v>Source package + repository path + hash</x:v>
      </x:c>
      <x:c r="J375" s="24" t="str">
        <x:v>b444dbc7e0196ee6558c349209fa9f2d4471d0c75acc1d6380e20cfd4ed98d14</x:v>
      </x:c>
      <x:c r="K375" s="24" t="str">
        <x:v>Assets/_Project/Scripts/Domain/Customers/CustomerInstanceId.cs</x:v>
      </x:c>
      <x:c r="L375" s="24" t="str">
        <x:v>CR-003</x:v>
      </x:c>
      <x:c r="M375" s="24" t="str"/>
      <x:c r="N375" s="24" t="str">
        <x:v>RES-001;RES-014</x:v>
      </x:c>
      <x:c r="O375" s="24" t="str">
        <x:v>Internal development; public candidate requires gate</x:v>
      </x:c>
      <x:c r="P375" s="24" t="str">
        <x:v>CONDITIONALLY APPROVED</x:v>
      </x:c>
      <x:c r="Q375" s="24" t="str">
        <x:v>Low</x:v>
      </x:c>
      <x:c r="R375" s="24" t="str"/>
      <x:c r="S375" s="24" t="str">
        <x:v>Sí</x:v>
      </x:c>
      <x:c r="T375" s="24" t="str">
        <x:f>"T"&amp;IF(AND(H375&lt;&gt;"",I375&lt;&gt;"",J375&lt;&gt;"",L375&lt;&gt;"",N375&lt;&gt;"",O375&lt;&gt;"",P375="APPROVED PUBLIC",S375="Sí"),6,IF(AND(H375&lt;&gt;"",I375&lt;&gt;"",J375&lt;&gt;"",L375&lt;&gt;"",N375&lt;&gt;"",O375&lt;&gt;"",P375&lt;&gt;"",S375="Sí"),5,IF(AND(H375&lt;&gt;"",I375&lt;&gt;"",P375&lt;&gt;"",S375&lt;&gt;"No"),4,IF(AND(H375&lt;&gt;"",I375&lt;&gt;""),3,IF(F375&lt;&gt;"",2,1)))))</x:f>
        <x:v>T5</x:v>
      </x:c>
      <x:c r="U375" s="24" t="str">
        <x:v>VRM Games</x:v>
      </x:c>
      <x:c r="V375" s="24" t="str">
        <x:v>No se detectó proveedor externo en la ruta; confirmar autoría por lote antes de release público.</x:v>
      </x:c>
    </x:row>
    <x:row r="376" ht="34" customHeight="1">
      <x:c r="A376" s="24" t="str">
        <x:v>TRC-00372</x:v>
      </x:c>
      <x:c r="B376" s="24" t="str">
        <x:v>ba737bd2aaaa4a099286a4e024da3bba</x:v>
      </x:c>
      <x:c r="C376" s="24" t="str">
        <x:v>CustomerInstanceRegistry.cs</x:v>
      </x:c>
      <x:c r="D376" s="24" t="str">
        <x:v>Code</x:v>
      </x:c>
      <x:c r="E376" s="24" t="str">
        <x:v>03_Assets_Internos</x:v>
      </x:c>
      <x:c r="F376" s="24" t="str">
        <x:v>INT-0372</x:v>
      </x:c>
      <x:c r="G376" s="24" t="str">
        <x:v>VRM Games / Blas Luis Rocha González</x:v>
      </x:c>
      <x:c r="H376" s="24" t="str">
        <x:v>Internal project IP / authorship claim</x:v>
      </x:c>
      <x:c r="I376" s="24" t="str">
        <x:v>Source package + repository path + hash</x:v>
      </x:c>
      <x:c r="J376" s="24" t="str">
        <x:v>3ae9160260b8fdad3fd42f8884e3838d1110b5f0bdc71d5809c83367aebee6fd</x:v>
      </x:c>
      <x:c r="K376" s="24" t="str">
        <x:v>Assets/_Project/Scripts/Domain/Customers/CustomerInstanceRegistry.cs</x:v>
      </x:c>
      <x:c r="L376" s="24" t="str">
        <x:v>CR-003</x:v>
      </x:c>
      <x:c r="M376" s="24" t="str"/>
      <x:c r="N376" s="24" t="str">
        <x:v>RES-001;RES-014</x:v>
      </x:c>
      <x:c r="O376" s="24" t="str">
        <x:v>Internal development; public candidate requires gate</x:v>
      </x:c>
      <x:c r="P376" s="24" t="str">
        <x:v>CONDITIONALLY APPROVED</x:v>
      </x:c>
      <x:c r="Q376" s="24" t="str">
        <x:v>Low</x:v>
      </x:c>
      <x:c r="R376" s="24" t="str"/>
      <x:c r="S376" s="24" t="str">
        <x:v>Sí</x:v>
      </x:c>
      <x:c r="T376" s="24" t="str">
        <x:f>"T"&amp;IF(AND(H376&lt;&gt;"",I376&lt;&gt;"",J376&lt;&gt;"",L376&lt;&gt;"",N376&lt;&gt;"",O376&lt;&gt;"",P376="APPROVED PUBLIC",S376="Sí"),6,IF(AND(H376&lt;&gt;"",I376&lt;&gt;"",J376&lt;&gt;"",L376&lt;&gt;"",N376&lt;&gt;"",O376&lt;&gt;"",P376&lt;&gt;"",S376="Sí"),5,IF(AND(H376&lt;&gt;"",I376&lt;&gt;"",P376&lt;&gt;"",S376&lt;&gt;"No"),4,IF(AND(H376&lt;&gt;"",I376&lt;&gt;""),3,IF(F376&lt;&gt;"",2,1)))))</x:f>
        <x:v>T5</x:v>
      </x:c>
      <x:c r="U376" s="24" t="str">
        <x:v>VRM Games</x:v>
      </x:c>
      <x:c r="V376" s="24" t="str">
        <x:v>No se detectó proveedor externo en la ruta; confirmar autoría por lote antes de release público.</x:v>
      </x:c>
    </x:row>
    <x:row r="377" ht="34" customHeight="1">
      <x:c r="A377" s="24" t="str">
        <x:v>TRC-00373</x:v>
      </x:c>
      <x:c r="B377" s="24" t="str">
        <x:v>6e537767a65e4bd4a361f83647ccefd3</x:v>
      </x:c>
      <x:c r="C377" s="24" t="str">
        <x:v>CustomerNavigationPlan.cs</x:v>
      </x:c>
      <x:c r="D377" s="24" t="str">
        <x:v>Code</x:v>
      </x:c>
      <x:c r="E377" s="24" t="str">
        <x:v>03_Assets_Internos</x:v>
      </x:c>
      <x:c r="F377" s="24" t="str">
        <x:v>INT-0373</x:v>
      </x:c>
      <x:c r="G377" s="24" t="str">
        <x:v>VRM Games / Blas Luis Rocha González</x:v>
      </x:c>
      <x:c r="H377" s="24" t="str">
        <x:v>Internal project IP / authorship claim</x:v>
      </x:c>
      <x:c r="I377" s="24" t="str">
        <x:v>Source package + repository path + hash</x:v>
      </x:c>
      <x:c r="J377" s="24" t="str">
        <x:v>ebcdb0a741127831467fc242f49ab4d2aed42f120e1a6655a1b5554682cfbcec</x:v>
      </x:c>
      <x:c r="K377" s="24" t="str">
        <x:v>Assets/_Project/Scripts/Domain/Customers/CustomerNavigationPlan.cs</x:v>
      </x:c>
      <x:c r="L377" s="24" t="str">
        <x:v>CR-003</x:v>
      </x:c>
      <x:c r="M377" s="24" t="str"/>
      <x:c r="N377" s="24" t="str">
        <x:v>RES-001;RES-014</x:v>
      </x:c>
      <x:c r="O377" s="24" t="str">
        <x:v>Internal development; public candidate requires gate</x:v>
      </x:c>
      <x:c r="P377" s="24" t="str">
        <x:v>CONDITIONALLY APPROVED</x:v>
      </x:c>
      <x:c r="Q377" s="24" t="str">
        <x:v>Low</x:v>
      </x:c>
      <x:c r="R377" s="24" t="str"/>
      <x:c r="S377" s="24" t="str">
        <x:v>Sí</x:v>
      </x:c>
      <x:c r="T377" s="24" t="str">
        <x:f>"T"&amp;IF(AND(H377&lt;&gt;"",I377&lt;&gt;"",J377&lt;&gt;"",L377&lt;&gt;"",N377&lt;&gt;"",O377&lt;&gt;"",P377="APPROVED PUBLIC",S377="Sí"),6,IF(AND(H377&lt;&gt;"",I377&lt;&gt;"",J377&lt;&gt;"",L377&lt;&gt;"",N377&lt;&gt;"",O377&lt;&gt;"",P377&lt;&gt;"",S377="Sí"),5,IF(AND(H377&lt;&gt;"",I377&lt;&gt;"",P377&lt;&gt;"",S377&lt;&gt;"No"),4,IF(AND(H377&lt;&gt;"",I377&lt;&gt;""),3,IF(F377&lt;&gt;"",2,1)))))</x:f>
        <x:v>T5</x:v>
      </x:c>
      <x:c r="U377" s="24" t="str">
        <x:v>VRM Games</x:v>
      </x:c>
      <x:c r="V377" s="24" t="str">
        <x:v>No se detectó proveedor externo en la ruta; confirmar autoría por lote antes de release público.</x:v>
      </x:c>
    </x:row>
    <x:row r="378" ht="34" customHeight="1">
      <x:c r="A378" s="24" t="str">
        <x:v>TRC-00374</x:v>
      </x:c>
      <x:c r="B378" s="24" t="str">
        <x:v>b6f2ad5371814b78b5f4034e4c5cd045</x:v>
      </x:c>
      <x:c r="C378" s="24" t="str">
        <x:v>CustomerNavigationPointId.cs</x:v>
      </x:c>
      <x:c r="D378" s="24" t="str">
        <x:v>Code</x:v>
      </x:c>
      <x:c r="E378" s="24" t="str">
        <x:v>03_Assets_Internos</x:v>
      </x:c>
      <x:c r="F378" s="24" t="str">
        <x:v>INT-0374</x:v>
      </x:c>
      <x:c r="G378" s="24" t="str">
        <x:v>VRM Games / Blas Luis Rocha González</x:v>
      </x:c>
      <x:c r="H378" s="24" t="str">
        <x:v>Internal project IP / authorship claim</x:v>
      </x:c>
      <x:c r="I378" s="24" t="str">
        <x:v>Source package + repository path + hash</x:v>
      </x:c>
      <x:c r="J378" s="24" t="str">
        <x:v>93ff97f03b4fcf730e354e2ad18b51f056f6239bb3954244e51817ee1d4358e3</x:v>
      </x:c>
      <x:c r="K378" s="24" t="str">
        <x:v>Assets/_Project/Scripts/Domain/Customers/CustomerNavigationPointId.cs</x:v>
      </x:c>
      <x:c r="L378" s="24" t="str">
        <x:v>CR-003</x:v>
      </x:c>
      <x:c r="M378" s="24" t="str"/>
      <x:c r="N378" s="24" t="str">
        <x:v>RES-001;RES-014</x:v>
      </x:c>
      <x:c r="O378" s="24" t="str">
        <x:v>Internal development; public candidate requires gate</x:v>
      </x:c>
      <x:c r="P378" s="24" t="str">
        <x:v>CONDITIONALLY APPROVED</x:v>
      </x:c>
      <x:c r="Q378" s="24" t="str">
        <x:v>Low</x:v>
      </x:c>
      <x:c r="R378" s="24" t="str"/>
      <x:c r="S378" s="24" t="str">
        <x:v>Sí</x:v>
      </x:c>
      <x:c r="T378" s="24" t="str">
        <x:f>"T"&amp;IF(AND(H378&lt;&gt;"",I378&lt;&gt;"",J378&lt;&gt;"",L378&lt;&gt;"",N378&lt;&gt;"",O378&lt;&gt;"",P378="APPROVED PUBLIC",S378="Sí"),6,IF(AND(H378&lt;&gt;"",I378&lt;&gt;"",J378&lt;&gt;"",L378&lt;&gt;"",N378&lt;&gt;"",O378&lt;&gt;"",P378&lt;&gt;"",S378="Sí"),5,IF(AND(H378&lt;&gt;"",I378&lt;&gt;"",P378&lt;&gt;"",S378&lt;&gt;"No"),4,IF(AND(H378&lt;&gt;"",I378&lt;&gt;""),3,IF(F378&lt;&gt;"",2,1)))))</x:f>
        <x:v>T5</x:v>
      </x:c>
      <x:c r="U378" s="24" t="str">
        <x:v>VRM Games</x:v>
      </x:c>
      <x:c r="V378" s="24" t="str">
        <x:v>No se detectó proveedor externo en la ruta; confirmar autoría por lote antes de release público.</x:v>
      </x:c>
    </x:row>
    <x:row r="379" ht="34" customHeight="1">
      <x:c r="A379" s="24" t="str">
        <x:v>TRC-00375</x:v>
      </x:c>
      <x:c r="B379" s="24" t="str">
        <x:v>c03a84fe86074596ae9f50f8003f54c0</x:v>
      </x:c>
      <x:c r="C379" s="24" t="str">
        <x:v>CustomerNavigationTarget.cs</x:v>
      </x:c>
      <x:c r="D379" s="24" t="str">
        <x:v>Code</x:v>
      </x:c>
      <x:c r="E379" s="24" t="str">
        <x:v>03_Assets_Internos</x:v>
      </x:c>
      <x:c r="F379" s="24" t="str">
        <x:v>INT-0375</x:v>
      </x:c>
      <x:c r="G379" s="24" t="str">
        <x:v>VRM Games / Blas Luis Rocha González</x:v>
      </x:c>
      <x:c r="H379" s="24" t="str">
        <x:v>Internal project IP / authorship claim</x:v>
      </x:c>
      <x:c r="I379" s="24" t="str">
        <x:v>Source package + repository path + hash</x:v>
      </x:c>
      <x:c r="J379" s="24" t="str">
        <x:v>8e2cd0b71bf83194df9013bab593561193d046ff7cf0ad7d4efdae673b30f2e8</x:v>
      </x:c>
      <x:c r="K379" s="24" t="str">
        <x:v>Assets/_Project/Scripts/Domain/Customers/CustomerNavigationTarget.cs</x:v>
      </x:c>
      <x:c r="L379" s="24" t="str">
        <x:v>CR-003</x:v>
      </x:c>
      <x:c r="M379" s="24" t="str"/>
      <x:c r="N379" s="24" t="str">
        <x:v>RES-001;RES-014</x:v>
      </x:c>
      <x:c r="O379" s="24" t="str">
        <x:v>Internal development; public candidate requires gate</x:v>
      </x:c>
      <x:c r="P379" s="24" t="str">
        <x:v>CONDITIONALLY APPROVED</x:v>
      </x:c>
      <x:c r="Q379" s="24" t="str">
        <x:v>Low</x:v>
      </x:c>
      <x:c r="R379" s="24" t="str"/>
      <x:c r="S379" s="24" t="str">
        <x:v>Sí</x:v>
      </x:c>
      <x:c r="T379" s="24" t="str">
        <x:f>"T"&amp;IF(AND(H379&lt;&gt;"",I379&lt;&gt;"",J379&lt;&gt;"",L379&lt;&gt;"",N379&lt;&gt;"",O379&lt;&gt;"",P379="APPROVED PUBLIC",S379="Sí"),6,IF(AND(H379&lt;&gt;"",I379&lt;&gt;"",J379&lt;&gt;"",L379&lt;&gt;"",N379&lt;&gt;"",O379&lt;&gt;"",P379&lt;&gt;"",S379="Sí"),5,IF(AND(H379&lt;&gt;"",I379&lt;&gt;"",P379&lt;&gt;"",S379&lt;&gt;"No"),4,IF(AND(H379&lt;&gt;"",I379&lt;&gt;""),3,IF(F379&lt;&gt;"",2,1)))))</x:f>
        <x:v>T5</x:v>
      </x:c>
      <x:c r="U379" s="24" t="str">
        <x:v>VRM Games</x:v>
      </x:c>
      <x:c r="V379" s="24" t="str">
        <x:v>No se detectó proveedor externo en la ruta; confirmar autoría por lote antes de release público.</x:v>
      </x:c>
    </x:row>
    <x:row r="380" ht="34" customHeight="1">
      <x:c r="A380" s="24" t="str">
        <x:v>TRC-00376</x:v>
      </x:c>
      <x:c r="B380" s="24" t="str">
        <x:v>f10ba3d2b3c84367b57d04604e3b0ad6</x:v>
      </x:c>
      <x:c r="C380" s="24" t="str">
        <x:v>CustomerNavigationTargetType.cs</x:v>
      </x:c>
      <x:c r="D380" s="24" t="str">
        <x:v>Code</x:v>
      </x:c>
      <x:c r="E380" s="24" t="str">
        <x:v>03_Assets_Internos</x:v>
      </x:c>
      <x:c r="F380" s="24" t="str">
        <x:v>INT-0376</x:v>
      </x:c>
      <x:c r="G380" s="24" t="str">
        <x:v>VRM Games / Blas Luis Rocha González</x:v>
      </x:c>
      <x:c r="H380" s="24" t="str">
        <x:v>Internal project IP / authorship claim</x:v>
      </x:c>
      <x:c r="I380" s="24" t="str">
        <x:v>Source package + repository path + hash</x:v>
      </x:c>
      <x:c r="J380" s="24" t="str">
        <x:v>3a621536acd5a4411e7145caa29293d56a4d68636173eaf74425b053ac7081da</x:v>
      </x:c>
      <x:c r="K380" s="24" t="str">
        <x:v>Assets/_Project/Scripts/Domain/Customers/CustomerNavigationTargetType.cs</x:v>
      </x:c>
      <x:c r="L380" s="24" t="str">
        <x:v>CR-003</x:v>
      </x:c>
      <x:c r="M380" s="24" t="str"/>
      <x:c r="N380" s="24" t="str">
        <x:v>RES-001;RES-014</x:v>
      </x:c>
      <x:c r="O380" s="24" t="str">
        <x:v>Internal development; public candidate requires gate</x:v>
      </x:c>
      <x:c r="P380" s="24" t="str">
        <x:v>CONDITIONALLY APPROVED</x:v>
      </x:c>
      <x:c r="Q380" s="24" t="str">
        <x:v>Low</x:v>
      </x:c>
      <x:c r="R380" s="24" t="str"/>
      <x:c r="S380" s="24" t="str">
        <x:v>Sí</x:v>
      </x:c>
      <x:c r="T380" s="24" t="str">
        <x:f>"T"&amp;IF(AND(H380&lt;&gt;"",I380&lt;&gt;"",J380&lt;&gt;"",L380&lt;&gt;"",N380&lt;&gt;"",O380&lt;&gt;"",P380="APPROVED PUBLIC",S380="Sí"),6,IF(AND(H380&lt;&gt;"",I380&lt;&gt;"",J380&lt;&gt;"",L380&lt;&gt;"",N380&lt;&gt;"",O380&lt;&gt;"",P380&lt;&gt;"",S380="Sí"),5,IF(AND(H380&lt;&gt;"",I380&lt;&gt;"",P380&lt;&gt;"",S380&lt;&gt;"No"),4,IF(AND(H380&lt;&gt;"",I380&lt;&gt;""),3,IF(F380&lt;&gt;"",2,1)))))</x:f>
        <x:v>T5</x:v>
      </x:c>
      <x:c r="U380" s="24" t="str">
        <x:v>VRM Games</x:v>
      </x:c>
      <x:c r="V380" s="24" t="str">
        <x:v>No se detectó proveedor externo en la ruta; confirmar autoría por lote antes de release público.</x:v>
      </x:c>
    </x:row>
    <x:row r="381" ht="34" customHeight="1">
      <x:c r="A381" s="24" t="str">
        <x:v>TRC-00377</x:v>
      </x:c>
      <x:c r="B381" s="24" t="str">
        <x:v>450d6f67faaa40cebbd38667e149f68a</x:v>
      </x:c>
      <x:c r="C381" s="24" t="str">
        <x:v>CustomerProfile.cs</x:v>
      </x:c>
      <x:c r="D381" s="24" t="str">
        <x:v>Code</x:v>
      </x:c>
      <x:c r="E381" s="24" t="str">
        <x:v>03_Assets_Internos</x:v>
      </x:c>
      <x:c r="F381" s="24" t="str">
        <x:v>INT-0377</x:v>
      </x:c>
      <x:c r="G381" s="24" t="str">
        <x:v>VRM Games / Blas Luis Rocha González</x:v>
      </x:c>
      <x:c r="H381" s="24" t="str">
        <x:v>Internal project IP / authorship claim</x:v>
      </x:c>
      <x:c r="I381" s="24" t="str">
        <x:v>Source package + repository path + hash</x:v>
      </x:c>
      <x:c r="J381" s="24" t="str">
        <x:v>9fbd7370f8f9b6a2298f7a98c7a9df6fdb79d522911069e027964986f5146b7d</x:v>
      </x:c>
      <x:c r="K381" s="24" t="str">
        <x:v>Assets/_Project/Scripts/Domain/Customers/CustomerProfile.cs</x:v>
      </x:c>
      <x:c r="L381" s="24" t="str">
        <x:v>CR-003</x:v>
      </x:c>
      <x:c r="M381" s="24" t="str"/>
      <x:c r="N381" s="24" t="str">
        <x:v>RES-001;RES-014</x:v>
      </x:c>
      <x:c r="O381" s="24" t="str">
        <x:v>Internal development; public candidate requires gate</x:v>
      </x:c>
      <x:c r="P381" s="24" t="str">
        <x:v>CONDITIONALLY APPROVED</x:v>
      </x:c>
      <x:c r="Q381" s="24" t="str">
        <x:v>Low</x:v>
      </x:c>
      <x:c r="R381" s="24" t="str"/>
      <x:c r="S381" s="24" t="str">
        <x:v>Sí</x:v>
      </x:c>
      <x:c r="T381" s="24" t="str">
        <x:f>"T"&amp;IF(AND(H381&lt;&gt;"",I381&lt;&gt;"",J381&lt;&gt;"",L381&lt;&gt;"",N381&lt;&gt;"",O381&lt;&gt;"",P381="APPROVED PUBLIC",S381="Sí"),6,IF(AND(H381&lt;&gt;"",I381&lt;&gt;"",J381&lt;&gt;"",L381&lt;&gt;"",N381&lt;&gt;"",O381&lt;&gt;"",P381&lt;&gt;"",S381="Sí"),5,IF(AND(H381&lt;&gt;"",I381&lt;&gt;"",P381&lt;&gt;"",S381&lt;&gt;"No"),4,IF(AND(H381&lt;&gt;"",I381&lt;&gt;""),3,IF(F381&lt;&gt;"",2,1)))))</x:f>
        <x:v>T5</x:v>
      </x:c>
      <x:c r="U381" s="24" t="str">
        <x:v>VRM Games</x:v>
      </x:c>
      <x:c r="V381" s="24" t="str">
        <x:v>No se detectó proveedor externo en la ruta; confirmar autoría por lote antes de release público.</x:v>
      </x:c>
    </x:row>
    <x:row r="382" ht="34" customHeight="1">
      <x:c r="A382" s="24" t="str">
        <x:v>TRC-00378</x:v>
      </x:c>
      <x:c r="B382" s="24" t="str">
        <x:v>22e42d5317a34aacae975fe0a1eb0a73</x:v>
      </x:c>
      <x:c r="C382" s="24" t="str">
        <x:v>CustomerProfileId.cs</x:v>
      </x:c>
      <x:c r="D382" s="24" t="str">
        <x:v>Code</x:v>
      </x:c>
      <x:c r="E382" s="24" t="str">
        <x:v>03_Assets_Internos</x:v>
      </x:c>
      <x:c r="F382" s="24" t="str">
        <x:v>INT-0378</x:v>
      </x:c>
      <x:c r="G382" s="24" t="str">
        <x:v>VRM Games / Blas Luis Rocha González</x:v>
      </x:c>
      <x:c r="H382" s="24" t="str">
        <x:v>Internal project IP / authorship claim</x:v>
      </x:c>
      <x:c r="I382" s="24" t="str">
        <x:v>Source package + repository path + hash</x:v>
      </x:c>
      <x:c r="J382" s="24" t="str">
        <x:v>e7d57579603c2a8f7926da0c44df243b18a24f5630367e102c248e15c94f258c</x:v>
      </x:c>
      <x:c r="K382" s="24" t="str">
        <x:v>Assets/_Project/Scripts/Domain/Customers/CustomerProfileId.cs</x:v>
      </x:c>
      <x:c r="L382" s="24" t="str">
        <x:v>CR-003</x:v>
      </x:c>
      <x:c r="M382" s="24" t="str"/>
      <x:c r="N382" s="24" t="str">
        <x:v>RES-001;RES-014</x:v>
      </x:c>
      <x:c r="O382" s="24" t="str">
        <x:v>Internal development; public candidate requires gate</x:v>
      </x:c>
      <x:c r="P382" s="24" t="str">
        <x:v>CONDITIONALLY APPROVED</x:v>
      </x:c>
      <x:c r="Q382" s="24" t="str">
        <x:v>Low</x:v>
      </x:c>
      <x:c r="R382" s="24" t="str"/>
      <x:c r="S382" s="24" t="str">
        <x:v>Sí</x:v>
      </x:c>
      <x:c r="T382" s="24" t="str">
        <x:f>"T"&amp;IF(AND(H382&lt;&gt;"",I382&lt;&gt;"",J382&lt;&gt;"",L382&lt;&gt;"",N382&lt;&gt;"",O382&lt;&gt;"",P382="APPROVED PUBLIC",S382="Sí"),6,IF(AND(H382&lt;&gt;"",I382&lt;&gt;"",J382&lt;&gt;"",L382&lt;&gt;"",N382&lt;&gt;"",O382&lt;&gt;"",P382&lt;&gt;"",S382="Sí"),5,IF(AND(H382&lt;&gt;"",I382&lt;&gt;"",P382&lt;&gt;"",S382&lt;&gt;"No"),4,IF(AND(H382&lt;&gt;"",I382&lt;&gt;""),3,IF(F382&lt;&gt;"",2,1)))))</x:f>
        <x:v>T5</x:v>
      </x:c>
      <x:c r="U382" s="24" t="str">
        <x:v>VRM Games</x:v>
      </x:c>
      <x:c r="V382" s="24" t="str">
        <x:v>No se detectó proveedor externo en la ruta; confirmar autoría por lote antes de release público.</x:v>
      </x:c>
    </x:row>
    <x:row r="383" ht="34" customHeight="1">
      <x:c r="A383" s="24" t="str">
        <x:v>TRC-00379</x:v>
      </x:c>
      <x:c r="B383" s="24" t="str">
        <x:v>9486b467c03846448d2869a56e427191</x:v>
      </x:c>
      <x:c r="C383" s="24" t="str">
        <x:v>CustomerProfileRegistry.cs</x:v>
      </x:c>
      <x:c r="D383" s="24" t="str">
        <x:v>Code</x:v>
      </x:c>
      <x:c r="E383" s="24" t="str">
        <x:v>03_Assets_Internos</x:v>
      </x:c>
      <x:c r="F383" s="24" t="str">
        <x:v>INT-0379</x:v>
      </x:c>
      <x:c r="G383" s="24" t="str">
        <x:v>VRM Games / Blas Luis Rocha González</x:v>
      </x:c>
      <x:c r="H383" s="24" t="str">
        <x:v>Internal project IP / authorship claim</x:v>
      </x:c>
      <x:c r="I383" s="24" t="str">
        <x:v>Source package + repository path + hash</x:v>
      </x:c>
      <x:c r="J383" s="24" t="str">
        <x:v>645126970e8f36d5cbe2393ba126f7d0e62137d50091eb8702c15bf19cbfb891</x:v>
      </x:c>
      <x:c r="K383" s="24" t="str">
        <x:v>Assets/_Project/Scripts/Domain/Customers/CustomerProfileRegistry.cs</x:v>
      </x:c>
      <x:c r="L383" s="24" t="str">
        <x:v>CR-003</x:v>
      </x:c>
      <x:c r="M383" s="24" t="str"/>
      <x:c r="N383" s="24" t="str">
        <x:v>RES-001;RES-014</x:v>
      </x:c>
      <x:c r="O383" s="24" t="str">
        <x:v>Internal development; public candidate requires gate</x:v>
      </x:c>
      <x:c r="P383" s="24" t="str">
        <x:v>CONDITIONALLY APPROVED</x:v>
      </x:c>
      <x:c r="Q383" s="24" t="str">
        <x:v>Low</x:v>
      </x:c>
      <x:c r="R383" s="24" t="str"/>
      <x:c r="S383" s="24" t="str">
        <x:v>Sí</x:v>
      </x:c>
      <x:c r="T383" s="24" t="str">
        <x:f>"T"&amp;IF(AND(H383&lt;&gt;"",I383&lt;&gt;"",J383&lt;&gt;"",L383&lt;&gt;"",N383&lt;&gt;"",O383&lt;&gt;"",P383="APPROVED PUBLIC",S383="Sí"),6,IF(AND(H383&lt;&gt;"",I383&lt;&gt;"",J383&lt;&gt;"",L383&lt;&gt;"",N383&lt;&gt;"",O383&lt;&gt;"",P383&lt;&gt;"",S383="Sí"),5,IF(AND(H383&lt;&gt;"",I383&lt;&gt;"",P383&lt;&gt;"",S383&lt;&gt;"No"),4,IF(AND(H383&lt;&gt;"",I383&lt;&gt;""),3,IF(F383&lt;&gt;"",2,1)))))</x:f>
        <x:v>T5</x:v>
      </x:c>
      <x:c r="U383" s="24" t="str">
        <x:v>VRM Games</x:v>
      </x:c>
      <x:c r="V383" s="24" t="str">
        <x:v>No se detectó proveedor externo en la ruta; confirmar autoría por lote antes de release público.</x:v>
      </x:c>
    </x:row>
    <x:row r="384" ht="34" customHeight="1">
      <x:c r="A384" s="24" t="str">
        <x:v>TRC-00380</x:v>
      </x:c>
      <x:c r="B384" s="24" t="str">
        <x:v>2c9cd6330d014ee6abae470f471a37f8</x:v>
      </x:c>
      <x:c r="C384" s="24" t="str">
        <x:v>CustomerSpawnPolicy.cs</x:v>
      </x:c>
      <x:c r="D384" s="24" t="str">
        <x:v>Code</x:v>
      </x:c>
      <x:c r="E384" s="24" t="str">
        <x:v>03_Assets_Internos</x:v>
      </x:c>
      <x:c r="F384" s="24" t="str">
        <x:v>INT-0380</x:v>
      </x:c>
      <x:c r="G384" s="24" t="str">
        <x:v>VRM Games / Blas Luis Rocha González</x:v>
      </x:c>
      <x:c r="H384" s="24" t="str">
        <x:v>Internal project IP / authorship claim</x:v>
      </x:c>
      <x:c r="I384" s="24" t="str">
        <x:v>Source package + repository path + hash</x:v>
      </x:c>
      <x:c r="J384" s="24" t="str">
        <x:v>89fd6907ed771df588d4760f80bb8ba7167cf9f594930ac5ba54833b3d0ba0c8</x:v>
      </x:c>
      <x:c r="K384" s="24" t="str">
        <x:v>Assets/_Project/Scripts/Domain/Customers/CustomerSpawnPolicy.cs</x:v>
      </x:c>
      <x:c r="L384" s="24" t="str">
        <x:v>CR-003</x:v>
      </x:c>
      <x:c r="M384" s="24" t="str"/>
      <x:c r="N384" s="24" t="str">
        <x:v>RES-001;RES-014</x:v>
      </x:c>
      <x:c r="O384" s="24" t="str">
        <x:v>Internal development; public candidate requires gate</x:v>
      </x:c>
      <x:c r="P384" s="24" t="str">
        <x:v>CONDITIONALLY APPROVED</x:v>
      </x:c>
      <x:c r="Q384" s="24" t="str">
        <x:v>Low</x:v>
      </x:c>
      <x:c r="R384" s="24" t="str"/>
      <x:c r="S384" s="24" t="str">
        <x:v>Sí</x:v>
      </x:c>
      <x:c r="T384" s="24" t="str">
        <x:f>"T"&amp;IF(AND(H384&lt;&gt;"",I384&lt;&gt;"",J384&lt;&gt;"",L384&lt;&gt;"",N384&lt;&gt;"",O384&lt;&gt;"",P384="APPROVED PUBLIC",S384="Sí"),6,IF(AND(H384&lt;&gt;"",I384&lt;&gt;"",J384&lt;&gt;"",L384&lt;&gt;"",N384&lt;&gt;"",O384&lt;&gt;"",P384&lt;&gt;"",S384="Sí"),5,IF(AND(H384&lt;&gt;"",I384&lt;&gt;"",P384&lt;&gt;"",S384&lt;&gt;"No"),4,IF(AND(H384&lt;&gt;"",I384&lt;&gt;""),3,IF(F384&lt;&gt;"",2,1)))))</x:f>
        <x:v>T5</x:v>
      </x:c>
      <x:c r="U384" s="24" t="str">
        <x:v>VRM Games</x:v>
      </x:c>
      <x:c r="V384" s="24" t="str">
        <x:v>No se detectó proveedor externo en la ruta; confirmar autoría por lote antes de release público.</x:v>
      </x:c>
    </x:row>
    <x:row r="385" ht="34" customHeight="1">
      <x:c r="A385" s="24" t="str">
        <x:v>TRC-00381</x:v>
      </x:c>
      <x:c r="B385" s="24" t="str">
        <x:v>ab99821c237d45769bfed77377de1571</x:v>
      </x:c>
      <x:c r="C385" s="24" t="str">
        <x:v>CustomerSpawnQueue.cs</x:v>
      </x:c>
      <x:c r="D385" s="24" t="str">
        <x:v>Code</x:v>
      </x:c>
      <x:c r="E385" s="24" t="str">
        <x:v>03_Assets_Internos</x:v>
      </x:c>
      <x:c r="F385" s="24" t="str">
        <x:v>INT-0381</x:v>
      </x:c>
      <x:c r="G385" s="24" t="str">
        <x:v>VRM Games / Blas Luis Rocha González</x:v>
      </x:c>
      <x:c r="H385" s="24" t="str">
        <x:v>Internal project IP / authorship claim</x:v>
      </x:c>
      <x:c r="I385" s="24" t="str">
        <x:v>Source package + repository path + hash</x:v>
      </x:c>
      <x:c r="J385" s="24" t="str">
        <x:v>6a3738354cc7ea63c8b38c0b049d0fa723ddbb2872ca7f2bbf5445b7fc4c0315</x:v>
      </x:c>
      <x:c r="K385" s="24" t="str">
        <x:v>Assets/_Project/Scripts/Domain/Customers/CustomerSpawnQueue.cs</x:v>
      </x:c>
      <x:c r="L385" s="24" t="str">
        <x:v>CR-003</x:v>
      </x:c>
      <x:c r="M385" s="24" t="str"/>
      <x:c r="N385" s="24" t="str">
        <x:v>RES-001;RES-014</x:v>
      </x:c>
      <x:c r="O385" s="24" t="str">
        <x:v>Internal development; public candidate requires gate</x:v>
      </x:c>
      <x:c r="P385" s="24" t="str">
        <x:v>CONDITIONALLY APPROVED</x:v>
      </x:c>
      <x:c r="Q385" s="24" t="str">
        <x:v>Low</x:v>
      </x:c>
      <x:c r="R385" s="24" t="str"/>
      <x:c r="S385" s="24" t="str">
        <x:v>Sí</x:v>
      </x:c>
      <x:c r="T385" s="24" t="str">
        <x:f>"T"&amp;IF(AND(H385&lt;&gt;"",I385&lt;&gt;"",J385&lt;&gt;"",L385&lt;&gt;"",N385&lt;&gt;"",O385&lt;&gt;"",P385="APPROVED PUBLIC",S385="Sí"),6,IF(AND(H385&lt;&gt;"",I385&lt;&gt;"",J385&lt;&gt;"",L385&lt;&gt;"",N385&lt;&gt;"",O385&lt;&gt;"",P385&lt;&gt;"",S385="Sí"),5,IF(AND(H385&lt;&gt;"",I385&lt;&gt;"",P385&lt;&gt;"",S385&lt;&gt;"No"),4,IF(AND(H385&lt;&gt;"",I385&lt;&gt;""),3,IF(F385&lt;&gt;"",2,1)))))</x:f>
        <x:v>T5</x:v>
      </x:c>
      <x:c r="U385" s="24" t="str">
        <x:v>VRM Games</x:v>
      </x:c>
      <x:c r="V385" s="24" t="str">
        <x:v>No se detectó proveedor externo en la ruta; confirmar autoría por lote antes de release público.</x:v>
      </x:c>
    </x:row>
    <x:row r="386" ht="34" customHeight="1">
      <x:c r="A386" s="24" t="str">
        <x:v>TRC-00382</x:v>
      </x:c>
      <x:c r="B386" s="24" t="str">
        <x:v>9cd7a20d20944c539b73218578076223</x:v>
      </x:c>
      <x:c r="C386" s="24" t="str">
        <x:v>CustomerSpawnRequest.cs</x:v>
      </x:c>
      <x:c r="D386" s="24" t="str">
        <x:v>Code</x:v>
      </x:c>
      <x:c r="E386" s="24" t="str">
        <x:v>03_Assets_Internos</x:v>
      </x:c>
      <x:c r="F386" s="24" t="str">
        <x:v>INT-0382</x:v>
      </x:c>
      <x:c r="G386" s="24" t="str">
        <x:v>VRM Games / Blas Luis Rocha González</x:v>
      </x:c>
      <x:c r="H386" s="24" t="str">
        <x:v>Internal project IP / authorship claim</x:v>
      </x:c>
      <x:c r="I386" s="24" t="str">
        <x:v>Source package + repository path + hash</x:v>
      </x:c>
      <x:c r="J386" s="24" t="str">
        <x:v>6083dab2b522d46b7fe437085f278e5ccc9068e81626064e1cfc7c66666b9947</x:v>
      </x:c>
      <x:c r="K386" s="24" t="str">
        <x:v>Assets/_Project/Scripts/Domain/Customers/CustomerSpawnRequest.cs</x:v>
      </x:c>
      <x:c r="L386" s="24" t="str">
        <x:v>CR-003</x:v>
      </x:c>
      <x:c r="M386" s="24" t="str"/>
      <x:c r="N386" s="24" t="str">
        <x:v>RES-001;RES-014</x:v>
      </x:c>
      <x:c r="O386" s="24" t="str">
        <x:v>Internal development; public candidate requires gate</x:v>
      </x:c>
      <x:c r="P386" s="24" t="str">
        <x:v>CONDITIONALLY APPROVED</x:v>
      </x:c>
      <x:c r="Q386" s="24" t="str">
        <x:v>Low</x:v>
      </x:c>
      <x:c r="R386" s="24" t="str"/>
      <x:c r="S386" s="24" t="str">
        <x:v>Sí</x:v>
      </x:c>
      <x:c r="T386" s="24" t="str">
        <x:f>"T"&amp;IF(AND(H386&lt;&gt;"",I386&lt;&gt;"",J386&lt;&gt;"",L386&lt;&gt;"",N386&lt;&gt;"",O386&lt;&gt;"",P386="APPROVED PUBLIC",S386="Sí"),6,IF(AND(H386&lt;&gt;"",I386&lt;&gt;"",J386&lt;&gt;"",L386&lt;&gt;"",N386&lt;&gt;"",O386&lt;&gt;"",P386&lt;&gt;"",S386="Sí"),5,IF(AND(H386&lt;&gt;"",I386&lt;&gt;"",P386&lt;&gt;"",S386&lt;&gt;"No"),4,IF(AND(H386&lt;&gt;"",I386&lt;&gt;""),3,IF(F386&lt;&gt;"",2,1)))))</x:f>
        <x:v>T5</x:v>
      </x:c>
      <x:c r="U386" s="24" t="str">
        <x:v>VRM Games</x:v>
      </x:c>
      <x:c r="V386" s="24" t="str">
        <x:v>No se detectó proveedor externo en la ruta; confirmar autoría por lote antes de release público.</x:v>
      </x:c>
    </x:row>
    <x:row r="387" ht="34" customHeight="1">
      <x:c r="A387" s="24" t="str">
        <x:v>TRC-00383</x:v>
      </x:c>
      <x:c r="B387" s="24" t="str">
        <x:v>d37ac53f0bca4a658de9b78b4670a9e1</x:v>
      </x:c>
      <x:c r="C387" s="24" t="str">
        <x:v>CustomerSpawnRequestId.cs</x:v>
      </x:c>
      <x:c r="D387" s="24" t="str">
        <x:v>Code</x:v>
      </x:c>
      <x:c r="E387" s="24" t="str">
        <x:v>03_Assets_Internos</x:v>
      </x:c>
      <x:c r="F387" s="24" t="str">
        <x:v>INT-0383</x:v>
      </x:c>
      <x:c r="G387" s="24" t="str">
        <x:v>VRM Games / Blas Luis Rocha González</x:v>
      </x:c>
      <x:c r="H387" s="24" t="str">
        <x:v>Internal project IP / authorship claim</x:v>
      </x:c>
      <x:c r="I387" s="24" t="str">
        <x:v>Source package + repository path + hash</x:v>
      </x:c>
      <x:c r="J387" s="24" t="str">
        <x:v>cbc6f18f766b2449f9ea293b9d47cd92978b5d66fb9adff168b28fa8d393d6ee</x:v>
      </x:c>
      <x:c r="K387" s="24" t="str">
        <x:v>Assets/_Project/Scripts/Domain/Customers/CustomerSpawnRequestId.cs</x:v>
      </x:c>
      <x:c r="L387" s="24" t="str">
        <x:v>CR-003</x:v>
      </x:c>
      <x:c r="M387" s="24" t="str"/>
      <x:c r="N387" s="24" t="str">
        <x:v>RES-001;RES-014</x:v>
      </x:c>
      <x:c r="O387" s="24" t="str">
        <x:v>Internal development; public candidate requires gate</x:v>
      </x:c>
      <x:c r="P387" s="24" t="str">
        <x:v>CONDITIONALLY APPROVED</x:v>
      </x:c>
      <x:c r="Q387" s="24" t="str">
        <x:v>Low</x:v>
      </x:c>
      <x:c r="R387" s="24" t="str"/>
      <x:c r="S387" s="24" t="str">
        <x:v>Sí</x:v>
      </x:c>
      <x:c r="T387" s="24" t="str">
        <x:f>"T"&amp;IF(AND(H387&lt;&gt;"",I387&lt;&gt;"",J387&lt;&gt;"",L387&lt;&gt;"",N387&lt;&gt;"",O387&lt;&gt;"",P387="APPROVED PUBLIC",S387="Sí"),6,IF(AND(H387&lt;&gt;"",I387&lt;&gt;"",J387&lt;&gt;"",L387&lt;&gt;"",N387&lt;&gt;"",O387&lt;&gt;"",P387&lt;&gt;"",S387="Sí"),5,IF(AND(H387&lt;&gt;"",I387&lt;&gt;"",P387&lt;&gt;"",S387&lt;&gt;"No"),4,IF(AND(H387&lt;&gt;"",I387&lt;&gt;""),3,IF(F387&lt;&gt;"",2,1)))))</x:f>
        <x:v>T5</x:v>
      </x:c>
      <x:c r="U387" s="24" t="str">
        <x:v>VRM Games</x:v>
      </x:c>
      <x:c r="V387" s="24" t="str">
        <x:v>No se detectó proveedor externo en la ruta; confirmar autoría por lote antes de release público.</x:v>
      </x:c>
    </x:row>
    <x:row r="388" ht="34" customHeight="1">
      <x:c r="A388" s="24" t="str">
        <x:v>TRC-00384</x:v>
      </x:c>
      <x:c r="B388" s="24" t="str">
        <x:v>922b96f6f0bd42a8831dd473addf8e23</x:v>
      </x:c>
      <x:c r="C388" s="24" t="str">
        <x:v>CustomerState.cs</x:v>
      </x:c>
      <x:c r="D388" s="24" t="str">
        <x:v>Code</x:v>
      </x:c>
      <x:c r="E388" s="24" t="str">
        <x:v>03_Assets_Internos</x:v>
      </x:c>
      <x:c r="F388" s="24" t="str">
        <x:v>INT-0384</x:v>
      </x:c>
      <x:c r="G388" s="24" t="str">
        <x:v>VRM Games / Blas Luis Rocha González</x:v>
      </x:c>
      <x:c r="H388" s="24" t="str">
        <x:v>Internal project IP / authorship claim</x:v>
      </x:c>
      <x:c r="I388" s="24" t="str">
        <x:v>Source package + repository path + hash</x:v>
      </x:c>
      <x:c r="J388" s="24" t="str">
        <x:v>608532a8697d55a6207ad48a6adff5804b9d1f5563a0f015e169435bb2371151</x:v>
      </x:c>
      <x:c r="K388" s="24" t="str">
        <x:v>Assets/_Project/Scripts/Domain/Customers/CustomerState.cs</x:v>
      </x:c>
      <x:c r="L388" s="24" t="str">
        <x:v>CR-003</x:v>
      </x:c>
      <x:c r="M388" s="24" t="str"/>
      <x:c r="N388" s="24" t="str">
        <x:v>RES-001;RES-014</x:v>
      </x:c>
      <x:c r="O388" s="24" t="str">
        <x:v>Internal development; public candidate requires gate</x:v>
      </x:c>
      <x:c r="P388" s="24" t="str">
        <x:v>CONDITIONALLY APPROVED</x:v>
      </x:c>
      <x:c r="Q388" s="24" t="str">
        <x:v>Low</x:v>
      </x:c>
      <x:c r="R388" s="24" t="str"/>
      <x:c r="S388" s="24" t="str">
        <x:v>Sí</x:v>
      </x:c>
      <x:c r="T388" s="24" t="str">
        <x:f>"T"&amp;IF(AND(H388&lt;&gt;"",I388&lt;&gt;"",J388&lt;&gt;"",L388&lt;&gt;"",N388&lt;&gt;"",O388&lt;&gt;"",P388="APPROVED PUBLIC",S388="Sí"),6,IF(AND(H388&lt;&gt;"",I388&lt;&gt;"",J388&lt;&gt;"",L388&lt;&gt;"",N388&lt;&gt;"",O388&lt;&gt;"",P388&lt;&gt;"",S388="Sí"),5,IF(AND(H388&lt;&gt;"",I388&lt;&gt;"",P388&lt;&gt;"",S388&lt;&gt;"No"),4,IF(AND(H388&lt;&gt;"",I388&lt;&gt;""),3,IF(F388&lt;&gt;"",2,1)))))</x:f>
        <x:v>T5</x:v>
      </x:c>
      <x:c r="U388" s="24" t="str">
        <x:v>VRM Games</x:v>
      </x:c>
      <x:c r="V388" s="24" t="str">
        <x:v>No se detectó proveedor externo en la ruta; confirmar autoría por lote antes de release público.</x:v>
      </x:c>
    </x:row>
    <x:row r="389" ht="34" customHeight="1">
      <x:c r="A389" s="24" t="str">
        <x:v>TRC-00385</x:v>
      </x:c>
      <x:c r="B389" s="24" t="str">
        <x:v>39d13353e8b24133a13f54f1efbb23d3</x:v>
      </x:c>
      <x:c r="C389" s="24" t="str">
        <x:v>CustomerTransitionFailureReason.cs</x:v>
      </x:c>
      <x:c r="D389" s="24" t="str">
        <x:v>Code</x:v>
      </x:c>
      <x:c r="E389" s="24" t="str">
        <x:v>03_Assets_Internos</x:v>
      </x:c>
      <x:c r="F389" s="24" t="str">
        <x:v>INT-0385</x:v>
      </x:c>
      <x:c r="G389" s="24" t="str">
        <x:v>VRM Games / Blas Luis Rocha González</x:v>
      </x:c>
      <x:c r="H389" s="24" t="str">
        <x:v>Internal project IP / authorship claim</x:v>
      </x:c>
      <x:c r="I389" s="24" t="str">
        <x:v>Source package + repository path + hash</x:v>
      </x:c>
      <x:c r="J389" s="24" t="str">
        <x:v>f7eb078d8c514adde03b1ebe41c6875d160a7f9dea09b10d3ab015fe043b6d27</x:v>
      </x:c>
      <x:c r="K389" s="24" t="str">
        <x:v>Assets/_Project/Scripts/Domain/Customers/CustomerTransitionFailureReason.cs</x:v>
      </x:c>
      <x:c r="L389" s="24" t="str">
        <x:v>CR-003</x:v>
      </x:c>
      <x:c r="M389" s="24" t="str"/>
      <x:c r="N389" s="24" t="str">
        <x:v>RES-001;RES-014</x:v>
      </x:c>
      <x:c r="O389" s="24" t="str">
        <x:v>Internal development; public candidate requires gate</x:v>
      </x:c>
      <x:c r="P389" s="24" t="str">
        <x:v>CONDITIONALLY APPROVED</x:v>
      </x:c>
      <x:c r="Q389" s="24" t="str">
        <x:v>Low</x:v>
      </x:c>
      <x:c r="R389" s="24" t="str"/>
      <x:c r="S389" s="24" t="str">
        <x:v>Sí</x:v>
      </x:c>
      <x:c r="T389" s="24" t="str">
        <x:f>"T"&amp;IF(AND(H389&lt;&gt;"",I389&lt;&gt;"",J389&lt;&gt;"",L389&lt;&gt;"",N389&lt;&gt;"",O389&lt;&gt;"",P389="APPROVED PUBLIC",S389="Sí"),6,IF(AND(H389&lt;&gt;"",I389&lt;&gt;"",J389&lt;&gt;"",L389&lt;&gt;"",N389&lt;&gt;"",O389&lt;&gt;"",P389&lt;&gt;"",S389="Sí"),5,IF(AND(H389&lt;&gt;"",I389&lt;&gt;"",P389&lt;&gt;"",S389&lt;&gt;"No"),4,IF(AND(H389&lt;&gt;"",I389&lt;&gt;""),3,IF(F389&lt;&gt;"",2,1)))))</x:f>
        <x:v>T5</x:v>
      </x:c>
      <x:c r="U389" s="24" t="str">
        <x:v>VRM Games</x:v>
      </x:c>
      <x:c r="V389" s="24" t="str">
        <x:v>No se detectó proveedor externo en la ruta; confirmar autoría por lote antes de release público.</x:v>
      </x:c>
    </x:row>
    <x:row r="390" ht="34" customHeight="1">
      <x:c r="A390" s="24" t="str">
        <x:v>TRC-00386</x:v>
      </x:c>
      <x:c r="B390" s="24" t="str">
        <x:v>14e84fcd28d4431390954472fc94682e</x:v>
      </x:c>
      <x:c r="C390" s="24" t="str">
        <x:v>CustomerTransitionResult.cs</x:v>
      </x:c>
      <x:c r="D390" s="24" t="str">
        <x:v>Code</x:v>
      </x:c>
      <x:c r="E390" s="24" t="str">
        <x:v>03_Assets_Internos</x:v>
      </x:c>
      <x:c r="F390" s="24" t="str">
        <x:v>INT-0386</x:v>
      </x:c>
      <x:c r="G390" s="24" t="str">
        <x:v>VRM Games / Blas Luis Rocha González</x:v>
      </x:c>
      <x:c r="H390" s="24" t="str">
        <x:v>Internal project IP / authorship claim</x:v>
      </x:c>
      <x:c r="I390" s="24" t="str">
        <x:v>Source package + repository path + hash</x:v>
      </x:c>
      <x:c r="J390" s="24" t="str">
        <x:v>95cab9f50174c04db9c335fbd673c5455c643ced22cb5edee47d5a742eb67486</x:v>
      </x:c>
      <x:c r="K390" s="24" t="str">
        <x:v>Assets/_Project/Scripts/Domain/Customers/CustomerTransitionResult.cs</x:v>
      </x:c>
      <x:c r="L390" s="24" t="str">
        <x:v>CR-003</x:v>
      </x:c>
      <x:c r="M390" s="24" t="str"/>
      <x:c r="N390" s="24" t="str">
        <x:v>RES-001;RES-014</x:v>
      </x:c>
      <x:c r="O390" s="24" t="str">
        <x:v>Internal development; public candidate requires gate</x:v>
      </x:c>
      <x:c r="P390" s="24" t="str">
        <x:v>CONDITIONALLY APPROVED</x:v>
      </x:c>
      <x:c r="Q390" s="24" t="str">
        <x:v>Low</x:v>
      </x:c>
      <x:c r="R390" s="24" t="str"/>
      <x:c r="S390" s="24" t="str">
        <x:v>Sí</x:v>
      </x:c>
      <x:c r="T390" s="24" t="str">
        <x:f>"T"&amp;IF(AND(H390&lt;&gt;"",I390&lt;&gt;"",J390&lt;&gt;"",L390&lt;&gt;"",N390&lt;&gt;"",O390&lt;&gt;"",P390="APPROVED PUBLIC",S390="Sí"),6,IF(AND(H390&lt;&gt;"",I390&lt;&gt;"",J390&lt;&gt;"",L390&lt;&gt;"",N390&lt;&gt;"",O390&lt;&gt;"",P390&lt;&gt;"",S390="Sí"),5,IF(AND(H390&lt;&gt;"",I390&lt;&gt;"",P390&lt;&gt;"",S390&lt;&gt;"No"),4,IF(AND(H390&lt;&gt;"",I390&lt;&gt;""),3,IF(F390&lt;&gt;"",2,1)))))</x:f>
        <x:v>T5</x:v>
      </x:c>
      <x:c r="U390" s="24" t="str">
        <x:v>VRM Games</x:v>
      </x:c>
      <x:c r="V390" s="24" t="str">
        <x:v>No se detectó proveedor externo en la ruta; confirmar autoría por lote antes de release público.</x:v>
      </x:c>
    </x:row>
    <x:row r="391" ht="34" customHeight="1">
      <x:c r="A391" s="24" t="str">
        <x:v>TRC-00387</x:v>
      </x:c>
      <x:c r="B391" s="24" t="str">
        <x:v>f7ef73bd50894af58be2df195d1163b0</x:v>
      </x:c>
      <x:c r="C391" s="24" t="str">
        <x:v>StoreClosureSnapshot.cs</x:v>
      </x:c>
      <x:c r="D391" s="24" t="str">
        <x:v>Code</x:v>
      </x:c>
      <x:c r="E391" s="24" t="str">
        <x:v>03_Assets_Internos</x:v>
      </x:c>
      <x:c r="F391" s="24" t="str">
        <x:v>INT-0387</x:v>
      </x:c>
      <x:c r="G391" s="24" t="str">
        <x:v>VRM Games / Blas Luis Rocha González</x:v>
      </x:c>
      <x:c r="H391" s="24" t="str">
        <x:v>Internal project IP / authorship claim</x:v>
      </x:c>
      <x:c r="I391" s="24" t="str">
        <x:v>Source package + repository path + hash</x:v>
      </x:c>
      <x:c r="J391" s="24" t="str">
        <x:v>229d1d4dd2c341b54199dbcbf562c0383cc0faa71c5c9501ab544d40dda5e83f</x:v>
      </x:c>
      <x:c r="K391" s="24" t="str">
        <x:v>Assets/_Project/Scripts/Domain/DayCycle/StoreClosureSnapshot.cs</x:v>
      </x:c>
      <x:c r="L391" s="24" t="str">
        <x:v>CR-003</x:v>
      </x:c>
      <x:c r="M391" s="24" t="str"/>
      <x:c r="N391" s="24" t="str">
        <x:v>RES-001;RES-014</x:v>
      </x:c>
      <x:c r="O391" s="24" t="str">
        <x:v>Internal development; public candidate requires gate</x:v>
      </x:c>
      <x:c r="P391" s="24" t="str">
        <x:v>CONDITIONALLY APPROVED</x:v>
      </x:c>
      <x:c r="Q391" s="24" t="str">
        <x:v>Low</x:v>
      </x:c>
      <x:c r="R391" s="24" t="str"/>
      <x:c r="S391" s="24" t="str">
        <x:v>Sí</x:v>
      </x:c>
      <x:c r="T391" s="24" t="str">
        <x:f>"T"&amp;IF(AND(H391&lt;&gt;"",I391&lt;&gt;"",J391&lt;&gt;"",L391&lt;&gt;"",N391&lt;&gt;"",O391&lt;&gt;"",P391="APPROVED PUBLIC",S391="Sí"),6,IF(AND(H391&lt;&gt;"",I391&lt;&gt;"",J391&lt;&gt;"",L391&lt;&gt;"",N391&lt;&gt;"",O391&lt;&gt;"",P391&lt;&gt;"",S391="Sí"),5,IF(AND(H391&lt;&gt;"",I391&lt;&gt;"",P391&lt;&gt;"",S391&lt;&gt;"No"),4,IF(AND(H391&lt;&gt;"",I391&lt;&gt;""),3,IF(F391&lt;&gt;"",2,1)))))</x:f>
        <x:v>T5</x:v>
      </x:c>
      <x:c r="U391" s="24" t="str">
        <x:v>VRM Games</x:v>
      </x:c>
      <x:c r="V391" s="24" t="str">
        <x:v>No se detectó proveedor externo en la ruta; confirmar autoría por lote antes de release público.</x:v>
      </x:c>
    </x:row>
    <x:row r="392" ht="34" customHeight="1">
      <x:c r="A392" s="24" t="str">
        <x:v>TRC-00388</x:v>
      </x:c>
      <x:c r="B392" s="24" t="str">
        <x:v>a02e72d509b64883b069b401f0bce514</x:v>
      </x:c>
      <x:c r="C392" s="24" t="str">
        <x:v>StoreDayActivity.cs</x:v>
      </x:c>
      <x:c r="D392" s="24" t="str">
        <x:v>Code</x:v>
      </x:c>
      <x:c r="E392" s="24" t="str">
        <x:v>03_Assets_Internos</x:v>
      </x:c>
      <x:c r="F392" s="24" t="str">
        <x:v>INT-0388</x:v>
      </x:c>
      <x:c r="G392" s="24" t="str">
        <x:v>VRM Games / Blas Luis Rocha González</x:v>
      </x:c>
      <x:c r="H392" s="24" t="str">
        <x:v>Internal project IP / authorship claim</x:v>
      </x:c>
      <x:c r="I392" s="24" t="str">
        <x:v>Source package + repository path + hash</x:v>
      </x:c>
      <x:c r="J392" s="24" t="str">
        <x:v>c5470bb033b99ee0062d979bc0907245ff4e96b8fde1cb743364aef36fb3e48f</x:v>
      </x:c>
      <x:c r="K392" s="24" t="str">
        <x:v>Assets/_Project/Scripts/Domain/DayCycle/StoreDayActivity.cs</x:v>
      </x:c>
      <x:c r="L392" s="24" t="str">
        <x:v>CR-003</x:v>
      </x:c>
      <x:c r="M392" s="24" t="str"/>
      <x:c r="N392" s="24" t="str">
        <x:v>RES-001;RES-014</x:v>
      </x:c>
      <x:c r="O392" s="24" t="str">
        <x:v>Internal development; public candidate requires gate</x:v>
      </x:c>
      <x:c r="P392" s="24" t="str">
        <x:v>CONDITIONALLY APPROVED</x:v>
      </x:c>
      <x:c r="Q392" s="24" t="str">
        <x:v>Low</x:v>
      </x:c>
      <x:c r="R392" s="24" t="str"/>
      <x:c r="S392" s="24" t="str">
        <x:v>Sí</x:v>
      </x:c>
      <x:c r="T392" s="24" t="str">
        <x:f>"T"&amp;IF(AND(H392&lt;&gt;"",I392&lt;&gt;"",J392&lt;&gt;"",L392&lt;&gt;"",N392&lt;&gt;"",O392&lt;&gt;"",P392="APPROVED PUBLIC",S392="Sí"),6,IF(AND(H392&lt;&gt;"",I392&lt;&gt;"",J392&lt;&gt;"",L392&lt;&gt;"",N392&lt;&gt;"",O392&lt;&gt;"",P392&lt;&gt;"",S392="Sí"),5,IF(AND(H392&lt;&gt;"",I392&lt;&gt;"",P392&lt;&gt;"",S392&lt;&gt;"No"),4,IF(AND(H392&lt;&gt;"",I392&lt;&gt;""),3,IF(F392&lt;&gt;"",2,1)))))</x:f>
        <x:v>T5</x:v>
      </x:c>
      <x:c r="U392" s="24" t="str">
        <x:v>VRM Games</x:v>
      </x:c>
      <x:c r="V392" s="24" t="str">
        <x:v>No se detectó proveedor externo en la ruta; confirmar autoría por lote antes de release público.</x:v>
      </x:c>
    </x:row>
    <x:row r="393" ht="34" customHeight="1">
      <x:c r="A393" s="24" t="str">
        <x:v>TRC-00389</x:v>
      </x:c>
      <x:c r="B393" s="24" t="str">
        <x:v>8b058ca738064636ad526a2411436145</x:v>
      </x:c>
      <x:c r="C393" s="24" t="str">
        <x:v>StoreDayCore.cs</x:v>
      </x:c>
      <x:c r="D393" s="24" t="str">
        <x:v>Code</x:v>
      </x:c>
      <x:c r="E393" s="24" t="str">
        <x:v>03_Assets_Internos</x:v>
      </x:c>
      <x:c r="F393" s="24" t="str">
        <x:v>INT-0389</x:v>
      </x:c>
      <x:c r="G393" s="24" t="str">
        <x:v>VRM Games / Blas Luis Rocha González</x:v>
      </x:c>
      <x:c r="H393" s="24" t="str">
        <x:v>Internal project IP / authorship claim</x:v>
      </x:c>
      <x:c r="I393" s="24" t="str">
        <x:v>Source package + repository path + hash</x:v>
      </x:c>
      <x:c r="J393" s="24" t="str">
        <x:v>de85573e09cd889994a94e002d619837dc1e4688bd48cbb15fa32a19db482a81</x:v>
      </x:c>
      <x:c r="K393" s="24" t="str">
        <x:v>Assets/_Project/Scripts/Domain/DayCycle/StoreDayCore.cs</x:v>
      </x:c>
      <x:c r="L393" s="24" t="str">
        <x:v>CR-003</x:v>
      </x:c>
      <x:c r="M393" s="24" t="str"/>
      <x:c r="N393" s="24" t="str">
        <x:v>RES-001;RES-014</x:v>
      </x:c>
      <x:c r="O393" s="24" t="str">
        <x:v>Internal development; public candidate requires gate</x:v>
      </x:c>
      <x:c r="P393" s="24" t="str">
        <x:v>CONDITIONALLY APPROVED</x:v>
      </x:c>
      <x:c r="Q393" s="24" t="str">
        <x:v>Low</x:v>
      </x:c>
      <x:c r="R393" s="24" t="str"/>
      <x:c r="S393" s="24" t="str">
        <x:v>Sí</x:v>
      </x:c>
      <x:c r="T393" s="24" t="str">
        <x:f>"T"&amp;IF(AND(H393&lt;&gt;"",I393&lt;&gt;"",J393&lt;&gt;"",L393&lt;&gt;"",N393&lt;&gt;"",O393&lt;&gt;"",P393="APPROVED PUBLIC",S393="Sí"),6,IF(AND(H393&lt;&gt;"",I393&lt;&gt;"",J393&lt;&gt;"",L393&lt;&gt;"",N393&lt;&gt;"",O393&lt;&gt;"",P393&lt;&gt;"",S393="Sí"),5,IF(AND(H393&lt;&gt;"",I393&lt;&gt;"",P393&lt;&gt;"",S393&lt;&gt;"No"),4,IF(AND(H393&lt;&gt;"",I393&lt;&gt;""),3,IF(F393&lt;&gt;"",2,1)))))</x:f>
        <x:v>T5</x:v>
      </x:c>
      <x:c r="U393" s="24" t="str">
        <x:v>VRM Games</x:v>
      </x:c>
      <x:c r="V393" s="24" t="str">
        <x:v>No se detectó proveedor externo en la ruta; confirmar autoría por lote antes de release público.</x:v>
      </x:c>
    </x:row>
    <x:row r="394" ht="34" customHeight="1">
      <x:c r="A394" s="24" t="str">
        <x:v>TRC-00390</x:v>
      </x:c>
      <x:c r="B394" s="24" t="str">
        <x:v>c2ae154d70ac4e20895ad027b876d9d6</x:v>
      </x:c>
      <x:c r="C394" s="24" t="str">
        <x:v>DisplayAssignmentFailureReason.cs</x:v>
      </x:c>
      <x:c r="D394" s="24" t="str">
        <x:v>Code</x:v>
      </x:c>
      <x:c r="E394" s="24" t="str">
        <x:v>03_Assets_Internos</x:v>
      </x:c>
      <x:c r="F394" s="24" t="str">
        <x:v>INT-0390</x:v>
      </x:c>
      <x:c r="G394" s="24" t="str">
        <x:v>VRM Games / Blas Luis Rocha González</x:v>
      </x:c>
      <x:c r="H394" s="24" t="str">
        <x:v>Internal project IP / authorship claim</x:v>
      </x:c>
      <x:c r="I394" s="24" t="str">
        <x:v>Source package + repository path + hash</x:v>
      </x:c>
      <x:c r="J394" s="24" t="str">
        <x:v>eed4de8cd7b30cb0f68baea1040b08ef57b989863aba3ecf01cb68f5acd960b6</x:v>
      </x:c>
      <x:c r="K394" s="24" t="str">
        <x:v>Assets/_Project/Scripts/Domain/Displays/DisplayAssignmentFailureReason.cs</x:v>
      </x:c>
      <x:c r="L394" s="24" t="str">
        <x:v>CR-003</x:v>
      </x:c>
      <x:c r="M394" s="24" t="str"/>
      <x:c r="N394" s="24" t="str">
        <x:v>RES-001;RES-014</x:v>
      </x:c>
      <x:c r="O394" s="24" t="str">
        <x:v>Internal development; public candidate requires gate</x:v>
      </x:c>
      <x:c r="P394" s="24" t="str">
        <x:v>CONDITIONALLY APPROVED</x:v>
      </x:c>
      <x:c r="Q394" s="24" t="str">
        <x:v>Low</x:v>
      </x:c>
      <x:c r="R394" s="24" t="str"/>
      <x:c r="S394" s="24" t="str">
        <x:v>Sí</x:v>
      </x:c>
      <x:c r="T394" s="24" t="str">
        <x:f>"T"&amp;IF(AND(H394&lt;&gt;"",I394&lt;&gt;"",J394&lt;&gt;"",L394&lt;&gt;"",N394&lt;&gt;"",O394&lt;&gt;"",P394="APPROVED PUBLIC",S394="Sí"),6,IF(AND(H394&lt;&gt;"",I394&lt;&gt;"",J394&lt;&gt;"",L394&lt;&gt;"",N394&lt;&gt;"",O394&lt;&gt;"",P394&lt;&gt;"",S394="Sí"),5,IF(AND(H394&lt;&gt;"",I394&lt;&gt;"",P394&lt;&gt;"",S394&lt;&gt;"No"),4,IF(AND(H394&lt;&gt;"",I394&lt;&gt;""),3,IF(F394&lt;&gt;"",2,1)))))</x:f>
        <x:v>T5</x:v>
      </x:c>
      <x:c r="U394" s="24" t="str">
        <x:v>VRM Games</x:v>
      </x:c>
      <x:c r="V394" s="24" t="str">
        <x:v>No se detectó proveedor externo en la ruta; confirmar autoría por lote antes de release público.</x:v>
      </x:c>
    </x:row>
    <x:row r="395" ht="34" customHeight="1">
      <x:c r="A395" s="24" t="str">
        <x:v>TRC-00391</x:v>
      </x:c>
      <x:c r="B395" s="24" t="str">
        <x:v>7dfbb4827e2d4d9d9e50bf1efe80d629</x:v>
      </x:c>
      <x:c r="C395" s="24" t="str">
        <x:v>DisplayAssignmentResult.cs</x:v>
      </x:c>
      <x:c r="D395" s="24" t="str">
        <x:v>Code</x:v>
      </x:c>
      <x:c r="E395" s="24" t="str">
        <x:v>03_Assets_Internos</x:v>
      </x:c>
      <x:c r="F395" s="24" t="str">
        <x:v>INT-0391</x:v>
      </x:c>
      <x:c r="G395" s="24" t="str">
        <x:v>VRM Games / Blas Luis Rocha González</x:v>
      </x:c>
      <x:c r="H395" s="24" t="str">
        <x:v>Internal project IP / authorship claim</x:v>
      </x:c>
      <x:c r="I395" s="24" t="str">
        <x:v>Source package + repository path + hash</x:v>
      </x:c>
      <x:c r="J395" s="24" t="str">
        <x:v>e965641130e4cf39832d9c193e5798a978eca60d9bc73b9e9ec455b4743c4e10</x:v>
      </x:c>
      <x:c r="K395" s="24" t="str">
        <x:v>Assets/_Project/Scripts/Domain/Displays/DisplayAssignmentResult.cs</x:v>
      </x:c>
      <x:c r="L395" s="24" t="str">
        <x:v>CR-003</x:v>
      </x:c>
      <x:c r="M395" s="24" t="str"/>
      <x:c r="N395" s="24" t="str">
        <x:v>RES-001;RES-014</x:v>
      </x:c>
      <x:c r="O395" s="24" t="str">
        <x:v>Internal development; public candidate requires gate</x:v>
      </x:c>
      <x:c r="P395" s="24" t="str">
        <x:v>CONDITIONALLY APPROVED</x:v>
      </x:c>
      <x:c r="Q395" s="24" t="str">
        <x:v>Low</x:v>
      </x:c>
      <x:c r="R395" s="24" t="str"/>
      <x:c r="S395" s="24" t="str">
        <x:v>Sí</x:v>
      </x:c>
      <x:c r="T395" s="24" t="str">
        <x:f>"T"&amp;IF(AND(H395&lt;&gt;"",I395&lt;&gt;"",J395&lt;&gt;"",L395&lt;&gt;"",N395&lt;&gt;"",O395&lt;&gt;"",P395="APPROVED PUBLIC",S395="Sí"),6,IF(AND(H395&lt;&gt;"",I395&lt;&gt;"",J395&lt;&gt;"",L395&lt;&gt;"",N395&lt;&gt;"",O395&lt;&gt;"",P395&lt;&gt;"",S395="Sí"),5,IF(AND(H395&lt;&gt;"",I395&lt;&gt;"",P395&lt;&gt;"",S395&lt;&gt;"No"),4,IF(AND(H395&lt;&gt;"",I395&lt;&gt;""),3,IF(F395&lt;&gt;"",2,1)))))</x:f>
        <x:v>T5</x:v>
      </x:c>
      <x:c r="U395" s="24" t="str">
        <x:v>VRM Games</x:v>
      </x:c>
      <x:c r="V395" s="24" t="str">
        <x:v>No se detectó proveedor externo en la ruta; confirmar autoría por lote antes de release público.</x:v>
      </x:c>
    </x:row>
    <x:row r="396" ht="34" customHeight="1">
      <x:c r="A396" s="24" t="str">
        <x:v>TRC-00392</x:v>
      </x:c>
      <x:c r="B396" s="24" t="str">
        <x:v>2bf79098eed04392a757c6170a678726</x:v>
      </x:c>
      <x:c r="C396" s="24" t="str">
        <x:v>DisplayClearAssignmentFailureReason.cs</x:v>
      </x:c>
      <x:c r="D396" s="24" t="str">
        <x:v>Code</x:v>
      </x:c>
      <x:c r="E396" s="24" t="str">
        <x:v>03_Assets_Internos</x:v>
      </x:c>
      <x:c r="F396" s="24" t="str">
        <x:v>INT-0392</x:v>
      </x:c>
      <x:c r="G396" s="24" t="str">
        <x:v>VRM Games / Blas Luis Rocha González</x:v>
      </x:c>
      <x:c r="H396" s="24" t="str">
        <x:v>Internal project IP / authorship claim</x:v>
      </x:c>
      <x:c r="I396" s="24" t="str">
        <x:v>Source package + repository path + hash</x:v>
      </x:c>
      <x:c r="J396" s="24" t="str">
        <x:v>0a18d506c6d0dcd0c02dfa252b774f3f19ab5f731f71beeae4d0226928484f8e</x:v>
      </x:c>
      <x:c r="K396" s="24" t="str">
        <x:v>Assets/_Project/Scripts/Domain/Displays/DisplayClearAssignmentFailureReason.cs</x:v>
      </x:c>
      <x:c r="L396" s="24" t="str">
        <x:v>CR-003</x:v>
      </x:c>
      <x:c r="M396" s="24" t="str"/>
      <x:c r="N396" s="24" t="str">
        <x:v>RES-001;RES-014</x:v>
      </x:c>
      <x:c r="O396" s="24" t="str">
        <x:v>Internal development; public candidate requires gate</x:v>
      </x:c>
      <x:c r="P396" s="24" t="str">
        <x:v>CONDITIONALLY APPROVED</x:v>
      </x:c>
      <x:c r="Q396" s="24" t="str">
        <x:v>Low</x:v>
      </x:c>
      <x:c r="R396" s="24" t="str"/>
      <x:c r="S396" s="24" t="str">
        <x:v>Sí</x:v>
      </x:c>
      <x:c r="T396" s="24" t="str">
        <x:f>"T"&amp;IF(AND(H396&lt;&gt;"",I396&lt;&gt;"",J396&lt;&gt;"",L396&lt;&gt;"",N396&lt;&gt;"",O396&lt;&gt;"",P396="APPROVED PUBLIC",S396="Sí"),6,IF(AND(H396&lt;&gt;"",I396&lt;&gt;"",J396&lt;&gt;"",L396&lt;&gt;"",N396&lt;&gt;"",O396&lt;&gt;"",P396&lt;&gt;"",S396="Sí"),5,IF(AND(H396&lt;&gt;"",I396&lt;&gt;"",P396&lt;&gt;"",S396&lt;&gt;"No"),4,IF(AND(H396&lt;&gt;"",I396&lt;&gt;""),3,IF(F396&lt;&gt;"",2,1)))))</x:f>
        <x:v>T5</x:v>
      </x:c>
      <x:c r="U396" s="24" t="str">
        <x:v>VRM Games</x:v>
      </x:c>
      <x:c r="V396" s="24" t="str">
        <x:v>No se detectó proveedor externo en la ruta; confirmar autoría por lote antes de release público.</x:v>
      </x:c>
    </x:row>
    <x:row r="397" ht="34" customHeight="1">
      <x:c r="A397" s="24" t="str">
        <x:v>TRC-00393</x:v>
      </x:c>
      <x:c r="B397" s="24" t="str">
        <x:v>5a9d1ce09048470d96063a5d9af7de59</x:v>
      </x:c>
      <x:c r="C397" s="24" t="str">
        <x:v>DisplayClearAssignmentResult.cs</x:v>
      </x:c>
      <x:c r="D397" s="24" t="str">
        <x:v>Code</x:v>
      </x:c>
      <x:c r="E397" s="24" t="str">
        <x:v>03_Assets_Internos</x:v>
      </x:c>
      <x:c r="F397" s="24" t="str">
        <x:v>INT-0393</x:v>
      </x:c>
      <x:c r="G397" s="24" t="str">
        <x:v>VRM Games / Blas Luis Rocha González</x:v>
      </x:c>
      <x:c r="H397" s="24" t="str">
        <x:v>Internal project IP / authorship claim</x:v>
      </x:c>
      <x:c r="I397" s="24" t="str">
        <x:v>Source package + repository path + hash</x:v>
      </x:c>
      <x:c r="J397" s="24" t="str">
        <x:v>fd0c2fe4622ddc6dca2f859308bd495991747e05816867b8dbad8f6a491344bc</x:v>
      </x:c>
      <x:c r="K397" s="24" t="str">
        <x:v>Assets/_Project/Scripts/Domain/Displays/DisplayClearAssignmentResult.cs</x:v>
      </x:c>
      <x:c r="L397" s="24" t="str">
        <x:v>CR-003</x:v>
      </x:c>
      <x:c r="M397" s="24" t="str"/>
      <x:c r="N397" s="24" t="str">
        <x:v>RES-001;RES-014</x:v>
      </x:c>
      <x:c r="O397" s="24" t="str">
        <x:v>Internal development; public candidate requires gate</x:v>
      </x:c>
      <x:c r="P397" s="24" t="str">
        <x:v>CONDITIONALLY APPROVED</x:v>
      </x:c>
      <x:c r="Q397" s="24" t="str">
        <x:v>Low</x:v>
      </x:c>
      <x:c r="R397" s="24" t="str"/>
      <x:c r="S397" s="24" t="str">
        <x:v>Sí</x:v>
      </x:c>
      <x:c r="T397" s="24" t="str">
        <x:f>"T"&amp;IF(AND(H397&lt;&gt;"",I397&lt;&gt;"",J397&lt;&gt;"",L397&lt;&gt;"",N397&lt;&gt;"",O397&lt;&gt;"",P397="APPROVED PUBLIC",S397="Sí"),6,IF(AND(H397&lt;&gt;"",I397&lt;&gt;"",J397&lt;&gt;"",L397&lt;&gt;"",N397&lt;&gt;"",O397&lt;&gt;"",P397&lt;&gt;"",S397="Sí"),5,IF(AND(H397&lt;&gt;"",I397&lt;&gt;"",P397&lt;&gt;"",S397&lt;&gt;"No"),4,IF(AND(H397&lt;&gt;"",I397&lt;&gt;""),3,IF(F397&lt;&gt;"",2,1)))))</x:f>
        <x:v>T5</x:v>
      </x:c>
      <x:c r="U397" s="24" t="str">
        <x:v>VRM Games</x:v>
      </x:c>
      <x:c r="V397" s="24" t="str">
        <x:v>No se detectó proveedor externo en la ruta; confirmar autoría por lote antes de release público.</x:v>
      </x:c>
    </x:row>
    <x:row r="398" ht="34" customHeight="1">
      <x:c r="A398" s="24" t="str">
        <x:v>TRC-00394</x:v>
      </x:c>
      <x:c r="B398" s="24" t="str">
        <x:v>f666b85a12d045eaa1550f59001e38c6</x:v>
      </x:c>
      <x:c r="C398" s="24" t="str">
        <x:v>DisplayDefinition.cs</x:v>
      </x:c>
      <x:c r="D398" s="24" t="str">
        <x:v>Code</x:v>
      </x:c>
      <x:c r="E398" s="24" t="str">
        <x:v>03_Assets_Internos</x:v>
      </x:c>
      <x:c r="F398" s="24" t="str">
        <x:v>INT-0394</x:v>
      </x:c>
      <x:c r="G398" s="24" t="str">
        <x:v>VRM Games / Blas Luis Rocha González</x:v>
      </x:c>
      <x:c r="H398" s="24" t="str">
        <x:v>Internal project IP / authorship claim</x:v>
      </x:c>
      <x:c r="I398" s="24" t="str">
        <x:v>Source package + repository path + hash</x:v>
      </x:c>
      <x:c r="J398" s="24" t="str">
        <x:v>318139462955459b81888ce1ab5455b9467279e96d05b52cf23a614f6497e9d9</x:v>
      </x:c>
      <x:c r="K398" s="24" t="str">
        <x:v>Assets/_Project/Scripts/Domain/Displays/DisplayDefinition.cs</x:v>
      </x:c>
      <x:c r="L398" s="24" t="str">
        <x:v>CR-003</x:v>
      </x:c>
      <x:c r="M398" s="24" t="str"/>
      <x:c r="N398" s="24" t="str">
        <x:v>RES-001;RES-014</x:v>
      </x:c>
      <x:c r="O398" s="24" t="str">
        <x:v>Internal development; public candidate requires gate</x:v>
      </x:c>
      <x:c r="P398" s="24" t="str">
        <x:v>CONDITIONALLY APPROVED</x:v>
      </x:c>
      <x:c r="Q398" s="24" t="str">
        <x:v>Low</x:v>
      </x:c>
      <x:c r="R398" s="24" t="str"/>
      <x:c r="S398" s="24" t="str">
        <x:v>Sí</x:v>
      </x:c>
      <x:c r="T398" s="24" t="str">
        <x:f>"T"&amp;IF(AND(H398&lt;&gt;"",I398&lt;&gt;"",J398&lt;&gt;"",L398&lt;&gt;"",N398&lt;&gt;"",O398&lt;&gt;"",P398="APPROVED PUBLIC",S398="Sí"),6,IF(AND(H398&lt;&gt;"",I398&lt;&gt;"",J398&lt;&gt;"",L398&lt;&gt;"",N398&lt;&gt;"",O398&lt;&gt;"",P398&lt;&gt;"",S398="Sí"),5,IF(AND(H398&lt;&gt;"",I398&lt;&gt;"",P398&lt;&gt;"",S398&lt;&gt;"No"),4,IF(AND(H398&lt;&gt;"",I398&lt;&gt;""),3,IF(F398&lt;&gt;"",2,1)))))</x:f>
        <x:v>T5</x:v>
      </x:c>
      <x:c r="U398" s="24" t="str">
        <x:v>VRM Games</x:v>
      </x:c>
      <x:c r="V398" s="24" t="str">
        <x:v>No se detectó proveedor externo en la ruta; confirmar autoría por lote antes de release público.</x:v>
      </x:c>
    </x:row>
    <x:row r="399" ht="34" customHeight="1">
      <x:c r="A399" s="24" t="str">
        <x:v>TRC-00395</x:v>
      </x:c>
      <x:c r="B399" s="24" t="str">
        <x:v>00b0f417127240e9bf645b0f10637566</x:v>
      </x:c>
      <x:c r="C399" s="24" t="str">
        <x:v>DisplayDefinitionId.cs</x:v>
      </x:c>
      <x:c r="D399" s="24" t="str">
        <x:v>Code</x:v>
      </x:c>
      <x:c r="E399" s="24" t="str">
        <x:v>03_Assets_Internos</x:v>
      </x:c>
      <x:c r="F399" s="24" t="str">
        <x:v>INT-0395</x:v>
      </x:c>
      <x:c r="G399" s="24" t="str">
        <x:v>VRM Games / Blas Luis Rocha González</x:v>
      </x:c>
      <x:c r="H399" s="24" t="str">
        <x:v>Internal project IP / authorship claim</x:v>
      </x:c>
      <x:c r="I399" s="24" t="str">
        <x:v>Source package + repository path + hash</x:v>
      </x:c>
      <x:c r="J399" s="24" t="str">
        <x:v>250ab06fed8b5f8722f50838184cd50f1a1e8e73bb2dd76f9ca6e3f879afac4d</x:v>
      </x:c>
      <x:c r="K399" s="24" t="str">
        <x:v>Assets/_Project/Scripts/Domain/Displays/DisplayDefinitionId.cs</x:v>
      </x:c>
      <x:c r="L399" s="24" t="str">
        <x:v>CR-003</x:v>
      </x:c>
      <x:c r="M399" s="24" t="str"/>
      <x:c r="N399" s="24" t="str">
        <x:v>RES-001;RES-014</x:v>
      </x:c>
      <x:c r="O399" s="24" t="str">
        <x:v>Internal development; public candidate requires gate</x:v>
      </x:c>
      <x:c r="P399" s="24" t="str">
        <x:v>CONDITIONALLY APPROVED</x:v>
      </x:c>
      <x:c r="Q399" s="24" t="str">
        <x:v>Low</x:v>
      </x:c>
      <x:c r="R399" s="24" t="str"/>
      <x:c r="S399" s="24" t="str">
        <x:v>Sí</x:v>
      </x:c>
      <x:c r="T399" s="24" t="str">
        <x:f>"T"&amp;IF(AND(H399&lt;&gt;"",I399&lt;&gt;"",J399&lt;&gt;"",L399&lt;&gt;"",N399&lt;&gt;"",O399&lt;&gt;"",P399="APPROVED PUBLIC",S399="Sí"),6,IF(AND(H399&lt;&gt;"",I399&lt;&gt;"",J399&lt;&gt;"",L399&lt;&gt;"",N399&lt;&gt;"",O399&lt;&gt;"",P399&lt;&gt;"",S399="Sí"),5,IF(AND(H399&lt;&gt;"",I399&lt;&gt;"",P399&lt;&gt;"",S399&lt;&gt;"No"),4,IF(AND(H399&lt;&gt;"",I399&lt;&gt;""),3,IF(F399&lt;&gt;"",2,1)))))</x:f>
        <x:v>T5</x:v>
      </x:c>
      <x:c r="U399" s="24" t="str">
        <x:v>VRM Games</x:v>
      </x:c>
      <x:c r="V399" s="24" t="str">
        <x:v>No se detectó proveedor externo en la ruta; confirmar autoría por lote antes de release público.</x:v>
      </x:c>
    </x:row>
    <x:row r="400" ht="34" customHeight="1">
      <x:c r="A400" s="24" t="str">
        <x:v>TRC-00396</x:v>
      </x:c>
      <x:c r="B400" s="24" t="str">
        <x:v>3f8482f03d5748f6a254074462d58af2</x:v>
      </x:c>
      <x:c r="C400" s="24" t="str">
        <x:v>DisplayDefinitionRegistry.cs</x:v>
      </x:c>
      <x:c r="D400" s="24" t="str">
        <x:v>Code</x:v>
      </x:c>
      <x:c r="E400" s="24" t="str">
        <x:v>03_Assets_Internos</x:v>
      </x:c>
      <x:c r="F400" s="24" t="str">
        <x:v>INT-0396</x:v>
      </x:c>
      <x:c r="G400" s="24" t="str">
        <x:v>VRM Games / Blas Luis Rocha González</x:v>
      </x:c>
      <x:c r="H400" s="24" t="str">
        <x:v>Internal project IP / authorship claim</x:v>
      </x:c>
      <x:c r="I400" s="24" t="str">
        <x:v>Source package + repository path + hash</x:v>
      </x:c>
      <x:c r="J400" s="24" t="str">
        <x:v>f85eed65f9e19e966736e7ec6d91bdda990b057960335a75e15b2caa36eb80d4</x:v>
      </x:c>
      <x:c r="K400" s="24" t="str">
        <x:v>Assets/_Project/Scripts/Domain/Displays/DisplayDefinitionRegistry.cs</x:v>
      </x:c>
      <x:c r="L400" s="24" t="str">
        <x:v>CR-003</x:v>
      </x:c>
      <x:c r="M400" s="24" t="str"/>
      <x:c r="N400" s="24" t="str">
        <x:v>RES-001;RES-014</x:v>
      </x:c>
      <x:c r="O400" s="24" t="str">
        <x:v>Internal development; public candidate requires gate</x:v>
      </x:c>
      <x:c r="P400" s="24" t="str">
        <x:v>CONDITIONALLY APPROVED</x:v>
      </x:c>
      <x:c r="Q400" s="24" t="str">
        <x:v>Low</x:v>
      </x:c>
      <x:c r="R400" s="24" t="str"/>
      <x:c r="S400" s="24" t="str">
        <x:v>Sí</x:v>
      </x:c>
      <x:c r="T400" s="24" t="str">
        <x:f>"T"&amp;IF(AND(H400&lt;&gt;"",I400&lt;&gt;"",J400&lt;&gt;"",L400&lt;&gt;"",N400&lt;&gt;"",O400&lt;&gt;"",P400="APPROVED PUBLIC",S400="Sí"),6,IF(AND(H400&lt;&gt;"",I400&lt;&gt;"",J400&lt;&gt;"",L400&lt;&gt;"",N400&lt;&gt;"",O400&lt;&gt;"",P400&lt;&gt;"",S400="Sí"),5,IF(AND(H400&lt;&gt;"",I400&lt;&gt;"",P400&lt;&gt;"",S400&lt;&gt;"No"),4,IF(AND(H400&lt;&gt;"",I400&lt;&gt;""),3,IF(F400&lt;&gt;"",2,1)))))</x:f>
        <x:v>T5</x:v>
      </x:c>
      <x:c r="U400" s="24" t="str">
        <x:v>VRM Games</x:v>
      </x:c>
      <x:c r="V400" s="24" t="str">
        <x:v>No se detectó proveedor externo en la ruta; confirmar autoría por lote antes de release público.</x:v>
      </x:c>
    </x:row>
    <x:row r="401" ht="34" customHeight="1">
      <x:c r="A401" s="24" t="str">
        <x:v>TRC-00397</x:v>
      </x:c>
      <x:c r="B401" s="24" t="str">
        <x:v>95c82507d9a64e9783503bf269af9b96</x:v>
      </x:c>
      <x:c r="C401" s="24" t="str">
        <x:v>DisplayInstance.cs</x:v>
      </x:c>
      <x:c r="D401" s="24" t="str">
        <x:v>Code</x:v>
      </x:c>
      <x:c r="E401" s="24" t="str">
        <x:v>03_Assets_Internos</x:v>
      </x:c>
      <x:c r="F401" s="24" t="str">
        <x:v>INT-0397</x:v>
      </x:c>
      <x:c r="G401" s="24" t="str">
        <x:v>VRM Games / Blas Luis Rocha González</x:v>
      </x:c>
      <x:c r="H401" s="24" t="str">
        <x:v>Internal project IP / authorship claim</x:v>
      </x:c>
      <x:c r="I401" s="24" t="str">
        <x:v>Source package + repository path + hash</x:v>
      </x:c>
      <x:c r="J401" s="24" t="str">
        <x:v>45e007fead414dea3595f516b80ff5a88bc5f0740c9d027c62391243cc347b65</x:v>
      </x:c>
      <x:c r="K401" s="24" t="str">
        <x:v>Assets/_Project/Scripts/Domain/Displays/DisplayInstance.cs</x:v>
      </x:c>
      <x:c r="L401" s="24" t="str">
        <x:v>CR-003</x:v>
      </x:c>
      <x:c r="M401" s="24" t="str"/>
      <x:c r="N401" s="24" t="str">
        <x:v>RES-001;RES-014</x:v>
      </x:c>
      <x:c r="O401" s="24" t="str">
        <x:v>Internal development; public candidate requires gate</x:v>
      </x:c>
      <x:c r="P401" s="24" t="str">
        <x:v>CONDITIONALLY APPROVED</x:v>
      </x:c>
      <x:c r="Q401" s="24" t="str">
        <x:v>Low</x:v>
      </x:c>
      <x:c r="R401" s="24" t="str"/>
      <x:c r="S401" s="24" t="str">
        <x:v>Sí</x:v>
      </x:c>
      <x:c r="T401" s="24" t="str">
        <x:f>"T"&amp;IF(AND(H401&lt;&gt;"",I401&lt;&gt;"",J401&lt;&gt;"",L401&lt;&gt;"",N401&lt;&gt;"",O401&lt;&gt;"",P401="APPROVED PUBLIC",S401="Sí"),6,IF(AND(H401&lt;&gt;"",I401&lt;&gt;"",J401&lt;&gt;"",L401&lt;&gt;"",N401&lt;&gt;"",O401&lt;&gt;"",P401&lt;&gt;"",S401="Sí"),5,IF(AND(H401&lt;&gt;"",I401&lt;&gt;"",P401&lt;&gt;"",S401&lt;&gt;"No"),4,IF(AND(H401&lt;&gt;"",I401&lt;&gt;""),3,IF(F401&lt;&gt;"",2,1)))))</x:f>
        <x:v>T5</x:v>
      </x:c>
      <x:c r="U401" s="24" t="str">
        <x:v>VRM Games</x:v>
      </x:c>
      <x:c r="V401" s="24" t="str">
        <x:v>No se detectó proveedor externo en la ruta; confirmar autoría por lote antes de release público.</x:v>
      </x:c>
    </x:row>
    <x:row r="402" ht="34" customHeight="1">
      <x:c r="A402" s="24" t="str">
        <x:v>TRC-00398</x:v>
      </x:c>
      <x:c r="B402" s="24" t="str">
        <x:v>dc57c450dddc41d9a54581324af6d519</x:v>
      </x:c>
      <x:c r="C402" s="24" t="str">
        <x:v>DisplayInstanceId.cs</x:v>
      </x:c>
      <x:c r="D402" s="24" t="str">
        <x:v>Code</x:v>
      </x:c>
      <x:c r="E402" s="24" t="str">
        <x:v>03_Assets_Internos</x:v>
      </x:c>
      <x:c r="F402" s="24" t="str">
        <x:v>INT-0398</x:v>
      </x:c>
      <x:c r="G402" s="24" t="str">
        <x:v>VRM Games / Blas Luis Rocha González</x:v>
      </x:c>
      <x:c r="H402" s="24" t="str">
        <x:v>Internal project IP / authorship claim</x:v>
      </x:c>
      <x:c r="I402" s="24" t="str">
        <x:v>Source package + repository path + hash</x:v>
      </x:c>
      <x:c r="J402" s="24" t="str">
        <x:v>609641391e8c4604e0fcf813005b090db36abca6338db01badbb3b54e8b06a09</x:v>
      </x:c>
      <x:c r="K402" s="24" t="str">
        <x:v>Assets/_Project/Scripts/Domain/Displays/DisplayInstanceId.cs</x:v>
      </x:c>
      <x:c r="L402" s="24" t="str">
        <x:v>CR-003</x:v>
      </x:c>
      <x:c r="M402" s="24" t="str"/>
      <x:c r="N402" s="24" t="str">
        <x:v>RES-001;RES-014</x:v>
      </x:c>
      <x:c r="O402" s="24" t="str">
        <x:v>Internal development; public candidate requires gate</x:v>
      </x:c>
      <x:c r="P402" s="24" t="str">
        <x:v>CONDITIONALLY APPROVED</x:v>
      </x:c>
      <x:c r="Q402" s="24" t="str">
        <x:v>Low</x:v>
      </x:c>
      <x:c r="R402" s="24" t="str"/>
      <x:c r="S402" s="24" t="str">
        <x:v>Sí</x:v>
      </x:c>
      <x:c r="T402" s="24" t="str">
        <x:f>"T"&amp;IF(AND(H402&lt;&gt;"",I402&lt;&gt;"",J402&lt;&gt;"",L402&lt;&gt;"",N402&lt;&gt;"",O402&lt;&gt;"",P402="APPROVED PUBLIC",S402="Sí"),6,IF(AND(H402&lt;&gt;"",I402&lt;&gt;"",J402&lt;&gt;"",L402&lt;&gt;"",N402&lt;&gt;"",O402&lt;&gt;"",P402&lt;&gt;"",S402="Sí"),5,IF(AND(H402&lt;&gt;"",I402&lt;&gt;"",P402&lt;&gt;"",S402&lt;&gt;"No"),4,IF(AND(H402&lt;&gt;"",I402&lt;&gt;""),3,IF(F402&lt;&gt;"",2,1)))))</x:f>
        <x:v>T5</x:v>
      </x:c>
      <x:c r="U402" s="24" t="str">
        <x:v>VRM Games</x:v>
      </x:c>
      <x:c r="V402" s="24" t="str">
        <x:v>No se detectó proveedor externo en la ruta; confirmar autoría por lote antes de release público.</x:v>
      </x:c>
    </x:row>
    <x:row r="403" ht="34" customHeight="1">
      <x:c r="A403" s="24" t="str">
        <x:v>TRC-00399</x:v>
      </x:c>
      <x:c r="B403" s="24" t="str">
        <x:v>50d9b8addd5b49d3942adce2ae766d0e</x:v>
      </x:c>
      <x:c r="C403" s="24" t="str">
        <x:v>DisplayInstanceRegistry.cs</x:v>
      </x:c>
      <x:c r="D403" s="24" t="str">
        <x:v>Code</x:v>
      </x:c>
      <x:c r="E403" s="24" t="str">
        <x:v>03_Assets_Internos</x:v>
      </x:c>
      <x:c r="F403" s="24" t="str">
        <x:v>INT-0399</x:v>
      </x:c>
      <x:c r="G403" s="24" t="str">
        <x:v>VRM Games / Blas Luis Rocha González</x:v>
      </x:c>
      <x:c r="H403" s="24" t="str">
        <x:v>Internal project IP / authorship claim</x:v>
      </x:c>
      <x:c r="I403" s="24" t="str">
        <x:v>Source package + repository path + hash</x:v>
      </x:c>
      <x:c r="J403" s="24" t="str">
        <x:v>60514547e536234f9d45d6fde9656174d8f78a9d5f72786b2f1331b854ea822b</x:v>
      </x:c>
      <x:c r="K403" s="24" t="str">
        <x:v>Assets/_Project/Scripts/Domain/Displays/DisplayInstanceRegistry.cs</x:v>
      </x:c>
      <x:c r="L403" s="24" t="str">
        <x:v>CR-003</x:v>
      </x:c>
      <x:c r="M403" s="24" t="str"/>
      <x:c r="N403" s="24" t="str">
        <x:v>RES-001;RES-014</x:v>
      </x:c>
      <x:c r="O403" s="24" t="str">
        <x:v>Internal development; public candidate requires gate</x:v>
      </x:c>
      <x:c r="P403" s="24" t="str">
        <x:v>CONDITIONALLY APPROVED</x:v>
      </x:c>
      <x:c r="Q403" s="24" t="str">
        <x:v>Low</x:v>
      </x:c>
      <x:c r="R403" s="24" t="str"/>
      <x:c r="S403" s="24" t="str">
        <x:v>Sí</x:v>
      </x:c>
      <x:c r="T403" s="24" t="str">
        <x:f>"T"&amp;IF(AND(H403&lt;&gt;"",I403&lt;&gt;"",J403&lt;&gt;"",L403&lt;&gt;"",N403&lt;&gt;"",O403&lt;&gt;"",P403="APPROVED PUBLIC",S403="Sí"),6,IF(AND(H403&lt;&gt;"",I403&lt;&gt;"",J403&lt;&gt;"",L403&lt;&gt;"",N403&lt;&gt;"",O403&lt;&gt;"",P403&lt;&gt;"",S403="Sí"),5,IF(AND(H403&lt;&gt;"",I403&lt;&gt;"",P403&lt;&gt;"",S403&lt;&gt;"No"),4,IF(AND(H403&lt;&gt;"",I403&lt;&gt;""),3,IF(F403&lt;&gt;"",2,1)))))</x:f>
        <x:v>T5</x:v>
      </x:c>
      <x:c r="U403" s="24" t="str">
        <x:v>VRM Games</x:v>
      </x:c>
      <x:c r="V403" s="24" t="str">
        <x:v>No se detectó proveedor externo en la ruta; confirmar autoría por lote antes de release público.</x:v>
      </x:c>
    </x:row>
    <x:row r="404" ht="34" customHeight="1">
      <x:c r="A404" s="24" t="str">
        <x:v>TRC-00400</x:v>
      </x:c>
      <x:c r="B404" s="24" t="str">
        <x:v>716a4f7f3f8b4e0f88696f6ef214bfb5</x:v>
      </x:c>
      <x:c r="C404" s="24" t="str">
        <x:v>RestockTask.cs</x:v>
      </x:c>
      <x:c r="D404" s="24" t="str">
        <x:v>Code</x:v>
      </x:c>
      <x:c r="E404" s="24" t="str">
        <x:v>03_Assets_Internos</x:v>
      </x:c>
      <x:c r="F404" s="24" t="str">
        <x:v>INT-0400</x:v>
      </x:c>
      <x:c r="G404" s="24" t="str">
        <x:v>VRM Games / Blas Luis Rocha González</x:v>
      </x:c>
      <x:c r="H404" s="24" t="str">
        <x:v>Internal project IP / authorship claim</x:v>
      </x:c>
      <x:c r="I404" s="24" t="str">
        <x:v>Source package + repository path + hash</x:v>
      </x:c>
      <x:c r="J404" s="24" t="str">
        <x:v>17db5efdcaa2320904e1e673486238cb14d9fc0ac7111b4f171e488fadbf7a3b</x:v>
      </x:c>
      <x:c r="K404" s="24" t="str">
        <x:v>Assets/_Project/Scripts/Domain/Displays/RestockTask.cs</x:v>
      </x:c>
      <x:c r="L404" s="24" t="str">
        <x:v>CR-003</x:v>
      </x:c>
      <x:c r="M404" s="24" t="str"/>
      <x:c r="N404" s="24" t="str">
        <x:v>RES-001;RES-014</x:v>
      </x:c>
      <x:c r="O404" s="24" t="str">
        <x:v>Internal development; public candidate requires gate</x:v>
      </x:c>
      <x:c r="P404" s="24" t="str">
        <x:v>CONDITIONALLY APPROVED</x:v>
      </x:c>
      <x:c r="Q404" s="24" t="str">
        <x:v>Low</x:v>
      </x:c>
      <x:c r="R404" s="24" t="str"/>
      <x:c r="S404" s="24" t="str">
        <x:v>Sí</x:v>
      </x:c>
      <x:c r="T404" s="24" t="str">
        <x:f>"T"&amp;IF(AND(H404&lt;&gt;"",I404&lt;&gt;"",J404&lt;&gt;"",L404&lt;&gt;"",N404&lt;&gt;"",O404&lt;&gt;"",P404="APPROVED PUBLIC",S404="Sí"),6,IF(AND(H404&lt;&gt;"",I404&lt;&gt;"",J404&lt;&gt;"",L404&lt;&gt;"",N404&lt;&gt;"",O404&lt;&gt;"",P404&lt;&gt;"",S404="Sí"),5,IF(AND(H404&lt;&gt;"",I404&lt;&gt;"",P404&lt;&gt;"",S404&lt;&gt;"No"),4,IF(AND(H404&lt;&gt;"",I404&lt;&gt;""),3,IF(F404&lt;&gt;"",2,1)))))</x:f>
        <x:v>T5</x:v>
      </x:c>
      <x:c r="U404" s="24" t="str">
        <x:v>VRM Games</x:v>
      </x:c>
      <x:c r="V404" s="24" t="str">
        <x:v>No se detectó proveedor externo en la ruta; confirmar autoría por lote antes de release público.</x:v>
      </x:c>
    </x:row>
    <x:row r="405" ht="34" customHeight="1">
      <x:c r="A405" s="24" t="str">
        <x:v>TRC-00401</x:v>
      </x:c>
      <x:c r="B405" s="24" t="str">
        <x:v>91fbb8a93d9b4845b52b2c3ced494d5d</x:v>
      </x:c>
      <x:c r="C405" s="24" t="str">
        <x:v>RestockTaskId.cs</x:v>
      </x:c>
      <x:c r="D405" s="24" t="str">
        <x:v>Code</x:v>
      </x:c>
      <x:c r="E405" s="24" t="str">
        <x:v>03_Assets_Internos</x:v>
      </x:c>
      <x:c r="F405" s="24" t="str">
        <x:v>INT-0401</x:v>
      </x:c>
      <x:c r="G405" s="24" t="str">
        <x:v>VRM Games / Blas Luis Rocha González</x:v>
      </x:c>
      <x:c r="H405" s="24" t="str">
        <x:v>Internal project IP / authorship claim</x:v>
      </x:c>
      <x:c r="I405" s="24" t="str">
        <x:v>Source package + repository path + hash</x:v>
      </x:c>
      <x:c r="J405" s="24" t="str">
        <x:v>70418377fe609ae5e6943368e734f5f555acb5fceedcd16a29fe2130c6f396ad</x:v>
      </x:c>
      <x:c r="K405" s="24" t="str">
        <x:v>Assets/_Project/Scripts/Domain/Displays/RestockTaskId.cs</x:v>
      </x:c>
      <x:c r="L405" s="24" t="str">
        <x:v>CR-003</x:v>
      </x:c>
      <x:c r="M405" s="24" t="str"/>
      <x:c r="N405" s="24" t="str">
        <x:v>RES-001;RES-014</x:v>
      </x:c>
      <x:c r="O405" s="24" t="str">
        <x:v>Internal development; public candidate requires gate</x:v>
      </x:c>
      <x:c r="P405" s="24" t="str">
        <x:v>CONDITIONALLY APPROVED</x:v>
      </x:c>
      <x:c r="Q405" s="24" t="str">
        <x:v>Low</x:v>
      </x:c>
      <x:c r="R405" s="24" t="str"/>
      <x:c r="S405" s="24" t="str">
        <x:v>Sí</x:v>
      </x:c>
      <x:c r="T405" s="24" t="str">
        <x:f>"T"&amp;IF(AND(H405&lt;&gt;"",I405&lt;&gt;"",J405&lt;&gt;"",L405&lt;&gt;"",N405&lt;&gt;"",O405&lt;&gt;"",P405="APPROVED PUBLIC",S405="Sí"),6,IF(AND(H405&lt;&gt;"",I405&lt;&gt;"",J405&lt;&gt;"",L405&lt;&gt;"",N405&lt;&gt;"",O405&lt;&gt;"",P405&lt;&gt;"",S405="Sí"),5,IF(AND(H405&lt;&gt;"",I405&lt;&gt;"",P405&lt;&gt;"",S405&lt;&gt;"No"),4,IF(AND(H405&lt;&gt;"",I405&lt;&gt;""),3,IF(F405&lt;&gt;"",2,1)))))</x:f>
        <x:v>T5</x:v>
      </x:c>
      <x:c r="U405" s="24" t="str">
        <x:v>VRM Games</x:v>
      </x:c>
      <x:c r="V405" s="24" t="str">
        <x:v>No se detectó proveedor externo en la ruta; confirmar autoría por lote antes de release público.</x:v>
      </x:c>
    </x:row>
    <x:row r="406" ht="34" customHeight="1">
      <x:c r="A406" s="24" t="str">
        <x:v>TRC-00402</x:v>
      </x:c>
      <x:c r="B406" s="24" t="str">
        <x:v>eaa7f22b9246404990b0eb892934b22c</x:v>
      </x:c>
      <x:c r="C406" s="24" t="str">
        <x:v>RestockTaskStatus.cs</x:v>
      </x:c>
      <x:c r="D406" s="24" t="str">
        <x:v>Code</x:v>
      </x:c>
      <x:c r="E406" s="24" t="str">
        <x:v>03_Assets_Internos</x:v>
      </x:c>
      <x:c r="F406" s="24" t="str">
        <x:v>INT-0402</x:v>
      </x:c>
      <x:c r="G406" s="24" t="str">
        <x:v>VRM Games / Blas Luis Rocha González</x:v>
      </x:c>
      <x:c r="H406" s="24" t="str">
        <x:v>Internal project IP / authorship claim</x:v>
      </x:c>
      <x:c r="I406" s="24" t="str">
        <x:v>Source package + repository path + hash</x:v>
      </x:c>
      <x:c r="J406" s="24" t="str">
        <x:v>b6f83d52af6c5983d47e2df8516b9423e204bb0f1126f6b23bf533f25e328f8f</x:v>
      </x:c>
      <x:c r="K406" s="24" t="str">
        <x:v>Assets/_Project/Scripts/Domain/Displays/RestockTaskStatus.cs</x:v>
      </x:c>
      <x:c r="L406" s="24" t="str">
        <x:v>CR-003</x:v>
      </x:c>
      <x:c r="M406" s="24" t="str"/>
      <x:c r="N406" s="24" t="str">
        <x:v>RES-001;RES-014</x:v>
      </x:c>
      <x:c r="O406" s="24" t="str">
        <x:v>Internal development; public candidate requires gate</x:v>
      </x:c>
      <x:c r="P406" s="24" t="str">
        <x:v>CONDITIONALLY APPROVED</x:v>
      </x:c>
      <x:c r="Q406" s="24" t="str">
        <x:v>Low</x:v>
      </x:c>
      <x:c r="R406" s="24" t="str"/>
      <x:c r="S406" s="24" t="str">
        <x:v>Sí</x:v>
      </x:c>
      <x:c r="T406" s="24" t="str">
        <x:f>"T"&amp;IF(AND(H406&lt;&gt;"",I406&lt;&gt;"",J406&lt;&gt;"",L406&lt;&gt;"",N406&lt;&gt;"",O406&lt;&gt;"",P406="APPROVED PUBLIC",S406="Sí"),6,IF(AND(H406&lt;&gt;"",I406&lt;&gt;"",J406&lt;&gt;"",L406&lt;&gt;"",N406&lt;&gt;"",O406&lt;&gt;"",P406&lt;&gt;"",S406="Sí"),5,IF(AND(H406&lt;&gt;"",I406&lt;&gt;"",P406&lt;&gt;"",S406&lt;&gt;"No"),4,IF(AND(H406&lt;&gt;"",I406&lt;&gt;""),3,IF(F406&lt;&gt;"",2,1)))))</x:f>
        <x:v>T5</x:v>
      </x:c>
      <x:c r="U406" s="24" t="str">
        <x:v>VRM Games</x:v>
      </x:c>
      <x:c r="V406" s="24" t="str">
        <x:v>No se detectó proveedor externo en la ruta; confirmar autoría por lote antes de release público.</x:v>
      </x:c>
    </x:row>
    <x:row r="407" ht="34" customHeight="1">
      <x:c r="A407" s="24" t="str">
        <x:v>TRC-00403</x:v>
      </x:c>
      <x:c r="B407" s="24" t="str">
        <x:v>b27ce14adc5a4e0a8fc0f380262c05e5</x:v>
      </x:c>
      <x:c r="C407" s="24" t="str">
        <x:v>RestockTaskTransitionFailureReason.cs</x:v>
      </x:c>
      <x:c r="D407" s="24" t="str">
        <x:v>Code</x:v>
      </x:c>
      <x:c r="E407" s="24" t="str">
        <x:v>03_Assets_Internos</x:v>
      </x:c>
      <x:c r="F407" s="24" t="str">
        <x:v>INT-0403</x:v>
      </x:c>
      <x:c r="G407" s="24" t="str">
        <x:v>VRM Games / Blas Luis Rocha González</x:v>
      </x:c>
      <x:c r="H407" s="24" t="str">
        <x:v>Internal project IP / authorship claim</x:v>
      </x:c>
      <x:c r="I407" s="24" t="str">
        <x:v>Source package + repository path + hash</x:v>
      </x:c>
      <x:c r="J407" s="24" t="str">
        <x:v>dcbc2ce531479d6c4f5674742c989d7a96cab2b8ed90055c7b596ef45e849c38</x:v>
      </x:c>
      <x:c r="K407" s="24" t="str">
        <x:v>Assets/_Project/Scripts/Domain/Displays/RestockTaskTransitionFailureReason.cs</x:v>
      </x:c>
      <x:c r="L407" s="24" t="str">
        <x:v>CR-003</x:v>
      </x:c>
      <x:c r="M407" s="24" t="str"/>
      <x:c r="N407" s="24" t="str">
        <x:v>RES-001;RES-014</x:v>
      </x:c>
      <x:c r="O407" s="24" t="str">
        <x:v>Internal development; public candidate requires gate</x:v>
      </x:c>
      <x:c r="P407" s="24" t="str">
        <x:v>CONDITIONALLY APPROVED</x:v>
      </x:c>
      <x:c r="Q407" s="24" t="str">
        <x:v>Low</x:v>
      </x:c>
      <x:c r="R407" s="24" t="str"/>
      <x:c r="S407" s="24" t="str">
        <x:v>Sí</x:v>
      </x:c>
      <x:c r="T407" s="24" t="str">
        <x:f>"T"&amp;IF(AND(H407&lt;&gt;"",I407&lt;&gt;"",J407&lt;&gt;"",L407&lt;&gt;"",N407&lt;&gt;"",O407&lt;&gt;"",P407="APPROVED PUBLIC",S407="Sí"),6,IF(AND(H407&lt;&gt;"",I407&lt;&gt;"",J407&lt;&gt;"",L407&lt;&gt;"",N407&lt;&gt;"",O407&lt;&gt;"",P407&lt;&gt;"",S407="Sí"),5,IF(AND(H407&lt;&gt;"",I407&lt;&gt;"",P407&lt;&gt;"",S407&lt;&gt;"No"),4,IF(AND(H407&lt;&gt;"",I407&lt;&gt;""),3,IF(F407&lt;&gt;"",2,1)))))</x:f>
        <x:v>T5</x:v>
      </x:c>
      <x:c r="U407" s="24" t="str">
        <x:v>VRM Games</x:v>
      </x:c>
      <x:c r="V407" s="24" t="str">
        <x:v>No se detectó proveedor externo en la ruta; confirmar autoría por lote antes de release público.</x:v>
      </x:c>
    </x:row>
    <x:row r="408" ht="34" customHeight="1">
      <x:c r="A408" s="24" t="str">
        <x:v>TRC-00404</x:v>
      </x:c>
      <x:c r="B408" s="24" t="str">
        <x:v>5c3d170581174128a019186c1b6784a8</x:v>
      </x:c>
      <x:c r="C408" s="24" t="str">
        <x:v>RestockTaskTransitionResult.cs</x:v>
      </x:c>
      <x:c r="D408" s="24" t="str">
        <x:v>Code</x:v>
      </x:c>
      <x:c r="E408" s="24" t="str">
        <x:v>03_Assets_Internos</x:v>
      </x:c>
      <x:c r="F408" s="24" t="str">
        <x:v>INT-0404</x:v>
      </x:c>
      <x:c r="G408" s="24" t="str">
        <x:v>VRM Games / Blas Luis Rocha González</x:v>
      </x:c>
      <x:c r="H408" s="24" t="str">
        <x:v>Internal project IP / authorship claim</x:v>
      </x:c>
      <x:c r="I408" s="24" t="str">
        <x:v>Source package + repository path + hash</x:v>
      </x:c>
      <x:c r="J408" s="24" t="str">
        <x:v>373a44b0e05364cfa66d6a6dd49f18c9bb15f735eba36362e2df7f195b86b10f</x:v>
      </x:c>
      <x:c r="K408" s="24" t="str">
        <x:v>Assets/_Project/Scripts/Domain/Displays/RestockTaskTransitionResult.cs</x:v>
      </x:c>
      <x:c r="L408" s="24" t="str">
        <x:v>CR-003</x:v>
      </x:c>
      <x:c r="M408" s="24" t="str"/>
      <x:c r="N408" s="24" t="str">
        <x:v>RES-001;RES-014</x:v>
      </x:c>
      <x:c r="O408" s="24" t="str">
        <x:v>Internal development; public candidate requires gate</x:v>
      </x:c>
      <x:c r="P408" s="24" t="str">
        <x:v>CONDITIONALLY APPROVED</x:v>
      </x:c>
      <x:c r="Q408" s="24" t="str">
        <x:v>Low</x:v>
      </x:c>
      <x:c r="R408" s="24" t="str"/>
      <x:c r="S408" s="24" t="str">
        <x:v>Sí</x:v>
      </x:c>
      <x:c r="T408" s="24" t="str">
        <x:f>"T"&amp;IF(AND(H408&lt;&gt;"",I408&lt;&gt;"",J408&lt;&gt;"",L408&lt;&gt;"",N408&lt;&gt;"",O408&lt;&gt;"",P408="APPROVED PUBLIC",S408="Sí"),6,IF(AND(H408&lt;&gt;"",I408&lt;&gt;"",J408&lt;&gt;"",L408&lt;&gt;"",N408&lt;&gt;"",O408&lt;&gt;"",P408&lt;&gt;"",S408="Sí"),5,IF(AND(H408&lt;&gt;"",I408&lt;&gt;"",P408&lt;&gt;"",S408&lt;&gt;"No"),4,IF(AND(H408&lt;&gt;"",I408&lt;&gt;""),3,IF(F408&lt;&gt;"",2,1)))))</x:f>
        <x:v>T5</x:v>
      </x:c>
      <x:c r="U408" s="24" t="str">
        <x:v>VRM Games</x:v>
      </x:c>
      <x:c r="V408" s="24" t="str">
        <x:v>No se detectó proveedor externo en la ruta; confirmar autoría por lote antes de release público.</x:v>
      </x:c>
    </x:row>
    <x:row r="409" ht="34" customHeight="1">
      <x:c r="A409" s="24" t="str">
        <x:v>TRC-00405</x:v>
      </x:c>
      <x:c r="B409" s="24" t="str">
        <x:v>8448514440e34e71926c16879cff3c83</x:v>
      </x:c>
      <x:c r="C409" s="24" t="str">
        <x:v>DailyEconomicResult.cs</x:v>
      </x:c>
      <x:c r="D409" s="24" t="str">
        <x:v>Code</x:v>
      </x:c>
      <x:c r="E409" s="24" t="str">
        <x:v>03_Assets_Internos</x:v>
      </x:c>
      <x:c r="F409" s="24" t="str">
        <x:v>INT-0405</x:v>
      </x:c>
      <x:c r="G409" s="24" t="str">
        <x:v>VRM Games / Blas Luis Rocha González</x:v>
      </x:c>
      <x:c r="H409" s="24" t="str">
        <x:v>Internal project IP / authorship claim</x:v>
      </x:c>
      <x:c r="I409" s="24" t="str">
        <x:v>Source package + repository path + hash</x:v>
      </x:c>
      <x:c r="J409" s="24" t="str">
        <x:v>51835e9d79611a7ae9eb53620b43a9867eaf93b25c023ce922e182f8ec4e8c8e</x:v>
      </x:c>
      <x:c r="K409" s="24" t="str">
        <x:v>Assets/_Project/Scripts/Domain/Economy/DailyEconomicResult.cs</x:v>
      </x:c>
      <x:c r="L409" s="24" t="str">
        <x:v>CR-003</x:v>
      </x:c>
      <x:c r="M409" s="24" t="str"/>
      <x:c r="N409" s="24" t="str">
        <x:v>RES-001;RES-014</x:v>
      </x:c>
      <x:c r="O409" s="24" t="str">
        <x:v>Internal development; public candidate requires gate</x:v>
      </x:c>
      <x:c r="P409" s="24" t="str">
        <x:v>CONDITIONALLY APPROVED</x:v>
      </x:c>
      <x:c r="Q409" s="24" t="str">
        <x:v>Low</x:v>
      </x:c>
      <x:c r="R409" s="24" t="str"/>
      <x:c r="S409" s="24" t="str">
        <x:v>Sí</x:v>
      </x:c>
      <x:c r="T409" s="24" t="str">
        <x:f>"T"&amp;IF(AND(H409&lt;&gt;"",I409&lt;&gt;"",J409&lt;&gt;"",L409&lt;&gt;"",N409&lt;&gt;"",O409&lt;&gt;"",P409="APPROVED PUBLIC",S409="Sí"),6,IF(AND(H409&lt;&gt;"",I409&lt;&gt;"",J409&lt;&gt;"",L409&lt;&gt;"",N409&lt;&gt;"",O409&lt;&gt;"",P409&lt;&gt;"",S409="Sí"),5,IF(AND(H409&lt;&gt;"",I409&lt;&gt;"",P409&lt;&gt;"",S409&lt;&gt;"No"),4,IF(AND(H409&lt;&gt;"",I409&lt;&gt;""),3,IF(F409&lt;&gt;"",2,1)))))</x:f>
        <x:v>T5</x:v>
      </x:c>
      <x:c r="U409" s="24" t="str">
        <x:v>VRM Games</x:v>
      </x:c>
      <x:c r="V409" s="24" t="str">
        <x:v>No se detectó proveedor externo en la ruta; confirmar autoría por lote antes de release público.</x:v>
      </x:c>
    </x:row>
    <x:row r="410" ht="34" customHeight="1">
      <x:c r="A410" s="24" t="str">
        <x:v>TRC-00406</x:v>
      </x:c>
      <x:c r="B410" s="24" t="str">
        <x:v>53ac963db75b4346a2667fbfd1de4a89</x:v>
      </x:c>
      <x:c r="C410" s="24" t="str">
        <x:v>EconomyLedger.cs</x:v>
      </x:c>
      <x:c r="D410" s="24" t="str">
        <x:v>Code</x:v>
      </x:c>
      <x:c r="E410" s="24" t="str">
        <x:v>03_Assets_Internos</x:v>
      </x:c>
      <x:c r="F410" s="24" t="str">
        <x:v>INT-0406</x:v>
      </x:c>
      <x:c r="G410" s="24" t="str">
        <x:v>VRM Games / Blas Luis Rocha González</x:v>
      </x:c>
      <x:c r="H410" s="24" t="str">
        <x:v>Internal project IP / authorship claim</x:v>
      </x:c>
      <x:c r="I410" s="24" t="str">
        <x:v>Source package + repository path + hash</x:v>
      </x:c>
      <x:c r="J410" s="24" t="str">
        <x:v>f171035b842accfc7640b45a1b70c4634e3fa379de869759ff6503ca0b58eed3</x:v>
      </x:c>
      <x:c r="K410" s="24" t="str">
        <x:v>Assets/_Project/Scripts/Domain/Economy/EconomyLedger.cs</x:v>
      </x:c>
      <x:c r="L410" s="24" t="str">
        <x:v>CR-003</x:v>
      </x:c>
      <x:c r="M410" s="24" t="str"/>
      <x:c r="N410" s="24" t="str">
        <x:v>RES-001;RES-014</x:v>
      </x:c>
      <x:c r="O410" s="24" t="str">
        <x:v>Internal development; public candidate requires gate</x:v>
      </x:c>
      <x:c r="P410" s="24" t="str">
        <x:v>CONDITIONALLY APPROVED</x:v>
      </x:c>
      <x:c r="Q410" s="24" t="str">
        <x:v>Low</x:v>
      </x:c>
      <x:c r="R410" s="24" t="str"/>
      <x:c r="S410" s="24" t="str">
        <x:v>Sí</x:v>
      </x:c>
      <x:c r="T410" s="24" t="str">
        <x:f>"T"&amp;IF(AND(H410&lt;&gt;"",I410&lt;&gt;"",J410&lt;&gt;"",L410&lt;&gt;"",N410&lt;&gt;"",O410&lt;&gt;"",P410="APPROVED PUBLIC",S410="Sí"),6,IF(AND(H410&lt;&gt;"",I410&lt;&gt;"",J410&lt;&gt;"",L410&lt;&gt;"",N410&lt;&gt;"",O410&lt;&gt;"",P410&lt;&gt;"",S410="Sí"),5,IF(AND(H410&lt;&gt;"",I410&lt;&gt;"",P410&lt;&gt;"",S410&lt;&gt;"No"),4,IF(AND(H410&lt;&gt;"",I410&lt;&gt;""),3,IF(F410&lt;&gt;"",2,1)))))</x:f>
        <x:v>T5</x:v>
      </x:c>
      <x:c r="U410" s="24" t="str">
        <x:v>VRM Games</x:v>
      </x:c>
      <x:c r="V410" s="24" t="str">
        <x:v>No se detectó proveedor externo en la ruta; confirmar autoría por lote antes de release público.</x:v>
      </x:c>
    </x:row>
    <x:row r="411" ht="34" customHeight="1">
      <x:c r="A411" s="24" t="str">
        <x:v>TRC-00407</x:v>
      </x:c>
      <x:c r="B411" s="24" t="str">
        <x:v>3c4ec7c7020d4597a855101449995cf5</x:v>
      </x:c>
      <x:c r="C411" s="24" t="str">
        <x:v>Money.cs</x:v>
      </x:c>
      <x:c r="D411" s="24" t="str">
        <x:v>Code</x:v>
      </x:c>
      <x:c r="E411" s="24" t="str">
        <x:v>03_Assets_Internos</x:v>
      </x:c>
      <x:c r="F411" s="24" t="str">
        <x:v>INT-0407</x:v>
      </x:c>
      <x:c r="G411" s="24" t="str">
        <x:v>VRM Games / Blas Luis Rocha González</x:v>
      </x:c>
      <x:c r="H411" s="24" t="str">
        <x:v>Internal project IP / authorship claim</x:v>
      </x:c>
      <x:c r="I411" s="24" t="str">
        <x:v>Source package + repository path + hash</x:v>
      </x:c>
      <x:c r="J411" s="24" t="str">
        <x:v>439da22e8642d08bc11714477080c09addac74e7a3a3e71cec17fcfb4e78245f</x:v>
      </x:c>
      <x:c r="K411" s="24" t="str">
        <x:v>Assets/_Project/Scripts/Domain/Economy/Money.cs</x:v>
      </x:c>
      <x:c r="L411" s="24" t="str">
        <x:v>CR-003</x:v>
      </x:c>
      <x:c r="M411" s="24" t="str"/>
      <x:c r="N411" s="24" t="str">
        <x:v>RES-001;RES-014</x:v>
      </x:c>
      <x:c r="O411" s="24" t="str">
        <x:v>Internal development; public candidate requires gate</x:v>
      </x:c>
      <x:c r="P411" s="24" t="str">
        <x:v>CONDITIONALLY APPROVED</x:v>
      </x:c>
      <x:c r="Q411" s="24" t="str">
        <x:v>Low</x:v>
      </x:c>
      <x:c r="R411" s="24" t="str"/>
      <x:c r="S411" s="24" t="str">
        <x:v>Sí</x:v>
      </x:c>
      <x:c r="T411" s="24" t="str">
        <x:f>"T"&amp;IF(AND(H411&lt;&gt;"",I411&lt;&gt;"",J411&lt;&gt;"",L411&lt;&gt;"",N411&lt;&gt;"",O411&lt;&gt;"",P411="APPROVED PUBLIC",S411="Sí"),6,IF(AND(H411&lt;&gt;"",I411&lt;&gt;"",J411&lt;&gt;"",L411&lt;&gt;"",N411&lt;&gt;"",O411&lt;&gt;"",P411&lt;&gt;"",S411="Sí"),5,IF(AND(H411&lt;&gt;"",I411&lt;&gt;"",P411&lt;&gt;"",S411&lt;&gt;"No"),4,IF(AND(H411&lt;&gt;"",I411&lt;&gt;""),3,IF(F411&lt;&gt;"",2,1)))))</x:f>
        <x:v>T5</x:v>
      </x:c>
      <x:c r="U411" s="24" t="str">
        <x:v>VRM Games</x:v>
      </x:c>
      <x:c r="V411" s="24" t="str">
        <x:v>No se detectó proveedor externo en la ruta; confirmar autoría por lote antes de release público.</x:v>
      </x:c>
    </x:row>
    <x:row r="412" ht="34" customHeight="1">
      <x:c r="A412" s="24" t="str">
        <x:v>TRC-00408</x:v>
      </x:c>
      <x:c r="B412" s="24" t="str">
        <x:v>16a40d93ef6542bb860e70cbe55ad6b2</x:v>
      </x:c>
      <x:c r="C412" s="24" t="str">
        <x:v>ProductSalePricing.cs</x:v>
      </x:c>
      <x:c r="D412" s="24" t="str">
        <x:v>Code</x:v>
      </x:c>
      <x:c r="E412" s="24" t="str">
        <x:v>03_Assets_Internos</x:v>
      </x:c>
      <x:c r="F412" s="24" t="str">
        <x:v>INT-0408</x:v>
      </x:c>
      <x:c r="G412" s="24" t="str">
        <x:v>VRM Games / Blas Luis Rocha González</x:v>
      </x:c>
      <x:c r="H412" s="24" t="str">
        <x:v>Internal project IP / authorship claim</x:v>
      </x:c>
      <x:c r="I412" s="24" t="str">
        <x:v>Source package + repository path + hash</x:v>
      </x:c>
      <x:c r="J412" s="24" t="str">
        <x:v>dd2d49ceb432e285406cc38918805274e7d128a4f5c3cb4371029bdf617d8e49</x:v>
      </x:c>
      <x:c r="K412" s="24" t="str">
        <x:v>Assets/_Project/Scripts/Domain/Economy/ProductSalePricing.cs</x:v>
      </x:c>
      <x:c r="L412" s="24" t="str">
        <x:v>CR-003</x:v>
      </x:c>
      <x:c r="M412" s="24" t="str"/>
      <x:c r="N412" s="24" t="str">
        <x:v>RES-001;RES-014</x:v>
      </x:c>
      <x:c r="O412" s="24" t="str">
        <x:v>Internal development; public candidate requires gate</x:v>
      </x:c>
      <x:c r="P412" s="24" t="str">
        <x:v>CONDITIONALLY APPROVED</x:v>
      </x:c>
      <x:c r="Q412" s="24" t="str">
        <x:v>Low</x:v>
      </x:c>
      <x:c r="R412" s="24" t="str"/>
      <x:c r="S412" s="24" t="str">
        <x:v>Sí</x:v>
      </x:c>
      <x:c r="T412" s="24" t="str">
        <x:f>"T"&amp;IF(AND(H412&lt;&gt;"",I412&lt;&gt;"",J412&lt;&gt;"",L412&lt;&gt;"",N412&lt;&gt;"",O412&lt;&gt;"",P412="APPROVED PUBLIC",S412="Sí"),6,IF(AND(H412&lt;&gt;"",I412&lt;&gt;"",J412&lt;&gt;"",L412&lt;&gt;"",N412&lt;&gt;"",O412&lt;&gt;"",P412&lt;&gt;"",S412="Sí"),5,IF(AND(H412&lt;&gt;"",I412&lt;&gt;"",P412&lt;&gt;"",S412&lt;&gt;"No"),4,IF(AND(H412&lt;&gt;"",I412&lt;&gt;""),3,IF(F412&lt;&gt;"",2,1)))))</x:f>
        <x:v>T5</x:v>
      </x:c>
      <x:c r="U412" s="24" t="str">
        <x:v>VRM Games</x:v>
      </x:c>
      <x:c r="V412" s="24" t="str">
        <x:v>No se detectó proveedor externo en la ruta; confirmar autoría por lote antes de release público.</x:v>
      </x:c>
    </x:row>
    <x:row r="413" ht="34" customHeight="1">
      <x:c r="A413" s="24" t="str">
        <x:v>TRC-00409</x:v>
      </x:c>
      <x:c r="B413" s="24" t="str">
        <x:v>8840eb6ffde441098fbba0f37187f050</x:v>
      </x:c>
      <x:c r="C413" s="24" t="str">
        <x:v>GameSession.cs</x:v>
      </x:c>
      <x:c r="D413" s="24" t="str">
        <x:v>Code</x:v>
      </x:c>
      <x:c r="E413" s="24" t="str">
        <x:v>03_Assets_Internos</x:v>
      </x:c>
      <x:c r="F413" s="24" t="str">
        <x:v>INT-0409</x:v>
      </x:c>
      <x:c r="G413" s="24" t="str">
        <x:v>VRM Games / Blas Luis Rocha González</x:v>
      </x:c>
      <x:c r="H413" s="24" t="str">
        <x:v>Internal project IP / authorship claim</x:v>
      </x:c>
      <x:c r="I413" s="24" t="str">
        <x:v>Source package + repository path + hash</x:v>
      </x:c>
      <x:c r="J413" s="24" t="str">
        <x:v>7439d5208b3142565308f75b0beaed5678fad99d8c99bd2c2e36b739772cb168</x:v>
      </x:c>
      <x:c r="K413" s="24" t="str">
        <x:v>Assets/_Project/Scripts/Domain/GameSession/GameSession.cs</x:v>
      </x:c>
      <x:c r="L413" s="24" t="str">
        <x:v>CR-003</x:v>
      </x:c>
      <x:c r="M413" s="24" t="str"/>
      <x:c r="N413" s="24" t="str">
        <x:v>RES-001;RES-014</x:v>
      </x:c>
      <x:c r="O413" s="24" t="str">
        <x:v>Internal development; public candidate requires gate</x:v>
      </x:c>
      <x:c r="P413" s="24" t="str">
        <x:v>CONDITIONALLY APPROVED</x:v>
      </x:c>
      <x:c r="Q413" s="24" t="str">
        <x:v>Low</x:v>
      </x:c>
      <x:c r="R413" s="24" t="str"/>
      <x:c r="S413" s="24" t="str">
        <x:v>Sí</x:v>
      </x:c>
      <x:c r="T413" s="24" t="str">
        <x:f>"T"&amp;IF(AND(H413&lt;&gt;"",I413&lt;&gt;"",J413&lt;&gt;"",L413&lt;&gt;"",N413&lt;&gt;"",O413&lt;&gt;"",P413="APPROVED PUBLIC",S413="Sí"),6,IF(AND(H413&lt;&gt;"",I413&lt;&gt;"",J413&lt;&gt;"",L413&lt;&gt;"",N413&lt;&gt;"",O413&lt;&gt;"",P413&lt;&gt;"",S413="Sí"),5,IF(AND(H413&lt;&gt;"",I413&lt;&gt;"",P413&lt;&gt;"",S413&lt;&gt;"No"),4,IF(AND(H413&lt;&gt;"",I413&lt;&gt;""),3,IF(F413&lt;&gt;"",2,1)))))</x:f>
        <x:v>T5</x:v>
      </x:c>
      <x:c r="U413" s="24" t="str">
        <x:v>VRM Games</x:v>
      </x:c>
      <x:c r="V413" s="24" t="str">
        <x:v>No se detectó proveedor externo en la ruta; confirmar autoría por lote antes de release público.</x:v>
      </x:c>
    </x:row>
    <x:row r="414" ht="34" customHeight="1">
      <x:c r="A414" s="24" t="str">
        <x:v>TRC-00410</x:v>
      </x:c>
      <x:c r="B414" s="24" t="str">
        <x:v>35e04149209f4214af251c1d2f6be6c7</x:v>
      </x:c>
      <x:c r="C414" s="24" t="str">
        <x:v>GameSessionSnapshot.cs</x:v>
      </x:c>
      <x:c r="D414" s="24" t="str">
        <x:v>Code</x:v>
      </x:c>
      <x:c r="E414" s="24" t="str">
        <x:v>03_Assets_Internos</x:v>
      </x:c>
      <x:c r="F414" s="24" t="str">
        <x:v>INT-0410</x:v>
      </x:c>
      <x:c r="G414" s="24" t="str">
        <x:v>VRM Games / Blas Luis Rocha González</x:v>
      </x:c>
      <x:c r="H414" s="24" t="str">
        <x:v>Internal project IP / authorship claim</x:v>
      </x:c>
      <x:c r="I414" s="24" t="str">
        <x:v>Source package + repository path + hash</x:v>
      </x:c>
      <x:c r="J414" s="24" t="str">
        <x:v>9fd8e6a3dc15270714fd3458ecdee8e125daa307fd40880338d61b5df353c878</x:v>
      </x:c>
      <x:c r="K414" s="24" t="str">
        <x:v>Assets/_Project/Scripts/Domain/GameSession/GameSessionSnapshot.cs</x:v>
      </x:c>
      <x:c r="L414" s="24" t="str">
        <x:v>CR-003</x:v>
      </x:c>
      <x:c r="M414" s="24" t="str"/>
      <x:c r="N414" s="24" t="str">
        <x:v>RES-001;RES-014</x:v>
      </x:c>
      <x:c r="O414" s="24" t="str">
        <x:v>Internal development; public candidate requires gate</x:v>
      </x:c>
      <x:c r="P414" s="24" t="str">
        <x:v>CONDITIONALLY APPROVED</x:v>
      </x:c>
      <x:c r="Q414" s="24" t="str">
        <x:v>Low</x:v>
      </x:c>
      <x:c r="R414" s="24" t="str"/>
      <x:c r="S414" s="24" t="str">
        <x:v>Sí</x:v>
      </x:c>
      <x:c r="T414" s="24" t="str">
        <x:f>"T"&amp;IF(AND(H414&lt;&gt;"",I414&lt;&gt;"",J414&lt;&gt;"",L414&lt;&gt;"",N414&lt;&gt;"",O414&lt;&gt;"",P414="APPROVED PUBLIC",S414="Sí"),6,IF(AND(H414&lt;&gt;"",I414&lt;&gt;"",J414&lt;&gt;"",L414&lt;&gt;"",N414&lt;&gt;"",O414&lt;&gt;"",P414&lt;&gt;"",S414="Sí"),5,IF(AND(H414&lt;&gt;"",I414&lt;&gt;"",P414&lt;&gt;"",S414&lt;&gt;"No"),4,IF(AND(H414&lt;&gt;"",I414&lt;&gt;""),3,IF(F414&lt;&gt;"",2,1)))))</x:f>
        <x:v>T5</x:v>
      </x:c>
      <x:c r="U414" s="24" t="str">
        <x:v>VRM Games</x:v>
      </x:c>
      <x:c r="V414" s="24" t="str">
        <x:v>No se detectó proveedor externo en la ruta; confirmar autoría por lote antes de release público.</x:v>
      </x:c>
    </x:row>
    <x:row r="415" ht="34" customHeight="1">
      <x:c r="A415" s="24" t="str">
        <x:v>TRC-00411</x:v>
      </x:c>
      <x:c r="B415" s="24" t="str">
        <x:v>054ca221cc12455a8539dbed4403f369</x:v>
      </x:c>
      <x:c r="C415" s="24" t="str">
        <x:v>GridBounds.cs</x:v>
      </x:c>
      <x:c r="D415" s="24" t="str">
        <x:v>Code</x:v>
      </x:c>
      <x:c r="E415" s="24" t="str">
        <x:v>03_Assets_Internos</x:v>
      </x:c>
      <x:c r="F415" s="24" t="str">
        <x:v>INT-0411</x:v>
      </x:c>
      <x:c r="G415" s="24" t="str">
        <x:v>VRM Games / Blas Luis Rocha González</x:v>
      </x:c>
      <x:c r="H415" s="24" t="str">
        <x:v>Internal project IP / authorship claim</x:v>
      </x:c>
      <x:c r="I415" s="24" t="str">
        <x:v>Source package + repository path + hash</x:v>
      </x:c>
      <x:c r="J415" s="24" t="str">
        <x:v>f67146075e0a6d053a2eee35b9b988db7840e566b31b1056f77f0e1d3d9a7665</x:v>
      </x:c>
      <x:c r="K415" s="24" t="str">
        <x:v>Assets/_Project/Scripts/Domain/Grid/GridBounds.cs</x:v>
      </x:c>
      <x:c r="L415" s="24" t="str">
        <x:v>CR-003</x:v>
      </x:c>
      <x:c r="M415" s="24" t="str"/>
      <x:c r="N415" s="24" t="str">
        <x:v>RES-001;RES-014</x:v>
      </x:c>
      <x:c r="O415" s="24" t="str">
        <x:v>Internal development; public candidate requires gate</x:v>
      </x:c>
      <x:c r="P415" s="24" t="str">
        <x:v>CONDITIONALLY APPROVED</x:v>
      </x:c>
      <x:c r="Q415" s="24" t="str">
        <x:v>Low</x:v>
      </x:c>
      <x:c r="R415" s="24" t="str"/>
      <x:c r="S415" s="24" t="str">
        <x:v>Sí</x:v>
      </x:c>
      <x:c r="T415" s="24" t="str">
        <x:f>"T"&amp;IF(AND(H415&lt;&gt;"",I415&lt;&gt;"",J415&lt;&gt;"",L415&lt;&gt;"",N415&lt;&gt;"",O415&lt;&gt;"",P415="APPROVED PUBLIC",S415="Sí"),6,IF(AND(H415&lt;&gt;"",I415&lt;&gt;"",J415&lt;&gt;"",L415&lt;&gt;"",N415&lt;&gt;"",O415&lt;&gt;"",P415&lt;&gt;"",S415="Sí"),5,IF(AND(H415&lt;&gt;"",I415&lt;&gt;"",P415&lt;&gt;"",S415&lt;&gt;"No"),4,IF(AND(H415&lt;&gt;"",I415&lt;&gt;""),3,IF(F415&lt;&gt;"",2,1)))))</x:f>
        <x:v>T5</x:v>
      </x:c>
      <x:c r="U415" s="24" t="str">
        <x:v>VRM Games</x:v>
      </x:c>
      <x:c r="V415" s="24" t="str">
        <x:v>No se detectó proveedor externo en la ruta; confirmar autoría por lote antes de release público.</x:v>
      </x:c>
    </x:row>
    <x:row r="416" ht="34" customHeight="1">
      <x:c r="A416" s="24" t="str">
        <x:v>TRC-00412</x:v>
      </x:c>
      <x:c r="B416" s="24" t="str">
        <x:v>40db6b417a664bf99dc0e9810591ad0c</x:v>
      </x:c>
      <x:c r="C416" s="24" t="str">
        <x:v>GridCoordinate.cs</x:v>
      </x:c>
      <x:c r="D416" s="24" t="str">
        <x:v>Code</x:v>
      </x:c>
      <x:c r="E416" s="24" t="str">
        <x:v>03_Assets_Internos</x:v>
      </x:c>
      <x:c r="F416" s="24" t="str">
        <x:v>INT-0412</x:v>
      </x:c>
      <x:c r="G416" s="24" t="str">
        <x:v>VRM Games / Blas Luis Rocha González</x:v>
      </x:c>
      <x:c r="H416" s="24" t="str">
        <x:v>Internal project IP / authorship claim</x:v>
      </x:c>
      <x:c r="I416" s="24" t="str">
        <x:v>Source package + repository path + hash</x:v>
      </x:c>
      <x:c r="J416" s="24" t="str">
        <x:v>01bd6a06da7dedf7d231a4e4e7c39101c9275c5d74c46ebd441515476b3767ba</x:v>
      </x:c>
      <x:c r="K416" s="24" t="str">
        <x:v>Assets/_Project/Scripts/Domain/Grid/GridCoordinate.cs</x:v>
      </x:c>
      <x:c r="L416" s="24" t="str">
        <x:v>CR-003</x:v>
      </x:c>
      <x:c r="M416" s="24" t="str"/>
      <x:c r="N416" s="24" t="str">
        <x:v>RES-001;RES-014</x:v>
      </x:c>
      <x:c r="O416" s="24" t="str">
        <x:v>Internal development; public candidate requires gate</x:v>
      </x:c>
      <x:c r="P416" s="24" t="str">
        <x:v>CONDITIONALLY APPROVED</x:v>
      </x:c>
      <x:c r="Q416" s="24" t="str">
        <x:v>Low</x:v>
      </x:c>
      <x:c r="R416" s="24" t="str"/>
      <x:c r="S416" s="24" t="str">
        <x:v>Sí</x:v>
      </x:c>
      <x:c r="T416" s="24" t="str">
        <x:f>"T"&amp;IF(AND(H416&lt;&gt;"",I416&lt;&gt;"",J416&lt;&gt;"",L416&lt;&gt;"",N416&lt;&gt;"",O416&lt;&gt;"",P416="APPROVED PUBLIC",S416="Sí"),6,IF(AND(H416&lt;&gt;"",I416&lt;&gt;"",J416&lt;&gt;"",L416&lt;&gt;"",N416&lt;&gt;"",O416&lt;&gt;"",P416&lt;&gt;"",S416="Sí"),5,IF(AND(H416&lt;&gt;"",I416&lt;&gt;"",P416&lt;&gt;"",S416&lt;&gt;"No"),4,IF(AND(H416&lt;&gt;"",I416&lt;&gt;""),3,IF(F416&lt;&gt;"",2,1)))))</x:f>
        <x:v>T5</x:v>
      </x:c>
      <x:c r="U416" s="24" t="str">
        <x:v>VRM Games</x:v>
      </x:c>
      <x:c r="V416" s="24" t="str">
        <x:v>No se detectó proveedor externo en la ruta; confirmar autoría por lote antes de release público.</x:v>
      </x:c>
    </x:row>
    <x:row r="417" ht="34" customHeight="1">
      <x:c r="A417" s="24" t="str">
        <x:v>TRC-00413</x:v>
      </x:c>
      <x:c r="B417" s="24" t="str">
        <x:v>fa0794f26cca480094e701ebc8dcfd86</x:v>
      </x:c>
      <x:c r="C417" s="24" t="str">
        <x:v>GridFootprint.cs</x:v>
      </x:c>
      <x:c r="D417" s="24" t="str">
        <x:v>Code</x:v>
      </x:c>
      <x:c r="E417" s="24" t="str">
        <x:v>03_Assets_Internos</x:v>
      </x:c>
      <x:c r="F417" s="24" t="str">
        <x:v>INT-0413</x:v>
      </x:c>
      <x:c r="G417" s="24" t="str">
        <x:v>VRM Games / Blas Luis Rocha González</x:v>
      </x:c>
      <x:c r="H417" s="24" t="str">
        <x:v>Internal project IP / authorship claim</x:v>
      </x:c>
      <x:c r="I417" s="24" t="str">
        <x:v>Source package + repository path + hash</x:v>
      </x:c>
      <x:c r="J417" s="24" t="str">
        <x:v>b2640e50a6d16d2593bd1e73b2e55329b0cec37788e12b95f5af2e3abdad2b7a</x:v>
      </x:c>
      <x:c r="K417" s="24" t="str">
        <x:v>Assets/_Project/Scripts/Domain/Grid/GridFootprint.cs</x:v>
      </x:c>
      <x:c r="L417" s="24" t="str">
        <x:v>CR-003</x:v>
      </x:c>
      <x:c r="M417" s="24" t="str"/>
      <x:c r="N417" s="24" t="str">
        <x:v>RES-001;RES-014</x:v>
      </x:c>
      <x:c r="O417" s="24" t="str">
        <x:v>Internal development; public candidate requires gate</x:v>
      </x:c>
      <x:c r="P417" s="24" t="str">
        <x:v>CONDITIONALLY APPROVED</x:v>
      </x:c>
      <x:c r="Q417" s="24" t="str">
        <x:v>Low</x:v>
      </x:c>
      <x:c r="R417" s="24" t="str"/>
      <x:c r="S417" s="24" t="str">
        <x:v>Sí</x:v>
      </x:c>
      <x:c r="T417" s="24" t="str">
        <x:f>"T"&amp;IF(AND(H417&lt;&gt;"",I417&lt;&gt;"",J417&lt;&gt;"",L417&lt;&gt;"",N417&lt;&gt;"",O417&lt;&gt;"",P417="APPROVED PUBLIC",S417="Sí"),6,IF(AND(H417&lt;&gt;"",I417&lt;&gt;"",J417&lt;&gt;"",L417&lt;&gt;"",N417&lt;&gt;"",O417&lt;&gt;"",P417&lt;&gt;"",S417="Sí"),5,IF(AND(H417&lt;&gt;"",I417&lt;&gt;"",P417&lt;&gt;"",S417&lt;&gt;"No"),4,IF(AND(H417&lt;&gt;"",I417&lt;&gt;""),3,IF(F417&lt;&gt;"",2,1)))))</x:f>
        <x:v>T5</x:v>
      </x:c>
      <x:c r="U417" s="24" t="str">
        <x:v>VRM Games</x:v>
      </x:c>
      <x:c r="V417" s="24" t="str">
        <x:v>No se detectó proveedor externo en la ruta; confirmar autoría por lote antes de release público.</x:v>
      </x:c>
    </x:row>
    <x:row r="418" ht="34" customHeight="1">
      <x:c r="A418" s="24" t="str">
        <x:v>TRC-00414</x:v>
      </x:c>
      <x:c r="B418" s="24" t="str">
        <x:v>a46d323e986c46578a38d5d9602dcb5e</x:v>
      </x:c>
      <x:c r="C418" s="24" t="str">
        <x:v>GridRotation.cs</x:v>
      </x:c>
      <x:c r="D418" s="24" t="str">
        <x:v>Code</x:v>
      </x:c>
      <x:c r="E418" s="24" t="str">
        <x:v>03_Assets_Internos</x:v>
      </x:c>
      <x:c r="F418" s="24" t="str">
        <x:v>INT-0414</x:v>
      </x:c>
      <x:c r="G418" s="24" t="str">
        <x:v>VRM Games / Blas Luis Rocha González</x:v>
      </x:c>
      <x:c r="H418" s="24" t="str">
        <x:v>Internal project IP / authorship claim</x:v>
      </x:c>
      <x:c r="I418" s="24" t="str">
        <x:v>Source package + repository path + hash</x:v>
      </x:c>
      <x:c r="J418" s="24" t="str">
        <x:v>fee34b0c4d14876b9b1556fb1eceaa8254bb7b53cf271ed88766eb25280454f3</x:v>
      </x:c>
      <x:c r="K418" s="24" t="str">
        <x:v>Assets/_Project/Scripts/Domain/Grid/GridRotation.cs</x:v>
      </x:c>
      <x:c r="L418" s="24" t="str">
        <x:v>CR-003</x:v>
      </x:c>
      <x:c r="M418" s="24" t="str"/>
      <x:c r="N418" s="24" t="str">
        <x:v>RES-001;RES-014</x:v>
      </x:c>
      <x:c r="O418" s="24" t="str">
        <x:v>Internal development; public candidate requires gate</x:v>
      </x:c>
      <x:c r="P418" s="24" t="str">
        <x:v>CONDITIONALLY APPROVED</x:v>
      </x:c>
      <x:c r="Q418" s="24" t="str">
        <x:v>Low</x:v>
      </x:c>
      <x:c r="R418" s="24" t="str"/>
      <x:c r="S418" s="24" t="str">
        <x:v>Sí</x:v>
      </x:c>
      <x:c r="T418" s="24" t="str">
        <x:f>"T"&amp;IF(AND(H418&lt;&gt;"",I418&lt;&gt;"",J418&lt;&gt;"",L418&lt;&gt;"",N418&lt;&gt;"",O418&lt;&gt;"",P418="APPROVED PUBLIC",S418="Sí"),6,IF(AND(H418&lt;&gt;"",I418&lt;&gt;"",J418&lt;&gt;"",L418&lt;&gt;"",N418&lt;&gt;"",O418&lt;&gt;"",P418&lt;&gt;"",S418="Sí"),5,IF(AND(H418&lt;&gt;"",I418&lt;&gt;"",P418&lt;&gt;"",S418&lt;&gt;"No"),4,IF(AND(H418&lt;&gt;"",I418&lt;&gt;""),3,IF(F418&lt;&gt;"",2,1)))))</x:f>
        <x:v>T5</x:v>
      </x:c>
      <x:c r="U418" s="24" t="str">
        <x:v>VRM Games</x:v>
      </x:c>
      <x:c r="V418" s="24" t="str">
        <x:v>No se detectó proveedor externo en la ruta; confirmar autoría por lote antes de release público.</x:v>
      </x:c>
    </x:row>
    <x:row r="419" ht="34" customHeight="1">
      <x:c r="A419" s="24" t="str">
        <x:v>TRC-00415</x:v>
      </x:c>
      <x:c r="B419" s="24" t="str">
        <x:v>e9b6d837e06140d2bcdae2599c10683b</x:v>
      </x:c>
      <x:c r="C419" s="24" t="str">
        <x:v>GridSize.cs</x:v>
      </x:c>
      <x:c r="D419" s="24" t="str">
        <x:v>Code</x:v>
      </x:c>
      <x:c r="E419" s="24" t="str">
        <x:v>03_Assets_Internos</x:v>
      </x:c>
      <x:c r="F419" s="24" t="str">
        <x:v>INT-0415</x:v>
      </x:c>
      <x:c r="G419" s="24" t="str">
        <x:v>VRM Games / Blas Luis Rocha González</x:v>
      </x:c>
      <x:c r="H419" s="24" t="str">
        <x:v>Internal project IP / authorship claim</x:v>
      </x:c>
      <x:c r="I419" s="24" t="str">
        <x:v>Source package + repository path + hash</x:v>
      </x:c>
      <x:c r="J419" s="24" t="str">
        <x:v>c0a37477c03aa81daf8e16d2162476bf3f7168315d68ff3a794f137ba32247a2</x:v>
      </x:c>
      <x:c r="K419" s="24" t="str">
        <x:v>Assets/_Project/Scripts/Domain/Grid/GridSize.cs</x:v>
      </x:c>
      <x:c r="L419" s="24" t="str">
        <x:v>CR-003</x:v>
      </x:c>
      <x:c r="M419" s="24" t="str"/>
      <x:c r="N419" s="24" t="str">
        <x:v>RES-001;RES-014</x:v>
      </x:c>
      <x:c r="O419" s="24" t="str">
        <x:v>Internal development; public candidate requires gate</x:v>
      </x:c>
      <x:c r="P419" s="24" t="str">
        <x:v>CONDITIONALLY APPROVED</x:v>
      </x:c>
      <x:c r="Q419" s="24" t="str">
        <x:v>Low</x:v>
      </x:c>
      <x:c r="R419" s="24" t="str"/>
      <x:c r="S419" s="24" t="str">
        <x:v>Sí</x:v>
      </x:c>
      <x:c r="T419" s="24" t="str">
        <x:f>"T"&amp;IF(AND(H419&lt;&gt;"",I419&lt;&gt;"",J419&lt;&gt;"",L419&lt;&gt;"",N419&lt;&gt;"",O419&lt;&gt;"",P419="APPROVED PUBLIC",S419="Sí"),6,IF(AND(H419&lt;&gt;"",I419&lt;&gt;"",J419&lt;&gt;"",L419&lt;&gt;"",N419&lt;&gt;"",O419&lt;&gt;"",P419&lt;&gt;"",S419="Sí"),5,IF(AND(H419&lt;&gt;"",I419&lt;&gt;"",P419&lt;&gt;"",S419&lt;&gt;"No"),4,IF(AND(H419&lt;&gt;"",I419&lt;&gt;""),3,IF(F419&lt;&gt;"",2,1)))))</x:f>
        <x:v>T5</x:v>
      </x:c>
      <x:c r="U419" s="24" t="str">
        <x:v>VRM Games</x:v>
      </x:c>
      <x:c r="V419" s="24" t="str">
        <x:v>No se detectó proveedor externo en la ruta; confirmar autoría por lote antes de release público.</x:v>
      </x:c>
    </x:row>
    <x:row r="420" ht="34" customHeight="1">
      <x:c r="A420" s="24" t="str">
        <x:v>TRC-00416</x:v>
      </x:c>
      <x:c r="B420" s="24" t="str">
        <x:v>5d712f04f1304872a7399bc16c162c3d</x:v>
      </x:c>
      <x:c r="C420" s="24" t="str">
        <x:v>SaveSlotId.cs</x:v>
      </x:c>
      <x:c r="D420" s="24" t="str">
        <x:v>Code</x:v>
      </x:c>
      <x:c r="E420" s="24" t="str">
        <x:v>03_Assets_Internos</x:v>
      </x:c>
      <x:c r="F420" s="24" t="str">
        <x:v>INT-0416</x:v>
      </x:c>
      <x:c r="G420" s="24" t="str">
        <x:v>VRM Games / Blas Luis Rocha González</x:v>
      </x:c>
      <x:c r="H420" s="24" t="str">
        <x:v>Internal project IP / authorship claim</x:v>
      </x:c>
      <x:c r="I420" s="24" t="str">
        <x:v>Source package + repository path + hash</x:v>
      </x:c>
      <x:c r="J420" s="24" t="str">
        <x:v>0d1ae20f0c93b7cf99df89a97f4df75d189980c8fd6fad48f86706c5feaf5a8b</x:v>
      </x:c>
      <x:c r="K420" s="24" t="str">
        <x:v>Assets/_Project/Scripts/Domain/Identifiers/SaveSlotId.cs</x:v>
      </x:c>
      <x:c r="L420" s="24" t="str">
        <x:v>CR-003</x:v>
      </x:c>
      <x:c r="M420" s="24" t="str"/>
      <x:c r="N420" s="24" t="str">
        <x:v>RES-001;RES-014</x:v>
      </x:c>
      <x:c r="O420" s="24" t="str">
        <x:v>Internal development; public candidate requires gate</x:v>
      </x:c>
      <x:c r="P420" s="24" t="str">
        <x:v>CONDITIONALLY APPROVED</x:v>
      </x:c>
      <x:c r="Q420" s="24" t="str">
        <x:v>Low</x:v>
      </x:c>
      <x:c r="R420" s="24" t="str"/>
      <x:c r="S420" s="24" t="str">
        <x:v>Sí</x:v>
      </x:c>
      <x:c r="T420" s="24" t="str">
        <x:f>"T"&amp;IF(AND(H420&lt;&gt;"",I420&lt;&gt;"",J420&lt;&gt;"",L420&lt;&gt;"",N420&lt;&gt;"",O420&lt;&gt;"",P420="APPROVED PUBLIC",S420="Sí"),6,IF(AND(H420&lt;&gt;"",I420&lt;&gt;"",J420&lt;&gt;"",L420&lt;&gt;"",N420&lt;&gt;"",O420&lt;&gt;"",P420&lt;&gt;"",S420="Sí"),5,IF(AND(H420&lt;&gt;"",I420&lt;&gt;"",P420&lt;&gt;"",S420&lt;&gt;"No"),4,IF(AND(H420&lt;&gt;"",I420&lt;&gt;""),3,IF(F420&lt;&gt;"",2,1)))))</x:f>
        <x:v>T5</x:v>
      </x:c>
      <x:c r="U420" s="24" t="str">
        <x:v>VRM Games</x:v>
      </x:c>
      <x:c r="V420" s="24" t="str">
        <x:v>No se detectó proveedor externo en la ruta; confirmar autoría por lote antes de release público.</x:v>
      </x:c>
    </x:row>
    <x:row r="421" ht="34" customHeight="1">
      <x:c r="A421" s="24" t="str">
        <x:v>TRC-00417</x:v>
      </x:c>
      <x:c r="B421" s="24" t="str">
        <x:v>1877b118c7944bd384b3c1adf7f72558</x:v>
      </x:c>
      <x:c r="C421" s="24" t="str">
        <x:v>StableId.cs</x:v>
      </x:c>
      <x:c r="D421" s="24" t="str">
        <x:v>Code</x:v>
      </x:c>
      <x:c r="E421" s="24" t="str">
        <x:v>03_Assets_Internos</x:v>
      </x:c>
      <x:c r="F421" s="24" t="str">
        <x:v>INT-0417</x:v>
      </x:c>
      <x:c r="G421" s="24" t="str">
        <x:v>VRM Games / Blas Luis Rocha González</x:v>
      </x:c>
      <x:c r="H421" s="24" t="str">
        <x:v>Internal project IP / authorship claim</x:v>
      </x:c>
      <x:c r="I421" s="24" t="str">
        <x:v>Source package + repository path + hash</x:v>
      </x:c>
      <x:c r="J421" s="24" t="str">
        <x:v>111f8f32e5b2f53a0eaadd21728a3ca1d85978944c5e9de1e130377c69eb477a</x:v>
      </x:c>
      <x:c r="K421" s="24" t="str">
        <x:v>Assets/_Project/Scripts/Domain/Identifiers/StableId.cs</x:v>
      </x:c>
      <x:c r="L421" s="24" t="str">
        <x:v>CR-003</x:v>
      </x:c>
      <x:c r="M421" s="24" t="str"/>
      <x:c r="N421" s="24" t="str">
        <x:v>RES-001;RES-014</x:v>
      </x:c>
      <x:c r="O421" s="24" t="str">
        <x:v>Internal development; public candidate requires gate</x:v>
      </x:c>
      <x:c r="P421" s="24" t="str">
        <x:v>CONDITIONALLY APPROVED</x:v>
      </x:c>
      <x:c r="Q421" s="24" t="str">
        <x:v>Low</x:v>
      </x:c>
      <x:c r="R421" s="24" t="str"/>
      <x:c r="S421" s="24" t="str">
        <x:v>Sí</x:v>
      </x:c>
      <x:c r="T421" s="24" t="str">
        <x:f>"T"&amp;IF(AND(H421&lt;&gt;"",I421&lt;&gt;"",J421&lt;&gt;"",L421&lt;&gt;"",N421&lt;&gt;"",O421&lt;&gt;"",P421="APPROVED PUBLIC",S421="Sí"),6,IF(AND(H421&lt;&gt;"",I421&lt;&gt;"",J421&lt;&gt;"",L421&lt;&gt;"",N421&lt;&gt;"",O421&lt;&gt;"",P421&lt;&gt;"",S421="Sí"),5,IF(AND(H421&lt;&gt;"",I421&lt;&gt;"",P421&lt;&gt;"",S421&lt;&gt;"No"),4,IF(AND(H421&lt;&gt;"",I421&lt;&gt;""),3,IF(F421&lt;&gt;"",2,1)))))</x:f>
        <x:v>T5</x:v>
      </x:c>
      <x:c r="U421" s="24" t="str">
        <x:v>VRM Games</x:v>
      </x:c>
      <x:c r="V421" s="24" t="str">
        <x:v>No se detectó proveedor externo en la ruta; confirmar autoría por lote antes de release público.</x:v>
      </x:c>
    </x:row>
    <x:row r="422" ht="34" customHeight="1">
      <x:c r="A422" s="24" t="str">
        <x:v>TRC-00418</x:v>
      </x:c>
      <x:c r="B422" s="24" t="str">
        <x:v>0ce24a3d789567d1032b1d7c60ff3b16</x:v>
      </x:c>
      <x:c r="C422" s="24" t="str">
        <x:v>InventoryCapacity.cs</x:v>
      </x:c>
      <x:c r="D422" s="24" t="str">
        <x:v>Code</x:v>
      </x:c>
      <x:c r="E422" s="24" t="str">
        <x:v>03_Assets_Internos</x:v>
      </x:c>
      <x:c r="F422" s="24" t="str">
        <x:v>INT-0418</x:v>
      </x:c>
      <x:c r="G422" s="24" t="str">
        <x:v>VRM Games / Blas Luis Rocha González</x:v>
      </x:c>
      <x:c r="H422" s="24" t="str">
        <x:v>Internal project IP / authorship claim</x:v>
      </x:c>
      <x:c r="I422" s="24" t="str">
        <x:v>Source package + repository path + hash</x:v>
      </x:c>
      <x:c r="J422" s="24" t="str">
        <x:v>47736d3518a2162e10d42e80789607bb2454a1a2d91ae08f768645b8d6544528</x:v>
      </x:c>
      <x:c r="K422" s="24" t="str">
        <x:v>Assets/_Project/Scripts/Domain/Inventory/InventoryCapacity.cs</x:v>
      </x:c>
      <x:c r="L422" s="24" t="str">
        <x:v>CR-003</x:v>
      </x:c>
      <x:c r="M422" s="24" t="str"/>
      <x:c r="N422" s="24" t="str">
        <x:v>RES-001;RES-014</x:v>
      </x:c>
      <x:c r="O422" s="24" t="str">
        <x:v>Internal development; public candidate requires gate</x:v>
      </x:c>
      <x:c r="P422" s="24" t="str">
        <x:v>CONDITIONALLY APPROVED</x:v>
      </x:c>
      <x:c r="Q422" s="24" t="str">
        <x:v>Low</x:v>
      </x:c>
      <x:c r="R422" s="24" t="str"/>
      <x:c r="S422" s="24" t="str">
        <x:v>Sí</x:v>
      </x:c>
      <x:c r="T422" s="24" t="str">
        <x:f>"T"&amp;IF(AND(H422&lt;&gt;"",I422&lt;&gt;"",J422&lt;&gt;"",L422&lt;&gt;"",N422&lt;&gt;"",O422&lt;&gt;"",P422="APPROVED PUBLIC",S422="Sí"),6,IF(AND(H422&lt;&gt;"",I422&lt;&gt;"",J422&lt;&gt;"",L422&lt;&gt;"",N422&lt;&gt;"",O422&lt;&gt;"",P422&lt;&gt;"",S422="Sí"),5,IF(AND(H422&lt;&gt;"",I422&lt;&gt;"",P422&lt;&gt;"",S422&lt;&gt;"No"),4,IF(AND(H422&lt;&gt;"",I422&lt;&gt;""),3,IF(F422&lt;&gt;"",2,1)))))</x:f>
        <x:v>T5</x:v>
      </x:c>
      <x:c r="U422" s="24" t="str">
        <x:v>VRM Games</x:v>
      </x:c>
      <x:c r="V422" s="24" t="str">
        <x:v>No se detectó proveedor externo en la ruta; confirmar autoría por lote antes de release público.</x:v>
      </x:c>
    </x:row>
    <x:row r="423" ht="34" customHeight="1">
      <x:c r="A423" s="24" t="str">
        <x:v>TRC-00419</x:v>
      </x:c>
      <x:c r="B423" s="24" t="str">
        <x:v>0bdb1ce6ef00e5705c757837800894ad</x:v>
      </x:c>
      <x:c r="C423" s="24" t="str">
        <x:v>InventoryContainer.cs</x:v>
      </x:c>
      <x:c r="D423" s="24" t="str">
        <x:v>Code</x:v>
      </x:c>
      <x:c r="E423" s="24" t="str">
        <x:v>03_Assets_Internos</x:v>
      </x:c>
      <x:c r="F423" s="24" t="str">
        <x:v>INT-0419</x:v>
      </x:c>
      <x:c r="G423" s="24" t="str">
        <x:v>VRM Games / Blas Luis Rocha González</x:v>
      </x:c>
      <x:c r="H423" s="24" t="str">
        <x:v>Internal project IP / authorship claim</x:v>
      </x:c>
      <x:c r="I423" s="24" t="str">
        <x:v>Source package + repository path + hash</x:v>
      </x:c>
      <x:c r="J423" s="24" t="str">
        <x:v>6478feb06bbcaae6e5da45772f77d675ce032a8d587d753466341f2fe952428a</x:v>
      </x:c>
      <x:c r="K423" s="24" t="str">
        <x:v>Assets/_Project/Scripts/Domain/Inventory/InventoryContainer.cs</x:v>
      </x:c>
      <x:c r="L423" s="24" t="str">
        <x:v>CR-003</x:v>
      </x:c>
      <x:c r="M423" s="24" t="str"/>
      <x:c r="N423" s="24" t="str">
        <x:v>RES-001;RES-014</x:v>
      </x:c>
      <x:c r="O423" s="24" t="str">
        <x:v>Internal development; public candidate requires gate</x:v>
      </x:c>
      <x:c r="P423" s="24" t="str">
        <x:v>CONDITIONALLY APPROVED</x:v>
      </x:c>
      <x:c r="Q423" s="24" t="str">
        <x:v>Low</x:v>
      </x:c>
      <x:c r="R423" s="24" t="str"/>
      <x:c r="S423" s="24" t="str">
        <x:v>Sí</x:v>
      </x:c>
      <x:c r="T423" s="24" t="str">
        <x:f>"T"&amp;IF(AND(H423&lt;&gt;"",I423&lt;&gt;"",J423&lt;&gt;"",L423&lt;&gt;"",N423&lt;&gt;"",O423&lt;&gt;"",P423="APPROVED PUBLIC",S423="Sí"),6,IF(AND(H423&lt;&gt;"",I423&lt;&gt;"",J423&lt;&gt;"",L423&lt;&gt;"",N423&lt;&gt;"",O423&lt;&gt;"",P423&lt;&gt;"",S423="Sí"),5,IF(AND(H423&lt;&gt;"",I423&lt;&gt;"",P423&lt;&gt;"",S423&lt;&gt;"No"),4,IF(AND(H423&lt;&gt;"",I423&lt;&gt;""),3,IF(F423&lt;&gt;"",2,1)))))</x:f>
        <x:v>T5</x:v>
      </x:c>
      <x:c r="U423" s="24" t="str">
        <x:v>VRM Games</x:v>
      </x:c>
      <x:c r="V423" s="24" t="str">
        <x:v>No se detectó proveedor externo en la ruta; confirmar autoría por lote antes de release público.</x:v>
      </x:c>
    </x:row>
    <x:row r="424" ht="34" customHeight="1">
      <x:c r="A424" s="24" t="str">
        <x:v>TRC-00420</x:v>
      </x:c>
      <x:c r="B424" s="24" t="str">
        <x:v>6684f0a2481247f6cbe5fe161d0d4dc9</x:v>
      </x:c>
      <x:c r="C424" s="24" t="str">
        <x:v>InventoryContainerId.cs</x:v>
      </x:c>
      <x:c r="D424" s="24" t="str">
        <x:v>Code</x:v>
      </x:c>
      <x:c r="E424" s="24" t="str">
        <x:v>03_Assets_Internos</x:v>
      </x:c>
      <x:c r="F424" s="24" t="str">
        <x:v>INT-0420</x:v>
      </x:c>
      <x:c r="G424" s="24" t="str">
        <x:v>VRM Games / Blas Luis Rocha González</x:v>
      </x:c>
      <x:c r="H424" s="24" t="str">
        <x:v>Internal project IP / authorship claim</x:v>
      </x:c>
      <x:c r="I424" s="24" t="str">
        <x:v>Source package + repository path + hash</x:v>
      </x:c>
      <x:c r="J424" s="24" t="str">
        <x:v>e41fa1c664cbfdc4972ee020a037904c19dd8e552c6637649d89850ce2022c02</x:v>
      </x:c>
      <x:c r="K424" s="24" t="str">
        <x:v>Assets/_Project/Scripts/Domain/Inventory/InventoryContainerId.cs</x:v>
      </x:c>
      <x:c r="L424" s="24" t="str">
        <x:v>CR-003</x:v>
      </x:c>
      <x:c r="M424" s="24" t="str"/>
      <x:c r="N424" s="24" t="str">
        <x:v>RES-001;RES-014</x:v>
      </x:c>
      <x:c r="O424" s="24" t="str">
        <x:v>Internal development; public candidate requires gate</x:v>
      </x:c>
      <x:c r="P424" s="24" t="str">
        <x:v>CONDITIONALLY APPROVED</x:v>
      </x:c>
      <x:c r="Q424" s="24" t="str">
        <x:v>Low</x:v>
      </x:c>
      <x:c r="R424" s="24" t="str"/>
      <x:c r="S424" s="24" t="str">
        <x:v>Sí</x:v>
      </x:c>
      <x:c r="T424" s="24" t="str">
        <x:f>"T"&amp;IF(AND(H424&lt;&gt;"",I424&lt;&gt;"",J424&lt;&gt;"",L424&lt;&gt;"",N424&lt;&gt;"",O424&lt;&gt;"",P424="APPROVED PUBLIC",S424="Sí"),6,IF(AND(H424&lt;&gt;"",I424&lt;&gt;"",J424&lt;&gt;"",L424&lt;&gt;"",N424&lt;&gt;"",O424&lt;&gt;"",P424&lt;&gt;"",S424="Sí"),5,IF(AND(H424&lt;&gt;"",I424&lt;&gt;"",P424&lt;&gt;"",S424&lt;&gt;"No"),4,IF(AND(H424&lt;&gt;"",I424&lt;&gt;""),3,IF(F424&lt;&gt;"",2,1)))))</x:f>
        <x:v>T5</x:v>
      </x:c>
      <x:c r="U424" s="24" t="str">
        <x:v>VRM Games</x:v>
      </x:c>
      <x:c r="V424" s="24" t="str">
        <x:v>No se detectó proveedor externo en la ruta; confirmar autoría por lote antes de release público.</x:v>
      </x:c>
    </x:row>
    <x:row r="425" ht="34" customHeight="1">
      <x:c r="A425" s="24" t="str">
        <x:v>TRC-00421</x:v>
      </x:c>
      <x:c r="B425" s="24" t="str">
        <x:v>886a9557df7710bd1f11b131b9f26775</x:v>
      </x:c>
      <x:c r="C425" s="24" t="str">
        <x:v>InventoryContainerType.cs</x:v>
      </x:c>
      <x:c r="D425" s="24" t="str">
        <x:v>Code</x:v>
      </x:c>
      <x:c r="E425" s="24" t="str">
        <x:v>03_Assets_Internos</x:v>
      </x:c>
      <x:c r="F425" s="24" t="str">
        <x:v>INT-0421</x:v>
      </x:c>
      <x:c r="G425" s="24" t="str">
        <x:v>VRM Games / Blas Luis Rocha González</x:v>
      </x:c>
      <x:c r="H425" s="24" t="str">
        <x:v>Internal project IP / authorship claim</x:v>
      </x:c>
      <x:c r="I425" s="24" t="str">
        <x:v>Source package + repository path + hash</x:v>
      </x:c>
      <x:c r="J425" s="24" t="str">
        <x:v>e4e6879963de5e5121f4068414347a92def6685e64f5cb43c41110cadb3aa39d</x:v>
      </x:c>
      <x:c r="K425" s="24" t="str">
        <x:v>Assets/_Project/Scripts/Domain/Inventory/InventoryContainerType.cs</x:v>
      </x:c>
      <x:c r="L425" s="24" t="str">
        <x:v>CR-003</x:v>
      </x:c>
      <x:c r="M425" s="24" t="str"/>
      <x:c r="N425" s="24" t="str">
        <x:v>RES-001;RES-014</x:v>
      </x:c>
      <x:c r="O425" s="24" t="str">
        <x:v>Internal development; public candidate requires gate</x:v>
      </x:c>
      <x:c r="P425" s="24" t="str">
        <x:v>CONDITIONALLY APPROVED</x:v>
      </x:c>
      <x:c r="Q425" s="24" t="str">
        <x:v>Low</x:v>
      </x:c>
      <x:c r="R425" s="24" t="str"/>
      <x:c r="S425" s="24" t="str">
        <x:v>Sí</x:v>
      </x:c>
      <x:c r="T425" s="24" t="str">
        <x:f>"T"&amp;IF(AND(H425&lt;&gt;"",I425&lt;&gt;"",J425&lt;&gt;"",L425&lt;&gt;"",N425&lt;&gt;"",O425&lt;&gt;"",P425="APPROVED PUBLIC",S425="Sí"),6,IF(AND(H425&lt;&gt;"",I425&lt;&gt;"",J425&lt;&gt;"",L425&lt;&gt;"",N425&lt;&gt;"",O425&lt;&gt;"",P425&lt;&gt;"",S425="Sí"),5,IF(AND(H425&lt;&gt;"",I425&lt;&gt;"",P425&lt;&gt;"",S425&lt;&gt;"No"),4,IF(AND(H425&lt;&gt;"",I425&lt;&gt;""),3,IF(F425&lt;&gt;"",2,1)))))</x:f>
        <x:v>T5</x:v>
      </x:c>
      <x:c r="U425" s="24" t="str">
        <x:v>VRM Games</x:v>
      </x:c>
      <x:c r="V425" s="24" t="str">
        <x:v>No se detectó proveedor externo en la ruta; confirmar autoría por lote antes de release público.</x:v>
      </x:c>
    </x:row>
    <x:row r="426" ht="34" customHeight="1">
      <x:c r="A426" s="24" t="str">
        <x:v>TRC-00422</x:v>
      </x:c>
      <x:c r="B426" s="24" t="str">
        <x:v>06b787809bcb128187c034bc308889f8</x:v>
      </x:c>
      <x:c r="C426" s="24" t="str">
        <x:v>InventoryMutationFailureReason.cs</x:v>
      </x:c>
      <x:c r="D426" s="24" t="str">
        <x:v>Code</x:v>
      </x:c>
      <x:c r="E426" s="24" t="str">
        <x:v>03_Assets_Internos</x:v>
      </x:c>
      <x:c r="F426" s="24" t="str">
        <x:v>INT-0422</x:v>
      </x:c>
      <x:c r="G426" s="24" t="str">
        <x:v>VRM Games / Blas Luis Rocha González</x:v>
      </x:c>
      <x:c r="H426" s="24" t="str">
        <x:v>Internal project IP / authorship claim</x:v>
      </x:c>
      <x:c r="I426" s="24" t="str">
        <x:v>Source package + repository path + hash</x:v>
      </x:c>
      <x:c r="J426" s="24" t="str">
        <x:v>083650088043a769e58652e37b7d7b1ba1955a7c49298b279edd569a10be7728</x:v>
      </x:c>
      <x:c r="K426" s="24" t="str">
        <x:v>Assets/_Project/Scripts/Domain/Inventory/InventoryMutationFailureReason.cs</x:v>
      </x:c>
      <x:c r="L426" s="24" t="str">
        <x:v>CR-003</x:v>
      </x:c>
      <x:c r="M426" s="24" t="str"/>
      <x:c r="N426" s="24" t="str">
        <x:v>RES-001;RES-014</x:v>
      </x:c>
      <x:c r="O426" s="24" t="str">
        <x:v>Internal development; public candidate requires gate</x:v>
      </x:c>
      <x:c r="P426" s="24" t="str">
        <x:v>CONDITIONALLY APPROVED</x:v>
      </x:c>
      <x:c r="Q426" s="24" t="str">
        <x:v>Low</x:v>
      </x:c>
      <x:c r="R426" s="24" t="str"/>
      <x:c r="S426" s="24" t="str">
        <x:v>Sí</x:v>
      </x:c>
      <x:c r="T426" s="24" t="str">
        <x:f>"T"&amp;IF(AND(H426&lt;&gt;"",I426&lt;&gt;"",J426&lt;&gt;"",L426&lt;&gt;"",N426&lt;&gt;"",O426&lt;&gt;"",P426="APPROVED PUBLIC",S426="Sí"),6,IF(AND(H426&lt;&gt;"",I426&lt;&gt;"",J426&lt;&gt;"",L426&lt;&gt;"",N426&lt;&gt;"",O426&lt;&gt;"",P426&lt;&gt;"",S426="Sí"),5,IF(AND(H426&lt;&gt;"",I426&lt;&gt;"",P426&lt;&gt;"",S426&lt;&gt;"No"),4,IF(AND(H426&lt;&gt;"",I426&lt;&gt;""),3,IF(F426&lt;&gt;"",2,1)))))</x:f>
        <x:v>T5</x:v>
      </x:c>
      <x:c r="U426" s="24" t="str">
        <x:v>VRM Games</x:v>
      </x:c>
      <x:c r="V426" s="24" t="str">
        <x:v>No se detectó proveedor externo en la ruta; confirmar autoría por lote antes de release público.</x:v>
      </x:c>
    </x:row>
    <x:row r="427" ht="34" customHeight="1">
      <x:c r="A427" s="24" t="str">
        <x:v>TRC-00423</x:v>
      </x:c>
      <x:c r="B427" s="24" t="str">
        <x:v>479a00546dc5c2a3149a7eb48fd14ba8</x:v>
      </x:c>
      <x:c r="C427" s="24" t="str">
        <x:v>InventoryMutationResult.cs</x:v>
      </x:c>
      <x:c r="D427" s="24" t="str">
        <x:v>Code</x:v>
      </x:c>
      <x:c r="E427" s="24" t="str">
        <x:v>03_Assets_Internos</x:v>
      </x:c>
      <x:c r="F427" s="24" t="str">
        <x:v>INT-0423</x:v>
      </x:c>
      <x:c r="G427" s="24" t="str">
        <x:v>VRM Games / Blas Luis Rocha González</x:v>
      </x:c>
      <x:c r="H427" s="24" t="str">
        <x:v>Internal project IP / authorship claim</x:v>
      </x:c>
      <x:c r="I427" s="24" t="str">
        <x:v>Source package + repository path + hash</x:v>
      </x:c>
      <x:c r="J427" s="24" t="str">
        <x:v>8dddb9a18f75c2d4f92a1884f3afc50d881537efb5f690b7721d169edfd582ae</x:v>
      </x:c>
      <x:c r="K427" s="24" t="str">
        <x:v>Assets/_Project/Scripts/Domain/Inventory/InventoryMutationResult.cs</x:v>
      </x:c>
      <x:c r="L427" s="24" t="str">
        <x:v>CR-003</x:v>
      </x:c>
      <x:c r="M427" s="24" t="str"/>
      <x:c r="N427" s="24" t="str">
        <x:v>RES-001;RES-014</x:v>
      </x:c>
      <x:c r="O427" s="24" t="str">
        <x:v>Internal development; public candidate requires gate</x:v>
      </x:c>
      <x:c r="P427" s="24" t="str">
        <x:v>CONDITIONALLY APPROVED</x:v>
      </x:c>
      <x:c r="Q427" s="24" t="str">
        <x:v>Low</x:v>
      </x:c>
      <x:c r="R427" s="24" t="str"/>
      <x:c r="S427" s="24" t="str">
        <x:v>Sí</x:v>
      </x:c>
      <x:c r="T427" s="24" t="str">
        <x:f>"T"&amp;IF(AND(H427&lt;&gt;"",I427&lt;&gt;"",J427&lt;&gt;"",L427&lt;&gt;"",N427&lt;&gt;"",O427&lt;&gt;"",P427="APPROVED PUBLIC",S427="Sí"),6,IF(AND(H427&lt;&gt;"",I427&lt;&gt;"",J427&lt;&gt;"",L427&lt;&gt;"",N427&lt;&gt;"",O427&lt;&gt;"",P427&lt;&gt;"",S427="Sí"),5,IF(AND(H427&lt;&gt;"",I427&lt;&gt;"",P427&lt;&gt;"",S427&lt;&gt;"No"),4,IF(AND(H427&lt;&gt;"",I427&lt;&gt;""),3,IF(F427&lt;&gt;"",2,1)))))</x:f>
        <x:v>T5</x:v>
      </x:c>
      <x:c r="U427" s="24" t="str">
        <x:v>VRM Games</x:v>
      </x:c>
      <x:c r="V427" s="24" t="str">
        <x:v>No se detectó proveedor externo en la ruta; confirmar autoría por lote antes de release público.</x:v>
      </x:c>
    </x:row>
    <x:row r="428" ht="34" customHeight="1">
      <x:c r="A428" s="24" t="str">
        <x:v>TRC-00424</x:v>
      </x:c>
      <x:c r="B428" s="24" t="str">
        <x:v>cfdba2f3f1419e48f2184191a4befc50</x:v>
      </x:c>
      <x:c r="C428" s="24" t="str">
        <x:v>InventoryStack.cs</x:v>
      </x:c>
      <x:c r="D428" s="24" t="str">
        <x:v>Code</x:v>
      </x:c>
      <x:c r="E428" s="24" t="str">
        <x:v>03_Assets_Internos</x:v>
      </x:c>
      <x:c r="F428" s="24" t="str">
        <x:v>INT-0424</x:v>
      </x:c>
      <x:c r="G428" s="24" t="str">
        <x:v>VRM Games / Blas Luis Rocha González</x:v>
      </x:c>
      <x:c r="H428" s="24" t="str">
        <x:v>Internal project IP / authorship claim</x:v>
      </x:c>
      <x:c r="I428" s="24" t="str">
        <x:v>Source package + repository path + hash</x:v>
      </x:c>
      <x:c r="J428" s="24" t="str">
        <x:v>9d69bb815e316b4b15788cb2f2e652b590bceb3f608e1408b129bdc928ab86e4</x:v>
      </x:c>
      <x:c r="K428" s="24" t="str">
        <x:v>Assets/_Project/Scripts/Domain/Inventory/InventoryStack.cs</x:v>
      </x:c>
      <x:c r="L428" s="24" t="str">
        <x:v>CR-003</x:v>
      </x:c>
      <x:c r="M428" s="24" t="str"/>
      <x:c r="N428" s="24" t="str">
        <x:v>RES-001;RES-014</x:v>
      </x:c>
      <x:c r="O428" s="24" t="str">
        <x:v>Internal development; public candidate requires gate</x:v>
      </x:c>
      <x:c r="P428" s="24" t="str">
        <x:v>CONDITIONALLY APPROVED</x:v>
      </x:c>
      <x:c r="Q428" s="24" t="str">
        <x:v>Low</x:v>
      </x:c>
      <x:c r="R428" s="24" t="str"/>
      <x:c r="S428" s="24" t="str">
        <x:v>Sí</x:v>
      </x:c>
      <x:c r="T428" s="24" t="str">
        <x:f>"T"&amp;IF(AND(H428&lt;&gt;"",I428&lt;&gt;"",J428&lt;&gt;"",L428&lt;&gt;"",N428&lt;&gt;"",O428&lt;&gt;"",P428="APPROVED PUBLIC",S428="Sí"),6,IF(AND(H428&lt;&gt;"",I428&lt;&gt;"",J428&lt;&gt;"",L428&lt;&gt;"",N428&lt;&gt;"",O428&lt;&gt;"",P428&lt;&gt;"",S428="Sí"),5,IF(AND(H428&lt;&gt;"",I428&lt;&gt;"",P428&lt;&gt;"",S428&lt;&gt;"No"),4,IF(AND(H428&lt;&gt;"",I428&lt;&gt;""),3,IF(F428&lt;&gt;"",2,1)))))</x:f>
        <x:v>T5</x:v>
      </x:c>
      <x:c r="U428" s="24" t="str">
        <x:v>VRM Games</x:v>
      </x:c>
      <x:c r="V428" s="24" t="str">
        <x:v>No se detectó proveedor externo en la ruta; confirmar autoría por lote antes de release público.</x:v>
      </x:c>
    </x:row>
    <x:row r="429" ht="34" customHeight="1">
      <x:c r="A429" s="24" t="str">
        <x:v>TRC-00425</x:v>
      </x:c>
      <x:c r="B429" s="24" t="str">
        <x:v>4a081f996b903f7a539bea6a04551576</x:v>
      </x:c>
      <x:c r="C429" s="24" t="str">
        <x:v>InventoryTransferFailureReason.cs</x:v>
      </x:c>
      <x:c r="D429" s="24" t="str">
        <x:v>Code</x:v>
      </x:c>
      <x:c r="E429" s="24" t="str">
        <x:v>03_Assets_Internos</x:v>
      </x:c>
      <x:c r="F429" s="24" t="str">
        <x:v>INT-0425</x:v>
      </x:c>
      <x:c r="G429" s="24" t="str">
        <x:v>VRM Games / Blas Luis Rocha González</x:v>
      </x:c>
      <x:c r="H429" s="24" t="str">
        <x:v>Internal project IP / authorship claim</x:v>
      </x:c>
      <x:c r="I429" s="24" t="str">
        <x:v>Source package + repository path + hash</x:v>
      </x:c>
      <x:c r="J429" s="24" t="str">
        <x:v>0737be68fb0c0981d9246db4df125a904a3e1d4a38c1bc4440e4f8fd873422b3</x:v>
      </x:c>
      <x:c r="K429" s="24" t="str">
        <x:v>Assets/_Project/Scripts/Domain/Inventory/InventoryTransferFailureReason.cs</x:v>
      </x:c>
      <x:c r="L429" s="24" t="str">
        <x:v>CR-003</x:v>
      </x:c>
      <x:c r="M429" s="24" t="str"/>
      <x:c r="N429" s="24" t="str">
        <x:v>RES-001;RES-014</x:v>
      </x:c>
      <x:c r="O429" s="24" t="str">
        <x:v>Internal development; public candidate requires gate</x:v>
      </x:c>
      <x:c r="P429" s="24" t="str">
        <x:v>CONDITIONALLY APPROVED</x:v>
      </x:c>
      <x:c r="Q429" s="24" t="str">
        <x:v>Low</x:v>
      </x:c>
      <x:c r="R429" s="24" t="str"/>
      <x:c r="S429" s="24" t="str">
        <x:v>Sí</x:v>
      </x:c>
      <x:c r="T429" s="24" t="str">
        <x:f>"T"&amp;IF(AND(H429&lt;&gt;"",I429&lt;&gt;"",J429&lt;&gt;"",L429&lt;&gt;"",N429&lt;&gt;"",O429&lt;&gt;"",P429="APPROVED PUBLIC",S429="Sí"),6,IF(AND(H429&lt;&gt;"",I429&lt;&gt;"",J429&lt;&gt;"",L429&lt;&gt;"",N429&lt;&gt;"",O429&lt;&gt;"",P429&lt;&gt;"",S429="Sí"),5,IF(AND(H429&lt;&gt;"",I429&lt;&gt;"",P429&lt;&gt;"",S429&lt;&gt;"No"),4,IF(AND(H429&lt;&gt;"",I429&lt;&gt;""),3,IF(F429&lt;&gt;"",2,1)))))</x:f>
        <x:v>T5</x:v>
      </x:c>
      <x:c r="U429" s="24" t="str">
        <x:v>VRM Games</x:v>
      </x:c>
      <x:c r="V429" s="24" t="str">
        <x:v>No se detectó proveedor externo en la ruta; confirmar autoría por lote antes de release público.</x:v>
      </x:c>
    </x:row>
    <x:row r="430" ht="34" customHeight="1">
      <x:c r="A430" s="24" t="str">
        <x:v>TRC-00426</x:v>
      </x:c>
      <x:c r="B430" s="24" t="str">
        <x:v>648244e38fbec79dea50dbdbcee599a0</x:v>
      </x:c>
      <x:c r="C430" s="24" t="str">
        <x:v>InventoryTransferResult.cs</x:v>
      </x:c>
      <x:c r="D430" s="24" t="str">
        <x:v>Code</x:v>
      </x:c>
      <x:c r="E430" s="24" t="str">
        <x:v>03_Assets_Internos</x:v>
      </x:c>
      <x:c r="F430" s="24" t="str">
        <x:v>INT-0426</x:v>
      </x:c>
      <x:c r="G430" s="24" t="str">
        <x:v>VRM Games / Blas Luis Rocha González</x:v>
      </x:c>
      <x:c r="H430" s="24" t="str">
        <x:v>Internal project IP / authorship claim</x:v>
      </x:c>
      <x:c r="I430" s="24" t="str">
        <x:v>Source package + repository path + hash</x:v>
      </x:c>
      <x:c r="J430" s="24" t="str">
        <x:v>d6bb08ebb2f8c5407648090836c8eaa18b9adb238a07be259d598f39ef974ac6</x:v>
      </x:c>
      <x:c r="K430" s="24" t="str">
        <x:v>Assets/_Project/Scripts/Domain/Inventory/InventoryTransferResult.cs</x:v>
      </x:c>
      <x:c r="L430" s="24" t="str">
        <x:v>CR-003</x:v>
      </x:c>
      <x:c r="M430" s="24" t="str"/>
      <x:c r="N430" s="24" t="str">
        <x:v>RES-001;RES-014</x:v>
      </x:c>
      <x:c r="O430" s="24" t="str">
        <x:v>Internal development; public candidate requires gate</x:v>
      </x:c>
      <x:c r="P430" s="24" t="str">
        <x:v>CONDITIONALLY APPROVED</x:v>
      </x:c>
      <x:c r="Q430" s="24" t="str">
        <x:v>Low</x:v>
      </x:c>
      <x:c r="R430" s="24" t="str"/>
      <x:c r="S430" s="24" t="str">
        <x:v>Sí</x:v>
      </x:c>
      <x:c r="T430" s="24" t="str">
        <x:f>"T"&amp;IF(AND(H430&lt;&gt;"",I430&lt;&gt;"",J430&lt;&gt;"",L430&lt;&gt;"",N430&lt;&gt;"",O430&lt;&gt;"",P430="APPROVED PUBLIC",S430="Sí"),6,IF(AND(H430&lt;&gt;"",I430&lt;&gt;"",J430&lt;&gt;"",L430&lt;&gt;"",N430&lt;&gt;"",O430&lt;&gt;"",P430&lt;&gt;"",S430="Sí"),5,IF(AND(H430&lt;&gt;"",I430&lt;&gt;"",P430&lt;&gt;"",S430&lt;&gt;"No"),4,IF(AND(H430&lt;&gt;"",I430&lt;&gt;""),3,IF(F430&lt;&gt;"",2,1)))))</x:f>
        <x:v>T5</x:v>
      </x:c>
      <x:c r="U430" s="24" t="str">
        <x:v>VRM Games</x:v>
      </x:c>
      <x:c r="V430" s="24" t="str">
        <x:v>No se detectó proveedor externo en la ruta; confirmar autoría por lote antes de release público.</x:v>
      </x:c>
    </x:row>
    <x:row r="431" ht="34" customHeight="1">
      <x:c r="A431" s="24" t="str">
        <x:v>TRC-00427</x:v>
      </x:c>
      <x:c r="B431" s="24" t="str">
        <x:v>78819704cbe715e7af7127ccdde64cbc</x:v>
      </x:c>
      <x:c r="C431" s="24" t="str">
        <x:v>InventoryTransferService.cs</x:v>
      </x:c>
      <x:c r="D431" s="24" t="str">
        <x:v>Code</x:v>
      </x:c>
      <x:c r="E431" s="24" t="str">
        <x:v>03_Assets_Internos</x:v>
      </x:c>
      <x:c r="F431" s="24" t="str">
        <x:v>INT-0427</x:v>
      </x:c>
      <x:c r="G431" s="24" t="str">
        <x:v>VRM Games / Blas Luis Rocha González</x:v>
      </x:c>
      <x:c r="H431" s="24" t="str">
        <x:v>Internal project IP / authorship claim</x:v>
      </x:c>
      <x:c r="I431" s="24" t="str">
        <x:v>Source package + repository path + hash</x:v>
      </x:c>
      <x:c r="J431" s="24" t="str">
        <x:v>9c287c784a3f470642a3f042d430edfd9fbb90980b20af531540b496863b1e6b</x:v>
      </x:c>
      <x:c r="K431" s="24" t="str">
        <x:v>Assets/_Project/Scripts/Domain/Inventory/InventoryTransferService.cs</x:v>
      </x:c>
      <x:c r="L431" s="24" t="str">
        <x:v>CR-003</x:v>
      </x:c>
      <x:c r="M431" s="24" t="str"/>
      <x:c r="N431" s="24" t="str">
        <x:v>RES-001;RES-014</x:v>
      </x:c>
      <x:c r="O431" s="24" t="str">
        <x:v>Internal development; public candidate requires gate</x:v>
      </x:c>
      <x:c r="P431" s="24" t="str">
        <x:v>CONDITIONALLY APPROVED</x:v>
      </x:c>
      <x:c r="Q431" s="24" t="str">
        <x:v>Low</x:v>
      </x:c>
      <x:c r="R431" s="24" t="str"/>
      <x:c r="S431" s="24" t="str">
        <x:v>Sí</x:v>
      </x:c>
      <x:c r="T431" s="24" t="str">
        <x:f>"T"&amp;IF(AND(H431&lt;&gt;"",I431&lt;&gt;"",J431&lt;&gt;"",L431&lt;&gt;"",N431&lt;&gt;"",O431&lt;&gt;"",P431="APPROVED PUBLIC",S431="Sí"),6,IF(AND(H431&lt;&gt;"",I431&lt;&gt;"",J431&lt;&gt;"",L431&lt;&gt;"",N431&lt;&gt;"",O431&lt;&gt;"",P431&lt;&gt;"",S431="Sí"),5,IF(AND(H431&lt;&gt;"",I431&lt;&gt;"",P431&lt;&gt;"",S431&lt;&gt;"No"),4,IF(AND(H431&lt;&gt;"",I431&lt;&gt;""),3,IF(F431&lt;&gt;"",2,1)))))</x:f>
        <x:v>T5</x:v>
      </x:c>
      <x:c r="U431" s="24" t="str">
        <x:v>VRM Games</x:v>
      </x:c>
      <x:c r="V431" s="24" t="str">
        <x:v>No se detectó proveedor externo en la ruta; confirmar autoría por lote antes de release público.</x:v>
      </x:c>
    </x:row>
    <x:row r="432" ht="34" customHeight="1">
      <x:c r="A432" s="24" t="str">
        <x:v>TRC-00428</x:v>
      </x:c>
      <x:c r="B432" s="24" t="str">
        <x:v>0c2fc348a3a84976139eb9f75fb5f499</x:v>
      </x:c>
      <x:c r="C432" s="24" t="str">
        <x:v>Quantity.cs</x:v>
      </x:c>
      <x:c r="D432" s="24" t="str">
        <x:v>Code</x:v>
      </x:c>
      <x:c r="E432" s="24" t="str">
        <x:v>03_Assets_Internos</x:v>
      </x:c>
      <x:c r="F432" s="24" t="str">
        <x:v>INT-0428</x:v>
      </x:c>
      <x:c r="G432" s="24" t="str">
        <x:v>VRM Games / Blas Luis Rocha González</x:v>
      </x:c>
      <x:c r="H432" s="24" t="str">
        <x:v>Internal project IP / authorship claim</x:v>
      </x:c>
      <x:c r="I432" s="24" t="str">
        <x:v>Source package + repository path + hash</x:v>
      </x:c>
      <x:c r="J432" s="24" t="str">
        <x:v>fca351b180ea41a4ba0ef6c80d78ac8d94a4a8c123ee930a4ba2477a98001b4d</x:v>
      </x:c>
      <x:c r="K432" s="24" t="str">
        <x:v>Assets/_Project/Scripts/Domain/Inventory/Quantity.cs</x:v>
      </x:c>
      <x:c r="L432" s="24" t="str">
        <x:v>CR-003</x:v>
      </x:c>
      <x:c r="M432" s="24" t="str"/>
      <x:c r="N432" s="24" t="str">
        <x:v>RES-001;RES-014</x:v>
      </x:c>
      <x:c r="O432" s="24" t="str">
        <x:v>Internal development; public candidate requires gate</x:v>
      </x:c>
      <x:c r="P432" s="24" t="str">
        <x:v>CONDITIONALLY APPROVED</x:v>
      </x:c>
      <x:c r="Q432" s="24" t="str">
        <x:v>Low</x:v>
      </x:c>
      <x:c r="R432" s="24" t="str"/>
      <x:c r="S432" s="24" t="str">
        <x:v>Sí</x:v>
      </x:c>
      <x:c r="T432" s="24" t="str">
        <x:f>"T"&amp;IF(AND(H432&lt;&gt;"",I432&lt;&gt;"",J432&lt;&gt;"",L432&lt;&gt;"",N432&lt;&gt;"",O432&lt;&gt;"",P432="APPROVED PUBLIC",S432="Sí"),6,IF(AND(H432&lt;&gt;"",I432&lt;&gt;"",J432&lt;&gt;"",L432&lt;&gt;"",N432&lt;&gt;"",O432&lt;&gt;"",P432&lt;&gt;"",S432="Sí"),5,IF(AND(H432&lt;&gt;"",I432&lt;&gt;"",P432&lt;&gt;"",S432&lt;&gt;"No"),4,IF(AND(H432&lt;&gt;"",I432&lt;&gt;""),3,IF(F432&lt;&gt;"",2,1)))))</x:f>
        <x:v>T5</x:v>
      </x:c>
      <x:c r="U432" s="24" t="str">
        <x:v>VRM Games</x:v>
      </x:c>
      <x:c r="V432" s="24" t="str">
        <x:v>No se detectó proveedor externo en la ruta; confirmar autoría por lote antes de release público.</x:v>
      </x:c>
    </x:row>
    <x:row r="433" ht="34" customHeight="1">
      <x:c r="A433" s="24" t="str">
        <x:v>TRC-00429</x:v>
      </x:c>
      <x:c r="B433" s="24" t="str">
        <x:v>737bf196749f4a88b13b56f3ecb87d58</x:v>
      </x:c>
      <x:c r="C433" s="24" t="str">
        <x:v>PurchaseOrder.cs</x:v>
      </x:c>
      <x:c r="D433" s="24" t="str">
        <x:v>Code</x:v>
      </x:c>
      <x:c r="E433" s="24" t="str">
        <x:v>03_Assets_Internos</x:v>
      </x:c>
      <x:c r="F433" s="24" t="str">
        <x:v>INT-0429</x:v>
      </x:c>
      <x:c r="G433" s="24" t="str">
        <x:v>VRM Games / Blas Luis Rocha González</x:v>
      </x:c>
      <x:c r="H433" s="24" t="str">
        <x:v>Internal project IP / authorship claim</x:v>
      </x:c>
      <x:c r="I433" s="24" t="str">
        <x:v>Source package + repository path + hash</x:v>
      </x:c>
      <x:c r="J433" s="24" t="str">
        <x:v>1e7c6c7d39c19339370ce92cefdddfe4cf025c73549909d48fe5a5865e56db74</x:v>
      </x:c>
      <x:c r="K433" s="24" t="str">
        <x:v>Assets/_Project/Scripts/Domain/Orders/PurchaseOrder.cs</x:v>
      </x:c>
      <x:c r="L433" s="24" t="str">
        <x:v>CR-003</x:v>
      </x:c>
      <x:c r="M433" s="24" t="str"/>
      <x:c r="N433" s="24" t="str">
        <x:v>RES-001;RES-014</x:v>
      </x:c>
      <x:c r="O433" s="24" t="str">
        <x:v>Internal development; public candidate requires gate</x:v>
      </x:c>
      <x:c r="P433" s="24" t="str">
        <x:v>CONDITIONALLY APPROVED</x:v>
      </x:c>
      <x:c r="Q433" s="24" t="str">
        <x:v>Low</x:v>
      </x:c>
      <x:c r="R433" s="24" t="str"/>
      <x:c r="S433" s="24" t="str">
        <x:v>Sí</x:v>
      </x:c>
      <x:c r="T433" s="24" t="str">
        <x:f>"T"&amp;IF(AND(H433&lt;&gt;"",I433&lt;&gt;"",J433&lt;&gt;"",L433&lt;&gt;"",N433&lt;&gt;"",O433&lt;&gt;"",P433="APPROVED PUBLIC",S433="Sí"),6,IF(AND(H433&lt;&gt;"",I433&lt;&gt;"",J433&lt;&gt;"",L433&lt;&gt;"",N433&lt;&gt;"",O433&lt;&gt;"",P433&lt;&gt;"",S433="Sí"),5,IF(AND(H433&lt;&gt;"",I433&lt;&gt;"",P433&lt;&gt;"",S433&lt;&gt;"No"),4,IF(AND(H433&lt;&gt;"",I433&lt;&gt;""),3,IF(F433&lt;&gt;"",2,1)))))</x:f>
        <x:v>T5</x:v>
      </x:c>
      <x:c r="U433" s="24" t="str">
        <x:v>VRM Games</x:v>
      </x:c>
      <x:c r="V433" s="24" t="str">
        <x:v>No se detectó proveedor externo en la ruta; confirmar autoría por lote antes de release público.</x:v>
      </x:c>
    </x:row>
    <x:row r="434" ht="34" customHeight="1">
      <x:c r="A434" s="24" t="str">
        <x:v>TRC-00430</x:v>
      </x:c>
      <x:c r="B434" s="24" t="str">
        <x:v>c9a1f9de5565442caa6a12afd34999bc</x:v>
      </x:c>
      <x:c r="C434" s="24" t="str">
        <x:v>PurchaseOrderId.cs</x:v>
      </x:c>
      <x:c r="D434" s="24" t="str">
        <x:v>Code</x:v>
      </x:c>
      <x:c r="E434" s="24" t="str">
        <x:v>03_Assets_Internos</x:v>
      </x:c>
      <x:c r="F434" s="24" t="str">
        <x:v>INT-0430</x:v>
      </x:c>
      <x:c r="G434" s="24" t="str">
        <x:v>VRM Games / Blas Luis Rocha González</x:v>
      </x:c>
      <x:c r="H434" s="24" t="str">
        <x:v>Internal project IP / authorship claim</x:v>
      </x:c>
      <x:c r="I434" s="24" t="str">
        <x:v>Source package + repository path + hash</x:v>
      </x:c>
      <x:c r="J434" s="24" t="str">
        <x:v>ca7d55a8481ecd3aee4dd6c83b004af61caa5f95c7e76a54df2c84c65eaff9d6</x:v>
      </x:c>
      <x:c r="K434" s="24" t="str">
        <x:v>Assets/_Project/Scripts/Domain/Orders/PurchaseOrderId.cs</x:v>
      </x:c>
      <x:c r="L434" s="24" t="str">
        <x:v>CR-003</x:v>
      </x:c>
      <x:c r="M434" s="24" t="str"/>
      <x:c r="N434" s="24" t="str">
        <x:v>RES-001;RES-014</x:v>
      </x:c>
      <x:c r="O434" s="24" t="str">
        <x:v>Internal development; public candidate requires gate</x:v>
      </x:c>
      <x:c r="P434" s="24" t="str">
        <x:v>CONDITIONALLY APPROVED</x:v>
      </x:c>
      <x:c r="Q434" s="24" t="str">
        <x:v>Low</x:v>
      </x:c>
      <x:c r="R434" s="24" t="str"/>
      <x:c r="S434" s="24" t="str">
        <x:v>Sí</x:v>
      </x:c>
      <x:c r="T434" s="24" t="str">
        <x:f>"T"&amp;IF(AND(H434&lt;&gt;"",I434&lt;&gt;"",J434&lt;&gt;"",L434&lt;&gt;"",N434&lt;&gt;"",O434&lt;&gt;"",P434="APPROVED PUBLIC",S434="Sí"),6,IF(AND(H434&lt;&gt;"",I434&lt;&gt;"",J434&lt;&gt;"",L434&lt;&gt;"",N434&lt;&gt;"",O434&lt;&gt;"",P434&lt;&gt;"",S434="Sí"),5,IF(AND(H434&lt;&gt;"",I434&lt;&gt;"",P434&lt;&gt;"",S434&lt;&gt;"No"),4,IF(AND(H434&lt;&gt;"",I434&lt;&gt;""),3,IF(F434&lt;&gt;"",2,1)))))</x:f>
        <x:v>T5</x:v>
      </x:c>
      <x:c r="U434" s="24" t="str">
        <x:v>VRM Games</x:v>
      </x:c>
      <x:c r="V434" s="24" t="str">
        <x:v>No se detectó proveedor externo en la ruta; confirmar autoría por lote antes de release público.</x:v>
      </x:c>
    </x:row>
    <x:row r="435" ht="34" customHeight="1">
      <x:c r="A435" s="24" t="str">
        <x:v>TRC-00431</x:v>
      </x:c>
      <x:c r="B435" s="24" t="str">
        <x:v>749265ea942844cd854e92055a9a2750</x:v>
      </x:c>
      <x:c r="C435" s="24" t="str">
        <x:v>PurchaseOrderLine.cs</x:v>
      </x:c>
      <x:c r="D435" s="24" t="str">
        <x:v>Code</x:v>
      </x:c>
      <x:c r="E435" s="24" t="str">
        <x:v>03_Assets_Internos</x:v>
      </x:c>
      <x:c r="F435" s="24" t="str">
        <x:v>INT-0431</x:v>
      </x:c>
      <x:c r="G435" s="24" t="str">
        <x:v>VRM Games / Blas Luis Rocha González</x:v>
      </x:c>
      <x:c r="H435" s="24" t="str">
        <x:v>Internal project IP / authorship claim</x:v>
      </x:c>
      <x:c r="I435" s="24" t="str">
        <x:v>Source package + repository path + hash</x:v>
      </x:c>
      <x:c r="J435" s="24" t="str">
        <x:v>2e5a59fb40cb5fcaa03dd237fc25725ae4e9d98a0eccb58104a07369eb66c56b</x:v>
      </x:c>
      <x:c r="K435" s="24" t="str">
        <x:v>Assets/_Project/Scripts/Domain/Orders/PurchaseOrderLine.cs</x:v>
      </x:c>
      <x:c r="L435" s="24" t="str">
        <x:v>CR-003</x:v>
      </x:c>
      <x:c r="M435" s="24" t="str"/>
      <x:c r="N435" s="24" t="str">
        <x:v>RES-001;RES-014</x:v>
      </x:c>
      <x:c r="O435" s="24" t="str">
        <x:v>Internal development; public candidate requires gate</x:v>
      </x:c>
      <x:c r="P435" s="24" t="str">
        <x:v>CONDITIONALLY APPROVED</x:v>
      </x:c>
      <x:c r="Q435" s="24" t="str">
        <x:v>Low</x:v>
      </x:c>
      <x:c r="R435" s="24" t="str"/>
      <x:c r="S435" s="24" t="str">
        <x:v>Sí</x:v>
      </x:c>
      <x:c r="T435" s="24" t="str">
        <x:f>"T"&amp;IF(AND(H435&lt;&gt;"",I435&lt;&gt;"",J435&lt;&gt;"",L435&lt;&gt;"",N435&lt;&gt;"",O435&lt;&gt;"",P435="APPROVED PUBLIC",S435="Sí"),6,IF(AND(H435&lt;&gt;"",I435&lt;&gt;"",J435&lt;&gt;"",L435&lt;&gt;"",N435&lt;&gt;"",O435&lt;&gt;"",P435&lt;&gt;"",S435="Sí"),5,IF(AND(H435&lt;&gt;"",I435&lt;&gt;"",P435&lt;&gt;"",S435&lt;&gt;"No"),4,IF(AND(H435&lt;&gt;"",I435&lt;&gt;""),3,IF(F435&lt;&gt;"",2,1)))))</x:f>
        <x:v>T5</x:v>
      </x:c>
      <x:c r="U435" s="24" t="str">
        <x:v>VRM Games</x:v>
      </x:c>
      <x:c r="V435" s="24" t="str">
        <x:v>No se detectó proveedor externo en la ruta; confirmar autoría por lote antes de release público.</x:v>
      </x:c>
    </x:row>
    <x:row r="436" ht="34" customHeight="1">
      <x:c r="A436" s="24" t="str">
        <x:v>TRC-00432</x:v>
      </x:c>
      <x:c r="B436" s="24" t="str">
        <x:v>d667452d34024349a4b51f8e41474bf0</x:v>
      </x:c>
      <x:c r="C436" s="24" t="str">
        <x:v>PurchaseOrderRequestLine.cs</x:v>
      </x:c>
      <x:c r="D436" s="24" t="str">
        <x:v>Code</x:v>
      </x:c>
      <x:c r="E436" s="24" t="str">
        <x:v>03_Assets_Internos</x:v>
      </x:c>
      <x:c r="F436" s="24" t="str">
        <x:v>INT-0432</x:v>
      </x:c>
      <x:c r="G436" s="24" t="str">
        <x:v>VRM Games / Blas Luis Rocha González</x:v>
      </x:c>
      <x:c r="H436" s="24" t="str">
        <x:v>Internal project IP / authorship claim</x:v>
      </x:c>
      <x:c r="I436" s="24" t="str">
        <x:v>Source package + repository path + hash</x:v>
      </x:c>
      <x:c r="J436" s="24" t="str">
        <x:v>74eb903061dd3b66b9bc81bf8cf900ab1e24ea22348f85dd2f81adc64c793788</x:v>
      </x:c>
      <x:c r="K436" s="24" t="str">
        <x:v>Assets/_Project/Scripts/Domain/Orders/PurchaseOrderRequestLine.cs</x:v>
      </x:c>
      <x:c r="L436" s="24" t="str">
        <x:v>CR-003</x:v>
      </x:c>
      <x:c r="M436" s="24" t="str"/>
      <x:c r="N436" s="24" t="str">
        <x:v>RES-001;RES-014</x:v>
      </x:c>
      <x:c r="O436" s="24" t="str">
        <x:v>Internal development; public candidate requires gate</x:v>
      </x:c>
      <x:c r="P436" s="24" t="str">
        <x:v>CONDITIONALLY APPROVED</x:v>
      </x:c>
      <x:c r="Q436" s="24" t="str">
        <x:v>Low</x:v>
      </x:c>
      <x:c r="R436" s="24" t="str"/>
      <x:c r="S436" s="24" t="str">
        <x:v>Sí</x:v>
      </x:c>
      <x:c r="T436" s="24" t="str">
        <x:f>"T"&amp;IF(AND(H436&lt;&gt;"",I436&lt;&gt;"",J436&lt;&gt;"",L436&lt;&gt;"",N436&lt;&gt;"",O436&lt;&gt;"",P436="APPROVED PUBLIC",S436="Sí"),6,IF(AND(H436&lt;&gt;"",I436&lt;&gt;"",J436&lt;&gt;"",L436&lt;&gt;"",N436&lt;&gt;"",O436&lt;&gt;"",P436&lt;&gt;"",S436="Sí"),5,IF(AND(H436&lt;&gt;"",I436&lt;&gt;"",P436&lt;&gt;"",S436&lt;&gt;"No"),4,IF(AND(H436&lt;&gt;"",I436&lt;&gt;""),3,IF(F436&lt;&gt;"",2,1)))))</x:f>
        <x:v>T5</x:v>
      </x:c>
      <x:c r="U436" s="24" t="str">
        <x:v>VRM Games</x:v>
      </x:c>
      <x:c r="V436" s="24" t="str">
        <x:v>No se detectó proveedor externo en la ruta; confirmar autoría por lote antes de release público.</x:v>
      </x:c>
    </x:row>
    <x:row r="437" ht="34" customHeight="1">
      <x:c r="A437" s="24" t="str">
        <x:v>TRC-00433</x:v>
      </x:c>
      <x:c r="B437" s="24" t="str">
        <x:v>276ec2555f2946e48fd25ab07a320b12</x:v>
      </x:c>
      <x:c r="C437" s="24" t="str">
        <x:v>PurchaseOrderStatus.cs</x:v>
      </x:c>
      <x:c r="D437" s="24" t="str">
        <x:v>Code</x:v>
      </x:c>
      <x:c r="E437" s="24" t="str">
        <x:v>03_Assets_Internos</x:v>
      </x:c>
      <x:c r="F437" s="24" t="str">
        <x:v>INT-0433</x:v>
      </x:c>
      <x:c r="G437" s="24" t="str">
        <x:v>VRM Games / Blas Luis Rocha González</x:v>
      </x:c>
      <x:c r="H437" s="24" t="str">
        <x:v>Internal project IP / authorship claim</x:v>
      </x:c>
      <x:c r="I437" s="24" t="str">
        <x:v>Source package + repository path + hash</x:v>
      </x:c>
      <x:c r="J437" s="24" t="str">
        <x:v>1dea4c093d926c7e86aa53cc5cdfd75b6b99e905335977291bea1b80ad90c0bc</x:v>
      </x:c>
      <x:c r="K437" s="24" t="str">
        <x:v>Assets/_Project/Scripts/Domain/Orders/PurchaseOrderStatus.cs</x:v>
      </x:c>
      <x:c r="L437" s="24" t="str">
        <x:v>CR-003</x:v>
      </x:c>
      <x:c r="M437" s="24" t="str"/>
      <x:c r="N437" s="24" t="str">
        <x:v>RES-001;RES-014</x:v>
      </x:c>
      <x:c r="O437" s="24" t="str">
        <x:v>Internal development; public candidate requires gate</x:v>
      </x:c>
      <x:c r="P437" s="24" t="str">
        <x:v>CONDITIONALLY APPROVED</x:v>
      </x:c>
      <x:c r="Q437" s="24" t="str">
        <x:v>Low</x:v>
      </x:c>
      <x:c r="R437" s="24" t="str"/>
      <x:c r="S437" s="24" t="str">
        <x:v>Sí</x:v>
      </x:c>
      <x:c r="T437" s="24" t="str">
        <x:f>"T"&amp;IF(AND(H437&lt;&gt;"",I437&lt;&gt;"",J437&lt;&gt;"",L437&lt;&gt;"",N437&lt;&gt;"",O437&lt;&gt;"",P437="APPROVED PUBLIC",S437="Sí"),6,IF(AND(H437&lt;&gt;"",I437&lt;&gt;"",J437&lt;&gt;"",L437&lt;&gt;"",N437&lt;&gt;"",O437&lt;&gt;"",P437&lt;&gt;"",S437="Sí"),5,IF(AND(H437&lt;&gt;"",I437&lt;&gt;"",P437&lt;&gt;"",S437&lt;&gt;"No"),4,IF(AND(H437&lt;&gt;"",I437&lt;&gt;""),3,IF(F437&lt;&gt;"",2,1)))))</x:f>
        <x:v>T5</x:v>
      </x:c>
      <x:c r="U437" s="24" t="str">
        <x:v>VRM Games</x:v>
      </x:c>
      <x:c r="V437" s="24" t="str">
        <x:v>No se detectó proveedor externo en la ruta; confirmar autoría por lote antes de release público.</x:v>
      </x:c>
    </x:row>
    <x:row r="438" ht="34" customHeight="1">
      <x:c r="A438" s="24" t="str">
        <x:v>TRC-00434</x:v>
      </x:c>
      <x:c r="B438" s="24" t="str">
        <x:v>7854d3f17bde4113989749f92abae71e</x:v>
      </x:c>
      <x:c r="C438" s="24" t="str">
        <x:v>PurchaseOrderTransitionFailureReason.cs</x:v>
      </x:c>
      <x:c r="D438" s="24" t="str">
        <x:v>Code</x:v>
      </x:c>
      <x:c r="E438" s="24" t="str">
        <x:v>03_Assets_Internos</x:v>
      </x:c>
      <x:c r="F438" s="24" t="str">
        <x:v>INT-0434</x:v>
      </x:c>
      <x:c r="G438" s="24" t="str">
        <x:v>VRM Games / Blas Luis Rocha González</x:v>
      </x:c>
      <x:c r="H438" s="24" t="str">
        <x:v>Internal project IP / authorship claim</x:v>
      </x:c>
      <x:c r="I438" s="24" t="str">
        <x:v>Source package + repository path + hash</x:v>
      </x:c>
      <x:c r="J438" s="24" t="str">
        <x:v>4d2194bb85b30233e0381e3d298f0330d4676e1dd2d139d6c5c0719932a63a4d</x:v>
      </x:c>
      <x:c r="K438" s="24" t="str">
        <x:v>Assets/_Project/Scripts/Domain/Orders/PurchaseOrderTransitionFailureReason.cs</x:v>
      </x:c>
      <x:c r="L438" s="24" t="str">
        <x:v>CR-003</x:v>
      </x:c>
      <x:c r="M438" s="24" t="str"/>
      <x:c r="N438" s="24" t="str">
        <x:v>RES-001;RES-014</x:v>
      </x:c>
      <x:c r="O438" s="24" t="str">
        <x:v>Internal development; public candidate requires gate</x:v>
      </x:c>
      <x:c r="P438" s="24" t="str">
        <x:v>CONDITIONALLY APPROVED</x:v>
      </x:c>
      <x:c r="Q438" s="24" t="str">
        <x:v>Low</x:v>
      </x:c>
      <x:c r="R438" s="24" t="str"/>
      <x:c r="S438" s="24" t="str">
        <x:v>Sí</x:v>
      </x:c>
      <x:c r="T438" s="24" t="str">
        <x:f>"T"&amp;IF(AND(H438&lt;&gt;"",I438&lt;&gt;"",J438&lt;&gt;"",L438&lt;&gt;"",N438&lt;&gt;"",O438&lt;&gt;"",P438="APPROVED PUBLIC",S438="Sí"),6,IF(AND(H438&lt;&gt;"",I438&lt;&gt;"",J438&lt;&gt;"",L438&lt;&gt;"",N438&lt;&gt;"",O438&lt;&gt;"",P438&lt;&gt;"",S438="Sí"),5,IF(AND(H438&lt;&gt;"",I438&lt;&gt;"",P438&lt;&gt;"",S438&lt;&gt;"No"),4,IF(AND(H438&lt;&gt;"",I438&lt;&gt;""),3,IF(F438&lt;&gt;"",2,1)))))</x:f>
        <x:v>T5</x:v>
      </x:c>
      <x:c r="U438" s="24" t="str">
        <x:v>VRM Games</x:v>
      </x:c>
      <x:c r="V438" s="24" t="str">
        <x:v>No se detectó proveedor externo en la ruta; confirmar autoría por lote antes de release público.</x:v>
      </x:c>
    </x:row>
    <x:row r="439" ht="34" customHeight="1">
      <x:c r="A439" s="24" t="str">
        <x:v>TRC-00435</x:v>
      </x:c>
      <x:c r="B439" s="24" t="str">
        <x:v>ae561607500b4426a3d9eafbf4778207</x:v>
      </x:c>
      <x:c r="C439" s="24" t="str">
        <x:v>PurchaseOrderTransitionResult.cs</x:v>
      </x:c>
      <x:c r="D439" s="24" t="str">
        <x:v>Code</x:v>
      </x:c>
      <x:c r="E439" s="24" t="str">
        <x:v>03_Assets_Internos</x:v>
      </x:c>
      <x:c r="F439" s="24" t="str">
        <x:v>INT-0435</x:v>
      </x:c>
      <x:c r="G439" s="24" t="str">
        <x:v>VRM Games / Blas Luis Rocha González</x:v>
      </x:c>
      <x:c r="H439" s="24" t="str">
        <x:v>Internal project IP / authorship claim</x:v>
      </x:c>
      <x:c r="I439" s="24" t="str">
        <x:v>Source package + repository path + hash</x:v>
      </x:c>
      <x:c r="J439" s="24" t="str">
        <x:v>e5460a6af4df8487ca8eb936258ea94d985136dbc91253b12f183856b436064f</x:v>
      </x:c>
      <x:c r="K439" s="24" t="str">
        <x:v>Assets/_Project/Scripts/Domain/Orders/PurchaseOrderTransitionResult.cs</x:v>
      </x:c>
      <x:c r="L439" s="24" t="str">
        <x:v>CR-003</x:v>
      </x:c>
      <x:c r="M439" s="24" t="str"/>
      <x:c r="N439" s="24" t="str">
        <x:v>RES-001;RES-014</x:v>
      </x:c>
      <x:c r="O439" s="24" t="str">
        <x:v>Internal development; public candidate requires gate</x:v>
      </x:c>
      <x:c r="P439" s="24" t="str">
        <x:v>CONDITIONALLY APPROVED</x:v>
      </x:c>
      <x:c r="Q439" s="24" t="str">
        <x:v>Low</x:v>
      </x:c>
      <x:c r="R439" s="24" t="str"/>
      <x:c r="S439" s="24" t="str">
        <x:v>Sí</x:v>
      </x:c>
      <x:c r="T439" s="24" t="str">
        <x:f>"T"&amp;IF(AND(H439&lt;&gt;"",I439&lt;&gt;"",J439&lt;&gt;"",L439&lt;&gt;"",N439&lt;&gt;"",O439&lt;&gt;"",P439="APPROVED PUBLIC",S439="Sí"),6,IF(AND(H439&lt;&gt;"",I439&lt;&gt;"",J439&lt;&gt;"",L439&lt;&gt;"",N439&lt;&gt;"",O439&lt;&gt;"",P439&lt;&gt;"",S439="Sí"),5,IF(AND(H439&lt;&gt;"",I439&lt;&gt;"",P439&lt;&gt;"",S439&lt;&gt;"No"),4,IF(AND(H439&lt;&gt;"",I439&lt;&gt;""),3,IF(F439&lt;&gt;"",2,1)))))</x:f>
        <x:v>T5</x:v>
      </x:c>
      <x:c r="U439" s="24" t="str">
        <x:v>VRM Games</x:v>
      </x:c>
      <x:c r="V439" s="24" t="str">
        <x:v>No se detectó proveedor externo en la ruta; confirmar autoría por lote antes de release público.</x:v>
      </x:c>
    </x:row>
    <x:row r="440" ht="34" customHeight="1">
      <x:c r="A440" s="24" t="str">
        <x:v>TRC-00436</x:v>
      </x:c>
      <x:c r="B440" s="24" t="str">
        <x:v>22ad1f490d304a3fb6d35d0018369279</x:v>
      </x:c>
      <x:c r="C440" s="24" t="str">
        <x:v>IntegratedGameStateSnapshot.cs</x:v>
      </x:c>
      <x:c r="D440" s="24" t="str">
        <x:v>Code</x:v>
      </x:c>
      <x:c r="E440" s="24" t="str">
        <x:v>03_Assets_Internos</x:v>
      </x:c>
      <x:c r="F440" s="24" t="str">
        <x:v>INT-0436</x:v>
      </x:c>
      <x:c r="G440" s="24" t="str">
        <x:v>VRM Games / Blas Luis Rocha González</x:v>
      </x:c>
      <x:c r="H440" s="24" t="str">
        <x:v>Internal project IP / authorship claim</x:v>
      </x:c>
      <x:c r="I440" s="24" t="str">
        <x:v>Source package + repository path + hash</x:v>
      </x:c>
      <x:c r="J440" s="24" t="str">
        <x:v>af49722b2ffdac7370ffa90bf104430e830b9ed2c69ac4952b2929478a547f62</x:v>
      </x:c>
      <x:c r="K440" s="24" t="str">
        <x:v>Assets/_Project/Scripts/Domain/Persistence/IntegratedGameStateSnapshot.cs</x:v>
      </x:c>
      <x:c r="L440" s="24" t="str">
        <x:v>CR-003</x:v>
      </x:c>
      <x:c r="M440" s="24" t="str"/>
      <x:c r="N440" s="24" t="str">
        <x:v>RES-001;RES-014</x:v>
      </x:c>
      <x:c r="O440" s="24" t="str">
        <x:v>Internal development; public candidate requires gate</x:v>
      </x:c>
      <x:c r="P440" s="24" t="str">
        <x:v>CONDITIONALLY APPROVED</x:v>
      </x:c>
      <x:c r="Q440" s="24" t="str">
        <x:v>Low</x:v>
      </x:c>
      <x:c r="R440" s="24" t="str"/>
      <x:c r="S440" s="24" t="str">
        <x:v>Sí</x:v>
      </x:c>
      <x:c r="T440" s="24" t="str">
        <x:f>"T"&amp;IF(AND(H440&lt;&gt;"",I440&lt;&gt;"",J440&lt;&gt;"",L440&lt;&gt;"",N440&lt;&gt;"",O440&lt;&gt;"",P440="APPROVED PUBLIC",S440="Sí"),6,IF(AND(H440&lt;&gt;"",I440&lt;&gt;"",J440&lt;&gt;"",L440&lt;&gt;"",N440&lt;&gt;"",O440&lt;&gt;"",P440&lt;&gt;"",S440="Sí"),5,IF(AND(H440&lt;&gt;"",I440&lt;&gt;"",P440&lt;&gt;"",S440&lt;&gt;"No"),4,IF(AND(H440&lt;&gt;"",I440&lt;&gt;""),3,IF(F440&lt;&gt;"",2,1)))))</x:f>
        <x:v>T5</x:v>
      </x:c>
      <x:c r="U440" s="24" t="str">
        <x:v>VRM Games</x:v>
      </x:c>
      <x:c r="V440" s="24" t="str">
        <x:v>No se detectó proveedor externo en la ruta; confirmar autoría por lote antes de release público.</x:v>
      </x:c>
    </x:row>
    <x:row r="441" ht="34" customHeight="1">
      <x:c r="A441" s="24" t="str">
        <x:v>TRC-00437</x:v>
      </x:c>
      <x:c r="B441" s="24" t="str">
        <x:v>1dfedfa0e5b745559f270ab597621d8b</x:v>
      </x:c>
      <x:c r="C441" s="24" t="str">
        <x:v>SaveRecords.cs</x:v>
      </x:c>
      <x:c r="D441" s="24" t="str">
        <x:v>Code</x:v>
      </x:c>
      <x:c r="E441" s="24" t="str">
        <x:v>03_Assets_Internos</x:v>
      </x:c>
      <x:c r="F441" s="24" t="str">
        <x:v>INT-0437</x:v>
      </x:c>
      <x:c r="G441" s="24" t="str">
        <x:v>VRM Games / Blas Luis Rocha González</x:v>
      </x:c>
      <x:c r="H441" s="24" t="str">
        <x:v>Internal project IP / authorship claim</x:v>
      </x:c>
      <x:c r="I441" s="24" t="str">
        <x:v>Source package + repository path + hash</x:v>
      </x:c>
      <x:c r="J441" s="24" t="str">
        <x:v>7fa5cd904960e8c7bea8aa38e66bd1f4f89ab06e000d10612b246ad08cd74605</x:v>
      </x:c>
      <x:c r="K441" s="24" t="str">
        <x:v>Assets/_Project/Scripts/Domain/Persistence/SaveRecords.cs</x:v>
      </x:c>
      <x:c r="L441" s="24" t="str">
        <x:v>CR-003</x:v>
      </x:c>
      <x:c r="M441" s="24" t="str"/>
      <x:c r="N441" s="24" t="str">
        <x:v>RES-001;RES-014</x:v>
      </x:c>
      <x:c r="O441" s="24" t="str">
        <x:v>Internal development; public candidate requires gate</x:v>
      </x:c>
      <x:c r="P441" s="24" t="str">
        <x:v>CONDITIONALLY APPROVED</x:v>
      </x:c>
      <x:c r="Q441" s="24" t="str">
        <x:v>Low</x:v>
      </x:c>
      <x:c r="R441" s="24" t="str"/>
      <x:c r="S441" s="24" t="str">
        <x:v>Sí</x:v>
      </x:c>
      <x:c r="T441" s="24" t="str">
        <x:f>"T"&amp;IF(AND(H441&lt;&gt;"",I441&lt;&gt;"",J441&lt;&gt;"",L441&lt;&gt;"",N441&lt;&gt;"",O441&lt;&gt;"",P441="APPROVED PUBLIC",S441="Sí"),6,IF(AND(H441&lt;&gt;"",I441&lt;&gt;"",J441&lt;&gt;"",L441&lt;&gt;"",N441&lt;&gt;"",O441&lt;&gt;"",P441&lt;&gt;"",S441="Sí"),5,IF(AND(H441&lt;&gt;"",I441&lt;&gt;"",P441&lt;&gt;"",S441&lt;&gt;"No"),4,IF(AND(H441&lt;&gt;"",I441&lt;&gt;""),3,IF(F441&lt;&gt;"",2,1)))))</x:f>
        <x:v>T5</x:v>
      </x:c>
      <x:c r="U441" s="24" t="str">
        <x:v>VRM Games</x:v>
      </x:c>
      <x:c r="V441" s="24" t="str">
        <x:v>No se detectó proveedor externo en la ruta; confirmar autoría por lote antes de release público.</x:v>
      </x:c>
    </x:row>
    <x:row r="442" ht="34" customHeight="1">
      <x:c r="A442" s="24" t="str">
        <x:v>TRC-00438</x:v>
      </x:c>
      <x:c r="B442" s="24" t="str">
        <x:v>48686766100944b3adc07d66c3dbc75a</x:v>
      </x:c>
      <x:c r="C442" s="24" t="str">
        <x:v>PlacedObjectRecord.cs</x:v>
      </x:c>
      <x:c r="D442" s="24" t="str">
        <x:v>Code</x:v>
      </x:c>
      <x:c r="E442" s="24" t="str">
        <x:v>03_Assets_Internos</x:v>
      </x:c>
      <x:c r="F442" s="24" t="str">
        <x:v>INT-0438</x:v>
      </x:c>
      <x:c r="G442" s="24" t="str">
        <x:v>VRM Games / Blas Luis Rocha González</x:v>
      </x:c>
      <x:c r="H442" s="24" t="str">
        <x:v>Internal project IP / authorship claim</x:v>
      </x:c>
      <x:c r="I442" s="24" t="str">
        <x:v>Source package + repository path + hash</x:v>
      </x:c>
      <x:c r="J442" s="24" t="str">
        <x:v>8ba235ad32dd8d9cdc06eaa237d9a39d0fe090fd32a88f564da9a62ece036c2d</x:v>
      </x:c>
      <x:c r="K442" s="24" t="str">
        <x:v>Assets/_Project/Scripts/Domain/Placement/PlacedObjectRecord.cs</x:v>
      </x:c>
      <x:c r="L442" s="24" t="str">
        <x:v>CR-003</x:v>
      </x:c>
      <x:c r="M442" s="24" t="str"/>
      <x:c r="N442" s="24" t="str">
        <x:v>RES-001;RES-014</x:v>
      </x:c>
      <x:c r="O442" s="24" t="str">
        <x:v>Internal development; public candidate requires gate</x:v>
      </x:c>
      <x:c r="P442" s="24" t="str">
        <x:v>CONDITIONALLY APPROVED</x:v>
      </x:c>
      <x:c r="Q442" s="24" t="str">
        <x:v>Low</x:v>
      </x:c>
      <x:c r="R442" s="24" t="str"/>
      <x:c r="S442" s="24" t="str">
        <x:v>Sí</x:v>
      </x:c>
      <x:c r="T442" s="24" t="str">
        <x:f>"T"&amp;IF(AND(H442&lt;&gt;"",I442&lt;&gt;"",J442&lt;&gt;"",L442&lt;&gt;"",N442&lt;&gt;"",O442&lt;&gt;"",P442="APPROVED PUBLIC",S442="Sí"),6,IF(AND(H442&lt;&gt;"",I442&lt;&gt;"",J442&lt;&gt;"",L442&lt;&gt;"",N442&lt;&gt;"",O442&lt;&gt;"",P442&lt;&gt;"",S442="Sí"),5,IF(AND(H442&lt;&gt;"",I442&lt;&gt;"",P442&lt;&gt;"",S442&lt;&gt;"No"),4,IF(AND(H442&lt;&gt;"",I442&lt;&gt;""),3,IF(F442&lt;&gt;"",2,1)))))</x:f>
        <x:v>T5</x:v>
      </x:c>
      <x:c r="U442" s="24" t="str">
        <x:v>VRM Games</x:v>
      </x:c>
      <x:c r="V442" s="24" t="str">
        <x:v>No se detectó proveedor externo en la ruta; confirmar autoría por lote antes de release público.</x:v>
      </x:c>
    </x:row>
    <x:row r="443" ht="34" customHeight="1">
      <x:c r="A443" s="24" t="str">
        <x:v>TRC-00439</x:v>
      </x:c>
      <x:c r="B443" s="24" t="str">
        <x:v>74118a2ac3d6463e97b3d386eca8aaad</x:v>
      </x:c>
      <x:c r="C443" s="24" t="str">
        <x:v>PlacementFailureReason.cs</x:v>
      </x:c>
      <x:c r="D443" s="24" t="str">
        <x:v>Code</x:v>
      </x:c>
      <x:c r="E443" s="24" t="str">
        <x:v>03_Assets_Internos</x:v>
      </x:c>
      <x:c r="F443" s="24" t="str">
        <x:v>INT-0439</x:v>
      </x:c>
      <x:c r="G443" s="24" t="str">
        <x:v>VRM Games / Blas Luis Rocha González</x:v>
      </x:c>
      <x:c r="H443" s="24" t="str">
        <x:v>Internal project IP / authorship claim</x:v>
      </x:c>
      <x:c r="I443" s="24" t="str">
        <x:v>Source package + repository path + hash</x:v>
      </x:c>
      <x:c r="J443" s="24" t="str">
        <x:v>7b279f6531c5e72ad9d235c306eba42d0311823745fcc5ac232e44128eb60826</x:v>
      </x:c>
      <x:c r="K443" s="24" t="str">
        <x:v>Assets/_Project/Scripts/Domain/Placement/PlacementFailureReason.cs</x:v>
      </x:c>
      <x:c r="L443" s="24" t="str">
        <x:v>CR-003</x:v>
      </x:c>
      <x:c r="M443" s="24" t="str"/>
      <x:c r="N443" s="24" t="str">
        <x:v>RES-001;RES-014</x:v>
      </x:c>
      <x:c r="O443" s="24" t="str">
        <x:v>Internal development; public candidate requires gate</x:v>
      </x:c>
      <x:c r="P443" s="24" t="str">
        <x:v>CONDITIONALLY APPROVED</x:v>
      </x:c>
      <x:c r="Q443" s="24" t="str">
        <x:v>Low</x:v>
      </x:c>
      <x:c r="R443" s="24" t="str"/>
      <x:c r="S443" s="24" t="str">
        <x:v>Sí</x:v>
      </x:c>
      <x:c r="T443" s="24" t="str">
        <x:f>"T"&amp;IF(AND(H443&lt;&gt;"",I443&lt;&gt;"",J443&lt;&gt;"",L443&lt;&gt;"",N443&lt;&gt;"",O443&lt;&gt;"",P443="APPROVED PUBLIC",S443="Sí"),6,IF(AND(H443&lt;&gt;"",I443&lt;&gt;"",J443&lt;&gt;"",L443&lt;&gt;"",N443&lt;&gt;"",O443&lt;&gt;"",P443&lt;&gt;"",S443="Sí"),5,IF(AND(H443&lt;&gt;"",I443&lt;&gt;"",P443&lt;&gt;"",S443&lt;&gt;"No"),4,IF(AND(H443&lt;&gt;"",I443&lt;&gt;""),3,IF(F443&lt;&gt;"",2,1)))))</x:f>
        <x:v>T5</x:v>
      </x:c>
      <x:c r="U443" s="24" t="str">
        <x:v>VRM Games</x:v>
      </x:c>
      <x:c r="V443" s="24" t="str">
        <x:v>No se detectó proveedor externo en la ruta; confirmar autoría por lote antes de release público.</x:v>
      </x:c>
    </x:row>
    <x:row r="444" ht="34" customHeight="1">
      <x:c r="A444" s="24" t="str">
        <x:v>TRC-00440</x:v>
      </x:c>
      <x:c r="B444" s="24" t="str">
        <x:v>e1b0c4ad8c894f6280eedd30d625313c</x:v>
      </x:c>
      <x:c r="C444" s="24" t="str">
        <x:v>PlacementInstanceId.cs</x:v>
      </x:c>
      <x:c r="D444" s="24" t="str">
        <x:v>Code</x:v>
      </x:c>
      <x:c r="E444" s="24" t="str">
        <x:v>03_Assets_Internos</x:v>
      </x:c>
      <x:c r="F444" s="24" t="str">
        <x:v>INT-0440</x:v>
      </x:c>
      <x:c r="G444" s="24" t="str">
        <x:v>VRM Games / Blas Luis Rocha González</x:v>
      </x:c>
      <x:c r="H444" s="24" t="str">
        <x:v>Internal project IP / authorship claim</x:v>
      </x:c>
      <x:c r="I444" s="24" t="str">
        <x:v>Source package + repository path + hash</x:v>
      </x:c>
      <x:c r="J444" s="24" t="str">
        <x:v>c73826c3a654ea7adfdf387ef8a24c0dd5fa7e073e9e703b386b4d0c03fe5380</x:v>
      </x:c>
      <x:c r="K444" s="24" t="str">
        <x:v>Assets/_Project/Scripts/Domain/Placement/PlacementInstanceId.cs</x:v>
      </x:c>
      <x:c r="L444" s="24" t="str">
        <x:v>CR-003</x:v>
      </x:c>
      <x:c r="M444" s="24" t="str"/>
      <x:c r="N444" s="24" t="str">
        <x:v>RES-001;RES-014</x:v>
      </x:c>
      <x:c r="O444" s="24" t="str">
        <x:v>Internal development; public candidate requires gate</x:v>
      </x:c>
      <x:c r="P444" s="24" t="str">
        <x:v>CONDITIONALLY APPROVED</x:v>
      </x:c>
      <x:c r="Q444" s="24" t="str">
        <x:v>Low</x:v>
      </x:c>
      <x:c r="R444" s="24" t="str"/>
      <x:c r="S444" s="24" t="str">
        <x:v>Sí</x:v>
      </x:c>
      <x:c r="T444" s="24" t="str">
        <x:f>"T"&amp;IF(AND(H444&lt;&gt;"",I444&lt;&gt;"",J444&lt;&gt;"",L444&lt;&gt;"",N444&lt;&gt;"",O444&lt;&gt;"",P444="APPROVED PUBLIC",S444="Sí"),6,IF(AND(H444&lt;&gt;"",I444&lt;&gt;"",J444&lt;&gt;"",L444&lt;&gt;"",N444&lt;&gt;"",O444&lt;&gt;"",P444&lt;&gt;"",S444="Sí"),5,IF(AND(H444&lt;&gt;"",I444&lt;&gt;"",P444&lt;&gt;"",S444&lt;&gt;"No"),4,IF(AND(H444&lt;&gt;"",I444&lt;&gt;""),3,IF(F444&lt;&gt;"",2,1)))))</x:f>
        <x:v>T5</x:v>
      </x:c>
      <x:c r="U444" s="24" t="str">
        <x:v>VRM Games</x:v>
      </x:c>
      <x:c r="V444" s="24" t="str">
        <x:v>No se detectó proveedor externo en la ruta; confirmar autoría por lote antes de release público.</x:v>
      </x:c>
    </x:row>
    <x:row r="445" ht="34" customHeight="1">
      <x:c r="A445" s="24" t="str">
        <x:v>TRC-00441</x:v>
      </x:c>
      <x:c r="B445" s="24" t="str">
        <x:v>1a3ef341af536224417391348766d7e3</x:v>
      </x:c>
      <x:c r="C445" s="24" t="str">
        <x:v>ProductCategoryId.cs</x:v>
      </x:c>
      <x:c r="D445" s="24" t="str">
        <x:v>Code</x:v>
      </x:c>
      <x:c r="E445" s="24" t="str">
        <x:v>03_Assets_Internos</x:v>
      </x:c>
      <x:c r="F445" s="24" t="str">
        <x:v>INT-0441</x:v>
      </x:c>
      <x:c r="G445" s="24" t="str">
        <x:v>VRM Games / Blas Luis Rocha González</x:v>
      </x:c>
      <x:c r="H445" s="24" t="str">
        <x:v>Internal project IP / authorship claim</x:v>
      </x:c>
      <x:c r="I445" s="24" t="str">
        <x:v>Source package + repository path + hash</x:v>
      </x:c>
      <x:c r="J445" s="24" t="str">
        <x:v>0c7b0053d8740ad0e734fa45631665f9859f576ddccacf19a89672c7dae4aad2</x:v>
      </x:c>
      <x:c r="K445" s="24" t="str">
        <x:v>Assets/_Project/Scripts/Domain/Products/ProductCategoryId.cs</x:v>
      </x:c>
      <x:c r="L445" s="24" t="str">
        <x:v>CR-003</x:v>
      </x:c>
      <x:c r="M445" s="24" t="str"/>
      <x:c r="N445" s="24" t="str">
        <x:v>RES-001;RES-014</x:v>
      </x:c>
      <x:c r="O445" s="24" t="str">
        <x:v>Internal development; public candidate requires gate</x:v>
      </x:c>
      <x:c r="P445" s="24" t="str">
        <x:v>CONDITIONALLY APPROVED</x:v>
      </x:c>
      <x:c r="Q445" s="24" t="str">
        <x:v>Low</x:v>
      </x:c>
      <x:c r="R445" s="24" t="str"/>
      <x:c r="S445" s="24" t="str">
        <x:v>Sí</x:v>
      </x:c>
      <x:c r="T445" s="24" t="str">
        <x:f>"T"&amp;IF(AND(H445&lt;&gt;"",I445&lt;&gt;"",J445&lt;&gt;"",L445&lt;&gt;"",N445&lt;&gt;"",O445&lt;&gt;"",P445="APPROVED PUBLIC",S445="Sí"),6,IF(AND(H445&lt;&gt;"",I445&lt;&gt;"",J445&lt;&gt;"",L445&lt;&gt;"",N445&lt;&gt;"",O445&lt;&gt;"",P445&lt;&gt;"",S445="Sí"),5,IF(AND(H445&lt;&gt;"",I445&lt;&gt;"",P445&lt;&gt;"",S445&lt;&gt;"No"),4,IF(AND(H445&lt;&gt;"",I445&lt;&gt;""),3,IF(F445&lt;&gt;"",2,1)))))</x:f>
        <x:v>T5</x:v>
      </x:c>
      <x:c r="U445" s="24" t="str">
        <x:v>VRM Games</x:v>
      </x:c>
      <x:c r="V445" s="24" t="str">
        <x:v>No se detectó proveedor externo en la ruta; confirmar autoría por lote antes de release público.</x:v>
      </x:c>
    </x:row>
    <x:row r="446" ht="34" customHeight="1">
      <x:c r="A446" s="24" t="str">
        <x:v>TRC-00442</x:v>
      </x:c>
      <x:c r="B446" s="24" t="str">
        <x:v>63c871778da5faac55aa58016d1c82c6</x:v>
      </x:c>
      <x:c r="C446" s="24" t="str">
        <x:v>ProductDefinition.cs</x:v>
      </x:c>
      <x:c r="D446" s="24" t="str">
        <x:v>Code</x:v>
      </x:c>
      <x:c r="E446" s="24" t="str">
        <x:v>03_Assets_Internos</x:v>
      </x:c>
      <x:c r="F446" s="24" t="str">
        <x:v>INT-0442</x:v>
      </x:c>
      <x:c r="G446" s="24" t="str">
        <x:v>VRM Games / Blas Luis Rocha González</x:v>
      </x:c>
      <x:c r="H446" s="24" t="str">
        <x:v>Internal project IP / authorship claim</x:v>
      </x:c>
      <x:c r="I446" s="24" t="str">
        <x:v>Source package + repository path + hash</x:v>
      </x:c>
      <x:c r="J446" s="24" t="str">
        <x:v>1f6ea65d8937033cfaf96deab7053b4a270d8dd234a89ac914377ef4c54170d7</x:v>
      </x:c>
      <x:c r="K446" s="24" t="str">
        <x:v>Assets/_Project/Scripts/Domain/Products/ProductDefinition.cs</x:v>
      </x:c>
      <x:c r="L446" s="24" t="str">
        <x:v>CR-003</x:v>
      </x:c>
      <x:c r="M446" s="24" t="str"/>
      <x:c r="N446" s="24" t="str">
        <x:v>RES-001;RES-014</x:v>
      </x:c>
      <x:c r="O446" s="24" t="str">
        <x:v>Internal development; public candidate requires gate</x:v>
      </x:c>
      <x:c r="P446" s="24" t="str">
        <x:v>CONDITIONALLY APPROVED</x:v>
      </x:c>
      <x:c r="Q446" s="24" t="str">
        <x:v>Low</x:v>
      </x:c>
      <x:c r="R446" s="24" t="str"/>
      <x:c r="S446" s="24" t="str">
        <x:v>Sí</x:v>
      </x:c>
      <x:c r="T446" s="24" t="str">
        <x:f>"T"&amp;IF(AND(H446&lt;&gt;"",I446&lt;&gt;"",J446&lt;&gt;"",L446&lt;&gt;"",N446&lt;&gt;"",O446&lt;&gt;"",P446="APPROVED PUBLIC",S446="Sí"),6,IF(AND(H446&lt;&gt;"",I446&lt;&gt;"",J446&lt;&gt;"",L446&lt;&gt;"",N446&lt;&gt;"",O446&lt;&gt;"",P446&lt;&gt;"",S446="Sí"),5,IF(AND(H446&lt;&gt;"",I446&lt;&gt;"",P446&lt;&gt;"",S446&lt;&gt;"No"),4,IF(AND(H446&lt;&gt;"",I446&lt;&gt;""),3,IF(F446&lt;&gt;"",2,1)))))</x:f>
        <x:v>T5</x:v>
      </x:c>
      <x:c r="U446" s="24" t="str">
        <x:v>VRM Games</x:v>
      </x:c>
      <x:c r="V446" s="24" t="str">
        <x:v>No se detectó proveedor externo en la ruta; confirmar autoría por lote antes de release público.</x:v>
      </x:c>
    </x:row>
    <x:row r="447" ht="34" customHeight="1">
      <x:c r="A447" s="24" t="str">
        <x:v>TRC-00443</x:v>
      </x:c>
      <x:c r="B447" s="24" t="str">
        <x:v>45b1f7e90025d5508a57d1dce01b2840</x:v>
      </x:c>
      <x:c r="C447" s="24" t="str">
        <x:v>ProductDefinitionId.cs</x:v>
      </x:c>
      <x:c r="D447" s="24" t="str">
        <x:v>Code</x:v>
      </x:c>
      <x:c r="E447" s="24" t="str">
        <x:v>03_Assets_Internos</x:v>
      </x:c>
      <x:c r="F447" s="24" t="str">
        <x:v>INT-0443</x:v>
      </x:c>
      <x:c r="G447" s="24" t="str">
        <x:v>VRM Games / Blas Luis Rocha González</x:v>
      </x:c>
      <x:c r="H447" s="24" t="str">
        <x:v>Internal project IP / authorship claim</x:v>
      </x:c>
      <x:c r="I447" s="24" t="str">
        <x:v>Source package + repository path + hash</x:v>
      </x:c>
      <x:c r="J447" s="24" t="str">
        <x:v>f43a49dc42775025b45bc70d8460daa820bb8207a30bdc01849e48dab2023a42</x:v>
      </x:c>
      <x:c r="K447" s="24" t="str">
        <x:v>Assets/_Project/Scripts/Domain/Products/ProductDefinitionId.cs</x:v>
      </x:c>
      <x:c r="L447" s="24" t="str">
        <x:v>CR-003</x:v>
      </x:c>
      <x:c r="M447" s="24" t="str"/>
      <x:c r="N447" s="24" t="str">
        <x:v>RES-001;RES-014</x:v>
      </x:c>
      <x:c r="O447" s="24" t="str">
        <x:v>Internal development; public candidate requires gate</x:v>
      </x:c>
      <x:c r="P447" s="24" t="str">
        <x:v>CONDITIONALLY APPROVED</x:v>
      </x:c>
      <x:c r="Q447" s="24" t="str">
        <x:v>Low</x:v>
      </x:c>
      <x:c r="R447" s="24" t="str"/>
      <x:c r="S447" s="24" t="str">
        <x:v>Sí</x:v>
      </x:c>
      <x:c r="T447" s="24" t="str">
        <x:f>"T"&amp;IF(AND(H447&lt;&gt;"",I447&lt;&gt;"",J447&lt;&gt;"",L447&lt;&gt;"",N447&lt;&gt;"",O447&lt;&gt;"",P447="APPROVED PUBLIC",S447="Sí"),6,IF(AND(H447&lt;&gt;"",I447&lt;&gt;"",J447&lt;&gt;"",L447&lt;&gt;"",N447&lt;&gt;"",O447&lt;&gt;"",P447&lt;&gt;"",S447="Sí"),5,IF(AND(H447&lt;&gt;"",I447&lt;&gt;"",P447&lt;&gt;"",S447&lt;&gt;"No"),4,IF(AND(H447&lt;&gt;"",I447&lt;&gt;""),3,IF(F447&lt;&gt;"",2,1)))))</x:f>
        <x:v>T5</x:v>
      </x:c>
      <x:c r="U447" s="24" t="str">
        <x:v>VRM Games</x:v>
      </x:c>
      <x:c r="V447" s="24" t="str">
        <x:v>No se detectó proveedor externo en la ruta; confirmar autoría por lote antes de release público.</x:v>
      </x:c>
    </x:row>
    <x:row r="448" ht="34" customHeight="1">
      <x:c r="A448" s="24" t="str">
        <x:v>TRC-00444</x:v>
      </x:c>
      <x:c r="B448" s="24" t="str">
        <x:v>285ce1c546489f660527fd99f9dcd11e</x:v>
      </x:c>
      <x:c r="C448" s="24" t="str">
        <x:v>ProductDefinitionRegistry.cs</x:v>
      </x:c>
      <x:c r="D448" s="24" t="str">
        <x:v>Code</x:v>
      </x:c>
      <x:c r="E448" s="24" t="str">
        <x:v>03_Assets_Internos</x:v>
      </x:c>
      <x:c r="F448" s="24" t="str">
        <x:v>INT-0444</x:v>
      </x:c>
      <x:c r="G448" s="24" t="str">
        <x:v>VRM Games / Blas Luis Rocha González</x:v>
      </x:c>
      <x:c r="H448" s="24" t="str">
        <x:v>Internal project IP / authorship claim</x:v>
      </x:c>
      <x:c r="I448" s="24" t="str">
        <x:v>Source package + repository path + hash</x:v>
      </x:c>
      <x:c r="J448" s="24" t="str">
        <x:v>a4c9675b6937b006ac083317b9a389112f0f440a7646e8f07934c9d99e5f45e7</x:v>
      </x:c>
      <x:c r="K448" s="24" t="str">
        <x:v>Assets/_Project/Scripts/Domain/Products/ProductDefinitionRegistry.cs</x:v>
      </x:c>
      <x:c r="L448" s="24" t="str">
        <x:v>CR-003</x:v>
      </x:c>
      <x:c r="M448" s="24" t="str"/>
      <x:c r="N448" s="24" t="str">
        <x:v>RES-001;RES-014</x:v>
      </x:c>
      <x:c r="O448" s="24" t="str">
        <x:v>Internal development; public candidate requires gate</x:v>
      </x:c>
      <x:c r="P448" s="24" t="str">
        <x:v>CONDITIONALLY APPROVED</x:v>
      </x:c>
      <x:c r="Q448" s="24" t="str">
        <x:v>Low</x:v>
      </x:c>
      <x:c r="R448" s="24" t="str"/>
      <x:c r="S448" s="24" t="str">
        <x:v>Sí</x:v>
      </x:c>
      <x:c r="T448" s="24" t="str">
        <x:f>"T"&amp;IF(AND(H448&lt;&gt;"",I448&lt;&gt;"",J448&lt;&gt;"",L448&lt;&gt;"",N448&lt;&gt;"",O448&lt;&gt;"",P448="APPROVED PUBLIC",S448="Sí"),6,IF(AND(H448&lt;&gt;"",I448&lt;&gt;"",J448&lt;&gt;"",L448&lt;&gt;"",N448&lt;&gt;"",O448&lt;&gt;"",P448&lt;&gt;"",S448="Sí"),5,IF(AND(H448&lt;&gt;"",I448&lt;&gt;"",P448&lt;&gt;"",S448&lt;&gt;"No"),4,IF(AND(H448&lt;&gt;"",I448&lt;&gt;""),3,IF(F448&lt;&gt;"",2,1)))))</x:f>
        <x:v>T5</x:v>
      </x:c>
      <x:c r="U448" s="24" t="str">
        <x:v>VRM Games</x:v>
      </x:c>
      <x:c r="V448" s="24" t="str">
        <x:v>No se detectó proveedor externo en la ruta; confirmar autoría por lote antes de release público.</x:v>
      </x:c>
    </x:row>
    <x:row r="449" ht="34" customHeight="1">
      <x:c r="A449" s="24" t="str">
        <x:v>TRC-00445</x:v>
      </x:c>
      <x:c r="B449" s="24" t="str">
        <x:v>3e1c393488b5b3b192cee2049facf500</x:v>
      </x:c>
      <x:c r="C449" s="24" t="str">
        <x:v>ProductTagId.cs</x:v>
      </x:c>
      <x:c r="D449" s="24" t="str">
        <x:v>Code</x:v>
      </x:c>
      <x:c r="E449" s="24" t="str">
        <x:v>03_Assets_Internos</x:v>
      </x:c>
      <x:c r="F449" s="24" t="str">
        <x:v>INT-0445</x:v>
      </x:c>
      <x:c r="G449" s="24" t="str">
        <x:v>VRM Games / Blas Luis Rocha González</x:v>
      </x:c>
      <x:c r="H449" s="24" t="str">
        <x:v>Internal project IP / authorship claim</x:v>
      </x:c>
      <x:c r="I449" s="24" t="str">
        <x:v>Source package + repository path + hash</x:v>
      </x:c>
      <x:c r="J449" s="24" t="str">
        <x:v>32f79b702dbf471a2a7a850e24452732391055b768a83f5f46ad9178f5ead218</x:v>
      </x:c>
      <x:c r="K449" s="24" t="str">
        <x:v>Assets/_Project/Scripts/Domain/Products/ProductTagId.cs</x:v>
      </x:c>
      <x:c r="L449" s="24" t="str">
        <x:v>CR-003</x:v>
      </x:c>
      <x:c r="M449" s="24" t="str"/>
      <x:c r="N449" s="24" t="str">
        <x:v>RES-001;RES-014</x:v>
      </x:c>
      <x:c r="O449" s="24" t="str">
        <x:v>Internal development; public candidate requires gate</x:v>
      </x:c>
      <x:c r="P449" s="24" t="str">
        <x:v>CONDITIONALLY APPROVED</x:v>
      </x:c>
      <x:c r="Q449" s="24" t="str">
        <x:v>Low</x:v>
      </x:c>
      <x:c r="R449" s="24" t="str"/>
      <x:c r="S449" s="24" t="str">
        <x:v>Sí</x:v>
      </x:c>
      <x:c r="T449" s="24" t="str">
        <x:f>"T"&amp;IF(AND(H449&lt;&gt;"",I449&lt;&gt;"",J449&lt;&gt;"",L449&lt;&gt;"",N449&lt;&gt;"",O449&lt;&gt;"",P449="APPROVED PUBLIC",S449="Sí"),6,IF(AND(H449&lt;&gt;"",I449&lt;&gt;"",J449&lt;&gt;"",L449&lt;&gt;"",N449&lt;&gt;"",O449&lt;&gt;"",P449&lt;&gt;"",S449="Sí"),5,IF(AND(H449&lt;&gt;"",I449&lt;&gt;"",P449&lt;&gt;"",S449&lt;&gt;"No"),4,IF(AND(H449&lt;&gt;"",I449&lt;&gt;""),3,IF(F449&lt;&gt;"",2,1)))))</x:f>
        <x:v>T5</x:v>
      </x:c>
      <x:c r="U449" s="24" t="str">
        <x:v>VRM Games</x:v>
      </x:c>
      <x:c r="V449" s="24" t="str">
        <x:v>No se detectó proveedor externo en la ruta; confirmar autoría por lote antes de release público.</x:v>
      </x:c>
    </x:row>
    <x:row r="450" ht="34" customHeight="1">
      <x:c r="A450" s="24" t="str">
        <x:v>TRC-00446</x:v>
      </x:c>
      <x:c r="B450" s="24" t="str">
        <x:v>f4b6d25fad774865a65940488d544ac0</x:v>
      </x:c>
      <x:c r="C450" s="24" t="str">
        <x:v>Delivery.cs</x:v>
      </x:c>
      <x:c r="D450" s="24" t="str">
        <x:v>Code</x:v>
      </x:c>
      <x:c r="E450" s="24" t="str">
        <x:v>03_Assets_Internos</x:v>
      </x:c>
      <x:c r="F450" s="24" t="str">
        <x:v>INT-0446</x:v>
      </x:c>
      <x:c r="G450" s="24" t="str">
        <x:v>VRM Games / Blas Luis Rocha González</x:v>
      </x:c>
      <x:c r="H450" s="24" t="str">
        <x:v>Internal project IP / authorship claim</x:v>
      </x:c>
      <x:c r="I450" s="24" t="str">
        <x:v>Source package + repository path + hash</x:v>
      </x:c>
      <x:c r="J450" s="24" t="str">
        <x:v>6185158d983ce261e1944787f1dfc680c7544ac867d53c8154f4945671c98b46</x:v>
      </x:c>
      <x:c r="K450" s="24" t="str">
        <x:v>Assets/_Project/Scripts/Domain/Receiving/Delivery.cs</x:v>
      </x:c>
      <x:c r="L450" s="24" t="str">
        <x:v>CR-003</x:v>
      </x:c>
      <x:c r="M450" s="24" t="str"/>
      <x:c r="N450" s="24" t="str">
        <x:v>RES-001;RES-014</x:v>
      </x:c>
      <x:c r="O450" s="24" t="str">
        <x:v>Internal development; public candidate requires gate</x:v>
      </x:c>
      <x:c r="P450" s="24" t="str">
        <x:v>CONDITIONALLY APPROVED</x:v>
      </x:c>
      <x:c r="Q450" s="24" t="str">
        <x:v>Low</x:v>
      </x:c>
      <x:c r="R450" s="24" t="str"/>
      <x:c r="S450" s="24" t="str">
        <x:v>Sí</x:v>
      </x:c>
      <x:c r="T450" s="24" t="str">
        <x:f>"T"&amp;IF(AND(H450&lt;&gt;"",I450&lt;&gt;"",J450&lt;&gt;"",L450&lt;&gt;"",N450&lt;&gt;"",O450&lt;&gt;"",P450="APPROVED PUBLIC",S450="Sí"),6,IF(AND(H450&lt;&gt;"",I450&lt;&gt;"",J450&lt;&gt;"",L450&lt;&gt;"",N450&lt;&gt;"",O450&lt;&gt;"",P450&lt;&gt;"",S450="Sí"),5,IF(AND(H450&lt;&gt;"",I450&lt;&gt;"",P450&lt;&gt;"",S450&lt;&gt;"No"),4,IF(AND(H450&lt;&gt;"",I450&lt;&gt;""),3,IF(F450&lt;&gt;"",2,1)))))</x:f>
        <x:v>T5</x:v>
      </x:c>
      <x:c r="U450" s="24" t="str">
        <x:v>VRM Games</x:v>
      </x:c>
      <x:c r="V450" s="24" t="str">
        <x:v>No se detectó proveedor externo en la ruta; confirmar autoría por lote antes de release público.</x:v>
      </x:c>
    </x:row>
    <x:row r="451" ht="34" customHeight="1">
      <x:c r="A451" s="24" t="str">
        <x:v>TRC-00447</x:v>
      </x:c>
      <x:c r="B451" s="24" t="str">
        <x:v>46ae9bb95a5e4405b9712d99f411aee1</x:v>
      </x:c>
      <x:c r="C451" s="24" t="str">
        <x:v>DeliveryId.cs</x:v>
      </x:c>
      <x:c r="D451" s="24" t="str">
        <x:v>Code</x:v>
      </x:c>
      <x:c r="E451" s="24" t="str">
        <x:v>03_Assets_Internos</x:v>
      </x:c>
      <x:c r="F451" s="24" t="str">
        <x:v>INT-0447</x:v>
      </x:c>
      <x:c r="G451" s="24" t="str">
        <x:v>VRM Games / Blas Luis Rocha González</x:v>
      </x:c>
      <x:c r="H451" s="24" t="str">
        <x:v>Internal project IP / authorship claim</x:v>
      </x:c>
      <x:c r="I451" s="24" t="str">
        <x:v>Source package + repository path + hash</x:v>
      </x:c>
      <x:c r="J451" s="24" t="str">
        <x:v>4eafbf10e8684bf8f67f08fe9bae8707dfa5e7e4788a179e2a41cf5d635911eb</x:v>
      </x:c>
      <x:c r="K451" s="24" t="str">
        <x:v>Assets/_Project/Scripts/Domain/Receiving/DeliveryId.cs</x:v>
      </x:c>
      <x:c r="L451" s="24" t="str">
        <x:v>CR-003</x:v>
      </x:c>
      <x:c r="M451" s="24" t="str"/>
      <x:c r="N451" s="24" t="str">
        <x:v>RES-001;RES-014</x:v>
      </x:c>
      <x:c r="O451" s="24" t="str">
        <x:v>Internal development; public candidate requires gate</x:v>
      </x:c>
      <x:c r="P451" s="24" t="str">
        <x:v>CONDITIONALLY APPROVED</x:v>
      </x:c>
      <x:c r="Q451" s="24" t="str">
        <x:v>Low</x:v>
      </x:c>
      <x:c r="R451" s="24" t="str"/>
      <x:c r="S451" s="24" t="str">
        <x:v>Sí</x:v>
      </x:c>
      <x:c r="T451" s="24" t="str">
        <x:f>"T"&amp;IF(AND(H451&lt;&gt;"",I451&lt;&gt;"",J451&lt;&gt;"",L451&lt;&gt;"",N451&lt;&gt;"",O451&lt;&gt;"",P451="APPROVED PUBLIC",S451="Sí"),6,IF(AND(H451&lt;&gt;"",I451&lt;&gt;"",J451&lt;&gt;"",L451&lt;&gt;"",N451&lt;&gt;"",O451&lt;&gt;"",P451&lt;&gt;"",S451="Sí"),5,IF(AND(H451&lt;&gt;"",I451&lt;&gt;"",P451&lt;&gt;"",S451&lt;&gt;"No"),4,IF(AND(H451&lt;&gt;"",I451&lt;&gt;""),3,IF(F451&lt;&gt;"",2,1)))))</x:f>
        <x:v>T5</x:v>
      </x:c>
      <x:c r="U451" s="24" t="str">
        <x:v>VRM Games</x:v>
      </x:c>
      <x:c r="V451" s="24" t="str">
        <x:v>No se detectó proveedor externo en la ruta; confirmar autoría por lote antes de release público.</x:v>
      </x:c>
    </x:row>
    <x:row r="452" ht="34" customHeight="1">
      <x:c r="A452" s="24" t="str">
        <x:v>TRC-00448</x:v>
      </x:c>
      <x:c r="B452" s="24" t="str">
        <x:v>22669b1a8aa149ee9ebb64a6cb5c4c7c</x:v>
      </x:c>
      <x:c r="C452" s="24" t="str">
        <x:v>DeliveryMutationFailureReason.cs</x:v>
      </x:c>
      <x:c r="D452" s="24" t="str">
        <x:v>Code</x:v>
      </x:c>
      <x:c r="E452" s="24" t="str">
        <x:v>03_Assets_Internos</x:v>
      </x:c>
      <x:c r="F452" s="24" t="str">
        <x:v>INT-0448</x:v>
      </x:c>
      <x:c r="G452" s="24" t="str">
        <x:v>VRM Games / Blas Luis Rocha González</x:v>
      </x:c>
      <x:c r="H452" s="24" t="str">
        <x:v>Internal project IP / authorship claim</x:v>
      </x:c>
      <x:c r="I452" s="24" t="str">
        <x:v>Source package + repository path + hash</x:v>
      </x:c>
      <x:c r="J452" s="24" t="str">
        <x:v>a48c8340531871ba7b0ce4e4767c3832eb85aed0a30d2ee0deae995248c2ea9f</x:v>
      </x:c>
      <x:c r="K452" s="24" t="str">
        <x:v>Assets/_Project/Scripts/Domain/Receiving/DeliveryMutationFailureReason.cs</x:v>
      </x:c>
      <x:c r="L452" s="24" t="str">
        <x:v>CR-003</x:v>
      </x:c>
      <x:c r="M452" s="24" t="str"/>
      <x:c r="N452" s="24" t="str">
        <x:v>RES-001;RES-014</x:v>
      </x:c>
      <x:c r="O452" s="24" t="str">
        <x:v>Internal development; public candidate requires gate</x:v>
      </x:c>
      <x:c r="P452" s="24" t="str">
        <x:v>CONDITIONALLY APPROVED</x:v>
      </x:c>
      <x:c r="Q452" s="24" t="str">
        <x:v>Low</x:v>
      </x:c>
      <x:c r="R452" s="24" t="str"/>
      <x:c r="S452" s="24" t="str">
        <x:v>Sí</x:v>
      </x:c>
      <x:c r="T452" s="24" t="str">
        <x:f>"T"&amp;IF(AND(H452&lt;&gt;"",I452&lt;&gt;"",J452&lt;&gt;"",L452&lt;&gt;"",N452&lt;&gt;"",O452&lt;&gt;"",P452="APPROVED PUBLIC",S452="Sí"),6,IF(AND(H452&lt;&gt;"",I452&lt;&gt;"",J452&lt;&gt;"",L452&lt;&gt;"",N452&lt;&gt;"",O452&lt;&gt;"",P452&lt;&gt;"",S452="Sí"),5,IF(AND(H452&lt;&gt;"",I452&lt;&gt;"",P452&lt;&gt;"",S452&lt;&gt;"No"),4,IF(AND(H452&lt;&gt;"",I452&lt;&gt;""),3,IF(F452&lt;&gt;"",2,1)))))</x:f>
        <x:v>T5</x:v>
      </x:c>
      <x:c r="U452" s="24" t="str">
        <x:v>VRM Games</x:v>
      </x:c>
      <x:c r="V452" s="24" t="str">
        <x:v>No se detectó proveedor externo en la ruta; confirmar autoría por lote antes de release público.</x:v>
      </x:c>
    </x:row>
    <x:row r="453" ht="34" customHeight="1">
      <x:c r="A453" s="24" t="str">
        <x:v>TRC-00449</x:v>
      </x:c>
      <x:c r="B453" s="24" t="str">
        <x:v>71225461ec954396866668137c7ee1a5</x:v>
      </x:c>
      <x:c r="C453" s="24" t="str">
        <x:v>DeliveryMutationResult.cs</x:v>
      </x:c>
      <x:c r="D453" s="24" t="str">
        <x:v>Code</x:v>
      </x:c>
      <x:c r="E453" s="24" t="str">
        <x:v>03_Assets_Internos</x:v>
      </x:c>
      <x:c r="F453" s="24" t="str">
        <x:v>INT-0449</x:v>
      </x:c>
      <x:c r="G453" s="24" t="str">
        <x:v>VRM Games / Blas Luis Rocha González</x:v>
      </x:c>
      <x:c r="H453" s="24" t="str">
        <x:v>Internal project IP / authorship claim</x:v>
      </x:c>
      <x:c r="I453" s="24" t="str">
        <x:v>Source package + repository path + hash</x:v>
      </x:c>
      <x:c r="J453" s="24" t="str">
        <x:v>264935d087b2ce3e92d3cadca69201f52ed05d96f5827506eb0250eb4b1af398</x:v>
      </x:c>
      <x:c r="K453" s="24" t="str">
        <x:v>Assets/_Project/Scripts/Domain/Receiving/DeliveryMutationResult.cs</x:v>
      </x:c>
      <x:c r="L453" s="24" t="str">
        <x:v>CR-003</x:v>
      </x:c>
      <x:c r="M453" s="24" t="str"/>
      <x:c r="N453" s="24" t="str">
        <x:v>RES-001;RES-014</x:v>
      </x:c>
      <x:c r="O453" s="24" t="str">
        <x:v>Internal development; public candidate requires gate</x:v>
      </x:c>
      <x:c r="P453" s="24" t="str">
        <x:v>CONDITIONALLY APPROVED</x:v>
      </x:c>
      <x:c r="Q453" s="24" t="str">
        <x:v>Low</x:v>
      </x:c>
      <x:c r="R453" s="24" t="str"/>
      <x:c r="S453" s="24" t="str">
        <x:v>Sí</x:v>
      </x:c>
      <x:c r="T453" s="24" t="str">
        <x:f>"T"&amp;IF(AND(H453&lt;&gt;"",I453&lt;&gt;"",J453&lt;&gt;"",L453&lt;&gt;"",N453&lt;&gt;"",O453&lt;&gt;"",P453="APPROVED PUBLIC",S453="Sí"),6,IF(AND(H453&lt;&gt;"",I453&lt;&gt;"",J453&lt;&gt;"",L453&lt;&gt;"",N453&lt;&gt;"",O453&lt;&gt;"",P453&lt;&gt;"",S453="Sí"),5,IF(AND(H453&lt;&gt;"",I453&lt;&gt;"",P453&lt;&gt;"",S453&lt;&gt;"No"),4,IF(AND(H453&lt;&gt;"",I453&lt;&gt;""),3,IF(F453&lt;&gt;"",2,1)))))</x:f>
        <x:v>T5</x:v>
      </x:c>
      <x:c r="U453" s="24" t="str">
        <x:v>VRM Games</x:v>
      </x:c>
      <x:c r="V453" s="24" t="str">
        <x:v>No se detectó proveedor externo en la ruta; confirmar autoría por lote antes de release público.</x:v>
      </x:c>
    </x:row>
    <x:row r="454" ht="34" customHeight="1">
      <x:c r="A454" s="24" t="str">
        <x:v>TRC-00450</x:v>
      </x:c>
      <x:c r="B454" s="24" t="str">
        <x:v>e18c2ca879e34e02bd1224c7ec69c7bd</x:v>
      </x:c>
      <x:c r="C454" s="24" t="str">
        <x:v>DeliveryStatus.cs</x:v>
      </x:c>
      <x:c r="D454" s="24" t="str">
        <x:v>Code</x:v>
      </x:c>
      <x:c r="E454" s="24" t="str">
        <x:v>03_Assets_Internos</x:v>
      </x:c>
      <x:c r="F454" s="24" t="str">
        <x:v>INT-0450</x:v>
      </x:c>
      <x:c r="G454" s="24" t="str">
        <x:v>VRM Games / Blas Luis Rocha González</x:v>
      </x:c>
      <x:c r="H454" s="24" t="str">
        <x:v>Internal project IP / authorship claim</x:v>
      </x:c>
      <x:c r="I454" s="24" t="str">
        <x:v>Source package + repository path + hash</x:v>
      </x:c>
      <x:c r="J454" s="24" t="str">
        <x:v>a276ed44cf4aeb4b74d4ddd1d7587d57dc65aa49d8aba9138f3a66f99a24e8e7</x:v>
      </x:c>
      <x:c r="K454" s="24" t="str">
        <x:v>Assets/_Project/Scripts/Domain/Receiving/DeliveryStatus.cs</x:v>
      </x:c>
      <x:c r="L454" s="24" t="str">
        <x:v>CR-003</x:v>
      </x:c>
      <x:c r="M454" s="24" t="str"/>
      <x:c r="N454" s="24" t="str">
        <x:v>RES-001;RES-014</x:v>
      </x:c>
      <x:c r="O454" s="24" t="str">
        <x:v>Internal development; public candidate requires gate</x:v>
      </x:c>
      <x:c r="P454" s="24" t="str">
        <x:v>CONDITIONALLY APPROVED</x:v>
      </x:c>
      <x:c r="Q454" s="24" t="str">
        <x:v>Low</x:v>
      </x:c>
      <x:c r="R454" s="24" t="str"/>
      <x:c r="S454" s="24" t="str">
        <x:v>Sí</x:v>
      </x:c>
      <x:c r="T454" s="24" t="str">
        <x:f>"T"&amp;IF(AND(H454&lt;&gt;"",I454&lt;&gt;"",J454&lt;&gt;"",L454&lt;&gt;"",N454&lt;&gt;"",O454&lt;&gt;"",P454="APPROVED PUBLIC",S454="Sí"),6,IF(AND(H454&lt;&gt;"",I454&lt;&gt;"",J454&lt;&gt;"",L454&lt;&gt;"",N454&lt;&gt;"",O454&lt;&gt;"",P454&lt;&gt;"",S454="Sí"),5,IF(AND(H454&lt;&gt;"",I454&lt;&gt;"",P454&lt;&gt;"",S454&lt;&gt;"No"),4,IF(AND(H454&lt;&gt;"",I454&lt;&gt;""),3,IF(F454&lt;&gt;"",2,1)))))</x:f>
        <x:v>T5</x:v>
      </x:c>
      <x:c r="U454" s="24" t="str">
        <x:v>VRM Games</x:v>
      </x:c>
      <x:c r="V454" s="24" t="str">
        <x:v>No se detectó proveedor externo en la ruta; confirmar autoría por lote antes de release público.</x:v>
      </x:c>
    </x:row>
    <x:row r="455" ht="34" customHeight="1">
      <x:c r="A455" s="24" t="str">
        <x:v>TRC-00451</x:v>
      </x:c>
      <x:c r="B455" s="24" t="str">
        <x:v>03953c179c074f3ba8e9c630da5f39c8</x:v>
      </x:c>
      <x:c r="C455" s="24" t="str">
        <x:v>ShipmentBox.cs</x:v>
      </x:c>
      <x:c r="D455" s="24" t="str">
        <x:v>Code</x:v>
      </x:c>
      <x:c r="E455" s="24" t="str">
        <x:v>03_Assets_Internos</x:v>
      </x:c>
      <x:c r="F455" s="24" t="str">
        <x:v>INT-0451</x:v>
      </x:c>
      <x:c r="G455" s="24" t="str">
        <x:v>VRM Games / Blas Luis Rocha González</x:v>
      </x:c>
      <x:c r="H455" s="24" t="str">
        <x:v>Internal project IP / authorship claim</x:v>
      </x:c>
      <x:c r="I455" s="24" t="str">
        <x:v>Source package + repository path + hash</x:v>
      </x:c>
      <x:c r="J455" s="24" t="str">
        <x:v>fc6efdf24bc1cf9260a08e70e1c2f8bf1e9c1ba374dc25f1450fed47b74f688f</x:v>
      </x:c>
      <x:c r="K455" s="24" t="str">
        <x:v>Assets/_Project/Scripts/Domain/Receiving/ShipmentBox.cs</x:v>
      </x:c>
      <x:c r="L455" s="24" t="str">
        <x:v>CR-003</x:v>
      </x:c>
      <x:c r="M455" s="24" t="str"/>
      <x:c r="N455" s="24" t="str">
        <x:v>RES-001;RES-014</x:v>
      </x:c>
      <x:c r="O455" s="24" t="str">
        <x:v>Internal development; public candidate requires gate</x:v>
      </x:c>
      <x:c r="P455" s="24" t="str">
        <x:v>CONDITIONALLY APPROVED</x:v>
      </x:c>
      <x:c r="Q455" s="24" t="str">
        <x:v>Low</x:v>
      </x:c>
      <x:c r="R455" s="24" t="str"/>
      <x:c r="S455" s="24" t="str">
        <x:v>Sí</x:v>
      </x:c>
      <x:c r="T455" s="24" t="str">
        <x:f>"T"&amp;IF(AND(H455&lt;&gt;"",I455&lt;&gt;"",J455&lt;&gt;"",L455&lt;&gt;"",N455&lt;&gt;"",O455&lt;&gt;"",P455="APPROVED PUBLIC",S455="Sí"),6,IF(AND(H455&lt;&gt;"",I455&lt;&gt;"",J455&lt;&gt;"",L455&lt;&gt;"",N455&lt;&gt;"",O455&lt;&gt;"",P455&lt;&gt;"",S455="Sí"),5,IF(AND(H455&lt;&gt;"",I455&lt;&gt;"",P455&lt;&gt;"",S455&lt;&gt;"No"),4,IF(AND(H455&lt;&gt;"",I455&lt;&gt;""),3,IF(F455&lt;&gt;"",2,1)))))</x:f>
        <x:v>T5</x:v>
      </x:c>
      <x:c r="U455" s="24" t="str">
        <x:v>VRM Games</x:v>
      </x:c>
      <x:c r="V455" s="24" t="str">
        <x:v>No se detectó proveedor externo en la ruta; confirmar autoría por lote antes de release público.</x:v>
      </x:c>
    </x:row>
    <x:row r="456" ht="34" customHeight="1">
      <x:c r="A456" s="24" t="str">
        <x:v>TRC-00452</x:v>
      </x:c>
      <x:c r="B456" s="24" t="str">
        <x:v>34e8640d15224e219cb7adb2c63346c1</x:v>
      </x:c>
      <x:c r="C456" s="24" t="str">
        <x:v>ShipmentBoxId.cs</x:v>
      </x:c>
      <x:c r="D456" s="24" t="str">
        <x:v>Code</x:v>
      </x:c>
      <x:c r="E456" s="24" t="str">
        <x:v>03_Assets_Internos</x:v>
      </x:c>
      <x:c r="F456" s="24" t="str">
        <x:v>INT-0452</x:v>
      </x:c>
      <x:c r="G456" s="24" t="str">
        <x:v>VRM Games / Blas Luis Rocha González</x:v>
      </x:c>
      <x:c r="H456" s="24" t="str">
        <x:v>Internal project IP / authorship claim</x:v>
      </x:c>
      <x:c r="I456" s="24" t="str">
        <x:v>Source package + repository path + hash</x:v>
      </x:c>
      <x:c r="J456" s="24" t="str">
        <x:v>7559c8b6263399db59a5cbc9a151ca8ce6e5e4c1678195bbf15446d7378daaf5</x:v>
      </x:c>
      <x:c r="K456" s="24" t="str">
        <x:v>Assets/_Project/Scripts/Domain/Receiving/ShipmentBoxId.cs</x:v>
      </x:c>
      <x:c r="L456" s="24" t="str">
        <x:v>CR-003</x:v>
      </x:c>
      <x:c r="M456" s="24" t="str"/>
      <x:c r="N456" s="24" t="str">
        <x:v>RES-001;RES-014</x:v>
      </x:c>
      <x:c r="O456" s="24" t="str">
        <x:v>Internal development; public candidate requires gate</x:v>
      </x:c>
      <x:c r="P456" s="24" t="str">
        <x:v>CONDITIONALLY APPROVED</x:v>
      </x:c>
      <x:c r="Q456" s="24" t="str">
        <x:v>Low</x:v>
      </x:c>
      <x:c r="R456" s="24" t="str"/>
      <x:c r="S456" s="24" t="str">
        <x:v>Sí</x:v>
      </x:c>
      <x:c r="T456" s="24" t="str">
        <x:f>"T"&amp;IF(AND(H456&lt;&gt;"",I456&lt;&gt;"",J456&lt;&gt;"",L456&lt;&gt;"",N456&lt;&gt;"",O456&lt;&gt;"",P456="APPROVED PUBLIC",S456="Sí"),6,IF(AND(H456&lt;&gt;"",I456&lt;&gt;"",J456&lt;&gt;"",L456&lt;&gt;"",N456&lt;&gt;"",O456&lt;&gt;"",P456&lt;&gt;"",S456="Sí"),5,IF(AND(H456&lt;&gt;"",I456&lt;&gt;"",P456&lt;&gt;"",S456&lt;&gt;"No"),4,IF(AND(H456&lt;&gt;"",I456&lt;&gt;""),3,IF(F456&lt;&gt;"",2,1)))))</x:f>
        <x:v>T5</x:v>
      </x:c>
      <x:c r="U456" s="24" t="str">
        <x:v>VRM Games</x:v>
      </x:c>
      <x:c r="V456" s="24" t="str">
        <x:v>No se detectó proveedor externo en la ruta; confirmar autoría por lote antes de release público.</x:v>
      </x:c>
    </x:row>
    <x:row r="457" ht="34" customHeight="1">
      <x:c r="A457" s="24" t="str">
        <x:v>TRC-00453</x:v>
      </x:c>
      <x:c r="B457" s="24" t="str">
        <x:v>2f62ef3f3af840908ff8d7cf3b7698d1</x:v>
      </x:c>
      <x:c r="C457" s="24" t="str">
        <x:v>CustomerShoppingSessionRegistry.cs</x:v>
      </x:c>
      <x:c r="D457" s="24" t="str">
        <x:v>Code</x:v>
      </x:c>
      <x:c r="E457" s="24" t="str">
        <x:v>03_Assets_Internos</x:v>
      </x:c>
      <x:c r="F457" s="24" t="str">
        <x:v>INT-0453</x:v>
      </x:c>
      <x:c r="G457" s="24" t="str">
        <x:v>VRM Games / Blas Luis Rocha González</x:v>
      </x:c>
      <x:c r="H457" s="24" t="str">
        <x:v>Internal project IP / authorship claim</x:v>
      </x:c>
      <x:c r="I457" s="24" t="str">
        <x:v>Source package + repository path + hash</x:v>
      </x:c>
      <x:c r="J457" s="24" t="str">
        <x:v>1511c2aa325dd5b55fbb2bbf6ceaab3d93bafd08fe0f087a2ff8da41e99dbeac</x:v>
      </x:c>
      <x:c r="K457" s="24" t="str">
        <x:v>Assets/_Project/Scripts/Domain/Shopping/CustomerShoppingSessionRegistry.cs</x:v>
      </x:c>
      <x:c r="L457" s="24" t="str">
        <x:v>CR-003</x:v>
      </x:c>
      <x:c r="M457" s="24" t="str"/>
      <x:c r="N457" s="24" t="str">
        <x:v>RES-001;RES-014</x:v>
      </x:c>
      <x:c r="O457" s="24" t="str">
        <x:v>Internal development; public candidate requires gate</x:v>
      </x:c>
      <x:c r="P457" s="24" t="str">
        <x:v>CONDITIONALLY APPROVED</x:v>
      </x:c>
      <x:c r="Q457" s="24" t="str">
        <x:v>Low</x:v>
      </x:c>
      <x:c r="R457" s="24" t="str"/>
      <x:c r="S457" s="24" t="str">
        <x:v>Sí</x:v>
      </x:c>
      <x:c r="T457" s="24" t="str">
        <x:f>"T"&amp;IF(AND(H457&lt;&gt;"",I457&lt;&gt;"",J457&lt;&gt;"",L457&lt;&gt;"",N457&lt;&gt;"",O457&lt;&gt;"",P457="APPROVED PUBLIC",S457="Sí"),6,IF(AND(H457&lt;&gt;"",I457&lt;&gt;"",J457&lt;&gt;"",L457&lt;&gt;"",N457&lt;&gt;"",O457&lt;&gt;"",P457&lt;&gt;"",S457="Sí"),5,IF(AND(H457&lt;&gt;"",I457&lt;&gt;"",P457&lt;&gt;"",S457&lt;&gt;"No"),4,IF(AND(H457&lt;&gt;"",I457&lt;&gt;""),3,IF(F457&lt;&gt;"",2,1)))))</x:f>
        <x:v>T5</x:v>
      </x:c>
      <x:c r="U457" s="24" t="str">
        <x:v>VRM Games</x:v>
      </x:c>
      <x:c r="V457" s="24" t="str">
        <x:v>No se detectó proveedor externo en la ruta; confirmar autoría por lote antes de release público.</x:v>
      </x:c>
    </x:row>
    <x:row r="458" ht="34" customHeight="1">
      <x:c r="A458" s="24" t="str">
        <x:v>TRC-00454</x:v>
      </x:c>
      <x:c r="B458" s="24" t="str">
        <x:v>3fd15acc7cf84c2e90c6f54a39f93be8</x:v>
      </x:c>
      <x:c r="C458" s="24" t="str">
        <x:v>ShoppingCartAndSession.cs</x:v>
      </x:c>
      <x:c r="D458" s="24" t="str">
        <x:v>Code</x:v>
      </x:c>
      <x:c r="E458" s="24" t="str">
        <x:v>03_Assets_Internos</x:v>
      </x:c>
      <x:c r="F458" s="24" t="str">
        <x:v>INT-0454</x:v>
      </x:c>
      <x:c r="G458" s="24" t="str">
        <x:v>VRM Games / Blas Luis Rocha González</x:v>
      </x:c>
      <x:c r="H458" s="24" t="str">
        <x:v>Internal project IP / authorship claim</x:v>
      </x:c>
      <x:c r="I458" s="24" t="str">
        <x:v>Source package + repository path + hash</x:v>
      </x:c>
      <x:c r="J458" s="24" t="str">
        <x:v>b5c065859f41213a47020548701decb29c9bcb1477459601a4842879f109627c</x:v>
      </x:c>
      <x:c r="K458" s="24" t="str">
        <x:v>Assets/_Project/Scripts/Domain/Shopping/ShoppingCartAndSession.cs</x:v>
      </x:c>
      <x:c r="L458" s="24" t="str">
        <x:v>CR-003</x:v>
      </x:c>
      <x:c r="M458" s="24" t="str"/>
      <x:c r="N458" s="24" t="str">
        <x:v>RES-001;RES-014</x:v>
      </x:c>
      <x:c r="O458" s="24" t="str">
        <x:v>Internal development; public candidate requires gate</x:v>
      </x:c>
      <x:c r="P458" s="24" t="str">
        <x:v>CONDITIONALLY APPROVED</x:v>
      </x:c>
      <x:c r="Q458" s="24" t="str">
        <x:v>Low</x:v>
      </x:c>
      <x:c r="R458" s="24" t="str"/>
      <x:c r="S458" s="24" t="str">
        <x:v>Sí</x:v>
      </x:c>
      <x:c r="T458" s="24" t="str">
        <x:f>"T"&amp;IF(AND(H458&lt;&gt;"",I458&lt;&gt;"",J458&lt;&gt;"",L458&lt;&gt;"",N458&lt;&gt;"",O458&lt;&gt;"",P458="APPROVED PUBLIC",S458="Sí"),6,IF(AND(H458&lt;&gt;"",I458&lt;&gt;"",J458&lt;&gt;"",L458&lt;&gt;"",N458&lt;&gt;"",O458&lt;&gt;"",P458&lt;&gt;"",S458="Sí"),5,IF(AND(H458&lt;&gt;"",I458&lt;&gt;"",P458&lt;&gt;"",S458&lt;&gt;"No"),4,IF(AND(H458&lt;&gt;"",I458&lt;&gt;""),3,IF(F458&lt;&gt;"",2,1)))))</x:f>
        <x:v>T5</x:v>
      </x:c>
      <x:c r="U458" s="24" t="str">
        <x:v>VRM Games</x:v>
      </x:c>
      <x:c r="V458" s="24" t="str">
        <x:v>No se detectó proveedor externo en la ruta; confirmar autoría por lote antes de release público.</x:v>
      </x:c>
    </x:row>
    <x:row r="459" ht="34" customHeight="1">
      <x:c r="A459" s="24" t="str">
        <x:v>TRC-00455</x:v>
      </x:c>
      <x:c r="B459" s="24" t="str">
        <x:v>784bbb53df78474486c9995a36f3f962</x:v>
      </x:c>
      <x:c r="C459" s="24" t="str">
        <x:v>ShoppingIds.cs</x:v>
      </x:c>
      <x:c r="D459" s="24" t="str">
        <x:v>Code</x:v>
      </x:c>
      <x:c r="E459" s="24" t="str">
        <x:v>03_Assets_Internos</x:v>
      </x:c>
      <x:c r="F459" s="24" t="str">
        <x:v>INT-0455</x:v>
      </x:c>
      <x:c r="G459" s="24" t="str">
        <x:v>VRM Games / Blas Luis Rocha González</x:v>
      </x:c>
      <x:c r="H459" s="24" t="str">
        <x:v>Internal project IP / authorship claim</x:v>
      </x:c>
      <x:c r="I459" s="24" t="str">
        <x:v>Source package + repository path + hash</x:v>
      </x:c>
      <x:c r="J459" s="24" t="str">
        <x:v>63b123f134ad63afd85d78813288e80c5d5790e7590de807e340e5dfbd52b658</x:v>
      </x:c>
      <x:c r="K459" s="24" t="str">
        <x:v>Assets/_Project/Scripts/Domain/Shopping/ShoppingIds.cs</x:v>
      </x:c>
      <x:c r="L459" s="24" t="str">
        <x:v>CR-003</x:v>
      </x:c>
      <x:c r="M459" s="24" t="str"/>
      <x:c r="N459" s="24" t="str">
        <x:v>RES-001;RES-014</x:v>
      </x:c>
      <x:c r="O459" s="24" t="str">
        <x:v>Internal development; public candidate requires gate</x:v>
      </x:c>
      <x:c r="P459" s="24" t="str">
        <x:v>CONDITIONALLY APPROVED</x:v>
      </x:c>
      <x:c r="Q459" s="24" t="str">
        <x:v>Low</x:v>
      </x:c>
      <x:c r="R459" s="24" t="str"/>
      <x:c r="S459" s="24" t="str">
        <x:v>Sí</x:v>
      </x:c>
      <x:c r="T459" s="24" t="str">
        <x:f>"T"&amp;IF(AND(H459&lt;&gt;"",I459&lt;&gt;"",J459&lt;&gt;"",L459&lt;&gt;"",N459&lt;&gt;"",O459&lt;&gt;"",P459="APPROVED PUBLIC",S459="Sí"),6,IF(AND(H459&lt;&gt;"",I459&lt;&gt;"",J459&lt;&gt;"",L459&lt;&gt;"",N459&lt;&gt;"",O459&lt;&gt;"",P459&lt;&gt;"",S459="Sí"),5,IF(AND(H459&lt;&gt;"",I459&lt;&gt;"",P459&lt;&gt;"",S459&lt;&gt;"No"),4,IF(AND(H459&lt;&gt;"",I459&lt;&gt;""),3,IF(F459&lt;&gt;"",2,1)))))</x:f>
        <x:v>T5</x:v>
      </x:c>
      <x:c r="U459" s="24" t="str">
        <x:v>VRM Games</x:v>
      </x:c>
      <x:c r="V459" s="24" t="str">
        <x:v>No se detectó proveedor externo en la ruta; confirmar autoría por lote antes de release público.</x:v>
      </x:c>
    </x:row>
    <x:row r="460" ht="34" customHeight="1">
      <x:c r="A460" s="24" t="str">
        <x:v>TRC-00456</x:v>
      </x:c>
      <x:c r="B460" s="24" t="str">
        <x:v>fbff9dc127eb45eba42130f912986d7e</x:v>
      </x:c>
      <x:c r="C460" s="24" t="str">
        <x:v>ShoppingIntentAndPolicy.cs</x:v>
      </x:c>
      <x:c r="D460" s="24" t="str">
        <x:v>Code</x:v>
      </x:c>
      <x:c r="E460" s="24" t="str">
        <x:v>03_Assets_Internos</x:v>
      </x:c>
      <x:c r="F460" s="24" t="str">
        <x:v>INT-0456</x:v>
      </x:c>
      <x:c r="G460" s="24" t="str">
        <x:v>VRM Games / Blas Luis Rocha González</x:v>
      </x:c>
      <x:c r="H460" s="24" t="str">
        <x:v>Internal project IP / authorship claim</x:v>
      </x:c>
      <x:c r="I460" s="24" t="str">
        <x:v>Source package + repository path + hash</x:v>
      </x:c>
      <x:c r="J460" s="24" t="str">
        <x:v>c6bb516f3b5f159ebd79beee155949834f3f11c2985fd7d8b33f91fa042ed7ea</x:v>
      </x:c>
      <x:c r="K460" s="24" t="str">
        <x:v>Assets/_Project/Scripts/Domain/Shopping/ShoppingIntentAndPolicy.cs</x:v>
      </x:c>
      <x:c r="L460" s="24" t="str">
        <x:v>CR-003</x:v>
      </x:c>
      <x:c r="M460" s="24" t="str"/>
      <x:c r="N460" s="24" t="str">
        <x:v>RES-001;RES-014</x:v>
      </x:c>
      <x:c r="O460" s="24" t="str">
        <x:v>Internal development; public candidate requires gate</x:v>
      </x:c>
      <x:c r="P460" s="24" t="str">
        <x:v>CONDITIONALLY APPROVED</x:v>
      </x:c>
      <x:c r="Q460" s="24" t="str">
        <x:v>Low</x:v>
      </x:c>
      <x:c r="R460" s="24" t="str"/>
      <x:c r="S460" s="24" t="str">
        <x:v>Sí</x:v>
      </x:c>
      <x:c r="T460" s="24" t="str">
        <x:f>"T"&amp;IF(AND(H460&lt;&gt;"",I460&lt;&gt;"",J460&lt;&gt;"",L460&lt;&gt;"",N460&lt;&gt;"",O460&lt;&gt;"",P460="APPROVED PUBLIC",S460="Sí"),6,IF(AND(H460&lt;&gt;"",I460&lt;&gt;"",J460&lt;&gt;"",L460&lt;&gt;"",N460&lt;&gt;"",O460&lt;&gt;"",P460&lt;&gt;"",S460="Sí"),5,IF(AND(H460&lt;&gt;"",I460&lt;&gt;"",P460&lt;&gt;"",S460&lt;&gt;"No"),4,IF(AND(H460&lt;&gt;"",I460&lt;&gt;""),3,IF(F460&lt;&gt;"",2,1)))))</x:f>
        <x:v>T5</x:v>
      </x:c>
      <x:c r="U460" s="24" t="str">
        <x:v>VRM Games</x:v>
      </x:c>
      <x:c r="V460" s="24" t="str">
        <x:v>No se detectó proveedor externo en la ruta; confirmar autoría por lote antes de release público.</x:v>
      </x:c>
    </x:row>
    <x:row r="461" ht="34" customHeight="1">
      <x:c r="A461" s="24" t="str">
        <x:v>TRC-00457</x:v>
      </x:c>
      <x:c r="B461" s="24" t="str">
        <x:v>f3fe4161c42b43f58e2cb10003cecd1f</x:v>
      </x:c>
      <x:c r="C461" s="24" t="str">
        <x:v>ShoppingReservations.cs</x:v>
      </x:c>
      <x:c r="D461" s="24" t="str">
        <x:v>Code</x:v>
      </x:c>
      <x:c r="E461" s="24" t="str">
        <x:v>03_Assets_Internos</x:v>
      </x:c>
      <x:c r="F461" s="24" t="str">
        <x:v>INT-0457</x:v>
      </x:c>
      <x:c r="G461" s="24" t="str">
        <x:v>VRM Games / Blas Luis Rocha González</x:v>
      </x:c>
      <x:c r="H461" s="24" t="str">
        <x:v>Internal project IP / authorship claim</x:v>
      </x:c>
      <x:c r="I461" s="24" t="str">
        <x:v>Source package + repository path + hash</x:v>
      </x:c>
      <x:c r="J461" s="24" t="str">
        <x:v>c6ca0afefd6add1360b463f93e2fa4d7468763261ce7625bb1d6a05e0716ca50</x:v>
      </x:c>
      <x:c r="K461" s="24" t="str">
        <x:v>Assets/_Project/Scripts/Domain/Shopping/ShoppingReservations.cs</x:v>
      </x:c>
      <x:c r="L461" s="24" t="str">
        <x:v>CR-003</x:v>
      </x:c>
      <x:c r="M461" s="24" t="str"/>
      <x:c r="N461" s="24" t="str">
        <x:v>RES-001;RES-014</x:v>
      </x:c>
      <x:c r="O461" s="24" t="str">
        <x:v>Internal development; public candidate requires gate</x:v>
      </x:c>
      <x:c r="P461" s="24" t="str">
        <x:v>CONDITIONALLY APPROVED</x:v>
      </x:c>
      <x:c r="Q461" s="24" t="str">
        <x:v>Low</x:v>
      </x:c>
      <x:c r="R461" s="24" t="str"/>
      <x:c r="S461" s="24" t="str">
        <x:v>Sí</x:v>
      </x:c>
      <x:c r="T461" s="24" t="str">
        <x:f>"T"&amp;IF(AND(H461&lt;&gt;"",I461&lt;&gt;"",J461&lt;&gt;"",L461&lt;&gt;"",N461&lt;&gt;"",O461&lt;&gt;"",P461="APPROVED PUBLIC",S461="Sí"),6,IF(AND(H461&lt;&gt;"",I461&lt;&gt;"",J461&lt;&gt;"",L461&lt;&gt;"",N461&lt;&gt;"",O461&lt;&gt;"",P461&lt;&gt;"",S461="Sí"),5,IF(AND(H461&lt;&gt;"",I461&lt;&gt;"",P461&lt;&gt;"",S461&lt;&gt;"No"),4,IF(AND(H461&lt;&gt;"",I461&lt;&gt;""),3,IF(F461&lt;&gt;"",2,1)))))</x:f>
        <x:v>T5</x:v>
      </x:c>
      <x:c r="U461" s="24" t="str">
        <x:v>VRM Games</x:v>
      </x:c>
      <x:c r="V461" s="24" t="str">
        <x:v>No se detectó proveedor externo en la ruta; confirmar autoría por lote antes de release público.</x:v>
      </x:c>
    </x:row>
    <x:row r="462" ht="34" customHeight="1">
      <x:c r="A462" s="24" t="str">
        <x:v>TRC-00458</x:v>
      </x:c>
      <x:c r="B462" s="24" t="str">
        <x:v>30722d6a9965451197c38273c2be2a70</x:v>
      </x:c>
      <x:c r="C462" s="24" t="str">
        <x:v>SupplierCatalog.cs</x:v>
      </x:c>
      <x:c r="D462" s="24" t="str">
        <x:v>Code</x:v>
      </x:c>
      <x:c r="E462" s="24" t="str">
        <x:v>03_Assets_Internos</x:v>
      </x:c>
      <x:c r="F462" s="24" t="str">
        <x:v>INT-0458</x:v>
      </x:c>
      <x:c r="G462" s="24" t="str">
        <x:v>VRM Games / Blas Luis Rocha González</x:v>
      </x:c>
      <x:c r="H462" s="24" t="str">
        <x:v>Internal project IP / authorship claim</x:v>
      </x:c>
      <x:c r="I462" s="24" t="str">
        <x:v>Source package + repository path + hash</x:v>
      </x:c>
      <x:c r="J462" s="24" t="str">
        <x:v>5e4796d76091a706c90006d11fe861e100cafb404769c2349262b564e61f9995</x:v>
      </x:c>
      <x:c r="K462" s="24" t="str">
        <x:v>Assets/_Project/Scripts/Domain/Suppliers/SupplierCatalog.cs</x:v>
      </x:c>
      <x:c r="L462" s="24" t="str">
        <x:v>CR-003</x:v>
      </x:c>
      <x:c r="M462" s="24" t="str"/>
      <x:c r="N462" s="24" t="str">
        <x:v>RES-001;RES-014</x:v>
      </x:c>
      <x:c r="O462" s="24" t="str">
        <x:v>Internal development; public candidate requires gate</x:v>
      </x:c>
      <x:c r="P462" s="24" t="str">
        <x:v>CONDITIONALLY APPROVED</x:v>
      </x:c>
      <x:c r="Q462" s="24" t="str">
        <x:v>Low</x:v>
      </x:c>
      <x:c r="R462" s="24" t="str"/>
      <x:c r="S462" s="24" t="str">
        <x:v>Sí</x:v>
      </x:c>
      <x:c r="T462" s="24" t="str">
        <x:f>"T"&amp;IF(AND(H462&lt;&gt;"",I462&lt;&gt;"",J462&lt;&gt;"",L462&lt;&gt;"",N462&lt;&gt;"",O462&lt;&gt;"",P462="APPROVED PUBLIC",S462="Sí"),6,IF(AND(H462&lt;&gt;"",I462&lt;&gt;"",J462&lt;&gt;"",L462&lt;&gt;"",N462&lt;&gt;"",O462&lt;&gt;"",P462&lt;&gt;"",S462="Sí"),5,IF(AND(H462&lt;&gt;"",I462&lt;&gt;"",P462&lt;&gt;"",S462&lt;&gt;"No"),4,IF(AND(H462&lt;&gt;"",I462&lt;&gt;""),3,IF(F462&lt;&gt;"",2,1)))))</x:f>
        <x:v>T5</x:v>
      </x:c>
      <x:c r="U462" s="24" t="str">
        <x:v>VRM Games</x:v>
      </x:c>
      <x:c r="V462" s="24" t="str">
        <x:v>No se detectó proveedor externo en la ruta; confirmar autoría por lote antes de release público.</x:v>
      </x:c>
    </x:row>
    <x:row r="463" ht="34" customHeight="1">
      <x:c r="A463" s="24" t="str">
        <x:v>TRC-00459</x:v>
      </x:c>
      <x:c r="B463" s="24" t="str">
        <x:v>a65e67378b9e425dae27b73f2ba4db3b</x:v>
      </x:c>
      <x:c r="C463" s="24" t="str">
        <x:v>SupplierCatalogEntry.cs</x:v>
      </x:c>
      <x:c r="D463" s="24" t="str">
        <x:v>Code</x:v>
      </x:c>
      <x:c r="E463" s="24" t="str">
        <x:v>03_Assets_Internos</x:v>
      </x:c>
      <x:c r="F463" s="24" t="str">
        <x:v>INT-0459</x:v>
      </x:c>
      <x:c r="G463" s="24" t="str">
        <x:v>VRM Games / Blas Luis Rocha González</x:v>
      </x:c>
      <x:c r="H463" s="24" t="str">
        <x:v>Internal project IP / authorship claim</x:v>
      </x:c>
      <x:c r="I463" s="24" t="str">
        <x:v>Source package + repository path + hash</x:v>
      </x:c>
      <x:c r="J463" s="24" t="str">
        <x:v>5bcc6f43ff2ebcf98f429365a59f795c35f2b7424d7ed66528712899133968e5</x:v>
      </x:c>
      <x:c r="K463" s="24" t="str">
        <x:v>Assets/_Project/Scripts/Domain/Suppliers/SupplierCatalogEntry.cs</x:v>
      </x:c>
      <x:c r="L463" s="24" t="str">
        <x:v>CR-003</x:v>
      </x:c>
      <x:c r="M463" s="24" t="str"/>
      <x:c r="N463" s="24" t="str">
        <x:v>RES-001;RES-014</x:v>
      </x:c>
      <x:c r="O463" s="24" t="str">
        <x:v>Internal development; public candidate requires gate</x:v>
      </x:c>
      <x:c r="P463" s="24" t="str">
        <x:v>CONDITIONALLY APPROVED</x:v>
      </x:c>
      <x:c r="Q463" s="24" t="str">
        <x:v>Low</x:v>
      </x:c>
      <x:c r="R463" s="24" t="str"/>
      <x:c r="S463" s="24" t="str">
        <x:v>Sí</x:v>
      </x:c>
      <x:c r="T463" s="24" t="str">
        <x:f>"T"&amp;IF(AND(H463&lt;&gt;"",I463&lt;&gt;"",J463&lt;&gt;"",L463&lt;&gt;"",N463&lt;&gt;"",O463&lt;&gt;"",P463="APPROVED PUBLIC",S463="Sí"),6,IF(AND(H463&lt;&gt;"",I463&lt;&gt;"",J463&lt;&gt;"",L463&lt;&gt;"",N463&lt;&gt;"",O463&lt;&gt;"",P463&lt;&gt;"",S463="Sí"),5,IF(AND(H463&lt;&gt;"",I463&lt;&gt;"",P463&lt;&gt;"",S463&lt;&gt;"No"),4,IF(AND(H463&lt;&gt;"",I463&lt;&gt;""),3,IF(F463&lt;&gt;"",2,1)))))</x:f>
        <x:v>T5</x:v>
      </x:c>
      <x:c r="U463" s="24" t="str">
        <x:v>VRM Games</x:v>
      </x:c>
      <x:c r="V463" s="24" t="str">
        <x:v>No se detectó proveedor externo en la ruta; confirmar autoría por lote antes de release público.</x:v>
      </x:c>
    </x:row>
    <x:row r="464" ht="34" customHeight="1">
      <x:c r="A464" s="24" t="str">
        <x:v>TRC-00460</x:v>
      </x:c>
      <x:c r="B464" s="24" t="str">
        <x:v>15f1ecbe92a94d8b8a982a9b2e150bdd</x:v>
      </x:c>
      <x:c r="C464" s="24" t="str">
        <x:v>SupplierCatalogId.cs</x:v>
      </x:c>
      <x:c r="D464" s="24" t="str">
        <x:v>Code</x:v>
      </x:c>
      <x:c r="E464" s="24" t="str">
        <x:v>03_Assets_Internos</x:v>
      </x:c>
      <x:c r="F464" s="24" t="str">
        <x:v>INT-0460</x:v>
      </x:c>
      <x:c r="G464" s="24" t="str">
        <x:v>VRM Games / Blas Luis Rocha González</x:v>
      </x:c>
      <x:c r="H464" s="24" t="str">
        <x:v>Internal project IP / authorship claim</x:v>
      </x:c>
      <x:c r="I464" s="24" t="str">
        <x:v>Source package + repository path + hash</x:v>
      </x:c>
      <x:c r="J464" s="24" t="str">
        <x:v>364fd0905574c8c1ae1230046ff67acad2199426de8492623ebf47712577c91f</x:v>
      </x:c>
      <x:c r="K464" s="24" t="str">
        <x:v>Assets/_Project/Scripts/Domain/Suppliers/SupplierCatalogId.cs</x:v>
      </x:c>
      <x:c r="L464" s="24" t="str">
        <x:v>CR-003</x:v>
      </x:c>
      <x:c r="M464" s="24" t="str"/>
      <x:c r="N464" s="24" t="str">
        <x:v>RES-001;RES-014</x:v>
      </x:c>
      <x:c r="O464" s="24" t="str">
        <x:v>Internal development; public candidate requires gate</x:v>
      </x:c>
      <x:c r="P464" s="24" t="str">
        <x:v>CONDITIONALLY APPROVED</x:v>
      </x:c>
      <x:c r="Q464" s="24" t="str">
        <x:v>Low</x:v>
      </x:c>
      <x:c r="R464" s="24" t="str"/>
      <x:c r="S464" s="24" t="str">
        <x:v>Sí</x:v>
      </x:c>
      <x:c r="T464" s="24" t="str">
        <x:f>"T"&amp;IF(AND(H464&lt;&gt;"",I464&lt;&gt;"",J464&lt;&gt;"",L464&lt;&gt;"",N464&lt;&gt;"",O464&lt;&gt;"",P464="APPROVED PUBLIC",S464="Sí"),6,IF(AND(H464&lt;&gt;"",I464&lt;&gt;"",J464&lt;&gt;"",L464&lt;&gt;"",N464&lt;&gt;"",O464&lt;&gt;"",P464&lt;&gt;"",S464="Sí"),5,IF(AND(H464&lt;&gt;"",I464&lt;&gt;"",P464&lt;&gt;"",S464&lt;&gt;"No"),4,IF(AND(H464&lt;&gt;"",I464&lt;&gt;""),3,IF(F464&lt;&gt;"",2,1)))))</x:f>
        <x:v>T5</x:v>
      </x:c>
      <x:c r="U464" s="24" t="str">
        <x:v>VRM Games</x:v>
      </x:c>
      <x:c r="V464" s="24" t="str">
        <x:v>No se detectó proveedor externo en la ruta; confirmar autoría por lote antes de release público.</x:v>
      </x:c>
    </x:row>
    <x:row r="465" ht="34" customHeight="1">
      <x:c r="A465" s="24" t="str">
        <x:v>TRC-00461</x:v>
      </x:c>
      <x:c r="B465" s="24" t="str">
        <x:v>c04af6b581fc487187a101513c0896ec</x:v>
      </x:c>
      <x:c r="C465" s="24" t="str">
        <x:v>SupplierDefinition.cs</x:v>
      </x:c>
      <x:c r="D465" s="24" t="str">
        <x:v>Code</x:v>
      </x:c>
      <x:c r="E465" s="24" t="str">
        <x:v>03_Assets_Internos</x:v>
      </x:c>
      <x:c r="F465" s="24" t="str">
        <x:v>INT-0461</x:v>
      </x:c>
      <x:c r="G465" s="24" t="str">
        <x:v>VRM Games / Blas Luis Rocha González</x:v>
      </x:c>
      <x:c r="H465" s="24" t="str">
        <x:v>Internal project IP / authorship claim</x:v>
      </x:c>
      <x:c r="I465" s="24" t="str">
        <x:v>Source package + repository path + hash</x:v>
      </x:c>
      <x:c r="J465" s="24" t="str">
        <x:v>71dc1153b04a276be3669390e94fcce851186891b2a6e903054dde83b559f9ec</x:v>
      </x:c>
      <x:c r="K465" s="24" t="str">
        <x:v>Assets/_Project/Scripts/Domain/Suppliers/SupplierDefinition.cs</x:v>
      </x:c>
      <x:c r="L465" s="24" t="str">
        <x:v>CR-003</x:v>
      </x:c>
      <x:c r="M465" s="24" t="str"/>
      <x:c r="N465" s="24" t="str">
        <x:v>RES-001;RES-014</x:v>
      </x:c>
      <x:c r="O465" s="24" t="str">
        <x:v>Internal development; public candidate requires gate</x:v>
      </x:c>
      <x:c r="P465" s="24" t="str">
        <x:v>CONDITIONALLY APPROVED</x:v>
      </x:c>
      <x:c r="Q465" s="24" t="str">
        <x:v>Low</x:v>
      </x:c>
      <x:c r="R465" s="24" t="str"/>
      <x:c r="S465" s="24" t="str">
        <x:v>Sí</x:v>
      </x:c>
      <x:c r="T465" s="24" t="str">
        <x:f>"T"&amp;IF(AND(H465&lt;&gt;"",I465&lt;&gt;"",J465&lt;&gt;"",L465&lt;&gt;"",N465&lt;&gt;"",O465&lt;&gt;"",P465="APPROVED PUBLIC",S465="Sí"),6,IF(AND(H465&lt;&gt;"",I465&lt;&gt;"",J465&lt;&gt;"",L465&lt;&gt;"",N465&lt;&gt;"",O465&lt;&gt;"",P465&lt;&gt;"",S465="Sí"),5,IF(AND(H465&lt;&gt;"",I465&lt;&gt;"",P465&lt;&gt;"",S465&lt;&gt;"No"),4,IF(AND(H465&lt;&gt;"",I465&lt;&gt;""),3,IF(F465&lt;&gt;"",2,1)))))</x:f>
        <x:v>T5</x:v>
      </x:c>
      <x:c r="U465" s="24" t="str">
        <x:v>VRM Games</x:v>
      </x:c>
      <x:c r="V465" s="24" t="str">
        <x:v>No se detectó proveedor externo en la ruta; confirmar autoría por lote antes de release público.</x:v>
      </x:c>
    </x:row>
    <x:row r="466" ht="34" customHeight="1">
      <x:c r="A466" s="24" t="str">
        <x:v>TRC-00462</x:v>
      </x:c>
      <x:c r="B466" s="24" t="str">
        <x:v>581e61331e47415c8753aab396173e24</x:v>
      </x:c>
      <x:c r="C466" s="24" t="str">
        <x:v>SupplierId.cs</x:v>
      </x:c>
      <x:c r="D466" s="24" t="str">
        <x:v>Code</x:v>
      </x:c>
      <x:c r="E466" s="24" t="str">
        <x:v>03_Assets_Internos</x:v>
      </x:c>
      <x:c r="F466" s="24" t="str">
        <x:v>INT-0462</x:v>
      </x:c>
      <x:c r="G466" s="24" t="str">
        <x:v>VRM Games / Blas Luis Rocha González</x:v>
      </x:c>
      <x:c r="H466" s="24" t="str">
        <x:v>Internal project IP / authorship claim</x:v>
      </x:c>
      <x:c r="I466" s="24" t="str">
        <x:v>Source package + repository path + hash</x:v>
      </x:c>
      <x:c r="J466" s="24" t="str">
        <x:v>add84a9002f2f2b0a43a528110b582d2b3e6b0b71d49e15f7167f9d671e3b734</x:v>
      </x:c>
      <x:c r="K466" s="24" t="str">
        <x:v>Assets/_Project/Scripts/Domain/Suppliers/SupplierId.cs</x:v>
      </x:c>
      <x:c r="L466" s="24" t="str">
        <x:v>CR-003</x:v>
      </x:c>
      <x:c r="M466" s="24" t="str"/>
      <x:c r="N466" s="24" t="str">
        <x:v>RES-001;RES-014</x:v>
      </x:c>
      <x:c r="O466" s="24" t="str">
        <x:v>Internal development; public candidate requires gate</x:v>
      </x:c>
      <x:c r="P466" s="24" t="str">
        <x:v>CONDITIONALLY APPROVED</x:v>
      </x:c>
      <x:c r="Q466" s="24" t="str">
        <x:v>Low</x:v>
      </x:c>
      <x:c r="R466" s="24" t="str"/>
      <x:c r="S466" s="24" t="str">
        <x:v>Sí</x:v>
      </x:c>
      <x:c r="T466" s="24" t="str">
        <x:f>"T"&amp;IF(AND(H466&lt;&gt;"",I466&lt;&gt;"",J466&lt;&gt;"",L466&lt;&gt;"",N466&lt;&gt;"",O466&lt;&gt;"",P466="APPROVED PUBLIC",S466="Sí"),6,IF(AND(H466&lt;&gt;"",I466&lt;&gt;"",J466&lt;&gt;"",L466&lt;&gt;"",N466&lt;&gt;"",O466&lt;&gt;"",P466&lt;&gt;"",S466="Sí"),5,IF(AND(H466&lt;&gt;"",I466&lt;&gt;"",P466&lt;&gt;"",S466&lt;&gt;"No"),4,IF(AND(H466&lt;&gt;"",I466&lt;&gt;""),3,IF(F466&lt;&gt;"",2,1)))))</x:f>
        <x:v>T5</x:v>
      </x:c>
      <x:c r="U466" s="24" t="str">
        <x:v>VRM Games</x:v>
      </x:c>
      <x:c r="V466" s="24" t="str">
        <x:v>No se detectó proveedor externo en la ruta; confirmar autoría por lote antes de release público.</x:v>
      </x:c>
    </x:row>
    <x:row r="467" ht="34" customHeight="1">
      <x:c r="A467" s="24" t="str">
        <x:v>TRC-00463</x:v>
      </x:c>
      <x:c r="B467" s="24" t="str">
        <x:v>e92893095a4e4db1bae2a9d0ce3ece90</x:v>
      </x:c>
      <x:c r="C467" s="24" t="str">
        <x:v>SlotDescriptor.cs</x:v>
      </x:c>
      <x:c r="D467" s="24" t="str">
        <x:v>Code</x:v>
      </x:c>
      <x:c r="E467" s="24" t="str">
        <x:v>03_Assets_Internos</x:v>
      </x:c>
      <x:c r="F467" s="24" t="str">
        <x:v>INT-0463</x:v>
      </x:c>
      <x:c r="G467" s="24" t="str">
        <x:v>VRM Games / Blas Luis Rocha González</x:v>
      </x:c>
      <x:c r="H467" s="24" t="str">
        <x:v>Internal project IP / authorship claim</x:v>
      </x:c>
      <x:c r="I467" s="24" t="str">
        <x:v>Source package + repository path + hash</x:v>
      </x:c>
      <x:c r="J467" s="24" t="str">
        <x:v>0aa860b42b22ffbb82bb5691f0e66b4850edde996a6762c5ae142c2456c3dc66</x:v>
      </x:c>
      <x:c r="K467" s="24" t="str">
        <x:v>Assets/_Project/Scripts/Domain/UIUX/SlotDescriptor.cs</x:v>
      </x:c>
      <x:c r="L467" s="24" t="str">
        <x:v>CR-003</x:v>
      </x:c>
      <x:c r="M467" s="24" t="str"/>
      <x:c r="N467" s="24" t="str">
        <x:v>RES-001;RES-014</x:v>
      </x:c>
      <x:c r="O467" s="24" t="str">
        <x:v>Internal development; public candidate requires gate</x:v>
      </x:c>
      <x:c r="P467" s="24" t="str">
        <x:v>CONDITIONALLY APPROVED</x:v>
      </x:c>
      <x:c r="Q467" s="24" t="str">
        <x:v>Low</x:v>
      </x:c>
      <x:c r="R467" s="24" t="str"/>
      <x:c r="S467" s="24" t="str">
        <x:v>Sí</x:v>
      </x:c>
      <x:c r="T467" s="24" t="str">
        <x:f>"T"&amp;IF(AND(H467&lt;&gt;"",I467&lt;&gt;"",J467&lt;&gt;"",L467&lt;&gt;"",N467&lt;&gt;"",O467&lt;&gt;"",P467="APPROVED PUBLIC",S467="Sí"),6,IF(AND(H467&lt;&gt;"",I467&lt;&gt;"",J467&lt;&gt;"",L467&lt;&gt;"",N467&lt;&gt;"",O467&lt;&gt;"",P467&lt;&gt;"",S467="Sí"),5,IF(AND(H467&lt;&gt;"",I467&lt;&gt;"",P467&lt;&gt;"",S467&lt;&gt;"No"),4,IF(AND(H467&lt;&gt;"",I467&lt;&gt;""),3,IF(F467&lt;&gt;"",2,1)))))</x:f>
        <x:v>T5</x:v>
      </x:c>
      <x:c r="U467" s="24" t="str">
        <x:v>VRM Games</x:v>
      </x:c>
      <x:c r="V467" s="24" t="str">
        <x:v>No se detectó proveedor externo en la ruta; confirmar autoría por lote antes de release público.</x:v>
      </x:c>
    </x:row>
    <x:row r="468" ht="34" customHeight="1">
      <x:c r="A468" s="24" t="str">
        <x:v>TRC-00464</x:v>
      </x:c>
      <x:c r="B468" s="24" t="str">
        <x:v>ce89797fc2d5478684718b156e5342be</x:v>
      </x:c>
      <x:c r="C468" s="24" t="str">
        <x:v>StoreUiSnapshots.cs</x:v>
      </x:c>
      <x:c r="D468" s="24" t="str">
        <x:v>Code</x:v>
      </x:c>
      <x:c r="E468" s="24" t="str">
        <x:v>03_Assets_Internos</x:v>
      </x:c>
      <x:c r="F468" s="24" t="str">
        <x:v>INT-0464</x:v>
      </x:c>
      <x:c r="G468" s="24" t="str">
        <x:v>VRM Games / Blas Luis Rocha González</x:v>
      </x:c>
      <x:c r="H468" s="24" t="str">
        <x:v>Internal project IP / authorship claim</x:v>
      </x:c>
      <x:c r="I468" s="24" t="str">
        <x:v>Source package + repository path + hash</x:v>
      </x:c>
      <x:c r="J468" s="24" t="str">
        <x:v>bc733b83db25f8bbe7288edf0978e2482671ed4c8aa7fa7a92cf30d81237c8ad</x:v>
      </x:c>
      <x:c r="K468" s="24" t="str">
        <x:v>Assets/_Project/Scripts/Domain/UIUX/StoreUiSnapshots.cs</x:v>
      </x:c>
      <x:c r="L468" s="24" t="str">
        <x:v>CR-003</x:v>
      </x:c>
      <x:c r="M468" s="24" t="str"/>
      <x:c r="N468" s="24" t="str">
        <x:v>RES-001;RES-014</x:v>
      </x:c>
      <x:c r="O468" s="24" t="str">
        <x:v>Internal development; public candidate requires gate</x:v>
      </x:c>
      <x:c r="P468" s="24" t="str">
        <x:v>CONDITIONALLY APPROVED</x:v>
      </x:c>
      <x:c r="Q468" s="24" t="str">
        <x:v>Low</x:v>
      </x:c>
      <x:c r="R468" s="24" t="str"/>
      <x:c r="S468" s="24" t="str">
        <x:v>Sí</x:v>
      </x:c>
      <x:c r="T468" s="24" t="str">
        <x:f>"T"&amp;IF(AND(H468&lt;&gt;"",I468&lt;&gt;"",J468&lt;&gt;"",L468&lt;&gt;"",N468&lt;&gt;"",O468&lt;&gt;"",P468="APPROVED PUBLIC",S468="Sí"),6,IF(AND(H468&lt;&gt;"",I468&lt;&gt;"",J468&lt;&gt;"",L468&lt;&gt;"",N468&lt;&gt;"",O468&lt;&gt;"",P468&lt;&gt;"",S468="Sí"),5,IF(AND(H468&lt;&gt;"",I468&lt;&gt;"",P468&lt;&gt;"",S468&lt;&gt;"No"),4,IF(AND(H468&lt;&gt;"",I468&lt;&gt;""),3,IF(F468&lt;&gt;"",2,1)))))</x:f>
        <x:v>T5</x:v>
      </x:c>
      <x:c r="U468" s="24" t="str">
        <x:v>VRM Games</x:v>
      </x:c>
      <x:c r="V468" s="24" t="str">
        <x:v>No se detectó proveedor externo en la ruta; confirmar autoría por lote antes de release público.</x:v>
      </x:c>
    </x:row>
    <x:row r="469" ht="34" customHeight="1">
      <x:c r="A469" s="24" t="str">
        <x:v>TRC-00465</x:v>
      </x:c>
      <x:c r="B469" s="24" t="str">
        <x:v>6c4331c300824ea1b654adce088d2c29</x:v>
      </x:c>
      <x:c r="C469" s="24" t="str">
        <x:v>TutorialProgress.cs</x:v>
      </x:c>
      <x:c r="D469" s="24" t="str">
        <x:v>Code</x:v>
      </x:c>
      <x:c r="E469" s="24" t="str">
        <x:v>03_Assets_Internos</x:v>
      </x:c>
      <x:c r="F469" s="24" t="str">
        <x:v>INT-0465</x:v>
      </x:c>
      <x:c r="G469" s="24" t="str">
        <x:v>VRM Games / Blas Luis Rocha González</x:v>
      </x:c>
      <x:c r="H469" s="24" t="str">
        <x:v>Internal project IP / authorship claim</x:v>
      </x:c>
      <x:c r="I469" s="24" t="str">
        <x:v>Source package + repository path + hash</x:v>
      </x:c>
      <x:c r="J469" s="24" t="str">
        <x:v>2d5afdf894c44a1b3eea18e182bae08bab13e4dde5440207cb2a4d31f5ff46da</x:v>
      </x:c>
      <x:c r="K469" s="24" t="str">
        <x:v>Assets/_Project/Scripts/Domain/UIUX/TutorialProgress.cs</x:v>
      </x:c>
      <x:c r="L469" s="24" t="str">
        <x:v>CR-003</x:v>
      </x:c>
      <x:c r="M469" s="24" t="str"/>
      <x:c r="N469" s="24" t="str">
        <x:v>RES-001;RES-014</x:v>
      </x:c>
      <x:c r="O469" s="24" t="str">
        <x:v>Internal development; public candidate requires gate</x:v>
      </x:c>
      <x:c r="P469" s="24" t="str">
        <x:v>CONDITIONALLY APPROVED</x:v>
      </x:c>
      <x:c r="Q469" s="24" t="str">
        <x:v>Low</x:v>
      </x:c>
      <x:c r="R469" s="24" t="str"/>
      <x:c r="S469" s="24" t="str">
        <x:v>Sí</x:v>
      </x:c>
      <x:c r="T469" s="24" t="str">
        <x:f>"T"&amp;IF(AND(H469&lt;&gt;"",I469&lt;&gt;"",J469&lt;&gt;"",L469&lt;&gt;"",N469&lt;&gt;"",O469&lt;&gt;"",P469="APPROVED PUBLIC",S469="Sí"),6,IF(AND(H469&lt;&gt;"",I469&lt;&gt;"",J469&lt;&gt;"",L469&lt;&gt;"",N469&lt;&gt;"",O469&lt;&gt;"",P469&lt;&gt;"",S469="Sí"),5,IF(AND(H469&lt;&gt;"",I469&lt;&gt;"",P469&lt;&gt;"",S469&lt;&gt;"No"),4,IF(AND(H469&lt;&gt;"",I469&lt;&gt;""),3,IF(F469&lt;&gt;"",2,1)))))</x:f>
        <x:v>T5</x:v>
      </x:c>
      <x:c r="U469" s="24" t="str">
        <x:v>VRM Games</x:v>
      </x:c>
      <x:c r="V469" s="24" t="str">
        <x:v>No se detectó proveedor externo en la ruta; confirmar autoría por lote antes de release público.</x:v>
      </x:c>
    </x:row>
    <x:row r="470" ht="34" customHeight="1">
      <x:c r="A470" s="24" t="str">
        <x:v>TRC-00466</x:v>
      </x:c>
      <x:c r="B470" s="24" t="str">
        <x:v>95f5bfc32d4c4559aa98fd7dce7178f0</x:v>
      </x:c>
      <x:c r="C470" s="24" t="str">
        <x:v>UiAccessibilitySettings.cs</x:v>
      </x:c>
      <x:c r="D470" s="24" t="str">
        <x:v>Code</x:v>
      </x:c>
      <x:c r="E470" s="24" t="str">
        <x:v>03_Assets_Internos</x:v>
      </x:c>
      <x:c r="F470" s="24" t="str">
        <x:v>INT-0466</x:v>
      </x:c>
      <x:c r="G470" s="24" t="str">
        <x:v>VRM Games / Blas Luis Rocha González</x:v>
      </x:c>
      <x:c r="H470" s="24" t="str">
        <x:v>Internal project IP / authorship claim</x:v>
      </x:c>
      <x:c r="I470" s="24" t="str">
        <x:v>Source package + repository path + hash</x:v>
      </x:c>
      <x:c r="J470" s="24" t="str">
        <x:v>446a08b670f173469a613f79eb15558fcd8d4a57a6b47ca816a8851344cc34c6</x:v>
      </x:c>
      <x:c r="K470" s="24" t="str">
        <x:v>Assets/_Project/Scripts/Domain/UIUX/UiAccessibilitySettings.cs</x:v>
      </x:c>
      <x:c r="L470" s="24" t="str">
        <x:v>CR-003</x:v>
      </x:c>
      <x:c r="M470" s="24" t="str"/>
      <x:c r="N470" s="24" t="str">
        <x:v>RES-001;RES-014</x:v>
      </x:c>
      <x:c r="O470" s="24" t="str">
        <x:v>Internal development; public candidate requires gate</x:v>
      </x:c>
      <x:c r="P470" s="24" t="str">
        <x:v>CONDITIONALLY APPROVED</x:v>
      </x:c>
      <x:c r="Q470" s="24" t="str">
        <x:v>Low</x:v>
      </x:c>
      <x:c r="R470" s="24" t="str"/>
      <x:c r="S470" s="24" t="str">
        <x:v>Sí</x:v>
      </x:c>
      <x:c r="T470" s="24" t="str">
        <x:f>"T"&amp;IF(AND(H470&lt;&gt;"",I470&lt;&gt;"",J470&lt;&gt;"",L470&lt;&gt;"",N470&lt;&gt;"",O470&lt;&gt;"",P470="APPROVED PUBLIC",S470="Sí"),6,IF(AND(H470&lt;&gt;"",I470&lt;&gt;"",J470&lt;&gt;"",L470&lt;&gt;"",N470&lt;&gt;"",O470&lt;&gt;"",P470&lt;&gt;"",S470="Sí"),5,IF(AND(H470&lt;&gt;"",I470&lt;&gt;"",P470&lt;&gt;"",S470&lt;&gt;"No"),4,IF(AND(H470&lt;&gt;"",I470&lt;&gt;""),3,IF(F470&lt;&gt;"",2,1)))))</x:f>
        <x:v>T5</x:v>
      </x:c>
      <x:c r="U470" s="24" t="str">
        <x:v>VRM Games</x:v>
      </x:c>
      <x:c r="V470" s="24" t="str">
        <x:v>No se detectó proveedor externo en la ruta; confirmar autoría por lote antes de release público.</x:v>
      </x:c>
    </x:row>
    <x:row r="471" ht="34" customHeight="1">
      <x:c r="A471" s="24" t="str">
        <x:v>TRC-00467</x:v>
      </x:c>
      <x:c r="B471" s="24" t="str">
        <x:v>cbc0126d293049189f0f5a240d029924</x:v>
      </x:c>
      <x:c r="C471" s="24" t="str">
        <x:v>UiNavigationState.cs</x:v>
      </x:c>
      <x:c r="D471" s="24" t="str">
        <x:v>Code</x:v>
      </x:c>
      <x:c r="E471" s="24" t="str">
        <x:v>03_Assets_Internos</x:v>
      </x:c>
      <x:c r="F471" s="24" t="str">
        <x:v>INT-0467</x:v>
      </x:c>
      <x:c r="G471" s="24" t="str">
        <x:v>VRM Games / Blas Luis Rocha González</x:v>
      </x:c>
      <x:c r="H471" s="24" t="str">
        <x:v>Internal project IP / authorship claim</x:v>
      </x:c>
      <x:c r="I471" s="24" t="str">
        <x:v>Source package + repository path + hash</x:v>
      </x:c>
      <x:c r="J471" s="24" t="str">
        <x:v>0f0db80fa269bba15f83dca82d9db1fef09e1dc6f546acfbc936cb2e748c88ce</x:v>
      </x:c>
      <x:c r="K471" s="24" t="str">
        <x:v>Assets/_Project/Scripts/Domain/UIUX/UiNavigationState.cs</x:v>
      </x:c>
      <x:c r="L471" s="24" t="str">
        <x:v>CR-003</x:v>
      </x:c>
      <x:c r="M471" s="24" t="str"/>
      <x:c r="N471" s="24" t="str">
        <x:v>RES-001;RES-014</x:v>
      </x:c>
      <x:c r="O471" s="24" t="str">
        <x:v>Internal development; public candidate requires gate</x:v>
      </x:c>
      <x:c r="P471" s="24" t="str">
        <x:v>CONDITIONALLY APPROVED</x:v>
      </x:c>
      <x:c r="Q471" s="24" t="str">
        <x:v>Low</x:v>
      </x:c>
      <x:c r="R471" s="24" t="str"/>
      <x:c r="S471" s="24" t="str">
        <x:v>Sí</x:v>
      </x:c>
      <x:c r="T471" s="24" t="str">
        <x:f>"T"&amp;IF(AND(H471&lt;&gt;"",I471&lt;&gt;"",J471&lt;&gt;"",L471&lt;&gt;"",N471&lt;&gt;"",O471&lt;&gt;"",P471="APPROVED PUBLIC",S471="Sí"),6,IF(AND(H471&lt;&gt;"",I471&lt;&gt;"",J471&lt;&gt;"",L471&lt;&gt;"",N471&lt;&gt;"",O471&lt;&gt;"",P471&lt;&gt;"",S471="Sí"),5,IF(AND(H471&lt;&gt;"",I471&lt;&gt;"",P471&lt;&gt;"",S471&lt;&gt;"No"),4,IF(AND(H471&lt;&gt;"",I471&lt;&gt;""),3,IF(F471&lt;&gt;"",2,1)))))</x:f>
        <x:v>T5</x:v>
      </x:c>
      <x:c r="U471" s="24" t="str">
        <x:v>VRM Games</x:v>
      </x:c>
      <x:c r="V471" s="24" t="str">
        <x:v>No se detectó proveedor externo en la ruta; confirmar autoría por lote antes de release público.</x:v>
      </x:c>
    </x:row>
    <x:row r="472" ht="34" customHeight="1">
      <x:c r="A472" s="24" t="str">
        <x:v>TRC-00468</x:v>
      </x:c>
      <x:c r="B472" s="24" t="str">
        <x:v>48c9c63a3d288ea45ac4e2a3a372d22d</x:v>
      </x:c>
      <x:c r="C472" s="24" t="str">
        <x:v>VRMGames.CartridgeAndCloud.Domain.asmdef</x:v>
      </x:c>
      <x:c r="D472" s="24" t="str">
        <x:v>Assembly definition</x:v>
      </x:c>
      <x:c r="E472" s="24" t="str">
        <x:v>03_Assets_Internos</x:v>
      </x:c>
      <x:c r="F472" s="24" t="str">
        <x:v>INT-0468</x:v>
      </x:c>
      <x:c r="G472" s="24" t="str">
        <x:v>VRM Games / Blas Luis Rocha González</x:v>
      </x:c>
      <x:c r="H472" s="24" t="str">
        <x:v>Internal project IP / authorship claim</x:v>
      </x:c>
      <x:c r="I472" s="24" t="str">
        <x:v>Source package + repository path + hash</x:v>
      </x:c>
      <x:c r="J472" s="24" t="str">
        <x:v>0bd82753cc49d49f28f9ab701cb6e059f6337451afb0c37f9f4c9aa46764399e</x:v>
      </x:c>
      <x:c r="K472" s="24" t="str">
        <x:v>Assets/_Project/Scripts/Domain/VRMGames.CartridgeAndCloud.Domain.asmdef</x:v>
      </x:c>
      <x:c r="L472" s="24" t="str">
        <x:v>CR-003</x:v>
      </x:c>
      <x:c r="M472" s="24" t="str"/>
      <x:c r="N472" s="24" t="str">
        <x:v>RES-001;RES-014</x:v>
      </x:c>
      <x:c r="O472" s="24" t="str">
        <x:v>Internal development; public candidate requires gate</x:v>
      </x:c>
      <x:c r="P472" s="24" t="str">
        <x:v>CONDITIONALLY APPROVED</x:v>
      </x:c>
      <x:c r="Q472" s="24" t="str">
        <x:v>Low</x:v>
      </x:c>
      <x:c r="R472" s="24" t="str"/>
      <x:c r="S472" s="24" t="str">
        <x:v>Sí</x:v>
      </x:c>
      <x:c r="T472" s="24" t="str">
        <x:f>"T"&amp;IF(AND(H472&lt;&gt;"",I472&lt;&gt;"",J472&lt;&gt;"",L472&lt;&gt;"",N472&lt;&gt;"",O472&lt;&gt;"",P472="APPROVED PUBLIC",S472="Sí"),6,IF(AND(H472&lt;&gt;"",I472&lt;&gt;"",J472&lt;&gt;"",L472&lt;&gt;"",N472&lt;&gt;"",O472&lt;&gt;"",P472&lt;&gt;"",S472="Sí"),5,IF(AND(H472&lt;&gt;"",I472&lt;&gt;"",P472&lt;&gt;"",S472&lt;&gt;"No"),4,IF(AND(H472&lt;&gt;"",I472&lt;&gt;""),3,IF(F472&lt;&gt;"",2,1)))))</x:f>
        <x:v>T5</x:v>
      </x:c>
      <x:c r="U472" s="24" t="str">
        <x:v>VRM Games</x:v>
      </x:c>
      <x:c r="V472" s="24" t="str">
        <x:v>No se detectó proveedor externo en la ruta; confirmar autoría por lote antes de release público.</x:v>
      </x:c>
    </x:row>
    <x:row r="473" ht="34" customHeight="1">
      <x:c r="A473" s="24" t="str">
        <x:v>TRC-00469</x:v>
      </x:c>
      <x:c r="B473" s="24" t="str">
        <x:v>754b6b783e63cc40fa11fe98402e8e60</x:v>
      </x:c>
      <x:c r="C473" s="24" t="str">
        <x:v>Phase1CatalogModels.cs</x:v>
      </x:c>
      <x:c r="D473" s="24" t="str">
        <x:v>Code</x:v>
      </x:c>
      <x:c r="E473" s="24" t="str">
        <x:v>03_Assets_Internos</x:v>
      </x:c>
      <x:c r="F473" s="24" t="str">
        <x:v>INT-0469</x:v>
      </x:c>
      <x:c r="G473" s="24" t="str">
        <x:v>VRM Games / Blas Luis Rocha González</x:v>
      </x:c>
      <x:c r="H473" s="24" t="str">
        <x:v>Internal project IP / authorship claim</x:v>
      </x:c>
      <x:c r="I473" s="24" t="str">
        <x:v>Source package + repository path + hash</x:v>
      </x:c>
      <x:c r="J473" s="24" t="str">
        <x:v>f3e1d6b56c0dd33a557094255d46a37f2c1126398663f22f961d76b7998a5b94</x:v>
      </x:c>
      <x:c r="K473" s="24" t="str">
        <x:v>Assets/_Project/Scripts/Domain/VerticalSlicePhase1/Phase1CatalogModels.cs</x:v>
      </x:c>
      <x:c r="L473" s="24" t="str">
        <x:v>CR-003</x:v>
      </x:c>
      <x:c r="M473" s="24" t="str"/>
      <x:c r="N473" s="24" t="str">
        <x:v>RES-001;RES-014</x:v>
      </x:c>
      <x:c r="O473" s="24" t="str">
        <x:v>Internal development; public candidate requires gate</x:v>
      </x:c>
      <x:c r="P473" s="24" t="str">
        <x:v>CONDITIONALLY APPROVED</x:v>
      </x:c>
      <x:c r="Q473" s="24" t="str">
        <x:v>Low</x:v>
      </x:c>
      <x:c r="R473" s="24" t="str"/>
      <x:c r="S473" s="24" t="str">
        <x:v>Sí</x:v>
      </x:c>
      <x:c r="T473" s="24" t="str">
        <x:f>"T"&amp;IF(AND(H473&lt;&gt;"",I473&lt;&gt;"",J473&lt;&gt;"",L473&lt;&gt;"",N473&lt;&gt;"",O473&lt;&gt;"",P473="APPROVED PUBLIC",S473="Sí"),6,IF(AND(H473&lt;&gt;"",I473&lt;&gt;"",J473&lt;&gt;"",L473&lt;&gt;"",N473&lt;&gt;"",O473&lt;&gt;"",P473&lt;&gt;"",S473="Sí"),5,IF(AND(H473&lt;&gt;"",I473&lt;&gt;"",P473&lt;&gt;"",S473&lt;&gt;"No"),4,IF(AND(H473&lt;&gt;"",I473&lt;&gt;""),3,IF(F473&lt;&gt;"",2,1)))))</x:f>
        <x:v>T5</x:v>
      </x:c>
      <x:c r="U473" s="24" t="str">
        <x:v>VRM Games</x:v>
      </x:c>
      <x:c r="V473" s="24" t="str">
        <x:v>No se detectó proveedor externo en la ruta; confirmar autoría por lote antes de release público.</x:v>
      </x:c>
    </x:row>
    <x:row r="474" ht="34" customHeight="1">
      <x:c r="A474" s="24" t="str">
        <x:v>TRC-00470</x:v>
      </x:c>
      <x:c r="B474" s="24" t="str">
        <x:v>465362046e16356eba1fa1c9067058e5</x:v>
      </x:c>
      <x:c r="C474" s="24" t="str">
        <x:v>Phase1FeedbackEvent.cs</x:v>
      </x:c>
      <x:c r="D474" s="24" t="str">
        <x:v>Code</x:v>
      </x:c>
      <x:c r="E474" s="24" t="str">
        <x:v>03_Assets_Internos</x:v>
      </x:c>
      <x:c r="F474" s="24" t="str">
        <x:v>INT-0470</x:v>
      </x:c>
      <x:c r="G474" s="24" t="str">
        <x:v>VRM Games / Blas Luis Rocha González</x:v>
      </x:c>
      <x:c r="H474" s="24" t="str">
        <x:v>Internal project IP / authorship claim</x:v>
      </x:c>
      <x:c r="I474" s="24" t="str">
        <x:v>Source package + repository path + hash</x:v>
      </x:c>
      <x:c r="J474" s="24" t="str">
        <x:v>8d3fb2cdf4187165eef1cf814bc703bb25f74c4d4933c975ceec87dc17059e2f</x:v>
      </x:c>
      <x:c r="K474" s="24" t="str">
        <x:v>Assets/_Project/Scripts/Domain/VerticalSlicePhase1/Phase1FeedbackEvent.cs</x:v>
      </x:c>
      <x:c r="L474" s="24" t="str">
        <x:v>CR-003</x:v>
      </x:c>
      <x:c r="M474" s="24" t="str"/>
      <x:c r="N474" s="24" t="str">
        <x:v>RES-001;RES-014</x:v>
      </x:c>
      <x:c r="O474" s="24" t="str">
        <x:v>Internal development; public candidate requires gate</x:v>
      </x:c>
      <x:c r="P474" s="24" t="str">
        <x:v>CONDITIONALLY APPROVED</x:v>
      </x:c>
      <x:c r="Q474" s="24" t="str">
        <x:v>Low</x:v>
      </x:c>
      <x:c r="R474" s="24" t="str"/>
      <x:c r="S474" s="24" t="str">
        <x:v>Sí</x:v>
      </x:c>
      <x:c r="T474" s="24" t="str">
        <x:f>"T"&amp;IF(AND(H474&lt;&gt;"",I474&lt;&gt;"",J474&lt;&gt;"",L474&lt;&gt;"",N474&lt;&gt;"",O474&lt;&gt;"",P474="APPROVED PUBLIC",S474="Sí"),6,IF(AND(H474&lt;&gt;"",I474&lt;&gt;"",J474&lt;&gt;"",L474&lt;&gt;"",N474&lt;&gt;"",O474&lt;&gt;"",P474&lt;&gt;"",S474="Sí"),5,IF(AND(H474&lt;&gt;"",I474&lt;&gt;"",P474&lt;&gt;"",S474&lt;&gt;"No"),4,IF(AND(H474&lt;&gt;"",I474&lt;&gt;""),3,IF(F474&lt;&gt;"",2,1)))))</x:f>
        <x:v>T5</x:v>
      </x:c>
      <x:c r="U474" s="24" t="str">
        <x:v>VRM Games</x:v>
      </x:c>
      <x:c r="V474" s="24" t="str">
        <x:v>No se detectó proveedor externo en la ruta; confirmar autoría por lote antes de release público.</x:v>
      </x:c>
    </x:row>
    <x:row r="475" ht="34" customHeight="1">
      <x:c r="A475" s="24" t="str">
        <x:v>TRC-00471</x:v>
      </x:c>
      <x:c r="B475" s="24" t="str">
        <x:v>94dcddc050357e4825210ba74ab6f081</x:v>
      </x:c>
      <x:c r="C475" s="24" t="str">
        <x:v>Phase1OperationResult.cs</x:v>
      </x:c>
      <x:c r="D475" s="24" t="str">
        <x:v>Code</x:v>
      </x:c>
      <x:c r="E475" s="24" t="str">
        <x:v>03_Assets_Internos</x:v>
      </x:c>
      <x:c r="F475" s="24" t="str">
        <x:v>INT-0471</x:v>
      </x:c>
      <x:c r="G475" s="24" t="str">
        <x:v>VRM Games / Blas Luis Rocha González</x:v>
      </x:c>
      <x:c r="H475" s="24" t="str">
        <x:v>Internal project IP / authorship claim</x:v>
      </x:c>
      <x:c r="I475" s="24" t="str">
        <x:v>Source package + repository path + hash</x:v>
      </x:c>
      <x:c r="J475" s="24" t="str">
        <x:v>ac62d0f65f1e152413ccbbc64a50ef657c535340f4d28a97602d61ae60480876</x:v>
      </x:c>
      <x:c r="K475" s="24" t="str">
        <x:v>Assets/_Project/Scripts/Domain/VerticalSlicePhase1/Phase1OperationResult.cs</x:v>
      </x:c>
      <x:c r="L475" s="24" t="str">
        <x:v>CR-003</x:v>
      </x:c>
      <x:c r="M475" s="24" t="str"/>
      <x:c r="N475" s="24" t="str">
        <x:v>RES-001;RES-014</x:v>
      </x:c>
      <x:c r="O475" s="24" t="str">
        <x:v>Internal development; public candidate requires gate</x:v>
      </x:c>
      <x:c r="P475" s="24" t="str">
        <x:v>CONDITIONALLY APPROVED</x:v>
      </x:c>
      <x:c r="Q475" s="24" t="str">
        <x:v>Low</x:v>
      </x:c>
      <x:c r="R475" s="24" t="str"/>
      <x:c r="S475" s="24" t="str">
        <x:v>Sí</x:v>
      </x:c>
      <x:c r="T475" s="24" t="str">
        <x:f>"T"&amp;IF(AND(H475&lt;&gt;"",I475&lt;&gt;"",J475&lt;&gt;"",L475&lt;&gt;"",N475&lt;&gt;"",O475&lt;&gt;"",P475="APPROVED PUBLIC",S475="Sí"),6,IF(AND(H475&lt;&gt;"",I475&lt;&gt;"",J475&lt;&gt;"",L475&lt;&gt;"",N475&lt;&gt;"",O475&lt;&gt;"",P475&lt;&gt;"",S475="Sí"),5,IF(AND(H475&lt;&gt;"",I475&lt;&gt;"",P475&lt;&gt;"",S475&lt;&gt;"No"),4,IF(AND(H475&lt;&gt;"",I475&lt;&gt;""),3,IF(F475&lt;&gt;"",2,1)))))</x:f>
        <x:v>T5</x:v>
      </x:c>
      <x:c r="U475" s="24" t="str">
        <x:v>VRM Games</x:v>
      </x:c>
      <x:c r="V475" s="24" t="str">
        <x:v>No se detectó proveedor externo en la ruta; confirmar autoría por lote antes de release público.</x:v>
      </x:c>
    </x:row>
    <x:row r="476" ht="34" customHeight="1">
      <x:c r="A476" s="24" t="str">
        <x:v>TRC-00472</x:v>
      </x:c>
      <x:c r="B476" s="24" t="str">
        <x:v>f560cb0699098775d5188a26e76f5a9b</x:v>
      </x:c>
      <x:c r="C476" s="24" t="str">
        <x:v>Phase1State.cs</x:v>
      </x:c>
      <x:c r="D476" s="24" t="str">
        <x:v>Code</x:v>
      </x:c>
      <x:c r="E476" s="24" t="str">
        <x:v>03_Assets_Internos</x:v>
      </x:c>
      <x:c r="F476" s="24" t="str">
        <x:v>INT-0472</x:v>
      </x:c>
      <x:c r="G476" s="24" t="str">
        <x:v>VRM Games / Blas Luis Rocha González</x:v>
      </x:c>
      <x:c r="H476" s="24" t="str">
        <x:v>Internal project IP / authorship claim</x:v>
      </x:c>
      <x:c r="I476" s="24" t="str">
        <x:v>Source package + repository path + hash</x:v>
      </x:c>
      <x:c r="J476" s="24" t="str">
        <x:v>360208a4ed1556ec5136a9e9542034741af3fe290ba31934c20af9886397641e</x:v>
      </x:c>
      <x:c r="K476" s="24" t="str">
        <x:v>Assets/_Project/Scripts/Domain/VerticalSlicePhase1/Phase1State.cs</x:v>
      </x:c>
      <x:c r="L476" s="24" t="str">
        <x:v>CR-003</x:v>
      </x:c>
      <x:c r="M476" s="24" t="str"/>
      <x:c r="N476" s="24" t="str">
        <x:v>RES-001;RES-014</x:v>
      </x:c>
      <x:c r="O476" s="24" t="str">
        <x:v>Internal development; public candidate requires gate</x:v>
      </x:c>
      <x:c r="P476" s="24" t="str">
        <x:v>CONDITIONALLY APPROVED</x:v>
      </x:c>
      <x:c r="Q476" s="24" t="str">
        <x:v>Low</x:v>
      </x:c>
      <x:c r="R476" s="24" t="str"/>
      <x:c r="S476" s="24" t="str">
        <x:v>Sí</x:v>
      </x:c>
      <x:c r="T476" s="24" t="str">
        <x:f>"T"&amp;IF(AND(H476&lt;&gt;"",I476&lt;&gt;"",J476&lt;&gt;"",L476&lt;&gt;"",N476&lt;&gt;"",O476&lt;&gt;"",P476="APPROVED PUBLIC",S476="Sí"),6,IF(AND(H476&lt;&gt;"",I476&lt;&gt;"",J476&lt;&gt;"",L476&lt;&gt;"",N476&lt;&gt;"",O476&lt;&gt;"",P476&lt;&gt;"",S476="Sí"),5,IF(AND(H476&lt;&gt;"",I476&lt;&gt;"",P476&lt;&gt;"",S476&lt;&gt;"No"),4,IF(AND(H476&lt;&gt;"",I476&lt;&gt;""),3,IF(F476&lt;&gt;"",2,1)))))</x:f>
        <x:v>T5</x:v>
      </x:c>
      <x:c r="U476" s="24" t="str">
        <x:v>VRM Games</x:v>
      </x:c>
      <x:c r="V476" s="24" t="str">
        <x:v>No se detectó proveedor externo en la ruta; confirmar autoría por lote antes de release público.</x:v>
      </x:c>
    </x:row>
    <x:row r="477" ht="34" customHeight="1">
      <x:c r="A477" s="24" t="str">
        <x:v>TRC-00473</x:v>
      </x:c>
      <x:c r="B477" s="24" t="str">
        <x:v>f5a006a06bcd4b8aa8cfbf85c1736695</x:v>
      </x:c>
      <x:c r="C477" s="24" t="str">
        <x:v>CheckoutSettingsAsset.cs</x:v>
      </x:c>
      <x:c r="D477" s="24" t="str">
        <x:v>Code</x:v>
      </x:c>
      <x:c r="E477" s="24" t="str">
        <x:v>03_Assets_Internos</x:v>
      </x:c>
      <x:c r="F477" s="24" t="str">
        <x:v>INT-0473</x:v>
      </x:c>
      <x:c r="G477" s="24" t="str">
        <x:v>VRM Games / Blas Luis Rocha González</x:v>
      </x:c>
      <x:c r="H477" s="24" t="str">
        <x:v>Internal project IP / authorship claim</x:v>
      </x:c>
      <x:c r="I477" s="24" t="str">
        <x:v>Source package + repository path + hash</x:v>
      </x:c>
      <x:c r="J477" s="24" t="str">
        <x:v>51f488839161ce1db564a73201f2401946429dc456d430a08db43eed25e1d1e9</x:v>
      </x:c>
      <x:c r="K477" s="24" t="str">
        <x:v>Assets/_Project/Scripts/Infrastructure/Checkout/CheckoutSettingsAsset.cs</x:v>
      </x:c>
      <x:c r="L477" s="24" t="str">
        <x:v>CR-003</x:v>
      </x:c>
      <x:c r="M477" s="24" t="str"/>
      <x:c r="N477" s="24" t="str">
        <x:v>RES-001;RES-014</x:v>
      </x:c>
      <x:c r="O477" s="24" t="str">
        <x:v>Internal development; public candidate requires gate</x:v>
      </x:c>
      <x:c r="P477" s="24" t="str">
        <x:v>CONDITIONALLY APPROVED</x:v>
      </x:c>
      <x:c r="Q477" s="24" t="str">
        <x:v>Low</x:v>
      </x:c>
      <x:c r="R477" s="24" t="str"/>
      <x:c r="S477" s="24" t="str">
        <x:v>Sí</x:v>
      </x:c>
      <x:c r="T477" s="24" t="str">
        <x:f>"T"&amp;IF(AND(H477&lt;&gt;"",I477&lt;&gt;"",J477&lt;&gt;"",L477&lt;&gt;"",N477&lt;&gt;"",O477&lt;&gt;"",P477="APPROVED PUBLIC",S477="Sí"),6,IF(AND(H477&lt;&gt;"",I477&lt;&gt;"",J477&lt;&gt;"",L477&lt;&gt;"",N477&lt;&gt;"",O477&lt;&gt;"",P477&lt;&gt;"",S477="Sí"),5,IF(AND(H477&lt;&gt;"",I477&lt;&gt;"",P477&lt;&gt;"",S477&lt;&gt;"No"),4,IF(AND(H477&lt;&gt;"",I477&lt;&gt;""),3,IF(F477&lt;&gt;"",2,1)))))</x:f>
        <x:v>T5</x:v>
      </x:c>
      <x:c r="U477" s="24" t="str">
        <x:v>VRM Games</x:v>
      </x:c>
      <x:c r="V477" s="24" t="str">
        <x:v>No se detectó proveedor externo en la ruta; confirmar autoría por lote antes de release público.</x:v>
      </x:c>
    </x:row>
    <x:row r="478" ht="34" customHeight="1">
      <x:c r="A478" s="24" t="str">
        <x:v>TRC-00474</x:v>
      </x:c>
      <x:c r="B478" s="24" t="str">
        <x:v>b84c3fb4e35549938491d69febfab7b5</x:v>
      </x:c>
      <x:c r="C478" s="24" t="str">
        <x:v>CheckoutStationAuthoring.cs</x:v>
      </x:c>
      <x:c r="D478" s="24" t="str">
        <x:v>Code</x:v>
      </x:c>
      <x:c r="E478" s="24" t="str">
        <x:v>03_Assets_Internos</x:v>
      </x:c>
      <x:c r="F478" s="24" t="str">
        <x:v>INT-0474</x:v>
      </x:c>
      <x:c r="G478" s="24" t="str">
        <x:v>VRM Games / Blas Luis Rocha González</x:v>
      </x:c>
      <x:c r="H478" s="24" t="str">
        <x:v>Internal project IP / authorship claim</x:v>
      </x:c>
      <x:c r="I478" s="24" t="str">
        <x:v>Source package + repository path + hash</x:v>
      </x:c>
      <x:c r="J478" s="24" t="str">
        <x:v>24ed3be88d0f645289aafa328e3f71d9761961df1d30983605971e1b43d99d01</x:v>
      </x:c>
      <x:c r="K478" s="24" t="str">
        <x:v>Assets/_Project/Scripts/Infrastructure/Checkout/CheckoutStationAuthoring.cs</x:v>
      </x:c>
      <x:c r="L478" s="24" t="str">
        <x:v>CR-003</x:v>
      </x:c>
      <x:c r="M478" s="24" t="str"/>
      <x:c r="N478" s="24" t="str">
        <x:v>RES-001;RES-014</x:v>
      </x:c>
      <x:c r="O478" s="24" t="str">
        <x:v>Internal development; public candidate requires gate</x:v>
      </x:c>
      <x:c r="P478" s="24" t="str">
        <x:v>CONDITIONALLY APPROVED</x:v>
      </x:c>
      <x:c r="Q478" s="24" t="str">
        <x:v>Low</x:v>
      </x:c>
      <x:c r="R478" s="24" t="str"/>
      <x:c r="S478" s="24" t="str">
        <x:v>Sí</x:v>
      </x:c>
      <x:c r="T478" s="24" t="str">
        <x:f>"T"&amp;IF(AND(H478&lt;&gt;"",I478&lt;&gt;"",J478&lt;&gt;"",L478&lt;&gt;"",N478&lt;&gt;"",O478&lt;&gt;"",P478="APPROVED PUBLIC",S478="Sí"),6,IF(AND(H478&lt;&gt;"",I478&lt;&gt;"",J478&lt;&gt;"",L478&lt;&gt;"",N478&lt;&gt;"",O478&lt;&gt;"",P478&lt;&gt;"",S478="Sí"),5,IF(AND(H478&lt;&gt;"",I478&lt;&gt;"",P478&lt;&gt;"",S478&lt;&gt;"No"),4,IF(AND(H478&lt;&gt;"",I478&lt;&gt;""),3,IF(F478&lt;&gt;"",2,1)))))</x:f>
        <x:v>T5</x:v>
      </x:c>
      <x:c r="U478" s="24" t="str">
        <x:v>VRM Games</x:v>
      </x:c>
      <x:c r="V478" s="24" t="str">
        <x:v>No se detectó proveedor externo en la ruta; confirmar autoría por lote antes de release público.</x:v>
      </x:c>
    </x:row>
    <x:row r="479" ht="34" customHeight="1">
      <x:c r="A479" s="24" t="str">
        <x:v>TRC-00475</x:v>
      </x:c>
      <x:c r="B479" s="24" t="str">
        <x:v>2bb6f1ac77f6442a8a2cbe4223f30b7c</x:v>
      </x:c>
      <x:c r="C479" s="24" t="str">
        <x:v>CheckoutTechnicalScenarioRunner.cs</x:v>
      </x:c>
      <x:c r="D479" s="24" t="str">
        <x:v>Code</x:v>
      </x:c>
      <x:c r="E479" s="24" t="str">
        <x:v>03_Assets_Internos</x:v>
      </x:c>
      <x:c r="F479" s="24" t="str">
        <x:v>INT-0475</x:v>
      </x:c>
      <x:c r="G479" s="24" t="str">
        <x:v>VRM Games / Blas Luis Rocha González</x:v>
      </x:c>
      <x:c r="H479" s="24" t="str">
        <x:v>Internal project IP / authorship claim</x:v>
      </x:c>
      <x:c r="I479" s="24" t="str">
        <x:v>Source package + repository path + hash</x:v>
      </x:c>
      <x:c r="J479" s="24" t="str">
        <x:v>26c7c50ea3420b4799c2d708fdc8653d759b7000bcd8867fc61efdc574a2c172</x:v>
      </x:c>
      <x:c r="K479" s="24" t="str">
        <x:v>Assets/_Project/Scripts/Infrastructure/Checkout/CheckoutTechnicalScenarioRunner.cs</x:v>
      </x:c>
      <x:c r="L479" s="24" t="str">
        <x:v>CR-003</x:v>
      </x:c>
      <x:c r="M479" s="24" t="str"/>
      <x:c r="N479" s="24" t="str">
        <x:v>RES-001;RES-014</x:v>
      </x:c>
      <x:c r="O479" s="24" t="str">
        <x:v>Internal development; public candidate requires gate</x:v>
      </x:c>
      <x:c r="P479" s="24" t="str">
        <x:v>CONDITIONALLY APPROVED</x:v>
      </x:c>
      <x:c r="Q479" s="24" t="str">
        <x:v>Low</x:v>
      </x:c>
      <x:c r="R479" s="24" t="str"/>
      <x:c r="S479" s="24" t="str">
        <x:v>Sí</x:v>
      </x:c>
      <x:c r="T479" s="24" t="str">
        <x:f>"T"&amp;IF(AND(H479&lt;&gt;"",I479&lt;&gt;"",J479&lt;&gt;"",L479&lt;&gt;"",N479&lt;&gt;"",O479&lt;&gt;"",P479="APPROVED PUBLIC",S479="Sí"),6,IF(AND(H479&lt;&gt;"",I479&lt;&gt;"",J479&lt;&gt;"",L479&lt;&gt;"",N479&lt;&gt;"",O479&lt;&gt;"",P479&lt;&gt;"",S479="Sí"),5,IF(AND(H479&lt;&gt;"",I479&lt;&gt;"",P479&lt;&gt;"",S479&lt;&gt;"No"),4,IF(AND(H479&lt;&gt;"",I479&lt;&gt;""),3,IF(F479&lt;&gt;"",2,1)))))</x:f>
        <x:v>T5</x:v>
      </x:c>
      <x:c r="U479" s="24" t="str">
        <x:v>VRM Games</x:v>
      </x:c>
      <x:c r="V479" s="24" t="str">
        <x:v>No se detectó proveedor externo en la ruta; confirmar autoría por lote antes de release público.</x:v>
      </x:c>
    </x:row>
    <x:row r="480" ht="34" customHeight="1">
      <x:c r="A480" s="24" t="str">
        <x:v>TRC-00476</x:v>
      </x:c>
      <x:c r="B480" s="24" t="str">
        <x:v>77c397b2709f4b8d8152fd6f2d95dfa0</x:v>
      </x:c>
      <x:c r="C480" s="24" t="str">
        <x:v>CustomerProfileAsset.cs</x:v>
      </x:c>
      <x:c r="D480" s="24" t="str">
        <x:v>Code</x:v>
      </x:c>
      <x:c r="E480" s="24" t="str">
        <x:v>03_Assets_Internos</x:v>
      </x:c>
      <x:c r="F480" s="24" t="str">
        <x:v>INT-0476</x:v>
      </x:c>
      <x:c r="G480" s="24" t="str">
        <x:v>VRM Games / Blas Luis Rocha González</x:v>
      </x:c>
      <x:c r="H480" s="24" t="str">
        <x:v>Internal project IP / authorship claim</x:v>
      </x:c>
      <x:c r="I480" s="24" t="str">
        <x:v>Source package + repository path + hash</x:v>
      </x:c>
      <x:c r="J480" s="24" t="str">
        <x:v>dda4e1ba0a39229bfba56c0b63eefc622d2956e09d014db9f275a395c61939da</x:v>
      </x:c>
      <x:c r="K480" s="24" t="str">
        <x:v>Assets/_Project/Scripts/Infrastructure/Customers/CustomerProfileAsset.cs</x:v>
      </x:c>
      <x:c r="L480" s="24" t="str">
        <x:v>CR-003</x:v>
      </x:c>
      <x:c r="M480" s="24" t="str"/>
      <x:c r="N480" s="24" t="str">
        <x:v>RES-001;RES-014</x:v>
      </x:c>
      <x:c r="O480" s="24" t="str">
        <x:v>Internal development; public candidate requires gate</x:v>
      </x:c>
      <x:c r="P480" s="24" t="str">
        <x:v>CONDITIONALLY APPROVED</x:v>
      </x:c>
      <x:c r="Q480" s="24" t="str">
        <x:v>Low</x:v>
      </x:c>
      <x:c r="R480" s="24" t="str"/>
      <x:c r="S480" s="24" t="str">
        <x:v>Sí</x:v>
      </x:c>
      <x:c r="T480" s="24" t="str">
        <x:f>"T"&amp;IF(AND(H480&lt;&gt;"",I480&lt;&gt;"",J480&lt;&gt;"",L480&lt;&gt;"",N480&lt;&gt;"",O480&lt;&gt;"",P480="APPROVED PUBLIC",S480="Sí"),6,IF(AND(H480&lt;&gt;"",I480&lt;&gt;"",J480&lt;&gt;"",L480&lt;&gt;"",N480&lt;&gt;"",O480&lt;&gt;"",P480&lt;&gt;"",S480="Sí"),5,IF(AND(H480&lt;&gt;"",I480&lt;&gt;"",P480&lt;&gt;"",S480&lt;&gt;"No"),4,IF(AND(H480&lt;&gt;"",I480&lt;&gt;""),3,IF(F480&lt;&gt;"",2,1)))))</x:f>
        <x:v>T5</x:v>
      </x:c>
      <x:c r="U480" s="24" t="str">
        <x:v>VRM Games</x:v>
      </x:c>
      <x:c r="V480" s="24" t="str">
        <x:v>No se detectó proveedor externo en la ruta; confirmar autoría por lote antes de release público.</x:v>
      </x:c>
    </x:row>
    <x:row r="481" ht="34" customHeight="1">
      <x:c r="A481" s="24" t="str">
        <x:v>TRC-00477</x:v>
      </x:c>
      <x:c r="B481" s="24" t="str">
        <x:v>a61233bef8944e5e84ea36f069b288f9</x:v>
      </x:c>
      <x:c r="C481" s="24" t="str">
        <x:v>CustomerProfileCatalogAsset.cs</x:v>
      </x:c>
      <x:c r="D481" s="24" t="str">
        <x:v>Code</x:v>
      </x:c>
      <x:c r="E481" s="24" t="str">
        <x:v>03_Assets_Internos</x:v>
      </x:c>
      <x:c r="F481" s="24" t="str">
        <x:v>INT-0477</x:v>
      </x:c>
      <x:c r="G481" s="24" t="str">
        <x:v>VRM Games / Blas Luis Rocha González</x:v>
      </x:c>
      <x:c r="H481" s="24" t="str">
        <x:v>Internal project IP / authorship claim</x:v>
      </x:c>
      <x:c r="I481" s="24" t="str">
        <x:v>Source package + repository path + hash</x:v>
      </x:c>
      <x:c r="J481" s="24" t="str">
        <x:v>8ba5cf3a80fd33d10d6c5f6538b4e51ba709b22222ced4efe3f12b257e364d23</x:v>
      </x:c>
      <x:c r="K481" s="24" t="str">
        <x:v>Assets/_Project/Scripts/Infrastructure/Customers/CustomerProfileCatalogAsset.cs</x:v>
      </x:c>
      <x:c r="L481" s="24" t="str">
        <x:v>CR-003</x:v>
      </x:c>
      <x:c r="M481" s="24" t="str"/>
      <x:c r="N481" s="24" t="str">
        <x:v>RES-001;RES-014</x:v>
      </x:c>
      <x:c r="O481" s="24" t="str">
        <x:v>Internal development; public candidate requires gate</x:v>
      </x:c>
      <x:c r="P481" s="24" t="str">
        <x:v>CONDITIONALLY APPROVED</x:v>
      </x:c>
      <x:c r="Q481" s="24" t="str">
        <x:v>Low</x:v>
      </x:c>
      <x:c r="R481" s="24" t="str"/>
      <x:c r="S481" s="24" t="str">
        <x:v>Sí</x:v>
      </x:c>
      <x:c r="T481" s="24" t="str">
        <x:f>"T"&amp;IF(AND(H481&lt;&gt;"",I481&lt;&gt;"",J481&lt;&gt;"",L481&lt;&gt;"",N481&lt;&gt;"",O481&lt;&gt;"",P481="APPROVED PUBLIC",S481="Sí"),6,IF(AND(H481&lt;&gt;"",I481&lt;&gt;"",J481&lt;&gt;"",L481&lt;&gt;"",N481&lt;&gt;"",O481&lt;&gt;"",P481&lt;&gt;"",S481="Sí"),5,IF(AND(H481&lt;&gt;"",I481&lt;&gt;"",P481&lt;&gt;"",S481&lt;&gt;"No"),4,IF(AND(H481&lt;&gt;"",I481&lt;&gt;""),3,IF(F481&lt;&gt;"",2,1)))))</x:f>
        <x:v>T5</x:v>
      </x:c>
      <x:c r="U481" s="24" t="str">
        <x:v>VRM Games</x:v>
      </x:c>
      <x:c r="V481" s="24" t="str">
        <x:v>No se detectó proveedor externo en la ruta; confirmar autoría por lote antes de release público.</x:v>
      </x:c>
    </x:row>
    <x:row r="482" ht="34" customHeight="1">
      <x:c r="A482" s="24" t="str">
        <x:v>TRC-00478</x:v>
      </x:c>
      <x:c r="B482" s="24" t="str">
        <x:v>d66d9f2a71c24b588761a513d649b0f5</x:v>
      </x:c>
      <x:c r="C482" s="24" t="str">
        <x:v>CustomerRuntimeAuthoring.cs</x:v>
      </x:c>
      <x:c r="D482" s="24" t="str">
        <x:v>Code</x:v>
      </x:c>
      <x:c r="E482" s="24" t="str">
        <x:v>03_Assets_Internos</x:v>
      </x:c>
      <x:c r="F482" s="24" t="str">
        <x:v>INT-0478</x:v>
      </x:c>
      <x:c r="G482" s="24" t="str">
        <x:v>VRM Games / Blas Luis Rocha González</x:v>
      </x:c>
      <x:c r="H482" s="24" t="str">
        <x:v>Internal project IP / authorship claim</x:v>
      </x:c>
      <x:c r="I482" s="24" t="str">
        <x:v>Source package + repository path + hash</x:v>
      </x:c>
      <x:c r="J482" s="24" t="str">
        <x:v>f22a9d6630cb5abd22342223f59412938fa7c1c9fa442ce3402b0a0e9f3d95b4</x:v>
      </x:c>
      <x:c r="K482" s="24" t="str">
        <x:v>Assets/_Project/Scripts/Infrastructure/Customers/CustomerRuntimeAuthoring.cs</x:v>
      </x:c>
      <x:c r="L482" s="24" t="str">
        <x:v>CR-003</x:v>
      </x:c>
      <x:c r="M482" s="24" t="str"/>
      <x:c r="N482" s="24" t="str">
        <x:v>RES-001;RES-014</x:v>
      </x:c>
      <x:c r="O482" s="24" t="str">
        <x:v>Internal development; public candidate requires gate</x:v>
      </x:c>
      <x:c r="P482" s="24" t="str">
        <x:v>CONDITIONALLY APPROVED</x:v>
      </x:c>
      <x:c r="Q482" s="24" t="str">
        <x:v>Low</x:v>
      </x:c>
      <x:c r="R482" s="24" t="str"/>
      <x:c r="S482" s="24" t="str">
        <x:v>Sí</x:v>
      </x:c>
      <x:c r="T482" s="24" t="str">
        <x:f>"T"&amp;IF(AND(H482&lt;&gt;"",I482&lt;&gt;"",J482&lt;&gt;"",L482&lt;&gt;"",N482&lt;&gt;"",O482&lt;&gt;"",P482="APPROVED PUBLIC",S482="Sí"),6,IF(AND(H482&lt;&gt;"",I482&lt;&gt;"",J482&lt;&gt;"",L482&lt;&gt;"",N482&lt;&gt;"",O482&lt;&gt;"",P482&lt;&gt;"",S482="Sí"),5,IF(AND(H482&lt;&gt;"",I482&lt;&gt;"",P482&lt;&gt;"",S482&lt;&gt;"No"),4,IF(AND(H482&lt;&gt;"",I482&lt;&gt;""),3,IF(F482&lt;&gt;"",2,1)))))</x:f>
        <x:v>T5</x:v>
      </x:c>
      <x:c r="U482" s="24" t="str">
        <x:v>VRM Games</x:v>
      </x:c>
      <x:c r="V482" s="24" t="str">
        <x:v>No se detectó proveedor externo en la ruta; confirmar autoría por lote antes de release público.</x:v>
      </x:c>
    </x:row>
    <x:row r="483" ht="34" customHeight="1">
      <x:c r="A483" s="24" t="str">
        <x:v>TRC-00479</x:v>
      </x:c>
      <x:c r="B483" s="24" t="str">
        <x:v>ac44d1e2ba0340e0813675e7203b3045</x:v>
      </x:c>
      <x:c r="C483" s="24" t="str">
        <x:v>CustomerSpawnAreaAuthoring.cs</x:v>
      </x:c>
      <x:c r="D483" s="24" t="str">
        <x:v>Code</x:v>
      </x:c>
      <x:c r="E483" s="24" t="str">
        <x:v>03_Assets_Internos</x:v>
      </x:c>
      <x:c r="F483" s="24" t="str">
        <x:v>INT-0479</x:v>
      </x:c>
      <x:c r="G483" s="24" t="str">
        <x:v>VRM Games / Blas Luis Rocha González</x:v>
      </x:c>
      <x:c r="H483" s="24" t="str">
        <x:v>Internal project IP / authorship claim</x:v>
      </x:c>
      <x:c r="I483" s="24" t="str">
        <x:v>Source package + repository path + hash</x:v>
      </x:c>
      <x:c r="J483" s="24" t="str">
        <x:v>24adb3987808a8a1eba1ee3854cebfe879ba9d35f995512a93c35de2a30dc4bd</x:v>
      </x:c>
      <x:c r="K483" s="24" t="str">
        <x:v>Assets/_Project/Scripts/Infrastructure/Customers/CustomerSpawnAreaAuthoring.cs</x:v>
      </x:c>
      <x:c r="L483" s="24" t="str">
        <x:v>CR-003</x:v>
      </x:c>
      <x:c r="M483" s="24" t="str"/>
      <x:c r="N483" s="24" t="str">
        <x:v>RES-001;RES-014</x:v>
      </x:c>
      <x:c r="O483" s="24" t="str">
        <x:v>Internal development; public candidate requires gate</x:v>
      </x:c>
      <x:c r="P483" s="24" t="str">
        <x:v>CONDITIONALLY APPROVED</x:v>
      </x:c>
      <x:c r="Q483" s="24" t="str">
        <x:v>Low</x:v>
      </x:c>
      <x:c r="R483" s="24" t="str"/>
      <x:c r="S483" s="24" t="str">
        <x:v>Sí</x:v>
      </x:c>
      <x:c r="T483" s="24" t="str">
        <x:f>"T"&amp;IF(AND(H483&lt;&gt;"",I483&lt;&gt;"",J483&lt;&gt;"",L483&lt;&gt;"",N483&lt;&gt;"",O483&lt;&gt;"",P483="APPROVED PUBLIC",S483="Sí"),6,IF(AND(H483&lt;&gt;"",I483&lt;&gt;"",J483&lt;&gt;"",L483&lt;&gt;"",N483&lt;&gt;"",O483&lt;&gt;"",P483&lt;&gt;"",S483="Sí"),5,IF(AND(H483&lt;&gt;"",I483&lt;&gt;"",P483&lt;&gt;"",S483&lt;&gt;"No"),4,IF(AND(H483&lt;&gt;"",I483&lt;&gt;""),3,IF(F483&lt;&gt;"",2,1)))))</x:f>
        <x:v>T5</x:v>
      </x:c>
      <x:c r="U483" s="24" t="str">
        <x:v>VRM Games</x:v>
      </x:c>
      <x:c r="V483" s="24" t="str">
        <x:v>No se detectó proveedor externo en la ruta; confirmar autoría por lote antes de release público.</x:v>
      </x:c>
    </x:row>
    <x:row r="484" ht="34" customHeight="1">
      <x:c r="A484" s="24" t="str">
        <x:v>TRC-00480</x:v>
      </x:c>
      <x:c r="B484" s="24" t="str">
        <x:v>a143a960e4c84feda34ffd120b945feb</x:v>
      </x:c>
      <x:c r="C484" s="24" t="str">
        <x:v>CustomerSpawnSettingsAsset.cs</x:v>
      </x:c>
      <x:c r="D484" s="24" t="str">
        <x:v>Code</x:v>
      </x:c>
      <x:c r="E484" s="24" t="str">
        <x:v>03_Assets_Internos</x:v>
      </x:c>
      <x:c r="F484" s="24" t="str">
        <x:v>INT-0480</x:v>
      </x:c>
      <x:c r="G484" s="24" t="str">
        <x:v>VRM Games / Blas Luis Rocha González</x:v>
      </x:c>
      <x:c r="H484" s="24" t="str">
        <x:v>Internal project IP / authorship claim</x:v>
      </x:c>
      <x:c r="I484" s="24" t="str">
        <x:v>Source package + repository path + hash</x:v>
      </x:c>
      <x:c r="J484" s="24" t="str">
        <x:v>40abac3e45ecc6c48ea02e6a6c118f1673d9d3db7b6b428ed81d390d6fb4e513</x:v>
      </x:c>
      <x:c r="K484" s="24" t="str">
        <x:v>Assets/_Project/Scripts/Infrastructure/Customers/CustomerSpawnSettingsAsset.cs</x:v>
      </x:c>
      <x:c r="L484" s="24" t="str">
        <x:v>CR-003</x:v>
      </x:c>
      <x:c r="M484" s="24" t="str"/>
      <x:c r="N484" s="24" t="str">
        <x:v>RES-001;RES-014</x:v>
      </x:c>
      <x:c r="O484" s="24" t="str">
        <x:v>Internal development; public candidate requires gate</x:v>
      </x:c>
      <x:c r="P484" s="24" t="str">
        <x:v>CONDITIONALLY APPROVED</x:v>
      </x:c>
      <x:c r="Q484" s="24" t="str">
        <x:v>Low</x:v>
      </x:c>
      <x:c r="R484" s="24" t="str"/>
      <x:c r="S484" s="24" t="str">
        <x:v>Sí</x:v>
      </x:c>
      <x:c r="T484" s="24" t="str">
        <x:f>"T"&amp;IF(AND(H484&lt;&gt;"",I484&lt;&gt;"",J484&lt;&gt;"",L484&lt;&gt;"",N484&lt;&gt;"",O484&lt;&gt;"",P484="APPROVED PUBLIC",S484="Sí"),6,IF(AND(H484&lt;&gt;"",I484&lt;&gt;"",J484&lt;&gt;"",L484&lt;&gt;"",N484&lt;&gt;"",O484&lt;&gt;"",P484&lt;&gt;"",S484="Sí"),5,IF(AND(H484&lt;&gt;"",I484&lt;&gt;"",P484&lt;&gt;"",S484&lt;&gt;"No"),4,IF(AND(H484&lt;&gt;"",I484&lt;&gt;""),3,IF(F484&lt;&gt;"",2,1)))))</x:f>
        <x:v>T5</x:v>
      </x:c>
      <x:c r="U484" s="24" t="str">
        <x:v>VRM Games</x:v>
      </x:c>
      <x:c r="V484" s="24" t="str">
        <x:v>No se detectó proveedor externo en la ruta; confirmar autoría por lote antes de release público.</x:v>
      </x:c>
    </x:row>
    <x:row r="485" ht="34" customHeight="1">
      <x:c r="A485" s="24" t="str">
        <x:v>TRC-00481</x:v>
      </x:c>
      <x:c r="B485" s="24" t="str">
        <x:v>b8a4fcdd3a134ed4bd1d4d5d4d05cac7</x:v>
      </x:c>
      <x:c r="C485" s="24" t="str">
        <x:v>CustomerTechnicalAgentView.cs</x:v>
      </x:c>
      <x:c r="D485" s="24" t="str">
        <x:v>Code</x:v>
      </x:c>
      <x:c r="E485" s="24" t="str">
        <x:v>03_Assets_Internos</x:v>
      </x:c>
      <x:c r="F485" s="24" t="str">
        <x:v>INT-0481</x:v>
      </x:c>
      <x:c r="G485" s="24" t="str">
        <x:v>VRM Games / Blas Luis Rocha González</x:v>
      </x:c>
      <x:c r="H485" s="24" t="str">
        <x:v>Internal project IP / authorship claim</x:v>
      </x:c>
      <x:c r="I485" s="24" t="str">
        <x:v>Source package + repository path + hash</x:v>
      </x:c>
      <x:c r="J485" s="24" t="str">
        <x:v>bc5212648cb8dfbf1a73a0b7504e47c5123d5c63904e534a28ff88f75ca5e4a0</x:v>
      </x:c>
      <x:c r="K485" s="24" t="str">
        <x:v>Assets/_Project/Scripts/Infrastructure/Customers/CustomerTechnicalAgentView.cs</x:v>
      </x:c>
      <x:c r="L485" s="24" t="str">
        <x:v>CR-003</x:v>
      </x:c>
      <x:c r="M485" s="24" t="str"/>
      <x:c r="N485" s="24" t="str">
        <x:v>RES-001;RES-014</x:v>
      </x:c>
      <x:c r="O485" s="24" t="str">
        <x:v>Internal development; public candidate requires gate</x:v>
      </x:c>
      <x:c r="P485" s="24" t="str">
        <x:v>CONDITIONALLY APPROVED</x:v>
      </x:c>
      <x:c r="Q485" s="24" t="str">
        <x:v>Low</x:v>
      </x:c>
      <x:c r="R485" s="24" t="str"/>
      <x:c r="S485" s="24" t="str">
        <x:v>Sí</x:v>
      </x:c>
      <x:c r="T485" s="24" t="str">
        <x:f>"T"&amp;IF(AND(H485&lt;&gt;"",I485&lt;&gt;"",J485&lt;&gt;"",L485&lt;&gt;"",N485&lt;&gt;"",O485&lt;&gt;"",P485="APPROVED PUBLIC",S485="Sí"),6,IF(AND(H485&lt;&gt;"",I485&lt;&gt;"",J485&lt;&gt;"",L485&lt;&gt;"",N485&lt;&gt;"",O485&lt;&gt;"",P485&lt;&gt;"",S485="Sí"),5,IF(AND(H485&lt;&gt;"",I485&lt;&gt;"",P485&lt;&gt;"",S485&lt;&gt;"No"),4,IF(AND(H485&lt;&gt;"",I485&lt;&gt;""),3,IF(F485&lt;&gt;"",2,1)))))</x:f>
        <x:v>T5</x:v>
      </x:c>
      <x:c r="U485" s="24" t="str">
        <x:v>VRM Games</x:v>
      </x:c>
      <x:c r="V485" s="24" t="str">
        <x:v>No se detectó proveedor externo en la ruta; confirmar autoría por lote antes de release público.</x:v>
      </x:c>
    </x:row>
    <x:row r="486" ht="34" customHeight="1">
      <x:c r="A486" s="24" t="str">
        <x:v>TRC-00482</x:v>
      </x:c>
      <x:c r="B486" s="24" t="str">
        <x:v>55daacafa156417b95bdf85d3cef4264</x:v>
      </x:c>
      <x:c r="C486" s="24" t="str">
        <x:v>CustomerTechnicalSpawner.cs</x:v>
      </x:c>
      <x:c r="D486" s="24" t="str">
        <x:v>Code</x:v>
      </x:c>
      <x:c r="E486" s="24" t="str">
        <x:v>03_Assets_Internos</x:v>
      </x:c>
      <x:c r="F486" s="24" t="str">
        <x:v>INT-0482</x:v>
      </x:c>
      <x:c r="G486" s="24" t="str">
        <x:v>VRM Games / Blas Luis Rocha González</x:v>
      </x:c>
      <x:c r="H486" s="24" t="str">
        <x:v>Internal project IP / authorship claim</x:v>
      </x:c>
      <x:c r="I486" s="24" t="str">
        <x:v>Source package + repository path + hash</x:v>
      </x:c>
      <x:c r="J486" s="24" t="str">
        <x:v>ecd1ef9df91e3503146ec1fa0da64e07588f653d09c0d2566ef7704ca7d0f729</x:v>
      </x:c>
      <x:c r="K486" s="24" t="str">
        <x:v>Assets/_Project/Scripts/Infrastructure/Customers/CustomerTechnicalSpawner.cs</x:v>
      </x:c>
      <x:c r="L486" s="24" t="str">
        <x:v>CR-003</x:v>
      </x:c>
      <x:c r="M486" s="24" t="str"/>
      <x:c r="N486" s="24" t="str">
        <x:v>RES-001;RES-014</x:v>
      </x:c>
      <x:c r="O486" s="24" t="str">
        <x:v>Internal development; public candidate requires gate</x:v>
      </x:c>
      <x:c r="P486" s="24" t="str">
        <x:v>CONDITIONALLY APPROVED</x:v>
      </x:c>
      <x:c r="Q486" s="24" t="str">
        <x:v>Low</x:v>
      </x:c>
      <x:c r="R486" s="24" t="str"/>
      <x:c r="S486" s="24" t="str">
        <x:v>Sí</x:v>
      </x:c>
      <x:c r="T486" s="24" t="str">
        <x:f>"T"&amp;IF(AND(H486&lt;&gt;"",I486&lt;&gt;"",J486&lt;&gt;"",L486&lt;&gt;"",N486&lt;&gt;"",O486&lt;&gt;"",P486="APPROVED PUBLIC",S486="Sí"),6,IF(AND(H486&lt;&gt;"",I486&lt;&gt;"",J486&lt;&gt;"",L486&lt;&gt;"",N486&lt;&gt;"",O486&lt;&gt;"",P486&lt;&gt;"",S486="Sí"),5,IF(AND(H486&lt;&gt;"",I486&lt;&gt;"",P486&lt;&gt;"",S486&lt;&gt;"No"),4,IF(AND(H486&lt;&gt;"",I486&lt;&gt;""),3,IF(F486&lt;&gt;"",2,1)))))</x:f>
        <x:v>T5</x:v>
      </x:c>
      <x:c r="U486" s="24" t="str">
        <x:v>VRM Games</x:v>
      </x:c>
      <x:c r="V486" s="24" t="str">
        <x:v>No se detectó proveedor externo en la ruta; confirmar autoría por lote antes de release público.</x:v>
      </x:c>
    </x:row>
    <x:row r="487" ht="34" customHeight="1">
      <x:c r="A487" s="24" t="str">
        <x:v>TRC-00483</x:v>
      </x:c>
      <x:c r="B487" s="24" t="str">
        <x:v>578d11520f934acdb776d287826ed1ad</x:v>
      </x:c>
      <x:c r="C487" s="24" t="str">
        <x:v>StoreDayRuntimeController.cs</x:v>
      </x:c>
      <x:c r="D487" s="24" t="str">
        <x:v>Code</x:v>
      </x:c>
      <x:c r="E487" s="24" t="str">
        <x:v>03_Assets_Internos</x:v>
      </x:c>
      <x:c r="F487" s="24" t="str">
        <x:v>INT-0483</x:v>
      </x:c>
      <x:c r="G487" s="24" t="str">
        <x:v>VRM Games / Blas Luis Rocha González</x:v>
      </x:c>
      <x:c r="H487" s="24" t="str">
        <x:v>Internal project IP / authorship claim</x:v>
      </x:c>
      <x:c r="I487" s="24" t="str">
        <x:v>Source package + repository path + hash</x:v>
      </x:c>
      <x:c r="J487" s="24" t="str">
        <x:v>c6969aed6e3b9c3b471194166e01faea71f12a9036dd40ea43a239ed554cca52</x:v>
      </x:c>
      <x:c r="K487" s="24" t="str">
        <x:v>Assets/_Project/Scripts/Infrastructure/DayCycle/StoreDayRuntimeController.cs</x:v>
      </x:c>
      <x:c r="L487" s="24" t="str">
        <x:v>CR-003</x:v>
      </x:c>
      <x:c r="M487" s="24" t="str"/>
      <x:c r="N487" s="24" t="str">
        <x:v>RES-001;RES-014</x:v>
      </x:c>
      <x:c r="O487" s="24" t="str">
        <x:v>Internal development; public candidate requires gate</x:v>
      </x:c>
      <x:c r="P487" s="24" t="str">
        <x:v>CONDITIONALLY APPROVED</x:v>
      </x:c>
      <x:c r="Q487" s="24" t="str">
        <x:v>Low</x:v>
      </x:c>
      <x:c r="R487" s="24" t="str"/>
      <x:c r="S487" s="24" t="str">
        <x:v>Sí</x:v>
      </x:c>
      <x:c r="T487" s="24" t="str">
        <x:f>"T"&amp;IF(AND(H487&lt;&gt;"",I487&lt;&gt;"",J487&lt;&gt;"",L487&lt;&gt;"",N487&lt;&gt;"",O487&lt;&gt;"",P487="APPROVED PUBLIC",S487="Sí"),6,IF(AND(H487&lt;&gt;"",I487&lt;&gt;"",J487&lt;&gt;"",L487&lt;&gt;"",N487&lt;&gt;"",O487&lt;&gt;"",P487&lt;&gt;"",S487="Sí"),5,IF(AND(H487&lt;&gt;"",I487&lt;&gt;"",P487&lt;&gt;"",S487&lt;&gt;"No"),4,IF(AND(H487&lt;&gt;"",I487&lt;&gt;""),3,IF(F487&lt;&gt;"",2,1)))))</x:f>
        <x:v>T5</x:v>
      </x:c>
      <x:c r="U487" s="24" t="str">
        <x:v>VRM Games</x:v>
      </x:c>
      <x:c r="V487" s="24" t="str">
        <x:v>No se detectó proveedor externo en la ruta; confirmar autoría por lote antes de release público.</x:v>
      </x:c>
    </x:row>
    <x:row r="488" ht="34" customHeight="1">
      <x:c r="A488" s="24" t="str">
        <x:v>TRC-00484</x:v>
      </x:c>
      <x:c r="B488" s="24" t="str">
        <x:v>c928ddea54ea4b3282664338edb04638</x:v>
      </x:c>
      <x:c r="C488" s="24" t="str">
        <x:v>StoreDaySettingsAsset.cs</x:v>
      </x:c>
      <x:c r="D488" s="24" t="str">
        <x:v>Code</x:v>
      </x:c>
      <x:c r="E488" s="24" t="str">
        <x:v>03_Assets_Internos</x:v>
      </x:c>
      <x:c r="F488" s="24" t="str">
        <x:v>INT-0484</x:v>
      </x:c>
      <x:c r="G488" s="24" t="str">
        <x:v>VRM Games / Blas Luis Rocha González</x:v>
      </x:c>
      <x:c r="H488" s="24" t="str">
        <x:v>Internal project IP / authorship claim</x:v>
      </x:c>
      <x:c r="I488" s="24" t="str">
        <x:v>Source package + repository path + hash</x:v>
      </x:c>
      <x:c r="J488" s="24" t="str">
        <x:v>1ff82df01016f7e9dacbab6d3aebf249e648935ae6cfc6f3283779a1021a8831</x:v>
      </x:c>
      <x:c r="K488" s="24" t="str">
        <x:v>Assets/_Project/Scripts/Infrastructure/DayCycle/StoreDaySettingsAsset.cs</x:v>
      </x:c>
      <x:c r="L488" s="24" t="str">
        <x:v>CR-003</x:v>
      </x:c>
      <x:c r="M488" s="24" t="str"/>
      <x:c r="N488" s="24" t="str">
        <x:v>RES-001;RES-014</x:v>
      </x:c>
      <x:c r="O488" s="24" t="str">
        <x:v>Internal development; public candidate requires gate</x:v>
      </x:c>
      <x:c r="P488" s="24" t="str">
        <x:v>CONDITIONALLY APPROVED</x:v>
      </x:c>
      <x:c r="Q488" s="24" t="str">
        <x:v>Low</x:v>
      </x:c>
      <x:c r="R488" s="24" t="str"/>
      <x:c r="S488" s="24" t="str">
        <x:v>Sí</x:v>
      </x:c>
      <x:c r="T488" s="24" t="str">
        <x:f>"T"&amp;IF(AND(H488&lt;&gt;"",I488&lt;&gt;"",J488&lt;&gt;"",L488&lt;&gt;"",N488&lt;&gt;"",O488&lt;&gt;"",P488="APPROVED PUBLIC",S488="Sí"),6,IF(AND(H488&lt;&gt;"",I488&lt;&gt;"",J488&lt;&gt;"",L488&lt;&gt;"",N488&lt;&gt;"",O488&lt;&gt;"",P488&lt;&gt;"",S488="Sí"),5,IF(AND(H488&lt;&gt;"",I488&lt;&gt;"",P488&lt;&gt;"",S488&lt;&gt;"No"),4,IF(AND(H488&lt;&gt;"",I488&lt;&gt;""),3,IF(F488&lt;&gt;"",2,1)))))</x:f>
        <x:v>T5</x:v>
      </x:c>
      <x:c r="U488" s="24" t="str">
        <x:v>VRM Games</x:v>
      </x:c>
      <x:c r="V488" s="24" t="str">
        <x:v>No se detectó proveedor externo en la ruta; confirmar autoría por lote antes de release público.</x:v>
      </x:c>
    </x:row>
    <x:row r="489" ht="34" customHeight="1">
      <x:c r="A489" s="24" t="str">
        <x:v>TRC-00485</x:v>
      </x:c>
      <x:c r="B489" s="24" t="str">
        <x:v>346d87ade65142958411ca1933618699</x:v>
      </x:c>
      <x:c r="C489" s="24" t="str">
        <x:v>StoreDayTechnicalScenarioRunner.cs</x:v>
      </x:c>
      <x:c r="D489" s="24" t="str">
        <x:v>Code</x:v>
      </x:c>
      <x:c r="E489" s="24" t="str">
        <x:v>03_Assets_Internos</x:v>
      </x:c>
      <x:c r="F489" s="24" t="str">
        <x:v>INT-0485</x:v>
      </x:c>
      <x:c r="G489" s="24" t="str">
        <x:v>VRM Games / Blas Luis Rocha González</x:v>
      </x:c>
      <x:c r="H489" s="24" t="str">
        <x:v>Internal project IP / authorship claim</x:v>
      </x:c>
      <x:c r="I489" s="24" t="str">
        <x:v>Source package + repository path + hash</x:v>
      </x:c>
      <x:c r="J489" s="24" t="str">
        <x:v>d6da70f917293b3a2db7681148dc29bf4e05a00bd8799595099926e47b78e468</x:v>
      </x:c>
      <x:c r="K489" s="24" t="str">
        <x:v>Assets/_Project/Scripts/Infrastructure/DayCycle/StoreDayTechnicalScenarioRunner.cs</x:v>
      </x:c>
      <x:c r="L489" s="24" t="str">
        <x:v>CR-003</x:v>
      </x:c>
      <x:c r="M489" s="24" t="str"/>
      <x:c r="N489" s="24" t="str">
        <x:v>RES-001;RES-014</x:v>
      </x:c>
      <x:c r="O489" s="24" t="str">
        <x:v>Internal development; public candidate requires gate</x:v>
      </x:c>
      <x:c r="P489" s="24" t="str">
        <x:v>CONDITIONALLY APPROVED</x:v>
      </x:c>
      <x:c r="Q489" s="24" t="str">
        <x:v>Low</x:v>
      </x:c>
      <x:c r="R489" s="24" t="str"/>
      <x:c r="S489" s="24" t="str">
        <x:v>Sí</x:v>
      </x:c>
      <x:c r="T489" s="24" t="str">
        <x:f>"T"&amp;IF(AND(H489&lt;&gt;"",I489&lt;&gt;"",J489&lt;&gt;"",L489&lt;&gt;"",N489&lt;&gt;"",O489&lt;&gt;"",P489="APPROVED PUBLIC",S489="Sí"),6,IF(AND(H489&lt;&gt;"",I489&lt;&gt;"",J489&lt;&gt;"",L489&lt;&gt;"",N489&lt;&gt;"",O489&lt;&gt;"",P489&lt;&gt;"",S489="Sí"),5,IF(AND(H489&lt;&gt;"",I489&lt;&gt;"",P489&lt;&gt;"",S489&lt;&gt;"No"),4,IF(AND(H489&lt;&gt;"",I489&lt;&gt;""),3,IF(F489&lt;&gt;"",2,1)))))</x:f>
        <x:v>T5</x:v>
      </x:c>
      <x:c r="U489" s="24" t="str">
        <x:v>VRM Games</x:v>
      </x:c>
      <x:c r="V489" s="24" t="str">
        <x:v>No se detectó proveedor externo en la ruta; confirmar autoría por lote antes de release público.</x:v>
      </x:c>
    </x:row>
    <x:row r="490" ht="34" customHeight="1">
      <x:c r="A490" s="24" t="str">
        <x:v>TRC-00486</x:v>
      </x:c>
      <x:c r="B490" s="24" t="str">
        <x:v>18688d46ad3549a08cd35d1307283ef0</x:v>
      </x:c>
      <x:c r="C490" s="24" t="str">
        <x:v>DisplayCatalogAsset.cs</x:v>
      </x:c>
      <x:c r="D490" s="24" t="str">
        <x:v>Code</x:v>
      </x:c>
      <x:c r="E490" s="24" t="str">
        <x:v>03_Assets_Internos</x:v>
      </x:c>
      <x:c r="F490" s="24" t="str">
        <x:v>INT-0486</x:v>
      </x:c>
      <x:c r="G490" s="24" t="str">
        <x:v>VRM Games / Blas Luis Rocha González</x:v>
      </x:c>
      <x:c r="H490" s="24" t="str">
        <x:v>Internal project IP / authorship claim</x:v>
      </x:c>
      <x:c r="I490" s="24" t="str">
        <x:v>Source package + repository path + hash</x:v>
      </x:c>
      <x:c r="J490" s="24" t="str">
        <x:v>0b1ae45d8a72d1db718000b529ec9ed065057f9069af33d90b3700067b95aab8</x:v>
      </x:c>
      <x:c r="K490" s="24" t="str">
        <x:v>Assets/_Project/Scripts/Infrastructure/Displays/DisplayCatalogAsset.cs</x:v>
      </x:c>
      <x:c r="L490" s="24" t="str">
        <x:v>CR-003</x:v>
      </x:c>
      <x:c r="M490" s="24" t="str"/>
      <x:c r="N490" s="24" t="str">
        <x:v>RES-001;RES-014</x:v>
      </x:c>
      <x:c r="O490" s="24" t="str">
        <x:v>Internal development; public candidate requires gate</x:v>
      </x:c>
      <x:c r="P490" s="24" t="str">
        <x:v>CONDITIONALLY APPROVED</x:v>
      </x:c>
      <x:c r="Q490" s="24" t="str">
        <x:v>Low</x:v>
      </x:c>
      <x:c r="R490" s="24" t="str"/>
      <x:c r="S490" s="24" t="str">
        <x:v>Sí</x:v>
      </x:c>
      <x:c r="T490" s="24" t="str">
        <x:f>"T"&amp;IF(AND(H490&lt;&gt;"",I490&lt;&gt;"",J490&lt;&gt;"",L490&lt;&gt;"",N490&lt;&gt;"",O490&lt;&gt;"",P490="APPROVED PUBLIC",S490="Sí"),6,IF(AND(H490&lt;&gt;"",I490&lt;&gt;"",J490&lt;&gt;"",L490&lt;&gt;"",N490&lt;&gt;"",O490&lt;&gt;"",P490&lt;&gt;"",S490="Sí"),5,IF(AND(H490&lt;&gt;"",I490&lt;&gt;"",P490&lt;&gt;"",S490&lt;&gt;"No"),4,IF(AND(H490&lt;&gt;"",I490&lt;&gt;""),3,IF(F490&lt;&gt;"",2,1)))))</x:f>
        <x:v>T5</x:v>
      </x:c>
      <x:c r="U490" s="24" t="str">
        <x:v>VRM Games</x:v>
      </x:c>
      <x:c r="V490" s="24" t="str">
        <x:v>No se detectó proveedor externo en la ruta; confirmar autoría por lote antes de release público.</x:v>
      </x:c>
    </x:row>
    <x:row r="491" ht="34" customHeight="1">
      <x:c r="A491" s="24" t="str">
        <x:v>TRC-00487</x:v>
      </x:c>
      <x:c r="B491" s="24" t="str">
        <x:v>d0a9ccaa26fc4af88c44f50a9835aa6d</x:v>
      </x:c>
      <x:c r="C491" s="24" t="str">
        <x:v>DisplayDefinitionAsset.cs</x:v>
      </x:c>
      <x:c r="D491" s="24" t="str">
        <x:v>Code</x:v>
      </x:c>
      <x:c r="E491" s="24" t="str">
        <x:v>03_Assets_Internos</x:v>
      </x:c>
      <x:c r="F491" s="24" t="str">
        <x:v>INT-0487</x:v>
      </x:c>
      <x:c r="G491" s="24" t="str">
        <x:v>VRM Games / Blas Luis Rocha González</x:v>
      </x:c>
      <x:c r="H491" s="24" t="str">
        <x:v>Internal project IP / authorship claim</x:v>
      </x:c>
      <x:c r="I491" s="24" t="str">
        <x:v>Source package + repository path + hash</x:v>
      </x:c>
      <x:c r="J491" s="24" t="str">
        <x:v>ee950c4f427bc8b88ee87c16e1b52504b3b4ec80d46982698d768d985ba273bc</x:v>
      </x:c>
      <x:c r="K491" s="24" t="str">
        <x:v>Assets/_Project/Scripts/Infrastructure/Displays/DisplayDefinitionAsset.cs</x:v>
      </x:c>
      <x:c r="L491" s="24" t="str">
        <x:v>CR-003</x:v>
      </x:c>
      <x:c r="M491" s="24" t="str"/>
      <x:c r="N491" s="24" t="str">
        <x:v>RES-001;RES-014</x:v>
      </x:c>
      <x:c r="O491" s="24" t="str">
        <x:v>Internal development; public candidate requires gate</x:v>
      </x:c>
      <x:c r="P491" s="24" t="str">
        <x:v>CONDITIONALLY APPROVED</x:v>
      </x:c>
      <x:c r="Q491" s="24" t="str">
        <x:v>Low</x:v>
      </x:c>
      <x:c r="R491" s="24" t="str"/>
      <x:c r="S491" s="24" t="str">
        <x:v>Sí</x:v>
      </x:c>
      <x:c r="T491" s="24" t="str">
        <x:f>"T"&amp;IF(AND(H491&lt;&gt;"",I491&lt;&gt;"",J491&lt;&gt;"",L491&lt;&gt;"",N491&lt;&gt;"",O491&lt;&gt;"",P491="APPROVED PUBLIC",S491="Sí"),6,IF(AND(H491&lt;&gt;"",I491&lt;&gt;"",J491&lt;&gt;"",L491&lt;&gt;"",N491&lt;&gt;"",O491&lt;&gt;"",P491&lt;&gt;"",S491="Sí"),5,IF(AND(H491&lt;&gt;"",I491&lt;&gt;"",P491&lt;&gt;"",S491&lt;&gt;"No"),4,IF(AND(H491&lt;&gt;"",I491&lt;&gt;""),3,IF(F491&lt;&gt;"",2,1)))))</x:f>
        <x:v>T5</x:v>
      </x:c>
      <x:c r="U491" s="24" t="str">
        <x:v>VRM Games</x:v>
      </x:c>
      <x:c r="V491" s="24" t="str">
        <x:v>No se detectó proveedor externo en la ruta; confirmar autoría por lote antes de release público.</x:v>
      </x:c>
    </x:row>
    <x:row r="492" ht="34" customHeight="1">
      <x:c r="A492" s="24" t="str">
        <x:v>TRC-00488</x:v>
      </x:c>
      <x:c r="B492" s="24" t="str">
        <x:v>d3b4413ba3c94f0188d8028c2576282b</x:v>
      </x:c>
      <x:c r="C492" s="24" t="str">
        <x:v>DisplayRuntimeAuthoring.cs</x:v>
      </x:c>
      <x:c r="D492" s="24" t="str">
        <x:v>Code</x:v>
      </x:c>
      <x:c r="E492" s="24" t="str">
        <x:v>03_Assets_Internos</x:v>
      </x:c>
      <x:c r="F492" s="24" t="str">
        <x:v>INT-0488</x:v>
      </x:c>
      <x:c r="G492" s="24" t="str">
        <x:v>VRM Games / Blas Luis Rocha González</x:v>
      </x:c>
      <x:c r="H492" s="24" t="str">
        <x:v>Internal project IP / authorship claim</x:v>
      </x:c>
      <x:c r="I492" s="24" t="str">
        <x:v>Source package + repository path + hash</x:v>
      </x:c>
      <x:c r="J492" s="24" t="str">
        <x:v>c213659bfb705c8b21eb9f7b3f7555c350fa2052b9a34723e07c3094565a3096</x:v>
      </x:c>
      <x:c r="K492" s="24" t="str">
        <x:v>Assets/_Project/Scripts/Infrastructure/Displays/DisplayRuntimeAuthoring.cs</x:v>
      </x:c>
      <x:c r="L492" s="24" t="str">
        <x:v>CR-003</x:v>
      </x:c>
      <x:c r="M492" s="24" t="str"/>
      <x:c r="N492" s="24" t="str">
        <x:v>RES-001;RES-014</x:v>
      </x:c>
      <x:c r="O492" s="24" t="str">
        <x:v>Internal development; public candidate requires gate</x:v>
      </x:c>
      <x:c r="P492" s="24" t="str">
        <x:v>CONDITIONALLY APPROVED</x:v>
      </x:c>
      <x:c r="Q492" s="24" t="str">
        <x:v>Low</x:v>
      </x:c>
      <x:c r="R492" s="24" t="str"/>
      <x:c r="S492" s="24" t="str">
        <x:v>Sí</x:v>
      </x:c>
      <x:c r="T492" s="24" t="str">
        <x:f>"T"&amp;IF(AND(H492&lt;&gt;"",I492&lt;&gt;"",J492&lt;&gt;"",L492&lt;&gt;"",N492&lt;&gt;"",O492&lt;&gt;"",P492="APPROVED PUBLIC",S492="Sí"),6,IF(AND(H492&lt;&gt;"",I492&lt;&gt;"",J492&lt;&gt;"",L492&lt;&gt;"",N492&lt;&gt;"",O492&lt;&gt;"",P492&lt;&gt;"",S492="Sí"),5,IF(AND(H492&lt;&gt;"",I492&lt;&gt;"",P492&lt;&gt;"",S492&lt;&gt;"No"),4,IF(AND(H492&lt;&gt;"",I492&lt;&gt;""),3,IF(F492&lt;&gt;"",2,1)))))</x:f>
        <x:v>T5</x:v>
      </x:c>
      <x:c r="U492" s="24" t="str">
        <x:v>VRM Games</x:v>
      </x:c>
      <x:c r="V492" s="24" t="str">
        <x:v>No se detectó proveedor externo en la ruta; confirmar autoría por lote antes de release público.</x:v>
      </x:c>
    </x:row>
    <x:row r="493" ht="34" customHeight="1">
      <x:c r="A493" s="24" t="str">
        <x:v>TRC-00489</x:v>
      </x:c>
      <x:c r="B493" s="24" t="str">
        <x:v>f78ec05a743b446595b1d7c4e0ec8816</x:v>
      </x:c>
      <x:c r="C493" s="24" t="str">
        <x:v>EconomySettingsAsset.cs</x:v>
      </x:c>
      <x:c r="D493" s="24" t="str">
        <x:v>Code</x:v>
      </x:c>
      <x:c r="E493" s="24" t="str">
        <x:v>03_Assets_Internos</x:v>
      </x:c>
      <x:c r="F493" s="24" t="str">
        <x:v>INT-0489</x:v>
      </x:c>
      <x:c r="G493" s="24" t="str">
        <x:v>VRM Games / Blas Luis Rocha González</x:v>
      </x:c>
      <x:c r="H493" s="24" t="str">
        <x:v>Internal project IP / authorship claim</x:v>
      </x:c>
      <x:c r="I493" s="24" t="str">
        <x:v>Source package + repository path + hash</x:v>
      </x:c>
      <x:c r="J493" s="24" t="str">
        <x:v>b4d047b504bd09568b10c5cc07192c0094401c28777a439ae22df1599f4e33a7</x:v>
      </x:c>
      <x:c r="K493" s="24" t="str">
        <x:v>Assets/_Project/Scripts/Infrastructure/Economy/EconomySettingsAsset.cs</x:v>
      </x:c>
      <x:c r="L493" s="24" t="str">
        <x:v>CR-003</x:v>
      </x:c>
      <x:c r="M493" s="24" t="str"/>
      <x:c r="N493" s="24" t="str">
        <x:v>RES-001;RES-014</x:v>
      </x:c>
      <x:c r="O493" s="24" t="str">
        <x:v>Internal development; public candidate requires gate</x:v>
      </x:c>
      <x:c r="P493" s="24" t="str">
        <x:v>CONDITIONALLY APPROVED</x:v>
      </x:c>
      <x:c r="Q493" s="24" t="str">
        <x:v>Low</x:v>
      </x:c>
      <x:c r="R493" s="24" t="str"/>
      <x:c r="S493" s="24" t="str">
        <x:v>Sí</x:v>
      </x:c>
      <x:c r="T493" s="24" t="str">
        <x:f>"T"&amp;IF(AND(H493&lt;&gt;"",I493&lt;&gt;"",J493&lt;&gt;"",L493&lt;&gt;"",N493&lt;&gt;"",O493&lt;&gt;"",P493="APPROVED PUBLIC",S493="Sí"),6,IF(AND(H493&lt;&gt;"",I493&lt;&gt;"",J493&lt;&gt;"",L493&lt;&gt;"",N493&lt;&gt;"",O493&lt;&gt;"",P493&lt;&gt;"",S493="Sí"),5,IF(AND(H493&lt;&gt;"",I493&lt;&gt;"",P493&lt;&gt;"",S493&lt;&gt;"No"),4,IF(AND(H493&lt;&gt;"",I493&lt;&gt;""),3,IF(F493&lt;&gt;"",2,1)))))</x:f>
        <x:v>T5</x:v>
      </x:c>
      <x:c r="U493" s="24" t="str">
        <x:v>VRM Games</x:v>
      </x:c>
      <x:c r="V493" s="24" t="str">
        <x:v>No se detectó proveedor externo en la ruta; confirmar autoría por lote antes de release público.</x:v>
      </x:c>
    </x:row>
    <x:row r="494" ht="34" customHeight="1">
      <x:c r="A494" s="24" t="str">
        <x:v>TRC-00490</x:v>
      </x:c>
      <x:c r="B494" s="24" t="str">
        <x:v>fa46a0e972fd4bb8a9b044f7737dcecc</x:v>
      </x:c>
      <x:c r="C494" s="24" t="str">
        <x:v>EconomyTechnicalScenarioRunner.cs</x:v>
      </x:c>
      <x:c r="D494" s="24" t="str">
        <x:v>Code</x:v>
      </x:c>
      <x:c r="E494" s="24" t="str">
        <x:v>03_Assets_Internos</x:v>
      </x:c>
      <x:c r="F494" s="24" t="str">
        <x:v>INT-0490</x:v>
      </x:c>
      <x:c r="G494" s="24" t="str">
        <x:v>VRM Games / Blas Luis Rocha González</x:v>
      </x:c>
      <x:c r="H494" s="24" t="str">
        <x:v>Internal project IP / authorship claim</x:v>
      </x:c>
      <x:c r="I494" s="24" t="str">
        <x:v>Source package + repository path + hash</x:v>
      </x:c>
      <x:c r="J494" s="24" t="str">
        <x:v>dcdd46d28a2b800a1e3b6aaca05889aa5c48e3dd9a189fae81280719e64b45a5</x:v>
      </x:c>
      <x:c r="K494" s="24" t="str">
        <x:v>Assets/_Project/Scripts/Infrastructure/Economy/EconomyTechnicalScenarioRunner.cs</x:v>
      </x:c>
      <x:c r="L494" s="24" t="str">
        <x:v>CR-003</x:v>
      </x:c>
      <x:c r="M494" s="24" t="str"/>
      <x:c r="N494" s="24" t="str">
        <x:v>RES-001;RES-014</x:v>
      </x:c>
      <x:c r="O494" s="24" t="str">
        <x:v>Internal development; public candidate requires gate</x:v>
      </x:c>
      <x:c r="P494" s="24" t="str">
        <x:v>CONDITIONALLY APPROVED</x:v>
      </x:c>
      <x:c r="Q494" s="24" t="str">
        <x:v>Low</x:v>
      </x:c>
      <x:c r="R494" s="24" t="str"/>
      <x:c r="S494" s="24" t="str">
        <x:v>Sí</x:v>
      </x:c>
      <x:c r="T494" s="24" t="str">
        <x:f>"T"&amp;IF(AND(H494&lt;&gt;"",I494&lt;&gt;"",J494&lt;&gt;"",L494&lt;&gt;"",N494&lt;&gt;"",O494&lt;&gt;"",P494="APPROVED PUBLIC",S494="Sí"),6,IF(AND(H494&lt;&gt;"",I494&lt;&gt;"",J494&lt;&gt;"",L494&lt;&gt;"",N494&lt;&gt;"",O494&lt;&gt;"",P494&lt;&gt;"",S494="Sí"),5,IF(AND(H494&lt;&gt;"",I494&lt;&gt;"",P494&lt;&gt;"",S494&lt;&gt;"No"),4,IF(AND(H494&lt;&gt;"",I494&lt;&gt;""),3,IF(F494&lt;&gt;"",2,1)))))</x:f>
        <x:v>T5</x:v>
      </x:c>
      <x:c r="U494" s="24" t="str">
        <x:v>VRM Games</x:v>
      </x:c>
      <x:c r="V494" s="24" t="str">
        <x:v>No se detectó proveedor externo en la ruta; confirmar autoría por lote antes de release público.</x:v>
      </x:c>
    </x:row>
    <x:row r="495" ht="34" customHeight="1">
      <x:c r="A495" s="24" t="str">
        <x:v>TRC-00491</x:v>
      </x:c>
      <x:c r="B495" s="24" t="str">
        <x:v>2ae2f861562e493e8fbb45d87eb118c2</x:v>
      </x:c>
      <x:c r="C495" s="24" t="str">
        <x:v>ProductSalePriceCatalogAsset.cs</x:v>
      </x:c>
      <x:c r="D495" s="24" t="str">
        <x:v>Code</x:v>
      </x:c>
      <x:c r="E495" s="24" t="str">
        <x:v>03_Assets_Internos</x:v>
      </x:c>
      <x:c r="F495" s="24" t="str">
        <x:v>INT-0491</x:v>
      </x:c>
      <x:c r="G495" s="24" t="str">
        <x:v>VRM Games / Blas Luis Rocha González</x:v>
      </x:c>
      <x:c r="H495" s="24" t="str">
        <x:v>Internal project IP / authorship claim</x:v>
      </x:c>
      <x:c r="I495" s="24" t="str">
        <x:v>Source package + repository path + hash</x:v>
      </x:c>
      <x:c r="J495" s="24" t="str">
        <x:v>b2968a31b8e4b3018aea21f15ab2ff83dcd1aaf12165407b5e17c46c6738382d</x:v>
      </x:c>
      <x:c r="K495" s="24" t="str">
        <x:v>Assets/_Project/Scripts/Infrastructure/Economy/ProductSalePriceCatalogAsset.cs</x:v>
      </x:c>
      <x:c r="L495" s="24" t="str">
        <x:v>CR-003</x:v>
      </x:c>
      <x:c r="M495" s="24" t="str"/>
      <x:c r="N495" s="24" t="str">
        <x:v>RES-001;RES-014</x:v>
      </x:c>
      <x:c r="O495" s="24" t="str">
        <x:v>Internal development; public candidate requires gate</x:v>
      </x:c>
      <x:c r="P495" s="24" t="str">
        <x:v>CONDITIONALLY APPROVED</x:v>
      </x:c>
      <x:c r="Q495" s="24" t="str">
        <x:v>Low</x:v>
      </x:c>
      <x:c r="R495" s="24" t="str"/>
      <x:c r="S495" s="24" t="str">
        <x:v>Sí</x:v>
      </x:c>
      <x:c r="T495" s="24" t="str">
        <x:f>"T"&amp;IF(AND(H495&lt;&gt;"",I495&lt;&gt;"",J495&lt;&gt;"",L495&lt;&gt;"",N495&lt;&gt;"",O495&lt;&gt;"",P495="APPROVED PUBLIC",S495="Sí"),6,IF(AND(H495&lt;&gt;"",I495&lt;&gt;"",J495&lt;&gt;"",L495&lt;&gt;"",N495&lt;&gt;"",O495&lt;&gt;"",P495&lt;&gt;"",S495="Sí"),5,IF(AND(H495&lt;&gt;"",I495&lt;&gt;"",P495&lt;&gt;"",S495&lt;&gt;"No"),4,IF(AND(H495&lt;&gt;"",I495&lt;&gt;""),3,IF(F495&lt;&gt;"",2,1)))))</x:f>
        <x:v>T5</x:v>
      </x:c>
      <x:c r="U495" s="24" t="str">
        <x:v>VRM Games</x:v>
      </x:c>
      <x:c r="V495" s="24" t="str">
        <x:v>No se detectó proveedor externo en la ruta; confirmar autoría por lote antes de release público.</x:v>
      </x:c>
    </x:row>
    <x:row r="496" ht="34" customHeight="1">
      <x:c r="A496" s="24" t="str">
        <x:v>TRC-00492</x:v>
      </x:c>
      <x:c r="B496" s="24" t="str">
        <x:v>5a803f11887d4ea699c979f18ab2dbec</x:v>
      </x:c>
      <x:c r="C496" s="24" t="str">
        <x:v>JsonSaveGameRepository.cs</x:v>
      </x:c>
      <x:c r="D496" s="24" t="str">
        <x:v>Code</x:v>
      </x:c>
      <x:c r="E496" s="24" t="str">
        <x:v>03_Assets_Internos</x:v>
      </x:c>
      <x:c r="F496" s="24" t="str">
        <x:v>INT-0492</x:v>
      </x:c>
      <x:c r="G496" s="24" t="str">
        <x:v>VRM Games / Blas Luis Rocha González</x:v>
      </x:c>
      <x:c r="H496" s="24" t="str">
        <x:v>Internal project IP / authorship claim</x:v>
      </x:c>
      <x:c r="I496" s="24" t="str">
        <x:v>Source package + repository path + hash</x:v>
      </x:c>
      <x:c r="J496" s="24" t="str">
        <x:v>4841b006e79fece72618b5d9569b875307bbd8143c0003f86d74935e5e6d1e39</x:v>
      </x:c>
      <x:c r="K496" s="24" t="str">
        <x:v>Assets/_Project/Scripts/Infrastructure/GameSession/JsonSaveGameRepository.cs</x:v>
      </x:c>
      <x:c r="L496" s="24" t="str">
        <x:v>CR-003</x:v>
      </x:c>
      <x:c r="M496" s="24" t="str"/>
      <x:c r="N496" s="24" t="str">
        <x:v>RES-001;RES-014</x:v>
      </x:c>
      <x:c r="O496" s="24" t="str">
        <x:v>Internal development; public candidate requires gate</x:v>
      </x:c>
      <x:c r="P496" s="24" t="str">
        <x:v>CONDITIONALLY APPROVED</x:v>
      </x:c>
      <x:c r="Q496" s="24" t="str">
        <x:v>Low</x:v>
      </x:c>
      <x:c r="R496" s="24" t="str"/>
      <x:c r="S496" s="24" t="str">
        <x:v>Sí</x:v>
      </x:c>
      <x:c r="T496" s="24" t="str">
        <x:f>"T"&amp;IF(AND(H496&lt;&gt;"",I496&lt;&gt;"",J496&lt;&gt;"",L496&lt;&gt;"",N496&lt;&gt;"",O496&lt;&gt;"",P496="APPROVED PUBLIC",S496="Sí"),6,IF(AND(H496&lt;&gt;"",I496&lt;&gt;"",J496&lt;&gt;"",L496&lt;&gt;"",N496&lt;&gt;"",O496&lt;&gt;"",P496&lt;&gt;"",S496="Sí"),5,IF(AND(H496&lt;&gt;"",I496&lt;&gt;"",P496&lt;&gt;"",S496&lt;&gt;"No"),4,IF(AND(H496&lt;&gt;"",I496&lt;&gt;""),3,IF(F496&lt;&gt;"",2,1)))))</x:f>
        <x:v>T5</x:v>
      </x:c>
      <x:c r="U496" s="24" t="str">
        <x:v>VRM Games</x:v>
      </x:c>
      <x:c r="V496" s="24" t="str">
        <x:v>No se detectó proveedor externo en la ruta; confirmar autoría por lote antes de release público.</x:v>
      </x:c>
    </x:row>
    <x:row r="497" ht="34" customHeight="1">
      <x:c r="A497" s="24" t="str">
        <x:v>TRC-00493</x:v>
      </x:c>
      <x:c r="B497" s="24" t="str">
        <x:v>50a8bbcaaf5848bc85972e20de7feaeb</x:v>
      </x:c>
      <x:c r="C497" s="24" t="str">
        <x:v>SystemUtcClock.cs</x:v>
      </x:c>
      <x:c r="D497" s="24" t="str">
        <x:v>Code</x:v>
      </x:c>
      <x:c r="E497" s="24" t="str">
        <x:v>03_Assets_Internos</x:v>
      </x:c>
      <x:c r="F497" s="24" t="str">
        <x:v>INT-0493</x:v>
      </x:c>
      <x:c r="G497" s="24" t="str">
        <x:v>VRM Games / Blas Luis Rocha González</x:v>
      </x:c>
      <x:c r="H497" s="24" t="str">
        <x:v>Internal project IP / authorship claim</x:v>
      </x:c>
      <x:c r="I497" s="24" t="str">
        <x:v>Source package + repository path + hash</x:v>
      </x:c>
      <x:c r="J497" s="24" t="str">
        <x:v>d609f42812533690d673900cfa196169aa2775e504aeb6b966aa3b8e99c6ff8d</x:v>
      </x:c>
      <x:c r="K497" s="24" t="str">
        <x:v>Assets/_Project/Scripts/Infrastructure/GameSession/SystemUtcClock.cs</x:v>
      </x:c>
      <x:c r="L497" s="24" t="str">
        <x:v>CR-003</x:v>
      </x:c>
      <x:c r="M497" s="24" t="str"/>
      <x:c r="N497" s="24" t="str">
        <x:v>RES-001;RES-014</x:v>
      </x:c>
      <x:c r="O497" s="24" t="str">
        <x:v>Internal development; public candidate requires gate</x:v>
      </x:c>
      <x:c r="P497" s="24" t="str">
        <x:v>CONDITIONALLY APPROVED</x:v>
      </x:c>
      <x:c r="Q497" s="24" t="str">
        <x:v>Low</x:v>
      </x:c>
      <x:c r="R497" s="24" t="str"/>
      <x:c r="S497" s="24" t="str">
        <x:v>Sí</x:v>
      </x:c>
      <x:c r="T497" s="24" t="str">
        <x:f>"T"&amp;IF(AND(H497&lt;&gt;"",I497&lt;&gt;"",J497&lt;&gt;"",L497&lt;&gt;"",N497&lt;&gt;"",O497&lt;&gt;"",P497="APPROVED PUBLIC",S497="Sí"),6,IF(AND(H497&lt;&gt;"",I497&lt;&gt;"",J497&lt;&gt;"",L497&lt;&gt;"",N497&lt;&gt;"",O497&lt;&gt;"",P497&lt;&gt;"",S497="Sí"),5,IF(AND(H497&lt;&gt;"",I497&lt;&gt;"",P497&lt;&gt;"",S497&lt;&gt;"No"),4,IF(AND(H497&lt;&gt;"",I497&lt;&gt;""),3,IF(F497&lt;&gt;"",2,1)))))</x:f>
        <x:v>T5</x:v>
      </x:c>
      <x:c r="U497" s="24" t="str">
        <x:v>VRM Games</x:v>
      </x:c>
      <x:c r="V497" s="24" t="str">
        <x:v>No se detectó proveedor externo en la ruta; confirmar autoría por lote antes de release público.</x:v>
      </x:c>
    </x:row>
    <x:row r="498" ht="34" customHeight="1">
      <x:c r="A498" s="24" t="str">
        <x:v>TRC-00494</x:v>
      </x:c>
      <x:c r="B498" s="24" t="str">
        <x:v>4cb59ed56dd84c73b53057e62bb60e74</x:v>
      </x:c>
      <x:c r="C498" s="24" t="str">
        <x:v>GameplayInputActionDriver.cs</x:v>
      </x:c>
      <x:c r="D498" s="24" t="str">
        <x:v>Code</x:v>
      </x:c>
      <x:c r="E498" s="24" t="str">
        <x:v>03_Assets_Internos</x:v>
      </x:c>
      <x:c r="F498" s="24" t="str">
        <x:v>INT-0494</x:v>
      </x:c>
      <x:c r="G498" s="24" t="str">
        <x:v>VRM Games / Blas Luis Rocha González</x:v>
      </x:c>
      <x:c r="H498" s="24" t="str">
        <x:v>Internal project IP / authorship claim</x:v>
      </x:c>
      <x:c r="I498" s="24" t="str">
        <x:v>Source package + repository path + hash</x:v>
      </x:c>
      <x:c r="J498" s="24" t="str">
        <x:v>9d883848d83aa145486ec086441dadb89c8ee4925231a988046dcb39b698f973</x:v>
      </x:c>
      <x:c r="K498" s="24" t="str">
        <x:v>Assets/_Project/Scripts/Infrastructure/InputSystem/Actions/GameplayInputActionDriver.cs</x:v>
      </x:c>
      <x:c r="L498" s="24" t="str">
        <x:v>CR-003</x:v>
      </x:c>
      <x:c r="M498" s="24" t="str"/>
      <x:c r="N498" s="24" t="str">
        <x:v>RES-001;RES-014</x:v>
      </x:c>
      <x:c r="O498" s="24" t="str">
        <x:v>Internal development; public candidate requires gate</x:v>
      </x:c>
      <x:c r="P498" s="24" t="str">
        <x:v>CONDITIONALLY APPROVED</x:v>
      </x:c>
      <x:c r="Q498" s="24" t="str">
        <x:v>Low</x:v>
      </x:c>
      <x:c r="R498" s="24" t="str"/>
      <x:c r="S498" s="24" t="str">
        <x:v>Sí</x:v>
      </x:c>
      <x:c r="T498" s="24" t="str">
        <x:f>"T"&amp;IF(AND(H498&lt;&gt;"",I498&lt;&gt;"",J498&lt;&gt;"",L498&lt;&gt;"",N498&lt;&gt;"",O498&lt;&gt;"",P498="APPROVED PUBLIC",S498="Sí"),6,IF(AND(H498&lt;&gt;"",I498&lt;&gt;"",J498&lt;&gt;"",L498&lt;&gt;"",N498&lt;&gt;"",O498&lt;&gt;"",P498&lt;&gt;"",S498="Sí"),5,IF(AND(H498&lt;&gt;"",I498&lt;&gt;"",P498&lt;&gt;"",S498&lt;&gt;"No"),4,IF(AND(H498&lt;&gt;"",I498&lt;&gt;""),3,IF(F498&lt;&gt;"",2,1)))))</x:f>
        <x:v>T5</x:v>
      </x:c>
      <x:c r="U498" s="24" t="str">
        <x:v>VRM Games</x:v>
      </x:c>
      <x:c r="V498" s="24" t="str">
        <x:v>No se detectó proveedor externo en la ruta; confirmar autoría por lote antes de release público.</x:v>
      </x:c>
    </x:row>
    <x:row r="499" ht="34" customHeight="1">
      <x:c r="A499" s="24" t="str">
        <x:v>TRC-00495</x:v>
      </x:c>
      <x:c r="B499" s="24" t="str">
        <x:v>069a00af3ae347fbad37c2c16460a348</x:v>
      </x:c>
      <x:c r="C499" s="24" t="str">
        <x:v>GameplayInputFrame.cs</x:v>
      </x:c>
      <x:c r="D499" s="24" t="str">
        <x:v>Code</x:v>
      </x:c>
      <x:c r="E499" s="24" t="str">
        <x:v>03_Assets_Internos</x:v>
      </x:c>
      <x:c r="F499" s="24" t="str">
        <x:v>INT-0495</x:v>
      </x:c>
      <x:c r="G499" s="24" t="str">
        <x:v>VRM Games / Blas Luis Rocha González</x:v>
      </x:c>
      <x:c r="H499" s="24" t="str">
        <x:v>Internal project IP / authorship claim</x:v>
      </x:c>
      <x:c r="I499" s="24" t="str">
        <x:v>Source package + repository path + hash</x:v>
      </x:c>
      <x:c r="J499" s="24" t="str">
        <x:v>d81cc9db470e7b12d822fbbb06e30cc22ba96911f0665d0d116ee14868522b70</x:v>
      </x:c>
      <x:c r="K499" s="24" t="str">
        <x:v>Assets/_Project/Scripts/Infrastructure/InputSystem/Actions/GameplayInputFrame.cs</x:v>
      </x:c>
      <x:c r="L499" s="24" t="str">
        <x:v>CR-003</x:v>
      </x:c>
      <x:c r="M499" s="24" t="str"/>
      <x:c r="N499" s="24" t="str">
        <x:v>RES-001;RES-014</x:v>
      </x:c>
      <x:c r="O499" s="24" t="str">
        <x:v>Internal development; public candidate requires gate</x:v>
      </x:c>
      <x:c r="P499" s="24" t="str">
        <x:v>CONDITIONALLY APPROVED</x:v>
      </x:c>
      <x:c r="Q499" s="24" t="str">
        <x:v>Low</x:v>
      </x:c>
      <x:c r="R499" s="24" t="str"/>
      <x:c r="S499" s="24" t="str">
        <x:v>Sí</x:v>
      </x:c>
      <x:c r="T499" s="24" t="str">
        <x:f>"T"&amp;IF(AND(H499&lt;&gt;"",I499&lt;&gt;"",J499&lt;&gt;"",L499&lt;&gt;"",N499&lt;&gt;"",O499&lt;&gt;"",P499="APPROVED PUBLIC",S499="Sí"),6,IF(AND(H499&lt;&gt;"",I499&lt;&gt;"",J499&lt;&gt;"",L499&lt;&gt;"",N499&lt;&gt;"",O499&lt;&gt;"",P499&lt;&gt;"",S499="Sí"),5,IF(AND(H499&lt;&gt;"",I499&lt;&gt;"",P499&lt;&gt;"",S499&lt;&gt;"No"),4,IF(AND(H499&lt;&gt;"",I499&lt;&gt;""),3,IF(F499&lt;&gt;"",2,1)))))</x:f>
        <x:v>T5</x:v>
      </x:c>
      <x:c r="U499" s="24" t="str">
        <x:v>VRM Games</x:v>
      </x:c>
      <x:c r="V499" s="24" t="str">
        <x:v>No se detectó proveedor externo en la ruta; confirmar autoría por lote antes de release público.</x:v>
      </x:c>
    </x:row>
    <x:row r="500" ht="34" customHeight="1">
      <x:c r="A500" s="24" t="str">
        <x:v>TRC-00496</x:v>
      </x:c>
      <x:c r="B500" s="24" t="str">
        <x:v>7b35fb36d9c94b62a4e0b51c28c93e3a</x:v>
      </x:c>
      <x:c r="C500" s="24" t="str">
        <x:v>InputActionContextRouter.cs</x:v>
      </x:c>
      <x:c r="D500" s="24" t="str">
        <x:v>Code</x:v>
      </x:c>
      <x:c r="E500" s="24" t="str">
        <x:v>03_Assets_Internos</x:v>
      </x:c>
      <x:c r="F500" s="24" t="str">
        <x:v>INT-0496</x:v>
      </x:c>
      <x:c r="G500" s="24" t="str">
        <x:v>VRM Games / Blas Luis Rocha González</x:v>
      </x:c>
      <x:c r="H500" s="24" t="str">
        <x:v>Internal project IP / authorship claim</x:v>
      </x:c>
      <x:c r="I500" s="24" t="str">
        <x:v>Source package + repository path + hash</x:v>
      </x:c>
      <x:c r="J500" s="24" t="str">
        <x:v>700a1cc6fd8e4a2d10c8bf9d14d9a9afa0e62e563adb93d4e91a1f4310928be4</x:v>
      </x:c>
      <x:c r="K500" s="24" t="str">
        <x:v>Assets/_Project/Scripts/Infrastructure/InputSystem/Actions/InputActionContextRouter.cs</x:v>
      </x:c>
      <x:c r="L500" s="24" t="str">
        <x:v>CR-003</x:v>
      </x:c>
      <x:c r="M500" s="24" t="str"/>
      <x:c r="N500" s="24" t="str">
        <x:v>RES-001;RES-014</x:v>
      </x:c>
      <x:c r="O500" s="24" t="str">
        <x:v>Internal development; public candidate requires gate</x:v>
      </x:c>
      <x:c r="P500" s="24" t="str">
        <x:v>CONDITIONALLY APPROVED</x:v>
      </x:c>
      <x:c r="Q500" s="24" t="str">
        <x:v>Low</x:v>
      </x:c>
      <x:c r="R500" s="24" t="str"/>
      <x:c r="S500" s="24" t="str">
        <x:v>Sí</x:v>
      </x:c>
      <x:c r="T500" s="24" t="str">
        <x:f>"T"&amp;IF(AND(H500&lt;&gt;"",I500&lt;&gt;"",J500&lt;&gt;"",L500&lt;&gt;"",N500&lt;&gt;"",O500&lt;&gt;"",P500="APPROVED PUBLIC",S500="Sí"),6,IF(AND(H500&lt;&gt;"",I500&lt;&gt;"",J500&lt;&gt;"",L500&lt;&gt;"",N500&lt;&gt;"",O500&lt;&gt;"",P500&lt;&gt;"",S500="Sí"),5,IF(AND(H500&lt;&gt;"",I500&lt;&gt;"",P500&lt;&gt;"",S500&lt;&gt;"No"),4,IF(AND(H500&lt;&gt;"",I500&lt;&gt;""),3,IF(F500&lt;&gt;"",2,1)))))</x:f>
        <x:v>T5</x:v>
      </x:c>
      <x:c r="U500" s="24" t="str">
        <x:v>VRM Games</x:v>
      </x:c>
      <x:c r="V500" s="24" t="str">
        <x:v>No se detectó proveedor externo en la ruta; confirmar autoría por lote antes de release público.</x:v>
      </x:c>
    </x:row>
    <x:row r="501" ht="34" customHeight="1">
      <x:c r="A501" s="24" t="str">
        <x:v>TRC-00497</x:v>
      </x:c>
      <x:c r="B501" s="24" t="str">
        <x:v>b9f5b01000ea4f239fe26bdef611c46e</x:v>
      </x:c>
      <x:c r="C501" s="24" t="str">
        <x:v>ProjectInputActionRuntimeBootstrap.cs</x:v>
      </x:c>
      <x:c r="D501" s="24" t="str">
        <x:v>Code</x:v>
      </x:c>
      <x:c r="E501" s="24" t="str">
        <x:v>03_Assets_Internos</x:v>
      </x:c>
      <x:c r="F501" s="24" t="str">
        <x:v>INT-0497</x:v>
      </x:c>
      <x:c r="G501" s="24" t="str">
        <x:v>VRM Games / Blas Luis Rocha González</x:v>
      </x:c>
      <x:c r="H501" s="24" t="str">
        <x:v>Internal project IP / authorship claim</x:v>
      </x:c>
      <x:c r="I501" s="24" t="str">
        <x:v>Source package + repository path + hash</x:v>
      </x:c>
      <x:c r="J501" s="24" t="str">
        <x:v>688c6e8ba301d35171e180b3072a69b2f687e76bf662938a8bdde88a17d8ee99</x:v>
      </x:c>
      <x:c r="K501" s="24" t="str">
        <x:v>Assets/_Project/Scripts/Infrastructure/InputSystem/Actions/ProjectInputActionRuntimeBootstrap.cs</x:v>
      </x:c>
      <x:c r="L501" s="24" t="str">
        <x:v>CR-003</x:v>
      </x:c>
      <x:c r="M501" s="24" t="str"/>
      <x:c r="N501" s="24" t="str">
        <x:v>RES-001;RES-014</x:v>
      </x:c>
      <x:c r="O501" s="24" t="str">
        <x:v>Internal development; public candidate requires gate</x:v>
      </x:c>
      <x:c r="P501" s="24" t="str">
        <x:v>CONDITIONALLY APPROVED</x:v>
      </x:c>
      <x:c r="Q501" s="24" t="str">
        <x:v>Low</x:v>
      </x:c>
      <x:c r="R501" s="24" t="str"/>
      <x:c r="S501" s="24" t="str">
        <x:v>Sí</x:v>
      </x:c>
      <x:c r="T501" s="24" t="str">
        <x:f>"T"&amp;IF(AND(H501&lt;&gt;"",I501&lt;&gt;"",J501&lt;&gt;"",L501&lt;&gt;"",N501&lt;&gt;"",O501&lt;&gt;"",P501="APPROVED PUBLIC",S501="Sí"),6,IF(AND(H501&lt;&gt;"",I501&lt;&gt;"",J501&lt;&gt;"",L501&lt;&gt;"",N501&lt;&gt;"",O501&lt;&gt;"",P501&lt;&gt;"",S501="Sí"),5,IF(AND(H501&lt;&gt;"",I501&lt;&gt;"",P501&lt;&gt;"",S501&lt;&gt;"No"),4,IF(AND(H501&lt;&gt;"",I501&lt;&gt;""),3,IF(F501&lt;&gt;"",2,1)))))</x:f>
        <x:v>T5</x:v>
      </x:c>
      <x:c r="U501" s="24" t="str">
        <x:v>VRM Games</x:v>
      </x:c>
      <x:c r="V501" s="24" t="str">
        <x:v>No se detectó proveedor externo en la ruta; confirmar autoría por lote antes de release público.</x:v>
      </x:c>
    </x:row>
    <x:row r="502" ht="34" customHeight="1">
      <x:c r="A502" s="24" t="str">
        <x:v>TRC-00498</x:v>
      </x:c>
      <x:c r="B502" s="24" t="str">
        <x:v>0386212ad5564369bd71040e1452c4f2</x:v>
      </x:c>
      <x:c r="C502" s="24" t="str">
        <x:v>ProjectInputActions.cs</x:v>
      </x:c>
      <x:c r="D502" s="24" t="str">
        <x:v>Code</x:v>
      </x:c>
      <x:c r="E502" s="24" t="str">
        <x:v>03_Assets_Internos</x:v>
      </x:c>
      <x:c r="F502" s="24" t="str">
        <x:v>INT-0498</x:v>
      </x:c>
      <x:c r="G502" s="24" t="str">
        <x:v>VRM Games / Blas Luis Rocha González</x:v>
      </x:c>
      <x:c r="H502" s="24" t="str">
        <x:v>Internal project IP / authorship claim</x:v>
      </x:c>
      <x:c r="I502" s="24" t="str">
        <x:v>Source package + repository path + hash</x:v>
      </x:c>
      <x:c r="J502" s="24" t="str">
        <x:v>3fdaf6fd93b63bf46df210a8e9bec0a8e11115c151508835404da45eb55f94b4</x:v>
      </x:c>
      <x:c r="K502" s="24" t="str">
        <x:v>Assets/_Project/Scripts/Infrastructure/InputSystem/Actions/ProjectInputActions.cs</x:v>
      </x:c>
      <x:c r="L502" s="24" t="str">
        <x:v>CR-003</x:v>
      </x:c>
      <x:c r="M502" s="24" t="str"/>
      <x:c r="N502" s="24" t="str">
        <x:v>RES-001;RES-014</x:v>
      </x:c>
      <x:c r="O502" s="24" t="str">
        <x:v>Internal development; public candidate requires gate</x:v>
      </x:c>
      <x:c r="P502" s="24" t="str">
        <x:v>CONDITIONALLY APPROVED</x:v>
      </x:c>
      <x:c r="Q502" s="24" t="str">
        <x:v>Low</x:v>
      </x:c>
      <x:c r="R502" s="24" t="str"/>
      <x:c r="S502" s="24" t="str">
        <x:v>Sí</x:v>
      </x:c>
      <x:c r="T502" s="24" t="str">
        <x:f>"T"&amp;IF(AND(H502&lt;&gt;"",I502&lt;&gt;"",J502&lt;&gt;"",L502&lt;&gt;"",N502&lt;&gt;"",O502&lt;&gt;"",P502="APPROVED PUBLIC",S502="Sí"),6,IF(AND(H502&lt;&gt;"",I502&lt;&gt;"",J502&lt;&gt;"",L502&lt;&gt;"",N502&lt;&gt;"",O502&lt;&gt;"",P502&lt;&gt;"",S502="Sí"),5,IF(AND(H502&lt;&gt;"",I502&lt;&gt;"",P502&lt;&gt;"",S502&lt;&gt;"No"),4,IF(AND(H502&lt;&gt;"",I502&lt;&gt;""),3,IF(F502&lt;&gt;"",2,1)))))</x:f>
        <x:v>T5</x:v>
      </x:c>
      <x:c r="U502" s="24" t="str">
        <x:v>VRM Games</x:v>
      </x:c>
      <x:c r="V502" s="24" t="str">
        <x:v>No se detectó proveedor externo en la ruta; confirmar autoría por lote antes de release público.</x:v>
      </x:c>
    </x:row>
    <x:row r="503" ht="34" customHeight="1">
      <x:c r="A503" s="24" t="str">
        <x:v>TRC-00499</x:v>
      </x:c>
      <x:c r="B503" s="24" t="str">
        <x:v>0d5075a634404659a36bbeeb9aea2546</x:v>
      </x:c>
      <x:c r="C503" s="24" t="str">
        <x:v>MouseClickDestinationDriver.cs</x:v>
      </x:c>
      <x:c r="D503" s="24" t="str">
        <x:v>Code</x:v>
      </x:c>
      <x:c r="E503" s="24" t="str">
        <x:v>03_Assets_Internos</x:v>
      </x:c>
      <x:c r="F503" s="24" t="str">
        <x:v>INT-0499</x:v>
      </x:c>
      <x:c r="G503" s="24" t="str">
        <x:v>VRM Games / Blas Luis Rocha González</x:v>
      </x:c>
      <x:c r="H503" s="24" t="str">
        <x:v>Internal project IP / authorship claim</x:v>
      </x:c>
      <x:c r="I503" s="24" t="str">
        <x:v>Source package + repository path + hash</x:v>
      </x:c>
      <x:c r="J503" s="24" t="str">
        <x:v>b85c8ee461dbbce6e5c7a82d0eacdf0fb98e350054bc8e036c90a70cc43a2471</x:v>
      </x:c>
      <x:c r="K503" s="24" t="str">
        <x:v>Assets/_Project/Scripts/Infrastructure/InputSystem/MouseClickDestinationDriver.cs</x:v>
      </x:c>
      <x:c r="L503" s="24" t="str">
        <x:v>CR-003</x:v>
      </x:c>
      <x:c r="M503" s="24" t="str"/>
      <x:c r="N503" s="24" t="str">
        <x:v>RES-001;RES-014</x:v>
      </x:c>
      <x:c r="O503" s="24" t="str">
        <x:v>Internal development; public candidate requires gate</x:v>
      </x:c>
      <x:c r="P503" s="24" t="str">
        <x:v>CONDITIONALLY APPROVED</x:v>
      </x:c>
      <x:c r="Q503" s="24" t="str">
        <x:v>Low</x:v>
      </x:c>
      <x:c r="R503" s="24" t="str"/>
      <x:c r="S503" s="24" t="str">
        <x:v>Sí</x:v>
      </x:c>
      <x:c r="T503" s="24" t="str">
        <x:f>"T"&amp;IF(AND(H503&lt;&gt;"",I503&lt;&gt;"",J503&lt;&gt;"",L503&lt;&gt;"",N503&lt;&gt;"",O503&lt;&gt;"",P503="APPROVED PUBLIC",S503="Sí"),6,IF(AND(H503&lt;&gt;"",I503&lt;&gt;"",J503&lt;&gt;"",L503&lt;&gt;"",N503&lt;&gt;"",O503&lt;&gt;"",P503&lt;&gt;"",S503="Sí"),5,IF(AND(H503&lt;&gt;"",I503&lt;&gt;"",P503&lt;&gt;"",S503&lt;&gt;"No"),4,IF(AND(H503&lt;&gt;"",I503&lt;&gt;""),3,IF(F503&lt;&gt;"",2,1)))))</x:f>
        <x:v>T5</x:v>
      </x:c>
      <x:c r="U503" s="24" t="str">
        <x:v>VRM Games</x:v>
      </x:c>
      <x:c r="V503" s="24" t="str">
        <x:v>No se detectó proveedor externo en la ruta; confirmar autoría por lote antes de release público.</x:v>
      </x:c>
    </x:row>
    <x:row r="504" ht="34" customHeight="1">
      <x:c r="A504" s="24" t="str">
        <x:v>TRC-00500</x:v>
      </x:c>
      <x:c r="B504" s="24" t="str">
        <x:v>9ad479ec04ef433daf23bbbe906b93a9</x:v>
      </x:c>
      <x:c r="C504" s="24" t="str">
        <x:v>MouseOrbitZoomDriver.cs</x:v>
      </x:c>
      <x:c r="D504" s="24" t="str">
        <x:v>Code</x:v>
      </x:c>
      <x:c r="E504" s="24" t="str">
        <x:v>03_Assets_Internos</x:v>
      </x:c>
      <x:c r="F504" s="24" t="str">
        <x:v>INT-0500</x:v>
      </x:c>
      <x:c r="G504" s="24" t="str">
        <x:v>VRM Games / Blas Luis Rocha González</x:v>
      </x:c>
      <x:c r="H504" s="24" t="str">
        <x:v>Internal project IP / authorship claim</x:v>
      </x:c>
      <x:c r="I504" s="24" t="str">
        <x:v>Source package + repository path + hash</x:v>
      </x:c>
      <x:c r="J504" s="24" t="str">
        <x:v>0072139ce79925484462cde78e03aa06943e5b2513df57bb85f3491d0069cb61</x:v>
      </x:c>
      <x:c r="K504" s="24" t="str">
        <x:v>Assets/_Project/Scripts/Infrastructure/InputSystem/MouseOrbitZoomDriver.cs</x:v>
      </x:c>
      <x:c r="L504" s="24" t="str">
        <x:v>CR-003</x:v>
      </x:c>
      <x:c r="M504" s="24" t="str"/>
      <x:c r="N504" s="24" t="str">
        <x:v>RES-001;RES-014</x:v>
      </x:c>
      <x:c r="O504" s="24" t="str">
        <x:v>Internal development; public candidate requires gate</x:v>
      </x:c>
      <x:c r="P504" s="24" t="str">
        <x:v>CONDITIONALLY APPROVED</x:v>
      </x:c>
      <x:c r="Q504" s="24" t="str">
        <x:v>Low</x:v>
      </x:c>
      <x:c r="R504" s="24" t="str"/>
      <x:c r="S504" s="24" t="str">
        <x:v>Sí</x:v>
      </x:c>
      <x:c r="T504" s="24" t="str">
        <x:f>"T"&amp;IF(AND(H504&lt;&gt;"",I504&lt;&gt;"",J504&lt;&gt;"",L504&lt;&gt;"",N504&lt;&gt;"",O504&lt;&gt;"",P504="APPROVED PUBLIC",S504="Sí"),6,IF(AND(H504&lt;&gt;"",I504&lt;&gt;"",J504&lt;&gt;"",L504&lt;&gt;"",N504&lt;&gt;"",O504&lt;&gt;"",P504&lt;&gt;"",S504="Sí"),5,IF(AND(H504&lt;&gt;"",I504&lt;&gt;"",P504&lt;&gt;"",S504&lt;&gt;"No"),4,IF(AND(H504&lt;&gt;"",I504&lt;&gt;""),3,IF(F504&lt;&gt;"",2,1)))))</x:f>
        <x:v>T5</x:v>
      </x:c>
      <x:c r="U504" s="24" t="str">
        <x:v>VRM Games</x:v>
      </x:c>
      <x:c r="V504" s="24" t="str">
        <x:v>No se detectó proveedor externo en la ruta; confirmar autoría por lote antes de release público.</x:v>
      </x:c>
    </x:row>
    <x:row r="505" ht="34" customHeight="1">
      <x:c r="A505" s="24" t="str">
        <x:v>TRC-00501</x:v>
      </x:c>
      <x:c r="B505" s="24" t="str">
        <x:v>7ef313d5d2644a42991c388a432bca0f</x:v>
      </x:c>
      <x:c r="C505" s="24" t="str">
        <x:v>PlacementInputActionDriver.cs</x:v>
      </x:c>
      <x:c r="D505" s="24" t="str">
        <x:v>Code</x:v>
      </x:c>
      <x:c r="E505" s="24" t="str">
        <x:v>03_Assets_Internos</x:v>
      </x:c>
      <x:c r="F505" s="24" t="str">
        <x:v>INT-0501</x:v>
      </x:c>
      <x:c r="G505" s="24" t="str">
        <x:v>VRM Games / Blas Luis Rocha González</x:v>
      </x:c>
      <x:c r="H505" s="24" t="str">
        <x:v>Internal project IP / authorship claim</x:v>
      </x:c>
      <x:c r="I505" s="24" t="str">
        <x:v>Source package + repository path + hash</x:v>
      </x:c>
      <x:c r="J505" s="24" t="str">
        <x:v>266c49ccff3f9b3c4da7502d90df18aa570c8818830ae9c433177a77c8922e87</x:v>
      </x:c>
      <x:c r="K505" s="24" t="str">
        <x:v>Assets/_Project/Scripts/Infrastructure/InputSystem/Placement/PlacementInputActionDriver.cs</x:v>
      </x:c>
      <x:c r="L505" s="24" t="str">
        <x:v>CR-003</x:v>
      </x:c>
      <x:c r="M505" s="24" t="str"/>
      <x:c r="N505" s="24" t="str">
        <x:v>RES-001;RES-014</x:v>
      </x:c>
      <x:c r="O505" s="24" t="str">
        <x:v>Internal development; public candidate requires gate</x:v>
      </x:c>
      <x:c r="P505" s="24" t="str">
        <x:v>CONDITIONALLY APPROVED</x:v>
      </x:c>
      <x:c r="Q505" s="24" t="str">
        <x:v>Low</x:v>
      </x:c>
      <x:c r="R505" s="24" t="str"/>
      <x:c r="S505" s="24" t="str">
        <x:v>Sí</x:v>
      </x:c>
      <x:c r="T505" s="24" t="str">
        <x:f>"T"&amp;IF(AND(H505&lt;&gt;"",I505&lt;&gt;"",J505&lt;&gt;"",L505&lt;&gt;"",N505&lt;&gt;"",O505&lt;&gt;"",P505="APPROVED PUBLIC",S505="Sí"),6,IF(AND(H505&lt;&gt;"",I505&lt;&gt;"",J505&lt;&gt;"",L505&lt;&gt;"",N505&lt;&gt;"",O505&lt;&gt;"",P505&lt;&gt;"",S505="Sí"),5,IF(AND(H505&lt;&gt;"",I505&lt;&gt;"",P505&lt;&gt;"",S505&lt;&gt;"No"),4,IF(AND(H505&lt;&gt;"",I505&lt;&gt;""),3,IF(F505&lt;&gt;"",2,1)))))</x:f>
        <x:v>T5</x:v>
      </x:c>
      <x:c r="U505" s="24" t="str">
        <x:v>VRM Games</x:v>
      </x:c>
      <x:c r="V505" s="24" t="str">
        <x:v>No se detectó proveedor externo en la ruta; confirmar autoría por lote antes de release público.</x:v>
      </x:c>
    </x:row>
    <x:row r="506" ht="34" customHeight="1">
      <x:c r="A506" s="24" t="str">
        <x:v>TRC-00502</x:v>
      </x:c>
      <x:c r="B506" s="24" t="str">
        <x:v>06c091222c6d486185c2a9aa09a94d30</x:v>
      </x:c>
      <x:c r="C506" s="24" t="str">
        <x:v>PlacementInputFrame.cs</x:v>
      </x:c>
      <x:c r="D506" s="24" t="str">
        <x:v>Code</x:v>
      </x:c>
      <x:c r="E506" s="24" t="str">
        <x:v>03_Assets_Internos</x:v>
      </x:c>
      <x:c r="F506" s="24" t="str">
        <x:v>INT-0502</x:v>
      </x:c>
      <x:c r="G506" s="24" t="str">
        <x:v>VRM Games / Blas Luis Rocha González</x:v>
      </x:c>
      <x:c r="H506" s="24" t="str">
        <x:v>Internal project IP / authorship claim</x:v>
      </x:c>
      <x:c r="I506" s="24" t="str">
        <x:v>Source package + repository path + hash</x:v>
      </x:c>
      <x:c r="J506" s="24" t="str">
        <x:v>77b77157e8733cb67f734a7b40b9f30dd3830f1e0f25498513777181a5673f75</x:v>
      </x:c>
      <x:c r="K506" s="24" t="str">
        <x:v>Assets/_Project/Scripts/Infrastructure/InputSystem/Placement/PlacementInputFrame.cs</x:v>
      </x:c>
      <x:c r="L506" s="24" t="str">
        <x:v>CR-003</x:v>
      </x:c>
      <x:c r="M506" s="24" t="str"/>
      <x:c r="N506" s="24" t="str">
        <x:v>RES-001;RES-014</x:v>
      </x:c>
      <x:c r="O506" s="24" t="str">
        <x:v>Internal development; public candidate requires gate</x:v>
      </x:c>
      <x:c r="P506" s="24" t="str">
        <x:v>CONDITIONALLY APPROVED</x:v>
      </x:c>
      <x:c r="Q506" s="24" t="str">
        <x:v>Low</x:v>
      </x:c>
      <x:c r="R506" s="24" t="str"/>
      <x:c r="S506" s="24" t="str">
        <x:v>Sí</x:v>
      </x:c>
      <x:c r="T506" s="24" t="str">
        <x:f>"T"&amp;IF(AND(H506&lt;&gt;"",I506&lt;&gt;"",J506&lt;&gt;"",L506&lt;&gt;"",N506&lt;&gt;"",O506&lt;&gt;"",P506="APPROVED PUBLIC",S506="Sí"),6,IF(AND(H506&lt;&gt;"",I506&lt;&gt;"",J506&lt;&gt;"",L506&lt;&gt;"",N506&lt;&gt;"",O506&lt;&gt;"",P506&lt;&gt;"",S506="Sí"),5,IF(AND(H506&lt;&gt;"",I506&lt;&gt;"",P506&lt;&gt;"",S506&lt;&gt;"No"),4,IF(AND(H506&lt;&gt;"",I506&lt;&gt;""),3,IF(F506&lt;&gt;"",2,1)))))</x:f>
        <x:v>T5</x:v>
      </x:c>
      <x:c r="U506" s="24" t="str">
        <x:v>VRM Games</x:v>
      </x:c>
      <x:c r="V506" s="24" t="str">
        <x:v>No se detectó proveedor externo en la ruta; confirmar autoría por lote antes de release público.</x:v>
      </x:c>
    </x:row>
    <x:row r="507" ht="34" customHeight="1">
      <x:c r="A507" s="24" t="str">
        <x:v>TRC-00503</x:v>
      </x:c>
      <x:c r="B507" s="24" t="str">
        <x:v>d75c19a365e44d7db0e9da89d718daee</x:v>
      </x:c>
      <x:c r="C507" s="24" t="str">
        <x:v>Sprint15InputSystemBridge.cs</x:v>
      </x:c>
      <x:c r="D507" s="24" t="str">
        <x:v>Code</x:v>
      </x:c>
      <x:c r="E507" s="24" t="str">
        <x:v>03_Assets_Internos</x:v>
      </x:c>
      <x:c r="F507" s="24" t="str">
        <x:v>INT-0503</x:v>
      </x:c>
      <x:c r="G507" s="24" t="str">
        <x:v>VRM Games / Blas Luis Rocha González</x:v>
      </x:c>
      <x:c r="H507" s="24" t="str">
        <x:v>Internal project IP / authorship claim</x:v>
      </x:c>
      <x:c r="I507" s="24" t="str">
        <x:v>Source package + repository path + hash</x:v>
      </x:c>
      <x:c r="J507" s="24" t="str">
        <x:v>7b1c591c7835cc357c8699298b2d91aaebf60eed0327fbe7ba1cb8b1ff33bd1f</x:v>
      </x:c>
      <x:c r="K507" s="24" t="str">
        <x:v>Assets/_Project/Scripts/Infrastructure/InputSystem/UIUX/Sprint15InputSystemBridge.cs</x:v>
      </x:c>
      <x:c r="L507" s="24" t="str">
        <x:v>CR-003</x:v>
      </x:c>
      <x:c r="M507" s="24" t="str"/>
      <x:c r="N507" s="24" t="str">
        <x:v>RES-001;RES-014</x:v>
      </x:c>
      <x:c r="O507" s="24" t="str">
        <x:v>Internal development; public candidate requires gate</x:v>
      </x:c>
      <x:c r="P507" s="24" t="str">
        <x:v>CONDITIONALLY APPROVED</x:v>
      </x:c>
      <x:c r="Q507" s="24" t="str">
        <x:v>Low</x:v>
      </x:c>
      <x:c r="R507" s="24" t="str"/>
      <x:c r="S507" s="24" t="str">
        <x:v>Sí</x:v>
      </x:c>
      <x:c r="T507" s="24" t="str">
        <x:f>"T"&amp;IF(AND(H507&lt;&gt;"",I507&lt;&gt;"",J507&lt;&gt;"",L507&lt;&gt;"",N507&lt;&gt;"",O507&lt;&gt;"",P507="APPROVED PUBLIC",S507="Sí"),6,IF(AND(H507&lt;&gt;"",I507&lt;&gt;"",J507&lt;&gt;"",L507&lt;&gt;"",N507&lt;&gt;"",O507&lt;&gt;"",P507&lt;&gt;"",S507="Sí"),5,IF(AND(H507&lt;&gt;"",I507&lt;&gt;"",P507&lt;&gt;"",S507&lt;&gt;"No"),4,IF(AND(H507&lt;&gt;"",I507&lt;&gt;""),3,IF(F507&lt;&gt;"",2,1)))))</x:f>
        <x:v>T5</x:v>
      </x:c>
      <x:c r="U507" s="24" t="str">
        <x:v>VRM Games</x:v>
      </x:c>
      <x:c r="V507" s="24" t="str">
        <x:v>No se detectó proveedor externo en la ruta; confirmar autoría por lote antes de release público.</x:v>
      </x:c>
    </x:row>
    <x:row r="508" ht="34" customHeight="1">
      <x:c r="A508" s="24" t="str">
        <x:v>TRC-00504</x:v>
      </x:c>
      <x:c r="B508" s="24" t="str">
        <x:v>74155b9407aa46cbb6a96d17fdb9e201</x:v>
      </x:c>
      <x:c r="C508" s="24" t="str">
        <x:v>VRMGames.CartridgeAndCloud.Infrastructure.InputSystem.asmdef</x:v>
      </x:c>
      <x:c r="D508" s="24" t="str">
        <x:v>Assembly definition</x:v>
      </x:c>
      <x:c r="E508" s="24" t="str">
        <x:v>03_Assets_Internos</x:v>
      </x:c>
      <x:c r="F508" s="24" t="str">
        <x:v>INT-0504</x:v>
      </x:c>
      <x:c r="G508" s="24" t="str">
        <x:v>VRM Games / Blas Luis Rocha González</x:v>
      </x:c>
      <x:c r="H508" s="24" t="str">
        <x:v>Internal project IP / authorship claim</x:v>
      </x:c>
      <x:c r="I508" s="24" t="str">
        <x:v>Source package + repository path + hash</x:v>
      </x:c>
      <x:c r="J508" s="24" t="str">
        <x:v>31c4786982bd63ecb8205c70894cfb0f144fd83835c87e02dbd142873ad248c3</x:v>
      </x:c>
      <x:c r="K508" s="24" t="str">
        <x:v>Assets/_Project/Scripts/Infrastructure/InputSystem/VRMGames.CartridgeAndCloud.Infrastructure.InputSystem.asmdef</x:v>
      </x:c>
      <x:c r="L508" s="24" t="str">
        <x:v>CR-003</x:v>
      </x:c>
      <x:c r="M508" s="24" t="str"/>
      <x:c r="N508" s="24" t="str">
        <x:v>RES-001;RES-014</x:v>
      </x:c>
      <x:c r="O508" s="24" t="str">
        <x:v>Internal development; public candidate requires gate</x:v>
      </x:c>
      <x:c r="P508" s="24" t="str">
        <x:v>CONDITIONALLY APPROVED</x:v>
      </x:c>
      <x:c r="Q508" s="24" t="str">
        <x:v>Low</x:v>
      </x:c>
      <x:c r="R508" s="24" t="str"/>
      <x:c r="S508" s="24" t="str">
        <x:v>Sí</x:v>
      </x:c>
      <x:c r="T508" s="24" t="str">
        <x:f>"T"&amp;IF(AND(H508&lt;&gt;"",I508&lt;&gt;"",J508&lt;&gt;"",L508&lt;&gt;"",N508&lt;&gt;"",O508&lt;&gt;"",P508="APPROVED PUBLIC",S508="Sí"),6,IF(AND(H508&lt;&gt;"",I508&lt;&gt;"",J508&lt;&gt;"",L508&lt;&gt;"",N508&lt;&gt;"",O508&lt;&gt;"",P508&lt;&gt;"",S508="Sí"),5,IF(AND(H508&lt;&gt;"",I508&lt;&gt;"",P508&lt;&gt;"",S508&lt;&gt;"No"),4,IF(AND(H508&lt;&gt;"",I508&lt;&gt;""),3,IF(F508&lt;&gt;"",2,1)))))</x:f>
        <x:v>T5</x:v>
      </x:c>
      <x:c r="U508" s="24" t="str">
        <x:v>VRM Games</x:v>
      </x:c>
      <x:c r="V508" s="24" t="str">
        <x:v>No se detectó proveedor externo en la ruta; confirmar autoría por lote antes de release público.</x:v>
      </x:c>
    </x:row>
    <x:row r="509" ht="34" customHeight="1">
      <x:c r="A509" s="24" t="str">
        <x:v>TRC-00505</x:v>
      </x:c>
      <x:c r="B509" s="24" t="str">
        <x:v>2c68e59adbf7477fb8f3582c8e69affa</x:v>
      </x:c>
      <x:c r="C509" s="24" t="str">
        <x:v>IntegratedSaveJsonCodec.cs</x:v>
      </x:c>
      <x:c r="D509" s="24" t="str">
        <x:v>Code</x:v>
      </x:c>
      <x:c r="E509" s="24" t="str">
        <x:v>03_Assets_Internos</x:v>
      </x:c>
      <x:c r="F509" s="24" t="str">
        <x:v>INT-0505</x:v>
      </x:c>
      <x:c r="G509" s="24" t="str">
        <x:v>VRM Games / Blas Luis Rocha González</x:v>
      </x:c>
      <x:c r="H509" s="24" t="str">
        <x:v>Internal project IP / authorship claim</x:v>
      </x:c>
      <x:c r="I509" s="24" t="str">
        <x:v>Source package + repository path + hash</x:v>
      </x:c>
      <x:c r="J509" s="24" t="str">
        <x:v>d38c0c5b67e14d3f4fd81813d5f22d31759e45ac70f73ed5eff8a22593143656</x:v>
      </x:c>
      <x:c r="K509" s="24" t="str">
        <x:v>Assets/_Project/Scripts/Infrastructure/Persistence/IntegratedSaveJsonCodec.cs</x:v>
      </x:c>
      <x:c r="L509" s="24" t="str">
        <x:v>CR-003</x:v>
      </x:c>
      <x:c r="M509" s="24" t="str"/>
      <x:c r="N509" s="24" t="str">
        <x:v>RES-001;RES-014</x:v>
      </x:c>
      <x:c r="O509" s="24" t="str">
        <x:v>Internal development; public candidate requires gate</x:v>
      </x:c>
      <x:c r="P509" s="24" t="str">
        <x:v>CONDITIONALLY APPROVED</x:v>
      </x:c>
      <x:c r="Q509" s="24" t="str">
        <x:v>Low</x:v>
      </x:c>
      <x:c r="R509" s="24" t="str"/>
      <x:c r="S509" s="24" t="str">
        <x:v>Sí</x:v>
      </x:c>
      <x:c r="T509" s="24" t="str">
        <x:f>"T"&amp;IF(AND(H509&lt;&gt;"",I509&lt;&gt;"",J509&lt;&gt;"",L509&lt;&gt;"",N509&lt;&gt;"",O509&lt;&gt;"",P509="APPROVED PUBLIC",S509="Sí"),6,IF(AND(H509&lt;&gt;"",I509&lt;&gt;"",J509&lt;&gt;"",L509&lt;&gt;"",N509&lt;&gt;"",O509&lt;&gt;"",P509&lt;&gt;"",S509="Sí"),5,IF(AND(H509&lt;&gt;"",I509&lt;&gt;"",P509&lt;&gt;"",S509&lt;&gt;"No"),4,IF(AND(H509&lt;&gt;"",I509&lt;&gt;""),3,IF(F509&lt;&gt;"",2,1)))))</x:f>
        <x:v>T5</x:v>
      </x:c>
      <x:c r="U509" s="24" t="str">
        <x:v>VRM Games</x:v>
      </x:c>
      <x:c r="V509" s="24" t="str">
        <x:v>No se detectó proveedor externo en la ruta; confirmar autoría por lote antes de release público.</x:v>
      </x:c>
    </x:row>
    <x:row r="510" ht="34" customHeight="1">
      <x:c r="A510" s="24" t="str">
        <x:v>TRC-00506</x:v>
      </x:c>
      <x:c r="B510" s="24" t="str">
        <x:v>ef0335b58582499ca61f4405d63e9f72</x:v>
      </x:c>
      <x:c r="C510" s="24" t="str">
        <x:v>JsonIntegratedSaveRepository.cs</x:v>
      </x:c>
      <x:c r="D510" s="24" t="str">
        <x:v>Code</x:v>
      </x:c>
      <x:c r="E510" s="24" t="str">
        <x:v>03_Assets_Internos</x:v>
      </x:c>
      <x:c r="F510" s="24" t="str">
        <x:v>INT-0506</x:v>
      </x:c>
      <x:c r="G510" s="24" t="str">
        <x:v>VRM Games / Blas Luis Rocha González</x:v>
      </x:c>
      <x:c r="H510" s="24" t="str">
        <x:v>Internal project IP / authorship claim</x:v>
      </x:c>
      <x:c r="I510" s="24" t="str">
        <x:v>Source package + repository path + hash</x:v>
      </x:c>
      <x:c r="J510" s="24" t="str">
        <x:v>8a5408551acedf29a900d04ba627f82345f7f99e2d0c6ad439f0cff0b7a88106</x:v>
      </x:c>
      <x:c r="K510" s="24" t="str">
        <x:v>Assets/_Project/Scripts/Infrastructure/Persistence/JsonIntegratedSaveRepository.cs</x:v>
      </x:c>
      <x:c r="L510" s="24" t="str">
        <x:v>CR-003</x:v>
      </x:c>
      <x:c r="M510" s="24" t="str"/>
      <x:c r="N510" s="24" t="str">
        <x:v>RES-001;RES-014</x:v>
      </x:c>
      <x:c r="O510" s="24" t="str">
        <x:v>Internal development; public candidate requires gate</x:v>
      </x:c>
      <x:c r="P510" s="24" t="str">
        <x:v>CONDITIONALLY APPROVED</x:v>
      </x:c>
      <x:c r="Q510" s="24" t="str">
        <x:v>Low</x:v>
      </x:c>
      <x:c r="R510" s="24" t="str"/>
      <x:c r="S510" s="24" t="str">
        <x:v>Sí</x:v>
      </x:c>
      <x:c r="T510" s="24" t="str">
        <x:f>"T"&amp;IF(AND(H510&lt;&gt;"",I510&lt;&gt;"",J510&lt;&gt;"",L510&lt;&gt;"",N510&lt;&gt;"",O510&lt;&gt;"",P510="APPROVED PUBLIC",S510="Sí"),6,IF(AND(H510&lt;&gt;"",I510&lt;&gt;"",J510&lt;&gt;"",L510&lt;&gt;"",N510&lt;&gt;"",O510&lt;&gt;"",P510&lt;&gt;"",S510="Sí"),5,IF(AND(H510&lt;&gt;"",I510&lt;&gt;"",P510&lt;&gt;"",S510&lt;&gt;"No"),4,IF(AND(H510&lt;&gt;"",I510&lt;&gt;""),3,IF(F510&lt;&gt;"",2,1)))))</x:f>
        <x:v>T5</x:v>
      </x:c>
      <x:c r="U510" s="24" t="str">
        <x:v>VRM Games</x:v>
      </x:c>
      <x:c r="V510" s="24" t="str">
        <x:v>No se detectó proveedor externo en la ruta; confirmar autoría por lote antes de release público.</x:v>
      </x:c>
    </x:row>
    <x:row r="511" ht="34" customHeight="1">
      <x:c r="A511" s="24" t="str">
        <x:v>TRC-00507</x:v>
      </x:c>
      <x:c r="B511" s="24" t="str">
        <x:v>819c46ee45d3409ea88bb958bd382f65</x:v>
      </x:c>
      <x:c r="C511" s="24" t="str">
        <x:v>SaveIntegrationSettingsAsset.cs</x:v>
      </x:c>
      <x:c r="D511" s="24" t="str">
        <x:v>Code</x:v>
      </x:c>
      <x:c r="E511" s="24" t="str">
        <x:v>03_Assets_Internos</x:v>
      </x:c>
      <x:c r="F511" s="24" t="str">
        <x:v>INT-0507</x:v>
      </x:c>
      <x:c r="G511" s="24" t="str">
        <x:v>VRM Games / Blas Luis Rocha González</x:v>
      </x:c>
      <x:c r="H511" s="24" t="str">
        <x:v>Internal project IP / authorship claim</x:v>
      </x:c>
      <x:c r="I511" s="24" t="str">
        <x:v>Source package + repository path + hash</x:v>
      </x:c>
      <x:c r="J511" s="24" t="str">
        <x:v>a14109b8c09b02878b2c68c670d589ba71edd5b811448c15d13e1dc2861b0136</x:v>
      </x:c>
      <x:c r="K511" s="24" t="str">
        <x:v>Assets/_Project/Scripts/Infrastructure/Persistence/SaveIntegrationSettingsAsset.cs</x:v>
      </x:c>
      <x:c r="L511" s="24" t="str">
        <x:v>CR-003</x:v>
      </x:c>
      <x:c r="M511" s="24" t="str"/>
      <x:c r="N511" s="24" t="str">
        <x:v>RES-001;RES-014</x:v>
      </x:c>
      <x:c r="O511" s="24" t="str">
        <x:v>Internal development; public candidate requires gate</x:v>
      </x:c>
      <x:c r="P511" s="24" t="str">
        <x:v>CONDITIONALLY APPROVED</x:v>
      </x:c>
      <x:c r="Q511" s="24" t="str">
        <x:v>Low</x:v>
      </x:c>
      <x:c r="R511" s="24" t="str"/>
      <x:c r="S511" s="24" t="str">
        <x:v>Sí</x:v>
      </x:c>
      <x:c r="T511" s="24" t="str">
        <x:f>"T"&amp;IF(AND(H511&lt;&gt;"",I511&lt;&gt;"",J511&lt;&gt;"",L511&lt;&gt;"",N511&lt;&gt;"",O511&lt;&gt;"",P511="APPROVED PUBLIC",S511="Sí"),6,IF(AND(H511&lt;&gt;"",I511&lt;&gt;"",J511&lt;&gt;"",L511&lt;&gt;"",N511&lt;&gt;"",O511&lt;&gt;"",P511&lt;&gt;"",S511="Sí"),5,IF(AND(H511&lt;&gt;"",I511&lt;&gt;"",P511&lt;&gt;"",S511&lt;&gt;"No"),4,IF(AND(H511&lt;&gt;"",I511&lt;&gt;""),3,IF(F511&lt;&gt;"",2,1)))))</x:f>
        <x:v>T5</x:v>
      </x:c>
      <x:c r="U511" s="24" t="str">
        <x:v>VRM Games</x:v>
      </x:c>
      <x:c r="V511" s="24" t="str">
        <x:v>No se detectó proveedor externo en la ruta; confirmar autoría por lote antes de release público.</x:v>
      </x:c>
    </x:row>
    <x:row r="512" ht="34" customHeight="1">
      <x:c r="A512" s="24" t="str">
        <x:v>TRC-00508</x:v>
      </x:c>
      <x:c r="B512" s="24" t="str">
        <x:v>726e56b457894e14b3634e1fe74b9898</x:v>
      </x:c>
      <x:c r="C512" s="24" t="str">
        <x:v>SaveRecoveryTechnicalScenarioRunner.cs</x:v>
      </x:c>
      <x:c r="D512" s="24" t="str">
        <x:v>Code</x:v>
      </x:c>
      <x:c r="E512" s="24" t="str">
        <x:v>03_Assets_Internos</x:v>
      </x:c>
      <x:c r="F512" s="24" t="str">
        <x:v>INT-0508</x:v>
      </x:c>
      <x:c r="G512" s="24" t="str">
        <x:v>VRM Games / Blas Luis Rocha González</x:v>
      </x:c>
      <x:c r="H512" s="24" t="str">
        <x:v>Internal project IP / authorship claim</x:v>
      </x:c>
      <x:c r="I512" s="24" t="str">
        <x:v>Source package + repository path + hash</x:v>
      </x:c>
      <x:c r="J512" s="24" t="str">
        <x:v>80b53638d8d76035efc210154e101f4be83af9c6bfc15b94151baaf933be9c13</x:v>
      </x:c>
      <x:c r="K512" s="24" t="str">
        <x:v>Assets/_Project/Scripts/Infrastructure/Persistence/SaveRecoveryTechnicalScenarioRunner.cs</x:v>
      </x:c>
      <x:c r="L512" s="24" t="str">
        <x:v>CR-003</x:v>
      </x:c>
      <x:c r="M512" s="24" t="str"/>
      <x:c r="N512" s="24" t="str">
        <x:v>RES-001;RES-014</x:v>
      </x:c>
      <x:c r="O512" s="24" t="str">
        <x:v>Internal development; public candidate requires gate</x:v>
      </x:c>
      <x:c r="P512" s="24" t="str">
        <x:v>CONDITIONALLY APPROVED</x:v>
      </x:c>
      <x:c r="Q512" s="24" t="str">
        <x:v>Low</x:v>
      </x:c>
      <x:c r="R512" s="24" t="str"/>
      <x:c r="S512" s="24" t="str">
        <x:v>Sí</x:v>
      </x:c>
      <x:c r="T512" s="24" t="str">
        <x:f>"T"&amp;IF(AND(H512&lt;&gt;"",I512&lt;&gt;"",J512&lt;&gt;"",L512&lt;&gt;"",N512&lt;&gt;"",O512&lt;&gt;"",P512="APPROVED PUBLIC",S512="Sí"),6,IF(AND(H512&lt;&gt;"",I512&lt;&gt;"",J512&lt;&gt;"",L512&lt;&gt;"",N512&lt;&gt;"",O512&lt;&gt;"",P512&lt;&gt;"",S512="Sí"),5,IF(AND(H512&lt;&gt;"",I512&lt;&gt;"",P512&lt;&gt;"",S512&lt;&gt;"No"),4,IF(AND(H512&lt;&gt;"",I512&lt;&gt;""),3,IF(F512&lt;&gt;"",2,1)))))</x:f>
        <x:v>T5</x:v>
      </x:c>
      <x:c r="U512" s="24" t="str">
        <x:v>VRM Games</x:v>
      </x:c>
      <x:c r="V512" s="24" t="str">
        <x:v>No se detectó proveedor externo en la ruta; confirmar autoría por lote antes de release público.</x:v>
      </x:c>
    </x:row>
    <x:row r="513" ht="34" customHeight="1">
      <x:c r="A513" s="24" t="str">
        <x:v>TRC-00509</x:v>
      </x:c>
      <x:c r="B513" s="24" t="str">
        <x:v>7092382da6b5400bbc372029327ce935</x:v>
      </x:c>
      <x:c r="C513" s="24" t="str">
        <x:v>ProductCatalogAsset.cs</x:v>
      </x:c>
      <x:c r="D513" s="24" t="str">
        <x:v>Code</x:v>
      </x:c>
      <x:c r="E513" s="24" t="str">
        <x:v>03_Assets_Internos</x:v>
      </x:c>
      <x:c r="F513" s="24" t="str">
        <x:v>INT-0509</x:v>
      </x:c>
      <x:c r="G513" s="24" t="str">
        <x:v>VRM Games / Blas Luis Rocha González</x:v>
      </x:c>
      <x:c r="H513" s="24" t="str">
        <x:v>Internal project IP / authorship claim</x:v>
      </x:c>
      <x:c r="I513" s="24" t="str">
        <x:v>Source package + repository path + hash</x:v>
      </x:c>
      <x:c r="J513" s="24" t="str">
        <x:v>568d95113b68a3ae8bb61c49b7c8037e92f569f565375e5bdf8bf46cc3d1239e</x:v>
      </x:c>
      <x:c r="K513" s="24" t="str">
        <x:v>Assets/_Project/Scripts/Infrastructure/Products/ProductCatalogAsset.cs</x:v>
      </x:c>
      <x:c r="L513" s="24" t="str">
        <x:v>CR-003</x:v>
      </x:c>
      <x:c r="M513" s="24" t="str"/>
      <x:c r="N513" s="24" t="str">
        <x:v>RES-001;RES-014</x:v>
      </x:c>
      <x:c r="O513" s="24" t="str">
        <x:v>Internal development; public candidate requires gate</x:v>
      </x:c>
      <x:c r="P513" s="24" t="str">
        <x:v>CONDITIONALLY APPROVED</x:v>
      </x:c>
      <x:c r="Q513" s="24" t="str">
        <x:v>Low</x:v>
      </x:c>
      <x:c r="R513" s="24" t="str"/>
      <x:c r="S513" s="24" t="str">
        <x:v>Sí</x:v>
      </x:c>
      <x:c r="T513" s="24" t="str">
        <x:f>"T"&amp;IF(AND(H513&lt;&gt;"",I513&lt;&gt;"",J513&lt;&gt;"",L513&lt;&gt;"",N513&lt;&gt;"",O513&lt;&gt;"",P513="APPROVED PUBLIC",S513="Sí"),6,IF(AND(H513&lt;&gt;"",I513&lt;&gt;"",J513&lt;&gt;"",L513&lt;&gt;"",N513&lt;&gt;"",O513&lt;&gt;"",P513&lt;&gt;"",S513="Sí"),5,IF(AND(H513&lt;&gt;"",I513&lt;&gt;"",P513&lt;&gt;"",S513&lt;&gt;"No"),4,IF(AND(H513&lt;&gt;"",I513&lt;&gt;""),3,IF(F513&lt;&gt;"",2,1)))))</x:f>
        <x:v>T5</x:v>
      </x:c>
      <x:c r="U513" s="24" t="str">
        <x:v>VRM Games</x:v>
      </x:c>
      <x:c r="V513" s="24" t="str">
        <x:v>No se detectó proveedor externo en la ruta; confirmar autoría por lote antes de release público.</x:v>
      </x:c>
    </x:row>
    <x:row r="514" ht="34" customHeight="1">
      <x:c r="A514" s="24" t="str">
        <x:v>TRC-00510</x:v>
      </x:c>
      <x:c r="B514" s="24" t="str">
        <x:v>1aa5e854e90a43509d3ed04f7b556fe8</x:v>
      </x:c>
      <x:c r="C514" s="24" t="str">
        <x:v>ProductDefinitionAsset.cs</x:v>
      </x:c>
      <x:c r="D514" s="24" t="str">
        <x:v>Code</x:v>
      </x:c>
      <x:c r="E514" s="24" t="str">
        <x:v>03_Assets_Internos</x:v>
      </x:c>
      <x:c r="F514" s="24" t="str">
        <x:v>INT-0510</x:v>
      </x:c>
      <x:c r="G514" s="24" t="str">
        <x:v>VRM Games / Blas Luis Rocha González</x:v>
      </x:c>
      <x:c r="H514" s="24" t="str">
        <x:v>Internal project IP / authorship claim</x:v>
      </x:c>
      <x:c r="I514" s="24" t="str">
        <x:v>Source package + repository path + hash</x:v>
      </x:c>
      <x:c r="J514" s="24" t="str">
        <x:v>e0dfb8d1999685661585f0e566de8aec594762a6d60f03dc50872158f546bc57</x:v>
      </x:c>
      <x:c r="K514" s="24" t="str">
        <x:v>Assets/_Project/Scripts/Infrastructure/Products/ProductDefinitionAsset.cs</x:v>
      </x:c>
      <x:c r="L514" s="24" t="str">
        <x:v>CR-003</x:v>
      </x:c>
      <x:c r="M514" s="24" t="str"/>
      <x:c r="N514" s="24" t="str">
        <x:v>RES-001;RES-014</x:v>
      </x:c>
      <x:c r="O514" s="24" t="str">
        <x:v>Internal development; public candidate requires gate</x:v>
      </x:c>
      <x:c r="P514" s="24" t="str">
        <x:v>CONDITIONALLY APPROVED</x:v>
      </x:c>
      <x:c r="Q514" s="24" t="str">
        <x:v>Low</x:v>
      </x:c>
      <x:c r="R514" s="24" t="str"/>
      <x:c r="S514" s="24" t="str">
        <x:v>Sí</x:v>
      </x:c>
      <x:c r="T514" s="24" t="str">
        <x:f>"T"&amp;IF(AND(H514&lt;&gt;"",I514&lt;&gt;"",J514&lt;&gt;"",L514&lt;&gt;"",N514&lt;&gt;"",O514&lt;&gt;"",P514="APPROVED PUBLIC",S514="Sí"),6,IF(AND(H514&lt;&gt;"",I514&lt;&gt;"",J514&lt;&gt;"",L514&lt;&gt;"",N514&lt;&gt;"",O514&lt;&gt;"",P514&lt;&gt;"",S514="Sí"),5,IF(AND(H514&lt;&gt;"",I514&lt;&gt;"",P514&lt;&gt;"",S514&lt;&gt;"No"),4,IF(AND(H514&lt;&gt;"",I514&lt;&gt;""),3,IF(F514&lt;&gt;"",2,1)))))</x:f>
        <x:v>T5</x:v>
      </x:c>
      <x:c r="U514" s="24" t="str">
        <x:v>VRM Games</x:v>
      </x:c>
      <x:c r="V514" s="24" t="str">
        <x:v>No se detectó proveedor externo en la ruta; confirmar autoría por lote antes de release público.</x:v>
      </x:c>
    </x:row>
    <x:row r="515" ht="34" customHeight="1">
      <x:c r="A515" s="24" t="str">
        <x:v>TRC-00511</x:v>
      </x:c>
      <x:c r="B515" s="24" t="str">
        <x:v>93e71e24833c6c040b689d1e1bbf7a38</x:v>
      </x:c>
      <x:c r="C515" s="24" t="str">
        <x:v>ApplicationRoot.cs</x:v>
      </x:c>
      <x:c r="D515" s="24" t="str">
        <x:v>Code</x:v>
      </x:c>
      <x:c r="E515" s="24" t="str">
        <x:v>03_Assets_Internos</x:v>
      </x:c>
      <x:c r="F515" s="24" t="str">
        <x:v>INT-0511</x:v>
      </x:c>
      <x:c r="G515" s="24" t="str">
        <x:v>VRM Games / Blas Luis Rocha González</x:v>
      </x:c>
      <x:c r="H515" s="24" t="str">
        <x:v>Internal project IP / authorship claim</x:v>
      </x:c>
      <x:c r="I515" s="24" t="str">
        <x:v>Source package + repository path + hash</x:v>
      </x:c>
      <x:c r="J515" s="24" t="str">
        <x:v>d618f48e9a2aea6c2881b7b170ba7f98e33a377c8cb78abb4b7d1259e330f21c</x:v>
      </x:c>
      <x:c r="K515" s="24" t="str">
        <x:v>Assets/_Project/Scripts/Infrastructure/SceneFlow/ApplicationRoot.cs</x:v>
      </x:c>
      <x:c r="L515" s="24" t="str">
        <x:v>CR-003</x:v>
      </x:c>
      <x:c r="M515" s="24" t="str"/>
      <x:c r="N515" s="24" t="str">
        <x:v>RES-001;RES-014</x:v>
      </x:c>
      <x:c r="O515" s="24" t="str">
        <x:v>Internal development; public candidate requires gate</x:v>
      </x:c>
      <x:c r="P515" s="24" t="str">
        <x:v>CONDITIONALLY APPROVED</x:v>
      </x:c>
      <x:c r="Q515" s="24" t="str">
        <x:v>Low</x:v>
      </x:c>
      <x:c r="R515" s="24" t="str"/>
      <x:c r="S515" s="24" t="str">
        <x:v>Sí</x:v>
      </x:c>
      <x:c r="T515" s="24" t="str">
        <x:f>"T"&amp;IF(AND(H515&lt;&gt;"",I515&lt;&gt;"",J515&lt;&gt;"",L515&lt;&gt;"",N515&lt;&gt;"",O515&lt;&gt;"",P515="APPROVED PUBLIC",S515="Sí"),6,IF(AND(H515&lt;&gt;"",I515&lt;&gt;"",J515&lt;&gt;"",L515&lt;&gt;"",N515&lt;&gt;"",O515&lt;&gt;"",P515&lt;&gt;"",S515="Sí"),5,IF(AND(H515&lt;&gt;"",I515&lt;&gt;"",P515&lt;&gt;"",S515&lt;&gt;"No"),4,IF(AND(H515&lt;&gt;"",I515&lt;&gt;""),3,IF(F515&lt;&gt;"",2,1)))))</x:f>
        <x:v>T5</x:v>
      </x:c>
      <x:c r="U515" s="24" t="str">
        <x:v>VRM Games</x:v>
      </x:c>
      <x:c r="V515" s="24" t="str">
        <x:v>No se detectó proveedor externo en la ruta; confirmar autoría por lote antes de release público.</x:v>
      </x:c>
    </x:row>
    <x:row r="516" ht="34" customHeight="1">
      <x:c r="A516" s="24" t="str">
        <x:v>TRC-00512</x:v>
      </x:c>
      <x:c r="B516" s="24" t="str">
        <x:v>dfe4573934b0426ea090ad36e2ecfe11</x:v>
      </x:c>
      <x:c r="C516" s="24" t="str">
        <x:v>ShoppingSettingsAsset.cs</x:v>
      </x:c>
      <x:c r="D516" s="24" t="str">
        <x:v>Code</x:v>
      </x:c>
      <x:c r="E516" s="24" t="str">
        <x:v>03_Assets_Internos</x:v>
      </x:c>
      <x:c r="F516" s="24" t="str">
        <x:v>INT-0512</x:v>
      </x:c>
      <x:c r="G516" s="24" t="str">
        <x:v>VRM Games / Blas Luis Rocha González</x:v>
      </x:c>
      <x:c r="H516" s="24" t="str">
        <x:v>Internal project IP / authorship claim</x:v>
      </x:c>
      <x:c r="I516" s="24" t="str">
        <x:v>Source package + repository path + hash</x:v>
      </x:c>
      <x:c r="J516" s="24" t="str">
        <x:v>41750f76359b48e606e786c6028035176970b701bbd0214d9a541c3f7480b361</x:v>
      </x:c>
      <x:c r="K516" s="24" t="str">
        <x:v>Assets/_Project/Scripts/Infrastructure/Shopping/ShoppingSettingsAsset.cs</x:v>
      </x:c>
      <x:c r="L516" s="24" t="str">
        <x:v>CR-003</x:v>
      </x:c>
      <x:c r="M516" s="24" t="str"/>
      <x:c r="N516" s="24" t="str">
        <x:v>RES-001;RES-014</x:v>
      </x:c>
      <x:c r="O516" s="24" t="str">
        <x:v>Internal development; public candidate requires gate</x:v>
      </x:c>
      <x:c r="P516" s="24" t="str">
        <x:v>CONDITIONALLY APPROVED</x:v>
      </x:c>
      <x:c r="Q516" s="24" t="str">
        <x:v>Low</x:v>
      </x:c>
      <x:c r="R516" s="24" t="str"/>
      <x:c r="S516" s="24" t="str">
        <x:v>Sí</x:v>
      </x:c>
      <x:c r="T516" s="24" t="str">
        <x:f>"T"&amp;IF(AND(H516&lt;&gt;"",I516&lt;&gt;"",J516&lt;&gt;"",L516&lt;&gt;"",N516&lt;&gt;"",O516&lt;&gt;"",P516="APPROVED PUBLIC",S516="Sí"),6,IF(AND(H516&lt;&gt;"",I516&lt;&gt;"",J516&lt;&gt;"",L516&lt;&gt;"",N516&lt;&gt;"",O516&lt;&gt;"",P516&lt;&gt;"",S516="Sí"),5,IF(AND(H516&lt;&gt;"",I516&lt;&gt;"",P516&lt;&gt;"",S516&lt;&gt;"No"),4,IF(AND(H516&lt;&gt;"",I516&lt;&gt;""),3,IF(F516&lt;&gt;"",2,1)))))</x:f>
        <x:v>T5</x:v>
      </x:c>
      <x:c r="U516" s="24" t="str">
        <x:v>VRM Games</x:v>
      </x:c>
      <x:c r="V516" s="24" t="str">
        <x:v>No se detectó proveedor externo en la ruta; confirmar autoría por lote antes de release público.</x:v>
      </x:c>
    </x:row>
    <x:row r="517" ht="34" customHeight="1">
      <x:c r="A517" s="24" t="str">
        <x:v>TRC-00513</x:v>
      </x:c>
      <x:c r="B517" s="24" t="str">
        <x:v>e415e4f859c54b7eb137df748c0fa1cf</x:v>
      </x:c>
      <x:c r="C517" s="24" t="str">
        <x:v>ShoppingTechnicalScenarioRunner.cs</x:v>
      </x:c>
      <x:c r="D517" s="24" t="str">
        <x:v>Code</x:v>
      </x:c>
      <x:c r="E517" s="24" t="str">
        <x:v>03_Assets_Internos</x:v>
      </x:c>
      <x:c r="F517" s="24" t="str">
        <x:v>INT-0513</x:v>
      </x:c>
      <x:c r="G517" s="24" t="str">
        <x:v>VRM Games / Blas Luis Rocha González</x:v>
      </x:c>
      <x:c r="H517" s="24" t="str">
        <x:v>Internal project IP / authorship claim</x:v>
      </x:c>
      <x:c r="I517" s="24" t="str">
        <x:v>Source package + repository path + hash</x:v>
      </x:c>
      <x:c r="J517" s="24" t="str">
        <x:v>ddea459422a7cc8a1dbd0953de053f1657d9bd7ef9a112cb2adcf9822b43c4d9</x:v>
      </x:c>
      <x:c r="K517" s="24" t="str">
        <x:v>Assets/_Project/Scripts/Infrastructure/Shopping/ShoppingTechnicalScenarioRunner.cs</x:v>
      </x:c>
      <x:c r="L517" s="24" t="str">
        <x:v>CR-003</x:v>
      </x:c>
      <x:c r="M517" s="24" t="str"/>
      <x:c r="N517" s="24" t="str">
        <x:v>RES-001;RES-014</x:v>
      </x:c>
      <x:c r="O517" s="24" t="str">
        <x:v>Internal development; public candidate requires gate</x:v>
      </x:c>
      <x:c r="P517" s="24" t="str">
        <x:v>CONDITIONALLY APPROVED</x:v>
      </x:c>
      <x:c r="Q517" s="24" t="str">
        <x:v>Low</x:v>
      </x:c>
      <x:c r="R517" s="24" t="str"/>
      <x:c r="S517" s="24" t="str">
        <x:v>Sí</x:v>
      </x:c>
      <x:c r="T517" s="24" t="str">
        <x:f>"T"&amp;IF(AND(H517&lt;&gt;"",I517&lt;&gt;"",J517&lt;&gt;"",L517&lt;&gt;"",N517&lt;&gt;"",O517&lt;&gt;"",P517="APPROVED PUBLIC",S517="Sí"),6,IF(AND(H517&lt;&gt;"",I517&lt;&gt;"",J517&lt;&gt;"",L517&lt;&gt;"",N517&lt;&gt;"",O517&lt;&gt;"",P517&lt;&gt;"",S517="Sí"),5,IF(AND(H517&lt;&gt;"",I517&lt;&gt;"",P517&lt;&gt;"",S517&lt;&gt;"No"),4,IF(AND(H517&lt;&gt;"",I517&lt;&gt;""),3,IF(F517&lt;&gt;"",2,1)))))</x:f>
        <x:v>T5</x:v>
      </x:c>
      <x:c r="U517" s="24" t="str">
        <x:v>VRM Games</x:v>
      </x:c>
      <x:c r="V517" s="24" t="str">
        <x:v>No se detectó proveedor externo en la ruta; confirmar autoría por lote antes de release público.</x:v>
      </x:c>
    </x:row>
    <x:row r="518" ht="34" customHeight="1">
      <x:c r="A518" s="24" t="str">
        <x:v>TRC-00514</x:v>
      </x:c>
      <x:c r="B518" s="24" t="str">
        <x:v>a01d5a4e015148f4a20330686475e477</x:v>
      </x:c>
      <x:c r="C518" s="24" t="str">
        <x:v>SupplierCatalogAsset.cs</x:v>
      </x:c>
      <x:c r="D518" s="24" t="str">
        <x:v>Code</x:v>
      </x:c>
      <x:c r="E518" s="24" t="str">
        <x:v>03_Assets_Internos</x:v>
      </x:c>
      <x:c r="F518" s="24" t="str">
        <x:v>INT-0514</x:v>
      </x:c>
      <x:c r="G518" s="24" t="str">
        <x:v>VRM Games / Blas Luis Rocha González</x:v>
      </x:c>
      <x:c r="H518" s="24" t="str">
        <x:v>Internal project IP / authorship claim</x:v>
      </x:c>
      <x:c r="I518" s="24" t="str">
        <x:v>Source package + repository path + hash</x:v>
      </x:c>
      <x:c r="J518" s="24" t="str">
        <x:v>df67eee928572931fd74cf43a965997950e9a0892d870f33b1cee2584aeabaec</x:v>
      </x:c>
      <x:c r="K518" s="24" t="str">
        <x:v>Assets/_Project/Scripts/Infrastructure/Suppliers/SupplierCatalogAsset.cs</x:v>
      </x:c>
      <x:c r="L518" s="24" t="str">
        <x:v>CR-003</x:v>
      </x:c>
      <x:c r="M518" s="24" t="str"/>
      <x:c r="N518" s="24" t="str">
        <x:v>RES-001;RES-014</x:v>
      </x:c>
      <x:c r="O518" s="24" t="str">
        <x:v>Internal development; public candidate requires gate</x:v>
      </x:c>
      <x:c r="P518" s="24" t="str">
        <x:v>CONDITIONALLY APPROVED</x:v>
      </x:c>
      <x:c r="Q518" s="24" t="str">
        <x:v>Low</x:v>
      </x:c>
      <x:c r="R518" s="24" t="str"/>
      <x:c r="S518" s="24" t="str">
        <x:v>Sí</x:v>
      </x:c>
      <x:c r="T518" s="24" t="str">
        <x:f>"T"&amp;IF(AND(H518&lt;&gt;"",I518&lt;&gt;"",J518&lt;&gt;"",L518&lt;&gt;"",N518&lt;&gt;"",O518&lt;&gt;"",P518="APPROVED PUBLIC",S518="Sí"),6,IF(AND(H518&lt;&gt;"",I518&lt;&gt;"",J518&lt;&gt;"",L518&lt;&gt;"",N518&lt;&gt;"",O518&lt;&gt;"",P518&lt;&gt;"",S518="Sí"),5,IF(AND(H518&lt;&gt;"",I518&lt;&gt;"",P518&lt;&gt;"",S518&lt;&gt;"No"),4,IF(AND(H518&lt;&gt;"",I518&lt;&gt;""),3,IF(F518&lt;&gt;"",2,1)))))</x:f>
        <x:v>T5</x:v>
      </x:c>
      <x:c r="U518" s="24" t="str">
        <x:v>VRM Games</x:v>
      </x:c>
      <x:c r="V518" s="24" t="str">
        <x:v>No se detectó proveedor externo en la ruta; confirmar autoría por lote antes de release público.</x:v>
      </x:c>
    </x:row>
    <x:row r="519" ht="34" customHeight="1">
      <x:c r="A519" s="24" t="str">
        <x:v>TRC-00515</x:v>
      </x:c>
      <x:c r="B519" s="24" t="str">
        <x:v>0432add03c554171b63b4c81635aecf0</x:v>
      </x:c>
      <x:c r="C519" s="24" t="str">
        <x:v>SupplierCatalogEntryAsset.cs</x:v>
      </x:c>
      <x:c r="D519" s="24" t="str">
        <x:v>Code</x:v>
      </x:c>
      <x:c r="E519" s="24" t="str">
        <x:v>03_Assets_Internos</x:v>
      </x:c>
      <x:c r="F519" s="24" t="str">
        <x:v>INT-0515</x:v>
      </x:c>
      <x:c r="G519" s="24" t="str">
        <x:v>VRM Games / Blas Luis Rocha González</x:v>
      </x:c>
      <x:c r="H519" s="24" t="str">
        <x:v>Internal project IP / authorship claim</x:v>
      </x:c>
      <x:c r="I519" s="24" t="str">
        <x:v>Source package + repository path + hash</x:v>
      </x:c>
      <x:c r="J519" s="24" t="str">
        <x:v>006ac5b20cae37d0c32c55c3d52874ccc4914562c815c08c06cda9d78de266e8</x:v>
      </x:c>
      <x:c r="K519" s="24" t="str">
        <x:v>Assets/_Project/Scripts/Infrastructure/Suppliers/SupplierCatalogEntryAsset.cs</x:v>
      </x:c>
      <x:c r="L519" s="24" t="str">
        <x:v>CR-003</x:v>
      </x:c>
      <x:c r="M519" s="24" t="str"/>
      <x:c r="N519" s="24" t="str">
        <x:v>RES-001;RES-014</x:v>
      </x:c>
      <x:c r="O519" s="24" t="str">
        <x:v>Internal development; public candidate requires gate</x:v>
      </x:c>
      <x:c r="P519" s="24" t="str">
        <x:v>CONDITIONALLY APPROVED</x:v>
      </x:c>
      <x:c r="Q519" s="24" t="str">
        <x:v>Low</x:v>
      </x:c>
      <x:c r="R519" s="24" t="str"/>
      <x:c r="S519" s="24" t="str">
        <x:v>Sí</x:v>
      </x:c>
      <x:c r="T519" s="24" t="str">
        <x:f>"T"&amp;IF(AND(H519&lt;&gt;"",I519&lt;&gt;"",J519&lt;&gt;"",L519&lt;&gt;"",N519&lt;&gt;"",O519&lt;&gt;"",P519="APPROVED PUBLIC",S519="Sí"),6,IF(AND(H519&lt;&gt;"",I519&lt;&gt;"",J519&lt;&gt;"",L519&lt;&gt;"",N519&lt;&gt;"",O519&lt;&gt;"",P519&lt;&gt;"",S519="Sí"),5,IF(AND(H519&lt;&gt;"",I519&lt;&gt;"",P519&lt;&gt;"",S519&lt;&gt;"No"),4,IF(AND(H519&lt;&gt;"",I519&lt;&gt;""),3,IF(F519&lt;&gt;"",2,1)))))</x:f>
        <x:v>T5</x:v>
      </x:c>
      <x:c r="U519" s="24" t="str">
        <x:v>VRM Games</x:v>
      </x:c>
      <x:c r="V519" s="24" t="str">
        <x:v>No se detectó proveedor externo en la ruta; confirmar autoría por lote antes de release público.</x:v>
      </x:c>
    </x:row>
    <x:row r="520" ht="34" customHeight="1">
      <x:c r="A520" s="24" t="str">
        <x:v>TRC-00516</x:v>
      </x:c>
      <x:c r="B520" s="24" t="str">
        <x:v>869ad8bfde724239b5d218028ba6cd75</x:v>
      </x:c>
      <x:c r="C520" s="24" t="str">
        <x:v>SupplierDefinitionAsset.cs</x:v>
      </x:c>
      <x:c r="D520" s="24" t="str">
        <x:v>Code</x:v>
      </x:c>
      <x:c r="E520" s="24" t="str">
        <x:v>03_Assets_Internos</x:v>
      </x:c>
      <x:c r="F520" s="24" t="str">
        <x:v>INT-0516</x:v>
      </x:c>
      <x:c r="G520" s="24" t="str">
        <x:v>VRM Games / Blas Luis Rocha González</x:v>
      </x:c>
      <x:c r="H520" s="24" t="str">
        <x:v>Internal project IP / authorship claim</x:v>
      </x:c>
      <x:c r="I520" s="24" t="str">
        <x:v>Source package + repository path + hash</x:v>
      </x:c>
      <x:c r="J520" s="24" t="str">
        <x:v>de11ebac3ea073b67856e6d012043b890252458face8410fc1715ddcf1a2c947</x:v>
      </x:c>
      <x:c r="K520" s="24" t="str">
        <x:v>Assets/_Project/Scripts/Infrastructure/Suppliers/SupplierDefinitionAsset.cs</x:v>
      </x:c>
      <x:c r="L520" s="24" t="str">
        <x:v>CR-003</x:v>
      </x:c>
      <x:c r="M520" s="24" t="str"/>
      <x:c r="N520" s="24" t="str">
        <x:v>RES-001;RES-014</x:v>
      </x:c>
      <x:c r="O520" s="24" t="str">
        <x:v>Internal development; public candidate requires gate</x:v>
      </x:c>
      <x:c r="P520" s="24" t="str">
        <x:v>CONDITIONALLY APPROVED</x:v>
      </x:c>
      <x:c r="Q520" s="24" t="str">
        <x:v>Low</x:v>
      </x:c>
      <x:c r="R520" s="24" t="str"/>
      <x:c r="S520" s="24" t="str">
        <x:v>Sí</x:v>
      </x:c>
      <x:c r="T520" s="24" t="str">
        <x:f>"T"&amp;IF(AND(H520&lt;&gt;"",I520&lt;&gt;"",J520&lt;&gt;"",L520&lt;&gt;"",N520&lt;&gt;"",O520&lt;&gt;"",P520="APPROVED PUBLIC",S520="Sí"),6,IF(AND(H520&lt;&gt;"",I520&lt;&gt;"",J520&lt;&gt;"",L520&lt;&gt;"",N520&lt;&gt;"",O520&lt;&gt;"",P520&lt;&gt;"",S520="Sí"),5,IF(AND(H520&lt;&gt;"",I520&lt;&gt;"",P520&lt;&gt;"",S520&lt;&gt;"No"),4,IF(AND(H520&lt;&gt;"",I520&lt;&gt;""),3,IF(F520&lt;&gt;"",2,1)))))</x:f>
        <x:v>T5</x:v>
      </x:c>
      <x:c r="U520" s="24" t="str">
        <x:v>VRM Games</x:v>
      </x:c>
      <x:c r="V520" s="24" t="str">
        <x:v>No se detectó proveedor externo en la ruta; confirmar autoría por lote antes de release público.</x:v>
      </x:c>
    </x:row>
    <x:row r="521" ht="34" customHeight="1">
      <x:c r="A521" s="24" t="str">
        <x:v>TRC-00517</x:v>
      </x:c>
      <x:c r="B521" s="24" t="str">
        <x:v>a1379f1737884d6c9321b3d7d340c946</x:v>
      </x:c>
      <x:c r="C521" s="24" t="str">
        <x:v>AtomicJsonFile.cs</x:v>
      </x:c>
      <x:c r="D521" s="24" t="str">
        <x:v>Code</x:v>
      </x:c>
      <x:c r="E521" s="24" t="str">
        <x:v>03_Assets_Internos</x:v>
      </x:c>
      <x:c r="F521" s="24" t="str">
        <x:v>INT-0517</x:v>
      </x:c>
      <x:c r="G521" s="24" t="str">
        <x:v>VRM Games / Blas Luis Rocha González</x:v>
      </x:c>
      <x:c r="H521" s="24" t="str">
        <x:v>Internal project IP / authorship claim</x:v>
      </x:c>
      <x:c r="I521" s="24" t="str">
        <x:v>Source package + repository path + hash</x:v>
      </x:c>
      <x:c r="J521" s="24" t="str">
        <x:v>ead9646924fe5361a035cfacb10be8ab92beff9d510e8d393b175286ba49020a</x:v>
      </x:c>
      <x:c r="K521" s="24" t="str">
        <x:v>Assets/_Project/Scripts/Infrastructure/UIUX/AtomicJsonFile.cs</x:v>
      </x:c>
      <x:c r="L521" s="24" t="str">
        <x:v>CR-003</x:v>
      </x:c>
      <x:c r="M521" s="24" t="str"/>
      <x:c r="N521" s="24" t="str">
        <x:v>RES-001;RES-014</x:v>
      </x:c>
      <x:c r="O521" s="24" t="str">
        <x:v>Internal development; public candidate requires gate</x:v>
      </x:c>
      <x:c r="P521" s="24" t="str">
        <x:v>CONDITIONALLY APPROVED</x:v>
      </x:c>
      <x:c r="Q521" s="24" t="str">
        <x:v>Low</x:v>
      </x:c>
      <x:c r="R521" s="24" t="str"/>
      <x:c r="S521" s="24" t="str">
        <x:v>Sí</x:v>
      </x:c>
      <x:c r="T521" s="24" t="str">
        <x:f>"T"&amp;IF(AND(H521&lt;&gt;"",I521&lt;&gt;"",J521&lt;&gt;"",L521&lt;&gt;"",N521&lt;&gt;"",O521&lt;&gt;"",P521="APPROVED PUBLIC",S521="Sí"),6,IF(AND(H521&lt;&gt;"",I521&lt;&gt;"",J521&lt;&gt;"",L521&lt;&gt;"",N521&lt;&gt;"",O521&lt;&gt;"",P521&lt;&gt;"",S521="Sí"),5,IF(AND(H521&lt;&gt;"",I521&lt;&gt;"",P521&lt;&gt;"",S521&lt;&gt;"No"),4,IF(AND(H521&lt;&gt;"",I521&lt;&gt;""),3,IF(F521&lt;&gt;"",2,1)))))</x:f>
        <x:v>T5</x:v>
      </x:c>
      <x:c r="U521" s="24" t="str">
        <x:v>VRM Games</x:v>
      </x:c>
      <x:c r="V521" s="24" t="str">
        <x:v>No se detectó proveedor externo en la ruta; confirmar autoría por lote antes de release público.</x:v>
      </x:c>
    </x:row>
    <x:row r="522" ht="34" customHeight="1">
      <x:c r="A522" s="24" t="str">
        <x:v>TRC-00518</x:v>
      </x:c>
      <x:c r="B522" s="24" t="str">
        <x:v>a36c0874b2f84bc7a5d33e1b5f734d47</x:v>
      </x:c>
      <x:c r="C522" s="24" t="str">
        <x:v>JsonAccessibilitySettingsRepository.cs</x:v>
      </x:c>
      <x:c r="D522" s="24" t="str">
        <x:v>Code</x:v>
      </x:c>
      <x:c r="E522" s="24" t="str">
        <x:v>03_Assets_Internos</x:v>
      </x:c>
      <x:c r="F522" s="24" t="str">
        <x:v>INT-0518</x:v>
      </x:c>
      <x:c r="G522" s="24" t="str">
        <x:v>VRM Games / Blas Luis Rocha González</x:v>
      </x:c>
      <x:c r="H522" s="24" t="str">
        <x:v>Internal project IP / authorship claim</x:v>
      </x:c>
      <x:c r="I522" s="24" t="str">
        <x:v>Source package + repository path + hash</x:v>
      </x:c>
      <x:c r="J522" s="24" t="str">
        <x:v>4068456a35c6e0d148cb8e57034c61a8e3d8c3bf6afaa26e47f24fa5efa97d41</x:v>
      </x:c>
      <x:c r="K522" s="24" t="str">
        <x:v>Assets/_Project/Scripts/Infrastructure/UIUX/JsonAccessibilitySettingsRepository.cs</x:v>
      </x:c>
      <x:c r="L522" s="24" t="str">
        <x:v>CR-003</x:v>
      </x:c>
      <x:c r="M522" s="24" t="str"/>
      <x:c r="N522" s="24" t="str">
        <x:v>RES-001;RES-014</x:v>
      </x:c>
      <x:c r="O522" s="24" t="str">
        <x:v>Internal development; public candidate requires gate</x:v>
      </x:c>
      <x:c r="P522" s="24" t="str">
        <x:v>CONDITIONALLY APPROVED</x:v>
      </x:c>
      <x:c r="Q522" s="24" t="str">
        <x:v>Low</x:v>
      </x:c>
      <x:c r="R522" s="24" t="str"/>
      <x:c r="S522" s="24" t="str">
        <x:v>Sí</x:v>
      </x:c>
      <x:c r="T522" s="24" t="str">
        <x:f>"T"&amp;IF(AND(H522&lt;&gt;"",I522&lt;&gt;"",J522&lt;&gt;"",L522&lt;&gt;"",N522&lt;&gt;"",O522&lt;&gt;"",P522="APPROVED PUBLIC",S522="Sí"),6,IF(AND(H522&lt;&gt;"",I522&lt;&gt;"",J522&lt;&gt;"",L522&lt;&gt;"",N522&lt;&gt;"",O522&lt;&gt;"",P522&lt;&gt;"",S522="Sí"),5,IF(AND(H522&lt;&gt;"",I522&lt;&gt;"",P522&lt;&gt;"",S522&lt;&gt;"No"),4,IF(AND(H522&lt;&gt;"",I522&lt;&gt;""),3,IF(F522&lt;&gt;"",2,1)))))</x:f>
        <x:v>T5</x:v>
      </x:c>
      <x:c r="U522" s="24" t="str">
        <x:v>VRM Games</x:v>
      </x:c>
      <x:c r="V522" s="24" t="str">
        <x:v>No se detectó proveedor externo en la ruta; confirmar autoría por lote antes de release público.</x:v>
      </x:c>
    </x:row>
    <x:row r="523" ht="34" customHeight="1">
      <x:c r="A523" s="24" t="str">
        <x:v>TRC-00519</x:v>
      </x:c>
      <x:c r="B523" s="24" t="str">
        <x:v>e5485cf7b84840a198b29b7ab0dc5396</x:v>
      </x:c>
      <x:c r="C523" s="24" t="str">
        <x:v>JsonAutosaveMarkerRepository.cs</x:v>
      </x:c>
      <x:c r="D523" s="24" t="str">
        <x:v>Code</x:v>
      </x:c>
      <x:c r="E523" s="24" t="str">
        <x:v>03_Assets_Internos</x:v>
      </x:c>
      <x:c r="F523" s="24" t="str">
        <x:v>INT-0519</x:v>
      </x:c>
      <x:c r="G523" s="24" t="str">
        <x:v>VRM Games / Blas Luis Rocha González</x:v>
      </x:c>
      <x:c r="H523" s="24" t="str">
        <x:v>Internal project IP / authorship claim</x:v>
      </x:c>
      <x:c r="I523" s="24" t="str">
        <x:v>Source package + repository path + hash</x:v>
      </x:c>
      <x:c r="J523" s="24" t="str">
        <x:v>c5ac25d0c459f1012d717f878a7d84197fbf137d14b59967b0a0017c0af02cb9</x:v>
      </x:c>
      <x:c r="K523" s="24" t="str">
        <x:v>Assets/_Project/Scripts/Infrastructure/UIUX/JsonAutosaveMarkerRepository.cs</x:v>
      </x:c>
      <x:c r="L523" s="24" t="str">
        <x:v>CR-003</x:v>
      </x:c>
      <x:c r="M523" s="24" t="str"/>
      <x:c r="N523" s="24" t="str">
        <x:v>RES-001;RES-014</x:v>
      </x:c>
      <x:c r="O523" s="24" t="str">
        <x:v>Internal development; public candidate requires gate</x:v>
      </x:c>
      <x:c r="P523" s="24" t="str">
        <x:v>CONDITIONALLY APPROVED</x:v>
      </x:c>
      <x:c r="Q523" s="24" t="str">
        <x:v>Low</x:v>
      </x:c>
      <x:c r="R523" s="24" t="str"/>
      <x:c r="S523" s="24" t="str">
        <x:v>Sí</x:v>
      </x:c>
      <x:c r="T523" s="24" t="str">
        <x:f>"T"&amp;IF(AND(H523&lt;&gt;"",I523&lt;&gt;"",J523&lt;&gt;"",L523&lt;&gt;"",N523&lt;&gt;"",O523&lt;&gt;"",P523="APPROVED PUBLIC",S523="Sí"),6,IF(AND(H523&lt;&gt;"",I523&lt;&gt;"",J523&lt;&gt;"",L523&lt;&gt;"",N523&lt;&gt;"",O523&lt;&gt;"",P523&lt;&gt;"",S523="Sí"),5,IF(AND(H523&lt;&gt;"",I523&lt;&gt;"",P523&lt;&gt;"",S523&lt;&gt;"No"),4,IF(AND(H523&lt;&gt;"",I523&lt;&gt;""),3,IF(F523&lt;&gt;"",2,1)))))</x:f>
        <x:v>T5</x:v>
      </x:c>
      <x:c r="U523" s="24" t="str">
        <x:v>VRM Games</x:v>
      </x:c>
      <x:c r="V523" s="24" t="str">
        <x:v>No se detectó proveedor externo en la ruta; confirmar autoría por lote antes de release público.</x:v>
      </x:c>
    </x:row>
    <x:row r="524" ht="34" customHeight="1">
      <x:c r="A524" s="24" t="str">
        <x:v>TRC-00520</x:v>
      </x:c>
      <x:c r="B524" s="24" t="str">
        <x:v>c58963b0be484fa1b89c00c693b7950e</x:v>
      </x:c>
      <x:c r="C524" s="24" t="str">
        <x:v>JsonTutorialProgressRepository.cs</x:v>
      </x:c>
      <x:c r="D524" s="24" t="str">
        <x:v>Code</x:v>
      </x:c>
      <x:c r="E524" s="24" t="str">
        <x:v>03_Assets_Internos</x:v>
      </x:c>
      <x:c r="F524" s="24" t="str">
        <x:v>INT-0520</x:v>
      </x:c>
      <x:c r="G524" s="24" t="str">
        <x:v>VRM Games / Blas Luis Rocha González</x:v>
      </x:c>
      <x:c r="H524" s="24" t="str">
        <x:v>Internal project IP / authorship claim</x:v>
      </x:c>
      <x:c r="I524" s="24" t="str">
        <x:v>Source package + repository path + hash</x:v>
      </x:c>
      <x:c r="J524" s="24" t="str">
        <x:v>f481dcb5bd0a318bf846ec2d03d564284ef255ab3f7a7598aae0165d944b201f</x:v>
      </x:c>
      <x:c r="K524" s="24" t="str">
        <x:v>Assets/_Project/Scripts/Infrastructure/UIUX/JsonTutorialProgressRepository.cs</x:v>
      </x:c>
      <x:c r="L524" s="24" t="str">
        <x:v>CR-003</x:v>
      </x:c>
      <x:c r="M524" s="24" t="str"/>
      <x:c r="N524" s="24" t="str">
        <x:v>RES-001;RES-014</x:v>
      </x:c>
      <x:c r="O524" s="24" t="str">
        <x:v>Internal development; public candidate requires gate</x:v>
      </x:c>
      <x:c r="P524" s="24" t="str">
        <x:v>CONDITIONALLY APPROVED</x:v>
      </x:c>
      <x:c r="Q524" s="24" t="str">
        <x:v>Low</x:v>
      </x:c>
      <x:c r="R524" s="24" t="str"/>
      <x:c r="S524" s="24" t="str">
        <x:v>Sí</x:v>
      </x:c>
      <x:c r="T524" s="24" t="str">
        <x:f>"T"&amp;IF(AND(H524&lt;&gt;"",I524&lt;&gt;"",J524&lt;&gt;"",L524&lt;&gt;"",N524&lt;&gt;"",O524&lt;&gt;"",P524="APPROVED PUBLIC",S524="Sí"),6,IF(AND(H524&lt;&gt;"",I524&lt;&gt;"",J524&lt;&gt;"",L524&lt;&gt;"",N524&lt;&gt;"",O524&lt;&gt;"",P524&lt;&gt;"",S524="Sí"),5,IF(AND(H524&lt;&gt;"",I524&lt;&gt;"",P524&lt;&gt;"",S524&lt;&gt;"No"),4,IF(AND(H524&lt;&gt;"",I524&lt;&gt;""),3,IF(F524&lt;&gt;"",2,1)))))</x:f>
        <x:v>T5</x:v>
      </x:c>
      <x:c r="U524" s="24" t="str">
        <x:v>VRM Games</x:v>
      </x:c>
      <x:c r="V524" s="24" t="str">
        <x:v>No se detectó proveedor externo en la ruta; confirmar autoría por lote antes de release público.</x:v>
      </x:c>
    </x:row>
    <x:row r="525" ht="34" customHeight="1">
      <x:c r="A525" s="24" t="str">
        <x:v>TRC-00521</x:v>
      </x:c>
      <x:c r="B525" s="24" t="str">
        <x:v>a6f4f1133de840f991acb9c17c6848ba</x:v>
      </x:c>
      <x:c r="C525" s="24" t="str">
        <x:v>MainMenuSlotScreen.cs</x:v>
      </x:c>
      <x:c r="D525" s="24" t="str">
        <x:v>Code</x:v>
      </x:c>
      <x:c r="E525" s="24" t="str">
        <x:v>03_Assets_Internos</x:v>
      </x:c>
      <x:c r="F525" s="24" t="str">
        <x:v>INT-0521</x:v>
      </x:c>
      <x:c r="G525" s="24" t="str">
        <x:v>VRM Games / Blas Luis Rocha González</x:v>
      </x:c>
      <x:c r="H525" s="24" t="str">
        <x:v>Internal project IP / authorship claim</x:v>
      </x:c>
      <x:c r="I525" s="24" t="str">
        <x:v>Source package + repository path + hash</x:v>
      </x:c>
      <x:c r="J525" s="24" t="str">
        <x:v>0649e0cdd32a35c5eb142bf3fcfe0507760e5784deed46db2c6170bc949a69eb</x:v>
      </x:c>
      <x:c r="K525" s="24" t="str">
        <x:v>Assets/_Project/Scripts/Infrastructure/UIUX/MainMenuSlotScreen.cs</x:v>
      </x:c>
      <x:c r="L525" s="24" t="str">
        <x:v>CR-003</x:v>
      </x:c>
      <x:c r="M525" s="24" t="str"/>
      <x:c r="N525" s="24" t="str">
        <x:v>RES-001;RES-014</x:v>
      </x:c>
      <x:c r="O525" s="24" t="str">
        <x:v>Internal development; public candidate requires gate</x:v>
      </x:c>
      <x:c r="P525" s="24" t="str">
        <x:v>CONDITIONALLY APPROVED</x:v>
      </x:c>
      <x:c r="Q525" s="24" t="str">
        <x:v>Low</x:v>
      </x:c>
      <x:c r="R525" s="24" t="str"/>
      <x:c r="S525" s="24" t="str">
        <x:v>Sí</x:v>
      </x:c>
      <x:c r="T525" s="24" t="str">
        <x:f>"T"&amp;IF(AND(H525&lt;&gt;"",I525&lt;&gt;"",J525&lt;&gt;"",L525&lt;&gt;"",N525&lt;&gt;"",O525&lt;&gt;"",P525="APPROVED PUBLIC",S525="Sí"),6,IF(AND(H525&lt;&gt;"",I525&lt;&gt;"",J525&lt;&gt;"",L525&lt;&gt;"",N525&lt;&gt;"",O525&lt;&gt;"",P525&lt;&gt;"",S525="Sí"),5,IF(AND(H525&lt;&gt;"",I525&lt;&gt;"",P525&lt;&gt;"",S525&lt;&gt;"No"),4,IF(AND(H525&lt;&gt;"",I525&lt;&gt;""),3,IF(F525&lt;&gt;"",2,1)))))</x:f>
        <x:v>T5</x:v>
      </x:c>
      <x:c r="U525" s="24" t="str">
        <x:v>VRM Games</x:v>
      </x:c>
      <x:c r="V525" s="24" t="str">
        <x:v>No se detectó proveedor externo en la ruta; confirmar autoría por lote antes de release público.</x:v>
      </x:c>
    </x:row>
    <x:row r="526" ht="34" customHeight="1">
      <x:c r="A526" s="24" t="str">
        <x:v>TRC-00522</x:v>
      </x:c>
      <x:c r="B526" s="24" t="str">
        <x:v>1f61c45e5d2041cf8c2abd4063943453</x:v>
      </x:c>
      <x:c r="C526" s="24" t="str">
        <x:v>Sprint15InputMapGate.cs</x:v>
      </x:c>
      <x:c r="D526" s="24" t="str">
        <x:v>Code</x:v>
      </x:c>
      <x:c r="E526" s="24" t="str">
        <x:v>03_Assets_Internos</x:v>
      </x:c>
      <x:c r="F526" s="24" t="str">
        <x:v>INT-0522</x:v>
      </x:c>
      <x:c r="G526" s="24" t="str">
        <x:v>VRM Games / Blas Luis Rocha González</x:v>
      </x:c>
      <x:c r="H526" s="24" t="str">
        <x:v>Internal project IP / authorship claim</x:v>
      </x:c>
      <x:c r="I526" s="24" t="str">
        <x:v>Source package + repository path + hash</x:v>
      </x:c>
      <x:c r="J526" s="24" t="str">
        <x:v>00d7bd9138e10e806f38fe09cfb3b3deef49f9f8a878beb4da9adcd2b1e2ef02</x:v>
      </x:c>
      <x:c r="K526" s="24" t="str">
        <x:v>Assets/_Project/Scripts/Infrastructure/UIUX/Sprint15InputMapGate.cs</x:v>
      </x:c>
      <x:c r="L526" s="24" t="str">
        <x:v>CR-003</x:v>
      </x:c>
      <x:c r="M526" s="24" t="str"/>
      <x:c r="N526" s="24" t="str">
        <x:v>RES-001;RES-014</x:v>
      </x:c>
      <x:c r="O526" s="24" t="str">
        <x:v>Internal development; public candidate requires gate</x:v>
      </x:c>
      <x:c r="P526" s="24" t="str">
        <x:v>CONDITIONALLY APPROVED</x:v>
      </x:c>
      <x:c r="Q526" s="24" t="str">
        <x:v>Low</x:v>
      </x:c>
      <x:c r="R526" s="24" t="str"/>
      <x:c r="S526" s="24" t="str">
        <x:v>Sí</x:v>
      </x:c>
      <x:c r="T526" s="24" t="str">
        <x:f>"T"&amp;IF(AND(H526&lt;&gt;"",I526&lt;&gt;"",J526&lt;&gt;"",L526&lt;&gt;"",N526&lt;&gt;"",O526&lt;&gt;"",P526="APPROVED PUBLIC",S526="Sí"),6,IF(AND(H526&lt;&gt;"",I526&lt;&gt;"",J526&lt;&gt;"",L526&lt;&gt;"",N526&lt;&gt;"",O526&lt;&gt;"",P526&lt;&gt;"",S526="Sí"),5,IF(AND(H526&lt;&gt;"",I526&lt;&gt;"",P526&lt;&gt;"",S526&lt;&gt;"No"),4,IF(AND(H526&lt;&gt;"",I526&lt;&gt;""),3,IF(F526&lt;&gt;"",2,1)))))</x:f>
        <x:v>T5</x:v>
      </x:c>
      <x:c r="U526" s="24" t="str">
        <x:v>VRM Games</x:v>
      </x:c>
      <x:c r="V526" s="24" t="str">
        <x:v>No se detectó proveedor externo en la ruta; confirmar autoría por lote antes de release público.</x:v>
      </x:c>
    </x:row>
    <x:row r="527" ht="34" customHeight="1">
      <x:c r="A527" s="24" t="str">
        <x:v>TRC-00523</x:v>
      </x:c>
      <x:c r="B527" s="24" t="str">
        <x:v>04ca360e2a9942b9b019e68b9707cec6</x:v>
      </x:c>
      <x:c r="C527" s="24" t="str">
        <x:v>Sprint15InputSignals.cs</x:v>
      </x:c>
      <x:c r="D527" s="24" t="str">
        <x:v>Code</x:v>
      </x:c>
      <x:c r="E527" s="24" t="str">
        <x:v>03_Assets_Internos</x:v>
      </x:c>
      <x:c r="F527" s="24" t="str">
        <x:v>INT-0523</x:v>
      </x:c>
      <x:c r="G527" s="24" t="str">
        <x:v>VRM Games / Blas Luis Rocha González</x:v>
      </x:c>
      <x:c r="H527" s="24" t="str">
        <x:v>Internal project IP / authorship claim</x:v>
      </x:c>
      <x:c r="I527" s="24" t="str">
        <x:v>Source package + repository path + hash</x:v>
      </x:c>
      <x:c r="J527" s="24" t="str">
        <x:v>c41b401a8c62181d6a1902ce942774acd27b2212c53ba111a91e5d1cd27703e7</x:v>
      </x:c>
      <x:c r="K527" s="24" t="str">
        <x:v>Assets/_Project/Scripts/Infrastructure/UIUX/Sprint15InputSignals.cs</x:v>
      </x:c>
      <x:c r="L527" s="24" t="str">
        <x:v>CR-003</x:v>
      </x:c>
      <x:c r="M527" s="24" t="str"/>
      <x:c r="N527" s="24" t="str">
        <x:v>RES-001;RES-014</x:v>
      </x:c>
      <x:c r="O527" s="24" t="str">
        <x:v>Internal development; public candidate requires gate</x:v>
      </x:c>
      <x:c r="P527" s="24" t="str">
        <x:v>CONDITIONALLY APPROVED</x:v>
      </x:c>
      <x:c r="Q527" s="24" t="str">
        <x:v>Low</x:v>
      </x:c>
      <x:c r="R527" s="24" t="str"/>
      <x:c r="S527" s="24" t="str">
        <x:v>Sí</x:v>
      </x:c>
      <x:c r="T527" s="24" t="str">
        <x:f>"T"&amp;IF(AND(H527&lt;&gt;"",I527&lt;&gt;"",J527&lt;&gt;"",L527&lt;&gt;"",N527&lt;&gt;"",O527&lt;&gt;"",P527="APPROVED PUBLIC",S527="Sí"),6,IF(AND(H527&lt;&gt;"",I527&lt;&gt;"",J527&lt;&gt;"",L527&lt;&gt;"",N527&lt;&gt;"",O527&lt;&gt;"",P527&lt;&gt;"",S527="Sí"),5,IF(AND(H527&lt;&gt;"",I527&lt;&gt;"",P527&lt;&gt;"",S527&lt;&gt;"No"),4,IF(AND(H527&lt;&gt;"",I527&lt;&gt;""),3,IF(F527&lt;&gt;"",2,1)))))</x:f>
        <x:v>T5</x:v>
      </x:c>
      <x:c r="U527" s="24" t="str">
        <x:v>VRM Games</x:v>
      </x:c>
      <x:c r="V527" s="24" t="str">
        <x:v>No se detectó proveedor externo en la ruta; confirmar autoría por lote antes de release público.</x:v>
      </x:c>
    </x:row>
    <x:row r="528" ht="34" customHeight="1">
      <x:c r="A528" s="24" t="str">
        <x:v>TRC-00524</x:v>
      </x:c>
      <x:c r="B528" s="24" t="str">
        <x:v>cc73b4ed91714a78b67fac6a2f3dd11d</x:v>
      </x:c>
      <x:c r="C528" s="24" t="str">
        <x:v>Sprint15RuntimeCompositionRoot.cs</x:v>
      </x:c>
      <x:c r="D528" s="24" t="str">
        <x:v>Code</x:v>
      </x:c>
      <x:c r="E528" s="24" t="str">
        <x:v>03_Assets_Internos</x:v>
      </x:c>
      <x:c r="F528" s="24" t="str">
        <x:v>INT-0524</x:v>
      </x:c>
      <x:c r="G528" s="24" t="str">
        <x:v>VRM Games / Blas Luis Rocha González</x:v>
      </x:c>
      <x:c r="H528" s="24" t="str">
        <x:v>Internal project IP / authorship claim</x:v>
      </x:c>
      <x:c r="I528" s="24" t="str">
        <x:v>Source package + repository path + hash</x:v>
      </x:c>
      <x:c r="J528" s="24" t="str">
        <x:v>9ad97ab7a06f4c859d916645198b9ed3ac2689c9c431ecd5f9db7c7e9932aaf9</x:v>
      </x:c>
      <x:c r="K528" s="24" t="str">
        <x:v>Assets/_Project/Scripts/Infrastructure/UIUX/Sprint15RuntimeCompositionRoot.cs</x:v>
      </x:c>
      <x:c r="L528" s="24" t="str">
        <x:v>CR-003</x:v>
      </x:c>
      <x:c r="M528" s="24" t="str"/>
      <x:c r="N528" s="24" t="str">
        <x:v>RES-001;RES-014</x:v>
      </x:c>
      <x:c r="O528" s="24" t="str">
        <x:v>Internal development; public candidate requires gate</x:v>
      </x:c>
      <x:c r="P528" s="24" t="str">
        <x:v>CONDITIONALLY APPROVED</x:v>
      </x:c>
      <x:c r="Q528" s="24" t="str">
        <x:v>Low</x:v>
      </x:c>
      <x:c r="R528" s="24" t="str"/>
      <x:c r="S528" s="24" t="str">
        <x:v>Sí</x:v>
      </x:c>
      <x:c r="T528" s="24" t="str">
        <x:f>"T"&amp;IF(AND(H528&lt;&gt;"",I528&lt;&gt;"",J528&lt;&gt;"",L528&lt;&gt;"",N528&lt;&gt;"",O528&lt;&gt;"",P528="APPROVED PUBLIC",S528="Sí"),6,IF(AND(H528&lt;&gt;"",I528&lt;&gt;"",J528&lt;&gt;"",L528&lt;&gt;"",N528&lt;&gt;"",O528&lt;&gt;"",P528&lt;&gt;"",S528="Sí"),5,IF(AND(H528&lt;&gt;"",I528&lt;&gt;"",P528&lt;&gt;"",S528&lt;&gt;"No"),4,IF(AND(H528&lt;&gt;"",I528&lt;&gt;""),3,IF(F528&lt;&gt;"",2,1)))))</x:f>
        <x:v>T5</x:v>
      </x:c>
      <x:c r="U528" s="24" t="str">
        <x:v>VRM Games</x:v>
      </x:c>
      <x:c r="V528" s="24" t="str">
        <x:v>No se detectó proveedor externo en la ruta; confirmar autoría por lote antes de release público.</x:v>
      </x:c>
    </x:row>
    <x:row r="529" ht="34" customHeight="1">
      <x:c r="A529" s="24" t="str">
        <x:v>TRC-00525</x:v>
      </x:c>
      <x:c r="B529" s="24" t="str">
        <x:v>49dd47e0ce1549e69d13330b0b6b3715</x:v>
      </x:c>
      <x:c r="C529" s="24" t="str">
        <x:v>Sprint15RuntimeStateBridge.cs</x:v>
      </x:c>
      <x:c r="D529" s="24" t="str">
        <x:v>Code</x:v>
      </x:c>
      <x:c r="E529" s="24" t="str">
        <x:v>03_Assets_Internos</x:v>
      </x:c>
      <x:c r="F529" s="24" t="str">
        <x:v>INT-0525</x:v>
      </x:c>
      <x:c r="G529" s="24" t="str">
        <x:v>VRM Games / Blas Luis Rocha González</x:v>
      </x:c>
      <x:c r="H529" s="24" t="str">
        <x:v>Internal project IP / authorship claim</x:v>
      </x:c>
      <x:c r="I529" s="24" t="str">
        <x:v>Source package + repository path + hash</x:v>
      </x:c>
      <x:c r="J529" s="24" t="str">
        <x:v>0f787f7646adddcb60d9d7d54627373ce9a56aa08cbedfba8584ed2bf6d5b375</x:v>
      </x:c>
      <x:c r="K529" s="24" t="str">
        <x:v>Assets/_Project/Scripts/Infrastructure/UIUX/Sprint15RuntimeStateBridge.cs</x:v>
      </x:c>
      <x:c r="L529" s="24" t="str">
        <x:v>CR-003</x:v>
      </x:c>
      <x:c r="M529" s="24" t="str"/>
      <x:c r="N529" s="24" t="str">
        <x:v>RES-001;RES-014</x:v>
      </x:c>
      <x:c r="O529" s="24" t="str">
        <x:v>Internal development; public candidate requires gate</x:v>
      </x:c>
      <x:c r="P529" s="24" t="str">
        <x:v>CONDITIONALLY APPROVED</x:v>
      </x:c>
      <x:c r="Q529" s="24" t="str">
        <x:v>Low</x:v>
      </x:c>
      <x:c r="R529" s="24" t="str"/>
      <x:c r="S529" s="24" t="str">
        <x:v>Sí</x:v>
      </x:c>
      <x:c r="T529" s="24" t="str">
        <x:f>"T"&amp;IF(AND(H529&lt;&gt;"",I529&lt;&gt;"",J529&lt;&gt;"",L529&lt;&gt;"",N529&lt;&gt;"",O529&lt;&gt;"",P529="APPROVED PUBLIC",S529="Sí"),6,IF(AND(H529&lt;&gt;"",I529&lt;&gt;"",J529&lt;&gt;"",L529&lt;&gt;"",N529&lt;&gt;"",O529&lt;&gt;"",P529&lt;&gt;"",S529="Sí"),5,IF(AND(H529&lt;&gt;"",I529&lt;&gt;"",P529&lt;&gt;"",S529&lt;&gt;"No"),4,IF(AND(H529&lt;&gt;"",I529&lt;&gt;""),3,IF(F529&lt;&gt;"",2,1)))))</x:f>
        <x:v>T5</x:v>
      </x:c>
      <x:c r="U529" s="24" t="str">
        <x:v>VRM Games</x:v>
      </x:c>
      <x:c r="V529" s="24" t="str">
        <x:v>No se detectó proveedor externo en la ruta; confirmar autoría por lote antes de release público.</x:v>
      </x:c>
    </x:row>
    <x:row r="530" ht="34" customHeight="1">
      <x:c r="A530" s="24" t="str">
        <x:v>TRC-00526</x:v>
      </x:c>
      <x:c r="B530" s="24" t="str">
        <x:v>d83ee47255b64733863a12a81783f88b</x:v>
      </x:c>
      <x:c r="C530" s="24" t="str">
        <x:v>Sprint15SettingsAsset.cs</x:v>
      </x:c>
      <x:c r="D530" s="24" t="str">
        <x:v>Code</x:v>
      </x:c>
      <x:c r="E530" s="24" t="str">
        <x:v>03_Assets_Internos</x:v>
      </x:c>
      <x:c r="F530" s="24" t="str">
        <x:v>INT-0526</x:v>
      </x:c>
      <x:c r="G530" s="24" t="str">
        <x:v>VRM Games / Blas Luis Rocha González</x:v>
      </x:c>
      <x:c r="H530" s="24" t="str">
        <x:v>Internal project IP / authorship claim</x:v>
      </x:c>
      <x:c r="I530" s="24" t="str">
        <x:v>Source package + repository path + hash</x:v>
      </x:c>
      <x:c r="J530" s="24" t="str">
        <x:v>bb9f8e6a334edb9ff75981db0aecfc5bd7a83da96db4d26a1e9df477d67421c2</x:v>
      </x:c>
      <x:c r="K530" s="24" t="str">
        <x:v>Assets/_Project/Scripts/Infrastructure/UIUX/Sprint15SettingsAsset.cs</x:v>
      </x:c>
      <x:c r="L530" s="24" t="str">
        <x:v>CR-003</x:v>
      </x:c>
      <x:c r="M530" s="24" t="str"/>
      <x:c r="N530" s="24" t="str">
        <x:v>RES-001;RES-014</x:v>
      </x:c>
      <x:c r="O530" s="24" t="str">
        <x:v>Internal development; public candidate requires gate</x:v>
      </x:c>
      <x:c r="P530" s="24" t="str">
        <x:v>CONDITIONALLY APPROVED</x:v>
      </x:c>
      <x:c r="Q530" s="24" t="str">
        <x:v>Low</x:v>
      </x:c>
      <x:c r="R530" s="24" t="str"/>
      <x:c r="S530" s="24" t="str">
        <x:v>Sí</x:v>
      </x:c>
      <x:c r="T530" s="24" t="str">
        <x:f>"T"&amp;IF(AND(H530&lt;&gt;"",I530&lt;&gt;"",J530&lt;&gt;"",L530&lt;&gt;"",N530&lt;&gt;"",O530&lt;&gt;"",P530="APPROVED PUBLIC",S530="Sí"),6,IF(AND(H530&lt;&gt;"",I530&lt;&gt;"",J530&lt;&gt;"",L530&lt;&gt;"",N530&lt;&gt;"",O530&lt;&gt;"",P530&lt;&gt;"",S530="Sí"),5,IF(AND(H530&lt;&gt;"",I530&lt;&gt;"",P530&lt;&gt;"",S530&lt;&gt;"No"),4,IF(AND(H530&lt;&gt;"",I530&lt;&gt;""),3,IF(F530&lt;&gt;"",2,1)))))</x:f>
        <x:v>T5</x:v>
      </x:c>
      <x:c r="U530" s="24" t="str">
        <x:v>VRM Games</x:v>
      </x:c>
      <x:c r="V530" s="24" t="str">
        <x:v>No se detectó proveedor externo en la ruta; confirmar autoría por lote antes de release público.</x:v>
      </x:c>
    </x:row>
    <x:row r="531" ht="34" customHeight="1">
      <x:c r="A531" s="24" t="str">
        <x:v>TRC-00527</x:v>
      </x:c>
      <x:c r="B531" s="24" t="str">
        <x:v>74f9398675a4449dadaabe5e62eff36f</x:v>
      </x:c>
      <x:c r="C531" s="24" t="str">
        <x:v>Sprint15TechnicalScenarioRunner.cs</x:v>
      </x:c>
      <x:c r="D531" s="24" t="str">
        <x:v>Code</x:v>
      </x:c>
      <x:c r="E531" s="24" t="str">
        <x:v>03_Assets_Internos</x:v>
      </x:c>
      <x:c r="F531" s="24" t="str">
        <x:v>INT-0527</x:v>
      </x:c>
      <x:c r="G531" s="24" t="str">
        <x:v>VRM Games / Blas Luis Rocha González</x:v>
      </x:c>
      <x:c r="H531" s="24" t="str">
        <x:v>Internal project IP / authorship claim</x:v>
      </x:c>
      <x:c r="I531" s="24" t="str">
        <x:v>Source package + repository path + hash</x:v>
      </x:c>
      <x:c r="J531" s="24" t="str">
        <x:v>5799dee4733f58afc7294610b5bc021649adf4df9d96d451b28a3b66a41f9707</x:v>
      </x:c>
      <x:c r="K531" s="24" t="str">
        <x:v>Assets/_Project/Scripts/Infrastructure/UIUX/Sprint15TechnicalScenarioRunner.cs</x:v>
      </x:c>
      <x:c r="L531" s="24" t="str">
        <x:v>CR-003</x:v>
      </x:c>
      <x:c r="M531" s="24" t="str"/>
      <x:c r="N531" s="24" t="str">
        <x:v>RES-001;RES-014</x:v>
      </x:c>
      <x:c r="O531" s="24" t="str">
        <x:v>Internal development; public candidate requires gate</x:v>
      </x:c>
      <x:c r="P531" s="24" t="str">
        <x:v>CONDITIONALLY APPROVED</x:v>
      </x:c>
      <x:c r="Q531" s="24" t="str">
        <x:v>Low</x:v>
      </x:c>
      <x:c r="R531" s="24" t="str"/>
      <x:c r="S531" s="24" t="str">
        <x:v>Sí</x:v>
      </x:c>
      <x:c r="T531" s="24" t="str">
        <x:f>"T"&amp;IF(AND(H531&lt;&gt;"",I531&lt;&gt;"",J531&lt;&gt;"",L531&lt;&gt;"",N531&lt;&gt;"",O531&lt;&gt;"",P531="APPROVED PUBLIC",S531="Sí"),6,IF(AND(H531&lt;&gt;"",I531&lt;&gt;"",J531&lt;&gt;"",L531&lt;&gt;"",N531&lt;&gt;"",O531&lt;&gt;"",P531&lt;&gt;"",S531="Sí"),5,IF(AND(H531&lt;&gt;"",I531&lt;&gt;"",P531&lt;&gt;"",S531&lt;&gt;"No"),4,IF(AND(H531&lt;&gt;"",I531&lt;&gt;""),3,IF(F531&lt;&gt;"",2,1)))))</x:f>
        <x:v>T5</x:v>
      </x:c>
      <x:c r="U531" s="24" t="str">
        <x:v>VRM Games</x:v>
      </x:c>
      <x:c r="V531" s="24" t="str">
        <x:v>No se detectó proveedor externo en la ruta; confirmar autoría por lote antes de release público.</x:v>
      </x:c>
    </x:row>
    <x:row r="532" ht="34" customHeight="1">
      <x:c r="A532" s="24" t="str">
        <x:v>TRC-00528</x:v>
      </x:c>
      <x:c r="B532" s="24" t="str">
        <x:v>fcbe00c9a3204826a063df7d8319f774</x:v>
      </x:c>
      <x:c r="C532" s="24" t="str">
        <x:v>Sprint15UiFactory.cs</x:v>
      </x:c>
      <x:c r="D532" s="24" t="str">
        <x:v>Code</x:v>
      </x:c>
      <x:c r="E532" s="24" t="str">
        <x:v>03_Assets_Internos</x:v>
      </x:c>
      <x:c r="F532" s="24" t="str">
        <x:v>INT-0528</x:v>
      </x:c>
      <x:c r="G532" s="24" t="str">
        <x:v>VRM Games / Blas Luis Rocha González</x:v>
      </x:c>
      <x:c r="H532" s="24" t="str">
        <x:v>Internal project IP / authorship claim</x:v>
      </x:c>
      <x:c r="I532" s="24" t="str">
        <x:v>Source package + repository path + hash</x:v>
      </x:c>
      <x:c r="J532" s="24" t="str">
        <x:v>b0688a084255679d37cf2aa68e5718f25547d60d2bec76de05a3039eef001d78</x:v>
      </x:c>
      <x:c r="K532" s="24" t="str">
        <x:v>Assets/_Project/Scripts/Infrastructure/UIUX/Sprint15UiFactory.cs</x:v>
      </x:c>
      <x:c r="L532" s="24" t="str">
        <x:v>CR-003</x:v>
      </x:c>
      <x:c r="M532" s="24" t="str"/>
      <x:c r="N532" s="24" t="str">
        <x:v>RES-001;RES-014</x:v>
      </x:c>
      <x:c r="O532" s="24" t="str">
        <x:v>Internal development; public candidate requires gate</x:v>
      </x:c>
      <x:c r="P532" s="24" t="str">
        <x:v>CONDITIONALLY APPROVED</x:v>
      </x:c>
      <x:c r="Q532" s="24" t="str">
        <x:v>Low</x:v>
      </x:c>
      <x:c r="R532" s="24" t="str"/>
      <x:c r="S532" s="24" t="str">
        <x:v>Sí</x:v>
      </x:c>
      <x:c r="T532" s="24" t="str">
        <x:f>"T"&amp;IF(AND(H532&lt;&gt;"",I532&lt;&gt;"",J532&lt;&gt;"",L532&lt;&gt;"",N532&lt;&gt;"",O532&lt;&gt;"",P532="APPROVED PUBLIC",S532="Sí"),6,IF(AND(H532&lt;&gt;"",I532&lt;&gt;"",J532&lt;&gt;"",L532&lt;&gt;"",N532&lt;&gt;"",O532&lt;&gt;"",P532&lt;&gt;"",S532="Sí"),5,IF(AND(H532&lt;&gt;"",I532&lt;&gt;"",P532&lt;&gt;"",S532&lt;&gt;"No"),4,IF(AND(H532&lt;&gt;"",I532&lt;&gt;""),3,IF(F532&lt;&gt;"",2,1)))))</x:f>
        <x:v>T5</x:v>
      </x:c>
      <x:c r="U532" s="24" t="str">
        <x:v>VRM Games</x:v>
      </x:c>
      <x:c r="V532" s="24" t="str">
        <x:v>No se detectó proveedor externo en la ruta; confirmar autoría por lote antes de release público.</x:v>
      </x:c>
    </x:row>
    <x:row r="533" ht="34" customHeight="1">
      <x:c r="A533" s="24" t="str">
        <x:v>TRC-00529</x:v>
      </x:c>
      <x:c r="B533" s="24" t="str">
        <x:v>0db2410ab58e415e92e430a98ac76499</x:v>
      </x:c>
      <x:c r="C533" s="24" t="str">
        <x:v>StoreHudScreen.cs</x:v>
      </x:c>
      <x:c r="D533" s="24" t="str">
        <x:v>Code</x:v>
      </x:c>
      <x:c r="E533" s="24" t="str">
        <x:v>03_Assets_Internos</x:v>
      </x:c>
      <x:c r="F533" s="24" t="str">
        <x:v>INT-0529</x:v>
      </x:c>
      <x:c r="G533" s="24" t="str">
        <x:v>VRM Games / Blas Luis Rocha González</x:v>
      </x:c>
      <x:c r="H533" s="24" t="str">
        <x:v>Internal project IP / authorship claim</x:v>
      </x:c>
      <x:c r="I533" s="24" t="str">
        <x:v>Source package + repository path + hash</x:v>
      </x:c>
      <x:c r="J533" s="24" t="str">
        <x:v>b6a3c73b6b7deaa9f0bae7fdf602156fe111a79b9d9f11bc33e8334bcb9a1efb</x:v>
      </x:c>
      <x:c r="K533" s="24" t="str">
        <x:v>Assets/_Project/Scripts/Infrastructure/UIUX/StoreHudScreen.cs</x:v>
      </x:c>
      <x:c r="L533" s="24" t="str">
        <x:v>CR-003</x:v>
      </x:c>
      <x:c r="M533" s="24" t="str"/>
      <x:c r="N533" s="24" t="str">
        <x:v>RES-001;RES-014</x:v>
      </x:c>
      <x:c r="O533" s="24" t="str">
        <x:v>Internal development; public candidate requires gate</x:v>
      </x:c>
      <x:c r="P533" s="24" t="str">
        <x:v>CONDITIONALLY APPROVED</x:v>
      </x:c>
      <x:c r="Q533" s="24" t="str">
        <x:v>Low</x:v>
      </x:c>
      <x:c r="R533" s="24" t="str"/>
      <x:c r="S533" s="24" t="str">
        <x:v>Sí</x:v>
      </x:c>
      <x:c r="T533" s="24" t="str">
        <x:f>"T"&amp;IF(AND(H533&lt;&gt;"",I533&lt;&gt;"",J533&lt;&gt;"",L533&lt;&gt;"",N533&lt;&gt;"",O533&lt;&gt;"",P533="APPROVED PUBLIC",S533="Sí"),6,IF(AND(H533&lt;&gt;"",I533&lt;&gt;"",J533&lt;&gt;"",L533&lt;&gt;"",N533&lt;&gt;"",O533&lt;&gt;"",P533&lt;&gt;"",S533="Sí"),5,IF(AND(H533&lt;&gt;"",I533&lt;&gt;"",P533&lt;&gt;"",S533&lt;&gt;"No"),4,IF(AND(H533&lt;&gt;"",I533&lt;&gt;""),3,IF(F533&lt;&gt;"",2,1)))))</x:f>
        <x:v>T5</x:v>
      </x:c>
      <x:c r="U533" s="24" t="str">
        <x:v>VRM Games</x:v>
      </x:c>
      <x:c r="V533" s="24" t="str">
        <x:v>No se detectó proveedor externo en la ruta; confirmar autoría por lote antes de release público.</x:v>
      </x:c>
    </x:row>
    <x:row r="534" ht="34" customHeight="1">
      <x:c r="A534" s="24" t="str">
        <x:v>TRC-00530</x:v>
      </x:c>
      <x:c r="B534" s="24" t="str">
        <x:v>fd0102db10594e80a56a30988414ab50</x:v>
      </x:c>
      <x:c r="C534" s="24" t="str">
        <x:v>SystemUtcClock.cs</x:v>
      </x:c>
      <x:c r="D534" s="24" t="str">
        <x:v>Code</x:v>
      </x:c>
      <x:c r="E534" s="24" t="str">
        <x:v>03_Assets_Internos</x:v>
      </x:c>
      <x:c r="F534" s="24" t="str">
        <x:v>INT-0530</x:v>
      </x:c>
      <x:c r="G534" s="24" t="str">
        <x:v>VRM Games / Blas Luis Rocha González</x:v>
      </x:c>
      <x:c r="H534" s="24" t="str">
        <x:v>Internal project IP / authorship claim</x:v>
      </x:c>
      <x:c r="I534" s="24" t="str">
        <x:v>Source package + repository path + hash</x:v>
      </x:c>
      <x:c r="J534" s="24" t="str">
        <x:v>d024f6b73249ca5226a477ed1d805648e93ed1395d859d22450e9ebff779fc59</x:v>
      </x:c>
      <x:c r="K534" s="24" t="str">
        <x:v>Assets/_Project/Scripts/Infrastructure/UIUX/SystemUtcClock.cs</x:v>
      </x:c>
      <x:c r="L534" s="24" t="str">
        <x:v>CR-003</x:v>
      </x:c>
      <x:c r="M534" s="24" t="str"/>
      <x:c r="N534" s="24" t="str">
        <x:v>RES-001;RES-014</x:v>
      </x:c>
      <x:c r="O534" s="24" t="str">
        <x:v>Internal development; public candidate requires gate</x:v>
      </x:c>
      <x:c r="P534" s="24" t="str">
        <x:v>CONDITIONALLY APPROVED</x:v>
      </x:c>
      <x:c r="Q534" s="24" t="str">
        <x:v>Low</x:v>
      </x:c>
      <x:c r="R534" s="24" t="str"/>
      <x:c r="S534" s="24" t="str">
        <x:v>Sí</x:v>
      </x:c>
      <x:c r="T534" s="24" t="str">
        <x:f>"T"&amp;IF(AND(H534&lt;&gt;"",I534&lt;&gt;"",J534&lt;&gt;"",L534&lt;&gt;"",N534&lt;&gt;"",O534&lt;&gt;"",P534="APPROVED PUBLIC",S534="Sí"),6,IF(AND(H534&lt;&gt;"",I534&lt;&gt;"",J534&lt;&gt;"",L534&lt;&gt;"",N534&lt;&gt;"",O534&lt;&gt;"",P534&lt;&gt;"",S534="Sí"),5,IF(AND(H534&lt;&gt;"",I534&lt;&gt;"",P534&lt;&gt;"",S534&lt;&gt;"No"),4,IF(AND(H534&lt;&gt;"",I534&lt;&gt;""),3,IF(F534&lt;&gt;"",2,1)))))</x:f>
        <x:v>T5</x:v>
      </x:c>
      <x:c r="U534" s="24" t="str">
        <x:v>VRM Games</x:v>
      </x:c>
      <x:c r="V534" s="24" t="str">
        <x:v>No se detectó proveedor externo en la ruta; confirmar autoría por lote antes de release público.</x:v>
      </x:c>
    </x:row>
    <x:row r="535" ht="34" customHeight="1">
      <x:c r="A535" s="24" t="str">
        <x:v>TRC-00531</x:v>
      </x:c>
      <x:c r="B535" s="24" t="str">
        <x:v>de696771ed2e213468482820cfab4f32</x:v>
      </x:c>
      <x:c r="C535" s="24" t="str">
        <x:v>VRMGames.CartridgeAndCloud.Infrastructure.asmdef</x:v>
      </x:c>
      <x:c r="D535" s="24" t="str">
        <x:v>Assembly definition</x:v>
      </x:c>
      <x:c r="E535" s="24" t="str">
        <x:v>03_Assets_Internos</x:v>
      </x:c>
      <x:c r="F535" s="24" t="str">
        <x:v>INT-0531</x:v>
      </x:c>
      <x:c r="G535" s="24" t="str">
        <x:v>VRM Games / Blas Luis Rocha González</x:v>
      </x:c>
      <x:c r="H535" s="24" t="str">
        <x:v>Internal project IP / authorship claim</x:v>
      </x:c>
      <x:c r="I535" s="24" t="str">
        <x:v>Source package + repository path + hash</x:v>
      </x:c>
      <x:c r="J535" s="24" t="str">
        <x:v>886a15202299fb4104348a79bb43e38e9de97de05487fe69014052588602f9f8</x:v>
      </x:c>
      <x:c r="K535" s="24" t="str">
        <x:v>Assets/_Project/Scripts/Infrastructure/VRMGames.CartridgeAndCloud.Infrastructure.asmdef</x:v>
      </x:c>
      <x:c r="L535" s="24" t="str">
        <x:v>CR-003</x:v>
      </x:c>
      <x:c r="M535" s="24" t="str"/>
      <x:c r="N535" s="24" t="str">
        <x:v>RES-001;RES-014</x:v>
      </x:c>
      <x:c r="O535" s="24" t="str">
        <x:v>Internal development; public candidate requires gate</x:v>
      </x:c>
      <x:c r="P535" s="24" t="str">
        <x:v>CONDITIONALLY APPROVED</x:v>
      </x:c>
      <x:c r="Q535" s="24" t="str">
        <x:v>Low</x:v>
      </x:c>
      <x:c r="R535" s="24" t="str"/>
      <x:c r="S535" s="24" t="str">
        <x:v>Sí</x:v>
      </x:c>
      <x:c r="T535" s="24" t="str">
        <x:f>"T"&amp;IF(AND(H535&lt;&gt;"",I535&lt;&gt;"",J535&lt;&gt;"",L535&lt;&gt;"",N535&lt;&gt;"",O535&lt;&gt;"",P535="APPROVED PUBLIC",S535="Sí"),6,IF(AND(H535&lt;&gt;"",I535&lt;&gt;"",J535&lt;&gt;"",L535&lt;&gt;"",N535&lt;&gt;"",O535&lt;&gt;"",P535&lt;&gt;"",S535="Sí"),5,IF(AND(H535&lt;&gt;"",I535&lt;&gt;"",P535&lt;&gt;"",S535&lt;&gt;"No"),4,IF(AND(H535&lt;&gt;"",I535&lt;&gt;""),3,IF(F535&lt;&gt;"",2,1)))))</x:f>
        <x:v>T5</x:v>
      </x:c>
      <x:c r="U535" s="24" t="str">
        <x:v>VRM Games</x:v>
      </x:c>
      <x:c r="V535" s="24" t="str">
        <x:v>No se detectó proveedor externo en la ruta; confirmar autoría por lote antes de release público.</x:v>
      </x:c>
    </x:row>
    <x:row r="536" ht="34" customHeight="1">
      <x:c r="A536" s="24" t="str">
        <x:v>TRC-00532</x:v>
      </x:c>
      <x:c r="B536" s="24" t="str">
        <x:v>5246166c7e8e070ce55229ea6a338dca</x:v>
      </x:c>
      <x:c r="C536" s="24" t="str">
        <x:v>AutomaticSlidingDoorController.cs</x:v>
      </x:c>
      <x:c r="D536" s="24" t="str">
        <x:v>Code</x:v>
      </x:c>
      <x:c r="E536" s="24" t="str">
        <x:v>03_Assets_Internos</x:v>
      </x:c>
      <x:c r="F536" s="24" t="str">
        <x:v>INT-0532</x:v>
      </x:c>
      <x:c r="G536" s="24" t="str">
        <x:v>VRM Games / Blas Luis Rocha González</x:v>
      </x:c>
      <x:c r="H536" s="24" t="str">
        <x:v>Internal project IP / authorship claim</x:v>
      </x:c>
      <x:c r="I536" s="24" t="str">
        <x:v>Source package + repository path + hash</x:v>
      </x:c>
      <x:c r="J536" s="24" t="str">
        <x:v>3a26c674042361e55f5d73a5741b81918320bbee266954885d07a50b7f1eae8d</x:v>
      </x:c>
      <x:c r="K536" s="24" t="str">
        <x:v>Assets/_Project/Scripts/Infrastructure/VerticalSlicePhase1/AutomaticSlidingDoorController.cs</x:v>
      </x:c>
      <x:c r="L536" s="24" t="str">
        <x:v>CR-003</x:v>
      </x:c>
      <x:c r="M536" s="24" t="str"/>
      <x:c r="N536" s="24" t="str">
        <x:v>RES-001;RES-014</x:v>
      </x:c>
      <x:c r="O536" s="24" t="str">
        <x:v>Internal development; public candidate requires gate</x:v>
      </x:c>
      <x:c r="P536" s="24" t="str">
        <x:v>CONDITIONALLY APPROVED</x:v>
      </x:c>
      <x:c r="Q536" s="24" t="str">
        <x:v>Low</x:v>
      </x:c>
      <x:c r="R536" s="24" t="str"/>
      <x:c r="S536" s="24" t="str">
        <x:v>Sí</x:v>
      </x:c>
      <x:c r="T536" s="24" t="str">
        <x:f>"T"&amp;IF(AND(H536&lt;&gt;"",I536&lt;&gt;"",J536&lt;&gt;"",L536&lt;&gt;"",N536&lt;&gt;"",O536&lt;&gt;"",P536="APPROVED PUBLIC",S536="Sí"),6,IF(AND(H536&lt;&gt;"",I536&lt;&gt;"",J536&lt;&gt;"",L536&lt;&gt;"",N536&lt;&gt;"",O536&lt;&gt;"",P536&lt;&gt;"",S536="Sí"),5,IF(AND(H536&lt;&gt;"",I536&lt;&gt;"",P536&lt;&gt;"",S536&lt;&gt;"No"),4,IF(AND(H536&lt;&gt;"",I536&lt;&gt;""),3,IF(F536&lt;&gt;"",2,1)))))</x:f>
        <x:v>T5</x:v>
      </x:c>
      <x:c r="U536" s="24" t="str">
        <x:v>VRM Games</x:v>
      </x:c>
      <x:c r="V536" s="24" t="str">
        <x:v>No se detectó proveedor externo en la ruta; confirmar autoría por lote antes de release público.</x:v>
      </x:c>
    </x:row>
    <x:row r="537" ht="34" customHeight="1">
      <x:c r="A537" s="24" t="str">
        <x:v>TRC-00533</x:v>
      </x:c>
      <x:c r="B537" s="24" t="str">
        <x:v>3cda63a3a61cc7d96501137719bb3a09</x:v>
      </x:c>
      <x:c r="C537" s="24" t="str">
        <x:v>JsonPhase1StateRepository.cs</x:v>
      </x:c>
      <x:c r="D537" s="24" t="str">
        <x:v>Code</x:v>
      </x:c>
      <x:c r="E537" s="24" t="str">
        <x:v>03_Assets_Internos</x:v>
      </x:c>
      <x:c r="F537" s="24" t="str">
        <x:v>INT-0533</x:v>
      </x:c>
      <x:c r="G537" s="24" t="str">
        <x:v>VRM Games / Blas Luis Rocha González</x:v>
      </x:c>
      <x:c r="H537" s="24" t="str">
        <x:v>Internal project IP / authorship claim</x:v>
      </x:c>
      <x:c r="I537" s="24" t="str">
        <x:v>Source package + repository path + hash</x:v>
      </x:c>
      <x:c r="J537" s="24" t="str">
        <x:v>3c716943290a7807dc42fdbabcac0d0772d58658b483dda398bff0532b206c64</x:v>
      </x:c>
      <x:c r="K537" s="24" t="str">
        <x:v>Assets/_Project/Scripts/Infrastructure/VerticalSlicePhase1/JsonPhase1StateRepository.cs</x:v>
      </x:c>
      <x:c r="L537" s="24" t="str">
        <x:v>CR-003</x:v>
      </x:c>
      <x:c r="M537" s="24" t="str"/>
      <x:c r="N537" s="24" t="str">
        <x:v>RES-001;RES-014</x:v>
      </x:c>
      <x:c r="O537" s="24" t="str">
        <x:v>Internal development; public candidate requires gate</x:v>
      </x:c>
      <x:c r="P537" s="24" t="str">
        <x:v>CONDITIONALLY APPROVED</x:v>
      </x:c>
      <x:c r="Q537" s="24" t="str">
        <x:v>Low</x:v>
      </x:c>
      <x:c r="R537" s="24" t="str"/>
      <x:c r="S537" s="24" t="str">
        <x:v>Sí</x:v>
      </x:c>
      <x:c r="T537" s="24" t="str">
        <x:f>"T"&amp;IF(AND(H537&lt;&gt;"",I537&lt;&gt;"",J537&lt;&gt;"",L537&lt;&gt;"",N537&lt;&gt;"",O537&lt;&gt;"",P537="APPROVED PUBLIC",S537="Sí"),6,IF(AND(H537&lt;&gt;"",I537&lt;&gt;"",J537&lt;&gt;"",L537&lt;&gt;"",N537&lt;&gt;"",O537&lt;&gt;"",P537&lt;&gt;"",S537="Sí"),5,IF(AND(H537&lt;&gt;"",I537&lt;&gt;"",P537&lt;&gt;"",S537&lt;&gt;"No"),4,IF(AND(H537&lt;&gt;"",I537&lt;&gt;""),3,IF(F537&lt;&gt;"",2,1)))))</x:f>
        <x:v>T5</x:v>
      </x:c>
      <x:c r="U537" s="24" t="str">
        <x:v>VRM Games</x:v>
      </x:c>
      <x:c r="V537" s="24" t="str">
        <x:v>No se detectó proveedor externo en la ruta; confirmar autoría por lote antes de release público.</x:v>
      </x:c>
    </x:row>
    <x:row r="538" ht="34" customHeight="1">
      <x:c r="A538" s="24" t="str">
        <x:v>TRC-00534</x:v>
      </x:c>
      <x:c r="B538" s="24" t="str">
        <x:v>9b73fb5591684dfe5ca35d53ce5d429d</x:v>
      </x:c>
      <x:c r="C538" s="24" t="str">
        <x:v>Phase1AudioCatalogAsset.cs</x:v>
      </x:c>
      <x:c r="D538" s="24" t="str">
        <x:v>Code</x:v>
      </x:c>
      <x:c r="E538" s="24" t="str">
        <x:v>03_Assets_Internos</x:v>
      </x:c>
      <x:c r="F538" s="24" t="str">
        <x:v>INT-0534</x:v>
      </x:c>
      <x:c r="G538" s="24" t="str">
        <x:v>VRM Games / Blas Luis Rocha González</x:v>
      </x:c>
      <x:c r="H538" s="24" t="str">
        <x:v>Internal project IP / authorship claim</x:v>
      </x:c>
      <x:c r="I538" s="24" t="str">
        <x:v>Source package + repository path + hash</x:v>
      </x:c>
      <x:c r="J538" s="24" t="str">
        <x:v>fbca8dccdcaa329482ab7a4af218c3c83a79b3e8565bd84c381bb05ac3d3e1a2</x:v>
      </x:c>
      <x:c r="K538" s="24" t="str">
        <x:v>Assets/_Project/Scripts/Infrastructure/VerticalSlicePhase1/Phase1AudioCatalogAsset.cs</x:v>
      </x:c>
      <x:c r="L538" s="24" t="str">
        <x:v>CR-003</x:v>
      </x:c>
      <x:c r="M538" s="24" t="str"/>
      <x:c r="N538" s="24" t="str">
        <x:v>RES-001;RES-014</x:v>
      </x:c>
      <x:c r="O538" s="24" t="str">
        <x:v>Internal development; public candidate requires gate</x:v>
      </x:c>
      <x:c r="P538" s="24" t="str">
        <x:v>CONDITIONALLY APPROVED</x:v>
      </x:c>
      <x:c r="Q538" s="24" t="str">
        <x:v>Low</x:v>
      </x:c>
      <x:c r="R538" s="24" t="str"/>
      <x:c r="S538" s="24" t="str">
        <x:v>Sí</x:v>
      </x:c>
      <x:c r="T538" s="24" t="str">
        <x:f>"T"&amp;IF(AND(H538&lt;&gt;"",I538&lt;&gt;"",J538&lt;&gt;"",L538&lt;&gt;"",N538&lt;&gt;"",O538&lt;&gt;"",P538="APPROVED PUBLIC",S538="Sí"),6,IF(AND(H538&lt;&gt;"",I538&lt;&gt;"",J538&lt;&gt;"",L538&lt;&gt;"",N538&lt;&gt;"",O538&lt;&gt;"",P538&lt;&gt;"",S538="Sí"),5,IF(AND(H538&lt;&gt;"",I538&lt;&gt;"",P538&lt;&gt;"",S538&lt;&gt;"No"),4,IF(AND(H538&lt;&gt;"",I538&lt;&gt;""),3,IF(F538&lt;&gt;"",2,1)))))</x:f>
        <x:v>T5</x:v>
      </x:c>
      <x:c r="U538" s="24" t="str">
        <x:v>VRM Games</x:v>
      </x:c>
      <x:c r="V538" s="24" t="str">
        <x:v>No se detectó proveedor externo en la ruta; confirmar autoría por lote antes de release público.</x:v>
      </x:c>
    </x:row>
    <x:row r="539" ht="34" customHeight="1">
      <x:c r="A539" s="24" t="str">
        <x:v>TRC-00535</x:v>
      </x:c>
      <x:c r="B539" s="24" t="str">
        <x:v>11724999bc3ca00d7d89a48f14a679b8</x:v>
      </x:c>
      <x:c r="C539" s="24" t="str">
        <x:v>Phase1BlockoutVisualFactory.cs</x:v>
      </x:c>
      <x:c r="D539" s="24" t="str">
        <x:v>Code</x:v>
      </x:c>
      <x:c r="E539" s="24" t="str">
        <x:v>03_Assets_Internos</x:v>
      </x:c>
      <x:c r="F539" s="24" t="str">
        <x:v>INT-0535</x:v>
      </x:c>
      <x:c r="G539" s="24" t="str">
        <x:v>VRM Games / Blas Luis Rocha González</x:v>
      </x:c>
      <x:c r="H539" s="24" t="str">
        <x:v>Internal project IP / authorship claim</x:v>
      </x:c>
      <x:c r="I539" s="24" t="str">
        <x:v>Source package + repository path + hash</x:v>
      </x:c>
      <x:c r="J539" s="24" t="str">
        <x:v>30f5c23c0e3a8a8427613e20a55e983170dbb11759700d125a179620cd248d91</x:v>
      </x:c>
      <x:c r="K539" s="24" t="str">
        <x:v>Assets/_Project/Scripts/Infrastructure/VerticalSlicePhase1/Phase1BlockoutVisualFactory.cs</x:v>
      </x:c>
      <x:c r="L539" s="24" t="str">
        <x:v>CR-003</x:v>
      </x:c>
      <x:c r="M539" s="24" t="str"/>
      <x:c r="N539" s="24" t="str">
        <x:v>RES-001;RES-014</x:v>
      </x:c>
      <x:c r="O539" s="24" t="str">
        <x:v>Internal development; public candidate requires gate</x:v>
      </x:c>
      <x:c r="P539" s="24" t="str">
        <x:v>CONDITIONALLY APPROVED</x:v>
      </x:c>
      <x:c r="Q539" s="24" t="str">
        <x:v>Low</x:v>
      </x:c>
      <x:c r="R539" s="24" t="str"/>
      <x:c r="S539" s="24" t="str">
        <x:v>Sí</x:v>
      </x:c>
      <x:c r="T539" s="24" t="str">
        <x:f>"T"&amp;IF(AND(H539&lt;&gt;"",I539&lt;&gt;"",J539&lt;&gt;"",L539&lt;&gt;"",N539&lt;&gt;"",O539&lt;&gt;"",P539="APPROVED PUBLIC",S539="Sí"),6,IF(AND(H539&lt;&gt;"",I539&lt;&gt;"",J539&lt;&gt;"",L539&lt;&gt;"",N539&lt;&gt;"",O539&lt;&gt;"",P539&lt;&gt;"",S539="Sí"),5,IF(AND(H539&lt;&gt;"",I539&lt;&gt;"",P539&lt;&gt;"",S539&lt;&gt;"No"),4,IF(AND(H539&lt;&gt;"",I539&lt;&gt;""),3,IF(F539&lt;&gt;"",2,1)))))</x:f>
        <x:v>T5</x:v>
      </x:c>
      <x:c r="U539" s="24" t="str">
        <x:v>VRM Games</x:v>
      </x:c>
      <x:c r="V539" s="24" t="str">
        <x:v>No se detectó proveedor externo en la ruta; confirmar autoría por lote antes de release público.</x:v>
      </x:c>
    </x:row>
    <x:row r="540" ht="34" customHeight="1">
      <x:c r="A540" s="24" t="str">
        <x:v>TRC-00536</x:v>
      </x:c>
      <x:c r="B540" s="24" t="str">
        <x:v>e9290f85d11e798bda80e66a35a3784d</x:v>
      </x:c>
      <x:c r="C540" s="24" t="str">
        <x:v>Phase1CharacterPrefabAuthoring.cs</x:v>
      </x:c>
      <x:c r="D540" s="24" t="str">
        <x:v>Code</x:v>
      </x:c>
      <x:c r="E540" s="24" t="str">
        <x:v>03_Assets_Internos</x:v>
      </x:c>
      <x:c r="F540" s="24" t="str">
        <x:v>INT-0536</x:v>
      </x:c>
      <x:c r="G540" s="24" t="str">
        <x:v>VRM Games / Blas Luis Rocha González</x:v>
      </x:c>
      <x:c r="H540" s="24" t="str">
        <x:v>Internal project IP / authorship claim</x:v>
      </x:c>
      <x:c r="I540" s="24" t="str">
        <x:v>Source package + repository path + hash</x:v>
      </x:c>
      <x:c r="J540" s="24" t="str">
        <x:v>4588926d2958fc7307ba3b6c47866213b98f458916343e35fc070c8fc179dd94</x:v>
      </x:c>
      <x:c r="K540" s="24" t="str">
        <x:v>Assets/_Project/Scripts/Infrastructure/VerticalSlicePhase1/Phase1CharacterPrefabAuthoring.cs</x:v>
      </x:c>
      <x:c r="L540" s="24" t="str">
        <x:v>CR-003</x:v>
      </x:c>
      <x:c r="M540" s="24" t="str"/>
      <x:c r="N540" s="24" t="str">
        <x:v>RES-001;RES-014</x:v>
      </x:c>
      <x:c r="O540" s="24" t="str">
        <x:v>Internal development; public candidate requires gate</x:v>
      </x:c>
      <x:c r="P540" s="24" t="str">
        <x:v>CONDITIONALLY APPROVED</x:v>
      </x:c>
      <x:c r="Q540" s="24" t="str">
        <x:v>Low</x:v>
      </x:c>
      <x:c r="R540" s="24" t="str"/>
      <x:c r="S540" s="24" t="str">
        <x:v>Sí</x:v>
      </x:c>
      <x:c r="T540" s="24" t="str">
        <x:f>"T"&amp;IF(AND(H540&lt;&gt;"",I540&lt;&gt;"",J540&lt;&gt;"",L540&lt;&gt;"",N540&lt;&gt;"",O540&lt;&gt;"",P540="APPROVED PUBLIC",S540="Sí"),6,IF(AND(H540&lt;&gt;"",I540&lt;&gt;"",J540&lt;&gt;"",L540&lt;&gt;"",N540&lt;&gt;"",O540&lt;&gt;"",P540&lt;&gt;"",S540="Sí"),5,IF(AND(H540&lt;&gt;"",I540&lt;&gt;"",P540&lt;&gt;"",S540&lt;&gt;"No"),4,IF(AND(H540&lt;&gt;"",I540&lt;&gt;""),3,IF(F540&lt;&gt;"",2,1)))))</x:f>
        <x:v>T5</x:v>
      </x:c>
      <x:c r="U540" s="24" t="str">
        <x:v>VRM Games</x:v>
      </x:c>
      <x:c r="V540" s="24" t="str">
        <x:v>No se detectó proveedor externo en la ruta; confirmar autoría por lote antes de release público.</x:v>
      </x:c>
    </x:row>
    <x:row r="541" ht="34" customHeight="1">
      <x:c r="A541" s="24" t="str">
        <x:v>TRC-00537</x:v>
      </x:c>
      <x:c r="B541" s="24" t="str">
        <x:v>487c8929f4b01caf0d91e823c21e3d22</x:v>
      </x:c>
      <x:c r="C541" s="24" t="str">
        <x:v>Phase1CharacterPresence.cs</x:v>
      </x:c>
      <x:c r="D541" s="24" t="str">
        <x:v>Code</x:v>
      </x:c>
      <x:c r="E541" s="24" t="str">
        <x:v>03_Assets_Internos</x:v>
      </x:c>
      <x:c r="F541" s="24" t="str">
        <x:v>INT-0537</x:v>
      </x:c>
      <x:c r="G541" s="24" t="str">
        <x:v>VRM Games / Blas Luis Rocha González</x:v>
      </x:c>
      <x:c r="H541" s="24" t="str">
        <x:v>Internal project IP / authorship claim</x:v>
      </x:c>
      <x:c r="I541" s="24" t="str">
        <x:v>Source package + repository path + hash</x:v>
      </x:c>
      <x:c r="J541" s="24" t="str">
        <x:v>a2f444a118dc047c7e33b54274da91f3dc369e87ec0ee408a6f82ade8033712e</x:v>
      </x:c>
      <x:c r="K541" s="24" t="str">
        <x:v>Assets/_Project/Scripts/Infrastructure/VerticalSlicePhase1/Phase1CharacterPresence.cs</x:v>
      </x:c>
      <x:c r="L541" s="24" t="str">
        <x:v>CR-003</x:v>
      </x:c>
      <x:c r="M541" s="24" t="str"/>
      <x:c r="N541" s="24" t="str">
        <x:v>RES-001;RES-014</x:v>
      </x:c>
      <x:c r="O541" s="24" t="str">
        <x:v>Internal development; public candidate requires gate</x:v>
      </x:c>
      <x:c r="P541" s="24" t="str">
        <x:v>CONDITIONALLY APPROVED</x:v>
      </x:c>
      <x:c r="Q541" s="24" t="str">
        <x:v>Low</x:v>
      </x:c>
      <x:c r="R541" s="24" t="str"/>
      <x:c r="S541" s="24" t="str">
        <x:v>Sí</x:v>
      </x:c>
      <x:c r="T541" s="24" t="str">
        <x:f>"T"&amp;IF(AND(H541&lt;&gt;"",I541&lt;&gt;"",J541&lt;&gt;"",L541&lt;&gt;"",N541&lt;&gt;"",O541&lt;&gt;"",P541="APPROVED PUBLIC",S541="Sí"),6,IF(AND(H541&lt;&gt;"",I541&lt;&gt;"",J541&lt;&gt;"",L541&lt;&gt;"",N541&lt;&gt;"",O541&lt;&gt;"",P541&lt;&gt;"",S541="Sí"),5,IF(AND(H541&lt;&gt;"",I541&lt;&gt;"",P541&lt;&gt;"",S541&lt;&gt;"No"),4,IF(AND(H541&lt;&gt;"",I541&lt;&gt;""),3,IF(F541&lt;&gt;"",2,1)))))</x:f>
        <x:v>T5</x:v>
      </x:c>
      <x:c r="U541" s="24" t="str">
        <x:v>VRM Games</x:v>
      </x:c>
      <x:c r="V541" s="24" t="str">
        <x:v>No se detectó proveedor externo en la ruta; confirmar autoría por lote antes de release público.</x:v>
      </x:c>
    </x:row>
    <x:row r="542" ht="34" customHeight="1">
      <x:c r="A542" s="24" t="str">
        <x:v>TRC-00538</x:v>
      </x:c>
      <x:c r="B542" s="24" t="str">
        <x:v>23d6ae3854c42bf9c58107a1d668ce1b</x:v>
      </x:c>
      <x:c r="C542" s="24" t="str">
        <x:v>Phase1ContentCatalogAsset.cs</x:v>
      </x:c>
      <x:c r="D542" s="24" t="str">
        <x:v>Code</x:v>
      </x:c>
      <x:c r="E542" s="24" t="str">
        <x:v>03_Assets_Internos</x:v>
      </x:c>
      <x:c r="F542" s="24" t="str">
        <x:v>INT-0538</x:v>
      </x:c>
      <x:c r="G542" s="24" t="str">
        <x:v>VRM Games / Blas Luis Rocha González</x:v>
      </x:c>
      <x:c r="H542" s="24" t="str">
        <x:v>Internal project IP / authorship claim</x:v>
      </x:c>
      <x:c r="I542" s="24" t="str">
        <x:v>Source package + repository path + hash</x:v>
      </x:c>
      <x:c r="J542" s="24" t="str">
        <x:v>08c6ef5ae7f72db18ac2b57ddb5d999497fe5437fa230ea8964a75a931b0125e</x:v>
      </x:c>
      <x:c r="K542" s="24" t="str">
        <x:v>Assets/_Project/Scripts/Infrastructure/VerticalSlicePhase1/Phase1ContentCatalogAsset.cs</x:v>
      </x:c>
      <x:c r="L542" s="24" t="str">
        <x:v>CR-003</x:v>
      </x:c>
      <x:c r="M542" s="24" t="str"/>
      <x:c r="N542" s="24" t="str">
        <x:v>RES-001;RES-014</x:v>
      </x:c>
      <x:c r="O542" s="24" t="str">
        <x:v>Internal development; public candidate requires gate</x:v>
      </x:c>
      <x:c r="P542" s="24" t="str">
        <x:v>CONDITIONALLY APPROVED</x:v>
      </x:c>
      <x:c r="Q542" s="24" t="str">
        <x:v>Low</x:v>
      </x:c>
      <x:c r="R542" s="24" t="str"/>
      <x:c r="S542" s="24" t="str">
        <x:v>Sí</x:v>
      </x:c>
      <x:c r="T542" s="24" t="str">
        <x:f>"T"&amp;IF(AND(H542&lt;&gt;"",I542&lt;&gt;"",J542&lt;&gt;"",L542&lt;&gt;"",N542&lt;&gt;"",O542&lt;&gt;"",P542="APPROVED PUBLIC",S542="Sí"),6,IF(AND(H542&lt;&gt;"",I542&lt;&gt;"",J542&lt;&gt;"",L542&lt;&gt;"",N542&lt;&gt;"",O542&lt;&gt;"",P542&lt;&gt;"",S542="Sí"),5,IF(AND(H542&lt;&gt;"",I542&lt;&gt;"",P542&lt;&gt;"",S542&lt;&gt;"No"),4,IF(AND(H542&lt;&gt;"",I542&lt;&gt;""),3,IF(F542&lt;&gt;"",2,1)))))</x:f>
        <x:v>T5</x:v>
      </x:c>
      <x:c r="U542" s="24" t="str">
        <x:v>VRM Games</x:v>
      </x:c>
      <x:c r="V542" s="24" t="str">
        <x:v>No se detectó proveedor externo en la ruta; confirmar autoría por lote antes de release público.</x:v>
      </x:c>
    </x:row>
    <x:row r="543" ht="34" customHeight="1">
      <x:c r="A543" s="24" t="str">
        <x:v>TRC-00539</x:v>
      </x:c>
      <x:c r="B543" s="24" t="str">
        <x:v>7514d9de3e29bdf6eb683ce3ee627ecc</x:v>
      </x:c>
      <x:c r="C543" s="24" t="str">
        <x:v>Phase1FurniturePrefabAuthoring.cs</x:v>
      </x:c>
      <x:c r="D543" s="24" t="str">
        <x:v>Code</x:v>
      </x:c>
      <x:c r="E543" s="24" t="str">
        <x:v>03_Assets_Internos</x:v>
      </x:c>
      <x:c r="F543" s="24" t="str">
        <x:v>INT-0539</x:v>
      </x:c>
      <x:c r="G543" s="24" t="str">
        <x:v>VRM Games / Blas Luis Rocha González</x:v>
      </x:c>
      <x:c r="H543" s="24" t="str">
        <x:v>Internal project IP / authorship claim</x:v>
      </x:c>
      <x:c r="I543" s="24" t="str">
        <x:v>Source package + repository path + hash</x:v>
      </x:c>
      <x:c r="J543" s="24" t="str">
        <x:v>6944cbd795b92111abac254052db278a5c9cb12974a4fe59fc4cd3a6142e2185</x:v>
      </x:c>
      <x:c r="K543" s="24" t="str">
        <x:v>Assets/_Project/Scripts/Infrastructure/VerticalSlicePhase1/Phase1FurniturePrefabAuthoring.cs</x:v>
      </x:c>
      <x:c r="L543" s="24" t="str">
        <x:v>CR-003</x:v>
      </x:c>
      <x:c r="M543" s="24" t="str"/>
      <x:c r="N543" s="24" t="str">
        <x:v>RES-001;RES-014</x:v>
      </x:c>
      <x:c r="O543" s="24" t="str">
        <x:v>Internal development; public candidate requires gate</x:v>
      </x:c>
      <x:c r="P543" s="24" t="str">
        <x:v>CONDITIONALLY APPROVED</x:v>
      </x:c>
      <x:c r="Q543" s="24" t="str">
        <x:v>Low</x:v>
      </x:c>
      <x:c r="R543" s="24" t="str"/>
      <x:c r="S543" s="24" t="str">
        <x:v>Sí</x:v>
      </x:c>
      <x:c r="T543" s="24" t="str">
        <x:f>"T"&amp;IF(AND(H543&lt;&gt;"",I543&lt;&gt;"",J543&lt;&gt;"",L543&lt;&gt;"",N543&lt;&gt;"",O543&lt;&gt;"",P543="APPROVED PUBLIC",S543="Sí"),6,IF(AND(H543&lt;&gt;"",I543&lt;&gt;"",J543&lt;&gt;"",L543&lt;&gt;"",N543&lt;&gt;"",O543&lt;&gt;"",P543&lt;&gt;"",S543="Sí"),5,IF(AND(H543&lt;&gt;"",I543&lt;&gt;"",P543&lt;&gt;"",S543&lt;&gt;"No"),4,IF(AND(H543&lt;&gt;"",I543&lt;&gt;""),3,IF(F543&lt;&gt;"",2,1)))))</x:f>
        <x:v>T5</x:v>
      </x:c>
      <x:c r="U543" s="24" t="str">
        <x:v>VRM Games</x:v>
      </x:c>
      <x:c r="V543" s="24" t="str">
        <x:v>No se detectó proveedor externo en la ruta; confirmar autoría por lote antes de release público.</x:v>
      </x:c>
    </x:row>
    <x:row r="544" ht="34" customHeight="1">
      <x:c r="A544" s="24" t="str">
        <x:v>TRC-00540</x:v>
      </x:c>
      <x:c r="B544" s="24" t="str">
        <x:v>d8bd81165a0cd5ccb7201c9f18db45ef</x:v>
      </x:c>
      <x:c r="C544" s="24" t="str">
        <x:v>Phase1MaterialPaletteAsset.cs</x:v>
      </x:c>
      <x:c r="D544" s="24" t="str">
        <x:v>Code</x:v>
      </x:c>
      <x:c r="E544" s="24" t="str">
        <x:v>03_Assets_Internos</x:v>
      </x:c>
      <x:c r="F544" s="24" t="str">
        <x:v>INT-0540</x:v>
      </x:c>
      <x:c r="G544" s="24" t="str">
        <x:v>VRM Games / Blas Luis Rocha González</x:v>
      </x:c>
      <x:c r="H544" s="24" t="str">
        <x:v>Internal project IP / authorship claim</x:v>
      </x:c>
      <x:c r="I544" s="24" t="str">
        <x:v>Source package + repository path + hash</x:v>
      </x:c>
      <x:c r="J544" s="24" t="str">
        <x:v>3be406e6210fe2cd316c030001cd5b14bb54cd6be8f80c3e32fb3dc59de3128f</x:v>
      </x:c>
      <x:c r="K544" s="24" t="str">
        <x:v>Assets/_Project/Scripts/Infrastructure/VerticalSlicePhase1/Phase1MaterialPaletteAsset.cs</x:v>
      </x:c>
      <x:c r="L544" s="24" t="str">
        <x:v>CR-003</x:v>
      </x:c>
      <x:c r="M544" s="24" t="str"/>
      <x:c r="N544" s="24" t="str">
        <x:v>RES-001;RES-014</x:v>
      </x:c>
      <x:c r="O544" s="24" t="str">
        <x:v>Internal development; public candidate requires gate</x:v>
      </x:c>
      <x:c r="P544" s="24" t="str">
        <x:v>CONDITIONALLY APPROVED</x:v>
      </x:c>
      <x:c r="Q544" s="24" t="str">
        <x:v>Low</x:v>
      </x:c>
      <x:c r="R544" s="24" t="str"/>
      <x:c r="S544" s="24" t="str">
        <x:v>Sí</x:v>
      </x:c>
      <x:c r="T544" s="24" t="str">
        <x:f>"T"&amp;IF(AND(H544&lt;&gt;"",I544&lt;&gt;"",J544&lt;&gt;"",L544&lt;&gt;"",N544&lt;&gt;"",O544&lt;&gt;"",P544="APPROVED PUBLIC",S544="Sí"),6,IF(AND(H544&lt;&gt;"",I544&lt;&gt;"",J544&lt;&gt;"",L544&lt;&gt;"",N544&lt;&gt;"",O544&lt;&gt;"",P544&lt;&gt;"",S544="Sí"),5,IF(AND(H544&lt;&gt;"",I544&lt;&gt;"",P544&lt;&gt;"",S544&lt;&gt;"No"),4,IF(AND(H544&lt;&gt;"",I544&lt;&gt;""),3,IF(F544&lt;&gt;"",2,1)))))</x:f>
        <x:v>T5</x:v>
      </x:c>
      <x:c r="U544" s="24" t="str">
        <x:v>VRM Games</x:v>
      </x:c>
      <x:c r="V544" s="24" t="str">
        <x:v>No se detectó proveedor externo en la ruta; confirmar autoría por lote antes de release público.</x:v>
      </x:c>
    </x:row>
    <x:row r="545" ht="34" customHeight="1">
      <x:c r="A545" s="24" t="str">
        <x:v>TRC-00541</x:v>
      </x:c>
      <x:c r="B545" s="24" t="str">
        <x:v>e0f76f57c5061258cef4c71ce792aed1</x:v>
      </x:c>
      <x:c r="C545" s="24" t="str">
        <x:v>Phase1OccludableWall.cs</x:v>
      </x:c>
      <x:c r="D545" s="24" t="str">
        <x:v>Code</x:v>
      </x:c>
      <x:c r="E545" s="24" t="str">
        <x:v>03_Assets_Internos</x:v>
      </x:c>
      <x:c r="F545" s="24" t="str">
        <x:v>INT-0541</x:v>
      </x:c>
      <x:c r="G545" s="24" t="str">
        <x:v>VRM Games / Blas Luis Rocha González</x:v>
      </x:c>
      <x:c r="H545" s="24" t="str">
        <x:v>Internal project IP / authorship claim</x:v>
      </x:c>
      <x:c r="I545" s="24" t="str">
        <x:v>Source package + repository path + hash</x:v>
      </x:c>
      <x:c r="J545" s="24" t="str">
        <x:v>31a9fd0e320dbab0981845c642e0f409a018d8cd55a1a1727fdf81be61bbab24</x:v>
      </x:c>
      <x:c r="K545" s="24" t="str">
        <x:v>Assets/_Project/Scripts/Infrastructure/VerticalSlicePhase1/Phase1OccludableWall.cs</x:v>
      </x:c>
      <x:c r="L545" s="24" t="str">
        <x:v>CR-003</x:v>
      </x:c>
      <x:c r="M545" s="24" t="str"/>
      <x:c r="N545" s="24" t="str">
        <x:v>RES-001;RES-014</x:v>
      </x:c>
      <x:c r="O545" s="24" t="str">
        <x:v>Internal development; public candidate requires gate</x:v>
      </x:c>
      <x:c r="P545" s="24" t="str">
        <x:v>CONDITIONALLY APPROVED</x:v>
      </x:c>
      <x:c r="Q545" s="24" t="str">
        <x:v>Low</x:v>
      </x:c>
      <x:c r="R545" s="24" t="str"/>
      <x:c r="S545" s="24" t="str">
        <x:v>Sí</x:v>
      </x:c>
      <x:c r="T545" s="24" t="str">
        <x:f>"T"&amp;IF(AND(H545&lt;&gt;"",I545&lt;&gt;"",J545&lt;&gt;"",L545&lt;&gt;"",N545&lt;&gt;"",O545&lt;&gt;"",P545="APPROVED PUBLIC",S545="Sí"),6,IF(AND(H545&lt;&gt;"",I545&lt;&gt;"",J545&lt;&gt;"",L545&lt;&gt;"",N545&lt;&gt;"",O545&lt;&gt;"",P545&lt;&gt;"",S545="Sí"),5,IF(AND(H545&lt;&gt;"",I545&lt;&gt;"",P545&lt;&gt;"",S545&lt;&gt;"No"),4,IF(AND(H545&lt;&gt;"",I545&lt;&gt;""),3,IF(F545&lt;&gt;"",2,1)))))</x:f>
        <x:v>T5</x:v>
      </x:c>
      <x:c r="U545" s="24" t="str">
        <x:v>VRM Games</x:v>
      </x:c>
      <x:c r="V545" s="24" t="str">
        <x:v>No se detectó proveedor externo en la ruta; confirmar autoría por lote antes de release público.</x:v>
      </x:c>
    </x:row>
    <x:row r="546" ht="34" customHeight="1">
      <x:c r="A546" s="24" t="str">
        <x:v>TRC-00542</x:v>
      </x:c>
      <x:c r="B546" s="24" t="str">
        <x:v>896512b05cc00e3d31899a4fce25d37e</x:v>
      </x:c>
      <x:c r="C546" s="24" t="str">
        <x:v>Phase1PresentationCatalogAsset.cs</x:v>
      </x:c>
      <x:c r="D546" s="24" t="str">
        <x:v>Code</x:v>
      </x:c>
      <x:c r="E546" s="24" t="str">
        <x:v>03_Assets_Internos</x:v>
      </x:c>
      <x:c r="F546" s="24" t="str">
        <x:v>INT-0542</x:v>
      </x:c>
      <x:c r="G546" s="24" t="str">
        <x:v>VRM Games / Blas Luis Rocha González</x:v>
      </x:c>
      <x:c r="H546" s="24" t="str">
        <x:v>Internal project IP / authorship claim</x:v>
      </x:c>
      <x:c r="I546" s="24" t="str">
        <x:v>Source package + repository path + hash</x:v>
      </x:c>
      <x:c r="J546" s="24" t="str">
        <x:v>2b0485cdfc33ea3f2bed5cf7117fc345c0020de28cc0fe6afdd8e1f1a1169ac7</x:v>
      </x:c>
      <x:c r="K546" s="24" t="str">
        <x:v>Assets/_Project/Scripts/Infrastructure/VerticalSlicePhase1/Phase1PresentationCatalogAsset.cs</x:v>
      </x:c>
      <x:c r="L546" s="24" t="str">
        <x:v>CR-003</x:v>
      </x:c>
      <x:c r="M546" s="24" t="str"/>
      <x:c r="N546" s="24" t="str">
        <x:v>RES-001;RES-014</x:v>
      </x:c>
      <x:c r="O546" s="24" t="str">
        <x:v>Internal development; public candidate requires gate</x:v>
      </x:c>
      <x:c r="P546" s="24" t="str">
        <x:v>CONDITIONALLY APPROVED</x:v>
      </x:c>
      <x:c r="Q546" s="24" t="str">
        <x:v>Low</x:v>
      </x:c>
      <x:c r="R546" s="24" t="str"/>
      <x:c r="S546" s="24" t="str">
        <x:v>Sí</x:v>
      </x:c>
      <x:c r="T546" s="24" t="str">
        <x:f>"T"&amp;IF(AND(H546&lt;&gt;"",I546&lt;&gt;"",J546&lt;&gt;"",L546&lt;&gt;"",N546&lt;&gt;"",O546&lt;&gt;"",P546="APPROVED PUBLIC",S546="Sí"),6,IF(AND(H546&lt;&gt;"",I546&lt;&gt;"",J546&lt;&gt;"",L546&lt;&gt;"",N546&lt;&gt;"",O546&lt;&gt;"",P546&lt;&gt;"",S546="Sí"),5,IF(AND(H546&lt;&gt;"",I546&lt;&gt;"",P546&lt;&gt;"",S546&lt;&gt;"No"),4,IF(AND(H546&lt;&gt;"",I546&lt;&gt;""),3,IF(F546&lt;&gt;"",2,1)))))</x:f>
        <x:v>T5</x:v>
      </x:c>
      <x:c r="U546" s="24" t="str">
        <x:v>VRM Games</x:v>
      </x:c>
      <x:c r="V546" s="24" t="str">
        <x:v>No se detectó proveedor externo en la ruta; confirmar autoría por lote antes de release público.</x:v>
      </x:c>
    </x:row>
    <x:row r="547" ht="34" customHeight="1">
      <x:c r="A547" s="24" t="str">
        <x:v>TRC-00543</x:v>
      </x:c>
      <x:c r="B547" s="24" t="str">
        <x:v>c2e99925c75b1c82d09342c159b5ab76</x:v>
      </x:c>
      <x:c r="C547" s="24" t="str">
        <x:v>Phase1ProductPrefabAuthoring.cs</x:v>
      </x:c>
      <x:c r="D547" s="24" t="str">
        <x:v>Code</x:v>
      </x:c>
      <x:c r="E547" s="24" t="str">
        <x:v>03_Assets_Internos</x:v>
      </x:c>
      <x:c r="F547" s="24" t="str">
        <x:v>INT-0543</x:v>
      </x:c>
      <x:c r="G547" s="24" t="str">
        <x:v>VRM Games / Blas Luis Rocha González</x:v>
      </x:c>
      <x:c r="H547" s="24" t="str">
        <x:v>Internal project IP / authorship claim</x:v>
      </x:c>
      <x:c r="I547" s="24" t="str">
        <x:v>Source package + repository path + hash</x:v>
      </x:c>
      <x:c r="J547" s="24" t="str">
        <x:v>7b6ca2c498140b29a51364b55447372533208c9dd8696678faf5ace6a5c3bed5</x:v>
      </x:c>
      <x:c r="K547" s="24" t="str">
        <x:v>Assets/_Project/Scripts/Infrastructure/VerticalSlicePhase1/Phase1ProductPrefabAuthoring.cs</x:v>
      </x:c>
      <x:c r="L547" s="24" t="str">
        <x:v>CR-003</x:v>
      </x:c>
      <x:c r="M547" s="24" t="str"/>
      <x:c r="N547" s="24" t="str">
        <x:v>RES-001;RES-014</x:v>
      </x:c>
      <x:c r="O547" s="24" t="str">
        <x:v>Internal development; public candidate requires gate</x:v>
      </x:c>
      <x:c r="P547" s="24" t="str">
        <x:v>CONDITIONALLY APPROVED</x:v>
      </x:c>
      <x:c r="Q547" s="24" t="str">
        <x:v>Low</x:v>
      </x:c>
      <x:c r="R547" s="24" t="str"/>
      <x:c r="S547" s="24" t="str">
        <x:v>Sí</x:v>
      </x:c>
      <x:c r="T547" s="24" t="str">
        <x:f>"T"&amp;IF(AND(H547&lt;&gt;"",I547&lt;&gt;"",J547&lt;&gt;"",L547&lt;&gt;"",N547&lt;&gt;"",O547&lt;&gt;"",P547="APPROVED PUBLIC",S547="Sí"),6,IF(AND(H547&lt;&gt;"",I547&lt;&gt;"",J547&lt;&gt;"",L547&lt;&gt;"",N547&lt;&gt;"",O547&lt;&gt;"",P547&lt;&gt;"",S547="Sí"),5,IF(AND(H547&lt;&gt;"",I547&lt;&gt;"",P547&lt;&gt;"",S547&lt;&gt;"No"),4,IF(AND(H547&lt;&gt;"",I547&lt;&gt;""),3,IF(F547&lt;&gt;"",2,1)))))</x:f>
        <x:v>T5</x:v>
      </x:c>
      <x:c r="U547" s="24" t="str">
        <x:v>VRM Games</x:v>
      </x:c>
      <x:c r="V547" s="24" t="str">
        <x:v>No se detectó proveedor externo en la ruta; confirmar autoría por lote antes de release público.</x:v>
      </x:c>
    </x:row>
    <x:row r="548" ht="34" customHeight="1">
      <x:c r="A548" s="24" t="str">
        <x:v>TRC-00544</x:v>
      </x:c>
      <x:c r="B548" s="24" t="str">
        <x:v>37d12b45b4d8eb05d3c80927a3e30d3f</x:v>
      </x:c>
      <x:c r="C548" s="24" t="str">
        <x:v>Phase1ProductVisualMarker.cs</x:v>
      </x:c>
      <x:c r="D548" s="24" t="str">
        <x:v>Code</x:v>
      </x:c>
      <x:c r="E548" s="24" t="str">
        <x:v>03_Assets_Internos</x:v>
      </x:c>
      <x:c r="F548" s="24" t="str">
        <x:v>INT-0544</x:v>
      </x:c>
      <x:c r="G548" s="24" t="str">
        <x:v>VRM Games / Blas Luis Rocha González</x:v>
      </x:c>
      <x:c r="H548" s="24" t="str">
        <x:v>Internal project IP / authorship claim</x:v>
      </x:c>
      <x:c r="I548" s="24" t="str">
        <x:v>Source package + repository path + hash</x:v>
      </x:c>
      <x:c r="J548" s="24" t="str">
        <x:v>d127ab6875c7a4fc371b3f4135a9c106ebdc93c9e952cee8832d719f8f2ecd7c</x:v>
      </x:c>
      <x:c r="K548" s="24" t="str">
        <x:v>Assets/_Project/Scripts/Infrastructure/VerticalSlicePhase1/Phase1ProductVisualMarker.cs</x:v>
      </x:c>
      <x:c r="L548" s="24" t="str">
        <x:v>CR-003</x:v>
      </x:c>
      <x:c r="M548" s="24" t="str"/>
      <x:c r="N548" s="24" t="str">
        <x:v>RES-001;RES-014</x:v>
      </x:c>
      <x:c r="O548" s="24" t="str">
        <x:v>Internal development; public candidate requires gate</x:v>
      </x:c>
      <x:c r="P548" s="24" t="str">
        <x:v>CONDITIONALLY APPROVED</x:v>
      </x:c>
      <x:c r="Q548" s="24" t="str">
        <x:v>Low</x:v>
      </x:c>
      <x:c r="R548" s="24" t="str"/>
      <x:c r="S548" s="24" t="str">
        <x:v>Sí</x:v>
      </x:c>
      <x:c r="T548" s="24" t="str">
        <x:f>"T"&amp;IF(AND(H548&lt;&gt;"",I548&lt;&gt;"",J548&lt;&gt;"",L548&lt;&gt;"",N548&lt;&gt;"",O548&lt;&gt;"",P548="APPROVED PUBLIC",S548="Sí"),6,IF(AND(H548&lt;&gt;"",I548&lt;&gt;"",J548&lt;&gt;"",L548&lt;&gt;"",N548&lt;&gt;"",O548&lt;&gt;"",P548&lt;&gt;"",S548="Sí"),5,IF(AND(H548&lt;&gt;"",I548&lt;&gt;"",P548&lt;&gt;"",S548&lt;&gt;"No"),4,IF(AND(H548&lt;&gt;"",I548&lt;&gt;""),3,IF(F548&lt;&gt;"",2,1)))))</x:f>
        <x:v>T5</x:v>
      </x:c>
      <x:c r="U548" s="24" t="str">
        <x:v>VRM Games</x:v>
      </x:c>
      <x:c r="V548" s="24" t="str">
        <x:v>No se detectó proveedor externo en la ruta; confirmar autoría por lote antes de release público.</x:v>
      </x:c>
    </x:row>
    <x:row r="549" ht="34" customHeight="1">
      <x:c r="A549" s="24" t="str">
        <x:v>TRC-00545</x:v>
      </x:c>
      <x:c r="B549" s="24" t="str">
        <x:v>4a36de1a0f87295498da26e2608b2f2e</x:v>
      </x:c>
      <x:c r="C549" s="24" t="str">
        <x:v>Phase1RuntimeAssetRegistryAsset.cs</x:v>
      </x:c>
      <x:c r="D549" s="24" t="str">
        <x:v>Code</x:v>
      </x:c>
      <x:c r="E549" s="24" t="str">
        <x:v>03_Assets_Internos</x:v>
      </x:c>
      <x:c r="F549" s="24" t="str">
        <x:v>INT-0545</x:v>
      </x:c>
      <x:c r="G549" s="24" t="str">
        <x:v>VRM Games / Blas Luis Rocha González</x:v>
      </x:c>
      <x:c r="H549" s="24" t="str">
        <x:v>Internal project IP / authorship claim</x:v>
      </x:c>
      <x:c r="I549" s="24" t="str">
        <x:v>Source package + repository path + hash</x:v>
      </x:c>
      <x:c r="J549" s="24" t="str">
        <x:v>d1b8743d8f73d2dba9106627a5913309fc6c8edcfc7881448ba20070177b4d9a</x:v>
      </x:c>
      <x:c r="K549" s="24" t="str">
        <x:v>Assets/_Project/Scripts/Infrastructure/VerticalSlicePhase1/Phase1RuntimeAssetRegistryAsset.cs</x:v>
      </x:c>
      <x:c r="L549" s="24" t="str">
        <x:v>CR-003</x:v>
      </x:c>
      <x:c r="M549" s="24" t="str"/>
      <x:c r="N549" s="24" t="str">
        <x:v>RES-001;RES-014</x:v>
      </x:c>
      <x:c r="O549" s="24" t="str">
        <x:v>Internal development; public candidate requires gate</x:v>
      </x:c>
      <x:c r="P549" s="24" t="str">
        <x:v>CONDITIONALLY APPROVED</x:v>
      </x:c>
      <x:c r="Q549" s="24" t="str">
        <x:v>Low</x:v>
      </x:c>
      <x:c r="R549" s="24" t="str"/>
      <x:c r="S549" s="24" t="str">
        <x:v>Sí</x:v>
      </x:c>
      <x:c r="T549" s="24" t="str">
        <x:f>"T"&amp;IF(AND(H549&lt;&gt;"",I549&lt;&gt;"",J549&lt;&gt;"",L549&lt;&gt;"",N549&lt;&gt;"",O549&lt;&gt;"",P549="APPROVED PUBLIC",S549="Sí"),6,IF(AND(H549&lt;&gt;"",I549&lt;&gt;"",J549&lt;&gt;"",L549&lt;&gt;"",N549&lt;&gt;"",O549&lt;&gt;"",P549&lt;&gt;"",S549="Sí"),5,IF(AND(H549&lt;&gt;"",I549&lt;&gt;"",P549&lt;&gt;"",S549&lt;&gt;"No"),4,IF(AND(H549&lt;&gt;"",I549&lt;&gt;""),3,IF(F549&lt;&gt;"",2,1)))))</x:f>
        <x:v>T5</x:v>
      </x:c>
      <x:c r="U549" s="24" t="str">
        <x:v>VRM Games</x:v>
      </x:c>
      <x:c r="V549" s="24" t="str">
        <x:v>No se detectó proveedor externo en la ruta; confirmar autoría por lote antes de release público.</x:v>
      </x:c>
    </x:row>
    <x:row r="550" ht="34" customHeight="1">
      <x:c r="A550" s="24" t="str">
        <x:v>TRC-00546</x:v>
      </x:c>
      <x:c r="B550" s="24" t="str">
        <x:v>b80baaefcace8df4e600c83b4bff7e2d</x:v>
      </x:c>
      <x:c r="C550" s="24" t="str">
        <x:v>Phase1SettingsAsset.cs</x:v>
      </x:c>
      <x:c r="D550" s="24" t="str">
        <x:v>Code</x:v>
      </x:c>
      <x:c r="E550" s="24" t="str">
        <x:v>03_Assets_Internos</x:v>
      </x:c>
      <x:c r="F550" s="24" t="str">
        <x:v>INT-0546</x:v>
      </x:c>
      <x:c r="G550" s="24" t="str">
        <x:v>VRM Games / Blas Luis Rocha González</x:v>
      </x:c>
      <x:c r="H550" s="24" t="str">
        <x:v>Internal project IP / authorship claim</x:v>
      </x:c>
      <x:c r="I550" s="24" t="str">
        <x:v>Source package + repository path + hash</x:v>
      </x:c>
      <x:c r="J550" s="24" t="str">
        <x:v>edee17e837c05e6db59984fde2a9e91268b9fafeaa1d8a3a8b7b86919ba91396</x:v>
      </x:c>
      <x:c r="K550" s="24" t="str">
        <x:v>Assets/_Project/Scripts/Infrastructure/VerticalSlicePhase1/Phase1SettingsAsset.cs</x:v>
      </x:c>
      <x:c r="L550" s="24" t="str">
        <x:v>CR-003</x:v>
      </x:c>
      <x:c r="M550" s="24" t="str"/>
      <x:c r="N550" s="24" t="str">
        <x:v>RES-001;RES-014</x:v>
      </x:c>
      <x:c r="O550" s="24" t="str">
        <x:v>Internal development; public candidate requires gate</x:v>
      </x:c>
      <x:c r="P550" s="24" t="str">
        <x:v>CONDITIONALLY APPROVED</x:v>
      </x:c>
      <x:c r="Q550" s="24" t="str">
        <x:v>Low</x:v>
      </x:c>
      <x:c r="R550" s="24" t="str"/>
      <x:c r="S550" s="24" t="str">
        <x:v>Sí</x:v>
      </x:c>
      <x:c r="T550" s="24" t="str">
        <x:f>"T"&amp;IF(AND(H550&lt;&gt;"",I550&lt;&gt;"",J550&lt;&gt;"",L550&lt;&gt;"",N550&lt;&gt;"",O550&lt;&gt;"",P550="APPROVED PUBLIC",S550="Sí"),6,IF(AND(H550&lt;&gt;"",I550&lt;&gt;"",J550&lt;&gt;"",L550&lt;&gt;"",N550&lt;&gt;"",O550&lt;&gt;"",P550&lt;&gt;"",S550="Sí"),5,IF(AND(H550&lt;&gt;"",I550&lt;&gt;"",P550&lt;&gt;"",S550&lt;&gt;"No"),4,IF(AND(H550&lt;&gt;"",I550&lt;&gt;""),3,IF(F550&lt;&gt;"",2,1)))))</x:f>
        <x:v>T5</x:v>
      </x:c>
      <x:c r="U550" s="24" t="str">
        <x:v>VRM Games</x:v>
      </x:c>
      <x:c r="V550" s="24" t="str">
        <x:v>No se detectó proveedor externo en la ruta; confirmar autoría por lote antes de release público.</x:v>
      </x:c>
    </x:row>
    <x:row r="551" ht="34" customHeight="1">
      <x:c r="A551" s="24" t="str">
        <x:v>TRC-00547</x:v>
      </x:c>
      <x:c r="B551" s="24" t="str">
        <x:v>905a7ff5b3557b4933733f8189e078ae</x:v>
      </x:c>
      <x:c r="C551" s="24" t="str">
        <x:v>Phase1StoreShellAsset.cs</x:v>
      </x:c>
      <x:c r="D551" s="24" t="str">
        <x:v>Code</x:v>
      </x:c>
      <x:c r="E551" s="24" t="str">
        <x:v>03_Assets_Internos</x:v>
      </x:c>
      <x:c r="F551" s="24" t="str">
        <x:v>INT-0547</x:v>
      </x:c>
      <x:c r="G551" s="24" t="str">
        <x:v>VRM Games / Blas Luis Rocha González</x:v>
      </x:c>
      <x:c r="H551" s="24" t="str">
        <x:v>Internal project IP / authorship claim</x:v>
      </x:c>
      <x:c r="I551" s="24" t="str">
        <x:v>Source package + repository path + hash</x:v>
      </x:c>
      <x:c r="J551" s="24" t="str">
        <x:v>755bfcf93d47badd9626699d379899c3d1d8d39d6ade2338bf793890ff8cc542</x:v>
      </x:c>
      <x:c r="K551" s="24" t="str">
        <x:v>Assets/_Project/Scripts/Infrastructure/VerticalSlicePhase1/Phase1StoreShellAsset.cs</x:v>
      </x:c>
      <x:c r="L551" s="24" t="str">
        <x:v>CR-003</x:v>
      </x:c>
      <x:c r="M551" s="24" t="str"/>
      <x:c r="N551" s="24" t="str">
        <x:v>RES-001;RES-014</x:v>
      </x:c>
      <x:c r="O551" s="24" t="str">
        <x:v>Internal development; public candidate requires gate</x:v>
      </x:c>
      <x:c r="P551" s="24" t="str">
        <x:v>CONDITIONALLY APPROVED</x:v>
      </x:c>
      <x:c r="Q551" s="24" t="str">
        <x:v>Low</x:v>
      </x:c>
      <x:c r="R551" s="24" t="str"/>
      <x:c r="S551" s="24" t="str">
        <x:v>Sí</x:v>
      </x:c>
      <x:c r="T551" s="24" t="str">
        <x:f>"T"&amp;IF(AND(H551&lt;&gt;"",I551&lt;&gt;"",J551&lt;&gt;"",L551&lt;&gt;"",N551&lt;&gt;"",O551&lt;&gt;"",P551="APPROVED PUBLIC",S551="Sí"),6,IF(AND(H551&lt;&gt;"",I551&lt;&gt;"",J551&lt;&gt;"",L551&lt;&gt;"",N551&lt;&gt;"",O551&lt;&gt;"",P551&lt;&gt;"",S551="Sí"),5,IF(AND(H551&lt;&gt;"",I551&lt;&gt;"",P551&lt;&gt;"",S551&lt;&gt;"No"),4,IF(AND(H551&lt;&gt;"",I551&lt;&gt;""),3,IF(F551&lt;&gt;"",2,1)))))</x:f>
        <x:v>T5</x:v>
      </x:c>
      <x:c r="U551" s="24" t="str">
        <x:v>VRM Games</x:v>
      </x:c>
      <x:c r="V551" s="24" t="str">
        <x:v>No se detectó proveedor externo en la ruta; confirmar autoría por lote antes de release público.</x:v>
      </x:c>
    </x:row>
    <x:row r="552" ht="34" customHeight="1">
      <x:c r="A552" s="24" t="str">
        <x:v>TRC-00548</x:v>
      </x:c>
      <x:c r="B552" s="24" t="str">
        <x:v>8e9944107ccec9b4f56d0fc6b5032203</x:v>
      </x:c>
      <x:c r="C552" s="24" t="str">
        <x:v>Phase1WallOcclusionController.cs</x:v>
      </x:c>
      <x:c r="D552" s="24" t="str">
        <x:v>Code</x:v>
      </x:c>
      <x:c r="E552" s="24" t="str">
        <x:v>03_Assets_Internos</x:v>
      </x:c>
      <x:c r="F552" s="24" t="str">
        <x:v>INT-0548</x:v>
      </x:c>
      <x:c r="G552" s="24" t="str">
        <x:v>VRM Games / Blas Luis Rocha González</x:v>
      </x:c>
      <x:c r="H552" s="24" t="str">
        <x:v>Internal project IP / authorship claim</x:v>
      </x:c>
      <x:c r="I552" s="24" t="str">
        <x:v>Source package + repository path + hash</x:v>
      </x:c>
      <x:c r="J552" s="24" t="str">
        <x:v>a5dcbd4ed2f3d782e8817b21537d06096d9c62bd71a9ffe4947d6343cad1a784</x:v>
      </x:c>
      <x:c r="K552" s="24" t="str">
        <x:v>Assets/_Project/Scripts/Infrastructure/VerticalSlicePhase1/Phase1WallOcclusionController.cs</x:v>
      </x:c>
      <x:c r="L552" s="24" t="str">
        <x:v>CR-003</x:v>
      </x:c>
      <x:c r="M552" s="24" t="str"/>
      <x:c r="N552" s="24" t="str">
        <x:v>RES-001;RES-014</x:v>
      </x:c>
      <x:c r="O552" s="24" t="str">
        <x:v>Internal development; public candidate requires gate</x:v>
      </x:c>
      <x:c r="P552" s="24" t="str">
        <x:v>CONDITIONALLY APPROVED</x:v>
      </x:c>
      <x:c r="Q552" s="24" t="str">
        <x:v>Low</x:v>
      </x:c>
      <x:c r="R552" s="24" t="str"/>
      <x:c r="S552" s="24" t="str">
        <x:v>Sí</x:v>
      </x:c>
      <x:c r="T552" s="24" t="str">
        <x:f>"T"&amp;IF(AND(H552&lt;&gt;"",I552&lt;&gt;"",J552&lt;&gt;"",L552&lt;&gt;"",N552&lt;&gt;"",O552&lt;&gt;"",P552="APPROVED PUBLIC",S552="Sí"),6,IF(AND(H552&lt;&gt;"",I552&lt;&gt;"",J552&lt;&gt;"",L552&lt;&gt;"",N552&lt;&gt;"",O552&lt;&gt;"",P552&lt;&gt;"",S552="Sí"),5,IF(AND(H552&lt;&gt;"",I552&lt;&gt;"",P552&lt;&gt;"",S552&lt;&gt;"No"),4,IF(AND(H552&lt;&gt;"",I552&lt;&gt;""),3,IF(F552&lt;&gt;"",2,1)))))</x:f>
        <x:v>T5</x:v>
      </x:c>
      <x:c r="U552" s="24" t="str">
        <x:v>VRM Games</x:v>
      </x:c>
      <x:c r="V552" s="24" t="str">
        <x:v>No se detectó proveedor externo en la ruta; confirmar autoría por lote antes de release público.</x:v>
      </x:c>
    </x:row>
    <x:row r="553" ht="34" customHeight="1">
      <x:c r="A553" s="24" t="str">
        <x:v>TRC-00549</x:v>
      </x:c>
      <x:c r="B553" s="24" t="str">
        <x:v>9acbce13b2b17fd4ba59b14aefbf2354</x:v>
      </x:c>
      <x:c r="C553" s="24" t="str">
        <x:v>RepresentativeAutomaticDoorParts.cs</x:v>
      </x:c>
      <x:c r="D553" s="24" t="str">
        <x:v>Code</x:v>
      </x:c>
      <x:c r="E553" s="24" t="str">
        <x:v>03_Assets_Internos</x:v>
      </x:c>
      <x:c r="F553" s="24" t="str">
        <x:v>INT-0549</x:v>
      </x:c>
      <x:c r="G553" s="24" t="str">
        <x:v>VRM Games / Blas Luis Rocha González</x:v>
      </x:c>
      <x:c r="H553" s="24" t="str">
        <x:v>Internal project IP / authorship claim</x:v>
      </x:c>
      <x:c r="I553" s="24" t="str">
        <x:v>Source package + repository path + hash</x:v>
      </x:c>
      <x:c r="J553" s="24" t="str">
        <x:v>5633c76fb925aea1dba71e20a037414eef985399e745add826d0715cbea6a0c3</x:v>
      </x:c>
      <x:c r="K553" s="24" t="str">
        <x:v>Assets/_Project/Scripts/Infrastructure/VerticalSlicePhase1/RepresentativeAutomaticDoorParts.cs</x:v>
      </x:c>
      <x:c r="L553" s="24" t="str">
        <x:v>CR-003</x:v>
      </x:c>
      <x:c r="M553" s="24" t="str"/>
      <x:c r="N553" s="24" t="str">
        <x:v>RES-001;RES-014</x:v>
      </x:c>
      <x:c r="O553" s="24" t="str">
        <x:v>Internal development; public candidate requires gate</x:v>
      </x:c>
      <x:c r="P553" s="24" t="str">
        <x:v>CONDITIONALLY APPROVED</x:v>
      </x:c>
      <x:c r="Q553" s="24" t="str">
        <x:v>Low</x:v>
      </x:c>
      <x:c r="R553" s="24" t="str"/>
      <x:c r="S553" s="24" t="str">
        <x:v>Sí</x:v>
      </x:c>
      <x:c r="T553" s="24" t="str">
        <x:f>"T"&amp;IF(AND(H553&lt;&gt;"",I553&lt;&gt;"",J553&lt;&gt;"",L553&lt;&gt;"",N553&lt;&gt;"",O553&lt;&gt;"",P553="APPROVED PUBLIC",S553="Sí"),6,IF(AND(H553&lt;&gt;"",I553&lt;&gt;"",J553&lt;&gt;"",L553&lt;&gt;"",N553&lt;&gt;"",O553&lt;&gt;"",P553&lt;&gt;"",S553="Sí"),5,IF(AND(H553&lt;&gt;"",I553&lt;&gt;"",P553&lt;&gt;"",S553&lt;&gt;"No"),4,IF(AND(H553&lt;&gt;"",I553&lt;&gt;""),3,IF(F553&lt;&gt;"",2,1)))))</x:f>
        <x:v>T5</x:v>
      </x:c>
      <x:c r="U553" s="24" t="str">
        <x:v>VRM Games</x:v>
      </x:c>
      <x:c r="V553" s="24" t="str">
        <x:v>No se detectó proveedor externo en la ruta; confirmar autoría por lote antes de release público.</x:v>
      </x:c>
    </x:row>
    <x:row r="554" ht="34" customHeight="1">
      <x:c r="A554" s="24" t="str">
        <x:v>TRC-00550</x:v>
      </x:c>
      <x:c r="B554" s="24" t="str">
        <x:v>b8b6d883222c3cc498d8b9f523807dbd</x:v>
      </x:c>
      <x:c r="C554" s="24" t="str">
        <x:v>RepresentativePrefabCatalogAsset.cs</x:v>
      </x:c>
      <x:c r="D554" s="24" t="str">
        <x:v>Code</x:v>
      </x:c>
      <x:c r="E554" s="24" t="str">
        <x:v>03_Assets_Internos</x:v>
      </x:c>
      <x:c r="F554" s="24" t="str">
        <x:v>INT-0550</x:v>
      </x:c>
      <x:c r="G554" s="24" t="str">
        <x:v>VRM Games / Blas Luis Rocha González</x:v>
      </x:c>
      <x:c r="H554" s="24" t="str">
        <x:v>Internal project IP / authorship claim</x:v>
      </x:c>
      <x:c r="I554" s="24" t="str">
        <x:v>Source package + repository path + hash</x:v>
      </x:c>
      <x:c r="J554" s="24" t="str">
        <x:v>a9578974a1376ef24fc4fd65896acf6599520afad73e0afe1222f82352bab038</x:v>
      </x:c>
      <x:c r="K554" s="24" t="str">
        <x:v>Assets/_Project/Scripts/Infrastructure/VerticalSlicePhase1/RepresentativePrefabCatalogAsset.cs</x:v>
      </x:c>
      <x:c r="L554" s="24" t="str">
        <x:v>CR-003</x:v>
      </x:c>
      <x:c r="M554" s="24" t="str"/>
      <x:c r="N554" s="24" t="str">
        <x:v>RES-001;RES-014</x:v>
      </x:c>
      <x:c r="O554" s="24" t="str">
        <x:v>Internal development; public candidate requires gate</x:v>
      </x:c>
      <x:c r="P554" s="24" t="str">
        <x:v>CONDITIONALLY APPROVED</x:v>
      </x:c>
      <x:c r="Q554" s="24" t="str">
        <x:v>Low</x:v>
      </x:c>
      <x:c r="R554" s="24" t="str"/>
      <x:c r="S554" s="24" t="str">
        <x:v>Sí</x:v>
      </x:c>
      <x:c r="T554" s="24" t="str">
        <x:f>"T"&amp;IF(AND(H554&lt;&gt;"",I554&lt;&gt;"",J554&lt;&gt;"",L554&lt;&gt;"",N554&lt;&gt;"",O554&lt;&gt;"",P554="APPROVED PUBLIC",S554="Sí"),6,IF(AND(H554&lt;&gt;"",I554&lt;&gt;"",J554&lt;&gt;"",L554&lt;&gt;"",N554&lt;&gt;"",O554&lt;&gt;"",P554&lt;&gt;"",S554="Sí"),5,IF(AND(H554&lt;&gt;"",I554&lt;&gt;"",P554&lt;&gt;"",S554&lt;&gt;"No"),4,IF(AND(H554&lt;&gt;"",I554&lt;&gt;""),3,IF(F554&lt;&gt;"",2,1)))))</x:f>
        <x:v>T5</x:v>
      </x:c>
      <x:c r="U554" s="24" t="str">
        <x:v>VRM Games</x:v>
      </x:c>
      <x:c r="V554" s="24" t="str">
        <x:v>No se detectó proveedor externo en la ruta; confirmar autoría por lote antes de release público.</x:v>
      </x:c>
    </x:row>
    <x:row r="555" ht="34" customHeight="1">
      <x:c r="A555" s="24" t="str">
        <x:v>TRC-00551</x:v>
      </x:c>
      <x:c r="B555" s="24" t="str">
        <x:v>a2fa3d300bcbf0a4b8c3a2143c9d4811</x:v>
      </x:c>
      <x:c r="C555" s="24" t="str">
        <x:v>RepresentativePrefabFactory.cs</x:v>
      </x:c>
      <x:c r="D555" s="24" t="str">
        <x:v>Code</x:v>
      </x:c>
      <x:c r="E555" s="24" t="str">
        <x:v>03_Assets_Internos</x:v>
      </x:c>
      <x:c r="F555" s="24" t="str">
        <x:v>INT-0551</x:v>
      </x:c>
      <x:c r="G555" s="24" t="str">
        <x:v>VRM Games / Blas Luis Rocha González</x:v>
      </x:c>
      <x:c r="H555" s="24" t="str">
        <x:v>Internal project IP / authorship claim</x:v>
      </x:c>
      <x:c r="I555" s="24" t="str">
        <x:v>Source package + repository path + hash</x:v>
      </x:c>
      <x:c r="J555" s="24" t="str">
        <x:v>c1bf0f18f99c384fc5e7c1e5d4a907a4e0fbeb2ca7c35f4131a43781e2112eb3</x:v>
      </x:c>
      <x:c r="K555" s="24" t="str">
        <x:v>Assets/_Project/Scripts/Infrastructure/VerticalSlicePhase1/RepresentativePrefabFactory.cs</x:v>
      </x:c>
      <x:c r="L555" s="24" t="str">
        <x:v>CR-003</x:v>
      </x:c>
      <x:c r="M555" s="24" t="str"/>
      <x:c r="N555" s="24" t="str">
        <x:v>RES-001;RES-014</x:v>
      </x:c>
      <x:c r="O555" s="24" t="str">
        <x:v>Internal development; public candidate requires gate</x:v>
      </x:c>
      <x:c r="P555" s="24" t="str">
        <x:v>CONDITIONALLY APPROVED</x:v>
      </x:c>
      <x:c r="Q555" s="24" t="str">
        <x:v>Low</x:v>
      </x:c>
      <x:c r="R555" s="24" t="str"/>
      <x:c r="S555" s="24" t="str">
        <x:v>Sí</x:v>
      </x:c>
      <x:c r="T555" s="24" t="str">
        <x:f>"T"&amp;IF(AND(H555&lt;&gt;"",I555&lt;&gt;"",J555&lt;&gt;"",L555&lt;&gt;"",N555&lt;&gt;"",O555&lt;&gt;"",P555="APPROVED PUBLIC",S555="Sí"),6,IF(AND(H555&lt;&gt;"",I555&lt;&gt;"",J555&lt;&gt;"",L555&lt;&gt;"",N555&lt;&gt;"",O555&lt;&gt;"",P555&lt;&gt;"",S555="Sí"),5,IF(AND(H555&lt;&gt;"",I555&lt;&gt;"",P555&lt;&gt;"",S555&lt;&gt;"No"),4,IF(AND(H555&lt;&gt;"",I555&lt;&gt;""),3,IF(F555&lt;&gt;"",2,1)))))</x:f>
        <x:v>T5</x:v>
      </x:c>
      <x:c r="U555" s="24" t="str">
        <x:v>VRM Games</x:v>
      </x:c>
      <x:c r="V555" s="24" t="str">
        <x:v>No se detectó proveedor externo en la ruta; confirmar autoría por lote antes de release público.</x:v>
      </x:c>
    </x:row>
    <x:row r="556" ht="34" customHeight="1">
      <x:c r="A556" s="24" t="str">
        <x:v>TRC-00552</x:v>
      </x:c>
      <x:c r="B556" s="24" t="str">
        <x:v>79b5fa238462f0849ba223921c764bef</x:v>
      </x:c>
      <x:c r="C556" s="24" t="str">
        <x:v>RepresentativePrefabInstance.cs</x:v>
      </x:c>
      <x:c r="D556" s="24" t="str">
        <x:v>Code</x:v>
      </x:c>
      <x:c r="E556" s="24" t="str">
        <x:v>03_Assets_Internos</x:v>
      </x:c>
      <x:c r="F556" s="24" t="str">
        <x:v>INT-0552</x:v>
      </x:c>
      <x:c r="G556" s="24" t="str">
        <x:v>VRM Games / Blas Luis Rocha González</x:v>
      </x:c>
      <x:c r="H556" s="24" t="str">
        <x:v>Internal project IP / authorship claim</x:v>
      </x:c>
      <x:c r="I556" s="24" t="str">
        <x:v>Source package + repository path + hash</x:v>
      </x:c>
      <x:c r="J556" s="24" t="str">
        <x:v>2f2aff3666e836a9515006a46a59b89a5c71e684970bbaa616c0017c38296e48</x:v>
      </x:c>
      <x:c r="K556" s="24" t="str">
        <x:v>Assets/_Project/Scripts/Infrastructure/VerticalSlicePhase1/RepresentativePrefabInstance.cs</x:v>
      </x:c>
      <x:c r="L556" s="24" t="str">
        <x:v>CR-003</x:v>
      </x:c>
      <x:c r="M556" s="24" t="str"/>
      <x:c r="N556" s="24" t="str">
        <x:v>RES-001;RES-014</x:v>
      </x:c>
      <x:c r="O556" s="24" t="str">
        <x:v>Internal development; public candidate requires gate</x:v>
      </x:c>
      <x:c r="P556" s="24" t="str">
        <x:v>CONDITIONALLY APPROVED</x:v>
      </x:c>
      <x:c r="Q556" s="24" t="str">
        <x:v>Low</x:v>
      </x:c>
      <x:c r="R556" s="24" t="str"/>
      <x:c r="S556" s="24" t="str">
        <x:v>Sí</x:v>
      </x:c>
      <x:c r="T556" s="24" t="str">
        <x:f>"T"&amp;IF(AND(H556&lt;&gt;"",I556&lt;&gt;"",J556&lt;&gt;"",L556&lt;&gt;"",N556&lt;&gt;"",O556&lt;&gt;"",P556="APPROVED PUBLIC",S556="Sí"),6,IF(AND(H556&lt;&gt;"",I556&lt;&gt;"",J556&lt;&gt;"",L556&lt;&gt;"",N556&lt;&gt;"",O556&lt;&gt;"",P556&lt;&gt;"",S556="Sí"),5,IF(AND(H556&lt;&gt;"",I556&lt;&gt;"",P556&lt;&gt;"",S556&lt;&gt;"No"),4,IF(AND(H556&lt;&gt;"",I556&lt;&gt;""),3,IF(F556&lt;&gt;"",2,1)))))</x:f>
        <x:v>T5</x:v>
      </x:c>
      <x:c r="U556" s="24" t="str">
        <x:v>VRM Games</x:v>
      </x:c>
      <x:c r="V556" s="24" t="str">
        <x:v>No se detectó proveedor externo en la ruta; confirmar autoría por lote antes de release público.</x:v>
      </x:c>
    </x:row>
    <x:row r="557" ht="34" customHeight="1">
      <x:c r="A557" s="24" t="str">
        <x:v>TRC-00553</x:v>
      </x:c>
      <x:c r="B557" s="24" t="str">
        <x:v>e1be3977debf11052abee407a2cc3680</x:v>
      </x:c>
      <x:c r="C557" s="24" t="str">
        <x:v>SystemPhase1UtcClock.cs</x:v>
      </x:c>
      <x:c r="D557" s="24" t="str">
        <x:v>Code</x:v>
      </x:c>
      <x:c r="E557" s="24" t="str">
        <x:v>03_Assets_Internos</x:v>
      </x:c>
      <x:c r="F557" s="24" t="str">
        <x:v>INT-0553</x:v>
      </x:c>
      <x:c r="G557" s="24" t="str">
        <x:v>VRM Games / Blas Luis Rocha González</x:v>
      </x:c>
      <x:c r="H557" s="24" t="str">
        <x:v>Internal project IP / authorship claim</x:v>
      </x:c>
      <x:c r="I557" s="24" t="str">
        <x:v>Source package + repository path + hash</x:v>
      </x:c>
      <x:c r="J557" s="24" t="str">
        <x:v>192f324abb4bd5483d56d1eb0967fea90618662a2bb5e7fb75d9c1deb8f7bbf6</x:v>
      </x:c>
      <x:c r="K557" s="24" t="str">
        <x:v>Assets/_Project/Scripts/Infrastructure/VerticalSlicePhase1/SystemPhase1UtcClock.cs</x:v>
      </x:c>
      <x:c r="L557" s="24" t="str">
        <x:v>CR-003</x:v>
      </x:c>
      <x:c r="M557" s="24" t="str"/>
      <x:c r="N557" s="24" t="str">
        <x:v>RES-001;RES-014</x:v>
      </x:c>
      <x:c r="O557" s="24" t="str">
        <x:v>Internal development; public candidate requires gate</x:v>
      </x:c>
      <x:c r="P557" s="24" t="str">
        <x:v>CONDITIONALLY APPROVED</x:v>
      </x:c>
      <x:c r="Q557" s="24" t="str">
        <x:v>Low</x:v>
      </x:c>
      <x:c r="R557" s="24" t="str"/>
      <x:c r="S557" s="24" t="str">
        <x:v>Sí</x:v>
      </x:c>
      <x:c r="T557" s="24" t="str">
        <x:f>"T"&amp;IF(AND(H557&lt;&gt;"",I557&lt;&gt;"",J557&lt;&gt;"",L557&lt;&gt;"",N557&lt;&gt;"",O557&lt;&gt;"",P557="APPROVED PUBLIC",S557="Sí"),6,IF(AND(H557&lt;&gt;"",I557&lt;&gt;"",J557&lt;&gt;"",L557&lt;&gt;"",N557&lt;&gt;"",O557&lt;&gt;"",P557&lt;&gt;"",S557="Sí"),5,IF(AND(H557&lt;&gt;"",I557&lt;&gt;"",P557&lt;&gt;"",S557&lt;&gt;"No"),4,IF(AND(H557&lt;&gt;"",I557&lt;&gt;""),3,IF(F557&lt;&gt;"",2,1)))))</x:f>
        <x:v>T5</x:v>
      </x:c>
      <x:c r="U557" s="24" t="str">
        <x:v>VRM Games</x:v>
      </x:c>
      <x:c r="V557" s="24" t="str">
        <x:v>No se detectó proveedor externo en la ruta; confirmar autoría por lote antes de release público.</x:v>
      </x:c>
    </x:row>
    <x:row r="558" ht="34" customHeight="1">
      <x:c r="A558" s="24" t="str">
        <x:v>TRC-00554</x:v>
      </x:c>
      <x:c r="B558" s="24" t="str">
        <x:v>f6a2381059ea4b9f821395c46a5a7019</x:v>
      </x:c>
      <x:c r="C558" s="24" t="str">
        <x:v>OrbitCameraRig.cs</x:v>
      </x:c>
      <x:c r="D558" s="24" t="str">
        <x:v>Code</x:v>
      </x:c>
      <x:c r="E558" s="24" t="str">
        <x:v>03_Assets_Internos</x:v>
      </x:c>
      <x:c r="F558" s="24" t="str">
        <x:v>INT-0554</x:v>
      </x:c>
      <x:c r="G558" s="24" t="str">
        <x:v>VRM Games / Blas Luis Rocha González</x:v>
      </x:c>
      <x:c r="H558" s="24" t="str">
        <x:v>Internal project IP / authorship claim</x:v>
      </x:c>
      <x:c r="I558" s="24" t="str">
        <x:v>Source package + repository path + hash</x:v>
      </x:c>
      <x:c r="J558" s="24" t="str">
        <x:v>96a48867dca32d772182d93e90b97a45c1df1d569ca6f009fc25d560f02f2296</x:v>
      </x:c>
      <x:c r="K558" s="24" t="str">
        <x:v>Assets/_Project/Scripts/Presentation/Camera/OrbitCameraRig.cs</x:v>
      </x:c>
      <x:c r="L558" s="24" t="str">
        <x:v>CR-003</x:v>
      </x:c>
      <x:c r="M558" s="24" t="str"/>
      <x:c r="N558" s="24" t="str">
        <x:v>RES-001;RES-014</x:v>
      </x:c>
      <x:c r="O558" s="24" t="str">
        <x:v>Internal development; public candidate requires gate</x:v>
      </x:c>
      <x:c r="P558" s="24" t="str">
        <x:v>CONDITIONALLY APPROVED</x:v>
      </x:c>
      <x:c r="Q558" s="24" t="str">
        <x:v>Low</x:v>
      </x:c>
      <x:c r="R558" s="24" t="str"/>
      <x:c r="S558" s="24" t="str">
        <x:v>Sí</x:v>
      </x:c>
      <x:c r="T558" s="24" t="str">
        <x:f>"T"&amp;IF(AND(H558&lt;&gt;"",I558&lt;&gt;"",J558&lt;&gt;"",L558&lt;&gt;"",N558&lt;&gt;"",O558&lt;&gt;"",P558="APPROVED PUBLIC",S558="Sí"),6,IF(AND(H558&lt;&gt;"",I558&lt;&gt;"",J558&lt;&gt;"",L558&lt;&gt;"",N558&lt;&gt;"",O558&lt;&gt;"",P558&lt;&gt;"",S558="Sí"),5,IF(AND(H558&lt;&gt;"",I558&lt;&gt;"",P558&lt;&gt;"",S558&lt;&gt;"No"),4,IF(AND(H558&lt;&gt;"",I558&lt;&gt;""),3,IF(F558&lt;&gt;"",2,1)))))</x:f>
        <x:v>T5</x:v>
      </x:c>
      <x:c r="U558" s="24" t="str">
        <x:v>VRM Games</x:v>
      </x:c>
      <x:c r="V558" s="24" t="str">
        <x:v>No se detectó proveedor externo en la ruta; confirmar autoría por lote antes de release público.</x:v>
      </x:c>
    </x:row>
    <x:row r="559" ht="34" customHeight="1">
      <x:c r="A559" s="24" t="str">
        <x:v>TRC-00555</x:v>
      </x:c>
      <x:c r="B559" s="24" t="str">
        <x:v>d71fb538caf8409698bd638677e33d68</x:v>
      </x:c>
      <x:c r="C559" s="24" t="str">
        <x:v>PlacedObjectView.cs</x:v>
      </x:c>
      <x:c r="D559" s="24" t="str">
        <x:v>Code</x:v>
      </x:c>
      <x:c r="E559" s="24" t="str">
        <x:v>03_Assets_Internos</x:v>
      </x:c>
      <x:c r="F559" s="24" t="str">
        <x:v>INT-0555</x:v>
      </x:c>
      <x:c r="G559" s="24" t="str">
        <x:v>VRM Games / Blas Luis Rocha González</x:v>
      </x:c>
      <x:c r="H559" s="24" t="str">
        <x:v>Internal project IP / authorship claim</x:v>
      </x:c>
      <x:c r="I559" s="24" t="str">
        <x:v>Source package + repository path + hash</x:v>
      </x:c>
      <x:c r="J559" s="24" t="str">
        <x:v>5b5a6b1210a90bdc5c702ef7fde24ec87ae3cce7dcc90e4057be8cf3fa3ca4c6</x:v>
      </x:c>
      <x:c r="K559" s="24" t="str">
        <x:v>Assets/_Project/Scripts/Presentation/Placement/PlacedObjectView.cs</x:v>
      </x:c>
      <x:c r="L559" s="24" t="str">
        <x:v>CR-003</x:v>
      </x:c>
      <x:c r="M559" s="24" t="str"/>
      <x:c r="N559" s="24" t="str">
        <x:v>RES-001;RES-014</x:v>
      </x:c>
      <x:c r="O559" s="24" t="str">
        <x:v>Internal development; public candidate requires gate</x:v>
      </x:c>
      <x:c r="P559" s="24" t="str">
        <x:v>CONDITIONALLY APPROVED</x:v>
      </x:c>
      <x:c r="Q559" s="24" t="str">
        <x:v>Low</x:v>
      </x:c>
      <x:c r="R559" s="24" t="str"/>
      <x:c r="S559" s="24" t="str">
        <x:v>Sí</x:v>
      </x:c>
      <x:c r="T559" s="24" t="str">
        <x:f>"T"&amp;IF(AND(H559&lt;&gt;"",I559&lt;&gt;"",J559&lt;&gt;"",L559&lt;&gt;"",N559&lt;&gt;"",O559&lt;&gt;"",P559="APPROVED PUBLIC",S559="Sí"),6,IF(AND(H559&lt;&gt;"",I559&lt;&gt;"",J559&lt;&gt;"",L559&lt;&gt;"",N559&lt;&gt;"",O559&lt;&gt;"",P559&lt;&gt;"",S559="Sí"),5,IF(AND(H559&lt;&gt;"",I559&lt;&gt;"",P559&lt;&gt;"",S559&lt;&gt;"No"),4,IF(AND(H559&lt;&gt;"",I559&lt;&gt;""),3,IF(F559&lt;&gt;"",2,1)))))</x:f>
        <x:v>T5</x:v>
      </x:c>
      <x:c r="U559" s="24" t="str">
        <x:v>VRM Games</x:v>
      </x:c>
      <x:c r="V559" s="24" t="str">
        <x:v>No se detectó proveedor externo en la ruta; confirmar autoría por lote antes de release público.</x:v>
      </x:c>
    </x:row>
    <x:row r="560" ht="34" customHeight="1">
      <x:c r="A560" s="24" t="str">
        <x:v>TRC-00556</x:v>
      </x:c>
      <x:c r="B560" s="24" t="str">
        <x:v>ee0dc518e1a043f0872108f0a3407eb3</x:v>
      </x:c>
      <x:c r="C560" s="24" t="str">
        <x:v>PlacementGhostView.cs</x:v>
      </x:c>
      <x:c r="D560" s="24" t="str">
        <x:v>Code</x:v>
      </x:c>
      <x:c r="E560" s="24" t="str">
        <x:v>03_Assets_Internos</x:v>
      </x:c>
      <x:c r="F560" s="24" t="str">
        <x:v>INT-0556</x:v>
      </x:c>
      <x:c r="G560" s="24" t="str">
        <x:v>VRM Games / Blas Luis Rocha González</x:v>
      </x:c>
      <x:c r="H560" s="24" t="str">
        <x:v>Internal project IP / authorship claim</x:v>
      </x:c>
      <x:c r="I560" s="24" t="str">
        <x:v>Source package + repository path + hash</x:v>
      </x:c>
      <x:c r="J560" s="24" t="str">
        <x:v>ac179f846e0c7b31d0d97d7c87edfdd9c79ab258ea3cf59a143bd134c487a88d</x:v>
      </x:c>
      <x:c r="K560" s="24" t="str">
        <x:v>Assets/_Project/Scripts/Presentation/Placement/PlacementGhostView.cs</x:v>
      </x:c>
      <x:c r="L560" s="24" t="str">
        <x:v>CR-003</x:v>
      </x:c>
      <x:c r="M560" s="24" t="str"/>
      <x:c r="N560" s="24" t="str">
        <x:v>RES-001;RES-014</x:v>
      </x:c>
      <x:c r="O560" s="24" t="str">
        <x:v>Internal development; public candidate requires gate</x:v>
      </x:c>
      <x:c r="P560" s="24" t="str">
        <x:v>CONDITIONALLY APPROVED</x:v>
      </x:c>
      <x:c r="Q560" s="24" t="str">
        <x:v>Low</x:v>
      </x:c>
      <x:c r="R560" s="24" t="str"/>
      <x:c r="S560" s="24" t="str">
        <x:v>Sí</x:v>
      </x:c>
      <x:c r="T560" s="24" t="str">
        <x:f>"T"&amp;IF(AND(H560&lt;&gt;"",I560&lt;&gt;"",J560&lt;&gt;"",L560&lt;&gt;"",N560&lt;&gt;"",O560&lt;&gt;"",P560="APPROVED PUBLIC",S560="Sí"),6,IF(AND(H560&lt;&gt;"",I560&lt;&gt;"",J560&lt;&gt;"",L560&lt;&gt;"",N560&lt;&gt;"",O560&lt;&gt;"",P560&lt;&gt;"",S560="Sí"),5,IF(AND(H560&lt;&gt;"",I560&lt;&gt;"",P560&lt;&gt;"",S560&lt;&gt;"No"),4,IF(AND(H560&lt;&gt;"",I560&lt;&gt;""),3,IF(F560&lt;&gt;"",2,1)))))</x:f>
        <x:v>T5</x:v>
      </x:c>
      <x:c r="U560" s="24" t="str">
        <x:v>VRM Games</x:v>
      </x:c>
      <x:c r="V560" s="24" t="str">
        <x:v>No se detectó proveedor externo en la ruta; confirmar autoría por lote antes de release público.</x:v>
      </x:c>
    </x:row>
    <x:row r="561" ht="34" customHeight="1">
      <x:c r="A561" s="24" t="str">
        <x:v>TRC-00557</x:v>
      </x:c>
      <x:c r="B561" s="24" t="str">
        <x:v>f18cdf6e0e3441f8b150d5651ddf8011</x:v>
      </x:c>
      <x:c r="C561" s="24" t="str">
        <x:v>PlacementPreviewController.cs</x:v>
      </x:c>
      <x:c r="D561" s="24" t="str">
        <x:v>Code</x:v>
      </x:c>
      <x:c r="E561" s="24" t="str">
        <x:v>03_Assets_Internos</x:v>
      </x:c>
      <x:c r="F561" s="24" t="str">
        <x:v>INT-0557</x:v>
      </x:c>
      <x:c r="G561" s="24" t="str">
        <x:v>VRM Games / Blas Luis Rocha González</x:v>
      </x:c>
      <x:c r="H561" s="24" t="str">
        <x:v>Internal project IP / authorship claim</x:v>
      </x:c>
      <x:c r="I561" s="24" t="str">
        <x:v>Source package + repository path + hash</x:v>
      </x:c>
      <x:c r="J561" s="24" t="str">
        <x:v>e8b5de1a1f45e88b27f8262aa3c33e6428db88afcc11c39e564b05f8d710bd71</x:v>
      </x:c>
      <x:c r="K561" s="24" t="str">
        <x:v>Assets/_Project/Scripts/Presentation/Placement/PlacementPreviewController.cs</x:v>
      </x:c>
      <x:c r="L561" s="24" t="str">
        <x:v>CR-003</x:v>
      </x:c>
      <x:c r="M561" s="24" t="str"/>
      <x:c r="N561" s="24" t="str">
        <x:v>RES-001;RES-014</x:v>
      </x:c>
      <x:c r="O561" s="24" t="str">
        <x:v>Internal development; public candidate requires gate</x:v>
      </x:c>
      <x:c r="P561" s="24" t="str">
        <x:v>CONDITIONALLY APPROVED</x:v>
      </x:c>
      <x:c r="Q561" s="24" t="str">
        <x:v>Low</x:v>
      </x:c>
      <x:c r="R561" s="24" t="str"/>
      <x:c r="S561" s="24" t="str">
        <x:v>Sí</x:v>
      </x:c>
      <x:c r="T561" s="24" t="str">
        <x:f>"T"&amp;IF(AND(H561&lt;&gt;"",I561&lt;&gt;"",J561&lt;&gt;"",L561&lt;&gt;"",N561&lt;&gt;"",O561&lt;&gt;"",P561="APPROVED PUBLIC",S561="Sí"),6,IF(AND(H561&lt;&gt;"",I561&lt;&gt;"",J561&lt;&gt;"",L561&lt;&gt;"",N561&lt;&gt;"",O561&lt;&gt;"",P561&lt;&gt;"",S561="Sí"),5,IF(AND(H561&lt;&gt;"",I561&lt;&gt;"",P561&lt;&gt;"",S561&lt;&gt;"No"),4,IF(AND(H561&lt;&gt;"",I561&lt;&gt;""),3,IF(F561&lt;&gt;"",2,1)))))</x:f>
        <x:v>T5</x:v>
      </x:c>
      <x:c r="U561" s="24" t="str">
        <x:v>VRM Games</x:v>
      </x:c>
      <x:c r="V561" s="24" t="str">
        <x:v>No se detectó proveedor externo en la ruta; confirmar autoría por lote antes de release público.</x:v>
      </x:c>
    </x:row>
    <x:row r="562" ht="34" customHeight="1">
      <x:c r="A562" s="24" t="str">
        <x:v>TRC-00558</x:v>
      </x:c>
      <x:c r="B562" s="24" t="str">
        <x:v>cafafcaa55234797ac010b31601dad6b</x:v>
      </x:c>
      <x:c r="C562" s="24" t="str">
        <x:v>PlacementRuntimeController.cs</x:v>
      </x:c>
      <x:c r="D562" s="24" t="str">
        <x:v>Code</x:v>
      </x:c>
      <x:c r="E562" s="24" t="str">
        <x:v>03_Assets_Internos</x:v>
      </x:c>
      <x:c r="F562" s="24" t="str">
        <x:v>INT-0558</x:v>
      </x:c>
      <x:c r="G562" s="24" t="str">
        <x:v>VRM Games / Blas Luis Rocha González</x:v>
      </x:c>
      <x:c r="H562" s="24" t="str">
        <x:v>Internal project IP / authorship claim</x:v>
      </x:c>
      <x:c r="I562" s="24" t="str">
        <x:v>Source package + repository path + hash</x:v>
      </x:c>
      <x:c r="J562" s="24" t="str">
        <x:v>5ab0c6501a03e62e6d6a3e0ac5b7cc3df294ce82d5b9720029d4b4231fc3aee0</x:v>
      </x:c>
      <x:c r="K562" s="24" t="str">
        <x:v>Assets/_Project/Scripts/Presentation/Placement/PlacementRuntimeController.cs</x:v>
      </x:c>
      <x:c r="L562" s="24" t="str">
        <x:v>CR-003</x:v>
      </x:c>
      <x:c r="M562" s="24" t="str"/>
      <x:c r="N562" s="24" t="str">
        <x:v>RES-001;RES-014</x:v>
      </x:c>
      <x:c r="O562" s="24" t="str">
        <x:v>Internal development; public candidate requires gate</x:v>
      </x:c>
      <x:c r="P562" s="24" t="str">
        <x:v>CONDITIONALLY APPROVED</x:v>
      </x:c>
      <x:c r="Q562" s="24" t="str">
        <x:v>Low</x:v>
      </x:c>
      <x:c r="R562" s="24" t="str"/>
      <x:c r="S562" s="24" t="str">
        <x:v>Sí</x:v>
      </x:c>
      <x:c r="T562" s="24" t="str">
        <x:f>"T"&amp;IF(AND(H562&lt;&gt;"",I562&lt;&gt;"",J562&lt;&gt;"",L562&lt;&gt;"",N562&lt;&gt;"",O562&lt;&gt;"",P562="APPROVED PUBLIC",S562="Sí"),6,IF(AND(H562&lt;&gt;"",I562&lt;&gt;"",J562&lt;&gt;"",L562&lt;&gt;"",N562&lt;&gt;"",O562&lt;&gt;"",P562&lt;&gt;"",S562="Sí"),5,IF(AND(H562&lt;&gt;"",I562&lt;&gt;"",P562&lt;&gt;"",S562&lt;&gt;"No"),4,IF(AND(H562&lt;&gt;"",I562&lt;&gt;""),3,IF(F562&lt;&gt;"",2,1)))))</x:f>
        <x:v>T5</x:v>
      </x:c>
      <x:c r="U562" s="24" t="str">
        <x:v>VRM Games</x:v>
      </x:c>
      <x:c r="V562" s="24" t="str">
        <x:v>No se detectó proveedor externo en la ruta; confirmar autoría por lote antes de release público.</x:v>
      </x:c>
    </x:row>
    <x:row r="563" ht="34" customHeight="1">
      <x:c r="A563" s="24" t="str">
        <x:v>TRC-00559</x:v>
      </x:c>
      <x:c r="B563" s="24" t="str">
        <x:v>30622554993b47c18d84d29f8b543f15</x:v>
      </x:c>
      <x:c r="C563" s="24" t="str">
        <x:v>PlacementSurface.cs</x:v>
      </x:c>
      <x:c r="D563" s="24" t="str">
        <x:v>Code</x:v>
      </x:c>
      <x:c r="E563" s="24" t="str">
        <x:v>03_Assets_Internos</x:v>
      </x:c>
      <x:c r="F563" s="24" t="str">
        <x:v>INT-0559</x:v>
      </x:c>
      <x:c r="G563" s="24" t="str">
        <x:v>VRM Games / Blas Luis Rocha González</x:v>
      </x:c>
      <x:c r="H563" s="24" t="str">
        <x:v>Internal project IP / authorship claim</x:v>
      </x:c>
      <x:c r="I563" s="24" t="str">
        <x:v>Source package + repository path + hash</x:v>
      </x:c>
      <x:c r="J563" s="24" t="str">
        <x:v>65b3e9b2807ba55d4f58697a836d7d1c9ca4d402ce536c221fe94d3f49756353</x:v>
      </x:c>
      <x:c r="K563" s="24" t="str">
        <x:v>Assets/_Project/Scripts/Presentation/Placement/PlacementSurface.cs</x:v>
      </x:c>
      <x:c r="L563" s="24" t="str">
        <x:v>CR-003</x:v>
      </x:c>
      <x:c r="M563" s="24" t="str"/>
      <x:c r="N563" s="24" t="str">
        <x:v>RES-001;RES-014</x:v>
      </x:c>
      <x:c r="O563" s="24" t="str">
        <x:v>Internal development; public candidate requires gate</x:v>
      </x:c>
      <x:c r="P563" s="24" t="str">
        <x:v>CONDITIONALLY APPROVED</x:v>
      </x:c>
      <x:c r="Q563" s="24" t="str">
        <x:v>Low</x:v>
      </x:c>
      <x:c r="R563" s="24" t="str"/>
      <x:c r="S563" s="24" t="str">
        <x:v>Sí</x:v>
      </x:c>
      <x:c r="T563" s="24" t="str">
        <x:f>"T"&amp;IF(AND(H563&lt;&gt;"",I563&lt;&gt;"",J563&lt;&gt;"",L563&lt;&gt;"",N563&lt;&gt;"",O563&lt;&gt;"",P563="APPROVED PUBLIC",S563="Sí"),6,IF(AND(H563&lt;&gt;"",I563&lt;&gt;"",J563&lt;&gt;"",L563&lt;&gt;"",N563&lt;&gt;"",O563&lt;&gt;"",P563&lt;&gt;"",S563="Sí"),5,IF(AND(H563&lt;&gt;"",I563&lt;&gt;"",P563&lt;&gt;"",S563&lt;&gt;"No"),4,IF(AND(H563&lt;&gt;"",I563&lt;&gt;""),3,IF(F563&lt;&gt;"",2,1)))))</x:f>
        <x:v>T5</x:v>
      </x:c>
      <x:c r="U563" s="24" t="str">
        <x:v>VRM Games</x:v>
      </x:c>
      <x:c r="V563" s="24" t="str">
        <x:v>No se detectó proveedor externo en la ruta; confirmar autoría por lote antes de release público.</x:v>
      </x:c>
    </x:row>
    <x:row r="564" ht="34" customHeight="1">
      <x:c r="A564" s="24" t="str">
        <x:v>TRC-00560</x:v>
      </x:c>
      <x:c r="B564" s="24" t="str">
        <x:v>a2c0c3291a4c4ae3a60c68300e4151d1</x:v>
      </x:c>
      <x:c r="C564" s="24" t="str">
        <x:v>TechnicalPlaceableDefinition.cs</x:v>
      </x:c>
      <x:c r="D564" s="24" t="str">
        <x:v>Code</x:v>
      </x:c>
      <x:c r="E564" s="24" t="str">
        <x:v>03_Assets_Internos</x:v>
      </x:c>
      <x:c r="F564" s="24" t="str">
        <x:v>INT-0560</x:v>
      </x:c>
      <x:c r="G564" s="24" t="str">
        <x:v>VRM Games / Blas Luis Rocha González</x:v>
      </x:c>
      <x:c r="H564" s="24" t="str">
        <x:v>Internal project IP / authorship claim</x:v>
      </x:c>
      <x:c r="I564" s="24" t="str">
        <x:v>Source package + repository path + hash</x:v>
      </x:c>
      <x:c r="J564" s="24" t="str">
        <x:v>dfceb676a30b1f99856591762b67661a72a208aaac8b5f5d4f2d04f91adba921</x:v>
      </x:c>
      <x:c r="K564" s="24" t="str">
        <x:v>Assets/_Project/Scripts/Presentation/Placement/TechnicalPlaceableDefinition.cs</x:v>
      </x:c>
      <x:c r="L564" s="24" t="str">
        <x:v>CR-003</x:v>
      </x:c>
      <x:c r="M564" s="24" t="str"/>
      <x:c r="N564" s="24" t="str">
        <x:v>RES-001;RES-014</x:v>
      </x:c>
      <x:c r="O564" s="24" t="str">
        <x:v>Internal development; public candidate requires gate</x:v>
      </x:c>
      <x:c r="P564" s="24" t="str">
        <x:v>CONDITIONALLY APPROVED</x:v>
      </x:c>
      <x:c r="Q564" s="24" t="str">
        <x:v>Low</x:v>
      </x:c>
      <x:c r="R564" s="24" t="str"/>
      <x:c r="S564" s="24" t="str">
        <x:v>Sí</x:v>
      </x:c>
      <x:c r="T564" s="24" t="str">
        <x:f>"T"&amp;IF(AND(H564&lt;&gt;"",I564&lt;&gt;"",J564&lt;&gt;"",L564&lt;&gt;"",N564&lt;&gt;"",O564&lt;&gt;"",P564="APPROVED PUBLIC",S564="Sí"),6,IF(AND(H564&lt;&gt;"",I564&lt;&gt;"",J564&lt;&gt;"",L564&lt;&gt;"",N564&lt;&gt;"",O564&lt;&gt;"",P564&lt;&gt;"",S564="Sí"),5,IF(AND(H564&lt;&gt;"",I564&lt;&gt;"",P564&lt;&gt;"",S564&lt;&gt;"No"),4,IF(AND(H564&lt;&gt;"",I564&lt;&gt;""),3,IF(F564&lt;&gt;"",2,1)))))</x:f>
        <x:v>T5</x:v>
      </x:c>
      <x:c r="U564" s="24" t="str">
        <x:v>VRM Games</x:v>
      </x:c>
      <x:c r="V564" s="24" t="str">
        <x:v>No se detectó proveedor externo en la ruta; confirmar autoría por lote antes de release público.</x:v>
      </x:c>
    </x:row>
    <x:row r="565" ht="34" customHeight="1">
      <x:c r="A565" s="24" t="str">
        <x:v>TRC-00561</x:v>
      </x:c>
      <x:c r="B565" s="24" t="str">
        <x:v>43e2f864044542b8a9e91d09b773393a</x:v>
      </x:c>
      <x:c r="C565" s="24" t="str">
        <x:v>ClickDestinationInput.cs</x:v>
      </x:c>
      <x:c r="D565" s="24" t="str">
        <x:v>Code</x:v>
      </x:c>
      <x:c r="E565" s="24" t="str">
        <x:v>03_Assets_Internos</x:v>
      </x:c>
      <x:c r="F565" s="24" t="str">
        <x:v>INT-0561</x:v>
      </x:c>
      <x:c r="G565" s="24" t="str">
        <x:v>VRM Games / Blas Luis Rocha González</x:v>
      </x:c>
      <x:c r="H565" s="24" t="str">
        <x:v>Internal project IP / authorship claim</x:v>
      </x:c>
      <x:c r="I565" s="24" t="str">
        <x:v>Source package + repository path + hash</x:v>
      </x:c>
      <x:c r="J565" s="24" t="str">
        <x:v>8f94ef27d771ec06e0d435631e4b5c8358af373ca8b94b000dbb66a4dd95ec76</x:v>
      </x:c>
      <x:c r="K565" s="24" t="str">
        <x:v>Assets/_Project/Scripts/Presentation/PlayerMovement/ClickDestinationInput.cs</x:v>
      </x:c>
      <x:c r="L565" s="24" t="str">
        <x:v>CR-003</x:v>
      </x:c>
      <x:c r="M565" s="24" t="str"/>
      <x:c r="N565" s="24" t="str">
        <x:v>RES-001;RES-014</x:v>
      </x:c>
      <x:c r="O565" s="24" t="str">
        <x:v>Internal development; public candidate requires gate</x:v>
      </x:c>
      <x:c r="P565" s="24" t="str">
        <x:v>CONDITIONALLY APPROVED</x:v>
      </x:c>
      <x:c r="Q565" s="24" t="str">
        <x:v>Low</x:v>
      </x:c>
      <x:c r="R565" s="24" t="str"/>
      <x:c r="S565" s="24" t="str">
        <x:v>Sí</x:v>
      </x:c>
      <x:c r="T565" s="24" t="str">
        <x:f>"T"&amp;IF(AND(H565&lt;&gt;"",I565&lt;&gt;"",J565&lt;&gt;"",L565&lt;&gt;"",N565&lt;&gt;"",O565&lt;&gt;"",P565="APPROVED PUBLIC",S565="Sí"),6,IF(AND(H565&lt;&gt;"",I565&lt;&gt;"",J565&lt;&gt;"",L565&lt;&gt;"",N565&lt;&gt;"",O565&lt;&gt;"",P565&lt;&gt;"",S565="Sí"),5,IF(AND(H565&lt;&gt;"",I565&lt;&gt;"",P565&lt;&gt;"",S565&lt;&gt;"No"),4,IF(AND(H565&lt;&gt;"",I565&lt;&gt;""),3,IF(F565&lt;&gt;"",2,1)))))</x:f>
        <x:v>T5</x:v>
      </x:c>
      <x:c r="U565" s="24" t="str">
        <x:v>VRM Games</x:v>
      </x:c>
      <x:c r="V565" s="24" t="str">
        <x:v>No se detectó proveedor externo en la ruta; confirmar autoría por lote antes de release público.</x:v>
      </x:c>
    </x:row>
    <x:row r="566" ht="34" customHeight="1">
      <x:c r="A566" s="24" t="str">
        <x:v>TRC-00562</x:v>
      </x:c>
      <x:c r="B566" s="24" t="str">
        <x:v>7190f1cbdcc1426dbd1a093e43e2db55</x:v>
      </x:c>
      <x:c r="C566" s="24" t="str">
        <x:v>ClickToMoveAgent.cs</x:v>
      </x:c>
      <x:c r="D566" s="24" t="str">
        <x:v>Code</x:v>
      </x:c>
      <x:c r="E566" s="24" t="str">
        <x:v>03_Assets_Internos</x:v>
      </x:c>
      <x:c r="F566" s="24" t="str">
        <x:v>INT-0562</x:v>
      </x:c>
      <x:c r="G566" s="24" t="str">
        <x:v>VRM Games / Blas Luis Rocha González</x:v>
      </x:c>
      <x:c r="H566" s="24" t="str">
        <x:v>Internal project IP / authorship claim</x:v>
      </x:c>
      <x:c r="I566" s="24" t="str">
        <x:v>Source package + repository path + hash</x:v>
      </x:c>
      <x:c r="J566" s="24" t="str">
        <x:v>b6f1a41e8c388c70d55cf5ffe15ff613b01d91afc519f7df55743a32a77124a2</x:v>
      </x:c>
      <x:c r="K566" s="24" t="str">
        <x:v>Assets/_Project/Scripts/Presentation/PlayerMovement/ClickToMoveAgent.cs</x:v>
      </x:c>
      <x:c r="L566" s="24" t="str">
        <x:v>CR-003</x:v>
      </x:c>
      <x:c r="M566" s="24" t="str"/>
      <x:c r="N566" s="24" t="str">
        <x:v>RES-001;RES-014</x:v>
      </x:c>
      <x:c r="O566" s="24" t="str">
        <x:v>Internal development; public candidate requires gate</x:v>
      </x:c>
      <x:c r="P566" s="24" t="str">
        <x:v>CONDITIONALLY APPROVED</x:v>
      </x:c>
      <x:c r="Q566" s="24" t="str">
        <x:v>Low</x:v>
      </x:c>
      <x:c r="R566" s="24" t="str"/>
      <x:c r="S566" s="24" t="str">
        <x:v>Sí</x:v>
      </x:c>
      <x:c r="T566" s="24" t="str">
        <x:f>"T"&amp;IF(AND(H566&lt;&gt;"",I566&lt;&gt;"",J566&lt;&gt;"",L566&lt;&gt;"",N566&lt;&gt;"",O566&lt;&gt;"",P566="APPROVED PUBLIC",S566="Sí"),6,IF(AND(H566&lt;&gt;"",I566&lt;&gt;"",J566&lt;&gt;"",L566&lt;&gt;"",N566&lt;&gt;"",O566&lt;&gt;"",P566&lt;&gt;"",S566="Sí"),5,IF(AND(H566&lt;&gt;"",I566&lt;&gt;"",P566&lt;&gt;"",S566&lt;&gt;"No"),4,IF(AND(H566&lt;&gt;"",I566&lt;&gt;""),3,IF(F566&lt;&gt;"",2,1)))))</x:f>
        <x:v>T5</x:v>
      </x:c>
      <x:c r="U566" s="24" t="str">
        <x:v>VRM Games</x:v>
      </x:c>
      <x:c r="V566" s="24" t="str">
        <x:v>No se detectó proveedor externo en la ruta; confirmar autoría por lote antes de release público.</x:v>
      </x:c>
    </x:row>
    <x:row r="567" ht="34" customHeight="1">
      <x:c r="A567" s="24" t="str">
        <x:v>TRC-00563</x:v>
      </x:c>
      <x:c r="B567" s="24" t="str">
        <x:v>cad2a4580b82800448596e751df17c21</x:v>
      </x:c>
      <x:c r="C567" s="24" t="str">
        <x:v>MainMenuController.cs</x:v>
      </x:c>
      <x:c r="D567" s="24" t="str">
        <x:v>Code</x:v>
      </x:c>
      <x:c r="E567" s="24" t="str">
        <x:v>03_Assets_Internos</x:v>
      </x:c>
      <x:c r="F567" s="24" t="str">
        <x:v>INT-0563</x:v>
      </x:c>
      <x:c r="G567" s="24" t="str">
        <x:v>VRM Games / Blas Luis Rocha González</x:v>
      </x:c>
      <x:c r="H567" s="24" t="str">
        <x:v>Internal project IP / authorship claim</x:v>
      </x:c>
      <x:c r="I567" s="24" t="str">
        <x:v>Source package + repository path + hash</x:v>
      </x:c>
      <x:c r="J567" s="24" t="str">
        <x:v>0888d2696d7737e2af4fb9b332695bc02295276ed16ed9bc8c47532285aae360</x:v>
      </x:c>
      <x:c r="K567" s="24" t="str">
        <x:v>Assets/_Project/Scripts/Presentation/SceneFlow/MainMenuController.cs</x:v>
      </x:c>
      <x:c r="L567" s="24" t="str">
        <x:v>CR-003</x:v>
      </x:c>
      <x:c r="M567" s="24" t="str"/>
      <x:c r="N567" s="24" t="str">
        <x:v>RES-001;RES-014</x:v>
      </x:c>
      <x:c r="O567" s="24" t="str">
        <x:v>Internal development; public candidate requires gate</x:v>
      </x:c>
      <x:c r="P567" s="24" t="str">
        <x:v>CONDITIONALLY APPROVED</x:v>
      </x:c>
      <x:c r="Q567" s="24" t="str">
        <x:v>Low</x:v>
      </x:c>
      <x:c r="R567" s="24" t="str"/>
      <x:c r="S567" s="24" t="str">
        <x:v>Sí</x:v>
      </x:c>
      <x:c r="T567" s="24" t="str">
        <x:f>"T"&amp;IF(AND(H567&lt;&gt;"",I567&lt;&gt;"",J567&lt;&gt;"",L567&lt;&gt;"",N567&lt;&gt;"",O567&lt;&gt;"",P567="APPROVED PUBLIC",S567="Sí"),6,IF(AND(H567&lt;&gt;"",I567&lt;&gt;"",J567&lt;&gt;"",L567&lt;&gt;"",N567&lt;&gt;"",O567&lt;&gt;"",P567&lt;&gt;"",S567="Sí"),5,IF(AND(H567&lt;&gt;"",I567&lt;&gt;"",P567&lt;&gt;"",S567&lt;&gt;"No"),4,IF(AND(H567&lt;&gt;"",I567&lt;&gt;""),3,IF(F567&lt;&gt;"",2,1)))))</x:f>
        <x:v>T5</x:v>
      </x:c>
      <x:c r="U567" s="24" t="str">
        <x:v>VRM Games</x:v>
      </x:c>
      <x:c r="V567" s="24" t="str">
        <x:v>No se detectó proveedor externo en la ruta; confirmar autoría por lote antes de release público.</x:v>
      </x:c>
    </x:row>
    <x:row r="568" ht="34" customHeight="1">
      <x:c r="A568" s="24" t="str">
        <x:v>TRC-00564</x:v>
      </x:c>
      <x:c r="B568" s="24" t="str">
        <x:v>262cdecf75ce10e41a2a36ba3ee711d2</x:v>
      </x:c>
      <x:c r="C568" s="24" t="str">
        <x:v>StoreSceneController.cs</x:v>
      </x:c>
      <x:c r="D568" s="24" t="str">
        <x:v>Code</x:v>
      </x:c>
      <x:c r="E568" s="24" t="str">
        <x:v>03_Assets_Internos</x:v>
      </x:c>
      <x:c r="F568" s="24" t="str">
        <x:v>INT-0564</x:v>
      </x:c>
      <x:c r="G568" s="24" t="str">
        <x:v>VRM Games / Blas Luis Rocha González</x:v>
      </x:c>
      <x:c r="H568" s="24" t="str">
        <x:v>Internal project IP / authorship claim</x:v>
      </x:c>
      <x:c r="I568" s="24" t="str">
        <x:v>Source package + repository path + hash</x:v>
      </x:c>
      <x:c r="J568" s="24" t="str">
        <x:v>4b84919545cc05d1d4d03a279d4f3c712690c58c92fabcf1d6808f9a99d6ca5a</x:v>
      </x:c>
      <x:c r="K568" s="24" t="str">
        <x:v>Assets/_Project/Scripts/Presentation/SceneFlow/StoreSceneController.cs</x:v>
      </x:c>
      <x:c r="L568" s="24" t="str">
        <x:v>CR-003</x:v>
      </x:c>
      <x:c r="M568" s="24" t="str"/>
      <x:c r="N568" s="24" t="str">
        <x:v>RES-001;RES-014</x:v>
      </x:c>
      <x:c r="O568" s="24" t="str">
        <x:v>Internal development; public candidate requires gate</x:v>
      </x:c>
      <x:c r="P568" s="24" t="str">
        <x:v>CONDITIONALLY APPROVED</x:v>
      </x:c>
      <x:c r="Q568" s="24" t="str">
        <x:v>Low</x:v>
      </x:c>
      <x:c r="R568" s="24" t="str"/>
      <x:c r="S568" s="24" t="str">
        <x:v>Sí</x:v>
      </x:c>
      <x:c r="T568" s="24" t="str">
        <x:f>"T"&amp;IF(AND(H568&lt;&gt;"",I568&lt;&gt;"",J568&lt;&gt;"",L568&lt;&gt;"",N568&lt;&gt;"",O568&lt;&gt;"",P568="APPROVED PUBLIC",S568="Sí"),6,IF(AND(H568&lt;&gt;"",I568&lt;&gt;"",J568&lt;&gt;"",L568&lt;&gt;"",N568&lt;&gt;"",O568&lt;&gt;"",P568&lt;&gt;"",S568="Sí"),5,IF(AND(H568&lt;&gt;"",I568&lt;&gt;"",P568&lt;&gt;"",S568&lt;&gt;"No"),4,IF(AND(H568&lt;&gt;"",I568&lt;&gt;""),3,IF(F568&lt;&gt;"",2,1)))))</x:f>
        <x:v>T5</x:v>
      </x:c>
      <x:c r="U568" s="24" t="str">
        <x:v>VRM Games</x:v>
      </x:c>
      <x:c r="V568" s="24" t="str">
        <x:v>No se detectó proveedor externo en la ruta; confirmar autoría por lote antes de release público.</x:v>
      </x:c>
    </x:row>
    <x:row r="569" ht="34" customHeight="1">
      <x:c r="A569" s="24" t="str">
        <x:v>TRC-00565</x:v>
      </x:c>
      <x:c r="B569" s="24" t="str">
        <x:v>582f0ebc7c4f4224ae139dcc71b224bb</x:v>
      </x:c>
      <x:c r="C569" s="24" t="str">
        <x:v>StoreShellDescriptor.cs</x:v>
      </x:c>
      <x:c r="D569" s="24" t="str">
        <x:v>Code</x:v>
      </x:c>
      <x:c r="E569" s="24" t="str">
        <x:v>03_Assets_Internos</x:v>
      </x:c>
      <x:c r="F569" s="24" t="str">
        <x:v>INT-0565</x:v>
      </x:c>
      <x:c r="G569" s="24" t="str">
        <x:v>VRM Games / Blas Luis Rocha González</x:v>
      </x:c>
      <x:c r="H569" s="24" t="str">
        <x:v>Internal project IP / authorship claim</x:v>
      </x:c>
      <x:c r="I569" s="24" t="str">
        <x:v>Source package + repository path + hash</x:v>
      </x:c>
      <x:c r="J569" s="24" t="str">
        <x:v>cda3d924b19aec99230f95f1f798d21a6fb06ed33011945ada2b349424401f93</x:v>
      </x:c>
      <x:c r="K569" s="24" t="str">
        <x:v>Assets/_Project/Scripts/Presentation/Store/StoreShellDescriptor.cs</x:v>
      </x:c>
      <x:c r="L569" s="24" t="str">
        <x:v>CR-003</x:v>
      </x:c>
      <x:c r="M569" s="24" t="str"/>
      <x:c r="N569" s="24" t="str">
        <x:v>RES-001;RES-014</x:v>
      </x:c>
      <x:c r="O569" s="24" t="str">
        <x:v>Internal development; public candidate requires gate</x:v>
      </x:c>
      <x:c r="P569" s="24" t="str">
        <x:v>CONDITIONALLY APPROVED</x:v>
      </x:c>
      <x:c r="Q569" s="24" t="str">
        <x:v>Low</x:v>
      </x:c>
      <x:c r="R569" s="24" t="str"/>
      <x:c r="S569" s="24" t="str">
        <x:v>Sí</x:v>
      </x:c>
      <x:c r="T569" s="24" t="str">
        <x:f>"T"&amp;IF(AND(H569&lt;&gt;"",I569&lt;&gt;"",J569&lt;&gt;"",L569&lt;&gt;"",N569&lt;&gt;"",O569&lt;&gt;"",P569="APPROVED PUBLIC",S569="Sí"),6,IF(AND(H569&lt;&gt;"",I569&lt;&gt;"",J569&lt;&gt;"",L569&lt;&gt;"",N569&lt;&gt;"",O569&lt;&gt;"",P569&lt;&gt;"",S569="Sí"),5,IF(AND(H569&lt;&gt;"",I569&lt;&gt;"",P569&lt;&gt;"",S569&lt;&gt;"No"),4,IF(AND(H569&lt;&gt;"",I569&lt;&gt;""),3,IF(F569&lt;&gt;"",2,1)))))</x:f>
        <x:v>T5</x:v>
      </x:c>
      <x:c r="U569" s="24" t="str">
        <x:v>VRM Games</x:v>
      </x:c>
      <x:c r="V569" s="24" t="str">
        <x:v>No se detectó proveedor externo en la ruta; confirmar autoría por lote antes de release público.</x:v>
      </x:c>
    </x:row>
    <x:row r="570" ht="34" customHeight="1">
      <x:c r="A570" s="24" t="str">
        <x:v>TRC-00566</x:v>
      </x:c>
      <x:c r="B570" s="24" t="str">
        <x:v>32f6b38e73889394ea626f2c0fafff3d</x:v>
      </x:c>
      <x:c r="C570" s="24" t="str">
        <x:v>VRMGames.CartridgeAndCloud.Presentation.asmdef</x:v>
      </x:c>
      <x:c r="D570" s="24" t="str">
        <x:v>Assembly definition</x:v>
      </x:c>
      <x:c r="E570" s="24" t="str">
        <x:v>03_Assets_Internos</x:v>
      </x:c>
      <x:c r="F570" s="24" t="str">
        <x:v>INT-0566</x:v>
      </x:c>
      <x:c r="G570" s="24" t="str">
        <x:v>VRM Games / Blas Luis Rocha González</x:v>
      </x:c>
      <x:c r="H570" s="24" t="str">
        <x:v>Internal project IP / authorship claim</x:v>
      </x:c>
      <x:c r="I570" s="24" t="str">
        <x:v>Source package + repository path + hash</x:v>
      </x:c>
      <x:c r="J570" s="24" t="str">
        <x:v>aa52f83ffe0f5dfdd1da1151ea53dc596f1c2787353a1025504a4d8319fccfb7</x:v>
      </x:c>
      <x:c r="K570" s="24" t="str">
        <x:v>Assets/_Project/Scripts/Presentation/VRMGames.CartridgeAndCloud.Presentation.asmdef</x:v>
      </x:c>
      <x:c r="L570" s="24" t="str">
        <x:v>CR-003</x:v>
      </x:c>
      <x:c r="M570" s="24" t="str"/>
      <x:c r="N570" s="24" t="str">
        <x:v>RES-001;RES-014</x:v>
      </x:c>
      <x:c r="O570" s="24" t="str">
        <x:v>Internal development; public candidate requires gate</x:v>
      </x:c>
      <x:c r="P570" s="24" t="str">
        <x:v>CONDITIONALLY APPROVED</x:v>
      </x:c>
      <x:c r="Q570" s="24" t="str">
        <x:v>Low</x:v>
      </x:c>
      <x:c r="R570" s="24" t="str"/>
      <x:c r="S570" s="24" t="str">
        <x:v>Sí</x:v>
      </x:c>
      <x:c r="T570" s="24" t="str">
        <x:f>"T"&amp;IF(AND(H570&lt;&gt;"",I570&lt;&gt;"",J570&lt;&gt;"",L570&lt;&gt;"",N570&lt;&gt;"",O570&lt;&gt;"",P570="APPROVED PUBLIC",S570="Sí"),6,IF(AND(H570&lt;&gt;"",I570&lt;&gt;"",J570&lt;&gt;"",L570&lt;&gt;"",N570&lt;&gt;"",O570&lt;&gt;"",P570&lt;&gt;"",S570="Sí"),5,IF(AND(H570&lt;&gt;"",I570&lt;&gt;"",P570&lt;&gt;"",S570&lt;&gt;"No"),4,IF(AND(H570&lt;&gt;"",I570&lt;&gt;""),3,IF(F570&lt;&gt;"",2,1)))))</x:f>
        <x:v>T5</x:v>
      </x:c>
      <x:c r="U570" s="24" t="str">
        <x:v>VRM Games</x:v>
      </x:c>
      <x:c r="V570" s="24" t="str">
        <x:v>No se detectó proveedor externo en la ruta; confirmar autoría por lote antes de release público.</x:v>
      </x:c>
    </x:row>
    <x:row r="571" ht="34" customHeight="1">
      <x:c r="A571" s="24" t="str">
        <x:v>TRC-00567</x:v>
      </x:c>
      <x:c r="B571" s="24" t="str">
        <x:v>c766b2b4ae528fda0b95db99f5318369</x:v>
      </x:c>
      <x:c r="C571" s="24" t="str">
        <x:v>Phase1AudioRouter.cs</x:v>
      </x:c>
      <x:c r="D571" s="24" t="str">
        <x:v>Code</x:v>
      </x:c>
      <x:c r="E571" s="24" t="str">
        <x:v>03_Assets_Internos</x:v>
      </x:c>
      <x:c r="F571" s="24" t="str">
        <x:v>INT-0567</x:v>
      </x:c>
      <x:c r="G571" s="24" t="str">
        <x:v>VRM Games / Blas Luis Rocha González</x:v>
      </x:c>
      <x:c r="H571" s="24" t="str">
        <x:v>Internal project IP / authorship claim</x:v>
      </x:c>
      <x:c r="I571" s="24" t="str">
        <x:v>Source package + repository path + hash</x:v>
      </x:c>
      <x:c r="J571" s="24" t="str">
        <x:v>cb09500abc2614d75a6f47fea02698ee542eac3987c2468a57341da476c54398</x:v>
      </x:c>
      <x:c r="K571" s="24" t="str">
        <x:v>Assets/_Project/Scripts/Runtime/VerticalSlicePhase1/Phase1AudioRouter.cs</x:v>
      </x:c>
      <x:c r="L571" s="24" t="str">
        <x:v>CR-003</x:v>
      </x:c>
      <x:c r="M571" s="24" t="str"/>
      <x:c r="N571" s="24" t="str">
        <x:v>RES-001;RES-014</x:v>
      </x:c>
      <x:c r="O571" s="24" t="str">
        <x:v>Internal development; public candidate requires gate</x:v>
      </x:c>
      <x:c r="P571" s="24" t="str">
        <x:v>CONDITIONALLY APPROVED</x:v>
      </x:c>
      <x:c r="Q571" s="24" t="str">
        <x:v>Low</x:v>
      </x:c>
      <x:c r="R571" s="24" t="str"/>
      <x:c r="S571" s="24" t="str">
        <x:v>Sí</x:v>
      </x:c>
      <x:c r="T571" s="24" t="str">
        <x:f>"T"&amp;IF(AND(H571&lt;&gt;"",I571&lt;&gt;"",J571&lt;&gt;"",L571&lt;&gt;"",N571&lt;&gt;"",O571&lt;&gt;"",P571="APPROVED PUBLIC",S571="Sí"),6,IF(AND(H571&lt;&gt;"",I571&lt;&gt;"",J571&lt;&gt;"",L571&lt;&gt;"",N571&lt;&gt;"",O571&lt;&gt;"",P571&lt;&gt;"",S571="Sí"),5,IF(AND(H571&lt;&gt;"",I571&lt;&gt;"",P571&lt;&gt;"",S571&lt;&gt;"No"),4,IF(AND(H571&lt;&gt;"",I571&lt;&gt;""),3,IF(F571&lt;&gt;"",2,1)))))</x:f>
        <x:v>T5</x:v>
      </x:c>
      <x:c r="U571" s="24" t="str">
        <x:v>VRM Games</x:v>
      </x:c>
      <x:c r="V571" s="24" t="str">
        <x:v>No se detectó proveedor externo en la ruta; confirmar autoría por lote antes de release público.</x:v>
      </x:c>
    </x:row>
    <x:row r="572" ht="34" customHeight="1">
      <x:c r="A572" s="24" t="str">
        <x:v>TRC-00568</x:v>
      </x:c>
      <x:c r="B572" s="24" t="str">
        <x:v>afaf91a76971dc32c30354bcb609da73</x:v>
      </x:c>
      <x:c r="C572" s="24" t="str">
        <x:v>Phase1CharacterLoopController.cs</x:v>
      </x:c>
      <x:c r="D572" s="24" t="str">
        <x:v>Code</x:v>
      </x:c>
      <x:c r="E572" s="24" t="str">
        <x:v>03_Assets_Internos</x:v>
      </x:c>
      <x:c r="F572" s="24" t="str">
        <x:v>INT-0568</x:v>
      </x:c>
      <x:c r="G572" s="24" t="str">
        <x:v>VRM Games / Blas Luis Rocha González</x:v>
      </x:c>
      <x:c r="H572" s="24" t="str">
        <x:v>Internal project IP / authorship claim</x:v>
      </x:c>
      <x:c r="I572" s="24" t="str">
        <x:v>Source package + repository path + hash</x:v>
      </x:c>
      <x:c r="J572" s="24" t="str">
        <x:v>db47430173a54015bf4e033008d8639cf019a359110732f3e1c12772942c999f</x:v>
      </x:c>
      <x:c r="K572" s="24" t="str">
        <x:v>Assets/_Project/Scripts/Runtime/VerticalSlicePhase1/Phase1CharacterLoopController.cs</x:v>
      </x:c>
      <x:c r="L572" s="24" t="str">
        <x:v>CR-003</x:v>
      </x:c>
      <x:c r="M572" s="24" t="str"/>
      <x:c r="N572" s="24" t="str">
        <x:v>RES-001;RES-014</x:v>
      </x:c>
      <x:c r="O572" s="24" t="str">
        <x:v>Internal development; public candidate requires gate</x:v>
      </x:c>
      <x:c r="P572" s="24" t="str">
        <x:v>CONDITIONALLY APPROVED</x:v>
      </x:c>
      <x:c r="Q572" s="24" t="str">
        <x:v>Low</x:v>
      </x:c>
      <x:c r="R572" s="24" t="str"/>
      <x:c r="S572" s="24" t="str">
        <x:v>Sí</x:v>
      </x:c>
      <x:c r="T572" s="24" t="str">
        <x:f>"T"&amp;IF(AND(H572&lt;&gt;"",I572&lt;&gt;"",J572&lt;&gt;"",L572&lt;&gt;"",N572&lt;&gt;"",O572&lt;&gt;"",P572="APPROVED PUBLIC",S572="Sí"),6,IF(AND(H572&lt;&gt;"",I572&lt;&gt;"",J572&lt;&gt;"",L572&lt;&gt;"",N572&lt;&gt;"",O572&lt;&gt;"",P572&lt;&gt;"",S572="Sí"),5,IF(AND(H572&lt;&gt;"",I572&lt;&gt;"",P572&lt;&gt;"",S572&lt;&gt;"No"),4,IF(AND(H572&lt;&gt;"",I572&lt;&gt;""),3,IF(F572&lt;&gt;"",2,1)))))</x:f>
        <x:v>T5</x:v>
      </x:c>
      <x:c r="U572" s="24" t="str">
        <x:v>VRM Games</x:v>
      </x:c>
      <x:c r="V572" s="24" t="str">
        <x:v>No se detectó proveedor externo en la ruta; confirmar autoría por lote antes de release público.</x:v>
      </x:c>
    </x:row>
    <x:row r="573" ht="34" customHeight="1">
      <x:c r="A573" s="24" t="str">
        <x:v>TRC-00569</x:v>
      </x:c>
      <x:c r="B573" s="24" t="str">
        <x:v>492a098f83f15d5d8aaa0fa192bded36</x:v>
      </x:c>
      <x:c r="C573" s="24" t="str">
        <x:v>Phase1FeedbackPresenter.cs</x:v>
      </x:c>
      <x:c r="D573" s="24" t="str">
        <x:v>Code</x:v>
      </x:c>
      <x:c r="E573" s="24" t="str">
        <x:v>03_Assets_Internos</x:v>
      </x:c>
      <x:c r="F573" s="24" t="str">
        <x:v>INT-0569</x:v>
      </x:c>
      <x:c r="G573" s="24" t="str">
        <x:v>VRM Games / Blas Luis Rocha González</x:v>
      </x:c>
      <x:c r="H573" s="24" t="str">
        <x:v>Internal project IP / authorship claim</x:v>
      </x:c>
      <x:c r="I573" s="24" t="str">
        <x:v>Source package + repository path + hash</x:v>
      </x:c>
      <x:c r="J573" s="24" t="str">
        <x:v>0924976dbf4de3117cfb0d850231cb155ca1ae1fd8fb0bcb1a3ba0b99d2858ec</x:v>
      </x:c>
      <x:c r="K573" s="24" t="str">
        <x:v>Assets/_Project/Scripts/Runtime/VerticalSlicePhase1/Phase1FeedbackPresenter.cs</x:v>
      </x:c>
      <x:c r="L573" s="24" t="str">
        <x:v>CR-003</x:v>
      </x:c>
      <x:c r="M573" s="24" t="str"/>
      <x:c r="N573" s="24" t="str">
        <x:v>RES-001;RES-014</x:v>
      </x:c>
      <x:c r="O573" s="24" t="str">
        <x:v>Internal development; public candidate requires gate</x:v>
      </x:c>
      <x:c r="P573" s="24" t="str">
        <x:v>CONDITIONALLY APPROVED</x:v>
      </x:c>
      <x:c r="Q573" s="24" t="str">
        <x:v>Low</x:v>
      </x:c>
      <x:c r="R573" s="24" t="str"/>
      <x:c r="S573" s="24" t="str">
        <x:v>Sí</x:v>
      </x:c>
      <x:c r="T573" s="24" t="str">
        <x:f>"T"&amp;IF(AND(H573&lt;&gt;"",I573&lt;&gt;"",J573&lt;&gt;"",L573&lt;&gt;"",N573&lt;&gt;"",O573&lt;&gt;"",P573="APPROVED PUBLIC",S573="Sí"),6,IF(AND(H573&lt;&gt;"",I573&lt;&gt;"",J573&lt;&gt;"",L573&lt;&gt;"",N573&lt;&gt;"",O573&lt;&gt;"",P573&lt;&gt;"",S573="Sí"),5,IF(AND(H573&lt;&gt;"",I573&lt;&gt;"",P573&lt;&gt;"",S573&lt;&gt;"No"),4,IF(AND(H573&lt;&gt;"",I573&lt;&gt;""),3,IF(F573&lt;&gt;"",2,1)))))</x:f>
        <x:v>T5</x:v>
      </x:c>
      <x:c r="U573" s="24" t="str">
        <x:v>VRM Games</x:v>
      </x:c>
      <x:c r="V573" s="24" t="str">
        <x:v>No se detectó proveedor externo en la ruta; confirmar autoría por lote antes de release público.</x:v>
      </x:c>
    </x:row>
    <x:row r="574" ht="34" customHeight="1">
      <x:c r="A574" s="24" t="str">
        <x:v>TRC-00570</x:v>
      </x:c>
      <x:c r="B574" s="24" t="str">
        <x:v>8b4273df585811cd957896cbc1f43942</x:v>
      </x:c>
      <x:c r="C574" s="24" t="str">
        <x:v>Phase1InventoryVisualSynchronizer.cs</x:v>
      </x:c>
      <x:c r="D574" s="24" t="str">
        <x:v>Code</x:v>
      </x:c>
      <x:c r="E574" s="24" t="str">
        <x:v>03_Assets_Internos</x:v>
      </x:c>
      <x:c r="F574" s="24" t="str">
        <x:v>INT-0570</x:v>
      </x:c>
      <x:c r="G574" s="24" t="str">
        <x:v>VRM Games / Blas Luis Rocha González</x:v>
      </x:c>
      <x:c r="H574" s="24" t="str">
        <x:v>Internal project IP / authorship claim</x:v>
      </x:c>
      <x:c r="I574" s="24" t="str">
        <x:v>Source package + repository path + hash</x:v>
      </x:c>
      <x:c r="J574" s="24" t="str">
        <x:v>12693346c7de4f62bbebf369e9edede2b48f524974dfd92c0b5c150adb2d9802</x:v>
      </x:c>
      <x:c r="K574" s="24" t="str">
        <x:v>Assets/_Project/Scripts/Runtime/VerticalSlicePhase1/Phase1InventoryVisualSynchronizer.cs</x:v>
      </x:c>
      <x:c r="L574" s="24" t="str">
        <x:v>CR-003</x:v>
      </x:c>
      <x:c r="M574" s="24" t="str"/>
      <x:c r="N574" s="24" t="str">
        <x:v>RES-001;RES-014</x:v>
      </x:c>
      <x:c r="O574" s="24" t="str">
        <x:v>Internal development; public candidate requires gate</x:v>
      </x:c>
      <x:c r="P574" s="24" t="str">
        <x:v>CONDITIONALLY APPROVED</x:v>
      </x:c>
      <x:c r="Q574" s="24" t="str">
        <x:v>Low</x:v>
      </x:c>
      <x:c r="R574" s="24" t="str"/>
      <x:c r="S574" s="24" t="str">
        <x:v>Sí</x:v>
      </x:c>
      <x:c r="T574" s="24" t="str">
        <x:f>"T"&amp;IF(AND(H574&lt;&gt;"",I574&lt;&gt;"",J574&lt;&gt;"",L574&lt;&gt;"",N574&lt;&gt;"",O574&lt;&gt;"",P574="APPROVED PUBLIC",S574="Sí"),6,IF(AND(H574&lt;&gt;"",I574&lt;&gt;"",J574&lt;&gt;"",L574&lt;&gt;"",N574&lt;&gt;"",O574&lt;&gt;"",P574&lt;&gt;"",S574="Sí"),5,IF(AND(H574&lt;&gt;"",I574&lt;&gt;"",P574&lt;&gt;"",S574&lt;&gt;"No"),4,IF(AND(H574&lt;&gt;"",I574&lt;&gt;""),3,IF(F574&lt;&gt;"",2,1)))))</x:f>
        <x:v>T5</x:v>
      </x:c>
      <x:c r="U574" s="24" t="str">
        <x:v>VRM Games</x:v>
      </x:c>
      <x:c r="V574" s="24" t="str">
        <x:v>No se detectó proveedor externo en la ruta; confirmar autoría por lote antes de release público.</x:v>
      </x:c>
    </x:row>
    <x:row r="575" ht="34" customHeight="1">
      <x:c r="A575" s="24" t="str">
        <x:v>TRC-00571</x:v>
      </x:c>
      <x:c r="B575" s="24" t="str">
        <x:v>2ee0f2df07cd97962666e95a2a21af66</x:v>
      </x:c>
      <x:c r="C575" s="24" t="str">
        <x:v>Phase1OperationsScreen.cs</x:v>
      </x:c>
      <x:c r="D575" s="24" t="str">
        <x:v>Code</x:v>
      </x:c>
      <x:c r="E575" s="24" t="str">
        <x:v>03_Assets_Internos</x:v>
      </x:c>
      <x:c r="F575" s="24" t="str">
        <x:v>INT-0571</x:v>
      </x:c>
      <x:c r="G575" s="24" t="str">
        <x:v>VRM Games / Blas Luis Rocha González</x:v>
      </x:c>
      <x:c r="H575" s="24" t="str">
        <x:v>Internal project IP / authorship claim</x:v>
      </x:c>
      <x:c r="I575" s="24" t="str">
        <x:v>Source package + repository path + hash</x:v>
      </x:c>
      <x:c r="J575" s="24" t="str">
        <x:v>b51ec79e3e6346dbea20b2741e3bb69b196cc2e3625811422c7d483232e96fc7</x:v>
      </x:c>
      <x:c r="K575" s="24" t="str">
        <x:v>Assets/_Project/Scripts/Runtime/VerticalSlicePhase1/Phase1OperationsScreen.cs</x:v>
      </x:c>
      <x:c r="L575" s="24" t="str">
        <x:v>CR-003</x:v>
      </x:c>
      <x:c r="M575" s="24" t="str"/>
      <x:c r="N575" s="24" t="str">
        <x:v>RES-001;RES-014</x:v>
      </x:c>
      <x:c r="O575" s="24" t="str">
        <x:v>Internal development; public candidate requires gate</x:v>
      </x:c>
      <x:c r="P575" s="24" t="str">
        <x:v>CONDITIONALLY APPROVED</x:v>
      </x:c>
      <x:c r="Q575" s="24" t="str">
        <x:v>Low</x:v>
      </x:c>
      <x:c r="R575" s="24" t="str"/>
      <x:c r="S575" s="24" t="str">
        <x:v>Sí</x:v>
      </x:c>
      <x:c r="T575" s="24" t="str">
        <x:f>"T"&amp;IF(AND(H575&lt;&gt;"",I575&lt;&gt;"",J575&lt;&gt;"",L575&lt;&gt;"",N575&lt;&gt;"",O575&lt;&gt;"",P575="APPROVED PUBLIC",S575="Sí"),6,IF(AND(H575&lt;&gt;"",I575&lt;&gt;"",J575&lt;&gt;"",L575&lt;&gt;"",N575&lt;&gt;"",O575&lt;&gt;"",P575&lt;&gt;"",S575="Sí"),5,IF(AND(H575&lt;&gt;"",I575&lt;&gt;"",P575&lt;&gt;"",S575&lt;&gt;"No"),4,IF(AND(H575&lt;&gt;"",I575&lt;&gt;""),3,IF(F575&lt;&gt;"",2,1)))))</x:f>
        <x:v>T5</x:v>
      </x:c>
      <x:c r="U575" s="24" t="str">
        <x:v>VRM Games</x:v>
      </x:c>
      <x:c r="V575" s="24" t="str">
        <x:v>No se detectó proveedor externo en la ruta; confirmar autoría por lote antes de release público.</x:v>
      </x:c>
    </x:row>
    <x:row r="576" ht="34" customHeight="1">
      <x:c r="A576" s="24" t="str">
        <x:v>TRC-00572</x:v>
      </x:c>
      <x:c r="B576" s="24" t="str">
        <x:v>248afe9469c5c89a83c3024854aa6310</x:v>
      </x:c>
      <x:c r="C576" s="24" t="str">
        <x:v>Phase1PlacedFixtureVisual.cs</x:v>
      </x:c>
      <x:c r="D576" s="24" t="str">
        <x:v>Code</x:v>
      </x:c>
      <x:c r="E576" s="24" t="str">
        <x:v>03_Assets_Internos</x:v>
      </x:c>
      <x:c r="F576" s="24" t="str">
        <x:v>INT-0572</x:v>
      </x:c>
      <x:c r="G576" s="24" t="str">
        <x:v>VRM Games / Blas Luis Rocha González</x:v>
      </x:c>
      <x:c r="H576" s="24" t="str">
        <x:v>Internal project IP / authorship claim</x:v>
      </x:c>
      <x:c r="I576" s="24" t="str">
        <x:v>Source package + repository path + hash</x:v>
      </x:c>
      <x:c r="J576" s="24" t="str">
        <x:v>cf06073b70375a646356d5899e0fcf730e6ec1158c45bd5f9c5f41d5b83fbf75</x:v>
      </x:c>
      <x:c r="K576" s="24" t="str">
        <x:v>Assets/_Project/Scripts/Runtime/VerticalSlicePhase1/Phase1PlacedFixtureVisual.cs</x:v>
      </x:c>
      <x:c r="L576" s="24" t="str">
        <x:v>CR-003</x:v>
      </x:c>
      <x:c r="M576" s="24" t="str"/>
      <x:c r="N576" s="24" t="str">
        <x:v>RES-001;RES-014</x:v>
      </x:c>
      <x:c r="O576" s="24" t="str">
        <x:v>Internal development; public candidate requires gate</x:v>
      </x:c>
      <x:c r="P576" s="24" t="str">
        <x:v>CONDITIONALLY APPROVED</x:v>
      </x:c>
      <x:c r="Q576" s="24" t="str">
        <x:v>Low</x:v>
      </x:c>
      <x:c r="R576" s="24" t="str"/>
      <x:c r="S576" s="24" t="str">
        <x:v>Sí</x:v>
      </x:c>
      <x:c r="T576" s="24" t="str">
        <x:f>"T"&amp;IF(AND(H576&lt;&gt;"",I576&lt;&gt;"",J576&lt;&gt;"",L576&lt;&gt;"",N576&lt;&gt;"",O576&lt;&gt;"",P576="APPROVED PUBLIC",S576="Sí"),6,IF(AND(H576&lt;&gt;"",I576&lt;&gt;"",J576&lt;&gt;"",L576&lt;&gt;"",N576&lt;&gt;"",O576&lt;&gt;"",P576&lt;&gt;"",S576="Sí"),5,IF(AND(H576&lt;&gt;"",I576&lt;&gt;"",P576&lt;&gt;"",S576&lt;&gt;"No"),4,IF(AND(H576&lt;&gt;"",I576&lt;&gt;""),3,IF(F576&lt;&gt;"",2,1)))))</x:f>
        <x:v>T5</x:v>
      </x:c>
      <x:c r="U576" s="24" t="str">
        <x:v>VRM Games</x:v>
      </x:c>
      <x:c r="V576" s="24" t="str">
        <x:v>No se detectó proveedor externo en la ruta; confirmar autoría por lote antes de release público.</x:v>
      </x:c>
    </x:row>
    <x:row r="577" ht="34" customHeight="1">
      <x:c r="A577" s="24" t="str">
        <x:v>TRC-00573</x:v>
      </x:c>
      <x:c r="B577" s="24" t="str">
        <x:v>dd775f8a605142be6462dd3935368bad</x:v>
      </x:c>
      <x:c r="C577" s="24" t="str">
        <x:v>Phase1PlacementCompatibilityBridge.cs</x:v>
      </x:c>
      <x:c r="D577" s="24" t="str">
        <x:v>Code</x:v>
      </x:c>
      <x:c r="E577" s="24" t="str">
        <x:v>03_Assets_Internos</x:v>
      </x:c>
      <x:c r="F577" s="24" t="str">
        <x:v>INT-0573</x:v>
      </x:c>
      <x:c r="G577" s="24" t="str">
        <x:v>VRM Games / Blas Luis Rocha González</x:v>
      </x:c>
      <x:c r="H577" s="24" t="str">
        <x:v>Internal project IP / authorship claim</x:v>
      </x:c>
      <x:c r="I577" s="24" t="str">
        <x:v>Source package + repository path + hash</x:v>
      </x:c>
      <x:c r="J577" s="24" t="str">
        <x:v>0496f032427cb78d134e75df50964243ae204cc9534a4dbecec4c5199533cb33</x:v>
      </x:c>
      <x:c r="K577" s="24" t="str">
        <x:v>Assets/_Project/Scripts/Runtime/VerticalSlicePhase1/Phase1PlacementCompatibilityBridge.cs</x:v>
      </x:c>
      <x:c r="L577" s="24" t="str">
        <x:v>CR-003</x:v>
      </x:c>
      <x:c r="M577" s="24" t="str"/>
      <x:c r="N577" s="24" t="str">
        <x:v>RES-001;RES-014</x:v>
      </x:c>
      <x:c r="O577" s="24" t="str">
        <x:v>Internal development; public candidate requires gate</x:v>
      </x:c>
      <x:c r="P577" s="24" t="str">
        <x:v>CONDITIONALLY APPROVED</x:v>
      </x:c>
      <x:c r="Q577" s="24" t="str">
        <x:v>Low</x:v>
      </x:c>
      <x:c r="R577" s="24" t="str"/>
      <x:c r="S577" s="24" t="str">
        <x:v>Sí</x:v>
      </x:c>
      <x:c r="T577" s="24" t="str">
        <x:f>"T"&amp;IF(AND(H577&lt;&gt;"",I577&lt;&gt;"",J577&lt;&gt;"",L577&lt;&gt;"",N577&lt;&gt;"",O577&lt;&gt;"",P577="APPROVED PUBLIC",S577="Sí"),6,IF(AND(H577&lt;&gt;"",I577&lt;&gt;"",J577&lt;&gt;"",L577&lt;&gt;"",N577&lt;&gt;"",O577&lt;&gt;"",P577&lt;&gt;"",S577="Sí"),5,IF(AND(H577&lt;&gt;"",I577&lt;&gt;"",P577&lt;&gt;"",S577&lt;&gt;"No"),4,IF(AND(H577&lt;&gt;"",I577&lt;&gt;""),3,IF(F577&lt;&gt;"",2,1)))))</x:f>
        <x:v>T5</x:v>
      </x:c>
      <x:c r="U577" s="24" t="str">
        <x:v>VRM Games</x:v>
      </x:c>
      <x:c r="V577" s="24" t="str">
        <x:v>No se detectó proveedor externo en la ruta; confirmar autoría por lote antes de release público.</x:v>
      </x:c>
    </x:row>
    <x:row r="578" ht="34" customHeight="1">
      <x:c r="A578" s="24" t="str">
        <x:v>TRC-00574</x:v>
      </x:c>
      <x:c r="B578" s="24" t="str">
        <x:v>034c4123aa1c02dfb5103444944a6e49</x:v>
      </x:c>
      <x:c r="C578" s="24" t="str">
        <x:v>Phase1RuntimeUiFactory.cs</x:v>
      </x:c>
      <x:c r="D578" s="24" t="str">
        <x:v>Code</x:v>
      </x:c>
      <x:c r="E578" s="24" t="str">
        <x:v>03_Assets_Internos</x:v>
      </x:c>
      <x:c r="F578" s="24" t="str">
        <x:v>INT-0574</x:v>
      </x:c>
      <x:c r="G578" s="24" t="str">
        <x:v>VRM Games / Blas Luis Rocha González</x:v>
      </x:c>
      <x:c r="H578" s="24" t="str">
        <x:v>Internal project IP / authorship claim</x:v>
      </x:c>
      <x:c r="I578" s="24" t="str">
        <x:v>Source package + repository path + hash</x:v>
      </x:c>
      <x:c r="J578" s="24" t="str">
        <x:v>46eb55ad59816660d49f01f07b5d8528fc0644173552200dcbcf114ae28264ef</x:v>
      </x:c>
      <x:c r="K578" s="24" t="str">
        <x:v>Assets/_Project/Scripts/Runtime/VerticalSlicePhase1/Phase1RuntimeUiFactory.cs</x:v>
      </x:c>
      <x:c r="L578" s="24" t="str">
        <x:v>CR-003</x:v>
      </x:c>
      <x:c r="M578" s="24" t="str"/>
      <x:c r="N578" s="24" t="str">
        <x:v>RES-001;RES-014</x:v>
      </x:c>
      <x:c r="O578" s="24" t="str">
        <x:v>Internal development; public candidate requires gate</x:v>
      </x:c>
      <x:c r="P578" s="24" t="str">
        <x:v>CONDITIONALLY APPROVED</x:v>
      </x:c>
      <x:c r="Q578" s="24" t="str">
        <x:v>Low</x:v>
      </x:c>
      <x:c r="R578" s="24" t="str"/>
      <x:c r="S578" s="24" t="str">
        <x:v>Sí</x:v>
      </x:c>
      <x:c r="T578" s="24" t="str">
        <x:f>"T"&amp;IF(AND(H578&lt;&gt;"",I578&lt;&gt;"",J578&lt;&gt;"",L578&lt;&gt;"",N578&lt;&gt;"",O578&lt;&gt;"",P578="APPROVED PUBLIC",S578="Sí"),6,IF(AND(H578&lt;&gt;"",I578&lt;&gt;"",J578&lt;&gt;"",L578&lt;&gt;"",N578&lt;&gt;"",O578&lt;&gt;"",P578&lt;&gt;"",S578="Sí"),5,IF(AND(H578&lt;&gt;"",I578&lt;&gt;"",P578&lt;&gt;"",S578&lt;&gt;"No"),4,IF(AND(H578&lt;&gt;"",I578&lt;&gt;""),3,IF(F578&lt;&gt;"",2,1)))))</x:f>
        <x:v>T5</x:v>
      </x:c>
      <x:c r="U578" s="24" t="str">
        <x:v>VRM Games</x:v>
      </x:c>
      <x:c r="V578" s="24" t="str">
        <x:v>No se detectó proveedor externo en la ruta; confirmar autoría por lote antes de release público.</x:v>
      </x:c>
    </x:row>
    <x:row r="579" ht="34" customHeight="1">
      <x:c r="A579" s="24" t="str">
        <x:v>TRC-00575</x:v>
      </x:c>
      <x:c r="B579" s="24" t="str">
        <x:v>e0e9a79b035e9e794911217924cb7fbf</x:v>
      </x:c>
      <x:c r="C579" s="24" t="str">
        <x:v>Phase1StoreBlockoutBuilder.cs</x:v>
      </x:c>
      <x:c r="D579" s="24" t="str">
        <x:v>Code</x:v>
      </x:c>
      <x:c r="E579" s="24" t="str">
        <x:v>03_Assets_Internos</x:v>
      </x:c>
      <x:c r="F579" s="24" t="str">
        <x:v>INT-0575</x:v>
      </x:c>
      <x:c r="G579" s="24" t="str">
        <x:v>VRM Games / Blas Luis Rocha González</x:v>
      </x:c>
      <x:c r="H579" s="24" t="str">
        <x:v>Internal project IP / authorship claim</x:v>
      </x:c>
      <x:c r="I579" s="24" t="str">
        <x:v>Source package + repository path + hash</x:v>
      </x:c>
      <x:c r="J579" s="24" t="str">
        <x:v>5c2c001372ba09d2c9abdff56963256d7e50b838b1a6765c472be13fb9229e7e</x:v>
      </x:c>
      <x:c r="K579" s="24" t="str">
        <x:v>Assets/_Project/Scripts/Runtime/VerticalSlicePhase1/Phase1StoreBlockoutBuilder.cs</x:v>
      </x:c>
      <x:c r="L579" s="24" t="str">
        <x:v>CR-003</x:v>
      </x:c>
      <x:c r="M579" s="24" t="str"/>
      <x:c r="N579" s="24" t="str">
        <x:v>RES-001;RES-014</x:v>
      </x:c>
      <x:c r="O579" s="24" t="str">
        <x:v>Internal development; public candidate requires gate</x:v>
      </x:c>
      <x:c r="P579" s="24" t="str">
        <x:v>CONDITIONALLY APPROVED</x:v>
      </x:c>
      <x:c r="Q579" s="24" t="str">
        <x:v>Low</x:v>
      </x:c>
      <x:c r="R579" s="24" t="str"/>
      <x:c r="S579" s="24" t="str">
        <x:v>Sí</x:v>
      </x:c>
      <x:c r="T579" s="24" t="str">
        <x:f>"T"&amp;IF(AND(H579&lt;&gt;"",I579&lt;&gt;"",J579&lt;&gt;"",L579&lt;&gt;"",N579&lt;&gt;"",O579&lt;&gt;"",P579="APPROVED PUBLIC",S579="Sí"),6,IF(AND(H579&lt;&gt;"",I579&lt;&gt;"",J579&lt;&gt;"",L579&lt;&gt;"",N579&lt;&gt;"",O579&lt;&gt;"",P579&lt;&gt;"",S579="Sí"),5,IF(AND(H579&lt;&gt;"",I579&lt;&gt;"",P579&lt;&gt;"",S579&lt;&gt;"No"),4,IF(AND(H579&lt;&gt;"",I579&lt;&gt;""),3,IF(F579&lt;&gt;"",2,1)))))</x:f>
        <x:v>T5</x:v>
      </x:c>
      <x:c r="U579" s="24" t="str">
        <x:v>VRM Games</x:v>
      </x:c>
      <x:c r="V579" s="24" t="str">
        <x:v>No se detectó proveedor externo en la ruta; confirmar autoría por lote antes de release público.</x:v>
      </x:c>
    </x:row>
    <x:row r="580" ht="34" customHeight="1">
      <x:c r="A580" s="24" t="str">
        <x:v>TRC-00576</x:v>
      </x:c>
      <x:c r="B580" s="24" t="str">
        <x:v>a13c8c563d21742cb088b54651149608</x:v>
      </x:c>
      <x:c r="C580" s="24" t="str">
        <x:v>Phase1VfxPool.cs</x:v>
      </x:c>
      <x:c r="D580" s="24" t="str">
        <x:v>Code</x:v>
      </x:c>
      <x:c r="E580" s="24" t="str">
        <x:v>03_Assets_Internos</x:v>
      </x:c>
      <x:c r="F580" s="24" t="str">
        <x:v>INT-0576</x:v>
      </x:c>
      <x:c r="G580" s="24" t="str">
        <x:v>VRM Games / Blas Luis Rocha González</x:v>
      </x:c>
      <x:c r="H580" s="24" t="str">
        <x:v>Internal project IP / authorship claim</x:v>
      </x:c>
      <x:c r="I580" s="24" t="str">
        <x:v>Source package + repository path + hash</x:v>
      </x:c>
      <x:c r="J580" s="24" t="str">
        <x:v>1718223e12436f910111accfff3ffefca529a21b8e9ece4a21e5ede458f55bbc</x:v>
      </x:c>
      <x:c r="K580" s="24" t="str">
        <x:v>Assets/_Project/Scripts/Runtime/VerticalSlicePhase1/Phase1VfxPool.cs</x:v>
      </x:c>
      <x:c r="L580" s="24" t="str">
        <x:v>CR-003</x:v>
      </x:c>
      <x:c r="M580" s="24" t="str"/>
      <x:c r="N580" s="24" t="str">
        <x:v>RES-001;RES-014</x:v>
      </x:c>
      <x:c r="O580" s="24" t="str">
        <x:v>Internal development; public candidate requires gate</x:v>
      </x:c>
      <x:c r="P580" s="24" t="str">
        <x:v>CONDITIONALLY APPROVED</x:v>
      </x:c>
      <x:c r="Q580" s="24" t="str">
        <x:v>Low</x:v>
      </x:c>
      <x:c r="R580" s="24" t="str"/>
      <x:c r="S580" s="24" t="str">
        <x:v>Sí</x:v>
      </x:c>
      <x:c r="T580" s="24" t="str">
        <x:f>"T"&amp;IF(AND(H580&lt;&gt;"",I580&lt;&gt;"",J580&lt;&gt;"",L580&lt;&gt;"",N580&lt;&gt;"",O580&lt;&gt;"",P580="APPROVED PUBLIC",S580="Sí"),6,IF(AND(H580&lt;&gt;"",I580&lt;&gt;"",J580&lt;&gt;"",L580&lt;&gt;"",N580&lt;&gt;"",O580&lt;&gt;"",P580&lt;&gt;"",S580="Sí"),5,IF(AND(H580&lt;&gt;"",I580&lt;&gt;"",P580&lt;&gt;"",S580&lt;&gt;"No"),4,IF(AND(H580&lt;&gt;"",I580&lt;&gt;""),3,IF(F580&lt;&gt;"",2,1)))))</x:f>
        <x:v>T5</x:v>
      </x:c>
      <x:c r="U580" s="24" t="str">
        <x:v>VRM Games</x:v>
      </x:c>
      <x:c r="V580" s="24" t="str">
        <x:v>No se detectó proveedor externo en la ruta; confirmar autoría por lote antes de release público.</x:v>
      </x:c>
    </x:row>
    <x:row r="581" ht="34" customHeight="1">
      <x:c r="A581" s="24" t="str">
        <x:v>TRC-00577</x:v>
      </x:c>
      <x:c r="B581" s="24" t="str">
        <x:v>fe33933c657d3b54a9fd489ad7ec1704</x:v>
      </x:c>
      <x:c r="C581" s="24" t="str">
        <x:v>RepresentativeStoreVisualBuilder.cs</x:v>
      </x:c>
      <x:c r="D581" s="24" t="str">
        <x:v>Code</x:v>
      </x:c>
      <x:c r="E581" s="24" t="str">
        <x:v>03_Assets_Internos</x:v>
      </x:c>
      <x:c r="F581" s="24" t="str">
        <x:v>INT-0577</x:v>
      </x:c>
      <x:c r="G581" s="24" t="str">
        <x:v>VRM Games / Blas Luis Rocha González</x:v>
      </x:c>
      <x:c r="H581" s="24" t="str">
        <x:v>Internal project IP / authorship claim</x:v>
      </x:c>
      <x:c r="I581" s="24" t="str">
        <x:v>Source package + repository path + hash</x:v>
      </x:c>
      <x:c r="J581" s="24" t="str">
        <x:v>44557f02056b86b709c32e1b277da6b9e09bde104a62a81b55027b693331bba4</x:v>
      </x:c>
      <x:c r="K581" s="24" t="str">
        <x:v>Assets/_Project/Scripts/Runtime/VerticalSlicePhase1/RepresentativeStoreVisualBuilder.cs</x:v>
      </x:c>
      <x:c r="L581" s="24" t="str">
        <x:v>CR-003</x:v>
      </x:c>
      <x:c r="M581" s="24" t="str"/>
      <x:c r="N581" s="24" t="str">
        <x:v>RES-001;RES-014</x:v>
      </x:c>
      <x:c r="O581" s="24" t="str">
        <x:v>Internal development; public candidate requires gate</x:v>
      </x:c>
      <x:c r="P581" s="24" t="str">
        <x:v>CONDITIONALLY APPROVED</x:v>
      </x:c>
      <x:c r="Q581" s="24" t="str">
        <x:v>Low</x:v>
      </x:c>
      <x:c r="R581" s="24" t="str"/>
      <x:c r="S581" s="24" t="str">
        <x:v>Sí</x:v>
      </x:c>
      <x:c r="T581" s="24" t="str">
        <x:f>"T"&amp;IF(AND(H581&lt;&gt;"",I581&lt;&gt;"",J581&lt;&gt;"",L581&lt;&gt;"",N581&lt;&gt;"",O581&lt;&gt;"",P581="APPROVED PUBLIC",S581="Sí"),6,IF(AND(H581&lt;&gt;"",I581&lt;&gt;"",J581&lt;&gt;"",L581&lt;&gt;"",N581&lt;&gt;"",O581&lt;&gt;"",P581&lt;&gt;"",S581="Sí"),5,IF(AND(H581&lt;&gt;"",I581&lt;&gt;"",P581&lt;&gt;"",S581&lt;&gt;"No"),4,IF(AND(H581&lt;&gt;"",I581&lt;&gt;""),3,IF(F581&lt;&gt;"",2,1)))))</x:f>
        <x:v>T5</x:v>
      </x:c>
      <x:c r="U581" s="24" t="str">
        <x:v>VRM Games</x:v>
      </x:c>
      <x:c r="V581" s="24" t="str">
        <x:v>No se detectó proveedor externo en la ruta; confirmar autoría por lote antes de release público.</x:v>
      </x:c>
    </x:row>
    <x:row r="582" ht="34" customHeight="1">
      <x:c r="A582" s="24" t="str">
        <x:v>TRC-00578</x:v>
      </x:c>
      <x:c r="B582" s="24" t="str">
        <x:v>848b4e706427d49403f4fdde758d8534</x:v>
      </x:c>
      <x:c r="C582" s="24" t="str">
        <x:v>Sprint16Phase1RuntimeRoot.cs</x:v>
      </x:c>
      <x:c r="D582" s="24" t="str">
        <x:v>Code</x:v>
      </x:c>
      <x:c r="E582" s="24" t="str">
        <x:v>03_Assets_Internos</x:v>
      </x:c>
      <x:c r="F582" s="24" t="str">
        <x:v>INT-0578</x:v>
      </x:c>
      <x:c r="G582" s="24" t="str">
        <x:v>VRM Games / Blas Luis Rocha González</x:v>
      </x:c>
      <x:c r="H582" s="24" t="str">
        <x:v>Internal project IP / authorship claim</x:v>
      </x:c>
      <x:c r="I582" s="24" t="str">
        <x:v>Source package + repository path + hash</x:v>
      </x:c>
      <x:c r="J582" s="24" t="str">
        <x:v>f5222d4ac5ff971d94606cbf6d0f5ef70d3a24edfeaa4f9aaac424cb7aafeeb8</x:v>
      </x:c>
      <x:c r="K582" s="24" t="str">
        <x:v>Assets/_Project/Scripts/Runtime/VerticalSlicePhase1/Sprint16Phase1RuntimeRoot.cs</x:v>
      </x:c>
      <x:c r="L582" s="24" t="str">
        <x:v>CR-003</x:v>
      </x:c>
      <x:c r="M582" s="24" t="str"/>
      <x:c r="N582" s="24" t="str">
        <x:v>RES-001;RES-014</x:v>
      </x:c>
      <x:c r="O582" s="24" t="str">
        <x:v>Internal development; public candidate requires gate</x:v>
      </x:c>
      <x:c r="P582" s="24" t="str">
        <x:v>CONDITIONALLY APPROVED</x:v>
      </x:c>
      <x:c r="Q582" s="24" t="str">
        <x:v>Low</x:v>
      </x:c>
      <x:c r="R582" s="24" t="str"/>
      <x:c r="S582" s="24" t="str">
        <x:v>Sí</x:v>
      </x:c>
      <x:c r="T582" s="24" t="str">
        <x:f>"T"&amp;IF(AND(H582&lt;&gt;"",I582&lt;&gt;"",J582&lt;&gt;"",L582&lt;&gt;"",N582&lt;&gt;"",O582&lt;&gt;"",P582="APPROVED PUBLIC",S582="Sí"),6,IF(AND(H582&lt;&gt;"",I582&lt;&gt;"",J582&lt;&gt;"",L582&lt;&gt;"",N582&lt;&gt;"",O582&lt;&gt;"",P582&lt;&gt;"",S582="Sí"),5,IF(AND(H582&lt;&gt;"",I582&lt;&gt;"",P582&lt;&gt;"",S582&lt;&gt;"No"),4,IF(AND(H582&lt;&gt;"",I582&lt;&gt;""),3,IF(F582&lt;&gt;"",2,1)))))</x:f>
        <x:v>T5</x:v>
      </x:c>
      <x:c r="U582" s="24" t="str">
        <x:v>VRM Games</x:v>
      </x:c>
      <x:c r="V582" s="24" t="str">
        <x:v>No se detectó proveedor externo en la ruta; confirmar autoría por lote antes de release público.</x:v>
      </x:c>
    </x:row>
    <x:row r="583" ht="34" customHeight="1">
      <x:c r="A583" s="24" t="str">
        <x:v>TRC-00579</x:v>
      </x:c>
      <x:c r="B583" s="24" t="str">
        <x:v>c4c6b4a1000fa6983bf3a939acf79339</x:v>
      </x:c>
      <x:c r="C583" s="24" t="str">
        <x:v>Sprint16Phase1TechnicalScenarioRunner.cs</x:v>
      </x:c>
      <x:c r="D583" s="24" t="str">
        <x:v>Code</x:v>
      </x:c>
      <x:c r="E583" s="24" t="str">
        <x:v>03_Assets_Internos</x:v>
      </x:c>
      <x:c r="F583" s="24" t="str">
        <x:v>INT-0579</x:v>
      </x:c>
      <x:c r="G583" s="24" t="str">
        <x:v>VRM Games / Blas Luis Rocha González</x:v>
      </x:c>
      <x:c r="H583" s="24" t="str">
        <x:v>Internal project IP / authorship claim</x:v>
      </x:c>
      <x:c r="I583" s="24" t="str">
        <x:v>Source package + repository path + hash</x:v>
      </x:c>
      <x:c r="J583" s="24" t="str">
        <x:v>535f5021c1a1555eb99255b9abac379df4757d182e179079cacf200b2695912a</x:v>
      </x:c>
      <x:c r="K583" s="24" t="str">
        <x:v>Assets/_Project/Scripts/Runtime/VerticalSlicePhase1/Sprint16Phase1TechnicalScenarioRunner.cs</x:v>
      </x:c>
      <x:c r="L583" s="24" t="str">
        <x:v>CR-003</x:v>
      </x:c>
      <x:c r="M583" s="24" t="str"/>
      <x:c r="N583" s="24" t="str">
        <x:v>RES-001;RES-014</x:v>
      </x:c>
      <x:c r="O583" s="24" t="str">
        <x:v>Internal development; public candidate requires gate</x:v>
      </x:c>
      <x:c r="P583" s="24" t="str">
        <x:v>CONDITIONALLY APPROVED</x:v>
      </x:c>
      <x:c r="Q583" s="24" t="str">
        <x:v>Low</x:v>
      </x:c>
      <x:c r="R583" s="24" t="str"/>
      <x:c r="S583" s="24" t="str">
        <x:v>Sí</x:v>
      </x:c>
      <x:c r="T583" s="24" t="str">
        <x:f>"T"&amp;IF(AND(H583&lt;&gt;"",I583&lt;&gt;"",J583&lt;&gt;"",L583&lt;&gt;"",N583&lt;&gt;"",O583&lt;&gt;"",P583="APPROVED PUBLIC",S583="Sí"),6,IF(AND(H583&lt;&gt;"",I583&lt;&gt;"",J583&lt;&gt;"",L583&lt;&gt;"",N583&lt;&gt;"",O583&lt;&gt;"",P583&lt;&gt;"",S583="Sí"),5,IF(AND(H583&lt;&gt;"",I583&lt;&gt;"",P583&lt;&gt;"",S583&lt;&gt;"No"),4,IF(AND(H583&lt;&gt;"",I583&lt;&gt;""),3,IF(F583&lt;&gt;"",2,1)))))</x:f>
        <x:v>T5</x:v>
      </x:c>
      <x:c r="U583" s="24" t="str">
        <x:v>VRM Games</x:v>
      </x:c>
      <x:c r="V583" s="24" t="str">
        <x:v>No se detectó proveedor externo en la ruta; confirmar autoría por lote antes de release público.</x:v>
      </x:c>
    </x:row>
    <x:row r="584" ht="34" customHeight="1">
      <x:c r="A584" s="24" t="str">
        <x:v>TRC-00580</x:v>
      </x:c>
      <x:c r="B584" s="24" t="str">
        <x:v>087da29ca8d94775f86885088d9c7376</x:v>
      </x:c>
      <x:c r="C584" s="24" t="str">
        <x:v>VRMGames.CartridgeAndCloud.Runtime.VerticalSlicePhase1.asmdef</x:v>
      </x:c>
      <x:c r="D584" s="24" t="str">
        <x:v>Assembly definition</x:v>
      </x:c>
      <x:c r="E584" s="24" t="str">
        <x:v>03_Assets_Internos</x:v>
      </x:c>
      <x:c r="F584" s="24" t="str">
        <x:v>INT-0580</x:v>
      </x:c>
      <x:c r="G584" s="24" t="str">
        <x:v>VRM Games / Blas Luis Rocha González</x:v>
      </x:c>
      <x:c r="H584" s="24" t="str">
        <x:v>Internal project IP / authorship claim</x:v>
      </x:c>
      <x:c r="I584" s="24" t="str">
        <x:v>Source package + repository path + hash</x:v>
      </x:c>
      <x:c r="J584" s="24" t="str">
        <x:v>ec38805a49f3879c38de5482de57cfc44acdc87eaa2ca0593ff1a27228d12079</x:v>
      </x:c>
      <x:c r="K584" s="24" t="str">
        <x:v>Assets/_Project/Scripts/Runtime/VerticalSlicePhase1/VRMGames.CartridgeAndCloud.Runtime.VerticalSlicePhase1.asmdef</x:v>
      </x:c>
      <x:c r="L584" s="24" t="str">
        <x:v>CR-003</x:v>
      </x:c>
      <x:c r="M584" s="24" t="str"/>
      <x:c r="N584" s="24" t="str">
        <x:v>RES-001;RES-014</x:v>
      </x:c>
      <x:c r="O584" s="24" t="str">
        <x:v>Internal development; public candidate requires gate</x:v>
      </x:c>
      <x:c r="P584" s="24" t="str">
        <x:v>CONDITIONALLY APPROVED</x:v>
      </x:c>
      <x:c r="Q584" s="24" t="str">
        <x:v>Low</x:v>
      </x:c>
      <x:c r="R584" s="24" t="str"/>
      <x:c r="S584" s="24" t="str">
        <x:v>Sí</x:v>
      </x:c>
      <x:c r="T584" s="24" t="str">
        <x:f>"T"&amp;IF(AND(H584&lt;&gt;"",I584&lt;&gt;"",J584&lt;&gt;"",L584&lt;&gt;"",N584&lt;&gt;"",O584&lt;&gt;"",P584="APPROVED PUBLIC",S584="Sí"),6,IF(AND(H584&lt;&gt;"",I584&lt;&gt;"",J584&lt;&gt;"",L584&lt;&gt;"",N584&lt;&gt;"",O584&lt;&gt;"",P584&lt;&gt;"",S584="Sí"),5,IF(AND(H584&lt;&gt;"",I584&lt;&gt;"",P584&lt;&gt;"",S584&lt;&gt;"No"),4,IF(AND(H584&lt;&gt;"",I584&lt;&gt;""),3,IF(F584&lt;&gt;"",2,1)))))</x:f>
        <x:v>T5</x:v>
      </x:c>
      <x:c r="U584" s="24" t="str">
        <x:v>VRM Games</x:v>
      </x:c>
      <x:c r="V584" s="24" t="str">
        <x:v>No se detectó proveedor externo en la ruta; confirmar autoría por lote antes de release público.</x:v>
      </x:c>
    </x:row>
    <x:row r="585" ht="34" customHeight="1">
      <x:c r="A585" s="24" t="str">
        <x:v>TRC-00581</x:v>
      </x:c>
      <x:c r="B585" s="24" t="str">
        <x:v>2fbd6ee9c4264251958afecd482d50c6</x:v>
      </x:c>
      <x:c r="C585" s="24" t="str">
        <x:v>AccessAnchorTests.cs</x:v>
      </x:c>
      <x:c r="D585" s="24" t="str">
        <x:v>Code</x:v>
      </x:c>
      <x:c r="E585" s="24" t="str">
        <x:v>03_Assets_Internos</x:v>
      </x:c>
      <x:c r="F585" s="24" t="str">
        <x:v>INT-0581</x:v>
      </x:c>
      <x:c r="G585" s="24" t="str">
        <x:v>VRM Games / Blas Luis Rocha González</x:v>
      </x:c>
      <x:c r="H585" s="24" t="str">
        <x:v>Internal project IP / authorship claim</x:v>
      </x:c>
      <x:c r="I585" s="24" t="str">
        <x:v>Source package + repository path + hash</x:v>
      </x:c>
      <x:c r="J585" s="24" t="str">
        <x:v>bf79f9a8fd3c5f7c5955e5a1825a426d5c8df35b92d7dfc869bfb66a2388b59e</x:v>
      </x:c>
      <x:c r="K585" s="24" t="str">
        <x:v>Assets/_Project/Tests/EditMode/Access/AccessAnchorTests.cs</x:v>
      </x:c>
      <x:c r="L585" s="24" t="str">
        <x:v>CR-003</x:v>
      </x:c>
      <x:c r="M585" s="24" t="str"/>
      <x:c r="N585" s="24" t="str">
        <x:v>RES-001;RES-014</x:v>
      </x:c>
      <x:c r="O585" s="24" t="str">
        <x:v>Internal development; public candidate requires gate</x:v>
      </x:c>
      <x:c r="P585" s="24" t="str">
        <x:v>CONDITIONALLY APPROVED</x:v>
      </x:c>
      <x:c r="Q585" s="24" t="str">
        <x:v>Low</x:v>
      </x:c>
      <x:c r="R585" s="24" t="str"/>
      <x:c r="S585" s="24" t="str">
        <x:v>Sí</x:v>
      </x:c>
      <x:c r="T585" s="24" t="str">
        <x:f>"T"&amp;IF(AND(H585&lt;&gt;"",I585&lt;&gt;"",J585&lt;&gt;"",L585&lt;&gt;"",N585&lt;&gt;"",O585&lt;&gt;"",P585="APPROVED PUBLIC",S585="Sí"),6,IF(AND(H585&lt;&gt;"",I585&lt;&gt;"",J585&lt;&gt;"",L585&lt;&gt;"",N585&lt;&gt;"",O585&lt;&gt;"",P585&lt;&gt;"",S585="Sí"),5,IF(AND(H585&lt;&gt;"",I585&lt;&gt;"",P585&lt;&gt;"",S585&lt;&gt;"No"),4,IF(AND(H585&lt;&gt;"",I585&lt;&gt;""),3,IF(F585&lt;&gt;"",2,1)))))</x:f>
        <x:v>T5</x:v>
      </x:c>
      <x:c r="U585" s="24" t="str">
        <x:v>VRM Games</x:v>
      </x:c>
      <x:c r="V585" s="24" t="str">
        <x:v>No se detectó proveedor externo en la ruta; confirmar autoría por lote antes de release público.</x:v>
      </x:c>
    </x:row>
    <x:row r="586" ht="34" customHeight="1">
      <x:c r="A586" s="24" t="str">
        <x:v>TRC-00582</x:v>
      </x:c>
      <x:c r="B586" s="24" t="str">
        <x:v>449f62cdda164085b2c60fd9ead3db84</x:v>
      </x:c>
      <x:c r="C586" s="24" t="str">
        <x:v>GridAccessValidatorTests.cs</x:v>
      </x:c>
      <x:c r="D586" s="24" t="str">
        <x:v>Code</x:v>
      </x:c>
      <x:c r="E586" s="24" t="str">
        <x:v>03_Assets_Internos</x:v>
      </x:c>
      <x:c r="F586" s="24" t="str">
        <x:v>INT-0582</x:v>
      </x:c>
      <x:c r="G586" s="24" t="str">
        <x:v>VRM Games / Blas Luis Rocha González</x:v>
      </x:c>
      <x:c r="H586" s="24" t="str">
        <x:v>Internal project IP / authorship claim</x:v>
      </x:c>
      <x:c r="I586" s="24" t="str">
        <x:v>Source package + repository path + hash</x:v>
      </x:c>
      <x:c r="J586" s="24" t="str">
        <x:v>45762bae23a75d154db9ee6ae9efdaf05f7913389bdf9e455efb95480232f377</x:v>
      </x:c>
      <x:c r="K586" s="24" t="str">
        <x:v>Assets/_Project/Tests/EditMode/Access/GridAccessValidatorTests.cs</x:v>
      </x:c>
      <x:c r="L586" s="24" t="str">
        <x:v>CR-003</x:v>
      </x:c>
      <x:c r="M586" s="24" t="str"/>
      <x:c r="N586" s="24" t="str">
        <x:v>RES-001;RES-014</x:v>
      </x:c>
      <x:c r="O586" s="24" t="str">
        <x:v>Internal development; public candidate requires gate</x:v>
      </x:c>
      <x:c r="P586" s="24" t="str">
        <x:v>CONDITIONALLY APPROVED</x:v>
      </x:c>
      <x:c r="Q586" s="24" t="str">
        <x:v>Low</x:v>
      </x:c>
      <x:c r="R586" s="24" t="str"/>
      <x:c r="S586" s="24" t="str">
        <x:v>Sí</x:v>
      </x:c>
      <x:c r="T586" s="24" t="str">
        <x:f>"T"&amp;IF(AND(H586&lt;&gt;"",I586&lt;&gt;"",J586&lt;&gt;"",L586&lt;&gt;"",N586&lt;&gt;"",O586&lt;&gt;"",P586="APPROVED PUBLIC",S586="Sí"),6,IF(AND(H586&lt;&gt;"",I586&lt;&gt;"",J586&lt;&gt;"",L586&lt;&gt;"",N586&lt;&gt;"",O586&lt;&gt;"",P586&lt;&gt;"",S586="Sí"),5,IF(AND(H586&lt;&gt;"",I586&lt;&gt;"",P586&lt;&gt;"",S586&lt;&gt;"No"),4,IF(AND(H586&lt;&gt;"",I586&lt;&gt;""),3,IF(F586&lt;&gt;"",2,1)))))</x:f>
        <x:v>T5</x:v>
      </x:c>
      <x:c r="U586" s="24" t="str">
        <x:v>VRM Games</x:v>
      </x:c>
      <x:c r="V586" s="24" t="str">
        <x:v>No se detectó proveedor externo en la ruta; confirmar autoría por lote antes de release público.</x:v>
      </x:c>
    </x:row>
    <x:row r="587" ht="34" customHeight="1">
      <x:c r="A587" s="24" t="str">
        <x:v>TRC-00583</x:v>
      </x:c>
      <x:c r="B587" s="24" t="str">
        <x:v>845b2663616140549358e4f2baa02362</x:v>
      </x:c>
      <x:c r="C587" s="24" t="str">
        <x:v>StoreAccessLayoutTests.cs</x:v>
      </x:c>
      <x:c r="D587" s="24" t="str">
        <x:v>Code</x:v>
      </x:c>
      <x:c r="E587" s="24" t="str">
        <x:v>03_Assets_Internos</x:v>
      </x:c>
      <x:c r="F587" s="24" t="str">
        <x:v>INT-0583</x:v>
      </x:c>
      <x:c r="G587" s="24" t="str">
        <x:v>VRM Games / Blas Luis Rocha González</x:v>
      </x:c>
      <x:c r="H587" s="24" t="str">
        <x:v>Internal project IP / authorship claim</x:v>
      </x:c>
      <x:c r="I587" s="24" t="str">
        <x:v>Source package + repository path + hash</x:v>
      </x:c>
      <x:c r="J587" s="24" t="str">
        <x:v>df5801ef567952cfe6da77c18d7feb1f21f9abd8b4f995b270ee2f8f5af7004d</x:v>
      </x:c>
      <x:c r="K587" s="24" t="str">
        <x:v>Assets/_Project/Tests/EditMode/Access/StoreAccessLayoutTests.cs</x:v>
      </x:c>
      <x:c r="L587" s="24" t="str">
        <x:v>CR-003</x:v>
      </x:c>
      <x:c r="M587" s="24" t="str"/>
      <x:c r="N587" s="24" t="str">
        <x:v>RES-001;RES-014</x:v>
      </x:c>
      <x:c r="O587" s="24" t="str">
        <x:v>Internal development; public candidate requires gate</x:v>
      </x:c>
      <x:c r="P587" s="24" t="str">
        <x:v>CONDITIONALLY APPROVED</x:v>
      </x:c>
      <x:c r="Q587" s="24" t="str">
        <x:v>Low</x:v>
      </x:c>
      <x:c r="R587" s="24" t="str"/>
      <x:c r="S587" s="24" t="str">
        <x:v>Sí</x:v>
      </x:c>
      <x:c r="T587" s="24" t="str">
        <x:f>"T"&amp;IF(AND(H587&lt;&gt;"",I587&lt;&gt;"",J587&lt;&gt;"",L587&lt;&gt;"",N587&lt;&gt;"",O587&lt;&gt;"",P587="APPROVED PUBLIC",S587="Sí"),6,IF(AND(H587&lt;&gt;"",I587&lt;&gt;"",J587&lt;&gt;"",L587&lt;&gt;"",N587&lt;&gt;"",O587&lt;&gt;"",P587&lt;&gt;"",S587="Sí"),5,IF(AND(H587&lt;&gt;"",I587&lt;&gt;"",P587&lt;&gt;"",S587&lt;&gt;"No"),4,IF(AND(H587&lt;&gt;"",I587&lt;&gt;""),3,IF(F587&lt;&gt;"",2,1)))))</x:f>
        <x:v>T5</x:v>
      </x:c>
      <x:c r="U587" s="24" t="str">
        <x:v>VRM Games</x:v>
      </x:c>
      <x:c r="V587" s="24" t="str">
        <x:v>No se detectó proveedor externo en la ruta; confirmar autoría por lote antes de release público.</x:v>
      </x:c>
    </x:row>
    <x:row r="588" ht="34" customHeight="1">
      <x:c r="A588" s="24" t="str">
        <x:v>TRC-00584</x:v>
      </x:c>
      <x:c r="B588" s="24" t="str">
        <x:v>c3ed55fff4534522b876a7877a9bca4d</x:v>
      </x:c>
      <x:c r="C588" s="24" t="str">
        <x:v>StorePlacementAccessValidatorTests.cs</x:v>
      </x:c>
      <x:c r="D588" s="24" t="str">
        <x:v>Code</x:v>
      </x:c>
      <x:c r="E588" s="24" t="str">
        <x:v>03_Assets_Internos</x:v>
      </x:c>
      <x:c r="F588" s="24" t="str">
        <x:v>INT-0584</x:v>
      </x:c>
      <x:c r="G588" s="24" t="str">
        <x:v>VRM Games / Blas Luis Rocha González</x:v>
      </x:c>
      <x:c r="H588" s="24" t="str">
        <x:v>Internal project IP / authorship claim</x:v>
      </x:c>
      <x:c r="I588" s="24" t="str">
        <x:v>Source package + repository path + hash</x:v>
      </x:c>
      <x:c r="J588" s="24" t="str">
        <x:v>9568cb9ced7a6f80d37cc067dd278b0d189485ef7fb8af664a484664d15359a8</x:v>
      </x:c>
      <x:c r="K588" s="24" t="str">
        <x:v>Assets/_Project/Tests/EditMode/Access/StorePlacementAccessValidatorTests.cs</x:v>
      </x:c>
      <x:c r="L588" s="24" t="str">
        <x:v>CR-003</x:v>
      </x:c>
      <x:c r="M588" s="24" t="str"/>
      <x:c r="N588" s="24" t="str">
        <x:v>RES-001;RES-014</x:v>
      </x:c>
      <x:c r="O588" s="24" t="str">
        <x:v>Internal development; public candidate requires gate</x:v>
      </x:c>
      <x:c r="P588" s="24" t="str">
        <x:v>CONDITIONALLY APPROVED</x:v>
      </x:c>
      <x:c r="Q588" s="24" t="str">
        <x:v>Low</x:v>
      </x:c>
      <x:c r="R588" s="24" t="str"/>
      <x:c r="S588" s="24" t="str">
        <x:v>Sí</x:v>
      </x:c>
      <x:c r="T588" s="24" t="str">
        <x:f>"T"&amp;IF(AND(H588&lt;&gt;"",I588&lt;&gt;"",J588&lt;&gt;"",L588&lt;&gt;"",N588&lt;&gt;"",O588&lt;&gt;"",P588="APPROVED PUBLIC",S588="Sí"),6,IF(AND(H588&lt;&gt;"",I588&lt;&gt;"",J588&lt;&gt;"",L588&lt;&gt;"",N588&lt;&gt;"",O588&lt;&gt;"",P588&lt;&gt;"",S588="Sí"),5,IF(AND(H588&lt;&gt;"",I588&lt;&gt;"",P588&lt;&gt;"",S588&lt;&gt;"No"),4,IF(AND(H588&lt;&gt;"",I588&lt;&gt;""),3,IF(F588&lt;&gt;"",2,1)))))</x:f>
        <x:v>T5</x:v>
      </x:c>
      <x:c r="U588" s="24" t="str">
        <x:v>VRM Games</x:v>
      </x:c>
      <x:c r="V588" s="24" t="str">
        <x:v>No se detectó proveedor externo en la ruta; confirmar autoría por lote antes de release público.</x:v>
      </x:c>
    </x:row>
    <x:row r="589" ht="34" customHeight="1">
      <x:c r="A589" s="24" t="str">
        <x:v>TRC-00585</x:v>
      </x:c>
      <x:c r="B589" s="24" t="str">
        <x:v>5ce079514e3830e4c951c4ae7e476edc</x:v>
      </x:c>
      <x:c r="C589" s="24" t="str">
        <x:v>AssemblyDefinitionSmokeTests.cs</x:v>
      </x:c>
      <x:c r="D589" s="24" t="str">
        <x:v>Code</x:v>
      </x:c>
      <x:c r="E589" s="24" t="str">
        <x:v>03_Assets_Internos</x:v>
      </x:c>
      <x:c r="F589" s="24" t="str">
        <x:v>INT-0585</x:v>
      </x:c>
      <x:c r="G589" s="24" t="str">
        <x:v>VRM Games / Blas Luis Rocha González</x:v>
      </x:c>
      <x:c r="H589" s="24" t="str">
        <x:v>Internal project IP / authorship claim</x:v>
      </x:c>
      <x:c r="I589" s="24" t="str">
        <x:v>Source package + repository path + hash</x:v>
      </x:c>
      <x:c r="J589" s="24" t="str">
        <x:v>a52346773f93d23ddd6bd9c5d13590262d273cd2513bf3a9190374b91ed69f61</x:v>
      </x:c>
      <x:c r="K589" s="24" t="str">
        <x:v>Assets/_Project/Tests/EditMode/AssemblyDefinitionSmokeTests.cs</x:v>
      </x:c>
      <x:c r="L589" s="24" t="str">
        <x:v>CR-003</x:v>
      </x:c>
      <x:c r="M589" s="24" t="str"/>
      <x:c r="N589" s="24" t="str">
        <x:v>RES-001;RES-014</x:v>
      </x:c>
      <x:c r="O589" s="24" t="str">
        <x:v>Internal development; public candidate requires gate</x:v>
      </x:c>
      <x:c r="P589" s="24" t="str">
        <x:v>CONDITIONALLY APPROVED</x:v>
      </x:c>
      <x:c r="Q589" s="24" t="str">
        <x:v>Low</x:v>
      </x:c>
      <x:c r="R589" s="24" t="str"/>
      <x:c r="S589" s="24" t="str">
        <x:v>Sí</x:v>
      </x:c>
      <x:c r="T589" s="24" t="str">
        <x:f>"T"&amp;IF(AND(H589&lt;&gt;"",I589&lt;&gt;"",J589&lt;&gt;"",L589&lt;&gt;"",N589&lt;&gt;"",O589&lt;&gt;"",P589="APPROVED PUBLIC",S589="Sí"),6,IF(AND(H589&lt;&gt;"",I589&lt;&gt;"",J589&lt;&gt;"",L589&lt;&gt;"",N589&lt;&gt;"",O589&lt;&gt;"",P589&lt;&gt;"",S589="Sí"),5,IF(AND(H589&lt;&gt;"",I589&lt;&gt;"",P589&lt;&gt;"",S589&lt;&gt;"No"),4,IF(AND(H589&lt;&gt;"",I589&lt;&gt;""),3,IF(F589&lt;&gt;"",2,1)))))</x:f>
        <x:v>T5</x:v>
      </x:c>
      <x:c r="U589" s="24" t="str">
        <x:v>VRM Games</x:v>
      </x:c>
      <x:c r="V589" s="24" t="str">
        <x:v>No se detectó proveedor externo en la ruta; confirmar autoría por lote antes de release público.</x:v>
      </x:c>
    </x:row>
    <x:row r="590" ht="34" customHeight="1">
      <x:c r="A590" s="24" t="str">
        <x:v>TRC-00586</x:v>
      </x:c>
      <x:c r="B590" s="24" t="str">
        <x:v>1b3aa6c902344da8ad6541bb45acbf83</x:v>
      </x:c>
      <x:c r="C590" s="24" t="str">
        <x:v>ProductAuthoringAssetTests.cs</x:v>
      </x:c>
      <x:c r="D590" s="24" t="str">
        <x:v>Code</x:v>
      </x:c>
      <x:c r="E590" s="24" t="str">
        <x:v>03_Assets_Internos</x:v>
      </x:c>
      <x:c r="F590" s="24" t="str">
        <x:v>INT-0586</x:v>
      </x:c>
      <x:c r="G590" s="24" t="str">
        <x:v>VRM Games / Blas Luis Rocha González</x:v>
      </x:c>
      <x:c r="H590" s="24" t="str">
        <x:v>Internal project IP / authorship claim</x:v>
      </x:c>
      <x:c r="I590" s="24" t="str">
        <x:v>Source package + repository path + hash</x:v>
      </x:c>
      <x:c r="J590" s="24" t="str">
        <x:v>dcf09ead3bd45e2ea4e2738e0ae39c8c4301071d60c66ba951cc642ead3b3801</x:v>
      </x:c>
      <x:c r="K590" s="24" t="str">
        <x:v>Assets/_Project/Tests/EditMode/Authoring/ProductAuthoringAssetTests.cs</x:v>
      </x:c>
      <x:c r="L590" s="24" t="str">
        <x:v>CR-003</x:v>
      </x:c>
      <x:c r="M590" s="24" t="str"/>
      <x:c r="N590" s="24" t="str">
        <x:v>RES-001;RES-014</x:v>
      </x:c>
      <x:c r="O590" s="24" t="str">
        <x:v>Internal development; public candidate requires gate</x:v>
      </x:c>
      <x:c r="P590" s="24" t="str">
        <x:v>CONDITIONALLY APPROVED</x:v>
      </x:c>
      <x:c r="Q590" s="24" t="str">
        <x:v>Low</x:v>
      </x:c>
      <x:c r="R590" s="24" t="str"/>
      <x:c r="S590" s="24" t="str">
        <x:v>Sí</x:v>
      </x:c>
      <x:c r="T590" s="24" t="str">
        <x:f>"T"&amp;IF(AND(H590&lt;&gt;"",I590&lt;&gt;"",J590&lt;&gt;"",L590&lt;&gt;"",N590&lt;&gt;"",O590&lt;&gt;"",P590="APPROVED PUBLIC",S590="Sí"),6,IF(AND(H590&lt;&gt;"",I590&lt;&gt;"",J590&lt;&gt;"",L590&lt;&gt;"",N590&lt;&gt;"",O590&lt;&gt;"",P590&lt;&gt;"",S590="Sí"),5,IF(AND(H590&lt;&gt;"",I590&lt;&gt;"",P590&lt;&gt;"",S590&lt;&gt;"No"),4,IF(AND(H590&lt;&gt;"",I590&lt;&gt;""),3,IF(F590&lt;&gt;"",2,1)))))</x:f>
        <x:v>T5</x:v>
      </x:c>
      <x:c r="U590" s="24" t="str">
        <x:v>VRM Games</x:v>
      </x:c>
      <x:c r="V590" s="24" t="str">
        <x:v>No se detectó proveedor externo en la ruta; confirmar autoría por lote antes de release público.</x:v>
      </x:c>
    </x:row>
    <x:row r="591" ht="34" customHeight="1">
      <x:c r="A591" s="24" t="str">
        <x:v>TRC-00587</x:v>
      </x:c>
      <x:c r="B591" s="24" t="str">
        <x:v>132861ca38804a10b6bef0318812c765</x:v>
      </x:c>
      <x:c r="C591" s="24" t="str">
        <x:v>SupplierAuthoringAssetTests.cs</x:v>
      </x:c>
      <x:c r="D591" s="24" t="str">
        <x:v>Code</x:v>
      </x:c>
      <x:c r="E591" s="24" t="str">
        <x:v>03_Assets_Internos</x:v>
      </x:c>
      <x:c r="F591" s="24" t="str">
        <x:v>INT-0587</x:v>
      </x:c>
      <x:c r="G591" s="24" t="str">
        <x:v>VRM Games / Blas Luis Rocha González</x:v>
      </x:c>
      <x:c r="H591" s="24" t="str">
        <x:v>Internal project IP / authorship claim</x:v>
      </x:c>
      <x:c r="I591" s="24" t="str">
        <x:v>Source package + repository path + hash</x:v>
      </x:c>
      <x:c r="J591" s="24" t="str">
        <x:v>8cf3c6a4a0d40311276e9db8adbe41e7a4d5a2638c3f8e271112fda790207e0a</x:v>
      </x:c>
      <x:c r="K591" s="24" t="str">
        <x:v>Assets/_Project/Tests/EditMode/Authoring/SupplierAuthoringAssetTests.cs</x:v>
      </x:c>
      <x:c r="L591" s="24" t="str">
        <x:v>CR-003</x:v>
      </x:c>
      <x:c r="M591" s="24" t="str"/>
      <x:c r="N591" s="24" t="str">
        <x:v>RES-001;RES-014</x:v>
      </x:c>
      <x:c r="O591" s="24" t="str">
        <x:v>Internal development; public candidate requires gate</x:v>
      </x:c>
      <x:c r="P591" s="24" t="str">
        <x:v>CONDITIONALLY APPROVED</x:v>
      </x:c>
      <x:c r="Q591" s="24" t="str">
        <x:v>Low</x:v>
      </x:c>
      <x:c r="R591" s="24" t="str"/>
      <x:c r="S591" s="24" t="str">
        <x:v>Sí</x:v>
      </x:c>
      <x:c r="T591" s="24" t="str">
        <x:f>"T"&amp;IF(AND(H591&lt;&gt;"",I591&lt;&gt;"",J591&lt;&gt;"",L591&lt;&gt;"",N591&lt;&gt;"",O591&lt;&gt;"",P591="APPROVED PUBLIC",S591="Sí"),6,IF(AND(H591&lt;&gt;"",I591&lt;&gt;"",J591&lt;&gt;"",L591&lt;&gt;"",N591&lt;&gt;"",O591&lt;&gt;"",P591&lt;&gt;"",S591="Sí"),5,IF(AND(H591&lt;&gt;"",I591&lt;&gt;"",P591&lt;&gt;"",S591&lt;&gt;"No"),4,IF(AND(H591&lt;&gt;"",I591&lt;&gt;""),3,IF(F591&lt;&gt;"",2,1)))))</x:f>
        <x:v>T5</x:v>
      </x:c>
      <x:c r="U591" s="24" t="str">
        <x:v>VRM Games</x:v>
      </x:c>
      <x:c r="V591" s="24" t="str">
        <x:v>No se detectó proveedor externo en la ruta; confirmar autoría por lote antes de release público.</x:v>
      </x:c>
    </x:row>
    <x:row r="592" ht="34" customHeight="1">
      <x:c r="A592" s="24" t="str">
        <x:v>TRC-00588</x:v>
      </x:c>
      <x:c r="B592" s="24" t="str">
        <x:v>b8bf6fd0e6af474c9a31511a8b2e6710</x:v>
      </x:c>
      <x:c r="C592" s="24" t="str">
        <x:v>CheckoutAuthoringTests.cs</x:v>
      </x:c>
      <x:c r="D592" s="24" t="str">
        <x:v>Code</x:v>
      </x:c>
      <x:c r="E592" s="24" t="str">
        <x:v>03_Assets_Internos</x:v>
      </x:c>
      <x:c r="F592" s="24" t="str">
        <x:v>INT-0588</x:v>
      </x:c>
      <x:c r="G592" s="24" t="str">
        <x:v>VRM Games / Blas Luis Rocha González</x:v>
      </x:c>
      <x:c r="H592" s="24" t="str">
        <x:v>Internal project IP / authorship claim</x:v>
      </x:c>
      <x:c r="I592" s="24" t="str">
        <x:v>Source package + repository path + hash</x:v>
      </x:c>
      <x:c r="J592" s="24" t="str">
        <x:v>a63710b3485e8e4f3e042cc85b6ef19c30c4746128c6b60eb02aad0d2724ccf5</x:v>
      </x:c>
      <x:c r="K592" s="24" t="str">
        <x:v>Assets/_Project/Tests/EditMode/Checkout/CheckoutAuthoringTests.cs</x:v>
      </x:c>
      <x:c r="L592" s="24" t="str">
        <x:v>CR-003</x:v>
      </x:c>
      <x:c r="M592" s="24" t="str"/>
      <x:c r="N592" s="24" t="str">
        <x:v>RES-001;RES-014</x:v>
      </x:c>
      <x:c r="O592" s="24" t="str">
        <x:v>Internal development; public candidate requires gate</x:v>
      </x:c>
      <x:c r="P592" s="24" t="str">
        <x:v>CONDITIONALLY APPROVED</x:v>
      </x:c>
      <x:c r="Q592" s="24" t="str">
        <x:v>Low</x:v>
      </x:c>
      <x:c r="R592" s="24" t="str"/>
      <x:c r="S592" s="24" t="str">
        <x:v>Sí</x:v>
      </x:c>
      <x:c r="T592" s="24" t="str">
        <x:f>"T"&amp;IF(AND(H592&lt;&gt;"",I592&lt;&gt;"",J592&lt;&gt;"",L592&lt;&gt;"",N592&lt;&gt;"",O592&lt;&gt;"",P592="APPROVED PUBLIC",S592="Sí"),6,IF(AND(H592&lt;&gt;"",I592&lt;&gt;"",J592&lt;&gt;"",L592&lt;&gt;"",N592&lt;&gt;"",O592&lt;&gt;"",P592&lt;&gt;"",S592="Sí"),5,IF(AND(H592&lt;&gt;"",I592&lt;&gt;"",P592&lt;&gt;"",S592&lt;&gt;"No"),4,IF(AND(H592&lt;&gt;"",I592&lt;&gt;""),3,IF(F592&lt;&gt;"",2,1)))))</x:f>
        <x:v>T5</x:v>
      </x:c>
      <x:c r="U592" s="24" t="str">
        <x:v>VRM Games</x:v>
      </x:c>
      <x:c r="V592" s="24" t="str">
        <x:v>No se detectó proveedor externo en la ruta; confirmar autoría por lote antes de release público.</x:v>
      </x:c>
    </x:row>
    <x:row r="593" ht="34" customHeight="1">
      <x:c r="A593" s="24" t="str">
        <x:v>TRC-00589</x:v>
      </x:c>
      <x:c r="B593" s="24" t="str">
        <x:v>02babd2562874f0192f9fd99ed09bee3</x:v>
      </x:c>
      <x:c r="C593" s="24" t="str">
        <x:v>CheckoutCancellationTests.cs</x:v>
      </x:c>
      <x:c r="D593" s="24" t="str">
        <x:v>Code</x:v>
      </x:c>
      <x:c r="E593" s="24" t="str">
        <x:v>03_Assets_Internos</x:v>
      </x:c>
      <x:c r="F593" s="24" t="str">
        <x:v>INT-0589</x:v>
      </x:c>
      <x:c r="G593" s="24" t="str">
        <x:v>VRM Games / Blas Luis Rocha González</x:v>
      </x:c>
      <x:c r="H593" s="24" t="str">
        <x:v>Internal project IP / authorship claim</x:v>
      </x:c>
      <x:c r="I593" s="24" t="str">
        <x:v>Source package + repository path + hash</x:v>
      </x:c>
      <x:c r="J593" s="24" t="str">
        <x:v>fe77de4831b8a4551e65e3999ce70289ba87cf99aaa4ee779b1321d350b1db24</x:v>
      </x:c>
      <x:c r="K593" s="24" t="str">
        <x:v>Assets/_Project/Tests/EditMode/Checkout/CheckoutCancellationTests.cs</x:v>
      </x:c>
      <x:c r="L593" s="24" t="str">
        <x:v>CR-003</x:v>
      </x:c>
      <x:c r="M593" s="24" t="str"/>
      <x:c r="N593" s="24" t="str">
        <x:v>RES-001;RES-014</x:v>
      </x:c>
      <x:c r="O593" s="24" t="str">
        <x:v>Internal development; public candidate requires gate</x:v>
      </x:c>
      <x:c r="P593" s="24" t="str">
        <x:v>CONDITIONALLY APPROVED</x:v>
      </x:c>
      <x:c r="Q593" s="24" t="str">
        <x:v>Low</x:v>
      </x:c>
      <x:c r="R593" s="24" t="str"/>
      <x:c r="S593" s="24" t="str">
        <x:v>Sí</x:v>
      </x:c>
      <x:c r="T593" s="24" t="str">
        <x:f>"T"&amp;IF(AND(H593&lt;&gt;"",I593&lt;&gt;"",J593&lt;&gt;"",L593&lt;&gt;"",N593&lt;&gt;"",O593&lt;&gt;"",P593="APPROVED PUBLIC",S593="Sí"),6,IF(AND(H593&lt;&gt;"",I593&lt;&gt;"",J593&lt;&gt;"",L593&lt;&gt;"",N593&lt;&gt;"",O593&lt;&gt;"",P593&lt;&gt;"",S593="Sí"),5,IF(AND(H593&lt;&gt;"",I593&lt;&gt;"",P593&lt;&gt;"",S593&lt;&gt;"No"),4,IF(AND(H593&lt;&gt;"",I593&lt;&gt;""),3,IF(F593&lt;&gt;"",2,1)))))</x:f>
        <x:v>T5</x:v>
      </x:c>
      <x:c r="U593" s="24" t="str">
        <x:v>VRM Games</x:v>
      </x:c>
      <x:c r="V593" s="24" t="str">
        <x:v>No se detectó proveedor externo en la ruta; confirmar autoría por lote antes de release público.</x:v>
      </x:c>
    </x:row>
    <x:row r="594" ht="34" customHeight="1">
      <x:c r="A594" s="24" t="str">
        <x:v>TRC-00590</x:v>
      </x:c>
      <x:c r="B594" s="24" t="str">
        <x:v>71f320f0f96e4d8d889bf88f5bb28f06</x:v>
      </x:c>
      <x:c r="C594" s="24" t="str">
        <x:v>CheckoutQueueEntryTests.cs</x:v>
      </x:c>
      <x:c r="D594" s="24" t="str">
        <x:v>Code</x:v>
      </x:c>
      <x:c r="E594" s="24" t="str">
        <x:v>03_Assets_Internos</x:v>
      </x:c>
      <x:c r="F594" s="24" t="str">
        <x:v>INT-0590</x:v>
      </x:c>
      <x:c r="G594" s="24" t="str">
        <x:v>VRM Games / Blas Luis Rocha González</x:v>
      </x:c>
      <x:c r="H594" s="24" t="str">
        <x:v>Internal project IP / authorship claim</x:v>
      </x:c>
      <x:c r="I594" s="24" t="str">
        <x:v>Source package + repository path + hash</x:v>
      </x:c>
      <x:c r="J594" s="24" t="str">
        <x:v>881b7c903d11a715da93ce9da3ab189fdba8b1b1756bd4d323d5230d6ef87679</x:v>
      </x:c>
      <x:c r="K594" s="24" t="str">
        <x:v>Assets/_Project/Tests/EditMode/Checkout/CheckoutQueueEntryTests.cs</x:v>
      </x:c>
      <x:c r="L594" s="24" t="str">
        <x:v>CR-003</x:v>
      </x:c>
      <x:c r="M594" s="24" t="str"/>
      <x:c r="N594" s="24" t="str">
        <x:v>RES-001;RES-014</x:v>
      </x:c>
      <x:c r="O594" s="24" t="str">
        <x:v>Internal development; public candidate requires gate</x:v>
      </x:c>
      <x:c r="P594" s="24" t="str">
        <x:v>CONDITIONALLY APPROVED</x:v>
      </x:c>
      <x:c r="Q594" s="24" t="str">
        <x:v>Low</x:v>
      </x:c>
      <x:c r="R594" s="24" t="str"/>
      <x:c r="S594" s="24" t="str">
        <x:v>Sí</x:v>
      </x:c>
      <x:c r="T594" s="24" t="str">
        <x:f>"T"&amp;IF(AND(H594&lt;&gt;"",I594&lt;&gt;"",J594&lt;&gt;"",L594&lt;&gt;"",N594&lt;&gt;"",O594&lt;&gt;"",P594="APPROVED PUBLIC",S594="Sí"),6,IF(AND(H594&lt;&gt;"",I594&lt;&gt;"",J594&lt;&gt;"",L594&lt;&gt;"",N594&lt;&gt;"",O594&lt;&gt;"",P594&lt;&gt;"",S594="Sí"),5,IF(AND(H594&lt;&gt;"",I594&lt;&gt;"",P594&lt;&gt;"",S594&lt;&gt;"No"),4,IF(AND(H594&lt;&gt;"",I594&lt;&gt;""),3,IF(F594&lt;&gt;"",2,1)))))</x:f>
        <x:v>T5</x:v>
      </x:c>
      <x:c r="U594" s="24" t="str">
        <x:v>VRM Games</x:v>
      </x:c>
      <x:c r="V594" s="24" t="str">
        <x:v>No se detectó proveedor externo en la ruta; confirmar autoría por lote antes de release público.</x:v>
      </x:c>
    </x:row>
    <x:row r="595" ht="34" customHeight="1">
      <x:c r="A595" s="24" t="str">
        <x:v>TRC-00591</x:v>
      </x:c>
      <x:c r="B595" s="24" t="str">
        <x:v>1f943c6b52674ff2a2dd99cc26e11704</x:v>
      </x:c>
      <x:c r="C595" s="24" t="str">
        <x:v>CheckoutQueueServiceTests.cs</x:v>
      </x:c>
      <x:c r="D595" s="24" t="str">
        <x:v>Code</x:v>
      </x:c>
      <x:c r="E595" s="24" t="str">
        <x:v>03_Assets_Internos</x:v>
      </x:c>
      <x:c r="F595" s="24" t="str">
        <x:v>INT-0591</x:v>
      </x:c>
      <x:c r="G595" s="24" t="str">
        <x:v>VRM Games / Blas Luis Rocha González</x:v>
      </x:c>
      <x:c r="H595" s="24" t="str">
        <x:v>Internal project IP / authorship claim</x:v>
      </x:c>
      <x:c r="I595" s="24" t="str">
        <x:v>Source package + repository path + hash</x:v>
      </x:c>
      <x:c r="J595" s="24" t="str">
        <x:v>75a220cc33e8fe2f9f02cff54a7811b00f92ea82d0dd9d6d583c1e039e58a277</x:v>
      </x:c>
      <x:c r="K595" s="24" t="str">
        <x:v>Assets/_Project/Tests/EditMode/Checkout/CheckoutQueueServiceTests.cs</x:v>
      </x:c>
      <x:c r="L595" s="24" t="str">
        <x:v>CR-003</x:v>
      </x:c>
      <x:c r="M595" s="24" t="str"/>
      <x:c r="N595" s="24" t="str">
        <x:v>RES-001;RES-014</x:v>
      </x:c>
      <x:c r="O595" s="24" t="str">
        <x:v>Internal development; public candidate requires gate</x:v>
      </x:c>
      <x:c r="P595" s="24" t="str">
        <x:v>CONDITIONALLY APPROVED</x:v>
      </x:c>
      <x:c r="Q595" s="24" t="str">
        <x:v>Low</x:v>
      </x:c>
      <x:c r="R595" s="24" t="str"/>
      <x:c r="S595" s="24" t="str">
        <x:v>Sí</x:v>
      </x:c>
      <x:c r="T595" s="24" t="str">
        <x:f>"T"&amp;IF(AND(H595&lt;&gt;"",I595&lt;&gt;"",J595&lt;&gt;"",L595&lt;&gt;"",N595&lt;&gt;"",O595&lt;&gt;"",P595="APPROVED PUBLIC",S595="Sí"),6,IF(AND(H595&lt;&gt;"",I595&lt;&gt;"",J595&lt;&gt;"",L595&lt;&gt;"",N595&lt;&gt;"",O595&lt;&gt;"",P595&lt;&gt;"",S595="Sí"),5,IF(AND(H595&lt;&gt;"",I595&lt;&gt;"",P595&lt;&gt;"",S595&lt;&gt;"No"),4,IF(AND(H595&lt;&gt;"",I595&lt;&gt;""),3,IF(F595&lt;&gt;"",2,1)))))</x:f>
        <x:v>T5</x:v>
      </x:c>
      <x:c r="U595" s="24" t="str">
        <x:v>VRM Games</x:v>
      </x:c>
      <x:c r="V595" s="24" t="str">
        <x:v>No se detectó proveedor externo en la ruta; confirmar autoría por lote antes de release público.</x:v>
      </x:c>
    </x:row>
    <x:row r="596" ht="34" customHeight="1">
      <x:c r="A596" s="24" t="str">
        <x:v>TRC-00592</x:v>
      </x:c>
      <x:c r="B596" s="24" t="str">
        <x:v>a2c81ad5bff34329a1be236e7e6531ae</x:v>
      </x:c>
      <x:c r="C596" s="24" t="str">
        <x:v>CheckoutQueueTests.cs</x:v>
      </x:c>
      <x:c r="D596" s="24" t="str">
        <x:v>Code</x:v>
      </x:c>
      <x:c r="E596" s="24" t="str">
        <x:v>03_Assets_Internos</x:v>
      </x:c>
      <x:c r="F596" s="24" t="str">
        <x:v>INT-0592</x:v>
      </x:c>
      <x:c r="G596" s="24" t="str">
        <x:v>VRM Games / Blas Luis Rocha González</x:v>
      </x:c>
      <x:c r="H596" s="24" t="str">
        <x:v>Internal project IP / authorship claim</x:v>
      </x:c>
      <x:c r="I596" s="24" t="str">
        <x:v>Source package + repository path + hash</x:v>
      </x:c>
      <x:c r="J596" s="24" t="str">
        <x:v>48ad1a7cf8ac8efeeb10cfe9a34dfd403bd8a1c953109425de2bf775370f378c</x:v>
      </x:c>
      <x:c r="K596" s="24" t="str">
        <x:v>Assets/_Project/Tests/EditMode/Checkout/CheckoutQueueTests.cs</x:v>
      </x:c>
      <x:c r="L596" s="24" t="str">
        <x:v>CR-003</x:v>
      </x:c>
      <x:c r="M596" s="24" t="str"/>
      <x:c r="N596" s="24" t="str">
        <x:v>RES-001;RES-014</x:v>
      </x:c>
      <x:c r="O596" s="24" t="str">
        <x:v>Internal development; public candidate requires gate</x:v>
      </x:c>
      <x:c r="P596" s="24" t="str">
        <x:v>CONDITIONALLY APPROVED</x:v>
      </x:c>
      <x:c r="Q596" s="24" t="str">
        <x:v>Low</x:v>
      </x:c>
      <x:c r="R596" s="24" t="str"/>
      <x:c r="S596" s="24" t="str">
        <x:v>Sí</x:v>
      </x:c>
      <x:c r="T596" s="24" t="str">
        <x:f>"T"&amp;IF(AND(H596&lt;&gt;"",I596&lt;&gt;"",J596&lt;&gt;"",L596&lt;&gt;"",N596&lt;&gt;"",O596&lt;&gt;"",P596="APPROVED PUBLIC",S596="Sí"),6,IF(AND(H596&lt;&gt;"",I596&lt;&gt;"",J596&lt;&gt;"",L596&lt;&gt;"",N596&lt;&gt;"",O596&lt;&gt;"",P596&lt;&gt;"",S596="Sí"),5,IF(AND(H596&lt;&gt;"",I596&lt;&gt;"",P596&lt;&gt;"",S596&lt;&gt;"No"),4,IF(AND(H596&lt;&gt;"",I596&lt;&gt;""),3,IF(F596&lt;&gt;"",2,1)))))</x:f>
        <x:v>T5</x:v>
      </x:c>
      <x:c r="U596" s="24" t="str">
        <x:v>VRM Games</x:v>
      </x:c>
      <x:c r="V596" s="24" t="str">
        <x:v>No se detectó proveedor externo en la ruta; confirmar autoría por lote antes de release público.</x:v>
      </x:c>
    </x:row>
    <x:row r="597" ht="34" customHeight="1">
      <x:c r="A597" s="24" t="str">
        <x:v>TRC-00593</x:v>
      </x:c>
      <x:c r="B597" s="24" t="str">
        <x:v>5d66c04546ea4356a9950fe5e97882a2</x:v>
      </x:c>
      <x:c r="C597" s="24" t="str">
        <x:v>CheckoutServiceSuccessTests.cs</x:v>
      </x:c>
      <x:c r="D597" s="24" t="str">
        <x:v>Code</x:v>
      </x:c>
      <x:c r="E597" s="24" t="str">
        <x:v>03_Assets_Internos</x:v>
      </x:c>
      <x:c r="F597" s="24" t="str">
        <x:v>INT-0593</x:v>
      </x:c>
      <x:c r="G597" s="24" t="str">
        <x:v>VRM Games / Blas Luis Rocha González</x:v>
      </x:c>
      <x:c r="H597" s="24" t="str">
        <x:v>Internal project IP / authorship claim</x:v>
      </x:c>
      <x:c r="I597" s="24" t="str">
        <x:v>Source package + repository path + hash</x:v>
      </x:c>
      <x:c r="J597" s="24" t="str">
        <x:v>f2fbe0b4f1044e9fdc5b7458de97dc8c5f8e20f7fd34ed7f9e07570fced972ce</x:v>
      </x:c>
      <x:c r="K597" s="24" t="str">
        <x:v>Assets/_Project/Tests/EditMode/Checkout/CheckoutServiceSuccessTests.cs</x:v>
      </x:c>
      <x:c r="L597" s="24" t="str">
        <x:v>CR-003</x:v>
      </x:c>
      <x:c r="M597" s="24" t="str"/>
      <x:c r="N597" s="24" t="str">
        <x:v>RES-001;RES-014</x:v>
      </x:c>
      <x:c r="O597" s="24" t="str">
        <x:v>Internal development; public candidate requires gate</x:v>
      </x:c>
      <x:c r="P597" s="24" t="str">
        <x:v>CONDITIONALLY APPROVED</x:v>
      </x:c>
      <x:c r="Q597" s="24" t="str">
        <x:v>Low</x:v>
      </x:c>
      <x:c r="R597" s="24" t="str"/>
      <x:c r="S597" s="24" t="str">
        <x:v>Sí</x:v>
      </x:c>
      <x:c r="T597" s="24" t="str">
        <x:f>"T"&amp;IF(AND(H597&lt;&gt;"",I597&lt;&gt;"",J597&lt;&gt;"",L597&lt;&gt;"",N597&lt;&gt;"",O597&lt;&gt;"",P597="APPROVED PUBLIC",S597="Sí"),6,IF(AND(H597&lt;&gt;"",I597&lt;&gt;"",J597&lt;&gt;"",L597&lt;&gt;"",N597&lt;&gt;"",O597&lt;&gt;"",P597&lt;&gt;"",S597="Sí"),5,IF(AND(H597&lt;&gt;"",I597&lt;&gt;"",P597&lt;&gt;"",S597&lt;&gt;"No"),4,IF(AND(H597&lt;&gt;"",I597&lt;&gt;""),3,IF(F597&lt;&gt;"",2,1)))))</x:f>
        <x:v>T5</x:v>
      </x:c>
      <x:c r="U597" s="24" t="str">
        <x:v>VRM Games</x:v>
      </x:c>
      <x:c r="V597" s="24" t="str">
        <x:v>No se detectó proveedor externo en la ruta; confirmar autoría por lote antes de release público.</x:v>
      </x:c>
    </x:row>
    <x:row r="598" ht="34" customHeight="1">
      <x:c r="A598" s="24" t="str">
        <x:v>TRC-00594</x:v>
      </x:c>
      <x:c r="B598" s="24" t="str">
        <x:v>9e50d35db90540bdb35c7b26f7326388</x:v>
      </x:c>
      <x:c r="C598" s="24" t="str">
        <x:v>CheckoutServiceValidationTests.cs</x:v>
      </x:c>
      <x:c r="D598" s="24" t="str">
        <x:v>Code</x:v>
      </x:c>
      <x:c r="E598" s="24" t="str">
        <x:v>03_Assets_Internos</x:v>
      </x:c>
      <x:c r="F598" s="24" t="str">
        <x:v>INT-0594</x:v>
      </x:c>
      <x:c r="G598" s="24" t="str">
        <x:v>VRM Games / Blas Luis Rocha González</x:v>
      </x:c>
      <x:c r="H598" s="24" t="str">
        <x:v>Internal project IP / authorship claim</x:v>
      </x:c>
      <x:c r="I598" s="24" t="str">
        <x:v>Source package + repository path + hash</x:v>
      </x:c>
      <x:c r="J598" s="24" t="str">
        <x:v>db3d6d955ee5d4586c7e41be09cc843c2efdc0e5559595f1af19bf091558afef</x:v>
      </x:c>
      <x:c r="K598" s="24" t="str">
        <x:v>Assets/_Project/Tests/EditMode/Checkout/CheckoutServiceValidationTests.cs</x:v>
      </x:c>
      <x:c r="L598" s="24" t="str">
        <x:v>CR-003</x:v>
      </x:c>
      <x:c r="M598" s="24" t="str"/>
      <x:c r="N598" s="24" t="str">
        <x:v>RES-001;RES-014</x:v>
      </x:c>
      <x:c r="O598" s="24" t="str">
        <x:v>Internal development; public candidate requires gate</x:v>
      </x:c>
      <x:c r="P598" s="24" t="str">
        <x:v>CONDITIONALLY APPROVED</x:v>
      </x:c>
      <x:c r="Q598" s="24" t="str">
        <x:v>Low</x:v>
      </x:c>
      <x:c r="R598" s="24" t="str"/>
      <x:c r="S598" s="24" t="str">
        <x:v>Sí</x:v>
      </x:c>
      <x:c r="T598" s="24" t="str">
        <x:f>"T"&amp;IF(AND(H598&lt;&gt;"",I598&lt;&gt;"",J598&lt;&gt;"",L598&lt;&gt;"",N598&lt;&gt;"",O598&lt;&gt;"",P598="APPROVED PUBLIC",S598="Sí"),6,IF(AND(H598&lt;&gt;"",I598&lt;&gt;"",J598&lt;&gt;"",L598&lt;&gt;"",N598&lt;&gt;"",O598&lt;&gt;"",P598&lt;&gt;"",S598="Sí"),5,IF(AND(H598&lt;&gt;"",I598&lt;&gt;"",P598&lt;&gt;"",S598&lt;&gt;"No"),4,IF(AND(H598&lt;&gt;"",I598&lt;&gt;""),3,IF(F598&lt;&gt;"",2,1)))))</x:f>
        <x:v>T5</x:v>
      </x:c>
      <x:c r="U598" s="24" t="str">
        <x:v>VRM Games</x:v>
      </x:c>
      <x:c r="V598" s="24" t="str">
        <x:v>No se detectó proveedor externo en la ruta; confirmar autoría por lote antes de release público.</x:v>
      </x:c>
    </x:row>
    <x:row r="599" ht="34" customHeight="1">
      <x:c r="A599" s="24" t="str">
        <x:v>TRC-00595</x:v>
      </x:c>
      <x:c r="B599" s="24" t="str">
        <x:v>e4df07273cb74eb9af7b005b3c225048</x:v>
      </x:c>
      <x:c r="C599" s="24" t="str">
        <x:v>CheckoutTestFactory.cs</x:v>
      </x:c>
      <x:c r="D599" s="24" t="str">
        <x:v>Code</x:v>
      </x:c>
      <x:c r="E599" s="24" t="str">
        <x:v>03_Assets_Internos</x:v>
      </x:c>
      <x:c r="F599" s="24" t="str">
        <x:v>INT-0595</x:v>
      </x:c>
      <x:c r="G599" s="24" t="str">
        <x:v>VRM Games / Blas Luis Rocha González</x:v>
      </x:c>
      <x:c r="H599" s="24" t="str">
        <x:v>Internal project IP / authorship claim</x:v>
      </x:c>
      <x:c r="I599" s="24" t="str">
        <x:v>Source package + repository path + hash</x:v>
      </x:c>
      <x:c r="J599" s="24" t="str">
        <x:v>45047c0bd5ffb121b0ae0943c937e6d96f80f34a78cb986973cd06623a78ef8b</x:v>
      </x:c>
      <x:c r="K599" s="24" t="str">
        <x:v>Assets/_Project/Tests/EditMode/Checkout/CheckoutTestFactory.cs</x:v>
      </x:c>
      <x:c r="L599" s="24" t="str">
        <x:v>CR-003</x:v>
      </x:c>
      <x:c r="M599" s="24" t="str"/>
      <x:c r="N599" s="24" t="str">
        <x:v>RES-001;RES-014</x:v>
      </x:c>
      <x:c r="O599" s="24" t="str">
        <x:v>Internal development; public candidate requires gate</x:v>
      </x:c>
      <x:c r="P599" s="24" t="str">
        <x:v>CONDITIONALLY APPROVED</x:v>
      </x:c>
      <x:c r="Q599" s="24" t="str">
        <x:v>Low</x:v>
      </x:c>
      <x:c r="R599" s="24" t="str"/>
      <x:c r="S599" s="24" t="str">
        <x:v>Sí</x:v>
      </x:c>
      <x:c r="T599" s="24" t="str">
        <x:f>"T"&amp;IF(AND(H599&lt;&gt;"",I599&lt;&gt;"",J599&lt;&gt;"",L599&lt;&gt;"",N599&lt;&gt;"",O599&lt;&gt;"",P599="APPROVED PUBLIC",S599="Sí"),6,IF(AND(H599&lt;&gt;"",I599&lt;&gt;"",J599&lt;&gt;"",L599&lt;&gt;"",N599&lt;&gt;"",O599&lt;&gt;"",P599&lt;&gt;"",S599="Sí"),5,IF(AND(H599&lt;&gt;"",I599&lt;&gt;"",P599&lt;&gt;"",S599&lt;&gt;"No"),4,IF(AND(H599&lt;&gt;"",I599&lt;&gt;""),3,IF(F599&lt;&gt;"",2,1)))))</x:f>
        <x:v>T5</x:v>
      </x:c>
      <x:c r="U599" s="24" t="str">
        <x:v>VRM Games</x:v>
      </x:c>
      <x:c r="V599" s="24" t="str">
        <x:v>No se detectó proveedor externo en la ruta; confirmar autoría por lote antes de release público.</x:v>
      </x:c>
    </x:row>
    <x:row r="600" ht="34" customHeight="1">
      <x:c r="A600" s="24" t="str">
        <x:v>TRC-00596</x:v>
      </x:c>
      <x:c r="B600" s="24" t="str">
        <x:v>2d7dc6e63c2d425d80e489b8eaac09be</x:v>
      </x:c>
      <x:c r="C600" s="24" t="str">
        <x:v>CheckoutTransactionTests.cs</x:v>
      </x:c>
      <x:c r="D600" s="24" t="str">
        <x:v>Code</x:v>
      </x:c>
      <x:c r="E600" s="24" t="str">
        <x:v>03_Assets_Internos</x:v>
      </x:c>
      <x:c r="F600" s="24" t="str">
        <x:v>INT-0596</x:v>
      </x:c>
      <x:c r="G600" s="24" t="str">
        <x:v>VRM Games / Blas Luis Rocha González</x:v>
      </x:c>
      <x:c r="H600" s="24" t="str">
        <x:v>Internal project IP / authorship claim</x:v>
      </x:c>
      <x:c r="I600" s="24" t="str">
        <x:v>Source package + repository path + hash</x:v>
      </x:c>
      <x:c r="J600" s="24" t="str">
        <x:v>d5c59f90ddf599a1cb2194faed26798583bfa94079343b60d9ea4f4cbc9f3dae</x:v>
      </x:c>
      <x:c r="K600" s="24" t="str">
        <x:v>Assets/_Project/Tests/EditMode/Checkout/CheckoutTransactionTests.cs</x:v>
      </x:c>
      <x:c r="L600" s="24" t="str">
        <x:v>CR-003</x:v>
      </x:c>
      <x:c r="M600" s="24" t="str"/>
      <x:c r="N600" s="24" t="str">
        <x:v>RES-001;RES-014</x:v>
      </x:c>
      <x:c r="O600" s="24" t="str">
        <x:v>Internal development; public candidate requires gate</x:v>
      </x:c>
      <x:c r="P600" s="24" t="str">
        <x:v>CONDITIONALLY APPROVED</x:v>
      </x:c>
      <x:c r="Q600" s="24" t="str">
        <x:v>Low</x:v>
      </x:c>
      <x:c r="R600" s="24" t="str"/>
      <x:c r="S600" s="24" t="str">
        <x:v>Sí</x:v>
      </x:c>
      <x:c r="T600" s="24" t="str">
        <x:f>"T"&amp;IF(AND(H600&lt;&gt;"",I600&lt;&gt;"",J600&lt;&gt;"",L600&lt;&gt;"",N600&lt;&gt;"",O600&lt;&gt;"",P600="APPROVED PUBLIC",S600="Sí"),6,IF(AND(H600&lt;&gt;"",I600&lt;&gt;"",J600&lt;&gt;"",L600&lt;&gt;"",N600&lt;&gt;"",O600&lt;&gt;"",P600&lt;&gt;"",S600="Sí"),5,IF(AND(H600&lt;&gt;"",I600&lt;&gt;"",P600&lt;&gt;"",S600&lt;&gt;"No"),4,IF(AND(H600&lt;&gt;"",I600&lt;&gt;""),3,IF(F600&lt;&gt;"",2,1)))))</x:f>
        <x:v>T5</x:v>
      </x:c>
      <x:c r="U600" s="24" t="str">
        <x:v>VRM Games</x:v>
      </x:c>
      <x:c r="V600" s="24" t="str">
        <x:v>No se detectó proveedor externo en la ruta; confirmar autoría por lote antes de release público.</x:v>
      </x:c>
    </x:row>
    <x:row r="601" ht="34" customHeight="1">
      <x:c r="A601" s="24" t="str">
        <x:v>TRC-00597</x:v>
      </x:c>
      <x:c r="B601" s="24" t="str">
        <x:v>0831b353460f43d18150b95fdec7131c</x:v>
      </x:c>
      <x:c r="C601" s="24" t="str">
        <x:v>CheckoutValuePolicyStationTests.cs</x:v>
      </x:c>
      <x:c r="D601" s="24" t="str">
        <x:v>Code</x:v>
      </x:c>
      <x:c r="E601" s="24" t="str">
        <x:v>03_Assets_Internos</x:v>
      </x:c>
      <x:c r="F601" s="24" t="str">
        <x:v>INT-0597</x:v>
      </x:c>
      <x:c r="G601" s="24" t="str">
        <x:v>VRM Games / Blas Luis Rocha González</x:v>
      </x:c>
      <x:c r="H601" s="24" t="str">
        <x:v>Internal project IP / authorship claim</x:v>
      </x:c>
      <x:c r="I601" s="24" t="str">
        <x:v>Source package + repository path + hash</x:v>
      </x:c>
      <x:c r="J601" s="24" t="str">
        <x:v>027aa14f6e9af5b2e68ff6443515edcea709a06424e094ab6a06fe3f0a2f7c7f</x:v>
      </x:c>
      <x:c r="K601" s="24" t="str">
        <x:v>Assets/_Project/Tests/EditMode/Checkout/CheckoutValuePolicyStationTests.cs</x:v>
      </x:c>
      <x:c r="L601" s="24" t="str">
        <x:v>CR-003</x:v>
      </x:c>
      <x:c r="M601" s="24" t="str"/>
      <x:c r="N601" s="24" t="str">
        <x:v>RES-001;RES-014</x:v>
      </x:c>
      <x:c r="O601" s="24" t="str">
        <x:v>Internal development; public candidate requires gate</x:v>
      </x:c>
      <x:c r="P601" s="24" t="str">
        <x:v>CONDITIONALLY APPROVED</x:v>
      </x:c>
      <x:c r="Q601" s="24" t="str">
        <x:v>Low</x:v>
      </x:c>
      <x:c r="R601" s="24" t="str"/>
      <x:c r="S601" s="24" t="str">
        <x:v>Sí</x:v>
      </x:c>
      <x:c r="T601" s="24" t="str">
        <x:f>"T"&amp;IF(AND(H601&lt;&gt;"",I601&lt;&gt;"",J601&lt;&gt;"",L601&lt;&gt;"",N601&lt;&gt;"",O601&lt;&gt;"",P601="APPROVED PUBLIC",S601="Sí"),6,IF(AND(H601&lt;&gt;"",I601&lt;&gt;"",J601&lt;&gt;"",L601&lt;&gt;"",N601&lt;&gt;"",O601&lt;&gt;"",P601&lt;&gt;"",S601="Sí"),5,IF(AND(H601&lt;&gt;"",I601&lt;&gt;"",P601&lt;&gt;"",S601&lt;&gt;"No"),4,IF(AND(H601&lt;&gt;"",I601&lt;&gt;""),3,IF(F601&lt;&gt;"",2,1)))))</x:f>
        <x:v>T5</x:v>
      </x:c>
      <x:c r="U601" s="24" t="str">
        <x:v>VRM Games</x:v>
      </x:c>
      <x:c r="V601" s="24" t="str">
        <x:v>No se detectó proveedor externo en la ruta; confirmar autoría por lote antes de release público.</x:v>
      </x:c>
    </x:row>
    <x:row r="602" ht="34" customHeight="1">
      <x:c r="A602" s="24" t="str">
        <x:v>TRC-00598</x:v>
      </x:c>
      <x:c r="B602" s="24" t="str">
        <x:v>927ec18029c24af28e57016343d54389</x:v>
      </x:c>
      <x:c r="C602" s="24" t="str">
        <x:v>CoreDataValueObjectTests.cs</x:v>
      </x:c>
      <x:c r="D602" s="24" t="str">
        <x:v>Code</x:v>
      </x:c>
      <x:c r="E602" s="24" t="str">
        <x:v>03_Assets_Internos</x:v>
      </x:c>
      <x:c r="F602" s="24" t="str">
        <x:v>INT-0598</x:v>
      </x:c>
      <x:c r="G602" s="24" t="str">
        <x:v>VRM Games / Blas Luis Rocha González</x:v>
      </x:c>
      <x:c r="H602" s="24" t="str">
        <x:v>Internal project IP / authorship claim</x:v>
      </x:c>
      <x:c r="I602" s="24" t="str">
        <x:v>Source package + repository path + hash</x:v>
      </x:c>
      <x:c r="J602" s="24" t="str">
        <x:v>622a9efe439d44e093834288d80d40a979def3b2115fabde546ccffce391df60</x:v>
      </x:c>
      <x:c r="K602" s="24" t="str">
        <x:v>Assets/_Project/Tests/EditMode/CoreDataValueObjectTests.cs</x:v>
      </x:c>
      <x:c r="L602" s="24" t="str">
        <x:v>CR-003</x:v>
      </x:c>
      <x:c r="M602" s="24" t="str"/>
      <x:c r="N602" s="24" t="str">
        <x:v>RES-001;RES-014</x:v>
      </x:c>
      <x:c r="O602" s="24" t="str">
        <x:v>Internal development; public candidate requires gate</x:v>
      </x:c>
      <x:c r="P602" s="24" t="str">
        <x:v>CONDITIONALLY APPROVED</x:v>
      </x:c>
      <x:c r="Q602" s="24" t="str">
        <x:v>Low</x:v>
      </x:c>
      <x:c r="R602" s="24" t="str"/>
      <x:c r="S602" s="24" t="str">
        <x:v>Sí</x:v>
      </x:c>
      <x:c r="T602" s="24" t="str">
        <x:f>"T"&amp;IF(AND(H602&lt;&gt;"",I602&lt;&gt;"",J602&lt;&gt;"",L602&lt;&gt;"",N602&lt;&gt;"",O602&lt;&gt;"",P602="APPROVED PUBLIC",S602="Sí"),6,IF(AND(H602&lt;&gt;"",I602&lt;&gt;"",J602&lt;&gt;"",L602&lt;&gt;"",N602&lt;&gt;"",O602&lt;&gt;"",P602&lt;&gt;"",S602="Sí"),5,IF(AND(H602&lt;&gt;"",I602&lt;&gt;"",P602&lt;&gt;"",S602&lt;&gt;"No"),4,IF(AND(H602&lt;&gt;"",I602&lt;&gt;""),3,IF(F602&lt;&gt;"",2,1)))))</x:f>
        <x:v>T5</x:v>
      </x:c>
      <x:c r="U602" s="24" t="str">
        <x:v>VRM Games</x:v>
      </x:c>
      <x:c r="V602" s="24" t="str">
        <x:v>No se detectó proveedor externo en la ruta; confirmar autoría por lote antes de release público.</x:v>
      </x:c>
    </x:row>
    <x:row r="603" ht="34" customHeight="1">
      <x:c r="A603" s="24" t="str">
        <x:v>TRC-00599</x:v>
      </x:c>
      <x:c r="B603" s="24" t="str">
        <x:v>c31819414a06494995d16bdcabb53185</x:v>
      </x:c>
      <x:c r="C603" s="24" t="str">
        <x:v>CustomerArrivalClockTests.cs</x:v>
      </x:c>
      <x:c r="D603" s="24" t="str">
        <x:v>Code</x:v>
      </x:c>
      <x:c r="E603" s="24" t="str">
        <x:v>03_Assets_Internos</x:v>
      </x:c>
      <x:c r="F603" s="24" t="str">
        <x:v>INT-0599</x:v>
      </x:c>
      <x:c r="G603" s="24" t="str">
        <x:v>VRM Games / Blas Luis Rocha González</x:v>
      </x:c>
      <x:c r="H603" s="24" t="str">
        <x:v>Internal project IP / authorship claim</x:v>
      </x:c>
      <x:c r="I603" s="24" t="str">
        <x:v>Source package + repository path + hash</x:v>
      </x:c>
      <x:c r="J603" s="24" t="str">
        <x:v>b494c776ea8d4f31cbd391d8df5f15695927f5f543c8dc2783b3f83f9b2ab96a</x:v>
      </x:c>
      <x:c r="K603" s="24" t="str">
        <x:v>Assets/_Project/Tests/EditMode/Customers/CustomerArrivalClockTests.cs</x:v>
      </x:c>
      <x:c r="L603" s="24" t="str">
        <x:v>CR-003</x:v>
      </x:c>
      <x:c r="M603" s="24" t="str"/>
      <x:c r="N603" s="24" t="str">
        <x:v>RES-001;RES-014</x:v>
      </x:c>
      <x:c r="O603" s="24" t="str">
        <x:v>Internal development; public candidate requires gate</x:v>
      </x:c>
      <x:c r="P603" s="24" t="str">
        <x:v>CONDITIONALLY APPROVED</x:v>
      </x:c>
      <x:c r="Q603" s="24" t="str">
        <x:v>Low</x:v>
      </x:c>
      <x:c r="R603" s="24" t="str"/>
      <x:c r="S603" s="24" t="str">
        <x:v>Sí</x:v>
      </x:c>
      <x:c r="T603" s="24" t="str">
        <x:f>"T"&amp;IF(AND(H603&lt;&gt;"",I603&lt;&gt;"",J603&lt;&gt;"",L603&lt;&gt;"",N603&lt;&gt;"",O603&lt;&gt;"",P603="APPROVED PUBLIC",S603="Sí"),6,IF(AND(H603&lt;&gt;"",I603&lt;&gt;"",J603&lt;&gt;"",L603&lt;&gt;"",N603&lt;&gt;"",O603&lt;&gt;"",P603&lt;&gt;"",S603="Sí"),5,IF(AND(H603&lt;&gt;"",I603&lt;&gt;"",P603&lt;&gt;"",S603&lt;&gt;"No"),4,IF(AND(H603&lt;&gt;"",I603&lt;&gt;""),3,IF(F603&lt;&gt;"",2,1)))))</x:f>
        <x:v>T5</x:v>
      </x:c>
      <x:c r="U603" s="24" t="str">
        <x:v>VRM Games</x:v>
      </x:c>
      <x:c r="V603" s="24" t="str">
        <x:v>No se detectó proveedor externo en la ruta; confirmar autoría por lote antes de release público.</x:v>
      </x:c>
    </x:row>
    <x:row r="604" ht="34" customHeight="1">
      <x:c r="A604" s="24" t="str">
        <x:v>TRC-00600</x:v>
      </x:c>
      <x:c r="B604" s="24" t="str">
        <x:v>b36b76d848ba4184b0b73a6fc6dd3351</x:v>
      </x:c>
      <x:c r="C604" s="24" t="str">
        <x:v>CustomerAuthoringAssetTests.cs</x:v>
      </x:c>
      <x:c r="D604" s="24" t="str">
        <x:v>Code</x:v>
      </x:c>
      <x:c r="E604" s="24" t="str">
        <x:v>03_Assets_Internos</x:v>
      </x:c>
      <x:c r="F604" s="24" t="str">
        <x:v>INT-0600</x:v>
      </x:c>
      <x:c r="G604" s="24" t="str">
        <x:v>VRM Games / Blas Luis Rocha González</x:v>
      </x:c>
      <x:c r="H604" s="24" t="str">
        <x:v>Internal project IP / authorship claim</x:v>
      </x:c>
      <x:c r="I604" s="24" t="str">
        <x:v>Source package + repository path + hash</x:v>
      </x:c>
      <x:c r="J604" s="24" t="str">
        <x:v>433a4446844969d9d9afee1a55f075e8d424d506e0f8329bb1348af81b71a344</x:v>
      </x:c>
      <x:c r="K604" s="24" t="str">
        <x:v>Assets/_Project/Tests/EditMode/Customers/CustomerAuthoringAssetTests.cs</x:v>
      </x:c>
      <x:c r="L604" s="24" t="str">
        <x:v>CR-003</x:v>
      </x:c>
      <x:c r="M604" s="24" t="str"/>
      <x:c r="N604" s="24" t="str">
        <x:v>RES-001;RES-014</x:v>
      </x:c>
      <x:c r="O604" s="24" t="str">
        <x:v>Internal development; public candidate requires gate</x:v>
      </x:c>
      <x:c r="P604" s="24" t="str">
        <x:v>CONDITIONALLY APPROVED</x:v>
      </x:c>
      <x:c r="Q604" s="24" t="str">
        <x:v>Low</x:v>
      </x:c>
      <x:c r="R604" s="24" t="str"/>
      <x:c r="S604" s="24" t="str">
        <x:v>Sí</x:v>
      </x:c>
      <x:c r="T604" s="24" t="str">
        <x:f>"T"&amp;IF(AND(H604&lt;&gt;"",I604&lt;&gt;"",J604&lt;&gt;"",L604&lt;&gt;"",N604&lt;&gt;"",O604&lt;&gt;"",P604="APPROVED PUBLIC",S604="Sí"),6,IF(AND(H604&lt;&gt;"",I604&lt;&gt;"",J604&lt;&gt;"",L604&lt;&gt;"",N604&lt;&gt;"",O604&lt;&gt;"",P604&lt;&gt;"",S604="Sí"),5,IF(AND(H604&lt;&gt;"",I604&lt;&gt;"",P604&lt;&gt;"",S604&lt;&gt;"No"),4,IF(AND(H604&lt;&gt;"",I604&lt;&gt;""),3,IF(F604&lt;&gt;"",2,1)))))</x:f>
        <x:v>T5</x:v>
      </x:c>
      <x:c r="U604" s="24" t="str">
        <x:v>VRM Games</x:v>
      </x:c>
      <x:c r="V604" s="24" t="str">
        <x:v>No se detectó proveedor externo en la ruta; confirmar autoría por lote antes de release público.</x:v>
      </x:c>
    </x:row>
    <x:row r="605" ht="34" customHeight="1">
      <x:c r="A605" s="24" t="str">
        <x:v>TRC-00601</x:v>
      </x:c>
      <x:c r="B605" s="24" t="str">
        <x:v>3e48c87b0b4a41e7b24067157cb0fdc3</x:v>
      </x:c>
      <x:c r="C605" s="24" t="str">
        <x:v>CustomerIdentifierTests.cs</x:v>
      </x:c>
      <x:c r="D605" s="24" t="str">
        <x:v>Code</x:v>
      </x:c>
      <x:c r="E605" s="24" t="str">
        <x:v>03_Assets_Internos</x:v>
      </x:c>
      <x:c r="F605" s="24" t="str">
        <x:v>INT-0601</x:v>
      </x:c>
      <x:c r="G605" s="24" t="str">
        <x:v>VRM Games / Blas Luis Rocha González</x:v>
      </x:c>
      <x:c r="H605" s="24" t="str">
        <x:v>Internal project IP / authorship claim</x:v>
      </x:c>
      <x:c r="I605" s="24" t="str">
        <x:v>Source package + repository path + hash</x:v>
      </x:c>
      <x:c r="J605" s="24" t="str">
        <x:v>385306cff24528deae09037ce370049cd97ee82ba783235f0611b837c274f8a0</x:v>
      </x:c>
      <x:c r="K605" s="24" t="str">
        <x:v>Assets/_Project/Tests/EditMode/Customers/CustomerIdentifierTests.cs</x:v>
      </x:c>
      <x:c r="L605" s="24" t="str">
        <x:v>CR-003</x:v>
      </x:c>
      <x:c r="M605" s="24" t="str"/>
      <x:c r="N605" s="24" t="str">
        <x:v>RES-001;RES-014</x:v>
      </x:c>
      <x:c r="O605" s="24" t="str">
        <x:v>Internal development; public candidate requires gate</x:v>
      </x:c>
      <x:c r="P605" s="24" t="str">
        <x:v>CONDITIONALLY APPROVED</x:v>
      </x:c>
      <x:c r="Q605" s="24" t="str">
        <x:v>Low</x:v>
      </x:c>
      <x:c r="R605" s="24" t="str"/>
      <x:c r="S605" s="24" t="str">
        <x:v>Sí</x:v>
      </x:c>
      <x:c r="T605" s="24" t="str">
        <x:f>"T"&amp;IF(AND(H605&lt;&gt;"",I605&lt;&gt;"",J605&lt;&gt;"",L605&lt;&gt;"",N605&lt;&gt;"",O605&lt;&gt;"",P605="APPROVED PUBLIC",S605="Sí"),6,IF(AND(H605&lt;&gt;"",I605&lt;&gt;"",J605&lt;&gt;"",L605&lt;&gt;"",N605&lt;&gt;"",O605&lt;&gt;"",P605&lt;&gt;"",S605="Sí"),5,IF(AND(H605&lt;&gt;"",I605&lt;&gt;"",P605&lt;&gt;"",S605&lt;&gt;"No"),4,IF(AND(H605&lt;&gt;"",I605&lt;&gt;""),3,IF(F605&lt;&gt;"",2,1)))))</x:f>
        <x:v>T5</x:v>
      </x:c>
      <x:c r="U605" s="24" t="str">
        <x:v>VRM Games</x:v>
      </x:c>
      <x:c r="V605" s="24" t="str">
        <x:v>No se detectó proveedor externo en la ruta; confirmar autoría por lote antes de release público.</x:v>
      </x:c>
    </x:row>
    <x:row r="606" ht="34" customHeight="1">
      <x:c r="A606" s="24" t="str">
        <x:v>TRC-00602</x:v>
      </x:c>
      <x:c r="B606" s="24" t="str">
        <x:v>e64a6ad615404da69be2baaba3817f61</x:v>
      </x:c>
      <x:c r="C606" s="24" t="str">
        <x:v>CustomerInstanceRegistryTests.cs</x:v>
      </x:c>
      <x:c r="D606" s="24" t="str">
        <x:v>Code</x:v>
      </x:c>
      <x:c r="E606" s="24" t="str">
        <x:v>03_Assets_Internos</x:v>
      </x:c>
      <x:c r="F606" s="24" t="str">
        <x:v>INT-0602</x:v>
      </x:c>
      <x:c r="G606" s="24" t="str">
        <x:v>VRM Games / Blas Luis Rocha González</x:v>
      </x:c>
      <x:c r="H606" s="24" t="str">
        <x:v>Internal project IP / authorship claim</x:v>
      </x:c>
      <x:c r="I606" s="24" t="str">
        <x:v>Source package + repository path + hash</x:v>
      </x:c>
      <x:c r="J606" s="24" t="str">
        <x:v>aee45721c5dc8b17ca6ce23f4c2f3fdcf0ac3feff897e49d7311bebbfab9a3a2</x:v>
      </x:c>
      <x:c r="K606" s="24" t="str">
        <x:v>Assets/_Project/Tests/EditMode/Customers/CustomerInstanceRegistryTests.cs</x:v>
      </x:c>
      <x:c r="L606" s="24" t="str">
        <x:v>CR-003</x:v>
      </x:c>
      <x:c r="M606" s="24" t="str"/>
      <x:c r="N606" s="24" t="str">
        <x:v>RES-001;RES-014</x:v>
      </x:c>
      <x:c r="O606" s="24" t="str">
        <x:v>Internal development; public candidate requires gate</x:v>
      </x:c>
      <x:c r="P606" s="24" t="str">
        <x:v>CONDITIONALLY APPROVED</x:v>
      </x:c>
      <x:c r="Q606" s="24" t="str">
        <x:v>Low</x:v>
      </x:c>
      <x:c r="R606" s="24" t="str"/>
      <x:c r="S606" s="24" t="str">
        <x:v>Sí</x:v>
      </x:c>
      <x:c r="T606" s="24" t="str">
        <x:f>"T"&amp;IF(AND(H606&lt;&gt;"",I606&lt;&gt;"",J606&lt;&gt;"",L606&lt;&gt;"",N606&lt;&gt;"",O606&lt;&gt;"",P606="APPROVED PUBLIC",S606="Sí"),6,IF(AND(H606&lt;&gt;"",I606&lt;&gt;"",J606&lt;&gt;"",L606&lt;&gt;"",N606&lt;&gt;"",O606&lt;&gt;"",P606&lt;&gt;"",S606="Sí"),5,IF(AND(H606&lt;&gt;"",I606&lt;&gt;"",P606&lt;&gt;"",S606&lt;&gt;"No"),4,IF(AND(H606&lt;&gt;"",I606&lt;&gt;""),3,IF(F606&lt;&gt;"",2,1)))))</x:f>
        <x:v>T5</x:v>
      </x:c>
      <x:c r="U606" s="24" t="str">
        <x:v>VRM Games</x:v>
      </x:c>
      <x:c r="V606" s="24" t="str">
        <x:v>No se detectó proveedor externo en la ruta; confirmar autoría por lote antes de release público.</x:v>
      </x:c>
    </x:row>
    <x:row r="607" ht="34" customHeight="1">
      <x:c r="A607" s="24" t="str">
        <x:v>TRC-00603</x:v>
      </x:c>
      <x:c r="B607" s="24" t="str">
        <x:v>3083aba051c34661862c29161dee7b25</x:v>
      </x:c>
      <x:c r="C607" s="24" t="str">
        <x:v>CustomerInstanceTests.cs</x:v>
      </x:c>
      <x:c r="D607" s="24" t="str">
        <x:v>Code</x:v>
      </x:c>
      <x:c r="E607" s="24" t="str">
        <x:v>03_Assets_Internos</x:v>
      </x:c>
      <x:c r="F607" s="24" t="str">
        <x:v>INT-0603</x:v>
      </x:c>
      <x:c r="G607" s="24" t="str">
        <x:v>VRM Games / Blas Luis Rocha González</x:v>
      </x:c>
      <x:c r="H607" s="24" t="str">
        <x:v>Internal project IP / authorship claim</x:v>
      </x:c>
      <x:c r="I607" s="24" t="str">
        <x:v>Source package + repository path + hash</x:v>
      </x:c>
      <x:c r="J607" s="24" t="str">
        <x:v>39745877e1305bce4d6ec225b8393e18aa35fc6d0a8d8fad8c52c4d82261897c</x:v>
      </x:c>
      <x:c r="K607" s="24" t="str">
        <x:v>Assets/_Project/Tests/EditMode/Customers/CustomerInstanceTests.cs</x:v>
      </x:c>
      <x:c r="L607" s="24" t="str">
        <x:v>CR-003</x:v>
      </x:c>
      <x:c r="M607" s="24" t="str"/>
      <x:c r="N607" s="24" t="str">
        <x:v>RES-001;RES-014</x:v>
      </x:c>
      <x:c r="O607" s="24" t="str">
        <x:v>Internal development; public candidate requires gate</x:v>
      </x:c>
      <x:c r="P607" s="24" t="str">
        <x:v>CONDITIONALLY APPROVED</x:v>
      </x:c>
      <x:c r="Q607" s="24" t="str">
        <x:v>Low</x:v>
      </x:c>
      <x:c r="R607" s="24" t="str"/>
      <x:c r="S607" s="24" t="str">
        <x:v>Sí</x:v>
      </x:c>
      <x:c r="T607" s="24" t="str">
        <x:f>"T"&amp;IF(AND(H607&lt;&gt;"",I607&lt;&gt;"",J607&lt;&gt;"",L607&lt;&gt;"",N607&lt;&gt;"",O607&lt;&gt;"",P607="APPROVED PUBLIC",S607="Sí"),6,IF(AND(H607&lt;&gt;"",I607&lt;&gt;"",J607&lt;&gt;"",L607&lt;&gt;"",N607&lt;&gt;"",O607&lt;&gt;"",P607&lt;&gt;"",S607="Sí"),5,IF(AND(H607&lt;&gt;"",I607&lt;&gt;"",P607&lt;&gt;"",S607&lt;&gt;"No"),4,IF(AND(H607&lt;&gt;"",I607&lt;&gt;""),3,IF(F607&lt;&gt;"",2,1)))))</x:f>
        <x:v>T5</x:v>
      </x:c>
      <x:c r="U607" s="24" t="str">
        <x:v>VRM Games</x:v>
      </x:c>
      <x:c r="V607" s="24" t="str">
        <x:v>No se detectó proveedor externo en la ruta; confirmar autoría por lote antes de release público.</x:v>
      </x:c>
    </x:row>
    <x:row r="608" ht="34" customHeight="1">
      <x:c r="A608" s="24" t="str">
        <x:v>TRC-00604</x:v>
      </x:c>
      <x:c r="B608" s="24" t="str">
        <x:v>7bb26c5193924a749495462a04af9cee</x:v>
      </x:c>
      <x:c r="C608" s="24" t="str">
        <x:v>CustomerNavigationPlanTests.cs</x:v>
      </x:c>
      <x:c r="D608" s="24" t="str">
        <x:v>Code</x:v>
      </x:c>
      <x:c r="E608" s="24" t="str">
        <x:v>03_Assets_Internos</x:v>
      </x:c>
      <x:c r="F608" s="24" t="str">
        <x:v>INT-0604</x:v>
      </x:c>
      <x:c r="G608" s="24" t="str">
        <x:v>VRM Games / Blas Luis Rocha González</x:v>
      </x:c>
      <x:c r="H608" s="24" t="str">
        <x:v>Internal project IP / authorship claim</x:v>
      </x:c>
      <x:c r="I608" s="24" t="str">
        <x:v>Source package + repository path + hash</x:v>
      </x:c>
      <x:c r="J608" s="24" t="str">
        <x:v>f89cbd6be971691f8b5b91e08ff7d7fac688b6624b5b28a6bca1ab33a9e62e18</x:v>
      </x:c>
      <x:c r="K608" s="24" t="str">
        <x:v>Assets/_Project/Tests/EditMode/Customers/CustomerNavigationPlanTests.cs</x:v>
      </x:c>
      <x:c r="L608" s="24" t="str">
        <x:v>CR-003</x:v>
      </x:c>
      <x:c r="M608" s="24" t="str"/>
      <x:c r="N608" s="24" t="str">
        <x:v>RES-001;RES-014</x:v>
      </x:c>
      <x:c r="O608" s="24" t="str">
        <x:v>Internal development; public candidate requires gate</x:v>
      </x:c>
      <x:c r="P608" s="24" t="str">
        <x:v>CONDITIONALLY APPROVED</x:v>
      </x:c>
      <x:c r="Q608" s="24" t="str">
        <x:v>Low</x:v>
      </x:c>
      <x:c r="R608" s="24" t="str"/>
      <x:c r="S608" s="24" t="str">
        <x:v>Sí</x:v>
      </x:c>
      <x:c r="T608" s="24" t="str">
        <x:f>"T"&amp;IF(AND(H608&lt;&gt;"",I608&lt;&gt;"",J608&lt;&gt;"",L608&lt;&gt;"",N608&lt;&gt;"",O608&lt;&gt;"",P608="APPROVED PUBLIC",S608="Sí"),6,IF(AND(H608&lt;&gt;"",I608&lt;&gt;"",J608&lt;&gt;"",L608&lt;&gt;"",N608&lt;&gt;"",O608&lt;&gt;"",P608&lt;&gt;"",S608="Sí"),5,IF(AND(H608&lt;&gt;"",I608&lt;&gt;"",P608&lt;&gt;"",S608&lt;&gt;"No"),4,IF(AND(H608&lt;&gt;"",I608&lt;&gt;""),3,IF(F608&lt;&gt;"",2,1)))))</x:f>
        <x:v>T5</x:v>
      </x:c>
      <x:c r="U608" s="24" t="str">
        <x:v>VRM Games</x:v>
      </x:c>
      <x:c r="V608" s="24" t="str">
        <x:v>No se detectó proveedor externo en la ruta; confirmar autoría por lote antes de release público.</x:v>
      </x:c>
    </x:row>
    <x:row r="609" ht="34" customHeight="1">
      <x:c r="A609" s="24" t="str">
        <x:v>TRC-00605</x:v>
      </x:c>
      <x:c r="B609" s="24" t="str">
        <x:v>51774a7d0ef547a5a8eaf319f316b68a</x:v>
      </x:c>
      <x:c r="C609" s="24" t="str">
        <x:v>CustomerProfileRegistryTests.cs</x:v>
      </x:c>
      <x:c r="D609" s="24" t="str">
        <x:v>Code</x:v>
      </x:c>
      <x:c r="E609" s="24" t="str">
        <x:v>03_Assets_Internos</x:v>
      </x:c>
      <x:c r="F609" s="24" t="str">
        <x:v>INT-0605</x:v>
      </x:c>
      <x:c r="G609" s="24" t="str">
        <x:v>VRM Games / Blas Luis Rocha González</x:v>
      </x:c>
      <x:c r="H609" s="24" t="str">
        <x:v>Internal project IP / authorship claim</x:v>
      </x:c>
      <x:c r="I609" s="24" t="str">
        <x:v>Source package + repository path + hash</x:v>
      </x:c>
      <x:c r="J609" s="24" t="str">
        <x:v>ffad646550da22ae5d7a62344ec90e7ca271a322280fe7625c0d1d65fd4a249e</x:v>
      </x:c>
      <x:c r="K609" s="24" t="str">
        <x:v>Assets/_Project/Tests/EditMode/Customers/CustomerProfileRegistryTests.cs</x:v>
      </x:c>
      <x:c r="L609" s="24" t="str">
        <x:v>CR-003</x:v>
      </x:c>
      <x:c r="M609" s="24" t="str"/>
      <x:c r="N609" s="24" t="str">
        <x:v>RES-001;RES-014</x:v>
      </x:c>
      <x:c r="O609" s="24" t="str">
        <x:v>Internal development; public candidate requires gate</x:v>
      </x:c>
      <x:c r="P609" s="24" t="str">
        <x:v>CONDITIONALLY APPROVED</x:v>
      </x:c>
      <x:c r="Q609" s="24" t="str">
        <x:v>Low</x:v>
      </x:c>
      <x:c r="R609" s="24" t="str"/>
      <x:c r="S609" s="24" t="str">
        <x:v>Sí</x:v>
      </x:c>
      <x:c r="T609" s="24" t="str">
        <x:f>"T"&amp;IF(AND(H609&lt;&gt;"",I609&lt;&gt;"",J609&lt;&gt;"",L609&lt;&gt;"",N609&lt;&gt;"",O609&lt;&gt;"",P609="APPROVED PUBLIC",S609="Sí"),6,IF(AND(H609&lt;&gt;"",I609&lt;&gt;"",J609&lt;&gt;"",L609&lt;&gt;"",N609&lt;&gt;"",O609&lt;&gt;"",P609&lt;&gt;"",S609="Sí"),5,IF(AND(H609&lt;&gt;"",I609&lt;&gt;"",P609&lt;&gt;"",S609&lt;&gt;"No"),4,IF(AND(H609&lt;&gt;"",I609&lt;&gt;""),3,IF(F609&lt;&gt;"",2,1)))))</x:f>
        <x:v>T5</x:v>
      </x:c>
      <x:c r="U609" s="24" t="str">
        <x:v>VRM Games</x:v>
      </x:c>
      <x:c r="V609" s="24" t="str">
        <x:v>No se detectó proveedor externo en la ruta; confirmar autoría por lote antes de release público.</x:v>
      </x:c>
    </x:row>
    <x:row r="610" ht="34" customHeight="1">
      <x:c r="A610" s="24" t="str">
        <x:v>TRC-00606</x:v>
      </x:c>
      <x:c r="B610" s="24" t="str">
        <x:v>b81dc76f887b49afb30dcd7ef2137c66</x:v>
      </x:c>
      <x:c r="C610" s="24" t="str">
        <x:v>CustomerProfileSelectorTests.cs</x:v>
      </x:c>
      <x:c r="D610" s="24" t="str">
        <x:v>Code</x:v>
      </x:c>
      <x:c r="E610" s="24" t="str">
        <x:v>03_Assets_Internos</x:v>
      </x:c>
      <x:c r="F610" s="24" t="str">
        <x:v>INT-0606</x:v>
      </x:c>
      <x:c r="G610" s="24" t="str">
        <x:v>VRM Games / Blas Luis Rocha González</x:v>
      </x:c>
      <x:c r="H610" s="24" t="str">
        <x:v>Internal project IP / authorship claim</x:v>
      </x:c>
      <x:c r="I610" s="24" t="str">
        <x:v>Source package + repository path + hash</x:v>
      </x:c>
      <x:c r="J610" s="24" t="str">
        <x:v>d1c2569c9db750841a788f5681009650003996dcc5a5b60eecc77879669e4671</x:v>
      </x:c>
      <x:c r="K610" s="24" t="str">
        <x:v>Assets/_Project/Tests/EditMode/Customers/CustomerProfileSelectorTests.cs</x:v>
      </x:c>
      <x:c r="L610" s="24" t="str">
        <x:v>CR-003</x:v>
      </x:c>
      <x:c r="M610" s="24" t="str"/>
      <x:c r="N610" s="24" t="str">
        <x:v>RES-001;RES-014</x:v>
      </x:c>
      <x:c r="O610" s="24" t="str">
        <x:v>Internal development; public candidate requires gate</x:v>
      </x:c>
      <x:c r="P610" s="24" t="str">
        <x:v>CONDITIONALLY APPROVED</x:v>
      </x:c>
      <x:c r="Q610" s="24" t="str">
        <x:v>Low</x:v>
      </x:c>
      <x:c r="R610" s="24" t="str"/>
      <x:c r="S610" s="24" t="str">
        <x:v>Sí</x:v>
      </x:c>
      <x:c r="T610" s="24" t="str">
        <x:f>"T"&amp;IF(AND(H610&lt;&gt;"",I610&lt;&gt;"",J610&lt;&gt;"",L610&lt;&gt;"",N610&lt;&gt;"",O610&lt;&gt;"",P610="APPROVED PUBLIC",S610="Sí"),6,IF(AND(H610&lt;&gt;"",I610&lt;&gt;"",J610&lt;&gt;"",L610&lt;&gt;"",N610&lt;&gt;"",O610&lt;&gt;"",P610&lt;&gt;"",S610="Sí"),5,IF(AND(H610&lt;&gt;"",I610&lt;&gt;"",P610&lt;&gt;"",S610&lt;&gt;"No"),4,IF(AND(H610&lt;&gt;"",I610&lt;&gt;""),3,IF(F610&lt;&gt;"",2,1)))))</x:f>
        <x:v>T5</x:v>
      </x:c>
      <x:c r="U610" s="24" t="str">
        <x:v>VRM Games</x:v>
      </x:c>
      <x:c r="V610" s="24" t="str">
        <x:v>No se detectó proveedor externo en la ruta; confirmar autoría por lote antes de release público.</x:v>
      </x:c>
    </x:row>
    <x:row r="611" ht="34" customHeight="1">
      <x:c r="A611" s="24" t="str">
        <x:v>TRC-00607</x:v>
      </x:c>
      <x:c r="B611" s="24" t="str">
        <x:v>94bb6c4b54084b33bf546b8da8bd2fa4</x:v>
      </x:c>
      <x:c r="C611" s="24" t="str">
        <x:v>CustomerProfileTests.cs</x:v>
      </x:c>
      <x:c r="D611" s="24" t="str">
        <x:v>Code</x:v>
      </x:c>
      <x:c r="E611" s="24" t="str">
        <x:v>03_Assets_Internos</x:v>
      </x:c>
      <x:c r="F611" s="24" t="str">
        <x:v>INT-0607</x:v>
      </x:c>
      <x:c r="G611" s="24" t="str">
        <x:v>VRM Games / Blas Luis Rocha González</x:v>
      </x:c>
      <x:c r="H611" s="24" t="str">
        <x:v>Internal project IP / authorship claim</x:v>
      </x:c>
      <x:c r="I611" s="24" t="str">
        <x:v>Source package + repository path + hash</x:v>
      </x:c>
      <x:c r="J611" s="24" t="str">
        <x:v>1339484c9f1e906d5d41694dafd4ec2e8d26c0b09601c1adc8b7785b50b3707a</x:v>
      </x:c>
      <x:c r="K611" s="24" t="str">
        <x:v>Assets/_Project/Tests/EditMode/Customers/CustomerProfileTests.cs</x:v>
      </x:c>
      <x:c r="L611" s="24" t="str">
        <x:v>CR-003</x:v>
      </x:c>
      <x:c r="M611" s="24" t="str"/>
      <x:c r="N611" s="24" t="str">
        <x:v>RES-001;RES-014</x:v>
      </x:c>
      <x:c r="O611" s="24" t="str">
        <x:v>Internal development; public candidate requires gate</x:v>
      </x:c>
      <x:c r="P611" s="24" t="str">
        <x:v>CONDITIONALLY APPROVED</x:v>
      </x:c>
      <x:c r="Q611" s="24" t="str">
        <x:v>Low</x:v>
      </x:c>
      <x:c r="R611" s="24" t="str"/>
      <x:c r="S611" s="24" t="str">
        <x:v>Sí</x:v>
      </x:c>
      <x:c r="T611" s="24" t="str">
        <x:f>"T"&amp;IF(AND(H611&lt;&gt;"",I611&lt;&gt;"",J611&lt;&gt;"",L611&lt;&gt;"",N611&lt;&gt;"",O611&lt;&gt;"",P611="APPROVED PUBLIC",S611="Sí"),6,IF(AND(H611&lt;&gt;"",I611&lt;&gt;"",J611&lt;&gt;"",L611&lt;&gt;"",N611&lt;&gt;"",O611&lt;&gt;"",P611&lt;&gt;"",S611="Sí"),5,IF(AND(H611&lt;&gt;"",I611&lt;&gt;"",P611&lt;&gt;"",S611&lt;&gt;"No"),4,IF(AND(H611&lt;&gt;"",I611&lt;&gt;""),3,IF(F611&lt;&gt;"",2,1)))))</x:f>
        <x:v>T5</x:v>
      </x:c>
      <x:c r="U611" s="24" t="str">
        <x:v>VRM Games</x:v>
      </x:c>
      <x:c r="V611" s="24" t="str">
        <x:v>No se detectó proveedor externo en la ruta; confirmar autoría por lote antes de release público.</x:v>
      </x:c>
    </x:row>
    <x:row r="612" ht="34" customHeight="1">
      <x:c r="A612" s="24" t="str">
        <x:v>TRC-00608</x:v>
      </x:c>
      <x:c r="B612" s="24" t="str">
        <x:v>7d301f3e7912480c860490a463992758</x:v>
      </x:c>
      <x:c r="C612" s="24" t="str">
        <x:v>CustomerRuntimeTests.cs</x:v>
      </x:c>
      <x:c r="D612" s="24" t="str">
        <x:v>Code</x:v>
      </x:c>
      <x:c r="E612" s="24" t="str">
        <x:v>03_Assets_Internos</x:v>
      </x:c>
      <x:c r="F612" s="24" t="str">
        <x:v>INT-0608</x:v>
      </x:c>
      <x:c r="G612" s="24" t="str">
        <x:v>VRM Games / Blas Luis Rocha González</x:v>
      </x:c>
      <x:c r="H612" s="24" t="str">
        <x:v>Internal project IP / authorship claim</x:v>
      </x:c>
      <x:c r="I612" s="24" t="str">
        <x:v>Source package + repository path + hash</x:v>
      </x:c>
      <x:c r="J612" s="24" t="str">
        <x:v>13e1d5fe2ba10624a4cf7dd6f0ee5924da88b93e6ac70e4696435edb8702e2ea</x:v>
      </x:c>
      <x:c r="K612" s="24" t="str">
        <x:v>Assets/_Project/Tests/EditMode/Customers/CustomerRuntimeTests.cs</x:v>
      </x:c>
      <x:c r="L612" s="24" t="str">
        <x:v>CR-003</x:v>
      </x:c>
      <x:c r="M612" s="24" t="str"/>
      <x:c r="N612" s="24" t="str">
        <x:v>RES-001;RES-014</x:v>
      </x:c>
      <x:c r="O612" s="24" t="str">
        <x:v>Internal development; public candidate requires gate</x:v>
      </x:c>
      <x:c r="P612" s="24" t="str">
        <x:v>CONDITIONALLY APPROVED</x:v>
      </x:c>
      <x:c r="Q612" s="24" t="str">
        <x:v>Low</x:v>
      </x:c>
      <x:c r="R612" s="24" t="str"/>
      <x:c r="S612" s="24" t="str">
        <x:v>Sí</x:v>
      </x:c>
      <x:c r="T612" s="24" t="str">
        <x:f>"T"&amp;IF(AND(H612&lt;&gt;"",I612&lt;&gt;"",J612&lt;&gt;"",L612&lt;&gt;"",N612&lt;&gt;"",O612&lt;&gt;"",P612="APPROVED PUBLIC",S612="Sí"),6,IF(AND(H612&lt;&gt;"",I612&lt;&gt;"",J612&lt;&gt;"",L612&lt;&gt;"",N612&lt;&gt;"",O612&lt;&gt;"",P612&lt;&gt;"",S612="Sí"),5,IF(AND(H612&lt;&gt;"",I612&lt;&gt;"",P612&lt;&gt;"",S612&lt;&gt;"No"),4,IF(AND(H612&lt;&gt;"",I612&lt;&gt;""),3,IF(F612&lt;&gt;"",2,1)))))</x:f>
        <x:v>T5</x:v>
      </x:c>
      <x:c r="U612" s="24" t="str">
        <x:v>VRM Games</x:v>
      </x:c>
      <x:c r="V612" s="24" t="str">
        <x:v>No se detectó proveedor externo en la ruta; confirmar autoría por lote antes de release público.</x:v>
      </x:c>
    </x:row>
    <x:row r="613" ht="34" customHeight="1">
      <x:c r="A613" s="24" t="str">
        <x:v>TRC-00609</x:v>
      </x:c>
      <x:c r="B613" s="24" t="str">
        <x:v>3fa5ee36d89d46fda79efcd6e45b39fb</x:v>
      </x:c>
      <x:c r="C613" s="24" t="str">
        <x:v>CustomerSpawnQueueTests.cs</x:v>
      </x:c>
      <x:c r="D613" s="24" t="str">
        <x:v>Code</x:v>
      </x:c>
      <x:c r="E613" s="24" t="str">
        <x:v>03_Assets_Internos</x:v>
      </x:c>
      <x:c r="F613" s="24" t="str">
        <x:v>INT-0609</x:v>
      </x:c>
      <x:c r="G613" s="24" t="str">
        <x:v>VRM Games / Blas Luis Rocha González</x:v>
      </x:c>
      <x:c r="H613" s="24" t="str">
        <x:v>Internal project IP / authorship claim</x:v>
      </x:c>
      <x:c r="I613" s="24" t="str">
        <x:v>Source package + repository path + hash</x:v>
      </x:c>
      <x:c r="J613" s="24" t="str">
        <x:v>168bc6cb07a1809314185c84b0d79510a95f3f9e151065edb96c80dcdd22c24e</x:v>
      </x:c>
      <x:c r="K613" s="24" t="str">
        <x:v>Assets/_Project/Tests/EditMode/Customers/CustomerSpawnQueueTests.cs</x:v>
      </x:c>
      <x:c r="L613" s="24" t="str">
        <x:v>CR-003</x:v>
      </x:c>
      <x:c r="M613" s="24" t="str"/>
      <x:c r="N613" s="24" t="str">
        <x:v>RES-001;RES-014</x:v>
      </x:c>
      <x:c r="O613" s="24" t="str">
        <x:v>Internal development; public candidate requires gate</x:v>
      </x:c>
      <x:c r="P613" s="24" t="str">
        <x:v>CONDITIONALLY APPROVED</x:v>
      </x:c>
      <x:c r="Q613" s="24" t="str">
        <x:v>Low</x:v>
      </x:c>
      <x:c r="R613" s="24" t="str"/>
      <x:c r="S613" s="24" t="str">
        <x:v>Sí</x:v>
      </x:c>
      <x:c r="T613" s="24" t="str">
        <x:f>"T"&amp;IF(AND(H613&lt;&gt;"",I613&lt;&gt;"",J613&lt;&gt;"",L613&lt;&gt;"",N613&lt;&gt;"",O613&lt;&gt;"",P613="APPROVED PUBLIC",S613="Sí"),6,IF(AND(H613&lt;&gt;"",I613&lt;&gt;"",J613&lt;&gt;"",L613&lt;&gt;"",N613&lt;&gt;"",O613&lt;&gt;"",P613&lt;&gt;"",S613="Sí"),5,IF(AND(H613&lt;&gt;"",I613&lt;&gt;"",P613&lt;&gt;"",S613&lt;&gt;"No"),4,IF(AND(H613&lt;&gt;"",I613&lt;&gt;""),3,IF(F613&lt;&gt;"",2,1)))))</x:f>
        <x:v>T5</x:v>
      </x:c>
      <x:c r="U613" s="24" t="str">
        <x:v>VRM Games</x:v>
      </x:c>
      <x:c r="V613" s="24" t="str">
        <x:v>No se detectó proveedor externo en la ruta; confirmar autoría por lote antes de release público.</x:v>
      </x:c>
    </x:row>
    <x:row r="614" ht="34" customHeight="1">
      <x:c r="A614" s="24" t="str">
        <x:v>TRC-00610</x:v>
      </x:c>
      <x:c r="B614" s="24" t="str">
        <x:v>183410beb0fa4b49a1ff4f3a0c44d31a</x:v>
      </x:c>
      <x:c r="C614" s="24" t="str">
        <x:v>CustomerSpawnServiceTests.cs</x:v>
      </x:c>
      <x:c r="D614" s="24" t="str">
        <x:v>Code</x:v>
      </x:c>
      <x:c r="E614" s="24" t="str">
        <x:v>03_Assets_Internos</x:v>
      </x:c>
      <x:c r="F614" s="24" t="str">
        <x:v>INT-0610</x:v>
      </x:c>
      <x:c r="G614" s="24" t="str">
        <x:v>VRM Games / Blas Luis Rocha González</x:v>
      </x:c>
      <x:c r="H614" s="24" t="str">
        <x:v>Internal project IP / authorship claim</x:v>
      </x:c>
      <x:c r="I614" s="24" t="str">
        <x:v>Source package + repository path + hash</x:v>
      </x:c>
      <x:c r="J614" s="24" t="str">
        <x:v>83c66476814c006627d449920e7767fb6bccecb30d8c304799e9894e51b551c0</x:v>
      </x:c>
      <x:c r="K614" s="24" t="str">
        <x:v>Assets/_Project/Tests/EditMode/Customers/CustomerSpawnServiceTests.cs</x:v>
      </x:c>
      <x:c r="L614" s="24" t="str">
        <x:v>CR-003</x:v>
      </x:c>
      <x:c r="M614" s="24" t="str"/>
      <x:c r="N614" s="24" t="str">
        <x:v>RES-001;RES-014</x:v>
      </x:c>
      <x:c r="O614" s="24" t="str">
        <x:v>Internal development; public candidate requires gate</x:v>
      </x:c>
      <x:c r="P614" s="24" t="str">
        <x:v>CONDITIONALLY APPROVED</x:v>
      </x:c>
      <x:c r="Q614" s="24" t="str">
        <x:v>Low</x:v>
      </x:c>
      <x:c r="R614" s="24" t="str"/>
      <x:c r="S614" s="24" t="str">
        <x:v>Sí</x:v>
      </x:c>
      <x:c r="T614" s="24" t="str">
        <x:f>"T"&amp;IF(AND(H614&lt;&gt;"",I614&lt;&gt;"",J614&lt;&gt;"",L614&lt;&gt;"",N614&lt;&gt;"",O614&lt;&gt;"",P614="APPROVED PUBLIC",S614="Sí"),6,IF(AND(H614&lt;&gt;"",I614&lt;&gt;"",J614&lt;&gt;"",L614&lt;&gt;"",N614&lt;&gt;"",O614&lt;&gt;"",P614&lt;&gt;"",S614="Sí"),5,IF(AND(H614&lt;&gt;"",I614&lt;&gt;"",P614&lt;&gt;"",S614&lt;&gt;"No"),4,IF(AND(H614&lt;&gt;"",I614&lt;&gt;""),3,IF(F614&lt;&gt;"",2,1)))))</x:f>
        <x:v>T5</x:v>
      </x:c>
      <x:c r="U614" s="24" t="str">
        <x:v>VRM Games</x:v>
      </x:c>
      <x:c r="V614" s="24" t="str">
        <x:v>No se detectó proveedor externo en la ruta; confirmar autoría por lote antes de release público.</x:v>
      </x:c>
    </x:row>
    <x:row r="615" ht="34" customHeight="1">
      <x:c r="A615" s="24" t="str">
        <x:v>TRC-00611</x:v>
      </x:c>
      <x:c r="B615" s="24" t="str">
        <x:v>6a047a7af1954392a951d93d834fa246</x:v>
      </x:c>
      <x:c r="C615" s="24" t="str">
        <x:v>CheckoutQueueSealTests.cs</x:v>
      </x:c>
      <x:c r="D615" s="24" t="str">
        <x:v>Code</x:v>
      </x:c>
      <x:c r="E615" s="24" t="str">
        <x:v>03_Assets_Internos</x:v>
      </x:c>
      <x:c r="F615" s="24" t="str">
        <x:v>INT-0611</x:v>
      </x:c>
      <x:c r="G615" s="24" t="str">
        <x:v>VRM Games / Blas Luis Rocha González</x:v>
      </x:c>
      <x:c r="H615" s="24" t="str">
        <x:v>Internal project IP / authorship claim</x:v>
      </x:c>
      <x:c r="I615" s="24" t="str">
        <x:v>Source package + repository path + hash</x:v>
      </x:c>
      <x:c r="J615" s="24" t="str">
        <x:v>93104ef742b23adf6d1c51a3c4adfabf52ffc738ed9a83ed6070a5cafdc4a101</x:v>
      </x:c>
      <x:c r="K615" s="24" t="str">
        <x:v>Assets/_Project/Tests/EditMode/DayCycle/CheckoutQueueSealTests.cs</x:v>
      </x:c>
      <x:c r="L615" s="24" t="str">
        <x:v>CR-003</x:v>
      </x:c>
      <x:c r="M615" s="24" t="str"/>
      <x:c r="N615" s="24" t="str">
        <x:v>RES-001;RES-014</x:v>
      </x:c>
      <x:c r="O615" s="24" t="str">
        <x:v>Internal development; public candidate requires gate</x:v>
      </x:c>
      <x:c r="P615" s="24" t="str">
        <x:v>CONDITIONALLY APPROVED</x:v>
      </x:c>
      <x:c r="Q615" s="24" t="str">
        <x:v>Low</x:v>
      </x:c>
      <x:c r="R615" s="24" t="str"/>
      <x:c r="S615" s="24" t="str">
        <x:v>Sí</x:v>
      </x:c>
      <x:c r="T615" s="24" t="str">
        <x:f>"T"&amp;IF(AND(H615&lt;&gt;"",I615&lt;&gt;"",J615&lt;&gt;"",L615&lt;&gt;"",N615&lt;&gt;"",O615&lt;&gt;"",P615="APPROVED PUBLIC",S615="Sí"),6,IF(AND(H615&lt;&gt;"",I615&lt;&gt;"",J615&lt;&gt;"",L615&lt;&gt;"",N615&lt;&gt;"",O615&lt;&gt;"",P615&lt;&gt;"",S615="Sí"),5,IF(AND(H615&lt;&gt;"",I615&lt;&gt;"",P615&lt;&gt;"",S615&lt;&gt;"No"),4,IF(AND(H615&lt;&gt;"",I615&lt;&gt;""),3,IF(F615&lt;&gt;"",2,1)))))</x:f>
        <x:v>T5</x:v>
      </x:c>
      <x:c r="U615" s="24" t="str">
        <x:v>VRM Games</x:v>
      </x:c>
      <x:c r="V615" s="24" t="str">
        <x:v>No se detectó proveedor externo en la ruta; confirmar autoría por lote antes de release público.</x:v>
      </x:c>
    </x:row>
    <x:row r="616" ht="34" customHeight="1">
      <x:c r="A616" s="24" t="str">
        <x:v>TRC-00612</x:v>
      </x:c>
      <x:c r="B616" s="24" t="str">
        <x:v>ef86888f19cf48cc99bfca4e7d6d8504</x:v>
      </x:c>
      <x:c r="C616" s="24" t="str">
        <x:v>CustomerDrainServiceTests.cs</x:v>
      </x:c>
      <x:c r="D616" s="24" t="str">
        <x:v>Code</x:v>
      </x:c>
      <x:c r="E616" s="24" t="str">
        <x:v>03_Assets_Internos</x:v>
      </x:c>
      <x:c r="F616" s="24" t="str">
        <x:v>INT-0612</x:v>
      </x:c>
      <x:c r="G616" s="24" t="str">
        <x:v>VRM Games / Blas Luis Rocha González</x:v>
      </x:c>
      <x:c r="H616" s="24" t="str">
        <x:v>Internal project IP / authorship claim</x:v>
      </x:c>
      <x:c r="I616" s="24" t="str">
        <x:v>Source package + repository path + hash</x:v>
      </x:c>
      <x:c r="J616" s="24" t="str">
        <x:v>2342951b7dc67c753eb7307685abc7068081e93c82c8f808f2e881450f6efaff</x:v>
      </x:c>
      <x:c r="K616" s="24" t="str">
        <x:v>Assets/_Project/Tests/EditMode/DayCycle/CustomerDrainServiceTests.cs</x:v>
      </x:c>
      <x:c r="L616" s="24" t="str">
        <x:v>CR-003</x:v>
      </x:c>
      <x:c r="M616" s="24" t="str"/>
      <x:c r="N616" s="24" t="str">
        <x:v>RES-001;RES-014</x:v>
      </x:c>
      <x:c r="O616" s="24" t="str">
        <x:v>Internal development; public candidate requires gate</x:v>
      </x:c>
      <x:c r="P616" s="24" t="str">
        <x:v>CONDITIONALLY APPROVED</x:v>
      </x:c>
      <x:c r="Q616" s="24" t="str">
        <x:v>Low</x:v>
      </x:c>
      <x:c r="R616" s="24" t="str"/>
      <x:c r="S616" s="24" t="str">
        <x:v>Sí</x:v>
      </x:c>
      <x:c r="T616" s="24" t="str">
        <x:f>"T"&amp;IF(AND(H616&lt;&gt;"",I616&lt;&gt;"",J616&lt;&gt;"",L616&lt;&gt;"",N616&lt;&gt;"",O616&lt;&gt;"",P616="APPROVED PUBLIC",S616="Sí"),6,IF(AND(H616&lt;&gt;"",I616&lt;&gt;"",J616&lt;&gt;"",L616&lt;&gt;"",N616&lt;&gt;"",O616&lt;&gt;"",P616&lt;&gt;"",S616="Sí"),5,IF(AND(H616&lt;&gt;"",I616&lt;&gt;"",P616&lt;&gt;"",S616&lt;&gt;"No"),4,IF(AND(H616&lt;&gt;"",I616&lt;&gt;""),3,IF(F616&lt;&gt;"",2,1)))))</x:f>
        <x:v>T5</x:v>
      </x:c>
      <x:c r="U616" s="24" t="str">
        <x:v>VRM Games</x:v>
      </x:c>
      <x:c r="V616" s="24" t="str">
        <x:v>No se detectó proveedor externo en la ruta; confirmar autoría por lote antes de release público.</x:v>
      </x:c>
    </x:row>
    <x:row r="617" ht="34" customHeight="1">
      <x:c r="A617" s="24" t="str">
        <x:v>TRC-00613</x:v>
      </x:c>
      <x:c r="B617" s="24" t="str">
        <x:v>34f33648ffb943938e2ec19340c81c1e</x:v>
      </x:c>
      <x:c r="C617" s="24" t="str">
        <x:v>CustomerShoppingSessionRegistryTests.cs</x:v>
      </x:c>
      <x:c r="D617" s="24" t="str">
        <x:v>Code</x:v>
      </x:c>
      <x:c r="E617" s="24" t="str">
        <x:v>03_Assets_Internos</x:v>
      </x:c>
      <x:c r="F617" s="24" t="str">
        <x:v>INT-0613</x:v>
      </x:c>
      <x:c r="G617" s="24" t="str">
        <x:v>VRM Games / Blas Luis Rocha González</x:v>
      </x:c>
      <x:c r="H617" s="24" t="str">
        <x:v>Internal project IP / authorship claim</x:v>
      </x:c>
      <x:c r="I617" s="24" t="str">
        <x:v>Source package + repository path + hash</x:v>
      </x:c>
      <x:c r="J617" s="24" t="str">
        <x:v>a1251fc9996aa47c84e5c1ae19e9bb60ad38b23839aa48a7d19539f48e55dd57</x:v>
      </x:c>
      <x:c r="K617" s="24" t="str">
        <x:v>Assets/_Project/Tests/EditMode/DayCycle/CustomerShoppingSessionRegistryTests.cs</x:v>
      </x:c>
      <x:c r="L617" s="24" t="str">
        <x:v>CR-003</x:v>
      </x:c>
      <x:c r="M617" s="24" t="str"/>
      <x:c r="N617" s="24" t="str">
        <x:v>RES-001;RES-014</x:v>
      </x:c>
      <x:c r="O617" s="24" t="str">
        <x:v>Internal development; public candidate requires gate</x:v>
      </x:c>
      <x:c r="P617" s="24" t="str">
        <x:v>CONDITIONALLY APPROVED</x:v>
      </x:c>
      <x:c r="Q617" s="24" t="str">
        <x:v>Low</x:v>
      </x:c>
      <x:c r="R617" s="24" t="str"/>
      <x:c r="S617" s="24" t="str">
        <x:v>Sí</x:v>
      </x:c>
      <x:c r="T617" s="24" t="str">
        <x:f>"T"&amp;IF(AND(H617&lt;&gt;"",I617&lt;&gt;"",J617&lt;&gt;"",L617&lt;&gt;"",N617&lt;&gt;"",O617&lt;&gt;"",P617="APPROVED PUBLIC",S617="Sí"),6,IF(AND(H617&lt;&gt;"",I617&lt;&gt;"",J617&lt;&gt;"",L617&lt;&gt;"",N617&lt;&gt;"",O617&lt;&gt;"",P617&lt;&gt;"",S617="Sí"),5,IF(AND(H617&lt;&gt;"",I617&lt;&gt;"",P617&lt;&gt;"",S617&lt;&gt;"No"),4,IF(AND(H617&lt;&gt;"",I617&lt;&gt;""),3,IF(F617&lt;&gt;"",2,1)))))</x:f>
        <x:v>T5</x:v>
      </x:c>
      <x:c r="U617" s="24" t="str">
        <x:v>VRM Games</x:v>
      </x:c>
      <x:c r="V617" s="24" t="str">
        <x:v>No se detectó proveedor externo en la ruta; confirmar autoría por lote antes de release público.</x:v>
      </x:c>
    </x:row>
    <x:row r="618" ht="34" customHeight="1">
      <x:c r="A618" s="24" t="str">
        <x:v>TRC-00614</x:v>
      </x:c>
      <x:c r="B618" s="24" t="str">
        <x:v>4fc2a10918e345cc94daa372f600c6b8</x:v>
      </x:c>
      <x:c r="C618" s="24" t="str">
        <x:v>DayCycleTestFactory.cs</x:v>
      </x:c>
      <x:c r="D618" s="24" t="str">
        <x:v>Code</x:v>
      </x:c>
      <x:c r="E618" s="24" t="str">
        <x:v>03_Assets_Internos</x:v>
      </x:c>
      <x:c r="F618" s="24" t="str">
        <x:v>INT-0614</x:v>
      </x:c>
      <x:c r="G618" s="24" t="str">
        <x:v>VRM Games / Blas Luis Rocha González</x:v>
      </x:c>
      <x:c r="H618" s="24" t="str">
        <x:v>Internal project IP / authorship claim</x:v>
      </x:c>
      <x:c r="I618" s="24" t="str">
        <x:v>Source package + repository path + hash</x:v>
      </x:c>
      <x:c r="J618" s="24" t="str">
        <x:v>103a568ac2d05b5392dccce98ce24fa39e451a56028d29bcf0c7004faa989688</x:v>
      </x:c>
      <x:c r="K618" s="24" t="str">
        <x:v>Assets/_Project/Tests/EditMode/DayCycle/DayCycleTestFactory.cs</x:v>
      </x:c>
      <x:c r="L618" s="24" t="str">
        <x:v>CR-003</x:v>
      </x:c>
      <x:c r="M618" s="24" t="str"/>
      <x:c r="N618" s="24" t="str">
        <x:v>RES-001;RES-014</x:v>
      </x:c>
      <x:c r="O618" s="24" t="str">
        <x:v>Internal development; public candidate requires gate</x:v>
      </x:c>
      <x:c r="P618" s="24" t="str">
        <x:v>CONDITIONALLY APPROVED</x:v>
      </x:c>
      <x:c r="Q618" s="24" t="str">
        <x:v>Low</x:v>
      </x:c>
      <x:c r="R618" s="24" t="str"/>
      <x:c r="S618" s="24" t="str">
        <x:v>Sí</x:v>
      </x:c>
      <x:c r="T618" s="24" t="str">
        <x:f>"T"&amp;IF(AND(H618&lt;&gt;"",I618&lt;&gt;"",J618&lt;&gt;"",L618&lt;&gt;"",N618&lt;&gt;"",O618&lt;&gt;"",P618="APPROVED PUBLIC",S618="Sí"),6,IF(AND(H618&lt;&gt;"",I618&lt;&gt;"",J618&lt;&gt;"",L618&lt;&gt;"",N618&lt;&gt;"",O618&lt;&gt;"",P618&lt;&gt;"",S618="Sí"),5,IF(AND(H618&lt;&gt;"",I618&lt;&gt;"",P618&lt;&gt;"",S618&lt;&gt;"No"),4,IF(AND(H618&lt;&gt;"",I618&lt;&gt;""),3,IF(F618&lt;&gt;"",2,1)))))</x:f>
        <x:v>T5</x:v>
      </x:c>
      <x:c r="U618" s="24" t="str">
        <x:v>VRM Games</x:v>
      </x:c>
      <x:c r="V618" s="24" t="str">
        <x:v>No se detectó proveedor externo en la ruta; confirmar autoría por lote antes de release público.</x:v>
      </x:c>
    </x:row>
    <x:row r="619" ht="34" customHeight="1">
      <x:c r="A619" s="24" t="str">
        <x:v>TRC-00615</x:v>
      </x:c>
      <x:c r="B619" s="24" t="str">
        <x:v>7bc229bc7b7342278023ea00298c7727</x:v>
      </x:c>
      <x:c r="C619" s="24" t="str">
        <x:v>ShoppingReservationRegistryDayCycleTests.cs</x:v>
      </x:c>
      <x:c r="D619" s="24" t="str">
        <x:v>Code</x:v>
      </x:c>
      <x:c r="E619" s="24" t="str">
        <x:v>03_Assets_Internos</x:v>
      </x:c>
      <x:c r="F619" s="24" t="str">
        <x:v>INT-0615</x:v>
      </x:c>
      <x:c r="G619" s="24" t="str">
        <x:v>VRM Games / Blas Luis Rocha González</x:v>
      </x:c>
      <x:c r="H619" s="24" t="str">
        <x:v>Internal project IP / authorship claim</x:v>
      </x:c>
      <x:c r="I619" s="24" t="str">
        <x:v>Source package + repository path + hash</x:v>
      </x:c>
      <x:c r="J619" s="24" t="str">
        <x:v>7d2f4fc82afef8bf9d12bd303936c1c83015c7b3a419b3c5ad5d5a862aba1f0d</x:v>
      </x:c>
      <x:c r="K619" s="24" t="str">
        <x:v>Assets/_Project/Tests/EditMode/DayCycle/ShoppingReservationRegistryDayCycleTests.cs</x:v>
      </x:c>
      <x:c r="L619" s="24" t="str">
        <x:v>CR-003</x:v>
      </x:c>
      <x:c r="M619" s="24" t="str"/>
      <x:c r="N619" s="24" t="str">
        <x:v>RES-001;RES-014</x:v>
      </x:c>
      <x:c r="O619" s="24" t="str">
        <x:v>Internal development; public candidate requires gate</x:v>
      </x:c>
      <x:c r="P619" s="24" t="str">
        <x:v>CONDITIONALLY APPROVED</x:v>
      </x:c>
      <x:c r="Q619" s="24" t="str">
        <x:v>Low</x:v>
      </x:c>
      <x:c r="R619" s="24" t="str"/>
      <x:c r="S619" s="24" t="str">
        <x:v>Sí</x:v>
      </x:c>
      <x:c r="T619" s="24" t="str">
        <x:f>"T"&amp;IF(AND(H619&lt;&gt;"",I619&lt;&gt;"",J619&lt;&gt;"",L619&lt;&gt;"",N619&lt;&gt;"",O619&lt;&gt;"",P619="APPROVED PUBLIC",S619="Sí"),6,IF(AND(H619&lt;&gt;"",I619&lt;&gt;"",J619&lt;&gt;"",L619&lt;&gt;"",N619&lt;&gt;"",O619&lt;&gt;"",P619&lt;&gt;"",S619="Sí"),5,IF(AND(H619&lt;&gt;"",I619&lt;&gt;"",P619&lt;&gt;"",S619&lt;&gt;"No"),4,IF(AND(H619&lt;&gt;"",I619&lt;&gt;""),3,IF(F619&lt;&gt;"",2,1)))))</x:f>
        <x:v>T5</x:v>
      </x:c>
      <x:c r="U619" s="24" t="str">
        <x:v>VRM Games</x:v>
      </x:c>
      <x:c r="V619" s="24" t="str">
        <x:v>No se detectó proveedor externo en la ruta; confirmar autoría por lote antes de release público.</x:v>
      </x:c>
    </x:row>
    <x:row r="620" ht="34" customHeight="1">
      <x:c r="A620" s="24" t="str">
        <x:v>TRC-00616</x:v>
      </x:c>
      <x:c r="B620" s="24" t="str">
        <x:v>70da7caca8bf4fcaa8209c7dfbf07994</x:v>
      </x:c>
      <x:c r="C620" s="24" t="str">
        <x:v>StoreClosureCoordinatorCancellationTests.cs</x:v>
      </x:c>
      <x:c r="D620" s="24" t="str">
        <x:v>Code</x:v>
      </x:c>
      <x:c r="E620" s="24" t="str">
        <x:v>03_Assets_Internos</x:v>
      </x:c>
      <x:c r="F620" s="24" t="str">
        <x:v>INT-0616</x:v>
      </x:c>
      <x:c r="G620" s="24" t="str">
        <x:v>VRM Games / Blas Luis Rocha González</x:v>
      </x:c>
      <x:c r="H620" s="24" t="str">
        <x:v>Internal project IP / authorship claim</x:v>
      </x:c>
      <x:c r="I620" s="24" t="str">
        <x:v>Source package + repository path + hash</x:v>
      </x:c>
      <x:c r="J620" s="24" t="str">
        <x:v>380c939c3ffa6141ceb7590a2ab38c04872c9ca634c9fd4f8a6c6f165c556053</x:v>
      </x:c>
      <x:c r="K620" s="24" t="str">
        <x:v>Assets/_Project/Tests/EditMode/DayCycle/StoreClosureCoordinatorCancellationTests.cs</x:v>
      </x:c>
      <x:c r="L620" s="24" t="str">
        <x:v>CR-003</x:v>
      </x:c>
      <x:c r="M620" s="24" t="str"/>
      <x:c r="N620" s="24" t="str">
        <x:v>RES-001;RES-014</x:v>
      </x:c>
      <x:c r="O620" s="24" t="str">
        <x:v>Internal development; public candidate requires gate</x:v>
      </x:c>
      <x:c r="P620" s="24" t="str">
        <x:v>CONDITIONALLY APPROVED</x:v>
      </x:c>
      <x:c r="Q620" s="24" t="str">
        <x:v>Low</x:v>
      </x:c>
      <x:c r="R620" s="24" t="str"/>
      <x:c r="S620" s="24" t="str">
        <x:v>Sí</x:v>
      </x:c>
      <x:c r="T620" s="24" t="str">
        <x:f>"T"&amp;IF(AND(H620&lt;&gt;"",I620&lt;&gt;"",J620&lt;&gt;"",L620&lt;&gt;"",N620&lt;&gt;"",O620&lt;&gt;"",P620="APPROVED PUBLIC",S620="Sí"),6,IF(AND(H620&lt;&gt;"",I620&lt;&gt;"",J620&lt;&gt;"",L620&lt;&gt;"",N620&lt;&gt;"",O620&lt;&gt;"",P620&lt;&gt;"",S620="Sí"),5,IF(AND(H620&lt;&gt;"",I620&lt;&gt;"",P620&lt;&gt;"",S620&lt;&gt;"No"),4,IF(AND(H620&lt;&gt;"",I620&lt;&gt;""),3,IF(F620&lt;&gt;"",2,1)))))</x:f>
        <x:v>T5</x:v>
      </x:c>
      <x:c r="U620" s="24" t="str">
        <x:v>VRM Games</x:v>
      </x:c>
      <x:c r="V620" s="24" t="str">
        <x:v>No se detectó proveedor externo en la ruta; confirmar autoría por lote antes de release público.</x:v>
      </x:c>
    </x:row>
    <x:row r="621" ht="34" customHeight="1">
      <x:c r="A621" s="24" t="str">
        <x:v>TRC-00617</x:v>
      </x:c>
      <x:c r="B621" s="24" t="str">
        <x:v>8da7a91abfe14380bfd4f82400cae54d</x:v>
      </x:c>
      <x:c r="C621" s="24" t="str">
        <x:v>StoreClosureCoordinatorProcessingTests.cs</x:v>
      </x:c>
      <x:c r="D621" s="24" t="str">
        <x:v>Code</x:v>
      </x:c>
      <x:c r="E621" s="24" t="str">
        <x:v>03_Assets_Internos</x:v>
      </x:c>
      <x:c r="F621" s="24" t="str">
        <x:v>INT-0617</x:v>
      </x:c>
      <x:c r="G621" s="24" t="str">
        <x:v>VRM Games / Blas Luis Rocha González</x:v>
      </x:c>
      <x:c r="H621" s="24" t="str">
        <x:v>Internal project IP / authorship claim</x:v>
      </x:c>
      <x:c r="I621" s="24" t="str">
        <x:v>Source package + repository path + hash</x:v>
      </x:c>
      <x:c r="J621" s="24" t="str">
        <x:v>e3a52f0642df10bbdcf60e1032371d6323934495286dfaca5373d52637f212d7</x:v>
      </x:c>
      <x:c r="K621" s="24" t="str">
        <x:v>Assets/_Project/Tests/EditMode/DayCycle/StoreClosureCoordinatorProcessingTests.cs</x:v>
      </x:c>
      <x:c r="L621" s="24" t="str">
        <x:v>CR-003</x:v>
      </x:c>
      <x:c r="M621" s="24" t="str"/>
      <x:c r="N621" s="24" t="str">
        <x:v>RES-001;RES-014</x:v>
      </x:c>
      <x:c r="O621" s="24" t="str">
        <x:v>Internal development; public candidate requires gate</x:v>
      </x:c>
      <x:c r="P621" s="24" t="str">
        <x:v>CONDITIONALLY APPROVED</x:v>
      </x:c>
      <x:c r="Q621" s="24" t="str">
        <x:v>Low</x:v>
      </x:c>
      <x:c r="R621" s="24" t="str"/>
      <x:c r="S621" s="24" t="str">
        <x:v>Sí</x:v>
      </x:c>
      <x:c r="T621" s="24" t="str">
        <x:f>"T"&amp;IF(AND(H621&lt;&gt;"",I621&lt;&gt;"",J621&lt;&gt;"",L621&lt;&gt;"",N621&lt;&gt;"",O621&lt;&gt;"",P621="APPROVED PUBLIC",S621="Sí"),6,IF(AND(H621&lt;&gt;"",I621&lt;&gt;"",J621&lt;&gt;"",L621&lt;&gt;"",N621&lt;&gt;"",O621&lt;&gt;"",P621&lt;&gt;"",S621="Sí"),5,IF(AND(H621&lt;&gt;"",I621&lt;&gt;"",P621&lt;&gt;"",S621&lt;&gt;"No"),4,IF(AND(H621&lt;&gt;"",I621&lt;&gt;""),3,IF(F621&lt;&gt;"",2,1)))))</x:f>
        <x:v>T5</x:v>
      </x:c>
      <x:c r="U621" s="24" t="str">
        <x:v>VRM Games</x:v>
      </x:c>
      <x:c r="V621" s="24" t="str">
        <x:v>No se detectó proveedor externo en la ruta; confirmar autoría por lote antes de release público.</x:v>
      </x:c>
    </x:row>
    <x:row r="622" ht="34" customHeight="1">
      <x:c r="A622" s="24" t="str">
        <x:v>TRC-00618</x:v>
      </x:c>
      <x:c r="B622" s="24" t="str">
        <x:v>9649fd8826a24483918e204f5e280ba5</x:v>
      </x:c>
      <x:c r="C622" s="24" t="str">
        <x:v>StoreClosureSnapshotActivityTests.cs</x:v>
      </x:c>
      <x:c r="D622" s="24" t="str">
        <x:v>Code</x:v>
      </x:c>
      <x:c r="E622" s="24" t="str">
        <x:v>03_Assets_Internos</x:v>
      </x:c>
      <x:c r="F622" s="24" t="str">
        <x:v>INT-0618</x:v>
      </x:c>
      <x:c r="G622" s="24" t="str">
        <x:v>VRM Games / Blas Luis Rocha González</x:v>
      </x:c>
      <x:c r="H622" s="24" t="str">
        <x:v>Internal project IP / authorship claim</x:v>
      </x:c>
      <x:c r="I622" s="24" t="str">
        <x:v>Source package + repository path + hash</x:v>
      </x:c>
      <x:c r="J622" s="24" t="str">
        <x:v>77e434676277c98ddb29ab83d18f9b6b388be45fb6113a6ad4ec1cd4d8389243</x:v>
      </x:c>
      <x:c r="K622" s="24" t="str">
        <x:v>Assets/_Project/Tests/EditMode/DayCycle/StoreClosureSnapshotActivityTests.cs</x:v>
      </x:c>
      <x:c r="L622" s="24" t="str">
        <x:v>CR-003</x:v>
      </x:c>
      <x:c r="M622" s="24" t="str"/>
      <x:c r="N622" s="24" t="str">
        <x:v>RES-001;RES-014</x:v>
      </x:c>
      <x:c r="O622" s="24" t="str">
        <x:v>Internal development; public candidate requires gate</x:v>
      </x:c>
      <x:c r="P622" s="24" t="str">
        <x:v>CONDITIONALLY APPROVED</x:v>
      </x:c>
      <x:c r="Q622" s="24" t="str">
        <x:v>Low</x:v>
      </x:c>
      <x:c r="R622" s="24" t="str"/>
      <x:c r="S622" s="24" t="str">
        <x:v>Sí</x:v>
      </x:c>
      <x:c r="T622" s="24" t="str">
        <x:f>"T"&amp;IF(AND(H622&lt;&gt;"",I622&lt;&gt;"",J622&lt;&gt;"",L622&lt;&gt;"",N622&lt;&gt;"",O622&lt;&gt;"",P622="APPROVED PUBLIC",S622="Sí"),6,IF(AND(H622&lt;&gt;"",I622&lt;&gt;"",J622&lt;&gt;"",L622&lt;&gt;"",N622&lt;&gt;"",O622&lt;&gt;"",P622&lt;&gt;"",S622="Sí"),5,IF(AND(H622&lt;&gt;"",I622&lt;&gt;"",P622&lt;&gt;"",S622&lt;&gt;"No"),4,IF(AND(H622&lt;&gt;"",I622&lt;&gt;""),3,IF(F622&lt;&gt;"",2,1)))))</x:f>
        <x:v>T5</x:v>
      </x:c>
      <x:c r="U622" s="24" t="str">
        <x:v>VRM Games</x:v>
      </x:c>
      <x:c r="V622" s="24" t="str">
        <x:v>No se detectó proveedor externo en la ruta; confirmar autoría por lote antes de release público.</x:v>
      </x:c>
    </x:row>
    <x:row r="623" ht="34" customHeight="1">
      <x:c r="A623" s="24" t="str">
        <x:v>TRC-00619</x:v>
      </x:c>
      <x:c r="B623" s="24" t="str">
        <x:v>db2a9e5faa784582b702e09e6f979db6</x:v>
      </x:c>
      <x:c r="C623" s="24" t="str">
        <x:v>StoreDayAuthoringTests.cs</x:v>
      </x:c>
      <x:c r="D623" s="24" t="str">
        <x:v>Code</x:v>
      </x:c>
      <x:c r="E623" s="24" t="str">
        <x:v>03_Assets_Internos</x:v>
      </x:c>
      <x:c r="F623" s="24" t="str">
        <x:v>INT-0619</x:v>
      </x:c>
      <x:c r="G623" s="24" t="str">
        <x:v>VRM Games / Blas Luis Rocha González</x:v>
      </x:c>
      <x:c r="H623" s="24" t="str">
        <x:v>Internal project IP / authorship claim</x:v>
      </x:c>
      <x:c r="I623" s="24" t="str">
        <x:v>Source package + repository path + hash</x:v>
      </x:c>
      <x:c r="J623" s="24" t="str">
        <x:v>78c41c85c8fe7267966eaec62b9a1eddfd928394ec907dc9d62cb3c9836161f1</x:v>
      </x:c>
      <x:c r="K623" s="24" t="str">
        <x:v>Assets/_Project/Tests/EditMode/DayCycle/StoreDayAuthoringTests.cs</x:v>
      </x:c>
      <x:c r="L623" s="24" t="str">
        <x:v>CR-003</x:v>
      </x:c>
      <x:c r="M623" s="24" t="str"/>
      <x:c r="N623" s="24" t="str">
        <x:v>RES-001;RES-014</x:v>
      </x:c>
      <x:c r="O623" s="24" t="str">
        <x:v>Internal development; public candidate requires gate</x:v>
      </x:c>
      <x:c r="P623" s="24" t="str">
        <x:v>CONDITIONALLY APPROVED</x:v>
      </x:c>
      <x:c r="Q623" s="24" t="str">
        <x:v>Low</x:v>
      </x:c>
      <x:c r="R623" s="24" t="str"/>
      <x:c r="S623" s="24" t="str">
        <x:v>Sí</x:v>
      </x:c>
      <x:c r="T623" s="24" t="str">
        <x:f>"T"&amp;IF(AND(H623&lt;&gt;"",I623&lt;&gt;"",J623&lt;&gt;"",L623&lt;&gt;"",N623&lt;&gt;"",O623&lt;&gt;"",P623="APPROVED PUBLIC",S623="Sí"),6,IF(AND(H623&lt;&gt;"",I623&lt;&gt;"",J623&lt;&gt;"",L623&lt;&gt;"",N623&lt;&gt;"",O623&lt;&gt;"",P623&lt;&gt;"",S623="Sí"),5,IF(AND(H623&lt;&gt;"",I623&lt;&gt;"",P623&lt;&gt;"",S623&lt;&gt;"No"),4,IF(AND(H623&lt;&gt;"",I623&lt;&gt;""),3,IF(F623&lt;&gt;"",2,1)))))</x:f>
        <x:v>T5</x:v>
      </x:c>
      <x:c r="U623" s="24" t="str">
        <x:v>VRM Games</x:v>
      </x:c>
      <x:c r="V623" s="24" t="str">
        <x:v>No se detectó proveedor externo en la ruta; confirmar autoría por lote antes de release público.</x:v>
      </x:c>
    </x:row>
    <x:row r="624" ht="34" customHeight="1">
      <x:c r="A624" s="24" t="str">
        <x:v>TRC-00620</x:v>
      </x:c>
      <x:c r="B624" s="24" t="str">
        <x:v>01135902b34b47d796e9159fcb93dd0b</x:v>
      </x:c>
      <x:c r="C624" s="24" t="str">
        <x:v>StoreDayServiceTests.cs</x:v>
      </x:c>
      <x:c r="D624" s="24" t="str">
        <x:v>Code</x:v>
      </x:c>
      <x:c r="E624" s="24" t="str">
        <x:v>03_Assets_Internos</x:v>
      </x:c>
      <x:c r="F624" s="24" t="str">
        <x:v>INT-0620</x:v>
      </x:c>
      <x:c r="G624" s="24" t="str">
        <x:v>VRM Games / Blas Luis Rocha González</x:v>
      </x:c>
      <x:c r="H624" s="24" t="str">
        <x:v>Internal project IP / authorship claim</x:v>
      </x:c>
      <x:c r="I624" s="24" t="str">
        <x:v>Source package + repository path + hash</x:v>
      </x:c>
      <x:c r="J624" s="24" t="str">
        <x:v>4d0d646ae889a9eaa8f5204e2b5c6d0a576b00926ea91372f146e297b68185af</x:v>
      </x:c>
      <x:c r="K624" s="24" t="str">
        <x:v>Assets/_Project/Tests/EditMode/DayCycle/StoreDayServiceTests.cs</x:v>
      </x:c>
      <x:c r="L624" s="24" t="str">
        <x:v>CR-003</x:v>
      </x:c>
      <x:c r="M624" s="24" t="str"/>
      <x:c r="N624" s="24" t="str">
        <x:v>RES-001;RES-014</x:v>
      </x:c>
      <x:c r="O624" s="24" t="str">
        <x:v>Internal development; public candidate requires gate</x:v>
      </x:c>
      <x:c r="P624" s="24" t="str">
        <x:v>CONDITIONALLY APPROVED</x:v>
      </x:c>
      <x:c r="Q624" s="24" t="str">
        <x:v>Low</x:v>
      </x:c>
      <x:c r="R624" s="24" t="str"/>
      <x:c r="S624" s="24" t="str">
        <x:v>Sí</x:v>
      </x:c>
      <x:c r="T624" s="24" t="str">
        <x:f>"T"&amp;IF(AND(H624&lt;&gt;"",I624&lt;&gt;"",J624&lt;&gt;"",L624&lt;&gt;"",N624&lt;&gt;"",O624&lt;&gt;"",P624="APPROVED PUBLIC",S624="Sí"),6,IF(AND(H624&lt;&gt;"",I624&lt;&gt;"",J624&lt;&gt;"",L624&lt;&gt;"",N624&lt;&gt;"",O624&lt;&gt;"",P624&lt;&gt;"",S624="Sí"),5,IF(AND(H624&lt;&gt;"",I624&lt;&gt;"",P624&lt;&gt;"",S624&lt;&gt;"No"),4,IF(AND(H624&lt;&gt;"",I624&lt;&gt;""),3,IF(F624&lt;&gt;"",2,1)))))</x:f>
        <x:v>T5</x:v>
      </x:c>
      <x:c r="U624" s="24" t="str">
        <x:v>VRM Games</x:v>
      </x:c>
      <x:c r="V624" s="24" t="str">
        <x:v>No se detectó proveedor externo en la ruta; confirmar autoría por lote antes de release público.</x:v>
      </x:c>
    </x:row>
    <x:row r="625" ht="34" customHeight="1">
      <x:c r="A625" s="24" t="str">
        <x:v>TRC-00621</x:v>
      </x:c>
      <x:c r="B625" s="24" t="str">
        <x:v>200d0db889564718941e0329141bed52</x:v>
      </x:c>
      <x:c r="C625" s="24" t="str">
        <x:v>StoreDayTransitionTests.cs</x:v>
      </x:c>
      <x:c r="D625" s="24" t="str">
        <x:v>Code</x:v>
      </x:c>
      <x:c r="E625" s="24" t="str">
        <x:v>03_Assets_Internos</x:v>
      </x:c>
      <x:c r="F625" s="24" t="str">
        <x:v>INT-0621</x:v>
      </x:c>
      <x:c r="G625" s="24" t="str">
        <x:v>VRM Games / Blas Luis Rocha González</x:v>
      </x:c>
      <x:c r="H625" s="24" t="str">
        <x:v>Internal project IP / authorship claim</x:v>
      </x:c>
      <x:c r="I625" s="24" t="str">
        <x:v>Source package + repository path + hash</x:v>
      </x:c>
      <x:c r="J625" s="24" t="str">
        <x:v>390bc3eb359042b54b90b5a7d9f8f5ee48aae8d971ca70a481d0cb2805728d6f</x:v>
      </x:c>
      <x:c r="K625" s="24" t="str">
        <x:v>Assets/_Project/Tests/EditMode/DayCycle/StoreDayTransitionTests.cs</x:v>
      </x:c>
      <x:c r="L625" s="24" t="str">
        <x:v>CR-003</x:v>
      </x:c>
      <x:c r="M625" s="24" t="str"/>
      <x:c r="N625" s="24" t="str">
        <x:v>RES-001;RES-014</x:v>
      </x:c>
      <x:c r="O625" s="24" t="str">
        <x:v>Internal development; public candidate requires gate</x:v>
      </x:c>
      <x:c r="P625" s="24" t="str">
        <x:v>CONDITIONALLY APPROVED</x:v>
      </x:c>
      <x:c r="Q625" s="24" t="str">
        <x:v>Low</x:v>
      </x:c>
      <x:c r="R625" s="24" t="str"/>
      <x:c r="S625" s="24" t="str">
        <x:v>Sí</x:v>
      </x:c>
      <x:c r="T625" s="24" t="str">
        <x:f>"T"&amp;IF(AND(H625&lt;&gt;"",I625&lt;&gt;"",J625&lt;&gt;"",L625&lt;&gt;"",N625&lt;&gt;"",O625&lt;&gt;"",P625="APPROVED PUBLIC",S625="Sí"),6,IF(AND(H625&lt;&gt;"",I625&lt;&gt;"",J625&lt;&gt;"",L625&lt;&gt;"",N625&lt;&gt;"",O625&lt;&gt;"",P625&lt;&gt;"",S625="Sí"),5,IF(AND(H625&lt;&gt;"",I625&lt;&gt;"",P625&lt;&gt;"",S625&lt;&gt;"No"),4,IF(AND(H625&lt;&gt;"",I625&lt;&gt;""),3,IF(F625&lt;&gt;"",2,1)))))</x:f>
        <x:v>T5</x:v>
      </x:c>
      <x:c r="U625" s="24" t="str">
        <x:v>VRM Games</x:v>
      </x:c>
      <x:c r="V625" s="24" t="str">
        <x:v>No se detectó proveedor externo en la ruta; confirmar autoría por lote antes de release público.</x:v>
      </x:c>
    </x:row>
    <x:row r="626" ht="34" customHeight="1">
      <x:c r="A626" s="24" t="str">
        <x:v>TRC-00622</x:v>
      </x:c>
      <x:c r="B626" s="24" t="str">
        <x:v>461a71bf1b274441a1731206d8c959c8</x:v>
      </x:c>
      <x:c r="C626" s="24" t="str">
        <x:v>StoreDayValuePolicyTests.cs</x:v>
      </x:c>
      <x:c r="D626" s="24" t="str">
        <x:v>Code</x:v>
      </x:c>
      <x:c r="E626" s="24" t="str">
        <x:v>03_Assets_Internos</x:v>
      </x:c>
      <x:c r="F626" s="24" t="str">
        <x:v>INT-0622</x:v>
      </x:c>
      <x:c r="G626" s="24" t="str">
        <x:v>VRM Games / Blas Luis Rocha González</x:v>
      </x:c>
      <x:c r="H626" s="24" t="str">
        <x:v>Internal project IP / authorship claim</x:v>
      </x:c>
      <x:c r="I626" s="24" t="str">
        <x:v>Source package + repository path + hash</x:v>
      </x:c>
      <x:c r="J626" s="24" t="str">
        <x:v>aefe9ea501a628abe0721329a08bbb4681cc2491ac5f1d564ebd6775616c5b2e</x:v>
      </x:c>
      <x:c r="K626" s="24" t="str">
        <x:v>Assets/_Project/Tests/EditMode/DayCycle/StoreDayValuePolicyTests.cs</x:v>
      </x:c>
      <x:c r="L626" s="24" t="str">
        <x:v>CR-003</x:v>
      </x:c>
      <x:c r="M626" s="24" t="str"/>
      <x:c r="N626" s="24" t="str">
        <x:v>RES-001;RES-014</x:v>
      </x:c>
      <x:c r="O626" s="24" t="str">
        <x:v>Internal development; public candidate requires gate</x:v>
      </x:c>
      <x:c r="P626" s="24" t="str">
        <x:v>CONDITIONALLY APPROVED</x:v>
      </x:c>
      <x:c r="Q626" s="24" t="str">
        <x:v>Low</x:v>
      </x:c>
      <x:c r="R626" s="24" t="str"/>
      <x:c r="S626" s="24" t="str">
        <x:v>Sí</x:v>
      </x:c>
      <x:c r="T626" s="24" t="str">
        <x:f>"T"&amp;IF(AND(H626&lt;&gt;"",I626&lt;&gt;"",J626&lt;&gt;"",L626&lt;&gt;"",N626&lt;&gt;"",O626&lt;&gt;"",P626="APPROVED PUBLIC",S626="Sí"),6,IF(AND(H626&lt;&gt;"",I626&lt;&gt;"",J626&lt;&gt;"",L626&lt;&gt;"",N626&lt;&gt;"",O626&lt;&gt;"",P626&lt;&gt;"",S626="Sí"),5,IF(AND(H626&lt;&gt;"",I626&lt;&gt;"",P626&lt;&gt;"",S626&lt;&gt;"No"),4,IF(AND(H626&lt;&gt;"",I626&lt;&gt;""),3,IF(F626&lt;&gt;"",2,1)))))</x:f>
        <x:v>T5</x:v>
      </x:c>
      <x:c r="U626" s="24" t="str">
        <x:v>VRM Games</x:v>
      </x:c>
      <x:c r="V626" s="24" t="str">
        <x:v>No se detectó proveedor externo en la ruta; confirmar autoría por lote antes de release público.</x:v>
      </x:c>
    </x:row>
    <x:row r="627" ht="34" customHeight="1">
      <x:c r="A627" s="24" t="str">
        <x:v>TRC-00623</x:v>
      </x:c>
      <x:c r="B627" s="24" t="str">
        <x:v>d7caef89f76d4cd88666070ba2fdebae</x:v>
      </x:c>
      <x:c r="C627" s="24" t="str">
        <x:v>DisplayAuthoringAssetTests.cs</x:v>
      </x:c>
      <x:c r="D627" s="24" t="str">
        <x:v>Code</x:v>
      </x:c>
      <x:c r="E627" s="24" t="str">
        <x:v>03_Assets_Internos</x:v>
      </x:c>
      <x:c r="F627" s="24" t="str">
        <x:v>INT-0623</x:v>
      </x:c>
      <x:c r="G627" s="24" t="str">
        <x:v>VRM Games / Blas Luis Rocha González</x:v>
      </x:c>
      <x:c r="H627" s="24" t="str">
        <x:v>Internal project IP / authorship claim</x:v>
      </x:c>
      <x:c r="I627" s="24" t="str">
        <x:v>Source package + repository path + hash</x:v>
      </x:c>
      <x:c r="J627" s="24" t="str">
        <x:v>038aaac87210053c0f76f6d98e0614d86ce4058bb7d463612cc5cc0c659a76bc</x:v>
      </x:c>
      <x:c r="K627" s="24" t="str">
        <x:v>Assets/_Project/Tests/EditMode/Displays/DisplayAuthoringAssetTests.cs</x:v>
      </x:c>
      <x:c r="L627" s="24" t="str">
        <x:v>CR-003</x:v>
      </x:c>
      <x:c r="M627" s="24" t="str"/>
      <x:c r="N627" s="24" t="str">
        <x:v>RES-001;RES-014</x:v>
      </x:c>
      <x:c r="O627" s="24" t="str">
        <x:v>Internal development; public candidate requires gate</x:v>
      </x:c>
      <x:c r="P627" s="24" t="str">
        <x:v>CONDITIONALLY APPROVED</x:v>
      </x:c>
      <x:c r="Q627" s="24" t="str">
        <x:v>Low</x:v>
      </x:c>
      <x:c r="R627" s="24" t="str"/>
      <x:c r="S627" s="24" t="str">
        <x:v>Sí</x:v>
      </x:c>
      <x:c r="T627" s="24" t="str">
        <x:f>"T"&amp;IF(AND(H627&lt;&gt;"",I627&lt;&gt;"",J627&lt;&gt;"",L627&lt;&gt;"",N627&lt;&gt;"",O627&lt;&gt;"",P627="APPROVED PUBLIC",S627="Sí"),6,IF(AND(H627&lt;&gt;"",I627&lt;&gt;"",J627&lt;&gt;"",L627&lt;&gt;"",N627&lt;&gt;"",O627&lt;&gt;"",P627&lt;&gt;"",S627="Sí"),5,IF(AND(H627&lt;&gt;"",I627&lt;&gt;"",P627&lt;&gt;"",S627&lt;&gt;"No"),4,IF(AND(H627&lt;&gt;"",I627&lt;&gt;""),3,IF(F627&lt;&gt;"",2,1)))))</x:f>
        <x:v>T5</x:v>
      </x:c>
      <x:c r="U627" s="24" t="str">
        <x:v>VRM Games</x:v>
      </x:c>
      <x:c r="V627" s="24" t="str">
        <x:v>No se detectó proveedor externo en la ruta; confirmar autoría por lote antes de release público.</x:v>
      </x:c>
    </x:row>
    <x:row r="628" ht="34" customHeight="1">
      <x:c r="A628" s="24" t="str">
        <x:v>TRC-00624</x:v>
      </x:c>
      <x:c r="B628" s="24" t="str">
        <x:v>5d726d95888442e6bbceb224816043f9</x:v>
      </x:c>
      <x:c r="C628" s="24" t="str">
        <x:v>DisplayDefinitionTests.cs</x:v>
      </x:c>
      <x:c r="D628" s="24" t="str">
        <x:v>Code</x:v>
      </x:c>
      <x:c r="E628" s="24" t="str">
        <x:v>03_Assets_Internos</x:v>
      </x:c>
      <x:c r="F628" s="24" t="str">
        <x:v>INT-0624</x:v>
      </x:c>
      <x:c r="G628" s="24" t="str">
        <x:v>VRM Games / Blas Luis Rocha González</x:v>
      </x:c>
      <x:c r="H628" s="24" t="str">
        <x:v>Internal project IP / authorship claim</x:v>
      </x:c>
      <x:c r="I628" s="24" t="str">
        <x:v>Source package + repository path + hash</x:v>
      </x:c>
      <x:c r="J628" s="24" t="str">
        <x:v>0ccc0d1e5d5e7b126cfb5b3334d9062b978e59077cfb29583cad4a9da6c5d90d</x:v>
      </x:c>
      <x:c r="K628" s="24" t="str">
        <x:v>Assets/_Project/Tests/EditMode/Displays/DisplayDefinitionTests.cs</x:v>
      </x:c>
      <x:c r="L628" s="24" t="str">
        <x:v>CR-003</x:v>
      </x:c>
      <x:c r="M628" s="24" t="str"/>
      <x:c r="N628" s="24" t="str">
        <x:v>RES-001;RES-014</x:v>
      </x:c>
      <x:c r="O628" s="24" t="str">
        <x:v>Internal development; public candidate requires gate</x:v>
      </x:c>
      <x:c r="P628" s="24" t="str">
        <x:v>CONDITIONALLY APPROVED</x:v>
      </x:c>
      <x:c r="Q628" s="24" t="str">
        <x:v>Low</x:v>
      </x:c>
      <x:c r="R628" s="24" t="str"/>
      <x:c r="S628" s="24" t="str">
        <x:v>Sí</x:v>
      </x:c>
      <x:c r="T628" s="24" t="str">
        <x:f>"T"&amp;IF(AND(H628&lt;&gt;"",I628&lt;&gt;"",J628&lt;&gt;"",L628&lt;&gt;"",N628&lt;&gt;"",O628&lt;&gt;"",P628="APPROVED PUBLIC",S628="Sí"),6,IF(AND(H628&lt;&gt;"",I628&lt;&gt;"",J628&lt;&gt;"",L628&lt;&gt;"",N628&lt;&gt;"",O628&lt;&gt;"",P628&lt;&gt;"",S628="Sí"),5,IF(AND(H628&lt;&gt;"",I628&lt;&gt;"",P628&lt;&gt;"",S628&lt;&gt;"No"),4,IF(AND(H628&lt;&gt;"",I628&lt;&gt;""),3,IF(F628&lt;&gt;"",2,1)))))</x:f>
        <x:v>T5</x:v>
      </x:c>
      <x:c r="U628" s="24" t="str">
        <x:v>VRM Games</x:v>
      </x:c>
      <x:c r="V628" s="24" t="str">
        <x:v>No se detectó proveedor externo en la ruta; confirmar autoría por lote antes de release público.</x:v>
      </x:c>
    </x:row>
    <x:row r="629" ht="34" customHeight="1">
      <x:c r="A629" s="24" t="str">
        <x:v>TRC-00625</x:v>
      </x:c>
      <x:c r="B629" s="24" t="str">
        <x:v>00e346d307aa45998aac2785b15cf869</x:v>
      </x:c>
      <x:c r="C629" s="24" t="str">
        <x:v>DisplayIdentifierTests.cs</x:v>
      </x:c>
      <x:c r="D629" s="24" t="str">
        <x:v>Code</x:v>
      </x:c>
      <x:c r="E629" s="24" t="str">
        <x:v>03_Assets_Internos</x:v>
      </x:c>
      <x:c r="F629" s="24" t="str">
        <x:v>INT-0625</x:v>
      </x:c>
      <x:c r="G629" s="24" t="str">
        <x:v>VRM Games / Blas Luis Rocha González</x:v>
      </x:c>
      <x:c r="H629" s="24" t="str">
        <x:v>Internal project IP / authorship claim</x:v>
      </x:c>
      <x:c r="I629" s="24" t="str">
        <x:v>Source package + repository path + hash</x:v>
      </x:c>
      <x:c r="J629" s="24" t="str">
        <x:v>4c8a8007792d8f7a4a1a17430da67ca5d32e18d6578dba3347e51c75021eea3e</x:v>
      </x:c>
      <x:c r="K629" s="24" t="str">
        <x:v>Assets/_Project/Tests/EditMode/Displays/DisplayIdentifierTests.cs</x:v>
      </x:c>
      <x:c r="L629" s="24" t="str">
        <x:v>CR-003</x:v>
      </x:c>
      <x:c r="M629" s="24" t="str"/>
      <x:c r="N629" s="24" t="str">
        <x:v>RES-001;RES-014</x:v>
      </x:c>
      <x:c r="O629" s="24" t="str">
        <x:v>Internal development; public candidate requires gate</x:v>
      </x:c>
      <x:c r="P629" s="24" t="str">
        <x:v>CONDITIONALLY APPROVED</x:v>
      </x:c>
      <x:c r="Q629" s="24" t="str">
        <x:v>Low</x:v>
      </x:c>
      <x:c r="R629" s="24" t="str"/>
      <x:c r="S629" s="24" t="str">
        <x:v>Sí</x:v>
      </x:c>
      <x:c r="T629" s="24" t="str">
        <x:f>"T"&amp;IF(AND(H629&lt;&gt;"",I629&lt;&gt;"",J629&lt;&gt;"",L629&lt;&gt;"",N629&lt;&gt;"",O629&lt;&gt;"",P629="APPROVED PUBLIC",S629="Sí"),6,IF(AND(H629&lt;&gt;"",I629&lt;&gt;"",J629&lt;&gt;"",L629&lt;&gt;"",N629&lt;&gt;"",O629&lt;&gt;"",P629&lt;&gt;"",S629="Sí"),5,IF(AND(H629&lt;&gt;"",I629&lt;&gt;"",P629&lt;&gt;"",S629&lt;&gt;"No"),4,IF(AND(H629&lt;&gt;"",I629&lt;&gt;""),3,IF(F629&lt;&gt;"",2,1)))))</x:f>
        <x:v>T5</x:v>
      </x:c>
      <x:c r="U629" s="24" t="str">
        <x:v>VRM Games</x:v>
      </x:c>
      <x:c r="V629" s="24" t="str">
        <x:v>No se detectó proveedor externo en la ruta; confirmar autoría por lote antes de release público.</x:v>
      </x:c>
    </x:row>
    <x:row r="630" ht="34" customHeight="1">
      <x:c r="A630" s="24" t="str">
        <x:v>TRC-00626</x:v>
      </x:c>
      <x:c r="B630" s="24" t="str">
        <x:v>f3f9530b3f96465cbf3737e0edc7f4c5</x:v>
      </x:c>
      <x:c r="C630" s="24" t="str">
        <x:v>DisplayInstanceRegistryTests.cs</x:v>
      </x:c>
      <x:c r="D630" s="24" t="str">
        <x:v>Code</x:v>
      </x:c>
      <x:c r="E630" s="24" t="str">
        <x:v>03_Assets_Internos</x:v>
      </x:c>
      <x:c r="F630" s="24" t="str">
        <x:v>INT-0626</x:v>
      </x:c>
      <x:c r="G630" s="24" t="str">
        <x:v>VRM Games / Blas Luis Rocha González</x:v>
      </x:c>
      <x:c r="H630" s="24" t="str">
        <x:v>Internal project IP / authorship claim</x:v>
      </x:c>
      <x:c r="I630" s="24" t="str">
        <x:v>Source package + repository path + hash</x:v>
      </x:c>
      <x:c r="J630" s="24" t="str">
        <x:v>7d0f3378bedd47d22af3e5c49316848a916f63f8082f2b158dc2438d6d64d681</x:v>
      </x:c>
      <x:c r="K630" s="24" t="str">
        <x:v>Assets/_Project/Tests/EditMode/Displays/DisplayInstanceRegistryTests.cs</x:v>
      </x:c>
      <x:c r="L630" s="24" t="str">
        <x:v>CR-003</x:v>
      </x:c>
      <x:c r="M630" s="24" t="str"/>
      <x:c r="N630" s="24" t="str">
        <x:v>RES-001;RES-014</x:v>
      </x:c>
      <x:c r="O630" s="24" t="str">
        <x:v>Internal development; public candidate requires gate</x:v>
      </x:c>
      <x:c r="P630" s="24" t="str">
        <x:v>CONDITIONALLY APPROVED</x:v>
      </x:c>
      <x:c r="Q630" s="24" t="str">
        <x:v>Low</x:v>
      </x:c>
      <x:c r="R630" s="24" t="str"/>
      <x:c r="S630" s="24" t="str">
        <x:v>Sí</x:v>
      </x:c>
      <x:c r="T630" s="24" t="str">
        <x:f>"T"&amp;IF(AND(H630&lt;&gt;"",I630&lt;&gt;"",J630&lt;&gt;"",L630&lt;&gt;"",N630&lt;&gt;"",O630&lt;&gt;"",P630="APPROVED PUBLIC",S630="Sí"),6,IF(AND(H630&lt;&gt;"",I630&lt;&gt;"",J630&lt;&gt;"",L630&lt;&gt;"",N630&lt;&gt;"",O630&lt;&gt;"",P630&lt;&gt;"",S630="Sí"),5,IF(AND(H630&lt;&gt;"",I630&lt;&gt;"",P630&lt;&gt;"",S630&lt;&gt;"No"),4,IF(AND(H630&lt;&gt;"",I630&lt;&gt;""),3,IF(F630&lt;&gt;"",2,1)))))</x:f>
        <x:v>T5</x:v>
      </x:c>
      <x:c r="U630" s="24" t="str">
        <x:v>VRM Games</x:v>
      </x:c>
      <x:c r="V630" s="24" t="str">
        <x:v>No se detectó proveedor externo en la ruta; confirmar autoría por lote antes de release público.</x:v>
      </x:c>
    </x:row>
    <x:row r="631" ht="34" customHeight="1">
      <x:c r="A631" s="24" t="str">
        <x:v>TRC-00627</x:v>
      </x:c>
      <x:c r="B631" s="24" t="str">
        <x:v>221eded9b9e245a69207eee5317344a7</x:v>
      </x:c>
      <x:c r="C631" s="24" t="str">
        <x:v>DisplayInstanceTests.cs</x:v>
      </x:c>
      <x:c r="D631" s="24" t="str">
        <x:v>Code</x:v>
      </x:c>
      <x:c r="E631" s="24" t="str">
        <x:v>03_Assets_Internos</x:v>
      </x:c>
      <x:c r="F631" s="24" t="str">
        <x:v>INT-0627</x:v>
      </x:c>
      <x:c r="G631" s="24" t="str">
        <x:v>VRM Games / Blas Luis Rocha González</x:v>
      </x:c>
      <x:c r="H631" s="24" t="str">
        <x:v>Internal project IP / authorship claim</x:v>
      </x:c>
      <x:c r="I631" s="24" t="str">
        <x:v>Source package + repository path + hash</x:v>
      </x:c>
      <x:c r="J631" s="24" t="str">
        <x:v>da355243888402a70fb711c631ce76b0e1c56aacef38370d0b57ac6c844a27fa</x:v>
      </x:c>
      <x:c r="K631" s="24" t="str">
        <x:v>Assets/_Project/Tests/EditMode/Displays/DisplayInstanceTests.cs</x:v>
      </x:c>
      <x:c r="L631" s="24" t="str">
        <x:v>CR-003</x:v>
      </x:c>
      <x:c r="M631" s="24" t="str"/>
      <x:c r="N631" s="24" t="str">
        <x:v>RES-001;RES-014</x:v>
      </x:c>
      <x:c r="O631" s="24" t="str">
        <x:v>Internal development; public candidate requires gate</x:v>
      </x:c>
      <x:c r="P631" s="24" t="str">
        <x:v>CONDITIONALLY APPROVED</x:v>
      </x:c>
      <x:c r="Q631" s="24" t="str">
        <x:v>Low</x:v>
      </x:c>
      <x:c r="R631" s="24" t="str"/>
      <x:c r="S631" s="24" t="str">
        <x:v>Sí</x:v>
      </x:c>
      <x:c r="T631" s="24" t="str">
        <x:f>"T"&amp;IF(AND(H631&lt;&gt;"",I631&lt;&gt;"",J631&lt;&gt;"",L631&lt;&gt;"",N631&lt;&gt;"",O631&lt;&gt;"",P631="APPROVED PUBLIC",S631="Sí"),6,IF(AND(H631&lt;&gt;"",I631&lt;&gt;"",J631&lt;&gt;"",L631&lt;&gt;"",N631&lt;&gt;"",O631&lt;&gt;"",P631&lt;&gt;"",S631="Sí"),5,IF(AND(H631&lt;&gt;"",I631&lt;&gt;"",P631&lt;&gt;"",S631&lt;&gt;"No"),4,IF(AND(H631&lt;&gt;"",I631&lt;&gt;""),3,IF(F631&lt;&gt;"",2,1)))))</x:f>
        <x:v>T5</x:v>
      </x:c>
      <x:c r="U631" s="24" t="str">
        <x:v>VRM Games</x:v>
      </x:c>
      <x:c r="V631" s="24" t="str">
        <x:v>No se detectó proveedor externo en la ruta; confirmar autoría por lote antes de release público.</x:v>
      </x:c>
    </x:row>
    <x:row r="632" ht="34" customHeight="1">
      <x:c r="A632" s="24" t="str">
        <x:v>TRC-00628</x:v>
      </x:c>
      <x:c r="B632" s="24" t="str">
        <x:v>bd780c0c20a646b6bc1080b4a0300e8c</x:v>
      </x:c>
      <x:c r="C632" s="24" t="str">
        <x:v>DisplayRestockServiceTests.cs</x:v>
      </x:c>
      <x:c r="D632" s="24" t="str">
        <x:v>Code</x:v>
      </x:c>
      <x:c r="E632" s="24" t="str">
        <x:v>03_Assets_Internos</x:v>
      </x:c>
      <x:c r="F632" s="24" t="str">
        <x:v>INT-0628</x:v>
      </x:c>
      <x:c r="G632" s="24" t="str">
        <x:v>VRM Games / Blas Luis Rocha González</x:v>
      </x:c>
      <x:c r="H632" s="24" t="str">
        <x:v>Internal project IP / authorship claim</x:v>
      </x:c>
      <x:c r="I632" s="24" t="str">
        <x:v>Source package + repository path + hash</x:v>
      </x:c>
      <x:c r="J632" s="24" t="str">
        <x:v>bdb2e53e78e9e7f99c6c03ede9b53855b7fe3fdc948a4d75a2ef7515b737b6d9</x:v>
      </x:c>
      <x:c r="K632" s="24" t="str">
        <x:v>Assets/_Project/Tests/EditMode/Displays/DisplayRestockServiceTests.cs</x:v>
      </x:c>
      <x:c r="L632" s="24" t="str">
        <x:v>CR-003</x:v>
      </x:c>
      <x:c r="M632" s="24" t="str"/>
      <x:c r="N632" s="24" t="str">
        <x:v>RES-001;RES-014</x:v>
      </x:c>
      <x:c r="O632" s="24" t="str">
        <x:v>Internal development; public candidate requires gate</x:v>
      </x:c>
      <x:c r="P632" s="24" t="str">
        <x:v>CONDITIONALLY APPROVED</x:v>
      </x:c>
      <x:c r="Q632" s="24" t="str">
        <x:v>Low</x:v>
      </x:c>
      <x:c r="R632" s="24" t="str"/>
      <x:c r="S632" s="24" t="str">
        <x:v>Sí</x:v>
      </x:c>
      <x:c r="T632" s="24" t="str">
        <x:f>"T"&amp;IF(AND(H632&lt;&gt;"",I632&lt;&gt;"",J632&lt;&gt;"",L632&lt;&gt;"",N632&lt;&gt;"",O632&lt;&gt;"",P632="APPROVED PUBLIC",S632="Sí"),6,IF(AND(H632&lt;&gt;"",I632&lt;&gt;"",J632&lt;&gt;"",L632&lt;&gt;"",N632&lt;&gt;"",O632&lt;&gt;"",P632&lt;&gt;"",S632="Sí"),5,IF(AND(H632&lt;&gt;"",I632&lt;&gt;"",P632&lt;&gt;"",S632&lt;&gt;"No"),4,IF(AND(H632&lt;&gt;"",I632&lt;&gt;""),3,IF(F632&lt;&gt;"",2,1)))))</x:f>
        <x:v>T5</x:v>
      </x:c>
      <x:c r="U632" s="24" t="str">
        <x:v>VRM Games</x:v>
      </x:c>
      <x:c r="V632" s="24" t="str">
        <x:v>No se detectó proveedor externo en la ruta; confirmar autoría por lote antes de release público.</x:v>
      </x:c>
    </x:row>
    <x:row r="633" ht="34" customHeight="1">
      <x:c r="A633" s="24" t="str">
        <x:v>TRC-00629</x:v>
      </x:c>
      <x:c r="B633" s="24" t="str">
        <x:v>c0534769880c45c6969c522ee297d630</x:v>
      </x:c>
      <x:c r="C633" s="24" t="str">
        <x:v>DisplayReturnStockServiceTests.cs</x:v>
      </x:c>
      <x:c r="D633" s="24" t="str">
        <x:v>Code</x:v>
      </x:c>
      <x:c r="E633" s="24" t="str">
        <x:v>03_Assets_Internos</x:v>
      </x:c>
      <x:c r="F633" s="24" t="str">
        <x:v>INT-0629</x:v>
      </x:c>
      <x:c r="G633" s="24" t="str">
        <x:v>VRM Games / Blas Luis Rocha González</x:v>
      </x:c>
      <x:c r="H633" s="24" t="str">
        <x:v>Internal project IP / authorship claim</x:v>
      </x:c>
      <x:c r="I633" s="24" t="str">
        <x:v>Source package + repository path + hash</x:v>
      </x:c>
      <x:c r="J633" s="24" t="str">
        <x:v>58d675727d1a2d2c2b296517adcf5607b8405c49d2193350dc0fd1f76ca5a65e</x:v>
      </x:c>
      <x:c r="K633" s="24" t="str">
        <x:v>Assets/_Project/Tests/EditMode/Displays/DisplayReturnStockServiceTests.cs</x:v>
      </x:c>
      <x:c r="L633" s="24" t="str">
        <x:v>CR-003</x:v>
      </x:c>
      <x:c r="M633" s="24" t="str"/>
      <x:c r="N633" s="24" t="str">
        <x:v>RES-001;RES-014</x:v>
      </x:c>
      <x:c r="O633" s="24" t="str">
        <x:v>Internal development; public candidate requires gate</x:v>
      </x:c>
      <x:c r="P633" s="24" t="str">
        <x:v>CONDITIONALLY APPROVED</x:v>
      </x:c>
      <x:c r="Q633" s="24" t="str">
        <x:v>Low</x:v>
      </x:c>
      <x:c r="R633" s="24" t="str"/>
      <x:c r="S633" s="24" t="str">
        <x:v>Sí</x:v>
      </x:c>
      <x:c r="T633" s="24" t="str">
        <x:f>"T"&amp;IF(AND(H633&lt;&gt;"",I633&lt;&gt;"",J633&lt;&gt;"",L633&lt;&gt;"",N633&lt;&gt;"",O633&lt;&gt;"",P633="APPROVED PUBLIC",S633="Sí"),6,IF(AND(H633&lt;&gt;"",I633&lt;&gt;"",J633&lt;&gt;"",L633&lt;&gt;"",N633&lt;&gt;"",O633&lt;&gt;"",P633&lt;&gt;"",S633="Sí"),5,IF(AND(H633&lt;&gt;"",I633&lt;&gt;"",P633&lt;&gt;"",S633&lt;&gt;"No"),4,IF(AND(H633&lt;&gt;"",I633&lt;&gt;""),3,IF(F633&lt;&gt;"",2,1)))))</x:f>
        <x:v>T5</x:v>
      </x:c>
      <x:c r="U633" s="24" t="str">
        <x:v>VRM Games</x:v>
      </x:c>
      <x:c r="V633" s="24" t="str">
        <x:v>No se detectó proveedor externo en la ruta; confirmar autoría por lote antes de release público.</x:v>
      </x:c>
    </x:row>
    <x:row r="634" ht="34" customHeight="1">
      <x:c r="A634" s="24" t="str">
        <x:v>TRC-00630</x:v>
      </x:c>
      <x:c r="B634" s="24" t="str">
        <x:v>3e4710b22eb54446bde3996852b2199a</x:v>
      </x:c>
      <x:c r="C634" s="24" t="str">
        <x:v>DisplayRuntimeAuthoringTests.cs</x:v>
      </x:c>
      <x:c r="D634" s="24" t="str">
        <x:v>Code</x:v>
      </x:c>
      <x:c r="E634" s="24" t="str">
        <x:v>03_Assets_Internos</x:v>
      </x:c>
      <x:c r="F634" s="24" t="str">
        <x:v>INT-0630</x:v>
      </x:c>
      <x:c r="G634" s="24" t="str">
        <x:v>VRM Games / Blas Luis Rocha González</x:v>
      </x:c>
      <x:c r="H634" s="24" t="str">
        <x:v>Internal project IP / authorship claim</x:v>
      </x:c>
      <x:c r="I634" s="24" t="str">
        <x:v>Source package + repository path + hash</x:v>
      </x:c>
      <x:c r="J634" s="24" t="str">
        <x:v>229beb9ed0e0aeea5676580050f6be1e0e114d147fc892ae95be0148ee6e1837</x:v>
      </x:c>
      <x:c r="K634" s="24" t="str">
        <x:v>Assets/_Project/Tests/EditMode/Displays/DisplayRuntimeAuthoringTests.cs</x:v>
      </x:c>
      <x:c r="L634" s="24" t="str">
        <x:v>CR-003</x:v>
      </x:c>
      <x:c r="M634" s="24" t="str"/>
      <x:c r="N634" s="24" t="str">
        <x:v>RES-001;RES-014</x:v>
      </x:c>
      <x:c r="O634" s="24" t="str">
        <x:v>Internal development; public candidate requires gate</x:v>
      </x:c>
      <x:c r="P634" s="24" t="str">
        <x:v>CONDITIONALLY APPROVED</x:v>
      </x:c>
      <x:c r="Q634" s="24" t="str">
        <x:v>Low</x:v>
      </x:c>
      <x:c r="R634" s="24" t="str"/>
      <x:c r="S634" s="24" t="str">
        <x:v>Sí</x:v>
      </x:c>
      <x:c r="T634" s="24" t="str">
        <x:f>"T"&amp;IF(AND(H634&lt;&gt;"",I634&lt;&gt;"",J634&lt;&gt;"",L634&lt;&gt;"",N634&lt;&gt;"",O634&lt;&gt;"",P634="APPROVED PUBLIC",S634="Sí"),6,IF(AND(H634&lt;&gt;"",I634&lt;&gt;"",J634&lt;&gt;"",L634&lt;&gt;"",N634&lt;&gt;"",O634&lt;&gt;"",P634&lt;&gt;"",S634="Sí"),5,IF(AND(H634&lt;&gt;"",I634&lt;&gt;"",P634&lt;&gt;"",S634&lt;&gt;"No"),4,IF(AND(H634&lt;&gt;"",I634&lt;&gt;""),3,IF(F634&lt;&gt;"",2,1)))))</x:f>
        <x:v>T5</x:v>
      </x:c>
      <x:c r="U634" s="24" t="str">
        <x:v>VRM Games</x:v>
      </x:c>
      <x:c r="V634" s="24" t="str">
        <x:v>No se detectó proveedor externo en la ruta; confirmar autoría por lote antes de release público.</x:v>
      </x:c>
    </x:row>
    <x:row r="635" ht="34" customHeight="1">
      <x:c r="A635" s="24" t="str">
        <x:v>TRC-00631</x:v>
      </x:c>
      <x:c r="B635" s="24" t="str">
        <x:v>d7c5ecfd18f2413f99f17b3e78bfcc0b</x:v>
      </x:c>
      <x:c r="C635" s="24" t="str">
        <x:v>RestockTaskTests.cs</x:v>
      </x:c>
      <x:c r="D635" s="24" t="str">
        <x:v>Code</x:v>
      </x:c>
      <x:c r="E635" s="24" t="str">
        <x:v>03_Assets_Internos</x:v>
      </x:c>
      <x:c r="F635" s="24" t="str">
        <x:v>INT-0631</x:v>
      </x:c>
      <x:c r="G635" s="24" t="str">
        <x:v>VRM Games / Blas Luis Rocha González</x:v>
      </x:c>
      <x:c r="H635" s="24" t="str">
        <x:v>Internal project IP / authorship claim</x:v>
      </x:c>
      <x:c r="I635" s="24" t="str">
        <x:v>Source package + repository path + hash</x:v>
      </x:c>
      <x:c r="J635" s="24" t="str">
        <x:v>f09df6fc7017534fc10c73af653c8eb8105a259a995a6c16cf28a55d27aba72b</x:v>
      </x:c>
      <x:c r="K635" s="24" t="str">
        <x:v>Assets/_Project/Tests/EditMode/Displays/RestockTaskTests.cs</x:v>
      </x:c>
      <x:c r="L635" s="24" t="str">
        <x:v>CR-003</x:v>
      </x:c>
      <x:c r="M635" s="24" t="str"/>
      <x:c r="N635" s="24" t="str">
        <x:v>RES-001;RES-014</x:v>
      </x:c>
      <x:c r="O635" s="24" t="str">
        <x:v>Internal development; public candidate requires gate</x:v>
      </x:c>
      <x:c r="P635" s="24" t="str">
        <x:v>CONDITIONALLY APPROVED</x:v>
      </x:c>
      <x:c r="Q635" s="24" t="str">
        <x:v>Low</x:v>
      </x:c>
      <x:c r="R635" s="24" t="str"/>
      <x:c r="S635" s="24" t="str">
        <x:v>Sí</x:v>
      </x:c>
      <x:c r="T635" s="24" t="str">
        <x:f>"T"&amp;IF(AND(H635&lt;&gt;"",I635&lt;&gt;"",J635&lt;&gt;"",L635&lt;&gt;"",N635&lt;&gt;"",O635&lt;&gt;"",P635="APPROVED PUBLIC",S635="Sí"),6,IF(AND(H635&lt;&gt;"",I635&lt;&gt;"",J635&lt;&gt;"",L635&lt;&gt;"",N635&lt;&gt;"",O635&lt;&gt;"",P635&lt;&gt;"",S635="Sí"),5,IF(AND(H635&lt;&gt;"",I635&lt;&gt;"",P635&lt;&gt;"",S635&lt;&gt;"No"),4,IF(AND(H635&lt;&gt;"",I635&lt;&gt;""),3,IF(F635&lt;&gt;"",2,1)))))</x:f>
        <x:v>T5</x:v>
      </x:c>
      <x:c r="U635" s="24" t="str">
        <x:v>VRM Games</x:v>
      </x:c>
      <x:c r="V635" s="24" t="str">
        <x:v>No se detectó proveedor externo en la ruta; confirmar autoría por lote antes de release público.</x:v>
      </x:c>
    </x:row>
    <x:row r="636" ht="34" customHeight="1">
      <x:c r="A636" s="24" t="str">
        <x:v>TRC-00632</x:v>
      </x:c>
      <x:c r="B636" s="24" t="str">
        <x:v>12db1cbdd2de47afa433a6730d7bc3c5</x:v>
      </x:c>
      <x:c r="C636" s="24" t="str">
        <x:v>CheckoutQuoteTests.cs</x:v>
      </x:c>
      <x:c r="D636" s="24" t="str">
        <x:v>Code</x:v>
      </x:c>
      <x:c r="E636" s="24" t="str">
        <x:v>03_Assets_Internos</x:v>
      </x:c>
      <x:c r="F636" s="24" t="str">
        <x:v>INT-0632</x:v>
      </x:c>
      <x:c r="G636" s="24" t="str">
        <x:v>VRM Games / Blas Luis Rocha González</x:v>
      </x:c>
      <x:c r="H636" s="24" t="str">
        <x:v>Internal project IP / authorship claim</x:v>
      </x:c>
      <x:c r="I636" s="24" t="str">
        <x:v>Source package + repository path + hash</x:v>
      </x:c>
      <x:c r="J636" s="24" t="str">
        <x:v>77f483c591ebdd069d4f61ac6bf40aa956e51c9ac10a365aac7dece58333a121</x:v>
      </x:c>
      <x:c r="K636" s="24" t="str">
        <x:v>Assets/_Project/Tests/EditMode/Economy/CheckoutQuoteTests.cs</x:v>
      </x:c>
      <x:c r="L636" s="24" t="str">
        <x:v>CR-003</x:v>
      </x:c>
      <x:c r="M636" s="24" t="str"/>
      <x:c r="N636" s="24" t="str">
        <x:v>RES-001;RES-014</x:v>
      </x:c>
      <x:c r="O636" s="24" t="str">
        <x:v>Internal development; public candidate requires gate</x:v>
      </x:c>
      <x:c r="P636" s="24" t="str">
        <x:v>CONDITIONALLY APPROVED</x:v>
      </x:c>
      <x:c r="Q636" s="24" t="str">
        <x:v>Low</x:v>
      </x:c>
      <x:c r="R636" s="24" t="str"/>
      <x:c r="S636" s="24" t="str">
        <x:v>Sí</x:v>
      </x:c>
      <x:c r="T636" s="24" t="str">
        <x:f>"T"&amp;IF(AND(H636&lt;&gt;"",I636&lt;&gt;"",J636&lt;&gt;"",L636&lt;&gt;"",N636&lt;&gt;"",O636&lt;&gt;"",P636="APPROVED PUBLIC",S636="Sí"),6,IF(AND(H636&lt;&gt;"",I636&lt;&gt;"",J636&lt;&gt;"",L636&lt;&gt;"",N636&lt;&gt;"",O636&lt;&gt;"",P636&lt;&gt;"",S636="Sí"),5,IF(AND(H636&lt;&gt;"",I636&lt;&gt;"",P636&lt;&gt;"",S636&lt;&gt;"No"),4,IF(AND(H636&lt;&gt;"",I636&lt;&gt;""),3,IF(F636&lt;&gt;"",2,1)))))</x:f>
        <x:v>T5</x:v>
      </x:c>
      <x:c r="U636" s="24" t="str">
        <x:v>VRM Games</x:v>
      </x:c>
      <x:c r="V636" s="24" t="str">
        <x:v>No se detectó proveedor externo en la ruta; confirmar autoría por lote antes de release público.</x:v>
      </x:c>
    </x:row>
    <x:row r="637" ht="34" customHeight="1">
      <x:c r="A637" s="24" t="str">
        <x:v>TRC-00633</x:v>
      </x:c>
      <x:c r="B637" s="24" t="str">
        <x:v>26cffd20965e4720bfcce6c764f2b94f</x:v>
      </x:c>
      <x:c r="C637" s="24" t="str">
        <x:v>DailyResultsServiceTests.cs</x:v>
      </x:c>
      <x:c r="D637" s="24" t="str">
        <x:v>Code</x:v>
      </x:c>
      <x:c r="E637" s="24" t="str">
        <x:v>03_Assets_Internos</x:v>
      </x:c>
      <x:c r="F637" s="24" t="str">
        <x:v>INT-0633</x:v>
      </x:c>
      <x:c r="G637" s="24" t="str">
        <x:v>VRM Games / Blas Luis Rocha González</x:v>
      </x:c>
      <x:c r="H637" s="24" t="str">
        <x:v>Internal project IP / authorship claim</x:v>
      </x:c>
      <x:c r="I637" s="24" t="str">
        <x:v>Source package + repository path + hash</x:v>
      </x:c>
      <x:c r="J637" s="24" t="str">
        <x:v>970507ba859f018774103df940c582bb1af5ddacfc78fa5dabfa680420f275ea</x:v>
      </x:c>
      <x:c r="K637" s="24" t="str">
        <x:v>Assets/_Project/Tests/EditMode/Economy/DailyResultsServiceTests.cs</x:v>
      </x:c>
      <x:c r="L637" s="24" t="str">
        <x:v>CR-003</x:v>
      </x:c>
      <x:c r="M637" s="24" t="str"/>
      <x:c r="N637" s="24" t="str">
        <x:v>RES-001;RES-014</x:v>
      </x:c>
      <x:c r="O637" s="24" t="str">
        <x:v>Internal development; public candidate requires gate</x:v>
      </x:c>
      <x:c r="P637" s="24" t="str">
        <x:v>CONDITIONALLY APPROVED</x:v>
      </x:c>
      <x:c r="Q637" s="24" t="str">
        <x:v>Low</x:v>
      </x:c>
      <x:c r="R637" s="24" t="str"/>
      <x:c r="S637" s="24" t="str">
        <x:v>Sí</x:v>
      </x:c>
      <x:c r="T637" s="24" t="str">
        <x:f>"T"&amp;IF(AND(H637&lt;&gt;"",I637&lt;&gt;"",J637&lt;&gt;"",L637&lt;&gt;"",N637&lt;&gt;"",O637&lt;&gt;"",P637="APPROVED PUBLIC",S637="Sí"),6,IF(AND(H637&lt;&gt;"",I637&lt;&gt;"",J637&lt;&gt;"",L637&lt;&gt;"",N637&lt;&gt;"",O637&lt;&gt;"",P637&lt;&gt;"",S637="Sí"),5,IF(AND(H637&lt;&gt;"",I637&lt;&gt;"",P637&lt;&gt;"",S637&lt;&gt;"No"),4,IF(AND(H637&lt;&gt;"",I637&lt;&gt;""),3,IF(F637&lt;&gt;"",2,1)))))</x:f>
        <x:v>T5</x:v>
      </x:c>
      <x:c r="U637" s="24" t="str">
        <x:v>VRM Games</x:v>
      </x:c>
      <x:c r="V637" s="24" t="str">
        <x:v>No se detectó proveedor externo en la ruta; confirmar autoría por lote antes de release público.</x:v>
      </x:c>
    </x:row>
    <x:row r="638" ht="34" customHeight="1">
      <x:c r="A638" s="24" t="str">
        <x:v>TRC-00634</x:v>
      </x:c>
      <x:c r="B638" s="24" t="str">
        <x:v>64a07f04b9404969b24e12299973195e</x:v>
      </x:c>
      <x:c r="C638" s="24" t="str">
        <x:v>EconomicCheckoutServiceTests.cs</x:v>
      </x:c>
      <x:c r="D638" s="24" t="str">
        <x:v>Code</x:v>
      </x:c>
      <x:c r="E638" s="24" t="str">
        <x:v>03_Assets_Internos</x:v>
      </x:c>
      <x:c r="F638" s="24" t="str">
        <x:v>INT-0634</x:v>
      </x:c>
      <x:c r="G638" s="24" t="str">
        <x:v>VRM Games / Blas Luis Rocha González</x:v>
      </x:c>
      <x:c r="H638" s="24" t="str">
        <x:v>Internal project IP / authorship claim</x:v>
      </x:c>
      <x:c r="I638" s="24" t="str">
        <x:v>Source package + repository path + hash</x:v>
      </x:c>
      <x:c r="J638" s="24" t="str">
        <x:v>941774afd0310ec0996ca17f83cbd889a82474e0b48c2bebfcf6d9b930191cb0</x:v>
      </x:c>
      <x:c r="K638" s="24" t="str">
        <x:v>Assets/_Project/Tests/EditMode/Economy/EconomicCheckoutServiceTests.cs</x:v>
      </x:c>
      <x:c r="L638" s="24" t="str">
        <x:v>CR-003</x:v>
      </x:c>
      <x:c r="M638" s="24" t="str"/>
      <x:c r="N638" s="24" t="str">
        <x:v>RES-001;RES-014</x:v>
      </x:c>
      <x:c r="O638" s="24" t="str">
        <x:v>Internal development; public candidate requires gate</x:v>
      </x:c>
      <x:c r="P638" s="24" t="str">
        <x:v>CONDITIONALLY APPROVED</x:v>
      </x:c>
      <x:c r="Q638" s="24" t="str">
        <x:v>Low</x:v>
      </x:c>
      <x:c r="R638" s="24" t="str"/>
      <x:c r="S638" s="24" t="str">
        <x:v>Sí</x:v>
      </x:c>
      <x:c r="T638" s="24" t="str">
        <x:f>"T"&amp;IF(AND(H638&lt;&gt;"",I638&lt;&gt;"",J638&lt;&gt;"",L638&lt;&gt;"",N638&lt;&gt;"",O638&lt;&gt;"",P638="APPROVED PUBLIC",S638="Sí"),6,IF(AND(H638&lt;&gt;"",I638&lt;&gt;"",J638&lt;&gt;"",L638&lt;&gt;"",N638&lt;&gt;"",O638&lt;&gt;"",P638&lt;&gt;"",S638="Sí"),5,IF(AND(H638&lt;&gt;"",I638&lt;&gt;"",P638&lt;&gt;"",S638&lt;&gt;"No"),4,IF(AND(H638&lt;&gt;"",I638&lt;&gt;""),3,IF(F638&lt;&gt;"",2,1)))))</x:f>
        <x:v>T5</x:v>
      </x:c>
      <x:c r="U638" s="24" t="str">
        <x:v>VRM Games</x:v>
      </x:c>
      <x:c r="V638" s="24" t="str">
        <x:v>No se detectó proveedor externo en la ruta; confirmar autoría por lote antes de release público.</x:v>
      </x:c>
    </x:row>
    <x:row r="639" ht="34" customHeight="1">
      <x:c r="A639" s="24" t="str">
        <x:v>TRC-00635</x:v>
      </x:c>
      <x:c r="B639" s="24" t="str">
        <x:v>e013b5c6d89b46ebb50a5a6638acee8d</x:v>
      </x:c>
      <x:c r="C639" s="24" t="str">
        <x:v>EconomyAuthoringTests.cs</x:v>
      </x:c>
      <x:c r="D639" s="24" t="str">
        <x:v>Code</x:v>
      </x:c>
      <x:c r="E639" s="24" t="str">
        <x:v>03_Assets_Internos</x:v>
      </x:c>
      <x:c r="F639" s="24" t="str">
        <x:v>INT-0635</x:v>
      </x:c>
      <x:c r="G639" s="24" t="str">
        <x:v>VRM Games / Blas Luis Rocha González</x:v>
      </x:c>
      <x:c r="H639" s="24" t="str">
        <x:v>Internal project IP / authorship claim</x:v>
      </x:c>
      <x:c r="I639" s="24" t="str">
        <x:v>Source package + repository path + hash</x:v>
      </x:c>
      <x:c r="J639" s="24" t="str">
        <x:v>0c578746d78939ffaa235e70633cdf0afcc74c022c7eb00d78c241551726522f</x:v>
      </x:c>
      <x:c r="K639" s="24" t="str">
        <x:v>Assets/_Project/Tests/EditMode/Economy/EconomyAuthoringTests.cs</x:v>
      </x:c>
      <x:c r="L639" s="24" t="str">
        <x:v>CR-003</x:v>
      </x:c>
      <x:c r="M639" s="24" t="str"/>
      <x:c r="N639" s="24" t="str">
        <x:v>RES-001;RES-014</x:v>
      </x:c>
      <x:c r="O639" s="24" t="str">
        <x:v>Internal development; public candidate requires gate</x:v>
      </x:c>
      <x:c r="P639" s="24" t="str">
        <x:v>CONDITIONALLY APPROVED</x:v>
      </x:c>
      <x:c r="Q639" s="24" t="str">
        <x:v>Low</x:v>
      </x:c>
      <x:c r="R639" s="24" t="str"/>
      <x:c r="S639" s="24" t="str">
        <x:v>Sí</x:v>
      </x:c>
      <x:c r="T639" s="24" t="str">
        <x:f>"T"&amp;IF(AND(H639&lt;&gt;"",I639&lt;&gt;"",J639&lt;&gt;"",L639&lt;&gt;"",N639&lt;&gt;"",O639&lt;&gt;"",P639="APPROVED PUBLIC",S639="Sí"),6,IF(AND(H639&lt;&gt;"",I639&lt;&gt;"",J639&lt;&gt;"",L639&lt;&gt;"",N639&lt;&gt;"",O639&lt;&gt;"",P639&lt;&gt;"",S639="Sí"),5,IF(AND(H639&lt;&gt;"",I639&lt;&gt;"",P639&lt;&gt;"",S639&lt;&gt;"No"),4,IF(AND(H639&lt;&gt;"",I639&lt;&gt;""),3,IF(F639&lt;&gt;"",2,1)))))</x:f>
        <x:v>T5</x:v>
      </x:c>
      <x:c r="U639" s="24" t="str">
        <x:v>VRM Games</x:v>
      </x:c>
      <x:c r="V639" s="24" t="str">
        <x:v>No se detectó proveedor externo en la ruta; confirmar autoría por lote antes de release público.</x:v>
      </x:c>
    </x:row>
    <x:row r="640" ht="34" customHeight="1">
      <x:c r="A640" s="24" t="str">
        <x:v>TRC-00636</x:v>
      </x:c>
      <x:c r="B640" s="24" t="str">
        <x:v>eafb4a8eb290455cad03dfb5ca7b85f4</x:v>
      </x:c>
      <x:c r="C640" s="24" t="str">
        <x:v>EconomyIntegrationTests.cs</x:v>
      </x:c>
      <x:c r="D640" s="24" t="str">
        <x:v>Code</x:v>
      </x:c>
      <x:c r="E640" s="24" t="str">
        <x:v>03_Assets_Internos</x:v>
      </x:c>
      <x:c r="F640" s="24" t="str">
        <x:v>INT-0636</x:v>
      </x:c>
      <x:c r="G640" s="24" t="str">
        <x:v>VRM Games / Blas Luis Rocha González</x:v>
      </x:c>
      <x:c r="H640" s="24" t="str">
        <x:v>Internal project IP / authorship claim</x:v>
      </x:c>
      <x:c r="I640" s="24" t="str">
        <x:v>Source package + repository path + hash</x:v>
      </x:c>
      <x:c r="J640" s="24" t="str">
        <x:v>284f89d53e1a464e14f05ad4e28e6b4a63b7bdfdb90da5fa70b60d42428d864b</x:v>
      </x:c>
      <x:c r="K640" s="24" t="str">
        <x:v>Assets/_Project/Tests/EditMode/Economy/EconomyIntegrationTests.cs</x:v>
      </x:c>
      <x:c r="L640" s="24" t="str">
        <x:v>CR-003</x:v>
      </x:c>
      <x:c r="M640" s="24" t="str"/>
      <x:c r="N640" s="24" t="str">
        <x:v>RES-001;RES-014</x:v>
      </x:c>
      <x:c r="O640" s="24" t="str">
        <x:v>Internal development; public candidate requires gate</x:v>
      </x:c>
      <x:c r="P640" s="24" t="str">
        <x:v>CONDITIONALLY APPROVED</x:v>
      </x:c>
      <x:c r="Q640" s="24" t="str">
        <x:v>Low</x:v>
      </x:c>
      <x:c r="R640" s="24" t="str"/>
      <x:c r="S640" s="24" t="str">
        <x:v>Sí</x:v>
      </x:c>
      <x:c r="T640" s="24" t="str">
        <x:f>"T"&amp;IF(AND(H640&lt;&gt;"",I640&lt;&gt;"",J640&lt;&gt;"",L640&lt;&gt;"",N640&lt;&gt;"",O640&lt;&gt;"",P640="APPROVED PUBLIC",S640="Sí"),6,IF(AND(H640&lt;&gt;"",I640&lt;&gt;"",J640&lt;&gt;"",L640&lt;&gt;"",N640&lt;&gt;"",O640&lt;&gt;"",P640&lt;&gt;"",S640="Sí"),5,IF(AND(H640&lt;&gt;"",I640&lt;&gt;"",P640&lt;&gt;"",S640&lt;&gt;"No"),4,IF(AND(H640&lt;&gt;"",I640&lt;&gt;""),3,IF(F640&lt;&gt;"",2,1)))))</x:f>
        <x:v>T5</x:v>
      </x:c>
      <x:c r="U640" s="24" t="str">
        <x:v>VRM Games</x:v>
      </x:c>
      <x:c r="V640" s="24" t="str">
        <x:v>No se detectó proveedor externo en la ruta; confirmar autoría por lote antes de release público.</x:v>
      </x:c>
    </x:row>
    <x:row r="641" ht="34" customHeight="1">
      <x:c r="A641" s="24" t="str">
        <x:v>TRC-00637</x:v>
      </x:c>
      <x:c r="B641" s="24" t="str">
        <x:v>245c95ea72a242d898c4d19b812a3f95</x:v>
      </x:c>
      <x:c r="C641" s="24" t="str">
        <x:v>EconomyLedgerTests.cs</x:v>
      </x:c>
      <x:c r="D641" s="24" t="str">
        <x:v>Code</x:v>
      </x:c>
      <x:c r="E641" s="24" t="str">
        <x:v>03_Assets_Internos</x:v>
      </x:c>
      <x:c r="F641" s="24" t="str">
        <x:v>INT-0637</x:v>
      </x:c>
      <x:c r="G641" s="24" t="str">
        <x:v>VRM Games / Blas Luis Rocha González</x:v>
      </x:c>
      <x:c r="H641" s="24" t="str">
        <x:v>Internal project IP / authorship claim</x:v>
      </x:c>
      <x:c r="I641" s="24" t="str">
        <x:v>Source package + repository path + hash</x:v>
      </x:c>
      <x:c r="J641" s="24" t="str">
        <x:v>c31e7dc4eddac3ecab17b482e87d0fe33420bf6c89740b49869e385f34dfe324</x:v>
      </x:c>
      <x:c r="K641" s="24" t="str">
        <x:v>Assets/_Project/Tests/EditMode/Economy/EconomyLedgerTests.cs</x:v>
      </x:c>
      <x:c r="L641" s="24" t="str">
        <x:v>CR-003</x:v>
      </x:c>
      <x:c r="M641" s="24" t="str"/>
      <x:c r="N641" s="24" t="str">
        <x:v>RES-001;RES-014</x:v>
      </x:c>
      <x:c r="O641" s="24" t="str">
        <x:v>Internal development; public candidate requires gate</x:v>
      </x:c>
      <x:c r="P641" s="24" t="str">
        <x:v>CONDITIONALLY APPROVED</x:v>
      </x:c>
      <x:c r="Q641" s="24" t="str">
        <x:v>Low</x:v>
      </x:c>
      <x:c r="R641" s="24" t="str"/>
      <x:c r="S641" s="24" t="str">
        <x:v>Sí</x:v>
      </x:c>
      <x:c r="T641" s="24" t="str">
        <x:f>"T"&amp;IF(AND(H641&lt;&gt;"",I641&lt;&gt;"",J641&lt;&gt;"",L641&lt;&gt;"",N641&lt;&gt;"",O641&lt;&gt;"",P641="APPROVED PUBLIC",S641="Sí"),6,IF(AND(H641&lt;&gt;"",I641&lt;&gt;"",J641&lt;&gt;"",L641&lt;&gt;"",N641&lt;&gt;"",O641&lt;&gt;"",P641&lt;&gt;"",S641="Sí"),5,IF(AND(H641&lt;&gt;"",I641&lt;&gt;"",P641&lt;&gt;"",S641&lt;&gt;"No"),4,IF(AND(H641&lt;&gt;"",I641&lt;&gt;""),3,IF(F641&lt;&gt;"",2,1)))))</x:f>
        <x:v>T5</x:v>
      </x:c>
      <x:c r="U641" s="24" t="str">
        <x:v>VRM Games</x:v>
      </x:c>
      <x:c r="V641" s="24" t="str">
        <x:v>No se detectó proveedor externo en la ruta; confirmar autoría por lote antes de release público.</x:v>
      </x:c>
    </x:row>
    <x:row r="642" ht="34" customHeight="1">
      <x:c r="A642" s="24" t="str">
        <x:v>TRC-00638</x:v>
      </x:c>
      <x:c r="B642" s="24" t="str">
        <x:v>281ff5afd4624c2dbc4291185d5d788b</x:v>
      </x:c>
      <x:c r="C642" s="24" t="str">
        <x:v>EconomyTestFactory.cs</x:v>
      </x:c>
      <x:c r="D642" s="24" t="str">
        <x:v>Code</x:v>
      </x:c>
      <x:c r="E642" s="24" t="str">
        <x:v>03_Assets_Internos</x:v>
      </x:c>
      <x:c r="F642" s="24" t="str">
        <x:v>INT-0638</x:v>
      </x:c>
      <x:c r="G642" s="24" t="str">
        <x:v>VRM Games / Blas Luis Rocha González</x:v>
      </x:c>
      <x:c r="H642" s="24" t="str">
        <x:v>Internal project IP / authorship claim</x:v>
      </x:c>
      <x:c r="I642" s="24" t="str">
        <x:v>Source package + repository path + hash</x:v>
      </x:c>
      <x:c r="J642" s="24" t="str">
        <x:v>f37d8ec88063aca8acb1d3059c1141f970f0e2524ffca42c8e1f2c93d7b2a722</x:v>
      </x:c>
      <x:c r="K642" s="24" t="str">
        <x:v>Assets/_Project/Tests/EditMode/Economy/EconomyTestFactory.cs</x:v>
      </x:c>
      <x:c r="L642" s="24" t="str">
        <x:v>CR-003</x:v>
      </x:c>
      <x:c r="M642" s="24" t="str"/>
      <x:c r="N642" s="24" t="str">
        <x:v>RES-001;RES-014</x:v>
      </x:c>
      <x:c r="O642" s="24" t="str">
        <x:v>Internal development; public candidate requires gate</x:v>
      </x:c>
      <x:c r="P642" s="24" t="str">
        <x:v>CONDITIONALLY APPROVED</x:v>
      </x:c>
      <x:c r="Q642" s="24" t="str">
        <x:v>Low</x:v>
      </x:c>
      <x:c r="R642" s="24" t="str"/>
      <x:c r="S642" s="24" t="str">
        <x:v>Sí</x:v>
      </x:c>
      <x:c r="T642" s="24" t="str">
        <x:f>"T"&amp;IF(AND(H642&lt;&gt;"",I642&lt;&gt;"",J642&lt;&gt;"",L642&lt;&gt;"",N642&lt;&gt;"",O642&lt;&gt;"",P642="APPROVED PUBLIC",S642="Sí"),6,IF(AND(H642&lt;&gt;"",I642&lt;&gt;"",J642&lt;&gt;"",L642&lt;&gt;"",N642&lt;&gt;"",O642&lt;&gt;"",P642&lt;&gt;"",S642="Sí"),5,IF(AND(H642&lt;&gt;"",I642&lt;&gt;"",P642&lt;&gt;"",S642&lt;&gt;"No"),4,IF(AND(H642&lt;&gt;"",I642&lt;&gt;""),3,IF(F642&lt;&gt;"",2,1)))))</x:f>
        <x:v>T5</x:v>
      </x:c>
      <x:c r="U642" s="24" t="str">
        <x:v>VRM Games</x:v>
      </x:c>
      <x:c r="V642" s="24" t="str">
        <x:v>No se detectó proveedor externo en la ruta; confirmar autoría por lote antes de release público.</x:v>
      </x:c>
    </x:row>
    <x:row r="643" ht="34" customHeight="1">
      <x:c r="A643" s="24" t="str">
        <x:v>TRC-00639</x:v>
      </x:c>
      <x:c r="B643" s="24" t="str">
        <x:v>56f524946d7546c7999de4ca61083a9e</x:v>
      </x:c>
      <x:c r="C643" s="24" t="str">
        <x:v>MoneyTests.cs</x:v>
      </x:c>
      <x:c r="D643" s="24" t="str">
        <x:v>Code</x:v>
      </x:c>
      <x:c r="E643" s="24" t="str">
        <x:v>03_Assets_Internos</x:v>
      </x:c>
      <x:c r="F643" s="24" t="str">
        <x:v>INT-0639</x:v>
      </x:c>
      <x:c r="G643" s="24" t="str">
        <x:v>VRM Games / Blas Luis Rocha González</x:v>
      </x:c>
      <x:c r="H643" s="24" t="str">
        <x:v>Internal project IP / authorship claim</x:v>
      </x:c>
      <x:c r="I643" s="24" t="str">
        <x:v>Source package + repository path + hash</x:v>
      </x:c>
      <x:c r="J643" s="24" t="str">
        <x:v>da1730655535214fa62298bfe61780b6ca31a63cb433b838b6454b732535bdb6</x:v>
      </x:c>
      <x:c r="K643" s="24" t="str">
        <x:v>Assets/_Project/Tests/EditMode/Economy/MoneyTests.cs</x:v>
      </x:c>
      <x:c r="L643" s="24" t="str">
        <x:v>CR-003</x:v>
      </x:c>
      <x:c r="M643" s="24" t="str"/>
      <x:c r="N643" s="24" t="str">
        <x:v>RES-001;RES-014</x:v>
      </x:c>
      <x:c r="O643" s="24" t="str">
        <x:v>Internal development; public candidate requires gate</x:v>
      </x:c>
      <x:c r="P643" s="24" t="str">
        <x:v>CONDITIONALLY APPROVED</x:v>
      </x:c>
      <x:c r="Q643" s="24" t="str">
        <x:v>Low</x:v>
      </x:c>
      <x:c r="R643" s="24" t="str"/>
      <x:c r="S643" s="24" t="str">
        <x:v>Sí</x:v>
      </x:c>
      <x:c r="T643" s="24" t="str">
        <x:f>"T"&amp;IF(AND(H643&lt;&gt;"",I643&lt;&gt;"",J643&lt;&gt;"",L643&lt;&gt;"",N643&lt;&gt;"",O643&lt;&gt;"",P643="APPROVED PUBLIC",S643="Sí"),6,IF(AND(H643&lt;&gt;"",I643&lt;&gt;"",J643&lt;&gt;"",L643&lt;&gt;"",N643&lt;&gt;"",O643&lt;&gt;"",P643&lt;&gt;"",S643="Sí"),5,IF(AND(H643&lt;&gt;"",I643&lt;&gt;"",P643&lt;&gt;"",S643&lt;&gt;"No"),4,IF(AND(H643&lt;&gt;"",I643&lt;&gt;""),3,IF(F643&lt;&gt;"",2,1)))))</x:f>
        <x:v>T5</x:v>
      </x:c>
      <x:c r="U643" s="24" t="str">
        <x:v>VRM Games</x:v>
      </x:c>
      <x:c r="V643" s="24" t="str">
        <x:v>No se detectó proveedor externo en la ruta; confirmar autoría por lote antes de release público.</x:v>
      </x:c>
    </x:row>
    <x:row r="644" ht="34" customHeight="1">
      <x:c r="A644" s="24" t="str">
        <x:v>TRC-00640</x:v>
      </x:c>
      <x:c r="B644" s="24" t="str">
        <x:v>274b3bd267344e218e5948cfa1864e47</x:v>
      </x:c>
      <x:c r="C644" s="24" t="str">
        <x:v>ProductSalePriceCatalogTests.cs</x:v>
      </x:c>
      <x:c r="D644" s="24" t="str">
        <x:v>Code</x:v>
      </x:c>
      <x:c r="E644" s="24" t="str">
        <x:v>03_Assets_Internos</x:v>
      </x:c>
      <x:c r="F644" s="24" t="str">
        <x:v>INT-0640</x:v>
      </x:c>
      <x:c r="G644" s="24" t="str">
        <x:v>VRM Games / Blas Luis Rocha González</x:v>
      </x:c>
      <x:c r="H644" s="24" t="str">
        <x:v>Internal project IP / authorship claim</x:v>
      </x:c>
      <x:c r="I644" s="24" t="str">
        <x:v>Source package + repository path + hash</x:v>
      </x:c>
      <x:c r="J644" s="24" t="str">
        <x:v>cde94f0d37a8252caef674364edb7260e2cbc50ea5e21e9ba7b7e6376fc906ad</x:v>
      </x:c>
      <x:c r="K644" s="24" t="str">
        <x:v>Assets/_Project/Tests/EditMode/Economy/ProductSalePriceCatalogTests.cs</x:v>
      </x:c>
      <x:c r="L644" s="24" t="str">
        <x:v>CR-003</x:v>
      </x:c>
      <x:c r="M644" s="24" t="str"/>
      <x:c r="N644" s="24" t="str">
        <x:v>RES-001;RES-014</x:v>
      </x:c>
      <x:c r="O644" s="24" t="str">
        <x:v>Internal development; public candidate requires gate</x:v>
      </x:c>
      <x:c r="P644" s="24" t="str">
        <x:v>CONDITIONALLY APPROVED</x:v>
      </x:c>
      <x:c r="Q644" s="24" t="str">
        <x:v>Low</x:v>
      </x:c>
      <x:c r="R644" s="24" t="str"/>
      <x:c r="S644" s="24" t="str">
        <x:v>Sí</x:v>
      </x:c>
      <x:c r="T644" s="24" t="str">
        <x:f>"T"&amp;IF(AND(H644&lt;&gt;"",I644&lt;&gt;"",J644&lt;&gt;"",L644&lt;&gt;"",N644&lt;&gt;"",O644&lt;&gt;"",P644="APPROVED PUBLIC",S644="Sí"),6,IF(AND(H644&lt;&gt;"",I644&lt;&gt;"",J644&lt;&gt;"",L644&lt;&gt;"",N644&lt;&gt;"",O644&lt;&gt;"",P644&lt;&gt;"",S644="Sí"),5,IF(AND(H644&lt;&gt;"",I644&lt;&gt;"",P644&lt;&gt;"",S644&lt;&gt;"No"),4,IF(AND(H644&lt;&gt;"",I644&lt;&gt;""),3,IF(F644&lt;&gt;"",2,1)))))</x:f>
        <x:v>T5</x:v>
      </x:c>
      <x:c r="U644" s="24" t="str">
        <x:v>VRM Games</x:v>
      </x:c>
      <x:c r="V644" s="24" t="str">
        <x:v>No se detectó proveedor externo en la ruta; confirmar autoría por lote antes de release público.</x:v>
      </x:c>
    </x:row>
    <x:row r="645" ht="34" customHeight="1">
      <x:c r="A645" s="24" t="str">
        <x:v>TRC-00641</x:v>
      </x:c>
      <x:c r="B645" s="24" t="str">
        <x:v>f0ddaa9e6e7f42d5b320c0cfef360fc9</x:v>
      </x:c>
      <x:c r="C645" s="24" t="str">
        <x:v>SupplierReceivingEconomyServiceTests.cs</x:v>
      </x:c>
      <x:c r="D645" s="24" t="str">
        <x:v>Code</x:v>
      </x:c>
      <x:c r="E645" s="24" t="str">
        <x:v>03_Assets_Internos</x:v>
      </x:c>
      <x:c r="F645" s="24" t="str">
        <x:v>INT-0641</x:v>
      </x:c>
      <x:c r="G645" s="24" t="str">
        <x:v>VRM Games / Blas Luis Rocha González</x:v>
      </x:c>
      <x:c r="H645" s="24" t="str">
        <x:v>Internal project IP / authorship claim</x:v>
      </x:c>
      <x:c r="I645" s="24" t="str">
        <x:v>Source package + repository path + hash</x:v>
      </x:c>
      <x:c r="J645" s="24" t="str">
        <x:v>c7d0a6daf4cccec5295c8f38a6ff8c793cd32d826eb1a452ce6b9c3bc3c23691</x:v>
      </x:c>
      <x:c r="K645" s="24" t="str">
        <x:v>Assets/_Project/Tests/EditMode/Economy/SupplierReceivingEconomyServiceTests.cs</x:v>
      </x:c>
      <x:c r="L645" s="24" t="str">
        <x:v>CR-003</x:v>
      </x:c>
      <x:c r="M645" s="24" t="str"/>
      <x:c r="N645" s="24" t="str">
        <x:v>RES-001;RES-014</x:v>
      </x:c>
      <x:c r="O645" s="24" t="str">
        <x:v>Internal development; public candidate requires gate</x:v>
      </x:c>
      <x:c r="P645" s="24" t="str">
        <x:v>CONDITIONALLY APPROVED</x:v>
      </x:c>
      <x:c r="Q645" s="24" t="str">
        <x:v>Low</x:v>
      </x:c>
      <x:c r="R645" s="24" t="str"/>
      <x:c r="S645" s="24" t="str">
        <x:v>Sí</x:v>
      </x:c>
      <x:c r="T645" s="24" t="str">
        <x:f>"T"&amp;IF(AND(H645&lt;&gt;"",I645&lt;&gt;"",J645&lt;&gt;"",L645&lt;&gt;"",N645&lt;&gt;"",O645&lt;&gt;"",P645="APPROVED PUBLIC",S645="Sí"),6,IF(AND(H645&lt;&gt;"",I645&lt;&gt;"",J645&lt;&gt;"",L645&lt;&gt;"",N645&lt;&gt;"",O645&lt;&gt;"",P645&lt;&gt;"",S645="Sí"),5,IF(AND(H645&lt;&gt;"",I645&lt;&gt;"",P645&lt;&gt;"",S645&lt;&gt;"No"),4,IF(AND(H645&lt;&gt;"",I645&lt;&gt;""),3,IF(F645&lt;&gt;"",2,1)))))</x:f>
        <x:v>T5</x:v>
      </x:c>
      <x:c r="U645" s="24" t="str">
        <x:v>VRM Games</x:v>
      </x:c>
      <x:c r="V645" s="24" t="str">
        <x:v>No se detectó proveedor externo en la ruta; confirmar autoría por lote antes de release público.</x:v>
      </x:c>
    </x:row>
    <x:row r="646" ht="34" customHeight="1">
      <x:c r="A646" s="24" t="str">
        <x:v>TRC-00642</x:v>
      </x:c>
      <x:c r="B646" s="24" t="str">
        <x:v>755f6a3a0f254695b607d3e15a6d1ca3</x:v>
      </x:c>
      <x:c r="C646" s="24" t="str">
        <x:v>GameSessionServiceTests.cs</x:v>
      </x:c>
      <x:c r="D646" s="24" t="str">
        <x:v>Code</x:v>
      </x:c>
      <x:c r="E646" s="24" t="str">
        <x:v>03_Assets_Internos</x:v>
      </x:c>
      <x:c r="F646" s="24" t="str">
        <x:v>INT-0642</x:v>
      </x:c>
      <x:c r="G646" s="24" t="str">
        <x:v>VRM Games / Blas Luis Rocha González</x:v>
      </x:c>
      <x:c r="H646" s="24" t="str">
        <x:v>Internal project IP / authorship claim</x:v>
      </x:c>
      <x:c r="I646" s="24" t="str">
        <x:v>Source package + repository path + hash</x:v>
      </x:c>
      <x:c r="J646" s="24" t="str">
        <x:v>2264ed93349af0470034be1fdf6e4d019c2b4f3567994593e5a01361823e6c0c</x:v>
      </x:c>
      <x:c r="K646" s="24" t="str">
        <x:v>Assets/_Project/Tests/EditMode/GameSessionServiceTests.cs</x:v>
      </x:c>
      <x:c r="L646" s="24" t="str">
        <x:v>CR-003</x:v>
      </x:c>
      <x:c r="M646" s="24" t="str"/>
      <x:c r="N646" s="24" t="str">
        <x:v>RES-001;RES-014</x:v>
      </x:c>
      <x:c r="O646" s="24" t="str">
        <x:v>Internal development; public candidate requires gate</x:v>
      </x:c>
      <x:c r="P646" s="24" t="str">
        <x:v>CONDITIONALLY APPROVED</x:v>
      </x:c>
      <x:c r="Q646" s="24" t="str">
        <x:v>Low</x:v>
      </x:c>
      <x:c r="R646" s="24" t="str"/>
      <x:c r="S646" s="24" t="str">
        <x:v>Sí</x:v>
      </x:c>
      <x:c r="T646" s="24" t="str">
        <x:f>"T"&amp;IF(AND(H646&lt;&gt;"",I646&lt;&gt;"",J646&lt;&gt;"",L646&lt;&gt;"",N646&lt;&gt;"",O646&lt;&gt;"",P646="APPROVED PUBLIC",S646="Sí"),6,IF(AND(H646&lt;&gt;"",I646&lt;&gt;"",J646&lt;&gt;"",L646&lt;&gt;"",N646&lt;&gt;"",O646&lt;&gt;"",P646&lt;&gt;"",S646="Sí"),5,IF(AND(H646&lt;&gt;"",I646&lt;&gt;"",P646&lt;&gt;"",S646&lt;&gt;"No"),4,IF(AND(H646&lt;&gt;"",I646&lt;&gt;""),3,IF(F646&lt;&gt;"",2,1)))))</x:f>
        <x:v>T5</x:v>
      </x:c>
      <x:c r="U646" s="24" t="str">
        <x:v>VRM Games</x:v>
      </x:c>
      <x:c r="V646" s="24" t="str">
        <x:v>No se detectó proveedor externo en la ruta; confirmar autoría por lote antes de release público.</x:v>
      </x:c>
    </x:row>
    <x:row r="647" ht="34" customHeight="1">
      <x:c r="A647" s="24" t="str">
        <x:v>TRC-00643</x:v>
      </x:c>
      <x:c r="B647" s="24" t="str">
        <x:v>8da5276022b24443afb579210baeebec</x:v>
      </x:c>
      <x:c r="C647" s="24" t="str">
        <x:v>GameSessionTests.cs</x:v>
      </x:c>
      <x:c r="D647" s="24" t="str">
        <x:v>Code</x:v>
      </x:c>
      <x:c r="E647" s="24" t="str">
        <x:v>03_Assets_Internos</x:v>
      </x:c>
      <x:c r="F647" s="24" t="str">
        <x:v>INT-0643</x:v>
      </x:c>
      <x:c r="G647" s="24" t="str">
        <x:v>VRM Games / Blas Luis Rocha González</x:v>
      </x:c>
      <x:c r="H647" s="24" t="str">
        <x:v>Internal project IP / authorship claim</x:v>
      </x:c>
      <x:c r="I647" s="24" t="str">
        <x:v>Source package + repository path + hash</x:v>
      </x:c>
      <x:c r="J647" s="24" t="str">
        <x:v>f37eca793df6e025ba41f18ffef71841b11b4d8d96d38d9ab985d34db8193fc0</x:v>
      </x:c>
      <x:c r="K647" s="24" t="str">
        <x:v>Assets/_Project/Tests/EditMode/GameSessionTests.cs</x:v>
      </x:c>
      <x:c r="L647" s="24" t="str">
        <x:v>CR-003</x:v>
      </x:c>
      <x:c r="M647" s="24" t="str"/>
      <x:c r="N647" s="24" t="str">
        <x:v>RES-001;RES-014</x:v>
      </x:c>
      <x:c r="O647" s="24" t="str">
        <x:v>Internal development; public candidate requires gate</x:v>
      </x:c>
      <x:c r="P647" s="24" t="str">
        <x:v>CONDITIONALLY APPROVED</x:v>
      </x:c>
      <x:c r="Q647" s="24" t="str">
        <x:v>Low</x:v>
      </x:c>
      <x:c r="R647" s="24" t="str"/>
      <x:c r="S647" s="24" t="str">
        <x:v>Sí</x:v>
      </x:c>
      <x:c r="T647" s="24" t="str">
        <x:f>"T"&amp;IF(AND(H647&lt;&gt;"",I647&lt;&gt;"",J647&lt;&gt;"",L647&lt;&gt;"",N647&lt;&gt;"",O647&lt;&gt;"",P647="APPROVED PUBLIC",S647="Sí"),6,IF(AND(H647&lt;&gt;"",I647&lt;&gt;"",J647&lt;&gt;"",L647&lt;&gt;"",N647&lt;&gt;"",O647&lt;&gt;"",P647&lt;&gt;"",S647="Sí"),5,IF(AND(H647&lt;&gt;"",I647&lt;&gt;"",P647&lt;&gt;"",S647&lt;&gt;"No"),4,IF(AND(H647&lt;&gt;"",I647&lt;&gt;""),3,IF(F647&lt;&gt;"",2,1)))))</x:f>
        <x:v>T5</x:v>
      </x:c>
      <x:c r="U647" s="24" t="str">
        <x:v>VRM Games</x:v>
      </x:c>
      <x:c r="V647" s="24" t="str">
        <x:v>No se detectó proveedor externo en la ruta; confirmar autoría por lote antes de release público.</x:v>
      </x:c>
    </x:row>
    <x:row r="648" ht="34" customHeight="1">
      <x:c r="A648" s="24" t="str">
        <x:v>TRC-00644</x:v>
      </x:c>
      <x:c r="B648" s="24" t="str">
        <x:v>8fe4359294c14ee6a36f32f12c3dca23</x:v>
      </x:c>
      <x:c r="C648" s="24" t="str">
        <x:v>GridCoordinateTests.cs</x:v>
      </x:c>
      <x:c r="D648" s="24" t="str">
        <x:v>Code</x:v>
      </x:c>
      <x:c r="E648" s="24" t="str">
        <x:v>03_Assets_Internos</x:v>
      </x:c>
      <x:c r="F648" s="24" t="str">
        <x:v>INT-0644</x:v>
      </x:c>
      <x:c r="G648" s="24" t="str">
        <x:v>VRM Games / Blas Luis Rocha González</x:v>
      </x:c>
      <x:c r="H648" s="24" t="str">
        <x:v>Internal project IP / authorship claim</x:v>
      </x:c>
      <x:c r="I648" s="24" t="str">
        <x:v>Source package + repository path + hash</x:v>
      </x:c>
      <x:c r="J648" s="24" t="str">
        <x:v>119a15a31510b9675386c0cc941591daa299611b8235f866a629cc719c9916d5</x:v>
      </x:c>
      <x:c r="K648" s="24" t="str">
        <x:v>Assets/_Project/Tests/EditMode/Grid/GridCoordinateTests.cs</x:v>
      </x:c>
      <x:c r="L648" s="24" t="str">
        <x:v>CR-003</x:v>
      </x:c>
      <x:c r="M648" s="24" t="str"/>
      <x:c r="N648" s="24" t="str">
        <x:v>RES-001;RES-014</x:v>
      </x:c>
      <x:c r="O648" s="24" t="str">
        <x:v>Internal development; public candidate requires gate</x:v>
      </x:c>
      <x:c r="P648" s="24" t="str">
        <x:v>CONDITIONALLY APPROVED</x:v>
      </x:c>
      <x:c r="Q648" s="24" t="str">
        <x:v>Low</x:v>
      </x:c>
      <x:c r="R648" s="24" t="str"/>
      <x:c r="S648" s="24" t="str">
        <x:v>Sí</x:v>
      </x:c>
      <x:c r="T648" s="24" t="str">
        <x:f>"T"&amp;IF(AND(H648&lt;&gt;"",I648&lt;&gt;"",J648&lt;&gt;"",L648&lt;&gt;"",N648&lt;&gt;"",O648&lt;&gt;"",P648="APPROVED PUBLIC",S648="Sí"),6,IF(AND(H648&lt;&gt;"",I648&lt;&gt;"",J648&lt;&gt;"",L648&lt;&gt;"",N648&lt;&gt;"",O648&lt;&gt;"",P648&lt;&gt;"",S648="Sí"),5,IF(AND(H648&lt;&gt;"",I648&lt;&gt;"",P648&lt;&gt;"",S648&lt;&gt;"No"),4,IF(AND(H648&lt;&gt;"",I648&lt;&gt;""),3,IF(F648&lt;&gt;"",2,1)))))</x:f>
        <x:v>T5</x:v>
      </x:c>
      <x:c r="U648" s="24" t="str">
        <x:v>VRM Games</x:v>
      </x:c>
      <x:c r="V648" s="24" t="str">
        <x:v>No se detectó proveedor externo en la ruta; confirmar autoría por lote antes de release público.</x:v>
      </x:c>
    </x:row>
    <x:row r="649" ht="34" customHeight="1">
      <x:c r="A649" s="24" t="str">
        <x:v>TRC-00645</x:v>
      </x:c>
      <x:c r="B649" s="24" t="str">
        <x:v>ea732bc422314af6ba03d45f0f09ceab</x:v>
      </x:c>
      <x:c r="C649" s="24" t="str">
        <x:v>GridFootprintAndBoundsTests.cs</x:v>
      </x:c>
      <x:c r="D649" s="24" t="str">
        <x:v>Code</x:v>
      </x:c>
      <x:c r="E649" s="24" t="str">
        <x:v>03_Assets_Internos</x:v>
      </x:c>
      <x:c r="F649" s="24" t="str">
        <x:v>INT-0645</x:v>
      </x:c>
      <x:c r="G649" s="24" t="str">
        <x:v>VRM Games / Blas Luis Rocha González</x:v>
      </x:c>
      <x:c r="H649" s="24" t="str">
        <x:v>Internal project IP / authorship claim</x:v>
      </x:c>
      <x:c r="I649" s="24" t="str">
        <x:v>Source package + repository path + hash</x:v>
      </x:c>
      <x:c r="J649" s="24" t="str">
        <x:v>45a80fe62e3018adc874d231c609c2bb1499c745dafe76ec191eb8a9b74be4f9</x:v>
      </x:c>
      <x:c r="K649" s="24" t="str">
        <x:v>Assets/_Project/Tests/EditMode/Grid/GridFootprintAndBoundsTests.cs</x:v>
      </x:c>
      <x:c r="L649" s="24" t="str">
        <x:v>CR-003</x:v>
      </x:c>
      <x:c r="M649" s="24" t="str"/>
      <x:c r="N649" s="24" t="str">
        <x:v>RES-001;RES-014</x:v>
      </x:c>
      <x:c r="O649" s="24" t="str">
        <x:v>Internal development; public candidate requires gate</x:v>
      </x:c>
      <x:c r="P649" s="24" t="str">
        <x:v>CONDITIONALLY APPROVED</x:v>
      </x:c>
      <x:c r="Q649" s="24" t="str">
        <x:v>Low</x:v>
      </x:c>
      <x:c r="R649" s="24" t="str"/>
      <x:c r="S649" s="24" t="str">
        <x:v>Sí</x:v>
      </x:c>
      <x:c r="T649" s="24" t="str">
        <x:f>"T"&amp;IF(AND(H649&lt;&gt;"",I649&lt;&gt;"",J649&lt;&gt;"",L649&lt;&gt;"",N649&lt;&gt;"",O649&lt;&gt;"",P649="APPROVED PUBLIC",S649="Sí"),6,IF(AND(H649&lt;&gt;"",I649&lt;&gt;"",J649&lt;&gt;"",L649&lt;&gt;"",N649&lt;&gt;"",O649&lt;&gt;"",P649&lt;&gt;"",S649="Sí"),5,IF(AND(H649&lt;&gt;"",I649&lt;&gt;"",P649&lt;&gt;"",S649&lt;&gt;"No"),4,IF(AND(H649&lt;&gt;"",I649&lt;&gt;""),3,IF(F649&lt;&gt;"",2,1)))))</x:f>
        <x:v>T5</x:v>
      </x:c>
      <x:c r="U649" s="24" t="str">
        <x:v>VRM Games</x:v>
      </x:c>
      <x:c r="V649" s="24" t="str">
        <x:v>No se detectó proveedor externo en la ruta; confirmar autoría por lote antes de release público.</x:v>
      </x:c>
    </x:row>
    <x:row r="650" ht="34" customHeight="1">
      <x:c r="A650" s="24" t="str">
        <x:v>TRC-00646</x:v>
      </x:c>
      <x:c r="B650" s="24" t="str">
        <x:v>e179cf44cff6414cacdc60ccc5d3e5b1</x:v>
      </x:c>
      <x:c r="C650" s="24" t="str">
        <x:v>GridProjectionCalculatorTests.cs</x:v>
      </x:c>
      <x:c r="D650" s="24" t="str">
        <x:v>Code</x:v>
      </x:c>
      <x:c r="E650" s="24" t="str">
        <x:v>03_Assets_Internos</x:v>
      </x:c>
      <x:c r="F650" s="24" t="str">
        <x:v>INT-0646</x:v>
      </x:c>
      <x:c r="G650" s="24" t="str">
        <x:v>VRM Games / Blas Luis Rocha González</x:v>
      </x:c>
      <x:c r="H650" s="24" t="str">
        <x:v>Internal project IP / authorship claim</x:v>
      </x:c>
      <x:c r="I650" s="24" t="str">
        <x:v>Source package + repository path + hash</x:v>
      </x:c>
      <x:c r="J650" s="24" t="str">
        <x:v>5abf2a5e32caf25c17cde90395046499686365cc4463ecd68d946a1e5dbf4fce</x:v>
      </x:c>
      <x:c r="K650" s="24" t="str">
        <x:v>Assets/_Project/Tests/EditMode/Grid/GridProjectionCalculatorTests.cs</x:v>
      </x:c>
      <x:c r="L650" s="24" t="str">
        <x:v>CR-003</x:v>
      </x:c>
      <x:c r="M650" s="24" t="str"/>
      <x:c r="N650" s="24" t="str">
        <x:v>RES-001;RES-014</x:v>
      </x:c>
      <x:c r="O650" s="24" t="str">
        <x:v>Internal development; public candidate requires gate</x:v>
      </x:c>
      <x:c r="P650" s="24" t="str">
        <x:v>CONDITIONALLY APPROVED</x:v>
      </x:c>
      <x:c r="Q650" s="24" t="str">
        <x:v>Low</x:v>
      </x:c>
      <x:c r="R650" s="24" t="str"/>
      <x:c r="S650" s="24" t="str">
        <x:v>Sí</x:v>
      </x:c>
      <x:c r="T650" s="24" t="str">
        <x:f>"T"&amp;IF(AND(H650&lt;&gt;"",I650&lt;&gt;"",J650&lt;&gt;"",L650&lt;&gt;"",N650&lt;&gt;"",O650&lt;&gt;"",P650="APPROVED PUBLIC",S650="Sí"),6,IF(AND(H650&lt;&gt;"",I650&lt;&gt;"",J650&lt;&gt;"",L650&lt;&gt;"",N650&lt;&gt;"",O650&lt;&gt;"",P650&lt;&gt;"",S650="Sí"),5,IF(AND(H650&lt;&gt;"",I650&lt;&gt;"",P650&lt;&gt;"",S650&lt;&gt;"No"),4,IF(AND(H650&lt;&gt;"",I650&lt;&gt;""),3,IF(F650&lt;&gt;"",2,1)))))</x:f>
        <x:v>T5</x:v>
      </x:c>
      <x:c r="U650" s="24" t="str">
        <x:v>VRM Games</x:v>
      </x:c>
      <x:c r="V650" s="24" t="str">
        <x:v>No se detectó proveedor externo en la ruta; confirmar autoría por lote antes de release público.</x:v>
      </x:c>
    </x:row>
    <x:row r="651" ht="34" customHeight="1">
      <x:c r="A651" s="24" t="str">
        <x:v>TRC-00647</x:v>
      </x:c>
      <x:c r="B651" s="24" t="str">
        <x:v>6eca8b31d4564c5e903c2f649ffe2a51</x:v>
      </x:c>
      <x:c r="C651" s="24" t="str">
        <x:v>GridSizeAndRotationTests.cs</x:v>
      </x:c>
      <x:c r="D651" s="24" t="str">
        <x:v>Code</x:v>
      </x:c>
      <x:c r="E651" s="24" t="str">
        <x:v>03_Assets_Internos</x:v>
      </x:c>
      <x:c r="F651" s="24" t="str">
        <x:v>INT-0647</x:v>
      </x:c>
      <x:c r="G651" s="24" t="str">
        <x:v>VRM Games / Blas Luis Rocha González</x:v>
      </x:c>
      <x:c r="H651" s="24" t="str">
        <x:v>Internal project IP / authorship claim</x:v>
      </x:c>
      <x:c r="I651" s="24" t="str">
        <x:v>Source package + repository path + hash</x:v>
      </x:c>
      <x:c r="J651" s="24" t="str">
        <x:v>b827194a16ff18c6231e9a01a8af0e5bc35a4ad029de73a312cedaf962927917</x:v>
      </x:c>
      <x:c r="K651" s="24" t="str">
        <x:v>Assets/_Project/Tests/EditMode/Grid/GridSizeAndRotationTests.cs</x:v>
      </x:c>
      <x:c r="L651" s="24" t="str">
        <x:v>CR-003</x:v>
      </x:c>
      <x:c r="M651" s="24" t="str"/>
      <x:c r="N651" s="24" t="str">
        <x:v>RES-001;RES-014</x:v>
      </x:c>
      <x:c r="O651" s="24" t="str">
        <x:v>Internal development; public candidate requires gate</x:v>
      </x:c>
      <x:c r="P651" s="24" t="str">
        <x:v>CONDITIONALLY APPROVED</x:v>
      </x:c>
      <x:c r="Q651" s="24" t="str">
        <x:v>Low</x:v>
      </x:c>
      <x:c r="R651" s="24" t="str"/>
      <x:c r="S651" s="24" t="str">
        <x:v>Sí</x:v>
      </x:c>
      <x:c r="T651" s="24" t="str">
        <x:f>"T"&amp;IF(AND(H651&lt;&gt;"",I651&lt;&gt;"",J651&lt;&gt;"",L651&lt;&gt;"",N651&lt;&gt;"",O651&lt;&gt;"",P651="APPROVED PUBLIC",S651="Sí"),6,IF(AND(H651&lt;&gt;"",I651&lt;&gt;"",J651&lt;&gt;"",L651&lt;&gt;"",N651&lt;&gt;"",O651&lt;&gt;"",P651&lt;&gt;"",S651="Sí"),5,IF(AND(H651&lt;&gt;"",I651&lt;&gt;"",P651&lt;&gt;"",S651&lt;&gt;"No"),4,IF(AND(H651&lt;&gt;"",I651&lt;&gt;""),3,IF(F651&lt;&gt;"",2,1)))))</x:f>
        <x:v>T5</x:v>
      </x:c>
      <x:c r="U651" s="24" t="str">
        <x:v>VRM Games</x:v>
      </x:c>
      <x:c r="V651" s="24" t="str">
        <x:v>No se detectó proveedor externo en la ruta; confirmar autoría por lote antes de release público.</x:v>
      </x:c>
    </x:row>
    <x:row r="652" ht="34" customHeight="1">
      <x:c r="A652" s="24" t="str">
        <x:v>TRC-00648</x:v>
      </x:c>
      <x:c r="B652" s="24" t="str">
        <x:v>a9d247e94e4f4dc0b5744b5c267892bc</x:v>
      </x:c>
      <x:c r="C652" s="24" t="str">
        <x:v>InputContextServiceTests.cs</x:v>
      </x:c>
      <x:c r="D652" s="24" t="str">
        <x:v>Code</x:v>
      </x:c>
      <x:c r="E652" s="24" t="str">
        <x:v>03_Assets_Internos</x:v>
      </x:c>
      <x:c r="F652" s="24" t="str">
        <x:v>INT-0648</x:v>
      </x:c>
      <x:c r="G652" s="24" t="str">
        <x:v>VRM Games / Blas Luis Rocha González</x:v>
      </x:c>
      <x:c r="H652" s="24" t="str">
        <x:v>Internal project IP / authorship claim</x:v>
      </x:c>
      <x:c r="I652" s="24" t="str">
        <x:v>Source package + repository path + hash</x:v>
      </x:c>
      <x:c r="J652" s="24" t="str">
        <x:v>380d9b0692aee60991b06f3dec48c5e38cb43baed9cf0c549ad70c18ae786c71</x:v>
      </x:c>
      <x:c r="K652" s="24" t="str">
        <x:v>Assets/_Project/Tests/EditMode/InputContextServiceTests.cs</x:v>
      </x:c>
      <x:c r="L652" s="24" t="str">
        <x:v>CR-003</x:v>
      </x:c>
      <x:c r="M652" s="24" t="str"/>
      <x:c r="N652" s="24" t="str">
        <x:v>RES-001;RES-014</x:v>
      </x:c>
      <x:c r="O652" s="24" t="str">
        <x:v>Internal development; public candidate requires gate</x:v>
      </x:c>
      <x:c r="P652" s="24" t="str">
        <x:v>CONDITIONALLY APPROVED</x:v>
      </x:c>
      <x:c r="Q652" s="24" t="str">
        <x:v>Low</x:v>
      </x:c>
      <x:c r="R652" s="24" t="str"/>
      <x:c r="S652" s="24" t="str">
        <x:v>Sí</x:v>
      </x:c>
      <x:c r="T652" s="24" t="str">
        <x:f>"T"&amp;IF(AND(H652&lt;&gt;"",I652&lt;&gt;"",J652&lt;&gt;"",L652&lt;&gt;"",N652&lt;&gt;"",O652&lt;&gt;"",P652="APPROVED PUBLIC",S652="Sí"),6,IF(AND(H652&lt;&gt;"",I652&lt;&gt;"",J652&lt;&gt;"",L652&lt;&gt;"",N652&lt;&gt;"",O652&lt;&gt;"",P652&lt;&gt;"",S652="Sí"),5,IF(AND(H652&lt;&gt;"",I652&lt;&gt;"",P652&lt;&gt;"",S652&lt;&gt;"No"),4,IF(AND(H652&lt;&gt;"",I652&lt;&gt;""),3,IF(F652&lt;&gt;"",2,1)))))</x:f>
        <x:v>T5</x:v>
      </x:c>
      <x:c r="U652" s="24" t="str">
        <x:v>VRM Games</x:v>
      </x:c>
      <x:c r="V652" s="24" t="str">
        <x:v>No se detectó proveedor externo en la ruta; confirmar autoría por lote antes de release público.</x:v>
      </x:c>
    </x:row>
    <x:row r="653" ht="34" customHeight="1">
      <x:c r="A653" s="24" t="str">
        <x:v>TRC-00649</x:v>
      </x:c>
      <x:c r="B653" s="24" t="str">
        <x:v>4020226333075256c865ba9cd500338e</x:v>
      </x:c>
      <x:c r="C653" s="24" t="str">
        <x:v>InventoryContainerTests.cs</x:v>
      </x:c>
      <x:c r="D653" s="24" t="str">
        <x:v>Code</x:v>
      </x:c>
      <x:c r="E653" s="24" t="str">
        <x:v>03_Assets_Internos</x:v>
      </x:c>
      <x:c r="F653" s="24" t="str">
        <x:v>INT-0649</x:v>
      </x:c>
      <x:c r="G653" s="24" t="str">
        <x:v>VRM Games / Blas Luis Rocha González</x:v>
      </x:c>
      <x:c r="H653" s="24" t="str">
        <x:v>Internal project IP / authorship claim</x:v>
      </x:c>
      <x:c r="I653" s="24" t="str">
        <x:v>Source package + repository path + hash</x:v>
      </x:c>
      <x:c r="J653" s="24" t="str">
        <x:v>b2173bbe1d638424895cbe413784149165397730541e080a1ce016abf732eff3</x:v>
      </x:c>
      <x:c r="K653" s="24" t="str">
        <x:v>Assets/_Project/Tests/EditMode/Inventory/InventoryContainerTests.cs</x:v>
      </x:c>
      <x:c r="L653" s="24" t="str">
        <x:v>CR-003</x:v>
      </x:c>
      <x:c r="M653" s="24" t="str"/>
      <x:c r="N653" s="24" t="str">
        <x:v>RES-001;RES-014</x:v>
      </x:c>
      <x:c r="O653" s="24" t="str">
        <x:v>Internal development; public candidate requires gate</x:v>
      </x:c>
      <x:c r="P653" s="24" t="str">
        <x:v>CONDITIONALLY APPROVED</x:v>
      </x:c>
      <x:c r="Q653" s="24" t="str">
        <x:v>Low</x:v>
      </x:c>
      <x:c r="R653" s="24" t="str"/>
      <x:c r="S653" s="24" t="str">
        <x:v>Sí</x:v>
      </x:c>
      <x:c r="T653" s="24" t="str">
        <x:f>"T"&amp;IF(AND(H653&lt;&gt;"",I653&lt;&gt;"",J653&lt;&gt;"",L653&lt;&gt;"",N653&lt;&gt;"",O653&lt;&gt;"",P653="APPROVED PUBLIC",S653="Sí"),6,IF(AND(H653&lt;&gt;"",I653&lt;&gt;"",J653&lt;&gt;"",L653&lt;&gt;"",N653&lt;&gt;"",O653&lt;&gt;"",P653&lt;&gt;"",S653="Sí"),5,IF(AND(H653&lt;&gt;"",I653&lt;&gt;"",P653&lt;&gt;"",S653&lt;&gt;"No"),4,IF(AND(H653&lt;&gt;"",I653&lt;&gt;""),3,IF(F653&lt;&gt;"",2,1)))))</x:f>
        <x:v>T5</x:v>
      </x:c>
      <x:c r="U653" s="24" t="str">
        <x:v>VRM Games</x:v>
      </x:c>
      <x:c r="V653" s="24" t="str">
        <x:v>No se detectó proveedor externo en la ruta; confirmar autoría por lote antes de release público.</x:v>
      </x:c>
    </x:row>
    <x:row r="654" ht="34" customHeight="1">
      <x:c r="A654" s="24" t="str">
        <x:v>TRC-00650</x:v>
      </x:c>
      <x:c r="B654" s="24" t="str">
        <x:v>6defab107bc0af3f3f0b61f00a55a2c6</x:v>
      </x:c>
      <x:c r="C654" s="24" t="str">
        <x:v>InventoryTransferServiceTests.cs</x:v>
      </x:c>
      <x:c r="D654" s="24" t="str">
        <x:v>Code</x:v>
      </x:c>
      <x:c r="E654" s="24" t="str">
        <x:v>03_Assets_Internos</x:v>
      </x:c>
      <x:c r="F654" s="24" t="str">
        <x:v>INT-0650</x:v>
      </x:c>
      <x:c r="G654" s="24" t="str">
        <x:v>VRM Games / Blas Luis Rocha González</x:v>
      </x:c>
      <x:c r="H654" s="24" t="str">
        <x:v>Internal project IP / authorship claim</x:v>
      </x:c>
      <x:c r="I654" s="24" t="str">
        <x:v>Source package + repository path + hash</x:v>
      </x:c>
      <x:c r="J654" s="24" t="str">
        <x:v>70016cd034a6309767ad1737559ccb64177e291b4b15b181f60d01828fbd8714</x:v>
      </x:c>
      <x:c r="K654" s="24" t="str">
        <x:v>Assets/_Project/Tests/EditMode/Inventory/InventoryTransferServiceTests.cs</x:v>
      </x:c>
      <x:c r="L654" s="24" t="str">
        <x:v>CR-003</x:v>
      </x:c>
      <x:c r="M654" s="24" t="str"/>
      <x:c r="N654" s="24" t="str">
        <x:v>RES-001;RES-014</x:v>
      </x:c>
      <x:c r="O654" s="24" t="str">
        <x:v>Internal development; public candidate requires gate</x:v>
      </x:c>
      <x:c r="P654" s="24" t="str">
        <x:v>CONDITIONALLY APPROVED</x:v>
      </x:c>
      <x:c r="Q654" s="24" t="str">
        <x:v>Low</x:v>
      </x:c>
      <x:c r="R654" s="24" t="str"/>
      <x:c r="S654" s="24" t="str">
        <x:v>Sí</x:v>
      </x:c>
      <x:c r="T654" s="24" t="str">
        <x:f>"T"&amp;IF(AND(H654&lt;&gt;"",I654&lt;&gt;"",J654&lt;&gt;"",L654&lt;&gt;"",N654&lt;&gt;"",O654&lt;&gt;"",P654="APPROVED PUBLIC",S654="Sí"),6,IF(AND(H654&lt;&gt;"",I654&lt;&gt;"",J654&lt;&gt;"",L654&lt;&gt;"",N654&lt;&gt;"",O654&lt;&gt;"",P654&lt;&gt;"",S654="Sí"),5,IF(AND(H654&lt;&gt;"",I654&lt;&gt;"",P654&lt;&gt;"",S654&lt;&gt;"No"),4,IF(AND(H654&lt;&gt;"",I654&lt;&gt;""),3,IF(F654&lt;&gt;"",2,1)))))</x:f>
        <x:v>T5</x:v>
      </x:c>
      <x:c r="U654" s="24" t="str">
        <x:v>VRM Games</x:v>
      </x:c>
      <x:c r="V654" s="24" t="str">
        <x:v>No se detectó proveedor externo en la ruta; confirmar autoría por lote antes de release público.</x:v>
      </x:c>
    </x:row>
    <x:row r="655" ht="34" customHeight="1">
      <x:c r="A655" s="24" t="str">
        <x:v>TRC-00651</x:v>
      </x:c>
      <x:c r="B655" s="24" t="str">
        <x:v>2199382bd3cac2be8ca1cf9dfb69e0a1</x:v>
      </x:c>
      <x:c r="C655" s="24" t="str">
        <x:v>QuantityAndStackTests.cs</x:v>
      </x:c>
      <x:c r="D655" s="24" t="str">
        <x:v>Code</x:v>
      </x:c>
      <x:c r="E655" s="24" t="str">
        <x:v>03_Assets_Internos</x:v>
      </x:c>
      <x:c r="F655" s="24" t="str">
        <x:v>INT-0651</x:v>
      </x:c>
      <x:c r="G655" s="24" t="str">
        <x:v>VRM Games / Blas Luis Rocha González</x:v>
      </x:c>
      <x:c r="H655" s="24" t="str">
        <x:v>Internal project IP / authorship claim</x:v>
      </x:c>
      <x:c r="I655" s="24" t="str">
        <x:v>Source package + repository path + hash</x:v>
      </x:c>
      <x:c r="J655" s="24" t="str">
        <x:v>c35dbaae716ab5cd23af7629ca00123f01252553672e91f8cbf41d513442d3cd</x:v>
      </x:c>
      <x:c r="K655" s="24" t="str">
        <x:v>Assets/_Project/Tests/EditMode/Inventory/QuantityAndStackTests.cs</x:v>
      </x:c>
      <x:c r="L655" s="24" t="str">
        <x:v>CR-003</x:v>
      </x:c>
      <x:c r="M655" s="24" t="str"/>
      <x:c r="N655" s="24" t="str">
        <x:v>RES-001;RES-014</x:v>
      </x:c>
      <x:c r="O655" s="24" t="str">
        <x:v>Internal development; public candidate requires gate</x:v>
      </x:c>
      <x:c r="P655" s="24" t="str">
        <x:v>CONDITIONALLY APPROVED</x:v>
      </x:c>
      <x:c r="Q655" s="24" t="str">
        <x:v>Low</x:v>
      </x:c>
      <x:c r="R655" s="24" t="str"/>
      <x:c r="S655" s="24" t="str">
        <x:v>Sí</x:v>
      </x:c>
      <x:c r="T655" s="24" t="str">
        <x:f>"T"&amp;IF(AND(H655&lt;&gt;"",I655&lt;&gt;"",J655&lt;&gt;"",L655&lt;&gt;"",N655&lt;&gt;"",O655&lt;&gt;"",P655="APPROVED PUBLIC",S655="Sí"),6,IF(AND(H655&lt;&gt;"",I655&lt;&gt;"",J655&lt;&gt;"",L655&lt;&gt;"",N655&lt;&gt;"",O655&lt;&gt;"",P655&lt;&gt;"",S655="Sí"),5,IF(AND(H655&lt;&gt;"",I655&lt;&gt;"",P655&lt;&gt;"",S655&lt;&gt;"No"),4,IF(AND(H655&lt;&gt;"",I655&lt;&gt;""),3,IF(F655&lt;&gt;"",2,1)))))</x:f>
        <x:v>T5</x:v>
      </x:c>
      <x:c r="U655" s="24" t="str">
        <x:v>VRM Games</x:v>
      </x:c>
      <x:c r="V655" s="24" t="str">
        <x:v>No se detectó proveedor externo en la ruta; confirmar autoría por lote antes de release público.</x:v>
      </x:c>
    </x:row>
    <x:row r="656" ht="34" customHeight="1">
      <x:c r="A656" s="24" t="str">
        <x:v>TRC-00652</x:v>
      </x:c>
      <x:c r="B656" s="24" t="str">
        <x:v>1091e07da467427eb97d845f6e4c14ca</x:v>
      </x:c>
      <x:c r="C656" s="24" t="str">
        <x:v>JsonSaveGameRepositoryTests.cs</x:v>
      </x:c>
      <x:c r="D656" s="24" t="str">
        <x:v>Code</x:v>
      </x:c>
      <x:c r="E656" s="24" t="str">
        <x:v>03_Assets_Internos</x:v>
      </x:c>
      <x:c r="F656" s="24" t="str">
        <x:v>INT-0652</x:v>
      </x:c>
      <x:c r="G656" s="24" t="str">
        <x:v>VRM Games / Blas Luis Rocha González</x:v>
      </x:c>
      <x:c r="H656" s="24" t="str">
        <x:v>Internal project IP / authorship claim</x:v>
      </x:c>
      <x:c r="I656" s="24" t="str">
        <x:v>Source package + repository path + hash</x:v>
      </x:c>
      <x:c r="J656" s="24" t="str">
        <x:v>38dd14ffaf54effdc754814a73eeb819986959ca43fa5af0b52f3ec313a85006</x:v>
      </x:c>
      <x:c r="K656" s="24" t="str">
        <x:v>Assets/_Project/Tests/EditMode/JsonSaveGameRepositoryTests.cs</x:v>
      </x:c>
      <x:c r="L656" s="24" t="str">
        <x:v>CR-003</x:v>
      </x:c>
      <x:c r="M656" s="24" t="str"/>
      <x:c r="N656" s="24" t="str">
        <x:v>RES-001;RES-014</x:v>
      </x:c>
      <x:c r="O656" s="24" t="str">
        <x:v>Internal development; public candidate requires gate</x:v>
      </x:c>
      <x:c r="P656" s="24" t="str">
        <x:v>CONDITIONALLY APPROVED</x:v>
      </x:c>
      <x:c r="Q656" s="24" t="str">
        <x:v>Low</x:v>
      </x:c>
      <x:c r="R656" s="24" t="str"/>
      <x:c r="S656" s="24" t="str">
        <x:v>Sí</x:v>
      </x:c>
      <x:c r="T656" s="24" t="str">
        <x:f>"T"&amp;IF(AND(H656&lt;&gt;"",I656&lt;&gt;"",J656&lt;&gt;"",L656&lt;&gt;"",N656&lt;&gt;"",O656&lt;&gt;"",P656="APPROVED PUBLIC",S656="Sí"),6,IF(AND(H656&lt;&gt;"",I656&lt;&gt;"",J656&lt;&gt;"",L656&lt;&gt;"",N656&lt;&gt;"",O656&lt;&gt;"",P656&lt;&gt;"",S656="Sí"),5,IF(AND(H656&lt;&gt;"",I656&lt;&gt;"",P656&lt;&gt;"",S656&lt;&gt;"No"),4,IF(AND(H656&lt;&gt;"",I656&lt;&gt;""),3,IF(F656&lt;&gt;"",2,1)))))</x:f>
        <x:v>T5</x:v>
      </x:c>
      <x:c r="U656" s="24" t="str">
        <x:v>VRM Games</x:v>
      </x:c>
      <x:c r="V656" s="24" t="str">
        <x:v>No se detectó proveedor externo en la ruta; confirmar autoría por lote antes de release público.</x:v>
      </x:c>
    </x:row>
    <x:row r="657" ht="34" customHeight="1">
      <x:c r="A657" s="24" t="str">
        <x:v>TRC-00653</x:v>
      </x:c>
      <x:c r="B657" s="24" t="str">
        <x:v>fdcf1f1869aa48d2bbc00b30048eb07a</x:v>
      </x:c>
      <x:c r="C657" s="24" t="str">
        <x:v>OrbitCameraCalculatorTests.cs</x:v>
      </x:c>
      <x:c r="D657" s="24" t="str">
        <x:v>Code</x:v>
      </x:c>
      <x:c r="E657" s="24" t="str">
        <x:v>03_Assets_Internos</x:v>
      </x:c>
      <x:c r="F657" s="24" t="str">
        <x:v>INT-0653</x:v>
      </x:c>
      <x:c r="G657" s="24" t="str">
        <x:v>VRM Games / Blas Luis Rocha González</x:v>
      </x:c>
      <x:c r="H657" s="24" t="str">
        <x:v>Internal project IP / authorship claim</x:v>
      </x:c>
      <x:c r="I657" s="24" t="str">
        <x:v>Source package + repository path + hash</x:v>
      </x:c>
      <x:c r="J657" s="24" t="str">
        <x:v>550d863f9ea4e0574fae84d9b207c98e6d84766e1bea12ce794482d1289f3b11</x:v>
      </x:c>
      <x:c r="K657" s="24" t="str">
        <x:v>Assets/_Project/Tests/EditMode/OrbitCameraCalculatorTests.cs</x:v>
      </x:c>
      <x:c r="L657" s="24" t="str">
        <x:v>CR-003</x:v>
      </x:c>
      <x:c r="M657" s="24" t="str"/>
      <x:c r="N657" s="24" t="str">
        <x:v>RES-001;RES-014</x:v>
      </x:c>
      <x:c r="O657" s="24" t="str">
        <x:v>Internal development; public candidate requires gate</x:v>
      </x:c>
      <x:c r="P657" s="24" t="str">
        <x:v>CONDITIONALLY APPROVED</x:v>
      </x:c>
      <x:c r="Q657" s="24" t="str">
        <x:v>Low</x:v>
      </x:c>
      <x:c r="R657" s="24" t="str"/>
      <x:c r="S657" s="24" t="str">
        <x:v>Sí</x:v>
      </x:c>
      <x:c r="T657" s="24" t="str">
        <x:f>"T"&amp;IF(AND(H657&lt;&gt;"",I657&lt;&gt;"",J657&lt;&gt;"",L657&lt;&gt;"",N657&lt;&gt;"",O657&lt;&gt;"",P657="APPROVED PUBLIC",S657="Sí"),6,IF(AND(H657&lt;&gt;"",I657&lt;&gt;"",J657&lt;&gt;"",L657&lt;&gt;"",N657&lt;&gt;"",O657&lt;&gt;"",P657&lt;&gt;"",S657="Sí"),5,IF(AND(H657&lt;&gt;"",I657&lt;&gt;"",P657&lt;&gt;"",S657&lt;&gt;"No"),4,IF(AND(H657&lt;&gt;"",I657&lt;&gt;""),3,IF(F657&lt;&gt;"",2,1)))))</x:f>
        <x:v>T5</x:v>
      </x:c>
      <x:c r="U657" s="24" t="str">
        <x:v>VRM Games</x:v>
      </x:c>
      <x:c r="V657" s="24" t="str">
        <x:v>No se detectó proveedor externo en la ruta; confirmar autoría por lote antes de release público.</x:v>
      </x:c>
    </x:row>
    <x:row r="658" ht="34" customHeight="1">
      <x:c r="A658" s="24" t="str">
        <x:v>TRC-00654</x:v>
      </x:c>
      <x:c r="B658" s="24" t="str">
        <x:v>ba5049694a744abfa62c99ebc6049b4e</x:v>
      </x:c>
      <x:c r="C658" s="24" t="str">
        <x:v>PurchaseOrderTests.cs</x:v>
      </x:c>
      <x:c r="D658" s="24" t="str">
        <x:v>Code</x:v>
      </x:c>
      <x:c r="E658" s="24" t="str">
        <x:v>03_Assets_Internos</x:v>
      </x:c>
      <x:c r="F658" s="24" t="str">
        <x:v>INT-0654</x:v>
      </x:c>
      <x:c r="G658" s="24" t="str">
        <x:v>VRM Games / Blas Luis Rocha González</x:v>
      </x:c>
      <x:c r="H658" s="24" t="str">
        <x:v>Internal project IP / authorship claim</x:v>
      </x:c>
      <x:c r="I658" s="24" t="str">
        <x:v>Source package + repository path + hash</x:v>
      </x:c>
      <x:c r="J658" s="24" t="str">
        <x:v>ce3ad5d197088f1456ae094ca5491fdf51f60e6968f165da25d990c37fdc192f</x:v>
      </x:c>
      <x:c r="K658" s="24" t="str">
        <x:v>Assets/_Project/Tests/EditMode/Orders/PurchaseOrderTests.cs</x:v>
      </x:c>
      <x:c r="L658" s="24" t="str">
        <x:v>CR-003</x:v>
      </x:c>
      <x:c r="M658" s="24" t="str"/>
      <x:c r="N658" s="24" t="str">
        <x:v>RES-001;RES-014</x:v>
      </x:c>
      <x:c r="O658" s="24" t="str">
        <x:v>Internal development; public candidate requires gate</x:v>
      </x:c>
      <x:c r="P658" s="24" t="str">
        <x:v>CONDITIONALLY APPROVED</x:v>
      </x:c>
      <x:c r="Q658" s="24" t="str">
        <x:v>Low</x:v>
      </x:c>
      <x:c r="R658" s="24" t="str"/>
      <x:c r="S658" s="24" t="str">
        <x:v>Sí</x:v>
      </x:c>
      <x:c r="T658" s="24" t="str">
        <x:f>"T"&amp;IF(AND(H658&lt;&gt;"",I658&lt;&gt;"",J658&lt;&gt;"",L658&lt;&gt;"",N658&lt;&gt;"",O658&lt;&gt;"",P658="APPROVED PUBLIC",S658="Sí"),6,IF(AND(H658&lt;&gt;"",I658&lt;&gt;"",J658&lt;&gt;"",L658&lt;&gt;"",N658&lt;&gt;"",O658&lt;&gt;"",P658&lt;&gt;"",S658="Sí"),5,IF(AND(H658&lt;&gt;"",I658&lt;&gt;"",P658&lt;&gt;"",S658&lt;&gt;"No"),4,IF(AND(H658&lt;&gt;"",I658&lt;&gt;""),3,IF(F658&lt;&gt;"",2,1)))))</x:f>
        <x:v>T5</x:v>
      </x:c>
      <x:c r="U658" s="24" t="str">
        <x:v>VRM Games</x:v>
      </x:c>
      <x:c r="V658" s="24" t="str">
        <x:v>No se detectó proveedor externo en la ruta; confirmar autoría por lote antes de release público.</x:v>
      </x:c>
    </x:row>
    <x:row r="659" ht="34" customHeight="1">
      <x:c r="A659" s="24" t="str">
        <x:v>TRC-00655</x:v>
      </x:c>
      <x:c r="B659" s="24" t="str">
        <x:v>3f04e06e120a4f579e4d1ccf24b9784f</x:v>
      </x:c>
      <x:c r="C659" s="24" t="str">
        <x:v>SupplierOrderServiceTests.cs</x:v>
      </x:c>
      <x:c r="D659" s="24" t="str">
        <x:v>Code</x:v>
      </x:c>
      <x:c r="E659" s="24" t="str">
        <x:v>03_Assets_Internos</x:v>
      </x:c>
      <x:c r="F659" s="24" t="str">
        <x:v>INT-0655</x:v>
      </x:c>
      <x:c r="G659" s="24" t="str">
        <x:v>VRM Games / Blas Luis Rocha González</x:v>
      </x:c>
      <x:c r="H659" s="24" t="str">
        <x:v>Internal project IP / authorship claim</x:v>
      </x:c>
      <x:c r="I659" s="24" t="str">
        <x:v>Source package + repository path + hash</x:v>
      </x:c>
      <x:c r="J659" s="24" t="str">
        <x:v>95a4251354e57a1083160bd3cfc68c430b45dc053d095a18ede16d4ff0b0206d</x:v>
      </x:c>
      <x:c r="K659" s="24" t="str">
        <x:v>Assets/_Project/Tests/EditMode/Orders/SupplierOrderServiceTests.cs</x:v>
      </x:c>
      <x:c r="L659" s="24" t="str">
        <x:v>CR-003</x:v>
      </x:c>
      <x:c r="M659" s="24" t="str"/>
      <x:c r="N659" s="24" t="str">
        <x:v>RES-001;RES-014</x:v>
      </x:c>
      <x:c r="O659" s="24" t="str">
        <x:v>Internal development; public candidate requires gate</x:v>
      </x:c>
      <x:c r="P659" s="24" t="str">
        <x:v>CONDITIONALLY APPROVED</x:v>
      </x:c>
      <x:c r="Q659" s="24" t="str">
        <x:v>Low</x:v>
      </x:c>
      <x:c r="R659" s="24" t="str"/>
      <x:c r="S659" s="24" t="str">
        <x:v>Sí</x:v>
      </x:c>
      <x:c r="T659" s="24" t="str">
        <x:f>"T"&amp;IF(AND(H659&lt;&gt;"",I659&lt;&gt;"",J659&lt;&gt;"",L659&lt;&gt;"",N659&lt;&gt;"",O659&lt;&gt;"",P659="APPROVED PUBLIC",S659="Sí"),6,IF(AND(H659&lt;&gt;"",I659&lt;&gt;"",J659&lt;&gt;"",L659&lt;&gt;"",N659&lt;&gt;"",O659&lt;&gt;"",P659&lt;&gt;"",S659="Sí"),5,IF(AND(H659&lt;&gt;"",I659&lt;&gt;"",P659&lt;&gt;"",S659&lt;&gt;"No"),4,IF(AND(H659&lt;&gt;"",I659&lt;&gt;""),3,IF(F659&lt;&gt;"",2,1)))))</x:f>
        <x:v>T5</x:v>
      </x:c>
      <x:c r="U659" s="24" t="str">
        <x:v>VRM Games</x:v>
      </x:c>
      <x:c r="V659" s="24" t="str">
        <x:v>No se detectó proveedor externo en la ruta; confirmar autoría por lote antes de release público.</x:v>
      </x:c>
    </x:row>
    <x:row r="660" ht="34" customHeight="1">
      <x:c r="A660" s="24" t="str">
        <x:v>TRC-00656</x:v>
      </x:c>
      <x:c r="B660" s="24" t="str">
        <x:v>26f0c79fcca5429f8580ee77f3a1acf4</x:v>
      </x:c>
      <x:c r="C660" s="24" t="str">
        <x:v>IntegratedGameStateBuilderTests.cs</x:v>
      </x:c>
      <x:c r="D660" s="24" t="str">
        <x:v>Code</x:v>
      </x:c>
      <x:c r="E660" s="24" t="str">
        <x:v>03_Assets_Internos</x:v>
      </x:c>
      <x:c r="F660" s="24" t="str">
        <x:v>INT-0656</x:v>
      </x:c>
      <x:c r="G660" s="24" t="str">
        <x:v>VRM Games / Blas Luis Rocha González</x:v>
      </x:c>
      <x:c r="H660" s="24" t="str">
        <x:v>Internal project IP / authorship claim</x:v>
      </x:c>
      <x:c r="I660" s="24" t="str">
        <x:v>Source package + repository path + hash</x:v>
      </x:c>
      <x:c r="J660" s="24" t="str">
        <x:v>96d99427d8ab67fabc5908561a0e6f5124c42bf41623d1f90196517ee89b747a</x:v>
      </x:c>
      <x:c r="K660" s="24" t="str">
        <x:v>Assets/_Project/Tests/EditMode/Persistence/IntegratedGameStateBuilderTests.cs</x:v>
      </x:c>
      <x:c r="L660" s="24" t="str">
        <x:v>CR-003</x:v>
      </x:c>
      <x:c r="M660" s="24" t="str"/>
      <x:c r="N660" s="24" t="str">
        <x:v>RES-001;RES-014</x:v>
      </x:c>
      <x:c r="O660" s="24" t="str">
        <x:v>Internal development; public candidate requires gate</x:v>
      </x:c>
      <x:c r="P660" s="24" t="str">
        <x:v>CONDITIONALLY APPROVED</x:v>
      </x:c>
      <x:c r="Q660" s="24" t="str">
        <x:v>Low</x:v>
      </x:c>
      <x:c r="R660" s="24" t="str"/>
      <x:c r="S660" s="24" t="str">
        <x:v>Sí</x:v>
      </x:c>
      <x:c r="T660" s="24" t="str">
        <x:f>"T"&amp;IF(AND(H660&lt;&gt;"",I660&lt;&gt;"",J660&lt;&gt;"",L660&lt;&gt;"",N660&lt;&gt;"",O660&lt;&gt;"",P660="APPROVED PUBLIC",S660="Sí"),6,IF(AND(H660&lt;&gt;"",I660&lt;&gt;"",J660&lt;&gt;"",L660&lt;&gt;"",N660&lt;&gt;"",O660&lt;&gt;"",P660&lt;&gt;"",S660="Sí"),5,IF(AND(H660&lt;&gt;"",I660&lt;&gt;"",P660&lt;&gt;"",S660&lt;&gt;"No"),4,IF(AND(H660&lt;&gt;"",I660&lt;&gt;""),3,IF(F660&lt;&gt;"",2,1)))))</x:f>
        <x:v>T5</x:v>
      </x:c>
      <x:c r="U660" s="24" t="str">
        <x:v>VRM Games</x:v>
      </x:c>
      <x:c r="V660" s="24" t="str">
        <x:v>No se detectó proveedor externo en la ruta; confirmar autoría por lote antes de release público.</x:v>
      </x:c>
    </x:row>
    <x:row r="661" ht="34" customHeight="1">
      <x:c r="A661" s="24" t="str">
        <x:v>TRC-00657</x:v>
      </x:c>
      <x:c r="B661" s="24" t="str">
        <x:v>9a8ec9b2dcea4963bb6e90ab901a0419</x:v>
      </x:c>
      <x:c r="C661" s="24" t="str">
        <x:v>IntegratedSaveJsonCodecTests.cs</x:v>
      </x:c>
      <x:c r="D661" s="24" t="str">
        <x:v>Code</x:v>
      </x:c>
      <x:c r="E661" s="24" t="str">
        <x:v>03_Assets_Internos</x:v>
      </x:c>
      <x:c r="F661" s="24" t="str">
        <x:v>INT-0657</x:v>
      </x:c>
      <x:c r="G661" s="24" t="str">
        <x:v>VRM Games / Blas Luis Rocha González</x:v>
      </x:c>
      <x:c r="H661" s="24" t="str">
        <x:v>Internal project IP / authorship claim</x:v>
      </x:c>
      <x:c r="I661" s="24" t="str">
        <x:v>Source package + repository path + hash</x:v>
      </x:c>
      <x:c r="J661" s="24" t="str">
        <x:v>c88ec1bf362c126f6232a7641525ea4dd46a90a7e60f36b0633eaa4b38f9c605</x:v>
      </x:c>
      <x:c r="K661" s="24" t="str">
        <x:v>Assets/_Project/Tests/EditMode/Persistence/IntegratedSaveJsonCodecTests.cs</x:v>
      </x:c>
      <x:c r="L661" s="24" t="str">
        <x:v>CR-003</x:v>
      </x:c>
      <x:c r="M661" s="24" t="str"/>
      <x:c r="N661" s="24" t="str">
        <x:v>RES-001;RES-014</x:v>
      </x:c>
      <x:c r="O661" s="24" t="str">
        <x:v>Internal development; public candidate requires gate</x:v>
      </x:c>
      <x:c r="P661" s="24" t="str">
        <x:v>CONDITIONALLY APPROVED</x:v>
      </x:c>
      <x:c r="Q661" s="24" t="str">
        <x:v>Low</x:v>
      </x:c>
      <x:c r="R661" s="24" t="str"/>
      <x:c r="S661" s="24" t="str">
        <x:v>Sí</x:v>
      </x:c>
      <x:c r="T661" s="24" t="str">
        <x:f>"T"&amp;IF(AND(H661&lt;&gt;"",I661&lt;&gt;"",J661&lt;&gt;"",L661&lt;&gt;"",N661&lt;&gt;"",O661&lt;&gt;"",P661="APPROVED PUBLIC",S661="Sí"),6,IF(AND(H661&lt;&gt;"",I661&lt;&gt;"",J661&lt;&gt;"",L661&lt;&gt;"",N661&lt;&gt;"",O661&lt;&gt;"",P661&lt;&gt;"",S661="Sí"),5,IF(AND(H661&lt;&gt;"",I661&lt;&gt;"",P661&lt;&gt;"",S661&lt;&gt;"No"),4,IF(AND(H661&lt;&gt;"",I661&lt;&gt;""),3,IF(F661&lt;&gt;"",2,1)))))</x:f>
        <x:v>T5</x:v>
      </x:c>
      <x:c r="U661" s="24" t="str">
        <x:v>VRM Games</x:v>
      </x:c>
      <x:c r="V661" s="24" t="str">
        <x:v>No se detectó proveedor externo en la ruta; confirmar autoría por lote antes de release público.</x:v>
      </x:c>
    </x:row>
    <x:row r="662" ht="34" customHeight="1">
      <x:c r="A662" s="24" t="str">
        <x:v>TRC-00658</x:v>
      </x:c>
      <x:c r="B662" s="24" t="str">
        <x:v>7dc0685b33f94befbcc962575963acd5</x:v>
      </x:c>
      <x:c r="C662" s="24" t="str">
        <x:v>IntegratedSaveServiceTests.cs</x:v>
      </x:c>
      <x:c r="D662" s="24" t="str">
        <x:v>Code</x:v>
      </x:c>
      <x:c r="E662" s="24" t="str">
        <x:v>03_Assets_Internos</x:v>
      </x:c>
      <x:c r="F662" s="24" t="str">
        <x:v>INT-0658</x:v>
      </x:c>
      <x:c r="G662" s="24" t="str">
        <x:v>VRM Games / Blas Luis Rocha González</x:v>
      </x:c>
      <x:c r="H662" s="24" t="str">
        <x:v>Internal project IP / authorship claim</x:v>
      </x:c>
      <x:c r="I662" s="24" t="str">
        <x:v>Source package + repository path + hash</x:v>
      </x:c>
      <x:c r="J662" s="24" t="str">
        <x:v>7ac79b8ee93557604b41e5b6cbd1fcc5bde4b2a094ce08f87dcebd8c7a14d2df</x:v>
      </x:c>
      <x:c r="K662" s="24" t="str">
        <x:v>Assets/_Project/Tests/EditMode/Persistence/IntegratedSaveServiceTests.cs</x:v>
      </x:c>
      <x:c r="L662" s="24" t="str">
        <x:v>CR-003</x:v>
      </x:c>
      <x:c r="M662" s="24" t="str"/>
      <x:c r="N662" s="24" t="str">
        <x:v>RES-001;RES-014</x:v>
      </x:c>
      <x:c r="O662" s="24" t="str">
        <x:v>Internal development; public candidate requires gate</x:v>
      </x:c>
      <x:c r="P662" s="24" t="str">
        <x:v>CONDITIONALLY APPROVED</x:v>
      </x:c>
      <x:c r="Q662" s="24" t="str">
        <x:v>Low</x:v>
      </x:c>
      <x:c r="R662" s="24" t="str"/>
      <x:c r="S662" s="24" t="str">
        <x:v>Sí</x:v>
      </x:c>
      <x:c r="T662" s="24" t="str">
        <x:f>"T"&amp;IF(AND(H662&lt;&gt;"",I662&lt;&gt;"",J662&lt;&gt;"",L662&lt;&gt;"",N662&lt;&gt;"",O662&lt;&gt;"",P662="APPROVED PUBLIC",S662="Sí"),6,IF(AND(H662&lt;&gt;"",I662&lt;&gt;"",J662&lt;&gt;"",L662&lt;&gt;"",N662&lt;&gt;"",O662&lt;&gt;"",P662&lt;&gt;"",S662="Sí"),5,IF(AND(H662&lt;&gt;"",I662&lt;&gt;"",P662&lt;&gt;"",S662&lt;&gt;"No"),4,IF(AND(H662&lt;&gt;"",I662&lt;&gt;""),3,IF(F662&lt;&gt;"",2,1)))))</x:f>
        <x:v>T5</x:v>
      </x:c>
      <x:c r="U662" s="24" t="str">
        <x:v>VRM Games</x:v>
      </x:c>
      <x:c r="V662" s="24" t="str">
        <x:v>No se detectó proveedor externo en la ruta; confirmar autoría por lote antes de release público.</x:v>
      </x:c>
    </x:row>
    <x:row r="663" ht="34" customHeight="1">
      <x:c r="A663" s="24" t="str">
        <x:v>TRC-00659</x:v>
      </x:c>
      <x:c r="B663" s="24" t="str">
        <x:v>bb094528236d455ea0311ec411b1024e</x:v>
      </x:c>
      <x:c r="C663" s="24" t="str">
        <x:v>IntegratedSnapshotValidationTests.cs</x:v>
      </x:c>
      <x:c r="D663" s="24" t="str">
        <x:v>Code</x:v>
      </x:c>
      <x:c r="E663" s="24" t="str">
        <x:v>03_Assets_Internos</x:v>
      </x:c>
      <x:c r="F663" s="24" t="str">
        <x:v>INT-0659</x:v>
      </x:c>
      <x:c r="G663" s="24" t="str">
        <x:v>VRM Games / Blas Luis Rocha González</x:v>
      </x:c>
      <x:c r="H663" s="24" t="str">
        <x:v>Internal project IP / authorship claim</x:v>
      </x:c>
      <x:c r="I663" s="24" t="str">
        <x:v>Source package + repository path + hash</x:v>
      </x:c>
      <x:c r="J663" s="24" t="str">
        <x:v>1c0c6cd9bc0f9158b8311fbab6d8e3607f4f92932214c43d8d47ad52eb1151da</x:v>
      </x:c>
      <x:c r="K663" s="24" t="str">
        <x:v>Assets/_Project/Tests/EditMode/Persistence/IntegratedSnapshotValidationTests.cs</x:v>
      </x:c>
      <x:c r="L663" s="24" t="str">
        <x:v>CR-003</x:v>
      </x:c>
      <x:c r="M663" s="24" t="str"/>
      <x:c r="N663" s="24" t="str">
        <x:v>RES-001;RES-014</x:v>
      </x:c>
      <x:c r="O663" s="24" t="str">
        <x:v>Internal development; public candidate requires gate</x:v>
      </x:c>
      <x:c r="P663" s="24" t="str">
        <x:v>CONDITIONALLY APPROVED</x:v>
      </x:c>
      <x:c r="Q663" s="24" t="str">
        <x:v>Low</x:v>
      </x:c>
      <x:c r="R663" s="24" t="str"/>
      <x:c r="S663" s="24" t="str">
        <x:v>Sí</x:v>
      </x:c>
      <x:c r="T663" s="24" t="str">
        <x:f>"T"&amp;IF(AND(H663&lt;&gt;"",I663&lt;&gt;"",J663&lt;&gt;"",L663&lt;&gt;"",N663&lt;&gt;"",O663&lt;&gt;"",P663="APPROVED PUBLIC",S663="Sí"),6,IF(AND(H663&lt;&gt;"",I663&lt;&gt;"",J663&lt;&gt;"",L663&lt;&gt;"",N663&lt;&gt;"",O663&lt;&gt;"",P663&lt;&gt;"",S663="Sí"),5,IF(AND(H663&lt;&gt;"",I663&lt;&gt;"",P663&lt;&gt;"",S663&lt;&gt;"No"),4,IF(AND(H663&lt;&gt;"",I663&lt;&gt;""),3,IF(F663&lt;&gt;"",2,1)))))</x:f>
        <x:v>T5</x:v>
      </x:c>
      <x:c r="U663" s="24" t="str">
        <x:v>VRM Games</x:v>
      </x:c>
      <x:c r="V663" s="24" t="str">
        <x:v>No se detectó proveedor externo en la ruta; confirmar autoría por lote antes de release público.</x:v>
      </x:c>
    </x:row>
    <x:row r="664" ht="34" customHeight="1">
      <x:c r="A664" s="24" t="str">
        <x:v>TRC-00660</x:v>
      </x:c>
      <x:c r="B664" s="24" t="str">
        <x:v>738263e8d0e2446ca9f3eb875213e336</x:v>
      </x:c>
      <x:c r="C664" s="24" t="str">
        <x:v>JsonIntegratedSaveRepositoryTests.cs</x:v>
      </x:c>
      <x:c r="D664" s="24" t="str">
        <x:v>Code</x:v>
      </x:c>
      <x:c r="E664" s="24" t="str">
        <x:v>03_Assets_Internos</x:v>
      </x:c>
      <x:c r="F664" s="24" t="str">
        <x:v>INT-0660</x:v>
      </x:c>
      <x:c r="G664" s="24" t="str">
        <x:v>VRM Games / Blas Luis Rocha González</x:v>
      </x:c>
      <x:c r="H664" s="24" t="str">
        <x:v>Internal project IP / authorship claim</x:v>
      </x:c>
      <x:c r="I664" s="24" t="str">
        <x:v>Source package + repository path + hash</x:v>
      </x:c>
      <x:c r="J664" s="24" t="str">
        <x:v>d5df225495e832c04d6c28463893a938ad249f74cb25e0d000f7f0609398193f</x:v>
      </x:c>
      <x:c r="K664" s="24" t="str">
        <x:v>Assets/_Project/Tests/EditMode/Persistence/JsonIntegratedSaveRepositoryTests.cs</x:v>
      </x:c>
      <x:c r="L664" s="24" t="str">
        <x:v>CR-003</x:v>
      </x:c>
      <x:c r="M664" s="24" t="str"/>
      <x:c r="N664" s="24" t="str">
        <x:v>RES-001;RES-014</x:v>
      </x:c>
      <x:c r="O664" s="24" t="str">
        <x:v>Internal development; public candidate requires gate</x:v>
      </x:c>
      <x:c r="P664" s="24" t="str">
        <x:v>CONDITIONALLY APPROVED</x:v>
      </x:c>
      <x:c r="Q664" s="24" t="str">
        <x:v>Low</x:v>
      </x:c>
      <x:c r="R664" s="24" t="str"/>
      <x:c r="S664" s="24" t="str">
        <x:v>Sí</x:v>
      </x:c>
      <x:c r="T664" s="24" t="str">
        <x:f>"T"&amp;IF(AND(H664&lt;&gt;"",I664&lt;&gt;"",J664&lt;&gt;"",L664&lt;&gt;"",N664&lt;&gt;"",O664&lt;&gt;"",P664="APPROVED PUBLIC",S664="Sí"),6,IF(AND(H664&lt;&gt;"",I664&lt;&gt;"",J664&lt;&gt;"",L664&lt;&gt;"",N664&lt;&gt;"",O664&lt;&gt;"",P664&lt;&gt;"",S664="Sí"),5,IF(AND(H664&lt;&gt;"",I664&lt;&gt;"",P664&lt;&gt;"",S664&lt;&gt;"No"),4,IF(AND(H664&lt;&gt;"",I664&lt;&gt;""),3,IF(F664&lt;&gt;"",2,1)))))</x:f>
        <x:v>T5</x:v>
      </x:c>
      <x:c r="U664" s="24" t="str">
        <x:v>VRM Games</x:v>
      </x:c>
      <x:c r="V664" s="24" t="str">
        <x:v>No se detectó proveedor externo en la ruta; confirmar autoría por lote antes de release público.</x:v>
      </x:c>
    </x:row>
    <x:row r="665" ht="34" customHeight="1">
      <x:c r="A665" s="24" t="str">
        <x:v>TRC-00661</x:v>
      </x:c>
      <x:c r="B665" s="24" t="str">
        <x:v>40381b3c1e84447b904500b1d70cb610</x:v>
      </x:c>
      <x:c r="C665" s="24" t="str">
        <x:v>PersistenceTestFactory.cs</x:v>
      </x:c>
      <x:c r="D665" s="24" t="str">
        <x:v>Code</x:v>
      </x:c>
      <x:c r="E665" s="24" t="str">
        <x:v>03_Assets_Internos</x:v>
      </x:c>
      <x:c r="F665" s="24" t="str">
        <x:v>INT-0661</x:v>
      </x:c>
      <x:c r="G665" s="24" t="str">
        <x:v>VRM Games / Blas Luis Rocha González</x:v>
      </x:c>
      <x:c r="H665" s="24" t="str">
        <x:v>Internal project IP / authorship claim</x:v>
      </x:c>
      <x:c r="I665" s="24" t="str">
        <x:v>Source package + repository path + hash</x:v>
      </x:c>
      <x:c r="J665" s="24" t="str">
        <x:v>78b831135d9598eeaeb862f9dd649805b9ba8b6f9dab9a2a5b135ba8fbf700d1</x:v>
      </x:c>
      <x:c r="K665" s="24" t="str">
        <x:v>Assets/_Project/Tests/EditMode/Persistence/PersistenceTestFactory.cs</x:v>
      </x:c>
      <x:c r="L665" s="24" t="str">
        <x:v>CR-003</x:v>
      </x:c>
      <x:c r="M665" s="24" t="str"/>
      <x:c r="N665" s="24" t="str">
        <x:v>RES-001;RES-014</x:v>
      </x:c>
      <x:c r="O665" s="24" t="str">
        <x:v>Internal development; public candidate requires gate</x:v>
      </x:c>
      <x:c r="P665" s="24" t="str">
        <x:v>CONDITIONALLY APPROVED</x:v>
      </x:c>
      <x:c r="Q665" s="24" t="str">
        <x:v>Low</x:v>
      </x:c>
      <x:c r="R665" s="24" t="str"/>
      <x:c r="S665" s="24" t="str">
        <x:v>Sí</x:v>
      </x:c>
      <x:c r="T665" s="24" t="str">
        <x:f>"T"&amp;IF(AND(H665&lt;&gt;"",I665&lt;&gt;"",J665&lt;&gt;"",L665&lt;&gt;"",N665&lt;&gt;"",O665&lt;&gt;"",P665="APPROVED PUBLIC",S665="Sí"),6,IF(AND(H665&lt;&gt;"",I665&lt;&gt;"",J665&lt;&gt;"",L665&lt;&gt;"",N665&lt;&gt;"",O665&lt;&gt;"",P665&lt;&gt;"",S665="Sí"),5,IF(AND(H665&lt;&gt;"",I665&lt;&gt;"",P665&lt;&gt;"",S665&lt;&gt;"No"),4,IF(AND(H665&lt;&gt;"",I665&lt;&gt;""),3,IF(F665&lt;&gt;"",2,1)))))</x:f>
        <x:v>T5</x:v>
      </x:c>
      <x:c r="U665" s="24" t="str">
        <x:v>VRM Games</x:v>
      </x:c>
      <x:c r="V665" s="24" t="str">
        <x:v>No se detectó proveedor externo en la ruta; confirmar autoría por lote antes de release público.</x:v>
      </x:c>
    </x:row>
    <x:row r="666" ht="34" customHeight="1">
      <x:c r="A666" s="24" t="str">
        <x:v>TRC-00662</x:v>
      </x:c>
      <x:c r="B666" s="24" t="str">
        <x:v>5d94a130685a42fd8fd25fedcd9c0bbc</x:v>
      </x:c>
      <x:c r="C666" s="24" t="str">
        <x:v>SavePersistenceAuthoringTests.cs</x:v>
      </x:c>
      <x:c r="D666" s="24" t="str">
        <x:v>Code</x:v>
      </x:c>
      <x:c r="E666" s="24" t="str">
        <x:v>03_Assets_Internos</x:v>
      </x:c>
      <x:c r="F666" s="24" t="str">
        <x:v>INT-0662</x:v>
      </x:c>
      <x:c r="G666" s="24" t="str">
        <x:v>VRM Games / Blas Luis Rocha González</x:v>
      </x:c>
      <x:c r="H666" s="24" t="str">
        <x:v>Internal project IP / authorship claim</x:v>
      </x:c>
      <x:c r="I666" s="24" t="str">
        <x:v>Source package + repository path + hash</x:v>
      </x:c>
      <x:c r="J666" s="24" t="str">
        <x:v>9742e25ad22e660615ce6c789559cb16f289e10ea6c9c7f86dc8f37cf735f97d</x:v>
      </x:c>
      <x:c r="K666" s="24" t="str">
        <x:v>Assets/_Project/Tests/EditMode/Persistence/SavePersistenceAuthoringTests.cs</x:v>
      </x:c>
      <x:c r="L666" s="24" t="str">
        <x:v>CR-003</x:v>
      </x:c>
      <x:c r="M666" s="24" t="str"/>
      <x:c r="N666" s="24" t="str">
        <x:v>RES-001;RES-014</x:v>
      </x:c>
      <x:c r="O666" s="24" t="str">
        <x:v>Internal development; public candidate requires gate</x:v>
      </x:c>
      <x:c r="P666" s="24" t="str">
        <x:v>CONDITIONALLY APPROVED</x:v>
      </x:c>
      <x:c r="Q666" s="24" t="str">
        <x:v>Low</x:v>
      </x:c>
      <x:c r="R666" s="24" t="str"/>
      <x:c r="S666" s="24" t="str">
        <x:v>Sí</x:v>
      </x:c>
      <x:c r="T666" s="24" t="str">
        <x:f>"T"&amp;IF(AND(H666&lt;&gt;"",I666&lt;&gt;"",J666&lt;&gt;"",L666&lt;&gt;"",N666&lt;&gt;"",O666&lt;&gt;"",P666="APPROVED PUBLIC",S666="Sí"),6,IF(AND(H666&lt;&gt;"",I666&lt;&gt;"",J666&lt;&gt;"",L666&lt;&gt;"",N666&lt;&gt;"",O666&lt;&gt;"",P666&lt;&gt;"",S666="Sí"),5,IF(AND(H666&lt;&gt;"",I666&lt;&gt;"",P666&lt;&gt;"",S666&lt;&gt;"No"),4,IF(AND(H666&lt;&gt;"",I666&lt;&gt;""),3,IF(F666&lt;&gt;"",2,1)))))</x:f>
        <x:v>T5</x:v>
      </x:c>
      <x:c r="U666" s="24" t="str">
        <x:v>VRM Games</x:v>
      </x:c>
      <x:c r="V666" s="24" t="str">
        <x:v>No se detectó proveedor externo en la ruta; confirmar autoría por lote antes de release público.</x:v>
      </x:c>
    </x:row>
    <x:row r="667" ht="34" customHeight="1">
      <x:c r="A667" s="24" t="str">
        <x:v>TRC-00663</x:v>
      </x:c>
      <x:c r="B667" s="24" t="str">
        <x:v>03eceedcb80247308562a4e264dc8350</x:v>
      </x:c>
      <x:c r="C667" s="24" t="str">
        <x:v>SaveRecordTests.cs</x:v>
      </x:c>
      <x:c r="D667" s="24" t="str">
        <x:v>Code</x:v>
      </x:c>
      <x:c r="E667" s="24" t="str">
        <x:v>03_Assets_Internos</x:v>
      </x:c>
      <x:c r="F667" s="24" t="str">
        <x:v>INT-0663</x:v>
      </x:c>
      <x:c r="G667" s="24" t="str">
        <x:v>VRM Games / Blas Luis Rocha González</x:v>
      </x:c>
      <x:c r="H667" s="24" t="str">
        <x:v>Internal project IP / authorship claim</x:v>
      </x:c>
      <x:c r="I667" s="24" t="str">
        <x:v>Source package + repository path + hash</x:v>
      </x:c>
      <x:c r="J667" s="24" t="str">
        <x:v>e216e1c42a36ac61f1b7297302ff501e4b0f5bf37173b1709499082d4dff3801</x:v>
      </x:c>
      <x:c r="K667" s="24" t="str">
        <x:v>Assets/_Project/Tests/EditMode/Persistence/SaveRecordTests.cs</x:v>
      </x:c>
      <x:c r="L667" s="24" t="str">
        <x:v>CR-003</x:v>
      </x:c>
      <x:c r="M667" s="24" t="str"/>
      <x:c r="N667" s="24" t="str">
        <x:v>RES-001;RES-014</x:v>
      </x:c>
      <x:c r="O667" s="24" t="str">
        <x:v>Internal development; public candidate requires gate</x:v>
      </x:c>
      <x:c r="P667" s="24" t="str">
        <x:v>CONDITIONALLY APPROVED</x:v>
      </x:c>
      <x:c r="Q667" s="24" t="str">
        <x:v>Low</x:v>
      </x:c>
      <x:c r="R667" s="24" t="str"/>
      <x:c r="S667" s="24" t="str">
        <x:v>Sí</x:v>
      </x:c>
      <x:c r="T667" s="24" t="str">
        <x:f>"T"&amp;IF(AND(H667&lt;&gt;"",I667&lt;&gt;"",J667&lt;&gt;"",L667&lt;&gt;"",N667&lt;&gt;"",O667&lt;&gt;"",P667="APPROVED PUBLIC",S667="Sí"),6,IF(AND(H667&lt;&gt;"",I667&lt;&gt;"",J667&lt;&gt;"",L667&lt;&gt;"",N667&lt;&gt;"",O667&lt;&gt;"",P667&lt;&gt;"",S667="Sí"),5,IF(AND(H667&lt;&gt;"",I667&lt;&gt;"",P667&lt;&gt;"",S667&lt;&gt;"No"),4,IF(AND(H667&lt;&gt;"",I667&lt;&gt;""),3,IF(F667&lt;&gt;"",2,1)))))</x:f>
        <x:v>T5</x:v>
      </x:c>
      <x:c r="U667" s="24" t="str">
        <x:v>VRM Games</x:v>
      </x:c>
      <x:c r="V667" s="24" t="str">
        <x:v>No se detectó proveedor externo en la ruta; confirmar autoría por lote antes de release público.</x:v>
      </x:c>
    </x:row>
    <x:row r="668" ht="34" customHeight="1">
      <x:c r="A668" s="24" t="str">
        <x:v>TRC-00664</x:v>
      </x:c>
      <x:c r="B668" s="24" t="str">
        <x:v>e79783fa8140403395d215cd1c6d81e6</x:v>
      </x:c>
      <x:c r="C668" s="24" t="str">
        <x:v>SaveRecoveryTests.cs</x:v>
      </x:c>
      <x:c r="D668" s="24" t="str">
        <x:v>Code</x:v>
      </x:c>
      <x:c r="E668" s="24" t="str">
        <x:v>03_Assets_Internos</x:v>
      </x:c>
      <x:c r="F668" s="24" t="str">
        <x:v>INT-0664</x:v>
      </x:c>
      <x:c r="G668" s="24" t="str">
        <x:v>VRM Games / Blas Luis Rocha González</x:v>
      </x:c>
      <x:c r="H668" s="24" t="str">
        <x:v>Internal project IP / authorship claim</x:v>
      </x:c>
      <x:c r="I668" s="24" t="str">
        <x:v>Source package + repository path + hash</x:v>
      </x:c>
      <x:c r="J668" s="24" t="str">
        <x:v>9fb4a67fcaf41a20fab4695efe423d94b621a3bad8762c36570e0fef31ed73ac</x:v>
      </x:c>
      <x:c r="K668" s="24" t="str">
        <x:v>Assets/_Project/Tests/EditMode/Persistence/SaveRecoveryTests.cs</x:v>
      </x:c>
      <x:c r="L668" s="24" t="str">
        <x:v>CR-003</x:v>
      </x:c>
      <x:c r="M668" s="24" t="str"/>
      <x:c r="N668" s="24" t="str">
        <x:v>RES-001;RES-014</x:v>
      </x:c>
      <x:c r="O668" s="24" t="str">
        <x:v>Internal development; public candidate requires gate</x:v>
      </x:c>
      <x:c r="P668" s="24" t="str">
        <x:v>CONDITIONALLY APPROVED</x:v>
      </x:c>
      <x:c r="Q668" s="24" t="str">
        <x:v>Low</x:v>
      </x:c>
      <x:c r="R668" s="24" t="str"/>
      <x:c r="S668" s="24" t="str">
        <x:v>Sí</x:v>
      </x:c>
      <x:c r="T668" s="24" t="str">
        <x:f>"T"&amp;IF(AND(H668&lt;&gt;"",I668&lt;&gt;"",J668&lt;&gt;"",L668&lt;&gt;"",N668&lt;&gt;"",O668&lt;&gt;"",P668="APPROVED PUBLIC",S668="Sí"),6,IF(AND(H668&lt;&gt;"",I668&lt;&gt;"",J668&lt;&gt;"",L668&lt;&gt;"",N668&lt;&gt;"",O668&lt;&gt;"",P668&lt;&gt;"",S668="Sí"),5,IF(AND(H668&lt;&gt;"",I668&lt;&gt;"",P668&lt;&gt;"",S668&lt;&gt;"No"),4,IF(AND(H668&lt;&gt;"",I668&lt;&gt;""),3,IF(F668&lt;&gt;"",2,1)))))</x:f>
        <x:v>T5</x:v>
      </x:c>
      <x:c r="U668" s="24" t="str">
        <x:v>VRM Games</x:v>
      </x:c>
      <x:c r="V668" s="24" t="str">
        <x:v>No se detectó proveedor externo en la ruta; confirmar autoría por lote antes de release público.</x:v>
      </x:c>
    </x:row>
    <x:row r="669" ht="34" customHeight="1">
      <x:c r="A669" s="24" t="str">
        <x:v>TRC-00665</x:v>
      </x:c>
      <x:c r="B669" s="24" t="str">
        <x:v>cf041c5f767041bf9b2caededc2c95bd</x:v>
      </x:c>
      <x:c r="C669" s="24" t="str">
        <x:v>GameplayDestinationInputPolicyTests.cs</x:v>
      </x:c>
      <x:c r="D669" s="24" t="str">
        <x:v>Code</x:v>
      </x:c>
      <x:c r="E669" s="24" t="str">
        <x:v>03_Assets_Internos</x:v>
      </x:c>
      <x:c r="F669" s="24" t="str">
        <x:v>INT-0665</x:v>
      </x:c>
      <x:c r="G669" s="24" t="str">
        <x:v>VRM Games / Blas Luis Rocha González</x:v>
      </x:c>
      <x:c r="H669" s="24" t="str">
        <x:v>Internal project IP / authorship claim</x:v>
      </x:c>
      <x:c r="I669" s="24" t="str">
        <x:v>Source package + repository path + hash</x:v>
      </x:c>
      <x:c r="J669" s="24" t="str">
        <x:v>aff8ba3847904133776107042d5a1e94d6ab6e81e05861a00540c16b18572944</x:v>
      </x:c>
      <x:c r="K669" s="24" t="str">
        <x:v>Assets/_Project/Tests/EditMode/Placement/GameplayDestinationInputPolicyTests.cs</x:v>
      </x:c>
      <x:c r="L669" s="24" t="str">
        <x:v>CR-003</x:v>
      </x:c>
      <x:c r="M669" s="24" t="str"/>
      <x:c r="N669" s="24" t="str">
        <x:v>RES-001;RES-014</x:v>
      </x:c>
      <x:c r="O669" s="24" t="str">
        <x:v>Internal development; public candidate requires gate</x:v>
      </x:c>
      <x:c r="P669" s="24" t="str">
        <x:v>CONDITIONALLY APPROVED</x:v>
      </x:c>
      <x:c r="Q669" s="24" t="str">
        <x:v>Low</x:v>
      </x:c>
      <x:c r="R669" s="24" t="str"/>
      <x:c r="S669" s="24" t="str">
        <x:v>Sí</x:v>
      </x:c>
      <x:c r="T669" s="24" t="str">
        <x:f>"T"&amp;IF(AND(H669&lt;&gt;"",I669&lt;&gt;"",J669&lt;&gt;"",L669&lt;&gt;"",N669&lt;&gt;"",O669&lt;&gt;"",P669="APPROVED PUBLIC",S669="Sí"),6,IF(AND(H669&lt;&gt;"",I669&lt;&gt;"",J669&lt;&gt;"",L669&lt;&gt;"",N669&lt;&gt;"",O669&lt;&gt;"",P669&lt;&gt;"",S669="Sí"),5,IF(AND(H669&lt;&gt;"",I669&lt;&gt;"",P669&lt;&gt;"",S669&lt;&gt;"No"),4,IF(AND(H669&lt;&gt;"",I669&lt;&gt;""),3,IF(F669&lt;&gt;"",2,1)))))</x:f>
        <x:v>T5</x:v>
      </x:c>
      <x:c r="U669" s="24" t="str">
        <x:v>VRM Games</x:v>
      </x:c>
      <x:c r="V669" s="24" t="str">
        <x:v>No se detectó proveedor externo en la ruta; confirmar autoría por lote antes de release público.</x:v>
      </x:c>
    </x:row>
    <x:row r="670" ht="34" customHeight="1">
      <x:c r="A670" s="24" t="str">
        <x:v>TRC-00666</x:v>
      </x:c>
      <x:c r="B670" s="24" t="str">
        <x:v>3e2b5447bd894ebf95f81a95a8dd2ef4</x:v>
      </x:c>
      <x:c r="C670" s="24" t="str">
        <x:v>PlacementInstanceIdTests.cs</x:v>
      </x:c>
      <x:c r="D670" s="24" t="str">
        <x:v>Code</x:v>
      </x:c>
      <x:c r="E670" s="24" t="str">
        <x:v>03_Assets_Internos</x:v>
      </x:c>
      <x:c r="F670" s="24" t="str">
        <x:v>INT-0666</x:v>
      </x:c>
      <x:c r="G670" s="24" t="str">
        <x:v>VRM Games / Blas Luis Rocha González</x:v>
      </x:c>
      <x:c r="H670" s="24" t="str">
        <x:v>Internal project IP / authorship claim</x:v>
      </x:c>
      <x:c r="I670" s="24" t="str">
        <x:v>Source package + repository path + hash</x:v>
      </x:c>
      <x:c r="J670" s="24" t="str">
        <x:v>5c3411316b292fe412559968f2353b614d88daa507559b2351276f9b725edfce</x:v>
      </x:c>
      <x:c r="K670" s="24" t="str">
        <x:v>Assets/_Project/Tests/EditMode/Placement/PlacementInstanceIdTests.cs</x:v>
      </x:c>
      <x:c r="L670" s="24" t="str">
        <x:v>CR-003</x:v>
      </x:c>
      <x:c r="M670" s="24" t="str"/>
      <x:c r="N670" s="24" t="str">
        <x:v>RES-001;RES-014</x:v>
      </x:c>
      <x:c r="O670" s="24" t="str">
        <x:v>Internal development; public candidate requires gate</x:v>
      </x:c>
      <x:c r="P670" s="24" t="str">
        <x:v>CONDITIONALLY APPROVED</x:v>
      </x:c>
      <x:c r="Q670" s="24" t="str">
        <x:v>Low</x:v>
      </x:c>
      <x:c r="R670" s="24" t="str"/>
      <x:c r="S670" s="24" t="str">
        <x:v>Sí</x:v>
      </x:c>
      <x:c r="T670" s="24" t="str">
        <x:f>"T"&amp;IF(AND(H670&lt;&gt;"",I670&lt;&gt;"",J670&lt;&gt;"",L670&lt;&gt;"",N670&lt;&gt;"",O670&lt;&gt;"",P670="APPROVED PUBLIC",S670="Sí"),6,IF(AND(H670&lt;&gt;"",I670&lt;&gt;"",J670&lt;&gt;"",L670&lt;&gt;"",N670&lt;&gt;"",O670&lt;&gt;"",P670&lt;&gt;"",S670="Sí"),5,IF(AND(H670&lt;&gt;"",I670&lt;&gt;"",P670&lt;&gt;"",S670&lt;&gt;"No"),4,IF(AND(H670&lt;&gt;"",I670&lt;&gt;""),3,IF(F670&lt;&gt;"",2,1)))))</x:f>
        <x:v>T5</x:v>
      </x:c>
      <x:c r="U670" s="24" t="str">
        <x:v>VRM Games</x:v>
      </x:c>
      <x:c r="V670" s="24" t="str">
        <x:v>No se detectó proveedor externo en la ruta; confirmar autoría por lote antes de release público.</x:v>
      </x:c>
    </x:row>
    <x:row r="671" ht="34" customHeight="1">
      <x:c r="A671" s="24" t="str">
        <x:v>TRC-00667</x:v>
      </x:c>
      <x:c r="B671" s="24" t="str">
        <x:v>aca2fbc80d4e44ab9d42c77954f856da</x:v>
      </x:c>
      <x:c r="C671" s="24" t="str">
        <x:v>PlacementOccupancyRegistryTests.cs</x:v>
      </x:c>
      <x:c r="D671" s="24" t="str">
        <x:v>Code</x:v>
      </x:c>
      <x:c r="E671" s="24" t="str">
        <x:v>03_Assets_Internos</x:v>
      </x:c>
      <x:c r="F671" s="24" t="str">
        <x:v>INT-0667</x:v>
      </x:c>
      <x:c r="G671" s="24" t="str">
        <x:v>VRM Games / Blas Luis Rocha González</x:v>
      </x:c>
      <x:c r="H671" s="24" t="str">
        <x:v>Internal project IP / authorship claim</x:v>
      </x:c>
      <x:c r="I671" s="24" t="str">
        <x:v>Source package + repository path + hash</x:v>
      </x:c>
      <x:c r="J671" s="24" t="str">
        <x:v>a79a8d772469fc990ce30f2f94499a33ba6ea266de7d5982c8c19e00f8f8319b</x:v>
      </x:c>
      <x:c r="K671" s="24" t="str">
        <x:v>Assets/_Project/Tests/EditMode/Placement/PlacementOccupancyRegistryTests.cs</x:v>
      </x:c>
      <x:c r="L671" s="24" t="str">
        <x:v>CR-003</x:v>
      </x:c>
      <x:c r="M671" s="24" t="str"/>
      <x:c r="N671" s="24" t="str">
        <x:v>RES-001;RES-014</x:v>
      </x:c>
      <x:c r="O671" s="24" t="str">
        <x:v>Internal development; public candidate requires gate</x:v>
      </x:c>
      <x:c r="P671" s="24" t="str">
        <x:v>CONDITIONALLY APPROVED</x:v>
      </x:c>
      <x:c r="Q671" s="24" t="str">
        <x:v>Low</x:v>
      </x:c>
      <x:c r="R671" s="24" t="str"/>
      <x:c r="S671" s="24" t="str">
        <x:v>Sí</x:v>
      </x:c>
      <x:c r="T671" s="24" t="str">
        <x:f>"T"&amp;IF(AND(H671&lt;&gt;"",I671&lt;&gt;"",J671&lt;&gt;"",L671&lt;&gt;"",N671&lt;&gt;"",O671&lt;&gt;"",P671="APPROVED PUBLIC",S671="Sí"),6,IF(AND(H671&lt;&gt;"",I671&lt;&gt;"",J671&lt;&gt;"",L671&lt;&gt;"",N671&lt;&gt;"",O671&lt;&gt;"",P671&lt;&gt;"",S671="Sí"),5,IF(AND(H671&lt;&gt;"",I671&lt;&gt;"",P671&lt;&gt;"",S671&lt;&gt;"No"),4,IF(AND(H671&lt;&gt;"",I671&lt;&gt;""),3,IF(F671&lt;&gt;"",2,1)))))</x:f>
        <x:v>T5</x:v>
      </x:c>
      <x:c r="U671" s="24" t="str">
        <x:v>VRM Games</x:v>
      </x:c>
      <x:c r="V671" s="24" t="str">
        <x:v>No se detectó proveedor externo en la ruta; confirmar autoría por lote antes de release público.</x:v>
      </x:c>
    </x:row>
    <x:row r="672" ht="34" customHeight="1">
      <x:c r="A672" s="24" t="str">
        <x:v>TRC-00668</x:v>
      </x:c>
      <x:c r="B672" s="24" t="str">
        <x:v>80df9a00035b4a09bc77e6939102954e</x:v>
      </x:c>
      <x:c r="C672" s="24" t="str">
        <x:v>PlacementOccupancySnapshotTests.cs</x:v>
      </x:c>
      <x:c r="D672" s="24" t="str">
        <x:v>Code</x:v>
      </x:c>
      <x:c r="E672" s="24" t="str">
        <x:v>03_Assets_Internos</x:v>
      </x:c>
      <x:c r="F672" s="24" t="str">
        <x:v>INT-0668</x:v>
      </x:c>
      <x:c r="G672" s="24" t="str">
        <x:v>VRM Games / Blas Luis Rocha González</x:v>
      </x:c>
      <x:c r="H672" s="24" t="str">
        <x:v>Internal project IP / authorship claim</x:v>
      </x:c>
      <x:c r="I672" s="24" t="str">
        <x:v>Source package + repository path + hash</x:v>
      </x:c>
      <x:c r="J672" s="24" t="str">
        <x:v>a8bd5c1e8d434837b9cb191af35c6eff0b83b2b75208aa65d495b72c38854eb7</x:v>
      </x:c>
      <x:c r="K672" s="24" t="str">
        <x:v>Assets/_Project/Tests/EditMode/Placement/PlacementOccupancySnapshotTests.cs</x:v>
      </x:c>
      <x:c r="L672" s="24" t="str">
        <x:v>CR-003</x:v>
      </x:c>
      <x:c r="M672" s="24" t="str"/>
      <x:c r="N672" s="24" t="str">
        <x:v>RES-001;RES-014</x:v>
      </x:c>
      <x:c r="O672" s="24" t="str">
        <x:v>Internal development; public candidate requires gate</x:v>
      </x:c>
      <x:c r="P672" s="24" t="str">
        <x:v>CONDITIONALLY APPROVED</x:v>
      </x:c>
      <x:c r="Q672" s="24" t="str">
        <x:v>Low</x:v>
      </x:c>
      <x:c r="R672" s="24" t="str"/>
      <x:c r="S672" s="24" t="str">
        <x:v>Sí</x:v>
      </x:c>
      <x:c r="T672" s="24" t="str">
        <x:f>"T"&amp;IF(AND(H672&lt;&gt;"",I672&lt;&gt;"",J672&lt;&gt;"",L672&lt;&gt;"",N672&lt;&gt;"",O672&lt;&gt;"",P672="APPROVED PUBLIC",S672="Sí"),6,IF(AND(H672&lt;&gt;"",I672&lt;&gt;"",J672&lt;&gt;"",L672&lt;&gt;"",N672&lt;&gt;"",O672&lt;&gt;"",P672&lt;&gt;"",S672="Sí"),5,IF(AND(H672&lt;&gt;"",I672&lt;&gt;"",P672&lt;&gt;"",S672&lt;&gt;"No"),4,IF(AND(H672&lt;&gt;"",I672&lt;&gt;""),3,IF(F672&lt;&gt;"",2,1)))))</x:f>
        <x:v>T5</x:v>
      </x:c>
      <x:c r="U672" s="24" t="str">
        <x:v>VRM Games</x:v>
      </x:c>
      <x:c r="V672" s="24" t="str">
        <x:v>No se detectó proveedor externo en la ruta; confirmar autoría por lote antes de release público.</x:v>
      </x:c>
    </x:row>
    <x:row r="673" ht="34" customHeight="1">
      <x:c r="A673" s="24" t="str">
        <x:v>TRC-00669</x:v>
      </x:c>
      <x:c r="B673" s="24" t="str">
        <x:v>02ac940c89a4462981e94cbc95b4efc7</x:v>
      </x:c>
      <x:c r="C673" s="24" t="str">
        <x:v>PlacementPreviewCalculatorTests.cs</x:v>
      </x:c>
      <x:c r="D673" s="24" t="str">
        <x:v>Code</x:v>
      </x:c>
      <x:c r="E673" s="24" t="str">
        <x:v>03_Assets_Internos</x:v>
      </x:c>
      <x:c r="F673" s="24" t="str">
        <x:v>INT-0669</x:v>
      </x:c>
      <x:c r="G673" s="24" t="str">
        <x:v>VRM Games / Blas Luis Rocha González</x:v>
      </x:c>
      <x:c r="H673" s="24" t="str">
        <x:v>Internal project IP / authorship claim</x:v>
      </x:c>
      <x:c r="I673" s="24" t="str">
        <x:v>Source package + repository path + hash</x:v>
      </x:c>
      <x:c r="J673" s="24" t="str">
        <x:v>7668ac725021c8f20e880d6db7a243cb3a30ad50fa1d0a197c15fe3ed37f487b</x:v>
      </x:c>
      <x:c r="K673" s="24" t="str">
        <x:v>Assets/_Project/Tests/EditMode/Placement/PlacementPreviewCalculatorTests.cs</x:v>
      </x:c>
      <x:c r="L673" s="24" t="str">
        <x:v>CR-003</x:v>
      </x:c>
      <x:c r="M673" s="24" t="str"/>
      <x:c r="N673" s="24" t="str">
        <x:v>RES-001;RES-014</x:v>
      </x:c>
      <x:c r="O673" s="24" t="str">
        <x:v>Internal development; public candidate requires gate</x:v>
      </x:c>
      <x:c r="P673" s="24" t="str">
        <x:v>CONDITIONALLY APPROVED</x:v>
      </x:c>
      <x:c r="Q673" s="24" t="str">
        <x:v>Low</x:v>
      </x:c>
      <x:c r="R673" s="24" t="str"/>
      <x:c r="S673" s="24" t="str">
        <x:v>Sí</x:v>
      </x:c>
      <x:c r="T673" s="24" t="str">
        <x:f>"T"&amp;IF(AND(H673&lt;&gt;"",I673&lt;&gt;"",J673&lt;&gt;"",L673&lt;&gt;"",N673&lt;&gt;"",O673&lt;&gt;"",P673="APPROVED PUBLIC",S673="Sí"),6,IF(AND(H673&lt;&gt;"",I673&lt;&gt;"",J673&lt;&gt;"",L673&lt;&gt;"",N673&lt;&gt;"",O673&lt;&gt;"",P673&lt;&gt;"",S673="Sí"),5,IF(AND(H673&lt;&gt;"",I673&lt;&gt;"",P673&lt;&gt;"",S673&lt;&gt;"No"),4,IF(AND(H673&lt;&gt;"",I673&lt;&gt;""),3,IF(F673&lt;&gt;"",2,1)))))</x:f>
        <x:v>T5</x:v>
      </x:c>
      <x:c r="U673" s="24" t="str">
        <x:v>VRM Games</x:v>
      </x:c>
      <x:c r="V673" s="24" t="str">
        <x:v>No se detectó proveedor externo en la ruta; confirmar autoría por lote antes de release público.</x:v>
      </x:c>
    </x:row>
    <x:row r="674" ht="34" customHeight="1">
      <x:c r="A674" s="24" t="str">
        <x:v>TRC-00670</x:v>
      </x:c>
      <x:c r="B674" s="24" t="str">
        <x:v>2469549c5e2a4074a80ffa58afa152e4</x:v>
      </x:c>
      <x:c r="C674" s="24" t="str">
        <x:v>TechnicalPlaceableDefinitionTests.cs</x:v>
      </x:c>
      <x:c r="D674" s="24" t="str">
        <x:v>Code</x:v>
      </x:c>
      <x:c r="E674" s="24" t="str">
        <x:v>03_Assets_Internos</x:v>
      </x:c>
      <x:c r="F674" s="24" t="str">
        <x:v>INT-0670</x:v>
      </x:c>
      <x:c r="G674" s="24" t="str">
        <x:v>VRM Games / Blas Luis Rocha González</x:v>
      </x:c>
      <x:c r="H674" s="24" t="str">
        <x:v>Internal project IP / authorship claim</x:v>
      </x:c>
      <x:c r="I674" s="24" t="str">
        <x:v>Source package + repository path + hash</x:v>
      </x:c>
      <x:c r="J674" s="24" t="str">
        <x:v>4052aa4349bb1a540eed3bd01276e91a9e68ae9dc57988024b0f0f0615ca3062</x:v>
      </x:c>
      <x:c r="K674" s="24" t="str">
        <x:v>Assets/_Project/Tests/EditMode/Placement/TechnicalPlaceableDefinitionTests.cs</x:v>
      </x:c>
      <x:c r="L674" s="24" t="str">
        <x:v>CR-003</x:v>
      </x:c>
      <x:c r="M674" s="24" t="str"/>
      <x:c r="N674" s="24" t="str">
        <x:v>RES-001;RES-014</x:v>
      </x:c>
      <x:c r="O674" s="24" t="str">
        <x:v>Internal development; public candidate requires gate</x:v>
      </x:c>
      <x:c r="P674" s="24" t="str">
        <x:v>CONDITIONALLY APPROVED</x:v>
      </x:c>
      <x:c r="Q674" s="24" t="str">
        <x:v>Low</x:v>
      </x:c>
      <x:c r="R674" s="24" t="str"/>
      <x:c r="S674" s="24" t="str">
        <x:v>Sí</x:v>
      </x:c>
      <x:c r="T674" s="24" t="str">
        <x:f>"T"&amp;IF(AND(H674&lt;&gt;"",I674&lt;&gt;"",J674&lt;&gt;"",L674&lt;&gt;"",N674&lt;&gt;"",O674&lt;&gt;"",P674="APPROVED PUBLIC",S674="Sí"),6,IF(AND(H674&lt;&gt;"",I674&lt;&gt;"",J674&lt;&gt;"",L674&lt;&gt;"",N674&lt;&gt;"",O674&lt;&gt;"",P674&lt;&gt;"",S674="Sí"),5,IF(AND(H674&lt;&gt;"",I674&lt;&gt;"",P674&lt;&gt;"",S674&lt;&gt;"No"),4,IF(AND(H674&lt;&gt;"",I674&lt;&gt;""),3,IF(F674&lt;&gt;"",2,1)))))</x:f>
        <x:v>T5</x:v>
      </x:c>
      <x:c r="U674" s="24" t="str">
        <x:v>VRM Games</x:v>
      </x:c>
      <x:c r="V674" s="24" t="str">
        <x:v>No se detectó proveedor externo en la ruta; confirmar autoría por lote antes de release público.</x:v>
      </x:c>
    </x:row>
    <x:row r="675" ht="34" customHeight="1">
      <x:c r="A675" s="24" t="str">
        <x:v>TRC-00671</x:v>
      </x:c>
      <x:c r="B675" s="24" t="str">
        <x:v>98bda2adb4f046f8b5616c8d4a6ce17a</x:v>
      </x:c>
      <x:c r="C675" s="24" t="str">
        <x:v>PlanarMovementCalculatorTests.cs</x:v>
      </x:c>
      <x:c r="D675" s="24" t="str">
        <x:v>Code</x:v>
      </x:c>
      <x:c r="E675" s="24" t="str">
        <x:v>03_Assets_Internos</x:v>
      </x:c>
      <x:c r="F675" s="24" t="str">
        <x:v>INT-0671</x:v>
      </x:c>
      <x:c r="G675" s="24" t="str">
        <x:v>VRM Games / Blas Luis Rocha González</x:v>
      </x:c>
      <x:c r="H675" s="24" t="str">
        <x:v>Internal project IP / authorship claim</x:v>
      </x:c>
      <x:c r="I675" s="24" t="str">
        <x:v>Source package + repository path + hash</x:v>
      </x:c>
      <x:c r="J675" s="24" t="str">
        <x:v>4aadfff81161f6d391fffde58e92dd742557f779b563362bc98ef599266ffc0a</x:v>
      </x:c>
      <x:c r="K675" s="24" t="str">
        <x:v>Assets/_Project/Tests/EditMode/PlanarMovementCalculatorTests.cs</x:v>
      </x:c>
      <x:c r="L675" s="24" t="str">
        <x:v>CR-003</x:v>
      </x:c>
      <x:c r="M675" s="24" t="str"/>
      <x:c r="N675" s="24" t="str">
        <x:v>RES-001;RES-014</x:v>
      </x:c>
      <x:c r="O675" s="24" t="str">
        <x:v>Internal development; public candidate requires gate</x:v>
      </x:c>
      <x:c r="P675" s="24" t="str">
        <x:v>CONDITIONALLY APPROVED</x:v>
      </x:c>
      <x:c r="Q675" s="24" t="str">
        <x:v>Low</x:v>
      </x:c>
      <x:c r="R675" s="24" t="str"/>
      <x:c r="S675" s="24" t="str">
        <x:v>Sí</x:v>
      </x:c>
      <x:c r="T675" s="24" t="str">
        <x:f>"T"&amp;IF(AND(H675&lt;&gt;"",I675&lt;&gt;"",J675&lt;&gt;"",L675&lt;&gt;"",N675&lt;&gt;"",O675&lt;&gt;"",P675="APPROVED PUBLIC",S675="Sí"),6,IF(AND(H675&lt;&gt;"",I675&lt;&gt;"",J675&lt;&gt;"",L675&lt;&gt;"",N675&lt;&gt;"",O675&lt;&gt;"",P675&lt;&gt;"",S675="Sí"),5,IF(AND(H675&lt;&gt;"",I675&lt;&gt;"",P675&lt;&gt;"",S675&lt;&gt;"No"),4,IF(AND(H675&lt;&gt;"",I675&lt;&gt;""),3,IF(F675&lt;&gt;"",2,1)))))</x:f>
        <x:v>T5</x:v>
      </x:c>
      <x:c r="U675" s="24" t="str">
        <x:v>VRM Games</x:v>
      </x:c>
      <x:c r="V675" s="24" t="str">
        <x:v>No se detectó proveedor externo en la ruta; confirmar autoría por lote antes de release público.</x:v>
      </x:c>
    </x:row>
    <x:row r="676" ht="34" customHeight="1">
      <x:c r="A676" s="24" t="str">
        <x:v>TRC-00672</x:v>
      </x:c>
      <x:c r="B676" s="24" t="str">
        <x:v>e94c158952e44f3fd15dba945feeb5eb</x:v>
      </x:c>
      <x:c r="C676" s="24" t="str">
        <x:v>ProductDefinitionRegistryTests.cs</x:v>
      </x:c>
      <x:c r="D676" s="24" t="str">
        <x:v>Code</x:v>
      </x:c>
      <x:c r="E676" s="24" t="str">
        <x:v>03_Assets_Internos</x:v>
      </x:c>
      <x:c r="F676" s="24" t="str">
        <x:v>INT-0672</x:v>
      </x:c>
      <x:c r="G676" s="24" t="str">
        <x:v>VRM Games / Blas Luis Rocha González</x:v>
      </x:c>
      <x:c r="H676" s="24" t="str">
        <x:v>Internal project IP / authorship claim</x:v>
      </x:c>
      <x:c r="I676" s="24" t="str">
        <x:v>Source package + repository path + hash</x:v>
      </x:c>
      <x:c r="J676" s="24" t="str">
        <x:v>4c31127181fe854b28097ef04071bf3556e7b9e2dbe4114ccd73470b0400b220</x:v>
      </x:c>
      <x:c r="K676" s="24" t="str">
        <x:v>Assets/_Project/Tests/EditMode/Products/ProductDefinitionRegistryTests.cs</x:v>
      </x:c>
      <x:c r="L676" s="24" t="str">
        <x:v>CR-003</x:v>
      </x:c>
      <x:c r="M676" s="24" t="str"/>
      <x:c r="N676" s="24" t="str">
        <x:v>RES-001;RES-014</x:v>
      </x:c>
      <x:c r="O676" s="24" t="str">
        <x:v>Internal development; public candidate requires gate</x:v>
      </x:c>
      <x:c r="P676" s="24" t="str">
        <x:v>CONDITIONALLY APPROVED</x:v>
      </x:c>
      <x:c r="Q676" s="24" t="str">
        <x:v>Low</x:v>
      </x:c>
      <x:c r="R676" s="24" t="str"/>
      <x:c r="S676" s="24" t="str">
        <x:v>Sí</x:v>
      </x:c>
      <x:c r="T676" s="24" t="str">
        <x:f>"T"&amp;IF(AND(H676&lt;&gt;"",I676&lt;&gt;"",J676&lt;&gt;"",L676&lt;&gt;"",N676&lt;&gt;"",O676&lt;&gt;"",P676="APPROVED PUBLIC",S676="Sí"),6,IF(AND(H676&lt;&gt;"",I676&lt;&gt;"",J676&lt;&gt;"",L676&lt;&gt;"",N676&lt;&gt;"",O676&lt;&gt;"",P676&lt;&gt;"",S676="Sí"),5,IF(AND(H676&lt;&gt;"",I676&lt;&gt;"",P676&lt;&gt;"",S676&lt;&gt;"No"),4,IF(AND(H676&lt;&gt;"",I676&lt;&gt;""),3,IF(F676&lt;&gt;"",2,1)))))</x:f>
        <x:v>T5</x:v>
      </x:c>
      <x:c r="U676" s="24" t="str">
        <x:v>VRM Games</x:v>
      </x:c>
      <x:c r="V676" s="24" t="str">
        <x:v>No se detectó proveedor externo en la ruta; confirmar autoría por lote antes de release público.</x:v>
      </x:c>
    </x:row>
    <x:row r="677" ht="34" customHeight="1">
      <x:c r="A677" s="24" t="str">
        <x:v>TRC-00673</x:v>
      </x:c>
      <x:c r="B677" s="24" t="str">
        <x:v>43a495b1ae5c15874f5b5196a02bdbdf</x:v>
      </x:c>
      <x:c r="C677" s="24" t="str">
        <x:v>ProductDefinitionTests.cs</x:v>
      </x:c>
      <x:c r="D677" s="24" t="str">
        <x:v>Code</x:v>
      </x:c>
      <x:c r="E677" s="24" t="str">
        <x:v>03_Assets_Internos</x:v>
      </x:c>
      <x:c r="F677" s="24" t="str">
        <x:v>INT-0673</x:v>
      </x:c>
      <x:c r="G677" s="24" t="str">
        <x:v>VRM Games / Blas Luis Rocha González</x:v>
      </x:c>
      <x:c r="H677" s="24" t="str">
        <x:v>Internal project IP / authorship claim</x:v>
      </x:c>
      <x:c r="I677" s="24" t="str">
        <x:v>Source package + repository path + hash</x:v>
      </x:c>
      <x:c r="J677" s="24" t="str">
        <x:v>707158519229628979a118fe993ef4fc1b0a095c7a3885fff418a9b645da5557</x:v>
      </x:c>
      <x:c r="K677" s="24" t="str">
        <x:v>Assets/_Project/Tests/EditMode/Products/ProductDefinitionTests.cs</x:v>
      </x:c>
      <x:c r="L677" s="24" t="str">
        <x:v>CR-003</x:v>
      </x:c>
      <x:c r="M677" s="24" t="str"/>
      <x:c r="N677" s="24" t="str">
        <x:v>RES-001;RES-014</x:v>
      </x:c>
      <x:c r="O677" s="24" t="str">
        <x:v>Internal development; public candidate requires gate</x:v>
      </x:c>
      <x:c r="P677" s="24" t="str">
        <x:v>CONDITIONALLY APPROVED</x:v>
      </x:c>
      <x:c r="Q677" s="24" t="str">
        <x:v>Low</x:v>
      </x:c>
      <x:c r="R677" s="24" t="str"/>
      <x:c r="S677" s="24" t="str">
        <x:v>Sí</x:v>
      </x:c>
      <x:c r="T677" s="24" t="str">
        <x:f>"T"&amp;IF(AND(H677&lt;&gt;"",I677&lt;&gt;"",J677&lt;&gt;"",L677&lt;&gt;"",N677&lt;&gt;"",O677&lt;&gt;"",P677="APPROVED PUBLIC",S677="Sí"),6,IF(AND(H677&lt;&gt;"",I677&lt;&gt;"",J677&lt;&gt;"",L677&lt;&gt;"",N677&lt;&gt;"",O677&lt;&gt;"",P677&lt;&gt;"",S677="Sí"),5,IF(AND(H677&lt;&gt;"",I677&lt;&gt;"",P677&lt;&gt;"",S677&lt;&gt;"No"),4,IF(AND(H677&lt;&gt;"",I677&lt;&gt;""),3,IF(F677&lt;&gt;"",2,1)))))</x:f>
        <x:v>T5</x:v>
      </x:c>
      <x:c r="U677" s="24" t="str">
        <x:v>VRM Games</x:v>
      </x:c>
      <x:c r="V677" s="24" t="str">
        <x:v>No se detectó proveedor externo en la ruta; confirmar autoría por lote antes de release público.</x:v>
      </x:c>
    </x:row>
    <x:row r="678" ht="34" customHeight="1">
      <x:c r="A678" s="24" t="str">
        <x:v>TRC-00674</x:v>
      </x:c>
      <x:c r="B678" s="24" t="str">
        <x:v>883d15f0e1303d871ef79b5732de8c34</x:v>
      </x:c>
      <x:c r="C678" s="24" t="str">
        <x:v>ProductIdentifierTests.cs</x:v>
      </x:c>
      <x:c r="D678" s="24" t="str">
        <x:v>Code</x:v>
      </x:c>
      <x:c r="E678" s="24" t="str">
        <x:v>03_Assets_Internos</x:v>
      </x:c>
      <x:c r="F678" s="24" t="str">
        <x:v>INT-0674</x:v>
      </x:c>
      <x:c r="G678" s="24" t="str">
        <x:v>VRM Games / Blas Luis Rocha González</x:v>
      </x:c>
      <x:c r="H678" s="24" t="str">
        <x:v>Internal project IP / authorship claim</x:v>
      </x:c>
      <x:c r="I678" s="24" t="str">
        <x:v>Source package + repository path + hash</x:v>
      </x:c>
      <x:c r="J678" s="24" t="str">
        <x:v>7ee6de3628ab49988177711ced14c94adc3ff981f4c782118351fe0a4c6a1069</x:v>
      </x:c>
      <x:c r="K678" s="24" t="str">
        <x:v>Assets/_Project/Tests/EditMode/Products/ProductIdentifierTests.cs</x:v>
      </x:c>
      <x:c r="L678" s="24" t="str">
        <x:v>CR-003</x:v>
      </x:c>
      <x:c r="M678" s="24" t="str"/>
      <x:c r="N678" s="24" t="str">
        <x:v>RES-001;RES-014</x:v>
      </x:c>
      <x:c r="O678" s="24" t="str">
        <x:v>Internal development; public candidate requires gate</x:v>
      </x:c>
      <x:c r="P678" s="24" t="str">
        <x:v>CONDITIONALLY APPROVED</x:v>
      </x:c>
      <x:c r="Q678" s="24" t="str">
        <x:v>Low</x:v>
      </x:c>
      <x:c r="R678" s="24" t="str"/>
      <x:c r="S678" s="24" t="str">
        <x:v>Sí</x:v>
      </x:c>
      <x:c r="T678" s="24" t="str">
        <x:f>"T"&amp;IF(AND(H678&lt;&gt;"",I678&lt;&gt;"",J678&lt;&gt;"",L678&lt;&gt;"",N678&lt;&gt;"",O678&lt;&gt;"",P678="APPROVED PUBLIC",S678="Sí"),6,IF(AND(H678&lt;&gt;"",I678&lt;&gt;"",J678&lt;&gt;"",L678&lt;&gt;"",N678&lt;&gt;"",O678&lt;&gt;"",P678&lt;&gt;"",S678="Sí"),5,IF(AND(H678&lt;&gt;"",I678&lt;&gt;"",P678&lt;&gt;"",S678&lt;&gt;"No"),4,IF(AND(H678&lt;&gt;"",I678&lt;&gt;""),3,IF(F678&lt;&gt;"",2,1)))))</x:f>
        <x:v>T5</x:v>
      </x:c>
      <x:c r="U678" s="24" t="str">
        <x:v>VRM Games</x:v>
      </x:c>
      <x:c r="V678" s="24" t="str">
        <x:v>No se detectó proveedor externo en la ruta; confirmar autoría por lote antes de release público.</x:v>
      </x:c>
    </x:row>
    <x:row r="679" ht="34" customHeight="1">
      <x:c r="A679" s="24" t="str">
        <x:v>TRC-00675</x:v>
      </x:c>
      <x:c r="B679" s="24" t="str">
        <x:v>357e8918fb9a4762bd1892100279c22e</x:v>
      </x:c>
      <x:c r="C679" s="24" t="str">
        <x:v>DeliveryTests.cs</x:v>
      </x:c>
      <x:c r="D679" s="24" t="str">
        <x:v>Code</x:v>
      </x:c>
      <x:c r="E679" s="24" t="str">
        <x:v>03_Assets_Internos</x:v>
      </x:c>
      <x:c r="F679" s="24" t="str">
        <x:v>INT-0675</x:v>
      </x:c>
      <x:c r="G679" s="24" t="str">
        <x:v>VRM Games / Blas Luis Rocha González</x:v>
      </x:c>
      <x:c r="H679" s="24" t="str">
        <x:v>Internal project IP / authorship claim</x:v>
      </x:c>
      <x:c r="I679" s="24" t="str">
        <x:v>Source package + repository path + hash</x:v>
      </x:c>
      <x:c r="J679" s="24" t="str">
        <x:v>a7b9886bb03b0bd653d48b80500d2fcd8cec539cfdd876b783e5e1939c663c98</x:v>
      </x:c>
      <x:c r="K679" s="24" t="str">
        <x:v>Assets/_Project/Tests/EditMode/Receiving/DeliveryTests.cs</x:v>
      </x:c>
      <x:c r="L679" s="24" t="str">
        <x:v>CR-003</x:v>
      </x:c>
      <x:c r="M679" s="24" t="str"/>
      <x:c r="N679" s="24" t="str">
        <x:v>RES-001;RES-014</x:v>
      </x:c>
      <x:c r="O679" s="24" t="str">
        <x:v>Internal development; public candidate requires gate</x:v>
      </x:c>
      <x:c r="P679" s="24" t="str">
        <x:v>CONDITIONALLY APPROVED</x:v>
      </x:c>
      <x:c r="Q679" s="24" t="str">
        <x:v>Low</x:v>
      </x:c>
      <x:c r="R679" s="24" t="str"/>
      <x:c r="S679" s="24" t="str">
        <x:v>Sí</x:v>
      </x:c>
      <x:c r="T679" s="24" t="str">
        <x:f>"T"&amp;IF(AND(H679&lt;&gt;"",I679&lt;&gt;"",J679&lt;&gt;"",L679&lt;&gt;"",N679&lt;&gt;"",O679&lt;&gt;"",P679="APPROVED PUBLIC",S679="Sí"),6,IF(AND(H679&lt;&gt;"",I679&lt;&gt;"",J679&lt;&gt;"",L679&lt;&gt;"",N679&lt;&gt;"",O679&lt;&gt;"",P679&lt;&gt;"",S679="Sí"),5,IF(AND(H679&lt;&gt;"",I679&lt;&gt;"",P679&lt;&gt;"",S679&lt;&gt;"No"),4,IF(AND(H679&lt;&gt;"",I679&lt;&gt;""),3,IF(F679&lt;&gt;"",2,1)))))</x:f>
        <x:v>T5</x:v>
      </x:c>
      <x:c r="U679" s="24" t="str">
        <x:v>VRM Games</x:v>
      </x:c>
      <x:c r="V679" s="24" t="str">
        <x:v>No se detectó proveedor externo en la ruta; confirmar autoría por lote antes de release público.</x:v>
      </x:c>
    </x:row>
    <x:row r="680" ht="34" customHeight="1">
      <x:c r="A680" s="24" t="str">
        <x:v>TRC-00676</x:v>
      </x:c>
      <x:c r="B680" s="24" t="str">
        <x:v>2df3e3ddb3f247db9ccbfa39eeaf2a07</x:v>
      </x:c>
      <x:c r="C680" s="24" t="str">
        <x:v>ReceivingServiceTests.cs</x:v>
      </x:c>
      <x:c r="D680" s="24" t="str">
        <x:v>Code</x:v>
      </x:c>
      <x:c r="E680" s="24" t="str">
        <x:v>03_Assets_Internos</x:v>
      </x:c>
      <x:c r="F680" s="24" t="str">
        <x:v>INT-0676</x:v>
      </x:c>
      <x:c r="G680" s="24" t="str">
        <x:v>VRM Games / Blas Luis Rocha González</x:v>
      </x:c>
      <x:c r="H680" s="24" t="str">
        <x:v>Internal project IP / authorship claim</x:v>
      </x:c>
      <x:c r="I680" s="24" t="str">
        <x:v>Source package + repository path + hash</x:v>
      </x:c>
      <x:c r="J680" s="24" t="str">
        <x:v>c1eaea98fc79c7128dc6d7c5bf89f8c10663a30c5d7eb399e096eae47a7aefa8</x:v>
      </x:c>
      <x:c r="K680" s="24" t="str">
        <x:v>Assets/_Project/Tests/EditMode/Receiving/ReceivingServiceTests.cs</x:v>
      </x:c>
      <x:c r="L680" s="24" t="str">
        <x:v>CR-003</x:v>
      </x:c>
      <x:c r="M680" s="24" t="str"/>
      <x:c r="N680" s="24" t="str">
        <x:v>RES-001;RES-014</x:v>
      </x:c>
      <x:c r="O680" s="24" t="str">
        <x:v>Internal development; public candidate requires gate</x:v>
      </x:c>
      <x:c r="P680" s="24" t="str">
        <x:v>CONDITIONALLY APPROVED</x:v>
      </x:c>
      <x:c r="Q680" s="24" t="str">
        <x:v>Low</x:v>
      </x:c>
      <x:c r="R680" s="24" t="str"/>
      <x:c r="S680" s="24" t="str">
        <x:v>Sí</x:v>
      </x:c>
      <x:c r="T680" s="24" t="str">
        <x:f>"T"&amp;IF(AND(H680&lt;&gt;"",I680&lt;&gt;"",J680&lt;&gt;"",L680&lt;&gt;"",N680&lt;&gt;"",O680&lt;&gt;"",P680="APPROVED PUBLIC",S680="Sí"),6,IF(AND(H680&lt;&gt;"",I680&lt;&gt;"",J680&lt;&gt;"",L680&lt;&gt;"",N680&lt;&gt;"",O680&lt;&gt;"",P680&lt;&gt;"",S680="Sí"),5,IF(AND(H680&lt;&gt;"",I680&lt;&gt;"",P680&lt;&gt;"",S680&lt;&gt;"No"),4,IF(AND(H680&lt;&gt;"",I680&lt;&gt;""),3,IF(F680&lt;&gt;"",2,1)))))</x:f>
        <x:v>T5</x:v>
      </x:c>
      <x:c r="U680" s="24" t="str">
        <x:v>VRM Games</x:v>
      </x:c>
      <x:c r="V680" s="24" t="str">
        <x:v>No se detectó proveedor externo en la ruta; confirmar autoría por lote antes de release público.</x:v>
      </x:c>
    </x:row>
    <x:row r="681" ht="34" customHeight="1">
      <x:c r="A681" s="24" t="str">
        <x:v>TRC-00677</x:v>
      </x:c>
      <x:c r="B681" s="24" t="str">
        <x:v>3e405c9a157ba9248b22d57b93f04419</x:v>
      </x:c>
      <x:c r="C681" s="24" t="str">
        <x:v>SceneConfigurationSmokeTests.cs</x:v>
      </x:c>
      <x:c r="D681" s="24" t="str">
        <x:v>Code</x:v>
      </x:c>
      <x:c r="E681" s="24" t="str">
        <x:v>03_Assets_Internos</x:v>
      </x:c>
      <x:c r="F681" s="24" t="str">
        <x:v>INT-0677</x:v>
      </x:c>
      <x:c r="G681" s="24" t="str">
        <x:v>VRM Games / Blas Luis Rocha González</x:v>
      </x:c>
      <x:c r="H681" s="24" t="str">
        <x:v>Internal project IP / authorship claim</x:v>
      </x:c>
      <x:c r="I681" s="24" t="str">
        <x:v>Source package + repository path + hash</x:v>
      </x:c>
      <x:c r="J681" s="24" t="str">
        <x:v>f807448a79497e839267cb9aeaceb65dacc518aced71007604de0fbf4e25bb58</x:v>
      </x:c>
      <x:c r="K681" s="24" t="str">
        <x:v>Assets/_Project/Tests/EditMode/SceneConfigurationSmokeTests.cs</x:v>
      </x:c>
      <x:c r="L681" s="24" t="str">
        <x:v>CR-003</x:v>
      </x:c>
      <x:c r="M681" s="24" t="str"/>
      <x:c r="N681" s="24" t="str">
        <x:v>RES-001;RES-014</x:v>
      </x:c>
      <x:c r="O681" s="24" t="str">
        <x:v>Internal development; public candidate requires gate</x:v>
      </x:c>
      <x:c r="P681" s="24" t="str">
        <x:v>CONDITIONALLY APPROVED</x:v>
      </x:c>
      <x:c r="Q681" s="24" t="str">
        <x:v>Low</x:v>
      </x:c>
      <x:c r="R681" s="24" t="str"/>
      <x:c r="S681" s="24" t="str">
        <x:v>Sí</x:v>
      </x:c>
      <x:c r="T681" s="24" t="str">
        <x:f>"T"&amp;IF(AND(H681&lt;&gt;"",I681&lt;&gt;"",J681&lt;&gt;"",L681&lt;&gt;"",N681&lt;&gt;"",O681&lt;&gt;"",P681="APPROVED PUBLIC",S681="Sí"),6,IF(AND(H681&lt;&gt;"",I681&lt;&gt;"",J681&lt;&gt;"",L681&lt;&gt;"",N681&lt;&gt;"",O681&lt;&gt;"",P681&lt;&gt;"",S681="Sí"),5,IF(AND(H681&lt;&gt;"",I681&lt;&gt;"",P681&lt;&gt;"",S681&lt;&gt;"No"),4,IF(AND(H681&lt;&gt;"",I681&lt;&gt;""),3,IF(F681&lt;&gt;"",2,1)))))</x:f>
        <x:v>T5</x:v>
      </x:c>
      <x:c r="U681" s="24" t="str">
        <x:v>VRM Games</x:v>
      </x:c>
      <x:c r="V681" s="24" t="str">
        <x:v>No se detectó proveedor externo en la ruta; confirmar autoría por lote antes de release público.</x:v>
      </x:c>
    </x:row>
    <x:row r="682" ht="34" customHeight="1">
      <x:c r="A682" s="24" t="str">
        <x:v>TRC-00678</x:v>
      </x:c>
      <x:c r="B682" s="24" t="str">
        <x:v>6f219f1d7a77d764eb7940e4988d80a8</x:v>
      </x:c>
      <x:c r="C682" s="24" t="str">
        <x:v>SceneTransitionGateTests.cs</x:v>
      </x:c>
      <x:c r="D682" s="24" t="str">
        <x:v>Code</x:v>
      </x:c>
      <x:c r="E682" s="24" t="str">
        <x:v>03_Assets_Internos</x:v>
      </x:c>
      <x:c r="F682" s="24" t="str">
        <x:v>INT-0678</x:v>
      </x:c>
      <x:c r="G682" s="24" t="str">
        <x:v>VRM Games / Blas Luis Rocha González</x:v>
      </x:c>
      <x:c r="H682" s="24" t="str">
        <x:v>Internal project IP / authorship claim</x:v>
      </x:c>
      <x:c r="I682" s="24" t="str">
        <x:v>Source package + repository path + hash</x:v>
      </x:c>
      <x:c r="J682" s="24" t="str">
        <x:v>1fae24248500e771ef3d9c89e5279d2044d086d3b1ab0caf9fc605662edd993e</x:v>
      </x:c>
      <x:c r="K682" s="24" t="str">
        <x:v>Assets/_Project/Tests/EditMode/SceneTransitionGateTests.cs</x:v>
      </x:c>
      <x:c r="L682" s="24" t="str">
        <x:v>CR-003</x:v>
      </x:c>
      <x:c r="M682" s="24" t="str"/>
      <x:c r="N682" s="24" t="str">
        <x:v>RES-001;RES-014</x:v>
      </x:c>
      <x:c r="O682" s="24" t="str">
        <x:v>Internal development; public candidate requires gate</x:v>
      </x:c>
      <x:c r="P682" s="24" t="str">
        <x:v>CONDITIONALLY APPROVED</x:v>
      </x:c>
      <x:c r="Q682" s="24" t="str">
        <x:v>Low</x:v>
      </x:c>
      <x:c r="R682" s="24" t="str"/>
      <x:c r="S682" s="24" t="str">
        <x:v>Sí</x:v>
      </x:c>
      <x:c r="T682" s="24" t="str">
        <x:f>"T"&amp;IF(AND(H682&lt;&gt;"",I682&lt;&gt;"",J682&lt;&gt;"",L682&lt;&gt;"",N682&lt;&gt;"",O682&lt;&gt;"",P682="APPROVED PUBLIC",S682="Sí"),6,IF(AND(H682&lt;&gt;"",I682&lt;&gt;"",J682&lt;&gt;"",L682&lt;&gt;"",N682&lt;&gt;"",O682&lt;&gt;"",P682&lt;&gt;"",S682="Sí"),5,IF(AND(H682&lt;&gt;"",I682&lt;&gt;"",P682&lt;&gt;"",S682&lt;&gt;"No"),4,IF(AND(H682&lt;&gt;"",I682&lt;&gt;""),3,IF(F682&lt;&gt;"",2,1)))))</x:f>
        <x:v>T5</x:v>
      </x:c>
      <x:c r="U682" s="24" t="str">
        <x:v>VRM Games</x:v>
      </x:c>
      <x:c r="V682" s="24" t="str">
        <x:v>No se detectó proveedor externo en la ruta; confirmar autoría por lote antes de release público.</x:v>
      </x:c>
    </x:row>
    <x:row r="683" ht="34" customHeight="1">
      <x:c r="A683" s="24" t="str">
        <x:v>TRC-00679</x:v>
      </x:c>
      <x:c r="B683" s="24" t="str">
        <x:v>6df2f00a71a043b4954df41ec83a73ac</x:v>
      </x:c>
      <x:c r="C683" s="24" t="str">
        <x:v>ShoppingAuthoringTests.cs</x:v>
      </x:c>
      <x:c r="D683" s="24" t="str">
        <x:v>Code</x:v>
      </x:c>
      <x:c r="E683" s="24" t="str">
        <x:v>03_Assets_Internos</x:v>
      </x:c>
      <x:c r="F683" s="24" t="str">
        <x:v>INT-0679</x:v>
      </x:c>
      <x:c r="G683" s="24" t="str">
        <x:v>VRM Games / Blas Luis Rocha González</x:v>
      </x:c>
      <x:c r="H683" s="24" t="str">
        <x:v>Internal project IP / authorship claim</x:v>
      </x:c>
      <x:c r="I683" s="24" t="str">
        <x:v>Source package + repository path + hash</x:v>
      </x:c>
      <x:c r="J683" s="24" t="str">
        <x:v>01bfab5f58ca0f30d0a574dc63630ed7abf812ced6b612dc16721228cebc19f4</x:v>
      </x:c>
      <x:c r="K683" s="24" t="str">
        <x:v>Assets/_Project/Tests/EditMode/Shopping/ShoppingAuthoringTests.cs</x:v>
      </x:c>
      <x:c r="L683" s="24" t="str">
        <x:v>CR-003</x:v>
      </x:c>
      <x:c r="M683" s="24" t="str"/>
      <x:c r="N683" s="24" t="str">
        <x:v>RES-001;RES-014</x:v>
      </x:c>
      <x:c r="O683" s="24" t="str">
        <x:v>Internal development; public candidate requires gate</x:v>
      </x:c>
      <x:c r="P683" s="24" t="str">
        <x:v>CONDITIONALLY APPROVED</x:v>
      </x:c>
      <x:c r="Q683" s="24" t="str">
        <x:v>Low</x:v>
      </x:c>
      <x:c r="R683" s="24" t="str"/>
      <x:c r="S683" s="24" t="str">
        <x:v>Sí</x:v>
      </x:c>
      <x:c r="T683" s="24" t="str">
        <x:f>"T"&amp;IF(AND(H683&lt;&gt;"",I683&lt;&gt;"",J683&lt;&gt;"",L683&lt;&gt;"",N683&lt;&gt;"",O683&lt;&gt;"",P683="APPROVED PUBLIC",S683="Sí"),6,IF(AND(H683&lt;&gt;"",I683&lt;&gt;"",J683&lt;&gt;"",L683&lt;&gt;"",N683&lt;&gt;"",O683&lt;&gt;"",P683&lt;&gt;"",S683="Sí"),5,IF(AND(H683&lt;&gt;"",I683&lt;&gt;"",P683&lt;&gt;"",S683&lt;&gt;"No"),4,IF(AND(H683&lt;&gt;"",I683&lt;&gt;""),3,IF(F683&lt;&gt;"",2,1)))))</x:f>
        <x:v>T5</x:v>
      </x:c>
      <x:c r="U683" s="24" t="str">
        <x:v>VRM Games</x:v>
      </x:c>
      <x:c r="V683" s="24" t="str">
        <x:v>No se detectó proveedor externo en la ruta; confirmar autoría por lote antes de release público.</x:v>
      </x:c>
    </x:row>
    <x:row r="684" ht="34" customHeight="1">
      <x:c r="A684" s="24" t="str">
        <x:v>TRC-00680</x:v>
      </x:c>
      <x:c r="B684" s="24" t="str">
        <x:v>6564d2052858486782fb89c229cb9ad0</x:v>
      </x:c>
      <x:c r="C684" s="24" t="str">
        <x:v>ShoppingCartAndSessionTests.cs</x:v>
      </x:c>
      <x:c r="D684" s="24" t="str">
        <x:v>Code</x:v>
      </x:c>
      <x:c r="E684" s="24" t="str">
        <x:v>03_Assets_Internos</x:v>
      </x:c>
      <x:c r="F684" s="24" t="str">
        <x:v>INT-0680</x:v>
      </x:c>
      <x:c r="G684" s="24" t="str">
        <x:v>VRM Games / Blas Luis Rocha González</x:v>
      </x:c>
      <x:c r="H684" s="24" t="str">
        <x:v>Internal project IP / authorship claim</x:v>
      </x:c>
      <x:c r="I684" s="24" t="str">
        <x:v>Source package + repository path + hash</x:v>
      </x:c>
      <x:c r="J684" s="24" t="str">
        <x:v>1682411a2c4165de601756047291974bbb6aefc3049b20d8af5b090d59995205</x:v>
      </x:c>
      <x:c r="K684" s="24" t="str">
        <x:v>Assets/_Project/Tests/EditMode/Shopping/ShoppingCartAndSessionTests.cs</x:v>
      </x:c>
      <x:c r="L684" s="24" t="str">
        <x:v>CR-003</x:v>
      </x:c>
      <x:c r="M684" s="24" t="str"/>
      <x:c r="N684" s="24" t="str">
        <x:v>RES-001;RES-014</x:v>
      </x:c>
      <x:c r="O684" s="24" t="str">
        <x:v>Internal development; public candidate requires gate</x:v>
      </x:c>
      <x:c r="P684" s="24" t="str">
        <x:v>CONDITIONALLY APPROVED</x:v>
      </x:c>
      <x:c r="Q684" s="24" t="str">
        <x:v>Low</x:v>
      </x:c>
      <x:c r="R684" s="24" t="str"/>
      <x:c r="S684" s="24" t="str">
        <x:v>Sí</x:v>
      </x:c>
      <x:c r="T684" s="24" t="str">
        <x:f>"T"&amp;IF(AND(H684&lt;&gt;"",I684&lt;&gt;"",J684&lt;&gt;"",L684&lt;&gt;"",N684&lt;&gt;"",O684&lt;&gt;"",P684="APPROVED PUBLIC",S684="Sí"),6,IF(AND(H684&lt;&gt;"",I684&lt;&gt;"",J684&lt;&gt;"",L684&lt;&gt;"",N684&lt;&gt;"",O684&lt;&gt;"",P684&lt;&gt;"",S684="Sí"),5,IF(AND(H684&lt;&gt;"",I684&lt;&gt;"",P684&lt;&gt;"",S684&lt;&gt;"No"),4,IF(AND(H684&lt;&gt;"",I684&lt;&gt;""),3,IF(F684&lt;&gt;"",2,1)))))</x:f>
        <x:v>T5</x:v>
      </x:c>
      <x:c r="U684" s="24" t="str">
        <x:v>VRM Games</x:v>
      </x:c>
      <x:c r="V684" s="24" t="str">
        <x:v>No se detectó proveedor externo en la ruta; confirmar autoría por lote antes de release público.</x:v>
      </x:c>
    </x:row>
    <x:row r="685" ht="34" customHeight="1">
      <x:c r="A685" s="24" t="str">
        <x:v>TRC-00681</x:v>
      </x:c>
      <x:c r="B685" s="24" t="str">
        <x:v>ddbdb72b38884437aaff553b38830aa8</x:v>
      </x:c>
      <x:c r="C685" s="24" t="str">
        <x:v>ShoppingCartServiceAndConsistencyTests.cs</x:v>
      </x:c>
      <x:c r="D685" s="24" t="str">
        <x:v>Code</x:v>
      </x:c>
      <x:c r="E685" s="24" t="str">
        <x:v>03_Assets_Internos</x:v>
      </x:c>
      <x:c r="F685" s="24" t="str">
        <x:v>INT-0681</x:v>
      </x:c>
      <x:c r="G685" s="24" t="str">
        <x:v>VRM Games / Blas Luis Rocha González</x:v>
      </x:c>
      <x:c r="H685" s="24" t="str">
        <x:v>Internal project IP / authorship claim</x:v>
      </x:c>
      <x:c r="I685" s="24" t="str">
        <x:v>Source package + repository path + hash</x:v>
      </x:c>
      <x:c r="J685" s="24" t="str">
        <x:v>e8e4c9bc7ecd162dcda75636a5d2aa71d1bb1e52240e53fae3629fd80acbff69</x:v>
      </x:c>
      <x:c r="K685" s="24" t="str">
        <x:v>Assets/_Project/Tests/EditMode/Shopping/ShoppingCartServiceAndConsistencyTests.cs</x:v>
      </x:c>
      <x:c r="L685" s="24" t="str">
        <x:v>CR-003</x:v>
      </x:c>
      <x:c r="M685" s="24" t="str"/>
      <x:c r="N685" s="24" t="str">
        <x:v>RES-001;RES-014</x:v>
      </x:c>
      <x:c r="O685" s="24" t="str">
        <x:v>Internal development; public candidate requires gate</x:v>
      </x:c>
      <x:c r="P685" s="24" t="str">
        <x:v>CONDITIONALLY APPROVED</x:v>
      </x:c>
      <x:c r="Q685" s="24" t="str">
        <x:v>Low</x:v>
      </x:c>
      <x:c r="R685" s="24" t="str"/>
      <x:c r="S685" s="24" t="str">
        <x:v>Sí</x:v>
      </x:c>
      <x:c r="T685" s="24" t="str">
        <x:f>"T"&amp;IF(AND(H685&lt;&gt;"",I685&lt;&gt;"",J685&lt;&gt;"",L685&lt;&gt;"",N685&lt;&gt;"",O685&lt;&gt;"",P685="APPROVED PUBLIC",S685="Sí"),6,IF(AND(H685&lt;&gt;"",I685&lt;&gt;"",J685&lt;&gt;"",L685&lt;&gt;"",N685&lt;&gt;"",O685&lt;&gt;"",P685&lt;&gt;"",S685="Sí"),5,IF(AND(H685&lt;&gt;"",I685&lt;&gt;"",P685&lt;&gt;"",S685&lt;&gt;"No"),4,IF(AND(H685&lt;&gt;"",I685&lt;&gt;""),3,IF(F685&lt;&gt;"",2,1)))))</x:f>
        <x:v>T5</x:v>
      </x:c>
      <x:c r="U685" s="24" t="str">
        <x:v>VRM Games</x:v>
      </x:c>
      <x:c r="V685" s="24" t="str">
        <x:v>No se detectó proveedor externo en la ruta; confirmar autoría por lote antes de release público.</x:v>
      </x:c>
    </x:row>
    <x:row r="686" ht="34" customHeight="1">
      <x:c r="A686" s="24" t="str">
        <x:v>TRC-00682</x:v>
      </x:c>
      <x:c r="B686" s="24" t="str">
        <x:v>3917f8f49ef34bcaa41b7dc13282a848</x:v>
      </x:c>
      <x:c r="C686" s="24" t="str">
        <x:v>ShoppingFlowTests.cs</x:v>
      </x:c>
      <x:c r="D686" s="24" t="str">
        <x:v>Code</x:v>
      </x:c>
      <x:c r="E686" s="24" t="str">
        <x:v>03_Assets_Internos</x:v>
      </x:c>
      <x:c r="F686" s="24" t="str">
        <x:v>INT-0682</x:v>
      </x:c>
      <x:c r="G686" s="24" t="str">
        <x:v>VRM Games / Blas Luis Rocha González</x:v>
      </x:c>
      <x:c r="H686" s="24" t="str">
        <x:v>Internal project IP / authorship claim</x:v>
      </x:c>
      <x:c r="I686" s="24" t="str">
        <x:v>Source package + repository path + hash</x:v>
      </x:c>
      <x:c r="J686" s="24" t="str">
        <x:v>f9d6bec2e076ad7e196df7174727b2d230a9ca5983d6334b7de0b492d01b3505</x:v>
      </x:c>
      <x:c r="K686" s="24" t="str">
        <x:v>Assets/_Project/Tests/EditMode/Shopping/ShoppingFlowTests.cs</x:v>
      </x:c>
      <x:c r="L686" s="24" t="str">
        <x:v>CR-003</x:v>
      </x:c>
      <x:c r="M686" s="24" t="str"/>
      <x:c r="N686" s="24" t="str">
        <x:v>RES-001;RES-014</x:v>
      </x:c>
      <x:c r="O686" s="24" t="str">
        <x:v>Internal development; public candidate requires gate</x:v>
      </x:c>
      <x:c r="P686" s="24" t="str">
        <x:v>CONDITIONALLY APPROVED</x:v>
      </x:c>
      <x:c r="Q686" s="24" t="str">
        <x:v>Low</x:v>
      </x:c>
      <x:c r="R686" s="24" t="str"/>
      <x:c r="S686" s="24" t="str">
        <x:v>Sí</x:v>
      </x:c>
      <x:c r="T686" s="24" t="str">
        <x:f>"T"&amp;IF(AND(H686&lt;&gt;"",I686&lt;&gt;"",J686&lt;&gt;"",L686&lt;&gt;"",N686&lt;&gt;"",O686&lt;&gt;"",P686="APPROVED PUBLIC",S686="Sí"),6,IF(AND(H686&lt;&gt;"",I686&lt;&gt;"",J686&lt;&gt;"",L686&lt;&gt;"",N686&lt;&gt;"",O686&lt;&gt;"",P686&lt;&gt;"",S686="Sí"),5,IF(AND(H686&lt;&gt;"",I686&lt;&gt;"",P686&lt;&gt;"",S686&lt;&gt;"No"),4,IF(AND(H686&lt;&gt;"",I686&lt;&gt;""),3,IF(F686&lt;&gt;"",2,1)))))</x:f>
        <x:v>T5</x:v>
      </x:c>
      <x:c r="U686" s="24" t="str">
        <x:v>VRM Games</x:v>
      </x:c>
      <x:c r="V686" s="24" t="str">
        <x:v>No se detectó proveedor externo en la ruta; confirmar autoría por lote antes de release público.</x:v>
      </x:c>
    </x:row>
    <x:row r="687" ht="34" customHeight="1">
      <x:c r="A687" s="24" t="str">
        <x:v>TRC-00683</x:v>
      </x:c>
      <x:c r="B687" s="24" t="str">
        <x:v>9ee25e8e5027467fba3cd5bc79eae050</x:v>
      </x:c>
      <x:c r="C687" s="24" t="str">
        <x:v>ShoppingReservationDomainTests.cs</x:v>
      </x:c>
      <x:c r="D687" s="24" t="str">
        <x:v>Code</x:v>
      </x:c>
      <x:c r="E687" s="24" t="str">
        <x:v>03_Assets_Internos</x:v>
      </x:c>
      <x:c r="F687" s="24" t="str">
        <x:v>INT-0683</x:v>
      </x:c>
      <x:c r="G687" s="24" t="str">
        <x:v>VRM Games / Blas Luis Rocha González</x:v>
      </x:c>
      <x:c r="H687" s="24" t="str">
        <x:v>Internal project IP / authorship claim</x:v>
      </x:c>
      <x:c r="I687" s="24" t="str">
        <x:v>Source package + repository path + hash</x:v>
      </x:c>
      <x:c r="J687" s="24" t="str">
        <x:v>e83bd6ef45cd099d3cda44778f8a5d952af3e8a59dad7ade33c2fb4b8c83780b</x:v>
      </x:c>
      <x:c r="K687" s="24" t="str">
        <x:v>Assets/_Project/Tests/EditMode/Shopping/ShoppingReservationDomainTests.cs</x:v>
      </x:c>
      <x:c r="L687" s="24" t="str">
        <x:v>CR-003</x:v>
      </x:c>
      <x:c r="M687" s="24" t="str"/>
      <x:c r="N687" s="24" t="str">
        <x:v>RES-001;RES-014</x:v>
      </x:c>
      <x:c r="O687" s="24" t="str">
        <x:v>Internal development; public candidate requires gate</x:v>
      </x:c>
      <x:c r="P687" s="24" t="str">
        <x:v>CONDITIONALLY APPROVED</x:v>
      </x:c>
      <x:c r="Q687" s="24" t="str">
        <x:v>Low</x:v>
      </x:c>
      <x:c r="R687" s="24" t="str"/>
      <x:c r="S687" s="24" t="str">
        <x:v>Sí</x:v>
      </x:c>
      <x:c r="T687" s="24" t="str">
        <x:f>"T"&amp;IF(AND(H687&lt;&gt;"",I687&lt;&gt;"",J687&lt;&gt;"",L687&lt;&gt;"",N687&lt;&gt;"",O687&lt;&gt;"",P687="APPROVED PUBLIC",S687="Sí"),6,IF(AND(H687&lt;&gt;"",I687&lt;&gt;"",J687&lt;&gt;"",L687&lt;&gt;"",N687&lt;&gt;"",O687&lt;&gt;"",P687&lt;&gt;"",S687="Sí"),5,IF(AND(H687&lt;&gt;"",I687&lt;&gt;"",P687&lt;&gt;"",S687&lt;&gt;"No"),4,IF(AND(H687&lt;&gt;"",I687&lt;&gt;""),3,IF(F687&lt;&gt;"",2,1)))))</x:f>
        <x:v>T5</x:v>
      </x:c>
      <x:c r="U687" s="24" t="str">
        <x:v>VRM Games</x:v>
      </x:c>
      <x:c r="V687" s="24" t="str">
        <x:v>No se detectó proveedor externo en la ruta; confirmar autoría por lote antes de release público.</x:v>
      </x:c>
    </x:row>
    <x:row r="688" ht="34" customHeight="1">
      <x:c r="A688" s="24" t="str">
        <x:v>TRC-00684</x:v>
      </x:c>
      <x:c r="B688" s="24" t="str">
        <x:v>0fb27ba443c64bb6ad25eda2a8c038ad</x:v>
      </x:c>
      <x:c r="C688" s="24" t="str">
        <x:v>ShoppingReservationServiceTests.cs</x:v>
      </x:c>
      <x:c r="D688" s="24" t="str">
        <x:v>Code</x:v>
      </x:c>
      <x:c r="E688" s="24" t="str">
        <x:v>03_Assets_Internos</x:v>
      </x:c>
      <x:c r="F688" s="24" t="str">
        <x:v>INT-0684</x:v>
      </x:c>
      <x:c r="G688" s="24" t="str">
        <x:v>VRM Games / Blas Luis Rocha González</x:v>
      </x:c>
      <x:c r="H688" s="24" t="str">
        <x:v>Internal project IP / authorship claim</x:v>
      </x:c>
      <x:c r="I688" s="24" t="str">
        <x:v>Source package + repository path + hash</x:v>
      </x:c>
      <x:c r="J688" s="24" t="str">
        <x:v>ada696c4844199d2ea97601c6dac38eb99512daa868fca7aa78410a4faf640a6</x:v>
      </x:c>
      <x:c r="K688" s="24" t="str">
        <x:v>Assets/_Project/Tests/EditMode/Shopping/ShoppingReservationServiceTests.cs</x:v>
      </x:c>
      <x:c r="L688" s="24" t="str">
        <x:v>CR-003</x:v>
      </x:c>
      <x:c r="M688" s="24" t="str"/>
      <x:c r="N688" s="24" t="str">
        <x:v>RES-001;RES-014</x:v>
      </x:c>
      <x:c r="O688" s="24" t="str">
        <x:v>Internal development; public candidate requires gate</x:v>
      </x:c>
      <x:c r="P688" s="24" t="str">
        <x:v>CONDITIONALLY APPROVED</x:v>
      </x:c>
      <x:c r="Q688" s="24" t="str">
        <x:v>Low</x:v>
      </x:c>
      <x:c r="R688" s="24" t="str"/>
      <x:c r="S688" s="24" t="str">
        <x:v>Sí</x:v>
      </x:c>
      <x:c r="T688" s="24" t="str">
        <x:f>"T"&amp;IF(AND(H688&lt;&gt;"",I688&lt;&gt;"",J688&lt;&gt;"",L688&lt;&gt;"",N688&lt;&gt;"",O688&lt;&gt;"",P688="APPROVED PUBLIC",S688="Sí"),6,IF(AND(H688&lt;&gt;"",I688&lt;&gt;"",J688&lt;&gt;"",L688&lt;&gt;"",N688&lt;&gt;"",O688&lt;&gt;"",P688&lt;&gt;"",S688="Sí"),5,IF(AND(H688&lt;&gt;"",I688&lt;&gt;"",P688&lt;&gt;"",S688&lt;&gt;"No"),4,IF(AND(H688&lt;&gt;"",I688&lt;&gt;""),3,IF(F688&lt;&gt;"",2,1)))))</x:f>
        <x:v>T5</x:v>
      </x:c>
      <x:c r="U688" s="24" t="str">
        <x:v>VRM Games</x:v>
      </x:c>
      <x:c r="V688" s="24" t="str">
        <x:v>No se detectó proveedor externo en la ruta; confirmar autoría por lote antes de release público.</x:v>
      </x:c>
    </x:row>
    <x:row r="689" ht="34" customHeight="1">
      <x:c r="A689" s="24" t="str">
        <x:v>TRC-00685</x:v>
      </x:c>
      <x:c r="B689" s="24" t="str">
        <x:v>809988658a1f472891a6a2e45f1fe57c</x:v>
      </x:c>
      <x:c r="C689" s="24" t="str">
        <x:v>ShoppingSearchTests.cs</x:v>
      </x:c>
      <x:c r="D689" s="24" t="str">
        <x:v>Code</x:v>
      </x:c>
      <x:c r="E689" s="24" t="str">
        <x:v>03_Assets_Internos</x:v>
      </x:c>
      <x:c r="F689" s="24" t="str">
        <x:v>INT-0685</x:v>
      </x:c>
      <x:c r="G689" s="24" t="str">
        <x:v>VRM Games / Blas Luis Rocha González</x:v>
      </x:c>
      <x:c r="H689" s="24" t="str">
        <x:v>Internal project IP / authorship claim</x:v>
      </x:c>
      <x:c r="I689" s="24" t="str">
        <x:v>Source package + repository path + hash</x:v>
      </x:c>
      <x:c r="J689" s="24" t="str">
        <x:v>514723b3d84824d7cda9d9e62f81d695bacd1b35aa1f234097c3da9307ff44a3</x:v>
      </x:c>
      <x:c r="K689" s="24" t="str">
        <x:v>Assets/_Project/Tests/EditMode/Shopping/ShoppingSearchTests.cs</x:v>
      </x:c>
      <x:c r="L689" s="24" t="str">
        <x:v>CR-003</x:v>
      </x:c>
      <x:c r="M689" s="24" t="str"/>
      <x:c r="N689" s="24" t="str">
        <x:v>RES-001;RES-014</x:v>
      </x:c>
      <x:c r="O689" s="24" t="str">
        <x:v>Internal development; public candidate requires gate</x:v>
      </x:c>
      <x:c r="P689" s="24" t="str">
        <x:v>CONDITIONALLY APPROVED</x:v>
      </x:c>
      <x:c r="Q689" s="24" t="str">
        <x:v>Low</x:v>
      </x:c>
      <x:c r="R689" s="24" t="str"/>
      <x:c r="S689" s="24" t="str">
        <x:v>Sí</x:v>
      </x:c>
      <x:c r="T689" s="24" t="str">
        <x:f>"T"&amp;IF(AND(H689&lt;&gt;"",I689&lt;&gt;"",J689&lt;&gt;"",L689&lt;&gt;"",N689&lt;&gt;"",O689&lt;&gt;"",P689="APPROVED PUBLIC",S689="Sí"),6,IF(AND(H689&lt;&gt;"",I689&lt;&gt;"",J689&lt;&gt;"",L689&lt;&gt;"",N689&lt;&gt;"",O689&lt;&gt;"",P689&lt;&gt;"",S689="Sí"),5,IF(AND(H689&lt;&gt;"",I689&lt;&gt;"",P689&lt;&gt;"",S689&lt;&gt;"No"),4,IF(AND(H689&lt;&gt;"",I689&lt;&gt;""),3,IF(F689&lt;&gt;"",2,1)))))</x:f>
        <x:v>T5</x:v>
      </x:c>
      <x:c r="U689" s="24" t="str">
        <x:v>VRM Games</x:v>
      </x:c>
      <x:c r="V689" s="24" t="str">
        <x:v>No se detectó proveedor externo en la ruta; confirmar autoría por lote antes de release público.</x:v>
      </x:c>
    </x:row>
    <x:row r="690" ht="34" customHeight="1">
      <x:c r="A690" s="24" t="str">
        <x:v>TRC-00686</x:v>
      </x:c>
      <x:c r="B690" s="24" t="str">
        <x:v>e42c8171f59e449e9c7dc41651d990f2</x:v>
      </x:c>
      <x:c r="C690" s="24" t="str">
        <x:v>ShoppingTestFactory.cs</x:v>
      </x:c>
      <x:c r="D690" s="24" t="str">
        <x:v>Code</x:v>
      </x:c>
      <x:c r="E690" s="24" t="str">
        <x:v>03_Assets_Internos</x:v>
      </x:c>
      <x:c r="F690" s="24" t="str">
        <x:v>INT-0686</x:v>
      </x:c>
      <x:c r="G690" s="24" t="str">
        <x:v>VRM Games / Blas Luis Rocha González</x:v>
      </x:c>
      <x:c r="H690" s="24" t="str">
        <x:v>Internal project IP / authorship claim</x:v>
      </x:c>
      <x:c r="I690" s="24" t="str">
        <x:v>Source package + repository path + hash</x:v>
      </x:c>
      <x:c r="J690" s="24" t="str">
        <x:v>102e7503ccf447d69bc3b395396f31ab37d6f0527ff3422a843f38d6f37b42e3</x:v>
      </x:c>
      <x:c r="K690" s="24" t="str">
        <x:v>Assets/_Project/Tests/EditMode/Shopping/ShoppingTestFactory.cs</x:v>
      </x:c>
      <x:c r="L690" s="24" t="str">
        <x:v>CR-003</x:v>
      </x:c>
      <x:c r="M690" s="24" t="str"/>
      <x:c r="N690" s="24" t="str">
        <x:v>RES-001;RES-014</x:v>
      </x:c>
      <x:c r="O690" s="24" t="str">
        <x:v>Internal development; public candidate requires gate</x:v>
      </x:c>
      <x:c r="P690" s="24" t="str">
        <x:v>CONDITIONALLY APPROVED</x:v>
      </x:c>
      <x:c r="Q690" s="24" t="str">
        <x:v>Low</x:v>
      </x:c>
      <x:c r="R690" s="24" t="str"/>
      <x:c r="S690" s="24" t="str">
        <x:v>Sí</x:v>
      </x:c>
      <x:c r="T690" s="24" t="str">
        <x:f>"T"&amp;IF(AND(H690&lt;&gt;"",I690&lt;&gt;"",J690&lt;&gt;"",L690&lt;&gt;"",N690&lt;&gt;"",O690&lt;&gt;"",P690="APPROVED PUBLIC",S690="Sí"),6,IF(AND(H690&lt;&gt;"",I690&lt;&gt;"",J690&lt;&gt;"",L690&lt;&gt;"",N690&lt;&gt;"",O690&lt;&gt;"",P690&lt;&gt;"",S690="Sí"),5,IF(AND(H690&lt;&gt;"",I690&lt;&gt;"",P690&lt;&gt;"",S690&lt;&gt;"No"),4,IF(AND(H690&lt;&gt;"",I690&lt;&gt;""),3,IF(F690&lt;&gt;"",2,1)))))</x:f>
        <x:v>T5</x:v>
      </x:c>
      <x:c r="U690" s="24" t="str">
        <x:v>VRM Games</x:v>
      </x:c>
      <x:c r="V690" s="24" t="str">
        <x:v>No se detectó proveedor externo en la ruta; confirmar autoría por lote antes de release público.</x:v>
      </x:c>
    </x:row>
    <x:row r="691" ht="34" customHeight="1">
      <x:c r="A691" s="24" t="str">
        <x:v>TRC-00687</x:v>
      </x:c>
      <x:c r="B691" s="24" t="str">
        <x:v>6d1a047a1bd1470a81b404f0cfdfa1cf</x:v>
      </x:c>
      <x:c r="C691" s="24" t="str">
        <x:v>ShoppingValueAndIntentTests.cs</x:v>
      </x:c>
      <x:c r="D691" s="24" t="str">
        <x:v>Code</x:v>
      </x:c>
      <x:c r="E691" s="24" t="str">
        <x:v>03_Assets_Internos</x:v>
      </x:c>
      <x:c r="F691" s="24" t="str">
        <x:v>INT-0687</x:v>
      </x:c>
      <x:c r="G691" s="24" t="str">
        <x:v>VRM Games / Blas Luis Rocha González</x:v>
      </x:c>
      <x:c r="H691" s="24" t="str">
        <x:v>Internal project IP / authorship claim</x:v>
      </x:c>
      <x:c r="I691" s="24" t="str">
        <x:v>Source package + repository path + hash</x:v>
      </x:c>
      <x:c r="J691" s="24" t="str">
        <x:v>d8960db1acbd4bc6f2b5cf54898733d68c21f967529048b066dae68454f8080e</x:v>
      </x:c>
      <x:c r="K691" s="24" t="str">
        <x:v>Assets/_Project/Tests/EditMode/Shopping/ShoppingValueAndIntentTests.cs</x:v>
      </x:c>
      <x:c r="L691" s="24" t="str">
        <x:v>CR-003</x:v>
      </x:c>
      <x:c r="M691" s="24" t="str"/>
      <x:c r="N691" s="24" t="str">
        <x:v>RES-001;RES-014</x:v>
      </x:c>
      <x:c r="O691" s="24" t="str">
        <x:v>Internal development; public candidate requires gate</x:v>
      </x:c>
      <x:c r="P691" s="24" t="str">
        <x:v>CONDITIONALLY APPROVED</x:v>
      </x:c>
      <x:c r="Q691" s="24" t="str">
        <x:v>Low</x:v>
      </x:c>
      <x:c r="R691" s="24" t="str"/>
      <x:c r="S691" s="24" t="str">
        <x:v>Sí</x:v>
      </x:c>
      <x:c r="T691" s="24" t="str">
        <x:f>"T"&amp;IF(AND(H691&lt;&gt;"",I691&lt;&gt;"",J691&lt;&gt;"",L691&lt;&gt;"",N691&lt;&gt;"",O691&lt;&gt;"",P691="APPROVED PUBLIC",S691="Sí"),6,IF(AND(H691&lt;&gt;"",I691&lt;&gt;"",J691&lt;&gt;"",L691&lt;&gt;"",N691&lt;&gt;"",O691&lt;&gt;"",P691&lt;&gt;"",S691="Sí"),5,IF(AND(H691&lt;&gt;"",I691&lt;&gt;"",P691&lt;&gt;"",S691&lt;&gt;"No"),4,IF(AND(H691&lt;&gt;"",I691&lt;&gt;""),3,IF(F691&lt;&gt;"",2,1)))))</x:f>
        <x:v>T5</x:v>
      </x:c>
      <x:c r="U691" s="24" t="str">
        <x:v>VRM Games</x:v>
      </x:c>
      <x:c r="V691" s="24" t="str">
        <x:v>No se detectó proveedor externo en la ruta; confirmar autoría por lote antes de release público.</x:v>
      </x:c>
    </x:row>
    <x:row r="692" ht="34" customHeight="1">
      <x:c r="A692" s="24" t="str">
        <x:v>TRC-00688</x:v>
      </x:c>
      <x:c r="B692" s="24" t="str">
        <x:v>071739a921c14f5187dfac5f219e985e</x:v>
      </x:c>
      <x:c r="C692" s="24" t="str">
        <x:v>StoreShellSpecificationTests.cs</x:v>
      </x:c>
      <x:c r="D692" s="24" t="str">
        <x:v>Code</x:v>
      </x:c>
      <x:c r="E692" s="24" t="str">
        <x:v>03_Assets_Internos</x:v>
      </x:c>
      <x:c r="F692" s="24" t="str">
        <x:v>INT-0688</x:v>
      </x:c>
      <x:c r="G692" s="24" t="str">
        <x:v>VRM Games / Blas Luis Rocha González</x:v>
      </x:c>
      <x:c r="H692" s="24" t="str">
        <x:v>Internal project IP / authorship claim</x:v>
      </x:c>
      <x:c r="I692" s="24" t="str">
        <x:v>Source package + repository path + hash</x:v>
      </x:c>
      <x:c r="J692" s="24" t="str">
        <x:v>03f0148486eff43a0c0aa8a6c777bb1684fb12857aa4181640a0f61c6a1e1cb6</x:v>
      </x:c>
      <x:c r="K692" s="24" t="str">
        <x:v>Assets/_Project/Tests/EditMode/Store/StoreShellSpecificationTests.cs</x:v>
      </x:c>
      <x:c r="L692" s="24" t="str">
        <x:v>CR-003</x:v>
      </x:c>
      <x:c r="M692" s="24" t="str"/>
      <x:c r="N692" s="24" t="str">
        <x:v>RES-001;RES-014</x:v>
      </x:c>
      <x:c r="O692" s="24" t="str">
        <x:v>Internal development; public candidate requires gate</x:v>
      </x:c>
      <x:c r="P692" s="24" t="str">
        <x:v>CONDITIONALLY APPROVED</x:v>
      </x:c>
      <x:c r="Q692" s="24" t="str">
        <x:v>Low</x:v>
      </x:c>
      <x:c r="R692" s="24" t="str"/>
      <x:c r="S692" s="24" t="str">
        <x:v>Sí</x:v>
      </x:c>
      <x:c r="T692" s="24" t="str">
        <x:f>"T"&amp;IF(AND(H692&lt;&gt;"",I692&lt;&gt;"",J692&lt;&gt;"",L692&lt;&gt;"",N692&lt;&gt;"",O692&lt;&gt;"",P692="APPROVED PUBLIC",S692="Sí"),6,IF(AND(H692&lt;&gt;"",I692&lt;&gt;"",J692&lt;&gt;"",L692&lt;&gt;"",N692&lt;&gt;"",O692&lt;&gt;"",P692&lt;&gt;"",S692="Sí"),5,IF(AND(H692&lt;&gt;"",I692&lt;&gt;"",P692&lt;&gt;"",S692&lt;&gt;"No"),4,IF(AND(H692&lt;&gt;"",I692&lt;&gt;""),3,IF(F692&lt;&gt;"",2,1)))))</x:f>
        <x:v>T5</x:v>
      </x:c>
      <x:c r="U692" s="24" t="str">
        <x:v>VRM Games</x:v>
      </x:c>
      <x:c r="V692" s="24" t="str">
        <x:v>No se detectó proveedor externo en la ruta; confirmar autoría por lote antes de release público.</x:v>
      </x:c>
    </x:row>
    <x:row r="693" ht="34" customHeight="1">
      <x:c r="A693" s="24" t="str">
        <x:v>TRC-00689</x:v>
      </x:c>
      <x:c r="B693" s="24" t="str">
        <x:v>9e09d91147a044f194d605c0dd51536f</x:v>
      </x:c>
      <x:c r="C693" s="24" t="str">
        <x:v>SupplierCatalogTests.cs</x:v>
      </x:c>
      <x:c r="D693" s="24" t="str">
        <x:v>Code</x:v>
      </x:c>
      <x:c r="E693" s="24" t="str">
        <x:v>03_Assets_Internos</x:v>
      </x:c>
      <x:c r="F693" s="24" t="str">
        <x:v>INT-0689</x:v>
      </x:c>
      <x:c r="G693" s="24" t="str">
        <x:v>VRM Games / Blas Luis Rocha González</x:v>
      </x:c>
      <x:c r="H693" s="24" t="str">
        <x:v>Internal project IP / authorship claim</x:v>
      </x:c>
      <x:c r="I693" s="24" t="str">
        <x:v>Source package + repository path + hash</x:v>
      </x:c>
      <x:c r="J693" s="24" t="str">
        <x:v>e49a7079d12582bb45926b56ed42d625f2f30fa0461023865a45c701e2512c59</x:v>
      </x:c>
      <x:c r="K693" s="24" t="str">
        <x:v>Assets/_Project/Tests/EditMode/Suppliers/SupplierCatalogTests.cs</x:v>
      </x:c>
      <x:c r="L693" s="24" t="str">
        <x:v>CR-003</x:v>
      </x:c>
      <x:c r="M693" s="24" t="str"/>
      <x:c r="N693" s="24" t="str">
        <x:v>RES-001;RES-014</x:v>
      </x:c>
      <x:c r="O693" s="24" t="str">
        <x:v>Internal development; public candidate requires gate</x:v>
      </x:c>
      <x:c r="P693" s="24" t="str">
        <x:v>CONDITIONALLY APPROVED</x:v>
      </x:c>
      <x:c r="Q693" s="24" t="str">
        <x:v>Low</x:v>
      </x:c>
      <x:c r="R693" s="24" t="str"/>
      <x:c r="S693" s="24" t="str">
        <x:v>Sí</x:v>
      </x:c>
      <x:c r="T693" s="24" t="str">
        <x:f>"T"&amp;IF(AND(H693&lt;&gt;"",I693&lt;&gt;"",J693&lt;&gt;"",L693&lt;&gt;"",N693&lt;&gt;"",O693&lt;&gt;"",P693="APPROVED PUBLIC",S693="Sí"),6,IF(AND(H693&lt;&gt;"",I693&lt;&gt;"",J693&lt;&gt;"",L693&lt;&gt;"",N693&lt;&gt;"",O693&lt;&gt;"",P693&lt;&gt;"",S693="Sí"),5,IF(AND(H693&lt;&gt;"",I693&lt;&gt;"",P693&lt;&gt;"",S693&lt;&gt;"No"),4,IF(AND(H693&lt;&gt;"",I693&lt;&gt;""),3,IF(F693&lt;&gt;"",2,1)))))</x:f>
        <x:v>T5</x:v>
      </x:c>
      <x:c r="U693" s="24" t="str">
        <x:v>VRM Games</x:v>
      </x:c>
      <x:c r="V693" s="24" t="str">
        <x:v>No se detectó proveedor externo en la ruta; confirmar autoría por lote antes de release público.</x:v>
      </x:c>
    </x:row>
    <x:row r="694" ht="34" customHeight="1">
      <x:c r="A694" s="24" t="str">
        <x:v>TRC-00690</x:v>
      </x:c>
      <x:c r="B694" s="24" t="str">
        <x:v>502fcf27a5274a46b6a503cf371c6958</x:v>
      </x:c>
      <x:c r="C694" s="24" t="str">
        <x:v>SupplierIdentifierTests.cs</x:v>
      </x:c>
      <x:c r="D694" s="24" t="str">
        <x:v>Code</x:v>
      </x:c>
      <x:c r="E694" s="24" t="str">
        <x:v>03_Assets_Internos</x:v>
      </x:c>
      <x:c r="F694" s="24" t="str">
        <x:v>INT-0690</x:v>
      </x:c>
      <x:c r="G694" s="24" t="str">
        <x:v>VRM Games / Blas Luis Rocha González</x:v>
      </x:c>
      <x:c r="H694" s="24" t="str">
        <x:v>Internal project IP / authorship claim</x:v>
      </x:c>
      <x:c r="I694" s="24" t="str">
        <x:v>Source package + repository path + hash</x:v>
      </x:c>
      <x:c r="J694" s="24" t="str">
        <x:v>bb3a35596b76ecd7bc5bd9f89c92997f180d62b78ec8485f56e0879b8c1a1168</x:v>
      </x:c>
      <x:c r="K694" s="24" t="str">
        <x:v>Assets/_Project/Tests/EditMode/Suppliers/SupplierIdentifierTests.cs</x:v>
      </x:c>
      <x:c r="L694" s="24" t="str">
        <x:v>CR-003</x:v>
      </x:c>
      <x:c r="M694" s="24" t="str"/>
      <x:c r="N694" s="24" t="str">
        <x:v>RES-001;RES-014</x:v>
      </x:c>
      <x:c r="O694" s="24" t="str">
        <x:v>Internal development; public candidate requires gate</x:v>
      </x:c>
      <x:c r="P694" s="24" t="str">
        <x:v>CONDITIONALLY APPROVED</x:v>
      </x:c>
      <x:c r="Q694" s="24" t="str">
        <x:v>Low</x:v>
      </x:c>
      <x:c r="R694" s="24" t="str"/>
      <x:c r="S694" s="24" t="str">
        <x:v>Sí</x:v>
      </x:c>
      <x:c r="T694" s="24" t="str">
        <x:f>"T"&amp;IF(AND(H694&lt;&gt;"",I694&lt;&gt;"",J694&lt;&gt;"",L694&lt;&gt;"",N694&lt;&gt;"",O694&lt;&gt;"",P694="APPROVED PUBLIC",S694="Sí"),6,IF(AND(H694&lt;&gt;"",I694&lt;&gt;"",J694&lt;&gt;"",L694&lt;&gt;"",N694&lt;&gt;"",O694&lt;&gt;"",P694&lt;&gt;"",S694="Sí"),5,IF(AND(H694&lt;&gt;"",I694&lt;&gt;"",P694&lt;&gt;"",S694&lt;&gt;"No"),4,IF(AND(H694&lt;&gt;"",I694&lt;&gt;""),3,IF(F694&lt;&gt;"",2,1)))))</x:f>
        <x:v>T5</x:v>
      </x:c>
      <x:c r="U694" s="24" t="str">
        <x:v>VRM Games</x:v>
      </x:c>
      <x:c r="V694" s="24" t="str">
        <x:v>No se detectó proveedor externo en la ruta; confirmar autoría por lote antes de release público.</x:v>
      </x:c>
    </x:row>
    <x:row r="695" ht="34" customHeight="1">
      <x:c r="A695" s="24" t="str">
        <x:v>TRC-00691</x:v>
      </x:c>
      <x:c r="B695" s="24" t="str">
        <x:v>b0c869e92fdf4bc9b9d6d5796980bec7</x:v>
      </x:c>
      <x:c r="C695" s="24" t="str">
        <x:v>AccessibilitySettingsTests.cs</x:v>
      </x:c>
      <x:c r="D695" s="24" t="str">
        <x:v>Code</x:v>
      </x:c>
      <x:c r="E695" s="24" t="str">
        <x:v>03_Assets_Internos</x:v>
      </x:c>
      <x:c r="F695" s="24" t="str">
        <x:v>INT-0691</x:v>
      </x:c>
      <x:c r="G695" s="24" t="str">
        <x:v>VRM Games / Blas Luis Rocha González</x:v>
      </x:c>
      <x:c r="H695" s="24" t="str">
        <x:v>Internal project IP / authorship claim</x:v>
      </x:c>
      <x:c r="I695" s="24" t="str">
        <x:v>Source package + repository path + hash</x:v>
      </x:c>
      <x:c r="J695" s="24" t="str">
        <x:v>a5788b8727be92d246f9b8c1816450db0bef78df7a03c5c8a8f2b1fa4ac68017</x:v>
      </x:c>
      <x:c r="K695" s="24" t="str">
        <x:v>Assets/_Project/Tests/EditMode/UIUX/AccessibilitySettingsTests.cs</x:v>
      </x:c>
      <x:c r="L695" s="24" t="str">
        <x:v>CR-003</x:v>
      </x:c>
      <x:c r="M695" s="24" t="str"/>
      <x:c r="N695" s="24" t="str">
        <x:v>RES-001;RES-014</x:v>
      </x:c>
      <x:c r="O695" s="24" t="str">
        <x:v>Internal development; public candidate requires gate</x:v>
      </x:c>
      <x:c r="P695" s="24" t="str">
        <x:v>CONDITIONALLY APPROVED</x:v>
      </x:c>
      <x:c r="Q695" s="24" t="str">
        <x:v>Low</x:v>
      </x:c>
      <x:c r="R695" s="24" t="str"/>
      <x:c r="S695" s="24" t="str">
        <x:v>Sí</x:v>
      </x:c>
      <x:c r="T695" s="24" t="str">
        <x:f>"T"&amp;IF(AND(H695&lt;&gt;"",I695&lt;&gt;"",J695&lt;&gt;"",L695&lt;&gt;"",N695&lt;&gt;"",O695&lt;&gt;"",P695="APPROVED PUBLIC",S695="Sí"),6,IF(AND(H695&lt;&gt;"",I695&lt;&gt;"",J695&lt;&gt;"",L695&lt;&gt;"",N695&lt;&gt;"",O695&lt;&gt;"",P695&lt;&gt;"",S695="Sí"),5,IF(AND(H695&lt;&gt;"",I695&lt;&gt;"",P695&lt;&gt;"",S695&lt;&gt;"No"),4,IF(AND(H695&lt;&gt;"",I695&lt;&gt;""),3,IF(F695&lt;&gt;"",2,1)))))</x:f>
        <x:v>T5</x:v>
      </x:c>
      <x:c r="U695" s="24" t="str">
        <x:v>VRM Games</x:v>
      </x:c>
      <x:c r="V695" s="24" t="str">
        <x:v>No se detectó proveedor externo en la ruta; confirmar autoría por lote antes de release público.</x:v>
      </x:c>
    </x:row>
    <x:row r="696" ht="34" customHeight="1">
      <x:c r="A696" s="24" t="str">
        <x:v>TRC-00692</x:v>
      </x:c>
      <x:c r="B696" s="24" t="str">
        <x:v>cd4edcf9498245529fe729da07967dfc</x:v>
      </x:c>
      <x:c r="C696" s="24" t="str">
        <x:v>DailyAutosaveServiceTests.cs</x:v>
      </x:c>
      <x:c r="D696" s="24" t="str">
        <x:v>Code</x:v>
      </x:c>
      <x:c r="E696" s="24" t="str">
        <x:v>03_Assets_Internos</x:v>
      </x:c>
      <x:c r="F696" s="24" t="str">
        <x:v>INT-0692</x:v>
      </x:c>
      <x:c r="G696" s="24" t="str">
        <x:v>VRM Games / Blas Luis Rocha González</x:v>
      </x:c>
      <x:c r="H696" s="24" t="str">
        <x:v>Internal project IP / authorship claim</x:v>
      </x:c>
      <x:c r="I696" s="24" t="str">
        <x:v>Source package + repository path + hash</x:v>
      </x:c>
      <x:c r="J696" s="24" t="str">
        <x:v>663c8c28d09568fd002aa5e1047157268c1a0c2a7f649c9d9a137854555bbfd4</x:v>
      </x:c>
      <x:c r="K696" s="24" t="str">
        <x:v>Assets/_Project/Tests/EditMode/UIUX/DailyAutosaveServiceTests.cs</x:v>
      </x:c>
      <x:c r="L696" s="24" t="str">
        <x:v>CR-003</x:v>
      </x:c>
      <x:c r="M696" s="24" t="str"/>
      <x:c r="N696" s="24" t="str">
        <x:v>RES-001;RES-014</x:v>
      </x:c>
      <x:c r="O696" s="24" t="str">
        <x:v>Internal development; public candidate requires gate</x:v>
      </x:c>
      <x:c r="P696" s="24" t="str">
        <x:v>CONDITIONALLY APPROVED</x:v>
      </x:c>
      <x:c r="Q696" s="24" t="str">
        <x:v>Low</x:v>
      </x:c>
      <x:c r="R696" s="24" t="str"/>
      <x:c r="S696" s="24" t="str">
        <x:v>Sí</x:v>
      </x:c>
      <x:c r="T696" s="24" t="str">
        <x:f>"T"&amp;IF(AND(H696&lt;&gt;"",I696&lt;&gt;"",J696&lt;&gt;"",L696&lt;&gt;"",N696&lt;&gt;"",O696&lt;&gt;"",P696="APPROVED PUBLIC",S696="Sí"),6,IF(AND(H696&lt;&gt;"",I696&lt;&gt;"",J696&lt;&gt;"",L696&lt;&gt;"",N696&lt;&gt;"",O696&lt;&gt;"",P696&lt;&gt;"",S696="Sí"),5,IF(AND(H696&lt;&gt;"",I696&lt;&gt;"",P696&lt;&gt;"",S696&lt;&gt;"No"),4,IF(AND(H696&lt;&gt;"",I696&lt;&gt;""),3,IF(F696&lt;&gt;"",2,1)))))</x:f>
        <x:v>T5</x:v>
      </x:c>
      <x:c r="U696" s="24" t="str">
        <x:v>VRM Games</x:v>
      </x:c>
      <x:c r="V696" s="24" t="str">
        <x:v>No se detectó proveedor externo en la ruta; confirmar autoría por lote antes de release público.</x:v>
      </x:c>
    </x:row>
    <x:row r="697" ht="34" customHeight="1">
      <x:c r="A697" s="24" t="str">
        <x:v>TRC-00693</x:v>
      </x:c>
      <x:c r="B697" s="24" t="str">
        <x:v>c9989a62eb8c49d8a1ab4a2835c078b1</x:v>
      </x:c>
      <x:c r="C697" s="24" t="str">
        <x:v>SlotDescriptorTests.cs</x:v>
      </x:c>
      <x:c r="D697" s="24" t="str">
        <x:v>Code</x:v>
      </x:c>
      <x:c r="E697" s="24" t="str">
        <x:v>03_Assets_Internos</x:v>
      </x:c>
      <x:c r="F697" s="24" t="str">
        <x:v>INT-0693</x:v>
      </x:c>
      <x:c r="G697" s="24" t="str">
        <x:v>VRM Games / Blas Luis Rocha González</x:v>
      </x:c>
      <x:c r="H697" s="24" t="str">
        <x:v>Internal project IP / authorship claim</x:v>
      </x:c>
      <x:c r="I697" s="24" t="str">
        <x:v>Source package + repository path + hash</x:v>
      </x:c>
      <x:c r="J697" s="24" t="str">
        <x:v>8a780ab8e73b5de0ab992483edbf04e1ae76c588a81b367d7e178dbb53bf8fb4</x:v>
      </x:c>
      <x:c r="K697" s="24" t="str">
        <x:v>Assets/_Project/Tests/EditMode/UIUX/SlotDescriptorTests.cs</x:v>
      </x:c>
      <x:c r="L697" s="24" t="str">
        <x:v>CR-003</x:v>
      </x:c>
      <x:c r="M697" s="24" t="str"/>
      <x:c r="N697" s="24" t="str">
        <x:v>RES-001;RES-014</x:v>
      </x:c>
      <x:c r="O697" s="24" t="str">
        <x:v>Internal development; public candidate requires gate</x:v>
      </x:c>
      <x:c r="P697" s="24" t="str">
        <x:v>CONDITIONALLY APPROVED</x:v>
      </x:c>
      <x:c r="Q697" s="24" t="str">
        <x:v>Low</x:v>
      </x:c>
      <x:c r="R697" s="24" t="str"/>
      <x:c r="S697" s="24" t="str">
        <x:v>Sí</x:v>
      </x:c>
      <x:c r="T697" s="24" t="str">
        <x:f>"T"&amp;IF(AND(H697&lt;&gt;"",I697&lt;&gt;"",J697&lt;&gt;"",L697&lt;&gt;"",N697&lt;&gt;"",O697&lt;&gt;"",P697="APPROVED PUBLIC",S697="Sí"),6,IF(AND(H697&lt;&gt;"",I697&lt;&gt;"",J697&lt;&gt;"",L697&lt;&gt;"",N697&lt;&gt;"",O697&lt;&gt;"",P697&lt;&gt;"",S697="Sí"),5,IF(AND(H697&lt;&gt;"",I697&lt;&gt;"",P697&lt;&gt;"",S697&lt;&gt;"No"),4,IF(AND(H697&lt;&gt;"",I697&lt;&gt;""),3,IF(F697&lt;&gt;"",2,1)))))</x:f>
        <x:v>T5</x:v>
      </x:c>
      <x:c r="U697" s="24" t="str">
        <x:v>VRM Games</x:v>
      </x:c>
      <x:c r="V697" s="24" t="str">
        <x:v>No se detectó proveedor externo en la ruta; confirmar autoría por lote antes de release público.</x:v>
      </x:c>
    </x:row>
    <x:row r="698" ht="34" customHeight="1">
      <x:c r="A698" s="24" t="str">
        <x:v>TRC-00694</x:v>
      </x:c>
      <x:c r="B698" s="24" t="str">
        <x:v>61b539e068ad4d328f5030c53ea49a13</x:v>
      </x:c>
      <x:c r="C698" s="24" t="str">
        <x:v>SlotSelectionServiceTests.cs</x:v>
      </x:c>
      <x:c r="D698" s="24" t="str">
        <x:v>Code</x:v>
      </x:c>
      <x:c r="E698" s="24" t="str">
        <x:v>03_Assets_Internos</x:v>
      </x:c>
      <x:c r="F698" s="24" t="str">
        <x:v>INT-0694</x:v>
      </x:c>
      <x:c r="G698" s="24" t="str">
        <x:v>VRM Games / Blas Luis Rocha González</x:v>
      </x:c>
      <x:c r="H698" s="24" t="str">
        <x:v>Internal project IP / authorship claim</x:v>
      </x:c>
      <x:c r="I698" s="24" t="str">
        <x:v>Source package + repository path + hash</x:v>
      </x:c>
      <x:c r="J698" s="24" t="str">
        <x:v>d702e4198054ed7aa8e405409540394fb2097c0099174378e24664cc1fbaaad5</x:v>
      </x:c>
      <x:c r="K698" s="24" t="str">
        <x:v>Assets/_Project/Tests/EditMode/UIUX/SlotSelectionServiceTests.cs</x:v>
      </x:c>
      <x:c r="L698" s="24" t="str">
        <x:v>CR-003</x:v>
      </x:c>
      <x:c r="M698" s="24" t="str"/>
      <x:c r="N698" s="24" t="str">
        <x:v>RES-001;RES-014</x:v>
      </x:c>
      <x:c r="O698" s="24" t="str">
        <x:v>Internal development; public candidate requires gate</x:v>
      </x:c>
      <x:c r="P698" s="24" t="str">
        <x:v>CONDITIONALLY APPROVED</x:v>
      </x:c>
      <x:c r="Q698" s="24" t="str">
        <x:v>Low</x:v>
      </x:c>
      <x:c r="R698" s="24" t="str"/>
      <x:c r="S698" s="24" t="str">
        <x:v>Sí</x:v>
      </x:c>
      <x:c r="T698" s="24" t="str">
        <x:f>"T"&amp;IF(AND(H698&lt;&gt;"",I698&lt;&gt;"",J698&lt;&gt;"",L698&lt;&gt;"",N698&lt;&gt;"",O698&lt;&gt;"",P698="APPROVED PUBLIC",S698="Sí"),6,IF(AND(H698&lt;&gt;"",I698&lt;&gt;"",J698&lt;&gt;"",L698&lt;&gt;"",N698&lt;&gt;"",O698&lt;&gt;"",P698&lt;&gt;"",S698="Sí"),5,IF(AND(H698&lt;&gt;"",I698&lt;&gt;"",P698&lt;&gt;"",S698&lt;&gt;"No"),4,IF(AND(H698&lt;&gt;"",I698&lt;&gt;""),3,IF(F698&lt;&gt;"",2,1)))))</x:f>
        <x:v>T5</x:v>
      </x:c>
      <x:c r="U698" s="24" t="str">
        <x:v>VRM Games</x:v>
      </x:c>
      <x:c r="V698" s="24" t="str">
        <x:v>No se detectó proveedor externo en la ruta; confirmar autoría por lote antes de release público.</x:v>
      </x:c>
    </x:row>
    <x:row r="699" ht="34" customHeight="1">
      <x:c r="A699" s="24" t="str">
        <x:v>TRC-00695</x:v>
      </x:c>
      <x:c r="B699" s="24" t="str">
        <x:v>952a5a6a6f31453296403634643e94e6</x:v>
      </x:c>
      <x:c r="C699" s="24" t="str">
        <x:v>StoreUiProjectionTests.cs</x:v>
      </x:c>
      <x:c r="D699" s="24" t="str">
        <x:v>Code</x:v>
      </x:c>
      <x:c r="E699" s="24" t="str">
        <x:v>03_Assets_Internos</x:v>
      </x:c>
      <x:c r="F699" s="24" t="str">
        <x:v>INT-0695</x:v>
      </x:c>
      <x:c r="G699" s="24" t="str">
        <x:v>VRM Games / Blas Luis Rocha González</x:v>
      </x:c>
      <x:c r="H699" s="24" t="str">
        <x:v>Internal project IP / authorship claim</x:v>
      </x:c>
      <x:c r="I699" s="24" t="str">
        <x:v>Source package + repository path + hash</x:v>
      </x:c>
      <x:c r="J699" s="24" t="str">
        <x:v>70c403cfb58c170146c2f3622e66da83d97cb4076f840650ed3f90b4fe73e285</x:v>
      </x:c>
      <x:c r="K699" s="24" t="str">
        <x:v>Assets/_Project/Tests/EditMode/UIUX/StoreUiProjectionTests.cs</x:v>
      </x:c>
      <x:c r="L699" s="24" t="str">
        <x:v>CR-003</x:v>
      </x:c>
      <x:c r="M699" s="24" t="str"/>
      <x:c r="N699" s="24" t="str">
        <x:v>RES-001;RES-014</x:v>
      </x:c>
      <x:c r="O699" s="24" t="str">
        <x:v>Internal development; public candidate requires gate</x:v>
      </x:c>
      <x:c r="P699" s="24" t="str">
        <x:v>CONDITIONALLY APPROVED</x:v>
      </x:c>
      <x:c r="Q699" s="24" t="str">
        <x:v>Low</x:v>
      </x:c>
      <x:c r="R699" s="24" t="str"/>
      <x:c r="S699" s="24" t="str">
        <x:v>Sí</x:v>
      </x:c>
      <x:c r="T699" s="24" t="str">
        <x:f>"T"&amp;IF(AND(H699&lt;&gt;"",I699&lt;&gt;"",J699&lt;&gt;"",L699&lt;&gt;"",N699&lt;&gt;"",O699&lt;&gt;"",P699="APPROVED PUBLIC",S699="Sí"),6,IF(AND(H699&lt;&gt;"",I699&lt;&gt;"",J699&lt;&gt;"",L699&lt;&gt;"",N699&lt;&gt;"",O699&lt;&gt;"",P699&lt;&gt;"",S699="Sí"),5,IF(AND(H699&lt;&gt;"",I699&lt;&gt;"",P699&lt;&gt;"",S699&lt;&gt;"No"),4,IF(AND(H699&lt;&gt;"",I699&lt;&gt;""),3,IF(F699&lt;&gt;"",2,1)))))</x:f>
        <x:v>T5</x:v>
      </x:c>
      <x:c r="U699" s="24" t="str">
        <x:v>VRM Games</x:v>
      </x:c>
      <x:c r="V699" s="24" t="str">
        <x:v>No se detectó proveedor externo en la ruta; confirmar autoría por lote antes de release público.</x:v>
      </x:c>
    </x:row>
    <x:row r="700" ht="34" customHeight="1">
      <x:c r="A700" s="24" t="str">
        <x:v>TRC-00696</x:v>
      </x:c>
      <x:c r="B700" s="24" t="str">
        <x:v>42229e71fd684ff79c5bdb1a145d3376</x:v>
      </x:c>
      <x:c r="C700" s="24" t="str">
        <x:v>TutorialProgressTests.cs</x:v>
      </x:c>
      <x:c r="D700" s="24" t="str">
        <x:v>Code</x:v>
      </x:c>
      <x:c r="E700" s="24" t="str">
        <x:v>03_Assets_Internos</x:v>
      </x:c>
      <x:c r="F700" s="24" t="str">
        <x:v>INT-0696</x:v>
      </x:c>
      <x:c r="G700" s="24" t="str">
        <x:v>VRM Games / Blas Luis Rocha González</x:v>
      </x:c>
      <x:c r="H700" s="24" t="str">
        <x:v>Internal project IP / authorship claim</x:v>
      </x:c>
      <x:c r="I700" s="24" t="str">
        <x:v>Source package + repository path + hash</x:v>
      </x:c>
      <x:c r="J700" s="24" t="str">
        <x:v>52c334f5ac362ed4c3cfe410df65768614acef3a07994d0d33434585ef71747e</x:v>
      </x:c>
      <x:c r="K700" s="24" t="str">
        <x:v>Assets/_Project/Tests/EditMode/UIUX/TutorialProgressTests.cs</x:v>
      </x:c>
      <x:c r="L700" s="24" t="str">
        <x:v>CR-003</x:v>
      </x:c>
      <x:c r="M700" s="24" t="str"/>
      <x:c r="N700" s="24" t="str">
        <x:v>RES-001;RES-014</x:v>
      </x:c>
      <x:c r="O700" s="24" t="str">
        <x:v>Internal development; public candidate requires gate</x:v>
      </x:c>
      <x:c r="P700" s="24" t="str">
        <x:v>CONDITIONALLY APPROVED</x:v>
      </x:c>
      <x:c r="Q700" s="24" t="str">
        <x:v>Low</x:v>
      </x:c>
      <x:c r="R700" s="24" t="str"/>
      <x:c r="S700" s="24" t="str">
        <x:v>Sí</x:v>
      </x:c>
      <x:c r="T700" s="24" t="str">
        <x:f>"T"&amp;IF(AND(H700&lt;&gt;"",I700&lt;&gt;"",J700&lt;&gt;"",L700&lt;&gt;"",N700&lt;&gt;"",O700&lt;&gt;"",P700="APPROVED PUBLIC",S700="Sí"),6,IF(AND(H700&lt;&gt;"",I700&lt;&gt;"",J700&lt;&gt;"",L700&lt;&gt;"",N700&lt;&gt;"",O700&lt;&gt;"",P700&lt;&gt;"",S700="Sí"),5,IF(AND(H700&lt;&gt;"",I700&lt;&gt;"",P700&lt;&gt;"",S700&lt;&gt;"No"),4,IF(AND(H700&lt;&gt;"",I700&lt;&gt;""),3,IF(F700&lt;&gt;"",2,1)))))</x:f>
        <x:v>T5</x:v>
      </x:c>
      <x:c r="U700" s="24" t="str">
        <x:v>VRM Games</x:v>
      </x:c>
      <x:c r="V700" s="24" t="str">
        <x:v>No se detectó proveedor externo en la ruta; confirmar autoría por lote antes de release público.</x:v>
      </x:c>
    </x:row>
    <x:row r="701" ht="34" customHeight="1">
      <x:c r="A701" s="24" t="str">
        <x:v>TRC-00697</x:v>
      </x:c>
      <x:c r="B701" s="24" t="str">
        <x:v>f25ce1a19d1d4b0bb0c9ffe79326de66</x:v>
      </x:c>
      <x:c r="C701" s="24" t="str">
        <x:v>UIUXAuthoringTests.cs</x:v>
      </x:c>
      <x:c r="D701" s="24" t="str">
        <x:v>Code</x:v>
      </x:c>
      <x:c r="E701" s="24" t="str">
        <x:v>03_Assets_Internos</x:v>
      </x:c>
      <x:c r="F701" s="24" t="str">
        <x:v>INT-0697</x:v>
      </x:c>
      <x:c r="G701" s="24" t="str">
        <x:v>VRM Games / Blas Luis Rocha González</x:v>
      </x:c>
      <x:c r="H701" s="24" t="str">
        <x:v>Internal project IP / authorship claim</x:v>
      </x:c>
      <x:c r="I701" s="24" t="str">
        <x:v>Source package + repository path + hash</x:v>
      </x:c>
      <x:c r="J701" s="24" t="str">
        <x:v>33763f6a3ceabe7f7695a68d8d6cf251c590f68d7ee431799215e1ab03bbe77d</x:v>
      </x:c>
      <x:c r="K701" s="24" t="str">
        <x:v>Assets/_Project/Tests/EditMode/UIUX/UIUXAuthoringTests.cs</x:v>
      </x:c>
      <x:c r="L701" s="24" t="str">
        <x:v>CR-003</x:v>
      </x:c>
      <x:c r="M701" s="24" t="str"/>
      <x:c r="N701" s="24" t="str">
        <x:v>RES-001;RES-014</x:v>
      </x:c>
      <x:c r="O701" s="24" t="str">
        <x:v>Internal development; public candidate requires gate</x:v>
      </x:c>
      <x:c r="P701" s="24" t="str">
        <x:v>CONDITIONALLY APPROVED</x:v>
      </x:c>
      <x:c r="Q701" s="24" t="str">
        <x:v>Low</x:v>
      </x:c>
      <x:c r="R701" s="24" t="str"/>
      <x:c r="S701" s="24" t="str">
        <x:v>Sí</x:v>
      </x:c>
      <x:c r="T701" s="24" t="str">
        <x:f>"T"&amp;IF(AND(H701&lt;&gt;"",I701&lt;&gt;"",J701&lt;&gt;"",L701&lt;&gt;"",N701&lt;&gt;"",O701&lt;&gt;"",P701="APPROVED PUBLIC",S701="Sí"),6,IF(AND(H701&lt;&gt;"",I701&lt;&gt;"",J701&lt;&gt;"",L701&lt;&gt;"",N701&lt;&gt;"",O701&lt;&gt;"",P701&lt;&gt;"",S701="Sí"),5,IF(AND(H701&lt;&gt;"",I701&lt;&gt;"",P701&lt;&gt;"",S701&lt;&gt;"No"),4,IF(AND(H701&lt;&gt;"",I701&lt;&gt;""),3,IF(F701&lt;&gt;"",2,1)))))</x:f>
        <x:v>T5</x:v>
      </x:c>
      <x:c r="U701" s="24" t="str">
        <x:v>VRM Games</x:v>
      </x:c>
      <x:c r="V701" s="24" t="str">
        <x:v>No se detectó proveedor externo en la ruta; confirmar autoría por lote antes de release público.</x:v>
      </x:c>
    </x:row>
    <x:row r="702" ht="34" customHeight="1">
      <x:c r="A702" s="24" t="str">
        <x:v>TRC-00698</x:v>
      </x:c>
      <x:c r="B702" s="24" t="str">
        <x:v>e34c5db1b09140a1b15a73351d3b2879</x:v>
      </x:c>
      <x:c r="C702" s="24" t="str">
        <x:v>UIUXRepositoryTests.cs</x:v>
      </x:c>
      <x:c r="D702" s="24" t="str">
        <x:v>Code</x:v>
      </x:c>
      <x:c r="E702" s="24" t="str">
        <x:v>03_Assets_Internos</x:v>
      </x:c>
      <x:c r="F702" s="24" t="str">
        <x:v>INT-0698</x:v>
      </x:c>
      <x:c r="G702" s="24" t="str">
        <x:v>VRM Games / Blas Luis Rocha González</x:v>
      </x:c>
      <x:c r="H702" s="24" t="str">
        <x:v>Internal project IP / authorship claim</x:v>
      </x:c>
      <x:c r="I702" s="24" t="str">
        <x:v>Source package + repository path + hash</x:v>
      </x:c>
      <x:c r="J702" s="24" t="str">
        <x:v>acedca96504b7f7d4701148ca9e24ffe9143e11c72cf57e4238229443b68e37b</x:v>
      </x:c>
      <x:c r="K702" s="24" t="str">
        <x:v>Assets/_Project/Tests/EditMode/UIUX/UIUXRepositoryTests.cs</x:v>
      </x:c>
      <x:c r="L702" s="24" t="str">
        <x:v>CR-003</x:v>
      </x:c>
      <x:c r="M702" s="24" t="str"/>
      <x:c r="N702" s="24" t="str">
        <x:v>RES-001;RES-014</x:v>
      </x:c>
      <x:c r="O702" s="24" t="str">
        <x:v>Internal development; public candidate requires gate</x:v>
      </x:c>
      <x:c r="P702" s="24" t="str">
        <x:v>CONDITIONALLY APPROVED</x:v>
      </x:c>
      <x:c r="Q702" s="24" t="str">
        <x:v>Low</x:v>
      </x:c>
      <x:c r="R702" s="24" t="str"/>
      <x:c r="S702" s="24" t="str">
        <x:v>Sí</x:v>
      </x:c>
      <x:c r="T702" s="24" t="str">
        <x:f>"T"&amp;IF(AND(H702&lt;&gt;"",I702&lt;&gt;"",J702&lt;&gt;"",L702&lt;&gt;"",N702&lt;&gt;"",O702&lt;&gt;"",P702="APPROVED PUBLIC",S702="Sí"),6,IF(AND(H702&lt;&gt;"",I702&lt;&gt;"",J702&lt;&gt;"",L702&lt;&gt;"",N702&lt;&gt;"",O702&lt;&gt;"",P702&lt;&gt;"",S702="Sí"),5,IF(AND(H702&lt;&gt;"",I702&lt;&gt;"",P702&lt;&gt;"",S702&lt;&gt;"No"),4,IF(AND(H702&lt;&gt;"",I702&lt;&gt;""),3,IF(F702&lt;&gt;"",2,1)))))</x:f>
        <x:v>T5</x:v>
      </x:c>
      <x:c r="U702" s="24" t="str">
        <x:v>VRM Games</x:v>
      </x:c>
      <x:c r="V702" s="24" t="str">
        <x:v>No se detectó proveedor externo en la ruta; confirmar autoría por lote antes de release público.</x:v>
      </x:c>
    </x:row>
    <x:row r="703" ht="34" customHeight="1">
      <x:c r="A703" s="24" t="str">
        <x:v>TRC-00699</x:v>
      </x:c>
      <x:c r="B703" s="24" t="str">
        <x:v>087fa4c5a2fc42bc98da7428a15b32de</x:v>
      </x:c>
      <x:c r="C703" s="24" t="str">
        <x:v>UIUXTestFactory.cs</x:v>
      </x:c>
      <x:c r="D703" s="24" t="str">
        <x:v>Code</x:v>
      </x:c>
      <x:c r="E703" s="24" t="str">
        <x:v>03_Assets_Internos</x:v>
      </x:c>
      <x:c r="F703" s="24" t="str">
        <x:v>INT-0699</x:v>
      </x:c>
      <x:c r="G703" s="24" t="str">
        <x:v>VRM Games / Blas Luis Rocha González</x:v>
      </x:c>
      <x:c r="H703" s="24" t="str">
        <x:v>Internal project IP / authorship claim</x:v>
      </x:c>
      <x:c r="I703" s="24" t="str">
        <x:v>Source package + repository path + hash</x:v>
      </x:c>
      <x:c r="J703" s="24" t="str">
        <x:v>46f27aeef09c5566a6fc042e19b56a94ced77572fb3e89c9decd52c204ea82a3</x:v>
      </x:c>
      <x:c r="K703" s="24" t="str">
        <x:v>Assets/_Project/Tests/EditMode/UIUX/UIUXTestFactory.cs</x:v>
      </x:c>
      <x:c r="L703" s="24" t="str">
        <x:v>CR-003</x:v>
      </x:c>
      <x:c r="M703" s="24" t="str"/>
      <x:c r="N703" s="24" t="str">
        <x:v>RES-001;RES-014</x:v>
      </x:c>
      <x:c r="O703" s="24" t="str">
        <x:v>Internal development; public candidate requires gate</x:v>
      </x:c>
      <x:c r="P703" s="24" t="str">
        <x:v>CONDITIONALLY APPROVED</x:v>
      </x:c>
      <x:c r="Q703" s="24" t="str">
        <x:v>Low</x:v>
      </x:c>
      <x:c r="R703" s="24" t="str"/>
      <x:c r="S703" s="24" t="str">
        <x:v>Sí</x:v>
      </x:c>
      <x:c r="T703" s="24" t="str">
        <x:f>"T"&amp;IF(AND(H703&lt;&gt;"",I703&lt;&gt;"",J703&lt;&gt;"",L703&lt;&gt;"",N703&lt;&gt;"",O703&lt;&gt;"",P703="APPROVED PUBLIC",S703="Sí"),6,IF(AND(H703&lt;&gt;"",I703&lt;&gt;"",J703&lt;&gt;"",L703&lt;&gt;"",N703&lt;&gt;"",O703&lt;&gt;"",P703&lt;&gt;"",S703="Sí"),5,IF(AND(H703&lt;&gt;"",I703&lt;&gt;"",P703&lt;&gt;"",S703&lt;&gt;"No"),4,IF(AND(H703&lt;&gt;"",I703&lt;&gt;""),3,IF(F703&lt;&gt;"",2,1)))))</x:f>
        <x:v>T5</x:v>
      </x:c>
      <x:c r="U703" s="24" t="str">
        <x:v>VRM Games</x:v>
      </x:c>
      <x:c r="V703" s="24" t="str">
        <x:v>No se detectó proveedor externo en la ruta; confirmar autoría por lote antes de release público.</x:v>
      </x:c>
    </x:row>
    <x:row r="704" ht="34" customHeight="1">
      <x:c r="A704" s="24" t="str">
        <x:v>TRC-00700</x:v>
      </x:c>
      <x:c r="B704" s="24" t="str">
        <x:v>ecac2cbf2baf4cab8143fa95af343688</x:v>
      </x:c>
      <x:c r="C704" s="24" t="str">
        <x:v>UiNavigationTests.cs</x:v>
      </x:c>
      <x:c r="D704" s="24" t="str">
        <x:v>Code</x:v>
      </x:c>
      <x:c r="E704" s="24" t="str">
        <x:v>03_Assets_Internos</x:v>
      </x:c>
      <x:c r="F704" s="24" t="str">
        <x:v>INT-0700</x:v>
      </x:c>
      <x:c r="G704" s="24" t="str">
        <x:v>VRM Games / Blas Luis Rocha González</x:v>
      </x:c>
      <x:c r="H704" s="24" t="str">
        <x:v>Internal project IP / authorship claim</x:v>
      </x:c>
      <x:c r="I704" s="24" t="str">
        <x:v>Source package + repository path + hash</x:v>
      </x:c>
      <x:c r="J704" s="24" t="str">
        <x:v>a0591104abcda151cdfa707660dd86a4ce8dac0ff8bc74734c4525e9da50aa6b</x:v>
      </x:c>
      <x:c r="K704" s="24" t="str">
        <x:v>Assets/_Project/Tests/EditMode/UIUX/UiNavigationTests.cs</x:v>
      </x:c>
      <x:c r="L704" s="24" t="str">
        <x:v>CR-003</x:v>
      </x:c>
      <x:c r="M704" s="24" t="str"/>
      <x:c r="N704" s="24" t="str">
        <x:v>RES-001;RES-014</x:v>
      </x:c>
      <x:c r="O704" s="24" t="str">
        <x:v>Internal development; public candidate requires gate</x:v>
      </x:c>
      <x:c r="P704" s="24" t="str">
        <x:v>CONDITIONALLY APPROVED</x:v>
      </x:c>
      <x:c r="Q704" s="24" t="str">
        <x:v>Low</x:v>
      </x:c>
      <x:c r="R704" s="24" t="str"/>
      <x:c r="S704" s="24" t="str">
        <x:v>Sí</x:v>
      </x:c>
      <x:c r="T704" s="24" t="str">
        <x:f>"T"&amp;IF(AND(H704&lt;&gt;"",I704&lt;&gt;"",J704&lt;&gt;"",L704&lt;&gt;"",N704&lt;&gt;"",O704&lt;&gt;"",P704="APPROVED PUBLIC",S704="Sí"),6,IF(AND(H704&lt;&gt;"",I704&lt;&gt;"",J704&lt;&gt;"",L704&lt;&gt;"",N704&lt;&gt;"",O704&lt;&gt;"",P704&lt;&gt;"",S704="Sí"),5,IF(AND(H704&lt;&gt;"",I704&lt;&gt;"",P704&lt;&gt;"",S704&lt;&gt;"No"),4,IF(AND(H704&lt;&gt;"",I704&lt;&gt;""),3,IF(F704&lt;&gt;"",2,1)))))</x:f>
        <x:v>T5</x:v>
      </x:c>
      <x:c r="U704" s="24" t="str">
        <x:v>VRM Games</x:v>
      </x:c>
      <x:c r="V704" s="24" t="str">
        <x:v>No se detectó proveedor externo en la ruta; confirmar autoría por lote antes de release público.</x:v>
      </x:c>
    </x:row>
    <x:row r="705" ht="34" customHeight="1">
      <x:c r="A705" s="24" t="str">
        <x:v>TRC-00701</x:v>
      </x:c>
      <x:c r="B705" s="24" t="str">
        <x:v>bf86e1d9c09045841ad083f38ea094a0</x:v>
      </x:c>
      <x:c r="C705" s="24" t="str">
        <x:v>VRMGames.CartridgeAndCloud.Tests.EditMode.asmdef</x:v>
      </x:c>
      <x:c r="D705" s="24" t="str">
        <x:v>Assembly definition</x:v>
      </x:c>
      <x:c r="E705" s="24" t="str">
        <x:v>03_Assets_Internos</x:v>
      </x:c>
      <x:c r="F705" s="24" t="str">
        <x:v>INT-0701</x:v>
      </x:c>
      <x:c r="G705" s="24" t="str">
        <x:v>VRM Games / Blas Luis Rocha González</x:v>
      </x:c>
      <x:c r="H705" s="24" t="str">
        <x:v>Internal project IP / authorship claim</x:v>
      </x:c>
      <x:c r="I705" s="24" t="str">
        <x:v>Source package + repository path + hash</x:v>
      </x:c>
      <x:c r="J705" s="24" t="str">
        <x:v>4668ac933ffcc6194cd62e98f9a30b9f2d841e10664bee1db49178e7e13dfc4e</x:v>
      </x:c>
      <x:c r="K705" s="24" t="str">
        <x:v>Assets/_Project/Tests/EditMode/VRMGames.CartridgeAndCloud.Tests.EditMode.asmdef</x:v>
      </x:c>
      <x:c r="L705" s="24" t="str">
        <x:v>CR-003</x:v>
      </x:c>
      <x:c r="M705" s="24" t="str"/>
      <x:c r="N705" s="24" t="str">
        <x:v>RES-001;RES-014</x:v>
      </x:c>
      <x:c r="O705" s="24" t="str">
        <x:v>Internal development; public candidate requires gate</x:v>
      </x:c>
      <x:c r="P705" s="24" t="str">
        <x:v>CONDITIONALLY APPROVED</x:v>
      </x:c>
      <x:c r="Q705" s="24" t="str">
        <x:v>Low</x:v>
      </x:c>
      <x:c r="R705" s="24" t="str"/>
      <x:c r="S705" s="24" t="str">
        <x:v>Sí</x:v>
      </x:c>
      <x:c r="T705" s="24" t="str">
        <x:f>"T"&amp;IF(AND(H705&lt;&gt;"",I705&lt;&gt;"",J705&lt;&gt;"",L705&lt;&gt;"",N705&lt;&gt;"",O705&lt;&gt;"",P705="APPROVED PUBLIC",S705="Sí"),6,IF(AND(H705&lt;&gt;"",I705&lt;&gt;"",J705&lt;&gt;"",L705&lt;&gt;"",N705&lt;&gt;"",O705&lt;&gt;"",P705&lt;&gt;"",S705="Sí"),5,IF(AND(H705&lt;&gt;"",I705&lt;&gt;"",P705&lt;&gt;"",S705&lt;&gt;"No"),4,IF(AND(H705&lt;&gt;"",I705&lt;&gt;""),3,IF(F705&lt;&gt;"",2,1)))))</x:f>
        <x:v>T5</x:v>
      </x:c>
      <x:c r="U705" s="24" t="str">
        <x:v>VRM Games</x:v>
      </x:c>
      <x:c r="V705" s="24" t="str">
        <x:v>No se detectó proveedor externo en la ruta; confirmar autoría por lote antes de release público.</x:v>
      </x:c>
    </x:row>
    <x:row r="706" ht="34" customHeight="1">
      <x:c r="A706" s="24" t="str">
        <x:v>TRC-00702</x:v>
      </x:c>
      <x:c r="B706" s="24" t="str">
        <x:v>c7b65275c45bd02f9d8ca9a1688e2ddc</x:v>
      </x:c>
      <x:c r="C706" s="24" t="str">
        <x:v>Phase1AssetAuthoringTests.cs</x:v>
      </x:c>
      <x:c r="D706" s="24" t="str">
        <x:v>Code</x:v>
      </x:c>
      <x:c r="E706" s="24" t="str">
        <x:v>03_Assets_Internos</x:v>
      </x:c>
      <x:c r="F706" s="24" t="str">
        <x:v>INT-0702</x:v>
      </x:c>
      <x:c r="G706" s="24" t="str">
        <x:v>VRM Games / Blas Luis Rocha González</x:v>
      </x:c>
      <x:c r="H706" s="24" t="str">
        <x:v>Internal project IP / authorship claim</x:v>
      </x:c>
      <x:c r="I706" s="24" t="str">
        <x:v>Source package + repository path + hash</x:v>
      </x:c>
      <x:c r="J706" s="24" t="str">
        <x:v>fcde6afc45e0b8e7f22b144c91d8a8860cedadcb778e0bca9f111b827d6ef156</x:v>
      </x:c>
      <x:c r="K706" s="24" t="str">
        <x:v>Assets/_Project/Tests/EditMode/VerticalSlicePhase1/Phase1AssetAuthoringTests.cs</x:v>
      </x:c>
      <x:c r="L706" s="24" t="str">
        <x:v>CR-003</x:v>
      </x:c>
      <x:c r="M706" s="24" t="str"/>
      <x:c r="N706" s="24" t="str">
        <x:v>RES-001;RES-014</x:v>
      </x:c>
      <x:c r="O706" s="24" t="str">
        <x:v>Internal development; public candidate requires gate</x:v>
      </x:c>
      <x:c r="P706" s="24" t="str">
        <x:v>CONDITIONALLY APPROVED</x:v>
      </x:c>
      <x:c r="Q706" s="24" t="str">
        <x:v>Low</x:v>
      </x:c>
      <x:c r="R706" s="24" t="str"/>
      <x:c r="S706" s="24" t="str">
        <x:v>Sí</x:v>
      </x:c>
      <x:c r="T706" s="24" t="str">
        <x:f>"T"&amp;IF(AND(H706&lt;&gt;"",I706&lt;&gt;"",J706&lt;&gt;"",L706&lt;&gt;"",N706&lt;&gt;"",O706&lt;&gt;"",P706="APPROVED PUBLIC",S706="Sí"),6,IF(AND(H706&lt;&gt;"",I706&lt;&gt;"",J706&lt;&gt;"",L706&lt;&gt;"",N706&lt;&gt;"",O706&lt;&gt;"",P706&lt;&gt;"",S706="Sí"),5,IF(AND(H706&lt;&gt;"",I706&lt;&gt;"",P706&lt;&gt;"",S706&lt;&gt;"No"),4,IF(AND(H706&lt;&gt;"",I706&lt;&gt;""),3,IF(F706&lt;&gt;"",2,1)))))</x:f>
        <x:v>T5</x:v>
      </x:c>
      <x:c r="U706" s="24" t="str">
        <x:v>VRM Games</x:v>
      </x:c>
      <x:c r="V706" s="24" t="str">
        <x:v>No se detectó proveedor externo en la ruta; confirmar autoría por lote antes de release público.</x:v>
      </x:c>
    </x:row>
    <x:row r="707" ht="34" customHeight="1">
      <x:c r="A707" s="24" t="str">
        <x:v>TRC-00703</x:v>
      </x:c>
      <x:c r="B707" s="24" t="str">
        <x:v>e8d02db8490b385595aea82c6072145c</x:v>
      </x:c>
      <x:c r="C707" s="24" t="str">
        <x:v>Phase1CatalogModelTests.cs</x:v>
      </x:c>
      <x:c r="D707" s="24" t="str">
        <x:v>Code</x:v>
      </x:c>
      <x:c r="E707" s="24" t="str">
        <x:v>03_Assets_Internos</x:v>
      </x:c>
      <x:c r="F707" s="24" t="str">
        <x:v>INT-0703</x:v>
      </x:c>
      <x:c r="G707" s="24" t="str">
        <x:v>VRM Games / Blas Luis Rocha González</x:v>
      </x:c>
      <x:c r="H707" s="24" t="str">
        <x:v>Internal project IP / authorship claim</x:v>
      </x:c>
      <x:c r="I707" s="24" t="str">
        <x:v>Source package + repository path + hash</x:v>
      </x:c>
      <x:c r="J707" s="24" t="str">
        <x:v>184e1a7252fd0379c3d03bbd7c5fd7763fb6402c3043e295678bf517814de7d3</x:v>
      </x:c>
      <x:c r="K707" s="24" t="str">
        <x:v>Assets/_Project/Tests/EditMode/VerticalSlicePhase1/Phase1CatalogModelTests.cs</x:v>
      </x:c>
      <x:c r="L707" s="24" t="str">
        <x:v>CR-003</x:v>
      </x:c>
      <x:c r="M707" s="24" t="str"/>
      <x:c r="N707" s="24" t="str">
        <x:v>RES-001;RES-014</x:v>
      </x:c>
      <x:c r="O707" s="24" t="str">
        <x:v>Internal development; public candidate requires gate</x:v>
      </x:c>
      <x:c r="P707" s="24" t="str">
        <x:v>CONDITIONALLY APPROVED</x:v>
      </x:c>
      <x:c r="Q707" s="24" t="str">
        <x:v>Low</x:v>
      </x:c>
      <x:c r="R707" s="24" t="str"/>
      <x:c r="S707" s="24" t="str">
        <x:v>Sí</x:v>
      </x:c>
      <x:c r="T707" s="24" t="str">
        <x:f>"T"&amp;IF(AND(H707&lt;&gt;"",I707&lt;&gt;"",J707&lt;&gt;"",L707&lt;&gt;"",N707&lt;&gt;"",O707&lt;&gt;"",P707="APPROVED PUBLIC",S707="Sí"),6,IF(AND(H707&lt;&gt;"",I707&lt;&gt;"",J707&lt;&gt;"",L707&lt;&gt;"",N707&lt;&gt;"",O707&lt;&gt;"",P707&lt;&gt;"",S707="Sí"),5,IF(AND(H707&lt;&gt;"",I707&lt;&gt;"",P707&lt;&gt;"",S707&lt;&gt;"No"),4,IF(AND(H707&lt;&gt;"",I707&lt;&gt;""),3,IF(F707&lt;&gt;"",2,1)))))</x:f>
        <x:v>T5</x:v>
      </x:c>
      <x:c r="U707" s="24" t="str">
        <x:v>VRM Games</x:v>
      </x:c>
      <x:c r="V707" s="24" t="str">
        <x:v>No se detectó proveedor externo en la ruta; confirmar autoría por lote antes de release público.</x:v>
      </x:c>
    </x:row>
    <x:row r="708" ht="34" customHeight="1">
      <x:c r="A708" s="24" t="str">
        <x:v>TRC-00704</x:v>
      </x:c>
      <x:c r="B708" s="24" t="str">
        <x:v>b1d7e4a7e5f4aa412d4bdd29b7976455</x:v>
      </x:c>
      <x:c r="C708" s="24" t="str">
        <x:v>Phase1CatalogTests.cs</x:v>
      </x:c>
      <x:c r="D708" s="24" t="str">
        <x:v>Code</x:v>
      </x:c>
      <x:c r="E708" s="24" t="str">
        <x:v>03_Assets_Internos</x:v>
      </x:c>
      <x:c r="F708" s="24" t="str">
        <x:v>INT-0704</x:v>
      </x:c>
      <x:c r="G708" s="24" t="str">
        <x:v>VRM Games / Blas Luis Rocha González</x:v>
      </x:c>
      <x:c r="H708" s="24" t="str">
        <x:v>Internal project IP / authorship claim</x:v>
      </x:c>
      <x:c r="I708" s="24" t="str">
        <x:v>Source package + repository path + hash</x:v>
      </x:c>
      <x:c r="J708" s="24" t="str">
        <x:v>9de67639a029647900484e514134117ec213ba2a4517ad36b5f071829c06366b</x:v>
      </x:c>
      <x:c r="K708" s="24" t="str">
        <x:v>Assets/_Project/Tests/EditMode/VerticalSlicePhase1/Phase1CatalogTests.cs</x:v>
      </x:c>
      <x:c r="L708" s="24" t="str">
        <x:v>CR-003</x:v>
      </x:c>
      <x:c r="M708" s="24" t="str"/>
      <x:c r="N708" s="24" t="str">
        <x:v>RES-001;RES-014</x:v>
      </x:c>
      <x:c r="O708" s="24" t="str">
        <x:v>Internal development; public candidate requires gate</x:v>
      </x:c>
      <x:c r="P708" s="24" t="str">
        <x:v>CONDITIONALLY APPROVED</x:v>
      </x:c>
      <x:c r="Q708" s="24" t="str">
        <x:v>Low</x:v>
      </x:c>
      <x:c r="R708" s="24" t="str"/>
      <x:c r="S708" s="24" t="str">
        <x:v>Sí</x:v>
      </x:c>
      <x:c r="T708" s="24" t="str">
        <x:f>"T"&amp;IF(AND(H708&lt;&gt;"",I708&lt;&gt;"",J708&lt;&gt;"",L708&lt;&gt;"",N708&lt;&gt;"",O708&lt;&gt;"",P708="APPROVED PUBLIC",S708="Sí"),6,IF(AND(H708&lt;&gt;"",I708&lt;&gt;"",J708&lt;&gt;"",L708&lt;&gt;"",N708&lt;&gt;"",O708&lt;&gt;"",P708&lt;&gt;"",S708="Sí"),5,IF(AND(H708&lt;&gt;"",I708&lt;&gt;"",P708&lt;&gt;"",S708&lt;&gt;"No"),4,IF(AND(H708&lt;&gt;"",I708&lt;&gt;""),3,IF(F708&lt;&gt;"",2,1)))))</x:f>
        <x:v>T5</x:v>
      </x:c>
      <x:c r="U708" s="24" t="str">
        <x:v>VRM Games</x:v>
      </x:c>
      <x:c r="V708" s="24" t="str">
        <x:v>No se detectó proveedor externo en la ruta; confirmar autoría por lote antes de release público.</x:v>
      </x:c>
    </x:row>
    <x:row r="709" ht="34" customHeight="1">
      <x:c r="A709" s="24" t="str">
        <x:v>TRC-00705</x:v>
      </x:c>
      <x:c r="B709" s="24" t="str">
        <x:v>114a8ab22e1e5e4023b5749e18965ef0</x:v>
      </x:c>
      <x:c r="C709" s="24" t="str">
        <x:v>Phase1PlayableProcedureTests.cs</x:v>
      </x:c>
      <x:c r="D709" s="24" t="str">
        <x:v>Code</x:v>
      </x:c>
      <x:c r="E709" s="24" t="str">
        <x:v>03_Assets_Internos</x:v>
      </x:c>
      <x:c r="F709" s="24" t="str">
        <x:v>INT-0705</x:v>
      </x:c>
      <x:c r="G709" s="24" t="str">
        <x:v>VRM Games / Blas Luis Rocha González</x:v>
      </x:c>
      <x:c r="H709" s="24" t="str">
        <x:v>Internal project IP / authorship claim</x:v>
      </x:c>
      <x:c r="I709" s="24" t="str">
        <x:v>Source package + repository path + hash</x:v>
      </x:c>
      <x:c r="J709" s="24" t="str">
        <x:v>2d00503d181958e3e63af2bc02a796fafb44aaed748fae59d86ad18244964fc5</x:v>
      </x:c>
      <x:c r="K709" s="24" t="str">
        <x:v>Assets/_Project/Tests/EditMode/VerticalSlicePhase1/Phase1PlayableProcedureTests.cs</x:v>
      </x:c>
      <x:c r="L709" s="24" t="str">
        <x:v>CR-003</x:v>
      </x:c>
      <x:c r="M709" s="24" t="str"/>
      <x:c r="N709" s="24" t="str">
        <x:v>RES-001;RES-014</x:v>
      </x:c>
      <x:c r="O709" s="24" t="str">
        <x:v>Internal development; public candidate requires gate</x:v>
      </x:c>
      <x:c r="P709" s="24" t="str">
        <x:v>CONDITIONALLY APPROVED</x:v>
      </x:c>
      <x:c r="Q709" s="24" t="str">
        <x:v>Low</x:v>
      </x:c>
      <x:c r="R709" s="24" t="str"/>
      <x:c r="S709" s="24" t="str">
        <x:v>Sí</x:v>
      </x:c>
      <x:c r="T709" s="24" t="str">
        <x:f>"T"&amp;IF(AND(H709&lt;&gt;"",I709&lt;&gt;"",J709&lt;&gt;"",L709&lt;&gt;"",N709&lt;&gt;"",O709&lt;&gt;"",P709="APPROVED PUBLIC",S709="Sí"),6,IF(AND(H709&lt;&gt;"",I709&lt;&gt;"",J709&lt;&gt;"",L709&lt;&gt;"",N709&lt;&gt;"",O709&lt;&gt;"",P709&lt;&gt;"",S709="Sí"),5,IF(AND(H709&lt;&gt;"",I709&lt;&gt;"",P709&lt;&gt;"",S709&lt;&gt;"No"),4,IF(AND(H709&lt;&gt;"",I709&lt;&gt;""),3,IF(F709&lt;&gt;"",2,1)))))</x:f>
        <x:v>T5</x:v>
      </x:c>
      <x:c r="U709" s="24" t="str">
        <x:v>VRM Games</x:v>
      </x:c>
      <x:c r="V709" s="24" t="str">
        <x:v>No se detectó proveedor externo en la ruta; confirmar autoría por lote antes de release público.</x:v>
      </x:c>
    </x:row>
    <x:row r="710" ht="34" customHeight="1">
      <x:c r="A710" s="24" t="str">
        <x:v>TRC-00706</x:v>
      </x:c>
      <x:c r="B710" s="24" t="str">
        <x:v>e9144c84f1bfd2e1c5de4bc7d1ace2fc</x:v>
      </x:c>
      <x:c r="C710" s="24" t="str">
        <x:v>Phase1RepositoryTests.cs</x:v>
      </x:c>
      <x:c r="D710" s="24" t="str">
        <x:v>Code</x:v>
      </x:c>
      <x:c r="E710" s="24" t="str">
        <x:v>03_Assets_Internos</x:v>
      </x:c>
      <x:c r="F710" s="24" t="str">
        <x:v>INT-0706</x:v>
      </x:c>
      <x:c r="G710" s="24" t="str">
        <x:v>VRM Games / Blas Luis Rocha González</x:v>
      </x:c>
      <x:c r="H710" s="24" t="str">
        <x:v>Internal project IP / authorship claim</x:v>
      </x:c>
      <x:c r="I710" s="24" t="str">
        <x:v>Source package + repository path + hash</x:v>
      </x:c>
      <x:c r="J710" s="24" t="str">
        <x:v>06ca40758a2ef54cc6135da01dc3fef8a166f82ca54229a3c5d993b8f05f7546</x:v>
      </x:c>
      <x:c r="K710" s="24" t="str">
        <x:v>Assets/_Project/Tests/EditMode/VerticalSlicePhase1/Phase1RepositoryTests.cs</x:v>
      </x:c>
      <x:c r="L710" s="24" t="str">
        <x:v>CR-003</x:v>
      </x:c>
      <x:c r="M710" s="24" t="str"/>
      <x:c r="N710" s="24" t="str">
        <x:v>RES-001;RES-014</x:v>
      </x:c>
      <x:c r="O710" s="24" t="str">
        <x:v>Internal development; public candidate requires gate</x:v>
      </x:c>
      <x:c r="P710" s="24" t="str">
        <x:v>CONDITIONALLY APPROVED</x:v>
      </x:c>
      <x:c r="Q710" s="24" t="str">
        <x:v>Low</x:v>
      </x:c>
      <x:c r="R710" s="24" t="str"/>
      <x:c r="S710" s="24" t="str">
        <x:v>Sí</x:v>
      </x:c>
      <x:c r="T710" s="24" t="str">
        <x:f>"T"&amp;IF(AND(H710&lt;&gt;"",I710&lt;&gt;"",J710&lt;&gt;"",L710&lt;&gt;"",N710&lt;&gt;"",O710&lt;&gt;"",P710="APPROVED PUBLIC",S710="Sí"),6,IF(AND(H710&lt;&gt;"",I710&lt;&gt;"",J710&lt;&gt;"",L710&lt;&gt;"",N710&lt;&gt;"",O710&lt;&gt;"",P710&lt;&gt;"",S710="Sí"),5,IF(AND(H710&lt;&gt;"",I710&lt;&gt;"",P710&lt;&gt;"",S710&lt;&gt;"No"),4,IF(AND(H710&lt;&gt;"",I710&lt;&gt;""),3,IF(F710&lt;&gt;"",2,1)))))</x:f>
        <x:v>T5</x:v>
      </x:c>
      <x:c r="U710" s="24" t="str">
        <x:v>VRM Games</x:v>
      </x:c>
      <x:c r="V710" s="24" t="str">
        <x:v>No se detectó proveedor externo en la ruta; confirmar autoría por lote antes de release público.</x:v>
      </x:c>
    </x:row>
    <x:row r="711" ht="34" customHeight="1">
      <x:c r="A711" s="24" t="str">
        <x:v>TRC-00707</x:v>
      </x:c>
      <x:c r="B711" s="24" t="str">
        <x:v>a0a01e28306c2d6a01216498943bc968</x:v>
      </x:c>
      <x:c r="C711" s="24" t="str">
        <x:v>Phase1StateTests.cs</x:v>
      </x:c>
      <x:c r="D711" s="24" t="str">
        <x:v>Code</x:v>
      </x:c>
      <x:c r="E711" s="24" t="str">
        <x:v>03_Assets_Internos</x:v>
      </x:c>
      <x:c r="F711" s="24" t="str">
        <x:v>INT-0707</x:v>
      </x:c>
      <x:c r="G711" s="24" t="str">
        <x:v>VRM Games / Blas Luis Rocha González</x:v>
      </x:c>
      <x:c r="H711" s="24" t="str">
        <x:v>Internal project IP / authorship claim</x:v>
      </x:c>
      <x:c r="I711" s="24" t="str">
        <x:v>Source package + repository path + hash</x:v>
      </x:c>
      <x:c r="J711" s="24" t="str">
        <x:v>88b4e59b4725bda6202ee0028f9a68ef90ecc80eda5dd810675e0e693d280882</x:v>
      </x:c>
      <x:c r="K711" s="24" t="str">
        <x:v>Assets/_Project/Tests/EditMode/VerticalSlicePhase1/Phase1StateTests.cs</x:v>
      </x:c>
      <x:c r="L711" s="24" t="str">
        <x:v>CR-003</x:v>
      </x:c>
      <x:c r="M711" s="24" t="str"/>
      <x:c r="N711" s="24" t="str">
        <x:v>RES-001;RES-014</x:v>
      </x:c>
      <x:c r="O711" s="24" t="str">
        <x:v>Internal development; public candidate requires gate</x:v>
      </x:c>
      <x:c r="P711" s="24" t="str">
        <x:v>CONDITIONALLY APPROVED</x:v>
      </x:c>
      <x:c r="Q711" s="24" t="str">
        <x:v>Low</x:v>
      </x:c>
      <x:c r="R711" s="24" t="str"/>
      <x:c r="S711" s="24" t="str">
        <x:v>Sí</x:v>
      </x:c>
      <x:c r="T711" s="24" t="str">
        <x:f>"T"&amp;IF(AND(H711&lt;&gt;"",I711&lt;&gt;"",J711&lt;&gt;"",L711&lt;&gt;"",N711&lt;&gt;"",O711&lt;&gt;"",P711="APPROVED PUBLIC",S711="Sí"),6,IF(AND(H711&lt;&gt;"",I711&lt;&gt;"",J711&lt;&gt;"",L711&lt;&gt;"",N711&lt;&gt;"",O711&lt;&gt;"",P711&lt;&gt;"",S711="Sí"),5,IF(AND(H711&lt;&gt;"",I711&lt;&gt;"",P711&lt;&gt;"",S711&lt;&gt;"No"),4,IF(AND(H711&lt;&gt;"",I711&lt;&gt;""),3,IF(F711&lt;&gt;"",2,1)))))</x:f>
        <x:v>T5</x:v>
      </x:c>
      <x:c r="U711" s="24" t="str">
        <x:v>VRM Games</x:v>
      </x:c>
      <x:c r="V711" s="24" t="str">
        <x:v>No se detectó proveedor externo en la ruta; confirmar autoría por lote antes de release público.</x:v>
      </x:c>
    </x:row>
    <x:row r="712" ht="34" customHeight="1">
      <x:c r="A712" s="24" t="str">
        <x:v>TRC-00708</x:v>
      </x:c>
      <x:c r="B712" s="24" t="str">
        <x:v>8ea1781f5b700e82a2113b108dbfca74</x:v>
      </x:c>
      <x:c r="C712" s="24" t="str">
        <x:v>Phase1TestFactory.cs</x:v>
      </x:c>
      <x:c r="D712" s="24" t="str">
        <x:v>Code</x:v>
      </x:c>
      <x:c r="E712" s="24" t="str">
        <x:v>03_Assets_Internos</x:v>
      </x:c>
      <x:c r="F712" s="24" t="str">
        <x:v>INT-0708</x:v>
      </x:c>
      <x:c r="G712" s="24" t="str">
        <x:v>VRM Games / Blas Luis Rocha González</x:v>
      </x:c>
      <x:c r="H712" s="24" t="str">
        <x:v>Internal project IP / authorship claim</x:v>
      </x:c>
      <x:c r="I712" s="24" t="str">
        <x:v>Source package + repository path + hash</x:v>
      </x:c>
      <x:c r="J712" s="24" t="str">
        <x:v>ccbec6975e45f61ea190f7d1e926f492357fb5380ecc53cd3ca43c649ea27c71</x:v>
      </x:c>
      <x:c r="K712" s="24" t="str">
        <x:v>Assets/_Project/Tests/EditMode/VerticalSlicePhase1/Phase1TestFactory.cs</x:v>
      </x:c>
      <x:c r="L712" s="24" t="str">
        <x:v>CR-003</x:v>
      </x:c>
      <x:c r="M712" s="24" t="str"/>
      <x:c r="N712" s="24" t="str">
        <x:v>RES-001;RES-014</x:v>
      </x:c>
      <x:c r="O712" s="24" t="str">
        <x:v>Internal development; public candidate requires gate</x:v>
      </x:c>
      <x:c r="P712" s="24" t="str">
        <x:v>CONDITIONALLY APPROVED</x:v>
      </x:c>
      <x:c r="Q712" s="24" t="str">
        <x:v>Low</x:v>
      </x:c>
      <x:c r="R712" s="24" t="str"/>
      <x:c r="S712" s="24" t="str">
        <x:v>Sí</x:v>
      </x:c>
      <x:c r="T712" s="24" t="str">
        <x:f>"T"&amp;IF(AND(H712&lt;&gt;"",I712&lt;&gt;"",J712&lt;&gt;"",L712&lt;&gt;"",N712&lt;&gt;"",O712&lt;&gt;"",P712="APPROVED PUBLIC",S712="Sí"),6,IF(AND(H712&lt;&gt;"",I712&lt;&gt;"",J712&lt;&gt;"",L712&lt;&gt;"",N712&lt;&gt;"",O712&lt;&gt;"",P712&lt;&gt;"",S712="Sí"),5,IF(AND(H712&lt;&gt;"",I712&lt;&gt;"",P712&lt;&gt;"",S712&lt;&gt;"No"),4,IF(AND(H712&lt;&gt;"",I712&lt;&gt;""),3,IF(F712&lt;&gt;"",2,1)))))</x:f>
        <x:v>T5</x:v>
      </x:c>
      <x:c r="U712" s="24" t="str">
        <x:v>VRM Games</x:v>
      </x:c>
      <x:c r="V712" s="24" t="str">
        <x:v>No se detectó proveedor externo en la ruta; confirmar autoría por lote antes de release público.</x:v>
      </x:c>
    </x:row>
    <x:row r="713" ht="34" customHeight="1">
      <x:c r="A713" s="24" t="str">
        <x:v>TRC-00709</x:v>
      </x:c>
      <x:c r="B713" s="24" t="str">
        <x:v>6e082734d469af16df810f5ae85386b3</x:v>
      </x:c>
      <x:c r="C713" s="24" t="str">
        <x:v>Phase1VerticalSliceServiceTests.cs</x:v>
      </x:c>
      <x:c r="D713" s="24" t="str">
        <x:v>Code</x:v>
      </x:c>
      <x:c r="E713" s="24" t="str">
        <x:v>03_Assets_Internos</x:v>
      </x:c>
      <x:c r="F713" s="24" t="str">
        <x:v>INT-0709</x:v>
      </x:c>
      <x:c r="G713" s="24" t="str">
        <x:v>VRM Games / Blas Luis Rocha González</x:v>
      </x:c>
      <x:c r="H713" s="24" t="str">
        <x:v>Internal project IP / authorship claim</x:v>
      </x:c>
      <x:c r="I713" s="24" t="str">
        <x:v>Source package + repository path + hash</x:v>
      </x:c>
      <x:c r="J713" s="24" t="str">
        <x:v>d6801799ee6e506a9a7fedb56972f752e9423efce86f1b9c5d4fd785cc841552</x:v>
      </x:c>
      <x:c r="K713" s="24" t="str">
        <x:v>Assets/_Project/Tests/EditMode/VerticalSlicePhase1/Phase1VerticalSliceServiceTests.cs</x:v>
      </x:c>
      <x:c r="L713" s="24" t="str">
        <x:v>CR-003</x:v>
      </x:c>
      <x:c r="M713" s="24" t="str"/>
      <x:c r="N713" s="24" t="str">
        <x:v>RES-001;RES-014</x:v>
      </x:c>
      <x:c r="O713" s="24" t="str">
        <x:v>Internal development; public candidate requires gate</x:v>
      </x:c>
      <x:c r="P713" s="24" t="str">
        <x:v>CONDITIONALLY APPROVED</x:v>
      </x:c>
      <x:c r="Q713" s="24" t="str">
        <x:v>Low</x:v>
      </x:c>
      <x:c r="R713" s="24" t="str"/>
      <x:c r="S713" s="24" t="str">
        <x:v>Sí</x:v>
      </x:c>
      <x:c r="T713" s="24" t="str">
        <x:f>"T"&amp;IF(AND(H713&lt;&gt;"",I713&lt;&gt;"",J713&lt;&gt;"",L713&lt;&gt;"",N713&lt;&gt;"",O713&lt;&gt;"",P713="APPROVED PUBLIC",S713="Sí"),6,IF(AND(H713&lt;&gt;"",I713&lt;&gt;"",J713&lt;&gt;"",L713&lt;&gt;"",N713&lt;&gt;"",O713&lt;&gt;"",P713&lt;&gt;"",S713="Sí"),5,IF(AND(H713&lt;&gt;"",I713&lt;&gt;"",P713&lt;&gt;"",S713&lt;&gt;"No"),4,IF(AND(H713&lt;&gt;"",I713&lt;&gt;""),3,IF(F713&lt;&gt;"",2,1)))))</x:f>
        <x:v>T5</x:v>
      </x:c>
      <x:c r="U713" s="24" t="str">
        <x:v>VRM Games</x:v>
      </x:c>
      <x:c r="V713" s="24" t="str">
        <x:v>No se detectó proveedor externo en la ruta; confirmar autoría por lote antes de release público.</x:v>
      </x:c>
    </x:row>
    <x:row r="714" ht="34" customHeight="1">
      <x:c r="A714" s="24" t="str">
        <x:v>TRC-00710</x:v>
      </x:c>
      <x:c r="B714" s="24" t="str">
        <x:v>52a25a6d97f14a6b9779d0c5ed39f31f</x:v>
      </x:c>
      <x:c r="C714" s="24" t="str">
        <x:v>PlacementInputActionsTests.cs</x:v>
      </x:c>
      <x:c r="D714" s="24" t="str">
        <x:v>Code</x:v>
      </x:c>
      <x:c r="E714" s="24" t="str">
        <x:v>03_Assets_Internos</x:v>
      </x:c>
      <x:c r="F714" s="24" t="str">
        <x:v>INT-0710</x:v>
      </x:c>
      <x:c r="G714" s="24" t="str">
        <x:v>VRM Games / Blas Luis Rocha González</x:v>
      </x:c>
      <x:c r="H714" s="24" t="str">
        <x:v>Internal project IP / authorship claim</x:v>
      </x:c>
      <x:c r="I714" s="24" t="str">
        <x:v>Source package + repository path + hash</x:v>
      </x:c>
      <x:c r="J714" s="24" t="str">
        <x:v>c9ea1fac974ed350b6512d28309e9ddfb7b96fa9eab74cf36ca73de6932a7410</x:v>
      </x:c>
      <x:c r="K714" s="24" t="str">
        <x:v>Assets/_Project/Tests/InputSystem/EditMode/Placement/PlacementInputActionsTests.cs</x:v>
      </x:c>
      <x:c r="L714" s="24" t="str">
        <x:v>CR-003</x:v>
      </x:c>
      <x:c r="M714" s="24" t="str"/>
      <x:c r="N714" s="24" t="str">
        <x:v>RES-001;RES-014</x:v>
      </x:c>
      <x:c r="O714" s="24" t="str">
        <x:v>Internal development; public candidate requires gate</x:v>
      </x:c>
      <x:c r="P714" s="24" t="str">
        <x:v>CONDITIONALLY APPROVED</x:v>
      </x:c>
      <x:c r="Q714" s="24" t="str">
        <x:v>Low</x:v>
      </x:c>
      <x:c r="R714" s="24" t="str"/>
      <x:c r="S714" s="24" t="str">
        <x:v>Sí</x:v>
      </x:c>
      <x:c r="T714" s="24" t="str">
        <x:f>"T"&amp;IF(AND(H714&lt;&gt;"",I714&lt;&gt;"",J714&lt;&gt;"",L714&lt;&gt;"",N714&lt;&gt;"",O714&lt;&gt;"",P714="APPROVED PUBLIC",S714="Sí"),6,IF(AND(H714&lt;&gt;"",I714&lt;&gt;"",J714&lt;&gt;"",L714&lt;&gt;"",N714&lt;&gt;"",O714&lt;&gt;"",P714&lt;&gt;"",S714="Sí"),5,IF(AND(H714&lt;&gt;"",I714&lt;&gt;"",P714&lt;&gt;"",S714&lt;&gt;"No"),4,IF(AND(H714&lt;&gt;"",I714&lt;&gt;""),3,IF(F714&lt;&gt;"",2,1)))))</x:f>
        <x:v>T5</x:v>
      </x:c>
      <x:c r="U714" s="24" t="str">
        <x:v>VRM Games</x:v>
      </x:c>
      <x:c r="V714" s="24" t="str">
        <x:v>No se detectó proveedor externo en la ruta; confirmar autoría por lote antes de release público.</x:v>
      </x:c>
    </x:row>
    <x:row r="715" ht="34" customHeight="1">
      <x:c r="A715" s="24" t="str">
        <x:v>TRC-00711</x:v>
      </x:c>
      <x:c r="B715" s="24" t="str">
        <x:v>9651a5b18e9a41fdb2ba4a5e21804244</x:v>
      </x:c>
      <x:c r="C715" s="24" t="str">
        <x:v>PlacementModeInputActionsTests.cs</x:v>
      </x:c>
      <x:c r="D715" s="24" t="str">
        <x:v>Code</x:v>
      </x:c>
      <x:c r="E715" s="24" t="str">
        <x:v>03_Assets_Internos</x:v>
      </x:c>
      <x:c r="F715" s="24" t="str">
        <x:v>INT-0711</x:v>
      </x:c>
      <x:c r="G715" s="24" t="str">
        <x:v>VRM Games / Blas Luis Rocha González</x:v>
      </x:c>
      <x:c r="H715" s="24" t="str">
        <x:v>Internal project IP / authorship claim</x:v>
      </x:c>
      <x:c r="I715" s="24" t="str">
        <x:v>Source package + repository path + hash</x:v>
      </x:c>
      <x:c r="J715" s="24" t="str">
        <x:v>552490d988f7ff308bc92d9db6abef04f0cb3a0b9bd51ed0ffdd8a3f1b24dd5b</x:v>
      </x:c>
      <x:c r="K715" s="24" t="str">
        <x:v>Assets/_Project/Tests/InputSystem/EditMode/Placement/PlacementModeInputActionsTests.cs</x:v>
      </x:c>
      <x:c r="L715" s="24" t="str">
        <x:v>CR-003</x:v>
      </x:c>
      <x:c r="M715" s="24" t="str"/>
      <x:c r="N715" s="24" t="str">
        <x:v>RES-001;RES-014</x:v>
      </x:c>
      <x:c r="O715" s="24" t="str">
        <x:v>Internal development; public candidate requires gate</x:v>
      </x:c>
      <x:c r="P715" s="24" t="str">
        <x:v>CONDITIONALLY APPROVED</x:v>
      </x:c>
      <x:c r="Q715" s="24" t="str">
        <x:v>Low</x:v>
      </x:c>
      <x:c r="R715" s="24" t="str"/>
      <x:c r="S715" s="24" t="str">
        <x:v>Sí</x:v>
      </x:c>
      <x:c r="T715" s="24" t="str">
        <x:f>"T"&amp;IF(AND(H715&lt;&gt;"",I715&lt;&gt;"",J715&lt;&gt;"",L715&lt;&gt;"",N715&lt;&gt;"",O715&lt;&gt;"",P715="APPROVED PUBLIC",S715="Sí"),6,IF(AND(H715&lt;&gt;"",I715&lt;&gt;"",J715&lt;&gt;"",L715&lt;&gt;"",N715&lt;&gt;"",O715&lt;&gt;"",P715&lt;&gt;"",S715="Sí"),5,IF(AND(H715&lt;&gt;"",I715&lt;&gt;"",P715&lt;&gt;"",S715&lt;&gt;"No"),4,IF(AND(H715&lt;&gt;"",I715&lt;&gt;""),3,IF(F715&lt;&gt;"",2,1)))))</x:f>
        <x:v>T5</x:v>
      </x:c>
      <x:c r="U715" s="24" t="str">
        <x:v>VRM Games</x:v>
      </x:c>
      <x:c r="V715" s="24" t="str">
        <x:v>No se detectó proveedor externo en la ruta; confirmar autoría por lote antes de release público.</x:v>
      </x:c>
    </x:row>
    <x:row r="716" ht="34" customHeight="1">
      <x:c r="A716" s="24" t="str">
        <x:v>TRC-00712</x:v>
      </x:c>
      <x:c r="B716" s="24" t="str">
        <x:v>05ac5c4c038543efb65977cb433230cf</x:v>
      </x:c>
      <x:c r="C716" s="24" t="str">
        <x:v>ProjectInputActionsTests.cs</x:v>
      </x:c>
      <x:c r="D716" s="24" t="str">
        <x:v>Code</x:v>
      </x:c>
      <x:c r="E716" s="24" t="str">
        <x:v>03_Assets_Internos</x:v>
      </x:c>
      <x:c r="F716" s="24" t="str">
        <x:v>INT-0712</x:v>
      </x:c>
      <x:c r="G716" s="24" t="str">
        <x:v>VRM Games / Blas Luis Rocha González</x:v>
      </x:c>
      <x:c r="H716" s="24" t="str">
        <x:v>Internal project IP / authorship claim</x:v>
      </x:c>
      <x:c r="I716" s="24" t="str">
        <x:v>Source package + repository path + hash</x:v>
      </x:c>
      <x:c r="J716" s="24" t="str">
        <x:v>0bff58254dba9313608df1afa1b3700ed37771788f019ac620936a3393bbf9c5</x:v>
      </x:c>
      <x:c r="K716" s="24" t="str">
        <x:v>Assets/_Project/Tests/InputSystem/EditMode/ProjectInputActionsTests.cs</x:v>
      </x:c>
      <x:c r="L716" s="24" t="str">
        <x:v>CR-003</x:v>
      </x:c>
      <x:c r="M716" s="24" t="str"/>
      <x:c r="N716" s="24" t="str">
        <x:v>RES-001;RES-014</x:v>
      </x:c>
      <x:c r="O716" s="24" t="str">
        <x:v>Internal development; public candidate requires gate</x:v>
      </x:c>
      <x:c r="P716" s="24" t="str">
        <x:v>CONDITIONALLY APPROVED</x:v>
      </x:c>
      <x:c r="Q716" s="24" t="str">
        <x:v>Low</x:v>
      </x:c>
      <x:c r="R716" s="24" t="str"/>
      <x:c r="S716" s="24" t="str">
        <x:v>Sí</x:v>
      </x:c>
      <x:c r="T716" s="24" t="str">
        <x:f>"T"&amp;IF(AND(H716&lt;&gt;"",I716&lt;&gt;"",J716&lt;&gt;"",L716&lt;&gt;"",N716&lt;&gt;"",O716&lt;&gt;"",P716="APPROVED PUBLIC",S716="Sí"),6,IF(AND(H716&lt;&gt;"",I716&lt;&gt;"",J716&lt;&gt;"",L716&lt;&gt;"",N716&lt;&gt;"",O716&lt;&gt;"",P716&lt;&gt;"",S716="Sí"),5,IF(AND(H716&lt;&gt;"",I716&lt;&gt;"",P716&lt;&gt;"",S716&lt;&gt;"No"),4,IF(AND(H716&lt;&gt;"",I716&lt;&gt;""),3,IF(F716&lt;&gt;"",2,1)))))</x:f>
        <x:v>T5</x:v>
      </x:c>
      <x:c r="U716" s="24" t="str">
        <x:v>VRM Games</x:v>
      </x:c>
      <x:c r="V716" s="24" t="str">
        <x:v>No se detectó proveedor externo en la ruta; confirmar autoría por lote antes de release público.</x:v>
      </x:c>
    </x:row>
    <x:row r="717" ht="34" customHeight="1">
      <x:c r="A717" s="24" t="str">
        <x:v>TRC-00713</x:v>
      </x:c>
      <x:c r="B717" s="24" t="str">
        <x:v>71840700c0b945478051f8c65d972353</x:v>
      </x:c>
      <x:c r="C717" s="24" t="str">
        <x:v>VRMGames.CartridgeAndCloud.InputSystem.Tests.EditMode.asmdef</x:v>
      </x:c>
      <x:c r="D717" s="24" t="str">
        <x:v>Assembly definition</x:v>
      </x:c>
      <x:c r="E717" s="24" t="str">
        <x:v>03_Assets_Internos</x:v>
      </x:c>
      <x:c r="F717" s="24" t="str">
        <x:v>INT-0713</x:v>
      </x:c>
      <x:c r="G717" s="24" t="str">
        <x:v>VRM Games / Blas Luis Rocha González</x:v>
      </x:c>
      <x:c r="H717" s="24" t="str">
        <x:v>Internal project IP / authorship claim</x:v>
      </x:c>
      <x:c r="I717" s="24" t="str">
        <x:v>Source package + repository path + hash</x:v>
      </x:c>
      <x:c r="J717" s="24" t="str">
        <x:v>9d8e6e3b605744964af7679cdb06416881555d56d7b3d0283b9ccdfde4d179f7</x:v>
      </x:c>
      <x:c r="K717" s="24" t="str">
        <x:v>Assets/_Project/Tests/InputSystem/EditMode/VRMGames.CartridgeAndCloud.InputSystem.Tests.EditMode.asmdef</x:v>
      </x:c>
      <x:c r="L717" s="24" t="str">
        <x:v>CR-003</x:v>
      </x:c>
      <x:c r="M717" s="24" t="str"/>
      <x:c r="N717" s="24" t="str">
        <x:v>RES-001;RES-014</x:v>
      </x:c>
      <x:c r="O717" s="24" t="str">
        <x:v>Internal development; public candidate requires gate</x:v>
      </x:c>
      <x:c r="P717" s="24" t="str">
        <x:v>CONDITIONALLY APPROVED</x:v>
      </x:c>
      <x:c r="Q717" s="24" t="str">
        <x:v>Low</x:v>
      </x:c>
      <x:c r="R717" s="24" t="str"/>
      <x:c r="S717" s="24" t="str">
        <x:v>Sí</x:v>
      </x:c>
      <x:c r="T717" s="24" t="str">
        <x:f>"T"&amp;IF(AND(H717&lt;&gt;"",I717&lt;&gt;"",J717&lt;&gt;"",L717&lt;&gt;"",N717&lt;&gt;"",O717&lt;&gt;"",P717="APPROVED PUBLIC",S717="Sí"),6,IF(AND(H717&lt;&gt;"",I717&lt;&gt;"",J717&lt;&gt;"",L717&lt;&gt;"",N717&lt;&gt;"",O717&lt;&gt;"",P717&lt;&gt;"",S717="Sí"),5,IF(AND(H717&lt;&gt;"",I717&lt;&gt;"",P717&lt;&gt;"",S717&lt;&gt;"No"),4,IF(AND(H717&lt;&gt;"",I717&lt;&gt;""),3,IF(F717&lt;&gt;"",2,1)))))</x:f>
        <x:v>T5</x:v>
      </x:c>
      <x:c r="U717" s="24" t="str">
        <x:v>VRM Games</x:v>
      </x:c>
      <x:c r="V717" s="24" t="str">
        <x:v>No se detectó proveedor externo en la ruta; confirmar autoría por lote antes de release público.</x:v>
      </x:c>
    </x:row>
    <x:row r="718" ht="34" customHeight="1">
      <x:c r="A718" s="24" t="str">
        <x:v>TRC-00714</x:v>
      </x:c>
      <x:c r="B718" s="24" t="str">
        <x:v>c2a6d2d81eb643c38b650f8cedc504c8</x:v>
      </x:c>
      <x:c r="C718" s="24" t="str">
        <x:v>InputActionRuntimeIntegrationTests.cs</x:v>
      </x:c>
      <x:c r="D718" s="24" t="str">
        <x:v>Code</x:v>
      </x:c>
      <x:c r="E718" s="24" t="str">
        <x:v>03_Assets_Internos</x:v>
      </x:c>
      <x:c r="F718" s="24" t="str">
        <x:v>INT-0714</x:v>
      </x:c>
      <x:c r="G718" s="24" t="str">
        <x:v>VRM Games / Blas Luis Rocha González</x:v>
      </x:c>
      <x:c r="H718" s="24" t="str">
        <x:v>Internal project IP / authorship claim</x:v>
      </x:c>
      <x:c r="I718" s="24" t="str">
        <x:v>Source package + repository path + hash</x:v>
      </x:c>
      <x:c r="J718" s="24" t="str">
        <x:v>55142dad0219c6eea7b31e9bdf78192f5ea62941560264c8755d77e8a2fab5ef</x:v>
      </x:c>
      <x:c r="K718" s="24" t="str">
        <x:v>Assets/_Project/Tests/InputSystem/PlayMode/InputActionRuntimeIntegrationTests.cs</x:v>
      </x:c>
      <x:c r="L718" s="24" t="str">
        <x:v>CR-003</x:v>
      </x:c>
      <x:c r="M718" s="24" t="str"/>
      <x:c r="N718" s="24" t="str">
        <x:v>RES-001;RES-014</x:v>
      </x:c>
      <x:c r="O718" s="24" t="str">
        <x:v>Internal development; public candidate requires gate</x:v>
      </x:c>
      <x:c r="P718" s="24" t="str">
        <x:v>CONDITIONALLY APPROVED</x:v>
      </x:c>
      <x:c r="Q718" s="24" t="str">
        <x:v>Low</x:v>
      </x:c>
      <x:c r="R718" s="24" t="str"/>
      <x:c r="S718" s="24" t="str">
        <x:v>Sí</x:v>
      </x:c>
      <x:c r="T718" s="24" t="str">
        <x:f>"T"&amp;IF(AND(H718&lt;&gt;"",I718&lt;&gt;"",J718&lt;&gt;"",L718&lt;&gt;"",N718&lt;&gt;"",O718&lt;&gt;"",P718="APPROVED PUBLIC",S718="Sí"),6,IF(AND(H718&lt;&gt;"",I718&lt;&gt;"",J718&lt;&gt;"",L718&lt;&gt;"",N718&lt;&gt;"",O718&lt;&gt;"",P718&lt;&gt;"",S718="Sí"),5,IF(AND(H718&lt;&gt;"",I718&lt;&gt;"",P718&lt;&gt;"",S718&lt;&gt;"No"),4,IF(AND(H718&lt;&gt;"",I718&lt;&gt;""),3,IF(F718&lt;&gt;"",2,1)))))</x:f>
        <x:v>T5</x:v>
      </x:c>
      <x:c r="U718" s="24" t="str">
        <x:v>VRM Games</x:v>
      </x:c>
      <x:c r="V718" s="24" t="str">
        <x:v>No se detectó proveedor externo en la ruta; confirmar autoría por lote antes de release público.</x:v>
      </x:c>
    </x:row>
    <x:row r="719" ht="34" customHeight="1">
      <x:c r="A719" s="24" t="str">
        <x:v>TRC-00715</x:v>
      </x:c>
      <x:c r="B719" s="24" t="str">
        <x:v>fdf2304f407a451ab92446654aa3ff19</x:v>
      </x:c>
      <x:c r="C719" s="24" t="str">
        <x:v>VRMGames.CartridgeAndCloud.InputSystem.Tests.PlayMode.asmdef</x:v>
      </x:c>
      <x:c r="D719" s="24" t="str">
        <x:v>Assembly definition</x:v>
      </x:c>
      <x:c r="E719" s="24" t="str">
        <x:v>03_Assets_Internos</x:v>
      </x:c>
      <x:c r="F719" s="24" t="str">
        <x:v>INT-0715</x:v>
      </x:c>
      <x:c r="G719" s="24" t="str">
        <x:v>VRM Games / Blas Luis Rocha González</x:v>
      </x:c>
      <x:c r="H719" s="24" t="str">
        <x:v>Internal project IP / authorship claim</x:v>
      </x:c>
      <x:c r="I719" s="24" t="str">
        <x:v>Source package + repository path + hash</x:v>
      </x:c>
      <x:c r="J719" s="24" t="str">
        <x:v>5992b0e0f38278d02d7ee9a8022a33d8fa4c1c581ae30358e65c8e0071d5467c</x:v>
      </x:c>
      <x:c r="K719" s="24" t="str">
        <x:v>Assets/_Project/Tests/InputSystem/PlayMode/VRMGames.CartridgeAndCloud.InputSystem.Tests.PlayMode.asmdef</x:v>
      </x:c>
      <x:c r="L719" s="24" t="str">
        <x:v>CR-003</x:v>
      </x:c>
      <x:c r="M719" s="24" t="str"/>
      <x:c r="N719" s="24" t="str">
        <x:v>RES-001;RES-014</x:v>
      </x:c>
      <x:c r="O719" s="24" t="str">
        <x:v>Internal development; public candidate requires gate</x:v>
      </x:c>
      <x:c r="P719" s="24" t="str">
        <x:v>CONDITIONALLY APPROVED</x:v>
      </x:c>
      <x:c r="Q719" s="24" t="str">
        <x:v>Low</x:v>
      </x:c>
      <x:c r="R719" s="24" t="str"/>
      <x:c r="S719" s="24" t="str">
        <x:v>Sí</x:v>
      </x:c>
      <x:c r="T719" s="24" t="str">
        <x:f>"T"&amp;IF(AND(H719&lt;&gt;"",I719&lt;&gt;"",J719&lt;&gt;"",L719&lt;&gt;"",N719&lt;&gt;"",O719&lt;&gt;"",P719="APPROVED PUBLIC",S719="Sí"),6,IF(AND(H719&lt;&gt;"",I719&lt;&gt;"",J719&lt;&gt;"",L719&lt;&gt;"",N719&lt;&gt;"",O719&lt;&gt;"",P719&lt;&gt;"",S719="Sí"),5,IF(AND(H719&lt;&gt;"",I719&lt;&gt;"",P719&lt;&gt;"",S719&lt;&gt;"No"),4,IF(AND(H719&lt;&gt;"",I719&lt;&gt;""),3,IF(F719&lt;&gt;"",2,1)))))</x:f>
        <x:v>T5</x:v>
      </x:c>
      <x:c r="U719" s="24" t="str">
        <x:v>VRM Games</x:v>
      </x:c>
      <x:c r="V719" s="24" t="str">
        <x:v>No se detectó proveedor externo en la ruta; confirmar autoría por lote antes de release público.</x:v>
      </x:c>
    </x:row>
    <x:row r="720" ht="34" customHeight="1">
      <x:c r="A720" s="24" t="str">
        <x:v>TRC-00716</x:v>
      </x:c>
      <x:c r="B720" s="24" t="str">
        <x:v>def79e43a2ce4952895e72488af5520a</x:v>
      </x:c>
      <x:c r="C720" s="24" t="str">
        <x:v>ClickToMoveTests.cs</x:v>
      </x:c>
      <x:c r="D720" s="24" t="str">
        <x:v>Code</x:v>
      </x:c>
      <x:c r="E720" s="24" t="str">
        <x:v>03_Assets_Internos</x:v>
      </x:c>
      <x:c r="F720" s="24" t="str">
        <x:v>INT-0716</x:v>
      </x:c>
      <x:c r="G720" s="24" t="str">
        <x:v>VRM Games / Blas Luis Rocha González</x:v>
      </x:c>
      <x:c r="H720" s="24" t="str">
        <x:v>Internal project IP / authorship claim</x:v>
      </x:c>
      <x:c r="I720" s="24" t="str">
        <x:v>Source package + repository path + hash</x:v>
      </x:c>
      <x:c r="J720" s="24" t="str">
        <x:v>914f8054b670bca0255027505e77e791f10b5aaf68b7a76d83fc568e4aaf83fe</x:v>
      </x:c>
      <x:c r="K720" s="24" t="str">
        <x:v>Assets/_Project/Tests/PlayMode/ClickToMoveTests.cs</x:v>
      </x:c>
      <x:c r="L720" s="24" t="str">
        <x:v>CR-003</x:v>
      </x:c>
      <x:c r="M720" s="24" t="str"/>
      <x:c r="N720" s="24" t="str">
        <x:v>RES-001;RES-014</x:v>
      </x:c>
      <x:c r="O720" s="24" t="str">
        <x:v>Internal development; public candidate requires gate</x:v>
      </x:c>
      <x:c r="P720" s="24" t="str">
        <x:v>CONDITIONALLY APPROVED</x:v>
      </x:c>
      <x:c r="Q720" s="24" t="str">
        <x:v>Low</x:v>
      </x:c>
      <x:c r="R720" s="24" t="str"/>
      <x:c r="S720" s="24" t="str">
        <x:v>Sí</x:v>
      </x:c>
      <x:c r="T720" s="24" t="str">
        <x:f>"T"&amp;IF(AND(H720&lt;&gt;"",I720&lt;&gt;"",J720&lt;&gt;"",L720&lt;&gt;"",N720&lt;&gt;"",O720&lt;&gt;"",P720="APPROVED PUBLIC",S720="Sí"),6,IF(AND(H720&lt;&gt;"",I720&lt;&gt;"",J720&lt;&gt;"",L720&lt;&gt;"",N720&lt;&gt;"",O720&lt;&gt;"",P720&lt;&gt;"",S720="Sí"),5,IF(AND(H720&lt;&gt;"",I720&lt;&gt;"",P720&lt;&gt;"",S720&lt;&gt;"No"),4,IF(AND(H720&lt;&gt;"",I720&lt;&gt;""),3,IF(F720&lt;&gt;"",2,1)))))</x:f>
        <x:v>T5</x:v>
      </x:c>
      <x:c r="U720" s="24" t="str">
        <x:v>VRM Games</x:v>
      </x:c>
      <x:c r="V720" s="24" t="str">
        <x:v>No se detectó proveedor externo en la ruta; confirmar autoría por lote antes de release público.</x:v>
      </x:c>
    </x:row>
    <x:row r="721" ht="34" customHeight="1">
      <x:c r="A721" s="24" t="str">
        <x:v>TRC-00717</x:v>
      </x:c>
      <x:c r="B721" s="24" t="str">
        <x:v>9f7a918065f449a5918cdbb4f5639fb7</x:v>
      </x:c>
      <x:c r="C721" s="24" t="str">
        <x:v>GameSessionBootstrapTests.cs</x:v>
      </x:c>
      <x:c r="D721" s="24" t="str">
        <x:v>Code</x:v>
      </x:c>
      <x:c r="E721" s="24" t="str">
        <x:v>03_Assets_Internos</x:v>
      </x:c>
      <x:c r="F721" s="24" t="str">
        <x:v>INT-0717</x:v>
      </x:c>
      <x:c r="G721" s="24" t="str">
        <x:v>VRM Games / Blas Luis Rocha González</x:v>
      </x:c>
      <x:c r="H721" s="24" t="str">
        <x:v>Internal project IP / authorship claim</x:v>
      </x:c>
      <x:c r="I721" s="24" t="str">
        <x:v>Source package + repository path + hash</x:v>
      </x:c>
      <x:c r="J721" s="24" t="str">
        <x:v>26cdc148e93a2122575afaa3335e4f4e9942c1d74298f6ca98bbacb1735fc601</x:v>
      </x:c>
      <x:c r="K721" s="24" t="str">
        <x:v>Assets/_Project/Tests/PlayMode/GameSessionBootstrapTests.cs</x:v>
      </x:c>
      <x:c r="L721" s="24" t="str">
        <x:v>CR-003</x:v>
      </x:c>
      <x:c r="M721" s="24" t="str"/>
      <x:c r="N721" s="24" t="str">
        <x:v>RES-001;RES-014</x:v>
      </x:c>
      <x:c r="O721" s="24" t="str">
        <x:v>Internal development; public candidate requires gate</x:v>
      </x:c>
      <x:c r="P721" s="24" t="str">
        <x:v>CONDITIONALLY APPROVED</x:v>
      </x:c>
      <x:c r="Q721" s="24" t="str">
        <x:v>Low</x:v>
      </x:c>
      <x:c r="R721" s="24" t="str"/>
      <x:c r="S721" s="24" t="str">
        <x:v>Sí</x:v>
      </x:c>
      <x:c r="T721" s="24" t="str">
        <x:f>"T"&amp;IF(AND(H721&lt;&gt;"",I721&lt;&gt;"",J721&lt;&gt;"",L721&lt;&gt;"",N721&lt;&gt;"",O721&lt;&gt;"",P721="APPROVED PUBLIC",S721="Sí"),6,IF(AND(H721&lt;&gt;"",I721&lt;&gt;"",J721&lt;&gt;"",L721&lt;&gt;"",N721&lt;&gt;"",O721&lt;&gt;"",P721&lt;&gt;"",S721="Sí"),5,IF(AND(H721&lt;&gt;"",I721&lt;&gt;"",P721&lt;&gt;"",S721&lt;&gt;"No"),4,IF(AND(H721&lt;&gt;"",I721&lt;&gt;""),3,IF(F721&lt;&gt;"",2,1)))))</x:f>
        <x:v>T5</x:v>
      </x:c>
      <x:c r="U721" s="24" t="str">
        <x:v>VRM Games</x:v>
      </x:c>
      <x:c r="V721" s="24" t="str">
        <x:v>No se detectó proveedor externo en la ruta; confirmar autoría por lote antes de release público.</x:v>
      </x:c>
    </x:row>
    <x:row r="722" ht="34" customHeight="1">
      <x:c r="A722" s="24" t="str">
        <x:v>TRC-00718</x:v>
      </x:c>
      <x:c r="B722" s="24" t="str">
        <x:v>013c704d8a8647f39c575074489aee6d</x:v>
      </x:c>
      <x:c r="C722" s="24" t="str">
        <x:v>InputContextSceneFlowTests.cs</x:v>
      </x:c>
      <x:c r="D722" s="24" t="str">
        <x:v>Code</x:v>
      </x:c>
      <x:c r="E722" s="24" t="str">
        <x:v>03_Assets_Internos</x:v>
      </x:c>
      <x:c r="F722" s="24" t="str">
        <x:v>INT-0718</x:v>
      </x:c>
      <x:c r="G722" s="24" t="str">
        <x:v>VRM Games / Blas Luis Rocha González</x:v>
      </x:c>
      <x:c r="H722" s="24" t="str">
        <x:v>Internal project IP / authorship claim</x:v>
      </x:c>
      <x:c r="I722" s="24" t="str">
        <x:v>Source package + repository path + hash</x:v>
      </x:c>
      <x:c r="J722" s="24" t="str">
        <x:v>8aafad932adcb319539f9b88c3dbdeb2f8e2df583f53e4fa6b4a9404ab3ec351</x:v>
      </x:c>
      <x:c r="K722" s="24" t="str">
        <x:v>Assets/_Project/Tests/PlayMode/InputContextSceneFlowTests.cs</x:v>
      </x:c>
      <x:c r="L722" s="24" t="str">
        <x:v>CR-003</x:v>
      </x:c>
      <x:c r="M722" s="24" t="str"/>
      <x:c r="N722" s="24" t="str">
        <x:v>RES-001;RES-014</x:v>
      </x:c>
      <x:c r="O722" s="24" t="str">
        <x:v>Internal development; public candidate requires gate</x:v>
      </x:c>
      <x:c r="P722" s="24" t="str">
        <x:v>CONDITIONALLY APPROVED</x:v>
      </x:c>
      <x:c r="Q722" s="24" t="str">
        <x:v>Low</x:v>
      </x:c>
      <x:c r="R722" s="24" t="str"/>
      <x:c r="S722" s="24" t="str">
        <x:v>Sí</x:v>
      </x:c>
      <x:c r="T722" s="24" t="str">
        <x:f>"T"&amp;IF(AND(H722&lt;&gt;"",I722&lt;&gt;"",J722&lt;&gt;"",L722&lt;&gt;"",N722&lt;&gt;"",O722&lt;&gt;"",P722="APPROVED PUBLIC",S722="Sí"),6,IF(AND(H722&lt;&gt;"",I722&lt;&gt;"",J722&lt;&gt;"",L722&lt;&gt;"",N722&lt;&gt;"",O722&lt;&gt;"",P722&lt;&gt;"",S722="Sí"),5,IF(AND(H722&lt;&gt;"",I722&lt;&gt;"",P722&lt;&gt;"",S722&lt;&gt;"No"),4,IF(AND(H722&lt;&gt;"",I722&lt;&gt;""),3,IF(F722&lt;&gt;"",2,1)))))</x:f>
        <x:v>T5</x:v>
      </x:c>
      <x:c r="U722" s="24" t="str">
        <x:v>VRM Games</x:v>
      </x:c>
      <x:c r="V722" s="24" t="str">
        <x:v>No se detectó proveedor externo en la ruta; confirmar autoría por lote antes de release público.</x:v>
      </x:c>
    </x:row>
    <x:row r="723" ht="34" customHeight="1">
      <x:c r="A723" s="24" t="str">
        <x:v>TRC-00719</x:v>
      </x:c>
      <x:c r="B723" s="24" t="str">
        <x:v>f46fdd08b27a40a6acef6dfae0f36880</x:v>
      </x:c>
      <x:c r="C723" s="24" t="str">
        <x:v>OrbitCameraRigTests.cs</x:v>
      </x:c>
      <x:c r="D723" s="24" t="str">
        <x:v>Code</x:v>
      </x:c>
      <x:c r="E723" s="24" t="str">
        <x:v>03_Assets_Internos</x:v>
      </x:c>
      <x:c r="F723" s="24" t="str">
        <x:v>INT-0719</x:v>
      </x:c>
      <x:c r="G723" s="24" t="str">
        <x:v>VRM Games / Blas Luis Rocha González</x:v>
      </x:c>
      <x:c r="H723" s="24" t="str">
        <x:v>Internal project IP / authorship claim</x:v>
      </x:c>
      <x:c r="I723" s="24" t="str">
        <x:v>Source package + repository path + hash</x:v>
      </x:c>
      <x:c r="J723" s="24" t="str">
        <x:v>4ef466a15c35e76adb8f12eb14d4605a41a67b9d38b47dc3608e98757af3768e</x:v>
      </x:c>
      <x:c r="K723" s="24" t="str">
        <x:v>Assets/_Project/Tests/PlayMode/OrbitCameraRigTests.cs</x:v>
      </x:c>
      <x:c r="L723" s="24" t="str">
        <x:v>CR-003</x:v>
      </x:c>
      <x:c r="M723" s="24" t="str"/>
      <x:c r="N723" s="24" t="str">
        <x:v>RES-001;RES-014</x:v>
      </x:c>
      <x:c r="O723" s="24" t="str">
        <x:v>Internal development; public candidate requires gate</x:v>
      </x:c>
      <x:c r="P723" s="24" t="str">
        <x:v>CONDITIONALLY APPROVED</x:v>
      </x:c>
      <x:c r="Q723" s="24" t="str">
        <x:v>Low</x:v>
      </x:c>
      <x:c r="R723" s="24" t="str"/>
      <x:c r="S723" s="24" t="str">
        <x:v>Sí</x:v>
      </x:c>
      <x:c r="T723" s="24" t="str">
        <x:f>"T"&amp;IF(AND(H723&lt;&gt;"",I723&lt;&gt;"",J723&lt;&gt;"",L723&lt;&gt;"",N723&lt;&gt;"",O723&lt;&gt;"",P723="APPROVED PUBLIC",S723="Sí"),6,IF(AND(H723&lt;&gt;"",I723&lt;&gt;"",J723&lt;&gt;"",L723&lt;&gt;"",N723&lt;&gt;"",O723&lt;&gt;"",P723&lt;&gt;"",S723="Sí"),5,IF(AND(H723&lt;&gt;"",I723&lt;&gt;"",P723&lt;&gt;"",S723&lt;&gt;"No"),4,IF(AND(H723&lt;&gt;"",I723&lt;&gt;""),3,IF(F723&lt;&gt;"",2,1)))))</x:f>
        <x:v>T5</x:v>
      </x:c>
      <x:c r="U723" s="24" t="str">
        <x:v>VRM Games</x:v>
      </x:c>
      <x:c r="V723" s="24" t="str">
        <x:v>No se detectó proveedor externo en la ruta; confirmar autoría por lote antes de release público.</x:v>
      </x:c>
    </x:row>
    <x:row r="724" ht="34" customHeight="1">
      <x:c r="A724" s="24" t="str">
        <x:v>TRC-00720</x:v>
      </x:c>
      <x:c r="B724" s="24" t="str">
        <x:v>05c0cae21eea462eacba3ad2b9603e70</x:v>
      </x:c>
      <x:c r="C724" s="24" t="str">
        <x:v>PlacementPreviewRuntimeTests.cs</x:v>
      </x:c>
      <x:c r="D724" s="24" t="str">
        <x:v>Code</x:v>
      </x:c>
      <x:c r="E724" s="24" t="str">
        <x:v>03_Assets_Internos</x:v>
      </x:c>
      <x:c r="F724" s="24" t="str">
        <x:v>INT-0720</x:v>
      </x:c>
      <x:c r="G724" s="24" t="str">
        <x:v>VRM Games / Blas Luis Rocha González</x:v>
      </x:c>
      <x:c r="H724" s="24" t="str">
        <x:v>Internal project IP / authorship claim</x:v>
      </x:c>
      <x:c r="I724" s="24" t="str">
        <x:v>Source package + repository path + hash</x:v>
      </x:c>
      <x:c r="J724" s="24" t="str">
        <x:v>ae20abf871427664a72412c8f906fec94e7bd33a595968612129c1fd3cdeb48e</x:v>
      </x:c>
      <x:c r="K724" s="24" t="str">
        <x:v>Assets/_Project/Tests/PlayMode/Placement/PlacementPreviewRuntimeTests.cs</x:v>
      </x:c>
      <x:c r="L724" s="24" t="str">
        <x:v>CR-003</x:v>
      </x:c>
      <x:c r="M724" s="24" t="str"/>
      <x:c r="N724" s="24" t="str">
        <x:v>RES-001;RES-014</x:v>
      </x:c>
      <x:c r="O724" s="24" t="str">
        <x:v>Internal development; public candidate requires gate</x:v>
      </x:c>
      <x:c r="P724" s="24" t="str">
        <x:v>CONDITIONALLY APPROVED</x:v>
      </x:c>
      <x:c r="Q724" s="24" t="str">
        <x:v>Low</x:v>
      </x:c>
      <x:c r="R724" s="24" t="str"/>
      <x:c r="S724" s="24" t="str">
        <x:v>Sí</x:v>
      </x:c>
      <x:c r="T724" s="24" t="str">
        <x:f>"T"&amp;IF(AND(H724&lt;&gt;"",I724&lt;&gt;"",J724&lt;&gt;"",L724&lt;&gt;"",N724&lt;&gt;"",O724&lt;&gt;"",P724="APPROVED PUBLIC",S724="Sí"),6,IF(AND(H724&lt;&gt;"",I724&lt;&gt;"",J724&lt;&gt;"",L724&lt;&gt;"",N724&lt;&gt;"",O724&lt;&gt;"",P724&lt;&gt;"",S724="Sí"),5,IF(AND(H724&lt;&gt;"",I724&lt;&gt;"",P724&lt;&gt;"",S724&lt;&gt;"No"),4,IF(AND(H724&lt;&gt;"",I724&lt;&gt;""),3,IF(F724&lt;&gt;"",2,1)))))</x:f>
        <x:v>T5</x:v>
      </x:c>
      <x:c r="U724" s="24" t="str">
        <x:v>VRM Games</x:v>
      </x:c>
      <x:c r="V724" s="24" t="str">
        <x:v>No se detectó proveedor externo en la ruta; confirmar autoría por lote antes de release público.</x:v>
      </x:c>
    </x:row>
    <x:row r="725" ht="34" customHeight="1">
      <x:c r="A725" s="24" t="str">
        <x:v>TRC-00721</x:v>
      </x:c>
      <x:c r="B725" s="24" t="str">
        <x:v>1b06787a8bf043c59e1ac98c370b8e30</x:v>
      </x:c>
      <x:c r="C725" s="24" t="str">
        <x:v>PlacementRuntimeControllerTests.cs</x:v>
      </x:c>
      <x:c r="D725" s="24" t="str">
        <x:v>Code</x:v>
      </x:c>
      <x:c r="E725" s="24" t="str">
        <x:v>03_Assets_Internos</x:v>
      </x:c>
      <x:c r="F725" s="24" t="str">
        <x:v>INT-0721</x:v>
      </x:c>
      <x:c r="G725" s="24" t="str">
        <x:v>VRM Games / Blas Luis Rocha González</x:v>
      </x:c>
      <x:c r="H725" s="24" t="str">
        <x:v>Internal project IP / authorship claim</x:v>
      </x:c>
      <x:c r="I725" s="24" t="str">
        <x:v>Source package + repository path + hash</x:v>
      </x:c>
      <x:c r="J725" s="24" t="str">
        <x:v>0fa70f72f31a843e53ffb6a8f5f678f28dd4e39f15377de3f76ece839fca617d</x:v>
      </x:c>
      <x:c r="K725" s="24" t="str">
        <x:v>Assets/_Project/Tests/PlayMode/Placement/PlacementRuntimeControllerTests.cs</x:v>
      </x:c>
      <x:c r="L725" s="24" t="str">
        <x:v>CR-003</x:v>
      </x:c>
      <x:c r="M725" s="24" t="str"/>
      <x:c r="N725" s="24" t="str">
        <x:v>RES-001;RES-014</x:v>
      </x:c>
      <x:c r="O725" s="24" t="str">
        <x:v>Internal development; public candidate requires gate</x:v>
      </x:c>
      <x:c r="P725" s="24" t="str">
        <x:v>CONDITIONALLY APPROVED</x:v>
      </x:c>
      <x:c r="Q725" s="24" t="str">
        <x:v>Low</x:v>
      </x:c>
      <x:c r="R725" s="24" t="str"/>
      <x:c r="S725" s="24" t="str">
        <x:v>Sí</x:v>
      </x:c>
      <x:c r="T725" s="24" t="str">
        <x:f>"T"&amp;IF(AND(H725&lt;&gt;"",I725&lt;&gt;"",J725&lt;&gt;"",L725&lt;&gt;"",N725&lt;&gt;"",O725&lt;&gt;"",P725="APPROVED PUBLIC",S725="Sí"),6,IF(AND(H725&lt;&gt;"",I725&lt;&gt;"",J725&lt;&gt;"",L725&lt;&gt;"",N725&lt;&gt;"",O725&lt;&gt;"",P725&lt;&gt;"",S725="Sí"),5,IF(AND(H725&lt;&gt;"",I725&lt;&gt;"",P725&lt;&gt;"",S725&lt;&gt;"No"),4,IF(AND(H725&lt;&gt;"",I725&lt;&gt;""),3,IF(F725&lt;&gt;"",2,1)))))</x:f>
        <x:v>T5</x:v>
      </x:c>
      <x:c r="U725" s="24" t="str">
        <x:v>VRM Games</x:v>
      </x:c>
      <x:c r="V725" s="24" t="str">
        <x:v>No se detectó proveedor externo en la ruta; confirmar autoría por lote antes de release público.</x:v>
      </x:c>
    </x:row>
    <x:row r="726" ht="34" customHeight="1">
      <x:c r="A726" s="24" t="str">
        <x:v>TRC-00722</x:v>
      </x:c>
      <x:c r="B726" s="24" t="str">
        <x:v>4301879ff22d43f2a07033659772c092</x:v>
      </x:c>
      <x:c r="C726" s="24" t="str">
        <x:v>StorePlacementRuntimeAccessTests.cs</x:v>
      </x:c>
      <x:c r="D726" s="24" t="str">
        <x:v>Code</x:v>
      </x:c>
      <x:c r="E726" s="24" t="str">
        <x:v>03_Assets_Internos</x:v>
      </x:c>
      <x:c r="F726" s="24" t="str">
        <x:v>INT-0722</x:v>
      </x:c>
      <x:c r="G726" s="24" t="str">
        <x:v>VRM Games / Blas Luis Rocha González</x:v>
      </x:c>
      <x:c r="H726" s="24" t="str">
        <x:v>Internal project IP / authorship claim</x:v>
      </x:c>
      <x:c r="I726" s="24" t="str">
        <x:v>Source package + repository path + hash</x:v>
      </x:c>
      <x:c r="J726" s="24" t="str">
        <x:v>5811a1e15e76851a0ab12ce5f9f4aecc0bc9bf372b9e1a6ba4003067ef5b944d</x:v>
      </x:c>
      <x:c r="K726" s="24" t="str">
        <x:v>Assets/_Project/Tests/PlayMode/Placement/StorePlacementRuntimeAccessTests.cs</x:v>
      </x:c>
      <x:c r="L726" s="24" t="str">
        <x:v>CR-003</x:v>
      </x:c>
      <x:c r="M726" s="24" t="str"/>
      <x:c r="N726" s="24" t="str">
        <x:v>RES-001;RES-014</x:v>
      </x:c>
      <x:c r="O726" s="24" t="str">
        <x:v>Internal development; public candidate requires gate</x:v>
      </x:c>
      <x:c r="P726" s="24" t="str">
        <x:v>CONDITIONALLY APPROVED</x:v>
      </x:c>
      <x:c r="Q726" s="24" t="str">
        <x:v>Low</x:v>
      </x:c>
      <x:c r="R726" s="24" t="str"/>
      <x:c r="S726" s="24" t="str">
        <x:v>Sí</x:v>
      </x:c>
      <x:c r="T726" s="24" t="str">
        <x:f>"T"&amp;IF(AND(H726&lt;&gt;"",I726&lt;&gt;"",J726&lt;&gt;"",L726&lt;&gt;"",N726&lt;&gt;"",O726&lt;&gt;"",P726="APPROVED PUBLIC",S726="Sí"),6,IF(AND(H726&lt;&gt;"",I726&lt;&gt;"",J726&lt;&gt;"",L726&lt;&gt;"",N726&lt;&gt;"",O726&lt;&gt;"",P726&lt;&gt;"",S726="Sí"),5,IF(AND(H726&lt;&gt;"",I726&lt;&gt;"",P726&lt;&gt;"",S726&lt;&gt;"No"),4,IF(AND(H726&lt;&gt;"",I726&lt;&gt;""),3,IF(F726&lt;&gt;"",2,1)))))</x:f>
        <x:v>T5</x:v>
      </x:c>
      <x:c r="U726" s="24" t="str">
        <x:v>VRM Games</x:v>
      </x:c>
      <x:c r="V726" s="24" t="str">
        <x:v>No se detectó proveedor externo en la ruta; confirmar autoría por lote antes de release público.</x:v>
      </x:c>
    </x:row>
    <x:row r="727" ht="34" customHeight="1">
      <x:c r="A727" s="24" t="str">
        <x:v>TRC-00723</x:v>
      </x:c>
      <x:c r="B727" s="24" t="str">
        <x:v>18dce36eb6746934fbe143746be47299</x:v>
      </x:c>
      <x:c r="C727" s="24" t="str">
        <x:v>SceneLoadingSmokeTests.cs</x:v>
      </x:c>
      <x:c r="D727" s="24" t="str">
        <x:v>Code</x:v>
      </x:c>
      <x:c r="E727" s="24" t="str">
        <x:v>03_Assets_Internos</x:v>
      </x:c>
      <x:c r="F727" s="24" t="str">
        <x:v>INT-0723</x:v>
      </x:c>
      <x:c r="G727" s="24" t="str">
        <x:v>VRM Games / Blas Luis Rocha González</x:v>
      </x:c>
      <x:c r="H727" s="24" t="str">
        <x:v>Internal project IP / authorship claim</x:v>
      </x:c>
      <x:c r="I727" s="24" t="str">
        <x:v>Source package + repository path + hash</x:v>
      </x:c>
      <x:c r="J727" s="24" t="str">
        <x:v>cd6a6a4db7c551714632a1dc7247b9c0d963571f7e3815cd257cc27ec00a958c</x:v>
      </x:c>
      <x:c r="K727" s="24" t="str">
        <x:v>Assets/_Project/Tests/PlayMode/SceneLoadingSmokeTests.cs</x:v>
      </x:c>
      <x:c r="L727" s="24" t="str">
        <x:v>CR-003</x:v>
      </x:c>
      <x:c r="M727" s="24" t="str"/>
      <x:c r="N727" s="24" t="str">
        <x:v>RES-001;RES-014</x:v>
      </x:c>
      <x:c r="O727" s="24" t="str">
        <x:v>Internal development; public candidate requires gate</x:v>
      </x:c>
      <x:c r="P727" s="24" t="str">
        <x:v>CONDITIONALLY APPROVED</x:v>
      </x:c>
      <x:c r="Q727" s="24" t="str">
        <x:v>Low</x:v>
      </x:c>
      <x:c r="R727" s="24" t="str"/>
      <x:c r="S727" s="24" t="str">
        <x:v>Sí</x:v>
      </x:c>
      <x:c r="T727" s="24" t="str">
        <x:f>"T"&amp;IF(AND(H727&lt;&gt;"",I727&lt;&gt;"",J727&lt;&gt;"",L727&lt;&gt;"",N727&lt;&gt;"",O727&lt;&gt;"",P727="APPROVED PUBLIC",S727="Sí"),6,IF(AND(H727&lt;&gt;"",I727&lt;&gt;"",J727&lt;&gt;"",L727&lt;&gt;"",N727&lt;&gt;"",O727&lt;&gt;"",P727&lt;&gt;"",S727="Sí"),5,IF(AND(H727&lt;&gt;"",I727&lt;&gt;"",P727&lt;&gt;"",S727&lt;&gt;"No"),4,IF(AND(H727&lt;&gt;"",I727&lt;&gt;""),3,IF(F727&lt;&gt;"",2,1)))))</x:f>
        <x:v>T5</x:v>
      </x:c>
      <x:c r="U727" s="24" t="str">
        <x:v>VRM Games</x:v>
      </x:c>
      <x:c r="V727" s="24" t="str">
        <x:v>No se detectó proveedor externo en la ruta; confirmar autoría por lote antes de release público.</x:v>
      </x:c>
    </x:row>
    <x:row r="728" ht="34" customHeight="1">
      <x:c r="A728" s="24" t="str">
        <x:v>TRC-00724</x:v>
      </x:c>
      <x:c r="B728" s="24" t="str">
        <x:v>70b7a09f282c4ccdb78b42f7dcb342a6</x:v>
      </x:c>
      <x:c r="C728" s="24" t="str">
        <x:v>StoreShellDescriptorTests.cs</x:v>
      </x:c>
      <x:c r="D728" s="24" t="str">
        <x:v>Code</x:v>
      </x:c>
      <x:c r="E728" s="24" t="str">
        <x:v>03_Assets_Internos</x:v>
      </x:c>
      <x:c r="F728" s="24" t="str">
        <x:v>INT-0724</x:v>
      </x:c>
      <x:c r="G728" s="24" t="str">
        <x:v>VRM Games / Blas Luis Rocha González</x:v>
      </x:c>
      <x:c r="H728" s="24" t="str">
        <x:v>Internal project IP / authorship claim</x:v>
      </x:c>
      <x:c r="I728" s="24" t="str">
        <x:v>Source package + repository path + hash</x:v>
      </x:c>
      <x:c r="J728" s="24" t="str">
        <x:v>50b7e90b81019282c33aa5dc90abc919533377a885ad9489dc475b0502437bec</x:v>
      </x:c>
      <x:c r="K728" s="24" t="str">
        <x:v>Assets/_Project/Tests/PlayMode/Store/StoreShellDescriptorTests.cs</x:v>
      </x:c>
      <x:c r="L728" s="24" t="str">
        <x:v>CR-003</x:v>
      </x:c>
      <x:c r="M728" s="24" t="str"/>
      <x:c r="N728" s="24" t="str">
        <x:v>RES-001;RES-014</x:v>
      </x:c>
      <x:c r="O728" s="24" t="str">
        <x:v>Internal development; public candidate requires gate</x:v>
      </x:c>
      <x:c r="P728" s="24" t="str">
        <x:v>CONDITIONALLY APPROVED</x:v>
      </x:c>
      <x:c r="Q728" s="24" t="str">
        <x:v>Low</x:v>
      </x:c>
      <x:c r="R728" s="24" t="str"/>
      <x:c r="S728" s="24" t="str">
        <x:v>Sí</x:v>
      </x:c>
      <x:c r="T728" s="24" t="str">
        <x:f>"T"&amp;IF(AND(H728&lt;&gt;"",I728&lt;&gt;"",J728&lt;&gt;"",L728&lt;&gt;"",N728&lt;&gt;"",O728&lt;&gt;"",P728="APPROVED PUBLIC",S728="Sí"),6,IF(AND(H728&lt;&gt;"",I728&lt;&gt;"",J728&lt;&gt;"",L728&lt;&gt;"",N728&lt;&gt;"",O728&lt;&gt;"",P728&lt;&gt;"",S728="Sí"),5,IF(AND(H728&lt;&gt;"",I728&lt;&gt;"",P728&lt;&gt;"",S728&lt;&gt;"No"),4,IF(AND(H728&lt;&gt;"",I728&lt;&gt;""),3,IF(F728&lt;&gt;"",2,1)))))</x:f>
        <x:v>T5</x:v>
      </x:c>
      <x:c r="U728" s="24" t="str">
        <x:v>VRM Games</x:v>
      </x:c>
      <x:c r="V728" s="24" t="str">
        <x:v>No se detectó proveedor externo en la ruta; confirmar autoría por lote antes de release público.</x:v>
      </x:c>
    </x:row>
    <x:row r="729" ht="34" customHeight="1">
      <x:c r="A729" s="24" t="str">
        <x:v>TRC-00725</x:v>
      </x:c>
      <x:c r="B729" s="24" t="str">
        <x:v>31a03192ed694fd6b65462def91e48d1</x:v>
      </x:c>
      <x:c r="C729" s="24" t="str">
        <x:v>Sprint15RuntimePlayModeTests.cs</x:v>
      </x:c>
      <x:c r="D729" s="24" t="str">
        <x:v>Code</x:v>
      </x:c>
      <x:c r="E729" s="24" t="str">
        <x:v>03_Assets_Internos</x:v>
      </x:c>
      <x:c r="F729" s="24" t="str">
        <x:v>INT-0725</x:v>
      </x:c>
      <x:c r="G729" s="24" t="str">
        <x:v>VRM Games / Blas Luis Rocha González</x:v>
      </x:c>
      <x:c r="H729" s="24" t="str">
        <x:v>Internal project IP / authorship claim</x:v>
      </x:c>
      <x:c r="I729" s="24" t="str">
        <x:v>Source package + repository path + hash</x:v>
      </x:c>
      <x:c r="J729" s="24" t="str">
        <x:v>9b401f8a8ca7933231d852000af98165d838b81f19d2c370e438ee6fdab3a36c</x:v>
      </x:c>
      <x:c r="K729" s="24" t="str">
        <x:v>Assets/_Project/Tests/PlayMode/UIUX/Sprint15RuntimePlayModeTests.cs</x:v>
      </x:c>
      <x:c r="L729" s="24" t="str">
        <x:v>CR-003</x:v>
      </x:c>
      <x:c r="M729" s="24" t="str"/>
      <x:c r="N729" s="24" t="str">
        <x:v>RES-001;RES-014</x:v>
      </x:c>
      <x:c r="O729" s="24" t="str">
        <x:v>Internal development; public candidate requires gate</x:v>
      </x:c>
      <x:c r="P729" s="24" t="str">
        <x:v>CONDITIONALLY APPROVED</x:v>
      </x:c>
      <x:c r="Q729" s="24" t="str">
        <x:v>Low</x:v>
      </x:c>
      <x:c r="R729" s="24" t="str"/>
      <x:c r="S729" s="24" t="str">
        <x:v>Sí</x:v>
      </x:c>
      <x:c r="T729" s="24" t="str">
        <x:f>"T"&amp;IF(AND(H729&lt;&gt;"",I729&lt;&gt;"",J729&lt;&gt;"",L729&lt;&gt;"",N729&lt;&gt;"",O729&lt;&gt;"",P729="APPROVED PUBLIC",S729="Sí"),6,IF(AND(H729&lt;&gt;"",I729&lt;&gt;"",J729&lt;&gt;"",L729&lt;&gt;"",N729&lt;&gt;"",O729&lt;&gt;"",P729&lt;&gt;"",S729="Sí"),5,IF(AND(H729&lt;&gt;"",I729&lt;&gt;"",P729&lt;&gt;"",S729&lt;&gt;"No"),4,IF(AND(H729&lt;&gt;"",I729&lt;&gt;""),3,IF(F729&lt;&gt;"",2,1)))))</x:f>
        <x:v>T5</x:v>
      </x:c>
      <x:c r="U729" s="24" t="str">
        <x:v>VRM Games</x:v>
      </x:c>
      <x:c r="V729" s="24" t="str">
        <x:v>No se detectó proveedor externo en la ruta; confirmar autoría por lote antes de release público.</x:v>
      </x:c>
    </x:row>
    <x:row r="730" ht="34" customHeight="1">
      <x:c r="A730" s="24" t="str">
        <x:v>TRC-00726</x:v>
      </x:c>
      <x:c r="B730" s="24" t="str">
        <x:v>298572633e00a8c4abd079b81221df0a</x:v>
      </x:c>
      <x:c r="C730" s="24" t="str">
        <x:v>VRMGames.CartridgeAndCloud.Tests.PlayMode.asmdef</x:v>
      </x:c>
      <x:c r="D730" s="24" t="str">
        <x:v>Assembly definition</x:v>
      </x:c>
      <x:c r="E730" s="24" t="str">
        <x:v>03_Assets_Internos</x:v>
      </x:c>
      <x:c r="F730" s="24" t="str">
        <x:v>INT-0726</x:v>
      </x:c>
      <x:c r="G730" s="24" t="str">
        <x:v>VRM Games / Blas Luis Rocha González</x:v>
      </x:c>
      <x:c r="H730" s="24" t="str">
        <x:v>Internal project IP / authorship claim</x:v>
      </x:c>
      <x:c r="I730" s="24" t="str">
        <x:v>Source package + repository path + hash</x:v>
      </x:c>
      <x:c r="J730" s="24" t="str">
        <x:v>833085758569c1b8940587ff340b64b0504429a4bdec6ea2cd35d6e458ee1f78</x:v>
      </x:c>
      <x:c r="K730" s="24" t="str">
        <x:v>Assets/_Project/Tests/PlayMode/VRMGames.CartridgeAndCloud.Tests.PlayMode.asmdef</x:v>
      </x:c>
      <x:c r="L730" s="24" t="str">
        <x:v>CR-003</x:v>
      </x:c>
      <x:c r="M730" s="24" t="str"/>
      <x:c r="N730" s="24" t="str">
        <x:v>RES-001;RES-014</x:v>
      </x:c>
      <x:c r="O730" s="24" t="str">
        <x:v>Internal development; public candidate requires gate</x:v>
      </x:c>
      <x:c r="P730" s="24" t="str">
        <x:v>CONDITIONALLY APPROVED</x:v>
      </x:c>
      <x:c r="Q730" s="24" t="str">
        <x:v>Low</x:v>
      </x:c>
      <x:c r="R730" s="24" t="str"/>
      <x:c r="S730" s="24" t="str">
        <x:v>Sí</x:v>
      </x:c>
      <x:c r="T730" s="24" t="str">
        <x:f>"T"&amp;IF(AND(H730&lt;&gt;"",I730&lt;&gt;"",J730&lt;&gt;"",L730&lt;&gt;"",N730&lt;&gt;"",O730&lt;&gt;"",P730="APPROVED PUBLIC",S730="Sí"),6,IF(AND(H730&lt;&gt;"",I730&lt;&gt;"",J730&lt;&gt;"",L730&lt;&gt;"",N730&lt;&gt;"",O730&lt;&gt;"",P730&lt;&gt;"",S730="Sí"),5,IF(AND(H730&lt;&gt;"",I730&lt;&gt;"",P730&lt;&gt;"",S730&lt;&gt;"No"),4,IF(AND(H730&lt;&gt;"",I730&lt;&gt;""),3,IF(F730&lt;&gt;"",2,1)))))</x:f>
        <x:v>T5</x:v>
      </x:c>
      <x:c r="U730" s="24" t="str">
        <x:v>VRM Games</x:v>
      </x:c>
      <x:c r="V730" s="24" t="str">
        <x:v>No se detectó proveedor externo en la ruta; confirmar autoría por lote antes de release público.</x:v>
      </x:c>
    </x:row>
    <x:row r="731" ht="34" customHeight="1">
      <x:c r="A731" s="24" t="str">
        <x:v>TRC-00727</x:v>
      </x:c>
      <x:c r="B731" s="24" t="str">
        <x:v>8fc70f650311278623c0694f198c9c75</x:v>
      </x:c>
      <x:c r="C731" s="24" t="str">
        <x:v>Sprint16Phase1RuntimePlayModeTests.cs</x:v>
      </x:c>
      <x:c r="D731" s="24" t="str">
        <x:v>Code</x:v>
      </x:c>
      <x:c r="E731" s="24" t="str">
        <x:v>03_Assets_Internos</x:v>
      </x:c>
      <x:c r="F731" s="24" t="str">
        <x:v>INT-0727</x:v>
      </x:c>
      <x:c r="G731" s="24" t="str">
        <x:v>VRM Games / Blas Luis Rocha González</x:v>
      </x:c>
      <x:c r="H731" s="24" t="str">
        <x:v>Internal project IP / authorship claim</x:v>
      </x:c>
      <x:c r="I731" s="24" t="str">
        <x:v>Source package + repository path + hash</x:v>
      </x:c>
      <x:c r="J731" s="24" t="str">
        <x:v>1775288aa2e003f54f2eb5c0998532c04bcbb9d6eb4a54965d585e21f16a2a77</x:v>
      </x:c>
      <x:c r="K731" s="24" t="str">
        <x:v>Assets/_Project/Tests/PlayMode/VerticalSlicePhase1/Sprint16Phase1RuntimePlayModeTests.cs</x:v>
      </x:c>
      <x:c r="L731" s="24" t="str">
        <x:v>CR-003</x:v>
      </x:c>
      <x:c r="M731" s="24" t="str"/>
      <x:c r="N731" s="24" t="str">
        <x:v>RES-001;RES-014</x:v>
      </x:c>
      <x:c r="O731" s="24" t="str">
        <x:v>Internal development; public candidate requires gate</x:v>
      </x:c>
      <x:c r="P731" s="24" t="str">
        <x:v>CONDITIONALLY APPROVED</x:v>
      </x:c>
      <x:c r="Q731" s="24" t="str">
        <x:v>Low</x:v>
      </x:c>
      <x:c r="R731" s="24" t="str"/>
      <x:c r="S731" s="24" t="str">
        <x:v>Sí</x:v>
      </x:c>
      <x:c r="T731" s="24" t="str">
        <x:f>"T"&amp;IF(AND(H731&lt;&gt;"",I731&lt;&gt;"",J731&lt;&gt;"",L731&lt;&gt;"",N731&lt;&gt;"",O731&lt;&gt;"",P731="APPROVED PUBLIC",S731="Sí"),6,IF(AND(H731&lt;&gt;"",I731&lt;&gt;"",J731&lt;&gt;"",L731&lt;&gt;"",N731&lt;&gt;"",O731&lt;&gt;"",P731&lt;&gt;"",S731="Sí"),5,IF(AND(H731&lt;&gt;"",I731&lt;&gt;"",P731&lt;&gt;"",S731&lt;&gt;"No"),4,IF(AND(H731&lt;&gt;"",I731&lt;&gt;""),3,IF(F731&lt;&gt;"",2,1)))))</x:f>
        <x:v>T5</x:v>
      </x:c>
      <x:c r="U731" s="24" t="str">
        <x:v>VRM Games</x:v>
      </x:c>
      <x:c r="V731" s="24" t="str">
        <x:v>No se detectó proveedor externo en la ruta; confirmar autoría por lote antes de release público.</x:v>
      </x:c>
    </x:row>
    <x:row r="732" ht="34" customHeight="1">
      <x:c r="A732" s="24" t="str">
        <x:v>TRC-00728</x:v>
      </x:c>
      <x:c r="B732" s="24" t="str">
        <x:v>FONT-LEGACY-RUNTIME</x:v>
      </x:c>
      <x:c r="C732" s="24" t="str">
        <x:v>LegacyRuntime.ttf / Unity runtime font fallback</x:v>
      </x:c>
      <x:c r="D732" s="24" t="str">
        <x:v>Font</x:v>
      </x:c>
      <x:c r="E732" s="24" t="str">
        <x:v>04_Assets_Externos</x:v>
      </x:c>
      <x:c r="F732" s="24" t="str">
        <x:v>EXT-001</x:v>
      </x:c>
      <x:c r="G732" s="24" t="str">
        <x:v>Unity Technologies</x:v>
      </x:c>
      <x:c r="H732" s="24" t="str">
        <x:v>Unity terms / built-in resource conditions; exact redistribution scope to verify</x:v>
      </x:c>
      <x:c r="I732" s="24" t="str">
        <x:v>Runtime usage in generated uGUI; no file stored in project UI/Fonts</x:v>
      </x:c>
      <x:c r="J732" s="24" t="str"/>
      <x:c r="K732" s="24" t="str">
        <x:v>Built-in/runtime</x:v>
      </x:c>
      <x:c r="L732" s="24" t="str">
        <x:v>CR-008</x:v>
      </x:c>
      <x:c r="M732" s="24" t="str">
        <x:v>ATT-001</x:v>
      </x:c>
      <x:c r="N732" s="24" t="str">
        <x:v>RES-004;RES-014</x:v>
      </x:c>
      <x:c r="O732" s="24" t="str">
        <x:v>Development only until final font decision</x:v>
      </x:c>
      <x:c r="P732" s="24" t="str">
        <x:v>TECHNICAL FALLBACK / REVIEW</x:v>
      </x:c>
      <x:c r="Q732" s="24" t="str">
        <x:v>Medium</x:v>
      </x:c>
      <x:c r="R732" s="24" t="str">
        <x:v>LEG-DEBT-003</x:v>
      </x:c>
      <x:c r="S732" s="24" t="str">
        <x:v>No</x:v>
      </x:c>
      <x:c r="T732" s="24" t="str">
        <x:f>"T"&amp;IF(AND(H732&lt;&gt;"",I732&lt;&gt;"",J732&lt;&gt;"",L732&lt;&gt;"",N732&lt;&gt;"",O732&lt;&gt;"",P732="APPROVED PUBLIC",S732="Sí"),6,IF(AND(H732&lt;&gt;"",I732&lt;&gt;"",J732&lt;&gt;"",L732&lt;&gt;"",N732&lt;&gt;"",O732&lt;&gt;"",P732&lt;&gt;"",S732="Sí"),5,IF(AND(H732&lt;&gt;"",I732&lt;&gt;"",P732&lt;&gt;"",S732&lt;&gt;"No"),4,IF(AND(H732&lt;&gt;"",I732&lt;&gt;""),3,IF(F732&lt;&gt;"",2,1)))))</x:f>
        <x:v>T3</x:v>
      </x:c>
      <x:c r="U732" s="24" t="str">
        <x:v>VRM Games</x:v>
      </x:c>
      <x:c r="V732" s="24" t="str">
        <x:v>No se considera tipografía de marca final.</x:v>
      </x:c>
    </x:row>
    <x:row r="733" ht="34" customHeight="1">
      <x:c r="A733" s="24" t="str">
        <x:v>TRC-00729</x:v>
      </x:c>
      <x:c r="B733" s="24" t="str">
        <x:v>FUTURE-PRODUCTION-FONT</x:v>
      </x:c>
      <x:c r="C733" s="24" t="str">
        <x:v>Production font family</x:v>
      </x:c>
      <x:c r="D733" s="24" t="str">
        <x:v>Font</x:v>
      </x:c>
      <x:c r="E733" s="24" t="str">
        <x:v>04_Assets_Externos</x:v>
      </x:c>
      <x:c r="F733" s="24" t="str">
        <x:v>EXT-002</x:v>
      </x:c>
      <x:c r="G733" s="24" t="str">
        <x:v>TBD</x:v>
      </x:c>
      <x:c r="H733" s="24" t="str">
        <x:v>TBD; prefer OFL or commercial desktop/game embedding license</x:v>
      </x:c>
      <x:c r="I733" s="24" t="str">
        <x:v>License file, invoice/download record and font hash required</x:v>
      </x:c>
      <x:c r="J733" s="24" t="str"/>
      <x:c r="K733" s="24" t="str">
        <x:v>Assets/_Project/UI/Fonts (currently empty)</x:v>
      </x:c>
      <x:c r="L733" s="24" t="str"/>
      <x:c r="M733" s="24" t="str">
        <x:v>ATT-005</x:v>
      </x:c>
      <x:c r="N733" s="24" t="str">
        <x:v>RES-004;RES-014</x:v>
      </x:c>
      <x:c r="O733" s="24" t="str">
        <x:v>None until selected and approved</x:v>
      </x:c>
      <x:c r="P733" s="24" t="str">
        <x:v>MISSING / BLOCKS FINAL UI</x:v>
      </x:c>
      <x:c r="Q733" s="24" t="str">
        <x:v>High</x:v>
      </x:c>
      <x:c r="R733" s="24" t="str">
        <x:v>LEG-DEBT-003</x:v>
      </x:c>
      <x:c r="S733" s="24" t="str">
        <x:v>No</x:v>
      </x:c>
      <x:c r="T733" s="24" t="str">
        <x:f>"T"&amp;IF(AND(H733&lt;&gt;"",I733&lt;&gt;"",J733&lt;&gt;"",L733&lt;&gt;"",N733&lt;&gt;"",O733&lt;&gt;"",P733="APPROVED PUBLIC",S733="Sí"),6,IF(AND(H733&lt;&gt;"",I733&lt;&gt;"",J733&lt;&gt;"",L733&lt;&gt;"",N733&lt;&gt;"",O733&lt;&gt;"",P733&lt;&gt;"",S733="Sí"),5,IF(AND(H733&lt;&gt;"",I733&lt;&gt;"",P733&lt;&gt;"",S733&lt;&gt;"No"),4,IF(AND(H733&lt;&gt;"",I733&lt;&gt;""),3,IF(F733&lt;&gt;"",2,1)))))</x:f>
        <x:v>T3</x:v>
      </x:c>
      <x:c r="U733" s="24" t="str">
        <x:v>VRM Games</x:v>
      </x:c>
      <x:c r="V733" s="24" t="str">
        <x:v>Debe cubrir es-ES, en-US, símbolos monetarios, signos y fallback.</x:v>
      </x:c>
    </x:row>
    <x:row r="734" ht="34" customHeight="1">
      <x:c r="A734" s="24" t="str">
        <x:v>TRC-00730</x:v>
      </x:c>
      <x:c r="B734" s="24" t="str">
        <x:v>EXTERNAL-ART-WATCH</x:v>
      </x:c>
      <x:c r="C734" s="24" t="str">
        <x:v>Future purchased/downloaded art assets</x:v>
      </x:c>
      <x:c r="D734" s="24" t="str">
        <x:v>External art watchlist</x:v>
      </x:c>
      <x:c r="E734" s="24" t="str">
        <x:v>04_Assets_Externos</x:v>
      </x:c>
      <x:c r="F734" s="24" t="str">
        <x:v>EXT-003</x:v>
      </x:c>
      <x:c r="G734" s="24" t="str">
        <x:v>TBD</x:v>
      </x:c>
      <x:c r="H734" s="24" t="str">
        <x:v>TBD</x:v>
      </x:c>
      <x:c r="I734" s="24" t="str">
        <x:v>Invoice, store page, EULA, downloaded archive hash</x:v>
      </x:c>
      <x:c r="J734" s="24" t="str"/>
      <x:c r="K734" s="24" t="str">
        <x:v>No current asset</x:v>
      </x:c>
      <x:c r="L734" s="24" t="str"/>
      <x:c r="M734" s="24" t="str">
        <x:v>ATT-005</x:v>
      </x:c>
      <x:c r="N734" s="24" t="str">
        <x:v>RES-004;RES-014</x:v>
      </x:c>
      <x:c r="O734" s="24" t="str">
        <x:v>None until registered</x:v>
      </x:c>
      <x:c r="P734" s="24" t="str">
        <x:v>NONE IDENTIFIED / WATCHLIST</x:v>
      </x:c>
      <x:c r="Q734" s="24" t="str">
        <x:v>Low current / High if introduced</x:v>
      </x:c>
      <x:c r="R734" s="24" t="str"/>
      <x:c r="S734" s="24" t="str">
        <x:v>No</x:v>
      </x:c>
      <x:c r="T734" s="24" t="str">
        <x:f>"T"&amp;IF(AND(H734&lt;&gt;"",I734&lt;&gt;"",J734&lt;&gt;"",L734&lt;&gt;"",N734&lt;&gt;"",O734&lt;&gt;"",P734="APPROVED PUBLIC",S734="Sí"),6,IF(AND(H734&lt;&gt;"",I734&lt;&gt;"",J734&lt;&gt;"",L734&lt;&gt;"",N734&lt;&gt;"",O734&lt;&gt;"",P734&lt;&gt;"",S734="Sí"),5,IF(AND(H734&lt;&gt;"",I734&lt;&gt;"",P734&lt;&gt;"",S734&lt;&gt;"No"),4,IF(AND(H734&lt;&gt;"",I734&lt;&gt;""),3,IF(F734&lt;&gt;"",2,1)))))</x:f>
        <x:v>T3</x:v>
      </x:c>
      <x:c r="U734" s="24" t="str">
        <x:v>VRM Games</x:v>
      </x:c>
      <x:c r="V734" s="24" t="str">
        <x:v>Toda incorporación futura debe registrarse antes de commit a main.</x:v>
      </x:c>
    </x:row>
    <x:row r="735" ht="34" customHeight="1">
      <x:c r="A735" s="24" t="str">
        <x:v>TRC-00731</x:v>
      </x:c>
      <x:c r="B735" s="24" t="str">
        <x:v>EXTERNAL-AUDIO-WATCH</x:v>
      </x:c>
      <x:c r="C735" s="24" t="str">
        <x:v>Future licensed music/SFX</x:v>
      </x:c>
      <x:c r="D735" s="24" t="str">
        <x:v>External audio watchlist</x:v>
      </x:c>
      <x:c r="E735" s="24" t="str">
        <x:v>04_Assets_Externos</x:v>
      </x:c>
      <x:c r="F735" s="24" t="str">
        <x:v>EXT-004</x:v>
      </x:c>
      <x:c r="G735" s="24" t="str">
        <x:v>TBD</x:v>
      </x:c>
      <x:c r="H735" s="24" t="str">
        <x:v>TBD</x:v>
      </x:c>
      <x:c r="I735" s="24" t="str">
        <x:v>License/invoice/source URL and original archive hash</x:v>
      </x:c>
      <x:c r="J735" s="24" t="str"/>
      <x:c r="K735" s="24" t="str">
        <x:v>No current external asset</x:v>
      </x:c>
      <x:c r="L735" s="24" t="str"/>
      <x:c r="M735" s="24" t="str">
        <x:v>ATT-005</x:v>
      </x:c>
      <x:c r="N735" s="24" t="str">
        <x:v>RES-004;RES-014</x:v>
      </x:c>
      <x:c r="O735" s="24" t="str">
        <x:v>None until registered</x:v>
      </x:c>
      <x:c r="P735" s="24" t="str">
        <x:v>NONE IDENTIFIED / WATCHLIST</x:v>
      </x:c>
      <x:c r="Q735" s="24" t="str">
        <x:v>Medium</x:v>
      </x:c>
      <x:c r="R735" s="24" t="str"/>
      <x:c r="S735" s="24" t="str">
        <x:v>No</x:v>
      </x:c>
      <x:c r="T735" s="24" t="str">
        <x:f>"T"&amp;IF(AND(H735&lt;&gt;"",I735&lt;&gt;"",J735&lt;&gt;"",L735&lt;&gt;"",N735&lt;&gt;"",O735&lt;&gt;"",P735="APPROVED PUBLIC",S735="Sí"),6,IF(AND(H735&lt;&gt;"",I735&lt;&gt;"",J735&lt;&gt;"",L735&lt;&gt;"",N735&lt;&gt;"",O735&lt;&gt;"",P735&lt;&gt;"",S735="Sí"),5,IF(AND(H735&lt;&gt;"",I735&lt;&gt;"",P735&lt;&gt;"",S735&lt;&gt;"No"),4,IF(AND(H735&lt;&gt;"",I735&lt;&gt;""),3,IF(F735&lt;&gt;"",2,1)))))</x:f>
        <x:v>T3</x:v>
      </x:c>
      <x:c r="U735" s="24" t="str">
        <x:v>VRM Games</x:v>
      </x:c>
      <x:c r="V735" s="24" t="str">
        <x:v>Los 10 WAV actuales se registran por separado como internos representativos con procedencia parcial.</x:v>
      </x:c>
    </x:row>
    <x:row r="736" ht="34" customHeight="1">
      <x:c r="A736" s="24" t="str">
        <x:v>TRC-00732</x:v>
      </x:c>
      <x:c r="B736" s="24" t="str">
        <x:v>GEN-CONCEPT-001</x:v>
      </x:c>
      <x:c r="C736" s="24" t="str">
        <x:v>ChatGPT Image 29 jun 2026, 21_37_54.png</x:v>
      </x:c>
      <x:c r="D736" s="24" t="str">
        <x:v>Sprint 16 concept art</x:v>
      </x:c>
      <x:c r="E736" s="24" t="str">
        <x:v>05_Contenido_Generado</x:v>
      </x:c>
      <x:c r="F736" s="24" t="str">
        <x:v>GEN-IMG-001</x:v>
      </x:c>
      <x:c r="G736" s="24" t="str">
        <x:v>OpenAI</x:v>
      </x:c>
      <x:c r="H736" s="24" t="str">
        <x:v>Applicable OpenAI service terms at generation/use date; reverify before public release</x:v>
      </x:c>
      <x:c r="I736" s="24" t="str">
        <x:v>Project conversation + source file + hash</x:v>
      </x:c>
      <x:c r="J736" s="24" t="str">
        <x:v>cfdd490b742396ac2fff6ba0b1e6cea8d71fb2005305ddd9c82487ec7ea88b84</x:v>
      </x:c>
      <x:c r="K736" s="24" t="str">
        <x:v>Documentation/01_Working_Documents/Sprint_16/Art_3D/Concept_Art/00_Visual_Targets/ChatGPT Image 29 jun 2026, 21_37_54.png</x:v>
      </x:c>
      <x:c r="L736" s="24" t="str">
        <x:v>CR-010</x:v>
      </x:c>
      <x:c r="M736" s="24" t="str">
        <x:v>ATT-004</x:v>
      </x:c>
      <x:c r="N736" s="24" t="str">
        <x:v>RES-005;RES-013</x:v>
      </x:c>
      <x:c r="O736" s="24" t="str">
        <x:v>Not runtime by default</x:v>
      </x:c>
      <x:c r="P736" s="24" t="str">
        <x:v>INTERNAL CONCEPT / CONDITIONAL</x:v>
      </x:c>
      <x:c r="Q736" s="24" t="str">
        <x:v>Medium</x:v>
      </x:c>
      <x:c r="R736" s="24" t="str">
        <x:v>LEG-DEBT-005</x:v>
      </x:c>
      <x:c r="S736" s="24" t="str">
        <x:v>Parcial</x:v>
      </x:c>
      <x:c r="T736" s="24" t="str">
        <x:f>"T"&amp;IF(AND(H736&lt;&gt;"",I736&lt;&gt;"",J736&lt;&gt;"",L736&lt;&gt;"",N736&lt;&gt;"",O736&lt;&gt;"",P736="APPROVED PUBLIC",S736="Sí"),6,IF(AND(H736&lt;&gt;"",I736&lt;&gt;"",J736&lt;&gt;"",L736&lt;&gt;"",N736&lt;&gt;"",O736&lt;&gt;"",P736&lt;&gt;"",S736="Sí"),5,IF(AND(H736&lt;&gt;"",I736&lt;&gt;"",P736&lt;&gt;"",S736&lt;&gt;"No"),4,IF(AND(H736&lt;&gt;"",I736&lt;&gt;""),3,IF(F736&lt;&gt;"",2,1)))))</x:f>
        <x:v>T4</x:v>
      </x:c>
      <x:c r="U736" s="24" t="str">
        <x:v>VRM Games</x:v>
      </x:c>
      <x:c r="V736" s="24" t="str">
        <x:v>No usar como prueba de propiedad exclusiva ni imitar marcas/artistas; las imágenes de expansión permanecen NOT OPEN.</x:v>
      </x:c>
    </x:row>
    <x:row r="737" ht="34" customHeight="1">
      <x:c r="A737" s="24" t="str">
        <x:v>TRC-00733</x:v>
      </x:c>
      <x:c r="B737" s="24" t="str">
        <x:v>GEN-CONCEPT-002</x:v>
      </x:c>
      <x:c r="C737" s="24" t="str">
        <x:v>ChatGPT Image 29 jun 2026, 21_38_14 (10).png</x:v>
      </x:c>
      <x:c r="D737" s="24" t="str">
        <x:v>Sprint 16 concept art</x:v>
      </x:c>
      <x:c r="E737" s="24" t="str">
        <x:v>05_Contenido_Generado</x:v>
      </x:c>
      <x:c r="F737" s="24" t="str">
        <x:v>GEN-IMG-002</x:v>
      </x:c>
      <x:c r="G737" s="24" t="str">
        <x:v>OpenAI</x:v>
      </x:c>
      <x:c r="H737" s="24" t="str">
        <x:v>Applicable OpenAI service terms at generation/use date; reverify before public release</x:v>
      </x:c>
      <x:c r="I737" s="24" t="str">
        <x:v>Project conversation + source file + hash</x:v>
      </x:c>
      <x:c r="J737" s="24" t="str">
        <x:v>42175ffa89a40d6bfb57217b38a5dfee04e337bc44b838ca8db01812e56454e5</x:v>
      </x:c>
      <x:c r="K737" s="24" t="str">
        <x:v>Documentation/01_Working_Documents/Sprint_16/Art_3D/Concept_Art/02_Furniture/ChatGPT Image 29 jun 2026, 21_38_14 (10).png</x:v>
      </x:c>
      <x:c r="L737" s="24" t="str">
        <x:v>CR-010</x:v>
      </x:c>
      <x:c r="M737" s="24" t="str">
        <x:v>ATT-004</x:v>
      </x:c>
      <x:c r="N737" s="24" t="str">
        <x:v>RES-005;RES-013</x:v>
      </x:c>
      <x:c r="O737" s="24" t="str">
        <x:v>Not runtime by default</x:v>
      </x:c>
      <x:c r="P737" s="24" t="str">
        <x:v>INTERNAL CONCEPT / CONDITIONAL</x:v>
      </x:c>
      <x:c r="Q737" s="24" t="str">
        <x:v>Medium</x:v>
      </x:c>
      <x:c r="R737" s="24" t="str">
        <x:v>LEG-DEBT-005</x:v>
      </x:c>
      <x:c r="S737" s="24" t="str">
        <x:v>Parcial</x:v>
      </x:c>
      <x:c r="T737" s="24" t="str">
        <x:f>"T"&amp;IF(AND(H737&lt;&gt;"",I737&lt;&gt;"",J737&lt;&gt;"",L737&lt;&gt;"",N737&lt;&gt;"",O737&lt;&gt;"",P737="APPROVED PUBLIC",S737="Sí"),6,IF(AND(H737&lt;&gt;"",I737&lt;&gt;"",J737&lt;&gt;"",L737&lt;&gt;"",N737&lt;&gt;"",O737&lt;&gt;"",P737&lt;&gt;"",S737="Sí"),5,IF(AND(H737&lt;&gt;"",I737&lt;&gt;"",P737&lt;&gt;"",S737&lt;&gt;"No"),4,IF(AND(H737&lt;&gt;"",I737&lt;&gt;""),3,IF(F737&lt;&gt;"",2,1)))))</x:f>
        <x:v>T4</x:v>
      </x:c>
      <x:c r="U737" s="24" t="str">
        <x:v>VRM Games</x:v>
      </x:c>
      <x:c r="V737" s="24" t="str">
        <x:v>No usar como prueba de propiedad exclusiva ni imitar marcas/artistas; las imágenes de expansión permanecen NOT OPEN.</x:v>
      </x:c>
    </x:row>
    <x:row r="738" ht="34" customHeight="1">
      <x:c r="A738" s="24" t="str">
        <x:v>TRC-00734</x:v>
      </x:c>
      <x:c r="B738" s="24" t="str">
        <x:v>GEN-CONCEPT-003</x:v>
      </x:c>
      <x:c r="C738" s="24" t="str">
        <x:v>ChatGPT Image 29 jun 2026, 21_38_14 (7).png</x:v>
      </x:c>
      <x:c r="D738" s="24" t="str">
        <x:v>Sprint 16 concept art</x:v>
      </x:c>
      <x:c r="E738" s="24" t="str">
        <x:v>05_Contenido_Generado</x:v>
      </x:c>
      <x:c r="F738" s="24" t="str">
        <x:v>GEN-IMG-003</x:v>
      </x:c>
      <x:c r="G738" s="24" t="str">
        <x:v>OpenAI</x:v>
      </x:c>
      <x:c r="H738" s="24" t="str">
        <x:v>Applicable OpenAI service terms at generation/use date; reverify before public release</x:v>
      </x:c>
      <x:c r="I738" s="24" t="str">
        <x:v>Project conversation + source file + hash</x:v>
      </x:c>
      <x:c r="J738" s="24" t="str">
        <x:v>6d5032c38dc50979430763f7ee18a84deee243325d3400affc2012551864ee1a</x:v>
      </x:c>
      <x:c r="K738" s="24" t="str">
        <x:v>Documentation/01_Working_Documents/Sprint_16/Art_3D/Concept_Art/02_Furniture/ChatGPT Image 29 jun 2026, 21_38_14 (7).png</x:v>
      </x:c>
      <x:c r="L738" s="24" t="str">
        <x:v>CR-010</x:v>
      </x:c>
      <x:c r="M738" s="24" t="str">
        <x:v>ATT-004</x:v>
      </x:c>
      <x:c r="N738" s="24" t="str">
        <x:v>RES-005;RES-013</x:v>
      </x:c>
      <x:c r="O738" s="24" t="str">
        <x:v>Not runtime by default</x:v>
      </x:c>
      <x:c r="P738" s="24" t="str">
        <x:v>INTERNAL CONCEPT / CONDITIONAL</x:v>
      </x:c>
      <x:c r="Q738" s="24" t="str">
        <x:v>Medium</x:v>
      </x:c>
      <x:c r="R738" s="24" t="str">
        <x:v>LEG-DEBT-005</x:v>
      </x:c>
      <x:c r="S738" s="24" t="str">
        <x:v>Parcial</x:v>
      </x:c>
      <x:c r="T738" s="24" t="str">
        <x:f>"T"&amp;IF(AND(H738&lt;&gt;"",I738&lt;&gt;"",J738&lt;&gt;"",L738&lt;&gt;"",N738&lt;&gt;"",O738&lt;&gt;"",P738="APPROVED PUBLIC",S738="Sí"),6,IF(AND(H738&lt;&gt;"",I738&lt;&gt;"",J738&lt;&gt;"",L738&lt;&gt;"",N738&lt;&gt;"",O738&lt;&gt;"",P738&lt;&gt;"",S738="Sí"),5,IF(AND(H738&lt;&gt;"",I738&lt;&gt;"",P738&lt;&gt;"",S738&lt;&gt;"No"),4,IF(AND(H738&lt;&gt;"",I738&lt;&gt;""),3,IF(F738&lt;&gt;"",2,1)))))</x:f>
        <x:v>T4</x:v>
      </x:c>
      <x:c r="U738" s="24" t="str">
        <x:v>VRM Games</x:v>
      </x:c>
      <x:c r="V738" s="24" t="str">
        <x:v>No usar como prueba de propiedad exclusiva ni imitar marcas/artistas; las imágenes de expansión permanecen NOT OPEN.</x:v>
      </x:c>
    </x:row>
    <x:row r="739" ht="34" customHeight="1">
      <x:c r="A739" s="24" t="str">
        <x:v>TRC-00735</x:v>
      </x:c>
      <x:c r="B739" s="24" t="str">
        <x:v>GEN-CONCEPT-004</x:v>
      </x:c>
      <x:c r="C739" s="24" t="str">
        <x:v>ChatGPT Image 29 jun 2026, 21_38_14 (8).png</x:v>
      </x:c>
      <x:c r="D739" s="24" t="str">
        <x:v>Sprint 16 concept art</x:v>
      </x:c>
      <x:c r="E739" s="24" t="str">
        <x:v>05_Contenido_Generado</x:v>
      </x:c>
      <x:c r="F739" s="24" t="str">
        <x:v>GEN-IMG-004</x:v>
      </x:c>
      <x:c r="G739" s="24" t="str">
        <x:v>OpenAI</x:v>
      </x:c>
      <x:c r="H739" s="24" t="str">
        <x:v>Applicable OpenAI service terms at generation/use date; reverify before public release</x:v>
      </x:c>
      <x:c r="I739" s="24" t="str">
        <x:v>Project conversation + source file + hash</x:v>
      </x:c>
      <x:c r="J739" s="24" t="str">
        <x:v>78f6c5d8ecc65077ee7191715e71f31b15a7ce22b59becf54e69dcca19bded48</x:v>
      </x:c>
      <x:c r="K739" s="24" t="str">
        <x:v>Documentation/01_Working_Documents/Sprint_16/Art_3D/Concept_Art/02_Furniture/ChatGPT Image 29 jun 2026, 21_38_14 (8).png</x:v>
      </x:c>
      <x:c r="L739" s="24" t="str">
        <x:v>CR-010</x:v>
      </x:c>
      <x:c r="M739" s="24" t="str">
        <x:v>ATT-004</x:v>
      </x:c>
      <x:c r="N739" s="24" t="str">
        <x:v>RES-005;RES-013</x:v>
      </x:c>
      <x:c r="O739" s="24" t="str">
        <x:v>Not runtime by default</x:v>
      </x:c>
      <x:c r="P739" s="24" t="str">
        <x:v>INTERNAL CONCEPT / CONDITIONAL</x:v>
      </x:c>
      <x:c r="Q739" s="24" t="str">
        <x:v>Medium</x:v>
      </x:c>
      <x:c r="R739" s="24" t="str">
        <x:v>LEG-DEBT-005</x:v>
      </x:c>
      <x:c r="S739" s="24" t="str">
        <x:v>Parcial</x:v>
      </x:c>
      <x:c r="T739" s="24" t="str">
        <x:f>"T"&amp;IF(AND(H739&lt;&gt;"",I739&lt;&gt;"",J739&lt;&gt;"",L739&lt;&gt;"",N739&lt;&gt;"",O739&lt;&gt;"",P739="APPROVED PUBLIC",S739="Sí"),6,IF(AND(H739&lt;&gt;"",I739&lt;&gt;"",J739&lt;&gt;"",L739&lt;&gt;"",N739&lt;&gt;"",O739&lt;&gt;"",P739&lt;&gt;"",S739="Sí"),5,IF(AND(H739&lt;&gt;"",I739&lt;&gt;"",P739&lt;&gt;"",S739&lt;&gt;"No"),4,IF(AND(H739&lt;&gt;"",I739&lt;&gt;""),3,IF(F739&lt;&gt;"",2,1)))))</x:f>
        <x:v>T4</x:v>
      </x:c>
      <x:c r="U739" s="24" t="str">
        <x:v>VRM Games</x:v>
      </x:c>
      <x:c r="V739" s="24" t="str">
        <x:v>No usar como prueba de propiedad exclusiva ni imitar marcas/artistas; las imágenes de expansión permanecen NOT OPEN.</x:v>
      </x:c>
    </x:row>
    <x:row r="740" ht="34" customHeight="1">
      <x:c r="A740" s="24" t="str">
        <x:v>TRC-00736</x:v>
      </x:c>
      <x:c r="B740" s="24" t="str">
        <x:v>GEN-CONCEPT-005</x:v>
      </x:c>
      <x:c r="C740" s="24" t="str">
        <x:v>ChatGPT Image 29 jun 2026, 21_38_14 (9).png</x:v>
      </x:c>
      <x:c r="D740" s="24" t="str">
        <x:v>Sprint 16 concept art</x:v>
      </x:c>
      <x:c r="E740" s="24" t="str">
        <x:v>05_Contenido_Generado</x:v>
      </x:c>
      <x:c r="F740" s="24" t="str">
        <x:v>GEN-IMG-005</x:v>
      </x:c>
      <x:c r="G740" s="24" t="str">
        <x:v>OpenAI</x:v>
      </x:c>
      <x:c r="H740" s="24" t="str">
        <x:v>Applicable OpenAI service terms at generation/use date; reverify before public release</x:v>
      </x:c>
      <x:c r="I740" s="24" t="str">
        <x:v>Project conversation + source file + hash</x:v>
      </x:c>
      <x:c r="J740" s="24" t="str">
        <x:v>16f940c84ce6c14a277a5ed236d1306df17d80419e118507f0f2032f0b4ad558</x:v>
      </x:c>
      <x:c r="K740" s="24" t="str">
        <x:v>Documentation/01_Working_Documents/Sprint_16/Art_3D/Concept_Art/02_Furniture/ChatGPT Image 29 jun 2026, 21_38_14 (9).png</x:v>
      </x:c>
      <x:c r="L740" s="24" t="str">
        <x:v>CR-010</x:v>
      </x:c>
      <x:c r="M740" s="24" t="str">
        <x:v>ATT-004</x:v>
      </x:c>
      <x:c r="N740" s="24" t="str">
        <x:v>RES-005;RES-013</x:v>
      </x:c>
      <x:c r="O740" s="24" t="str">
        <x:v>Not runtime by default</x:v>
      </x:c>
      <x:c r="P740" s="24" t="str">
        <x:v>INTERNAL CONCEPT / CONDITIONAL</x:v>
      </x:c>
      <x:c r="Q740" s="24" t="str">
        <x:v>Medium</x:v>
      </x:c>
      <x:c r="R740" s="24" t="str">
        <x:v>LEG-DEBT-005</x:v>
      </x:c>
      <x:c r="S740" s="24" t="str">
        <x:v>Parcial</x:v>
      </x:c>
      <x:c r="T740" s="24" t="str">
        <x:f>"T"&amp;IF(AND(H740&lt;&gt;"",I740&lt;&gt;"",J740&lt;&gt;"",L740&lt;&gt;"",N740&lt;&gt;"",O740&lt;&gt;"",P740="APPROVED PUBLIC",S740="Sí"),6,IF(AND(H740&lt;&gt;"",I740&lt;&gt;"",J740&lt;&gt;"",L740&lt;&gt;"",N740&lt;&gt;"",O740&lt;&gt;"",P740&lt;&gt;"",S740="Sí"),5,IF(AND(H740&lt;&gt;"",I740&lt;&gt;"",P740&lt;&gt;"",S740&lt;&gt;"No"),4,IF(AND(H740&lt;&gt;"",I740&lt;&gt;""),3,IF(F740&lt;&gt;"",2,1)))))</x:f>
        <x:v>T4</x:v>
      </x:c>
      <x:c r="U740" s="24" t="str">
        <x:v>VRM Games</x:v>
      </x:c>
      <x:c r="V740" s="24" t="str">
        <x:v>No usar como prueba de propiedad exclusiva ni imitar marcas/artistas; las imágenes de expansión permanecen NOT OPEN.</x:v>
      </x:c>
    </x:row>
    <x:row r="741" ht="34" customHeight="1">
      <x:c r="A741" s="24" t="str">
        <x:v>TRC-00737</x:v>
      </x:c>
      <x:c r="B741" s="24" t="str">
        <x:v>GEN-CONCEPT-006</x:v>
      </x:c>
      <x:c r="C741" s="24" t="str">
        <x:v>ChatGPT Image 29 jun 2026, 21_38_14 (1).png</x:v>
      </x:c>
      <x:c r="D741" s="24" t="str">
        <x:v>Sprint 16 concept art</x:v>
      </x:c>
      <x:c r="E741" s="24" t="str">
        <x:v>05_Contenido_Generado</x:v>
      </x:c>
      <x:c r="F741" s="24" t="str">
        <x:v>GEN-IMG-006</x:v>
      </x:c>
      <x:c r="G741" s="24" t="str">
        <x:v>OpenAI</x:v>
      </x:c>
      <x:c r="H741" s="24" t="str">
        <x:v>Applicable OpenAI service terms at generation/use date; reverify before public release</x:v>
      </x:c>
      <x:c r="I741" s="24" t="str">
        <x:v>Project conversation + source file + hash</x:v>
      </x:c>
      <x:c r="J741" s="24" t="str">
        <x:v>410d0bf38ab8848df5a496e250786d793d1d45bf8bbeab48c8f8ca83fa91d8fd</x:v>
      </x:c>
      <x:c r="K741" s="24" t="str">
        <x:v>Documentation/01_Working_Documents/Sprint_16/Art_3D/Concept_Art/03_Products/ChatGPT Image 29 jun 2026, 21_38_14 (1).png</x:v>
      </x:c>
      <x:c r="L741" s="24" t="str">
        <x:v>CR-010</x:v>
      </x:c>
      <x:c r="M741" s="24" t="str">
        <x:v>ATT-004</x:v>
      </x:c>
      <x:c r="N741" s="24" t="str">
        <x:v>RES-005;RES-013</x:v>
      </x:c>
      <x:c r="O741" s="24" t="str">
        <x:v>Not runtime by default</x:v>
      </x:c>
      <x:c r="P741" s="24" t="str">
        <x:v>INTERNAL CONCEPT / CONDITIONAL</x:v>
      </x:c>
      <x:c r="Q741" s="24" t="str">
        <x:v>Medium</x:v>
      </x:c>
      <x:c r="R741" s="24" t="str">
        <x:v>LEG-DEBT-005</x:v>
      </x:c>
      <x:c r="S741" s="24" t="str">
        <x:v>Parcial</x:v>
      </x:c>
      <x:c r="T741" s="24" t="str">
        <x:f>"T"&amp;IF(AND(H741&lt;&gt;"",I741&lt;&gt;"",J741&lt;&gt;"",L741&lt;&gt;"",N741&lt;&gt;"",O741&lt;&gt;"",P741="APPROVED PUBLIC",S741="Sí"),6,IF(AND(H741&lt;&gt;"",I741&lt;&gt;"",J741&lt;&gt;"",L741&lt;&gt;"",N741&lt;&gt;"",O741&lt;&gt;"",P741&lt;&gt;"",S741="Sí"),5,IF(AND(H741&lt;&gt;"",I741&lt;&gt;"",P741&lt;&gt;"",S741&lt;&gt;"No"),4,IF(AND(H741&lt;&gt;"",I741&lt;&gt;""),3,IF(F741&lt;&gt;"",2,1)))))</x:f>
        <x:v>T4</x:v>
      </x:c>
      <x:c r="U741" s="24" t="str">
        <x:v>VRM Games</x:v>
      </x:c>
      <x:c r="V741" s="24" t="str">
        <x:v>No usar como prueba de propiedad exclusiva ni imitar marcas/artistas; las imágenes de expansión permanecen NOT OPEN.</x:v>
      </x:c>
    </x:row>
    <x:row r="742" ht="34" customHeight="1">
      <x:c r="A742" s="24" t="str">
        <x:v>TRC-00738</x:v>
      </x:c>
      <x:c r="B742" s="24" t="str">
        <x:v>GEN-CONCEPT-007</x:v>
      </x:c>
      <x:c r="C742" s="24" t="str">
        <x:v>ChatGPT Image 29 jun 2026, 21_38_14 (2).png</x:v>
      </x:c>
      <x:c r="D742" s="24" t="str">
        <x:v>Sprint 16 concept art</x:v>
      </x:c>
      <x:c r="E742" s="24" t="str">
        <x:v>05_Contenido_Generado</x:v>
      </x:c>
      <x:c r="F742" s="24" t="str">
        <x:v>GEN-IMG-007</x:v>
      </x:c>
      <x:c r="G742" s="24" t="str">
        <x:v>OpenAI</x:v>
      </x:c>
      <x:c r="H742" s="24" t="str">
        <x:v>Applicable OpenAI service terms at generation/use date; reverify before public release</x:v>
      </x:c>
      <x:c r="I742" s="24" t="str">
        <x:v>Project conversation + source file + hash</x:v>
      </x:c>
      <x:c r="J742" s="24" t="str">
        <x:v>6107ce0119514adab534d271d224c0a3b9b2006eebe551cc43297299a9edc404</x:v>
      </x:c>
      <x:c r="K742" s="24" t="str">
        <x:v>Documentation/01_Working_Documents/Sprint_16/Art_3D/Concept_Art/03_Products/ChatGPT Image 29 jun 2026, 21_38_14 (2).png</x:v>
      </x:c>
      <x:c r="L742" s="24" t="str">
        <x:v>CR-010</x:v>
      </x:c>
      <x:c r="M742" s="24" t="str">
        <x:v>ATT-004</x:v>
      </x:c>
      <x:c r="N742" s="24" t="str">
        <x:v>RES-005;RES-013</x:v>
      </x:c>
      <x:c r="O742" s="24" t="str">
        <x:v>Not runtime by default</x:v>
      </x:c>
      <x:c r="P742" s="24" t="str">
        <x:v>INTERNAL CONCEPT / CONDITIONAL</x:v>
      </x:c>
      <x:c r="Q742" s="24" t="str">
        <x:v>Medium</x:v>
      </x:c>
      <x:c r="R742" s="24" t="str">
        <x:v>LEG-DEBT-005</x:v>
      </x:c>
      <x:c r="S742" s="24" t="str">
        <x:v>Parcial</x:v>
      </x:c>
      <x:c r="T742" s="24" t="str">
        <x:f>"T"&amp;IF(AND(H742&lt;&gt;"",I742&lt;&gt;"",J742&lt;&gt;"",L742&lt;&gt;"",N742&lt;&gt;"",O742&lt;&gt;"",P742="APPROVED PUBLIC",S742="Sí"),6,IF(AND(H742&lt;&gt;"",I742&lt;&gt;"",J742&lt;&gt;"",L742&lt;&gt;"",N742&lt;&gt;"",O742&lt;&gt;"",P742&lt;&gt;"",S742="Sí"),5,IF(AND(H742&lt;&gt;"",I742&lt;&gt;"",P742&lt;&gt;"",S742&lt;&gt;"No"),4,IF(AND(H742&lt;&gt;"",I742&lt;&gt;""),3,IF(F742&lt;&gt;"",2,1)))))</x:f>
        <x:v>T4</x:v>
      </x:c>
      <x:c r="U742" s="24" t="str">
        <x:v>VRM Games</x:v>
      </x:c>
      <x:c r="V742" s="24" t="str">
        <x:v>No usar como prueba de propiedad exclusiva ni imitar marcas/artistas; las imágenes de expansión permanecen NOT OPEN.</x:v>
      </x:c>
    </x:row>
    <x:row r="743" ht="34" customHeight="1">
      <x:c r="A743" s="24" t="str">
        <x:v>TRC-00739</x:v>
      </x:c>
      <x:c r="B743" s="24" t="str">
        <x:v>GEN-CONCEPT-008</x:v>
      </x:c>
      <x:c r="C743" s="24" t="str">
        <x:v>ChatGPT Image 29 jun 2026, 21_38_14 (3).png</x:v>
      </x:c>
      <x:c r="D743" s="24" t="str">
        <x:v>Sprint 16 concept art</x:v>
      </x:c>
      <x:c r="E743" s="24" t="str">
        <x:v>05_Contenido_Generado</x:v>
      </x:c>
      <x:c r="F743" s="24" t="str">
        <x:v>GEN-IMG-008</x:v>
      </x:c>
      <x:c r="G743" s="24" t="str">
        <x:v>OpenAI</x:v>
      </x:c>
      <x:c r="H743" s="24" t="str">
        <x:v>Applicable OpenAI service terms at generation/use date; reverify before public release</x:v>
      </x:c>
      <x:c r="I743" s="24" t="str">
        <x:v>Project conversation + source file + hash</x:v>
      </x:c>
      <x:c r="J743" s="24" t="str">
        <x:v>27639fb594bb9c24fc20403cbcf15a683b91af6b12250d3062fb2d0ec054528c</x:v>
      </x:c>
      <x:c r="K743" s="24" t="str">
        <x:v>Documentation/01_Working_Documents/Sprint_16/Art_3D/Concept_Art/03_Products/ChatGPT Image 29 jun 2026, 21_38_14 (3).png</x:v>
      </x:c>
      <x:c r="L743" s="24" t="str">
        <x:v>CR-010</x:v>
      </x:c>
      <x:c r="M743" s="24" t="str">
        <x:v>ATT-004</x:v>
      </x:c>
      <x:c r="N743" s="24" t="str">
        <x:v>RES-005;RES-013</x:v>
      </x:c>
      <x:c r="O743" s="24" t="str">
        <x:v>Not runtime by default</x:v>
      </x:c>
      <x:c r="P743" s="24" t="str">
        <x:v>INTERNAL CONCEPT / CONDITIONAL</x:v>
      </x:c>
      <x:c r="Q743" s="24" t="str">
        <x:v>Medium</x:v>
      </x:c>
      <x:c r="R743" s="24" t="str">
        <x:v>LEG-DEBT-005</x:v>
      </x:c>
      <x:c r="S743" s="24" t="str">
        <x:v>Parcial</x:v>
      </x:c>
      <x:c r="T743" s="24" t="str">
        <x:f>"T"&amp;IF(AND(H743&lt;&gt;"",I743&lt;&gt;"",J743&lt;&gt;"",L743&lt;&gt;"",N743&lt;&gt;"",O743&lt;&gt;"",P743="APPROVED PUBLIC",S743="Sí"),6,IF(AND(H743&lt;&gt;"",I743&lt;&gt;"",J743&lt;&gt;"",L743&lt;&gt;"",N743&lt;&gt;"",O743&lt;&gt;"",P743&lt;&gt;"",S743="Sí"),5,IF(AND(H743&lt;&gt;"",I743&lt;&gt;"",P743&lt;&gt;"",S743&lt;&gt;"No"),4,IF(AND(H743&lt;&gt;"",I743&lt;&gt;""),3,IF(F743&lt;&gt;"",2,1)))))</x:f>
        <x:v>T4</x:v>
      </x:c>
      <x:c r="U743" s="24" t="str">
        <x:v>VRM Games</x:v>
      </x:c>
      <x:c r="V743" s="24" t="str">
        <x:v>No usar como prueba de propiedad exclusiva ni imitar marcas/artistas; las imágenes de expansión permanecen NOT OPEN.</x:v>
      </x:c>
    </x:row>
    <x:row r="744" ht="34" customHeight="1">
      <x:c r="A744" s="24" t="str">
        <x:v>TRC-00740</x:v>
      </x:c>
      <x:c r="B744" s="24" t="str">
        <x:v>GEN-CONCEPT-009</x:v>
      </x:c>
      <x:c r="C744" s="24" t="str">
        <x:v>ChatGPT Image 29 jun 2026, 21_38_14 (4).png</x:v>
      </x:c>
      <x:c r="D744" s="24" t="str">
        <x:v>Sprint 16 concept art</x:v>
      </x:c>
      <x:c r="E744" s="24" t="str">
        <x:v>05_Contenido_Generado</x:v>
      </x:c>
      <x:c r="F744" s="24" t="str">
        <x:v>GEN-IMG-009</x:v>
      </x:c>
      <x:c r="G744" s="24" t="str">
        <x:v>OpenAI</x:v>
      </x:c>
      <x:c r="H744" s="24" t="str">
        <x:v>Applicable OpenAI service terms at generation/use date; reverify before public release</x:v>
      </x:c>
      <x:c r="I744" s="24" t="str">
        <x:v>Project conversation + source file + hash</x:v>
      </x:c>
      <x:c r="J744" s="24" t="str">
        <x:v>7ade04828ed3b7623c7e7dc271adde637cdcbf746c6a78566a3faa3cb5073e63</x:v>
      </x:c>
      <x:c r="K744" s="24" t="str">
        <x:v>Documentation/01_Working_Documents/Sprint_16/Art_3D/Concept_Art/03_Products/ChatGPT Image 29 jun 2026, 21_38_14 (4).png</x:v>
      </x:c>
      <x:c r="L744" s="24" t="str">
        <x:v>CR-010</x:v>
      </x:c>
      <x:c r="M744" s="24" t="str">
        <x:v>ATT-004</x:v>
      </x:c>
      <x:c r="N744" s="24" t="str">
        <x:v>RES-005;RES-013</x:v>
      </x:c>
      <x:c r="O744" s="24" t="str">
        <x:v>Not runtime by default</x:v>
      </x:c>
      <x:c r="P744" s="24" t="str">
        <x:v>INTERNAL CONCEPT / CONDITIONAL</x:v>
      </x:c>
      <x:c r="Q744" s="24" t="str">
        <x:v>Medium</x:v>
      </x:c>
      <x:c r="R744" s="24" t="str">
        <x:v>LEG-DEBT-005</x:v>
      </x:c>
      <x:c r="S744" s="24" t="str">
        <x:v>Parcial</x:v>
      </x:c>
      <x:c r="T744" s="24" t="str">
        <x:f>"T"&amp;IF(AND(H744&lt;&gt;"",I744&lt;&gt;"",J744&lt;&gt;"",L744&lt;&gt;"",N744&lt;&gt;"",O744&lt;&gt;"",P744="APPROVED PUBLIC",S744="Sí"),6,IF(AND(H744&lt;&gt;"",I744&lt;&gt;"",J744&lt;&gt;"",L744&lt;&gt;"",N744&lt;&gt;"",O744&lt;&gt;"",P744&lt;&gt;"",S744="Sí"),5,IF(AND(H744&lt;&gt;"",I744&lt;&gt;"",P744&lt;&gt;"",S744&lt;&gt;"No"),4,IF(AND(H744&lt;&gt;"",I744&lt;&gt;""),3,IF(F744&lt;&gt;"",2,1)))))</x:f>
        <x:v>T4</x:v>
      </x:c>
      <x:c r="U744" s="24" t="str">
        <x:v>VRM Games</x:v>
      </x:c>
      <x:c r="V744" s="24" t="str">
        <x:v>No usar como prueba de propiedad exclusiva ni imitar marcas/artistas; las imágenes de expansión permanecen NOT OPEN.</x:v>
      </x:c>
    </x:row>
    <x:row r="745" ht="34" customHeight="1">
      <x:c r="A745" s="24" t="str">
        <x:v>TRC-00741</x:v>
      </x:c>
      <x:c r="B745" s="24" t="str">
        <x:v>GEN-CONCEPT-010</x:v>
      </x:c>
      <x:c r="C745" s="24" t="str">
        <x:v>ChatGPT Image 29 jun 2026, 21_38_14 (5).png</x:v>
      </x:c>
      <x:c r="D745" s="24" t="str">
        <x:v>Sprint 16 concept art</x:v>
      </x:c>
      <x:c r="E745" s="24" t="str">
        <x:v>05_Contenido_Generado</x:v>
      </x:c>
      <x:c r="F745" s="24" t="str">
        <x:v>GEN-IMG-010</x:v>
      </x:c>
      <x:c r="G745" s="24" t="str">
        <x:v>OpenAI</x:v>
      </x:c>
      <x:c r="H745" s="24" t="str">
        <x:v>Applicable OpenAI service terms at generation/use date; reverify before public release</x:v>
      </x:c>
      <x:c r="I745" s="24" t="str">
        <x:v>Project conversation + source file + hash</x:v>
      </x:c>
      <x:c r="J745" s="24" t="str">
        <x:v>48be40e282d818092991e3f24d9e6b21e324025374a15ae762faf4fca8762779</x:v>
      </x:c>
      <x:c r="K745" s="24" t="str">
        <x:v>Documentation/01_Working_Documents/Sprint_16/Art_3D/Concept_Art/03_Products/ChatGPT Image 29 jun 2026, 21_38_14 (5).png</x:v>
      </x:c>
      <x:c r="L745" s="24" t="str">
        <x:v>CR-010</x:v>
      </x:c>
      <x:c r="M745" s="24" t="str">
        <x:v>ATT-004</x:v>
      </x:c>
      <x:c r="N745" s="24" t="str">
        <x:v>RES-005;RES-013</x:v>
      </x:c>
      <x:c r="O745" s="24" t="str">
        <x:v>Not runtime by default</x:v>
      </x:c>
      <x:c r="P745" s="24" t="str">
        <x:v>INTERNAL CONCEPT / CONDITIONAL</x:v>
      </x:c>
      <x:c r="Q745" s="24" t="str">
        <x:v>Medium</x:v>
      </x:c>
      <x:c r="R745" s="24" t="str">
        <x:v>LEG-DEBT-005</x:v>
      </x:c>
      <x:c r="S745" s="24" t="str">
        <x:v>Parcial</x:v>
      </x:c>
      <x:c r="T745" s="24" t="str">
        <x:f>"T"&amp;IF(AND(H745&lt;&gt;"",I745&lt;&gt;"",J745&lt;&gt;"",L745&lt;&gt;"",N745&lt;&gt;"",O745&lt;&gt;"",P745="APPROVED PUBLIC",S745="Sí"),6,IF(AND(H745&lt;&gt;"",I745&lt;&gt;"",J745&lt;&gt;"",L745&lt;&gt;"",N745&lt;&gt;"",O745&lt;&gt;"",P745&lt;&gt;"",S745="Sí"),5,IF(AND(H745&lt;&gt;"",I745&lt;&gt;"",P745&lt;&gt;"",S745&lt;&gt;"No"),4,IF(AND(H745&lt;&gt;"",I745&lt;&gt;""),3,IF(F745&lt;&gt;"",2,1)))))</x:f>
        <x:v>T4</x:v>
      </x:c>
      <x:c r="U745" s="24" t="str">
        <x:v>VRM Games</x:v>
      </x:c>
      <x:c r="V745" s="24" t="str">
        <x:v>No usar como prueba de propiedad exclusiva ni imitar marcas/artistas; las imágenes de expansión permanecen NOT OPEN.</x:v>
      </x:c>
    </x:row>
    <x:row r="746" ht="34" customHeight="1">
      <x:c r="A746" s="24" t="str">
        <x:v>TRC-00742</x:v>
      </x:c>
      <x:c r="B746" s="24" t="str">
        <x:v>GEN-CONCEPT-011</x:v>
      </x:c>
      <x:c r="C746" s="24" t="str">
        <x:v>ChatGPT Image 29 jun 2026, 21_38_14 (6).png</x:v>
      </x:c>
      <x:c r="D746" s="24" t="str">
        <x:v>Sprint 16 concept art</x:v>
      </x:c>
      <x:c r="E746" s="24" t="str">
        <x:v>05_Contenido_Generado</x:v>
      </x:c>
      <x:c r="F746" s="24" t="str">
        <x:v>GEN-IMG-011</x:v>
      </x:c>
      <x:c r="G746" s="24" t="str">
        <x:v>OpenAI</x:v>
      </x:c>
      <x:c r="H746" s="24" t="str">
        <x:v>Applicable OpenAI service terms at generation/use date; reverify before public release</x:v>
      </x:c>
      <x:c r="I746" s="24" t="str">
        <x:v>Project conversation + source file + hash</x:v>
      </x:c>
      <x:c r="J746" s="24" t="str">
        <x:v>56891223f619f891a523c01037823ca04fa386cc2b0963858c6115e9984df4bd</x:v>
      </x:c>
      <x:c r="K746" s="24" t="str">
        <x:v>Documentation/01_Working_Documents/Sprint_16/Art_3D/Concept_Art/03_Products/ChatGPT Image 29 jun 2026, 21_38_14 (6).png</x:v>
      </x:c>
      <x:c r="L746" s="24" t="str">
        <x:v>CR-010</x:v>
      </x:c>
      <x:c r="M746" s="24" t="str">
        <x:v>ATT-004</x:v>
      </x:c>
      <x:c r="N746" s="24" t="str">
        <x:v>RES-005;RES-013</x:v>
      </x:c>
      <x:c r="O746" s="24" t="str">
        <x:v>Not runtime by default</x:v>
      </x:c>
      <x:c r="P746" s="24" t="str">
        <x:v>INTERNAL CONCEPT / CONDITIONAL</x:v>
      </x:c>
      <x:c r="Q746" s="24" t="str">
        <x:v>Medium</x:v>
      </x:c>
      <x:c r="R746" s="24" t="str">
        <x:v>LEG-DEBT-005</x:v>
      </x:c>
      <x:c r="S746" s="24" t="str">
        <x:v>Parcial</x:v>
      </x:c>
      <x:c r="T746" s="24" t="str">
        <x:f>"T"&amp;IF(AND(H746&lt;&gt;"",I746&lt;&gt;"",J746&lt;&gt;"",L746&lt;&gt;"",N746&lt;&gt;"",O746&lt;&gt;"",P746="APPROVED PUBLIC",S746="Sí"),6,IF(AND(H746&lt;&gt;"",I746&lt;&gt;"",J746&lt;&gt;"",L746&lt;&gt;"",N746&lt;&gt;"",O746&lt;&gt;"",P746&lt;&gt;"",S746="Sí"),5,IF(AND(H746&lt;&gt;"",I746&lt;&gt;"",P746&lt;&gt;"",S746&lt;&gt;"No"),4,IF(AND(H746&lt;&gt;"",I746&lt;&gt;""),3,IF(F746&lt;&gt;"",2,1)))))</x:f>
        <x:v>T4</x:v>
      </x:c>
      <x:c r="U746" s="24" t="str">
        <x:v>VRM Games</x:v>
      </x:c>
      <x:c r="V746" s="24" t="str">
        <x:v>No usar como prueba de propiedad exclusiva ni imitar marcas/artistas; las imágenes de expansión permanecen NOT OPEN.</x:v>
      </x:c>
    </x:row>
    <x:row r="747" ht="34" customHeight="1">
      <x:c r="A747" s="24" t="str">
        <x:v>TRC-00743</x:v>
      </x:c>
      <x:c r="B747" s="24" t="str">
        <x:v>GEN-CONCEPT-012</x:v>
      </x:c>
      <x:c r="C747" s="24" t="str">
        <x:v>ChatGPT Image 29 jun 2026, 21_38_50 (1).png</x:v>
      </x:c>
      <x:c r="D747" s="24" t="str">
        <x:v>Sprint 16 concept art</x:v>
      </x:c>
      <x:c r="E747" s="24" t="str">
        <x:v>05_Contenido_Generado</x:v>
      </x:c>
      <x:c r="F747" s="24" t="str">
        <x:v>GEN-IMG-012</x:v>
      </x:c>
      <x:c r="G747" s="24" t="str">
        <x:v>OpenAI</x:v>
      </x:c>
      <x:c r="H747" s="24" t="str">
        <x:v>Applicable OpenAI service terms at generation/use date; reverify before public release</x:v>
      </x:c>
      <x:c r="I747" s="24" t="str">
        <x:v>Project conversation + source file + hash</x:v>
      </x:c>
      <x:c r="J747" s="24" t="str">
        <x:v>fd439e31144c41f1eedd8d417911c1f78fbdbe02623b4859535db50082e8a491</x:v>
      </x:c>
      <x:c r="K747" s="24" t="str">
        <x:v>Documentation/01_Working_Documents/Sprint_16/Art_3D/Concept_Art/04_Characters/ChatGPT Image 29 jun 2026, 21_38_50 (1).png</x:v>
      </x:c>
      <x:c r="L747" s="24" t="str">
        <x:v>CR-010</x:v>
      </x:c>
      <x:c r="M747" s="24" t="str">
        <x:v>ATT-004</x:v>
      </x:c>
      <x:c r="N747" s="24" t="str">
        <x:v>RES-005;RES-013</x:v>
      </x:c>
      <x:c r="O747" s="24" t="str">
        <x:v>Not runtime by default</x:v>
      </x:c>
      <x:c r="P747" s="24" t="str">
        <x:v>INTERNAL CONCEPT / CONDITIONAL</x:v>
      </x:c>
      <x:c r="Q747" s="24" t="str">
        <x:v>Medium</x:v>
      </x:c>
      <x:c r="R747" s="24" t="str">
        <x:v>LEG-DEBT-005</x:v>
      </x:c>
      <x:c r="S747" s="24" t="str">
        <x:v>Parcial</x:v>
      </x:c>
      <x:c r="T747" s="24" t="str">
        <x:f>"T"&amp;IF(AND(H747&lt;&gt;"",I747&lt;&gt;"",J747&lt;&gt;"",L747&lt;&gt;"",N747&lt;&gt;"",O747&lt;&gt;"",P747="APPROVED PUBLIC",S747="Sí"),6,IF(AND(H747&lt;&gt;"",I747&lt;&gt;"",J747&lt;&gt;"",L747&lt;&gt;"",N747&lt;&gt;"",O747&lt;&gt;"",P747&lt;&gt;"",S747="Sí"),5,IF(AND(H747&lt;&gt;"",I747&lt;&gt;"",P747&lt;&gt;"",S747&lt;&gt;"No"),4,IF(AND(H747&lt;&gt;"",I747&lt;&gt;""),3,IF(F747&lt;&gt;"",2,1)))))</x:f>
        <x:v>T4</x:v>
      </x:c>
      <x:c r="U747" s="24" t="str">
        <x:v>VRM Games</x:v>
      </x:c>
      <x:c r="V747" s="24" t="str">
        <x:v>No usar como prueba de propiedad exclusiva ni imitar marcas/artistas; las imágenes de expansión permanecen NOT OPEN.</x:v>
      </x:c>
    </x:row>
    <x:row r="748" ht="34" customHeight="1">
      <x:c r="A748" s="24" t="str">
        <x:v>TRC-00744</x:v>
      </x:c>
      <x:c r="B748" s="24" t="str">
        <x:v>GEN-CONCEPT-013</x:v>
      </x:c>
      <x:c r="C748" s="24" t="str">
        <x:v>ChatGPT Image 29 jun 2026, 21_38_50 (2).png</x:v>
      </x:c>
      <x:c r="D748" s="24" t="str">
        <x:v>Sprint 16 concept art</x:v>
      </x:c>
      <x:c r="E748" s="24" t="str">
        <x:v>05_Contenido_Generado</x:v>
      </x:c>
      <x:c r="F748" s="24" t="str">
        <x:v>GEN-IMG-013</x:v>
      </x:c>
      <x:c r="G748" s="24" t="str">
        <x:v>OpenAI</x:v>
      </x:c>
      <x:c r="H748" s="24" t="str">
        <x:v>Applicable OpenAI service terms at generation/use date; reverify before public release</x:v>
      </x:c>
      <x:c r="I748" s="24" t="str">
        <x:v>Project conversation + source file + hash</x:v>
      </x:c>
      <x:c r="J748" s="24" t="str">
        <x:v>e5bca43f10a16a56d793260cf1bad77fa308db981207d5e6d37325159e6d8a11</x:v>
      </x:c>
      <x:c r="K748" s="24" t="str">
        <x:v>Documentation/01_Working_Documents/Sprint_16/Art_3D/Concept_Art/04_Characters/ChatGPT Image 29 jun 2026, 21_38_50 (2).png</x:v>
      </x:c>
      <x:c r="L748" s="24" t="str">
        <x:v>CR-010</x:v>
      </x:c>
      <x:c r="M748" s="24" t="str">
        <x:v>ATT-004</x:v>
      </x:c>
      <x:c r="N748" s="24" t="str">
        <x:v>RES-005;RES-013</x:v>
      </x:c>
      <x:c r="O748" s="24" t="str">
        <x:v>Not runtime by default</x:v>
      </x:c>
      <x:c r="P748" s="24" t="str">
        <x:v>INTERNAL CONCEPT / CONDITIONAL</x:v>
      </x:c>
      <x:c r="Q748" s="24" t="str">
        <x:v>Medium</x:v>
      </x:c>
      <x:c r="R748" s="24" t="str">
        <x:v>LEG-DEBT-005</x:v>
      </x:c>
      <x:c r="S748" s="24" t="str">
        <x:v>Parcial</x:v>
      </x:c>
      <x:c r="T748" s="24" t="str">
        <x:f>"T"&amp;IF(AND(H748&lt;&gt;"",I748&lt;&gt;"",J748&lt;&gt;"",L748&lt;&gt;"",N748&lt;&gt;"",O748&lt;&gt;"",P748="APPROVED PUBLIC",S748="Sí"),6,IF(AND(H748&lt;&gt;"",I748&lt;&gt;"",J748&lt;&gt;"",L748&lt;&gt;"",N748&lt;&gt;"",O748&lt;&gt;"",P748&lt;&gt;"",S748="Sí"),5,IF(AND(H748&lt;&gt;"",I748&lt;&gt;"",P748&lt;&gt;"",S748&lt;&gt;"No"),4,IF(AND(H748&lt;&gt;"",I748&lt;&gt;""),3,IF(F748&lt;&gt;"",2,1)))))</x:f>
        <x:v>T4</x:v>
      </x:c>
      <x:c r="U748" s="24" t="str">
        <x:v>VRM Games</x:v>
      </x:c>
      <x:c r="V748" s="24" t="str">
        <x:v>No usar como prueba de propiedad exclusiva ni imitar marcas/artistas; las imágenes de expansión permanecen NOT OPEN.</x:v>
      </x:c>
    </x:row>
    <x:row r="749" ht="34" customHeight="1">
      <x:c r="A749" s="24" t="str">
        <x:v>TRC-00745</x:v>
      </x:c>
      <x:c r="B749" s="24" t="str">
        <x:v>GEN-CONCEPT-014</x:v>
      </x:c>
      <x:c r="C749" s="24" t="str">
        <x:v>ChatGPT Image 29 jun 2026, 21_38_50 (3).png</x:v>
      </x:c>
      <x:c r="D749" s="24" t="str">
        <x:v>Sprint 16 concept art</x:v>
      </x:c>
      <x:c r="E749" s="24" t="str">
        <x:v>05_Contenido_Generado</x:v>
      </x:c>
      <x:c r="F749" s="24" t="str">
        <x:v>GEN-IMG-014</x:v>
      </x:c>
      <x:c r="G749" s="24" t="str">
        <x:v>OpenAI</x:v>
      </x:c>
      <x:c r="H749" s="24" t="str">
        <x:v>Applicable OpenAI service terms at generation/use date; reverify before public release</x:v>
      </x:c>
      <x:c r="I749" s="24" t="str">
        <x:v>Project conversation + source file + hash</x:v>
      </x:c>
      <x:c r="J749" s="24" t="str">
        <x:v>093b91e470d56a2609622789d9955d99f700014a6e9733fb4dc32da839d6d7e2</x:v>
      </x:c>
      <x:c r="K749" s="24" t="str">
        <x:v>Documentation/01_Working_Documents/Sprint_16/Art_3D/Concept_Art/04_Characters/ChatGPT Image 29 jun 2026, 21_38_50 (3).png</x:v>
      </x:c>
      <x:c r="L749" s="24" t="str">
        <x:v>CR-010</x:v>
      </x:c>
      <x:c r="M749" s="24" t="str">
        <x:v>ATT-004</x:v>
      </x:c>
      <x:c r="N749" s="24" t="str">
        <x:v>RES-005;RES-013</x:v>
      </x:c>
      <x:c r="O749" s="24" t="str">
        <x:v>Not runtime by default</x:v>
      </x:c>
      <x:c r="P749" s="24" t="str">
        <x:v>INTERNAL CONCEPT / CONDITIONAL</x:v>
      </x:c>
      <x:c r="Q749" s="24" t="str">
        <x:v>Medium</x:v>
      </x:c>
      <x:c r="R749" s="24" t="str">
        <x:v>LEG-DEBT-005</x:v>
      </x:c>
      <x:c r="S749" s="24" t="str">
        <x:v>Parcial</x:v>
      </x:c>
      <x:c r="T749" s="24" t="str">
        <x:f>"T"&amp;IF(AND(H749&lt;&gt;"",I749&lt;&gt;"",J749&lt;&gt;"",L749&lt;&gt;"",N749&lt;&gt;"",O749&lt;&gt;"",P749="APPROVED PUBLIC",S749="Sí"),6,IF(AND(H749&lt;&gt;"",I749&lt;&gt;"",J749&lt;&gt;"",L749&lt;&gt;"",N749&lt;&gt;"",O749&lt;&gt;"",P749&lt;&gt;"",S749="Sí"),5,IF(AND(H749&lt;&gt;"",I749&lt;&gt;"",P749&lt;&gt;"",S749&lt;&gt;"No"),4,IF(AND(H749&lt;&gt;"",I749&lt;&gt;""),3,IF(F749&lt;&gt;"",2,1)))))</x:f>
        <x:v>T4</x:v>
      </x:c>
      <x:c r="U749" s="24" t="str">
        <x:v>VRM Games</x:v>
      </x:c>
      <x:c r="V749" s="24" t="str">
        <x:v>No usar como prueba de propiedad exclusiva ni imitar marcas/artistas; las imágenes de expansión permanecen NOT OPEN.</x:v>
      </x:c>
    </x:row>
    <x:row r="750" ht="34" customHeight="1">
      <x:c r="A750" s="24" t="str">
        <x:v>TRC-00746</x:v>
      </x:c>
      <x:c r="B750" s="24" t="str">
        <x:v>GEN-CONCEPT-015</x:v>
      </x:c>
      <x:c r="C750" s="24" t="str">
        <x:v>ChatGPT Image 29 jun 2026, 21_38_50 (4).png</x:v>
      </x:c>
      <x:c r="D750" s="24" t="str">
        <x:v>Sprint 16 concept art</x:v>
      </x:c>
      <x:c r="E750" s="24" t="str">
        <x:v>05_Contenido_Generado</x:v>
      </x:c>
      <x:c r="F750" s="24" t="str">
        <x:v>GEN-IMG-015</x:v>
      </x:c>
      <x:c r="G750" s="24" t="str">
        <x:v>OpenAI</x:v>
      </x:c>
      <x:c r="H750" s="24" t="str">
        <x:v>Applicable OpenAI service terms at generation/use date; reverify before public release</x:v>
      </x:c>
      <x:c r="I750" s="24" t="str">
        <x:v>Project conversation + source file + hash</x:v>
      </x:c>
      <x:c r="J750" s="24" t="str">
        <x:v>546539231dbaf0ac0f0d3bd92bd4349e7ea7c13bee7dd1aa0768363529198c07</x:v>
      </x:c>
      <x:c r="K750" s="24" t="str">
        <x:v>Documentation/01_Working_Documents/Sprint_16/Art_3D/Concept_Art/04_Characters/ChatGPT Image 29 jun 2026, 21_38_50 (4).png</x:v>
      </x:c>
      <x:c r="L750" s="24" t="str">
        <x:v>CR-010</x:v>
      </x:c>
      <x:c r="M750" s="24" t="str">
        <x:v>ATT-004</x:v>
      </x:c>
      <x:c r="N750" s="24" t="str">
        <x:v>RES-005;RES-013</x:v>
      </x:c>
      <x:c r="O750" s="24" t="str">
        <x:v>Not runtime by default</x:v>
      </x:c>
      <x:c r="P750" s="24" t="str">
        <x:v>INTERNAL CONCEPT / CONDITIONAL</x:v>
      </x:c>
      <x:c r="Q750" s="24" t="str">
        <x:v>Medium</x:v>
      </x:c>
      <x:c r="R750" s="24" t="str">
        <x:v>LEG-DEBT-005</x:v>
      </x:c>
      <x:c r="S750" s="24" t="str">
        <x:v>Parcial</x:v>
      </x:c>
      <x:c r="T750" s="24" t="str">
        <x:f>"T"&amp;IF(AND(H750&lt;&gt;"",I750&lt;&gt;"",J750&lt;&gt;"",L750&lt;&gt;"",N750&lt;&gt;"",O750&lt;&gt;"",P750="APPROVED PUBLIC",S750="Sí"),6,IF(AND(H750&lt;&gt;"",I750&lt;&gt;"",J750&lt;&gt;"",L750&lt;&gt;"",N750&lt;&gt;"",O750&lt;&gt;"",P750&lt;&gt;"",S750="Sí"),5,IF(AND(H750&lt;&gt;"",I750&lt;&gt;"",P750&lt;&gt;"",S750&lt;&gt;"No"),4,IF(AND(H750&lt;&gt;"",I750&lt;&gt;""),3,IF(F750&lt;&gt;"",2,1)))))</x:f>
        <x:v>T4</x:v>
      </x:c>
      <x:c r="U750" s="24" t="str">
        <x:v>VRM Games</x:v>
      </x:c>
      <x:c r="V750" s="24" t="str">
        <x:v>No usar como prueba de propiedad exclusiva ni imitar marcas/artistas; las imágenes de expansión permanecen NOT OPEN.</x:v>
      </x:c>
    </x:row>
    <x:row r="751" ht="34" customHeight="1">
      <x:c r="A751" s="24" t="str">
        <x:v>TRC-00747</x:v>
      </x:c>
      <x:c r="B751" s="24" t="str">
        <x:v>GEN-CONCEPT-016</x:v>
      </x:c>
      <x:c r="C751" s="24" t="str">
        <x:v>ChatGPT Image 29 jun 2026, 21_38_50 (5).png</x:v>
      </x:c>
      <x:c r="D751" s="24" t="str">
        <x:v>Sprint 16 concept art</x:v>
      </x:c>
      <x:c r="E751" s="24" t="str">
        <x:v>05_Contenido_Generado</x:v>
      </x:c>
      <x:c r="F751" s="24" t="str">
        <x:v>GEN-IMG-016</x:v>
      </x:c>
      <x:c r="G751" s="24" t="str">
        <x:v>OpenAI</x:v>
      </x:c>
      <x:c r="H751" s="24" t="str">
        <x:v>Applicable OpenAI service terms at generation/use date; reverify before public release</x:v>
      </x:c>
      <x:c r="I751" s="24" t="str">
        <x:v>Project conversation + source file + hash</x:v>
      </x:c>
      <x:c r="J751" s="24" t="str">
        <x:v>1d02083cf9c0736568b4fbefea98d57e1104d84e1def585b1c8bf87fec8462d1</x:v>
      </x:c>
      <x:c r="K751" s="24" t="str">
        <x:v>Documentation/01_Working_Documents/Sprint_16/Art_3D/Concept_Art/04_Characters/ChatGPT Image 29 jun 2026, 21_38_50 (5).png</x:v>
      </x:c>
      <x:c r="L751" s="24" t="str">
        <x:v>CR-010</x:v>
      </x:c>
      <x:c r="M751" s="24" t="str">
        <x:v>ATT-004</x:v>
      </x:c>
      <x:c r="N751" s="24" t="str">
        <x:v>RES-005;RES-013</x:v>
      </x:c>
      <x:c r="O751" s="24" t="str">
        <x:v>Not runtime by default</x:v>
      </x:c>
      <x:c r="P751" s="24" t="str">
        <x:v>INTERNAL CONCEPT / CONDITIONAL</x:v>
      </x:c>
      <x:c r="Q751" s="24" t="str">
        <x:v>Medium</x:v>
      </x:c>
      <x:c r="R751" s="24" t="str">
        <x:v>LEG-DEBT-005</x:v>
      </x:c>
      <x:c r="S751" s="24" t="str">
        <x:v>Parcial</x:v>
      </x:c>
      <x:c r="T751" s="24" t="str">
        <x:f>"T"&amp;IF(AND(H751&lt;&gt;"",I751&lt;&gt;"",J751&lt;&gt;"",L751&lt;&gt;"",N751&lt;&gt;"",O751&lt;&gt;"",P751="APPROVED PUBLIC",S751="Sí"),6,IF(AND(H751&lt;&gt;"",I751&lt;&gt;"",J751&lt;&gt;"",L751&lt;&gt;"",N751&lt;&gt;"",O751&lt;&gt;"",P751&lt;&gt;"",S751="Sí"),5,IF(AND(H751&lt;&gt;"",I751&lt;&gt;"",P751&lt;&gt;"",S751&lt;&gt;"No"),4,IF(AND(H751&lt;&gt;"",I751&lt;&gt;""),3,IF(F751&lt;&gt;"",2,1)))))</x:f>
        <x:v>T4</x:v>
      </x:c>
      <x:c r="U751" s="24" t="str">
        <x:v>VRM Games</x:v>
      </x:c>
      <x:c r="V751" s="24" t="str">
        <x:v>No usar como prueba de propiedad exclusiva ni imitar marcas/artistas; las imágenes de expansión permanecen NOT OPEN.</x:v>
      </x:c>
    </x:row>
    <x:row r="752" ht="34" customHeight="1">
      <x:c r="A752" s="24" t="str">
        <x:v>TRC-00748</x:v>
      </x:c>
      <x:c r="B752" s="24" t="str">
        <x:v>GEN-CONCEPT-017</x:v>
      </x:c>
      <x:c r="C752" s="24" t="str">
        <x:v>ChatGPT Image 29 jun 2026, 21_38_50 (6).png</x:v>
      </x:c>
      <x:c r="D752" s="24" t="str">
        <x:v>Sprint 16 concept art</x:v>
      </x:c>
      <x:c r="E752" s="24" t="str">
        <x:v>05_Contenido_Generado</x:v>
      </x:c>
      <x:c r="F752" s="24" t="str">
        <x:v>GEN-IMG-017</x:v>
      </x:c>
      <x:c r="G752" s="24" t="str">
        <x:v>OpenAI</x:v>
      </x:c>
      <x:c r="H752" s="24" t="str">
        <x:v>Applicable OpenAI service terms at generation/use date; reverify before public release</x:v>
      </x:c>
      <x:c r="I752" s="24" t="str">
        <x:v>Project conversation + source file + hash</x:v>
      </x:c>
      <x:c r="J752" s="24" t="str">
        <x:v>6f0416232df549d46156a2f6ff92d039b785cf7aa44f82f17c840d05bc1927a6</x:v>
      </x:c>
      <x:c r="K752" s="24" t="str">
        <x:v>Documentation/01_Working_Documents/Sprint_16/Art_3D/Concept_Art/04_Characters/ChatGPT Image 29 jun 2026, 21_38_50 (6).png</x:v>
      </x:c>
      <x:c r="L752" s="24" t="str">
        <x:v>CR-010</x:v>
      </x:c>
      <x:c r="M752" s="24" t="str">
        <x:v>ATT-004</x:v>
      </x:c>
      <x:c r="N752" s="24" t="str">
        <x:v>RES-005;RES-013</x:v>
      </x:c>
      <x:c r="O752" s="24" t="str">
        <x:v>Not runtime by default</x:v>
      </x:c>
      <x:c r="P752" s="24" t="str">
        <x:v>INTERNAL CONCEPT / CONDITIONAL</x:v>
      </x:c>
      <x:c r="Q752" s="24" t="str">
        <x:v>Medium</x:v>
      </x:c>
      <x:c r="R752" s="24" t="str">
        <x:v>LEG-DEBT-005</x:v>
      </x:c>
      <x:c r="S752" s="24" t="str">
        <x:v>Parcial</x:v>
      </x:c>
      <x:c r="T752" s="24" t="str">
        <x:f>"T"&amp;IF(AND(H752&lt;&gt;"",I752&lt;&gt;"",J752&lt;&gt;"",L752&lt;&gt;"",N752&lt;&gt;"",O752&lt;&gt;"",P752="APPROVED PUBLIC",S752="Sí"),6,IF(AND(H752&lt;&gt;"",I752&lt;&gt;"",J752&lt;&gt;"",L752&lt;&gt;"",N752&lt;&gt;"",O752&lt;&gt;"",P752&lt;&gt;"",S752="Sí"),5,IF(AND(H752&lt;&gt;"",I752&lt;&gt;"",P752&lt;&gt;"",S752&lt;&gt;"No"),4,IF(AND(H752&lt;&gt;"",I752&lt;&gt;""),3,IF(F752&lt;&gt;"",2,1)))))</x:f>
        <x:v>T4</x:v>
      </x:c>
      <x:c r="U752" s="24" t="str">
        <x:v>VRM Games</x:v>
      </x:c>
      <x:c r="V752" s="24" t="str">
        <x:v>No usar como prueba de propiedad exclusiva ni imitar marcas/artistas; las imágenes de expansión permanecen NOT OPEN.</x:v>
      </x:c>
    </x:row>
    <x:row r="753" ht="34" customHeight="1">
      <x:c r="A753" s="24" t="str">
        <x:v>TRC-00749</x:v>
      </x:c>
      <x:c r="B753" s="24" t="str">
        <x:v>GEN-CONCEPT-018</x:v>
      </x:c>
      <x:c r="C753" s="24" t="str">
        <x:v>ChatGPT Image 29 jun 2026, 21_38_50 (7).png</x:v>
      </x:c>
      <x:c r="D753" s="24" t="str">
        <x:v>Sprint 16 concept art</x:v>
      </x:c>
      <x:c r="E753" s="24" t="str">
        <x:v>05_Contenido_Generado</x:v>
      </x:c>
      <x:c r="F753" s="24" t="str">
        <x:v>GEN-IMG-018</x:v>
      </x:c>
      <x:c r="G753" s="24" t="str">
        <x:v>OpenAI</x:v>
      </x:c>
      <x:c r="H753" s="24" t="str">
        <x:v>Applicable OpenAI service terms at generation/use date; reverify before public release</x:v>
      </x:c>
      <x:c r="I753" s="24" t="str">
        <x:v>Project conversation + source file + hash</x:v>
      </x:c>
      <x:c r="J753" s="24" t="str">
        <x:v>ebb549522b8d6ac4ca57d47c8bf1d8cd0e96608824dfb5f0f2d7bd51b6c2dd98</x:v>
      </x:c>
      <x:c r="K753" s="24" t="str">
        <x:v>Documentation/01_Working_Documents/Sprint_16/Art_3D/Concept_Art/04_Characters/ChatGPT Image 29 jun 2026, 21_38_50 (7).png</x:v>
      </x:c>
      <x:c r="L753" s="24" t="str">
        <x:v>CR-010</x:v>
      </x:c>
      <x:c r="M753" s="24" t="str">
        <x:v>ATT-004</x:v>
      </x:c>
      <x:c r="N753" s="24" t="str">
        <x:v>RES-005;RES-013</x:v>
      </x:c>
      <x:c r="O753" s="24" t="str">
        <x:v>Not runtime by default</x:v>
      </x:c>
      <x:c r="P753" s="24" t="str">
        <x:v>INTERNAL CONCEPT / CONDITIONAL</x:v>
      </x:c>
      <x:c r="Q753" s="24" t="str">
        <x:v>Medium</x:v>
      </x:c>
      <x:c r="R753" s="24" t="str">
        <x:v>LEG-DEBT-005</x:v>
      </x:c>
      <x:c r="S753" s="24" t="str">
        <x:v>Parcial</x:v>
      </x:c>
      <x:c r="T753" s="24" t="str">
        <x:f>"T"&amp;IF(AND(H753&lt;&gt;"",I753&lt;&gt;"",J753&lt;&gt;"",L753&lt;&gt;"",N753&lt;&gt;"",O753&lt;&gt;"",P753="APPROVED PUBLIC",S753="Sí"),6,IF(AND(H753&lt;&gt;"",I753&lt;&gt;"",J753&lt;&gt;"",L753&lt;&gt;"",N753&lt;&gt;"",O753&lt;&gt;"",P753&lt;&gt;"",S753="Sí"),5,IF(AND(H753&lt;&gt;"",I753&lt;&gt;"",P753&lt;&gt;"",S753&lt;&gt;"No"),4,IF(AND(H753&lt;&gt;"",I753&lt;&gt;""),3,IF(F753&lt;&gt;"",2,1)))))</x:f>
        <x:v>T4</x:v>
      </x:c>
      <x:c r="U753" s="24" t="str">
        <x:v>VRM Games</x:v>
      </x:c>
      <x:c r="V753" s="24" t="str">
        <x:v>No usar como prueba de propiedad exclusiva ni imitar marcas/artistas; las imágenes de expansión permanecen NOT OPEN.</x:v>
      </x:c>
    </x:row>
    <x:row r="754" ht="34" customHeight="1">
      <x:c r="A754" s="24" t="str">
        <x:v>TRC-00750</x:v>
      </x:c>
      <x:c r="B754" s="24" t="str">
        <x:v>GEN-CONCEPT-019</x:v>
      </x:c>
      <x:c r="C754" s="24" t="str">
        <x:v>ChatGPT Image 29 jun 2026, 21_38_50 (8).png</x:v>
      </x:c>
      <x:c r="D754" s="24" t="str">
        <x:v>Sprint 16 concept art</x:v>
      </x:c>
      <x:c r="E754" s="24" t="str">
        <x:v>05_Contenido_Generado</x:v>
      </x:c>
      <x:c r="F754" s="24" t="str">
        <x:v>GEN-IMG-019</x:v>
      </x:c>
      <x:c r="G754" s="24" t="str">
        <x:v>OpenAI</x:v>
      </x:c>
      <x:c r="H754" s="24" t="str">
        <x:v>Applicable OpenAI service terms at generation/use date; reverify before public release</x:v>
      </x:c>
      <x:c r="I754" s="24" t="str">
        <x:v>Project conversation + source file + hash</x:v>
      </x:c>
      <x:c r="J754" s="24" t="str">
        <x:v>3f1d37c6c690d4173bc0067a6460e29bc5bce2e8911c965d6a7b8aae05d296cf</x:v>
      </x:c>
      <x:c r="K754" s="24" t="str">
        <x:v>Documentation/01_Working_Documents/Sprint_16/Art_3D/Concept_Art/04_Characters/ChatGPT Image 29 jun 2026, 21_38_50 (8).png</x:v>
      </x:c>
      <x:c r="L754" s="24" t="str">
        <x:v>CR-010</x:v>
      </x:c>
      <x:c r="M754" s="24" t="str">
        <x:v>ATT-004</x:v>
      </x:c>
      <x:c r="N754" s="24" t="str">
        <x:v>RES-005;RES-013</x:v>
      </x:c>
      <x:c r="O754" s="24" t="str">
        <x:v>Not runtime by default</x:v>
      </x:c>
      <x:c r="P754" s="24" t="str">
        <x:v>INTERNAL CONCEPT / CONDITIONAL</x:v>
      </x:c>
      <x:c r="Q754" s="24" t="str">
        <x:v>Medium</x:v>
      </x:c>
      <x:c r="R754" s="24" t="str">
        <x:v>LEG-DEBT-005</x:v>
      </x:c>
      <x:c r="S754" s="24" t="str">
        <x:v>Parcial</x:v>
      </x:c>
      <x:c r="T754" s="24" t="str">
        <x:f>"T"&amp;IF(AND(H754&lt;&gt;"",I754&lt;&gt;"",J754&lt;&gt;"",L754&lt;&gt;"",N754&lt;&gt;"",O754&lt;&gt;"",P754="APPROVED PUBLIC",S754="Sí"),6,IF(AND(H754&lt;&gt;"",I754&lt;&gt;"",J754&lt;&gt;"",L754&lt;&gt;"",N754&lt;&gt;"",O754&lt;&gt;"",P754&lt;&gt;"",S754="Sí"),5,IF(AND(H754&lt;&gt;"",I754&lt;&gt;"",P754&lt;&gt;"",S754&lt;&gt;"No"),4,IF(AND(H754&lt;&gt;"",I754&lt;&gt;""),3,IF(F754&lt;&gt;"",2,1)))))</x:f>
        <x:v>T4</x:v>
      </x:c>
      <x:c r="U754" s="24" t="str">
        <x:v>VRM Games</x:v>
      </x:c>
      <x:c r="V754" s="24" t="str">
        <x:v>No usar como prueba de propiedad exclusiva ni imitar marcas/artistas; las imágenes de expansión permanecen NOT OPEN.</x:v>
      </x:c>
    </x:row>
    <x:row r="755" ht="34" customHeight="1">
      <x:c r="A755" s="24" t="str">
        <x:v>TRC-00751</x:v>
      </x:c>
      <x:c r="B755" s="24" t="str">
        <x:v>GEN-CONCEPT-020</x:v>
      </x:c>
      <x:c r="C755" s="24" t="str">
        <x:v>ChatGPT Image 29 jun 2026, 21_39_17 (1).png</x:v>
      </x:c>
      <x:c r="D755" s="24" t="str">
        <x:v>Expansion concept</x:v>
      </x:c>
      <x:c r="E755" s="24" t="str">
        <x:v>05_Contenido_Generado</x:v>
      </x:c>
      <x:c r="F755" s="24" t="str">
        <x:v>GEN-IMG-020</x:v>
      </x:c>
      <x:c r="G755" s="24" t="str">
        <x:v>OpenAI</x:v>
      </x:c>
      <x:c r="H755" s="24" t="str">
        <x:v>Applicable OpenAI service terms at generation/use date; reverify before public release</x:v>
      </x:c>
      <x:c r="I755" s="24" t="str">
        <x:v>Project conversation + source file + hash</x:v>
      </x:c>
      <x:c r="J755" s="24" t="str">
        <x:v>ce23b3b1e2bf6186ab627de7247b794ea9ed6f8b80bd8d4cb02df94619801f09</x:v>
      </x:c>
      <x:c r="K755" s="24" t="str">
        <x:v>Documentation/01_Working_Documents/Sprint_16/Art_3D/Concept_Art/05_Expansion_Concepts/ChatGPT Image 29 jun 2026, 21_39_17 (1).png</x:v>
      </x:c>
      <x:c r="L755" s="24" t="str">
        <x:v>CR-010</x:v>
      </x:c>
      <x:c r="M755" s="24" t="str">
        <x:v>ATT-004</x:v>
      </x:c>
      <x:c r="N755" s="24" t="str">
        <x:v>RES-005;RES-013</x:v>
      </x:c>
      <x:c r="O755" s="24" t="str">
        <x:v>Not runtime by default</x:v>
      </x:c>
      <x:c r="P755" s="24" t="str">
        <x:v>INTERNAL CONCEPT / CONDITIONAL</x:v>
      </x:c>
      <x:c r="Q755" s="24" t="str">
        <x:v>Medium</x:v>
      </x:c>
      <x:c r="R755" s="24" t="str">
        <x:v>LEG-DEBT-005</x:v>
      </x:c>
      <x:c r="S755" s="24" t="str">
        <x:v>Parcial</x:v>
      </x:c>
      <x:c r="T755" s="24" t="str">
        <x:f>"T"&amp;IF(AND(H755&lt;&gt;"",I755&lt;&gt;"",J755&lt;&gt;"",L755&lt;&gt;"",N755&lt;&gt;"",O755&lt;&gt;"",P755="APPROVED PUBLIC",S755="Sí"),6,IF(AND(H755&lt;&gt;"",I755&lt;&gt;"",J755&lt;&gt;"",L755&lt;&gt;"",N755&lt;&gt;"",O755&lt;&gt;"",P755&lt;&gt;"",S755="Sí"),5,IF(AND(H755&lt;&gt;"",I755&lt;&gt;"",P755&lt;&gt;"",S755&lt;&gt;"No"),4,IF(AND(H755&lt;&gt;"",I755&lt;&gt;""),3,IF(F755&lt;&gt;"",2,1)))))</x:f>
        <x:v>T4</x:v>
      </x:c>
      <x:c r="U755" s="24" t="str">
        <x:v>VRM Games</x:v>
      </x:c>
      <x:c r="V755" s="24" t="str">
        <x:v>No usar como prueba de propiedad exclusiva ni imitar marcas/artistas; las imágenes de expansión permanecen NOT OPEN.</x:v>
      </x:c>
    </x:row>
    <x:row r="756" ht="34" customHeight="1">
      <x:c r="A756" s="24" t="str">
        <x:v>TRC-00752</x:v>
      </x:c>
      <x:c r="B756" s="24" t="str">
        <x:v>GEN-CONCEPT-021</x:v>
      </x:c>
      <x:c r="C756" s="24" t="str">
        <x:v>ChatGPT Image 29 jun 2026, 21_39_17 (2).png</x:v>
      </x:c>
      <x:c r="D756" s="24" t="str">
        <x:v>Expansion concept</x:v>
      </x:c>
      <x:c r="E756" s="24" t="str">
        <x:v>05_Contenido_Generado</x:v>
      </x:c>
      <x:c r="F756" s="24" t="str">
        <x:v>GEN-IMG-021</x:v>
      </x:c>
      <x:c r="G756" s="24" t="str">
        <x:v>OpenAI</x:v>
      </x:c>
      <x:c r="H756" s="24" t="str">
        <x:v>Applicable OpenAI service terms at generation/use date; reverify before public release</x:v>
      </x:c>
      <x:c r="I756" s="24" t="str">
        <x:v>Project conversation + source file + hash</x:v>
      </x:c>
      <x:c r="J756" s="24" t="str">
        <x:v>79e9ccc8ba8126f7a63b5f38fdc4bafcbab5479b39e6882de1add15f66529e7f</x:v>
      </x:c>
      <x:c r="K756" s="24" t="str">
        <x:v>Documentation/01_Working_Documents/Sprint_16/Art_3D/Concept_Art/05_Expansion_Concepts/ChatGPT Image 29 jun 2026, 21_39_17 (2).png</x:v>
      </x:c>
      <x:c r="L756" s="24" t="str">
        <x:v>CR-010</x:v>
      </x:c>
      <x:c r="M756" s="24" t="str">
        <x:v>ATT-004</x:v>
      </x:c>
      <x:c r="N756" s="24" t="str">
        <x:v>RES-005;RES-013</x:v>
      </x:c>
      <x:c r="O756" s="24" t="str">
        <x:v>Not runtime by default</x:v>
      </x:c>
      <x:c r="P756" s="24" t="str">
        <x:v>INTERNAL CONCEPT / CONDITIONAL</x:v>
      </x:c>
      <x:c r="Q756" s="24" t="str">
        <x:v>Medium</x:v>
      </x:c>
      <x:c r="R756" s="24" t="str">
        <x:v>LEG-DEBT-005</x:v>
      </x:c>
      <x:c r="S756" s="24" t="str">
        <x:v>Parcial</x:v>
      </x:c>
      <x:c r="T756" s="24" t="str">
        <x:f>"T"&amp;IF(AND(H756&lt;&gt;"",I756&lt;&gt;"",J756&lt;&gt;"",L756&lt;&gt;"",N756&lt;&gt;"",O756&lt;&gt;"",P756="APPROVED PUBLIC",S756="Sí"),6,IF(AND(H756&lt;&gt;"",I756&lt;&gt;"",J756&lt;&gt;"",L756&lt;&gt;"",N756&lt;&gt;"",O756&lt;&gt;"",P756&lt;&gt;"",S756="Sí"),5,IF(AND(H756&lt;&gt;"",I756&lt;&gt;"",P756&lt;&gt;"",S756&lt;&gt;"No"),4,IF(AND(H756&lt;&gt;"",I756&lt;&gt;""),3,IF(F756&lt;&gt;"",2,1)))))</x:f>
        <x:v>T4</x:v>
      </x:c>
      <x:c r="U756" s="24" t="str">
        <x:v>VRM Games</x:v>
      </x:c>
      <x:c r="V756" s="24" t="str">
        <x:v>No usar como prueba de propiedad exclusiva ni imitar marcas/artistas; las imágenes de expansión permanecen NOT OPEN.</x:v>
      </x:c>
    </x:row>
    <x:row r="757" ht="34" customHeight="1">
      <x:c r="A757" s="24" t="str">
        <x:v>TRC-00753</x:v>
      </x:c>
      <x:c r="B757" s="24" t="str">
        <x:v>GEN-CONCEPT-022</x:v>
      </x:c>
      <x:c r="C757" s="24" t="str">
        <x:v>ChatGPT Image 29 jun 2026, 21_39_17 (3).png</x:v>
      </x:c>
      <x:c r="D757" s="24" t="str">
        <x:v>Expansion concept</x:v>
      </x:c>
      <x:c r="E757" s="24" t="str">
        <x:v>05_Contenido_Generado</x:v>
      </x:c>
      <x:c r="F757" s="24" t="str">
        <x:v>GEN-IMG-022</x:v>
      </x:c>
      <x:c r="G757" s="24" t="str">
        <x:v>OpenAI</x:v>
      </x:c>
      <x:c r="H757" s="24" t="str">
        <x:v>Applicable OpenAI service terms at generation/use date; reverify before public release</x:v>
      </x:c>
      <x:c r="I757" s="24" t="str">
        <x:v>Project conversation + source file + hash</x:v>
      </x:c>
      <x:c r="J757" s="24" t="str">
        <x:v>78cb05222f8155d5bd9e709e8e214f4517023444ed79538c3693bb0b09ea232f</x:v>
      </x:c>
      <x:c r="K757" s="24" t="str">
        <x:v>Documentation/01_Working_Documents/Sprint_16/Art_3D/Concept_Art/05_Expansion_Concepts/ChatGPT Image 29 jun 2026, 21_39_17 (3).png</x:v>
      </x:c>
      <x:c r="L757" s="24" t="str">
        <x:v>CR-010</x:v>
      </x:c>
      <x:c r="M757" s="24" t="str">
        <x:v>ATT-004</x:v>
      </x:c>
      <x:c r="N757" s="24" t="str">
        <x:v>RES-005;RES-013</x:v>
      </x:c>
      <x:c r="O757" s="24" t="str">
        <x:v>Not runtime by default</x:v>
      </x:c>
      <x:c r="P757" s="24" t="str">
        <x:v>INTERNAL CONCEPT / CONDITIONAL</x:v>
      </x:c>
      <x:c r="Q757" s="24" t="str">
        <x:v>Medium</x:v>
      </x:c>
      <x:c r="R757" s="24" t="str">
        <x:v>LEG-DEBT-005</x:v>
      </x:c>
      <x:c r="S757" s="24" t="str">
        <x:v>Parcial</x:v>
      </x:c>
      <x:c r="T757" s="24" t="str">
        <x:f>"T"&amp;IF(AND(H757&lt;&gt;"",I757&lt;&gt;"",J757&lt;&gt;"",L757&lt;&gt;"",N757&lt;&gt;"",O757&lt;&gt;"",P757="APPROVED PUBLIC",S757="Sí"),6,IF(AND(H757&lt;&gt;"",I757&lt;&gt;"",J757&lt;&gt;"",L757&lt;&gt;"",N757&lt;&gt;"",O757&lt;&gt;"",P757&lt;&gt;"",S757="Sí"),5,IF(AND(H757&lt;&gt;"",I757&lt;&gt;"",P757&lt;&gt;"",S757&lt;&gt;"No"),4,IF(AND(H757&lt;&gt;"",I757&lt;&gt;""),3,IF(F757&lt;&gt;"",2,1)))))</x:f>
        <x:v>T4</x:v>
      </x:c>
      <x:c r="U757" s="24" t="str">
        <x:v>VRM Games</x:v>
      </x:c>
      <x:c r="V757" s="24" t="str">
        <x:v>No usar como prueba de propiedad exclusiva ni imitar marcas/artistas; las imágenes de expansión permanecen NOT OPEN.</x:v>
      </x:c>
    </x:row>
    <x:row r="758" ht="34" customHeight="1">
      <x:c r="A758" s="24" t="str">
        <x:v>TRC-00754</x:v>
      </x:c>
      <x:c r="B758" s="24" t="str">
        <x:v>GEN-CONCEPT-023</x:v>
      </x:c>
      <x:c r="C758" s="24" t="str">
        <x:v>ChatGPT Image 29 jun 2026, 21_39_17 (4).png</x:v>
      </x:c>
      <x:c r="D758" s="24" t="str">
        <x:v>Expansion concept</x:v>
      </x:c>
      <x:c r="E758" s="24" t="str">
        <x:v>05_Contenido_Generado</x:v>
      </x:c>
      <x:c r="F758" s="24" t="str">
        <x:v>GEN-IMG-023</x:v>
      </x:c>
      <x:c r="G758" s="24" t="str">
        <x:v>OpenAI</x:v>
      </x:c>
      <x:c r="H758" s="24" t="str">
        <x:v>Applicable OpenAI service terms at generation/use date; reverify before public release</x:v>
      </x:c>
      <x:c r="I758" s="24" t="str">
        <x:v>Project conversation + source file + hash</x:v>
      </x:c>
      <x:c r="J758" s="24" t="str">
        <x:v>1074b34d1051c2e32fa23325f042158d04e7497b54d61c44f4cc1c3b4505b1f5</x:v>
      </x:c>
      <x:c r="K758" s="24" t="str">
        <x:v>Documentation/01_Working_Documents/Sprint_16/Art_3D/Concept_Art/05_Expansion_Concepts/ChatGPT Image 29 jun 2026, 21_39_17 (4).png</x:v>
      </x:c>
      <x:c r="L758" s="24" t="str">
        <x:v>CR-010</x:v>
      </x:c>
      <x:c r="M758" s="24" t="str">
        <x:v>ATT-004</x:v>
      </x:c>
      <x:c r="N758" s="24" t="str">
        <x:v>RES-005;RES-013</x:v>
      </x:c>
      <x:c r="O758" s="24" t="str">
        <x:v>Not runtime by default</x:v>
      </x:c>
      <x:c r="P758" s="24" t="str">
        <x:v>INTERNAL CONCEPT / CONDITIONAL</x:v>
      </x:c>
      <x:c r="Q758" s="24" t="str">
        <x:v>Medium</x:v>
      </x:c>
      <x:c r="R758" s="24" t="str">
        <x:v>LEG-DEBT-005</x:v>
      </x:c>
      <x:c r="S758" s="24" t="str">
        <x:v>Parcial</x:v>
      </x:c>
      <x:c r="T758" s="24" t="str">
        <x:f>"T"&amp;IF(AND(H758&lt;&gt;"",I758&lt;&gt;"",J758&lt;&gt;"",L758&lt;&gt;"",N758&lt;&gt;"",O758&lt;&gt;"",P758="APPROVED PUBLIC",S758="Sí"),6,IF(AND(H758&lt;&gt;"",I758&lt;&gt;"",J758&lt;&gt;"",L758&lt;&gt;"",N758&lt;&gt;"",O758&lt;&gt;"",P758&lt;&gt;"",S758="Sí"),5,IF(AND(H758&lt;&gt;"",I758&lt;&gt;"",P758&lt;&gt;"",S758&lt;&gt;"No"),4,IF(AND(H758&lt;&gt;"",I758&lt;&gt;""),3,IF(F758&lt;&gt;"",2,1)))))</x:f>
        <x:v>T4</x:v>
      </x:c>
      <x:c r="U758" s="24" t="str">
        <x:v>VRM Games</x:v>
      </x:c>
      <x:c r="V758" s="24" t="str">
        <x:v>No usar como prueba de propiedad exclusiva ni imitar marcas/artistas; las imágenes de expansión permanecen NOT OPEN.</x:v>
      </x:c>
    </x:row>
    <x:row r="759" ht="34" customHeight="1">
      <x:c r="A759" s="24" t="str">
        <x:v>TRC-00755</x:v>
      </x:c>
      <x:c r="B759" s="24" t="str">
        <x:v>GEN-CONCEPT-024</x:v>
      </x:c>
      <x:c r="C759" s="24" t="str">
        <x:v>ChatGPT Image 29 jun 2026, 21_39_17 (5).png</x:v>
      </x:c>
      <x:c r="D759" s="24" t="str">
        <x:v>Expansion concept</x:v>
      </x:c>
      <x:c r="E759" s="24" t="str">
        <x:v>05_Contenido_Generado</x:v>
      </x:c>
      <x:c r="F759" s="24" t="str">
        <x:v>GEN-IMG-024</x:v>
      </x:c>
      <x:c r="G759" s="24" t="str">
        <x:v>OpenAI</x:v>
      </x:c>
      <x:c r="H759" s="24" t="str">
        <x:v>Applicable OpenAI service terms at generation/use date; reverify before public release</x:v>
      </x:c>
      <x:c r="I759" s="24" t="str">
        <x:v>Project conversation + source file + hash</x:v>
      </x:c>
      <x:c r="J759" s="24" t="str">
        <x:v>686585e4a4b1054b23cdea08297e28ddd0df211d966dc0ab8a6116ce9c17ca25</x:v>
      </x:c>
      <x:c r="K759" s="24" t="str">
        <x:v>Documentation/01_Working_Documents/Sprint_16/Art_3D/Concept_Art/05_Expansion_Concepts/ChatGPT Image 29 jun 2026, 21_39_17 (5).png</x:v>
      </x:c>
      <x:c r="L759" s="24" t="str">
        <x:v>CR-010</x:v>
      </x:c>
      <x:c r="M759" s="24" t="str">
        <x:v>ATT-004</x:v>
      </x:c>
      <x:c r="N759" s="24" t="str">
        <x:v>RES-005;RES-013</x:v>
      </x:c>
      <x:c r="O759" s="24" t="str">
        <x:v>Not runtime by default</x:v>
      </x:c>
      <x:c r="P759" s="24" t="str">
        <x:v>INTERNAL CONCEPT / CONDITIONAL</x:v>
      </x:c>
      <x:c r="Q759" s="24" t="str">
        <x:v>Medium</x:v>
      </x:c>
      <x:c r="R759" s="24" t="str">
        <x:v>LEG-DEBT-005</x:v>
      </x:c>
      <x:c r="S759" s="24" t="str">
        <x:v>Parcial</x:v>
      </x:c>
      <x:c r="T759" s="24" t="str">
        <x:f>"T"&amp;IF(AND(H759&lt;&gt;"",I759&lt;&gt;"",J759&lt;&gt;"",L759&lt;&gt;"",N759&lt;&gt;"",O759&lt;&gt;"",P759="APPROVED PUBLIC",S759="Sí"),6,IF(AND(H759&lt;&gt;"",I759&lt;&gt;"",J759&lt;&gt;"",L759&lt;&gt;"",N759&lt;&gt;"",O759&lt;&gt;"",P759&lt;&gt;"",S759="Sí"),5,IF(AND(H759&lt;&gt;"",I759&lt;&gt;"",P759&lt;&gt;"",S759&lt;&gt;"No"),4,IF(AND(H759&lt;&gt;"",I759&lt;&gt;""),3,IF(F759&lt;&gt;"",2,1)))))</x:f>
        <x:v>T4</x:v>
      </x:c>
      <x:c r="U759" s="24" t="str">
        <x:v>VRM Games</x:v>
      </x:c>
      <x:c r="V759" s="24" t="str">
        <x:v>No usar como prueba de propiedad exclusiva ni imitar marcas/artistas; las imágenes de expansión permanecen NOT OPEN.</x:v>
      </x:c>
    </x:row>
    <x:row r="760" ht="34" customHeight="1">
      <x:c r="A760" s="24" t="str">
        <x:v>TRC-00756</x:v>
      </x:c>
      <x:c r="B760" s="24" t="str">
        <x:v>GEN-CONCEPT-025</x:v>
      </x:c>
      <x:c r="C760" s="24" t="str">
        <x:v>ChatGPT Image 29 jun 2026, 21_39_17 (6).png</x:v>
      </x:c>
      <x:c r="D760" s="24" t="str">
        <x:v>Expansion concept</x:v>
      </x:c>
      <x:c r="E760" s="24" t="str">
        <x:v>05_Contenido_Generado</x:v>
      </x:c>
      <x:c r="F760" s="24" t="str">
        <x:v>GEN-IMG-025</x:v>
      </x:c>
      <x:c r="G760" s="24" t="str">
        <x:v>OpenAI</x:v>
      </x:c>
      <x:c r="H760" s="24" t="str">
        <x:v>Applicable OpenAI service terms at generation/use date; reverify before public release</x:v>
      </x:c>
      <x:c r="I760" s="24" t="str">
        <x:v>Project conversation + source file + hash</x:v>
      </x:c>
      <x:c r="J760" s="24" t="str">
        <x:v>7c349ed7b9258e832c0e7c3f3529fb4fe8ea322f9d7c52ef004d98a741b21519</x:v>
      </x:c>
      <x:c r="K760" s="24" t="str">
        <x:v>Documentation/01_Working_Documents/Sprint_16/Art_3D/Concept_Art/05_Expansion_Concepts/ChatGPT Image 29 jun 2026, 21_39_17 (6).png</x:v>
      </x:c>
      <x:c r="L760" s="24" t="str">
        <x:v>CR-010</x:v>
      </x:c>
      <x:c r="M760" s="24" t="str">
        <x:v>ATT-004</x:v>
      </x:c>
      <x:c r="N760" s="24" t="str">
        <x:v>RES-005;RES-013</x:v>
      </x:c>
      <x:c r="O760" s="24" t="str">
        <x:v>Not runtime by default</x:v>
      </x:c>
      <x:c r="P760" s="24" t="str">
        <x:v>INTERNAL CONCEPT / CONDITIONAL</x:v>
      </x:c>
      <x:c r="Q760" s="24" t="str">
        <x:v>Medium</x:v>
      </x:c>
      <x:c r="R760" s="24" t="str">
        <x:v>LEG-DEBT-005</x:v>
      </x:c>
      <x:c r="S760" s="24" t="str">
        <x:v>Parcial</x:v>
      </x:c>
      <x:c r="T760" s="24" t="str">
        <x:f>"T"&amp;IF(AND(H760&lt;&gt;"",I760&lt;&gt;"",J760&lt;&gt;"",L760&lt;&gt;"",N760&lt;&gt;"",O760&lt;&gt;"",P760="APPROVED PUBLIC",S760="Sí"),6,IF(AND(H760&lt;&gt;"",I760&lt;&gt;"",J760&lt;&gt;"",L760&lt;&gt;"",N760&lt;&gt;"",O760&lt;&gt;"",P760&lt;&gt;"",S760="Sí"),5,IF(AND(H760&lt;&gt;"",I760&lt;&gt;"",P760&lt;&gt;"",S760&lt;&gt;"No"),4,IF(AND(H760&lt;&gt;"",I760&lt;&gt;""),3,IF(F760&lt;&gt;"",2,1)))))</x:f>
        <x:v>T4</x:v>
      </x:c>
      <x:c r="U760" s="24" t="str">
        <x:v>VRM Games</x:v>
      </x:c>
      <x:c r="V760" s="24" t="str">
        <x:v>No usar como prueba de propiedad exclusiva ni imitar marcas/artistas; las imágenes de expansión permanecen NOT OPEN.</x:v>
      </x:c>
    </x:row>
    <x:row r="761" ht="34" customHeight="1">
      <x:c r="A761" s="24" t="str">
        <x:v>TRC-00757</x:v>
      </x:c>
      <x:c r="B761" s="24" t="str">
        <x:v>GEN-CONCEPT-026</x:v>
      </x:c>
      <x:c r="C761" s="24" t="str">
        <x:v>ChatGPT Image 29 jun 2026, 21_39_17 (7).png</x:v>
      </x:c>
      <x:c r="D761" s="24" t="str">
        <x:v>Expansion concept</x:v>
      </x:c>
      <x:c r="E761" s="24" t="str">
        <x:v>05_Contenido_Generado</x:v>
      </x:c>
      <x:c r="F761" s="24" t="str">
        <x:v>GEN-IMG-026</x:v>
      </x:c>
      <x:c r="G761" s="24" t="str">
        <x:v>OpenAI</x:v>
      </x:c>
      <x:c r="H761" s="24" t="str">
        <x:v>Applicable OpenAI service terms at generation/use date; reverify before public release</x:v>
      </x:c>
      <x:c r="I761" s="24" t="str">
        <x:v>Project conversation + source file + hash</x:v>
      </x:c>
      <x:c r="J761" s="24" t="str">
        <x:v>cf9a87944e4aaff1730c4162d300a6204d248f4e6a62f8c0fe46ee7152819ff5</x:v>
      </x:c>
      <x:c r="K761" s="24" t="str">
        <x:v>Documentation/01_Working_Documents/Sprint_16/Art_3D/Concept_Art/05_Expansion_Concepts/ChatGPT Image 29 jun 2026, 21_39_17 (7).png</x:v>
      </x:c>
      <x:c r="L761" s="24" t="str">
        <x:v>CR-010</x:v>
      </x:c>
      <x:c r="M761" s="24" t="str">
        <x:v>ATT-004</x:v>
      </x:c>
      <x:c r="N761" s="24" t="str">
        <x:v>RES-005;RES-013</x:v>
      </x:c>
      <x:c r="O761" s="24" t="str">
        <x:v>Not runtime by default</x:v>
      </x:c>
      <x:c r="P761" s="24" t="str">
        <x:v>INTERNAL CONCEPT / CONDITIONAL</x:v>
      </x:c>
      <x:c r="Q761" s="24" t="str">
        <x:v>Medium</x:v>
      </x:c>
      <x:c r="R761" s="24" t="str">
        <x:v>LEG-DEBT-005</x:v>
      </x:c>
      <x:c r="S761" s="24" t="str">
        <x:v>Parcial</x:v>
      </x:c>
      <x:c r="T761" s="24" t="str">
        <x:f>"T"&amp;IF(AND(H761&lt;&gt;"",I761&lt;&gt;"",J761&lt;&gt;"",L761&lt;&gt;"",N761&lt;&gt;"",O761&lt;&gt;"",P761="APPROVED PUBLIC",S761="Sí"),6,IF(AND(H761&lt;&gt;"",I761&lt;&gt;"",J761&lt;&gt;"",L761&lt;&gt;"",N761&lt;&gt;"",O761&lt;&gt;"",P761&lt;&gt;"",S761="Sí"),5,IF(AND(H761&lt;&gt;"",I761&lt;&gt;"",P761&lt;&gt;"",S761&lt;&gt;"No"),4,IF(AND(H761&lt;&gt;"",I761&lt;&gt;""),3,IF(F761&lt;&gt;"",2,1)))))</x:f>
        <x:v>T4</x:v>
      </x:c>
      <x:c r="U761" s="24" t="str">
        <x:v>VRM Games</x:v>
      </x:c>
      <x:c r="V761" s="24" t="str">
        <x:v>No usar como prueba de propiedad exclusiva ni imitar marcas/artistas; las imágenes de expansión permanecen NOT OPEN.</x:v>
      </x:c>
    </x:row>
    <x:row r="762" ht="34" customHeight="1">
      <x:c r="A762" s="24" t="str">
        <x:v>TRC-00758</x:v>
      </x:c>
      <x:c r="B762" s="24" t="str">
        <x:v>GEN-CONCEPT-027</x:v>
      </x:c>
      <x:c r="C762" s="24" t="str">
        <x:v>ChatGPT Image 29 jun 2026, 21_39_17 (8).png</x:v>
      </x:c>
      <x:c r="D762" s="24" t="str">
        <x:v>Expansion concept</x:v>
      </x:c>
      <x:c r="E762" s="24" t="str">
        <x:v>05_Contenido_Generado</x:v>
      </x:c>
      <x:c r="F762" s="24" t="str">
        <x:v>GEN-IMG-027</x:v>
      </x:c>
      <x:c r="G762" s="24" t="str">
        <x:v>OpenAI</x:v>
      </x:c>
      <x:c r="H762" s="24" t="str">
        <x:v>Applicable OpenAI service terms at generation/use date; reverify before public release</x:v>
      </x:c>
      <x:c r="I762" s="24" t="str">
        <x:v>Project conversation + source file + hash</x:v>
      </x:c>
      <x:c r="J762" s="24" t="str">
        <x:v>cb6d28e87a016aa78cb5b6d1d84dbe42368fadc7b50f3ef8345214bf1e6a59dd</x:v>
      </x:c>
      <x:c r="K762" s="24" t="str">
        <x:v>Documentation/01_Working_Documents/Sprint_16/Art_3D/Concept_Art/05_Expansion_Concepts/ChatGPT Image 29 jun 2026, 21_39_17 (8).png</x:v>
      </x:c>
      <x:c r="L762" s="24" t="str">
        <x:v>CR-010</x:v>
      </x:c>
      <x:c r="M762" s="24" t="str">
        <x:v>ATT-004</x:v>
      </x:c>
      <x:c r="N762" s="24" t="str">
        <x:v>RES-005;RES-013</x:v>
      </x:c>
      <x:c r="O762" s="24" t="str">
        <x:v>Not runtime by default</x:v>
      </x:c>
      <x:c r="P762" s="24" t="str">
        <x:v>INTERNAL CONCEPT / CONDITIONAL</x:v>
      </x:c>
      <x:c r="Q762" s="24" t="str">
        <x:v>Medium</x:v>
      </x:c>
      <x:c r="R762" s="24" t="str">
        <x:v>LEG-DEBT-005</x:v>
      </x:c>
      <x:c r="S762" s="24" t="str">
        <x:v>Parcial</x:v>
      </x:c>
      <x:c r="T762" s="24" t="str">
        <x:f>"T"&amp;IF(AND(H762&lt;&gt;"",I762&lt;&gt;"",J762&lt;&gt;"",L762&lt;&gt;"",N762&lt;&gt;"",O762&lt;&gt;"",P762="APPROVED PUBLIC",S762="Sí"),6,IF(AND(H762&lt;&gt;"",I762&lt;&gt;"",J762&lt;&gt;"",L762&lt;&gt;"",N762&lt;&gt;"",O762&lt;&gt;"",P762&lt;&gt;"",S762="Sí"),5,IF(AND(H762&lt;&gt;"",I762&lt;&gt;"",P762&lt;&gt;"",S762&lt;&gt;"No"),4,IF(AND(H762&lt;&gt;"",I762&lt;&gt;""),3,IF(F762&lt;&gt;"",2,1)))))</x:f>
        <x:v>T4</x:v>
      </x:c>
      <x:c r="U762" s="24" t="str">
        <x:v>VRM Games</x:v>
      </x:c>
      <x:c r="V762" s="24" t="str">
        <x:v>No usar como prueba de propiedad exclusiva ni imitar marcas/artistas; las imágenes de expansión permanecen NOT OPEN.</x:v>
      </x:c>
    </x:row>
    <x:row r="763" ht="34" customHeight="1">
      <x:c r="A763" s="24" t="str">
        <x:v>TRC-00759</x:v>
      </x:c>
      <x:c r="B763" s="24" t="str">
        <x:v>DOC-00</x:v>
      </x:c>
      <x:c r="C763" s="24" t="str">
        <x:v>00_Enfoque_y_Alcance.md</x:v>
      </x:c>
      <x:c r="D763" s="24" t="str">
        <x:v>AI-assisted project documentation</x:v>
      </x:c>
      <x:c r="E763" s="24" t="str">
        <x:v>05_Contenido_Generado</x:v>
      </x:c>
      <x:c r="F763" s="24" t="str">
        <x:v>GEN-DOC-001</x:v>
      </x:c>
      <x:c r="G763" s="24" t="str">
        <x:v>OpenAI</x:v>
      </x:c>
      <x:c r="H763" s="24" t="str">
        <x:v>Applicable OpenAI service terms; factual/source provenance remains project responsibility</x:v>
      </x:c>
      <x:c r="I763" s="24" t="str">
        <x:v>Conversation + artifact hash</x:v>
      </x:c>
      <x:c r="J763" s="24" t="str">
        <x:v>63dd6f0f1b9c2c80be2aec55718d18d9d031ce4acb14f677769d6e69ceaad21f</x:v>
      </x:c>
      <x:c r="K763" s="24" t="str">
        <x:v>00_Enfoque_y_Alcance.md</x:v>
      </x:c>
      <x:c r="L763" s="24" t="str">
        <x:v>CR-010</x:v>
      </x:c>
      <x:c r="M763" s="24" t="str">
        <x:v>ATT-004</x:v>
      </x:c>
      <x:c r="N763" s="24" t="str">
        <x:v>RES-005;RES-013</x:v>
      </x:c>
      <x:c r="O763" s="24" t="str">
        <x:v>Not a runtime asset</x:v>
      </x:c>
      <x:c r="P763" s="24" t="str">
        <x:v>INTERNAL GOVERNANCE / REVIEWED</x:v>
      </x:c>
      <x:c r="Q763" s="24" t="str">
        <x:v>Low</x:v>
      </x:c>
      <x:c r="R763" s="24" t="str"/>
      <x:c r="S763" s="24" t="str">
        <x:v>Parcial</x:v>
      </x:c>
      <x:c r="T763" s="24" t="str">
        <x:f>"T"&amp;IF(AND(H763&lt;&gt;"",I763&lt;&gt;"",J763&lt;&gt;"",L763&lt;&gt;"",N763&lt;&gt;"",O763&lt;&gt;"",P763="APPROVED PUBLIC",S763="Sí"),6,IF(AND(H763&lt;&gt;"",I763&lt;&gt;"",J763&lt;&gt;"",L763&lt;&gt;"",N763&lt;&gt;"",O763&lt;&gt;"",P763&lt;&gt;"",S763="Sí"),5,IF(AND(H763&lt;&gt;"",I763&lt;&gt;"",P763&lt;&gt;"",S763&lt;&gt;"No"),4,IF(AND(H763&lt;&gt;"",I763&lt;&gt;""),3,IF(F763&lt;&gt;"",2,1)))))</x:f>
        <x:v>T4</x:v>
      </x:c>
      <x:c r="U763" s="24" t="str">
        <x:v>VRM Games</x:v>
      </x:c>
      <x:c r="V763" s="24" t="str">
        <x:v>No sustituye revisión legal ni convierte fuentes de terceros en propiedad del proyecto.</x:v>
      </x:c>
    </x:row>
    <x:row r="764" ht="34" customHeight="1">
      <x:c r="A764" s="24" t="str">
        <x:v>TRC-00760</x:v>
      </x:c>
      <x:c r="B764" s="24" t="str">
        <x:v>DOC-01</x:v>
      </x:c>
      <x:c r="C764" s="24" t="str">
        <x:v>01_Game_Design_Document.md</x:v>
      </x:c>
      <x:c r="D764" s="24" t="str">
        <x:v>AI-assisted project documentation</x:v>
      </x:c>
      <x:c r="E764" s="24" t="str">
        <x:v>05_Contenido_Generado</x:v>
      </x:c>
      <x:c r="F764" s="24" t="str">
        <x:v>GEN-DOC-002</x:v>
      </x:c>
      <x:c r="G764" s="24" t="str">
        <x:v>OpenAI</x:v>
      </x:c>
      <x:c r="H764" s="24" t="str">
        <x:v>Applicable OpenAI service terms; factual/source provenance remains project responsibility</x:v>
      </x:c>
      <x:c r="I764" s="24" t="str">
        <x:v>Conversation + artifact hash</x:v>
      </x:c>
      <x:c r="J764" s="24" t="str">
        <x:v>a9cd9e3203abc5269c25c59dc7f626b0771df4ec2d65e781109ff146bceb2177</x:v>
      </x:c>
      <x:c r="K764" s="24" t="str">
        <x:v>01_Game_Design_Document.md</x:v>
      </x:c>
      <x:c r="L764" s="24" t="str">
        <x:v>CR-010</x:v>
      </x:c>
      <x:c r="M764" s="24" t="str">
        <x:v>ATT-004</x:v>
      </x:c>
      <x:c r="N764" s="24" t="str">
        <x:v>RES-005;RES-013</x:v>
      </x:c>
      <x:c r="O764" s="24" t="str">
        <x:v>Not a runtime asset</x:v>
      </x:c>
      <x:c r="P764" s="24" t="str">
        <x:v>INTERNAL GOVERNANCE / REVIEWED</x:v>
      </x:c>
      <x:c r="Q764" s="24" t="str">
        <x:v>Low</x:v>
      </x:c>
      <x:c r="R764" s="24" t="str"/>
      <x:c r="S764" s="24" t="str">
        <x:v>Parcial</x:v>
      </x:c>
      <x:c r="T764" s="24" t="str">
        <x:f>"T"&amp;IF(AND(H764&lt;&gt;"",I764&lt;&gt;"",J764&lt;&gt;"",L764&lt;&gt;"",N764&lt;&gt;"",O764&lt;&gt;"",P764="APPROVED PUBLIC",S764="Sí"),6,IF(AND(H764&lt;&gt;"",I764&lt;&gt;"",J764&lt;&gt;"",L764&lt;&gt;"",N764&lt;&gt;"",O764&lt;&gt;"",P764&lt;&gt;"",S764="Sí"),5,IF(AND(H764&lt;&gt;"",I764&lt;&gt;"",P764&lt;&gt;"",S764&lt;&gt;"No"),4,IF(AND(H764&lt;&gt;"",I764&lt;&gt;""),3,IF(F764&lt;&gt;"",2,1)))))</x:f>
        <x:v>T4</x:v>
      </x:c>
      <x:c r="U764" s="24" t="str">
        <x:v>VRM Games</x:v>
      </x:c>
      <x:c r="V764" s="24" t="str">
        <x:v>No sustituye revisión legal ni convierte fuentes de terceros en propiedad del proyecto.</x:v>
      </x:c>
    </x:row>
    <x:row r="765" ht="34" customHeight="1">
      <x:c r="A765" s="24" t="str">
        <x:v>TRC-00761</x:v>
      </x:c>
      <x:c r="B765" s="24" t="str">
        <x:v>DOC-02</x:v>
      </x:c>
      <x:c r="C765" s="24" t="str">
        <x:v>02_Vertical_Slice_Specification.md</x:v>
      </x:c>
      <x:c r="D765" s="24" t="str">
        <x:v>AI-assisted project documentation</x:v>
      </x:c>
      <x:c r="E765" s="24" t="str">
        <x:v>05_Contenido_Generado</x:v>
      </x:c>
      <x:c r="F765" s="24" t="str">
        <x:v>GEN-DOC-003</x:v>
      </x:c>
      <x:c r="G765" s="24" t="str">
        <x:v>OpenAI</x:v>
      </x:c>
      <x:c r="H765" s="24" t="str">
        <x:v>Applicable OpenAI service terms; factual/source provenance remains project responsibility</x:v>
      </x:c>
      <x:c r="I765" s="24" t="str">
        <x:v>Conversation + artifact hash</x:v>
      </x:c>
      <x:c r="J765" s="24" t="str">
        <x:v>75893f130116e88a08b8da5590dd81876a234581081eafaa8d08374c1a60513f</x:v>
      </x:c>
      <x:c r="K765" s="24" t="str">
        <x:v>02_Vertical_Slice_Specification.md</x:v>
      </x:c>
      <x:c r="L765" s="24" t="str">
        <x:v>CR-010</x:v>
      </x:c>
      <x:c r="M765" s="24" t="str">
        <x:v>ATT-004</x:v>
      </x:c>
      <x:c r="N765" s="24" t="str">
        <x:v>RES-005;RES-013</x:v>
      </x:c>
      <x:c r="O765" s="24" t="str">
        <x:v>Not a runtime asset</x:v>
      </x:c>
      <x:c r="P765" s="24" t="str">
        <x:v>INTERNAL GOVERNANCE / REVIEWED</x:v>
      </x:c>
      <x:c r="Q765" s="24" t="str">
        <x:v>Low</x:v>
      </x:c>
      <x:c r="R765" s="24" t="str"/>
      <x:c r="S765" s="24" t="str">
        <x:v>Parcial</x:v>
      </x:c>
      <x:c r="T765" s="24" t="str">
        <x:f>"T"&amp;IF(AND(H765&lt;&gt;"",I765&lt;&gt;"",J765&lt;&gt;"",L765&lt;&gt;"",N765&lt;&gt;"",O765&lt;&gt;"",P765="APPROVED PUBLIC",S765="Sí"),6,IF(AND(H765&lt;&gt;"",I765&lt;&gt;"",J765&lt;&gt;"",L765&lt;&gt;"",N765&lt;&gt;"",O765&lt;&gt;"",P765&lt;&gt;"",S765="Sí"),5,IF(AND(H765&lt;&gt;"",I765&lt;&gt;"",P765&lt;&gt;"",S765&lt;&gt;"No"),4,IF(AND(H765&lt;&gt;"",I765&lt;&gt;""),3,IF(F765&lt;&gt;"",2,1)))))</x:f>
        <x:v>T4</x:v>
      </x:c>
      <x:c r="U765" s="24" t="str">
        <x:v>VRM Games</x:v>
      </x:c>
      <x:c r="V765" s="24" t="str">
        <x:v>No sustituye revisión legal ni convierte fuentes de terceros en propiedad del proyecto.</x:v>
      </x:c>
    </x:row>
    <x:row r="766" ht="34" customHeight="1">
      <x:c r="A766" s="24" t="str">
        <x:v>TRC-00762</x:v>
      </x:c>
      <x:c r="B766" s="24" t="str">
        <x:v>DOC-03</x:v>
      </x:c>
      <x:c r="C766" s="24" t="str">
        <x:v>03_Technical_Design_Document.md</x:v>
      </x:c>
      <x:c r="D766" s="24" t="str">
        <x:v>AI-assisted project documentation</x:v>
      </x:c>
      <x:c r="E766" s="24" t="str">
        <x:v>05_Contenido_Generado</x:v>
      </x:c>
      <x:c r="F766" s="24" t="str">
        <x:v>GEN-DOC-004</x:v>
      </x:c>
      <x:c r="G766" s="24" t="str">
        <x:v>OpenAI</x:v>
      </x:c>
      <x:c r="H766" s="24" t="str">
        <x:v>Applicable OpenAI service terms; factual/source provenance remains project responsibility</x:v>
      </x:c>
      <x:c r="I766" s="24" t="str">
        <x:v>Conversation + artifact hash</x:v>
      </x:c>
      <x:c r="J766" s="24" t="str">
        <x:v>66264703c5ff4959d03093690e9845a98ec0e5025e685b9a639ac8cbb616cd12</x:v>
      </x:c>
      <x:c r="K766" s="24" t="str">
        <x:v>03_Technical_Design_Document.md</x:v>
      </x:c>
      <x:c r="L766" s="24" t="str">
        <x:v>CR-010</x:v>
      </x:c>
      <x:c r="M766" s="24" t="str">
        <x:v>ATT-004</x:v>
      </x:c>
      <x:c r="N766" s="24" t="str">
        <x:v>RES-005;RES-013</x:v>
      </x:c>
      <x:c r="O766" s="24" t="str">
        <x:v>Not a runtime asset</x:v>
      </x:c>
      <x:c r="P766" s="24" t="str">
        <x:v>INTERNAL GOVERNANCE / REVIEWED</x:v>
      </x:c>
      <x:c r="Q766" s="24" t="str">
        <x:v>Low</x:v>
      </x:c>
      <x:c r="R766" s="24" t="str"/>
      <x:c r="S766" s="24" t="str">
        <x:v>Parcial</x:v>
      </x:c>
      <x:c r="T766" s="24" t="str">
        <x:f>"T"&amp;IF(AND(H766&lt;&gt;"",I766&lt;&gt;"",J766&lt;&gt;"",L766&lt;&gt;"",N766&lt;&gt;"",O766&lt;&gt;"",P766="APPROVED PUBLIC",S766="Sí"),6,IF(AND(H766&lt;&gt;"",I766&lt;&gt;"",J766&lt;&gt;"",L766&lt;&gt;"",N766&lt;&gt;"",O766&lt;&gt;"",P766&lt;&gt;"",S766="Sí"),5,IF(AND(H766&lt;&gt;"",I766&lt;&gt;"",P766&lt;&gt;"",S766&lt;&gt;"No"),4,IF(AND(H766&lt;&gt;"",I766&lt;&gt;""),3,IF(F766&lt;&gt;"",2,1)))))</x:f>
        <x:v>T4</x:v>
      </x:c>
      <x:c r="U766" s="24" t="str">
        <x:v>VRM Games</x:v>
      </x:c>
      <x:c r="V766" s="24" t="str">
        <x:v>No sustituye revisión legal ni convierte fuentes de terceros en propiedad del proyecto.</x:v>
      </x:c>
    </x:row>
    <x:row r="767" ht="34" customHeight="1">
      <x:c r="A767" s="24" t="str">
        <x:v>TRC-00763</x:v>
      </x:c>
      <x:c r="B767" s="24" t="str">
        <x:v>DOC-04</x:v>
      </x:c>
      <x:c r="C767" s="24" t="str">
        <x:v>04_Modelo_de_Datos.md</x:v>
      </x:c>
      <x:c r="D767" s="24" t="str">
        <x:v>AI-assisted project documentation</x:v>
      </x:c>
      <x:c r="E767" s="24" t="str">
        <x:v>05_Contenido_Generado</x:v>
      </x:c>
      <x:c r="F767" s="24" t="str">
        <x:v>GEN-DOC-005</x:v>
      </x:c>
      <x:c r="G767" s="24" t="str">
        <x:v>OpenAI</x:v>
      </x:c>
      <x:c r="H767" s="24" t="str">
        <x:v>Applicable OpenAI service terms; factual/source provenance remains project responsibility</x:v>
      </x:c>
      <x:c r="I767" s="24" t="str">
        <x:v>Conversation + artifact hash</x:v>
      </x:c>
      <x:c r="J767" s="24" t="str">
        <x:v>d851a72b55742c2c704cc7c002929bc5894e7142511c6af843440bb193fb19d4</x:v>
      </x:c>
      <x:c r="K767" s="24" t="str">
        <x:v>04_Modelo_de_Datos.md</x:v>
      </x:c>
      <x:c r="L767" s="24" t="str">
        <x:v>CR-010</x:v>
      </x:c>
      <x:c r="M767" s="24" t="str">
        <x:v>ATT-004</x:v>
      </x:c>
      <x:c r="N767" s="24" t="str">
        <x:v>RES-005;RES-013</x:v>
      </x:c>
      <x:c r="O767" s="24" t="str">
        <x:v>Not a runtime asset</x:v>
      </x:c>
      <x:c r="P767" s="24" t="str">
        <x:v>INTERNAL GOVERNANCE / REVIEWED</x:v>
      </x:c>
      <x:c r="Q767" s="24" t="str">
        <x:v>Low</x:v>
      </x:c>
      <x:c r="R767" s="24" t="str"/>
      <x:c r="S767" s="24" t="str">
        <x:v>Parcial</x:v>
      </x:c>
      <x:c r="T767" s="24" t="str">
        <x:f>"T"&amp;IF(AND(H767&lt;&gt;"",I767&lt;&gt;"",J767&lt;&gt;"",L767&lt;&gt;"",N767&lt;&gt;"",O767&lt;&gt;"",P767="APPROVED PUBLIC",S767="Sí"),6,IF(AND(H767&lt;&gt;"",I767&lt;&gt;"",J767&lt;&gt;"",L767&lt;&gt;"",N767&lt;&gt;"",O767&lt;&gt;"",P767&lt;&gt;"",S767="Sí"),5,IF(AND(H767&lt;&gt;"",I767&lt;&gt;"",P767&lt;&gt;"",S767&lt;&gt;"No"),4,IF(AND(H767&lt;&gt;"",I767&lt;&gt;""),3,IF(F767&lt;&gt;"",2,1)))))</x:f>
        <x:v>T4</x:v>
      </x:c>
      <x:c r="U767" s="24" t="str">
        <x:v>VRM Games</x:v>
      </x:c>
      <x:c r="V767" s="24" t="str">
        <x:v>No sustituye revisión legal ni convierte fuentes de terceros en propiedad del proyecto.</x:v>
      </x:c>
    </x:row>
    <x:row r="768" ht="34" customHeight="1">
      <x:c r="A768" s="24" t="str">
        <x:v>TRC-00764</x:v>
      </x:c>
      <x:c r="B768" s="24" t="str">
        <x:v>DOC-05</x:v>
      </x:c>
      <x:c r="C768" s="24" t="str">
        <x:v>05_UX_Flow.md</x:v>
      </x:c>
      <x:c r="D768" s="24" t="str">
        <x:v>AI-assisted project documentation</x:v>
      </x:c>
      <x:c r="E768" s="24" t="str">
        <x:v>05_Contenido_Generado</x:v>
      </x:c>
      <x:c r="F768" s="24" t="str">
        <x:v>GEN-DOC-006</x:v>
      </x:c>
      <x:c r="G768" s="24" t="str">
        <x:v>OpenAI</x:v>
      </x:c>
      <x:c r="H768" s="24" t="str">
        <x:v>Applicable OpenAI service terms; factual/source provenance remains project responsibility</x:v>
      </x:c>
      <x:c r="I768" s="24" t="str">
        <x:v>Conversation + artifact hash</x:v>
      </x:c>
      <x:c r="J768" s="24" t="str">
        <x:v>e08da5ff67fb073a8b950babe325ae58ddb2e121513dc2f553acd4f2c14b867e</x:v>
      </x:c>
      <x:c r="K768" s="24" t="str">
        <x:v>05_UX_Flow.md</x:v>
      </x:c>
      <x:c r="L768" s="24" t="str">
        <x:v>CR-010</x:v>
      </x:c>
      <x:c r="M768" s="24" t="str">
        <x:v>ATT-004</x:v>
      </x:c>
      <x:c r="N768" s="24" t="str">
        <x:v>RES-005;RES-013</x:v>
      </x:c>
      <x:c r="O768" s="24" t="str">
        <x:v>Not a runtime asset</x:v>
      </x:c>
      <x:c r="P768" s="24" t="str">
        <x:v>INTERNAL GOVERNANCE / REVIEWED</x:v>
      </x:c>
      <x:c r="Q768" s="24" t="str">
        <x:v>Low</x:v>
      </x:c>
      <x:c r="R768" s="24" t="str"/>
      <x:c r="S768" s="24" t="str">
        <x:v>Parcial</x:v>
      </x:c>
      <x:c r="T768" s="24" t="str">
        <x:f>"T"&amp;IF(AND(H768&lt;&gt;"",I768&lt;&gt;"",J768&lt;&gt;"",L768&lt;&gt;"",N768&lt;&gt;"",O768&lt;&gt;"",P768="APPROVED PUBLIC",S768="Sí"),6,IF(AND(H768&lt;&gt;"",I768&lt;&gt;"",J768&lt;&gt;"",L768&lt;&gt;"",N768&lt;&gt;"",O768&lt;&gt;"",P768&lt;&gt;"",S768="Sí"),5,IF(AND(H768&lt;&gt;"",I768&lt;&gt;"",P768&lt;&gt;"",S768&lt;&gt;"No"),4,IF(AND(H768&lt;&gt;"",I768&lt;&gt;""),3,IF(F768&lt;&gt;"",2,1)))))</x:f>
        <x:v>T4</x:v>
      </x:c>
      <x:c r="U768" s="24" t="str">
        <x:v>VRM Games</x:v>
      </x:c>
      <x:c r="V768" s="24" t="str">
        <x:v>No sustituye revisión legal ni convierte fuentes de terceros en propiedad del proyecto.</x:v>
      </x:c>
    </x:row>
    <x:row r="769" ht="34" customHeight="1">
      <x:c r="A769" s="24" t="str">
        <x:v>TRC-00765</x:v>
      </x:c>
      <x:c r="B769" s="24" t="str">
        <x:v>DOC-06</x:v>
      </x:c>
      <x:c r="C769" s="24" t="str">
        <x:v>06_Production_Roadmap_y_Sprint_Plan.md</x:v>
      </x:c>
      <x:c r="D769" s="24" t="str">
        <x:v>AI-assisted project documentation</x:v>
      </x:c>
      <x:c r="E769" s="24" t="str">
        <x:v>05_Contenido_Generado</x:v>
      </x:c>
      <x:c r="F769" s="24" t="str">
        <x:v>GEN-DOC-007</x:v>
      </x:c>
      <x:c r="G769" s="24" t="str">
        <x:v>OpenAI</x:v>
      </x:c>
      <x:c r="H769" s="24" t="str">
        <x:v>Applicable OpenAI service terms; factual/source provenance remains project responsibility</x:v>
      </x:c>
      <x:c r="I769" s="24" t="str">
        <x:v>Conversation + artifact hash</x:v>
      </x:c>
      <x:c r="J769" s="24" t="str">
        <x:v>d00b156c0ad1c66069278119c55f76c738a577a3e2835f770208d1a5f2faadff</x:v>
      </x:c>
      <x:c r="K769" s="24" t="str">
        <x:v>06_Production_Roadmap_y_Sprint_Plan.md</x:v>
      </x:c>
      <x:c r="L769" s="24" t="str">
        <x:v>CR-010</x:v>
      </x:c>
      <x:c r="M769" s="24" t="str">
        <x:v>ATT-004</x:v>
      </x:c>
      <x:c r="N769" s="24" t="str">
        <x:v>RES-005;RES-013</x:v>
      </x:c>
      <x:c r="O769" s="24" t="str">
        <x:v>Not a runtime asset</x:v>
      </x:c>
      <x:c r="P769" s="24" t="str">
        <x:v>INTERNAL GOVERNANCE / REVIEWED</x:v>
      </x:c>
      <x:c r="Q769" s="24" t="str">
        <x:v>Low</x:v>
      </x:c>
      <x:c r="R769" s="24" t="str"/>
      <x:c r="S769" s="24" t="str">
        <x:v>Parcial</x:v>
      </x:c>
      <x:c r="T769" s="24" t="str">
        <x:f>"T"&amp;IF(AND(H769&lt;&gt;"",I769&lt;&gt;"",J769&lt;&gt;"",L769&lt;&gt;"",N769&lt;&gt;"",O769&lt;&gt;"",P769="APPROVED PUBLIC",S769="Sí"),6,IF(AND(H769&lt;&gt;"",I769&lt;&gt;"",J769&lt;&gt;"",L769&lt;&gt;"",N769&lt;&gt;"",O769&lt;&gt;"",P769&lt;&gt;"",S769="Sí"),5,IF(AND(H769&lt;&gt;"",I769&lt;&gt;"",P769&lt;&gt;"",S769&lt;&gt;"No"),4,IF(AND(H769&lt;&gt;"",I769&lt;&gt;""),3,IF(F769&lt;&gt;"",2,1)))))</x:f>
        <x:v>T4</x:v>
      </x:c>
      <x:c r="U769" s="24" t="str">
        <x:v>VRM Games</x:v>
      </x:c>
      <x:c r="V769" s="24" t="str">
        <x:v>No sustituye revisión legal ni convierte fuentes de terceros en propiedad del proyecto.</x:v>
      </x:c>
    </x:row>
    <x:row r="770" ht="34" customHeight="1">
      <x:c r="A770" s="24" t="str">
        <x:v>TRC-00766</x:v>
      </x:c>
      <x:c r="B770" s="24" t="str">
        <x:v>DOC-07</x:v>
      </x:c>
      <x:c r="C770" s="24" t="str">
        <x:v>07_QA_Testing_Plan.md</x:v>
      </x:c>
      <x:c r="D770" s="24" t="str">
        <x:v>AI-assisted project documentation</x:v>
      </x:c>
      <x:c r="E770" s="24" t="str">
        <x:v>05_Contenido_Generado</x:v>
      </x:c>
      <x:c r="F770" s="24" t="str">
        <x:v>GEN-DOC-008</x:v>
      </x:c>
      <x:c r="G770" s="24" t="str">
        <x:v>OpenAI</x:v>
      </x:c>
      <x:c r="H770" s="24" t="str">
        <x:v>Applicable OpenAI service terms; factual/source provenance remains project responsibility</x:v>
      </x:c>
      <x:c r="I770" s="24" t="str">
        <x:v>Conversation + artifact hash</x:v>
      </x:c>
      <x:c r="J770" s="24" t="str">
        <x:v>bc9c05a3737e345546ef16e5390e034295ef35ad66c31647852aec81b4e7affe</x:v>
      </x:c>
      <x:c r="K770" s="24" t="str">
        <x:v>07_QA_Testing_Plan.md</x:v>
      </x:c>
      <x:c r="L770" s="24" t="str">
        <x:v>CR-010</x:v>
      </x:c>
      <x:c r="M770" s="24" t="str">
        <x:v>ATT-004</x:v>
      </x:c>
      <x:c r="N770" s="24" t="str">
        <x:v>RES-005;RES-013</x:v>
      </x:c>
      <x:c r="O770" s="24" t="str">
        <x:v>Not a runtime asset</x:v>
      </x:c>
      <x:c r="P770" s="24" t="str">
        <x:v>INTERNAL GOVERNANCE / REVIEWED</x:v>
      </x:c>
      <x:c r="Q770" s="24" t="str">
        <x:v>Low</x:v>
      </x:c>
      <x:c r="R770" s="24" t="str"/>
      <x:c r="S770" s="24" t="str">
        <x:v>Parcial</x:v>
      </x:c>
      <x:c r="T770" s="24" t="str">
        <x:f>"T"&amp;IF(AND(H770&lt;&gt;"",I770&lt;&gt;"",J770&lt;&gt;"",L770&lt;&gt;"",N770&lt;&gt;"",O770&lt;&gt;"",P770="APPROVED PUBLIC",S770="Sí"),6,IF(AND(H770&lt;&gt;"",I770&lt;&gt;"",J770&lt;&gt;"",L770&lt;&gt;"",N770&lt;&gt;"",O770&lt;&gt;"",P770&lt;&gt;"",S770="Sí"),5,IF(AND(H770&lt;&gt;"",I770&lt;&gt;"",P770&lt;&gt;"",S770&lt;&gt;"No"),4,IF(AND(H770&lt;&gt;"",I770&lt;&gt;""),3,IF(F770&lt;&gt;"",2,1)))))</x:f>
        <x:v>T4</x:v>
      </x:c>
      <x:c r="U770" s="24" t="str">
        <x:v>VRM Games</x:v>
      </x:c>
      <x:c r="V770" s="24" t="str">
        <x:v>No sustituye revisión legal ni convierte fuentes de terceros en propiedad del proyecto.</x:v>
      </x:c>
    </x:row>
    <x:row r="771" ht="34" customHeight="1">
      <x:c r="A771" s="24" t="str">
        <x:v>TRC-00767</x:v>
      </x:c>
      <x:c r="B771" s="24" t="str">
        <x:v>DOC-08</x:v>
      </x:c>
      <x:c r="C771" s="24" t="str">
        <x:v>08_QA_Testing_Matrix.xlsx</x:v>
      </x:c>
      <x:c r="D771" s="24" t="str">
        <x:v>AI-assisted project documentation</x:v>
      </x:c>
      <x:c r="E771" s="24" t="str">
        <x:v>05_Contenido_Generado</x:v>
      </x:c>
      <x:c r="F771" s="24" t="str">
        <x:v>GEN-DOC-009</x:v>
      </x:c>
      <x:c r="G771" s="24" t="str">
        <x:v>OpenAI</x:v>
      </x:c>
      <x:c r="H771" s="24" t="str">
        <x:v>Applicable OpenAI service terms; factual/source provenance remains project responsibility</x:v>
      </x:c>
      <x:c r="I771" s="24" t="str">
        <x:v>Conversation + artifact hash</x:v>
      </x:c>
      <x:c r="J771" s="24" t="str">
        <x:v>233e57f01d2468fe13c136c8fcd3ee75b39bd3de6530349626ea98d4ff254214</x:v>
      </x:c>
      <x:c r="K771" s="24" t="str">
        <x:v>08_QA_Testing_Matrix.xlsx</x:v>
      </x:c>
      <x:c r="L771" s="24" t="str">
        <x:v>CR-010</x:v>
      </x:c>
      <x:c r="M771" s="24" t="str">
        <x:v>ATT-004</x:v>
      </x:c>
      <x:c r="N771" s="24" t="str">
        <x:v>RES-005;RES-013</x:v>
      </x:c>
      <x:c r="O771" s="24" t="str">
        <x:v>Not a runtime asset</x:v>
      </x:c>
      <x:c r="P771" s="24" t="str">
        <x:v>INTERNAL GOVERNANCE / REVIEWED</x:v>
      </x:c>
      <x:c r="Q771" s="24" t="str">
        <x:v>Low</x:v>
      </x:c>
      <x:c r="R771" s="24" t="str"/>
      <x:c r="S771" s="24" t="str">
        <x:v>Parcial</x:v>
      </x:c>
      <x:c r="T771" s="24" t="str">
        <x:f>"T"&amp;IF(AND(H771&lt;&gt;"",I771&lt;&gt;"",J771&lt;&gt;"",L771&lt;&gt;"",N771&lt;&gt;"",O771&lt;&gt;"",P771="APPROVED PUBLIC",S771="Sí"),6,IF(AND(H771&lt;&gt;"",I771&lt;&gt;"",J771&lt;&gt;"",L771&lt;&gt;"",N771&lt;&gt;"",O771&lt;&gt;"",P771&lt;&gt;"",S771="Sí"),5,IF(AND(H771&lt;&gt;"",I771&lt;&gt;"",P771&lt;&gt;"",S771&lt;&gt;"No"),4,IF(AND(H771&lt;&gt;"",I771&lt;&gt;""),3,IF(F771&lt;&gt;"",2,1)))))</x:f>
        <x:v>T4</x:v>
      </x:c>
      <x:c r="U771" s="24" t="str">
        <x:v>VRM Games</x:v>
      </x:c>
      <x:c r="V771" s="24" t="str">
        <x:v>No sustituye revisión legal ni convierte fuentes de terceros en propiedad del proyecto.</x:v>
      </x:c>
    </x:row>
    <x:row r="772" ht="34" customHeight="1">
      <x:c r="A772" s="24" t="str">
        <x:v>TRC-00768</x:v>
      </x:c>
      <x:c r="B772" s="24" t="str">
        <x:v>DOC-09</x:v>
      </x:c>
      <x:c r="C772" s="24" t="str">
        <x:v>09_CSharp_Coding_Standards.md</x:v>
      </x:c>
      <x:c r="D772" s="24" t="str">
        <x:v>AI-assisted project documentation</x:v>
      </x:c>
      <x:c r="E772" s="24" t="str">
        <x:v>05_Contenido_Generado</x:v>
      </x:c>
      <x:c r="F772" s="24" t="str">
        <x:v>GEN-DOC-010</x:v>
      </x:c>
      <x:c r="G772" s="24" t="str">
        <x:v>OpenAI</x:v>
      </x:c>
      <x:c r="H772" s="24" t="str">
        <x:v>Applicable OpenAI service terms; factual/source provenance remains project responsibility</x:v>
      </x:c>
      <x:c r="I772" s="24" t="str">
        <x:v>Conversation + artifact hash</x:v>
      </x:c>
      <x:c r="J772" s="24" t="str">
        <x:v>3b734d6cd49f31c09c10bb4941625e143f6c634e3fb50c157f0720e73b1c2a68</x:v>
      </x:c>
      <x:c r="K772" s="24" t="str">
        <x:v>09_CSharp_Coding_Standards.md</x:v>
      </x:c>
      <x:c r="L772" s="24" t="str">
        <x:v>CR-010</x:v>
      </x:c>
      <x:c r="M772" s="24" t="str">
        <x:v>ATT-004</x:v>
      </x:c>
      <x:c r="N772" s="24" t="str">
        <x:v>RES-005;RES-013</x:v>
      </x:c>
      <x:c r="O772" s="24" t="str">
        <x:v>Not a runtime asset</x:v>
      </x:c>
      <x:c r="P772" s="24" t="str">
        <x:v>INTERNAL GOVERNANCE / REVIEWED</x:v>
      </x:c>
      <x:c r="Q772" s="24" t="str">
        <x:v>Low</x:v>
      </x:c>
      <x:c r="R772" s="24" t="str"/>
      <x:c r="S772" s="24" t="str">
        <x:v>Parcial</x:v>
      </x:c>
      <x:c r="T772" s="24" t="str">
        <x:f>"T"&amp;IF(AND(H772&lt;&gt;"",I772&lt;&gt;"",J772&lt;&gt;"",L772&lt;&gt;"",N772&lt;&gt;"",O772&lt;&gt;"",P772="APPROVED PUBLIC",S772="Sí"),6,IF(AND(H772&lt;&gt;"",I772&lt;&gt;"",J772&lt;&gt;"",L772&lt;&gt;"",N772&lt;&gt;"",O772&lt;&gt;"",P772&lt;&gt;"",S772="Sí"),5,IF(AND(H772&lt;&gt;"",I772&lt;&gt;"",P772&lt;&gt;"",S772&lt;&gt;"No"),4,IF(AND(H772&lt;&gt;"",I772&lt;&gt;""),3,IF(F772&lt;&gt;"",2,1)))))</x:f>
        <x:v>T4</x:v>
      </x:c>
      <x:c r="U772" s="24" t="str">
        <x:v>VRM Games</x:v>
      </x:c>
      <x:c r="V772" s="24" t="str">
        <x:v>No sustituye revisión legal ni convierte fuentes de terceros en propiedad del proyecto.</x:v>
      </x:c>
    </x:row>
    <x:row r="773" ht="34" customHeight="1">
      <x:c r="A773" s="24" t="str">
        <x:v>TRC-00769</x:v>
      </x:c>
      <x:c r="B773" s="24" t="str">
        <x:v>DOC-10</x:v>
      </x:c>
      <x:c r="C773" s="24" t="str">
        <x:v>10_Unity_Project_Setup_Guide.md</x:v>
      </x:c>
      <x:c r="D773" s="24" t="str">
        <x:v>AI-assisted project documentation</x:v>
      </x:c>
      <x:c r="E773" s="24" t="str">
        <x:v>05_Contenido_Generado</x:v>
      </x:c>
      <x:c r="F773" s="24" t="str">
        <x:v>GEN-DOC-011</x:v>
      </x:c>
      <x:c r="G773" s="24" t="str">
        <x:v>OpenAI</x:v>
      </x:c>
      <x:c r="H773" s="24" t="str">
        <x:v>Applicable OpenAI service terms; factual/source provenance remains project responsibility</x:v>
      </x:c>
      <x:c r="I773" s="24" t="str">
        <x:v>Conversation + artifact hash</x:v>
      </x:c>
      <x:c r="J773" s="24" t="str">
        <x:v>31430bb0544edd9577323aa0009d6ca3df8b9fbcf6c8a150fc33df69b9f963a4</x:v>
      </x:c>
      <x:c r="K773" s="24" t="str">
        <x:v>10_Unity_Project_Setup_Guide.md</x:v>
      </x:c>
      <x:c r="L773" s="24" t="str">
        <x:v>CR-010</x:v>
      </x:c>
      <x:c r="M773" s="24" t="str">
        <x:v>ATT-004</x:v>
      </x:c>
      <x:c r="N773" s="24" t="str">
        <x:v>RES-005;RES-013</x:v>
      </x:c>
      <x:c r="O773" s="24" t="str">
        <x:v>Not a runtime asset</x:v>
      </x:c>
      <x:c r="P773" s="24" t="str">
        <x:v>INTERNAL GOVERNANCE / REVIEWED</x:v>
      </x:c>
      <x:c r="Q773" s="24" t="str">
        <x:v>Low</x:v>
      </x:c>
      <x:c r="R773" s="24" t="str"/>
      <x:c r="S773" s="24" t="str">
        <x:v>Parcial</x:v>
      </x:c>
      <x:c r="T773" s="24" t="str">
        <x:f>"T"&amp;IF(AND(H773&lt;&gt;"",I773&lt;&gt;"",J773&lt;&gt;"",L773&lt;&gt;"",N773&lt;&gt;"",O773&lt;&gt;"",P773="APPROVED PUBLIC",S773="Sí"),6,IF(AND(H773&lt;&gt;"",I773&lt;&gt;"",J773&lt;&gt;"",L773&lt;&gt;"",N773&lt;&gt;"",O773&lt;&gt;"",P773&lt;&gt;"",S773="Sí"),5,IF(AND(H773&lt;&gt;"",I773&lt;&gt;"",P773&lt;&gt;"",S773&lt;&gt;"No"),4,IF(AND(H773&lt;&gt;"",I773&lt;&gt;""),3,IF(F773&lt;&gt;"",2,1)))))</x:f>
        <x:v>T4</x:v>
      </x:c>
      <x:c r="U773" s="24" t="str">
        <x:v>VRM Games</x:v>
      </x:c>
      <x:c r="V773" s="24" t="str">
        <x:v>No sustituye revisión legal ni convierte fuentes de terceros en propiedad del proyecto.</x:v>
      </x:c>
    </x:row>
    <x:row r="774" ht="34" customHeight="1">
      <x:c r="A774" s="24" t="str">
        <x:v>TRC-00770</x:v>
      </x:c>
      <x:c r="B774" s="24" t="str">
        <x:v>DOC-11</x:v>
      </x:c>
      <x:c r="C774" s="24" t="str">
        <x:v>11_Build_y_Versioning_Guide.md</x:v>
      </x:c>
      <x:c r="D774" s="24" t="str">
        <x:v>AI-assisted project documentation</x:v>
      </x:c>
      <x:c r="E774" s="24" t="str">
        <x:v>05_Contenido_Generado</x:v>
      </x:c>
      <x:c r="F774" s="24" t="str">
        <x:v>GEN-DOC-012</x:v>
      </x:c>
      <x:c r="G774" s="24" t="str">
        <x:v>OpenAI</x:v>
      </x:c>
      <x:c r="H774" s="24" t="str">
        <x:v>Applicable OpenAI service terms; factual/source provenance remains project responsibility</x:v>
      </x:c>
      <x:c r="I774" s="24" t="str">
        <x:v>Conversation + artifact hash</x:v>
      </x:c>
      <x:c r="J774" s="24" t="str">
        <x:v>38a16a0f97505c0b405509dd3c7e3d1b50e77b89fbe3f4cb1931d3e04f602215</x:v>
      </x:c>
      <x:c r="K774" s="24" t="str">
        <x:v>11_Build_y_Versioning_Guide.md</x:v>
      </x:c>
      <x:c r="L774" s="24" t="str">
        <x:v>CR-010</x:v>
      </x:c>
      <x:c r="M774" s="24" t="str">
        <x:v>ATT-004</x:v>
      </x:c>
      <x:c r="N774" s="24" t="str">
        <x:v>RES-005;RES-013</x:v>
      </x:c>
      <x:c r="O774" s="24" t="str">
        <x:v>Not a runtime asset</x:v>
      </x:c>
      <x:c r="P774" s="24" t="str">
        <x:v>INTERNAL GOVERNANCE / REVIEWED</x:v>
      </x:c>
      <x:c r="Q774" s="24" t="str">
        <x:v>Low</x:v>
      </x:c>
      <x:c r="R774" s="24" t="str"/>
      <x:c r="S774" s="24" t="str">
        <x:v>Parcial</x:v>
      </x:c>
      <x:c r="T774" s="24" t="str">
        <x:f>"T"&amp;IF(AND(H774&lt;&gt;"",I774&lt;&gt;"",J774&lt;&gt;"",L774&lt;&gt;"",N774&lt;&gt;"",O774&lt;&gt;"",P774="APPROVED PUBLIC",S774="Sí"),6,IF(AND(H774&lt;&gt;"",I774&lt;&gt;"",J774&lt;&gt;"",L774&lt;&gt;"",N774&lt;&gt;"",O774&lt;&gt;"",P774&lt;&gt;"",S774="Sí"),5,IF(AND(H774&lt;&gt;"",I774&lt;&gt;"",P774&lt;&gt;"",S774&lt;&gt;"No"),4,IF(AND(H774&lt;&gt;"",I774&lt;&gt;""),3,IF(F774&lt;&gt;"",2,1)))))</x:f>
        <x:v>T4</x:v>
      </x:c>
      <x:c r="U774" s="24" t="str">
        <x:v>VRM Games</x:v>
      </x:c>
      <x:c r="V774" s="24" t="str">
        <x:v>No sustituye revisión legal ni convierte fuentes de terceros en propiedad del proyecto.</x:v>
      </x:c>
    </x:row>
    <x:row r="775" ht="34" customHeight="1">
      <x:c r="A775" s="24" t="str">
        <x:v>TRC-00771</x:v>
      </x:c>
      <x:c r="B775" s="24" t="str">
        <x:v>DOC-12</x:v>
      </x:c>
      <x:c r="C775" s="24" t="str">
        <x:v>12_Excel_Maestro_de_Produccion.xlsx</x:v>
      </x:c>
      <x:c r="D775" s="24" t="str">
        <x:v>AI-assisted project documentation</x:v>
      </x:c>
      <x:c r="E775" s="24" t="str">
        <x:v>05_Contenido_Generado</x:v>
      </x:c>
      <x:c r="F775" s="24" t="str">
        <x:v>GEN-DOC-013</x:v>
      </x:c>
      <x:c r="G775" s="24" t="str">
        <x:v>OpenAI</x:v>
      </x:c>
      <x:c r="H775" s="24" t="str">
        <x:v>Applicable OpenAI service terms; factual/source provenance remains project responsibility</x:v>
      </x:c>
      <x:c r="I775" s="24" t="str">
        <x:v>Conversation + artifact hash</x:v>
      </x:c>
      <x:c r="J775" s="24" t="str">
        <x:v>405376cb64f49b34f1f842f3840c12654e9f08e2ec4534b5c149fa811e87dd83</x:v>
      </x:c>
      <x:c r="K775" s="24" t="str">
        <x:v>12_Excel_Maestro_de_Produccion.xlsx</x:v>
      </x:c>
      <x:c r="L775" s="24" t="str">
        <x:v>CR-010</x:v>
      </x:c>
      <x:c r="M775" s="24" t="str">
        <x:v>ATT-004</x:v>
      </x:c>
      <x:c r="N775" s="24" t="str">
        <x:v>RES-005;RES-013</x:v>
      </x:c>
      <x:c r="O775" s="24" t="str">
        <x:v>Not a runtime asset</x:v>
      </x:c>
      <x:c r="P775" s="24" t="str">
        <x:v>INTERNAL GOVERNANCE / REVIEWED</x:v>
      </x:c>
      <x:c r="Q775" s="24" t="str">
        <x:v>Low</x:v>
      </x:c>
      <x:c r="R775" s="24" t="str"/>
      <x:c r="S775" s="24" t="str">
        <x:v>Parcial</x:v>
      </x:c>
      <x:c r="T775" s="24" t="str">
        <x:f>"T"&amp;IF(AND(H775&lt;&gt;"",I775&lt;&gt;"",J775&lt;&gt;"",L775&lt;&gt;"",N775&lt;&gt;"",O775&lt;&gt;"",P775="APPROVED PUBLIC",S775="Sí"),6,IF(AND(H775&lt;&gt;"",I775&lt;&gt;"",J775&lt;&gt;"",L775&lt;&gt;"",N775&lt;&gt;"",O775&lt;&gt;"",P775&lt;&gt;"",S775="Sí"),5,IF(AND(H775&lt;&gt;"",I775&lt;&gt;"",P775&lt;&gt;"",S775&lt;&gt;"No"),4,IF(AND(H775&lt;&gt;"",I775&lt;&gt;""),3,IF(F775&lt;&gt;"",2,1)))))</x:f>
        <x:v>T4</x:v>
      </x:c>
      <x:c r="U775" s="24" t="str">
        <x:v>VRM Games</x:v>
      </x:c>
      <x:c r="V775" s="24" t="str">
        <x:v>No sustituye revisión legal ni convierte fuentes de terceros en propiedad del proyecto.</x:v>
      </x:c>
    </x:row>
    <x:row r="776" ht="34" customHeight="1">
      <x:c r="A776" s="24" t="str">
        <x:v>TRC-00772</x:v>
      </x:c>
      <x:c r="B776" s="24" t="str">
        <x:v>DOC-13</x:v>
      </x:c>
      <x:c r="C776" s="24" t="str">
        <x:v>13_Trazabilidad_y_Control_de_Cambios.xlsx</x:v>
      </x:c>
      <x:c r="D776" s="24" t="str">
        <x:v>AI-assisted project documentation</x:v>
      </x:c>
      <x:c r="E776" s="24" t="str">
        <x:v>05_Contenido_Generado</x:v>
      </x:c>
      <x:c r="F776" s="24" t="str">
        <x:v>GEN-DOC-014</x:v>
      </x:c>
      <x:c r="G776" s="24" t="str">
        <x:v>OpenAI</x:v>
      </x:c>
      <x:c r="H776" s="24" t="str">
        <x:v>Applicable OpenAI service terms; factual/source provenance remains project responsibility</x:v>
      </x:c>
      <x:c r="I776" s="24" t="str">
        <x:v>Conversation + artifact hash</x:v>
      </x:c>
      <x:c r="J776" s="24" t="str">
        <x:v>f674e21d1a3a1f0970a3d339f26f2a2b51a19b5c257c24b9d3fa4118a5cf50eb</x:v>
      </x:c>
      <x:c r="K776" s="24" t="str">
        <x:v>13_Trazabilidad_y_Control_de_Cambios.xlsx</x:v>
      </x:c>
      <x:c r="L776" s="24" t="str">
        <x:v>CR-010</x:v>
      </x:c>
      <x:c r="M776" s="24" t="str">
        <x:v>ATT-004</x:v>
      </x:c>
      <x:c r="N776" s="24" t="str">
        <x:v>RES-005;RES-013</x:v>
      </x:c>
      <x:c r="O776" s="24" t="str">
        <x:v>Not a runtime asset</x:v>
      </x:c>
      <x:c r="P776" s="24" t="str">
        <x:v>INTERNAL GOVERNANCE / REVIEWED</x:v>
      </x:c>
      <x:c r="Q776" s="24" t="str">
        <x:v>Low</x:v>
      </x:c>
      <x:c r="R776" s="24" t="str"/>
      <x:c r="S776" s="24" t="str">
        <x:v>Parcial</x:v>
      </x:c>
      <x:c r="T776" s="24" t="str">
        <x:f>"T"&amp;IF(AND(H776&lt;&gt;"",I776&lt;&gt;"",J776&lt;&gt;"",L776&lt;&gt;"",N776&lt;&gt;"",O776&lt;&gt;"",P776="APPROVED PUBLIC",S776="Sí"),6,IF(AND(H776&lt;&gt;"",I776&lt;&gt;"",J776&lt;&gt;"",L776&lt;&gt;"",N776&lt;&gt;"",O776&lt;&gt;"",P776&lt;&gt;"",S776="Sí"),5,IF(AND(H776&lt;&gt;"",I776&lt;&gt;"",P776&lt;&gt;"",S776&lt;&gt;"No"),4,IF(AND(H776&lt;&gt;"",I776&lt;&gt;""),3,IF(F776&lt;&gt;"",2,1)))))</x:f>
        <x:v>T4</x:v>
      </x:c>
      <x:c r="U776" s="24" t="str">
        <x:v>VRM Games</x:v>
      </x:c>
      <x:c r="V776" s="24" t="str">
        <x:v>No sustituye revisión legal ni convierte fuentes de terceros en propiedad del proyecto.</x:v>
      </x:c>
    </x:row>
    <x:row r="777" ht="34" customHeight="1">
      <x:c r="A777" s="24" t="str">
        <x:v>TRC-00773</x:v>
      </x:c>
      <x:c r="B777" s="24" t="str">
        <x:v>DOC-14</x:v>
      </x:c>
      <x:c r="C777" s="24" t="str">
        <x:v>14_Project_Binder_Indice_Maestro.md</x:v>
      </x:c>
      <x:c r="D777" s="24" t="str">
        <x:v>AI-assisted project documentation</x:v>
      </x:c>
      <x:c r="E777" s="24" t="str">
        <x:v>05_Contenido_Generado</x:v>
      </x:c>
      <x:c r="F777" s="24" t="str">
        <x:v>GEN-DOC-015</x:v>
      </x:c>
      <x:c r="G777" s="24" t="str">
        <x:v>OpenAI</x:v>
      </x:c>
      <x:c r="H777" s="24" t="str">
        <x:v>Applicable OpenAI service terms; factual/source provenance remains project responsibility</x:v>
      </x:c>
      <x:c r="I777" s="24" t="str">
        <x:v>Conversation + artifact hash</x:v>
      </x:c>
      <x:c r="J777" s="24" t="str">
        <x:v>0c24dcd47e0d44793e75e764e3fc2c146e5b1fea04d887d43feb0df558711559</x:v>
      </x:c>
      <x:c r="K777" s="24" t="str">
        <x:v>14_Project_Binder_Indice_Maestro.md</x:v>
      </x:c>
      <x:c r="L777" s="24" t="str">
        <x:v>CR-010</x:v>
      </x:c>
      <x:c r="M777" s="24" t="str">
        <x:v>ATT-004</x:v>
      </x:c>
      <x:c r="N777" s="24" t="str">
        <x:v>RES-005;RES-013</x:v>
      </x:c>
      <x:c r="O777" s="24" t="str">
        <x:v>Not a runtime asset</x:v>
      </x:c>
      <x:c r="P777" s="24" t="str">
        <x:v>INTERNAL GOVERNANCE / REVIEWED</x:v>
      </x:c>
      <x:c r="Q777" s="24" t="str">
        <x:v>Low</x:v>
      </x:c>
      <x:c r="R777" s="24" t="str"/>
      <x:c r="S777" s="24" t="str">
        <x:v>Parcial</x:v>
      </x:c>
      <x:c r="T777" s="24" t="str">
        <x:f>"T"&amp;IF(AND(H777&lt;&gt;"",I777&lt;&gt;"",J777&lt;&gt;"",L777&lt;&gt;"",N777&lt;&gt;"",O777&lt;&gt;"",P777="APPROVED PUBLIC",S777="Sí"),6,IF(AND(H777&lt;&gt;"",I777&lt;&gt;"",J777&lt;&gt;"",L777&lt;&gt;"",N777&lt;&gt;"",O777&lt;&gt;"",P777&lt;&gt;"",S777="Sí"),5,IF(AND(H777&lt;&gt;"",I777&lt;&gt;"",P777&lt;&gt;"",S777&lt;&gt;"No"),4,IF(AND(H777&lt;&gt;"",I777&lt;&gt;""),3,IF(F777&lt;&gt;"",2,1)))))</x:f>
        <x:v>T4</x:v>
      </x:c>
      <x:c r="U777" s="24" t="str">
        <x:v>VRM Games</x:v>
      </x:c>
      <x:c r="V777" s="24" t="str">
        <x:v>No sustituye revisión legal ni convierte fuentes de terceros en propiedad del proyecto.</x:v>
      </x:c>
    </x:row>
    <x:row r="778" ht="34" customHeight="1">
      <x:c r="A778" s="24" t="str">
        <x:v>TRC-00774</x:v>
      </x:c>
      <x:c r="B778" s="24" t="str">
        <x:v>DOC-15</x:v>
      </x:c>
      <x:c r="C778" s="24" t="str">
        <x:v>15_Guia_Maestra.md</x:v>
      </x:c>
      <x:c r="D778" s="24" t="str">
        <x:v>AI-assisted project documentation</x:v>
      </x:c>
      <x:c r="E778" s="24" t="str">
        <x:v>05_Contenido_Generado</x:v>
      </x:c>
      <x:c r="F778" s="24" t="str">
        <x:v>GEN-DOC-016</x:v>
      </x:c>
      <x:c r="G778" s="24" t="str">
        <x:v>OpenAI</x:v>
      </x:c>
      <x:c r="H778" s="24" t="str">
        <x:v>Applicable OpenAI service terms; factual/source provenance remains project responsibility</x:v>
      </x:c>
      <x:c r="I778" s="24" t="str">
        <x:v>Conversation + artifact hash</x:v>
      </x:c>
      <x:c r="J778" s="24" t="str">
        <x:v>879bc1925cccf77e10df6c104302f3afc72f71e8c58dd85ae4f06e84e6f8b624</x:v>
      </x:c>
      <x:c r="K778" s="24" t="str">
        <x:v>15_Guia_Maestra.md</x:v>
      </x:c>
      <x:c r="L778" s="24" t="str">
        <x:v>CR-010</x:v>
      </x:c>
      <x:c r="M778" s="24" t="str">
        <x:v>ATT-004</x:v>
      </x:c>
      <x:c r="N778" s="24" t="str">
        <x:v>RES-005;RES-013</x:v>
      </x:c>
      <x:c r="O778" s="24" t="str">
        <x:v>Not a runtime asset</x:v>
      </x:c>
      <x:c r="P778" s="24" t="str">
        <x:v>INTERNAL GOVERNANCE / REVIEWED</x:v>
      </x:c>
      <x:c r="Q778" s="24" t="str">
        <x:v>Low</x:v>
      </x:c>
      <x:c r="R778" s="24" t="str"/>
      <x:c r="S778" s="24" t="str">
        <x:v>Parcial</x:v>
      </x:c>
      <x:c r="T778" s="24" t="str">
        <x:f>"T"&amp;IF(AND(H778&lt;&gt;"",I778&lt;&gt;"",J778&lt;&gt;"",L778&lt;&gt;"",N778&lt;&gt;"",O778&lt;&gt;"",P778="APPROVED PUBLIC",S778="Sí"),6,IF(AND(H778&lt;&gt;"",I778&lt;&gt;"",J778&lt;&gt;"",L778&lt;&gt;"",N778&lt;&gt;"",O778&lt;&gt;"",P778&lt;&gt;"",S778="Sí"),5,IF(AND(H778&lt;&gt;"",I778&lt;&gt;"",P778&lt;&gt;"",S778&lt;&gt;"No"),4,IF(AND(H778&lt;&gt;"",I778&lt;&gt;""),3,IF(F778&lt;&gt;"",2,1)))))</x:f>
        <x:v>T4</x:v>
      </x:c>
      <x:c r="U778" s="24" t="str">
        <x:v>VRM Games</x:v>
      </x:c>
      <x:c r="V778" s="24" t="str">
        <x:v>No sustituye revisión legal ni convierte fuentes de terceros en propiedad del proyecto.</x:v>
      </x:c>
    </x:row>
    <x:row r="779" ht="34" customHeight="1">
      <x:c r="A779" s="24" t="str">
        <x:v>TRC-00775</x:v>
      </x:c>
      <x:c r="B779" s="24" t="str">
        <x:v>DOC-16</x:v>
      </x:c>
      <x:c r="C779" s="24" t="str">
        <x:v>16_Auditoria_Global_de_Coherencia.md</x:v>
      </x:c>
      <x:c r="D779" s="24" t="str">
        <x:v>AI-assisted project documentation</x:v>
      </x:c>
      <x:c r="E779" s="24" t="str">
        <x:v>05_Contenido_Generado</x:v>
      </x:c>
      <x:c r="F779" s="24" t="str">
        <x:v>GEN-DOC-017</x:v>
      </x:c>
      <x:c r="G779" s="24" t="str">
        <x:v>OpenAI</x:v>
      </x:c>
      <x:c r="H779" s="24" t="str">
        <x:v>Applicable OpenAI service terms; factual/source provenance remains project responsibility</x:v>
      </x:c>
      <x:c r="I779" s="24" t="str">
        <x:v>Conversation + artifact hash</x:v>
      </x:c>
      <x:c r="J779" s="24" t="str">
        <x:v>4a62376b8aee623be40957ae0511d2dcab2919947f3abb2cef3502b9bb60863e</x:v>
      </x:c>
      <x:c r="K779" s="24" t="str">
        <x:v>16_Auditoria_Global_de_Coherencia.md</x:v>
      </x:c>
      <x:c r="L779" s="24" t="str">
        <x:v>CR-010</x:v>
      </x:c>
      <x:c r="M779" s="24" t="str">
        <x:v>ATT-004</x:v>
      </x:c>
      <x:c r="N779" s="24" t="str">
        <x:v>RES-005;RES-013</x:v>
      </x:c>
      <x:c r="O779" s="24" t="str">
        <x:v>Not a runtime asset</x:v>
      </x:c>
      <x:c r="P779" s="24" t="str">
        <x:v>INTERNAL GOVERNANCE / REVIEWED</x:v>
      </x:c>
      <x:c r="Q779" s="24" t="str">
        <x:v>Low</x:v>
      </x:c>
      <x:c r="R779" s="24" t="str"/>
      <x:c r="S779" s="24" t="str">
        <x:v>Parcial</x:v>
      </x:c>
      <x:c r="T779" s="24" t="str">
        <x:f>"T"&amp;IF(AND(H779&lt;&gt;"",I779&lt;&gt;"",J779&lt;&gt;"",L779&lt;&gt;"",N779&lt;&gt;"",O779&lt;&gt;"",P779="APPROVED PUBLIC",S779="Sí"),6,IF(AND(H779&lt;&gt;"",I779&lt;&gt;"",J779&lt;&gt;"",L779&lt;&gt;"",N779&lt;&gt;"",O779&lt;&gt;"",P779&lt;&gt;"",S779="Sí"),5,IF(AND(H779&lt;&gt;"",I779&lt;&gt;"",P779&lt;&gt;"",S779&lt;&gt;"No"),4,IF(AND(H779&lt;&gt;"",I779&lt;&gt;""),3,IF(F779&lt;&gt;"",2,1)))))</x:f>
        <x:v>T4</x:v>
      </x:c>
      <x:c r="U779" s="24" t="str">
        <x:v>VRM Games</x:v>
      </x:c>
      <x:c r="V779" s="24" t="str">
        <x:v>No sustituye revisión legal ni convierte fuentes de terceros en propiedad del proyecto.</x:v>
      </x:c>
    </x:row>
    <x:row r="780" ht="34" customHeight="1">
      <x:c r="A780" s="24" t="str">
        <x:v>TRC-00776</x:v>
      </x:c>
      <x:c r="B780" s="24" t="str">
        <x:v>DOC-17</x:v>
      </x:c>
      <x:c r="C780" s="24" t="str">
        <x:v>17_Art_Bible.md</x:v>
      </x:c>
      <x:c r="D780" s="24" t="str">
        <x:v>AI-assisted project documentation</x:v>
      </x:c>
      <x:c r="E780" s="24" t="str">
        <x:v>05_Contenido_Generado</x:v>
      </x:c>
      <x:c r="F780" s="24" t="str">
        <x:v>GEN-DOC-018</x:v>
      </x:c>
      <x:c r="G780" s="24" t="str">
        <x:v>OpenAI</x:v>
      </x:c>
      <x:c r="H780" s="24" t="str">
        <x:v>Applicable OpenAI service terms; factual/source provenance remains project responsibility</x:v>
      </x:c>
      <x:c r="I780" s="24" t="str">
        <x:v>Conversation + artifact hash</x:v>
      </x:c>
      <x:c r="J780" s="24" t="str">
        <x:v>095c6cc42223a972c7faa68435595fc7c22f839fabc62b2038371a0ef6c14239</x:v>
      </x:c>
      <x:c r="K780" s="24" t="str">
        <x:v>17_Art_Bible.md</x:v>
      </x:c>
      <x:c r="L780" s="24" t="str">
        <x:v>CR-010</x:v>
      </x:c>
      <x:c r="M780" s="24" t="str">
        <x:v>ATT-004</x:v>
      </x:c>
      <x:c r="N780" s="24" t="str">
        <x:v>RES-005;RES-013</x:v>
      </x:c>
      <x:c r="O780" s="24" t="str">
        <x:v>Not a runtime asset</x:v>
      </x:c>
      <x:c r="P780" s="24" t="str">
        <x:v>INTERNAL GOVERNANCE / REVIEWED</x:v>
      </x:c>
      <x:c r="Q780" s="24" t="str">
        <x:v>Low</x:v>
      </x:c>
      <x:c r="R780" s="24" t="str"/>
      <x:c r="S780" s="24" t="str">
        <x:v>Parcial</x:v>
      </x:c>
      <x:c r="T780" s="24" t="str">
        <x:f>"T"&amp;IF(AND(H780&lt;&gt;"",I780&lt;&gt;"",J780&lt;&gt;"",L780&lt;&gt;"",N780&lt;&gt;"",O780&lt;&gt;"",P780="APPROVED PUBLIC",S780="Sí"),6,IF(AND(H780&lt;&gt;"",I780&lt;&gt;"",J780&lt;&gt;"",L780&lt;&gt;"",N780&lt;&gt;"",O780&lt;&gt;"",P780&lt;&gt;"",S780="Sí"),5,IF(AND(H780&lt;&gt;"",I780&lt;&gt;"",P780&lt;&gt;"",S780&lt;&gt;"No"),4,IF(AND(H780&lt;&gt;"",I780&lt;&gt;""),3,IF(F780&lt;&gt;"",2,1)))))</x:f>
        <x:v>T4</x:v>
      </x:c>
      <x:c r="U780" s="24" t="str">
        <x:v>VRM Games</x:v>
      </x:c>
      <x:c r="V780" s="24" t="str">
        <x:v>No sustituye revisión legal ni convierte fuentes de terceros en propiedad del proyecto.</x:v>
      </x:c>
    </x:row>
    <x:row r="781" ht="34" customHeight="1">
      <x:c r="A781" s="24" t="str">
        <x:v>TRC-00777</x:v>
      </x:c>
      <x:c r="B781" s="24" t="str">
        <x:v>DOC-18</x:v>
      </x:c>
      <x:c r="C781" s="24" t="str">
        <x:v>18_Audio_Bible.md</x:v>
      </x:c>
      <x:c r="D781" s="24" t="str">
        <x:v>AI-assisted project documentation</x:v>
      </x:c>
      <x:c r="E781" s="24" t="str">
        <x:v>05_Contenido_Generado</x:v>
      </x:c>
      <x:c r="F781" s="24" t="str">
        <x:v>GEN-DOC-019</x:v>
      </x:c>
      <x:c r="G781" s="24" t="str">
        <x:v>OpenAI</x:v>
      </x:c>
      <x:c r="H781" s="24" t="str">
        <x:v>Applicable OpenAI service terms; factual/source provenance remains project responsibility</x:v>
      </x:c>
      <x:c r="I781" s="24" t="str">
        <x:v>Conversation + artifact hash</x:v>
      </x:c>
      <x:c r="J781" s="24" t="str">
        <x:v>c2eabe93a7c26f70e1d4d77fb0ddcaa97e2cdd1e70247e637b9db5bd2f07ce92</x:v>
      </x:c>
      <x:c r="K781" s="24" t="str">
        <x:v>18_Audio_Bible.md</x:v>
      </x:c>
      <x:c r="L781" s="24" t="str">
        <x:v>CR-010</x:v>
      </x:c>
      <x:c r="M781" s="24" t="str">
        <x:v>ATT-004</x:v>
      </x:c>
      <x:c r="N781" s="24" t="str">
        <x:v>RES-005;RES-013</x:v>
      </x:c>
      <x:c r="O781" s="24" t="str">
        <x:v>Not a runtime asset</x:v>
      </x:c>
      <x:c r="P781" s="24" t="str">
        <x:v>INTERNAL GOVERNANCE / REVIEWED</x:v>
      </x:c>
      <x:c r="Q781" s="24" t="str">
        <x:v>Low</x:v>
      </x:c>
      <x:c r="R781" s="24" t="str"/>
      <x:c r="S781" s="24" t="str">
        <x:v>Parcial</x:v>
      </x:c>
      <x:c r="T781" s="24" t="str">
        <x:f>"T"&amp;IF(AND(H781&lt;&gt;"",I781&lt;&gt;"",J781&lt;&gt;"",L781&lt;&gt;"",N781&lt;&gt;"",O781&lt;&gt;"",P781="APPROVED PUBLIC",S781="Sí"),6,IF(AND(H781&lt;&gt;"",I781&lt;&gt;"",J781&lt;&gt;"",L781&lt;&gt;"",N781&lt;&gt;"",O781&lt;&gt;"",P781&lt;&gt;"",S781="Sí"),5,IF(AND(H781&lt;&gt;"",I781&lt;&gt;"",P781&lt;&gt;"",S781&lt;&gt;"No"),4,IF(AND(H781&lt;&gt;"",I781&lt;&gt;""),3,IF(F781&lt;&gt;"",2,1)))))</x:f>
        <x:v>T4</x:v>
      </x:c>
      <x:c r="U781" s="24" t="str">
        <x:v>VRM Games</x:v>
      </x:c>
      <x:c r="V781" s="24" t="str">
        <x:v>No sustituye revisión legal ni convierte fuentes de terceros en propiedad del proyecto.</x:v>
      </x:c>
    </x:row>
    <x:row r="782" ht="34" customHeight="1">
      <x:c r="A782" s="24" t="str">
        <x:v>TRC-00778</x:v>
      </x:c>
      <x:c r="B782" s="24" t="str">
        <x:v>DOC-19</x:v>
      </x:c>
      <x:c r="C782" s="24" t="str">
        <x:v>19_UI_Style_Guide.md</x:v>
      </x:c>
      <x:c r="D782" s="24" t="str">
        <x:v>AI-assisted project documentation</x:v>
      </x:c>
      <x:c r="E782" s="24" t="str">
        <x:v>05_Contenido_Generado</x:v>
      </x:c>
      <x:c r="F782" s="24" t="str">
        <x:v>GEN-DOC-020</x:v>
      </x:c>
      <x:c r="G782" s="24" t="str">
        <x:v>OpenAI</x:v>
      </x:c>
      <x:c r="H782" s="24" t="str">
        <x:v>Applicable OpenAI service terms; factual/source provenance remains project responsibility</x:v>
      </x:c>
      <x:c r="I782" s="24" t="str">
        <x:v>Conversation + artifact hash</x:v>
      </x:c>
      <x:c r="J782" s="24" t="str">
        <x:v>b34ca4db1eba7a536466b6a9a105d8d92396ade2108aa7dd99fa7d5d4eaebc1a</x:v>
      </x:c>
      <x:c r="K782" s="24" t="str">
        <x:v>19_UI_Style_Guide.md</x:v>
      </x:c>
      <x:c r="L782" s="24" t="str">
        <x:v>CR-010</x:v>
      </x:c>
      <x:c r="M782" s="24" t="str">
        <x:v>ATT-004</x:v>
      </x:c>
      <x:c r="N782" s="24" t="str">
        <x:v>RES-005;RES-013</x:v>
      </x:c>
      <x:c r="O782" s="24" t="str">
        <x:v>Not a runtime asset</x:v>
      </x:c>
      <x:c r="P782" s="24" t="str">
        <x:v>INTERNAL GOVERNANCE / REVIEWED</x:v>
      </x:c>
      <x:c r="Q782" s="24" t="str">
        <x:v>Low</x:v>
      </x:c>
      <x:c r="R782" s="24" t="str"/>
      <x:c r="S782" s="24" t="str">
        <x:v>Parcial</x:v>
      </x:c>
      <x:c r="T782" s="24" t="str">
        <x:f>"T"&amp;IF(AND(H782&lt;&gt;"",I782&lt;&gt;"",J782&lt;&gt;"",L782&lt;&gt;"",N782&lt;&gt;"",O782&lt;&gt;"",P782="APPROVED PUBLIC",S782="Sí"),6,IF(AND(H782&lt;&gt;"",I782&lt;&gt;"",J782&lt;&gt;"",L782&lt;&gt;"",N782&lt;&gt;"",O782&lt;&gt;"",P782&lt;&gt;"",S782="Sí"),5,IF(AND(H782&lt;&gt;"",I782&lt;&gt;"",P782&lt;&gt;"",S782&lt;&gt;"No"),4,IF(AND(H782&lt;&gt;"",I782&lt;&gt;""),3,IF(F782&lt;&gt;"",2,1)))))</x:f>
        <x:v>T4</x:v>
      </x:c>
      <x:c r="U782" s="24" t="str">
        <x:v>VRM Games</x:v>
      </x:c>
      <x:c r="V782" s="24" t="str">
        <x:v>No sustituye revisión legal ni convierte fuentes de terceros en propiedad del proyecto.</x:v>
      </x:c>
    </x:row>
    <x:row r="783" ht="34" customHeight="1">
      <x:c r="A783" s="24" t="str">
        <x:v>TRC-00779</x:v>
      </x:c>
      <x:c r="B783" s="24" t="str">
        <x:v>DOC-20</x:v>
      </x:c>
      <x:c r="C783" s="24" t="str">
        <x:v>20_Economy_and_Balance_Specification.md</x:v>
      </x:c>
      <x:c r="D783" s="24" t="str">
        <x:v>AI-assisted project documentation</x:v>
      </x:c>
      <x:c r="E783" s="24" t="str">
        <x:v>05_Contenido_Generado</x:v>
      </x:c>
      <x:c r="F783" s="24" t="str">
        <x:v>GEN-DOC-021</x:v>
      </x:c>
      <x:c r="G783" s="24" t="str">
        <x:v>OpenAI</x:v>
      </x:c>
      <x:c r="H783" s="24" t="str">
        <x:v>Applicable OpenAI service terms; factual/source provenance remains project responsibility</x:v>
      </x:c>
      <x:c r="I783" s="24" t="str">
        <x:v>Conversation + artifact hash</x:v>
      </x:c>
      <x:c r="J783" s="24" t="str">
        <x:v>908c70772ed35eecdb05c3036c6901523a4caf2c3e708ca8f049c2a160ef2aac</x:v>
      </x:c>
      <x:c r="K783" s="24" t="str">
        <x:v>20_Economy_and_Balance_Specification.md</x:v>
      </x:c>
      <x:c r="L783" s="24" t="str">
        <x:v>CR-010</x:v>
      </x:c>
      <x:c r="M783" s="24" t="str">
        <x:v>ATT-004</x:v>
      </x:c>
      <x:c r="N783" s="24" t="str">
        <x:v>RES-005;RES-013</x:v>
      </x:c>
      <x:c r="O783" s="24" t="str">
        <x:v>Not a runtime asset</x:v>
      </x:c>
      <x:c r="P783" s="24" t="str">
        <x:v>INTERNAL GOVERNANCE / REVIEWED</x:v>
      </x:c>
      <x:c r="Q783" s="24" t="str">
        <x:v>Low</x:v>
      </x:c>
      <x:c r="R783" s="24" t="str"/>
      <x:c r="S783" s="24" t="str">
        <x:v>Parcial</x:v>
      </x:c>
      <x:c r="T783" s="24" t="str">
        <x:f>"T"&amp;IF(AND(H783&lt;&gt;"",I783&lt;&gt;"",J783&lt;&gt;"",L783&lt;&gt;"",N783&lt;&gt;"",O783&lt;&gt;"",P783="APPROVED PUBLIC",S783="Sí"),6,IF(AND(H783&lt;&gt;"",I783&lt;&gt;"",J783&lt;&gt;"",L783&lt;&gt;"",N783&lt;&gt;"",O783&lt;&gt;"",P783&lt;&gt;"",S783="Sí"),5,IF(AND(H783&lt;&gt;"",I783&lt;&gt;"",P783&lt;&gt;"",S783&lt;&gt;"No"),4,IF(AND(H783&lt;&gt;"",I783&lt;&gt;""),3,IF(F783&lt;&gt;"",2,1)))))</x:f>
        <x:v>T4</x:v>
      </x:c>
      <x:c r="U783" s="24" t="str">
        <x:v>VRM Games</x:v>
      </x:c>
      <x:c r="V783" s="24" t="str">
        <x:v>No sustituye revisión legal ni convierte fuentes de terceros en propiedad del proyecto.</x:v>
      </x:c>
    </x:row>
    <x:row r="784" ht="34" customHeight="1">
      <x:c r="A784" s="24" t="str">
        <x:v>TRC-00780</x:v>
      </x:c>
      <x:c r="B784" s="24" t="str">
        <x:v>DOC-21</x:v>
      </x:c>
      <x:c r="C784" s="24" t="str">
        <x:v>21_Initial_Content_Catalog.xlsx</x:v>
      </x:c>
      <x:c r="D784" s="24" t="str">
        <x:v>AI-assisted project documentation</x:v>
      </x:c>
      <x:c r="E784" s="24" t="str">
        <x:v>05_Contenido_Generado</x:v>
      </x:c>
      <x:c r="F784" s="24" t="str">
        <x:v>GEN-DOC-022</x:v>
      </x:c>
      <x:c r="G784" s="24" t="str">
        <x:v>OpenAI</x:v>
      </x:c>
      <x:c r="H784" s="24" t="str">
        <x:v>Applicable OpenAI service terms; factual/source provenance remains project responsibility</x:v>
      </x:c>
      <x:c r="I784" s="24" t="str">
        <x:v>Conversation + artifact hash</x:v>
      </x:c>
      <x:c r="J784" s="24" t="str">
        <x:v>9047299f60cfbd368fc4a2c8bee8d0ff4132dc5642363a9a67d1523559eb9ed3</x:v>
      </x:c>
      <x:c r="K784" s="24" t="str">
        <x:v>21_Initial_Content_Catalog.xlsx</x:v>
      </x:c>
      <x:c r="L784" s="24" t="str">
        <x:v>CR-010</x:v>
      </x:c>
      <x:c r="M784" s="24" t="str">
        <x:v>ATT-004</x:v>
      </x:c>
      <x:c r="N784" s="24" t="str">
        <x:v>RES-005;RES-013</x:v>
      </x:c>
      <x:c r="O784" s="24" t="str">
        <x:v>Not a runtime asset</x:v>
      </x:c>
      <x:c r="P784" s="24" t="str">
        <x:v>INTERNAL GOVERNANCE / REVIEWED</x:v>
      </x:c>
      <x:c r="Q784" s="24" t="str">
        <x:v>Low</x:v>
      </x:c>
      <x:c r="R784" s="24" t="str"/>
      <x:c r="S784" s="24" t="str">
        <x:v>Parcial</x:v>
      </x:c>
      <x:c r="T784" s="24" t="str">
        <x:f>"T"&amp;IF(AND(H784&lt;&gt;"",I784&lt;&gt;"",J784&lt;&gt;"",L784&lt;&gt;"",N784&lt;&gt;"",O784&lt;&gt;"",P784="APPROVED PUBLIC",S784="Sí"),6,IF(AND(H784&lt;&gt;"",I784&lt;&gt;"",J784&lt;&gt;"",L784&lt;&gt;"",N784&lt;&gt;"",O784&lt;&gt;"",P784&lt;&gt;"",S784="Sí"),5,IF(AND(H784&lt;&gt;"",I784&lt;&gt;"",P784&lt;&gt;"",S784&lt;&gt;"No"),4,IF(AND(H784&lt;&gt;"",I784&lt;&gt;""),3,IF(F784&lt;&gt;"",2,1)))))</x:f>
        <x:v>T4</x:v>
      </x:c>
      <x:c r="U784" s="24" t="str">
        <x:v>VRM Games</x:v>
      </x:c>
      <x:c r="V784" s="24" t="str">
        <x:v>No sustituye revisión legal ni convierte fuentes de terceros en propiedad del proyecto.</x:v>
      </x:c>
    </x:row>
    <x:row r="785" ht="34" customHeight="1">
      <x:c r="A785" s="24" t="str">
        <x:v>TRC-00781</x:v>
      </x:c>
      <x:c r="B785" s="24" t="str">
        <x:v>DOC-22</x:v>
      </x:c>
      <x:c r="C785" s="24" t="str">
        <x:v>22_Localization_Plan.md</x:v>
      </x:c>
      <x:c r="D785" s="24" t="str">
        <x:v>AI-assisted project documentation</x:v>
      </x:c>
      <x:c r="E785" s="24" t="str">
        <x:v>05_Contenido_Generado</x:v>
      </x:c>
      <x:c r="F785" s="24" t="str">
        <x:v>GEN-DOC-023</x:v>
      </x:c>
      <x:c r="G785" s="24" t="str">
        <x:v>OpenAI</x:v>
      </x:c>
      <x:c r="H785" s="24" t="str">
        <x:v>Applicable OpenAI service terms; factual/source provenance remains project responsibility</x:v>
      </x:c>
      <x:c r="I785" s="24" t="str">
        <x:v>Conversation + artifact hash</x:v>
      </x:c>
      <x:c r="J785" s="24" t="str">
        <x:v>184a53b2813bc1327a6913e6e88ea4c81142da1ee4ddeff88f75467c784f1ff0</x:v>
      </x:c>
      <x:c r="K785" s="24" t="str">
        <x:v>22_Localization_Plan.md</x:v>
      </x:c>
      <x:c r="L785" s="24" t="str">
        <x:v>CR-010</x:v>
      </x:c>
      <x:c r="M785" s="24" t="str">
        <x:v>ATT-004</x:v>
      </x:c>
      <x:c r="N785" s="24" t="str">
        <x:v>RES-005;RES-013</x:v>
      </x:c>
      <x:c r="O785" s="24" t="str">
        <x:v>Not a runtime asset</x:v>
      </x:c>
      <x:c r="P785" s="24" t="str">
        <x:v>INTERNAL GOVERNANCE / REVIEWED</x:v>
      </x:c>
      <x:c r="Q785" s="24" t="str">
        <x:v>Low</x:v>
      </x:c>
      <x:c r="R785" s="24" t="str"/>
      <x:c r="S785" s="24" t="str">
        <x:v>Parcial</x:v>
      </x:c>
      <x:c r="T785" s="24" t="str">
        <x:f>"T"&amp;IF(AND(H785&lt;&gt;"",I785&lt;&gt;"",J785&lt;&gt;"",L785&lt;&gt;"",N785&lt;&gt;"",O785&lt;&gt;"",P785="APPROVED PUBLIC",S785="Sí"),6,IF(AND(H785&lt;&gt;"",I785&lt;&gt;"",J785&lt;&gt;"",L785&lt;&gt;"",N785&lt;&gt;"",O785&lt;&gt;"",P785&lt;&gt;"",S785="Sí"),5,IF(AND(H785&lt;&gt;"",I785&lt;&gt;"",P785&lt;&gt;"",S785&lt;&gt;"No"),4,IF(AND(H785&lt;&gt;"",I785&lt;&gt;""),3,IF(F785&lt;&gt;"",2,1)))))</x:f>
        <x:v>T4</x:v>
      </x:c>
      <x:c r="U785" s="24" t="str">
        <x:v>VRM Games</x:v>
      </x:c>
      <x:c r="V785" s="24" t="str">
        <x:v>No sustituye revisión legal ni convierte fuentes de terceros en propiedad del proyecto.</x:v>
      </x:c>
    </x:row>
    <x:row r="786" ht="34" customHeight="1">
      <x:c r="A786" s="24" t="str">
        <x:v>TRC-00782</x:v>
      </x:c>
      <x:c r="B786" s="24" t="str">
        <x:v>SW-001</x:v>
      </x:c>
      <x:c r="C786" s="24" t="str">
        <x:v>Unity Editor</x:v>
      </x:c>
      <x:c r="D786" s="24" t="str">
        <x:v>Engine/editor</x:v>
      </x:c>
      <x:c r="E786" s="24" t="str">
        <x:v>11_Software_Paquetes</x:v>
      </x:c>
      <x:c r="F786" s="24" t="str">
        <x:v>SW-001</x:v>
      </x:c>
      <x:c r="G786" s="24" t="str">
        <x:v>Unity Technologies</x:v>
      </x:c>
      <x:c r="H786" s="24" t="str">
        <x:v>Unity Editor/Software Terms applicable to account and version</x:v>
      </x:c>
      <x:c r="I786" s="24" t="str">
        <x:v>Installed editor / ProjectVersion</x:v>
      </x:c>
      <x:c r="J786" s="24" t="str"/>
      <x:c r="K786" s="24" t="str">
        <x:v>Unity 6.3 LTS</x:v>
      </x:c>
      <x:c r="L786" s="24" t="str">
        <x:v>CR-008</x:v>
      </x:c>
      <x:c r="M786" s="24" t="str">
        <x:v>ATT-001</x:v>
      </x:c>
      <x:c r="N786" s="24" t="str">
        <x:v>RES-008;RES-015</x:v>
      </x:c>
      <x:c r="O786" s="24" t="str">
        <x:v>Per terms; public notices pending</x:v>
      </x:c>
      <x:c r="P786" s="24" t="str">
        <x:v>ACTIVE / VERIFY AT RELEASE</x:v>
      </x:c>
      <x:c r="Q786" s="24" t="str">
        <x:v>Medium</x:v>
      </x:c>
      <x:c r="R786" s="24" t="str"/>
      <x:c r="S786" s="24" t="str">
        <x:v>Parcial</x:v>
      </x:c>
      <x:c r="T786" s="24" t="str">
        <x:f>"T"&amp;IF(AND(H786&lt;&gt;"",I786&lt;&gt;"",J786&lt;&gt;"",L786&lt;&gt;"",N786&lt;&gt;"",O786&lt;&gt;"",P786="APPROVED PUBLIC",S786="Sí"),6,IF(AND(H786&lt;&gt;"",I786&lt;&gt;"",J786&lt;&gt;"",L786&lt;&gt;"",N786&lt;&gt;"",O786&lt;&gt;"",P786&lt;&gt;"",S786="Sí"),5,IF(AND(H786&lt;&gt;"",I786&lt;&gt;"",P786&lt;&gt;"",S786&lt;&gt;"No"),4,IF(AND(H786&lt;&gt;"",I786&lt;&gt;""),3,IF(F786&lt;&gt;"",2,1)))))</x:f>
        <x:v>T4</x:v>
      </x:c>
      <x:c r="U786" s="24" t="str">
        <x:v>VRM Games</x:v>
      </x:c>
      <x:c r="V786" s="24" t="str">
        <x:v>Pricing/terms may change; current public terms must be revalidated at release.</x:v>
      </x:c>
    </x:row>
    <x:row r="787" ht="34" customHeight="1">
      <x:c r="A787" s="24" t="str">
        <x:v>TRC-00783</x:v>
      </x:c>
      <x:c r="B787" s="24" t="str">
        <x:v>SW-002</x:v>
      </x:c>
      <x:c r="C787" s="24" t="str">
        <x:v>Blender</x:v>
      </x:c>
      <x:c r="D787" s="24" t="str">
        <x:v>Authoring tool</x:v>
      </x:c>
      <x:c r="E787" s="24" t="str">
        <x:v>11_Software_Paquetes</x:v>
      </x:c>
      <x:c r="F787" s="24" t="str">
        <x:v>SW-002</x:v>
      </x:c>
      <x:c r="G787" s="24" t="str">
        <x:v>Blender Foundation</x:v>
      </x:c>
      <x:c r="H787" s="24" t="str">
        <x:v>GPL for software; outputs generally separate, subject to input rights</x:v>
      </x:c>
      <x:c r="I787" s="24" t="str">
        <x:v>Sprint 16 Blender kit records</x:v>
      </x:c>
      <x:c r="J787" s="24" t="str"/>
      <x:c r="K787" s="24" t="str">
        <x:v>Blender DCC</x:v>
      </x:c>
      <x:c r="L787" s="24" t="str">
        <x:v>CR-009</x:v>
      </x:c>
      <x:c r="M787" s="24" t="str">
        <x:v>ATT-002</x:v>
      </x:c>
      <x:c r="N787" s="24" t="str">
        <x:v>RES-008;RES-015</x:v>
      </x:c>
      <x:c r="O787" s="24" t="str">
        <x:v>Per terms; public notices pending</x:v>
      </x:c>
      <x:c r="P787" s="24" t="str">
        <x:v>ACTIVE TOOL / VERSION DEBT</x:v>
      </x:c>
      <x:c r="Q787" s="24" t="str">
        <x:v>Low</x:v>
      </x:c>
      <x:c r="R787" s="24" t="str"/>
      <x:c r="S787" s="24" t="str">
        <x:v>Parcial</x:v>
      </x:c>
      <x:c r="T787" s="24" t="str">
        <x:f>"T"&amp;IF(AND(H787&lt;&gt;"",I787&lt;&gt;"",J787&lt;&gt;"",L787&lt;&gt;"",N787&lt;&gt;"",O787&lt;&gt;"",P787="APPROVED PUBLIC",S787="Sí"),6,IF(AND(H787&lt;&gt;"",I787&lt;&gt;"",J787&lt;&gt;"",L787&lt;&gt;"",N787&lt;&gt;"",O787&lt;&gt;"",P787&lt;&gt;"",S787="Sí"),5,IF(AND(H787&lt;&gt;"",I787&lt;&gt;"",P787&lt;&gt;"",S787&lt;&gt;"No"),4,IF(AND(H787&lt;&gt;"",I787&lt;&gt;""),3,IF(F787&lt;&gt;"",2,1)))))</x:f>
        <x:v>T4</x:v>
      </x:c>
      <x:c r="U787" s="24" t="str">
        <x:v>VRM Games</x:v>
      </x:c>
      <x:c r="V787" s="24" t="str">
        <x:v>Tool license does not establish rights to third-party inputs.</x:v>
      </x:c>
    </x:row>
    <x:row r="788" ht="34" customHeight="1">
      <x:c r="A788" s="24" t="str">
        <x:v>TRC-00784</x:v>
      </x:c>
      <x:c r="B788" s="24" t="str">
        <x:v>SW-003</x:v>
      </x:c>
      <x:c r="C788" s="24" t="str">
        <x:v>Git / GitHub Desktop</x:v>
      </x:c>
      <x:c r="D788" s="24" t="str">
        <x:v>Development tool</x:v>
      </x:c>
      <x:c r="E788" s="24" t="str">
        <x:v>11_Software_Paquetes</x:v>
      </x:c>
      <x:c r="F788" s="24" t="str">
        <x:v>SW-003</x:v>
      </x:c>
      <x:c r="G788" s="24" t="str">
        <x:v>Git project / GitHub</x:v>
      </x:c>
      <x:c r="H788" s="24" t="str">
        <x:v>Tool-specific open-source/service terms</x:v>
      </x:c>
      <x:c r="I788" s="24" t="str">
        <x:v>Project workflow documentation</x:v>
      </x:c>
      <x:c r="J788" s="24" t="str"/>
      <x:c r="K788" s="24" t="str">
        <x:v>Version control tools</x:v>
      </x:c>
      <x:c r="L788" s="24" t="str">
        <x:v>CR-011</x:v>
      </x:c>
      <x:c r="M788" s="24" t="str">
        <x:v>ATT-002</x:v>
      </x:c>
      <x:c r="N788" s="24" t="str">
        <x:v>RES-008;RES-015</x:v>
      </x:c>
      <x:c r="O788" s="24" t="str">
        <x:v>Per terms; public notices pending</x:v>
      </x:c>
      <x:c r="P788" s="24" t="str">
        <x:v>ACTIVE TOOL / VERSION DEBT</x:v>
      </x:c>
      <x:c r="Q788" s="24" t="str">
        <x:v>Low</x:v>
      </x:c>
      <x:c r="R788" s="24" t="str"/>
      <x:c r="S788" s="24" t="str">
        <x:v>Parcial</x:v>
      </x:c>
      <x:c r="T788" s="24" t="str">
        <x:f>"T"&amp;IF(AND(H788&lt;&gt;"",I788&lt;&gt;"",J788&lt;&gt;"",L788&lt;&gt;"",N788&lt;&gt;"",O788&lt;&gt;"",P788="APPROVED PUBLIC",S788="Sí"),6,IF(AND(H788&lt;&gt;"",I788&lt;&gt;"",J788&lt;&gt;"",L788&lt;&gt;"",N788&lt;&gt;"",O788&lt;&gt;"",P788&lt;&gt;"",S788="Sí"),5,IF(AND(H788&lt;&gt;"",I788&lt;&gt;"",P788&lt;&gt;"",S788&lt;&gt;"No"),4,IF(AND(H788&lt;&gt;"",I788&lt;&gt;""),3,IF(F788&lt;&gt;"",2,1)))))</x:f>
        <x:v>T4</x:v>
      </x:c>
      <x:c r="U788" s="24" t="str">
        <x:v>VRM Games</x:v>
      </x:c>
      <x:c r="V788" s="24" t="str">
        <x:v>GitHub service terms are separate from software licenses.</x:v>
      </x:c>
    </x:row>
    <x:row r="789" ht="34" customHeight="1">
      <x:c r="A789" s="24" t="str">
        <x:v>TRC-00785</x:v>
      </x:c>
      <x:c r="B789" s="24" t="str">
        <x:v>PKG-001</x:v>
      </x:c>
      <x:c r="C789" s="24" t="str">
        <x:v>com.unity.addressables</x:v>
      </x:c>
      <x:c r="D789" s="24" t="str">
        <x:v>Unity package - registry</x:v>
      </x:c>
      <x:c r="E789" s="24" t="str">
        <x:v>11_Software_Paquetes</x:v>
      </x:c>
      <x:c r="F789" s="24" t="str">
        <x:v>PKG-001</x:v>
      </x:c>
      <x:c r="G789" s="24" t="str">
        <x:v>Unity Technologies / package publisher</x:v>
      </x:c>
      <x:c r="H789" s="24" t="str">
        <x:v>Unity Package Manager package terms; verify package LICENSE/NOTICE</x:v>
      </x:c>
      <x:c r="I789" s="24" t="str">
        <x:v>Packages/manifest.json; Packages/packages-lock.json</x:v>
      </x:c>
      <x:c r="J789" s="24" t="str"/>
      <x:c r="K789" s="24" t="str">
        <x:v>com.unity.addressables</x:v>
      </x:c>
      <x:c r="L789" s="24" t="str">
        <x:v>CR-008</x:v>
      </x:c>
      <x:c r="M789" s="24" t="str">
        <x:v>ATT-001</x:v>
      </x:c>
      <x:c r="N789" s="24" t="str">
        <x:v>RES-008;RES-015</x:v>
      </x:c>
      <x:c r="O789" s="24" t="str">
        <x:v>Per terms; public notices pending</x:v>
      </x:c>
      <x:c r="P789" s="24" t="str">
        <x:v>ACTIVE / NOTICE REVIEW</x:v>
      </x:c>
      <x:c r="Q789" s="24" t="str">
        <x:v>Medium</x:v>
      </x:c>
      <x:c r="R789" s="24" t="str">
        <x:v>LEG-DEBT-004</x:v>
      </x:c>
      <x:c r="S789" s="24" t="str">
        <x:v>Parcial</x:v>
      </x:c>
      <x:c r="T789" s="24" t="str">
        <x:f>"T"&amp;IF(AND(H789&lt;&gt;"",I789&lt;&gt;"",J789&lt;&gt;"",L789&lt;&gt;"",N789&lt;&gt;"",O789&lt;&gt;"",P789="APPROVED PUBLIC",S789="Sí"),6,IF(AND(H789&lt;&gt;"",I789&lt;&gt;"",J789&lt;&gt;"",L789&lt;&gt;"",N789&lt;&gt;"",O789&lt;&gt;"",P789&lt;&gt;"",S789="Sí"),5,IF(AND(H789&lt;&gt;"",I789&lt;&gt;"",P789&lt;&gt;"",S789&lt;&gt;"No"),4,IF(AND(H789&lt;&gt;"",I789&lt;&gt;""),3,IF(F789&lt;&gt;"",2,1)))))</x:f>
        <x:v>T4</x:v>
      </x:c>
      <x:c r="U789" s="24" t="str">
        <x:v>VRM Games</x:v>
      </x:c>
      <x:c r="V789" s="24" t="str">
        <x:v>source=registry; depth=1; deps=com.unity.modules.assetbundle@1.0.0; com.unity.modules.imageconversion@1.0.0; com.unity.modules.jsonserialize@1.0.0; com.unity.modules.unitywebrequest@1.0.0; com.unity.modules.unitywebrequestassetbundle@1.0.0; com.unity.profiling.core@1.0.2; com.unity.scriptablebuildpipeline@2.6.1; com.unity.test-framework@1.4.5</x:v>
      </x:c>
    </x:row>
    <x:row r="790" ht="34" customHeight="1">
      <x:c r="A790" s="24" t="str">
        <x:v>TRC-00786</x:v>
      </x:c>
      <x:c r="B790" s="24" t="str">
        <x:v>PKG-002</x:v>
      </x:c>
      <x:c r="C790" s="24" t="str">
        <x:v>com.unity.ai.navigation</x:v>
      </x:c>
      <x:c r="D790" s="24" t="str">
        <x:v>Unity package - registry</x:v>
      </x:c>
      <x:c r="E790" s="24" t="str">
        <x:v>11_Software_Paquetes</x:v>
      </x:c>
      <x:c r="F790" s="24" t="str">
        <x:v>PKG-002</x:v>
      </x:c>
      <x:c r="G790" s="24" t="str">
        <x:v>Unity Technologies / package publisher</x:v>
      </x:c>
      <x:c r="H790" s="24" t="str">
        <x:v>Unity Package Manager package terms; verify package LICENSE/NOTICE</x:v>
      </x:c>
      <x:c r="I790" s="24" t="str">
        <x:v>Packages/manifest.json; Packages/packages-lock.json</x:v>
      </x:c>
      <x:c r="J790" s="24" t="str"/>
      <x:c r="K790" s="24" t="str">
        <x:v>com.unity.ai.navigation</x:v>
      </x:c>
      <x:c r="L790" s="24" t="str">
        <x:v>CR-008</x:v>
      </x:c>
      <x:c r="M790" s="24" t="str">
        <x:v>ATT-001</x:v>
      </x:c>
      <x:c r="N790" s="24" t="str">
        <x:v>RES-008;RES-015</x:v>
      </x:c>
      <x:c r="O790" s="24" t="str">
        <x:v>Per terms; public notices pending</x:v>
      </x:c>
      <x:c r="P790" s="24" t="str">
        <x:v>ACTIVE / NOTICE REVIEW</x:v>
      </x:c>
      <x:c r="Q790" s="24" t="str">
        <x:v>Medium</x:v>
      </x:c>
      <x:c r="R790" s="24" t="str">
        <x:v>LEG-DEBT-004</x:v>
      </x:c>
      <x:c r="S790" s="24" t="str">
        <x:v>Parcial</x:v>
      </x:c>
      <x:c r="T790" s="24" t="str">
        <x:f>"T"&amp;IF(AND(H790&lt;&gt;"",I790&lt;&gt;"",J790&lt;&gt;"",L790&lt;&gt;"",N790&lt;&gt;"",O790&lt;&gt;"",P790="APPROVED PUBLIC",S790="Sí"),6,IF(AND(H790&lt;&gt;"",I790&lt;&gt;"",J790&lt;&gt;"",L790&lt;&gt;"",N790&lt;&gt;"",O790&lt;&gt;"",P790&lt;&gt;"",S790="Sí"),5,IF(AND(H790&lt;&gt;"",I790&lt;&gt;"",P790&lt;&gt;"",S790&lt;&gt;"No"),4,IF(AND(H790&lt;&gt;"",I790&lt;&gt;""),3,IF(F790&lt;&gt;"",2,1)))))</x:f>
        <x:v>T4</x:v>
      </x:c>
      <x:c r="U790" s="24" t="str">
        <x:v>VRM Games</x:v>
      </x:c>
      <x:c r="V790" s="24" t="str">
        <x:v>source=registry; depth=0; deps=com.unity.modules.ai@1.0.0</x:v>
      </x:c>
    </x:row>
    <x:row r="791" ht="34" customHeight="1">
      <x:c r="A791" s="24" t="str">
        <x:v>TRC-00787</x:v>
      </x:c>
      <x:c r="B791" s="24" t="str">
        <x:v>PKG-003</x:v>
      </x:c>
      <x:c r="C791" s="24" t="str">
        <x:v>com.unity.burst</x:v>
      </x:c>
      <x:c r="D791" s="24" t="str">
        <x:v>Unity package - registry</x:v>
      </x:c>
      <x:c r="E791" s="24" t="str">
        <x:v>11_Software_Paquetes</x:v>
      </x:c>
      <x:c r="F791" s="24" t="str">
        <x:v>PKG-003</x:v>
      </x:c>
      <x:c r="G791" s="24" t="str">
        <x:v>Unity Technologies / package publisher</x:v>
      </x:c>
      <x:c r="H791" s="24" t="str">
        <x:v>Unity Package Manager package terms; verify package LICENSE/NOTICE</x:v>
      </x:c>
      <x:c r="I791" s="24" t="str">
        <x:v>Packages/manifest.json; Packages/packages-lock.json</x:v>
      </x:c>
      <x:c r="J791" s="24" t="str"/>
      <x:c r="K791" s="24" t="str">
        <x:v>com.unity.burst</x:v>
      </x:c>
      <x:c r="L791" s="24" t="str">
        <x:v>CR-008</x:v>
      </x:c>
      <x:c r="M791" s="24" t="str">
        <x:v>ATT-001</x:v>
      </x:c>
      <x:c r="N791" s="24" t="str">
        <x:v>RES-008;RES-015</x:v>
      </x:c>
      <x:c r="O791" s="24" t="str">
        <x:v>Per terms; public notices pending</x:v>
      </x:c>
      <x:c r="P791" s="24" t="str">
        <x:v>ACTIVE / NOTICE REVIEW</x:v>
      </x:c>
      <x:c r="Q791" s="24" t="str">
        <x:v>Medium</x:v>
      </x:c>
      <x:c r="R791" s="24" t="str">
        <x:v>LEG-DEBT-004</x:v>
      </x:c>
      <x:c r="S791" s="24" t="str">
        <x:v>Parcial</x:v>
      </x:c>
      <x:c r="T791" s="24" t="str">
        <x:f>"T"&amp;IF(AND(H791&lt;&gt;"",I791&lt;&gt;"",J791&lt;&gt;"",L791&lt;&gt;"",N791&lt;&gt;"",O791&lt;&gt;"",P791="APPROVED PUBLIC",S791="Sí"),6,IF(AND(H791&lt;&gt;"",I791&lt;&gt;"",J791&lt;&gt;"",L791&lt;&gt;"",N791&lt;&gt;"",O791&lt;&gt;"",P791&lt;&gt;"",S791="Sí"),5,IF(AND(H791&lt;&gt;"",I791&lt;&gt;"",P791&lt;&gt;"",S791&lt;&gt;"No"),4,IF(AND(H791&lt;&gt;"",I791&lt;&gt;""),3,IF(F791&lt;&gt;"",2,1)))))</x:f>
        <x:v>T4</x:v>
      </x:c>
      <x:c r="U791" s="24" t="str">
        <x:v>VRM Games</x:v>
      </x:c>
      <x:c r="V791" s="24" t="str">
        <x:v>source=registry; depth=2; deps=com.unity.mathematics@1.2.1; com.unity.modules.jsonserialize@1.0.0</x:v>
      </x:c>
    </x:row>
    <x:row r="792" ht="34" customHeight="1">
      <x:c r="A792" s="24" t="str">
        <x:v>TRC-00788</x:v>
      </x:c>
      <x:c r="B792" s="24" t="str">
        <x:v>PKG-004</x:v>
      </x:c>
      <x:c r="C792" s="24" t="str">
        <x:v>com.unity.collections</x:v>
      </x:c>
      <x:c r="D792" s="24" t="str">
        <x:v>Unity package - registry</x:v>
      </x:c>
      <x:c r="E792" s="24" t="str">
        <x:v>11_Software_Paquetes</x:v>
      </x:c>
      <x:c r="F792" s="24" t="str">
        <x:v>PKG-004</x:v>
      </x:c>
      <x:c r="G792" s="24" t="str">
        <x:v>Unity Technologies / package publisher</x:v>
      </x:c>
      <x:c r="H792" s="24" t="str">
        <x:v>Unity Package Manager package terms; verify package LICENSE/NOTICE</x:v>
      </x:c>
      <x:c r="I792" s="24" t="str">
        <x:v>Packages/manifest.json; Packages/packages-lock.json</x:v>
      </x:c>
      <x:c r="J792" s="24" t="str"/>
      <x:c r="K792" s="24" t="str">
        <x:v>com.unity.collections</x:v>
      </x:c>
      <x:c r="L792" s="24" t="str">
        <x:v>CR-008</x:v>
      </x:c>
      <x:c r="M792" s="24" t="str">
        <x:v>ATT-001</x:v>
      </x:c>
      <x:c r="N792" s="24" t="str">
        <x:v>RES-008;RES-015</x:v>
      </x:c>
      <x:c r="O792" s="24" t="str">
        <x:v>Per terms; public notices pending</x:v>
      </x:c>
      <x:c r="P792" s="24" t="str">
        <x:v>ACTIVE / NOTICE REVIEW</x:v>
      </x:c>
      <x:c r="Q792" s="24" t="str">
        <x:v>Medium</x:v>
      </x:c>
      <x:c r="R792" s="24" t="str">
        <x:v>LEG-DEBT-004</x:v>
      </x:c>
      <x:c r="S792" s="24" t="str">
        <x:v>Parcial</x:v>
      </x:c>
      <x:c r="T792" s="24" t="str">
        <x:f>"T"&amp;IF(AND(H792&lt;&gt;"",I792&lt;&gt;"",J792&lt;&gt;"",L792&lt;&gt;"",N792&lt;&gt;"",O792&lt;&gt;"",P792="APPROVED PUBLIC",S792="Sí"),6,IF(AND(H792&lt;&gt;"",I792&lt;&gt;"",J792&lt;&gt;"",L792&lt;&gt;"",N792&lt;&gt;"",O792&lt;&gt;"",P792&lt;&gt;"",S792="Sí"),5,IF(AND(H792&lt;&gt;"",I792&lt;&gt;"",P792&lt;&gt;"",S792&lt;&gt;"No"),4,IF(AND(H792&lt;&gt;"",I792&lt;&gt;""),3,IF(F792&lt;&gt;"",2,1)))))</x:f>
        <x:v>T4</x:v>
      </x:c>
      <x:c r="U792" s="24" t="str">
        <x:v>VRM Games</x:v>
      </x:c>
      <x:c r="V792" s="24" t="str">
        <x:v>source=registry; depth=2; deps=com.unity.burst@1.8.28; com.unity.mathematics@1.3.2; com.unity.nuget.mono-cecil@1.11.6; com.unity.test-framework@1.4.6; com.unity.test-framework.performance@3.0.3</x:v>
      </x:c>
    </x:row>
    <x:row r="793" ht="34" customHeight="1">
      <x:c r="A793" s="24" t="str">
        <x:v>TRC-00789</x:v>
      </x:c>
      <x:c r="B793" s="24" t="str">
        <x:v>PKG-005</x:v>
      </x:c>
      <x:c r="C793" s="24" t="str">
        <x:v>com.unity.ext.nunit</x:v>
      </x:c>
      <x:c r="D793" s="24" t="str">
        <x:v>Unity package - built-in</x:v>
      </x:c>
      <x:c r="E793" s="24" t="str">
        <x:v>11_Software_Paquetes</x:v>
      </x:c>
      <x:c r="F793" s="24" t="str">
        <x:v>PKG-005</x:v>
      </x:c>
      <x:c r="G793" s="24" t="str">
        <x:v>Unity Technologies / package publisher</x:v>
      </x:c>
      <x:c r="H793" s="24" t="str">
        <x:v>Unity built-in module / Editor terms</x:v>
      </x:c>
      <x:c r="I793" s="24" t="str">
        <x:v>Packages/manifest.json; Packages/packages-lock.json</x:v>
      </x:c>
      <x:c r="J793" s="24" t="str"/>
      <x:c r="K793" s="24" t="str">
        <x:v>com.unity.ext.nunit</x:v>
      </x:c>
      <x:c r="L793" s="24" t="str">
        <x:v>CR-008</x:v>
      </x:c>
      <x:c r="M793" s="24" t="str">
        <x:v>ATT-001</x:v>
      </x:c>
      <x:c r="N793" s="24" t="str">
        <x:v>RES-008;RES-015</x:v>
      </x:c>
      <x:c r="O793" s="24" t="str">
        <x:v>Per terms; public notices pending</x:v>
      </x:c>
      <x:c r="P793" s="24" t="str">
        <x:v>ACTIVE / NOTICE REVIEW</x:v>
      </x:c>
      <x:c r="Q793" s="24" t="str">
        <x:v>Low</x:v>
      </x:c>
      <x:c r="R793" s="24" t="str">
        <x:v>LEG-DEBT-004</x:v>
      </x:c>
      <x:c r="S793" s="24" t="str">
        <x:v>Parcial</x:v>
      </x:c>
      <x:c r="T793" s="24" t="str">
        <x:f>"T"&amp;IF(AND(H793&lt;&gt;"",I793&lt;&gt;"",J793&lt;&gt;"",L793&lt;&gt;"",N793&lt;&gt;"",O793&lt;&gt;"",P793="APPROVED PUBLIC",S793="Sí"),6,IF(AND(H793&lt;&gt;"",I793&lt;&gt;"",J793&lt;&gt;"",L793&lt;&gt;"",N793&lt;&gt;"",O793&lt;&gt;"",P793&lt;&gt;"",S793="Sí"),5,IF(AND(H793&lt;&gt;"",I793&lt;&gt;"",P793&lt;&gt;"",S793&lt;&gt;"No"),4,IF(AND(H793&lt;&gt;"",I793&lt;&gt;""),3,IF(F793&lt;&gt;"",2,1)))))</x:f>
        <x:v>T4</x:v>
      </x:c>
      <x:c r="U793" s="24" t="str">
        <x:v>VRM Games</x:v>
      </x:c>
      <x:c r="V793" s="24" t="str">
        <x:v>source=builtin; depth=1; deps=</x:v>
      </x:c>
    </x:row>
    <x:row r="794" ht="34" customHeight="1">
      <x:c r="A794" s="24" t="str">
        <x:v>TRC-00790</x:v>
      </x:c>
      <x:c r="B794" s="24" t="str">
        <x:v>PKG-006</x:v>
      </x:c>
      <x:c r="C794" s="24" t="str">
        <x:v>com.unity.ide.visualstudio</x:v>
      </x:c>
      <x:c r="D794" s="24" t="str">
        <x:v>Unity package - registry</x:v>
      </x:c>
      <x:c r="E794" s="24" t="str">
        <x:v>11_Software_Paquetes</x:v>
      </x:c>
      <x:c r="F794" s="24" t="str">
        <x:v>PKG-006</x:v>
      </x:c>
      <x:c r="G794" s="24" t="str">
        <x:v>Unity Technologies / package publisher</x:v>
      </x:c>
      <x:c r="H794" s="24" t="str">
        <x:v>Unity Package Manager package terms; verify package LICENSE/NOTICE</x:v>
      </x:c>
      <x:c r="I794" s="24" t="str">
        <x:v>Packages/manifest.json; Packages/packages-lock.json</x:v>
      </x:c>
      <x:c r="J794" s="24" t="str"/>
      <x:c r="K794" s="24" t="str">
        <x:v>com.unity.ide.visualstudio</x:v>
      </x:c>
      <x:c r="L794" s="24" t="str">
        <x:v>CR-008</x:v>
      </x:c>
      <x:c r="M794" s="24" t="str">
        <x:v>ATT-001</x:v>
      </x:c>
      <x:c r="N794" s="24" t="str">
        <x:v>RES-008;RES-015</x:v>
      </x:c>
      <x:c r="O794" s="24" t="str">
        <x:v>Per terms; public notices pending</x:v>
      </x:c>
      <x:c r="P794" s="24" t="str">
        <x:v>ACTIVE / NOTICE REVIEW</x:v>
      </x:c>
      <x:c r="Q794" s="24" t="str">
        <x:v>Medium</x:v>
      </x:c>
      <x:c r="R794" s="24" t="str">
        <x:v>LEG-DEBT-004</x:v>
      </x:c>
      <x:c r="S794" s="24" t="str">
        <x:v>Parcial</x:v>
      </x:c>
      <x:c r="T794" s="24" t="str">
        <x:f>"T"&amp;IF(AND(H794&lt;&gt;"",I794&lt;&gt;"",J794&lt;&gt;"",L794&lt;&gt;"",N794&lt;&gt;"",O794&lt;&gt;"",P794="APPROVED PUBLIC",S794="Sí"),6,IF(AND(H794&lt;&gt;"",I794&lt;&gt;"",J794&lt;&gt;"",L794&lt;&gt;"",N794&lt;&gt;"",O794&lt;&gt;"",P794&lt;&gt;"",S794="Sí"),5,IF(AND(H794&lt;&gt;"",I794&lt;&gt;"",P794&lt;&gt;"",S794&lt;&gt;"No"),4,IF(AND(H794&lt;&gt;"",I794&lt;&gt;""),3,IF(F794&lt;&gt;"",2,1)))))</x:f>
        <x:v>T4</x:v>
      </x:c>
      <x:c r="U794" s="24" t="str">
        <x:v>VRM Games</x:v>
      </x:c>
      <x:c r="V794" s="24" t="str">
        <x:v>source=registry; depth=0; deps=com.unity.test-framework@1.1.33</x:v>
      </x:c>
    </x:row>
    <x:row r="795" ht="34" customHeight="1">
      <x:c r="A795" s="24" t="str">
        <x:v>TRC-00791</x:v>
      </x:c>
      <x:c r="B795" s="24" t="str">
        <x:v>PKG-007</x:v>
      </x:c>
      <x:c r="C795" s="24" t="str">
        <x:v>com.unity.inputsystem</x:v>
      </x:c>
      <x:c r="D795" s="24" t="str">
        <x:v>Unity package - registry</x:v>
      </x:c>
      <x:c r="E795" s="24" t="str">
        <x:v>11_Software_Paquetes</x:v>
      </x:c>
      <x:c r="F795" s="24" t="str">
        <x:v>PKG-007</x:v>
      </x:c>
      <x:c r="G795" s="24" t="str">
        <x:v>Unity Technologies / package publisher</x:v>
      </x:c>
      <x:c r="H795" s="24" t="str">
        <x:v>Unity Package Manager package terms; verify package LICENSE/NOTICE</x:v>
      </x:c>
      <x:c r="I795" s="24" t="str">
        <x:v>Packages/manifest.json; Packages/packages-lock.json</x:v>
      </x:c>
      <x:c r="J795" s="24" t="str"/>
      <x:c r="K795" s="24" t="str">
        <x:v>com.unity.inputsystem</x:v>
      </x:c>
      <x:c r="L795" s="24" t="str">
        <x:v>CR-008</x:v>
      </x:c>
      <x:c r="M795" s="24" t="str">
        <x:v>ATT-001</x:v>
      </x:c>
      <x:c r="N795" s="24" t="str">
        <x:v>RES-008;RES-015</x:v>
      </x:c>
      <x:c r="O795" s="24" t="str">
        <x:v>Per terms; public notices pending</x:v>
      </x:c>
      <x:c r="P795" s="24" t="str">
        <x:v>ACTIVE / NOTICE REVIEW</x:v>
      </x:c>
      <x:c r="Q795" s="24" t="str">
        <x:v>Medium</x:v>
      </x:c>
      <x:c r="R795" s="24" t="str">
        <x:v>LEG-DEBT-004</x:v>
      </x:c>
      <x:c r="S795" s="24" t="str">
        <x:v>Parcial</x:v>
      </x:c>
      <x:c r="T795" s="24" t="str">
        <x:f>"T"&amp;IF(AND(H795&lt;&gt;"",I795&lt;&gt;"",J795&lt;&gt;"",L795&lt;&gt;"",N795&lt;&gt;"",O795&lt;&gt;"",P795="APPROVED PUBLIC",S795="Sí"),6,IF(AND(H795&lt;&gt;"",I795&lt;&gt;"",J795&lt;&gt;"",L795&lt;&gt;"",N795&lt;&gt;"",O795&lt;&gt;"",P795&lt;&gt;"",S795="Sí"),5,IF(AND(H795&lt;&gt;"",I795&lt;&gt;"",P795&lt;&gt;"",S795&lt;&gt;"No"),4,IF(AND(H795&lt;&gt;"",I795&lt;&gt;""),3,IF(F795&lt;&gt;"",2,1)))))</x:f>
        <x:v>T4</x:v>
      </x:c>
      <x:c r="U795" s="24" t="str">
        <x:v>VRM Games</x:v>
      </x:c>
      <x:c r="V795" s="24" t="str">
        <x:v>source=registry; depth=0; deps=com.unity.modules.uielements@1.0.0</x:v>
      </x:c>
    </x:row>
    <x:row r="796" ht="34" customHeight="1">
      <x:c r="A796" s="24" t="str">
        <x:v>TRC-00792</x:v>
      </x:c>
      <x:c r="B796" s="24" t="str">
        <x:v>PKG-008</x:v>
      </x:c>
      <x:c r="C796" s="24" t="str">
        <x:v>com.unity.localization</x:v>
      </x:c>
      <x:c r="D796" s="24" t="str">
        <x:v>Unity package - registry</x:v>
      </x:c>
      <x:c r="E796" s="24" t="str">
        <x:v>11_Software_Paquetes</x:v>
      </x:c>
      <x:c r="F796" s="24" t="str">
        <x:v>PKG-008</x:v>
      </x:c>
      <x:c r="G796" s="24" t="str">
        <x:v>Unity Technologies / package publisher</x:v>
      </x:c>
      <x:c r="H796" s="24" t="str">
        <x:v>Unity Package Manager package terms; verify package LICENSE/NOTICE</x:v>
      </x:c>
      <x:c r="I796" s="24" t="str">
        <x:v>Packages/manifest.json; Packages/packages-lock.json</x:v>
      </x:c>
      <x:c r="J796" s="24" t="str"/>
      <x:c r="K796" s="24" t="str">
        <x:v>com.unity.localization</x:v>
      </x:c>
      <x:c r="L796" s="24" t="str">
        <x:v>CR-008</x:v>
      </x:c>
      <x:c r="M796" s="24" t="str">
        <x:v>ATT-001</x:v>
      </x:c>
      <x:c r="N796" s="24" t="str">
        <x:v>RES-008;RES-015</x:v>
      </x:c>
      <x:c r="O796" s="24" t="str">
        <x:v>Per terms; public notices pending</x:v>
      </x:c>
      <x:c r="P796" s="24" t="str">
        <x:v>ACTIVE / NOTICE REVIEW</x:v>
      </x:c>
      <x:c r="Q796" s="24" t="str">
        <x:v>Medium</x:v>
      </x:c>
      <x:c r="R796" s="24" t="str">
        <x:v>LEG-DEBT-004</x:v>
      </x:c>
      <x:c r="S796" s="24" t="str">
        <x:v>Parcial</x:v>
      </x:c>
      <x:c r="T796" s="24" t="str">
        <x:f>"T"&amp;IF(AND(H796&lt;&gt;"",I796&lt;&gt;"",J796&lt;&gt;"",L796&lt;&gt;"",N796&lt;&gt;"",O796&lt;&gt;"",P796="APPROVED PUBLIC",S796="Sí"),6,IF(AND(H796&lt;&gt;"",I796&lt;&gt;"",J796&lt;&gt;"",L796&lt;&gt;"",N796&lt;&gt;"",O796&lt;&gt;"",P796&lt;&gt;"",S796="Sí"),5,IF(AND(H796&lt;&gt;"",I796&lt;&gt;"",P796&lt;&gt;"",S796&lt;&gt;"No"),4,IF(AND(H796&lt;&gt;"",I796&lt;&gt;""),3,IF(F796&lt;&gt;"",2,1)))))</x:f>
        <x:v>T4</x:v>
      </x:c>
      <x:c r="U796" s="24" t="str">
        <x:v>VRM Games</x:v>
      </x:c>
      <x:c r="V796" s="24" t="str">
        <x:v>source=registry; depth=0; deps=com.unity.addressables@1.25.0; com.unity.nuget.newtonsoft-json@3.0.2</x:v>
      </x:c>
    </x:row>
    <x:row r="797" ht="34" customHeight="1">
      <x:c r="A797" s="24" t="str">
        <x:v>TRC-00793</x:v>
      </x:c>
      <x:c r="B797" s="24" t="str">
        <x:v>PKG-009</x:v>
      </x:c>
      <x:c r="C797" s="24" t="str">
        <x:v>com.unity.mathematics</x:v>
      </x:c>
      <x:c r="D797" s="24" t="str">
        <x:v>Unity package - registry</x:v>
      </x:c>
      <x:c r="E797" s="24" t="str">
        <x:v>11_Software_Paquetes</x:v>
      </x:c>
      <x:c r="F797" s="24" t="str">
        <x:v>PKG-009</x:v>
      </x:c>
      <x:c r="G797" s="24" t="str">
        <x:v>Unity Technologies / package publisher</x:v>
      </x:c>
      <x:c r="H797" s="24" t="str">
        <x:v>Unity Package Manager package terms; verify package LICENSE/NOTICE</x:v>
      </x:c>
      <x:c r="I797" s="24" t="str">
        <x:v>Packages/manifest.json; Packages/packages-lock.json</x:v>
      </x:c>
      <x:c r="J797" s="24" t="str"/>
      <x:c r="K797" s="24" t="str">
        <x:v>com.unity.mathematics</x:v>
      </x:c>
      <x:c r="L797" s="24" t="str">
        <x:v>CR-008</x:v>
      </x:c>
      <x:c r="M797" s="24" t="str">
        <x:v>ATT-001</x:v>
      </x:c>
      <x:c r="N797" s="24" t="str">
        <x:v>RES-008;RES-015</x:v>
      </x:c>
      <x:c r="O797" s="24" t="str">
        <x:v>Per terms; public notices pending</x:v>
      </x:c>
      <x:c r="P797" s="24" t="str">
        <x:v>ACTIVE / NOTICE REVIEW</x:v>
      </x:c>
      <x:c r="Q797" s="24" t="str">
        <x:v>Medium</x:v>
      </x:c>
      <x:c r="R797" s="24" t="str">
        <x:v>LEG-DEBT-004</x:v>
      </x:c>
      <x:c r="S797" s="24" t="str">
        <x:v>Parcial</x:v>
      </x:c>
      <x:c r="T797" s="24" t="str">
        <x:f>"T"&amp;IF(AND(H797&lt;&gt;"",I797&lt;&gt;"",J797&lt;&gt;"",L797&lt;&gt;"",N797&lt;&gt;"",O797&lt;&gt;"",P797="APPROVED PUBLIC",S797="Sí"),6,IF(AND(H797&lt;&gt;"",I797&lt;&gt;"",J797&lt;&gt;"",L797&lt;&gt;"",N797&lt;&gt;"",O797&lt;&gt;"",P797&lt;&gt;"",S797="Sí"),5,IF(AND(H797&lt;&gt;"",I797&lt;&gt;"",P797&lt;&gt;"",S797&lt;&gt;"No"),4,IF(AND(H797&lt;&gt;"",I797&lt;&gt;""),3,IF(F797&lt;&gt;"",2,1)))))</x:f>
        <x:v>T4</x:v>
      </x:c>
      <x:c r="U797" s="24" t="str">
        <x:v>VRM Games</x:v>
      </x:c>
      <x:c r="V797" s="24" t="str">
        <x:v>source=registry; depth=2; deps=</x:v>
      </x:c>
    </x:row>
    <x:row r="798" ht="34" customHeight="1">
      <x:c r="A798" s="24" t="str">
        <x:v>TRC-00794</x:v>
      </x:c>
      <x:c r="B798" s="24" t="str">
        <x:v>PKG-010</x:v>
      </x:c>
      <x:c r="C798" s="24" t="str">
        <x:v>com.unity.modules.accessibility</x:v>
      </x:c>
      <x:c r="D798" s="24" t="str">
        <x:v>Unity package - built-in</x:v>
      </x:c>
      <x:c r="E798" s="24" t="str">
        <x:v>11_Software_Paquetes</x:v>
      </x:c>
      <x:c r="F798" s="24" t="str">
        <x:v>PKG-010</x:v>
      </x:c>
      <x:c r="G798" s="24" t="str">
        <x:v>Unity Technologies / package publisher</x:v>
      </x:c>
      <x:c r="H798" s="24" t="str">
        <x:v>Unity built-in module / Editor terms</x:v>
      </x:c>
      <x:c r="I798" s="24" t="str">
        <x:v>Packages/manifest.json; Packages/packages-lock.json</x:v>
      </x:c>
      <x:c r="J798" s="24" t="str"/>
      <x:c r="K798" s="24" t="str">
        <x:v>com.unity.modules.accessibility</x:v>
      </x:c>
      <x:c r="L798" s="24" t="str">
        <x:v>CR-008</x:v>
      </x:c>
      <x:c r="M798" s="24" t="str">
        <x:v>ATT-001</x:v>
      </x:c>
      <x:c r="N798" s="24" t="str">
        <x:v>RES-008;RES-015</x:v>
      </x:c>
      <x:c r="O798" s="24" t="str">
        <x:v>Per terms; public notices pending</x:v>
      </x:c>
      <x:c r="P798" s="24" t="str">
        <x:v>ACTIVE / NOTICE REVIEW</x:v>
      </x:c>
      <x:c r="Q798" s="24" t="str">
        <x:v>Low</x:v>
      </x:c>
      <x:c r="R798" s="24" t="str">
        <x:v>LEG-DEBT-004</x:v>
      </x:c>
      <x:c r="S798" s="24" t="str">
        <x:v>Parcial</x:v>
      </x:c>
      <x:c r="T798" s="24" t="str">
        <x:f>"T"&amp;IF(AND(H798&lt;&gt;"",I798&lt;&gt;"",J798&lt;&gt;"",L798&lt;&gt;"",N798&lt;&gt;"",O798&lt;&gt;"",P798="APPROVED PUBLIC",S798="Sí"),6,IF(AND(H798&lt;&gt;"",I798&lt;&gt;"",J798&lt;&gt;"",L798&lt;&gt;"",N798&lt;&gt;"",O798&lt;&gt;"",P798&lt;&gt;"",S798="Sí"),5,IF(AND(H798&lt;&gt;"",I798&lt;&gt;"",P798&lt;&gt;"",S798&lt;&gt;"No"),4,IF(AND(H798&lt;&gt;"",I798&lt;&gt;""),3,IF(F798&lt;&gt;"",2,1)))))</x:f>
        <x:v>T4</x:v>
      </x:c>
      <x:c r="U798" s="24" t="str">
        <x:v>VRM Games</x:v>
      </x:c>
      <x:c r="V798" s="24" t="str">
        <x:v>source=builtin; depth=0; deps=</x:v>
      </x:c>
    </x:row>
    <x:row r="799" ht="34" customHeight="1">
      <x:c r="A799" s="24" t="str">
        <x:v>TRC-00795</x:v>
      </x:c>
      <x:c r="B799" s="24" t="str">
        <x:v>PKG-011</x:v>
      </x:c>
      <x:c r="C799" s="24" t="str">
        <x:v>com.unity.modules.adaptiveperformance</x:v>
      </x:c>
      <x:c r="D799" s="24" t="str">
        <x:v>Unity package - built-in</x:v>
      </x:c>
      <x:c r="E799" s="24" t="str">
        <x:v>11_Software_Paquetes</x:v>
      </x:c>
      <x:c r="F799" s="24" t="str">
        <x:v>PKG-011</x:v>
      </x:c>
      <x:c r="G799" s="24" t="str">
        <x:v>Unity Technologies / package publisher</x:v>
      </x:c>
      <x:c r="H799" s="24" t="str">
        <x:v>Unity built-in module / Editor terms</x:v>
      </x:c>
      <x:c r="I799" s="24" t="str">
        <x:v>Packages/manifest.json; Packages/packages-lock.json</x:v>
      </x:c>
      <x:c r="J799" s="24" t="str"/>
      <x:c r="K799" s="24" t="str">
        <x:v>com.unity.modules.adaptiveperformance</x:v>
      </x:c>
      <x:c r="L799" s="24" t="str">
        <x:v>CR-008</x:v>
      </x:c>
      <x:c r="M799" s="24" t="str">
        <x:v>ATT-001</x:v>
      </x:c>
      <x:c r="N799" s="24" t="str">
        <x:v>RES-008;RES-015</x:v>
      </x:c>
      <x:c r="O799" s="24" t="str">
        <x:v>Per terms; public notices pending</x:v>
      </x:c>
      <x:c r="P799" s="24" t="str">
        <x:v>ACTIVE / NOTICE REVIEW</x:v>
      </x:c>
      <x:c r="Q799" s="24" t="str">
        <x:v>Low</x:v>
      </x:c>
      <x:c r="R799" s="24" t="str">
        <x:v>LEG-DEBT-004</x:v>
      </x:c>
      <x:c r="S799" s="24" t="str">
        <x:v>Parcial</x:v>
      </x:c>
      <x:c r="T799" s="24" t="str">
        <x:f>"T"&amp;IF(AND(H799&lt;&gt;"",I799&lt;&gt;"",J799&lt;&gt;"",L799&lt;&gt;"",N799&lt;&gt;"",O799&lt;&gt;"",P799="APPROVED PUBLIC",S799="Sí"),6,IF(AND(H799&lt;&gt;"",I799&lt;&gt;"",J799&lt;&gt;"",L799&lt;&gt;"",N799&lt;&gt;"",O799&lt;&gt;"",P799&lt;&gt;"",S799="Sí"),5,IF(AND(H799&lt;&gt;"",I799&lt;&gt;"",P799&lt;&gt;"",S799&lt;&gt;"No"),4,IF(AND(H799&lt;&gt;"",I799&lt;&gt;""),3,IF(F799&lt;&gt;"",2,1)))))</x:f>
        <x:v>T4</x:v>
      </x:c>
      <x:c r="U799" s="24" t="str">
        <x:v>VRM Games</x:v>
      </x:c>
      <x:c r="V799" s="24" t="str">
        <x:v>source=builtin; depth=0; deps=com.unity.modules.subsystems@1.0.0</x:v>
      </x:c>
    </x:row>
    <x:row r="800" ht="34" customHeight="1">
      <x:c r="A800" s="24" t="str">
        <x:v>TRC-00796</x:v>
      </x:c>
      <x:c r="B800" s="24" t="str">
        <x:v>PKG-012</x:v>
      </x:c>
      <x:c r="C800" s="24" t="str">
        <x:v>com.unity.modules.ai</x:v>
      </x:c>
      <x:c r="D800" s="24" t="str">
        <x:v>Unity package - built-in</x:v>
      </x:c>
      <x:c r="E800" s="24" t="str">
        <x:v>11_Software_Paquetes</x:v>
      </x:c>
      <x:c r="F800" s="24" t="str">
        <x:v>PKG-012</x:v>
      </x:c>
      <x:c r="G800" s="24" t="str">
        <x:v>Unity Technologies / package publisher</x:v>
      </x:c>
      <x:c r="H800" s="24" t="str">
        <x:v>Unity built-in module / Editor terms</x:v>
      </x:c>
      <x:c r="I800" s="24" t="str">
        <x:v>Packages/manifest.json; Packages/packages-lock.json</x:v>
      </x:c>
      <x:c r="J800" s="24" t="str"/>
      <x:c r="K800" s="24" t="str">
        <x:v>com.unity.modules.ai</x:v>
      </x:c>
      <x:c r="L800" s="24" t="str">
        <x:v>CR-008</x:v>
      </x:c>
      <x:c r="M800" s="24" t="str">
        <x:v>ATT-001</x:v>
      </x:c>
      <x:c r="N800" s="24" t="str">
        <x:v>RES-008;RES-015</x:v>
      </x:c>
      <x:c r="O800" s="24" t="str">
        <x:v>Per terms; public notices pending</x:v>
      </x:c>
      <x:c r="P800" s="24" t="str">
        <x:v>ACTIVE / NOTICE REVIEW</x:v>
      </x:c>
      <x:c r="Q800" s="24" t="str">
        <x:v>Low</x:v>
      </x:c>
      <x:c r="R800" s="24" t="str">
        <x:v>LEG-DEBT-004</x:v>
      </x:c>
      <x:c r="S800" s="24" t="str">
        <x:v>Parcial</x:v>
      </x:c>
      <x:c r="T800" s="24" t="str">
        <x:f>"T"&amp;IF(AND(H800&lt;&gt;"",I800&lt;&gt;"",J800&lt;&gt;"",L800&lt;&gt;"",N800&lt;&gt;"",O800&lt;&gt;"",P800="APPROVED PUBLIC",S800="Sí"),6,IF(AND(H800&lt;&gt;"",I800&lt;&gt;"",J800&lt;&gt;"",L800&lt;&gt;"",N800&lt;&gt;"",O800&lt;&gt;"",P800&lt;&gt;"",S800="Sí"),5,IF(AND(H800&lt;&gt;"",I800&lt;&gt;"",P800&lt;&gt;"",S800&lt;&gt;"No"),4,IF(AND(H800&lt;&gt;"",I800&lt;&gt;""),3,IF(F800&lt;&gt;"",2,1)))))</x:f>
        <x:v>T4</x:v>
      </x:c>
      <x:c r="U800" s="24" t="str">
        <x:v>VRM Games</x:v>
      </x:c>
      <x:c r="V800" s="24" t="str">
        <x:v>source=builtin; depth=0; deps=</x:v>
      </x:c>
    </x:row>
    <x:row r="801" ht="34" customHeight="1">
      <x:c r="A801" s="24" t="str">
        <x:v>TRC-00797</x:v>
      </x:c>
      <x:c r="B801" s="24" t="str">
        <x:v>PKG-013</x:v>
      </x:c>
      <x:c r="C801" s="24" t="str">
        <x:v>com.unity.modules.androidjni</x:v>
      </x:c>
      <x:c r="D801" s="24" t="str">
        <x:v>Unity package - built-in</x:v>
      </x:c>
      <x:c r="E801" s="24" t="str">
        <x:v>11_Software_Paquetes</x:v>
      </x:c>
      <x:c r="F801" s="24" t="str">
        <x:v>PKG-013</x:v>
      </x:c>
      <x:c r="G801" s="24" t="str">
        <x:v>Unity Technologies / package publisher</x:v>
      </x:c>
      <x:c r="H801" s="24" t="str">
        <x:v>Unity built-in module / Editor terms</x:v>
      </x:c>
      <x:c r="I801" s="24" t="str">
        <x:v>Packages/manifest.json; Packages/packages-lock.json</x:v>
      </x:c>
      <x:c r="J801" s="24" t="str"/>
      <x:c r="K801" s="24" t="str">
        <x:v>com.unity.modules.androidjni</x:v>
      </x:c>
      <x:c r="L801" s="24" t="str">
        <x:v>CR-008</x:v>
      </x:c>
      <x:c r="M801" s="24" t="str">
        <x:v>ATT-001</x:v>
      </x:c>
      <x:c r="N801" s="24" t="str">
        <x:v>RES-008;RES-015</x:v>
      </x:c>
      <x:c r="O801" s="24" t="str">
        <x:v>Per terms; public notices pending</x:v>
      </x:c>
      <x:c r="P801" s="24" t="str">
        <x:v>ACTIVE / NOTICE REVIEW</x:v>
      </x:c>
      <x:c r="Q801" s="24" t="str">
        <x:v>Low</x:v>
      </x:c>
      <x:c r="R801" s="24" t="str">
        <x:v>LEG-DEBT-004</x:v>
      </x:c>
      <x:c r="S801" s="24" t="str">
        <x:v>Parcial</x:v>
      </x:c>
      <x:c r="T801" s="24" t="str">
        <x:f>"T"&amp;IF(AND(H801&lt;&gt;"",I801&lt;&gt;"",J801&lt;&gt;"",L801&lt;&gt;"",N801&lt;&gt;"",O801&lt;&gt;"",P801="APPROVED PUBLIC",S801="Sí"),6,IF(AND(H801&lt;&gt;"",I801&lt;&gt;"",J801&lt;&gt;"",L801&lt;&gt;"",N801&lt;&gt;"",O801&lt;&gt;"",P801&lt;&gt;"",S801="Sí"),5,IF(AND(H801&lt;&gt;"",I801&lt;&gt;"",P801&lt;&gt;"",S801&lt;&gt;"No"),4,IF(AND(H801&lt;&gt;"",I801&lt;&gt;""),3,IF(F801&lt;&gt;"",2,1)))))</x:f>
        <x:v>T4</x:v>
      </x:c>
      <x:c r="U801" s="24" t="str">
        <x:v>VRM Games</x:v>
      </x:c>
      <x:c r="V801" s="24" t="str">
        <x:v>source=builtin; depth=0; deps=</x:v>
      </x:c>
    </x:row>
    <x:row r="802" ht="34" customHeight="1">
      <x:c r="A802" s="24" t="str">
        <x:v>TRC-00798</x:v>
      </x:c>
      <x:c r="B802" s="24" t="str">
        <x:v>PKG-014</x:v>
      </x:c>
      <x:c r="C802" s="24" t="str">
        <x:v>com.unity.modules.animation</x:v>
      </x:c>
      <x:c r="D802" s="24" t="str">
        <x:v>Unity package - built-in</x:v>
      </x:c>
      <x:c r="E802" s="24" t="str">
        <x:v>11_Software_Paquetes</x:v>
      </x:c>
      <x:c r="F802" s="24" t="str">
        <x:v>PKG-014</x:v>
      </x:c>
      <x:c r="G802" s="24" t="str">
        <x:v>Unity Technologies / package publisher</x:v>
      </x:c>
      <x:c r="H802" s="24" t="str">
        <x:v>Unity built-in module / Editor terms</x:v>
      </x:c>
      <x:c r="I802" s="24" t="str">
        <x:v>Packages/manifest.json; Packages/packages-lock.json</x:v>
      </x:c>
      <x:c r="J802" s="24" t="str"/>
      <x:c r="K802" s="24" t="str">
        <x:v>com.unity.modules.animation</x:v>
      </x:c>
      <x:c r="L802" s="24" t="str">
        <x:v>CR-008</x:v>
      </x:c>
      <x:c r="M802" s="24" t="str">
        <x:v>ATT-001</x:v>
      </x:c>
      <x:c r="N802" s="24" t="str">
        <x:v>RES-008;RES-015</x:v>
      </x:c>
      <x:c r="O802" s="24" t="str">
        <x:v>Per terms; public notices pending</x:v>
      </x:c>
      <x:c r="P802" s="24" t="str">
        <x:v>ACTIVE / NOTICE REVIEW</x:v>
      </x:c>
      <x:c r="Q802" s="24" t="str">
        <x:v>Low</x:v>
      </x:c>
      <x:c r="R802" s="24" t="str">
        <x:v>LEG-DEBT-004</x:v>
      </x:c>
      <x:c r="S802" s="24" t="str">
        <x:v>Parcial</x:v>
      </x:c>
      <x:c r="T802" s="24" t="str">
        <x:f>"T"&amp;IF(AND(H802&lt;&gt;"",I802&lt;&gt;"",J802&lt;&gt;"",L802&lt;&gt;"",N802&lt;&gt;"",O802&lt;&gt;"",P802="APPROVED PUBLIC",S802="Sí"),6,IF(AND(H802&lt;&gt;"",I802&lt;&gt;"",J802&lt;&gt;"",L802&lt;&gt;"",N802&lt;&gt;"",O802&lt;&gt;"",P802&lt;&gt;"",S802="Sí"),5,IF(AND(H802&lt;&gt;"",I802&lt;&gt;"",P802&lt;&gt;"",S802&lt;&gt;"No"),4,IF(AND(H802&lt;&gt;"",I802&lt;&gt;""),3,IF(F802&lt;&gt;"",2,1)))))</x:f>
        <x:v>T4</x:v>
      </x:c>
      <x:c r="U802" s="24" t="str">
        <x:v>VRM Games</x:v>
      </x:c>
      <x:c r="V802" s="24" t="str">
        <x:v>source=builtin; depth=0; deps=</x:v>
      </x:c>
    </x:row>
    <x:row r="803" ht="34" customHeight="1">
      <x:c r="A803" s="24" t="str">
        <x:v>TRC-00799</x:v>
      </x:c>
      <x:c r="B803" s="24" t="str">
        <x:v>PKG-015</x:v>
      </x:c>
      <x:c r="C803" s="24" t="str">
        <x:v>com.unity.modules.assetbundle</x:v>
      </x:c>
      <x:c r="D803" s="24" t="str">
        <x:v>Unity package - built-in</x:v>
      </x:c>
      <x:c r="E803" s="24" t="str">
        <x:v>11_Software_Paquetes</x:v>
      </x:c>
      <x:c r="F803" s="24" t="str">
        <x:v>PKG-015</x:v>
      </x:c>
      <x:c r="G803" s="24" t="str">
        <x:v>Unity Technologies / package publisher</x:v>
      </x:c>
      <x:c r="H803" s="24" t="str">
        <x:v>Unity built-in module / Editor terms</x:v>
      </x:c>
      <x:c r="I803" s="24" t="str">
        <x:v>Packages/manifest.json; Packages/packages-lock.json</x:v>
      </x:c>
      <x:c r="J803" s="24" t="str"/>
      <x:c r="K803" s="24" t="str">
        <x:v>com.unity.modules.assetbundle</x:v>
      </x:c>
      <x:c r="L803" s="24" t="str">
        <x:v>CR-008</x:v>
      </x:c>
      <x:c r="M803" s="24" t="str">
        <x:v>ATT-001</x:v>
      </x:c>
      <x:c r="N803" s="24" t="str">
        <x:v>RES-008;RES-015</x:v>
      </x:c>
      <x:c r="O803" s="24" t="str">
        <x:v>Per terms; public notices pending</x:v>
      </x:c>
      <x:c r="P803" s="24" t="str">
        <x:v>ACTIVE / NOTICE REVIEW</x:v>
      </x:c>
      <x:c r="Q803" s="24" t="str">
        <x:v>Low</x:v>
      </x:c>
      <x:c r="R803" s="24" t="str">
        <x:v>LEG-DEBT-004</x:v>
      </x:c>
      <x:c r="S803" s="24" t="str">
        <x:v>Parcial</x:v>
      </x:c>
      <x:c r="T803" s="24" t="str">
        <x:f>"T"&amp;IF(AND(H803&lt;&gt;"",I803&lt;&gt;"",J803&lt;&gt;"",L803&lt;&gt;"",N803&lt;&gt;"",O803&lt;&gt;"",P803="APPROVED PUBLIC",S803="Sí"),6,IF(AND(H803&lt;&gt;"",I803&lt;&gt;"",J803&lt;&gt;"",L803&lt;&gt;"",N803&lt;&gt;"",O803&lt;&gt;"",P803&lt;&gt;"",S803="Sí"),5,IF(AND(H803&lt;&gt;"",I803&lt;&gt;"",P803&lt;&gt;"",S803&lt;&gt;"No"),4,IF(AND(H803&lt;&gt;"",I803&lt;&gt;""),3,IF(F803&lt;&gt;"",2,1)))))</x:f>
        <x:v>T4</x:v>
      </x:c>
      <x:c r="U803" s="24" t="str">
        <x:v>VRM Games</x:v>
      </x:c>
      <x:c r="V803" s="24" t="str">
        <x:v>source=builtin; depth=0; deps=</x:v>
      </x:c>
    </x:row>
    <x:row r="804" ht="34" customHeight="1">
      <x:c r="A804" s="24" t="str">
        <x:v>TRC-00800</x:v>
      </x:c>
      <x:c r="B804" s="24" t="str">
        <x:v>PKG-016</x:v>
      </x:c>
      <x:c r="C804" s="24" t="str">
        <x:v>com.unity.modules.audio</x:v>
      </x:c>
      <x:c r="D804" s="24" t="str">
        <x:v>Unity package - built-in</x:v>
      </x:c>
      <x:c r="E804" s="24" t="str">
        <x:v>11_Software_Paquetes</x:v>
      </x:c>
      <x:c r="F804" s="24" t="str">
        <x:v>PKG-016</x:v>
      </x:c>
      <x:c r="G804" s="24" t="str">
        <x:v>Unity Technologies / package publisher</x:v>
      </x:c>
      <x:c r="H804" s="24" t="str">
        <x:v>Unity built-in module / Editor terms</x:v>
      </x:c>
      <x:c r="I804" s="24" t="str">
        <x:v>Packages/manifest.json; Packages/packages-lock.json</x:v>
      </x:c>
      <x:c r="J804" s="24" t="str"/>
      <x:c r="K804" s="24" t="str">
        <x:v>com.unity.modules.audio</x:v>
      </x:c>
      <x:c r="L804" s="24" t="str">
        <x:v>CR-008</x:v>
      </x:c>
      <x:c r="M804" s="24" t="str">
        <x:v>ATT-001</x:v>
      </x:c>
      <x:c r="N804" s="24" t="str">
        <x:v>RES-008;RES-015</x:v>
      </x:c>
      <x:c r="O804" s="24" t="str">
        <x:v>Per terms; public notices pending</x:v>
      </x:c>
      <x:c r="P804" s="24" t="str">
        <x:v>ACTIVE / NOTICE REVIEW</x:v>
      </x:c>
      <x:c r="Q804" s="24" t="str">
        <x:v>Low</x:v>
      </x:c>
      <x:c r="R804" s="24" t="str">
        <x:v>LEG-DEBT-004</x:v>
      </x:c>
      <x:c r="S804" s="24" t="str">
        <x:v>Parcial</x:v>
      </x:c>
      <x:c r="T804" s="24" t="str">
        <x:f>"T"&amp;IF(AND(H804&lt;&gt;"",I804&lt;&gt;"",J804&lt;&gt;"",L804&lt;&gt;"",N804&lt;&gt;"",O804&lt;&gt;"",P804="APPROVED PUBLIC",S804="Sí"),6,IF(AND(H804&lt;&gt;"",I804&lt;&gt;"",J804&lt;&gt;"",L804&lt;&gt;"",N804&lt;&gt;"",O804&lt;&gt;"",P804&lt;&gt;"",S804="Sí"),5,IF(AND(H804&lt;&gt;"",I804&lt;&gt;"",P804&lt;&gt;"",S804&lt;&gt;"No"),4,IF(AND(H804&lt;&gt;"",I804&lt;&gt;""),3,IF(F804&lt;&gt;"",2,1)))))</x:f>
        <x:v>T4</x:v>
      </x:c>
      <x:c r="U804" s="24" t="str">
        <x:v>VRM Games</x:v>
      </x:c>
      <x:c r="V804" s="24" t="str">
        <x:v>source=builtin; depth=0; deps=</x:v>
      </x:c>
    </x:row>
    <x:row r="805" ht="34" customHeight="1">
      <x:c r="A805" s="24" t="str">
        <x:v>TRC-00801</x:v>
      </x:c>
      <x:c r="B805" s="24" t="str">
        <x:v>PKG-017</x:v>
      </x:c>
      <x:c r="C805" s="24" t="str">
        <x:v>com.unity.modules.cloth</x:v>
      </x:c>
      <x:c r="D805" s="24" t="str">
        <x:v>Unity package - built-in</x:v>
      </x:c>
      <x:c r="E805" s="24" t="str">
        <x:v>11_Software_Paquetes</x:v>
      </x:c>
      <x:c r="F805" s="24" t="str">
        <x:v>PKG-017</x:v>
      </x:c>
      <x:c r="G805" s="24" t="str">
        <x:v>Unity Technologies / package publisher</x:v>
      </x:c>
      <x:c r="H805" s="24" t="str">
        <x:v>Unity built-in module / Editor terms</x:v>
      </x:c>
      <x:c r="I805" s="24" t="str">
        <x:v>Packages/manifest.json; Packages/packages-lock.json</x:v>
      </x:c>
      <x:c r="J805" s="24" t="str"/>
      <x:c r="K805" s="24" t="str">
        <x:v>com.unity.modules.cloth</x:v>
      </x:c>
      <x:c r="L805" s="24" t="str">
        <x:v>CR-008</x:v>
      </x:c>
      <x:c r="M805" s="24" t="str">
        <x:v>ATT-001</x:v>
      </x:c>
      <x:c r="N805" s="24" t="str">
        <x:v>RES-008;RES-015</x:v>
      </x:c>
      <x:c r="O805" s="24" t="str">
        <x:v>Per terms; public notices pending</x:v>
      </x:c>
      <x:c r="P805" s="24" t="str">
        <x:v>ACTIVE / NOTICE REVIEW</x:v>
      </x:c>
      <x:c r="Q805" s="24" t="str">
        <x:v>Low</x:v>
      </x:c>
      <x:c r="R805" s="24" t="str">
        <x:v>LEG-DEBT-004</x:v>
      </x:c>
      <x:c r="S805" s="24" t="str">
        <x:v>Parcial</x:v>
      </x:c>
      <x:c r="T805" s="24" t="str">
        <x:f>"T"&amp;IF(AND(H805&lt;&gt;"",I805&lt;&gt;"",J805&lt;&gt;"",L805&lt;&gt;"",N805&lt;&gt;"",O805&lt;&gt;"",P805="APPROVED PUBLIC",S805="Sí"),6,IF(AND(H805&lt;&gt;"",I805&lt;&gt;"",J805&lt;&gt;"",L805&lt;&gt;"",N805&lt;&gt;"",O805&lt;&gt;"",P805&lt;&gt;"",S805="Sí"),5,IF(AND(H805&lt;&gt;"",I805&lt;&gt;"",P805&lt;&gt;"",S805&lt;&gt;"No"),4,IF(AND(H805&lt;&gt;"",I805&lt;&gt;""),3,IF(F805&lt;&gt;"",2,1)))))</x:f>
        <x:v>T4</x:v>
      </x:c>
      <x:c r="U805" s="24" t="str">
        <x:v>VRM Games</x:v>
      </x:c>
      <x:c r="V805" s="24" t="str">
        <x:v>source=builtin; depth=0; deps=com.unity.modules.physics@1.0.0</x:v>
      </x:c>
    </x:row>
    <x:row r="806" ht="34" customHeight="1">
      <x:c r="A806" s="24" t="str">
        <x:v>TRC-00802</x:v>
      </x:c>
      <x:c r="B806" s="24" t="str">
        <x:v>PKG-018</x:v>
      </x:c>
      <x:c r="C806" s="24" t="str">
        <x:v>com.unity.modules.director</x:v>
      </x:c>
      <x:c r="D806" s="24" t="str">
        <x:v>Unity package - built-in</x:v>
      </x:c>
      <x:c r="E806" s="24" t="str">
        <x:v>11_Software_Paquetes</x:v>
      </x:c>
      <x:c r="F806" s="24" t="str">
        <x:v>PKG-018</x:v>
      </x:c>
      <x:c r="G806" s="24" t="str">
        <x:v>Unity Technologies / package publisher</x:v>
      </x:c>
      <x:c r="H806" s="24" t="str">
        <x:v>Unity built-in module / Editor terms</x:v>
      </x:c>
      <x:c r="I806" s="24" t="str">
        <x:v>Packages/manifest.json; Packages/packages-lock.json</x:v>
      </x:c>
      <x:c r="J806" s="24" t="str"/>
      <x:c r="K806" s="24" t="str">
        <x:v>com.unity.modules.director</x:v>
      </x:c>
      <x:c r="L806" s="24" t="str">
        <x:v>CR-008</x:v>
      </x:c>
      <x:c r="M806" s="24" t="str">
        <x:v>ATT-001</x:v>
      </x:c>
      <x:c r="N806" s="24" t="str">
        <x:v>RES-008;RES-015</x:v>
      </x:c>
      <x:c r="O806" s="24" t="str">
        <x:v>Per terms; public notices pending</x:v>
      </x:c>
      <x:c r="P806" s="24" t="str">
        <x:v>ACTIVE / NOTICE REVIEW</x:v>
      </x:c>
      <x:c r="Q806" s="24" t="str">
        <x:v>Low</x:v>
      </x:c>
      <x:c r="R806" s="24" t="str">
        <x:v>LEG-DEBT-004</x:v>
      </x:c>
      <x:c r="S806" s="24" t="str">
        <x:v>Parcial</x:v>
      </x:c>
      <x:c r="T806" s="24" t="str">
        <x:f>"T"&amp;IF(AND(H806&lt;&gt;"",I806&lt;&gt;"",J806&lt;&gt;"",L806&lt;&gt;"",N806&lt;&gt;"",O806&lt;&gt;"",P806="APPROVED PUBLIC",S806="Sí"),6,IF(AND(H806&lt;&gt;"",I806&lt;&gt;"",J806&lt;&gt;"",L806&lt;&gt;"",N806&lt;&gt;"",O806&lt;&gt;"",P806&lt;&gt;"",S806="Sí"),5,IF(AND(H806&lt;&gt;"",I806&lt;&gt;"",P806&lt;&gt;"",S806&lt;&gt;"No"),4,IF(AND(H806&lt;&gt;"",I806&lt;&gt;""),3,IF(F806&lt;&gt;"",2,1)))))</x:f>
        <x:v>T4</x:v>
      </x:c>
      <x:c r="U806" s="24" t="str">
        <x:v>VRM Games</x:v>
      </x:c>
      <x:c r="V806" s="24" t="str">
        <x:v>source=builtin; depth=0; deps=com.unity.modules.animation@1.0.0; com.unity.modules.audio@1.0.0</x:v>
      </x:c>
    </x:row>
    <x:row r="807" ht="34" customHeight="1">
      <x:c r="A807" s="24" t="str">
        <x:v>TRC-00803</x:v>
      </x:c>
      <x:c r="B807" s="24" t="str">
        <x:v>PKG-019</x:v>
      </x:c>
      <x:c r="C807" s="24" t="str">
        <x:v>com.unity.modules.hierarchycore</x:v>
      </x:c>
      <x:c r="D807" s="24" t="str">
        <x:v>Unity package - built-in</x:v>
      </x:c>
      <x:c r="E807" s="24" t="str">
        <x:v>11_Software_Paquetes</x:v>
      </x:c>
      <x:c r="F807" s="24" t="str">
        <x:v>PKG-019</x:v>
      </x:c>
      <x:c r="G807" s="24" t="str">
        <x:v>Unity Technologies / package publisher</x:v>
      </x:c>
      <x:c r="H807" s="24" t="str">
        <x:v>Unity built-in module / Editor terms</x:v>
      </x:c>
      <x:c r="I807" s="24" t="str">
        <x:v>Packages/manifest.json; Packages/packages-lock.json</x:v>
      </x:c>
      <x:c r="J807" s="24" t="str"/>
      <x:c r="K807" s="24" t="str">
        <x:v>com.unity.modules.hierarchycore</x:v>
      </x:c>
      <x:c r="L807" s="24" t="str">
        <x:v>CR-008</x:v>
      </x:c>
      <x:c r="M807" s="24" t="str">
        <x:v>ATT-001</x:v>
      </x:c>
      <x:c r="N807" s="24" t="str">
        <x:v>RES-008;RES-015</x:v>
      </x:c>
      <x:c r="O807" s="24" t="str">
        <x:v>Per terms; public notices pending</x:v>
      </x:c>
      <x:c r="P807" s="24" t="str">
        <x:v>ACTIVE / NOTICE REVIEW</x:v>
      </x:c>
      <x:c r="Q807" s="24" t="str">
        <x:v>Low</x:v>
      </x:c>
      <x:c r="R807" s="24" t="str">
        <x:v>LEG-DEBT-004</x:v>
      </x:c>
      <x:c r="S807" s="24" t="str">
        <x:v>Parcial</x:v>
      </x:c>
      <x:c r="T807" s="24" t="str">
        <x:f>"T"&amp;IF(AND(H807&lt;&gt;"",I807&lt;&gt;"",J807&lt;&gt;"",L807&lt;&gt;"",N807&lt;&gt;"",O807&lt;&gt;"",P807="APPROVED PUBLIC",S807="Sí"),6,IF(AND(H807&lt;&gt;"",I807&lt;&gt;"",J807&lt;&gt;"",L807&lt;&gt;"",N807&lt;&gt;"",O807&lt;&gt;"",P807&lt;&gt;"",S807="Sí"),5,IF(AND(H807&lt;&gt;"",I807&lt;&gt;"",P807&lt;&gt;"",S807&lt;&gt;"No"),4,IF(AND(H807&lt;&gt;"",I807&lt;&gt;""),3,IF(F807&lt;&gt;"",2,1)))))</x:f>
        <x:v>T4</x:v>
      </x:c>
      <x:c r="U807" s="24" t="str">
        <x:v>VRM Games</x:v>
      </x:c>
      <x:c r="V807" s="24" t="str">
        <x:v>source=builtin; depth=1; deps=</x:v>
      </x:c>
    </x:row>
    <x:row r="808" ht="34" customHeight="1">
      <x:c r="A808" s="24" t="str">
        <x:v>TRC-00804</x:v>
      </x:c>
      <x:c r="B808" s="24" t="str">
        <x:v>PKG-020</x:v>
      </x:c>
      <x:c r="C808" s="24" t="str">
        <x:v>com.unity.modules.imageconversion</x:v>
      </x:c>
      <x:c r="D808" s="24" t="str">
        <x:v>Unity package - built-in</x:v>
      </x:c>
      <x:c r="E808" s="24" t="str">
        <x:v>11_Software_Paquetes</x:v>
      </x:c>
      <x:c r="F808" s="24" t="str">
        <x:v>PKG-020</x:v>
      </x:c>
      <x:c r="G808" s="24" t="str">
        <x:v>Unity Technologies / package publisher</x:v>
      </x:c>
      <x:c r="H808" s="24" t="str">
        <x:v>Unity built-in module / Editor terms</x:v>
      </x:c>
      <x:c r="I808" s="24" t="str">
        <x:v>Packages/manifest.json; Packages/packages-lock.json</x:v>
      </x:c>
      <x:c r="J808" s="24" t="str"/>
      <x:c r="K808" s="24" t="str">
        <x:v>com.unity.modules.imageconversion</x:v>
      </x:c>
      <x:c r="L808" s="24" t="str">
        <x:v>CR-008</x:v>
      </x:c>
      <x:c r="M808" s="24" t="str">
        <x:v>ATT-001</x:v>
      </x:c>
      <x:c r="N808" s="24" t="str">
        <x:v>RES-008;RES-015</x:v>
      </x:c>
      <x:c r="O808" s="24" t="str">
        <x:v>Per terms; public notices pending</x:v>
      </x:c>
      <x:c r="P808" s="24" t="str">
        <x:v>ACTIVE / NOTICE REVIEW</x:v>
      </x:c>
      <x:c r="Q808" s="24" t="str">
        <x:v>Low</x:v>
      </x:c>
      <x:c r="R808" s="24" t="str">
        <x:v>LEG-DEBT-004</x:v>
      </x:c>
      <x:c r="S808" s="24" t="str">
        <x:v>Parcial</x:v>
      </x:c>
      <x:c r="T808" s="24" t="str">
        <x:f>"T"&amp;IF(AND(H808&lt;&gt;"",I808&lt;&gt;"",J808&lt;&gt;"",L808&lt;&gt;"",N808&lt;&gt;"",O808&lt;&gt;"",P808="APPROVED PUBLIC",S808="Sí"),6,IF(AND(H808&lt;&gt;"",I808&lt;&gt;"",J808&lt;&gt;"",L808&lt;&gt;"",N808&lt;&gt;"",O808&lt;&gt;"",P808&lt;&gt;"",S808="Sí"),5,IF(AND(H808&lt;&gt;"",I808&lt;&gt;"",P808&lt;&gt;"",S808&lt;&gt;"No"),4,IF(AND(H808&lt;&gt;"",I808&lt;&gt;""),3,IF(F808&lt;&gt;"",2,1)))))</x:f>
        <x:v>T4</x:v>
      </x:c>
      <x:c r="U808" s="24" t="str">
        <x:v>VRM Games</x:v>
      </x:c>
      <x:c r="V808" s="24" t="str">
        <x:v>source=builtin; depth=0; deps=</x:v>
      </x:c>
    </x:row>
    <x:row r="809" ht="34" customHeight="1">
      <x:c r="A809" s="24" t="str">
        <x:v>TRC-00805</x:v>
      </x:c>
      <x:c r="B809" s="24" t="str">
        <x:v>PKG-021</x:v>
      </x:c>
      <x:c r="C809" s="24" t="str">
        <x:v>com.unity.modules.imgui</x:v>
      </x:c>
      <x:c r="D809" s="24" t="str">
        <x:v>Unity package - built-in</x:v>
      </x:c>
      <x:c r="E809" s="24" t="str">
        <x:v>11_Software_Paquetes</x:v>
      </x:c>
      <x:c r="F809" s="24" t="str">
        <x:v>PKG-021</x:v>
      </x:c>
      <x:c r="G809" s="24" t="str">
        <x:v>Unity Technologies / package publisher</x:v>
      </x:c>
      <x:c r="H809" s="24" t="str">
        <x:v>Unity built-in module / Editor terms</x:v>
      </x:c>
      <x:c r="I809" s="24" t="str">
        <x:v>Packages/manifest.json; Packages/packages-lock.json</x:v>
      </x:c>
      <x:c r="J809" s="24" t="str"/>
      <x:c r="K809" s="24" t="str">
        <x:v>com.unity.modules.imgui</x:v>
      </x:c>
      <x:c r="L809" s="24" t="str">
        <x:v>CR-008</x:v>
      </x:c>
      <x:c r="M809" s="24" t="str">
        <x:v>ATT-001</x:v>
      </x:c>
      <x:c r="N809" s="24" t="str">
        <x:v>RES-008;RES-015</x:v>
      </x:c>
      <x:c r="O809" s="24" t="str">
        <x:v>Per terms; public notices pending</x:v>
      </x:c>
      <x:c r="P809" s="24" t="str">
        <x:v>ACTIVE / NOTICE REVIEW</x:v>
      </x:c>
      <x:c r="Q809" s="24" t="str">
        <x:v>Low</x:v>
      </x:c>
      <x:c r="R809" s="24" t="str">
        <x:v>LEG-DEBT-004</x:v>
      </x:c>
      <x:c r="S809" s="24" t="str">
        <x:v>Parcial</x:v>
      </x:c>
      <x:c r="T809" s="24" t="str">
        <x:f>"T"&amp;IF(AND(H809&lt;&gt;"",I809&lt;&gt;"",J809&lt;&gt;"",L809&lt;&gt;"",N809&lt;&gt;"",O809&lt;&gt;"",P809="APPROVED PUBLIC",S809="Sí"),6,IF(AND(H809&lt;&gt;"",I809&lt;&gt;"",J809&lt;&gt;"",L809&lt;&gt;"",N809&lt;&gt;"",O809&lt;&gt;"",P809&lt;&gt;"",S809="Sí"),5,IF(AND(H809&lt;&gt;"",I809&lt;&gt;"",P809&lt;&gt;"",S809&lt;&gt;"No"),4,IF(AND(H809&lt;&gt;"",I809&lt;&gt;""),3,IF(F809&lt;&gt;"",2,1)))))</x:f>
        <x:v>T4</x:v>
      </x:c>
      <x:c r="U809" s="24" t="str">
        <x:v>VRM Games</x:v>
      </x:c>
      <x:c r="V809" s="24" t="str">
        <x:v>source=builtin; depth=0; deps=</x:v>
      </x:c>
    </x:row>
    <x:row r="810" ht="34" customHeight="1">
      <x:c r="A810" s="24" t="str">
        <x:v>TRC-00806</x:v>
      </x:c>
      <x:c r="B810" s="24" t="str">
        <x:v>PKG-022</x:v>
      </x:c>
      <x:c r="C810" s="24" t="str">
        <x:v>com.unity.modules.jsonserialize</x:v>
      </x:c>
      <x:c r="D810" s="24" t="str">
        <x:v>Unity package - built-in</x:v>
      </x:c>
      <x:c r="E810" s="24" t="str">
        <x:v>11_Software_Paquetes</x:v>
      </x:c>
      <x:c r="F810" s="24" t="str">
        <x:v>PKG-022</x:v>
      </x:c>
      <x:c r="G810" s="24" t="str">
        <x:v>Unity Technologies / package publisher</x:v>
      </x:c>
      <x:c r="H810" s="24" t="str">
        <x:v>Unity built-in module / Editor terms</x:v>
      </x:c>
      <x:c r="I810" s="24" t="str">
        <x:v>Packages/manifest.json; Packages/packages-lock.json</x:v>
      </x:c>
      <x:c r="J810" s="24" t="str"/>
      <x:c r="K810" s="24" t="str">
        <x:v>com.unity.modules.jsonserialize</x:v>
      </x:c>
      <x:c r="L810" s="24" t="str">
        <x:v>CR-008</x:v>
      </x:c>
      <x:c r="M810" s="24" t="str">
        <x:v>ATT-001</x:v>
      </x:c>
      <x:c r="N810" s="24" t="str">
        <x:v>RES-008;RES-015</x:v>
      </x:c>
      <x:c r="O810" s="24" t="str">
        <x:v>Per terms; public notices pending</x:v>
      </x:c>
      <x:c r="P810" s="24" t="str">
        <x:v>ACTIVE / NOTICE REVIEW</x:v>
      </x:c>
      <x:c r="Q810" s="24" t="str">
        <x:v>Low</x:v>
      </x:c>
      <x:c r="R810" s="24" t="str">
        <x:v>LEG-DEBT-004</x:v>
      </x:c>
      <x:c r="S810" s="24" t="str">
        <x:v>Parcial</x:v>
      </x:c>
      <x:c r="T810" s="24" t="str">
        <x:f>"T"&amp;IF(AND(H810&lt;&gt;"",I810&lt;&gt;"",J810&lt;&gt;"",L810&lt;&gt;"",N810&lt;&gt;"",O810&lt;&gt;"",P810="APPROVED PUBLIC",S810="Sí"),6,IF(AND(H810&lt;&gt;"",I810&lt;&gt;"",J810&lt;&gt;"",L810&lt;&gt;"",N810&lt;&gt;"",O810&lt;&gt;"",P810&lt;&gt;"",S810="Sí"),5,IF(AND(H810&lt;&gt;"",I810&lt;&gt;"",P810&lt;&gt;"",S810&lt;&gt;"No"),4,IF(AND(H810&lt;&gt;"",I810&lt;&gt;""),3,IF(F810&lt;&gt;"",2,1)))))</x:f>
        <x:v>T4</x:v>
      </x:c>
      <x:c r="U810" s="24" t="str">
        <x:v>VRM Games</x:v>
      </x:c>
      <x:c r="V810" s="24" t="str">
        <x:v>source=builtin; depth=0; deps=</x:v>
      </x:c>
    </x:row>
    <x:row r="811" ht="34" customHeight="1">
      <x:c r="A811" s="24" t="str">
        <x:v>TRC-00807</x:v>
      </x:c>
      <x:c r="B811" s="24" t="str">
        <x:v>PKG-023</x:v>
      </x:c>
      <x:c r="C811" s="24" t="str">
        <x:v>com.unity.modules.particlesystem</x:v>
      </x:c>
      <x:c r="D811" s="24" t="str">
        <x:v>Unity package - built-in</x:v>
      </x:c>
      <x:c r="E811" s="24" t="str">
        <x:v>11_Software_Paquetes</x:v>
      </x:c>
      <x:c r="F811" s="24" t="str">
        <x:v>PKG-023</x:v>
      </x:c>
      <x:c r="G811" s="24" t="str">
        <x:v>Unity Technologies / package publisher</x:v>
      </x:c>
      <x:c r="H811" s="24" t="str">
        <x:v>Unity built-in module / Editor terms</x:v>
      </x:c>
      <x:c r="I811" s="24" t="str">
        <x:v>Packages/manifest.json; Packages/packages-lock.json</x:v>
      </x:c>
      <x:c r="J811" s="24" t="str"/>
      <x:c r="K811" s="24" t="str">
        <x:v>com.unity.modules.particlesystem</x:v>
      </x:c>
      <x:c r="L811" s="24" t="str">
        <x:v>CR-008</x:v>
      </x:c>
      <x:c r="M811" s="24" t="str">
        <x:v>ATT-001</x:v>
      </x:c>
      <x:c r="N811" s="24" t="str">
        <x:v>RES-008;RES-015</x:v>
      </x:c>
      <x:c r="O811" s="24" t="str">
        <x:v>Per terms; public notices pending</x:v>
      </x:c>
      <x:c r="P811" s="24" t="str">
        <x:v>ACTIVE / NOTICE REVIEW</x:v>
      </x:c>
      <x:c r="Q811" s="24" t="str">
        <x:v>Low</x:v>
      </x:c>
      <x:c r="R811" s="24" t="str">
        <x:v>LEG-DEBT-004</x:v>
      </x:c>
      <x:c r="S811" s="24" t="str">
        <x:v>Parcial</x:v>
      </x:c>
      <x:c r="T811" s="24" t="str">
        <x:f>"T"&amp;IF(AND(H811&lt;&gt;"",I811&lt;&gt;"",J811&lt;&gt;"",L811&lt;&gt;"",N811&lt;&gt;"",O811&lt;&gt;"",P811="APPROVED PUBLIC",S811="Sí"),6,IF(AND(H811&lt;&gt;"",I811&lt;&gt;"",J811&lt;&gt;"",L811&lt;&gt;"",N811&lt;&gt;"",O811&lt;&gt;"",P811&lt;&gt;"",S811="Sí"),5,IF(AND(H811&lt;&gt;"",I811&lt;&gt;"",P811&lt;&gt;"",S811&lt;&gt;"No"),4,IF(AND(H811&lt;&gt;"",I811&lt;&gt;""),3,IF(F811&lt;&gt;"",2,1)))))</x:f>
        <x:v>T4</x:v>
      </x:c>
      <x:c r="U811" s="24" t="str">
        <x:v>VRM Games</x:v>
      </x:c>
      <x:c r="V811" s="24" t="str">
        <x:v>source=builtin; depth=0; deps=</x:v>
      </x:c>
    </x:row>
    <x:row r="812" ht="34" customHeight="1">
      <x:c r="A812" s="24" t="str">
        <x:v>TRC-00808</x:v>
      </x:c>
      <x:c r="B812" s="24" t="str">
        <x:v>PKG-024</x:v>
      </x:c>
      <x:c r="C812" s="24" t="str">
        <x:v>com.unity.modules.physics</x:v>
      </x:c>
      <x:c r="D812" s="24" t="str">
        <x:v>Unity package - built-in</x:v>
      </x:c>
      <x:c r="E812" s="24" t="str">
        <x:v>11_Software_Paquetes</x:v>
      </x:c>
      <x:c r="F812" s="24" t="str">
        <x:v>PKG-024</x:v>
      </x:c>
      <x:c r="G812" s="24" t="str">
        <x:v>Unity Technologies / package publisher</x:v>
      </x:c>
      <x:c r="H812" s="24" t="str">
        <x:v>Unity built-in module / Editor terms</x:v>
      </x:c>
      <x:c r="I812" s="24" t="str">
        <x:v>Packages/manifest.json; Packages/packages-lock.json</x:v>
      </x:c>
      <x:c r="J812" s="24" t="str"/>
      <x:c r="K812" s="24" t="str">
        <x:v>com.unity.modules.physics</x:v>
      </x:c>
      <x:c r="L812" s="24" t="str">
        <x:v>CR-008</x:v>
      </x:c>
      <x:c r="M812" s="24" t="str">
        <x:v>ATT-001</x:v>
      </x:c>
      <x:c r="N812" s="24" t="str">
        <x:v>RES-008;RES-015</x:v>
      </x:c>
      <x:c r="O812" s="24" t="str">
        <x:v>Per terms; public notices pending</x:v>
      </x:c>
      <x:c r="P812" s="24" t="str">
        <x:v>ACTIVE / NOTICE REVIEW</x:v>
      </x:c>
      <x:c r="Q812" s="24" t="str">
        <x:v>Low</x:v>
      </x:c>
      <x:c r="R812" s="24" t="str">
        <x:v>LEG-DEBT-004</x:v>
      </x:c>
      <x:c r="S812" s="24" t="str">
        <x:v>Parcial</x:v>
      </x:c>
      <x:c r="T812" s="24" t="str">
        <x:f>"T"&amp;IF(AND(H812&lt;&gt;"",I812&lt;&gt;"",J812&lt;&gt;"",L812&lt;&gt;"",N812&lt;&gt;"",O812&lt;&gt;"",P812="APPROVED PUBLIC",S812="Sí"),6,IF(AND(H812&lt;&gt;"",I812&lt;&gt;"",J812&lt;&gt;"",L812&lt;&gt;"",N812&lt;&gt;"",O812&lt;&gt;"",P812&lt;&gt;"",S812="Sí"),5,IF(AND(H812&lt;&gt;"",I812&lt;&gt;"",P812&lt;&gt;"",S812&lt;&gt;"No"),4,IF(AND(H812&lt;&gt;"",I812&lt;&gt;""),3,IF(F812&lt;&gt;"",2,1)))))</x:f>
        <x:v>T4</x:v>
      </x:c>
      <x:c r="U812" s="24" t="str">
        <x:v>VRM Games</x:v>
      </x:c>
      <x:c r="V812" s="24" t="str">
        <x:v>source=builtin; depth=0; deps=</x:v>
      </x:c>
    </x:row>
    <x:row r="813" ht="34" customHeight="1">
      <x:c r="A813" s="24" t="str">
        <x:v>TRC-00809</x:v>
      </x:c>
      <x:c r="B813" s="24" t="str">
        <x:v>PKG-025</x:v>
      </x:c>
      <x:c r="C813" s="24" t="str">
        <x:v>com.unity.modules.physics2d</x:v>
      </x:c>
      <x:c r="D813" s="24" t="str">
        <x:v>Unity package - built-in</x:v>
      </x:c>
      <x:c r="E813" s="24" t="str">
        <x:v>11_Software_Paquetes</x:v>
      </x:c>
      <x:c r="F813" s="24" t="str">
        <x:v>PKG-025</x:v>
      </x:c>
      <x:c r="G813" s="24" t="str">
        <x:v>Unity Technologies / package publisher</x:v>
      </x:c>
      <x:c r="H813" s="24" t="str">
        <x:v>Unity built-in module / Editor terms</x:v>
      </x:c>
      <x:c r="I813" s="24" t="str">
        <x:v>Packages/manifest.json; Packages/packages-lock.json</x:v>
      </x:c>
      <x:c r="J813" s="24" t="str"/>
      <x:c r="K813" s="24" t="str">
        <x:v>com.unity.modules.physics2d</x:v>
      </x:c>
      <x:c r="L813" s="24" t="str">
        <x:v>CR-008</x:v>
      </x:c>
      <x:c r="M813" s="24" t="str">
        <x:v>ATT-001</x:v>
      </x:c>
      <x:c r="N813" s="24" t="str">
        <x:v>RES-008;RES-015</x:v>
      </x:c>
      <x:c r="O813" s="24" t="str">
        <x:v>Per terms; public notices pending</x:v>
      </x:c>
      <x:c r="P813" s="24" t="str">
        <x:v>ACTIVE / NOTICE REVIEW</x:v>
      </x:c>
      <x:c r="Q813" s="24" t="str">
        <x:v>Low</x:v>
      </x:c>
      <x:c r="R813" s="24" t="str">
        <x:v>LEG-DEBT-004</x:v>
      </x:c>
      <x:c r="S813" s="24" t="str">
        <x:v>Parcial</x:v>
      </x:c>
      <x:c r="T813" s="24" t="str">
        <x:f>"T"&amp;IF(AND(H813&lt;&gt;"",I813&lt;&gt;"",J813&lt;&gt;"",L813&lt;&gt;"",N813&lt;&gt;"",O813&lt;&gt;"",P813="APPROVED PUBLIC",S813="Sí"),6,IF(AND(H813&lt;&gt;"",I813&lt;&gt;"",J813&lt;&gt;"",L813&lt;&gt;"",N813&lt;&gt;"",O813&lt;&gt;"",P813&lt;&gt;"",S813="Sí"),5,IF(AND(H813&lt;&gt;"",I813&lt;&gt;"",P813&lt;&gt;"",S813&lt;&gt;"No"),4,IF(AND(H813&lt;&gt;"",I813&lt;&gt;""),3,IF(F813&lt;&gt;"",2,1)))))</x:f>
        <x:v>T4</x:v>
      </x:c>
      <x:c r="U813" s="24" t="str">
        <x:v>VRM Games</x:v>
      </x:c>
      <x:c r="V813" s="24" t="str">
        <x:v>source=builtin; depth=0; deps=</x:v>
      </x:c>
    </x:row>
    <x:row r="814" ht="34" customHeight="1">
      <x:c r="A814" s="24" t="str">
        <x:v>TRC-00810</x:v>
      </x:c>
      <x:c r="B814" s="24" t="str">
        <x:v>PKG-026</x:v>
      </x:c>
      <x:c r="C814" s="24" t="str">
        <x:v>com.unity.modules.screencapture</x:v>
      </x:c>
      <x:c r="D814" s="24" t="str">
        <x:v>Unity package - built-in</x:v>
      </x:c>
      <x:c r="E814" s="24" t="str">
        <x:v>11_Software_Paquetes</x:v>
      </x:c>
      <x:c r="F814" s="24" t="str">
        <x:v>PKG-026</x:v>
      </x:c>
      <x:c r="G814" s="24" t="str">
        <x:v>Unity Technologies / package publisher</x:v>
      </x:c>
      <x:c r="H814" s="24" t="str">
        <x:v>Unity built-in module / Editor terms</x:v>
      </x:c>
      <x:c r="I814" s="24" t="str">
        <x:v>Packages/manifest.json; Packages/packages-lock.json</x:v>
      </x:c>
      <x:c r="J814" s="24" t="str"/>
      <x:c r="K814" s="24" t="str">
        <x:v>com.unity.modules.screencapture</x:v>
      </x:c>
      <x:c r="L814" s="24" t="str">
        <x:v>CR-008</x:v>
      </x:c>
      <x:c r="M814" s="24" t="str">
        <x:v>ATT-001</x:v>
      </x:c>
      <x:c r="N814" s="24" t="str">
        <x:v>RES-008;RES-015</x:v>
      </x:c>
      <x:c r="O814" s="24" t="str">
        <x:v>Per terms; public notices pending</x:v>
      </x:c>
      <x:c r="P814" s="24" t="str">
        <x:v>ACTIVE / NOTICE REVIEW</x:v>
      </x:c>
      <x:c r="Q814" s="24" t="str">
        <x:v>Low</x:v>
      </x:c>
      <x:c r="R814" s="24" t="str">
        <x:v>LEG-DEBT-004</x:v>
      </x:c>
      <x:c r="S814" s="24" t="str">
        <x:v>Parcial</x:v>
      </x:c>
      <x:c r="T814" s="24" t="str">
        <x:f>"T"&amp;IF(AND(H814&lt;&gt;"",I814&lt;&gt;"",J814&lt;&gt;"",L814&lt;&gt;"",N814&lt;&gt;"",O814&lt;&gt;"",P814="APPROVED PUBLIC",S814="Sí"),6,IF(AND(H814&lt;&gt;"",I814&lt;&gt;"",J814&lt;&gt;"",L814&lt;&gt;"",N814&lt;&gt;"",O814&lt;&gt;"",P814&lt;&gt;"",S814="Sí"),5,IF(AND(H814&lt;&gt;"",I814&lt;&gt;"",P814&lt;&gt;"",S814&lt;&gt;"No"),4,IF(AND(H814&lt;&gt;"",I814&lt;&gt;""),3,IF(F814&lt;&gt;"",2,1)))))</x:f>
        <x:v>T4</x:v>
      </x:c>
      <x:c r="U814" s="24" t="str">
        <x:v>VRM Games</x:v>
      </x:c>
      <x:c r="V814" s="24" t="str">
        <x:v>source=builtin; depth=0; deps=com.unity.modules.imageconversion@1.0.0</x:v>
      </x:c>
    </x:row>
    <x:row r="815" ht="34" customHeight="1">
      <x:c r="A815" s="24" t="str">
        <x:v>TRC-00811</x:v>
      </x:c>
      <x:c r="B815" s="24" t="str">
        <x:v>PKG-027</x:v>
      </x:c>
      <x:c r="C815" s="24" t="str">
        <x:v>com.unity.modules.subsystems</x:v>
      </x:c>
      <x:c r="D815" s="24" t="str">
        <x:v>Unity package - built-in</x:v>
      </x:c>
      <x:c r="E815" s="24" t="str">
        <x:v>11_Software_Paquetes</x:v>
      </x:c>
      <x:c r="F815" s="24" t="str">
        <x:v>PKG-027</x:v>
      </x:c>
      <x:c r="G815" s="24" t="str">
        <x:v>Unity Technologies / package publisher</x:v>
      </x:c>
      <x:c r="H815" s="24" t="str">
        <x:v>Unity built-in module / Editor terms</x:v>
      </x:c>
      <x:c r="I815" s="24" t="str">
        <x:v>Packages/manifest.json; Packages/packages-lock.json</x:v>
      </x:c>
      <x:c r="J815" s="24" t="str"/>
      <x:c r="K815" s="24" t="str">
        <x:v>com.unity.modules.subsystems</x:v>
      </x:c>
      <x:c r="L815" s="24" t="str">
        <x:v>CR-008</x:v>
      </x:c>
      <x:c r="M815" s="24" t="str">
        <x:v>ATT-001</x:v>
      </x:c>
      <x:c r="N815" s="24" t="str">
        <x:v>RES-008;RES-015</x:v>
      </x:c>
      <x:c r="O815" s="24" t="str">
        <x:v>Per terms; public notices pending</x:v>
      </x:c>
      <x:c r="P815" s="24" t="str">
        <x:v>ACTIVE / NOTICE REVIEW</x:v>
      </x:c>
      <x:c r="Q815" s="24" t="str">
        <x:v>Low</x:v>
      </x:c>
      <x:c r="R815" s="24" t="str">
        <x:v>LEG-DEBT-004</x:v>
      </x:c>
      <x:c r="S815" s="24" t="str">
        <x:v>Parcial</x:v>
      </x:c>
      <x:c r="T815" s="24" t="str">
        <x:f>"T"&amp;IF(AND(H815&lt;&gt;"",I815&lt;&gt;"",J815&lt;&gt;"",L815&lt;&gt;"",N815&lt;&gt;"",O815&lt;&gt;"",P815="APPROVED PUBLIC",S815="Sí"),6,IF(AND(H815&lt;&gt;"",I815&lt;&gt;"",J815&lt;&gt;"",L815&lt;&gt;"",N815&lt;&gt;"",O815&lt;&gt;"",P815&lt;&gt;"",S815="Sí"),5,IF(AND(H815&lt;&gt;"",I815&lt;&gt;"",P815&lt;&gt;"",S815&lt;&gt;"No"),4,IF(AND(H815&lt;&gt;"",I815&lt;&gt;""),3,IF(F815&lt;&gt;"",2,1)))))</x:f>
        <x:v>T4</x:v>
      </x:c>
      <x:c r="U815" s="24" t="str">
        <x:v>VRM Games</x:v>
      </x:c>
      <x:c r="V815" s="24" t="str">
        <x:v>source=builtin; depth=1; deps=com.unity.modules.jsonserialize@1.0.0</x:v>
      </x:c>
    </x:row>
    <x:row r="816" ht="34" customHeight="1">
      <x:c r="A816" s="24" t="str">
        <x:v>TRC-00812</x:v>
      </x:c>
      <x:c r="B816" s="24" t="str">
        <x:v>PKG-028</x:v>
      </x:c>
      <x:c r="C816" s="24" t="str">
        <x:v>com.unity.modules.terrain</x:v>
      </x:c>
      <x:c r="D816" s="24" t="str">
        <x:v>Unity package - built-in</x:v>
      </x:c>
      <x:c r="E816" s="24" t="str">
        <x:v>11_Software_Paquetes</x:v>
      </x:c>
      <x:c r="F816" s="24" t="str">
        <x:v>PKG-028</x:v>
      </x:c>
      <x:c r="G816" s="24" t="str">
        <x:v>Unity Technologies / package publisher</x:v>
      </x:c>
      <x:c r="H816" s="24" t="str">
        <x:v>Unity built-in module / Editor terms</x:v>
      </x:c>
      <x:c r="I816" s="24" t="str">
        <x:v>Packages/manifest.json; Packages/packages-lock.json</x:v>
      </x:c>
      <x:c r="J816" s="24" t="str"/>
      <x:c r="K816" s="24" t="str">
        <x:v>com.unity.modules.terrain</x:v>
      </x:c>
      <x:c r="L816" s="24" t="str">
        <x:v>CR-008</x:v>
      </x:c>
      <x:c r="M816" s="24" t="str">
        <x:v>ATT-001</x:v>
      </x:c>
      <x:c r="N816" s="24" t="str">
        <x:v>RES-008;RES-015</x:v>
      </x:c>
      <x:c r="O816" s="24" t="str">
        <x:v>Per terms; public notices pending</x:v>
      </x:c>
      <x:c r="P816" s="24" t="str">
        <x:v>ACTIVE / NOTICE REVIEW</x:v>
      </x:c>
      <x:c r="Q816" s="24" t="str">
        <x:v>Low</x:v>
      </x:c>
      <x:c r="R816" s="24" t="str">
        <x:v>LEG-DEBT-004</x:v>
      </x:c>
      <x:c r="S816" s="24" t="str">
        <x:v>Parcial</x:v>
      </x:c>
      <x:c r="T816" s="24" t="str">
        <x:f>"T"&amp;IF(AND(H816&lt;&gt;"",I816&lt;&gt;"",J816&lt;&gt;"",L816&lt;&gt;"",N816&lt;&gt;"",O816&lt;&gt;"",P816="APPROVED PUBLIC",S816="Sí"),6,IF(AND(H816&lt;&gt;"",I816&lt;&gt;"",J816&lt;&gt;"",L816&lt;&gt;"",N816&lt;&gt;"",O816&lt;&gt;"",P816&lt;&gt;"",S816="Sí"),5,IF(AND(H816&lt;&gt;"",I816&lt;&gt;"",P816&lt;&gt;"",S816&lt;&gt;"No"),4,IF(AND(H816&lt;&gt;"",I816&lt;&gt;""),3,IF(F816&lt;&gt;"",2,1)))))</x:f>
        <x:v>T4</x:v>
      </x:c>
      <x:c r="U816" s="24" t="str">
        <x:v>VRM Games</x:v>
      </x:c>
      <x:c r="V816" s="24" t="str">
        <x:v>source=builtin; depth=0; deps=</x:v>
      </x:c>
    </x:row>
    <x:row r="817" ht="34" customHeight="1">
      <x:c r="A817" s="24" t="str">
        <x:v>TRC-00813</x:v>
      </x:c>
      <x:c r="B817" s="24" t="str">
        <x:v>PKG-029</x:v>
      </x:c>
      <x:c r="C817" s="24" t="str">
        <x:v>com.unity.modules.terrainphysics</x:v>
      </x:c>
      <x:c r="D817" s="24" t="str">
        <x:v>Unity package - built-in</x:v>
      </x:c>
      <x:c r="E817" s="24" t="str">
        <x:v>11_Software_Paquetes</x:v>
      </x:c>
      <x:c r="F817" s="24" t="str">
        <x:v>PKG-029</x:v>
      </x:c>
      <x:c r="G817" s="24" t="str">
        <x:v>Unity Technologies / package publisher</x:v>
      </x:c>
      <x:c r="H817" s="24" t="str">
        <x:v>Unity built-in module / Editor terms</x:v>
      </x:c>
      <x:c r="I817" s="24" t="str">
        <x:v>Packages/manifest.json; Packages/packages-lock.json</x:v>
      </x:c>
      <x:c r="J817" s="24" t="str"/>
      <x:c r="K817" s="24" t="str">
        <x:v>com.unity.modules.terrainphysics</x:v>
      </x:c>
      <x:c r="L817" s="24" t="str">
        <x:v>CR-008</x:v>
      </x:c>
      <x:c r="M817" s="24" t="str">
        <x:v>ATT-001</x:v>
      </x:c>
      <x:c r="N817" s="24" t="str">
        <x:v>RES-008;RES-015</x:v>
      </x:c>
      <x:c r="O817" s="24" t="str">
        <x:v>Per terms; public notices pending</x:v>
      </x:c>
      <x:c r="P817" s="24" t="str">
        <x:v>ACTIVE / NOTICE REVIEW</x:v>
      </x:c>
      <x:c r="Q817" s="24" t="str">
        <x:v>Low</x:v>
      </x:c>
      <x:c r="R817" s="24" t="str">
        <x:v>LEG-DEBT-004</x:v>
      </x:c>
      <x:c r="S817" s="24" t="str">
        <x:v>Parcial</x:v>
      </x:c>
      <x:c r="T817" s="24" t="str">
        <x:f>"T"&amp;IF(AND(H817&lt;&gt;"",I817&lt;&gt;"",J817&lt;&gt;"",L817&lt;&gt;"",N817&lt;&gt;"",O817&lt;&gt;"",P817="APPROVED PUBLIC",S817="Sí"),6,IF(AND(H817&lt;&gt;"",I817&lt;&gt;"",J817&lt;&gt;"",L817&lt;&gt;"",N817&lt;&gt;"",O817&lt;&gt;"",P817&lt;&gt;"",S817="Sí"),5,IF(AND(H817&lt;&gt;"",I817&lt;&gt;"",P817&lt;&gt;"",S817&lt;&gt;"No"),4,IF(AND(H817&lt;&gt;"",I817&lt;&gt;""),3,IF(F817&lt;&gt;"",2,1)))))</x:f>
        <x:v>T4</x:v>
      </x:c>
      <x:c r="U817" s="24" t="str">
        <x:v>VRM Games</x:v>
      </x:c>
      <x:c r="V817" s="24" t="str">
        <x:v>source=builtin; depth=0; deps=com.unity.modules.physics@1.0.0; com.unity.modules.terrain@1.0.0</x:v>
      </x:c>
    </x:row>
    <x:row r="818" ht="34" customHeight="1">
      <x:c r="A818" s="24" t="str">
        <x:v>TRC-00814</x:v>
      </x:c>
      <x:c r="B818" s="24" t="str">
        <x:v>PKG-030</x:v>
      </x:c>
      <x:c r="C818" s="24" t="str">
        <x:v>com.unity.modules.tilemap</x:v>
      </x:c>
      <x:c r="D818" s="24" t="str">
        <x:v>Unity package - built-in</x:v>
      </x:c>
      <x:c r="E818" s="24" t="str">
        <x:v>11_Software_Paquetes</x:v>
      </x:c>
      <x:c r="F818" s="24" t="str">
        <x:v>PKG-030</x:v>
      </x:c>
      <x:c r="G818" s="24" t="str">
        <x:v>Unity Technologies / package publisher</x:v>
      </x:c>
      <x:c r="H818" s="24" t="str">
        <x:v>Unity built-in module / Editor terms</x:v>
      </x:c>
      <x:c r="I818" s="24" t="str">
        <x:v>Packages/manifest.json; Packages/packages-lock.json</x:v>
      </x:c>
      <x:c r="J818" s="24" t="str"/>
      <x:c r="K818" s="24" t="str">
        <x:v>com.unity.modules.tilemap</x:v>
      </x:c>
      <x:c r="L818" s="24" t="str">
        <x:v>CR-008</x:v>
      </x:c>
      <x:c r="M818" s="24" t="str">
        <x:v>ATT-001</x:v>
      </x:c>
      <x:c r="N818" s="24" t="str">
        <x:v>RES-008;RES-015</x:v>
      </x:c>
      <x:c r="O818" s="24" t="str">
        <x:v>Per terms; public notices pending</x:v>
      </x:c>
      <x:c r="P818" s="24" t="str">
        <x:v>ACTIVE / NOTICE REVIEW</x:v>
      </x:c>
      <x:c r="Q818" s="24" t="str">
        <x:v>Low</x:v>
      </x:c>
      <x:c r="R818" s="24" t="str">
        <x:v>LEG-DEBT-004</x:v>
      </x:c>
      <x:c r="S818" s="24" t="str">
        <x:v>Parcial</x:v>
      </x:c>
      <x:c r="T818" s="24" t="str">
        <x:f>"T"&amp;IF(AND(H818&lt;&gt;"",I818&lt;&gt;"",J818&lt;&gt;"",L818&lt;&gt;"",N818&lt;&gt;"",O818&lt;&gt;"",P818="APPROVED PUBLIC",S818="Sí"),6,IF(AND(H818&lt;&gt;"",I818&lt;&gt;"",J818&lt;&gt;"",L818&lt;&gt;"",N818&lt;&gt;"",O818&lt;&gt;"",P818&lt;&gt;"",S818="Sí"),5,IF(AND(H818&lt;&gt;"",I818&lt;&gt;"",P818&lt;&gt;"",S818&lt;&gt;"No"),4,IF(AND(H818&lt;&gt;"",I818&lt;&gt;""),3,IF(F818&lt;&gt;"",2,1)))))</x:f>
        <x:v>T4</x:v>
      </x:c>
      <x:c r="U818" s="24" t="str">
        <x:v>VRM Games</x:v>
      </x:c>
      <x:c r="V818" s="24" t="str">
        <x:v>source=builtin; depth=0; deps=com.unity.modules.physics2d@1.0.0</x:v>
      </x:c>
    </x:row>
    <x:row r="819" ht="34" customHeight="1">
      <x:c r="A819" s="24" t="str">
        <x:v>TRC-00815</x:v>
      </x:c>
      <x:c r="B819" s="24" t="str">
        <x:v>PKG-031</x:v>
      </x:c>
      <x:c r="C819" s="24" t="str">
        <x:v>com.unity.modules.ui</x:v>
      </x:c>
      <x:c r="D819" s="24" t="str">
        <x:v>Unity package - built-in</x:v>
      </x:c>
      <x:c r="E819" s="24" t="str">
        <x:v>11_Software_Paquetes</x:v>
      </x:c>
      <x:c r="F819" s="24" t="str">
        <x:v>PKG-031</x:v>
      </x:c>
      <x:c r="G819" s="24" t="str">
        <x:v>Unity Technologies / package publisher</x:v>
      </x:c>
      <x:c r="H819" s="24" t="str">
        <x:v>Unity built-in module / Editor terms</x:v>
      </x:c>
      <x:c r="I819" s="24" t="str">
        <x:v>Packages/manifest.json; Packages/packages-lock.json</x:v>
      </x:c>
      <x:c r="J819" s="24" t="str"/>
      <x:c r="K819" s="24" t="str">
        <x:v>com.unity.modules.ui</x:v>
      </x:c>
      <x:c r="L819" s="24" t="str">
        <x:v>CR-008</x:v>
      </x:c>
      <x:c r="M819" s="24" t="str">
        <x:v>ATT-001</x:v>
      </x:c>
      <x:c r="N819" s="24" t="str">
        <x:v>RES-008;RES-015</x:v>
      </x:c>
      <x:c r="O819" s="24" t="str">
        <x:v>Per terms; public notices pending</x:v>
      </x:c>
      <x:c r="P819" s="24" t="str">
        <x:v>ACTIVE / NOTICE REVIEW</x:v>
      </x:c>
      <x:c r="Q819" s="24" t="str">
        <x:v>Low</x:v>
      </x:c>
      <x:c r="R819" s="24" t="str">
        <x:v>LEG-DEBT-004</x:v>
      </x:c>
      <x:c r="S819" s="24" t="str">
        <x:v>Parcial</x:v>
      </x:c>
      <x:c r="T819" s="24" t="str">
        <x:f>"T"&amp;IF(AND(H819&lt;&gt;"",I819&lt;&gt;"",J819&lt;&gt;"",L819&lt;&gt;"",N819&lt;&gt;"",O819&lt;&gt;"",P819="APPROVED PUBLIC",S819="Sí"),6,IF(AND(H819&lt;&gt;"",I819&lt;&gt;"",J819&lt;&gt;"",L819&lt;&gt;"",N819&lt;&gt;"",O819&lt;&gt;"",P819&lt;&gt;"",S819="Sí"),5,IF(AND(H819&lt;&gt;"",I819&lt;&gt;"",P819&lt;&gt;"",S819&lt;&gt;"No"),4,IF(AND(H819&lt;&gt;"",I819&lt;&gt;""),3,IF(F819&lt;&gt;"",2,1)))))</x:f>
        <x:v>T4</x:v>
      </x:c>
      <x:c r="U819" s="24" t="str">
        <x:v>VRM Games</x:v>
      </x:c>
      <x:c r="V819" s="24" t="str">
        <x:v>source=builtin; depth=0; deps=</x:v>
      </x:c>
    </x:row>
    <x:row r="820" ht="34" customHeight="1">
      <x:c r="A820" s="24" t="str">
        <x:v>TRC-00816</x:v>
      </x:c>
      <x:c r="B820" s="24" t="str">
        <x:v>PKG-032</x:v>
      </x:c>
      <x:c r="C820" s="24" t="str">
        <x:v>com.unity.modules.uielements</x:v>
      </x:c>
      <x:c r="D820" s="24" t="str">
        <x:v>Unity package - built-in</x:v>
      </x:c>
      <x:c r="E820" s="24" t="str">
        <x:v>11_Software_Paquetes</x:v>
      </x:c>
      <x:c r="F820" s="24" t="str">
        <x:v>PKG-032</x:v>
      </x:c>
      <x:c r="G820" s="24" t="str">
        <x:v>Unity Technologies / package publisher</x:v>
      </x:c>
      <x:c r="H820" s="24" t="str">
        <x:v>Unity built-in module / Editor terms</x:v>
      </x:c>
      <x:c r="I820" s="24" t="str">
        <x:v>Packages/manifest.json; Packages/packages-lock.json</x:v>
      </x:c>
      <x:c r="J820" s="24" t="str"/>
      <x:c r="K820" s="24" t="str">
        <x:v>com.unity.modules.uielements</x:v>
      </x:c>
      <x:c r="L820" s="24" t="str">
        <x:v>CR-008</x:v>
      </x:c>
      <x:c r="M820" s="24" t="str">
        <x:v>ATT-001</x:v>
      </x:c>
      <x:c r="N820" s="24" t="str">
        <x:v>RES-008;RES-015</x:v>
      </x:c>
      <x:c r="O820" s="24" t="str">
        <x:v>Per terms; public notices pending</x:v>
      </x:c>
      <x:c r="P820" s="24" t="str">
        <x:v>ACTIVE / NOTICE REVIEW</x:v>
      </x:c>
      <x:c r="Q820" s="24" t="str">
        <x:v>Low</x:v>
      </x:c>
      <x:c r="R820" s="24" t="str">
        <x:v>LEG-DEBT-004</x:v>
      </x:c>
      <x:c r="S820" s="24" t="str">
        <x:v>Parcial</x:v>
      </x:c>
      <x:c r="T820" s="24" t="str">
        <x:f>"T"&amp;IF(AND(H820&lt;&gt;"",I820&lt;&gt;"",J820&lt;&gt;"",L820&lt;&gt;"",N820&lt;&gt;"",O820&lt;&gt;"",P820="APPROVED PUBLIC",S820="Sí"),6,IF(AND(H820&lt;&gt;"",I820&lt;&gt;"",J820&lt;&gt;"",L820&lt;&gt;"",N820&lt;&gt;"",O820&lt;&gt;"",P820&lt;&gt;"",S820="Sí"),5,IF(AND(H820&lt;&gt;"",I820&lt;&gt;"",P820&lt;&gt;"",S820&lt;&gt;"No"),4,IF(AND(H820&lt;&gt;"",I820&lt;&gt;""),3,IF(F820&lt;&gt;"",2,1)))))</x:f>
        <x:v>T4</x:v>
      </x:c>
      <x:c r="U820" s="24" t="str">
        <x:v>VRM Games</x:v>
      </x:c>
      <x:c r="V820" s="24" t="str">
        <x:v>source=builtin; depth=0; deps=com.unity.modules.hierarchycore@1.0.0; com.unity.modules.imgui@1.0.0; com.unity.modules.jsonserialize@1.0.0; com.unity.modules.physics@1.0.0; com.unity.modules.ui@1.0.0</x:v>
      </x:c>
    </x:row>
    <x:row r="821" ht="34" customHeight="1">
      <x:c r="A821" s="24" t="str">
        <x:v>TRC-00817</x:v>
      </x:c>
      <x:c r="B821" s="24" t="str">
        <x:v>PKG-033</x:v>
      </x:c>
      <x:c r="C821" s="24" t="str">
        <x:v>com.unity.modules.umbra</x:v>
      </x:c>
      <x:c r="D821" s="24" t="str">
        <x:v>Unity package - built-in</x:v>
      </x:c>
      <x:c r="E821" s="24" t="str">
        <x:v>11_Software_Paquetes</x:v>
      </x:c>
      <x:c r="F821" s="24" t="str">
        <x:v>PKG-033</x:v>
      </x:c>
      <x:c r="G821" s="24" t="str">
        <x:v>Unity Technologies / package publisher</x:v>
      </x:c>
      <x:c r="H821" s="24" t="str">
        <x:v>Unity built-in module / Editor terms</x:v>
      </x:c>
      <x:c r="I821" s="24" t="str">
        <x:v>Packages/manifest.json; Packages/packages-lock.json</x:v>
      </x:c>
      <x:c r="J821" s="24" t="str"/>
      <x:c r="K821" s="24" t="str">
        <x:v>com.unity.modules.umbra</x:v>
      </x:c>
      <x:c r="L821" s="24" t="str">
        <x:v>CR-008</x:v>
      </x:c>
      <x:c r="M821" s="24" t="str">
        <x:v>ATT-001</x:v>
      </x:c>
      <x:c r="N821" s="24" t="str">
        <x:v>RES-008;RES-015</x:v>
      </x:c>
      <x:c r="O821" s="24" t="str">
        <x:v>Per terms; public notices pending</x:v>
      </x:c>
      <x:c r="P821" s="24" t="str">
        <x:v>ACTIVE / NOTICE REVIEW</x:v>
      </x:c>
      <x:c r="Q821" s="24" t="str">
        <x:v>Low</x:v>
      </x:c>
      <x:c r="R821" s="24" t="str">
        <x:v>LEG-DEBT-004</x:v>
      </x:c>
      <x:c r="S821" s="24" t="str">
        <x:v>Parcial</x:v>
      </x:c>
      <x:c r="T821" s="24" t="str">
        <x:f>"T"&amp;IF(AND(H821&lt;&gt;"",I821&lt;&gt;"",J821&lt;&gt;"",L821&lt;&gt;"",N821&lt;&gt;"",O821&lt;&gt;"",P821="APPROVED PUBLIC",S821="Sí"),6,IF(AND(H821&lt;&gt;"",I821&lt;&gt;"",J821&lt;&gt;"",L821&lt;&gt;"",N821&lt;&gt;"",O821&lt;&gt;"",P821&lt;&gt;"",S821="Sí"),5,IF(AND(H821&lt;&gt;"",I821&lt;&gt;"",P821&lt;&gt;"",S821&lt;&gt;"No"),4,IF(AND(H821&lt;&gt;"",I821&lt;&gt;""),3,IF(F821&lt;&gt;"",2,1)))))</x:f>
        <x:v>T4</x:v>
      </x:c>
      <x:c r="U821" s="24" t="str">
        <x:v>VRM Games</x:v>
      </x:c>
      <x:c r="V821" s="24" t="str">
        <x:v>source=builtin; depth=0; deps=</x:v>
      </x:c>
    </x:row>
    <x:row r="822" ht="34" customHeight="1">
      <x:c r="A822" s="24" t="str">
        <x:v>TRC-00818</x:v>
      </x:c>
      <x:c r="B822" s="24" t="str">
        <x:v>PKG-034</x:v>
      </x:c>
      <x:c r="C822" s="24" t="str">
        <x:v>com.unity.modules.unityanalytics</x:v>
      </x:c>
      <x:c r="D822" s="24" t="str">
        <x:v>Unity package - built-in</x:v>
      </x:c>
      <x:c r="E822" s="24" t="str">
        <x:v>11_Software_Paquetes</x:v>
      </x:c>
      <x:c r="F822" s="24" t="str">
        <x:v>PKG-034</x:v>
      </x:c>
      <x:c r="G822" s="24" t="str">
        <x:v>Unity Technologies / package publisher</x:v>
      </x:c>
      <x:c r="H822" s="24" t="str">
        <x:v>Unity built-in module / Editor terms</x:v>
      </x:c>
      <x:c r="I822" s="24" t="str">
        <x:v>Packages/manifest.json; Packages/packages-lock.json</x:v>
      </x:c>
      <x:c r="J822" s="24" t="str"/>
      <x:c r="K822" s="24" t="str">
        <x:v>com.unity.modules.unityanalytics</x:v>
      </x:c>
      <x:c r="L822" s="24" t="str">
        <x:v>CR-008</x:v>
      </x:c>
      <x:c r="M822" s="24" t="str">
        <x:v>ATT-001</x:v>
      </x:c>
      <x:c r="N822" s="24" t="str">
        <x:v>RES-008;RES-015</x:v>
      </x:c>
      <x:c r="O822" s="24" t="str">
        <x:v>Per terms; public notices pending</x:v>
      </x:c>
      <x:c r="P822" s="24" t="str">
        <x:v>ACTIVE / NOTICE REVIEW</x:v>
      </x:c>
      <x:c r="Q822" s="24" t="str">
        <x:v>Low</x:v>
      </x:c>
      <x:c r="R822" s="24" t="str">
        <x:v>LEG-DEBT-004</x:v>
      </x:c>
      <x:c r="S822" s="24" t="str">
        <x:v>Parcial</x:v>
      </x:c>
      <x:c r="T822" s="24" t="str">
        <x:f>"T"&amp;IF(AND(H822&lt;&gt;"",I822&lt;&gt;"",J822&lt;&gt;"",L822&lt;&gt;"",N822&lt;&gt;"",O822&lt;&gt;"",P822="APPROVED PUBLIC",S822="Sí"),6,IF(AND(H822&lt;&gt;"",I822&lt;&gt;"",J822&lt;&gt;"",L822&lt;&gt;"",N822&lt;&gt;"",O822&lt;&gt;"",P822&lt;&gt;"",S822="Sí"),5,IF(AND(H822&lt;&gt;"",I822&lt;&gt;"",P822&lt;&gt;"",S822&lt;&gt;"No"),4,IF(AND(H822&lt;&gt;"",I822&lt;&gt;""),3,IF(F822&lt;&gt;"",2,1)))))</x:f>
        <x:v>T4</x:v>
      </x:c>
      <x:c r="U822" s="24" t="str">
        <x:v>VRM Games</x:v>
      </x:c>
      <x:c r="V822" s="24" t="str">
        <x:v>source=builtin; depth=0; deps=com.unity.modules.jsonserialize@1.0.0; com.unity.modules.unitywebrequest@1.0.0</x:v>
      </x:c>
    </x:row>
    <x:row r="823" ht="34" customHeight="1">
      <x:c r="A823" s="24" t="str">
        <x:v>TRC-00819</x:v>
      </x:c>
      <x:c r="B823" s="24" t="str">
        <x:v>PKG-035</x:v>
      </x:c>
      <x:c r="C823" s="24" t="str">
        <x:v>com.unity.modules.unitywebrequest</x:v>
      </x:c>
      <x:c r="D823" s="24" t="str">
        <x:v>Unity package - built-in</x:v>
      </x:c>
      <x:c r="E823" s="24" t="str">
        <x:v>11_Software_Paquetes</x:v>
      </x:c>
      <x:c r="F823" s="24" t="str">
        <x:v>PKG-035</x:v>
      </x:c>
      <x:c r="G823" s="24" t="str">
        <x:v>Unity Technologies / package publisher</x:v>
      </x:c>
      <x:c r="H823" s="24" t="str">
        <x:v>Unity built-in module / Editor terms</x:v>
      </x:c>
      <x:c r="I823" s="24" t="str">
        <x:v>Packages/manifest.json; Packages/packages-lock.json</x:v>
      </x:c>
      <x:c r="J823" s="24" t="str"/>
      <x:c r="K823" s="24" t="str">
        <x:v>com.unity.modules.unitywebrequest</x:v>
      </x:c>
      <x:c r="L823" s="24" t="str">
        <x:v>CR-008</x:v>
      </x:c>
      <x:c r="M823" s="24" t="str">
        <x:v>ATT-001</x:v>
      </x:c>
      <x:c r="N823" s="24" t="str">
        <x:v>RES-008;RES-015</x:v>
      </x:c>
      <x:c r="O823" s="24" t="str">
        <x:v>Per terms; public notices pending</x:v>
      </x:c>
      <x:c r="P823" s="24" t="str">
        <x:v>ACTIVE / NOTICE REVIEW</x:v>
      </x:c>
      <x:c r="Q823" s="24" t="str">
        <x:v>Low</x:v>
      </x:c>
      <x:c r="R823" s="24" t="str">
        <x:v>LEG-DEBT-004</x:v>
      </x:c>
      <x:c r="S823" s="24" t="str">
        <x:v>Parcial</x:v>
      </x:c>
      <x:c r="T823" s="24" t="str">
        <x:f>"T"&amp;IF(AND(H823&lt;&gt;"",I823&lt;&gt;"",J823&lt;&gt;"",L823&lt;&gt;"",N823&lt;&gt;"",O823&lt;&gt;"",P823="APPROVED PUBLIC",S823="Sí"),6,IF(AND(H823&lt;&gt;"",I823&lt;&gt;"",J823&lt;&gt;"",L823&lt;&gt;"",N823&lt;&gt;"",O823&lt;&gt;"",P823&lt;&gt;"",S823="Sí"),5,IF(AND(H823&lt;&gt;"",I823&lt;&gt;"",P823&lt;&gt;"",S823&lt;&gt;"No"),4,IF(AND(H823&lt;&gt;"",I823&lt;&gt;""),3,IF(F823&lt;&gt;"",2,1)))))</x:f>
        <x:v>T4</x:v>
      </x:c>
      <x:c r="U823" s="24" t="str">
        <x:v>VRM Games</x:v>
      </x:c>
      <x:c r="V823" s="24" t="str">
        <x:v>source=builtin; depth=0; deps=</x:v>
      </x:c>
    </x:row>
    <x:row r="824" ht="34" customHeight="1">
      <x:c r="A824" s="24" t="str">
        <x:v>TRC-00820</x:v>
      </x:c>
      <x:c r="B824" s="24" t="str">
        <x:v>PKG-036</x:v>
      </x:c>
      <x:c r="C824" s="24" t="str">
        <x:v>com.unity.modules.unitywebrequestassetbundle</x:v>
      </x:c>
      <x:c r="D824" s="24" t="str">
        <x:v>Unity package - built-in</x:v>
      </x:c>
      <x:c r="E824" s="24" t="str">
        <x:v>11_Software_Paquetes</x:v>
      </x:c>
      <x:c r="F824" s="24" t="str">
        <x:v>PKG-036</x:v>
      </x:c>
      <x:c r="G824" s="24" t="str">
        <x:v>Unity Technologies / package publisher</x:v>
      </x:c>
      <x:c r="H824" s="24" t="str">
        <x:v>Unity built-in module / Editor terms</x:v>
      </x:c>
      <x:c r="I824" s="24" t="str">
        <x:v>Packages/manifest.json; Packages/packages-lock.json</x:v>
      </x:c>
      <x:c r="J824" s="24" t="str"/>
      <x:c r="K824" s="24" t="str">
        <x:v>com.unity.modules.unitywebrequestassetbundle</x:v>
      </x:c>
      <x:c r="L824" s="24" t="str">
        <x:v>CR-008</x:v>
      </x:c>
      <x:c r="M824" s="24" t="str">
        <x:v>ATT-001</x:v>
      </x:c>
      <x:c r="N824" s="24" t="str">
        <x:v>RES-008;RES-015</x:v>
      </x:c>
      <x:c r="O824" s="24" t="str">
        <x:v>Per terms; public notices pending</x:v>
      </x:c>
      <x:c r="P824" s="24" t="str">
        <x:v>ACTIVE / NOTICE REVIEW</x:v>
      </x:c>
      <x:c r="Q824" s="24" t="str">
        <x:v>Low</x:v>
      </x:c>
      <x:c r="R824" s="24" t="str">
        <x:v>LEG-DEBT-004</x:v>
      </x:c>
      <x:c r="S824" s="24" t="str">
        <x:v>Parcial</x:v>
      </x:c>
      <x:c r="T824" s="24" t="str">
        <x:f>"T"&amp;IF(AND(H824&lt;&gt;"",I824&lt;&gt;"",J824&lt;&gt;"",L824&lt;&gt;"",N824&lt;&gt;"",O824&lt;&gt;"",P824="APPROVED PUBLIC",S824="Sí"),6,IF(AND(H824&lt;&gt;"",I824&lt;&gt;"",J824&lt;&gt;"",L824&lt;&gt;"",N824&lt;&gt;"",O824&lt;&gt;"",P824&lt;&gt;"",S824="Sí"),5,IF(AND(H824&lt;&gt;"",I824&lt;&gt;"",P824&lt;&gt;"",S824&lt;&gt;"No"),4,IF(AND(H824&lt;&gt;"",I824&lt;&gt;""),3,IF(F824&lt;&gt;"",2,1)))))</x:f>
        <x:v>T4</x:v>
      </x:c>
      <x:c r="U824" s="24" t="str">
        <x:v>VRM Games</x:v>
      </x:c>
      <x:c r="V824" s="24" t="str">
        <x:v>source=builtin; depth=0; deps=com.unity.modules.assetbundle@1.0.0; com.unity.modules.unitywebrequest@1.0.0</x:v>
      </x:c>
    </x:row>
    <x:row r="825" ht="34" customHeight="1">
      <x:c r="A825" s="24" t="str">
        <x:v>TRC-00821</x:v>
      </x:c>
      <x:c r="B825" s="24" t="str">
        <x:v>PKG-037</x:v>
      </x:c>
      <x:c r="C825" s="24" t="str">
        <x:v>com.unity.modules.unitywebrequestaudio</x:v>
      </x:c>
      <x:c r="D825" s="24" t="str">
        <x:v>Unity package - built-in</x:v>
      </x:c>
      <x:c r="E825" s="24" t="str">
        <x:v>11_Software_Paquetes</x:v>
      </x:c>
      <x:c r="F825" s="24" t="str">
        <x:v>PKG-037</x:v>
      </x:c>
      <x:c r="G825" s="24" t="str">
        <x:v>Unity Technologies / package publisher</x:v>
      </x:c>
      <x:c r="H825" s="24" t="str">
        <x:v>Unity built-in module / Editor terms</x:v>
      </x:c>
      <x:c r="I825" s="24" t="str">
        <x:v>Packages/manifest.json; Packages/packages-lock.json</x:v>
      </x:c>
      <x:c r="J825" s="24" t="str"/>
      <x:c r="K825" s="24" t="str">
        <x:v>com.unity.modules.unitywebrequestaudio</x:v>
      </x:c>
      <x:c r="L825" s="24" t="str">
        <x:v>CR-008</x:v>
      </x:c>
      <x:c r="M825" s="24" t="str">
        <x:v>ATT-001</x:v>
      </x:c>
      <x:c r="N825" s="24" t="str">
        <x:v>RES-008;RES-015</x:v>
      </x:c>
      <x:c r="O825" s="24" t="str">
        <x:v>Per terms; public notices pending</x:v>
      </x:c>
      <x:c r="P825" s="24" t="str">
        <x:v>ACTIVE / NOTICE REVIEW</x:v>
      </x:c>
      <x:c r="Q825" s="24" t="str">
        <x:v>Low</x:v>
      </x:c>
      <x:c r="R825" s="24" t="str">
        <x:v>LEG-DEBT-004</x:v>
      </x:c>
      <x:c r="S825" s="24" t="str">
        <x:v>Parcial</x:v>
      </x:c>
      <x:c r="T825" s="24" t="str">
        <x:f>"T"&amp;IF(AND(H825&lt;&gt;"",I825&lt;&gt;"",J825&lt;&gt;"",L825&lt;&gt;"",N825&lt;&gt;"",O825&lt;&gt;"",P825="APPROVED PUBLIC",S825="Sí"),6,IF(AND(H825&lt;&gt;"",I825&lt;&gt;"",J825&lt;&gt;"",L825&lt;&gt;"",N825&lt;&gt;"",O825&lt;&gt;"",P825&lt;&gt;"",S825="Sí"),5,IF(AND(H825&lt;&gt;"",I825&lt;&gt;"",P825&lt;&gt;"",S825&lt;&gt;"No"),4,IF(AND(H825&lt;&gt;"",I825&lt;&gt;""),3,IF(F825&lt;&gt;"",2,1)))))</x:f>
        <x:v>T4</x:v>
      </x:c>
      <x:c r="U825" s="24" t="str">
        <x:v>VRM Games</x:v>
      </x:c>
      <x:c r="V825" s="24" t="str">
        <x:v>source=builtin; depth=0; deps=com.unity.modules.audio@1.0.0; com.unity.modules.unitywebrequest@1.0.0</x:v>
      </x:c>
    </x:row>
    <x:row r="826" ht="34" customHeight="1">
      <x:c r="A826" s="24" t="str">
        <x:v>TRC-00822</x:v>
      </x:c>
      <x:c r="B826" s="24" t="str">
        <x:v>PKG-038</x:v>
      </x:c>
      <x:c r="C826" s="24" t="str">
        <x:v>com.unity.modules.unitywebrequesttexture</x:v>
      </x:c>
      <x:c r="D826" s="24" t="str">
        <x:v>Unity package - built-in</x:v>
      </x:c>
      <x:c r="E826" s="24" t="str">
        <x:v>11_Software_Paquetes</x:v>
      </x:c>
      <x:c r="F826" s="24" t="str">
        <x:v>PKG-038</x:v>
      </x:c>
      <x:c r="G826" s="24" t="str">
        <x:v>Unity Technologies / package publisher</x:v>
      </x:c>
      <x:c r="H826" s="24" t="str">
        <x:v>Unity built-in module / Editor terms</x:v>
      </x:c>
      <x:c r="I826" s="24" t="str">
        <x:v>Packages/manifest.json; Packages/packages-lock.json</x:v>
      </x:c>
      <x:c r="J826" s="24" t="str"/>
      <x:c r="K826" s="24" t="str">
        <x:v>com.unity.modules.unitywebrequesttexture</x:v>
      </x:c>
      <x:c r="L826" s="24" t="str">
        <x:v>CR-008</x:v>
      </x:c>
      <x:c r="M826" s="24" t="str">
        <x:v>ATT-001</x:v>
      </x:c>
      <x:c r="N826" s="24" t="str">
        <x:v>RES-008;RES-015</x:v>
      </x:c>
      <x:c r="O826" s="24" t="str">
        <x:v>Per terms; public notices pending</x:v>
      </x:c>
      <x:c r="P826" s="24" t="str">
        <x:v>ACTIVE / NOTICE REVIEW</x:v>
      </x:c>
      <x:c r="Q826" s="24" t="str">
        <x:v>Low</x:v>
      </x:c>
      <x:c r="R826" s="24" t="str">
        <x:v>LEG-DEBT-004</x:v>
      </x:c>
      <x:c r="S826" s="24" t="str">
        <x:v>Parcial</x:v>
      </x:c>
      <x:c r="T826" s="24" t="str">
        <x:f>"T"&amp;IF(AND(H826&lt;&gt;"",I826&lt;&gt;"",J826&lt;&gt;"",L826&lt;&gt;"",N826&lt;&gt;"",O826&lt;&gt;"",P826="APPROVED PUBLIC",S826="Sí"),6,IF(AND(H826&lt;&gt;"",I826&lt;&gt;"",J826&lt;&gt;"",L826&lt;&gt;"",N826&lt;&gt;"",O826&lt;&gt;"",P826&lt;&gt;"",S826="Sí"),5,IF(AND(H826&lt;&gt;"",I826&lt;&gt;"",P826&lt;&gt;"",S826&lt;&gt;"No"),4,IF(AND(H826&lt;&gt;"",I826&lt;&gt;""),3,IF(F826&lt;&gt;"",2,1)))))</x:f>
        <x:v>T4</x:v>
      </x:c>
      <x:c r="U826" s="24" t="str">
        <x:v>VRM Games</x:v>
      </x:c>
      <x:c r="V826" s="24" t="str">
        <x:v>source=builtin; depth=0; deps=com.unity.modules.imageconversion@1.0.0; com.unity.modules.unitywebrequest@1.0.0</x:v>
      </x:c>
    </x:row>
    <x:row r="827" ht="34" customHeight="1">
      <x:c r="A827" s="24" t="str">
        <x:v>TRC-00823</x:v>
      </x:c>
      <x:c r="B827" s="24" t="str">
        <x:v>PKG-039</x:v>
      </x:c>
      <x:c r="C827" s="24" t="str">
        <x:v>com.unity.modules.unitywebrequestwww</x:v>
      </x:c>
      <x:c r="D827" s="24" t="str">
        <x:v>Unity package - built-in</x:v>
      </x:c>
      <x:c r="E827" s="24" t="str">
        <x:v>11_Software_Paquetes</x:v>
      </x:c>
      <x:c r="F827" s="24" t="str">
        <x:v>PKG-039</x:v>
      </x:c>
      <x:c r="G827" s="24" t="str">
        <x:v>Unity Technologies / package publisher</x:v>
      </x:c>
      <x:c r="H827" s="24" t="str">
        <x:v>Unity built-in module / Editor terms</x:v>
      </x:c>
      <x:c r="I827" s="24" t="str">
        <x:v>Packages/manifest.json; Packages/packages-lock.json</x:v>
      </x:c>
      <x:c r="J827" s="24" t="str"/>
      <x:c r="K827" s="24" t="str">
        <x:v>com.unity.modules.unitywebrequestwww</x:v>
      </x:c>
      <x:c r="L827" s="24" t="str">
        <x:v>CR-008</x:v>
      </x:c>
      <x:c r="M827" s="24" t="str">
        <x:v>ATT-001</x:v>
      </x:c>
      <x:c r="N827" s="24" t="str">
        <x:v>RES-008;RES-015</x:v>
      </x:c>
      <x:c r="O827" s="24" t="str">
        <x:v>Per terms; public notices pending</x:v>
      </x:c>
      <x:c r="P827" s="24" t="str">
        <x:v>ACTIVE / NOTICE REVIEW</x:v>
      </x:c>
      <x:c r="Q827" s="24" t="str">
        <x:v>Low</x:v>
      </x:c>
      <x:c r="R827" s="24" t="str">
        <x:v>LEG-DEBT-004</x:v>
      </x:c>
      <x:c r="S827" s="24" t="str">
        <x:v>Parcial</x:v>
      </x:c>
      <x:c r="T827" s="24" t="str">
        <x:f>"T"&amp;IF(AND(H827&lt;&gt;"",I827&lt;&gt;"",J827&lt;&gt;"",L827&lt;&gt;"",N827&lt;&gt;"",O827&lt;&gt;"",P827="APPROVED PUBLIC",S827="Sí"),6,IF(AND(H827&lt;&gt;"",I827&lt;&gt;"",J827&lt;&gt;"",L827&lt;&gt;"",N827&lt;&gt;"",O827&lt;&gt;"",P827&lt;&gt;"",S827="Sí"),5,IF(AND(H827&lt;&gt;"",I827&lt;&gt;"",P827&lt;&gt;"",S827&lt;&gt;"No"),4,IF(AND(H827&lt;&gt;"",I827&lt;&gt;""),3,IF(F827&lt;&gt;"",2,1)))))</x:f>
        <x:v>T4</x:v>
      </x:c>
      <x:c r="U827" s="24" t="str">
        <x:v>VRM Games</x:v>
      </x:c>
      <x:c r="V827" s="24" t="str">
        <x:v>source=builtin; depth=0; deps=com.unity.modules.assetbundle@1.0.0; com.unity.modules.audio@1.0.0; com.unity.modules.imageconversion@1.0.0; com.unity.modules.unitywebrequest@1.0.0; com.unity.modules.unitywebrequestassetbundle@1.0.0; com.unity.modules.unitywebrequestaudio@1.0.0</x:v>
      </x:c>
    </x:row>
    <x:row r="828" ht="34" customHeight="1">
      <x:c r="A828" s="24" t="str">
        <x:v>TRC-00824</x:v>
      </x:c>
      <x:c r="B828" s="24" t="str">
        <x:v>PKG-040</x:v>
      </x:c>
      <x:c r="C828" s="24" t="str">
        <x:v>com.unity.modules.vectorgraphics</x:v>
      </x:c>
      <x:c r="D828" s="24" t="str">
        <x:v>Unity package - built-in</x:v>
      </x:c>
      <x:c r="E828" s="24" t="str">
        <x:v>11_Software_Paquetes</x:v>
      </x:c>
      <x:c r="F828" s="24" t="str">
        <x:v>PKG-040</x:v>
      </x:c>
      <x:c r="G828" s="24" t="str">
        <x:v>Unity Technologies / package publisher</x:v>
      </x:c>
      <x:c r="H828" s="24" t="str">
        <x:v>Unity built-in module / Editor terms</x:v>
      </x:c>
      <x:c r="I828" s="24" t="str">
        <x:v>Packages/manifest.json; Packages/packages-lock.json</x:v>
      </x:c>
      <x:c r="J828" s="24" t="str"/>
      <x:c r="K828" s="24" t="str">
        <x:v>com.unity.modules.vectorgraphics</x:v>
      </x:c>
      <x:c r="L828" s="24" t="str">
        <x:v>CR-008</x:v>
      </x:c>
      <x:c r="M828" s="24" t="str">
        <x:v>ATT-001</x:v>
      </x:c>
      <x:c r="N828" s="24" t="str">
        <x:v>RES-008;RES-015</x:v>
      </x:c>
      <x:c r="O828" s="24" t="str">
        <x:v>Per terms; public notices pending</x:v>
      </x:c>
      <x:c r="P828" s="24" t="str">
        <x:v>ACTIVE / NOTICE REVIEW</x:v>
      </x:c>
      <x:c r="Q828" s="24" t="str">
        <x:v>Low</x:v>
      </x:c>
      <x:c r="R828" s="24" t="str">
        <x:v>LEG-DEBT-004</x:v>
      </x:c>
      <x:c r="S828" s="24" t="str">
        <x:v>Parcial</x:v>
      </x:c>
      <x:c r="T828" s="24" t="str">
        <x:f>"T"&amp;IF(AND(H828&lt;&gt;"",I828&lt;&gt;"",J828&lt;&gt;"",L828&lt;&gt;"",N828&lt;&gt;"",O828&lt;&gt;"",P828="APPROVED PUBLIC",S828="Sí"),6,IF(AND(H828&lt;&gt;"",I828&lt;&gt;"",J828&lt;&gt;"",L828&lt;&gt;"",N828&lt;&gt;"",O828&lt;&gt;"",P828&lt;&gt;"",S828="Sí"),5,IF(AND(H828&lt;&gt;"",I828&lt;&gt;"",P828&lt;&gt;"",S828&lt;&gt;"No"),4,IF(AND(H828&lt;&gt;"",I828&lt;&gt;""),3,IF(F828&lt;&gt;"",2,1)))))</x:f>
        <x:v>T4</x:v>
      </x:c>
      <x:c r="U828" s="24" t="str">
        <x:v>VRM Games</x:v>
      </x:c>
      <x:c r="V828" s="24" t="str">
        <x:v>source=builtin; depth=0; deps=com.unity.modules.imageconversion@1.0.0; com.unity.modules.imgui@1.0.0; com.unity.modules.uielements@1.0.0</x:v>
      </x:c>
    </x:row>
    <x:row r="829" ht="34" customHeight="1">
      <x:c r="A829" s="24" t="str">
        <x:v>TRC-00825</x:v>
      </x:c>
      <x:c r="B829" s="24" t="str">
        <x:v>PKG-041</x:v>
      </x:c>
      <x:c r="C829" s="24" t="str">
        <x:v>com.unity.modules.vehicles</x:v>
      </x:c>
      <x:c r="D829" s="24" t="str">
        <x:v>Unity package - built-in</x:v>
      </x:c>
      <x:c r="E829" s="24" t="str">
        <x:v>11_Software_Paquetes</x:v>
      </x:c>
      <x:c r="F829" s="24" t="str">
        <x:v>PKG-041</x:v>
      </x:c>
      <x:c r="G829" s="24" t="str">
        <x:v>Unity Technologies / package publisher</x:v>
      </x:c>
      <x:c r="H829" s="24" t="str">
        <x:v>Unity built-in module / Editor terms</x:v>
      </x:c>
      <x:c r="I829" s="24" t="str">
        <x:v>Packages/manifest.json; Packages/packages-lock.json</x:v>
      </x:c>
      <x:c r="J829" s="24" t="str"/>
      <x:c r="K829" s="24" t="str">
        <x:v>com.unity.modules.vehicles</x:v>
      </x:c>
      <x:c r="L829" s="24" t="str">
        <x:v>CR-008</x:v>
      </x:c>
      <x:c r="M829" s="24" t="str">
        <x:v>ATT-001</x:v>
      </x:c>
      <x:c r="N829" s="24" t="str">
        <x:v>RES-008;RES-015</x:v>
      </x:c>
      <x:c r="O829" s="24" t="str">
        <x:v>Per terms; public notices pending</x:v>
      </x:c>
      <x:c r="P829" s="24" t="str">
        <x:v>ACTIVE / NOTICE REVIEW</x:v>
      </x:c>
      <x:c r="Q829" s="24" t="str">
        <x:v>Low</x:v>
      </x:c>
      <x:c r="R829" s="24" t="str">
        <x:v>LEG-DEBT-004</x:v>
      </x:c>
      <x:c r="S829" s="24" t="str">
        <x:v>Parcial</x:v>
      </x:c>
      <x:c r="T829" s="24" t="str">
        <x:f>"T"&amp;IF(AND(H829&lt;&gt;"",I829&lt;&gt;"",J829&lt;&gt;"",L829&lt;&gt;"",N829&lt;&gt;"",O829&lt;&gt;"",P829="APPROVED PUBLIC",S829="Sí"),6,IF(AND(H829&lt;&gt;"",I829&lt;&gt;"",J829&lt;&gt;"",L829&lt;&gt;"",N829&lt;&gt;"",O829&lt;&gt;"",P829&lt;&gt;"",S829="Sí"),5,IF(AND(H829&lt;&gt;"",I829&lt;&gt;"",P829&lt;&gt;"",S829&lt;&gt;"No"),4,IF(AND(H829&lt;&gt;"",I829&lt;&gt;""),3,IF(F829&lt;&gt;"",2,1)))))</x:f>
        <x:v>T4</x:v>
      </x:c>
      <x:c r="U829" s="24" t="str">
        <x:v>VRM Games</x:v>
      </x:c>
      <x:c r="V829" s="24" t="str">
        <x:v>source=builtin; depth=0; deps=com.unity.modules.physics@1.0.0</x:v>
      </x:c>
    </x:row>
    <x:row r="830" ht="34" customHeight="1">
      <x:c r="A830" s="24" t="str">
        <x:v>TRC-00826</x:v>
      </x:c>
      <x:c r="B830" s="24" t="str">
        <x:v>PKG-042</x:v>
      </x:c>
      <x:c r="C830" s="24" t="str">
        <x:v>com.unity.modules.video</x:v>
      </x:c>
      <x:c r="D830" s="24" t="str">
        <x:v>Unity package - built-in</x:v>
      </x:c>
      <x:c r="E830" s="24" t="str">
        <x:v>11_Software_Paquetes</x:v>
      </x:c>
      <x:c r="F830" s="24" t="str">
        <x:v>PKG-042</x:v>
      </x:c>
      <x:c r="G830" s="24" t="str">
        <x:v>Unity Technologies / package publisher</x:v>
      </x:c>
      <x:c r="H830" s="24" t="str">
        <x:v>Unity built-in module / Editor terms</x:v>
      </x:c>
      <x:c r="I830" s="24" t="str">
        <x:v>Packages/manifest.json; Packages/packages-lock.json</x:v>
      </x:c>
      <x:c r="J830" s="24" t="str"/>
      <x:c r="K830" s="24" t="str">
        <x:v>com.unity.modules.video</x:v>
      </x:c>
      <x:c r="L830" s="24" t="str">
        <x:v>CR-008</x:v>
      </x:c>
      <x:c r="M830" s="24" t="str">
        <x:v>ATT-001</x:v>
      </x:c>
      <x:c r="N830" s="24" t="str">
        <x:v>RES-008;RES-015</x:v>
      </x:c>
      <x:c r="O830" s="24" t="str">
        <x:v>Per terms; public notices pending</x:v>
      </x:c>
      <x:c r="P830" s="24" t="str">
        <x:v>ACTIVE / NOTICE REVIEW</x:v>
      </x:c>
      <x:c r="Q830" s="24" t="str">
        <x:v>Low</x:v>
      </x:c>
      <x:c r="R830" s="24" t="str">
        <x:v>LEG-DEBT-004</x:v>
      </x:c>
      <x:c r="S830" s="24" t="str">
        <x:v>Parcial</x:v>
      </x:c>
      <x:c r="T830" s="24" t="str">
        <x:f>"T"&amp;IF(AND(H830&lt;&gt;"",I830&lt;&gt;"",J830&lt;&gt;"",L830&lt;&gt;"",N830&lt;&gt;"",O830&lt;&gt;"",P830="APPROVED PUBLIC",S830="Sí"),6,IF(AND(H830&lt;&gt;"",I830&lt;&gt;"",J830&lt;&gt;"",L830&lt;&gt;"",N830&lt;&gt;"",O830&lt;&gt;"",P830&lt;&gt;"",S830="Sí"),5,IF(AND(H830&lt;&gt;"",I830&lt;&gt;"",P830&lt;&gt;"",S830&lt;&gt;"No"),4,IF(AND(H830&lt;&gt;"",I830&lt;&gt;""),3,IF(F830&lt;&gt;"",2,1)))))</x:f>
        <x:v>T4</x:v>
      </x:c>
      <x:c r="U830" s="24" t="str">
        <x:v>VRM Games</x:v>
      </x:c>
      <x:c r="V830" s="24" t="str">
        <x:v>source=builtin; depth=0; deps=com.unity.modules.audio@1.0.0; com.unity.modules.ui@1.0.0; com.unity.modules.unitywebrequest@1.0.0</x:v>
      </x:c>
    </x:row>
    <x:row r="831" ht="34" customHeight="1">
      <x:c r="A831" s="24" t="str">
        <x:v>TRC-00827</x:v>
      </x:c>
      <x:c r="B831" s="24" t="str">
        <x:v>PKG-043</x:v>
      </x:c>
      <x:c r="C831" s="24" t="str">
        <x:v>com.unity.modules.vr</x:v>
      </x:c>
      <x:c r="D831" s="24" t="str">
        <x:v>Unity package - built-in</x:v>
      </x:c>
      <x:c r="E831" s="24" t="str">
        <x:v>11_Software_Paquetes</x:v>
      </x:c>
      <x:c r="F831" s="24" t="str">
        <x:v>PKG-043</x:v>
      </x:c>
      <x:c r="G831" s="24" t="str">
        <x:v>Unity Technologies / package publisher</x:v>
      </x:c>
      <x:c r="H831" s="24" t="str">
        <x:v>Unity built-in module / Editor terms</x:v>
      </x:c>
      <x:c r="I831" s="24" t="str">
        <x:v>Packages/manifest.json; Packages/packages-lock.json</x:v>
      </x:c>
      <x:c r="J831" s="24" t="str"/>
      <x:c r="K831" s="24" t="str">
        <x:v>com.unity.modules.vr</x:v>
      </x:c>
      <x:c r="L831" s="24" t="str">
        <x:v>CR-008</x:v>
      </x:c>
      <x:c r="M831" s="24" t="str">
        <x:v>ATT-001</x:v>
      </x:c>
      <x:c r="N831" s="24" t="str">
        <x:v>RES-008;RES-015</x:v>
      </x:c>
      <x:c r="O831" s="24" t="str">
        <x:v>Per terms; public notices pending</x:v>
      </x:c>
      <x:c r="P831" s="24" t="str">
        <x:v>ACTIVE / NOTICE REVIEW</x:v>
      </x:c>
      <x:c r="Q831" s="24" t="str">
        <x:v>Low</x:v>
      </x:c>
      <x:c r="R831" s="24" t="str">
        <x:v>LEG-DEBT-004</x:v>
      </x:c>
      <x:c r="S831" s="24" t="str">
        <x:v>Parcial</x:v>
      </x:c>
      <x:c r="T831" s="24" t="str">
        <x:f>"T"&amp;IF(AND(H831&lt;&gt;"",I831&lt;&gt;"",J831&lt;&gt;"",L831&lt;&gt;"",N831&lt;&gt;"",O831&lt;&gt;"",P831="APPROVED PUBLIC",S831="Sí"),6,IF(AND(H831&lt;&gt;"",I831&lt;&gt;"",J831&lt;&gt;"",L831&lt;&gt;"",N831&lt;&gt;"",O831&lt;&gt;"",P831&lt;&gt;"",S831="Sí"),5,IF(AND(H831&lt;&gt;"",I831&lt;&gt;"",P831&lt;&gt;"",S831&lt;&gt;"No"),4,IF(AND(H831&lt;&gt;"",I831&lt;&gt;""),3,IF(F831&lt;&gt;"",2,1)))))</x:f>
        <x:v>T4</x:v>
      </x:c>
      <x:c r="U831" s="24" t="str">
        <x:v>VRM Games</x:v>
      </x:c>
      <x:c r="V831" s="24" t="str">
        <x:v>source=builtin; depth=0; deps=com.unity.modules.jsonserialize@1.0.0; com.unity.modules.physics@1.0.0; com.unity.modules.xr@1.0.0</x:v>
      </x:c>
    </x:row>
    <x:row r="832" ht="34" customHeight="1">
      <x:c r="A832" s="24" t="str">
        <x:v>TRC-00828</x:v>
      </x:c>
      <x:c r="B832" s="24" t="str">
        <x:v>PKG-044</x:v>
      </x:c>
      <x:c r="C832" s="24" t="str">
        <x:v>com.unity.modules.wind</x:v>
      </x:c>
      <x:c r="D832" s="24" t="str">
        <x:v>Unity package - built-in</x:v>
      </x:c>
      <x:c r="E832" s="24" t="str">
        <x:v>11_Software_Paquetes</x:v>
      </x:c>
      <x:c r="F832" s="24" t="str">
        <x:v>PKG-044</x:v>
      </x:c>
      <x:c r="G832" s="24" t="str">
        <x:v>Unity Technologies / package publisher</x:v>
      </x:c>
      <x:c r="H832" s="24" t="str">
        <x:v>Unity built-in module / Editor terms</x:v>
      </x:c>
      <x:c r="I832" s="24" t="str">
        <x:v>Packages/manifest.json; Packages/packages-lock.json</x:v>
      </x:c>
      <x:c r="J832" s="24" t="str"/>
      <x:c r="K832" s="24" t="str">
        <x:v>com.unity.modules.wind</x:v>
      </x:c>
      <x:c r="L832" s="24" t="str">
        <x:v>CR-008</x:v>
      </x:c>
      <x:c r="M832" s="24" t="str">
        <x:v>ATT-001</x:v>
      </x:c>
      <x:c r="N832" s="24" t="str">
        <x:v>RES-008;RES-015</x:v>
      </x:c>
      <x:c r="O832" s="24" t="str">
        <x:v>Per terms; public notices pending</x:v>
      </x:c>
      <x:c r="P832" s="24" t="str">
        <x:v>ACTIVE / NOTICE REVIEW</x:v>
      </x:c>
      <x:c r="Q832" s="24" t="str">
        <x:v>Low</x:v>
      </x:c>
      <x:c r="R832" s="24" t="str">
        <x:v>LEG-DEBT-004</x:v>
      </x:c>
      <x:c r="S832" s="24" t="str">
        <x:v>Parcial</x:v>
      </x:c>
      <x:c r="T832" s="24" t="str">
        <x:f>"T"&amp;IF(AND(H832&lt;&gt;"",I832&lt;&gt;"",J832&lt;&gt;"",L832&lt;&gt;"",N832&lt;&gt;"",O832&lt;&gt;"",P832="APPROVED PUBLIC",S832="Sí"),6,IF(AND(H832&lt;&gt;"",I832&lt;&gt;"",J832&lt;&gt;"",L832&lt;&gt;"",N832&lt;&gt;"",O832&lt;&gt;"",P832&lt;&gt;"",S832="Sí"),5,IF(AND(H832&lt;&gt;"",I832&lt;&gt;"",P832&lt;&gt;"",S832&lt;&gt;"No"),4,IF(AND(H832&lt;&gt;"",I832&lt;&gt;""),3,IF(F832&lt;&gt;"",2,1)))))</x:f>
        <x:v>T4</x:v>
      </x:c>
      <x:c r="U832" s="24" t="str">
        <x:v>VRM Games</x:v>
      </x:c>
      <x:c r="V832" s="24" t="str">
        <x:v>source=builtin; depth=0; deps=</x:v>
      </x:c>
    </x:row>
    <x:row r="833" ht="34" customHeight="1">
      <x:c r="A833" s="24" t="str">
        <x:v>TRC-00829</x:v>
      </x:c>
      <x:c r="B833" s="24" t="str">
        <x:v>PKG-045</x:v>
      </x:c>
      <x:c r="C833" s="24" t="str">
        <x:v>com.unity.modules.xr</x:v>
      </x:c>
      <x:c r="D833" s="24" t="str">
        <x:v>Unity package - built-in</x:v>
      </x:c>
      <x:c r="E833" s="24" t="str">
        <x:v>11_Software_Paquetes</x:v>
      </x:c>
      <x:c r="F833" s="24" t="str">
        <x:v>PKG-045</x:v>
      </x:c>
      <x:c r="G833" s="24" t="str">
        <x:v>Unity Technologies / package publisher</x:v>
      </x:c>
      <x:c r="H833" s="24" t="str">
        <x:v>Unity built-in module / Editor terms</x:v>
      </x:c>
      <x:c r="I833" s="24" t="str">
        <x:v>Packages/manifest.json; Packages/packages-lock.json</x:v>
      </x:c>
      <x:c r="J833" s="24" t="str"/>
      <x:c r="K833" s="24" t="str">
        <x:v>com.unity.modules.xr</x:v>
      </x:c>
      <x:c r="L833" s="24" t="str">
        <x:v>CR-008</x:v>
      </x:c>
      <x:c r="M833" s="24" t="str">
        <x:v>ATT-001</x:v>
      </x:c>
      <x:c r="N833" s="24" t="str">
        <x:v>RES-008;RES-015</x:v>
      </x:c>
      <x:c r="O833" s="24" t="str">
        <x:v>Per terms; public notices pending</x:v>
      </x:c>
      <x:c r="P833" s="24" t="str">
        <x:v>ACTIVE / NOTICE REVIEW</x:v>
      </x:c>
      <x:c r="Q833" s="24" t="str">
        <x:v>Low</x:v>
      </x:c>
      <x:c r="R833" s="24" t="str">
        <x:v>LEG-DEBT-004</x:v>
      </x:c>
      <x:c r="S833" s="24" t="str">
        <x:v>Parcial</x:v>
      </x:c>
      <x:c r="T833" s="24" t="str">
        <x:f>"T"&amp;IF(AND(H833&lt;&gt;"",I833&lt;&gt;"",J833&lt;&gt;"",L833&lt;&gt;"",N833&lt;&gt;"",O833&lt;&gt;"",P833="APPROVED PUBLIC",S833="Sí"),6,IF(AND(H833&lt;&gt;"",I833&lt;&gt;"",J833&lt;&gt;"",L833&lt;&gt;"",N833&lt;&gt;"",O833&lt;&gt;"",P833&lt;&gt;"",S833="Sí"),5,IF(AND(H833&lt;&gt;"",I833&lt;&gt;"",P833&lt;&gt;"",S833&lt;&gt;"No"),4,IF(AND(H833&lt;&gt;"",I833&lt;&gt;""),3,IF(F833&lt;&gt;"",2,1)))))</x:f>
        <x:v>T4</x:v>
      </x:c>
      <x:c r="U833" s="24" t="str">
        <x:v>VRM Games</x:v>
      </x:c>
      <x:c r="V833" s="24" t="str">
        <x:v>source=builtin; depth=0; deps=com.unity.modules.jsonserialize@1.0.0; com.unity.modules.physics@1.0.0; com.unity.modules.subsystems@1.0.0</x:v>
      </x:c>
    </x:row>
    <x:row r="834" ht="34" customHeight="1">
      <x:c r="A834" s="24" t="str">
        <x:v>TRC-00830</x:v>
      </x:c>
      <x:c r="B834" s="24" t="str">
        <x:v>PKG-046</x:v>
      </x:c>
      <x:c r="C834" s="24" t="str">
        <x:v>com.unity.nuget.mono-cecil</x:v>
      </x:c>
      <x:c r="D834" s="24" t="str">
        <x:v>Unity package - registry</x:v>
      </x:c>
      <x:c r="E834" s="24" t="str">
        <x:v>11_Software_Paquetes</x:v>
      </x:c>
      <x:c r="F834" s="24" t="str">
        <x:v>PKG-046</x:v>
      </x:c>
      <x:c r="G834" s="24" t="str">
        <x:v>Unity Technologies / package publisher</x:v>
      </x:c>
      <x:c r="H834" s="24" t="str">
        <x:v>Unity Package Manager package terms; verify package LICENSE/NOTICE</x:v>
      </x:c>
      <x:c r="I834" s="24" t="str">
        <x:v>Packages/manifest.json; Packages/packages-lock.json</x:v>
      </x:c>
      <x:c r="J834" s="24" t="str"/>
      <x:c r="K834" s="24" t="str">
        <x:v>com.unity.nuget.mono-cecil</x:v>
      </x:c>
      <x:c r="L834" s="24" t="str">
        <x:v>CR-008</x:v>
      </x:c>
      <x:c r="M834" s="24" t="str">
        <x:v>ATT-001</x:v>
      </x:c>
      <x:c r="N834" s="24" t="str">
        <x:v>RES-008;RES-015</x:v>
      </x:c>
      <x:c r="O834" s="24" t="str">
        <x:v>Per terms; public notices pending</x:v>
      </x:c>
      <x:c r="P834" s="24" t="str">
        <x:v>ACTIVE / NOTICE REVIEW</x:v>
      </x:c>
      <x:c r="Q834" s="24" t="str">
        <x:v>Medium</x:v>
      </x:c>
      <x:c r="R834" s="24" t="str">
        <x:v>LEG-DEBT-004</x:v>
      </x:c>
      <x:c r="S834" s="24" t="str">
        <x:v>Parcial</x:v>
      </x:c>
      <x:c r="T834" s="24" t="str">
        <x:f>"T"&amp;IF(AND(H834&lt;&gt;"",I834&lt;&gt;"",J834&lt;&gt;"",L834&lt;&gt;"",N834&lt;&gt;"",O834&lt;&gt;"",P834="APPROVED PUBLIC",S834="Sí"),6,IF(AND(H834&lt;&gt;"",I834&lt;&gt;"",J834&lt;&gt;"",L834&lt;&gt;"",N834&lt;&gt;"",O834&lt;&gt;"",P834&lt;&gt;"",S834="Sí"),5,IF(AND(H834&lt;&gt;"",I834&lt;&gt;"",P834&lt;&gt;"",S834&lt;&gt;"No"),4,IF(AND(H834&lt;&gt;"",I834&lt;&gt;""),3,IF(F834&lt;&gt;"",2,1)))))</x:f>
        <x:v>T4</x:v>
      </x:c>
      <x:c r="U834" s="24" t="str">
        <x:v>VRM Games</x:v>
      </x:c>
      <x:c r="V834" s="24" t="str">
        <x:v>source=registry; depth=3; deps=</x:v>
      </x:c>
    </x:row>
    <x:row r="835" ht="34" customHeight="1">
      <x:c r="A835" s="24" t="str">
        <x:v>TRC-00831</x:v>
      </x:c>
      <x:c r="B835" s="24" t="str">
        <x:v>PKG-047</x:v>
      </x:c>
      <x:c r="C835" s="24" t="str">
        <x:v>com.unity.nuget.newtonsoft-json</x:v>
      </x:c>
      <x:c r="D835" s="24" t="str">
        <x:v>Unity package - registry</x:v>
      </x:c>
      <x:c r="E835" s="24" t="str">
        <x:v>11_Software_Paquetes</x:v>
      </x:c>
      <x:c r="F835" s="24" t="str">
        <x:v>PKG-047</x:v>
      </x:c>
      <x:c r="G835" s="24" t="str">
        <x:v>Unity Technologies / package publisher</x:v>
      </x:c>
      <x:c r="H835" s="24" t="str">
        <x:v>Unity Package Manager package terms; verify package LICENSE/NOTICE</x:v>
      </x:c>
      <x:c r="I835" s="24" t="str">
        <x:v>Packages/manifest.json; Packages/packages-lock.json</x:v>
      </x:c>
      <x:c r="J835" s="24" t="str"/>
      <x:c r="K835" s="24" t="str">
        <x:v>com.unity.nuget.newtonsoft-json</x:v>
      </x:c>
      <x:c r="L835" s="24" t="str">
        <x:v>CR-008</x:v>
      </x:c>
      <x:c r="M835" s="24" t="str">
        <x:v>ATT-001</x:v>
      </x:c>
      <x:c r="N835" s="24" t="str">
        <x:v>RES-008;RES-015</x:v>
      </x:c>
      <x:c r="O835" s="24" t="str">
        <x:v>Per terms; public notices pending</x:v>
      </x:c>
      <x:c r="P835" s="24" t="str">
        <x:v>ACTIVE / NOTICE REVIEW</x:v>
      </x:c>
      <x:c r="Q835" s="24" t="str">
        <x:v>Medium</x:v>
      </x:c>
      <x:c r="R835" s="24" t="str">
        <x:v>LEG-DEBT-004</x:v>
      </x:c>
      <x:c r="S835" s="24" t="str">
        <x:v>Parcial</x:v>
      </x:c>
      <x:c r="T835" s="24" t="str">
        <x:f>"T"&amp;IF(AND(H835&lt;&gt;"",I835&lt;&gt;"",J835&lt;&gt;"",L835&lt;&gt;"",N835&lt;&gt;"",O835&lt;&gt;"",P835="APPROVED PUBLIC",S835="Sí"),6,IF(AND(H835&lt;&gt;"",I835&lt;&gt;"",J835&lt;&gt;"",L835&lt;&gt;"",N835&lt;&gt;"",O835&lt;&gt;"",P835&lt;&gt;"",S835="Sí"),5,IF(AND(H835&lt;&gt;"",I835&lt;&gt;"",P835&lt;&gt;"",S835&lt;&gt;"No"),4,IF(AND(H835&lt;&gt;"",I835&lt;&gt;""),3,IF(F835&lt;&gt;"",2,1)))))</x:f>
        <x:v>T4</x:v>
      </x:c>
      <x:c r="U835" s="24" t="str">
        <x:v>VRM Games</x:v>
      </x:c>
      <x:c r="V835" s="24" t="str">
        <x:v>source=registry; depth=1; deps=</x:v>
      </x:c>
    </x:row>
    <x:row r="836" ht="34" customHeight="1">
      <x:c r="A836" s="24" t="str">
        <x:v>TRC-00832</x:v>
      </x:c>
      <x:c r="B836" s="24" t="str">
        <x:v>PKG-048</x:v>
      </x:c>
      <x:c r="C836" s="24" t="str">
        <x:v>com.unity.profiling.core</x:v>
      </x:c>
      <x:c r="D836" s="24" t="str">
        <x:v>Unity package - registry</x:v>
      </x:c>
      <x:c r="E836" s="24" t="str">
        <x:v>11_Software_Paquetes</x:v>
      </x:c>
      <x:c r="F836" s="24" t="str">
        <x:v>PKG-048</x:v>
      </x:c>
      <x:c r="G836" s="24" t="str">
        <x:v>Unity Technologies / package publisher</x:v>
      </x:c>
      <x:c r="H836" s="24" t="str">
        <x:v>Unity Package Manager package terms; verify package LICENSE/NOTICE</x:v>
      </x:c>
      <x:c r="I836" s="24" t="str">
        <x:v>Packages/manifest.json; Packages/packages-lock.json</x:v>
      </x:c>
      <x:c r="J836" s="24" t="str"/>
      <x:c r="K836" s="24" t="str">
        <x:v>com.unity.profiling.core</x:v>
      </x:c>
      <x:c r="L836" s="24" t="str">
        <x:v>CR-008</x:v>
      </x:c>
      <x:c r="M836" s="24" t="str">
        <x:v>ATT-001</x:v>
      </x:c>
      <x:c r="N836" s="24" t="str">
        <x:v>RES-008;RES-015</x:v>
      </x:c>
      <x:c r="O836" s="24" t="str">
        <x:v>Per terms; public notices pending</x:v>
      </x:c>
      <x:c r="P836" s="24" t="str">
        <x:v>ACTIVE / NOTICE REVIEW</x:v>
      </x:c>
      <x:c r="Q836" s="24" t="str">
        <x:v>Medium</x:v>
      </x:c>
      <x:c r="R836" s="24" t="str">
        <x:v>LEG-DEBT-004</x:v>
      </x:c>
      <x:c r="S836" s="24" t="str">
        <x:v>Parcial</x:v>
      </x:c>
      <x:c r="T836" s="24" t="str">
        <x:f>"T"&amp;IF(AND(H836&lt;&gt;"",I836&lt;&gt;"",J836&lt;&gt;"",L836&lt;&gt;"",N836&lt;&gt;"",O836&lt;&gt;"",P836="APPROVED PUBLIC",S836="Sí"),6,IF(AND(H836&lt;&gt;"",I836&lt;&gt;"",J836&lt;&gt;"",L836&lt;&gt;"",N836&lt;&gt;"",O836&lt;&gt;"",P836&lt;&gt;"",S836="Sí"),5,IF(AND(H836&lt;&gt;"",I836&lt;&gt;"",P836&lt;&gt;"",S836&lt;&gt;"No"),4,IF(AND(H836&lt;&gt;"",I836&lt;&gt;""),3,IF(F836&lt;&gt;"",2,1)))))</x:f>
        <x:v>T4</x:v>
      </x:c>
      <x:c r="U836" s="24" t="str">
        <x:v>VRM Games</x:v>
      </x:c>
      <x:c r="V836" s="24" t="str">
        <x:v>source=registry; depth=2; deps=</x:v>
      </x:c>
    </x:row>
    <x:row r="837" ht="34" customHeight="1">
      <x:c r="A837" s="24" t="str">
        <x:v>TRC-00833</x:v>
      </x:c>
      <x:c r="B837" s="24" t="str">
        <x:v>PKG-049</x:v>
      </x:c>
      <x:c r="C837" s="24" t="str">
        <x:v>com.unity.render-pipelines.core</x:v>
      </x:c>
      <x:c r="D837" s="24" t="str">
        <x:v>Unity package - built-in</x:v>
      </x:c>
      <x:c r="E837" s="24" t="str">
        <x:v>11_Software_Paquetes</x:v>
      </x:c>
      <x:c r="F837" s="24" t="str">
        <x:v>PKG-049</x:v>
      </x:c>
      <x:c r="G837" s="24" t="str">
        <x:v>Unity Technologies / package publisher</x:v>
      </x:c>
      <x:c r="H837" s="24" t="str">
        <x:v>Unity built-in module / Editor terms</x:v>
      </x:c>
      <x:c r="I837" s="24" t="str">
        <x:v>Packages/manifest.json; Packages/packages-lock.json</x:v>
      </x:c>
      <x:c r="J837" s="24" t="str"/>
      <x:c r="K837" s="24" t="str">
        <x:v>com.unity.render-pipelines.core</x:v>
      </x:c>
      <x:c r="L837" s="24" t="str">
        <x:v>CR-008</x:v>
      </x:c>
      <x:c r="M837" s="24" t="str">
        <x:v>ATT-001</x:v>
      </x:c>
      <x:c r="N837" s="24" t="str">
        <x:v>RES-008;RES-015</x:v>
      </x:c>
      <x:c r="O837" s="24" t="str">
        <x:v>Per terms; public notices pending</x:v>
      </x:c>
      <x:c r="P837" s="24" t="str">
        <x:v>ACTIVE / NOTICE REVIEW</x:v>
      </x:c>
      <x:c r="Q837" s="24" t="str">
        <x:v>Low</x:v>
      </x:c>
      <x:c r="R837" s="24" t="str">
        <x:v>LEG-DEBT-004</x:v>
      </x:c>
      <x:c r="S837" s="24" t="str">
        <x:v>Parcial</x:v>
      </x:c>
      <x:c r="T837" s="24" t="str">
        <x:f>"T"&amp;IF(AND(H837&lt;&gt;"",I837&lt;&gt;"",J837&lt;&gt;"",L837&lt;&gt;"",N837&lt;&gt;"",O837&lt;&gt;"",P837="APPROVED PUBLIC",S837="Sí"),6,IF(AND(H837&lt;&gt;"",I837&lt;&gt;"",J837&lt;&gt;"",L837&lt;&gt;"",N837&lt;&gt;"",O837&lt;&gt;"",P837&lt;&gt;"",S837="Sí"),5,IF(AND(H837&lt;&gt;"",I837&lt;&gt;"",P837&lt;&gt;"",S837&lt;&gt;"No"),4,IF(AND(H837&lt;&gt;"",I837&lt;&gt;""),3,IF(F837&lt;&gt;"",2,1)))))</x:f>
        <x:v>T4</x:v>
      </x:c>
      <x:c r="U837" s="24" t="str">
        <x:v>VRM Games</x:v>
      </x:c>
      <x:c r="V837" s="24" t="str">
        <x:v>source=builtin; depth=1; deps=com.unity.burst@1.8.14; com.unity.collections@2.4.3; com.unity.mathematics@1.3.2; com.unity.modules.jsonserialize@1.0.0; com.unity.modules.physics@1.0.0; com.unity.modules.terrain@1.0.0; com.unity.ugui@2.0.0</x:v>
      </x:c>
    </x:row>
    <x:row r="838" ht="34" customHeight="1">
      <x:c r="A838" s="24" t="str">
        <x:v>TRC-00834</x:v>
      </x:c>
      <x:c r="B838" s="24" t="str">
        <x:v>PKG-050</x:v>
      </x:c>
      <x:c r="C838" s="24" t="str">
        <x:v>com.unity.render-pipelines.universal</x:v>
      </x:c>
      <x:c r="D838" s="24" t="str">
        <x:v>Unity package - built-in</x:v>
      </x:c>
      <x:c r="E838" s="24" t="str">
        <x:v>11_Software_Paquetes</x:v>
      </x:c>
      <x:c r="F838" s="24" t="str">
        <x:v>PKG-050</x:v>
      </x:c>
      <x:c r="G838" s="24" t="str">
        <x:v>Unity Technologies / package publisher</x:v>
      </x:c>
      <x:c r="H838" s="24" t="str">
        <x:v>Unity built-in module / Editor terms</x:v>
      </x:c>
      <x:c r="I838" s="24" t="str">
        <x:v>Packages/manifest.json; Packages/packages-lock.json</x:v>
      </x:c>
      <x:c r="J838" s="24" t="str"/>
      <x:c r="K838" s="24" t="str">
        <x:v>com.unity.render-pipelines.universal</x:v>
      </x:c>
      <x:c r="L838" s="24" t="str">
        <x:v>CR-008</x:v>
      </x:c>
      <x:c r="M838" s="24" t="str">
        <x:v>ATT-001</x:v>
      </x:c>
      <x:c r="N838" s="24" t="str">
        <x:v>RES-008;RES-015</x:v>
      </x:c>
      <x:c r="O838" s="24" t="str">
        <x:v>Per terms; public notices pending</x:v>
      </x:c>
      <x:c r="P838" s="24" t="str">
        <x:v>ACTIVE / NOTICE REVIEW</x:v>
      </x:c>
      <x:c r="Q838" s="24" t="str">
        <x:v>Low</x:v>
      </x:c>
      <x:c r="R838" s="24" t="str">
        <x:v>LEG-DEBT-004</x:v>
      </x:c>
      <x:c r="S838" s="24" t="str">
        <x:v>Parcial</x:v>
      </x:c>
      <x:c r="T838" s="24" t="str">
        <x:f>"T"&amp;IF(AND(H838&lt;&gt;"",I838&lt;&gt;"",J838&lt;&gt;"",L838&lt;&gt;"",N838&lt;&gt;"",O838&lt;&gt;"",P838="APPROVED PUBLIC",S838="Sí"),6,IF(AND(H838&lt;&gt;"",I838&lt;&gt;"",J838&lt;&gt;"",L838&lt;&gt;"",N838&lt;&gt;"",O838&lt;&gt;"",P838&lt;&gt;"",S838="Sí"),5,IF(AND(H838&lt;&gt;"",I838&lt;&gt;"",P838&lt;&gt;"",S838&lt;&gt;"No"),4,IF(AND(H838&lt;&gt;"",I838&lt;&gt;""),3,IF(F838&lt;&gt;"",2,1)))))</x:f>
        <x:v>T4</x:v>
      </x:c>
      <x:c r="U838" s="24" t="str">
        <x:v>VRM Games</x:v>
      </x:c>
      <x:c r="V838" s="24" t="str">
        <x:v>source=builtin; depth=0; deps=com.unity.render-pipelines.core@17.3.0; com.unity.render-pipelines.universal-config@17.0.3; com.unity.shadergraph@17.3.0</x:v>
      </x:c>
    </x:row>
    <x:row r="839" ht="34" customHeight="1">
      <x:c r="A839" s="24" t="str">
        <x:v>TRC-00835</x:v>
      </x:c>
      <x:c r="B839" s="24" t="str">
        <x:v>PKG-051</x:v>
      </x:c>
      <x:c r="C839" s="24" t="str">
        <x:v>com.unity.render-pipelines.universal-config</x:v>
      </x:c>
      <x:c r="D839" s="24" t="str">
        <x:v>Unity package - built-in</x:v>
      </x:c>
      <x:c r="E839" s="24" t="str">
        <x:v>11_Software_Paquetes</x:v>
      </x:c>
      <x:c r="F839" s="24" t="str">
        <x:v>PKG-051</x:v>
      </x:c>
      <x:c r="G839" s="24" t="str">
        <x:v>Unity Technologies / package publisher</x:v>
      </x:c>
      <x:c r="H839" s="24" t="str">
        <x:v>Unity built-in module / Editor terms</x:v>
      </x:c>
      <x:c r="I839" s="24" t="str">
        <x:v>Packages/manifest.json; Packages/packages-lock.json</x:v>
      </x:c>
      <x:c r="J839" s="24" t="str"/>
      <x:c r="K839" s="24" t="str">
        <x:v>com.unity.render-pipelines.universal-config</x:v>
      </x:c>
      <x:c r="L839" s="24" t="str">
        <x:v>CR-008</x:v>
      </x:c>
      <x:c r="M839" s="24" t="str">
        <x:v>ATT-001</x:v>
      </x:c>
      <x:c r="N839" s="24" t="str">
        <x:v>RES-008;RES-015</x:v>
      </x:c>
      <x:c r="O839" s="24" t="str">
        <x:v>Per terms; public notices pending</x:v>
      </x:c>
      <x:c r="P839" s="24" t="str">
        <x:v>ACTIVE / NOTICE REVIEW</x:v>
      </x:c>
      <x:c r="Q839" s="24" t="str">
        <x:v>Low</x:v>
      </x:c>
      <x:c r="R839" s="24" t="str">
        <x:v>LEG-DEBT-004</x:v>
      </x:c>
      <x:c r="S839" s="24" t="str">
        <x:v>Parcial</x:v>
      </x:c>
      <x:c r="T839" s="24" t="str">
        <x:f>"T"&amp;IF(AND(H839&lt;&gt;"",I839&lt;&gt;"",J839&lt;&gt;"",L839&lt;&gt;"",N839&lt;&gt;"",O839&lt;&gt;"",P839="APPROVED PUBLIC",S839="Sí"),6,IF(AND(H839&lt;&gt;"",I839&lt;&gt;"",J839&lt;&gt;"",L839&lt;&gt;"",N839&lt;&gt;"",O839&lt;&gt;"",P839&lt;&gt;"",S839="Sí"),5,IF(AND(H839&lt;&gt;"",I839&lt;&gt;"",P839&lt;&gt;"",S839&lt;&gt;"No"),4,IF(AND(H839&lt;&gt;"",I839&lt;&gt;""),3,IF(F839&lt;&gt;"",2,1)))))</x:f>
        <x:v>T4</x:v>
      </x:c>
      <x:c r="U839" s="24" t="str">
        <x:v>VRM Games</x:v>
      </x:c>
      <x:c r="V839" s="24" t="str">
        <x:v>source=builtin; depth=1; deps=com.unity.render-pipelines.core@17.0.3</x:v>
      </x:c>
    </x:row>
    <x:row r="840" ht="34" customHeight="1">
      <x:c r="A840" s="24" t="str">
        <x:v>TRC-00836</x:v>
      </x:c>
      <x:c r="B840" s="24" t="str">
        <x:v>PKG-052</x:v>
      </x:c>
      <x:c r="C840" s="24" t="str">
        <x:v>com.unity.scriptablebuildpipeline</x:v>
      </x:c>
      <x:c r="D840" s="24" t="str">
        <x:v>Unity package - registry</x:v>
      </x:c>
      <x:c r="E840" s="24" t="str">
        <x:v>11_Software_Paquetes</x:v>
      </x:c>
      <x:c r="F840" s="24" t="str">
        <x:v>PKG-052</x:v>
      </x:c>
      <x:c r="G840" s="24" t="str">
        <x:v>Unity Technologies / package publisher</x:v>
      </x:c>
      <x:c r="H840" s="24" t="str">
        <x:v>Unity Package Manager package terms; verify package LICENSE/NOTICE</x:v>
      </x:c>
      <x:c r="I840" s="24" t="str">
        <x:v>Packages/manifest.json; Packages/packages-lock.json</x:v>
      </x:c>
      <x:c r="J840" s="24" t="str"/>
      <x:c r="K840" s="24" t="str">
        <x:v>com.unity.scriptablebuildpipeline</x:v>
      </x:c>
      <x:c r="L840" s="24" t="str">
        <x:v>CR-008</x:v>
      </x:c>
      <x:c r="M840" s="24" t="str">
        <x:v>ATT-001</x:v>
      </x:c>
      <x:c r="N840" s="24" t="str">
        <x:v>RES-008;RES-015</x:v>
      </x:c>
      <x:c r="O840" s="24" t="str">
        <x:v>Per terms; public notices pending</x:v>
      </x:c>
      <x:c r="P840" s="24" t="str">
        <x:v>ACTIVE / NOTICE REVIEW</x:v>
      </x:c>
      <x:c r="Q840" s="24" t="str">
        <x:v>Medium</x:v>
      </x:c>
      <x:c r="R840" s="24" t="str">
        <x:v>LEG-DEBT-004</x:v>
      </x:c>
      <x:c r="S840" s="24" t="str">
        <x:v>Parcial</x:v>
      </x:c>
      <x:c r="T840" s="24" t="str">
        <x:f>"T"&amp;IF(AND(H840&lt;&gt;"",I840&lt;&gt;"",J840&lt;&gt;"",L840&lt;&gt;"",N840&lt;&gt;"",O840&lt;&gt;"",P840="APPROVED PUBLIC",S840="Sí"),6,IF(AND(H840&lt;&gt;"",I840&lt;&gt;"",J840&lt;&gt;"",L840&lt;&gt;"",N840&lt;&gt;"",O840&lt;&gt;"",P840&lt;&gt;"",S840="Sí"),5,IF(AND(H840&lt;&gt;"",I840&lt;&gt;"",P840&lt;&gt;"",S840&lt;&gt;"No"),4,IF(AND(H840&lt;&gt;"",I840&lt;&gt;""),3,IF(F840&lt;&gt;"",2,1)))))</x:f>
        <x:v>T4</x:v>
      </x:c>
      <x:c r="U840" s="24" t="str">
        <x:v>VRM Games</x:v>
      </x:c>
      <x:c r="V840" s="24" t="str">
        <x:v>source=registry; depth=2; deps=com.unity.modules.assetbundle@1.0.0; com.unity.test-framework@1.4.5</x:v>
      </x:c>
    </x:row>
    <x:row r="841" ht="34" customHeight="1">
      <x:c r="A841" s="24" t="str">
        <x:v>TRC-00837</x:v>
      </x:c>
      <x:c r="B841" s="24" t="str">
        <x:v>PKG-053</x:v>
      </x:c>
      <x:c r="C841" s="24" t="str">
        <x:v>com.unity.searcher</x:v>
      </x:c>
      <x:c r="D841" s="24" t="str">
        <x:v>Unity package - registry</x:v>
      </x:c>
      <x:c r="E841" s="24" t="str">
        <x:v>11_Software_Paquetes</x:v>
      </x:c>
      <x:c r="F841" s="24" t="str">
        <x:v>PKG-053</x:v>
      </x:c>
      <x:c r="G841" s="24" t="str">
        <x:v>Unity Technologies / package publisher</x:v>
      </x:c>
      <x:c r="H841" s="24" t="str">
        <x:v>Unity Package Manager package terms; verify package LICENSE/NOTICE</x:v>
      </x:c>
      <x:c r="I841" s="24" t="str">
        <x:v>Packages/manifest.json; Packages/packages-lock.json</x:v>
      </x:c>
      <x:c r="J841" s="24" t="str"/>
      <x:c r="K841" s="24" t="str">
        <x:v>com.unity.searcher</x:v>
      </x:c>
      <x:c r="L841" s="24" t="str">
        <x:v>CR-008</x:v>
      </x:c>
      <x:c r="M841" s="24" t="str">
        <x:v>ATT-001</x:v>
      </x:c>
      <x:c r="N841" s="24" t="str">
        <x:v>RES-008;RES-015</x:v>
      </x:c>
      <x:c r="O841" s="24" t="str">
        <x:v>Per terms; public notices pending</x:v>
      </x:c>
      <x:c r="P841" s="24" t="str">
        <x:v>ACTIVE / NOTICE REVIEW</x:v>
      </x:c>
      <x:c r="Q841" s="24" t="str">
        <x:v>Medium</x:v>
      </x:c>
      <x:c r="R841" s="24" t="str">
        <x:v>LEG-DEBT-004</x:v>
      </x:c>
      <x:c r="S841" s="24" t="str">
        <x:v>Parcial</x:v>
      </x:c>
      <x:c r="T841" s="24" t="str">
        <x:f>"T"&amp;IF(AND(H841&lt;&gt;"",I841&lt;&gt;"",J841&lt;&gt;"",L841&lt;&gt;"",N841&lt;&gt;"",O841&lt;&gt;"",P841="APPROVED PUBLIC",S841="Sí"),6,IF(AND(H841&lt;&gt;"",I841&lt;&gt;"",J841&lt;&gt;"",L841&lt;&gt;"",N841&lt;&gt;"",O841&lt;&gt;"",P841&lt;&gt;"",S841="Sí"),5,IF(AND(H841&lt;&gt;"",I841&lt;&gt;"",P841&lt;&gt;"",S841&lt;&gt;"No"),4,IF(AND(H841&lt;&gt;"",I841&lt;&gt;""),3,IF(F841&lt;&gt;"",2,1)))))</x:f>
        <x:v>T4</x:v>
      </x:c>
      <x:c r="U841" s="24" t="str">
        <x:v>VRM Games</x:v>
      </x:c>
      <x:c r="V841" s="24" t="str">
        <x:v>source=registry; depth=2; deps=</x:v>
      </x:c>
    </x:row>
    <x:row r="842" ht="34" customHeight="1">
      <x:c r="A842" s="24" t="str">
        <x:v>TRC-00838</x:v>
      </x:c>
      <x:c r="B842" s="24" t="str">
        <x:v>PKG-054</x:v>
      </x:c>
      <x:c r="C842" s="24" t="str">
        <x:v>com.unity.shadergraph</x:v>
      </x:c>
      <x:c r="D842" s="24" t="str">
        <x:v>Unity package - built-in</x:v>
      </x:c>
      <x:c r="E842" s="24" t="str">
        <x:v>11_Software_Paquetes</x:v>
      </x:c>
      <x:c r="F842" s="24" t="str">
        <x:v>PKG-054</x:v>
      </x:c>
      <x:c r="G842" s="24" t="str">
        <x:v>Unity Technologies / package publisher</x:v>
      </x:c>
      <x:c r="H842" s="24" t="str">
        <x:v>Unity built-in module / Editor terms</x:v>
      </x:c>
      <x:c r="I842" s="24" t="str">
        <x:v>Packages/manifest.json; Packages/packages-lock.json</x:v>
      </x:c>
      <x:c r="J842" s="24" t="str"/>
      <x:c r="K842" s="24" t="str">
        <x:v>com.unity.shadergraph</x:v>
      </x:c>
      <x:c r="L842" s="24" t="str">
        <x:v>CR-008</x:v>
      </x:c>
      <x:c r="M842" s="24" t="str">
        <x:v>ATT-001</x:v>
      </x:c>
      <x:c r="N842" s="24" t="str">
        <x:v>RES-008;RES-015</x:v>
      </x:c>
      <x:c r="O842" s="24" t="str">
        <x:v>Per terms; public notices pending</x:v>
      </x:c>
      <x:c r="P842" s="24" t="str">
        <x:v>ACTIVE / NOTICE REVIEW</x:v>
      </x:c>
      <x:c r="Q842" s="24" t="str">
        <x:v>Low</x:v>
      </x:c>
      <x:c r="R842" s="24" t="str">
        <x:v>LEG-DEBT-004</x:v>
      </x:c>
      <x:c r="S842" s="24" t="str">
        <x:v>Parcial</x:v>
      </x:c>
      <x:c r="T842" s="24" t="str">
        <x:f>"T"&amp;IF(AND(H842&lt;&gt;"",I842&lt;&gt;"",J842&lt;&gt;"",L842&lt;&gt;"",N842&lt;&gt;"",O842&lt;&gt;"",P842="APPROVED PUBLIC",S842="Sí"),6,IF(AND(H842&lt;&gt;"",I842&lt;&gt;"",J842&lt;&gt;"",L842&lt;&gt;"",N842&lt;&gt;"",O842&lt;&gt;"",P842&lt;&gt;"",S842="Sí"),5,IF(AND(H842&lt;&gt;"",I842&lt;&gt;"",P842&lt;&gt;"",S842&lt;&gt;"No"),4,IF(AND(H842&lt;&gt;"",I842&lt;&gt;""),3,IF(F842&lt;&gt;"",2,1)))))</x:f>
        <x:v>T4</x:v>
      </x:c>
      <x:c r="U842" s="24" t="str">
        <x:v>VRM Games</x:v>
      </x:c>
      <x:c r="V842" s="24" t="str">
        <x:v>source=builtin; depth=1; deps=com.unity.render-pipelines.core@17.3.0; com.unity.searcher@4.9.3</x:v>
      </x:c>
    </x:row>
    <x:row r="843" ht="34" customHeight="1">
      <x:c r="A843" s="24" t="str">
        <x:v>TRC-00839</x:v>
      </x:c>
      <x:c r="B843" s="24" t="str">
        <x:v>PKG-055</x:v>
      </x:c>
      <x:c r="C843" s="24" t="str">
        <x:v>com.unity.test-framework</x:v>
      </x:c>
      <x:c r="D843" s="24" t="str">
        <x:v>Unity package - built-in</x:v>
      </x:c>
      <x:c r="E843" s="24" t="str">
        <x:v>11_Software_Paquetes</x:v>
      </x:c>
      <x:c r="F843" s="24" t="str">
        <x:v>PKG-055</x:v>
      </x:c>
      <x:c r="G843" s="24" t="str">
        <x:v>Unity Technologies / package publisher</x:v>
      </x:c>
      <x:c r="H843" s="24" t="str">
        <x:v>Unity built-in module / Editor terms</x:v>
      </x:c>
      <x:c r="I843" s="24" t="str">
        <x:v>Packages/manifest.json; Packages/packages-lock.json</x:v>
      </x:c>
      <x:c r="J843" s="24" t="str"/>
      <x:c r="K843" s="24" t="str">
        <x:v>com.unity.test-framework</x:v>
      </x:c>
      <x:c r="L843" s="24" t="str">
        <x:v>CR-008</x:v>
      </x:c>
      <x:c r="M843" s="24" t="str">
        <x:v>ATT-001</x:v>
      </x:c>
      <x:c r="N843" s="24" t="str">
        <x:v>RES-008;RES-015</x:v>
      </x:c>
      <x:c r="O843" s="24" t="str">
        <x:v>Per terms; public notices pending</x:v>
      </x:c>
      <x:c r="P843" s="24" t="str">
        <x:v>ACTIVE / NOTICE REVIEW</x:v>
      </x:c>
      <x:c r="Q843" s="24" t="str">
        <x:v>Low</x:v>
      </x:c>
      <x:c r="R843" s="24" t="str">
        <x:v>LEG-DEBT-004</x:v>
      </x:c>
      <x:c r="S843" s="24" t="str">
        <x:v>Parcial</x:v>
      </x:c>
      <x:c r="T843" s="24" t="str">
        <x:f>"T"&amp;IF(AND(H843&lt;&gt;"",I843&lt;&gt;"",J843&lt;&gt;"",L843&lt;&gt;"",N843&lt;&gt;"",O843&lt;&gt;"",P843="APPROVED PUBLIC",S843="Sí"),6,IF(AND(H843&lt;&gt;"",I843&lt;&gt;"",J843&lt;&gt;"",L843&lt;&gt;"",N843&lt;&gt;"",O843&lt;&gt;"",P843&lt;&gt;"",S843="Sí"),5,IF(AND(H843&lt;&gt;"",I843&lt;&gt;"",P843&lt;&gt;"",S843&lt;&gt;"No"),4,IF(AND(H843&lt;&gt;"",I843&lt;&gt;""),3,IF(F843&lt;&gt;"",2,1)))))</x:f>
        <x:v>T4</x:v>
      </x:c>
      <x:c r="U843" s="24" t="str">
        <x:v>VRM Games</x:v>
      </x:c>
      <x:c r="V843" s="24" t="str">
        <x:v>source=builtin; depth=0; deps=com.unity.ext.nunit@2.0.3; com.unity.modules.imgui@1.0.0; com.unity.modules.jsonserialize@1.0.0</x:v>
      </x:c>
    </x:row>
    <x:row r="844" ht="34" customHeight="1">
      <x:c r="A844" s="24" t="str">
        <x:v>TRC-00840</x:v>
      </x:c>
      <x:c r="B844" s="24" t="str">
        <x:v>PKG-056</x:v>
      </x:c>
      <x:c r="C844" s="24" t="str">
        <x:v>com.unity.test-framework.performance</x:v>
      </x:c>
      <x:c r="D844" s="24" t="str">
        <x:v>Unity package - registry</x:v>
      </x:c>
      <x:c r="E844" s="24" t="str">
        <x:v>11_Software_Paquetes</x:v>
      </x:c>
      <x:c r="F844" s="24" t="str">
        <x:v>PKG-056</x:v>
      </x:c>
      <x:c r="G844" s="24" t="str">
        <x:v>Unity Technologies / package publisher</x:v>
      </x:c>
      <x:c r="H844" s="24" t="str">
        <x:v>Unity Package Manager package terms; verify package LICENSE/NOTICE</x:v>
      </x:c>
      <x:c r="I844" s="24" t="str">
        <x:v>Packages/manifest.json; Packages/packages-lock.json</x:v>
      </x:c>
      <x:c r="J844" s="24" t="str"/>
      <x:c r="K844" s="24" t="str">
        <x:v>com.unity.test-framework.performance</x:v>
      </x:c>
      <x:c r="L844" s="24" t="str">
        <x:v>CR-008</x:v>
      </x:c>
      <x:c r="M844" s="24" t="str">
        <x:v>ATT-001</x:v>
      </x:c>
      <x:c r="N844" s="24" t="str">
        <x:v>RES-008;RES-015</x:v>
      </x:c>
      <x:c r="O844" s="24" t="str">
        <x:v>Per terms; public notices pending</x:v>
      </x:c>
      <x:c r="P844" s="24" t="str">
        <x:v>ACTIVE / NOTICE REVIEW</x:v>
      </x:c>
      <x:c r="Q844" s="24" t="str">
        <x:v>Medium</x:v>
      </x:c>
      <x:c r="R844" s="24" t="str">
        <x:v>LEG-DEBT-004</x:v>
      </x:c>
      <x:c r="S844" s="24" t="str">
        <x:v>Parcial</x:v>
      </x:c>
      <x:c r="T844" s="24" t="str">
        <x:f>"T"&amp;IF(AND(H844&lt;&gt;"",I844&lt;&gt;"",J844&lt;&gt;"",L844&lt;&gt;"",N844&lt;&gt;"",O844&lt;&gt;"",P844="APPROVED PUBLIC",S844="Sí"),6,IF(AND(H844&lt;&gt;"",I844&lt;&gt;"",J844&lt;&gt;"",L844&lt;&gt;"",N844&lt;&gt;"",O844&lt;&gt;"",P844&lt;&gt;"",S844="Sí"),5,IF(AND(H844&lt;&gt;"",I844&lt;&gt;"",P844&lt;&gt;"",S844&lt;&gt;"No"),4,IF(AND(H844&lt;&gt;"",I844&lt;&gt;""),3,IF(F844&lt;&gt;"",2,1)))))</x:f>
        <x:v>T4</x:v>
      </x:c>
      <x:c r="U844" s="24" t="str">
        <x:v>VRM Games</x:v>
      </x:c>
      <x:c r="V844" s="24" t="str">
        <x:v>source=registry; depth=3; deps=com.unity.modules.jsonserialize@1.0.0; com.unity.test-framework@1.1.33</x:v>
      </x:c>
    </x:row>
    <x:row r="845" ht="34" customHeight="1">
      <x:c r="A845" s="24" t="str">
        <x:v>TRC-00841</x:v>
      </x:c>
      <x:c r="B845" s="24" t="str">
        <x:v>PKG-057</x:v>
      </x:c>
      <x:c r="C845" s="24" t="str">
        <x:v>com.unity.ugui</x:v>
      </x:c>
      <x:c r="D845" s="24" t="str">
        <x:v>Unity package - built-in</x:v>
      </x:c>
      <x:c r="E845" s="24" t="str">
        <x:v>11_Software_Paquetes</x:v>
      </x:c>
      <x:c r="F845" s="24" t="str">
        <x:v>PKG-057</x:v>
      </x:c>
      <x:c r="G845" s="24" t="str">
        <x:v>Unity Technologies / package publisher</x:v>
      </x:c>
      <x:c r="H845" s="24" t="str">
        <x:v>Unity built-in module / Editor terms</x:v>
      </x:c>
      <x:c r="I845" s="24" t="str">
        <x:v>Packages/manifest.json; Packages/packages-lock.json</x:v>
      </x:c>
      <x:c r="J845" s="24" t="str"/>
      <x:c r="K845" s="24" t="str">
        <x:v>com.unity.ugui</x:v>
      </x:c>
      <x:c r="L845" s="24" t="str">
        <x:v>CR-008</x:v>
      </x:c>
      <x:c r="M845" s="24" t="str">
        <x:v>ATT-001</x:v>
      </x:c>
      <x:c r="N845" s="24" t="str">
        <x:v>RES-008;RES-015</x:v>
      </x:c>
      <x:c r="O845" s="24" t="str">
        <x:v>Per terms; public notices pending</x:v>
      </x:c>
      <x:c r="P845" s="24" t="str">
        <x:v>ACTIVE / NOTICE REVIEW</x:v>
      </x:c>
      <x:c r="Q845" s="24" t="str">
        <x:v>Low</x:v>
      </x:c>
      <x:c r="R845" s="24" t="str">
        <x:v>LEG-DEBT-004</x:v>
      </x:c>
      <x:c r="S845" s="24" t="str">
        <x:v>Parcial</x:v>
      </x:c>
      <x:c r="T845" s="24" t="str">
        <x:f>"T"&amp;IF(AND(H845&lt;&gt;"",I845&lt;&gt;"",J845&lt;&gt;"",L845&lt;&gt;"",N845&lt;&gt;"",O845&lt;&gt;"",P845="APPROVED PUBLIC",S845="Sí"),6,IF(AND(H845&lt;&gt;"",I845&lt;&gt;"",J845&lt;&gt;"",L845&lt;&gt;"",N845&lt;&gt;"",O845&lt;&gt;"",P845&lt;&gt;"",S845="Sí"),5,IF(AND(H845&lt;&gt;"",I845&lt;&gt;"",P845&lt;&gt;"",S845&lt;&gt;"No"),4,IF(AND(H845&lt;&gt;"",I845&lt;&gt;""),3,IF(F845&lt;&gt;"",2,1)))))</x:f>
        <x:v>T4</x:v>
      </x:c>
      <x:c r="U845" s="24" t="str">
        <x:v>VRM Games</x:v>
      </x:c>
      <x:c r="V845" s="24" t="str">
        <x:v>source=builtin; depth=0; deps=com.unity.modules.imgui@1.0.0; com.unity.modules.ui@1.0.0</x:v>
      </x:c>
    </x:row>
    <x:row r="846" ht="34" customHeight="1">
      <x:c r="A846" s="24" t="str">
        <x:v>TRC-00842</x:v>
      </x:c>
      <x:c r="B846" s="24" t="str">
        <x:v>IP-001</x:v>
      </x:c>
      <x:c r="C846" s="24" t="str">
        <x:v>Cartridge &amp; Cloud</x:v>
      </x:c>
      <x:c r="D846" s="24" t="str">
        <x:v>Project/game title</x:v>
      </x:c>
      <x:c r="E846" s="24" t="str">
        <x:v>12_Marcas_IP</x:v>
      </x:c>
      <x:c r="F846" s="24" t="str">
        <x:v>IP-001</x:v>
      </x:c>
      <x:c r="G846" s="24" t="str">
        <x:v>VRM Games / Blas Luis Rocha González</x:v>
      </x:c>
      <x:c r="H846" s="24" t="str">
        <x:v>Project IP / clearance status</x:v>
      </x:c>
      <x:c r="I846" s="24" t="str">
        <x:v>Historical legal registers and project docs</x:v>
      </x:c>
      <x:c r="J846" s="24" t="str"/>
      <x:c r="K846" s="24" t="str">
        <x:v>Internal project naming</x:v>
      </x:c>
      <x:c r="L846" s="24" t="str">
        <x:v>CR-001</x:v>
      </x:c>
      <x:c r="M846" s="24" t="str"/>
      <x:c r="N846" s="24" t="str">
        <x:v>RES-002;RES-012</x:v>
      </x:c>
      <x:c r="O846" s="24" t="str">
        <x:v>Internal/provisional</x:v>
      </x:c>
      <x:c r="P846" s="24" t="str">
        <x:v>PROVISIONAL / CLEARANCE REQUIRED</x:v>
      </x:c>
      <x:c r="Q846" s="24" t="str">
        <x:v>High</x:v>
      </x:c>
      <x:c r="R846" s="24" t="str">
        <x:v>LEG-DEBT-001</x:v>
      </x:c>
      <x:c r="S846" s="24" t="str">
        <x:v>No</x:v>
      </x:c>
      <x:c r="T846" s="24" t="str">
        <x:f>"T"&amp;IF(AND(H846&lt;&gt;"",I846&lt;&gt;"",J846&lt;&gt;"",L846&lt;&gt;"",N846&lt;&gt;"",O846&lt;&gt;"",P846="APPROVED PUBLIC",S846="Sí"),6,IF(AND(H846&lt;&gt;"",I846&lt;&gt;"",J846&lt;&gt;"",L846&lt;&gt;"",N846&lt;&gt;"",O846&lt;&gt;"",P846&lt;&gt;"",S846="Sí"),5,IF(AND(H846&lt;&gt;"",I846&lt;&gt;"",P846&lt;&gt;"",S846&lt;&gt;"No"),4,IF(AND(H846&lt;&gt;"",I846&lt;&gt;""),3,IF(F846&lt;&gt;"",2,1)))))</x:f>
        <x:v>T3</x:v>
      </x:c>
      <x:c r="U846" s="24" t="str">
        <x:v>VRM Games</x:v>
      </x:c>
      <x:c r="V846" s="24" t="str">
        <x:v>Conservar candidatos históricos internamente.</x:v>
      </x:c>
    </x:row>
    <x:row r="847" ht="34" customHeight="1">
      <x:c r="A847" s="24" t="str">
        <x:v>TRC-00843</x:v>
      </x:c>
      <x:c r="B847" s="24" t="str">
        <x:v>IP-002</x:v>
      </x:c>
      <x:c r="C847" s="24" t="str">
        <x:v>VRM Games</x:v>
      </x:c>
      <x:c r="D847" s="24" t="str">
        <x:v>Studio/trade name</x:v>
      </x:c>
      <x:c r="E847" s="24" t="str">
        <x:v>12_Marcas_IP</x:v>
      </x:c>
      <x:c r="F847" s="24" t="str">
        <x:v>IP-002</x:v>
      </x:c>
      <x:c r="G847" s="24" t="str">
        <x:v>Blas Luis Rocha González</x:v>
      </x:c>
      <x:c r="H847" s="24" t="str">
        <x:v>Project IP / clearance status</x:v>
      </x:c>
      <x:c r="I847" s="24" t="str">
        <x:v>Document metadata</x:v>
      </x:c>
      <x:c r="J847" s="24" t="str"/>
      <x:c r="K847" s="24" t="str">
        <x:v>Internal studio name</x:v>
      </x:c>
      <x:c r="L847" s="24" t="str">
        <x:v>CR-001</x:v>
      </x:c>
      <x:c r="M847" s="24" t="str"/>
      <x:c r="N847" s="24" t="str">
        <x:v>RES-002;RES-012</x:v>
      </x:c>
      <x:c r="O847" s="24" t="str">
        <x:v>Internal/provisional</x:v>
      </x:c>
      <x:c r="P847" s="24" t="str">
        <x:v>CLEARANCE REQUIRED</x:v>
      </x:c>
      <x:c r="Q847" s="24" t="str">
        <x:v>High</x:v>
      </x:c>
      <x:c r="R847" s="24" t="str">
        <x:v>LEG-DEBT-001</x:v>
      </x:c>
      <x:c r="S847" s="24" t="str">
        <x:v>No</x:v>
      </x:c>
      <x:c r="T847" s="24" t="str">
        <x:f>"T"&amp;IF(AND(H847&lt;&gt;"",I847&lt;&gt;"",J847&lt;&gt;"",L847&lt;&gt;"",N847&lt;&gt;"",O847&lt;&gt;"",P847="APPROVED PUBLIC",S847="Sí"),6,IF(AND(H847&lt;&gt;"",I847&lt;&gt;"",J847&lt;&gt;"",L847&lt;&gt;"",N847&lt;&gt;"",O847&lt;&gt;"",P847&lt;&gt;"",S847="Sí"),5,IF(AND(H847&lt;&gt;"",I847&lt;&gt;"",P847&lt;&gt;"",S847&lt;&gt;"No"),4,IF(AND(H847&lt;&gt;"",I847&lt;&gt;""),3,IF(F847&lt;&gt;"",2,1)))))</x:f>
        <x:v>T3</x:v>
      </x:c>
      <x:c r="U847" s="24" t="str">
        <x:v>VRM Games</x:v>
      </x:c>
      <x:c r="V847" s="24" t="str">
        <x:v>The acronym may have uses in other sectors; formal review required.</x:v>
      </x:c>
    </x:row>
    <x:row r="848" ht="34" customHeight="1">
      <x:c r="A848" s="24" t="str">
        <x:v>TRC-00844</x:v>
      </x:c>
      <x:c r="B848" s="24" t="str">
        <x:v>IP-P1-001</x:v>
      </x:c>
      <x:c r="C848" s="24" t="str">
        <x:v>Neon Drift</x:v>
      </x:c>
      <x:c r="D848" s="24" t="str">
        <x:v>Fictitious product/game/hardware name</x:v>
      </x:c>
      <x:c r="E848" s="24" t="str">
        <x:v>12_Marcas_IP</x:v>
      </x:c>
      <x:c r="F848" s="24" t="str">
        <x:v>IP-P1-001</x:v>
      </x:c>
      <x:c r="G848" s="24" t="str">
        <x:v>VRM Games / Blas Luis Rocha González</x:v>
      </x:c>
      <x:c r="H848" s="24" t="str">
        <x:v>Project IP / clearance status</x:v>
      </x:c>
      <x:c r="I848" s="24" t="str">
        <x:v>Assets/_Project/Data/Catalogs/ContentCatalog.asset</x:v>
      </x:c>
      <x:c r="J848" s="24" t="str"/>
      <x:c r="K848" s="24" t="str">
        <x:v>Internal ContentCatalog naming</x:v>
      </x:c>
      <x:c r="L848" s="24" t="str">
        <x:v>CR-001</x:v>
      </x:c>
      <x:c r="M848" s="24" t="str"/>
      <x:c r="N848" s="24" t="str">
        <x:v>RES-002;RES-012</x:v>
      </x:c>
      <x:c r="O848" s="24" t="str">
        <x:v>Internal game content</x:v>
      </x:c>
      <x:c r="P848" s="24" t="str">
        <x:v>FICTIONAL / SIMILARITY REVIEW</x:v>
      </x:c>
      <x:c r="Q848" s="24" t="str">
        <x:v>Medium</x:v>
      </x:c>
      <x:c r="R848" s="24" t="str"/>
      <x:c r="S848" s="24" t="str">
        <x:v>No</x:v>
      </x:c>
      <x:c r="T848" s="24" t="str">
        <x:f>"T"&amp;IF(AND(H848&lt;&gt;"",I848&lt;&gt;"",J848&lt;&gt;"",L848&lt;&gt;"",N848&lt;&gt;"",O848&lt;&gt;"",P848="APPROVED PUBLIC",S848="Sí"),6,IF(AND(H848&lt;&gt;"",I848&lt;&gt;"",J848&lt;&gt;"",L848&lt;&gt;"",N848&lt;&gt;"",O848&lt;&gt;"",P848&lt;&gt;"",S848="Sí"),5,IF(AND(H848&lt;&gt;"",I848&lt;&gt;"",P848&lt;&gt;"",S848&lt;&gt;"No"),4,IF(AND(H848&lt;&gt;"",I848&lt;&gt;""),3,IF(F848&lt;&gt;"",2,1)))))</x:f>
        <x:v>T3</x:v>
      </x:c>
      <x:c r="U848" s="24" t="str">
        <x:v>VRM Games</x:v>
      </x:c>
      <x:c r="V848" s="24" t="str">
        <x:v>productId=game-neon-drift; labelId=label-neon-drift</x:v>
      </x:c>
    </x:row>
    <x:row r="849" ht="34" customHeight="1">
      <x:c r="A849" s="24" t="str">
        <x:v>TRC-00845</x:v>
      </x:c>
      <x:c r="B849" s="24" t="str">
        <x:v>IP-P1-002</x:v>
      </x:c>
      <x:c r="C849" s="24" t="str">
        <x:v>Cloud Runner Case</x:v>
      </x:c>
      <x:c r="D849" s="24" t="str">
        <x:v>Fictitious product/game/hardware name</x:v>
      </x:c>
      <x:c r="E849" s="24" t="str">
        <x:v>12_Marcas_IP</x:v>
      </x:c>
      <x:c r="F849" s="24" t="str">
        <x:v>IP-P1-002</x:v>
      </x:c>
      <x:c r="G849" s="24" t="str">
        <x:v>VRM Games / Blas Luis Rocha González</x:v>
      </x:c>
      <x:c r="H849" s="24" t="str">
        <x:v>Project IP / clearance status</x:v>
      </x:c>
      <x:c r="I849" s="24" t="str">
        <x:v>Assets/_Project/Data/Catalogs/ContentCatalog.asset</x:v>
      </x:c>
      <x:c r="J849" s="24" t="str"/>
      <x:c r="K849" s="24" t="str">
        <x:v>Internal ContentCatalog naming</x:v>
      </x:c>
      <x:c r="L849" s="24" t="str">
        <x:v>CR-001</x:v>
      </x:c>
      <x:c r="M849" s="24" t="str"/>
      <x:c r="N849" s="24" t="str">
        <x:v>RES-002;RES-012</x:v>
      </x:c>
      <x:c r="O849" s="24" t="str">
        <x:v>Internal game content</x:v>
      </x:c>
      <x:c r="P849" s="24" t="str">
        <x:v>FICTIONAL / SIMILARITY REVIEW</x:v>
      </x:c>
      <x:c r="Q849" s="24" t="str">
        <x:v>Medium</x:v>
      </x:c>
      <x:c r="R849" s="24" t="str"/>
      <x:c r="S849" s="24" t="str">
        <x:v>No</x:v>
      </x:c>
      <x:c r="T849" s="24" t="str">
        <x:f>"T"&amp;IF(AND(H849&lt;&gt;"",I849&lt;&gt;"",J849&lt;&gt;"",L849&lt;&gt;"",N849&lt;&gt;"",O849&lt;&gt;"",P849="APPROVED PUBLIC",S849="Sí"),6,IF(AND(H849&lt;&gt;"",I849&lt;&gt;"",J849&lt;&gt;"",L849&lt;&gt;"",N849&lt;&gt;"",O849&lt;&gt;"",P849&lt;&gt;"",S849="Sí"),5,IF(AND(H849&lt;&gt;"",I849&lt;&gt;"",P849&lt;&gt;"",S849&lt;&gt;"No"),4,IF(AND(H849&lt;&gt;"",I849&lt;&gt;""),3,IF(F849&lt;&gt;"",2,1)))))</x:f>
        <x:v>T3</x:v>
      </x:c>
      <x:c r="U849" s="24" t="str">
        <x:v>VRM Games</x:v>
      </x:c>
      <x:c r="V849" s="24" t="str">
        <x:v>productId=case-cloud-runner; labelId=label-cloud-runner</x:v>
      </x:c>
    </x:row>
    <x:row r="850" ht="34" customHeight="1">
      <x:c r="A850" s="24" t="str">
        <x:v>TRC-00846</x:v>
      </x:c>
      <x:c r="B850" s="24" t="str">
        <x:v>IP-P1-003</x:v>
      </x:c>
      <x:c r="C850" s="24" t="str">
        <x:v>Vertex One Console</x:v>
      </x:c>
      <x:c r="D850" s="24" t="str">
        <x:v>Fictitious product/game/hardware name</x:v>
      </x:c>
      <x:c r="E850" s="24" t="str">
        <x:v>12_Marcas_IP</x:v>
      </x:c>
      <x:c r="F850" s="24" t="str">
        <x:v>IP-P1-003</x:v>
      </x:c>
      <x:c r="G850" s="24" t="str">
        <x:v>VRM Games / Blas Luis Rocha González</x:v>
      </x:c>
      <x:c r="H850" s="24" t="str">
        <x:v>Project IP / clearance status</x:v>
      </x:c>
      <x:c r="I850" s="24" t="str">
        <x:v>Assets/_Project/Data/Catalogs/ContentCatalog.asset</x:v>
      </x:c>
      <x:c r="J850" s="24" t="str"/>
      <x:c r="K850" s="24" t="str">
        <x:v>Internal ContentCatalog naming</x:v>
      </x:c>
      <x:c r="L850" s="24" t="str">
        <x:v>CR-001</x:v>
      </x:c>
      <x:c r="M850" s="24" t="str"/>
      <x:c r="N850" s="24" t="str">
        <x:v>RES-002;RES-012</x:v>
      </x:c>
      <x:c r="O850" s="24" t="str">
        <x:v>Internal game content</x:v>
      </x:c>
      <x:c r="P850" s="24" t="str">
        <x:v>FICTIONAL / SIMILARITY REVIEW</x:v>
      </x:c>
      <x:c r="Q850" s="24" t="str">
        <x:v>Medium</x:v>
      </x:c>
      <x:c r="R850" s="24" t="str"/>
      <x:c r="S850" s="24" t="str">
        <x:v>No</x:v>
      </x:c>
      <x:c r="T850" s="24" t="str">
        <x:f>"T"&amp;IF(AND(H850&lt;&gt;"",I850&lt;&gt;"",J850&lt;&gt;"",L850&lt;&gt;"",N850&lt;&gt;"",O850&lt;&gt;"",P850="APPROVED PUBLIC",S850="Sí"),6,IF(AND(H850&lt;&gt;"",I850&lt;&gt;"",J850&lt;&gt;"",L850&lt;&gt;"",N850&lt;&gt;"",O850&lt;&gt;"",P850&lt;&gt;"",S850="Sí"),5,IF(AND(H850&lt;&gt;"",I850&lt;&gt;"",P850&lt;&gt;"",S850&lt;&gt;"No"),4,IF(AND(H850&lt;&gt;"",I850&lt;&gt;""),3,IF(F850&lt;&gt;"",2,1)))))</x:f>
        <x:v>T3</x:v>
      </x:c>
      <x:c r="U850" s="24" t="str">
        <x:v>VRM Games</x:v>
      </x:c>
      <x:c r="V850" s="24" t="str">
        <x:v>productId=console-vertex-one; labelId=label-vertex-one</x:v>
      </x:c>
    </x:row>
    <x:row r="851" ht="34" customHeight="1">
      <x:c r="A851" s="24" t="str">
        <x:v>TRC-00847</x:v>
      </x:c>
      <x:c r="B851" s="24" t="str">
        <x:v>IP-P1-004</x:v>
      </x:c>
      <x:c r="C851" s="24" t="str">
        <x:v>Orbit Pad Controller</x:v>
      </x:c>
      <x:c r="D851" s="24" t="str">
        <x:v>Fictitious product/game/hardware name</x:v>
      </x:c>
      <x:c r="E851" s="24" t="str">
        <x:v>12_Marcas_IP</x:v>
      </x:c>
      <x:c r="F851" s="24" t="str">
        <x:v>IP-P1-004</x:v>
      </x:c>
      <x:c r="G851" s="24" t="str">
        <x:v>VRM Games / Blas Luis Rocha González</x:v>
      </x:c>
      <x:c r="H851" s="24" t="str">
        <x:v>Project IP / clearance status</x:v>
      </x:c>
      <x:c r="I851" s="24" t="str">
        <x:v>Assets/_Project/Data/Catalogs/ContentCatalog.asset</x:v>
      </x:c>
      <x:c r="J851" s="24" t="str"/>
      <x:c r="K851" s="24" t="str">
        <x:v>Internal ContentCatalog naming</x:v>
      </x:c>
      <x:c r="L851" s="24" t="str">
        <x:v>CR-001</x:v>
      </x:c>
      <x:c r="M851" s="24" t="str"/>
      <x:c r="N851" s="24" t="str">
        <x:v>RES-002;RES-012</x:v>
      </x:c>
      <x:c r="O851" s="24" t="str">
        <x:v>Internal game content</x:v>
      </x:c>
      <x:c r="P851" s="24" t="str">
        <x:v>FICTIONAL / SIMILARITY REVIEW</x:v>
      </x:c>
      <x:c r="Q851" s="24" t="str">
        <x:v>Medium</x:v>
      </x:c>
      <x:c r="R851" s="24" t="str"/>
      <x:c r="S851" s="24" t="str">
        <x:v>No</x:v>
      </x:c>
      <x:c r="T851" s="24" t="str">
        <x:f>"T"&amp;IF(AND(H851&lt;&gt;"",I851&lt;&gt;"",J851&lt;&gt;"",L851&lt;&gt;"",N851&lt;&gt;"",O851&lt;&gt;"",P851="APPROVED PUBLIC",S851="Sí"),6,IF(AND(H851&lt;&gt;"",I851&lt;&gt;"",J851&lt;&gt;"",L851&lt;&gt;"",N851&lt;&gt;"",O851&lt;&gt;"",P851&lt;&gt;"",S851="Sí"),5,IF(AND(H851&lt;&gt;"",I851&lt;&gt;"",P851&lt;&gt;"",S851&lt;&gt;"No"),4,IF(AND(H851&lt;&gt;"",I851&lt;&gt;""),3,IF(F851&lt;&gt;"",2,1)))))</x:f>
        <x:v>T3</x:v>
      </x:c>
      <x:c r="U851" s="24" t="str">
        <x:v>VRM Games</x:v>
      </x:c>
      <x:c r="V851" s="24" t="str">
        <x:v>productId=controller-orbit-pad; labelId=label-orbit-pad</x:v>
      </x:c>
    </x:row>
    <x:row r="852" ht="34" customHeight="1">
      <x:c r="A852" s="24" t="str">
        <x:v>TRC-00848</x:v>
      </x:c>
      <x:c r="B852" s="24" t="str">
        <x:v>IP-P1-005</x:v>
      </x:c>
      <x:c r="C852" s="24" t="str">
        <x:v>Signal Pro Headset</x:v>
      </x:c>
      <x:c r="D852" s="24" t="str">
        <x:v>Fictitious product/game/hardware name</x:v>
      </x:c>
      <x:c r="E852" s="24" t="str">
        <x:v>12_Marcas_IP</x:v>
      </x:c>
      <x:c r="F852" s="24" t="str">
        <x:v>IP-P1-005</x:v>
      </x:c>
      <x:c r="G852" s="24" t="str">
        <x:v>VRM Games / Blas Luis Rocha González</x:v>
      </x:c>
      <x:c r="H852" s="24" t="str">
        <x:v>Project IP / clearance status</x:v>
      </x:c>
      <x:c r="I852" s="24" t="str">
        <x:v>Assets/_Project/Data/Catalogs/ContentCatalog.asset</x:v>
      </x:c>
      <x:c r="J852" s="24" t="str"/>
      <x:c r="K852" s="24" t="str">
        <x:v>Internal ContentCatalog naming</x:v>
      </x:c>
      <x:c r="L852" s="24" t="str">
        <x:v>CR-001</x:v>
      </x:c>
      <x:c r="M852" s="24" t="str"/>
      <x:c r="N852" s="24" t="str">
        <x:v>RES-002;RES-012</x:v>
      </x:c>
      <x:c r="O852" s="24" t="str">
        <x:v>Internal game content</x:v>
      </x:c>
      <x:c r="P852" s="24" t="str">
        <x:v>FICTIONAL / SIMILARITY REVIEW</x:v>
      </x:c>
      <x:c r="Q852" s="24" t="str">
        <x:v>Medium</x:v>
      </x:c>
      <x:c r="R852" s="24" t="str"/>
      <x:c r="S852" s="24" t="str">
        <x:v>No</x:v>
      </x:c>
      <x:c r="T852" s="24" t="str">
        <x:f>"T"&amp;IF(AND(H852&lt;&gt;"",I852&lt;&gt;"",J852&lt;&gt;"",L852&lt;&gt;"",N852&lt;&gt;"",O852&lt;&gt;"",P852="APPROVED PUBLIC",S852="Sí"),6,IF(AND(H852&lt;&gt;"",I852&lt;&gt;"",J852&lt;&gt;"",L852&lt;&gt;"",N852&lt;&gt;"",O852&lt;&gt;"",P852&lt;&gt;"",S852="Sí"),5,IF(AND(H852&lt;&gt;"",I852&lt;&gt;"",P852&lt;&gt;"",S852&lt;&gt;"No"),4,IF(AND(H852&lt;&gt;"",I852&lt;&gt;""),3,IF(F852&lt;&gt;"",2,1)))))</x:f>
        <x:v>T3</x:v>
      </x:c>
      <x:c r="U852" s="24" t="str">
        <x:v>VRM Games</x:v>
      </x:c>
      <x:c r="V852" s="24" t="str">
        <x:v>productId=headset-signal-pro; labelId=label-signal-pro</x:v>
      </x:c>
    </x:row>
    <x:row r="853" ht="34" customHeight="1">
      <x:c r="A853" s="24" t="str">
        <x:v>TRC-00849</x:v>
      </x:c>
      <x:c r="B853" s="24" t="str">
        <x:v>IP-P1-006</x:v>
      </x:c>
      <x:c r="C853" s="24" t="str">
        <x:v>Memory Core Accessory</x:v>
      </x:c>
      <x:c r="D853" s="24" t="str">
        <x:v>Fictitious product/game/hardware name</x:v>
      </x:c>
      <x:c r="E853" s="24" t="str">
        <x:v>12_Marcas_IP</x:v>
      </x:c>
      <x:c r="F853" s="24" t="str">
        <x:v>IP-P1-006</x:v>
      </x:c>
      <x:c r="G853" s="24" t="str">
        <x:v>VRM Games / Blas Luis Rocha González</x:v>
      </x:c>
      <x:c r="H853" s="24" t="str">
        <x:v>Project IP / clearance status</x:v>
      </x:c>
      <x:c r="I853" s="24" t="str">
        <x:v>Assets/_Project/Data/Catalogs/ContentCatalog.asset</x:v>
      </x:c>
      <x:c r="J853" s="24" t="str"/>
      <x:c r="K853" s="24" t="str">
        <x:v>Internal ContentCatalog naming</x:v>
      </x:c>
      <x:c r="L853" s="24" t="str">
        <x:v>CR-001</x:v>
      </x:c>
      <x:c r="M853" s="24" t="str"/>
      <x:c r="N853" s="24" t="str">
        <x:v>RES-002;RES-012</x:v>
      </x:c>
      <x:c r="O853" s="24" t="str">
        <x:v>Internal game content</x:v>
      </x:c>
      <x:c r="P853" s="24" t="str">
        <x:v>FICTIONAL / SIMILARITY REVIEW</x:v>
      </x:c>
      <x:c r="Q853" s="24" t="str">
        <x:v>Medium</x:v>
      </x:c>
      <x:c r="R853" s="24" t="str"/>
      <x:c r="S853" s="24" t="str">
        <x:v>No</x:v>
      </x:c>
      <x:c r="T853" s="24" t="str">
        <x:f>"T"&amp;IF(AND(H853&lt;&gt;"",I853&lt;&gt;"",J853&lt;&gt;"",L853&lt;&gt;"",N853&lt;&gt;"",O853&lt;&gt;"",P853="APPROVED PUBLIC",S853="Sí"),6,IF(AND(H853&lt;&gt;"",I853&lt;&gt;"",J853&lt;&gt;"",L853&lt;&gt;"",N853&lt;&gt;"",O853&lt;&gt;"",P853&lt;&gt;"",S853="Sí"),5,IF(AND(H853&lt;&gt;"",I853&lt;&gt;"",P853&lt;&gt;"",S853&lt;&gt;"No"),4,IF(AND(H853&lt;&gt;"",I853&lt;&gt;""),3,IF(F853&lt;&gt;"",2,1)))))</x:f>
        <x:v>T3</x:v>
      </x:c>
      <x:c r="U853" s="24" t="str">
        <x:v>VRM Games</x:v>
      </x:c>
      <x:c r="V853" s="24" t="str">
        <x:v>productId=accessory-memory-core; labelId=label-memory-core</x:v>
      </x:c>
    </x:row>
    <x:row r="854" ht="34" customHeight="1">
      <x:c r="A854" s="24" t="str">
        <x:v>TRC-00850</x:v>
      </x:c>
      <x:c r="B854" s="24" t="str">
        <x:v>IP-TEC-001</x:v>
      </x:c>
      <x:c r="C854" s="24" t="str">
        <x:v>cartridge-cloud-racers</x:v>
      </x:c>
      <x:c r="D854" s="24" t="str">
        <x:v>Technical fictional product ID/name</x:v>
      </x:c>
      <x:c r="E854" s="24" t="str">
        <x:v>12_Marcas_IP</x:v>
      </x:c>
      <x:c r="F854" s="24" t="str">
        <x:v>IP-TEC-001</x:v>
      </x:c>
      <x:c r="G854" s="24" t="str">
        <x:v>VRM Games / Blas Luis Rocha González</x:v>
      </x:c>
      <x:c r="H854" s="24" t="str">
        <x:v>Project IP / clearance status</x:v>
      </x:c>
      <x:c r="I854" s="24" t="str">
        <x:v>Assets/_Project/Data/Products/Technical/CC_Product_CloudRacers.asset</x:v>
      </x:c>
      <x:c r="J854" s="24" t="str"/>
      <x:c r="K854" s="24" t="str">
        <x:v>Internal technical catalog</x:v>
      </x:c>
      <x:c r="L854" s="24" t="str">
        <x:v>CR-001</x:v>
      </x:c>
      <x:c r="M854" s="24" t="str"/>
      <x:c r="N854" s="24" t="str">
        <x:v>RES-002;RES-012</x:v>
      </x:c>
      <x:c r="O854" s="24" t="str">
        <x:v>Internal/technical</x:v>
      </x:c>
      <x:c r="P854" s="24" t="str">
        <x:v>TECHNICAL / MIGRATION REVIEW</x:v>
      </x:c>
      <x:c r="Q854" s="24" t="str">
        <x:v>Medium</x:v>
      </x:c>
      <x:c r="R854" s="24" t="str"/>
      <x:c r="S854" s="24" t="str">
        <x:v>No</x:v>
      </x:c>
      <x:c r="T854" s="24" t="str">
        <x:f>"T"&amp;IF(AND(H854&lt;&gt;"",I854&lt;&gt;"",J854&lt;&gt;"",L854&lt;&gt;"",N854&lt;&gt;"",O854&lt;&gt;"",P854="APPROVED PUBLIC",S854="Sí"),6,IF(AND(H854&lt;&gt;"",I854&lt;&gt;"",J854&lt;&gt;"",L854&lt;&gt;"",N854&lt;&gt;"",O854&lt;&gt;"",P854&lt;&gt;"",S854="Sí"),5,IF(AND(H854&lt;&gt;"",I854&lt;&gt;"",P854&lt;&gt;"",S854&lt;&gt;"No"),4,IF(AND(H854&lt;&gt;"",I854&lt;&gt;""),3,IF(F854&lt;&gt;"",2,1)))))</x:f>
        <x:v>T3</x:v>
      </x:c>
      <x:c r="U854" s="24" t="str">
        <x:v>VRM Games</x:v>
      </x:c>
      <x:c r="V854" s="24" t="str">
        <x:v>display key=products.cartridge_cloud_racers.name</x:v>
      </x:c>
    </x:row>
    <x:row r="855" ht="34" customHeight="1">
      <x:c r="A855" s="24" t="str">
        <x:v>TRC-00851</x:v>
      </x:c>
      <x:c r="B855" s="24" t="str">
        <x:v>IP-TEC-002</x:v>
      </x:c>
      <x:c r="C855" s="24" t="str">
        <x:v>cartridge-pixel-quest</x:v>
      </x:c>
      <x:c r="D855" s="24" t="str">
        <x:v>Technical fictional product ID/name</x:v>
      </x:c>
      <x:c r="E855" s="24" t="str">
        <x:v>12_Marcas_IP</x:v>
      </x:c>
      <x:c r="F855" s="24" t="str">
        <x:v>IP-TEC-002</x:v>
      </x:c>
      <x:c r="G855" s="24" t="str">
        <x:v>VRM Games / Blas Luis Rocha González</x:v>
      </x:c>
      <x:c r="H855" s="24" t="str">
        <x:v>Project IP / clearance status</x:v>
      </x:c>
      <x:c r="I855" s="24" t="str">
        <x:v>Assets/_Project/Data/Products/Technical/CC_Product_PixelQuest.asset</x:v>
      </x:c>
      <x:c r="J855" s="24" t="str"/>
      <x:c r="K855" s="24" t="str">
        <x:v>Internal technical catalog</x:v>
      </x:c>
      <x:c r="L855" s="24" t="str">
        <x:v>CR-001</x:v>
      </x:c>
      <x:c r="M855" s="24" t="str"/>
      <x:c r="N855" s="24" t="str">
        <x:v>RES-002;RES-012</x:v>
      </x:c>
      <x:c r="O855" s="24" t="str">
        <x:v>Internal/technical</x:v>
      </x:c>
      <x:c r="P855" s="24" t="str">
        <x:v>TECHNICAL / MIGRATION REVIEW</x:v>
      </x:c>
      <x:c r="Q855" s="24" t="str">
        <x:v>Medium</x:v>
      </x:c>
      <x:c r="R855" s="24" t="str"/>
      <x:c r="S855" s="24" t="str">
        <x:v>No</x:v>
      </x:c>
      <x:c r="T855" s="24" t="str">
        <x:f>"T"&amp;IF(AND(H855&lt;&gt;"",I855&lt;&gt;"",J855&lt;&gt;"",L855&lt;&gt;"",N855&lt;&gt;"",O855&lt;&gt;"",P855="APPROVED PUBLIC",S855="Sí"),6,IF(AND(H855&lt;&gt;"",I855&lt;&gt;"",J855&lt;&gt;"",L855&lt;&gt;"",N855&lt;&gt;"",O855&lt;&gt;"",P855&lt;&gt;"",S855="Sí"),5,IF(AND(H855&lt;&gt;"",I855&lt;&gt;"",P855&lt;&gt;"",S855&lt;&gt;"No"),4,IF(AND(H855&lt;&gt;"",I855&lt;&gt;""),3,IF(F855&lt;&gt;"",2,1)))))</x:f>
        <x:v>T3</x:v>
      </x:c>
      <x:c r="U855" s="24" t="str">
        <x:v>VRM Games</x:v>
      </x:c>
      <x:c r="V855" s="24" t="str">
        <x:v>display key=products.cartridge_pixel_quest.name</x:v>
      </x:c>
    </x:row>
    <x:row r="856" ht="34" customHeight="1">
      <x:c r="A856" s="24" t="str">
        <x:v>TRC-00852</x:v>
      </x:c>
      <x:c r="B856" s="24" t="str">
        <x:v>IP-TEC-003</x:v>
      </x:c>
      <x:c r="C856" s="24" t="str">
        <x:v>collectible-cloud-hero</x:v>
      </x:c>
      <x:c r="D856" s="24" t="str">
        <x:v>Technical fictional product ID/name</x:v>
      </x:c>
      <x:c r="E856" s="24" t="str">
        <x:v>12_Marcas_IP</x:v>
      </x:c>
      <x:c r="F856" s="24" t="str">
        <x:v>IP-TEC-003</x:v>
      </x:c>
      <x:c r="G856" s="24" t="str">
        <x:v>VRM Games / Blas Luis Rocha González</x:v>
      </x:c>
      <x:c r="H856" s="24" t="str">
        <x:v>Project IP / clearance status</x:v>
      </x:c>
      <x:c r="I856" s="24" t="str">
        <x:v>Assets/_Project/Data/Products/Technical/CC_Product_CloudHero.asset</x:v>
      </x:c>
      <x:c r="J856" s="24" t="str"/>
      <x:c r="K856" s="24" t="str">
        <x:v>Internal technical catalog</x:v>
      </x:c>
      <x:c r="L856" s="24" t="str">
        <x:v>CR-001</x:v>
      </x:c>
      <x:c r="M856" s="24" t="str"/>
      <x:c r="N856" s="24" t="str">
        <x:v>RES-002;RES-012</x:v>
      </x:c>
      <x:c r="O856" s="24" t="str">
        <x:v>Internal/technical</x:v>
      </x:c>
      <x:c r="P856" s="24" t="str">
        <x:v>TECHNICAL / MIGRATION REVIEW</x:v>
      </x:c>
      <x:c r="Q856" s="24" t="str">
        <x:v>Medium</x:v>
      </x:c>
      <x:c r="R856" s="24" t="str"/>
      <x:c r="S856" s="24" t="str">
        <x:v>No</x:v>
      </x:c>
      <x:c r="T856" s="24" t="str">
        <x:f>"T"&amp;IF(AND(H856&lt;&gt;"",I856&lt;&gt;"",J856&lt;&gt;"",L856&lt;&gt;"",N856&lt;&gt;"",O856&lt;&gt;"",P856="APPROVED PUBLIC",S856="Sí"),6,IF(AND(H856&lt;&gt;"",I856&lt;&gt;"",J856&lt;&gt;"",L856&lt;&gt;"",N856&lt;&gt;"",O856&lt;&gt;"",P856&lt;&gt;"",S856="Sí"),5,IF(AND(H856&lt;&gt;"",I856&lt;&gt;"",P856&lt;&gt;"",S856&lt;&gt;"No"),4,IF(AND(H856&lt;&gt;"",I856&lt;&gt;""),3,IF(F856&lt;&gt;"",2,1)))))</x:f>
        <x:v>T3</x:v>
      </x:c>
      <x:c r="U856" s="24" t="str">
        <x:v>VRM Games</x:v>
      </x:c>
      <x:c r="V856" s="24" t="str">
        <x:v>display key=products.collectible_cloud_hero.name</x:v>
      </x:c>
    </x:row>
    <x:row r="857" ht="34" customHeight="1">
      <x:c r="A857" s="24" t="str">
        <x:v>TRC-00853</x:v>
      </x:c>
      <x:c r="B857" s="24" t="str">
        <x:v>IP-TEC-004</x:v>
      </x:c>
      <x:c r="C857" s="24" t="str">
        <x:v>console-nebula-8</x:v>
      </x:c>
      <x:c r="D857" s="24" t="str">
        <x:v>Technical fictional product ID/name</x:v>
      </x:c>
      <x:c r="E857" s="24" t="str">
        <x:v>12_Marcas_IP</x:v>
      </x:c>
      <x:c r="F857" s="24" t="str">
        <x:v>IP-TEC-004</x:v>
      </x:c>
      <x:c r="G857" s="24" t="str">
        <x:v>VRM Games / Blas Luis Rocha González</x:v>
      </x:c>
      <x:c r="H857" s="24" t="str">
        <x:v>Project IP / clearance status</x:v>
      </x:c>
      <x:c r="I857" s="24" t="str">
        <x:v>Assets/_Project/Data/Products/Technical/CC_Product_Nebula8.asset</x:v>
      </x:c>
      <x:c r="J857" s="24" t="str"/>
      <x:c r="K857" s="24" t="str">
        <x:v>Internal technical catalog</x:v>
      </x:c>
      <x:c r="L857" s="24" t="str">
        <x:v>CR-001</x:v>
      </x:c>
      <x:c r="M857" s="24" t="str"/>
      <x:c r="N857" s="24" t="str">
        <x:v>RES-002;RES-012</x:v>
      </x:c>
      <x:c r="O857" s="24" t="str">
        <x:v>Internal/technical</x:v>
      </x:c>
      <x:c r="P857" s="24" t="str">
        <x:v>TECHNICAL / MIGRATION REVIEW</x:v>
      </x:c>
      <x:c r="Q857" s="24" t="str">
        <x:v>Medium</x:v>
      </x:c>
      <x:c r="R857" s="24" t="str"/>
      <x:c r="S857" s="24" t="str">
        <x:v>No</x:v>
      </x:c>
      <x:c r="T857" s="24" t="str">
        <x:f>"T"&amp;IF(AND(H857&lt;&gt;"",I857&lt;&gt;"",J857&lt;&gt;"",L857&lt;&gt;"",N857&lt;&gt;"",O857&lt;&gt;"",P857="APPROVED PUBLIC",S857="Sí"),6,IF(AND(H857&lt;&gt;"",I857&lt;&gt;"",J857&lt;&gt;"",L857&lt;&gt;"",N857&lt;&gt;"",O857&lt;&gt;"",P857&lt;&gt;"",S857="Sí"),5,IF(AND(H857&lt;&gt;"",I857&lt;&gt;"",P857&lt;&gt;"",S857&lt;&gt;"No"),4,IF(AND(H857&lt;&gt;"",I857&lt;&gt;""),3,IF(F857&lt;&gt;"",2,1)))))</x:f>
        <x:v>T3</x:v>
      </x:c>
      <x:c r="U857" s="24" t="str">
        <x:v>VRM Games</x:v>
      </x:c>
      <x:c r="V857" s="24" t="str">
        <x:v>display key=products.console_nebula_8.name</x:v>
      </x:c>
    </x:row>
    <x:row r="858" ht="34" customHeight="1">
      <x:c r="A858" s="24" t="str">
        <x:v>TRC-00854</x:v>
      </x:c>
      <x:c r="B858" s="24" t="str">
        <x:v>IP-TEC-005</x:v>
      </x:c>
      <x:c r="C858" s="24" t="str">
        <x:v>controller-orbit-pad</x:v>
      </x:c>
      <x:c r="D858" s="24" t="str">
        <x:v>Technical fictional product ID/name</x:v>
      </x:c>
      <x:c r="E858" s="24" t="str">
        <x:v>12_Marcas_IP</x:v>
      </x:c>
      <x:c r="F858" s="24" t="str">
        <x:v>IP-TEC-005</x:v>
      </x:c>
      <x:c r="G858" s="24" t="str">
        <x:v>VRM Games / Blas Luis Rocha González</x:v>
      </x:c>
      <x:c r="H858" s="24" t="str">
        <x:v>Project IP / clearance status</x:v>
      </x:c>
      <x:c r="I858" s="24" t="str">
        <x:v>Assets/_Project/Data/Products/Technical/CC_Product_OrbitPad.asset</x:v>
      </x:c>
      <x:c r="J858" s="24" t="str"/>
      <x:c r="K858" s="24" t="str">
        <x:v>Internal technical catalog</x:v>
      </x:c>
      <x:c r="L858" s="24" t="str">
        <x:v>CR-001</x:v>
      </x:c>
      <x:c r="M858" s="24" t="str"/>
      <x:c r="N858" s="24" t="str">
        <x:v>RES-002;RES-012</x:v>
      </x:c>
      <x:c r="O858" s="24" t="str">
        <x:v>Internal/technical</x:v>
      </x:c>
      <x:c r="P858" s="24" t="str">
        <x:v>TECHNICAL / MIGRATION REVIEW</x:v>
      </x:c>
      <x:c r="Q858" s="24" t="str">
        <x:v>Medium</x:v>
      </x:c>
      <x:c r="R858" s="24" t="str"/>
      <x:c r="S858" s="24" t="str">
        <x:v>No</x:v>
      </x:c>
      <x:c r="T858" s="24" t="str">
        <x:f>"T"&amp;IF(AND(H858&lt;&gt;"",I858&lt;&gt;"",J858&lt;&gt;"",L858&lt;&gt;"",N858&lt;&gt;"",O858&lt;&gt;"",P858="APPROVED PUBLIC",S858="Sí"),6,IF(AND(H858&lt;&gt;"",I858&lt;&gt;"",J858&lt;&gt;"",L858&lt;&gt;"",N858&lt;&gt;"",O858&lt;&gt;"",P858&lt;&gt;"",S858="Sí"),5,IF(AND(H858&lt;&gt;"",I858&lt;&gt;"",P858&lt;&gt;"",S858&lt;&gt;"No"),4,IF(AND(H858&lt;&gt;"",I858&lt;&gt;""),3,IF(F858&lt;&gt;"",2,1)))))</x:f>
        <x:v>T3</x:v>
      </x:c>
      <x:c r="U858" s="24" t="str">
        <x:v>VRM Games</x:v>
      </x:c>
      <x:c r="V858" s="24" t="str">
        <x:v>display key=products.controller_orbit_pad.name</x:v>
      </x:c>
    </x:row>
    <x:row r="859" ht="34" customHeight="1">
      <x:c r="A859" s="24" t="str">
        <x:v>TRC-00855</x:v>
      </x:c>
      <x:c r="B859" s="24" t="str">
        <x:v>IP-TEC-006</x:v>
      </x:c>
      <x:c r="C859" s="24" t="str">
        <x:v>memory-card-64</x:v>
      </x:c>
      <x:c r="D859" s="24" t="str">
        <x:v>Technical fictional product ID/name</x:v>
      </x:c>
      <x:c r="E859" s="24" t="str">
        <x:v>12_Marcas_IP</x:v>
      </x:c>
      <x:c r="F859" s="24" t="str">
        <x:v>IP-TEC-006</x:v>
      </x:c>
      <x:c r="G859" s="24" t="str">
        <x:v>VRM Games / Blas Luis Rocha González</x:v>
      </x:c>
      <x:c r="H859" s="24" t="str">
        <x:v>Project IP / clearance status</x:v>
      </x:c>
      <x:c r="I859" s="24" t="str">
        <x:v>Assets/_Project/Data/Products/Technical/CC_Product_MemoryCard64.asset</x:v>
      </x:c>
      <x:c r="J859" s="24" t="str"/>
      <x:c r="K859" s="24" t="str">
        <x:v>Internal technical catalog</x:v>
      </x:c>
      <x:c r="L859" s="24" t="str">
        <x:v>CR-001</x:v>
      </x:c>
      <x:c r="M859" s="24" t="str"/>
      <x:c r="N859" s="24" t="str">
        <x:v>RES-002;RES-012</x:v>
      </x:c>
      <x:c r="O859" s="24" t="str">
        <x:v>Internal/technical</x:v>
      </x:c>
      <x:c r="P859" s="24" t="str">
        <x:v>TECHNICAL / MIGRATION REVIEW</x:v>
      </x:c>
      <x:c r="Q859" s="24" t="str">
        <x:v>Medium</x:v>
      </x:c>
      <x:c r="R859" s="24" t="str"/>
      <x:c r="S859" s="24" t="str">
        <x:v>No</x:v>
      </x:c>
      <x:c r="T859" s="24" t="str">
        <x:f>"T"&amp;IF(AND(H859&lt;&gt;"",I859&lt;&gt;"",J859&lt;&gt;"",L859&lt;&gt;"",N859&lt;&gt;"",O859&lt;&gt;"",P859="APPROVED PUBLIC",S859="Sí"),6,IF(AND(H859&lt;&gt;"",I859&lt;&gt;"",J859&lt;&gt;"",L859&lt;&gt;"",N859&lt;&gt;"",O859&lt;&gt;"",P859&lt;&gt;"",S859="Sí"),5,IF(AND(H859&lt;&gt;"",I859&lt;&gt;"",P859&lt;&gt;"",S859&lt;&gt;"No"),4,IF(AND(H859&lt;&gt;"",I859&lt;&gt;""),3,IF(F859&lt;&gt;"",2,1)))))</x:f>
        <x:v>T3</x:v>
      </x:c>
      <x:c r="U859" s="24" t="str">
        <x:v>VRM Games</x:v>
      </x:c>
      <x:c r="V859" s="24" t="str">
        <x:v>display key=products.memory_card_64.name</x:v>
      </x:c>
    </x:row>
    <x:row r="860" ht="34" customHeight="1">
      <x:c r="A860" s="24" t="str">
        <x:v>TRC-00856</x:v>
      </x:c>
      <x:c r="B860" s="24" t="str">
        <x:v>IP-SUP-001</x:v>
      </x:c>
      <x:c r="C860" s="24" t="str">
        <x:v>supplier-nebula-distribution</x:v>
      </x:c>
      <x:c r="D860" s="24" t="str">
        <x:v>Fictitious supplier/logistics brand</x:v>
      </x:c>
      <x:c r="E860" s="24" t="str">
        <x:v>12_Marcas_IP</x:v>
      </x:c>
      <x:c r="F860" s="24" t="str">
        <x:v>IP-SUP-001</x:v>
      </x:c>
      <x:c r="G860" s="24" t="str">
        <x:v>VRM Games / Blas Luis Rocha González</x:v>
      </x:c>
      <x:c r="H860" s="24" t="str">
        <x:v>Project IP / clearance status</x:v>
      </x:c>
      <x:c r="I860" s="24" t="str">
        <x:v>Assets/_Project/Data/Suppliers/Technical/CC_Supplier_NebulaDistribution.asset</x:v>
      </x:c>
      <x:c r="J860" s="24" t="str"/>
      <x:c r="K860" s="24" t="str">
        <x:v>Internal technical supplier catalog</x:v>
      </x:c>
      <x:c r="L860" s="24" t="str">
        <x:v>CR-001</x:v>
      </x:c>
      <x:c r="M860" s="24" t="str"/>
      <x:c r="N860" s="24" t="str">
        <x:v>RES-002;RES-012</x:v>
      </x:c>
      <x:c r="O860" s="24" t="str">
        <x:v>Internal game content</x:v>
      </x:c>
      <x:c r="P860" s="24" t="str">
        <x:v>FICTIONAL / SIMILARITY REVIEW</x:v>
      </x:c>
      <x:c r="Q860" s="24" t="str">
        <x:v>Medium</x:v>
      </x:c>
      <x:c r="R860" s="24" t="str"/>
      <x:c r="S860" s="24" t="str">
        <x:v>No</x:v>
      </x:c>
      <x:c r="T860" s="24" t="str">
        <x:f>"T"&amp;IF(AND(H860&lt;&gt;"",I860&lt;&gt;"",J860&lt;&gt;"",L860&lt;&gt;"",N860&lt;&gt;"",O860&lt;&gt;"",P860="APPROVED PUBLIC",S860="Sí"),6,IF(AND(H860&lt;&gt;"",I860&lt;&gt;"",J860&lt;&gt;"",L860&lt;&gt;"",N860&lt;&gt;"",O860&lt;&gt;"",P860&lt;&gt;"",S860="Sí"),5,IF(AND(H860&lt;&gt;"",I860&lt;&gt;"",P860&lt;&gt;"",S860&lt;&gt;"No"),4,IF(AND(H860&lt;&gt;"",I860&lt;&gt;""),3,IF(F860&lt;&gt;"",2,1)))))</x:f>
        <x:v>T3</x:v>
      </x:c>
      <x:c r="U860" s="24" t="str">
        <x:v>VRM Games</x:v>
      </x:c>
      <x:c r="V860" s="24" t="str">
        <x:v>display key=suppliers.nebula_distribution.name</x:v>
      </x:c>
    </x:row>
    <x:row r="861" ht="34" customHeight="1">
      <x:c r="A861" s="24" t="str">
        <x:v>TRC-00857</x:v>
      </x:c>
      <x:c r="B861" s="24" t="str">
        <x:v>IP-SUP-002</x:v>
      </x:c>
      <x:c r="C861" s="24" t="str">
        <x:v>supplier-pixel-parcel</x:v>
      </x:c>
      <x:c r="D861" s="24" t="str">
        <x:v>Fictitious supplier/logistics brand</x:v>
      </x:c>
      <x:c r="E861" s="24" t="str">
        <x:v>12_Marcas_IP</x:v>
      </x:c>
      <x:c r="F861" s="24" t="str">
        <x:v>IP-SUP-002</x:v>
      </x:c>
      <x:c r="G861" s="24" t="str">
        <x:v>VRM Games / Blas Luis Rocha González</x:v>
      </x:c>
      <x:c r="H861" s="24" t="str">
        <x:v>Project IP / clearance status</x:v>
      </x:c>
      <x:c r="I861" s="24" t="str">
        <x:v>Assets/_Project/Data/Suppliers/Technical/CC_Supplier_PixelParcel.asset</x:v>
      </x:c>
      <x:c r="J861" s="24" t="str"/>
      <x:c r="K861" s="24" t="str">
        <x:v>Internal technical supplier catalog</x:v>
      </x:c>
      <x:c r="L861" s="24" t="str">
        <x:v>CR-001</x:v>
      </x:c>
      <x:c r="M861" s="24" t="str"/>
      <x:c r="N861" s="24" t="str">
        <x:v>RES-002;RES-012</x:v>
      </x:c>
      <x:c r="O861" s="24" t="str">
        <x:v>Internal game content</x:v>
      </x:c>
      <x:c r="P861" s="24" t="str">
        <x:v>FICTIONAL / SIMILARITY REVIEW</x:v>
      </x:c>
      <x:c r="Q861" s="24" t="str">
        <x:v>Medium</x:v>
      </x:c>
      <x:c r="R861" s="24" t="str"/>
      <x:c r="S861" s="24" t="str">
        <x:v>No</x:v>
      </x:c>
      <x:c r="T861" s="24" t="str">
        <x:f>"T"&amp;IF(AND(H861&lt;&gt;"",I861&lt;&gt;"",J861&lt;&gt;"",L861&lt;&gt;"",N861&lt;&gt;"",O861&lt;&gt;"",P861="APPROVED PUBLIC",S861="Sí"),6,IF(AND(H861&lt;&gt;"",I861&lt;&gt;"",J861&lt;&gt;"",L861&lt;&gt;"",N861&lt;&gt;"",O861&lt;&gt;"",P861&lt;&gt;"",S861="Sí"),5,IF(AND(H861&lt;&gt;"",I861&lt;&gt;"",P861&lt;&gt;"",S861&lt;&gt;"No"),4,IF(AND(H861&lt;&gt;"",I861&lt;&gt;""),3,IF(F861&lt;&gt;"",2,1)))))</x:f>
        <x:v>T3</x:v>
      </x:c>
      <x:c r="U861" s="24" t="str">
        <x:v>VRM Games</x:v>
      </x:c>
      <x:c r="V861" s="24" t="str">
        <x:v>display key=suppliers.pixel_parcel.name</x:v>
      </x:c>
    </x:row>
    <x:row r="862" ht="34" customHeight="1">
      <x:c r="A862" s="24" t="str">
        <x:v>TRC-00858</x:v>
      </x:c>
      <x:c r="B862" s="24" t="str">
        <x:v>LOC-LIC-001</x:v>
      </x:c>
      <x:c r="C862" s="24" t="str">
        <x:v>es-ES source copy</x:v>
      </x:c>
      <x:c r="D862" s="24" t="str">
        <x:v>Source language content</x:v>
      </x:c>
      <x:c r="E862" s="24" t="str">
        <x:v>10_Localizacion_Traduccion</x:v>
      </x:c>
      <x:c r="F862" s="24" t="str">
        <x:v>LOC-LIC-001</x:v>
      </x:c>
      <x:c r="G862" s="24" t="str">
        <x:v>VRM Games / Blas Luis Rocha González</x:v>
      </x:c>
      <x:c r="H862" s="24" t="str">
        <x:v>Internal authorship; AI-assisted content governed by tool terms</x:v>
      </x:c>
      <x:c r="I862" s="24" t="str">
        <x:v>22_Localization_Plan.md + future string tables</x:v>
      </x:c>
      <x:c r="J862" s="24" t="str"/>
      <x:c r="K862" s="24" t="str">
        <x:v>Internal drafting + AI assistance where recorded</x:v>
      </x:c>
      <x:c r="L862" s="24" t="str">
        <x:v>CR-007</x:v>
      </x:c>
      <x:c r="M862" s="24" t="str"/>
      <x:c r="N862" s="24" t="str">
        <x:v>RES-017</x:v>
      </x:c>
      <x:c r="O862" s="24" t="str">
        <x:v>None until String Tables exist</x:v>
      </x:c>
      <x:c r="P862" s="24" t="str">
        <x:v>PLANNED / NOT IMPLEMENTED</x:v>
      </x:c>
      <x:c r="Q862" s="24" t="str">
        <x:v>Medium</x:v>
      </x:c>
      <x:c r="R862" s="24" t="str"/>
      <x:c r="S862" s="24" t="str">
        <x:v>No</x:v>
      </x:c>
      <x:c r="T862" s="24" t="str">
        <x:f>"T"&amp;IF(AND(H862&lt;&gt;"",I862&lt;&gt;"",J862&lt;&gt;"",L862&lt;&gt;"",N862&lt;&gt;"",O862&lt;&gt;"",P862="APPROVED PUBLIC",S862="Sí"),6,IF(AND(H862&lt;&gt;"",I862&lt;&gt;"",J862&lt;&gt;"",L862&lt;&gt;"",N862&lt;&gt;"",O862&lt;&gt;"",P862&lt;&gt;"",S862="Sí"),5,IF(AND(H862&lt;&gt;"",I862&lt;&gt;"",P862&lt;&gt;"",S862&lt;&gt;"No"),4,IF(AND(H862&lt;&gt;"",I862&lt;&gt;""),3,IF(F862&lt;&gt;"",2,1)))))</x:f>
        <x:v>T3</x:v>
      </x:c>
      <x:c r="U862" s="24" t="str">
        <x:v>VRM Games</x:v>
      </x:c>
      <x:c r="V862" s="24" t="str">
        <x:v>Spanish is source/development locale, but no operational table currently exists.</x:v>
      </x:c>
    </x:row>
    <x:row r="863" ht="34" customHeight="1">
      <x:c r="A863" s="24" t="str">
        <x:v>TRC-00859</x:v>
      </x:c>
      <x:c r="B863" s="24" t="str">
        <x:v>LOC-LIC-002</x:v>
      </x:c>
      <x:c r="C863" s="24" t="str">
        <x:v>en-US translation</x:v>
      </x:c>
      <x:c r="D863" s="24" t="str">
        <x:v>Translation</x:v>
      </x:c>
      <x:c r="E863" s="24" t="str">
        <x:v>10_Localizacion_Traduccion</x:v>
      </x:c>
      <x:c r="F863" s="24" t="str">
        <x:v>LOC-LIC-002</x:v>
      </x:c>
      <x:c r="G863" s="24" t="str">
        <x:v>TBD / project owner or contracted reviewer</x:v>
      </x:c>
      <x:c r="H863" s="24" t="str">
        <x:v>Translator agreement or internal authorship record required</x:v>
      </x:c>
      <x:c r="I863" s="24" t="str">
        <x:v>Translation delivery, review log, invoice/agreement if external</x:v>
      </x:c>
      <x:c r="J863" s="24" t="str"/>
      <x:c r="K863" s="24" t="str">
        <x:v>Human translation; MT/AI only as draft</x:v>
      </x:c>
      <x:c r="L863" s="24" t="str">
        <x:v>CR-007</x:v>
      </x:c>
      <x:c r="M863" s="24" t="str"/>
      <x:c r="N863" s="24" t="str">
        <x:v>RES-017</x:v>
      </x:c>
      <x:c r="O863" s="24" t="str">
        <x:v>None</x:v>
      </x:c>
      <x:c r="P863" s="24" t="str">
        <x:v>NOT STARTED</x:v>
      </x:c>
      <x:c r="Q863" s="24" t="str">
        <x:v>Medium</x:v>
      </x:c>
      <x:c r="R863" s="24" t="str">
        <x:v>LEG-DEBT-007</x:v>
      </x:c>
      <x:c r="S863" s="24" t="str">
        <x:v>No</x:v>
      </x:c>
      <x:c r="T863" s="24" t="str">
        <x:f>"T"&amp;IF(AND(H863&lt;&gt;"",I863&lt;&gt;"",J863&lt;&gt;"",L863&lt;&gt;"",N863&lt;&gt;"",O863&lt;&gt;"",P863="APPROVED PUBLIC",S863="Sí"),6,IF(AND(H863&lt;&gt;"",I863&lt;&gt;"",J863&lt;&gt;"",L863&lt;&gt;"",N863&lt;&gt;"",O863&lt;&gt;"",P863&lt;&gt;"",S863="Sí"),5,IF(AND(H863&lt;&gt;"",I863&lt;&gt;"",P863&lt;&gt;"",S863&lt;&gt;"No"),4,IF(AND(H863&lt;&gt;"",I863&lt;&gt;""),3,IF(F863&lt;&gt;"",2,1)))))</x:f>
        <x:v>T3</x:v>
      </x:c>
      <x:c r="U863" s="24" t="str">
        <x:v>VRM Games</x:v>
      </x:c>
      <x:c r="V863" s="24" t="str">
        <x:v>H6 requires reproducible ES/EN campaigns.</x:v>
      </x:c>
    </x:row>
    <x:row r="864" ht="34" customHeight="1">
      <x:c r="A864" s="24" t="str">
        <x:v>TRC-00860</x:v>
      </x:c>
      <x:c r="B864" s="24" t="str">
        <x:v>LOC-LIC-003</x:v>
      </x:c>
      <x:c r="C864" s="24" t="str">
        <x:v>qps-ploc pseudolocale</x:v>
      </x:c>
      <x:c r="D864" s="24" t="str">
        <x:v>Testing locale</x:v>
      </x:c>
      <x:c r="E864" s="24" t="str">
        <x:v>10_Localizacion_Traduccion</x:v>
      </x:c>
      <x:c r="F864" s="24" t="str">
        <x:v>LOC-LIC-003</x:v>
      </x:c>
      <x:c r="G864" s="24" t="str">
        <x:v>Unity Localization / project configuration</x:v>
      </x:c>
      <x:c r="H864" s="24" t="str">
        <x:v>Unity package terms</x:v>
      </x:c>
      <x:c r="I864" s="24" t="str">
        <x:v>Locale/table configuration and test output</x:v>
      </x:c>
      <x:c r="J864" s="24" t="str"/>
      <x:c r="K864" s="24" t="str">
        <x:v>Unity pseudolocalization</x:v>
      </x:c>
      <x:c r="L864" s="24" t="str">
        <x:v>CR-007</x:v>
      </x:c>
      <x:c r="M864" s="24" t="str"/>
      <x:c r="N864" s="24" t="str">
        <x:v>RES-017</x:v>
      </x:c>
      <x:c r="O864" s="24" t="str">
        <x:v>Development/test only</x:v>
      </x:c>
      <x:c r="P864" s="24" t="str">
        <x:v>PLANNED</x:v>
      </x:c>
      <x:c r="Q864" s="24" t="str">
        <x:v>Medium</x:v>
      </x:c>
      <x:c r="R864" s="24" t="str"/>
      <x:c r="S864" s="24" t="str">
        <x:v>No</x:v>
      </x:c>
      <x:c r="T864" s="24" t="str">
        <x:f>"T"&amp;IF(AND(H864&lt;&gt;"",I864&lt;&gt;"",J864&lt;&gt;"",L864&lt;&gt;"",N864&lt;&gt;"",O864&lt;&gt;"",P864="APPROVED PUBLIC",S864="Sí"),6,IF(AND(H864&lt;&gt;"",I864&lt;&gt;"",J864&lt;&gt;"",L864&lt;&gt;"",N864&lt;&gt;"",O864&lt;&gt;"",P864&lt;&gt;"",S864="Sí"),5,IF(AND(H864&lt;&gt;"",I864&lt;&gt;"",P864&lt;&gt;"",S864&lt;&gt;"No"),4,IF(AND(H864&lt;&gt;"",I864&lt;&gt;""),3,IF(F864&lt;&gt;"",2,1)))))</x:f>
        <x:v>T3</x:v>
      </x:c>
      <x:c r="U864" s="24" t="str">
        <x:v>VRM Games</x:v>
      </x:c>
      <x:c r="V864" s="24" t="str">
        <x:v>Must not appear in public release selector.</x:v>
      </x:c>
    </x:row>
    <x:row r="865" ht="34" customHeight="1">
      <x:c r="A865" s="24" t="str">
        <x:v>TRC-00861</x:v>
      </x:c>
      <x:c r="B865" s="24" t="str">
        <x:v>LOC-LIC-004</x:v>
      </x:c>
      <x:c r="C865" s="24" t="str">
        <x:v>AI/MT translation assistance</x:v>
      </x:c>
      <x:c r="D865" s="24" t="str">
        <x:v>Translation tool</x:v>
      </x:c>
      <x:c r="E865" s="24" t="str">
        <x:v>10_Localizacion_Traduccion</x:v>
      </x:c>
      <x:c r="F865" s="24" t="str">
        <x:v>LOC-LIC-004</x:v>
      </x:c>
      <x:c r="G865" s="24" t="str">
        <x:v>TBD per tool</x:v>
      </x:c>
      <x:c r="H865" s="24" t="str">
        <x:v>Provider terms and data-use policy must be reviewed</x:v>
      </x:c>
      <x:c r="I865" s="24" t="str">
        <x:v>Tool/version/date/query log if used</x:v>
      </x:c>
      <x:c r="J865" s="24" t="str"/>
      <x:c r="K865" s="24" t="str">
        <x:v>Potential AI/MT provider</x:v>
      </x:c>
      <x:c r="L865" s="24" t="str">
        <x:v>CR-007</x:v>
      </x:c>
      <x:c r="M865" s="24" t="str"/>
      <x:c r="N865" s="24" t="str">
        <x:v>RES-017</x:v>
      </x:c>
      <x:c r="O865" s="24" t="str">
        <x:v>N/A</x:v>
      </x:c>
      <x:c r="P865" s="24" t="str">
        <x:v>OPTIONAL / CONTROLLED</x:v>
      </x:c>
      <x:c r="Q865" s="24" t="str">
        <x:v>Medium</x:v>
      </x:c>
      <x:c r="R865" s="24" t="str"/>
      <x:c r="S865" s="24" t="str">
        <x:v>No</x:v>
      </x:c>
      <x:c r="T865" s="24" t="str">
        <x:f>"T"&amp;IF(AND(H865&lt;&gt;"",I865&lt;&gt;"",J865&lt;&gt;"",L865&lt;&gt;"",N865&lt;&gt;"",O865&lt;&gt;"",P865="APPROVED PUBLIC",S865="Sí"),6,IF(AND(H865&lt;&gt;"",I865&lt;&gt;"",J865&lt;&gt;"",L865&lt;&gt;"",N865&lt;&gt;"",O865&lt;&gt;"",P865&lt;&gt;"",S865="Sí"),5,IF(AND(H865&lt;&gt;"",I865&lt;&gt;"",P865&lt;&gt;"",S865&lt;&gt;"No"),4,IF(AND(H865&lt;&gt;"",I865&lt;&gt;""),3,IF(F865&lt;&gt;"",2,1)))))</x:f>
        <x:v>T3</x:v>
      </x:c>
      <x:c r="U865" s="24" t="str">
        <x:v>VRM Games</x:v>
      </x:c>
      <x:c r="V865" s="24" t="str">
        <x:v>No tool is selected by this register.</x:v>
      </x:c>
    </x:row>
    <x:row r="866" ht="26.399999618530273" hidden="0" customHeight="1">
      <x:c r="A866" s="47" t="str">
        <x:v>TRC-00862</x:v>
      </x:c>
      <x:c r="B866" s="47" t="str">
        <x:v>DOC-23</x:v>
      </x:c>
      <x:c r="C866" s="47" t="str">
        <x:v>23_Legal_Credits_and_Licenses_Register.xlsx</x:v>
      </x:c>
      <x:c r="D866" s="47" t="str">
        <x:v>Legal register</x:v>
      </x:c>
      <x:c r="E866" s="47" t="str">
        <x:v>22_Fuentes</x:v>
      </x:c>
      <x:c r="F866" s="47" t="str">
        <x:v>SRC-0038</x:v>
      </x:c>
      <x:c r="G866" s="47" t="str">
        <x:v>VRM Games / consolidated documentation</x:v>
      </x:c>
      <x:c r="H866" s="47" t="str">
        <x:v>Project documentation / internal governance</x:v>
      </x:c>
      <x:c r="I866" s="47" t="str">
        <x:v>File, path, version and SHA-256; self-hash external for document 23</x:v>
      </x:c>
      <x:c r="J866" s="47" t="str">
        <x:v>PENDING EXTERNAL SELF-HASH</x:v>
      </x:c>
      <x:c r="K866" s="47" t="str">
        <x:v>23_Legal_Credits_and_Licenses_Register.xlsx</x:v>
      </x:c>
      <x:c r="L866" s="47" t="str">
        <x:v>CR-001</x:v>
      </x:c>
      <x:c r="M866" s="47"/>
      <x:c r="N866" s="47" t="str">
        <x:v>RES-018;RES-019;RES-025;RES-026</x:v>
      </x:c>
      <x:c r="O866" s="47" t="str">
        <x:v>Governance only; build authorization remains in 17/31</x:v>
      </x:c>
      <x:c r="P866" s="47" t="str">
        <x:v>CANDIDATE / SELF-HASH EXTERNAL</x:v>
      </x:c>
      <x:c r="Q866" s="47" t="str">
        <x:v>Medium</x:v>
      </x:c>
      <x:c r="R866" s="47"/>
      <x:c r="S866" s="47" t="str">
        <x:v>Parcial</x:v>
      </x:c>
      <x:c r="T866" s="47" t="str">
        <x:f>"T"&amp;IF(AND(H866&lt;&gt;"",I866&lt;&gt;"",J866&lt;&gt;"",L866&lt;&gt;"",N866&lt;&gt;"",O866&lt;&gt;"",P866="APPROVED PUBLIC",S866="Sí"),6,IF(AND(H866&lt;&gt;"",I866&lt;&gt;"",J866&lt;&gt;"",L866&lt;&gt;"",N866&lt;&gt;"",O866&lt;&gt;"",P866&lt;&gt;"",S866="Sí"),5,IF(AND(H866&lt;&gt;"",I866&lt;&gt;"",P866&lt;&gt;"",S866&lt;&gt;"No"),4,IF(AND(H866&lt;&gt;"",I866&lt;&gt;""),3,IF(F866&lt;&gt;"",2,1)))))</x:f>
        <x:v>T4</x:v>
      </x:c>
      <x:c r="U866" s="47" t="str">
        <x:v>VRM Games</x:v>
      </x:c>
      <x:c r="V866" s="47" t="str">
        <x:v>Current workbook; final SHA-256 must be held externally.</x:v>
      </x:c>
    </x:row>
    <x:row r="867" ht="26.399999618530273" hidden="0" customHeight="1">
      <x:c r="A867" s="47" t="str">
        <x:v>TRC-00863</x:v>
      </x:c>
      <x:c r="B867" s="47" t="str">
        <x:v>DOC-24</x:v>
      </x:c>
      <x:c r="C867" s="47" t="str">
        <x:v>24_Steam_Publishing_Plan.md</x:v>
      </x:c>
      <x:c r="D867" s="47" t="str">
        <x:v>Steam/publishing plan</x:v>
      </x:c>
      <x:c r="E867" s="47" t="str">
        <x:v>22_Fuentes</x:v>
      </x:c>
      <x:c r="F867" s="47" t="str">
        <x:v>SRC-0039</x:v>
      </x:c>
      <x:c r="G867" s="47" t="str">
        <x:v>VRM Games / consolidated documentation</x:v>
      </x:c>
      <x:c r="H867" s="47" t="str">
        <x:v>Project documentation / internal governance</x:v>
      </x:c>
      <x:c r="I867" s="47" t="str">
        <x:v>File, path, version and SHA-256; self-hash external for document 23</x:v>
      </x:c>
      <x:c r="J867" s="47" t="str">
        <x:v>f087e24d3a18f8c4a6651728d5f70d1df804042587e206fdeac2e7e637a87646</x:v>
      </x:c>
      <x:c r="K867" s="47" t="str">
        <x:v>24_Steam_Publishing_Plan.md</x:v>
      </x:c>
      <x:c r="L867" s="47" t="str">
        <x:v>CR-001</x:v>
      </x:c>
      <x:c r="M867" s="47"/>
      <x:c r="N867" s="47" t="str">
        <x:v>RES-018;RES-019</x:v>
      </x:c>
      <x:c r="O867" s="47" t="str">
        <x:v>Governance only; build authorization remains in 17/31</x:v>
      </x:c>
      <x:c r="P867" s="47" t="str">
        <x:v>ACTIVE / VERIFY AT RELEASE</x:v>
      </x:c>
      <x:c r="Q867" s="47" t="str">
        <x:v>Low</x:v>
      </x:c>
      <x:c r="R867" s="47"/>
      <x:c r="S867" s="47" t="str">
        <x:v>Sí</x:v>
      </x:c>
      <x:c r="T867" s="47" t="str">
        <x:f>"T"&amp;IF(AND(H867&lt;&gt;"",I867&lt;&gt;"",J867&lt;&gt;"",L867&lt;&gt;"",N867&lt;&gt;"",O867&lt;&gt;"",P867="APPROVED PUBLIC",S867="Sí"),6,IF(AND(H867&lt;&gt;"",I867&lt;&gt;"",J867&lt;&gt;"",L867&lt;&gt;"",N867&lt;&gt;"",O867&lt;&gt;"",P867&lt;&gt;"",S867="Sí"),5,IF(AND(H867&lt;&gt;"",I867&lt;&gt;"",P867&lt;&gt;"",S867&lt;&gt;"No"),4,IF(AND(H867&lt;&gt;"",I867&lt;&gt;""),3,IF(F867&lt;&gt;"",2,1)))))</x:f>
        <x:v>T5</x:v>
      </x:c>
      <x:c r="U867" s="47" t="str">
        <x:v>VRM Games</x:v>
      </x:c>
      <x:c r="V867" s="47" t="str">
        <x:v>Current RC1 authority; rehash after any correction.</x:v>
      </x:c>
    </x:row>
    <x:row r="868" ht="26.399999618530273" hidden="0" customHeight="1">
      <x:c r="A868" s="47" t="str">
        <x:v>TRC-00864</x:v>
      </x:c>
      <x:c r="B868" s="47" t="str">
        <x:v>DOC-25</x:v>
      </x:c>
      <x:c r="C868" s="47" t="str">
        <x:v>25_Post_Launch_and_Live_Operations_Plan.md</x:v>
      </x:c>
      <x:c r="D868" s="47" t="str">
        <x:v>Post-launch/live operations</x:v>
      </x:c>
      <x:c r="E868" s="47" t="str">
        <x:v>22_Fuentes</x:v>
      </x:c>
      <x:c r="F868" s="47" t="str">
        <x:v>SRC-0040</x:v>
      </x:c>
      <x:c r="G868" s="47" t="str">
        <x:v>VRM Games / consolidated documentation</x:v>
      </x:c>
      <x:c r="H868" s="47" t="str">
        <x:v>Project documentation / internal governance</x:v>
      </x:c>
      <x:c r="I868" s="47" t="str">
        <x:v>File, path, version and SHA-256; self-hash external for document 23</x:v>
      </x:c>
      <x:c r="J868" s="47" t="str">
        <x:v>158e1e43514c5d5d6c365f6cd1a73929f54c4a48c5cc460b593530ae5e49bac9</x:v>
      </x:c>
      <x:c r="K868" s="47" t="str">
        <x:v>25_Post_Launch_and_Live_Operations_Plan.md</x:v>
      </x:c>
      <x:c r="L868" s="47" t="str">
        <x:v>CR-001</x:v>
      </x:c>
      <x:c r="M868" s="47"/>
      <x:c r="N868" s="47" t="str">
        <x:v>RES-018;RES-019</x:v>
      </x:c>
      <x:c r="O868" s="47" t="str">
        <x:v>Governance only; build authorization remains in 17/31</x:v>
      </x:c>
      <x:c r="P868" s="47" t="str">
        <x:v>ACTIVE / VERIFY AT RELEASE</x:v>
      </x:c>
      <x:c r="Q868" s="47" t="str">
        <x:v>Low</x:v>
      </x:c>
      <x:c r="R868" s="47"/>
      <x:c r="S868" s="47" t="str">
        <x:v>Sí</x:v>
      </x:c>
      <x:c r="T868" s="47" t="str">
        <x:f>"T"&amp;IF(AND(H868&lt;&gt;"",I868&lt;&gt;"",J868&lt;&gt;"",L868&lt;&gt;"",N868&lt;&gt;"",O868&lt;&gt;"",P868="APPROVED PUBLIC",S868="Sí"),6,IF(AND(H868&lt;&gt;"",I868&lt;&gt;"",J868&lt;&gt;"",L868&lt;&gt;"",N868&lt;&gt;"",O868&lt;&gt;"",P868&lt;&gt;"",S868="Sí"),5,IF(AND(H868&lt;&gt;"",I868&lt;&gt;"",P868&lt;&gt;"",S868&lt;&gt;"No"),4,IF(AND(H868&lt;&gt;"",I868&lt;&gt;""),3,IF(F868&lt;&gt;"",2,1)))))</x:f>
        <x:v>T5</x:v>
      </x:c>
      <x:c r="U868" s="47" t="str">
        <x:v>VRM Games</x:v>
      </x:c>
      <x:c r="V868" s="47" t="str">
        <x:v>Current RC1 authority; rehash after any correction.</x:v>
      </x:c>
    </x:row>
    <x:row r="869" ht="26.399999618530273" hidden="0" customHeight="1">
      <x:c r="A869" s="47" t="str">
        <x:v>TRC-00865</x:v>
      </x:c>
      <x:c r="B869" s="47" t="str">
        <x:v>DOC-26</x:v>
      </x:c>
      <x:c r="C869" s="47" t="str">
        <x:v>26_Privacy_Data_and_Telemetry_Plan.md</x:v>
      </x:c>
      <x:c r="D869" s="47" t="str">
        <x:v>Privacy/data/telemetry</x:v>
      </x:c>
      <x:c r="E869" s="47" t="str">
        <x:v>22_Fuentes</x:v>
      </x:c>
      <x:c r="F869" s="47" t="str">
        <x:v>SRC-0041</x:v>
      </x:c>
      <x:c r="G869" s="47" t="str">
        <x:v>VRM Games / consolidated documentation</x:v>
      </x:c>
      <x:c r="H869" s="47" t="str">
        <x:v>Project documentation / internal governance</x:v>
      </x:c>
      <x:c r="I869" s="47" t="str">
        <x:v>File, path, version and SHA-256; self-hash external for document 23</x:v>
      </x:c>
      <x:c r="J869" s="47" t="str">
        <x:v>284abfe537793c2ec8b0e5cbac484cd9395567c4434aef7f5ad5ee7005e95f36</x:v>
      </x:c>
      <x:c r="K869" s="47" t="str">
        <x:v>26_Privacy_Data_and_Telemetry_Plan.md</x:v>
      </x:c>
      <x:c r="L869" s="47" t="str">
        <x:v>CR-001</x:v>
      </x:c>
      <x:c r="M869" s="47"/>
      <x:c r="N869" s="47" t="str">
        <x:v>RES-018;RES-019</x:v>
      </x:c>
      <x:c r="O869" s="47" t="str">
        <x:v>Governance only; build authorization remains in 17/31</x:v>
      </x:c>
      <x:c r="P869" s="47" t="str">
        <x:v>ACTIVE / VERIFY AT RELEASE</x:v>
      </x:c>
      <x:c r="Q869" s="47" t="str">
        <x:v>Low</x:v>
      </x:c>
      <x:c r="R869" s="47"/>
      <x:c r="S869" s="47" t="str">
        <x:v>Sí</x:v>
      </x:c>
      <x:c r="T869" s="47" t="str">
        <x:f>"T"&amp;IF(AND(H869&lt;&gt;"",I869&lt;&gt;"",J869&lt;&gt;"",L869&lt;&gt;"",N869&lt;&gt;"",O869&lt;&gt;"",P869="APPROVED PUBLIC",S869="Sí"),6,IF(AND(H869&lt;&gt;"",I869&lt;&gt;"",J869&lt;&gt;"",L869&lt;&gt;"",N869&lt;&gt;"",O869&lt;&gt;"",P869&lt;&gt;"",S869="Sí"),5,IF(AND(H869&lt;&gt;"",I869&lt;&gt;"",P869&lt;&gt;"",S869&lt;&gt;"No"),4,IF(AND(H869&lt;&gt;"",I869&lt;&gt;""),3,IF(F869&lt;&gt;"",2,1)))))</x:f>
        <x:v>T5</x:v>
      </x:c>
      <x:c r="U869" s="47" t="str">
        <x:v>VRM Games</x:v>
      </x:c>
      <x:c r="V869" s="47" t="str">
        <x:v>Current RC1 authority; rehash after any correction.</x:v>
      </x:c>
    </x:row>
    <x:row r="870" ht="26.399999618530273" hidden="0" customHeight="1">
      <x:c r="A870" s="47" t="str">
        <x:v>TRC-00866</x:v>
      </x:c>
      <x:c r="B870" s="47" t="str">
        <x:v>DOC-27</x:v>
      </x:c>
      <x:c r="C870" s="47" t="str">
        <x:v>27_Security_and_Incident_Response_Plan.md</x:v>
      </x:c>
      <x:c r="D870" s="47" t="str">
        <x:v>Security/incident response</x:v>
      </x:c>
      <x:c r="E870" s="47" t="str">
        <x:v>22_Fuentes</x:v>
      </x:c>
      <x:c r="F870" s="47" t="str">
        <x:v>SRC-0042</x:v>
      </x:c>
      <x:c r="G870" s="47" t="str">
        <x:v>VRM Games / consolidated documentation</x:v>
      </x:c>
      <x:c r="H870" s="47" t="str">
        <x:v>Project documentation / internal governance</x:v>
      </x:c>
      <x:c r="I870" s="47" t="str">
        <x:v>File, path, version and SHA-256; self-hash external for document 23</x:v>
      </x:c>
      <x:c r="J870" s="47" t="str">
        <x:v>f925bfbf3df2000323c12a4486480d06c8ab8181684e5922168b8bdf89d05f92</x:v>
      </x:c>
      <x:c r="K870" s="47" t="str">
        <x:v>27_Security_and_Incident_Response_Plan.md</x:v>
      </x:c>
      <x:c r="L870" s="47" t="str">
        <x:v>CR-001</x:v>
      </x:c>
      <x:c r="M870" s="47"/>
      <x:c r="N870" s="47" t="str">
        <x:v>RES-018;RES-019</x:v>
      </x:c>
      <x:c r="O870" s="47" t="str">
        <x:v>Governance only; build authorization remains in 17/31</x:v>
      </x:c>
      <x:c r="P870" s="47" t="str">
        <x:v>ACTIVE / VERIFY AT RELEASE</x:v>
      </x:c>
      <x:c r="Q870" s="47" t="str">
        <x:v>Low</x:v>
      </x:c>
      <x:c r="R870" s="47"/>
      <x:c r="S870" s="47" t="str">
        <x:v>Sí</x:v>
      </x:c>
      <x:c r="T870" s="47" t="str">
        <x:f>"T"&amp;IF(AND(H870&lt;&gt;"",I870&lt;&gt;"",J870&lt;&gt;"",L870&lt;&gt;"",N870&lt;&gt;"",O870&lt;&gt;"",P870="APPROVED PUBLIC",S870="Sí"),6,IF(AND(H870&lt;&gt;"",I870&lt;&gt;"",J870&lt;&gt;"",L870&lt;&gt;"",N870&lt;&gt;"",O870&lt;&gt;"",P870&lt;&gt;"",S870="Sí"),5,IF(AND(H870&lt;&gt;"",I870&lt;&gt;"",P870&lt;&gt;"",S870&lt;&gt;"No"),4,IF(AND(H870&lt;&gt;"",I870&lt;&gt;""),3,IF(F870&lt;&gt;"",2,1)))))</x:f>
        <x:v>T5</x:v>
      </x:c>
      <x:c r="U870" s="47" t="str">
        <x:v>VRM Games</x:v>
      </x:c>
      <x:c r="V870" s="47" t="str">
        <x:v>Current RC1 authority; rehash after any correction.</x:v>
      </x:c>
    </x:row>
    <x:row r="871" ht="26.399999618530273" hidden="0" customHeight="1">
      <x:c r="A871" s="47" t="str">
        <x:v>TRC-00867</x:v>
      </x:c>
      <x:c r="B871" s="47" t="str">
        <x:v>DOC-28</x:v>
      </x:c>
      <x:c r="C871" s="47" t="str">
        <x:v>28_Marketing_and_Communication_Plan.md</x:v>
      </x:c>
      <x:c r="D871" s="47" t="str">
        <x:v>Marketing/communication</x:v>
      </x:c>
      <x:c r="E871" s="47" t="str">
        <x:v>22_Fuentes</x:v>
      </x:c>
      <x:c r="F871" s="47" t="str">
        <x:v>SRC-0043</x:v>
      </x:c>
      <x:c r="G871" s="47" t="str">
        <x:v>VRM Games / consolidated documentation</x:v>
      </x:c>
      <x:c r="H871" s="47" t="str">
        <x:v>Project documentation / internal governance</x:v>
      </x:c>
      <x:c r="I871" s="47" t="str">
        <x:v>File, path, version and SHA-256; self-hash external for document 23</x:v>
      </x:c>
      <x:c r="J871" s="47" t="str">
        <x:v>28dd332855126558b3da6019f2e546b1e8ab7db81dc530a89f3e3fbfe757cded</x:v>
      </x:c>
      <x:c r="K871" s="47" t="str">
        <x:v>28_Marketing_and_Communication_Plan.md</x:v>
      </x:c>
      <x:c r="L871" s="47" t="str">
        <x:v>CR-001</x:v>
      </x:c>
      <x:c r="M871" s="47"/>
      <x:c r="N871" s="47" t="str">
        <x:v>RES-018;RES-019</x:v>
      </x:c>
      <x:c r="O871" s="47" t="str">
        <x:v>Governance only; build authorization remains in 17/31</x:v>
      </x:c>
      <x:c r="P871" s="47" t="str">
        <x:v>ACTIVE / VERIFY AT RELEASE</x:v>
      </x:c>
      <x:c r="Q871" s="47" t="str">
        <x:v>Low</x:v>
      </x:c>
      <x:c r="R871" s="47"/>
      <x:c r="S871" s="47" t="str">
        <x:v>Sí</x:v>
      </x:c>
      <x:c r="T871" s="47" t="str">
        <x:f>"T"&amp;IF(AND(H871&lt;&gt;"",I871&lt;&gt;"",J871&lt;&gt;"",L871&lt;&gt;"",N871&lt;&gt;"",O871&lt;&gt;"",P871="APPROVED PUBLIC",S871="Sí"),6,IF(AND(H871&lt;&gt;"",I871&lt;&gt;"",J871&lt;&gt;"",L871&lt;&gt;"",N871&lt;&gt;"",O871&lt;&gt;"",P871&lt;&gt;"",S871="Sí"),5,IF(AND(H871&lt;&gt;"",I871&lt;&gt;"",P871&lt;&gt;"",S871&lt;&gt;"No"),4,IF(AND(H871&lt;&gt;"",I871&lt;&gt;""),3,IF(F871&lt;&gt;"",2,1)))))</x:f>
        <x:v>T5</x:v>
      </x:c>
      <x:c r="U871" s="47" t="str">
        <x:v>VRM Games</x:v>
      </x:c>
      <x:c r="V871" s="47" t="str">
        <x:v>Current RC1 authority; rehash after any correction.</x:v>
      </x:c>
    </x:row>
    <x:row r="872" ht="26.399999618530273" hidden="0" customHeight="1">
      <x:c r="A872" s="47" t="str">
        <x:v>TRC-00868</x:v>
      </x:c>
      <x:c r="B872" s="47" t="str">
        <x:v>DOC-29</x:v>
      </x:c>
      <x:c r="C872" s="47" t="str">
        <x:v>29_Accessibility_and_Inclusive_Design_Plan.md</x:v>
      </x:c>
      <x:c r="D872" s="47" t="str">
        <x:v>Accessibility/inclusive design</x:v>
      </x:c>
      <x:c r="E872" s="47" t="str">
        <x:v>22_Fuentes</x:v>
      </x:c>
      <x:c r="F872" s="47" t="str">
        <x:v>SRC-0044</x:v>
      </x:c>
      <x:c r="G872" s="47" t="str">
        <x:v>VRM Games / consolidated documentation</x:v>
      </x:c>
      <x:c r="H872" s="47" t="str">
        <x:v>Project documentation / internal governance</x:v>
      </x:c>
      <x:c r="I872" s="47" t="str">
        <x:v>File, path, version and SHA-256; self-hash external for document 23</x:v>
      </x:c>
      <x:c r="J872" s="47" t="str">
        <x:v>678ceabb509062cd93c7690315397b1cc6204c0da6a5d57324ba11e2fda64333</x:v>
      </x:c>
      <x:c r="K872" s="47" t="str">
        <x:v>29_Accessibility_and_Inclusive_Design_Plan.md</x:v>
      </x:c>
      <x:c r="L872" s="47" t="str">
        <x:v>CR-001</x:v>
      </x:c>
      <x:c r="M872" s="47"/>
      <x:c r="N872" s="47" t="str">
        <x:v>RES-018;RES-019</x:v>
      </x:c>
      <x:c r="O872" s="47" t="str">
        <x:v>Governance only; build authorization remains in 17/31</x:v>
      </x:c>
      <x:c r="P872" s="47" t="str">
        <x:v>ACTIVE / VERIFY AT RELEASE</x:v>
      </x:c>
      <x:c r="Q872" s="47" t="str">
        <x:v>Low</x:v>
      </x:c>
      <x:c r="R872" s="47"/>
      <x:c r="S872" s="47" t="str">
        <x:v>Sí</x:v>
      </x:c>
      <x:c r="T872" s="47" t="str">
        <x:f>"T"&amp;IF(AND(H872&lt;&gt;"",I872&lt;&gt;"",J872&lt;&gt;"",L872&lt;&gt;"",N872&lt;&gt;"",O872&lt;&gt;"",P872="APPROVED PUBLIC",S872="Sí"),6,IF(AND(H872&lt;&gt;"",I872&lt;&gt;"",J872&lt;&gt;"",L872&lt;&gt;"",N872&lt;&gt;"",O872&lt;&gt;"",P872&lt;&gt;"",S872="Sí"),5,IF(AND(H872&lt;&gt;"",I872&lt;&gt;"",P872&lt;&gt;"",S872&lt;&gt;"No"),4,IF(AND(H872&lt;&gt;"",I872&lt;&gt;""),3,IF(F872&lt;&gt;"",2,1)))))</x:f>
        <x:v>T5</x:v>
      </x:c>
      <x:c r="U872" s="47" t="str">
        <x:v>VRM Games</x:v>
      </x:c>
      <x:c r="V872" s="47" t="str">
        <x:v>Current RC1 authority; rehash after any correction.</x:v>
      </x:c>
    </x:row>
    <x:row r="873" ht="26.399999618530273" hidden="0" customHeight="1">
      <x:c r="A873" s="47" t="str">
        <x:v>TRC-00869</x:v>
      </x:c>
      <x:c r="B873" s="47" t="str">
        <x:v>DOC-30</x:v>
      </x:c>
      <x:c r="C873" s="47" t="str">
        <x:v>30_Performance_and_Optimization_Plan.md</x:v>
      </x:c>
      <x:c r="D873" s="47" t="str">
        <x:v>Performance/optimization</x:v>
      </x:c>
      <x:c r="E873" s="47" t="str">
        <x:v>22_Fuentes</x:v>
      </x:c>
      <x:c r="F873" s="47" t="str">
        <x:v>SRC-0045</x:v>
      </x:c>
      <x:c r="G873" s="47" t="str">
        <x:v>VRM Games / consolidated documentation</x:v>
      </x:c>
      <x:c r="H873" s="47" t="str">
        <x:v>Project documentation / internal governance</x:v>
      </x:c>
      <x:c r="I873" s="47" t="str">
        <x:v>File, path, version and SHA-256; self-hash external for document 23</x:v>
      </x:c>
      <x:c r="J873" s="47" t="str">
        <x:v>18f53eaa61734ad735c02c8b7c70ed37f5f0e80f7c01828b05d092c49b0de260</x:v>
      </x:c>
      <x:c r="K873" s="47" t="str">
        <x:v>30_Performance_and_Optimization_Plan.md</x:v>
      </x:c>
      <x:c r="L873" s="47" t="str">
        <x:v>CR-001</x:v>
      </x:c>
      <x:c r="M873" s="47"/>
      <x:c r="N873" s="47" t="str">
        <x:v>RES-018;RES-019</x:v>
      </x:c>
      <x:c r="O873" s="47" t="str">
        <x:v>Governance only; build authorization remains in 17/31</x:v>
      </x:c>
      <x:c r="P873" s="47" t="str">
        <x:v>ACTIVE / VERIFY AT RELEASE</x:v>
      </x:c>
      <x:c r="Q873" s="47" t="str">
        <x:v>Low</x:v>
      </x:c>
      <x:c r="R873" s="47"/>
      <x:c r="S873" s="47" t="str">
        <x:v>Sí</x:v>
      </x:c>
      <x:c r="T873" s="47" t="str">
        <x:f>"T"&amp;IF(AND(H873&lt;&gt;"",I873&lt;&gt;"",J873&lt;&gt;"",L873&lt;&gt;"",N873&lt;&gt;"",O873&lt;&gt;"",P873="APPROVED PUBLIC",S873="Sí"),6,IF(AND(H873&lt;&gt;"",I873&lt;&gt;"",J873&lt;&gt;"",L873&lt;&gt;"",N873&lt;&gt;"",O873&lt;&gt;"",P873&lt;&gt;"",S873="Sí"),5,IF(AND(H873&lt;&gt;"",I873&lt;&gt;"",P873&lt;&gt;"",S873&lt;&gt;"No"),4,IF(AND(H873&lt;&gt;"",I873&lt;&gt;""),3,IF(F873&lt;&gt;"",2,1)))))</x:f>
        <x:v>T5</x:v>
      </x:c>
      <x:c r="U873" s="47" t="str">
        <x:v>VRM Games</x:v>
      </x:c>
      <x:c r="V873" s="47" t="str">
        <x:v>Current RC1 authority; rehash after any correction.</x:v>
      </x:c>
    </x:row>
    <x:row r="874" ht="26.399999618530273" hidden="0" customHeight="1">
      <x:c r="A874" s="47" t="str">
        <x:v>TRC-00870</x:v>
      </x:c>
      <x:c r="B874" s="47" t="str">
        <x:v>DOC-31</x:v>
      </x:c>
      <x:c r="C874" s="47" t="str">
        <x:v>31_H6_and_Release_Readiness_Checklist.xlsx</x:v>
      </x:c>
      <x:c r="D874" s="47" t="str">
        <x:v>H6/release readiness</x:v>
      </x:c>
      <x:c r="E874" s="47" t="str">
        <x:v>22_Fuentes</x:v>
      </x:c>
      <x:c r="F874" s="47" t="str">
        <x:v>SRC-0046</x:v>
      </x:c>
      <x:c r="G874" s="47" t="str">
        <x:v>VRM Games / consolidated documentation</x:v>
      </x:c>
      <x:c r="H874" s="47" t="str">
        <x:v>Project documentation / internal governance</x:v>
      </x:c>
      <x:c r="I874" s="47" t="str">
        <x:v>File, path, version and SHA-256; self-hash external for document 23</x:v>
      </x:c>
      <x:c r="J874" s="47" t="str">
        <x:v>3ec6265ca8009a6f502008a103161492687efbc026a61c55b1205b976c255aee</x:v>
      </x:c>
      <x:c r="K874" s="47" t="str">
        <x:v>31_H6_and_Release_Readiness_Checklist.xlsx</x:v>
      </x:c>
      <x:c r="L874" s="47" t="str">
        <x:v>CR-001</x:v>
      </x:c>
      <x:c r="M874" s="47"/>
      <x:c r="N874" s="47" t="str">
        <x:v>RES-018;RES-025;RES-026;RES-027</x:v>
      </x:c>
      <x:c r="O874" s="47" t="str">
        <x:v>Governance only; build authorization remains in 17/31</x:v>
      </x:c>
      <x:c r="P874" s="47" t="str">
        <x:v>ACTIVE / TARGETED UPDATE PENDING</x:v>
      </x:c>
      <x:c r="Q874" s="47" t="str">
        <x:v>Medium</x:v>
      </x:c>
      <x:c r="R874" s="47" t="str">
        <x:v>LEG-DEBT-009</x:v>
      </x:c>
      <x:c r="S874" s="47" t="str">
        <x:v>Parcial</x:v>
      </x:c>
      <x:c r="T874" s="47" t="str">
        <x:f>"T"&amp;IF(AND(H874&lt;&gt;"",I874&lt;&gt;"",J874&lt;&gt;"",L874&lt;&gt;"",N874&lt;&gt;"",O874&lt;&gt;"",P874="APPROVED PUBLIC",S874="Sí"),6,IF(AND(H874&lt;&gt;"",I874&lt;&gt;"",J874&lt;&gt;"",L874&lt;&gt;"",N874&lt;&gt;"",O874&lt;&gt;"",P874&lt;&gt;"",S874="Sí"),5,IF(AND(H874&lt;&gt;"",I874&lt;&gt;"",P874&lt;&gt;"",S874&lt;&gt;"No"),4,IF(AND(H874&lt;&gt;"",I874&lt;&gt;""),3,IF(F874&lt;&gt;"",2,1)))))</x:f>
        <x:v>T4</x:v>
      </x:c>
      <x:c r="U874" s="47" t="str">
        <x:v>VRM Games</x:v>
      </x:c>
      <x:c r="V874" s="47" t="str">
        <x:v>Existing RC1 document; replace hash/reference after the scheduled targeted update.</x:v>
      </x:c>
    </x:row>
    <x:row r="875" ht="26.399999618530273" hidden="0" customHeight="1">
      <x:c r="A875" s="47" t="str">
        <x:v>TRC-00871</x:v>
      </x:c>
      <x:c r="B875" s="47" t="str">
        <x:v>DOC-32</x:v>
      </x:c>
      <x:c r="C875" s="47" t="str">
        <x:v>32_Documentation_Baseline_Manifest.xlsx</x:v>
      </x:c>
      <x:c r="D875" s="47" t="str">
        <x:v>Baseline manifest</x:v>
      </x:c>
      <x:c r="E875" s="47" t="str">
        <x:v>22_Fuentes</x:v>
      </x:c>
      <x:c r="F875" s="47" t="str">
        <x:v>SRC-0047</x:v>
      </x:c>
      <x:c r="G875" s="47" t="str">
        <x:v>VRM Games / consolidated documentation</x:v>
      </x:c>
      <x:c r="H875" s="47" t="str">
        <x:v>Project documentation / internal governance</x:v>
      </x:c>
      <x:c r="I875" s="47" t="str">
        <x:v>File, path, version and SHA-256; self-hash external for document 23</x:v>
      </x:c>
      <x:c r="J875" s="47" t="str">
        <x:v>05ef1aa53febb8015b1eb40be8f43a4f6cee5be3ce1d31c3eda03346b86ebc64</x:v>
      </x:c>
      <x:c r="K875" s="47" t="str">
        <x:v>32_Documentation_Baseline_Manifest.xlsx</x:v>
      </x:c>
      <x:c r="L875" s="47" t="str">
        <x:v>CR-001</x:v>
      </x:c>
      <x:c r="M875" s="47"/>
      <x:c r="N875" s="47" t="str">
        <x:v>RES-018;RES-025;RES-026;RES-027</x:v>
      </x:c>
      <x:c r="O875" s="47" t="str">
        <x:v>Governance only; build authorization remains in 17/31</x:v>
      </x:c>
      <x:c r="P875" s="47" t="str">
        <x:v>ACTIVE / TARGETED UPDATE PENDING</x:v>
      </x:c>
      <x:c r="Q875" s="47" t="str">
        <x:v>Medium</x:v>
      </x:c>
      <x:c r="R875" s="47" t="str">
        <x:v>LEG-DEBT-015;LEG-DEBT-016</x:v>
      </x:c>
      <x:c r="S875" s="47" t="str">
        <x:v>Parcial</x:v>
      </x:c>
      <x:c r="T875" s="47" t="str">
        <x:f>"T"&amp;IF(AND(H875&lt;&gt;"",I875&lt;&gt;"",J875&lt;&gt;"",L875&lt;&gt;"",N875&lt;&gt;"",O875&lt;&gt;"",P875="APPROVED PUBLIC",S875="Sí"),6,IF(AND(H875&lt;&gt;"",I875&lt;&gt;"",J875&lt;&gt;"",L875&lt;&gt;"",N875&lt;&gt;"",O875&lt;&gt;"",P875&lt;&gt;"",S875="Sí"),5,IF(AND(H875&lt;&gt;"",I875&lt;&gt;"",P875&lt;&gt;"",S875&lt;&gt;"No"),4,IF(AND(H875&lt;&gt;"",I875&lt;&gt;""),3,IF(F875&lt;&gt;"",2,1)))))</x:f>
        <x:v>T4</x:v>
      </x:c>
      <x:c r="U875" s="47" t="str">
        <x:v>VRM Games</x:v>
      </x:c>
      <x:c r="V875" s="47" t="str">
        <x:v>Existing RC1 document; replace hash/reference after the scheduled targeted update.</x:v>
      </x:c>
    </x:row>
    <x:row r="876" ht="26.399999618530273" hidden="0" customHeight="1">
      <x:c r="A876" s="47" t="str">
        <x:v>TRC-00872</x:v>
      </x:c>
      <x:c r="B876" s="47" t="str">
        <x:v>DOC-33</x:v>
      </x:c>
      <x:c r="C876" s="47" t="str">
        <x:v>33_Project_Risk_Register_and_Business_Continuity_Plan.xlsx</x:v>
      </x:c>
      <x:c r="D876" s="47" t="str">
        <x:v>Risk/business continuity</x:v>
      </x:c>
      <x:c r="E876" s="47" t="str">
        <x:v>22_Fuentes</x:v>
      </x:c>
      <x:c r="F876" s="47" t="str">
        <x:v>SRC-0048</x:v>
      </x:c>
      <x:c r="G876" s="47" t="str">
        <x:v>VRM Games / consolidated documentation</x:v>
      </x:c>
      <x:c r="H876" s="47" t="str">
        <x:v>Project documentation / internal governance</x:v>
      </x:c>
      <x:c r="I876" s="47" t="str">
        <x:v>File, path, version and SHA-256; self-hash external for document 23</x:v>
      </x:c>
      <x:c r="J876" s="47" t="str">
        <x:v>aff3d5173017c6e90eae4b743b00af9a5106ad8e8b61f4789ff6857d10a61d88</x:v>
      </x:c>
      <x:c r="K876" s="47" t="str">
        <x:v>33_Project_Risk_Register_and_Business_Continuity_Plan.xlsx</x:v>
      </x:c>
      <x:c r="L876" s="47" t="str">
        <x:v>CR-001</x:v>
      </x:c>
      <x:c r="M876" s="47"/>
      <x:c r="N876" s="47" t="str">
        <x:v>RES-018;RES-025;RES-026;RES-027</x:v>
      </x:c>
      <x:c r="O876" s="47" t="str">
        <x:v>Governance only; build authorization remains in 17/31</x:v>
      </x:c>
      <x:c r="P876" s="47" t="str">
        <x:v>ACTIVE / TARGETED UPDATE PENDING</x:v>
      </x:c>
      <x:c r="Q876" s="47" t="str">
        <x:v>Medium</x:v>
      </x:c>
      <x:c r="R876" s="47" t="str">
        <x:v>LEG-DEBT-015;LEG-DEBT-016</x:v>
      </x:c>
      <x:c r="S876" s="47" t="str">
        <x:v>Parcial</x:v>
      </x:c>
      <x:c r="T876" s="47" t="str">
        <x:f>"T"&amp;IF(AND(H876&lt;&gt;"",I876&lt;&gt;"",J876&lt;&gt;"",L876&lt;&gt;"",N876&lt;&gt;"",O876&lt;&gt;"",P876="APPROVED PUBLIC",S876="Sí"),6,IF(AND(H876&lt;&gt;"",I876&lt;&gt;"",J876&lt;&gt;"",L876&lt;&gt;"",N876&lt;&gt;"",O876&lt;&gt;"",P876&lt;&gt;"",S876="Sí"),5,IF(AND(H876&lt;&gt;"",I876&lt;&gt;"",P876&lt;&gt;"",S876&lt;&gt;"No"),4,IF(AND(H876&lt;&gt;"",I876&lt;&gt;""),3,IF(F876&lt;&gt;"",2,1)))))</x:f>
        <x:v>T4</x:v>
      </x:c>
      <x:c r="U876" s="47" t="str">
        <x:v>VRM Games</x:v>
      </x:c>
      <x:c r="V876" s="47" t="str">
        <x:v>Existing RC1 document; replace hash/reference after the scheduled targeted update.</x:v>
      </x:c>
    </x:row>
    <x:row r="877" ht="26.399999618530273" hidden="0" customHeight="1">
      <x:c r="A877" s="47" t="str">
        <x:v>TRC-00873</x:v>
      </x:c>
      <x:c r="B877" s="47" t="str">
        <x:v>DOC-34</x:v>
      </x:c>
      <x:c r="C877" s="47" t="str">
        <x:v>34_Final_Handoff_and_Project_Operations_Manual.md</x:v>
      </x:c>
      <x:c r="D877" s="47" t="str">
        <x:v>Handoff/operations</x:v>
      </x:c>
      <x:c r="E877" s="47" t="str">
        <x:v>22_Fuentes</x:v>
      </x:c>
      <x:c r="F877" s="47" t="str">
        <x:v>SRC-0049</x:v>
      </x:c>
      <x:c r="G877" s="47" t="str">
        <x:v>VRM Games / consolidated documentation</x:v>
      </x:c>
      <x:c r="H877" s="47" t="str">
        <x:v>Project documentation / internal governance</x:v>
      </x:c>
      <x:c r="I877" s="47" t="str">
        <x:v>File, path, version and SHA-256; self-hash external for document 23</x:v>
      </x:c>
      <x:c r="J877" s="47" t="str">
        <x:v>3b3fb3519caa4f899da10bf8bec73d72b5e0c3e3c6839c83157d1351a9ef9001</x:v>
      </x:c>
      <x:c r="K877" s="47" t="str">
        <x:v>34_Final_Handoff_and_Project_Operations_Manual.md</x:v>
      </x:c>
      <x:c r="L877" s="47" t="str">
        <x:v>CR-001</x:v>
      </x:c>
      <x:c r="M877" s="47"/>
      <x:c r="N877" s="47" t="str">
        <x:v>RES-018;RES-025;RES-026;RES-027</x:v>
      </x:c>
      <x:c r="O877" s="47" t="str">
        <x:v>Governance only; build authorization remains in 17/31</x:v>
      </x:c>
      <x:c r="P877" s="47" t="str">
        <x:v>ACTIVE / TARGETED UPDATE PENDING</x:v>
      </x:c>
      <x:c r="Q877" s="47" t="str">
        <x:v>Medium</x:v>
      </x:c>
      <x:c r="R877" s="47" t="str">
        <x:v>LEG-DEBT-015;LEG-DEBT-016</x:v>
      </x:c>
      <x:c r="S877" s="47" t="str">
        <x:v>Parcial</x:v>
      </x:c>
      <x:c r="T877" s="47" t="str">
        <x:f>"T"&amp;IF(AND(H877&lt;&gt;"",I877&lt;&gt;"",J877&lt;&gt;"",L877&lt;&gt;"",N877&lt;&gt;"",O877&lt;&gt;"",P877="APPROVED PUBLIC",S877="Sí"),6,IF(AND(H877&lt;&gt;"",I877&lt;&gt;"",J877&lt;&gt;"",L877&lt;&gt;"",N877&lt;&gt;"",O877&lt;&gt;"",P877&lt;&gt;"",S877="Sí"),5,IF(AND(H877&lt;&gt;"",I877&lt;&gt;"",P877&lt;&gt;"",S877&lt;&gt;"No"),4,IF(AND(H877&lt;&gt;"",I877&lt;&gt;""),3,IF(F877&lt;&gt;"",2,1)))))</x:f>
        <x:v>T4</x:v>
      </x:c>
      <x:c r="U877" s="47" t="str">
        <x:v>VRM Games</x:v>
      </x:c>
      <x:c r="V877" s="47" t="str">
        <x:v>Existing RC1 document; replace hash/reference after the scheduled targeted update.</x:v>
      </x:c>
    </x:row>
  </x:sheetData>
  <x:mergeCells>
    <x:mergeCell ref="A1:V1"/>
    <x:mergeCell ref="A2:V2"/>
  </x:mergeCells>
  <x:conditionalFormatting sqref="P5:P865">
    <x:cfRule type="expression" dxfId="132" priority="1">
      <x:formula>OR(ISNUMBER(SEARCH("APPROVED",P5)),ISNUMBER(SEARCH("READY",P5)),ISNUMBER(SEARCH("ACTIVE",P5)),ISNUMBER(SEARCH("VERIFIED",P5)))</x:formula>
    </x:cfRule>
    <x:cfRule type="expression" dxfId="133" priority="2">
      <x:formula>OR(ISNUMBER(SEARCH("BLOCK",P5)),ISNUMBER(SEARCH("PROHIBITED",P5)),ISNUMBER(SEARCH("CRITICAL",P5)),ISNUMBER(SEARCH("MISSING",P5)))</x:formula>
    </x:cfRule>
    <x:cfRule type="expression" dxfId="134" priority="3">
      <x:formula>OR(ISNUMBER(SEARCH("PENDING",P5)),ISNUMBER(SEARCH("PARTIAL",P5)),ISNUMBER(SEARCH("REVIEW",P5)),ISNUMBER(SEARCH("CONDITIONAL",P5)))</x:formula>
    </x:cfRule>
    <x:cfRule type="expression" dxfId="135" priority="4">
      <x:formula>OR(ISNUMBER(SEARCH("HISTORICAL",P5)),ISNUMBER(SEARCH("VISION",P5)),ISNUMBER(SEARCH("OPTIONAL",P5)))</x:formula>
    </x:cfRule>
  </x:conditionalFormatting>
  <x:conditionalFormatting sqref="Q5:Q865">
    <x:cfRule type="expression" dxfId="136" priority="5">
      <x:formula>OR(ISNUMBER(SEARCH("APPROVED",Q5)),ISNUMBER(SEARCH("READY",Q5)),ISNUMBER(SEARCH("ACTIVE",Q5)),ISNUMBER(SEARCH("VERIFIED",Q5)))</x:formula>
    </x:cfRule>
    <x:cfRule type="expression" dxfId="137" priority="6">
      <x:formula>OR(ISNUMBER(SEARCH("BLOCK",Q5)),ISNUMBER(SEARCH("PROHIBITED",Q5)),ISNUMBER(SEARCH("CRITICAL",Q5)),ISNUMBER(SEARCH("MISSING",Q5)))</x:formula>
    </x:cfRule>
    <x:cfRule type="expression" dxfId="138" priority="7">
      <x:formula>OR(ISNUMBER(SEARCH("PENDING",Q5)),ISNUMBER(SEARCH("PARTIAL",Q5)),ISNUMBER(SEARCH("REVIEW",Q5)),ISNUMBER(SEARCH("CONDITIONAL",Q5)))</x:formula>
    </x:cfRule>
    <x:cfRule type="expression" dxfId="139" priority="8">
      <x:formula>OR(ISNUMBER(SEARCH("HISTORICAL",Q5)),ISNUMBER(SEARCH("VISION",Q5)),ISNUMBER(SEARCH("OPTIONAL",Q5)))</x:formula>
    </x:cfRule>
  </x:conditionalFormatting>
  <x:conditionalFormatting sqref="T5:T865">
    <x:cfRule type="expression" dxfId="148" priority="9">
      <x:formula>OR(ISNUMBER(SEARCH("APPROVED",T5)),ISNUMBER(SEARCH("READY",T5)),ISNUMBER(SEARCH("ACTIVE",T5)),ISNUMBER(SEARCH("VERIFIED",T5)))</x:formula>
    </x:cfRule>
    <x:cfRule type="expression" dxfId="149" priority="10">
      <x:formula>OR(ISNUMBER(SEARCH("BLOCK",T5)),ISNUMBER(SEARCH("PROHIBITED",T5)),ISNUMBER(SEARCH("CRITICAL",T5)),ISNUMBER(SEARCH("MISSING",T5)))</x:formula>
    </x:cfRule>
    <x:cfRule type="expression" dxfId="150" priority="11">
      <x:formula>OR(ISNUMBER(SEARCH("PENDING",T5)),ISNUMBER(SEARCH("PARTIAL",T5)),ISNUMBER(SEARCH("REVIEW",T5)),ISNUMBER(SEARCH("CONDITIONAL",T5)))</x:formula>
    </x:cfRule>
    <x:cfRule type="expression" dxfId="151" priority="12">
      <x:formula>OR(ISNUMBER(SEARCH("HISTORICAL",T5)),ISNUMBER(SEARCH("VISION",T5)),ISNUMBER(SEARCH("OPTIONAL",T5)))</x:formula>
    </x:cfRule>
  </x:conditionalFormatting>
  <x:dataValidations count="1">
    <x:dataValidation type="list" sqref="T5:T865">
      <x:formula1>"T0,T1,T2,T3,T4,T5,T6"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fc05da04bd4eef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54" hidden="0" customWidth="1"/>
    <x:col min="4" max="4" width="26" hidden="0" customWidth="1"/>
    <x:col min="5" max="5" width="24" hidden="0" customWidth="1"/>
    <x:col min="6" max="6" width="20" hidden="0" customWidth="1"/>
    <x:col min="7" max="7" width="12" hidden="0" customWidth="1"/>
    <x:col min="8" max="8" width="20" hidden="0" customWidth="1"/>
    <x:col min="9" max="9" width="42" hidden="0" customWidth="1"/>
    <x:col min="10" max="10" width="22" hidden="0" customWidth="1"/>
  </x:cols>
  <x:sheetData>
    <x:row r="1" ht="28" customHeight="1">
      <x:c r="A1" s="51" t="str">
        <x:v>Integración legal, licencias y créditos con la baseline 00–34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 ht="34" customHeight="1">
      <x:c r="A2" s="56" t="str">
        <x:v>Controles que conectan procedencia, derechos, créditos, claims y distribución con Steam, privacidad, seguridad, accesibilidad, rendimiento, H6, continuidad y handoff.</x:v>
      </x:c>
      <x:c r="B2" s="56"/>
      <x:c r="C2" s="56"/>
      <x:c r="D2" s="56"/>
      <x:c r="E2" s="56"/>
      <x:c r="F2" s="56"/>
      <x:c r="G2" s="56"/>
      <x:c r="H2" s="56"/>
      <x:c r="I2" s="56"/>
      <x:c r="J2" s="56"/>
    </x:row>
    <x:row r="4" ht="34" customHeight="1">
      <x:c r="A4" s="61" t="str">
        <x:v>Control ID</x:v>
      </x:c>
      <x:c r="B4" s="61" t="str">
        <x:v>Dominio</x:v>
      </x:c>
      <x:c r="C4" s="61" t="str">
        <x:v>Requisito operativo</x:v>
      </x:c>
      <x:c r="D4" s="61" t="str">
        <x:v>Documentos fuente</x:v>
      </x:c>
      <x:c r="E4" s="61" t="str">
        <x:v>Hojas afectadas</x:v>
      </x:c>
      <x:c r="F4" s="61" t="str">
        <x:v>Gate</x:v>
      </x:c>
      <x:c r="G4" s="61" t="str">
        <x:v>Bloqueante</x:v>
      </x:c>
      <x:c r="H4" s="61" t="str">
        <x:v>Estado</x:v>
      </x:c>
      <x:c r="I4" s="61" t="str">
        <x:v>Evidencia requerida</x:v>
      </x:c>
      <x:c r="J4" s="61" t="str">
        <x:v>Owner / Notas</x:v>
      </x:c>
    </x:row>
    <x:row r="5" ht="151.1999969482422" hidden="0" customHeight="1">
      <x:c r="A5" s="67" t="str">
        <x:v>GOV-LEG-001</x:v>
      </x:c>
      <x:c r="B5" s="67" t="str">
        <x:v>Autoridad / precedencia</x:v>
      </x:c>
      <x:c r="C5" s="67" t="str">
        <x:v>Aplicar el registro 23 para derechos, créditos, notices y restricciones, subordinado al alcance real, ley/plataforma vigente y signoff 31.</x:v>
      </x:c>
      <x:c r="D5" s="67" t="str">
        <x:v>00–16, 23, 31</x:v>
      </x:c>
      <x:c r="E5" s="67" t="str">
        <x:v>Todas</x:v>
      </x:c>
      <x:c r="F5" s="67" t="str">
        <x:v>Baseline / H6</x:v>
      </x:c>
      <x:c r="G5" s="67" t="str">
        <x:v>YES</x:v>
      </x:c>
      <x:c r="H5" s="67" t="str">
        <x:v>CURRENT</x:v>
      </x:c>
      <x:c r="I5" s="67" t="str">
        <x:v>Versioned register, decision record and conflict resolution</x:v>
      </x:c>
      <x:c r="J5" s="67" t="str">
        <x:v>VRM Games</x:v>
      </x:c>
    </x:row>
    <x:row r="6" ht="140.39999389648438" hidden="0" customHeight="1">
      <x:c r="A6" s="67" t="str">
        <x:v>GOV-LEG-002</x:v>
      </x:c>
      <x:c r="B6" s="67" t="str">
        <x:v>Assets / procedencia</x:v>
      </x:c>
      <x:c r="C6" s="67" t="str">
        <x:v>No autorizar un asset por estar en el repositorio; exigir origen, owner, permiso comercial, modificación, redistribución, atribución y prueba.</x:v>
      </x:c>
      <x:c r="D6" s="67" t="str">
        <x:v>17–23, 31</x:v>
      </x:c>
      <x:c r="E6" s="67" t="str">
        <x:v>03–10, 16, 23</x:v>
      </x:c>
      <x:c r="F6" s="67" t="str">
        <x:v>H6 / RC</x:v>
      </x:c>
      <x:c r="G6" s="67" t="str">
        <x:v>YES</x:v>
      </x:c>
      <x:c r="H6" s="67" t="str">
        <x:v>OPEN</x:v>
      </x:c>
      <x:c r="I6" s="67" t="str">
        <x:v>Per-asset record, source proof, hash and approved build</x:v>
      </x:c>
      <x:c r="J6" s="67" t="str">
        <x:v>VRM Games</x:v>
      </x:c>
    </x:row>
    <x:row r="7" ht="118.80000305175781" hidden="0" customHeight="1">
      <x:c r="A7" s="67" t="str">
        <x:v>GOV-LEG-003</x:v>
      </x:c>
      <x:c r="B7" s="67" t="str">
        <x:v>Créditos / consentimiento</x:v>
      </x:c>
      <x:c r="C7" s="67" t="str">
        <x:v>Completar créditos por persona/proveedor y respetar contrato, consentimiento, privacidad y wording aprobado.</x:v>
      </x:c>
      <x:c r="D7" s="67" t="str">
        <x:v>18, 22, 23, 29, 31</x:v>
      </x:c>
      <x:c r="E7" s="67" t="str">
        <x:v>08, 10, 13–14, 23</x:v>
      </x:c>
      <x:c r="F7" s="67" t="str">
        <x:v>H6 / Launch</x:v>
      </x:c>
      <x:c r="G7" s="67" t="str">
        <x:v>YES</x:v>
      </x:c>
      <x:c r="H7" s="67" t="str">
        <x:v>OPEN</x:v>
      </x:c>
      <x:c r="I7" s="67" t="str">
        <x:v>Approved credits list and consent/contract evidence</x:v>
      </x:c>
      <x:c r="J7" s="67" t="str">
        <x:v>VRM Games</x:v>
      </x:c>
    </x:row>
    <x:row r="8" ht="108" hidden="0" customHeight="1">
      <x:c r="A8" s="67" t="str">
        <x:v>GOV-LEG-004</x:v>
      </x:c>
      <x:c r="B8" s="67" t="str">
        <x:v>Software / notices</x:v>
      </x:c>
      <x:c r="C8" s="67" t="str">
        <x:v>Recopilar LICENSE/NOTICE exactos por versión y generar THIRD_PARTY_NOTICES para la candidata nominal.</x:v>
      </x:c>
      <x:c r="D8" s="67" t="str">
        <x:v>09–11, 23, 27, 31</x:v>
      </x:c>
      <x:c r="E8" s="67" t="str">
        <x:v>11, 14–17, 23</x:v>
      </x:c>
      <x:c r="F8" s="67" t="str">
        <x:v>H6 / RC</x:v>
      </x:c>
      <x:c r="G8" s="67" t="str">
        <x:v>YES</x:v>
      </x:c>
      <x:c r="H8" s="67" t="str">
        <x:v>OPEN</x:v>
      </x:c>
      <x:c r="I8" s="67" t="str">
        <x:v>Dependency scan, archived licenses and notices file</x:v>
      </x:c>
      <x:c r="J8" s="67" t="str">
        <x:v>VRM Games</x:v>
      </x:c>
    </x:row>
    <x:row r="9" ht="118.80000305175781" hidden="0" customHeight="1">
      <x:c r="A9" s="67" t="str">
        <x:v>GOV-LEG-005</x:v>
      </x:c>
      <x:c r="B9" s="67" t="str">
        <x:v>Naming / marcas</x:v>
      </x:c>
      <x:c r="C9" s="67" t="str">
        <x:v>Aprobar título, estudio, productos y proveedores ficticios antes de campaña, Steam o distribución pública.</x:v>
      </x:c>
      <x:c r="D9" s="67" t="str">
        <x:v>17, 21, 23, 24, 28, 31</x:v>
      </x:c>
      <x:c r="E9" s="67" t="str">
        <x:v>09, 12, 15, 18–19, 23</x:v>
      </x:c>
      <x:c r="F9" s="67" t="str">
        <x:v>Premarketing / Steam</x:v>
      </x:c>
      <x:c r="G9" s="67" t="str">
        <x:v>YES</x:v>
      </x:c>
      <x:c r="H9" s="67" t="str">
        <x:v>OPEN</x:v>
      </x:c>
      <x:c r="I9" s="67" t="str">
        <x:v>Search report, decision and approved naming matrix</x:v>
      </x:c>
      <x:c r="J9" s="67" t="str">
        <x:v>VRM Games</x:v>
      </x:c>
    </x:row>
    <x:row r="10" ht="172.8000030517578" hidden="0" customHeight="1">
      <x:c r="A10" s="67" t="str">
        <x:v>GOV-LEG-006</x:v>
      </x:c>
      <x:c r="B10" s="67" t="str">
        <x:v>Contenido generado</x:v>
      </x:c>
      <x:c r="C10" s="67" t="str">
        <x:v>Mantener conceptos generados como referencia interna hasta registrar herramienta, términos, prompt/resumen, edición, similitud, destino y aprobación.</x:v>
      </x:c>
      <x:c r="D10" s="67" t="str">
        <x:v>17, 23, 28, 31</x:v>
      </x:c>
      <x:c r="E10" s="67" t="str">
        <x:v>05, 14–16, 18–19, 23</x:v>
      </x:c>
      <x:c r="F10" s="67" t="str">
        <x:v>Premarketing</x:v>
      </x:c>
      <x:c r="G10" s="67" t="str">
        <x:v>YES</x:v>
      </x:c>
      <x:c r="H10" s="67" t="str">
        <x:v>OPEN</x:v>
      </x:c>
      <x:c r="I10" s="67" t="str">
        <x:v>Per-item record and public-use decision</x:v>
      </x:c>
      <x:c r="J10" s="67" t="str">
        <x:v>VRM Games</x:v>
      </x:c>
    </x:row>
    <x:row r="11" ht="118.80000305175781" hidden="0" customHeight="1">
      <x:c r="A11" s="67" t="str">
        <x:v>GOV-LEG-007</x:v>
      </x:c>
      <x:c r="B11" s="67" t="str">
        <x:v>Steam / publicación</x:v>
      </x:c>
      <x:c r="C11" s="67" t="str">
        <x:v>No iniciar upload, keys, store page o depots sin onboarding actual, naming, legal, privacidad, assets y gate de build.</x:v>
      </x:c>
      <x:c r="D11" s="67" t="str">
        <x:v>23, 24, 31</x:v>
      </x:c>
      <x:c r="E11" s="67" t="str">
        <x:v>12–19, 23–25</x:v>
      </x:c>
      <x:c r="F11" s="67" t="str">
        <x:v>Steam onboarding / RC</x:v>
      </x:c>
      <x:c r="G11" s="67" t="str">
        <x:v>YES</x:v>
      </x:c>
      <x:c r="H11" s="67" t="str">
        <x:v>NOT OPEN</x:v>
      </x:c>
      <x:c r="I11" s="67" t="str">
        <x:v>Steam checklist, account evidence and approved candidate</x:v>
      </x:c>
      <x:c r="J11" s="67" t="str">
        <x:v>VRM Games</x:v>
      </x:c>
    </x:row>
    <x:row r="12" ht="129.60000610351562" hidden="0" customHeight="1">
      <x:c r="A12" s="67" t="str">
        <x:v>GOV-LEG-008</x:v>
      </x:c>
      <x:c r="B12" s="67" t="str">
        <x:v>Post-lanzamiento</x:v>
      </x:c>
      <x:c r="C12" s="67" t="str">
        <x:v>Revisar de nuevo licencias, notices, créditos, claims, datos y rollback ante cada DLC, parche, proveedor o dependencia.</x:v>
      </x:c>
      <x:c r="D12" s="67" t="str">
        <x:v>23, 25, 31, 33, 34</x:v>
      </x:c>
      <x:c r="E12" s="67" t="str">
        <x:v>11–19, 23–25</x:v>
      </x:c>
      <x:c r="F12" s="67" t="str">
        <x:v>Post-launch</x:v>
      </x:c>
      <x:c r="G12" s="67" t="str">
        <x:v>YES</x:v>
      </x:c>
      <x:c r="H12" s="67" t="str">
        <x:v>NOT OPEN</x:v>
      </x:c>
      <x:c r="I12" s="67" t="str">
        <x:v>Versioned change package, delta review and rollback</x:v>
      </x:c>
      <x:c r="J12" s="67" t="str">
        <x:v>VRM Games</x:v>
      </x:c>
    </x:row>
    <x:row r="13" ht="140.39999389648438" hidden="0" customHeight="1">
      <x:c r="A13" s="67" t="str">
        <x:v>GOV-LEG-009</x:v>
      </x:c>
      <x:c r="B13" s="67" t="str">
        <x:v>Privacidad / telemetría</x:v>
      </x:c>
      <x:c r="C13" s="67" t="str">
        <x:v>Mantener online/telemetría cerrados hasta inventariar datos, finalidad, base, retención, proveedores, regiones y disclosures.</x:v>
      </x:c>
      <x:c r="D13" s="67" t="str">
        <x:v>23, 26, 31, 33</x:v>
      </x:c>
      <x:c r="E13" s="67" t="str">
        <x:v>15–19, 23–25</x:v>
      </x:c>
      <x:c r="F13" s="67" t="str">
        <x:v>H6 / RC</x:v>
      </x:c>
      <x:c r="G13" s="67" t="str">
        <x:v>YES</x:v>
      </x:c>
      <x:c r="H13" s="67" t="str">
        <x:v>OPEN</x:v>
      </x:c>
      <x:c r="I13" s="67" t="str">
        <x:v>Data-flow inventory, decisions and accurate policy</x:v>
      </x:c>
      <x:c r="J13" s="67" t="str">
        <x:v>VRM Games</x:v>
      </x:c>
    </x:row>
    <x:row r="14" ht="108" hidden="0" customHeight="1">
      <x:c r="A14" s="67" t="str">
        <x:v>GOV-LEG-010</x:v>
      </x:c>
      <x:c r="B14" s="67" t="str">
        <x:v>Seguridad / incidentes</x:v>
      </x:c>
      <x:c r="C14" s="67" t="str">
        <x:v>Escanear secretos y PII, controlar accesos/cuentas y ejecutar respuesta ante cualquier exposición.</x:v>
      </x:c>
      <x:c r="D14" s="67" t="str">
        <x:v>23, 27, 31, 33, 34</x:v>
      </x:c>
      <x:c r="E14" s="67" t="str">
        <x:v>15–19, 23–25</x:v>
      </x:c>
      <x:c r="F14" s="67" t="str">
        <x:v>H6 / RC</x:v>
      </x:c>
      <x:c r="G14" s="67" t="str">
        <x:v>YES</x:v>
      </x:c>
      <x:c r="H14" s="67" t="str">
        <x:v>OPEN</x:v>
      </x:c>
      <x:c r="I14" s="67" t="str">
        <x:v>Scan, access map, incident record and remediation</x:v>
      </x:c>
      <x:c r="J14" s="67" t="str">
        <x:v>VRM Games</x:v>
      </x:c>
    </x:row>
    <x:row r="15" ht="129.60000610351562" hidden="0" customHeight="1">
      <x:c r="A15" s="67" t="str">
        <x:v>GOV-LEG-011</x:v>
      </x:c>
      <x:c r="B15" s="67" t="str">
        <x:v>Marketing / claims</x:v>
      </x:c>
      <x:c r="C15" s="67" t="str">
        <x:v>Vincular cada claim y medio con build, evidencia, licencia, fecha, owner y aprobaciones legal/marketing.</x:v>
      </x:c>
      <x:c r="D15" s="67" t="str">
        <x:v>23, 24, 28, 31</x:v>
      </x:c>
      <x:c r="E15" s="67" t="str">
        <x:v>12–19, 23–25</x:v>
      </x:c>
      <x:c r="F15" s="67" t="str">
        <x:v>Premarketing</x:v>
      </x:c>
      <x:c r="G15" s="67" t="str">
        <x:v>YES</x:v>
      </x:c>
      <x:c r="H15" s="67" t="str">
        <x:v>NOT OPEN</x:v>
      </x:c>
      <x:c r="I15" s="67" t="str">
        <x:v>Claim matrix, media provenance and signoff</x:v>
      </x:c>
      <x:c r="J15" s="67" t="str">
        <x:v>VRM Games</x:v>
      </x:c>
    </x:row>
    <x:row r="16" ht="129.60000610351562" hidden="0" customHeight="1">
      <x:c r="A16" s="67" t="str">
        <x:v>GOV-LEG-012</x:v>
      </x:c>
      <x:c r="B16" s="67" t="str">
        <x:v>Accesibilidad</x:v>
      </x:c>
      <x:c r="C16" s="67" t="str">
        <x:v>Publicar únicamente capacidades implementadas y probadas; evitar claims absolutos o de certificación no autorizados.</x:v>
      </x:c>
      <x:c r="D16" s="67" t="str">
        <x:v>22, 23, 29, 31</x:v>
      </x:c>
      <x:c r="E16" s="67" t="str">
        <x:v>13, 15–19, 23–25</x:v>
      </x:c>
      <x:c r="F16" s="67" t="str">
        <x:v>H6 / Store</x:v>
      </x:c>
      <x:c r="G16" s="67" t="str">
        <x:v>YES</x:v>
      </x:c>
      <x:c r="H16" s="67" t="str">
        <x:v>OPEN</x:v>
      </x:c>
      <x:c r="I16" s="67" t="str">
        <x:v>Accessibility test report and approved wording</x:v>
      </x:c>
      <x:c r="J16" s="67" t="str">
        <x:v>VRM Games</x:v>
      </x:c>
    </x:row>
    <x:row r="17" ht="129.60000610351562" hidden="0" customHeight="1">
      <x:c r="A17" s="67" t="str">
        <x:v>GOV-LEG-013</x:v>
      </x:c>
      <x:c r="B17" s="67" t="str">
        <x:v>Rendimiento</x:v>
      </x:c>
      <x:c r="C17" s="67" t="str">
        <x:v>No publicar requisitos o claims de rendimiento sin benchmark reproducible en Player, hardware y escenario documentados.</x:v>
      </x:c>
      <x:c r="D17" s="67" t="str">
        <x:v>23, 30, 31</x:v>
      </x:c>
      <x:c r="E17" s="67" t="str">
        <x:v>15, 17–19, 23–25</x:v>
      </x:c>
      <x:c r="F17" s="67" t="str">
        <x:v>H6 / Store</x:v>
      </x:c>
      <x:c r="G17" s="67" t="str">
        <x:v>YES</x:v>
      </x:c>
      <x:c r="H17" s="67" t="str">
        <x:v>OPEN</x:v>
      </x:c>
      <x:c r="I17" s="67" t="str">
        <x:v>Performance report and requirements approval</x:v>
      </x:c>
      <x:c r="J17" s="67" t="str">
        <x:v>VRM Games</x:v>
      </x:c>
    </x:row>
    <x:row r="18" ht="140.39999389648438" hidden="0" customHeight="1">
      <x:c r="A18" s="67" t="str">
        <x:v>GOV-LEG-014</x:v>
      </x:c>
      <x:c r="B18" s="67" t="str">
        <x:v>H6 / Release Readiness</x:v>
      </x:c>
      <x:c r="C18" s="67" t="str">
        <x:v>Tratar 31 como gate nominal: controles, evidencias, defectos, excepciones, build y signoff; este libro solo aporta inputs legales.</x:v>
      </x:c>
      <x:c r="D18" s="67" t="str">
        <x:v>02, 07, 08, 23, 31</x:v>
      </x:c>
      <x:c r="E18" s="67" t="str">
        <x:v>16–19, 23–25</x:v>
      </x:c>
      <x:c r="F18" s="67" t="str">
        <x:v>H6 / RC / Launch</x:v>
      </x:c>
      <x:c r="G18" s="67" t="str">
        <x:v>YES</x:v>
      </x:c>
      <x:c r="H18" s="67" t="str">
        <x:v>NOT RUN</x:v>
      </x:c>
      <x:c r="I18" s="67" t="str">
        <x:v>Completed checklist 31 and decision package</x:v>
      </x:c>
      <x:c r="J18" s="67" t="str">
        <x:v>VRM Games</x:v>
      </x:c>
    </x:row>
    <x:row r="19" ht="108" hidden="0" customHeight="1">
      <x:c r="A19" s="67" t="str">
        <x:v>GOV-LEG-015</x:v>
      </x:c>
      <x:c r="B19" s="67" t="str">
        <x:v>Baseline / integridad</x:v>
      </x:c>
      <x:c r="C19" s="67" t="str">
        <x:v>Registrar versión, tamaño, hash, sustitución y ubicación; mantener el self-hash de 23 fuera del propio XLSX.</x:v>
      </x:c>
      <x:c r="D19" s="67" t="str">
        <x:v>13, 16, 23, 32</x:v>
      </x:c>
      <x:c r="E19" s="67" t="str">
        <x:v>16, 20, 22–25</x:v>
      </x:c>
      <x:c r="F19" s="67" t="str">
        <x:v>Final Baseline</x:v>
      </x:c>
      <x:c r="G19" s="67" t="str">
        <x:v>YES</x:v>
      </x:c>
      <x:c r="H19" s="67" t="str">
        <x:v>CANDIDATE</x:v>
      </x:c>
      <x:c r="I19" s="67" t="str">
        <x:v>Manifest, external checksum and validation report</x:v>
      </x:c>
      <x:c r="J19" s="67" t="str">
        <x:v>VRM Games</x:v>
      </x:c>
    </x:row>
    <x:row r="20" ht="129.60000610351562" hidden="0" customHeight="1">
      <x:c r="A20" s="67" t="str">
        <x:v>GOV-LEG-016</x:v>
      </x:c>
      <x:c r="B20" s="67" t="str">
        <x:v>Riesgo / continuidad</x:v>
      </x:c>
      <x:c r="C20" s="67" t="str">
        <x:v>Asignar owners, tratar riesgos y probar backup/restauración de licencias, contratos, notices, cuentas y evidencias.</x:v>
      </x:c>
      <x:c r="D20" s="67" t="str">
        <x:v>23, 33, 34</x:v>
      </x:c>
      <x:c r="E20" s="67" t="str">
        <x:v>16, 18–20, 22–25</x:v>
      </x:c>
      <x:c r="F20" s="67" t="str">
        <x:v>Final Baseline / Release</x:v>
      </x:c>
      <x:c r="G20" s="67" t="str">
        <x:v>YES</x:v>
      </x:c>
      <x:c r="H20" s="67" t="str">
        <x:v>UNVERIFIED</x:v>
      </x:c>
      <x:c r="I20" s="67" t="str">
        <x:v>Risk actions, restore drill and access recovery</x:v>
      </x:c>
      <x:c r="J20" s="67" t="str">
        <x:v>VRM Games</x:v>
      </x:c>
    </x:row>
    <x:row r="21" ht="129.60000610351562" hidden="0" customHeight="1">
      <x:c r="A21" s="67" t="str">
        <x:v>GOV-LEG-017</x:v>
      </x:c>
      <x:c r="B21" s="67" t="str">
        <x:v>Handoff / operaciones</x:v>
      </x:c>
      <x:c r="C21" s="67" t="str">
        <x:v>Permitir retoma independiente con runbook, rutas, owners, accesos recuperables, decisiones y próximos gates.</x:v>
      </x:c>
      <x:c r="D21" s="67" t="str">
        <x:v>14, 15, 23, 34</x:v>
      </x:c>
      <x:c r="E21" s="67" t="str">
        <x:v>Todas</x:v>
      </x:c>
      <x:c r="F21" s="67" t="str">
        <x:v>Operations</x:v>
      </x:c>
      <x:c r="G21" s="67" t="str">
        <x:v>YES</x:v>
      </x:c>
      <x:c r="H21" s="67" t="str">
        <x:v>CURRENT / UNTESTED</x:v>
      </x:c>
      <x:c r="I21" s="67" t="str">
        <x:v>Independent handoff test and updated manual</x:v>
      </x:c>
      <x:c r="J21" s="67" t="str">
        <x:v>VRM Games</x:v>
      </x:c>
    </x:row>
    <x:row r="22" ht="108" hidden="0" customHeight="1">
      <x:c r="A22" s="68" t="str">
        <x:v>GOV-LEG-018</x:v>
      </x:c>
      <x:c r="B22" s="68" t="str">
        <x:v>Auditoría / control de cambios</x:v>
      </x:c>
      <x:c r="C22" s="68" t="str">
        <x:v>Registrar cada corrección en 13, propagar impactos y regenerar hashes antes de cerrar 16 y 32.</x:v>
      </x:c>
      <x:c r="D22" s="68" t="str">
        <x:v>13, 16, 23, 32</x:v>
      </x:c>
      <x:c r="E22" s="68" t="str">
        <x:v>16, 20, 22–25</x:v>
      </x:c>
      <x:c r="F22" s="68" t="str">
        <x:v>Audit / Freeze</x:v>
      </x:c>
      <x:c r="G22" s="68" t="str">
        <x:v>YES</x:v>
      </x:c>
      <x:c r="H22" s="68" t="str">
        <x:v>OPEN</x:v>
      </x:c>
      <x:c r="I22" s="68" t="str">
        <x:v>Change record, resolved finding and new checksums</x:v>
      </x:c>
      <x:c r="J22" s="68" t="str">
        <x:v>VRM Games</x:v>
      </x:c>
    </x:row>
  </x:sheetData>
  <x:mergeCells>
    <x:mergeCell ref="A1:J1"/>
    <x:mergeCell ref="A2:J2"/>
  </x:mergeCells>
  <x:conditionalFormatting sqref="H5:H22">
    <x:cfRule type="expression" dxfId="152" priority="1">
      <x:formula>OR(H5="OPEN",H5="NOT RUN",H5="UNVERIFIED")</x:formula>
    </x:cfRule>
    <x:cfRule type="expression" dxfId="153" priority="2">
      <x:formula>OR(H5="CURRENT",H5="CLOSED")</x:formula>
    </x:cfRule>
    <x:cfRule type="expression" dxfId="154" priority="3">
      <x:formula>OR(H5="CANDIDATE",H5="IN PROGRESS",H5="CURRENT / UNTESTED")</x:formula>
    </x:cfRule>
  </x:conditionalFormatting>
  <x:dataValidations count="2">
    <x:dataValidation type="list" sqref="G5:G22">
      <x:formula1>"YES,NO,CONDITIONAL"</x:formula1>
    </x:dataValidation>
    <x:dataValidation type="list" sqref="H5:H22">
      <x:formula1>"CURRENT,OPEN,IN PROGRESS,NOT OPEN,NOT RUN,CANDIDATE,UNVERIFIED,CURRENT / UNTESTED,CLOSED"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24" hidden="0" customWidth="1"/>
    <x:col min="5" max="5" width="48" hidden="0" customWidth="1"/>
    <x:col min="6" max="6" width="40" hidden="0" customWidth="1"/>
    <x:col min="7" max="7" width="24" hidden="0" customWidth="1"/>
    <x:col min="8" max="8" width="22" hidden="0" customWidth="1"/>
    <x:col min="9" max="9" width="42" hidden="0" customWidth="1"/>
    <x:col min="10" max="10" width="16" hidden="0" customWidth="1"/>
    <x:col min="11" max="11" width="18" hidden="0" customWidth="1"/>
    <x:col min="12" max="12" width="30" hidden="0" customWidth="1"/>
  </x:cols>
  <x:sheetData>
    <x:row r="1" ht="28" customHeight="1">
      <x:c r="A1" s="51" t="str">
        <x:v>Control de cambios de la actualización dirigida del documento 23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</x:row>
    <x:row r="2" ht="34" customHeight="1">
      <x:c r="A2" s="56" t="str">
        <x:v>Cambios aplicados sobre RC1 para integrar documentos 24–34, hashes actualizados, gates, riesgos, deuda, continuidad y handoff.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</x:row>
    <x:row r="4" ht="34" customHeight="1">
      <x:c r="A4" s="61" t="str">
        <x:v>Change ID</x:v>
      </x:c>
      <x:c r="B4" s="61" t="str">
        <x:v>Fecha</x:v>
      </x:c>
      <x:c r="C4" s="61" t="str">
        <x:v>Tipo</x:v>
      </x:c>
      <x:c r="D4" s="61" t="str">
        <x:v>Ámbito</x:v>
      </x:c>
      <x:c r="E4" s="61" t="str">
        <x:v>Descripción</x:v>
      </x:c>
      <x:c r="F4" s="61" t="str">
        <x:v>Motivo</x:v>
      </x:c>
      <x:c r="G4" s="61" t="str">
        <x:v>Fuentes</x:v>
      </x:c>
      <x:c r="H4" s="61" t="str">
        <x:v>Hojas afectadas</x:v>
      </x:c>
      <x:c r="I4" s="61" t="str">
        <x:v>Impacto / Salida</x:v>
      </x:c>
      <x:c r="J4" s="61" t="str">
        <x:v>Estado</x:v>
      </x:c>
      <x:c r="K4" s="61" t="str">
        <x:v>Owner</x:v>
      </x:c>
      <x:c r="L4" s="61" t="str">
        <x:v>Notas</x:v>
      </x:c>
    </x:row>
    <x:row r="5" ht="129.60000610351562" hidden="0" customHeight="1">
      <x:c r="A5" s="67" t="str">
        <x:v>CHG-LEG-001</x:v>
      </x:c>
      <x:c r="B5" s="67" t="str">
        <x:v>2026-07-01</x:v>
      </x:c>
      <x:c r="C5" s="67" t="str">
        <x:v>Documentación</x:v>
      </x:c>
      <x:c r="D5" s="67" t="str">
        <x:v>Autoridad y baseline</x:v>
      </x:c>
      <x:c r="E5" s="67" t="str">
        <x:v>Se amplía la autoridad declarada de 00–22 a 00–34 y se añade la integración cross-domain.</x:v>
      </x:c>
      <x:c r="F5" s="67" t="str">
        <x:v>Los documentos 24–34 ya existen y condicionan publicación, seguridad, accesibilidad, rendimiento y continuidad.</x:v>
      </x:c>
      <x:c r="G5" s="67" t="str">
        <x:v>14, 15, 21, 24–34</x:v>
      </x:c>
      <x:c r="H5" s="67" t="str">
        <x:v>00, 01, 24</x:v>
      </x:c>
      <x:c r="I5" s="67" t="str">
        <x:v>Registro alineado con la baseline candidata.</x:v>
      </x:c>
      <x:c r="J5" s="67" t="str">
        <x:v>COMPLETED</x:v>
      </x:c>
      <x:c r="K5" s="67" t="str">
        <x:v>VRM Games</x:v>
      </x:c>
      <x:c r="L5" s="67" t="str">
        <x:v>No cierra H6 ni release.</x:v>
      </x:c>
    </x:row>
    <x:row r="6" ht="108" hidden="0" customHeight="1">
      <x:c r="A6" s="67" t="str">
        <x:v>CHG-LEG-002</x:v>
      </x:c>
      <x:c r="B6" s="67" t="str">
        <x:v>2026-07-01</x:v>
      </x:c>
      <x:c r="C6" s="67" t="str">
        <x:v>Proceso</x:v>
      </x:c>
      <x:c r="D6" s="67" t="str">
        <x:v>Integridad / hashes</x:v>
      </x:c>
      <x:c r="E6" s="67" t="str">
        <x:v>Se sustituyen hashes RC1 de 12–15 y 21 por sus versiones actualizadas y se inventarían 23–34.</x:v>
      </x:c>
      <x:c r="F6" s="67" t="str">
        <x:v>Evitar referencias obsoletas y preparar el manifiesto candidato.</x:v>
      </x:c>
      <x:c r="G6" s="67" t="str">
        <x:v>12–15, 21, 32</x:v>
      </x:c>
      <x:c r="H6" s="67" t="str">
        <x:v>16, 20, 22, 23</x:v>
      </x:c>
      <x:c r="I6" s="67" t="str">
        <x:v>Fuentes y pruebas documentales actualizadas.</x:v>
      </x:c>
      <x:c r="J6" s="67" t="str">
        <x:v>COMPLETED</x:v>
      </x:c>
      <x:c r="K6" s="67" t="str">
        <x:v>VRM Games</x:v>
      </x:c>
      <x:c r="L6" s="67" t="str">
        <x:v>El self-hash de 23 queda externo.</x:v>
      </x:c>
    </x:row>
    <x:row r="7" ht="118.80000305175781" hidden="0" customHeight="1">
      <x:c r="A7" s="67" t="str">
        <x:v>CHG-LEG-003</x:v>
      </x:c>
      <x:c r="B7" s="67" t="str">
        <x:v>2026-07-01</x:v>
      </x:c>
      <x:c r="C7" s="67" t="str">
        <x:v>Documentación</x:v>
      </x:c>
      <x:c r="D7" s="67" t="str">
        <x:v>Steam, marketing y claims</x:v>
      </x:c>
      <x:c r="E7" s="67" t="str">
        <x:v>Se incorporan restricciones, riesgos, deuda y controles para onboarding, store, medios y claims.</x:v>
      </x:c>
      <x:c r="F7" s="67" t="str">
        <x:v>La documentación RC1 inicial no cubría plenamente 24 y 28.</x:v>
      </x:c>
      <x:c r="G7" s="67" t="str">
        <x:v>24, 28, 31</x:v>
      </x:c>
      <x:c r="H7" s="67" t="str">
        <x:v>15, 17–19, 24</x:v>
      </x:c>
      <x:c r="I7" s="67" t="str">
        <x:v>Campaña y uploads permanecen NOT OPEN.</x:v>
      </x:c>
      <x:c r="J7" s="67" t="str">
        <x:v>COMPLETED</x:v>
      </x:c>
      <x:c r="K7" s="67" t="str">
        <x:v>VRM Games</x:v>
      </x:c>
      <x:c r="L7" s="67"/>
    </x:row>
    <x:row r="8" ht="75.5999984741211" hidden="0" customHeight="1">
      <x:c r="A8" s="67" t="str">
        <x:v>CHG-LEG-004</x:v>
      </x:c>
      <x:c r="B8" s="67" t="str">
        <x:v>2026-07-01</x:v>
      </x:c>
      <x:c r="C8" s="67" t="str">
        <x:v>Documentación</x:v>
      </x:c>
      <x:c r="D8" s="67" t="str">
        <x:v>Privacidad y seguridad</x:v>
      </x:c>
      <x:c r="E8" s="67" t="str">
        <x:v>Se incorporan controles de datos, secretos, PII, cuentas e incidentes.</x:v>
      </x:c>
      <x:c r="F8" s="67" t="str">
        <x:v>Alinear 23 con 26 y 27 y bloquear distribución insegura.</x:v>
      </x:c>
      <x:c r="G8" s="67" t="str">
        <x:v>26, 27, 31, 33, 34</x:v>
      </x:c>
      <x:c r="H8" s="67" t="str">
        <x:v>15, 17–19, 24</x:v>
      </x:c>
      <x:c r="I8" s="67" t="str">
        <x:v>Release package sujeto a revisión y evidencia.</x:v>
      </x:c>
      <x:c r="J8" s="67" t="str">
        <x:v>COMPLETED</x:v>
      </x:c>
      <x:c r="K8" s="67" t="str">
        <x:v>VRM Games</x:v>
      </x:c>
      <x:c r="L8" s="67"/>
    </x:row>
    <x:row r="9" ht="75.5999984741211" hidden="0" customHeight="1">
      <x:c r="A9" s="67" t="str">
        <x:v>CHG-LEG-005</x:v>
      </x:c>
      <x:c r="B9" s="67" t="str">
        <x:v>2026-07-01</x:v>
      </x:c>
      <x:c r="C9" s="67" t="str">
        <x:v>Documentación</x:v>
      </x:c>
      <x:c r="D9" s="67" t="str">
        <x:v>Accesibilidad y rendimiento</x:v>
      </x:c>
      <x:c r="E9" s="67" t="str">
        <x:v>Se añaden controles sobre claims accesibles, benchmarks y requisitos de sistema.</x:v>
      </x:c>
      <x:c r="F9" s="67" t="str">
        <x:v>Alinear 23 con 29 y 30 y evitar afirmaciones no demostradas.</x:v>
      </x:c>
      <x:c r="G9" s="67" t="str">
        <x:v>29, 30, 31</x:v>
      </x:c>
      <x:c r="H9" s="67" t="str">
        <x:v>13, 15, 17–19, 24</x:v>
      </x:c>
      <x:c r="I9" s="67" t="str">
        <x:v>Claims y requisitos quedan bloqueados hasta evidencia.</x:v>
      </x:c>
      <x:c r="J9" s="67" t="str">
        <x:v>COMPLETED</x:v>
      </x:c>
      <x:c r="K9" s="67" t="str">
        <x:v>VRM Games</x:v>
      </x:c>
      <x:c r="L9" s="67"/>
    </x:row>
    <x:row r="10" ht="86.4000015258789" hidden="0" customHeight="1">
      <x:c r="A10" s="67" t="str">
        <x:v>CHG-LEG-006</x:v>
      </x:c>
      <x:c r="B10" s="67" t="str">
        <x:v>2026-07-01</x:v>
      </x:c>
      <x:c r="C10" s="67" t="str">
        <x:v>Proceso</x:v>
      </x:c>
      <x:c r="D10" s="67" t="str">
        <x:v>Readiness, continuidad y handoff</x:v>
      </x:c>
      <x:c r="E10" s="67" t="str">
        <x:v>Se integran checklist 31, manifiesto 32, riesgos/BCP 33 y manual 34.</x:v>
      </x:c>
      <x:c r="F10" s="67" t="str">
        <x:v>La autorización debe ser build-specific, recuperable y transferible.</x:v>
      </x:c>
      <x:c r="G10" s="67" t="str">
        <x:v>31–34</x:v>
      </x:c>
      <x:c r="H10" s="67" t="str">
        <x:v>00, 15–20, 22–25</x:v>
      </x:c>
      <x:c r="I10" s="67" t="str">
        <x:v>Cierre preparado para las siguientes regeneraciones.</x:v>
      </x:c>
      <x:c r="J10" s="67" t="str">
        <x:v>COMPLETED</x:v>
      </x:c>
      <x:c r="K10" s="67" t="str">
        <x:v>VRM Games</x:v>
      </x:c>
      <x:c r="L10" s="67" t="str">
        <x:v>Continuidad y handoff aún no ejecutados.</x:v>
      </x:c>
    </x:row>
    <x:row r="11" ht="108" hidden="0" customHeight="1">
      <x:c r="A11" s="68" t="str">
        <x:v>CHG-LEG-007</x:v>
      </x:c>
      <x:c r="B11" s="68" t="str">
        <x:v>2026-07-01</x:v>
      </x:c>
      <x:c r="C11" s="68" t="str">
        <x:v>Gameplay / Fórmula</x:v>
      </x:c>
      <x:c r="D11" s="68" t="str">
        <x:v>Dashboard y gates</x:v>
      </x:c>
      <x:c r="E11" s="68" t="str">
        <x:v>Se amplían rangos de fórmulas y se corrige la lógica automática de elegibilidad de builds.</x:v>
      </x:c>
      <x:c r="F11" s="68" t="str">
        <x:v>Los rangos antiguos no incluían nuevos riesgos, deuda, créditos, builds, fuentes ni trazabilidad.</x:v>
      </x:c>
      <x:c r="G11" s="68" t="str">
        <x:v>13, 17–23</x:v>
      </x:c>
      <x:c r="H11" s="68" t="str">
        <x:v>01, 17</x:v>
      </x:c>
      <x:c r="I11" s="68" t="str">
        <x:v>Cálculos preparados para los registros añadidos.</x:v>
      </x:c>
      <x:c r="J11" s="68" t="str">
        <x:v>COMPLETED</x:v>
      </x:c>
      <x:c r="K11" s="68" t="str">
        <x:v>VRM Games</x:v>
      </x:c>
      <x:c r="L11" s="68" t="str">
        <x:v>La fórmula no concede aprobación manual.</x:v>
      </x:c>
    </x:row>
  </x:sheetData>
  <x:mergeCells>
    <x:mergeCell ref="A1:L1"/>
    <x:mergeCell ref="A2:L2"/>
  </x:mergeCells>
  <x:conditionalFormatting sqref="J5:J11">
    <x:cfRule type="expression" dxfId="155" priority="1">
      <x:formula>J5="COMPLETED"</x:formula>
    </x:cfRule>
    <x:cfRule type="expression" dxfId="156" priority="2">
      <x:formula>OR(J5="OPEN",J5="BLOCKED")</x:formula>
    </x:cfRule>
  </x:conditionalFormatting>
  <x:dataValidations count="1">
    <x:dataValidation type="list" sqref="J5:J200">
      <x:formula1>"OPEN,IN PROGRESS,COMPLETED,BLOCKED,DEFERRED"</x:formula1>
    </x:dataValidation>
  </x:dataValidations>
  <x:pageMargins left="0.7" right="0.7" top="0.75" bottom="0.75" header="0.3" footer="0.3"/>
</x:worksheet>
</file>